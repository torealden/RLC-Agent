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13_ncr:1_{430E7CE9-8292-43DB-BEF9-A07B35F60BED}" xr6:coauthVersionLast="47" xr6:coauthVersionMax="47" xr10:uidLastSave="{00000000-0000-0000-0000-000000000000}"/>
  <bookViews>
    <workbookView xWindow="-120" yWindow="-120" windowWidth="29040" windowHeight="16440" firstSheet="1" activeTab="5" xr2:uid="{80A2FCCD-8A9C-43F9-BCCC-4E8A7BCA3EBA}"/>
  </bookViews>
  <sheets>
    <sheet name="Sales_Mandate_chart" sheetId="1" r:id="rId1"/>
    <sheet name="BD_Sales" sheetId="2" r:id="rId2"/>
    <sheet name="Prod_Chart" sheetId="3" r:id="rId3"/>
    <sheet name="Production" sheetId="4" r:id="rId4"/>
    <sheet name="Diesel_Sales" sheetId="5" r:id="rId5"/>
    <sheet name="Feedstocks" sheetId="6" r:id="rId6"/>
    <sheet name="Feedstock_demand_chart" sheetId="7" r:id="rId7"/>
    <sheet name="Capacity" sheetId="8" r:id="rId8"/>
    <sheet name="Plant_List" sheetId="9" r:id="rId9"/>
    <sheet name="BD_Feedstock_Breakdown" sheetId="10" r:id="rId10"/>
    <sheet name="Fuel Prices" sheetId="11" r:id="rId11"/>
    <sheet name="SBO_Prices" sheetId="12" r:id="rId12"/>
    <sheet name="Sheet3" sheetId="13" r:id="rId13"/>
    <sheet name="SBO_Profitability" sheetId="14" r:id="rId14"/>
    <sheet name="Feedstock_Conversion" sheetId="15" r:id="rId15"/>
    <sheet name="RD_Capacity" sheetId="16" r:id="rId16"/>
  </sheets>
  <externalReferences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1" i="6" l="1"/>
  <c r="S112" i="6"/>
  <c r="S113" i="6"/>
  <c r="S114" i="6"/>
  <c r="S115" i="6"/>
  <c r="S116" i="6"/>
  <c r="S117" i="6"/>
  <c r="S118" i="6"/>
  <c r="S119" i="6"/>
  <c r="E119" i="6" s="1"/>
  <c r="S120" i="6"/>
  <c r="S121" i="6"/>
  <c r="S110" i="6"/>
  <c r="S109" i="6"/>
  <c r="DI377" i="10"/>
  <c r="DG377" i="10"/>
  <c r="DH375" i="10"/>
  <c r="DF375" i="10"/>
  <c r="DG375" i="10" s="1"/>
  <c r="DH374" i="10"/>
  <c r="DF374" i="10"/>
  <c r="DG374" i="10" s="1"/>
  <c r="DH373" i="10"/>
  <c r="DF373" i="10"/>
  <c r="DH372" i="10"/>
  <c r="DI372" i="10" s="1"/>
  <c r="DF372" i="10"/>
  <c r="DG372" i="10" s="1"/>
  <c r="DH371" i="10"/>
  <c r="DI371" i="10" s="1"/>
  <c r="DF371" i="10"/>
  <c r="DH370" i="10"/>
  <c r="DI370" i="10" s="1"/>
  <c r="DF370" i="10"/>
  <c r="DG370" i="10" s="1"/>
  <c r="DH369" i="10"/>
  <c r="DI369" i="10" s="1"/>
  <c r="DF369" i="10"/>
  <c r="DH368" i="10"/>
  <c r="DI368" i="10" s="1"/>
  <c r="DF368" i="10"/>
  <c r="DG368" i="10" s="1"/>
  <c r="DH367" i="10"/>
  <c r="DI367" i="10" s="1"/>
  <c r="DF367" i="10"/>
  <c r="DG367" i="10" s="1"/>
  <c r="DH366" i="10"/>
  <c r="DI366" i="10" s="1"/>
  <c r="DF366" i="10"/>
  <c r="DH365" i="10"/>
  <c r="DF365" i="10"/>
  <c r="DH364" i="10"/>
  <c r="DF364" i="10"/>
  <c r="DG364" i="10" s="1"/>
  <c r="DH363" i="10"/>
  <c r="DF363" i="10"/>
  <c r="DG363" i="10" s="1"/>
  <c r="DH362" i="10"/>
  <c r="DF362" i="10"/>
  <c r="DG362" i="10" s="1"/>
  <c r="DH361" i="10"/>
  <c r="DI361" i="10" s="1"/>
  <c r="DF361" i="10"/>
  <c r="DG361" i="10" s="1"/>
  <c r="DH360" i="10"/>
  <c r="DI360" i="10" s="1"/>
  <c r="DF360" i="10"/>
  <c r="DG360" i="10" s="1"/>
  <c r="DH359" i="10"/>
  <c r="DI359" i="10" s="1"/>
  <c r="DF359" i="10"/>
  <c r="DG359" i="10" s="1"/>
  <c r="DH358" i="10"/>
  <c r="DI358" i="10" s="1"/>
  <c r="DF358" i="10"/>
  <c r="DG358" i="10" s="1"/>
  <c r="DH357" i="10"/>
  <c r="DI357" i="10" s="1"/>
  <c r="DF357" i="10"/>
  <c r="DG357" i="10" s="1"/>
  <c r="DH356" i="10"/>
  <c r="DI356" i="10" s="1"/>
  <c r="DF356" i="10"/>
  <c r="DG356" i="10" s="1"/>
  <c r="DH355" i="10"/>
  <c r="DI355" i="10" s="1"/>
  <c r="DF355" i="10"/>
  <c r="DG355" i="10" s="1"/>
  <c r="DH354" i="10"/>
  <c r="DF354" i="10"/>
  <c r="DH353" i="10"/>
  <c r="DF353" i="10"/>
  <c r="DH352" i="10"/>
  <c r="DF352" i="10"/>
  <c r="DH351" i="10"/>
  <c r="DF351" i="10"/>
  <c r="DG351" i="10" s="1"/>
  <c r="DH350" i="10"/>
  <c r="DI350" i="10" s="1"/>
  <c r="DF350" i="10"/>
  <c r="DG350" i="10" s="1"/>
  <c r="DH349" i="10"/>
  <c r="DI349" i="10" s="1"/>
  <c r="DF349" i="10"/>
  <c r="DH348" i="10"/>
  <c r="DI348" i="10" s="1"/>
  <c r="DF348" i="10"/>
  <c r="DG348" i="10" s="1"/>
  <c r="DH347" i="10"/>
  <c r="DI347" i="10" s="1"/>
  <c r="DF347" i="10"/>
  <c r="DG347" i="10" s="1"/>
  <c r="DH346" i="10"/>
  <c r="DI346" i="10" s="1"/>
  <c r="DF346" i="10"/>
  <c r="DG346" i="10" s="1"/>
  <c r="DH345" i="10"/>
  <c r="DI345" i="10" s="1"/>
  <c r="DF345" i="10"/>
  <c r="DG345" i="10" s="1"/>
  <c r="DH344" i="10"/>
  <c r="DI344" i="10" s="1"/>
  <c r="DF344" i="10"/>
  <c r="DH343" i="10"/>
  <c r="DF343" i="10"/>
  <c r="DH342" i="10"/>
  <c r="DF342" i="10"/>
  <c r="DH341" i="10"/>
  <c r="DF341" i="10"/>
  <c r="DG341" i="10" s="1"/>
  <c r="DH340" i="10"/>
  <c r="DF340" i="10"/>
  <c r="DG340" i="10" s="1"/>
  <c r="DH339" i="10"/>
  <c r="DI339" i="10" s="1"/>
  <c r="DF339" i="10"/>
  <c r="DG339" i="10" s="1"/>
  <c r="DH338" i="10"/>
  <c r="DI338" i="10" s="1"/>
  <c r="DF338" i="10"/>
  <c r="DH337" i="10"/>
  <c r="DI337" i="10" s="1"/>
  <c r="DF337" i="10"/>
  <c r="DG337" i="10" s="1"/>
  <c r="DH336" i="10"/>
  <c r="DI336" i="10" s="1"/>
  <c r="DF336" i="10"/>
  <c r="DG336" i="10" s="1"/>
  <c r="DH335" i="10"/>
  <c r="DI335" i="10" s="1"/>
  <c r="DF335" i="10"/>
  <c r="DG335" i="10" s="1"/>
  <c r="DH334" i="10"/>
  <c r="DI334" i="10" s="1"/>
  <c r="DF334" i="10"/>
  <c r="DG334" i="10" s="1"/>
  <c r="DH333" i="10"/>
  <c r="DI333" i="10" s="1"/>
  <c r="DF333" i="10"/>
  <c r="DH332" i="10"/>
  <c r="DF332" i="10"/>
  <c r="DH331" i="10"/>
  <c r="DF331" i="10"/>
  <c r="DH330" i="10"/>
  <c r="DF330" i="10"/>
  <c r="DG330" i="10" s="1"/>
  <c r="DH329" i="10"/>
  <c r="DF329" i="10"/>
  <c r="DG329" i="10" s="1"/>
  <c r="DH328" i="10"/>
  <c r="DI328" i="10" s="1"/>
  <c r="DF328" i="10"/>
  <c r="DG328" i="10" s="1"/>
  <c r="DH327" i="10"/>
  <c r="DI327" i="10" s="1"/>
  <c r="DF327" i="10"/>
  <c r="DH326" i="10"/>
  <c r="DI326" i="10" s="1"/>
  <c r="DF326" i="10"/>
  <c r="DG326" i="10" s="1"/>
  <c r="DH325" i="10"/>
  <c r="DI325" i="10" s="1"/>
  <c r="DF325" i="10"/>
  <c r="DG325" i="10" s="1"/>
  <c r="DH324" i="10"/>
  <c r="DI324" i="10" s="1"/>
  <c r="DF324" i="10"/>
  <c r="DG324" i="10" s="1"/>
  <c r="DH323" i="10"/>
  <c r="DI323" i="10" s="1"/>
  <c r="DF323" i="10"/>
  <c r="DG323" i="10" s="1"/>
  <c r="DH322" i="10"/>
  <c r="DI322" i="10" s="1"/>
  <c r="DF322" i="10"/>
  <c r="DH321" i="10"/>
  <c r="DF321" i="10"/>
  <c r="DH320" i="10"/>
  <c r="DF320" i="10"/>
  <c r="DH319" i="10"/>
  <c r="DF319" i="10"/>
  <c r="DH318" i="10"/>
  <c r="DF318" i="10"/>
  <c r="DG318" i="10" s="1"/>
  <c r="DH317" i="10"/>
  <c r="DI317" i="10" s="1"/>
  <c r="DF317" i="10"/>
  <c r="DG317" i="10" s="1"/>
  <c r="DH316" i="10"/>
  <c r="DI316" i="10" s="1"/>
  <c r="DF316" i="10"/>
  <c r="DH315" i="10"/>
  <c r="DI315" i="10" s="1"/>
  <c r="DF315" i="10"/>
  <c r="DG315" i="10" s="1"/>
  <c r="DH314" i="10"/>
  <c r="DI314" i="10" s="1"/>
  <c r="DF314" i="10"/>
  <c r="DG314" i="10" s="1"/>
  <c r="DH313" i="10"/>
  <c r="DI313" i="10" s="1"/>
  <c r="DF313" i="10"/>
  <c r="DG313" i="10" s="1"/>
  <c r="DH312" i="10"/>
  <c r="DI312" i="10" s="1"/>
  <c r="DF312" i="10"/>
  <c r="DG312" i="10" s="1"/>
  <c r="DH311" i="10"/>
  <c r="DI311" i="10" s="1"/>
  <c r="DF311" i="10"/>
  <c r="DH310" i="10"/>
  <c r="DF310" i="10"/>
  <c r="DH309" i="10"/>
  <c r="DF309" i="10"/>
  <c r="DH308" i="10"/>
  <c r="DF308" i="10"/>
  <c r="DG308" i="10" s="1"/>
  <c r="DH307" i="10"/>
  <c r="DF307" i="10"/>
  <c r="DG307" i="10" s="1"/>
  <c r="DH306" i="10"/>
  <c r="DI306" i="10" s="1"/>
  <c r="DF306" i="10"/>
  <c r="DG306" i="10" s="1"/>
  <c r="DH305" i="10"/>
  <c r="DI305" i="10" s="1"/>
  <c r="DF305" i="10"/>
  <c r="DH304" i="10"/>
  <c r="DI304" i="10" s="1"/>
  <c r="DF304" i="10"/>
  <c r="DG304" i="10" s="1"/>
  <c r="DH303" i="10"/>
  <c r="DI303" i="10" s="1"/>
  <c r="DF303" i="10"/>
  <c r="DG303" i="10" s="1"/>
  <c r="DH302" i="10"/>
  <c r="DI302" i="10" s="1"/>
  <c r="DF302" i="10"/>
  <c r="DG302" i="10" s="1"/>
  <c r="DH301" i="10"/>
  <c r="DI301" i="10" s="1"/>
  <c r="DF301" i="10"/>
  <c r="DG301" i="10" s="1"/>
  <c r="DH300" i="10"/>
  <c r="DI300" i="10" s="1"/>
  <c r="DF300" i="10"/>
  <c r="DH299" i="10"/>
  <c r="DF299" i="10"/>
  <c r="DH298" i="10"/>
  <c r="DF298" i="10"/>
  <c r="DH297" i="10"/>
  <c r="DF297" i="10"/>
  <c r="DH296" i="10"/>
  <c r="DF296" i="10"/>
  <c r="DG296" i="10" s="1"/>
  <c r="DH295" i="10"/>
  <c r="DI295" i="10" s="1"/>
  <c r="DF295" i="10"/>
  <c r="DG295" i="10" s="1"/>
  <c r="DH294" i="10"/>
  <c r="DI294" i="10" s="1"/>
  <c r="DF294" i="10"/>
  <c r="DH293" i="10"/>
  <c r="DI293" i="10" s="1"/>
  <c r="DF293" i="10"/>
  <c r="DG293" i="10" s="1"/>
  <c r="DH292" i="10"/>
  <c r="DI292" i="10" s="1"/>
  <c r="DF292" i="10"/>
  <c r="DG292" i="10" s="1"/>
  <c r="DH291" i="10"/>
  <c r="DI291" i="10" s="1"/>
  <c r="DF291" i="10"/>
  <c r="DG291" i="10" s="1"/>
  <c r="DH290" i="10"/>
  <c r="DI290" i="10" s="1"/>
  <c r="DF290" i="10"/>
  <c r="DG290" i="10" s="1"/>
  <c r="DH289" i="10"/>
  <c r="DI289" i="10" s="1"/>
  <c r="DF289" i="10"/>
  <c r="DH288" i="10"/>
  <c r="DF288" i="10"/>
  <c r="DH287" i="10"/>
  <c r="DF287" i="10"/>
  <c r="DH286" i="10"/>
  <c r="DF286" i="10"/>
  <c r="DG286" i="10" s="1"/>
  <c r="DH285" i="10"/>
  <c r="DF285" i="10"/>
  <c r="DH284" i="10"/>
  <c r="DI284" i="10" s="1"/>
  <c r="DF284" i="10"/>
  <c r="DG284" i="10" s="1"/>
  <c r="DH283" i="10"/>
  <c r="DI283" i="10" s="1"/>
  <c r="DF283" i="10"/>
  <c r="DH282" i="10"/>
  <c r="DF282" i="10"/>
  <c r="DH281" i="10"/>
  <c r="DI281" i="10" s="1"/>
  <c r="DF281" i="10"/>
  <c r="DG281" i="10" s="1"/>
  <c r="DH280" i="10"/>
  <c r="DI280" i="10" s="1"/>
  <c r="DF280" i="10"/>
  <c r="DG280" i="10" s="1"/>
  <c r="DH279" i="10"/>
  <c r="DI279" i="10" s="1"/>
  <c r="DF279" i="10"/>
  <c r="DG279" i="10" s="1"/>
  <c r="DH278" i="10"/>
  <c r="DI278" i="10" s="1"/>
  <c r="DF278" i="10"/>
  <c r="DH277" i="10"/>
  <c r="DF277" i="10"/>
  <c r="DH276" i="10"/>
  <c r="DF276" i="10"/>
  <c r="DH275" i="10"/>
  <c r="DF275" i="10"/>
  <c r="DG275" i="10" s="1"/>
  <c r="DH274" i="10"/>
  <c r="DF274" i="10"/>
  <c r="DG274" i="10" s="1"/>
  <c r="DH273" i="10"/>
  <c r="DI273" i="10" s="1"/>
  <c r="DF273" i="10"/>
  <c r="DH272" i="10"/>
  <c r="DI272" i="10" s="1"/>
  <c r="DF272" i="10"/>
  <c r="DH271" i="10"/>
  <c r="DI271" i="10" s="1"/>
  <c r="DF271" i="10"/>
  <c r="DG271" i="10" s="1"/>
  <c r="DH270" i="10"/>
  <c r="DI270" i="10" s="1"/>
  <c r="DF270" i="10"/>
  <c r="DG270" i="10" s="1"/>
  <c r="DH269" i="10"/>
  <c r="DI269" i="10" s="1"/>
  <c r="DF269" i="10"/>
  <c r="DG269" i="10" s="1"/>
  <c r="DH268" i="10"/>
  <c r="DI268" i="10" s="1"/>
  <c r="DF268" i="10"/>
  <c r="DG268" i="10" s="1"/>
  <c r="DH267" i="10"/>
  <c r="DI267" i="10" s="1"/>
  <c r="DF267" i="10"/>
  <c r="DH266" i="10"/>
  <c r="DF266" i="10"/>
  <c r="DH265" i="10"/>
  <c r="DF265" i="10"/>
  <c r="DH264" i="10"/>
  <c r="DF264" i="10"/>
  <c r="DH263" i="10"/>
  <c r="DF263" i="10"/>
  <c r="DH262" i="10"/>
  <c r="DI262" i="10" s="1"/>
  <c r="DF262" i="10"/>
  <c r="DG262" i="10" s="1"/>
  <c r="DH261" i="10"/>
  <c r="DI261" i="10" s="1"/>
  <c r="DF261" i="10"/>
  <c r="DH260" i="10"/>
  <c r="DI260" i="10" s="1"/>
  <c r="DF260" i="10"/>
  <c r="DG260" i="10" s="1"/>
  <c r="DH259" i="10"/>
  <c r="DI259" i="10" s="1"/>
  <c r="DF259" i="10"/>
  <c r="DH258" i="10"/>
  <c r="DI258" i="10" s="1"/>
  <c r="DF258" i="10"/>
  <c r="DG258" i="10" s="1"/>
  <c r="DH257" i="10"/>
  <c r="DI257" i="10" s="1"/>
  <c r="DF257" i="10"/>
  <c r="DG257" i="10" s="1"/>
  <c r="DH256" i="10"/>
  <c r="DI256" i="10" s="1"/>
  <c r="DF256" i="10"/>
  <c r="DH255" i="10"/>
  <c r="DF255" i="10"/>
  <c r="DH254" i="10"/>
  <c r="DF254" i="10"/>
  <c r="DH253" i="10"/>
  <c r="DF253" i="10"/>
  <c r="DH252" i="10"/>
  <c r="DF252" i="10"/>
  <c r="DG252" i="10" s="1"/>
  <c r="DH251" i="10"/>
  <c r="DI251" i="10" s="1"/>
  <c r="DF251" i="10"/>
  <c r="DG251" i="10" s="1"/>
  <c r="DH250" i="10"/>
  <c r="DI250" i="10" s="1"/>
  <c r="DF250" i="10"/>
  <c r="DH249" i="10"/>
  <c r="DI249" i="10" s="1"/>
  <c r="DF249" i="10"/>
  <c r="DG249" i="10" s="1"/>
  <c r="DH248" i="10"/>
  <c r="DI248" i="10" s="1"/>
  <c r="DF248" i="10"/>
  <c r="DG248" i="10" s="1"/>
  <c r="DH247" i="10"/>
  <c r="DI247" i="10" s="1"/>
  <c r="DF247" i="10"/>
  <c r="DG247" i="10" s="1"/>
  <c r="DH246" i="10"/>
  <c r="DI246" i="10" s="1"/>
  <c r="DF246" i="10"/>
  <c r="DG246" i="10" s="1"/>
  <c r="DH245" i="10"/>
  <c r="DI245" i="10" s="1"/>
  <c r="DF245" i="10"/>
  <c r="DH244" i="10"/>
  <c r="DF244" i="10"/>
  <c r="DH243" i="10"/>
  <c r="DF243" i="10"/>
  <c r="DH242" i="10"/>
  <c r="DF242" i="10"/>
  <c r="DG242" i="10" s="1"/>
  <c r="DH241" i="10"/>
  <c r="DF241" i="10"/>
  <c r="DH240" i="10"/>
  <c r="DI240" i="10" s="1"/>
  <c r="DF240" i="10"/>
  <c r="DG240" i="10" s="1"/>
  <c r="DH239" i="10"/>
  <c r="DI239" i="10" s="1"/>
  <c r="DF239" i="10"/>
  <c r="DH238" i="10"/>
  <c r="DI238" i="10" s="1"/>
  <c r="DF238" i="10"/>
  <c r="DG238" i="10" s="1"/>
  <c r="DH237" i="10"/>
  <c r="DI237" i="10" s="1"/>
  <c r="DF237" i="10"/>
  <c r="DG237" i="10" s="1"/>
  <c r="DH236" i="10"/>
  <c r="DI236" i="10" s="1"/>
  <c r="DF236" i="10"/>
  <c r="DG236" i="10" s="1"/>
  <c r="DH235" i="10"/>
  <c r="DI235" i="10" s="1"/>
  <c r="DF235" i="10"/>
  <c r="DG235" i="10" s="1"/>
  <c r="DH234" i="10"/>
  <c r="DI234" i="10" s="1"/>
  <c r="DF234" i="10"/>
  <c r="DH233" i="10"/>
  <c r="DF233" i="10"/>
  <c r="DH232" i="10"/>
  <c r="DF232" i="10"/>
  <c r="DH231" i="10"/>
  <c r="DF231" i="10"/>
  <c r="DH230" i="10"/>
  <c r="DF230" i="10"/>
  <c r="DH229" i="10"/>
  <c r="DI229" i="10" s="1"/>
  <c r="DF229" i="10"/>
  <c r="DG229" i="10" s="1"/>
  <c r="DH228" i="10"/>
  <c r="DI228" i="10" s="1"/>
  <c r="DF228" i="10"/>
  <c r="DH227" i="10"/>
  <c r="DI227" i="10" s="1"/>
  <c r="DF227" i="10"/>
  <c r="DG227" i="10" s="1"/>
  <c r="DH226" i="10"/>
  <c r="DI226" i="10" s="1"/>
  <c r="DF226" i="10"/>
  <c r="DG226" i="10" s="1"/>
  <c r="DH225" i="10"/>
  <c r="DI225" i="10" s="1"/>
  <c r="DF225" i="10"/>
  <c r="DG225" i="10" s="1"/>
  <c r="DH224" i="10"/>
  <c r="DI224" i="10" s="1"/>
  <c r="DF224" i="10"/>
  <c r="DG224" i="10" s="1"/>
  <c r="DH223" i="10"/>
  <c r="DI223" i="10" s="1"/>
  <c r="DF223" i="10"/>
  <c r="DH222" i="10"/>
  <c r="DF222" i="10"/>
  <c r="DH221" i="10"/>
  <c r="DF221" i="10"/>
  <c r="DH220" i="10"/>
  <c r="DF220" i="10"/>
  <c r="DG220" i="10" s="1"/>
  <c r="DH219" i="10"/>
  <c r="DF219" i="10"/>
  <c r="DG219" i="10" s="1"/>
  <c r="DH218" i="10"/>
  <c r="DI218" i="10" s="1"/>
  <c r="DF218" i="10"/>
  <c r="DG218" i="10" s="1"/>
  <c r="DH217" i="10"/>
  <c r="DI217" i="10" s="1"/>
  <c r="DF217" i="10"/>
  <c r="DH216" i="10"/>
  <c r="DI216" i="10" s="1"/>
  <c r="DF216" i="10"/>
  <c r="DG216" i="10" s="1"/>
  <c r="DH215" i="10"/>
  <c r="DI215" i="10" s="1"/>
  <c r="DF215" i="10"/>
  <c r="DG215" i="10" s="1"/>
  <c r="DH214" i="10"/>
  <c r="DI214" i="10" s="1"/>
  <c r="DF214" i="10"/>
  <c r="DG214" i="10" s="1"/>
  <c r="DH213" i="10"/>
  <c r="DI213" i="10" s="1"/>
  <c r="DF213" i="10"/>
  <c r="DG213" i="10" s="1"/>
  <c r="DH212" i="10"/>
  <c r="DI212" i="10" s="1"/>
  <c r="DF212" i="10"/>
  <c r="DH211" i="10"/>
  <c r="DF211" i="10"/>
  <c r="DH210" i="10"/>
  <c r="DF210" i="10"/>
  <c r="DH209" i="10"/>
  <c r="DF209" i="10"/>
  <c r="DH208" i="10"/>
  <c r="DF208" i="10"/>
  <c r="DG208" i="10" s="1"/>
  <c r="DH207" i="10"/>
  <c r="DI207" i="10" s="1"/>
  <c r="DF207" i="10"/>
  <c r="DG207" i="10" s="1"/>
  <c r="DH206" i="10"/>
  <c r="DI206" i="10" s="1"/>
  <c r="DF206" i="10"/>
  <c r="DH205" i="10"/>
  <c r="DI205" i="10" s="1"/>
  <c r="DF205" i="10"/>
  <c r="DG205" i="10" s="1"/>
  <c r="DH204" i="10"/>
  <c r="DI204" i="10" s="1"/>
  <c r="DF204" i="10"/>
  <c r="DG204" i="10" s="1"/>
  <c r="DH203" i="10"/>
  <c r="DI203" i="10" s="1"/>
  <c r="DF203" i="10"/>
  <c r="DG203" i="10" s="1"/>
  <c r="DH202" i="10"/>
  <c r="DI202" i="10" s="1"/>
  <c r="DF202" i="10"/>
  <c r="DG202" i="10" s="1"/>
  <c r="DH201" i="10"/>
  <c r="DI201" i="10" s="1"/>
  <c r="DF201" i="10"/>
  <c r="DH200" i="10"/>
  <c r="DF200" i="10"/>
  <c r="DH199" i="10"/>
  <c r="DF199" i="10"/>
  <c r="DH198" i="10"/>
  <c r="DF198" i="10"/>
  <c r="DG198" i="10" s="1"/>
  <c r="DH197" i="10"/>
  <c r="DF197" i="10"/>
  <c r="DG197" i="10" s="1"/>
  <c r="DH196" i="10"/>
  <c r="DI196" i="10" s="1"/>
  <c r="DF196" i="10"/>
  <c r="DG196" i="10" s="1"/>
  <c r="DH195" i="10"/>
  <c r="DI195" i="10" s="1"/>
  <c r="DF195" i="10"/>
  <c r="DH194" i="10"/>
  <c r="DF194" i="10"/>
  <c r="DG194" i="10" s="1"/>
  <c r="DH193" i="10"/>
  <c r="DI193" i="10" s="1"/>
  <c r="DF193" i="10"/>
  <c r="DG193" i="10" s="1"/>
  <c r="DH192" i="10"/>
  <c r="DI192" i="10" s="1"/>
  <c r="DF192" i="10"/>
  <c r="DG192" i="10" s="1"/>
  <c r="DH191" i="10"/>
  <c r="DI191" i="10" s="1"/>
  <c r="DF191" i="10"/>
  <c r="DG191" i="10" s="1"/>
  <c r="DH190" i="10"/>
  <c r="DI190" i="10" s="1"/>
  <c r="DF190" i="10"/>
  <c r="DH189" i="10"/>
  <c r="DF189" i="10"/>
  <c r="DH188" i="10"/>
  <c r="DF188" i="10"/>
  <c r="DH187" i="10"/>
  <c r="DF187" i="10"/>
  <c r="DG187" i="10" s="1"/>
  <c r="DH186" i="10"/>
  <c r="DF186" i="10"/>
  <c r="DG186" i="10" s="1"/>
  <c r="DH185" i="10"/>
  <c r="DI185" i="10" s="1"/>
  <c r="DF185" i="10"/>
  <c r="DG185" i="10" s="1"/>
  <c r="DH184" i="10"/>
  <c r="DI184" i="10" s="1"/>
  <c r="DF184" i="10"/>
  <c r="DF183" i="10"/>
  <c r="DG183" i="10" s="1"/>
  <c r="DF182" i="10"/>
  <c r="DF181" i="10"/>
  <c r="DG181" i="10" s="1"/>
  <c r="DF180" i="10"/>
  <c r="DG180" i="10" s="1"/>
  <c r="DF179" i="10"/>
  <c r="DG179" i="10" s="1"/>
  <c r="DF178" i="10"/>
  <c r="DG178" i="10" s="1"/>
  <c r="DF177" i="10"/>
  <c r="DG177" i="10" s="1"/>
  <c r="DE377" i="10"/>
  <c r="DC377" i="10"/>
  <c r="CZ377" i="10"/>
  <c r="DD375" i="10"/>
  <c r="DB375" i="10"/>
  <c r="DA375" i="10"/>
  <c r="CY375" i="10"/>
  <c r="CX375" i="10"/>
  <c r="DD374" i="10"/>
  <c r="DB374" i="10"/>
  <c r="DA374" i="10"/>
  <c r="DC374" i="10" s="1"/>
  <c r="CY374" i="10"/>
  <c r="CX374" i="10"/>
  <c r="DD373" i="10"/>
  <c r="DE373" i="10" s="1"/>
  <c r="DB373" i="10"/>
  <c r="DA373" i="10"/>
  <c r="DC373" i="10" s="1"/>
  <c r="CY373" i="10"/>
  <c r="CX373" i="10"/>
  <c r="DD372" i="10"/>
  <c r="DE372" i="10" s="1"/>
  <c r="DB372" i="10"/>
  <c r="DA372" i="10"/>
  <c r="DC372" i="10" s="1"/>
  <c r="CY372" i="10"/>
  <c r="CX372" i="10"/>
  <c r="DD371" i="10"/>
  <c r="DE371" i="10" s="1"/>
  <c r="DB371" i="10"/>
  <c r="DA371" i="10"/>
  <c r="CY371" i="10"/>
  <c r="CX371" i="10"/>
  <c r="DD370" i="10"/>
  <c r="DB370" i="10"/>
  <c r="DA370" i="10"/>
  <c r="DC370" i="10" s="1"/>
  <c r="CY370" i="10"/>
  <c r="CX370" i="10"/>
  <c r="DD369" i="10"/>
  <c r="DE369" i="10" s="1"/>
  <c r="DB369" i="10"/>
  <c r="DA369" i="10"/>
  <c r="DC369" i="10" s="1"/>
  <c r="CY369" i="10"/>
  <c r="CX369" i="10"/>
  <c r="DD368" i="10"/>
  <c r="DE368" i="10" s="1"/>
  <c r="DB368" i="10"/>
  <c r="DA368" i="10"/>
  <c r="CY368" i="10"/>
  <c r="CX368" i="10"/>
  <c r="DD367" i="10"/>
  <c r="DE367" i="10" s="1"/>
  <c r="DB367" i="10"/>
  <c r="DA367" i="10"/>
  <c r="DC367" i="10" s="1"/>
  <c r="CY367" i="10"/>
  <c r="CX367" i="10"/>
  <c r="DD366" i="10"/>
  <c r="DB366" i="10"/>
  <c r="DA366" i="10"/>
  <c r="CY366" i="10"/>
  <c r="CX366" i="10"/>
  <c r="DD365" i="10"/>
  <c r="DB365" i="10"/>
  <c r="DA365" i="10"/>
  <c r="DC365" i="10" s="1"/>
  <c r="CY365" i="10"/>
  <c r="CX365" i="10"/>
  <c r="DD364" i="10"/>
  <c r="DB364" i="10"/>
  <c r="DA364" i="10"/>
  <c r="CY364" i="10"/>
  <c r="CX364" i="10"/>
  <c r="DD363" i="10"/>
  <c r="DE363" i="10" s="1"/>
  <c r="DB363" i="10"/>
  <c r="DA363" i="10"/>
  <c r="CY363" i="10"/>
  <c r="CX363" i="10"/>
  <c r="DD362" i="10"/>
  <c r="DB362" i="10"/>
  <c r="DA362" i="10"/>
  <c r="CY362" i="10"/>
  <c r="CX362" i="10"/>
  <c r="CZ362" i="10" s="1"/>
  <c r="DD361" i="10"/>
  <c r="DB361" i="10"/>
  <c r="DA361" i="10"/>
  <c r="CY361" i="10"/>
  <c r="CX361" i="10"/>
  <c r="DD360" i="10"/>
  <c r="DE360" i="10" s="1"/>
  <c r="DB360" i="10"/>
  <c r="DC360" i="10" s="1"/>
  <c r="DA360" i="10"/>
  <c r="CY360" i="10"/>
  <c r="CX360" i="10"/>
  <c r="DD359" i="10"/>
  <c r="DE359" i="10" s="1"/>
  <c r="DB359" i="10"/>
  <c r="DA359" i="10"/>
  <c r="DC359" i="10" s="1"/>
  <c r="CY359" i="10"/>
  <c r="CZ359" i="10" s="1"/>
  <c r="CX359" i="10"/>
  <c r="DD358" i="10"/>
  <c r="DE358" i="10" s="1"/>
  <c r="DB358" i="10"/>
  <c r="DA358" i="10"/>
  <c r="CY358" i="10"/>
  <c r="CX358" i="10"/>
  <c r="DD357" i="10"/>
  <c r="DB357" i="10"/>
  <c r="DA357" i="10"/>
  <c r="CY357" i="10"/>
  <c r="CZ357" i="10" s="1"/>
  <c r="CX357" i="10"/>
  <c r="DD356" i="10"/>
  <c r="DE356" i="10" s="1"/>
  <c r="DB356" i="10"/>
  <c r="DA356" i="10"/>
  <c r="CY356" i="10"/>
  <c r="CZ356" i="10" s="1"/>
  <c r="CX356" i="10"/>
  <c r="DD355" i="10"/>
  <c r="DE355" i="10" s="1"/>
  <c r="DB355" i="10"/>
  <c r="DA355" i="10"/>
  <c r="DC355" i="10" s="1"/>
  <c r="CY355" i="10"/>
  <c r="CX355" i="10"/>
  <c r="CZ355" i="10" s="1"/>
  <c r="DD354" i="10"/>
  <c r="DE354" i="10" s="1"/>
  <c r="DB354" i="10"/>
  <c r="DA354" i="10"/>
  <c r="CY354" i="10"/>
  <c r="CZ354" i="10" s="1"/>
  <c r="CX354" i="10"/>
  <c r="DD353" i="10"/>
  <c r="DB353" i="10"/>
  <c r="DA353" i="10"/>
  <c r="CY353" i="10"/>
  <c r="CX353" i="10"/>
  <c r="DD352" i="10"/>
  <c r="DB352" i="10"/>
  <c r="DA352" i="10"/>
  <c r="DC352" i="10" s="1"/>
  <c r="CY352" i="10"/>
  <c r="CZ352" i="10" s="1"/>
  <c r="CX352" i="10"/>
  <c r="DD351" i="10"/>
  <c r="DE351" i="10" s="1"/>
  <c r="DB351" i="10"/>
  <c r="DA351" i="10"/>
  <c r="DC351" i="10" s="1"/>
  <c r="CY351" i="10"/>
  <c r="CX351" i="10"/>
  <c r="DD350" i="10"/>
  <c r="DE350" i="10" s="1"/>
  <c r="DB350" i="10"/>
  <c r="DA350" i="10"/>
  <c r="DC350" i="10" s="1"/>
  <c r="CY350" i="10"/>
  <c r="CX350" i="10"/>
  <c r="DD349" i="10"/>
  <c r="DB349" i="10"/>
  <c r="DA349" i="10"/>
  <c r="CY349" i="10"/>
  <c r="CX349" i="10"/>
  <c r="DD348" i="10"/>
  <c r="DB348" i="10"/>
  <c r="DA348" i="10"/>
  <c r="DC348" i="10" s="1"/>
  <c r="CY348" i="10"/>
  <c r="CX348" i="10"/>
  <c r="CZ348" i="10" s="1"/>
  <c r="DD347" i="10"/>
  <c r="DE347" i="10" s="1"/>
  <c r="DB347" i="10"/>
  <c r="DA347" i="10"/>
  <c r="DC347" i="10" s="1"/>
  <c r="CY347" i="10"/>
  <c r="CX347" i="10"/>
  <c r="CZ347" i="10" s="1"/>
  <c r="DD346" i="10"/>
  <c r="DE346" i="10" s="1"/>
  <c r="DB346" i="10"/>
  <c r="DA346" i="10"/>
  <c r="CY346" i="10"/>
  <c r="CX346" i="10"/>
  <c r="DD345" i="10"/>
  <c r="DB345" i="10"/>
  <c r="DA345" i="10"/>
  <c r="DC345" i="10" s="1"/>
  <c r="CY345" i="10"/>
  <c r="CZ345" i="10" s="1"/>
  <c r="CX345" i="10"/>
  <c r="DD344" i="10"/>
  <c r="DB344" i="10"/>
  <c r="DA344" i="10"/>
  <c r="CY344" i="10"/>
  <c r="CX344" i="10"/>
  <c r="DD343" i="10"/>
  <c r="DB343" i="10"/>
  <c r="DA343" i="10"/>
  <c r="DC343" i="10" s="1"/>
  <c r="CY343" i="10"/>
  <c r="CX343" i="10"/>
  <c r="DD342" i="10"/>
  <c r="DB342" i="10"/>
  <c r="DA342" i="10"/>
  <c r="CY342" i="10"/>
  <c r="CX342" i="10"/>
  <c r="DD341" i="10"/>
  <c r="DE341" i="10" s="1"/>
  <c r="DB341" i="10"/>
  <c r="DA341" i="10"/>
  <c r="CY341" i="10"/>
  <c r="CX341" i="10"/>
  <c r="DD340" i="10"/>
  <c r="DE340" i="10" s="1"/>
  <c r="DB340" i="10"/>
  <c r="DA340" i="10"/>
  <c r="CY340" i="10"/>
  <c r="CX340" i="10"/>
  <c r="DD339" i="10"/>
  <c r="DB339" i="10"/>
  <c r="DC339" i="10" s="1"/>
  <c r="DA339" i="10"/>
  <c r="CY339" i="10"/>
  <c r="CX339" i="10"/>
  <c r="DD338" i="10"/>
  <c r="DE338" i="10" s="1"/>
  <c r="DB338" i="10"/>
  <c r="DC338" i="10" s="1"/>
  <c r="DA338" i="10"/>
  <c r="CY338" i="10"/>
  <c r="CX338" i="10"/>
  <c r="DD337" i="10"/>
  <c r="DE337" i="10" s="1"/>
  <c r="DB337" i="10"/>
  <c r="DA337" i="10"/>
  <c r="CY337" i="10"/>
  <c r="CZ337" i="10" s="1"/>
  <c r="CX337" i="10"/>
  <c r="DD336" i="10"/>
  <c r="DE336" i="10" s="1"/>
  <c r="DB336" i="10"/>
  <c r="DA336" i="10"/>
  <c r="CY336" i="10"/>
  <c r="CX336" i="10"/>
  <c r="DD335" i="10"/>
  <c r="DB335" i="10"/>
  <c r="DA335" i="10"/>
  <c r="CY335" i="10"/>
  <c r="CZ335" i="10" s="1"/>
  <c r="CX335" i="10"/>
  <c r="DD334" i="10"/>
  <c r="DE334" i="10" s="1"/>
  <c r="DB334" i="10"/>
  <c r="DA334" i="10"/>
  <c r="CY334" i="10"/>
  <c r="CZ334" i="10" s="1"/>
  <c r="CX334" i="10"/>
  <c r="DD333" i="10"/>
  <c r="DE333" i="10" s="1"/>
  <c r="DB333" i="10"/>
  <c r="DA333" i="10"/>
  <c r="DC333" i="10" s="1"/>
  <c r="CY333" i="10"/>
  <c r="CX333" i="10"/>
  <c r="CZ333" i="10" s="1"/>
  <c r="DD332" i="10"/>
  <c r="DE332" i="10" s="1"/>
  <c r="DB332" i="10"/>
  <c r="DA332" i="10"/>
  <c r="CY332" i="10"/>
  <c r="CZ332" i="10" s="1"/>
  <c r="CX332" i="10"/>
  <c r="DD331" i="10"/>
  <c r="DB331" i="10"/>
  <c r="DA331" i="10"/>
  <c r="CY331" i="10"/>
  <c r="CX331" i="10"/>
  <c r="DD330" i="10"/>
  <c r="DB330" i="10"/>
  <c r="DA330" i="10"/>
  <c r="CY330" i="10"/>
  <c r="CX330" i="10"/>
  <c r="DD329" i="10"/>
  <c r="DE329" i="10" s="1"/>
  <c r="DB329" i="10"/>
  <c r="DA329" i="10"/>
  <c r="DC329" i="10" s="1"/>
  <c r="CY329" i="10"/>
  <c r="CX329" i="10"/>
  <c r="CZ329" i="10" s="1"/>
  <c r="DD328" i="10"/>
  <c r="DE328" i="10" s="1"/>
  <c r="DB328" i="10"/>
  <c r="DA328" i="10"/>
  <c r="DC328" i="10" s="1"/>
  <c r="CY328" i="10"/>
  <c r="CX328" i="10"/>
  <c r="DD327" i="10"/>
  <c r="DE327" i="10" s="1"/>
  <c r="DB327" i="10"/>
  <c r="DC327" i="10" s="1"/>
  <c r="DA327" i="10"/>
  <c r="CY327" i="10"/>
  <c r="CX327" i="10"/>
  <c r="DD326" i="10"/>
  <c r="DB326" i="10"/>
  <c r="DA326" i="10"/>
  <c r="DC326" i="10" s="1"/>
  <c r="CY326" i="10"/>
  <c r="CX326" i="10"/>
  <c r="DD325" i="10"/>
  <c r="DE325" i="10" s="1"/>
  <c r="DB325" i="10"/>
  <c r="DA325" i="10"/>
  <c r="DC325" i="10" s="1"/>
  <c r="CY325" i="10"/>
  <c r="CX325" i="10"/>
  <c r="CZ325" i="10" s="1"/>
  <c r="DD324" i="10"/>
  <c r="DE324" i="10" s="1"/>
  <c r="DB324" i="10"/>
  <c r="DA324" i="10"/>
  <c r="CY324" i="10"/>
  <c r="CX324" i="10"/>
  <c r="DD323" i="10"/>
  <c r="DE323" i="10" s="1"/>
  <c r="DB323" i="10"/>
  <c r="DA323" i="10"/>
  <c r="DC323" i="10" s="1"/>
  <c r="CY323" i="10"/>
  <c r="CX323" i="10"/>
  <c r="DD322" i="10"/>
  <c r="DB322" i="10"/>
  <c r="DA322" i="10"/>
  <c r="CY322" i="10"/>
  <c r="CX322" i="10"/>
  <c r="DD321" i="10"/>
  <c r="DB321" i="10"/>
  <c r="DA321" i="10"/>
  <c r="DC321" i="10" s="1"/>
  <c r="CY321" i="10"/>
  <c r="CX321" i="10"/>
  <c r="DD320" i="10"/>
  <c r="DB320" i="10"/>
  <c r="DA320" i="10"/>
  <c r="CY320" i="10"/>
  <c r="CX320" i="10"/>
  <c r="DD319" i="10"/>
  <c r="DE319" i="10" s="1"/>
  <c r="DB319" i="10"/>
  <c r="DA319" i="10"/>
  <c r="CY319" i="10"/>
  <c r="CX319" i="10"/>
  <c r="DD318" i="10"/>
  <c r="DB318" i="10"/>
  <c r="DA318" i="10"/>
  <c r="CY318" i="10"/>
  <c r="CX318" i="10"/>
  <c r="DD317" i="10"/>
  <c r="DB317" i="10"/>
  <c r="DC317" i="10" s="1"/>
  <c r="DA317" i="10"/>
  <c r="CY317" i="10"/>
  <c r="CX317" i="10"/>
  <c r="DD316" i="10"/>
  <c r="DE316" i="10" s="1"/>
  <c r="DB316" i="10"/>
  <c r="DA316" i="10"/>
  <c r="CY316" i="10"/>
  <c r="CZ316" i="10" s="1"/>
  <c r="CX316" i="10"/>
  <c r="DD315" i="10"/>
  <c r="DE315" i="10" s="1"/>
  <c r="DB315" i="10"/>
  <c r="DA315" i="10"/>
  <c r="DC315" i="10" s="1"/>
  <c r="CY315" i="10"/>
  <c r="CZ315" i="10" s="1"/>
  <c r="CX315" i="10"/>
  <c r="DD314" i="10"/>
  <c r="DE314" i="10" s="1"/>
  <c r="DB314" i="10"/>
  <c r="DC314" i="10" s="1"/>
  <c r="DA314" i="10"/>
  <c r="CY314" i="10"/>
  <c r="CX314" i="10"/>
  <c r="DD313" i="10"/>
  <c r="DB313" i="10"/>
  <c r="DA313" i="10"/>
  <c r="CY313" i="10"/>
  <c r="CX313" i="10"/>
  <c r="DD312" i="10"/>
  <c r="DE312" i="10" s="1"/>
  <c r="DB312" i="10"/>
  <c r="DA312" i="10"/>
  <c r="CY312" i="10"/>
  <c r="CX312" i="10"/>
  <c r="DD311" i="10"/>
  <c r="DE311" i="10" s="1"/>
  <c r="DB311" i="10"/>
  <c r="DA311" i="10"/>
  <c r="CY311" i="10"/>
  <c r="CX311" i="10"/>
  <c r="CZ311" i="10" s="1"/>
  <c r="DD310" i="10"/>
  <c r="DE310" i="10" s="1"/>
  <c r="DB310" i="10"/>
  <c r="DA310" i="10"/>
  <c r="DC310" i="10" s="1"/>
  <c r="CY310" i="10"/>
  <c r="CX310" i="10"/>
  <c r="DD309" i="10"/>
  <c r="DB309" i="10"/>
  <c r="DA309" i="10"/>
  <c r="CY309" i="10"/>
  <c r="CX309" i="10"/>
  <c r="DD308" i="10"/>
  <c r="DB308" i="10"/>
  <c r="DA308" i="10"/>
  <c r="DC308" i="10" s="1"/>
  <c r="CY308" i="10"/>
  <c r="CX308" i="10"/>
  <c r="DD307" i="10"/>
  <c r="DE307" i="10" s="1"/>
  <c r="DB307" i="10"/>
  <c r="DA307" i="10"/>
  <c r="DC307" i="10" s="1"/>
  <c r="CY307" i="10"/>
  <c r="CX307" i="10"/>
  <c r="CZ307" i="10" s="1"/>
  <c r="DD306" i="10"/>
  <c r="DE306" i="10" s="1"/>
  <c r="DB306" i="10"/>
  <c r="DA306" i="10"/>
  <c r="DC306" i="10" s="1"/>
  <c r="CY306" i="10"/>
  <c r="CX306" i="10"/>
  <c r="DD305" i="10"/>
  <c r="DE305" i="10" s="1"/>
  <c r="DB305" i="10"/>
  <c r="DC305" i="10" s="1"/>
  <c r="DA305" i="10"/>
  <c r="CY305" i="10"/>
  <c r="CX305" i="10"/>
  <c r="DD304" i="10"/>
  <c r="DB304" i="10"/>
  <c r="DA304" i="10"/>
  <c r="CY304" i="10"/>
  <c r="CX304" i="10"/>
  <c r="DD303" i="10"/>
  <c r="DE303" i="10" s="1"/>
  <c r="DB303" i="10"/>
  <c r="DA303" i="10"/>
  <c r="CY303" i="10"/>
  <c r="CX303" i="10"/>
  <c r="CZ303" i="10" s="1"/>
  <c r="DD302" i="10"/>
  <c r="DE302" i="10" s="1"/>
  <c r="DB302" i="10"/>
  <c r="DA302" i="10"/>
  <c r="CY302" i="10"/>
  <c r="CX302" i="10"/>
  <c r="DD301" i="10"/>
  <c r="DE301" i="10" s="1"/>
  <c r="DB301" i="10"/>
  <c r="DA301" i="10"/>
  <c r="DC301" i="10" s="1"/>
  <c r="CY301" i="10"/>
  <c r="CZ301" i="10" s="1"/>
  <c r="CX301" i="10"/>
  <c r="DD300" i="10"/>
  <c r="DB300" i="10"/>
  <c r="DA300" i="10"/>
  <c r="CY300" i="10"/>
  <c r="CX300" i="10"/>
  <c r="CZ300" i="10" s="1"/>
  <c r="DD299" i="10"/>
  <c r="DB299" i="10"/>
  <c r="DA299" i="10"/>
  <c r="DC299" i="10" s="1"/>
  <c r="CY299" i="10"/>
  <c r="CX299" i="10"/>
  <c r="DD298" i="10"/>
  <c r="DB298" i="10"/>
  <c r="DA298" i="10"/>
  <c r="CY298" i="10"/>
  <c r="CX298" i="10"/>
  <c r="DD297" i="10"/>
  <c r="DE297" i="10" s="1"/>
  <c r="DB297" i="10"/>
  <c r="DA297" i="10"/>
  <c r="CY297" i="10"/>
  <c r="CX297" i="10"/>
  <c r="DD296" i="10"/>
  <c r="DB296" i="10"/>
  <c r="DA296" i="10"/>
  <c r="CY296" i="10"/>
  <c r="CX296" i="10"/>
  <c r="DD295" i="10"/>
  <c r="DB295" i="10"/>
  <c r="DC295" i="10" s="1"/>
  <c r="DA295" i="10"/>
  <c r="CY295" i="10"/>
  <c r="CX295" i="10"/>
  <c r="DD294" i="10"/>
  <c r="DE294" i="10" s="1"/>
  <c r="DB294" i="10"/>
  <c r="DC294" i="10" s="1"/>
  <c r="DA294" i="10"/>
  <c r="CY294" i="10"/>
  <c r="CX294" i="10"/>
  <c r="DD293" i="10"/>
  <c r="DE293" i="10" s="1"/>
  <c r="DB293" i="10"/>
  <c r="DA293" i="10"/>
  <c r="DC293" i="10" s="1"/>
  <c r="CY293" i="10"/>
  <c r="CZ293" i="10" s="1"/>
  <c r="CX293" i="10"/>
  <c r="DD292" i="10"/>
  <c r="DE292" i="10" s="1"/>
  <c r="DB292" i="10"/>
  <c r="DC292" i="10" s="1"/>
  <c r="DA292" i="10"/>
  <c r="CY292" i="10"/>
  <c r="CX292" i="10"/>
  <c r="DD291" i="10"/>
  <c r="DB291" i="10"/>
  <c r="DA291" i="10"/>
  <c r="CY291" i="10"/>
  <c r="CZ291" i="10" s="1"/>
  <c r="CX291" i="10"/>
  <c r="DD290" i="10"/>
  <c r="DB290" i="10"/>
  <c r="DA290" i="10"/>
  <c r="CY290" i="10"/>
  <c r="CZ290" i="10" s="1"/>
  <c r="CX290" i="10"/>
  <c r="DD289" i="10"/>
  <c r="DE289" i="10" s="1"/>
  <c r="DB289" i="10"/>
  <c r="DA289" i="10"/>
  <c r="DC289" i="10" s="1"/>
  <c r="CY289" i="10"/>
  <c r="CX289" i="10"/>
  <c r="CZ289" i="10" s="1"/>
  <c r="DD288" i="10"/>
  <c r="DE288" i="10" s="1"/>
  <c r="DB288" i="10"/>
  <c r="DA288" i="10"/>
  <c r="DC288" i="10" s="1"/>
  <c r="CY288" i="10"/>
  <c r="CZ288" i="10" s="1"/>
  <c r="CX288" i="10"/>
  <c r="DD287" i="10"/>
  <c r="DB287" i="10"/>
  <c r="DA287" i="10"/>
  <c r="CY287" i="10"/>
  <c r="CX287" i="10"/>
  <c r="DD286" i="10"/>
  <c r="DE286" i="10" s="1"/>
  <c r="DB286" i="10"/>
  <c r="DA286" i="10"/>
  <c r="DC286" i="10" s="1"/>
  <c r="CY286" i="10"/>
  <c r="CX286" i="10"/>
  <c r="DD285" i="10"/>
  <c r="DE285" i="10" s="1"/>
  <c r="DB285" i="10"/>
  <c r="DA285" i="10"/>
  <c r="CY285" i="10"/>
  <c r="CX285" i="10"/>
  <c r="CZ285" i="10" s="1"/>
  <c r="DD284" i="10"/>
  <c r="DE284" i="10" s="1"/>
  <c r="DB284" i="10"/>
  <c r="DA284" i="10"/>
  <c r="DC284" i="10" s="1"/>
  <c r="CY284" i="10"/>
  <c r="CX284" i="10"/>
  <c r="DD283" i="10"/>
  <c r="DE283" i="10" s="1"/>
  <c r="DB283" i="10"/>
  <c r="DC283" i="10" s="1"/>
  <c r="DA283" i="10"/>
  <c r="CY283" i="10"/>
  <c r="CX283" i="10"/>
  <c r="DD282" i="10"/>
  <c r="DB282" i="10"/>
  <c r="DA282" i="10"/>
  <c r="DC282" i="10" s="1"/>
  <c r="CY282" i="10"/>
  <c r="CX282" i="10"/>
  <c r="DD281" i="10"/>
  <c r="DE281" i="10" s="1"/>
  <c r="DB281" i="10"/>
  <c r="DA281" i="10"/>
  <c r="DC281" i="10" s="1"/>
  <c r="CY281" i="10"/>
  <c r="CX281" i="10"/>
  <c r="DD280" i="10"/>
  <c r="DE280" i="10" s="1"/>
  <c r="DB280" i="10"/>
  <c r="DA280" i="10"/>
  <c r="CY280" i="10"/>
  <c r="CX280" i="10"/>
  <c r="DD279" i="10"/>
  <c r="DE279" i="10" s="1"/>
  <c r="DB279" i="10"/>
  <c r="DA279" i="10"/>
  <c r="CY279" i="10"/>
  <c r="CX279" i="10"/>
  <c r="DD278" i="10"/>
  <c r="DB278" i="10"/>
  <c r="DA278" i="10"/>
  <c r="CY278" i="10"/>
  <c r="CX278" i="10"/>
  <c r="DD277" i="10"/>
  <c r="DB277" i="10"/>
  <c r="DA277" i="10"/>
  <c r="DC277" i="10" s="1"/>
  <c r="CY277" i="10"/>
  <c r="CX277" i="10"/>
  <c r="DD276" i="10"/>
  <c r="DB276" i="10"/>
  <c r="DA276" i="10"/>
  <c r="CY276" i="10"/>
  <c r="CX276" i="10"/>
  <c r="DD275" i="10"/>
  <c r="DB275" i="10"/>
  <c r="DA275" i="10"/>
  <c r="CY275" i="10"/>
  <c r="CX275" i="10"/>
  <c r="DD274" i="10"/>
  <c r="DB274" i="10"/>
  <c r="DA274" i="10"/>
  <c r="CY274" i="10"/>
  <c r="CX274" i="10"/>
  <c r="DD273" i="10"/>
  <c r="DB273" i="10"/>
  <c r="DA273" i="10"/>
  <c r="CY273" i="10"/>
  <c r="CX273" i="10"/>
  <c r="DD272" i="10"/>
  <c r="DE272" i="10" s="1"/>
  <c r="DB272" i="10"/>
  <c r="DC272" i="10" s="1"/>
  <c r="DA272" i="10"/>
  <c r="CY272" i="10"/>
  <c r="CX272" i="10"/>
  <c r="DD271" i="10"/>
  <c r="DE271" i="10" s="1"/>
  <c r="DB271" i="10"/>
  <c r="DA271" i="10"/>
  <c r="CY271" i="10"/>
  <c r="CX271" i="10"/>
  <c r="DD270" i="10"/>
  <c r="DE270" i="10" s="1"/>
  <c r="DB270" i="10"/>
  <c r="DC270" i="10" s="1"/>
  <c r="DA270" i="10"/>
  <c r="CY270" i="10"/>
  <c r="CX270" i="10"/>
  <c r="DD269" i="10"/>
  <c r="DB269" i="10"/>
  <c r="DA269" i="10"/>
  <c r="CY269" i="10"/>
  <c r="CX269" i="10"/>
  <c r="DD268" i="10"/>
  <c r="DB268" i="10"/>
  <c r="DA268" i="10"/>
  <c r="CY268" i="10"/>
  <c r="CZ268" i="10" s="1"/>
  <c r="CX268" i="10"/>
  <c r="DD267" i="10"/>
  <c r="DE267" i="10" s="1"/>
  <c r="DB267" i="10"/>
  <c r="DA267" i="10"/>
  <c r="DC267" i="10" s="1"/>
  <c r="CY267" i="10"/>
  <c r="CX267" i="10"/>
  <c r="CZ267" i="10" s="1"/>
  <c r="DD266" i="10"/>
  <c r="DE266" i="10" s="1"/>
  <c r="DB266" i="10"/>
  <c r="DA266" i="10"/>
  <c r="DC266" i="10" s="1"/>
  <c r="CY266" i="10"/>
  <c r="CX266" i="10"/>
  <c r="DD265" i="10"/>
  <c r="DB265" i="10"/>
  <c r="DA265" i="10"/>
  <c r="CY265" i="10"/>
  <c r="CX265" i="10"/>
  <c r="DD264" i="10"/>
  <c r="DE264" i="10" s="1"/>
  <c r="DB264" i="10"/>
  <c r="DA264" i="10"/>
  <c r="DC264" i="10" s="1"/>
  <c r="CY264" i="10"/>
  <c r="CZ264" i="10" s="1"/>
  <c r="CX264" i="10"/>
  <c r="DD263" i="10"/>
  <c r="DE263" i="10" s="1"/>
  <c r="DB263" i="10"/>
  <c r="DA263" i="10"/>
  <c r="DC263" i="10" s="1"/>
  <c r="CY263" i="10"/>
  <c r="CX263" i="10"/>
  <c r="CZ263" i="10" s="1"/>
  <c r="DD262" i="10"/>
  <c r="DE262" i="10" s="1"/>
  <c r="DB262" i="10"/>
  <c r="DA262" i="10"/>
  <c r="DC262" i="10" s="1"/>
  <c r="CY262" i="10"/>
  <c r="CX262" i="10"/>
  <c r="DD261" i="10"/>
  <c r="DB261" i="10"/>
  <c r="DA261" i="10"/>
  <c r="CY261" i="10"/>
  <c r="CX261" i="10"/>
  <c r="DD260" i="10"/>
  <c r="DB260" i="10"/>
  <c r="DA260" i="10"/>
  <c r="CY260" i="10"/>
  <c r="CX260" i="10"/>
  <c r="CZ260" i="10" s="1"/>
  <c r="DD259" i="10"/>
  <c r="DE259" i="10" s="1"/>
  <c r="DB259" i="10"/>
  <c r="DA259" i="10"/>
  <c r="DC259" i="10" s="1"/>
  <c r="CY259" i="10"/>
  <c r="CX259" i="10"/>
  <c r="CZ259" i="10" s="1"/>
  <c r="DD258" i="10"/>
  <c r="DB258" i="10"/>
  <c r="DA258" i="10"/>
  <c r="CY258" i="10"/>
  <c r="CX258" i="10"/>
  <c r="DD257" i="10"/>
  <c r="DE257" i="10" s="1"/>
  <c r="DB257" i="10"/>
  <c r="DA257" i="10"/>
  <c r="CY257" i="10"/>
  <c r="CZ257" i="10" s="1"/>
  <c r="CX257" i="10"/>
  <c r="DD256" i="10"/>
  <c r="DB256" i="10"/>
  <c r="DA256" i="10"/>
  <c r="CY256" i="10"/>
  <c r="CX256" i="10"/>
  <c r="CZ256" i="10" s="1"/>
  <c r="DD255" i="10"/>
  <c r="DB255" i="10"/>
  <c r="DA255" i="10"/>
  <c r="CY255" i="10"/>
  <c r="CX255" i="10"/>
  <c r="DD254" i="10"/>
  <c r="DB254" i="10"/>
  <c r="DA254" i="10"/>
  <c r="CY254" i="10"/>
  <c r="CX254" i="10"/>
  <c r="DD253" i="10"/>
  <c r="DE253" i="10" s="1"/>
  <c r="DB253" i="10"/>
  <c r="DA253" i="10"/>
  <c r="CY253" i="10"/>
  <c r="CX253" i="10"/>
  <c r="DD252" i="10"/>
  <c r="DB252" i="10"/>
  <c r="DA252" i="10"/>
  <c r="CY252" i="10"/>
  <c r="CX252" i="10"/>
  <c r="DD251" i="10"/>
  <c r="DB251" i="10"/>
  <c r="DA251" i="10"/>
  <c r="CY251" i="10"/>
  <c r="CX251" i="10"/>
  <c r="DD250" i="10"/>
  <c r="DE250" i="10" s="1"/>
  <c r="DB250" i="10"/>
  <c r="DC250" i="10" s="1"/>
  <c r="DA250" i="10"/>
  <c r="CY250" i="10"/>
  <c r="CX250" i="10"/>
  <c r="DD249" i="10"/>
  <c r="DB249" i="10"/>
  <c r="DA249" i="10"/>
  <c r="DC249" i="10" s="1"/>
  <c r="CY249" i="10"/>
  <c r="CZ249" i="10" s="1"/>
  <c r="CX249" i="10"/>
  <c r="DD248" i="10"/>
  <c r="DE248" i="10" s="1"/>
  <c r="DB248" i="10"/>
  <c r="DA248" i="10"/>
  <c r="CY248" i="10"/>
  <c r="CX248" i="10"/>
  <c r="DD247" i="10"/>
  <c r="DB247" i="10"/>
  <c r="DA247" i="10"/>
  <c r="CY247" i="10"/>
  <c r="CX247" i="10"/>
  <c r="DD246" i="10"/>
  <c r="DE246" i="10" s="1"/>
  <c r="DB246" i="10"/>
  <c r="DA246" i="10"/>
  <c r="CY246" i="10"/>
  <c r="CZ246" i="10" s="1"/>
  <c r="CX246" i="10"/>
  <c r="DD245" i="10"/>
  <c r="DE245" i="10" s="1"/>
  <c r="DB245" i="10"/>
  <c r="DA245" i="10"/>
  <c r="DC245" i="10" s="1"/>
  <c r="CY245" i="10"/>
  <c r="CX245" i="10"/>
  <c r="DD244" i="10"/>
  <c r="DE244" i="10" s="1"/>
  <c r="DB244" i="10"/>
  <c r="DA244" i="10"/>
  <c r="DC244" i="10" s="1"/>
  <c r="CY244" i="10"/>
  <c r="CZ244" i="10" s="1"/>
  <c r="CX244" i="10"/>
  <c r="DD243" i="10"/>
  <c r="DB243" i="10"/>
  <c r="DA243" i="10"/>
  <c r="CY243" i="10"/>
  <c r="CX243" i="10"/>
  <c r="DD242" i="10"/>
  <c r="DE242" i="10" s="1"/>
  <c r="DB242" i="10"/>
  <c r="DA242" i="10"/>
  <c r="DC242" i="10" s="1"/>
  <c r="CY242" i="10"/>
  <c r="CX242" i="10"/>
  <c r="DD241" i="10"/>
  <c r="DE241" i="10" s="1"/>
  <c r="DB241" i="10"/>
  <c r="DA241" i="10"/>
  <c r="DC241" i="10" s="1"/>
  <c r="CY241" i="10"/>
  <c r="CX241" i="10"/>
  <c r="CZ241" i="10" s="1"/>
  <c r="DD240" i="10"/>
  <c r="DE240" i="10" s="1"/>
  <c r="DB240" i="10"/>
  <c r="DA240" i="10"/>
  <c r="DC240" i="10" s="1"/>
  <c r="CY240" i="10"/>
  <c r="CX240" i="10"/>
  <c r="DD239" i="10"/>
  <c r="DB239" i="10"/>
  <c r="DA239" i="10"/>
  <c r="CY239" i="10"/>
  <c r="CX239" i="10"/>
  <c r="DD238" i="10"/>
  <c r="DB238" i="10"/>
  <c r="DA238" i="10"/>
  <c r="DC238" i="10" s="1"/>
  <c r="CY238" i="10"/>
  <c r="CX238" i="10"/>
  <c r="CZ238" i="10" s="1"/>
  <c r="DD237" i="10"/>
  <c r="DE237" i="10" s="1"/>
  <c r="DB237" i="10"/>
  <c r="DA237" i="10"/>
  <c r="DC237" i="10" s="1"/>
  <c r="CY237" i="10"/>
  <c r="CX237" i="10"/>
  <c r="CZ237" i="10" s="1"/>
  <c r="DD236" i="10"/>
  <c r="DE236" i="10" s="1"/>
  <c r="DB236" i="10"/>
  <c r="DA236" i="10"/>
  <c r="CY236" i="10"/>
  <c r="CX236" i="10"/>
  <c r="DD235" i="10"/>
  <c r="DE235" i="10" s="1"/>
  <c r="DB235" i="10"/>
  <c r="DA235" i="10"/>
  <c r="DC235" i="10" s="1"/>
  <c r="CY235" i="10"/>
  <c r="CX235" i="10"/>
  <c r="DD234" i="10"/>
  <c r="DB234" i="10"/>
  <c r="DA234" i="10"/>
  <c r="CY234" i="10"/>
  <c r="CX234" i="10"/>
  <c r="CZ234" i="10" s="1"/>
  <c r="DD233" i="10"/>
  <c r="DB233" i="10"/>
  <c r="DA233" i="10"/>
  <c r="DC233" i="10" s="1"/>
  <c r="CY233" i="10"/>
  <c r="CX233" i="10"/>
  <c r="DD232" i="10"/>
  <c r="DB232" i="10"/>
  <c r="DA232" i="10"/>
  <c r="CY232" i="10"/>
  <c r="CX232" i="10"/>
  <c r="DD231" i="10"/>
  <c r="DE231" i="10" s="1"/>
  <c r="DB231" i="10"/>
  <c r="DA231" i="10"/>
  <c r="CY231" i="10"/>
  <c r="CX231" i="10"/>
  <c r="DD230" i="10"/>
  <c r="DE230" i="10" s="1"/>
  <c r="DB230" i="10"/>
  <c r="DA230" i="10"/>
  <c r="CY230" i="10"/>
  <c r="CX230" i="10"/>
  <c r="DD229" i="10"/>
  <c r="DB229" i="10"/>
  <c r="DC229" i="10" s="1"/>
  <c r="DA229" i="10"/>
  <c r="CY229" i="10"/>
  <c r="CX229" i="10"/>
  <c r="DD228" i="10"/>
  <c r="DB228" i="10"/>
  <c r="DC228" i="10" s="1"/>
  <c r="DA228" i="10"/>
  <c r="CY228" i="10"/>
  <c r="CX228" i="10"/>
  <c r="CZ228" i="10" s="1"/>
  <c r="DD227" i="10"/>
  <c r="DE227" i="10" s="1"/>
  <c r="DB227" i="10"/>
  <c r="DA227" i="10"/>
  <c r="DC227" i="10" s="1"/>
  <c r="CY227" i="10"/>
  <c r="CZ227" i="10" s="1"/>
  <c r="CX227" i="10"/>
  <c r="DD226" i="10"/>
  <c r="DE226" i="10" s="1"/>
  <c r="DB226" i="10"/>
  <c r="DC226" i="10" s="1"/>
  <c r="DA226" i="10"/>
  <c r="CY226" i="10"/>
  <c r="CX226" i="10"/>
  <c r="DD225" i="10"/>
  <c r="DB225" i="10"/>
  <c r="DA225" i="10"/>
  <c r="CY225" i="10"/>
  <c r="CX225" i="10"/>
  <c r="DD224" i="10"/>
  <c r="DE224" i="10" s="1"/>
  <c r="DB224" i="10"/>
  <c r="DA224" i="10"/>
  <c r="CY224" i="10"/>
  <c r="CZ224" i="10" s="1"/>
  <c r="CX224" i="10"/>
  <c r="DD223" i="10"/>
  <c r="DE223" i="10" s="1"/>
  <c r="DB223" i="10"/>
  <c r="DA223" i="10"/>
  <c r="DC223" i="10" s="1"/>
  <c r="CY223" i="10"/>
  <c r="CX223" i="10"/>
  <c r="CZ223" i="10" s="1"/>
  <c r="DD222" i="10"/>
  <c r="DE222" i="10" s="1"/>
  <c r="DB222" i="10"/>
  <c r="DA222" i="10"/>
  <c r="CY222" i="10"/>
  <c r="CZ222" i="10" s="1"/>
  <c r="CX222" i="10"/>
  <c r="DD221" i="10"/>
  <c r="DB221" i="10"/>
  <c r="DA221" i="10"/>
  <c r="CY221" i="10"/>
  <c r="CX221" i="10"/>
  <c r="DD220" i="10"/>
  <c r="DE220" i="10" s="1"/>
  <c r="DB220" i="10"/>
  <c r="DA220" i="10"/>
  <c r="CY220" i="10"/>
  <c r="CX220" i="10"/>
  <c r="DD219" i="10"/>
  <c r="DE219" i="10" s="1"/>
  <c r="DB219" i="10"/>
  <c r="DA219" i="10"/>
  <c r="DC219" i="10" s="1"/>
  <c r="CY219" i="10"/>
  <c r="CX219" i="10"/>
  <c r="CZ219" i="10" s="1"/>
  <c r="DD218" i="10"/>
  <c r="DE218" i="10" s="1"/>
  <c r="DB218" i="10"/>
  <c r="DA218" i="10"/>
  <c r="DC218" i="10" s="1"/>
  <c r="CY218" i="10"/>
  <c r="CX218" i="10"/>
  <c r="DD217" i="10"/>
  <c r="DE217" i="10" s="1"/>
  <c r="DB217" i="10"/>
  <c r="DA217" i="10"/>
  <c r="CY217" i="10"/>
  <c r="CX217" i="10"/>
  <c r="DD216" i="10"/>
  <c r="DB216" i="10"/>
  <c r="DA216" i="10"/>
  <c r="DC216" i="10" s="1"/>
  <c r="CY216" i="10"/>
  <c r="CX216" i="10"/>
  <c r="CZ216" i="10" s="1"/>
  <c r="DD215" i="10"/>
  <c r="DE215" i="10" s="1"/>
  <c r="DB215" i="10"/>
  <c r="DA215" i="10"/>
  <c r="CY215" i="10"/>
  <c r="CX215" i="10"/>
  <c r="CZ215" i="10" s="1"/>
  <c r="DD214" i="10"/>
  <c r="DE214" i="10" s="1"/>
  <c r="DB214" i="10"/>
  <c r="DA214" i="10"/>
  <c r="CY214" i="10"/>
  <c r="CX214" i="10"/>
  <c r="DD213" i="10"/>
  <c r="DE213" i="10" s="1"/>
  <c r="DB213" i="10"/>
  <c r="DA213" i="10"/>
  <c r="DC213" i="10" s="1"/>
  <c r="CY213" i="10"/>
  <c r="CX213" i="10"/>
  <c r="DD212" i="10"/>
  <c r="DB212" i="10"/>
  <c r="DA212" i="10"/>
  <c r="CY212" i="10"/>
  <c r="CX212" i="10"/>
  <c r="CZ212" i="10" s="1"/>
  <c r="DD211" i="10"/>
  <c r="DB211" i="10"/>
  <c r="DA211" i="10"/>
  <c r="DC211" i="10" s="1"/>
  <c r="CY211" i="10"/>
  <c r="CX211" i="10"/>
  <c r="DD210" i="10"/>
  <c r="DB210" i="10"/>
  <c r="DA210" i="10"/>
  <c r="CY210" i="10"/>
  <c r="CX210" i="10"/>
  <c r="DD209" i="10"/>
  <c r="DE209" i="10" s="1"/>
  <c r="DB209" i="10"/>
  <c r="DC209" i="10" s="1"/>
  <c r="DA209" i="10"/>
  <c r="CY209" i="10"/>
  <c r="CX209" i="10"/>
  <c r="DD208" i="10"/>
  <c r="DB208" i="10"/>
  <c r="DA208" i="10"/>
  <c r="CY208" i="10"/>
  <c r="CX208" i="10"/>
  <c r="DD207" i="10"/>
  <c r="DB207" i="10"/>
  <c r="DA207" i="10"/>
  <c r="CY207" i="10"/>
  <c r="CX207" i="10"/>
  <c r="DD206" i="10"/>
  <c r="DE206" i="10" s="1"/>
  <c r="DB206" i="10"/>
  <c r="DC206" i="10" s="1"/>
  <c r="DA206" i="10"/>
  <c r="CY206" i="10"/>
  <c r="CX206" i="10"/>
  <c r="DD205" i="10"/>
  <c r="DE205" i="10" s="1"/>
  <c r="DB205" i="10"/>
  <c r="DA205" i="10"/>
  <c r="DC205" i="10" s="1"/>
  <c r="CY205" i="10"/>
  <c r="CZ205" i="10" s="1"/>
  <c r="CX205" i="10"/>
  <c r="DD204" i="10"/>
  <c r="DE204" i="10" s="1"/>
  <c r="DB204" i="10"/>
  <c r="DC204" i="10" s="1"/>
  <c r="DA204" i="10"/>
  <c r="CY204" i="10"/>
  <c r="CX204" i="10"/>
  <c r="DD203" i="10"/>
  <c r="DB203" i="10"/>
  <c r="DA203" i="10"/>
  <c r="CY203" i="10"/>
  <c r="CZ203" i="10" s="1"/>
  <c r="CX203" i="10"/>
  <c r="DD202" i="10"/>
  <c r="DE202" i="10" s="1"/>
  <c r="DB202" i="10"/>
  <c r="DA202" i="10"/>
  <c r="CY202" i="10"/>
  <c r="CZ202" i="10" s="1"/>
  <c r="CX202" i="10"/>
  <c r="DD201" i="10"/>
  <c r="DE201" i="10" s="1"/>
  <c r="DB201" i="10"/>
  <c r="DA201" i="10"/>
  <c r="DC201" i="10" s="1"/>
  <c r="CY201" i="10"/>
  <c r="CX201" i="10"/>
  <c r="CZ201" i="10" s="1"/>
  <c r="CY200" i="10"/>
  <c r="CZ200" i="10" s="1"/>
  <c r="CX200" i="10"/>
  <c r="CY199" i="10"/>
  <c r="CX199" i="10"/>
  <c r="CY198" i="10"/>
  <c r="CX198" i="10"/>
  <c r="CY197" i="10"/>
  <c r="CX197" i="10"/>
  <c r="CY196" i="10"/>
  <c r="CX196" i="10"/>
  <c r="CY195" i="10"/>
  <c r="CX195" i="10"/>
  <c r="CY194" i="10"/>
  <c r="CX194" i="10"/>
  <c r="CZ194" i="10" s="1"/>
  <c r="CY193" i="10"/>
  <c r="CX193" i="10"/>
  <c r="CY192" i="10"/>
  <c r="CX192" i="10"/>
  <c r="CZ192" i="10" s="1"/>
  <c r="CY191" i="10"/>
  <c r="CX191" i="10"/>
  <c r="CY190" i="10"/>
  <c r="CX190" i="10"/>
  <c r="CZ190" i="10" s="1"/>
  <c r="CY189" i="10"/>
  <c r="CZ189" i="10" s="1"/>
  <c r="CX189" i="10"/>
  <c r="CY188" i="10"/>
  <c r="CX188" i="10"/>
  <c r="CY187" i="10"/>
  <c r="CX187" i="10"/>
  <c r="CY186" i="10"/>
  <c r="CX186" i="10"/>
  <c r="CY185" i="10"/>
  <c r="CX185" i="10"/>
  <c r="CY184" i="10"/>
  <c r="CZ184" i="10" s="1"/>
  <c r="CX184" i="10"/>
  <c r="CY183" i="10"/>
  <c r="CX183" i="10"/>
  <c r="CZ183" i="10" s="1"/>
  <c r="CY182" i="10"/>
  <c r="CX182" i="10"/>
  <c r="CY181" i="10"/>
  <c r="CX181" i="10"/>
  <c r="CZ181" i="10" s="1"/>
  <c r="CY180" i="10"/>
  <c r="CX180" i="10"/>
  <c r="CZ180" i="10" s="1"/>
  <c r="CY179" i="10"/>
  <c r="CX179" i="10"/>
  <c r="CZ179" i="10" s="1"/>
  <c r="CY178" i="10"/>
  <c r="CZ178" i="10" s="1"/>
  <c r="CX178" i="10"/>
  <c r="CY177" i="10"/>
  <c r="CX177" i="10"/>
  <c r="DN377" i="10"/>
  <c r="DM375" i="10"/>
  <c r="DL375" i="10"/>
  <c r="DK375" i="10"/>
  <c r="DJ375" i="10"/>
  <c r="DN375" i="10" s="1"/>
  <c r="DM374" i="10"/>
  <c r="DL374" i="10"/>
  <c r="DK374" i="10"/>
  <c r="DJ374" i="10"/>
  <c r="DM373" i="10"/>
  <c r="DL373" i="10"/>
  <c r="DK373" i="10"/>
  <c r="DJ373" i="10"/>
  <c r="DM372" i="10"/>
  <c r="DL372" i="10"/>
  <c r="DK372" i="10"/>
  <c r="DJ372" i="10"/>
  <c r="DM371" i="10"/>
  <c r="DL371" i="10"/>
  <c r="DK371" i="10"/>
  <c r="DJ371" i="10"/>
  <c r="DM370" i="10"/>
  <c r="DL370" i="10"/>
  <c r="DK370" i="10"/>
  <c r="DJ370" i="10"/>
  <c r="DM369" i="10"/>
  <c r="DL369" i="10"/>
  <c r="DK369" i="10"/>
  <c r="DJ369" i="10"/>
  <c r="DN369" i="10" s="1"/>
  <c r="DM368" i="10"/>
  <c r="DL368" i="10"/>
  <c r="DK368" i="10"/>
  <c r="DJ368" i="10"/>
  <c r="DM367" i="10"/>
  <c r="DL367" i="10"/>
  <c r="DK367" i="10"/>
  <c r="DJ367" i="10"/>
  <c r="DM366" i="10"/>
  <c r="DL366" i="10"/>
  <c r="DK366" i="10"/>
  <c r="DJ366" i="10"/>
  <c r="DN366" i="10" s="1"/>
  <c r="DM365" i="10"/>
  <c r="DL365" i="10"/>
  <c r="DK365" i="10"/>
  <c r="DN365" i="10" s="1"/>
  <c r="DJ365" i="10"/>
  <c r="DM364" i="10"/>
  <c r="DL364" i="10"/>
  <c r="DK364" i="10"/>
  <c r="DJ364" i="10"/>
  <c r="DM363" i="10"/>
  <c r="DL363" i="10"/>
  <c r="DK363" i="10"/>
  <c r="DJ363" i="10"/>
  <c r="DM362" i="10"/>
  <c r="DL362" i="10"/>
  <c r="DK362" i="10"/>
  <c r="DJ362" i="10"/>
  <c r="DM361" i="10"/>
  <c r="DL361" i="10"/>
  <c r="DK361" i="10"/>
  <c r="DJ361" i="10"/>
  <c r="DM360" i="10"/>
  <c r="DL360" i="10"/>
  <c r="DK360" i="10"/>
  <c r="DJ360" i="10"/>
  <c r="DM359" i="10"/>
  <c r="DL359" i="10"/>
  <c r="DK359" i="10"/>
  <c r="DJ359" i="10"/>
  <c r="DM358" i="10"/>
  <c r="DL358" i="10"/>
  <c r="DK358" i="10"/>
  <c r="DJ358" i="10"/>
  <c r="DM357" i="10"/>
  <c r="DL357" i="10"/>
  <c r="DK357" i="10"/>
  <c r="DJ357" i="10"/>
  <c r="DM356" i="10"/>
  <c r="DL356" i="10"/>
  <c r="DK356" i="10"/>
  <c r="DJ356" i="10"/>
  <c r="DM355" i="10"/>
  <c r="DL355" i="10"/>
  <c r="DK355" i="10"/>
  <c r="DJ355" i="10"/>
  <c r="DM354" i="10"/>
  <c r="DL354" i="10"/>
  <c r="DK354" i="10"/>
  <c r="DN354" i="10" s="1"/>
  <c r="DJ354" i="10"/>
  <c r="DM353" i="10"/>
  <c r="DL353" i="10"/>
  <c r="DK353" i="10"/>
  <c r="DJ353" i="10"/>
  <c r="DM352" i="10"/>
  <c r="DL352" i="10"/>
  <c r="DK352" i="10"/>
  <c r="DJ352" i="10"/>
  <c r="DM351" i="10"/>
  <c r="DL351" i="10"/>
  <c r="DK351" i="10"/>
  <c r="DJ351" i="10"/>
  <c r="DM350" i="10"/>
  <c r="DL350" i="10"/>
  <c r="DK350" i="10"/>
  <c r="DJ350" i="10"/>
  <c r="DM349" i="10"/>
  <c r="DL349" i="10"/>
  <c r="DK349" i="10"/>
  <c r="DJ349" i="10"/>
  <c r="DM348" i="10"/>
  <c r="DN348" i="10" s="1"/>
  <c r="DL348" i="10"/>
  <c r="DK348" i="10"/>
  <c r="DJ348" i="10"/>
  <c r="DM347" i="10"/>
  <c r="DL347" i="10"/>
  <c r="DK347" i="10"/>
  <c r="DJ347" i="10"/>
  <c r="DM346" i="10"/>
  <c r="DL346" i="10"/>
  <c r="DK346" i="10"/>
  <c r="DJ346" i="10"/>
  <c r="DM345" i="10"/>
  <c r="DL345" i="10"/>
  <c r="DK345" i="10"/>
  <c r="DJ345" i="10"/>
  <c r="DM344" i="10"/>
  <c r="DL344" i="10"/>
  <c r="DK344" i="10"/>
  <c r="DJ344" i="10"/>
  <c r="DM343" i="10"/>
  <c r="DL343" i="10"/>
  <c r="DK343" i="10"/>
  <c r="DJ343" i="10"/>
  <c r="DM342" i="10"/>
  <c r="DL342" i="10"/>
  <c r="DK342" i="10"/>
  <c r="DJ342" i="10"/>
  <c r="DM341" i="10"/>
  <c r="DL341" i="10"/>
  <c r="DK341" i="10"/>
  <c r="DJ341" i="10"/>
  <c r="DM340" i="10"/>
  <c r="DL340" i="10"/>
  <c r="DK340" i="10"/>
  <c r="DJ340" i="10"/>
  <c r="DM339" i="10"/>
  <c r="DL339" i="10"/>
  <c r="DK339" i="10"/>
  <c r="DJ339" i="10"/>
  <c r="DM338" i="10"/>
  <c r="DL338" i="10"/>
  <c r="DK338" i="10"/>
  <c r="DJ338" i="10"/>
  <c r="DM337" i="10"/>
  <c r="DN337" i="10" s="1"/>
  <c r="DL337" i="10"/>
  <c r="DK337" i="10"/>
  <c r="DJ337" i="10"/>
  <c r="DM336" i="10"/>
  <c r="DL336" i="10"/>
  <c r="DK336" i="10"/>
  <c r="DJ336" i="10"/>
  <c r="DM335" i="10"/>
  <c r="DL335" i="10"/>
  <c r="DK335" i="10"/>
  <c r="DJ335" i="10"/>
  <c r="DM334" i="10"/>
  <c r="DL334" i="10"/>
  <c r="DK334" i="10"/>
  <c r="DJ334" i="10"/>
  <c r="DM333" i="10"/>
  <c r="DL333" i="10"/>
  <c r="DK333" i="10"/>
  <c r="DJ333" i="10"/>
  <c r="DN333" i="10" s="1"/>
  <c r="DM332" i="10"/>
  <c r="DL332" i="10"/>
  <c r="DK332" i="10"/>
  <c r="DN332" i="10" s="1"/>
  <c r="DJ332" i="10"/>
  <c r="DM331" i="10"/>
  <c r="DL331" i="10"/>
  <c r="DK331" i="10"/>
  <c r="DJ331" i="10"/>
  <c r="DM330" i="10"/>
  <c r="DL330" i="10"/>
  <c r="DK330" i="10"/>
  <c r="DJ330" i="10"/>
  <c r="DM329" i="10"/>
  <c r="DL329" i="10"/>
  <c r="DK329" i="10"/>
  <c r="DJ329" i="10"/>
  <c r="DM328" i="10"/>
  <c r="DL328" i="10"/>
  <c r="DK328" i="10"/>
  <c r="DJ328" i="10"/>
  <c r="DM327" i="10"/>
  <c r="DL327" i="10"/>
  <c r="DK327" i="10"/>
  <c r="DJ327" i="10"/>
  <c r="DM326" i="10"/>
  <c r="DL326" i="10"/>
  <c r="DK326" i="10"/>
  <c r="DJ326" i="10"/>
  <c r="DM325" i="10"/>
  <c r="DL325" i="10"/>
  <c r="DK325" i="10"/>
  <c r="DJ325" i="10"/>
  <c r="DM324" i="10"/>
  <c r="DL324" i="10"/>
  <c r="DK324" i="10"/>
  <c r="DJ324" i="10"/>
  <c r="DM323" i="10"/>
  <c r="DL323" i="10"/>
  <c r="DK323" i="10"/>
  <c r="DJ323" i="10"/>
  <c r="DM322" i="10"/>
  <c r="DL322" i="10"/>
  <c r="DK322" i="10"/>
  <c r="DJ322" i="10"/>
  <c r="DM321" i="10"/>
  <c r="DL321" i="10"/>
  <c r="DK321" i="10"/>
  <c r="DN321" i="10" s="1"/>
  <c r="DJ321" i="10"/>
  <c r="DM320" i="10"/>
  <c r="DL320" i="10"/>
  <c r="DK320" i="10"/>
  <c r="DJ320" i="10"/>
  <c r="DM319" i="10"/>
  <c r="DL319" i="10"/>
  <c r="DK319" i="10"/>
  <c r="DJ319" i="10"/>
  <c r="DM318" i="10"/>
  <c r="DL318" i="10"/>
  <c r="DK318" i="10"/>
  <c r="DJ318" i="10"/>
  <c r="DM317" i="10"/>
  <c r="DL317" i="10"/>
  <c r="DK317" i="10"/>
  <c r="DJ317" i="10"/>
  <c r="DM316" i="10"/>
  <c r="DL316" i="10"/>
  <c r="DK316" i="10"/>
  <c r="DJ316" i="10"/>
  <c r="DM315" i="10"/>
  <c r="DN315" i="10" s="1"/>
  <c r="DL315" i="10"/>
  <c r="DK315" i="10"/>
  <c r="DJ315" i="10"/>
  <c r="DM314" i="10"/>
  <c r="DL314" i="10"/>
  <c r="DK314" i="10"/>
  <c r="DJ314" i="10"/>
  <c r="DN314" i="10" s="1"/>
  <c r="DM313" i="10"/>
  <c r="DL313" i="10"/>
  <c r="DK313" i="10"/>
  <c r="DJ313" i="10"/>
  <c r="DM312" i="10"/>
  <c r="DL312" i="10"/>
  <c r="DK312" i="10"/>
  <c r="DJ312" i="10"/>
  <c r="DM311" i="10"/>
  <c r="DL311" i="10"/>
  <c r="DK311" i="10"/>
  <c r="DJ311" i="10"/>
  <c r="DN311" i="10" s="1"/>
  <c r="DM310" i="10"/>
  <c r="DL310" i="10"/>
  <c r="DK310" i="10"/>
  <c r="DN310" i="10" s="1"/>
  <c r="DJ310" i="10"/>
  <c r="DM309" i="10"/>
  <c r="DL309" i="10"/>
  <c r="DK309" i="10"/>
  <c r="DJ309" i="10"/>
  <c r="DM308" i="10"/>
  <c r="DL308" i="10"/>
  <c r="DK308" i="10"/>
  <c r="DJ308" i="10"/>
  <c r="DM307" i="10"/>
  <c r="DL307" i="10"/>
  <c r="DK307" i="10"/>
  <c r="DJ307" i="10"/>
  <c r="DM306" i="10"/>
  <c r="DL306" i="10"/>
  <c r="DK306" i="10"/>
  <c r="DJ306" i="10"/>
  <c r="DM305" i="10"/>
  <c r="DL305" i="10"/>
  <c r="DK305" i="10"/>
  <c r="DJ305" i="10"/>
  <c r="DM304" i="10"/>
  <c r="DN304" i="10" s="1"/>
  <c r="DL304" i="10"/>
  <c r="DK304" i="10"/>
  <c r="DJ304" i="10"/>
  <c r="DM303" i="10"/>
  <c r="DL303" i="10"/>
  <c r="DK303" i="10"/>
  <c r="DJ303" i="10"/>
  <c r="DM302" i="10"/>
  <c r="DL302" i="10"/>
  <c r="DK302" i="10"/>
  <c r="DJ302" i="10"/>
  <c r="DM301" i="10"/>
  <c r="DL301" i="10"/>
  <c r="DK301" i="10"/>
  <c r="DJ301" i="10"/>
  <c r="DM300" i="10"/>
  <c r="DL300" i="10"/>
  <c r="DK300" i="10"/>
  <c r="DJ300" i="10"/>
  <c r="DN300" i="10" s="1"/>
  <c r="DM299" i="10"/>
  <c r="DL299" i="10"/>
  <c r="DK299" i="10"/>
  <c r="DJ299" i="10"/>
  <c r="DM298" i="10"/>
  <c r="DL298" i="10"/>
  <c r="DK298" i="10"/>
  <c r="DJ298" i="10"/>
  <c r="DM297" i="10"/>
  <c r="DL297" i="10"/>
  <c r="DK297" i="10"/>
  <c r="DJ297" i="10"/>
  <c r="DM296" i="10"/>
  <c r="DL296" i="10"/>
  <c r="DK296" i="10"/>
  <c r="DJ296" i="10"/>
  <c r="DM295" i="10"/>
  <c r="DL295" i="10"/>
  <c r="DK295" i="10"/>
  <c r="DJ295" i="10"/>
  <c r="DM294" i="10"/>
  <c r="DL294" i="10"/>
  <c r="DK294" i="10"/>
  <c r="DJ294" i="10"/>
  <c r="DM293" i="10"/>
  <c r="DL293" i="10"/>
  <c r="DK293" i="10"/>
  <c r="DJ293" i="10"/>
  <c r="DM292" i="10"/>
  <c r="DL292" i="10"/>
  <c r="DK292" i="10"/>
  <c r="DJ292" i="10"/>
  <c r="DN292" i="10" s="1"/>
  <c r="DM291" i="10"/>
  <c r="DL291" i="10"/>
  <c r="DK291" i="10"/>
  <c r="DJ291" i="10"/>
  <c r="DM290" i="10"/>
  <c r="DL290" i="10"/>
  <c r="DK290" i="10"/>
  <c r="DJ290" i="10"/>
  <c r="DM289" i="10"/>
  <c r="DL289" i="10"/>
  <c r="DK289" i="10"/>
  <c r="DJ289" i="10"/>
  <c r="DN289" i="10" s="1"/>
  <c r="DM288" i="10"/>
  <c r="DL288" i="10"/>
  <c r="DK288" i="10"/>
  <c r="DN288" i="10" s="1"/>
  <c r="DJ288" i="10"/>
  <c r="DM287" i="10"/>
  <c r="DL287" i="10"/>
  <c r="DK287" i="10"/>
  <c r="DJ287" i="10"/>
  <c r="DM286" i="10"/>
  <c r="DL286" i="10"/>
  <c r="DK286" i="10"/>
  <c r="DJ286" i="10"/>
  <c r="DM285" i="10"/>
  <c r="DL285" i="10"/>
  <c r="DK285" i="10"/>
  <c r="DJ285" i="10"/>
  <c r="DM284" i="10"/>
  <c r="DL284" i="10"/>
  <c r="DK284" i="10"/>
  <c r="DJ284" i="10"/>
  <c r="DM283" i="10"/>
  <c r="DL283" i="10"/>
  <c r="DK283" i="10"/>
  <c r="DJ283" i="10"/>
  <c r="DM282" i="10"/>
  <c r="DL282" i="10"/>
  <c r="DK282" i="10"/>
  <c r="DJ282" i="10"/>
  <c r="DM281" i="10"/>
  <c r="DL281" i="10"/>
  <c r="DK281" i="10"/>
  <c r="DJ281" i="10"/>
  <c r="DM280" i="10"/>
  <c r="DL280" i="10"/>
  <c r="DK280" i="10"/>
  <c r="DJ280" i="10"/>
  <c r="DM279" i="10"/>
  <c r="DL279" i="10"/>
  <c r="DK279" i="10"/>
  <c r="DJ279" i="10"/>
  <c r="DM278" i="10"/>
  <c r="DL278" i="10"/>
  <c r="DK278" i="10"/>
  <c r="DJ278" i="10"/>
  <c r="DM277" i="10"/>
  <c r="DL277" i="10"/>
  <c r="DK277" i="10"/>
  <c r="DJ277" i="10"/>
  <c r="DM276" i="10"/>
  <c r="DL276" i="10"/>
  <c r="DK276" i="10"/>
  <c r="DJ276" i="10"/>
  <c r="DM275" i="10"/>
  <c r="DL275" i="10"/>
  <c r="DK275" i="10"/>
  <c r="DJ275" i="10"/>
  <c r="DM274" i="10"/>
  <c r="DL274" i="10"/>
  <c r="DK274" i="10"/>
  <c r="DJ274" i="10"/>
  <c r="DM273" i="10"/>
  <c r="DL273" i="10"/>
  <c r="DK273" i="10"/>
  <c r="DJ273" i="10"/>
  <c r="DM272" i="10"/>
  <c r="DL272" i="10"/>
  <c r="DK272" i="10"/>
  <c r="DJ272" i="10"/>
  <c r="DM271" i="10"/>
  <c r="DL271" i="10"/>
  <c r="DK271" i="10"/>
  <c r="DJ271" i="10"/>
  <c r="DM270" i="10"/>
  <c r="DL270" i="10"/>
  <c r="DK270" i="10"/>
  <c r="DJ270" i="10"/>
  <c r="DM269" i="10"/>
  <c r="DL269" i="10"/>
  <c r="DK269" i="10"/>
  <c r="DJ269" i="10"/>
  <c r="DM268" i="10"/>
  <c r="DL268" i="10"/>
  <c r="DK268" i="10"/>
  <c r="DJ268" i="10"/>
  <c r="DM267" i="10"/>
  <c r="DL267" i="10"/>
  <c r="DK267" i="10"/>
  <c r="DJ267" i="10"/>
  <c r="DN267" i="10" s="1"/>
  <c r="DM266" i="10"/>
  <c r="DL266" i="10"/>
  <c r="DK266" i="10"/>
  <c r="DJ266" i="10"/>
  <c r="DM265" i="10"/>
  <c r="DL265" i="10"/>
  <c r="DK265" i="10"/>
  <c r="DJ265" i="10"/>
  <c r="DM264" i="10"/>
  <c r="DL264" i="10"/>
  <c r="DK264" i="10"/>
  <c r="DJ264" i="10"/>
  <c r="DM263" i="10"/>
  <c r="DL263" i="10"/>
  <c r="DK263" i="10"/>
  <c r="DJ263" i="10"/>
  <c r="DM262" i="10"/>
  <c r="DL262" i="10"/>
  <c r="DK262" i="10"/>
  <c r="DJ262" i="10"/>
  <c r="DM261" i="10"/>
  <c r="DL261" i="10"/>
  <c r="DK261" i="10"/>
  <c r="DJ261" i="10"/>
  <c r="DM260" i="10"/>
  <c r="DN260" i="10" s="1"/>
  <c r="DL260" i="10"/>
  <c r="DK260" i="10"/>
  <c r="DJ260" i="10"/>
  <c r="DM259" i="10"/>
  <c r="DL259" i="10"/>
  <c r="DK259" i="10"/>
  <c r="DJ259" i="10"/>
  <c r="DM258" i="10"/>
  <c r="DL258" i="10"/>
  <c r="DK258" i="10"/>
  <c r="DJ258" i="10"/>
  <c r="DM257" i="10"/>
  <c r="DL257" i="10"/>
  <c r="DK257" i="10"/>
  <c r="DJ257" i="10"/>
  <c r="DM256" i="10"/>
  <c r="DL256" i="10"/>
  <c r="DK256" i="10"/>
  <c r="DJ256" i="10"/>
  <c r="DM255" i="10"/>
  <c r="DL255" i="10"/>
  <c r="DK255" i="10"/>
  <c r="DN255" i="10" s="1"/>
  <c r="DJ255" i="10"/>
  <c r="DM254" i="10"/>
  <c r="DL254" i="10"/>
  <c r="DK254" i="10"/>
  <c r="DJ254" i="10"/>
  <c r="DM253" i="10"/>
  <c r="DL253" i="10"/>
  <c r="DK253" i="10"/>
  <c r="DJ253" i="10"/>
  <c r="DM252" i="10"/>
  <c r="DL252" i="10"/>
  <c r="DK252" i="10"/>
  <c r="DJ252" i="10"/>
  <c r="DM251" i="10"/>
  <c r="DL251" i="10"/>
  <c r="DK251" i="10"/>
  <c r="DJ251" i="10"/>
  <c r="DM250" i="10"/>
  <c r="DL250" i="10"/>
  <c r="DK250" i="10"/>
  <c r="DJ250" i="10"/>
  <c r="DM249" i="10"/>
  <c r="DN249" i="10" s="1"/>
  <c r="DL249" i="10"/>
  <c r="DK249" i="10"/>
  <c r="DJ249" i="10"/>
  <c r="DM248" i="10"/>
  <c r="DL248" i="10"/>
  <c r="DK248" i="10"/>
  <c r="DJ248" i="10"/>
  <c r="DN248" i="10" s="1"/>
  <c r="DM247" i="10"/>
  <c r="DL247" i="10"/>
  <c r="DK247" i="10"/>
  <c r="DJ247" i="10"/>
  <c r="DM246" i="10"/>
  <c r="DL246" i="10"/>
  <c r="DK246" i="10"/>
  <c r="DJ246" i="10"/>
  <c r="DM245" i="10"/>
  <c r="DL245" i="10"/>
  <c r="DK245" i="10"/>
  <c r="DJ245" i="10"/>
  <c r="DN245" i="10" s="1"/>
  <c r="DM244" i="10"/>
  <c r="DL244" i="10"/>
  <c r="DK244" i="10"/>
  <c r="DN244" i="10" s="1"/>
  <c r="DJ244" i="10"/>
  <c r="DM243" i="10"/>
  <c r="DL243" i="10"/>
  <c r="DK243" i="10"/>
  <c r="DJ243" i="10"/>
  <c r="DM242" i="10"/>
  <c r="DL242" i="10"/>
  <c r="DK242" i="10"/>
  <c r="DJ242" i="10"/>
  <c r="DM241" i="10"/>
  <c r="DL241" i="10"/>
  <c r="DK241" i="10"/>
  <c r="DJ241" i="10"/>
  <c r="DM240" i="10"/>
  <c r="DL240" i="10"/>
  <c r="DK240" i="10"/>
  <c r="DJ240" i="10"/>
  <c r="DM239" i="10"/>
  <c r="DL239" i="10"/>
  <c r="DK239" i="10"/>
  <c r="DJ239" i="10"/>
  <c r="DM238" i="10"/>
  <c r="DL238" i="10"/>
  <c r="DK238" i="10"/>
  <c r="DJ238" i="10"/>
  <c r="DM237" i="10"/>
  <c r="DL237" i="10"/>
  <c r="DK237" i="10"/>
  <c r="DJ237" i="10"/>
  <c r="DN237" i="10" s="1"/>
  <c r="DM236" i="10"/>
  <c r="DL236" i="10"/>
  <c r="DK236" i="10"/>
  <c r="DJ236" i="10"/>
  <c r="DM235" i="10"/>
  <c r="DL235" i="10"/>
  <c r="DK235" i="10"/>
  <c r="DJ235" i="10"/>
  <c r="DM234" i="10"/>
  <c r="DL234" i="10"/>
  <c r="DK234" i="10"/>
  <c r="DJ234" i="10"/>
  <c r="DN234" i="10" s="1"/>
  <c r="DM233" i="10"/>
  <c r="DL233" i="10"/>
  <c r="DK233" i="10"/>
  <c r="DN233" i="10" s="1"/>
  <c r="DJ233" i="10"/>
  <c r="DM232" i="10"/>
  <c r="DL232" i="10"/>
  <c r="DK232" i="10"/>
  <c r="DJ232" i="10"/>
  <c r="DM231" i="10"/>
  <c r="DL231" i="10"/>
  <c r="DK231" i="10"/>
  <c r="DJ231" i="10"/>
  <c r="DM230" i="10"/>
  <c r="DL230" i="10"/>
  <c r="DK230" i="10"/>
  <c r="DJ230" i="10"/>
  <c r="DM229" i="10"/>
  <c r="DL229" i="10"/>
  <c r="DK229" i="10"/>
  <c r="DJ229" i="10"/>
  <c r="DM228" i="10"/>
  <c r="DL228" i="10"/>
  <c r="DK228" i="10"/>
  <c r="DJ228" i="10"/>
  <c r="DM227" i="10"/>
  <c r="DL227" i="10"/>
  <c r="DK227" i="10"/>
  <c r="DJ227" i="10"/>
  <c r="DM226" i="10"/>
  <c r="DL226" i="10"/>
  <c r="DK226" i="10"/>
  <c r="DJ226" i="10"/>
  <c r="DM225" i="10"/>
  <c r="DL225" i="10"/>
  <c r="DK225" i="10"/>
  <c r="DJ225" i="10"/>
  <c r="DM224" i="10"/>
  <c r="DL224" i="10"/>
  <c r="DK224" i="10"/>
  <c r="DJ224" i="10"/>
  <c r="DM223" i="10"/>
  <c r="DL223" i="10"/>
  <c r="DK223" i="10"/>
  <c r="DJ223" i="10"/>
  <c r="DN223" i="10" s="1"/>
  <c r="DM222" i="10"/>
  <c r="DL222" i="10"/>
  <c r="DK222" i="10"/>
  <c r="DN222" i="10" s="1"/>
  <c r="DJ222" i="10"/>
  <c r="DM221" i="10"/>
  <c r="DL221" i="10"/>
  <c r="DK221" i="10"/>
  <c r="DJ221" i="10"/>
  <c r="DM220" i="10"/>
  <c r="DL220" i="10"/>
  <c r="DK220" i="10"/>
  <c r="DJ220" i="10"/>
  <c r="DM219" i="10"/>
  <c r="DL219" i="10"/>
  <c r="DK219" i="10"/>
  <c r="DJ219" i="10"/>
  <c r="DM218" i="10"/>
  <c r="DL218" i="10"/>
  <c r="DK218" i="10"/>
  <c r="DJ218" i="10"/>
  <c r="DM217" i="10"/>
  <c r="DL217" i="10"/>
  <c r="DK217" i="10"/>
  <c r="DJ217" i="10"/>
  <c r="DM216" i="10"/>
  <c r="DL216" i="10"/>
  <c r="DK216" i="10"/>
  <c r="DJ216" i="10"/>
  <c r="DM215" i="10"/>
  <c r="DL215" i="10"/>
  <c r="DK215" i="10"/>
  <c r="DJ215" i="10"/>
  <c r="DN215" i="10" s="1"/>
  <c r="DM214" i="10"/>
  <c r="DL214" i="10"/>
  <c r="DK214" i="10"/>
  <c r="DJ214" i="10"/>
  <c r="DM213" i="10"/>
  <c r="DL213" i="10"/>
  <c r="DK213" i="10"/>
  <c r="DJ213" i="10"/>
  <c r="DM212" i="10"/>
  <c r="DL212" i="10"/>
  <c r="DK212" i="10"/>
  <c r="DJ212" i="10"/>
  <c r="DM211" i="10"/>
  <c r="DL211" i="10"/>
  <c r="DK211" i="10"/>
  <c r="DN211" i="10" s="1"/>
  <c r="DJ211" i="10"/>
  <c r="DM210" i="10"/>
  <c r="DL210" i="10"/>
  <c r="DK210" i="10"/>
  <c r="DJ210" i="10"/>
  <c r="DM209" i="10"/>
  <c r="DL209" i="10"/>
  <c r="DK209" i="10"/>
  <c r="DJ209" i="10"/>
  <c r="DM208" i="10"/>
  <c r="DL208" i="10"/>
  <c r="DK208" i="10"/>
  <c r="DJ208" i="10"/>
  <c r="DM207" i="10"/>
  <c r="DL207" i="10"/>
  <c r="DK207" i="10"/>
  <c r="DJ207" i="10"/>
  <c r="DM206" i="10"/>
  <c r="DL206" i="10"/>
  <c r="DK206" i="10"/>
  <c r="DJ206" i="10"/>
  <c r="DM205" i="10"/>
  <c r="DN205" i="10" s="1"/>
  <c r="DL205" i="10"/>
  <c r="DK205" i="10"/>
  <c r="DJ205" i="10"/>
  <c r="DM204" i="10"/>
  <c r="DL204" i="10"/>
  <c r="DK204" i="10"/>
  <c r="DJ204" i="10"/>
  <c r="DM203" i="10"/>
  <c r="DL203" i="10"/>
  <c r="DK203" i="10"/>
  <c r="DJ203" i="10"/>
  <c r="DM202" i="10"/>
  <c r="DL202" i="10"/>
  <c r="DK202" i="10"/>
  <c r="DJ202" i="10"/>
  <c r="DM201" i="10"/>
  <c r="DL201" i="10"/>
  <c r="DK201" i="10"/>
  <c r="DJ201" i="10"/>
  <c r="DN201" i="10" s="1"/>
  <c r="DM200" i="10"/>
  <c r="DL200" i="10"/>
  <c r="DK200" i="10"/>
  <c r="DJ200" i="10"/>
  <c r="DM199" i="10"/>
  <c r="DL199" i="10"/>
  <c r="DK199" i="10"/>
  <c r="DJ199" i="10"/>
  <c r="DM198" i="10"/>
  <c r="DL198" i="10"/>
  <c r="DK198" i="10"/>
  <c r="DJ198" i="10"/>
  <c r="DM197" i="10"/>
  <c r="DL197" i="10"/>
  <c r="DK197" i="10"/>
  <c r="DJ197" i="10"/>
  <c r="DM196" i="10"/>
  <c r="DL196" i="10"/>
  <c r="DK196" i="10"/>
  <c r="DJ196" i="10"/>
  <c r="DM195" i="10"/>
  <c r="DL195" i="10"/>
  <c r="DK195" i="10"/>
  <c r="DJ195" i="10"/>
  <c r="DM194" i="10"/>
  <c r="DL194" i="10"/>
  <c r="DK194" i="10"/>
  <c r="DJ194" i="10"/>
  <c r="DM193" i="10"/>
  <c r="DL193" i="10"/>
  <c r="DK193" i="10"/>
  <c r="DJ193" i="10"/>
  <c r="DN193" i="10" s="1"/>
  <c r="DM192" i="10"/>
  <c r="DL192" i="10"/>
  <c r="DK192" i="10"/>
  <c r="DJ192" i="10"/>
  <c r="DM191" i="10"/>
  <c r="DL191" i="10"/>
  <c r="DK191" i="10"/>
  <c r="DJ191" i="10"/>
  <c r="DM190" i="10"/>
  <c r="DL190" i="10"/>
  <c r="DK190" i="10"/>
  <c r="DJ190" i="10"/>
  <c r="DN190" i="10" s="1"/>
  <c r="DM189" i="10"/>
  <c r="DL189" i="10"/>
  <c r="DK189" i="10"/>
  <c r="DN189" i="10" s="1"/>
  <c r="DJ189" i="10"/>
  <c r="DM188" i="10"/>
  <c r="DL188" i="10"/>
  <c r="DK188" i="10"/>
  <c r="DJ188" i="10"/>
  <c r="DM187" i="10"/>
  <c r="DL187" i="10"/>
  <c r="DK187" i="10"/>
  <c r="DJ187" i="10"/>
  <c r="DM186" i="10"/>
  <c r="DV186" i="10" s="1"/>
  <c r="DL186" i="10"/>
  <c r="DK186" i="10"/>
  <c r="DJ186" i="10"/>
  <c r="DM185" i="10"/>
  <c r="DL185" i="10"/>
  <c r="DK185" i="10"/>
  <c r="DJ185" i="10"/>
  <c r="DM184" i="10"/>
  <c r="DL184" i="10"/>
  <c r="DK184" i="10"/>
  <c r="DJ184" i="10"/>
  <c r="DM183" i="10"/>
  <c r="DN183" i="10" s="1"/>
  <c r="DL183" i="10"/>
  <c r="DK183" i="10"/>
  <c r="DJ183" i="10"/>
  <c r="DM182" i="10"/>
  <c r="DL182" i="10"/>
  <c r="DK182" i="10"/>
  <c r="DJ182" i="10"/>
  <c r="DM181" i="10"/>
  <c r="DL181" i="10"/>
  <c r="DK181" i="10"/>
  <c r="DJ181" i="10"/>
  <c r="DM180" i="10"/>
  <c r="DL180" i="10"/>
  <c r="DK180" i="10"/>
  <c r="DJ180" i="10"/>
  <c r="DM179" i="10"/>
  <c r="DL179" i="10"/>
  <c r="DK179" i="10"/>
  <c r="DJ179" i="10"/>
  <c r="DN179" i="10" s="1"/>
  <c r="DM178" i="10"/>
  <c r="DL178" i="10"/>
  <c r="DK178" i="10"/>
  <c r="DJ178" i="10"/>
  <c r="DM177" i="10"/>
  <c r="DL177" i="10"/>
  <c r="DK177" i="10"/>
  <c r="DJ177" i="10"/>
  <c r="DM176" i="10"/>
  <c r="DL176" i="10"/>
  <c r="DK176" i="10"/>
  <c r="DJ176" i="10"/>
  <c r="DM175" i="10"/>
  <c r="DL175" i="10"/>
  <c r="DK175" i="10"/>
  <c r="DJ175" i="10"/>
  <c r="DM174" i="10"/>
  <c r="DL174" i="10"/>
  <c r="DK174" i="10"/>
  <c r="DJ174" i="10"/>
  <c r="DM173" i="10"/>
  <c r="DL173" i="10"/>
  <c r="DK173" i="10"/>
  <c r="DJ173" i="10"/>
  <c r="DM172" i="10"/>
  <c r="DN172" i="10" s="1"/>
  <c r="DL172" i="10"/>
  <c r="DK172" i="10"/>
  <c r="DJ172" i="10"/>
  <c r="DM171" i="10"/>
  <c r="DL171" i="10"/>
  <c r="DK171" i="10"/>
  <c r="DJ171" i="10"/>
  <c r="DM170" i="10"/>
  <c r="DL170" i="10"/>
  <c r="DK170" i="10"/>
  <c r="DJ170" i="10"/>
  <c r="DM169" i="10"/>
  <c r="DL169" i="10"/>
  <c r="DK169" i="10"/>
  <c r="DJ169" i="10"/>
  <c r="DM168" i="10"/>
  <c r="DL168" i="10"/>
  <c r="DK168" i="10"/>
  <c r="DJ168" i="10"/>
  <c r="DN168" i="10" s="1"/>
  <c r="DM167" i="10"/>
  <c r="DL167" i="10"/>
  <c r="DK167" i="10"/>
  <c r="DN167" i="10" s="1"/>
  <c r="DJ167" i="10"/>
  <c r="DM166" i="10"/>
  <c r="DL166" i="10"/>
  <c r="DK166" i="10"/>
  <c r="DJ166" i="10"/>
  <c r="DM165" i="10"/>
  <c r="DL165" i="10"/>
  <c r="DK165" i="10"/>
  <c r="DJ165" i="10"/>
  <c r="DM164" i="10"/>
  <c r="DL164" i="10"/>
  <c r="DK164" i="10"/>
  <c r="DJ164" i="10"/>
  <c r="DM163" i="10"/>
  <c r="DL163" i="10"/>
  <c r="DK163" i="10"/>
  <c r="DJ163" i="10"/>
  <c r="DM162" i="10"/>
  <c r="DL162" i="10"/>
  <c r="DK162" i="10"/>
  <c r="DJ162" i="10"/>
  <c r="DM161" i="10"/>
  <c r="DL161" i="10"/>
  <c r="DK161" i="10"/>
  <c r="DJ161" i="10"/>
  <c r="DM160" i="10"/>
  <c r="DL160" i="10"/>
  <c r="DK160" i="10"/>
  <c r="DJ160" i="10"/>
  <c r="DN160" i="10" s="1"/>
  <c r="DM159" i="10"/>
  <c r="DL159" i="10"/>
  <c r="DK159" i="10"/>
  <c r="DJ159" i="10"/>
  <c r="DM158" i="10"/>
  <c r="DL158" i="10"/>
  <c r="DK158" i="10"/>
  <c r="DJ158" i="10"/>
  <c r="DM157" i="10"/>
  <c r="DL157" i="10"/>
  <c r="DK157" i="10"/>
  <c r="DJ157" i="10"/>
  <c r="DN157" i="10" s="1"/>
  <c r="DM156" i="10"/>
  <c r="DL156" i="10"/>
  <c r="DK156" i="10"/>
  <c r="DJ156" i="10"/>
  <c r="DM155" i="10"/>
  <c r="DL155" i="10"/>
  <c r="DK155" i="10"/>
  <c r="DJ155" i="10"/>
  <c r="DM154" i="10"/>
  <c r="DL154" i="10"/>
  <c r="DK154" i="10"/>
  <c r="DJ154" i="10"/>
  <c r="DM153" i="10"/>
  <c r="DV153" i="10" s="1"/>
  <c r="DL153" i="10"/>
  <c r="DK153" i="10"/>
  <c r="DJ153" i="10"/>
  <c r="CK377" i="10"/>
  <c r="CH377" i="10"/>
  <c r="CF377" i="10"/>
  <c r="CC377" i="10"/>
  <c r="CE375" i="10"/>
  <c r="CD375" i="10"/>
  <c r="CF375" i="10" s="1"/>
  <c r="CB375" i="10"/>
  <c r="CC375" i="10" s="1"/>
  <c r="CE374" i="10"/>
  <c r="CD374" i="10"/>
  <c r="CF374" i="10" s="1"/>
  <c r="CB374" i="10"/>
  <c r="CC374" i="10" s="1"/>
  <c r="CE373" i="10"/>
  <c r="CD373" i="10"/>
  <c r="CB373" i="10"/>
  <c r="CE372" i="10"/>
  <c r="CD372" i="10"/>
  <c r="CB372" i="10"/>
  <c r="CC372" i="10" s="1"/>
  <c r="CE371" i="10"/>
  <c r="CD371" i="10"/>
  <c r="CF371" i="10" s="1"/>
  <c r="CB371" i="10"/>
  <c r="CC371" i="10" s="1"/>
  <c r="CE370" i="10"/>
  <c r="CD370" i="10"/>
  <c r="CF370" i="10" s="1"/>
  <c r="CB370" i="10"/>
  <c r="CE369" i="10"/>
  <c r="CD369" i="10"/>
  <c r="CB369" i="10"/>
  <c r="CC369" i="10" s="1"/>
  <c r="CE368" i="10"/>
  <c r="CD368" i="10"/>
  <c r="CF368" i="10" s="1"/>
  <c r="CB368" i="10"/>
  <c r="CC368" i="10" s="1"/>
  <c r="CE367" i="10"/>
  <c r="CD367" i="10"/>
  <c r="CB367" i="10"/>
  <c r="CC367" i="10" s="1"/>
  <c r="CE366" i="10"/>
  <c r="CD366" i="10"/>
  <c r="CB366" i="10"/>
  <c r="CE365" i="10"/>
  <c r="CD365" i="10"/>
  <c r="CB365" i="10"/>
  <c r="CE364" i="10"/>
  <c r="CF364" i="10" s="1"/>
  <c r="CD364" i="10"/>
  <c r="CB364" i="10"/>
  <c r="CC364" i="10" s="1"/>
  <c r="CE363" i="10"/>
  <c r="CD363" i="10"/>
  <c r="CB363" i="10"/>
  <c r="CC363" i="10" s="1"/>
  <c r="CE362" i="10"/>
  <c r="CD362" i="10"/>
  <c r="CF362" i="10" s="1"/>
  <c r="CB362" i="10"/>
  <c r="CC362" i="10" s="1"/>
  <c r="CE361" i="10"/>
  <c r="CD361" i="10"/>
  <c r="CB361" i="10"/>
  <c r="CC361" i="10" s="1"/>
  <c r="CE360" i="10"/>
  <c r="CD360" i="10"/>
  <c r="CB360" i="10"/>
  <c r="CC360" i="10" s="1"/>
  <c r="CE359" i="10"/>
  <c r="CD359" i="10"/>
  <c r="CB359" i="10"/>
  <c r="CE358" i="10"/>
  <c r="CD358" i="10"/>
  <c r="CB358" i="10"/>
  <c r="CE357" i="10"/>
  <c r="CD357" i="10"/>
  <c r="CF357" i="10" s="1"/>
  <c r="CB357" i="10"/>
  <c r="CE356" i="10"/>
  <c r="CD356" i="10"/>
  <c r="CF356" i="10" s="1"/>
  <c r="CB356" i="10"/>
  <c r="CC356" i="10" s="1"/>
  <c r="CE355" i="10"/>
  <c r="CF355" i="10" s="1"/>
  <c r="CD355" i="10"/>
  <c r="CB355" i="10"/>
  <c r="CC355" i="10" s="1"/>
  <c r="CE354" i="10"/>
  <c r="CD354" i="10"/>
  <c r="CF354" i="10" s="1"/>
  <c r="CB354" i="10"/>
  <c r="CC354" i="10" s="1"/>
  <c r="CE353" i="10"/>
  <c r="CD353" i="10"/>
  <c r="CF353" i="10" s="1"/>
  <c r="CB353" i="10"/>
  <c r="CC353" i="10" s="1"/>
  <c r="CE352" i="10"/>
  <c r="CD352" i="10"/>
  <c r="CF352" i="10" s="1"/>
  <c r="CB352" i="10"/>
  <c r="CE351" i="10"/>
  <c r="CD351" i="10"/>
  <c r="CB351" i="10"/>
  <c r="CE350" i="10"/>
  <c r="CD350" i="10"/>
  <c r="CB350" i="10"/>
  <c r="CC350" i="10" s="1"/>
  <c r="CE349" i="10"/>
  <c r="CD349" i="10"/>
  <c r="CF349" i="10" s="1"/>
  <c r="CB349" i="10"/>
  <c r="CC349" i="10" s="1"/>
  <c r="CE348" i="10"/>
  <c r="CD348" i="10"/>
  <c r="CF348" i="10" s="1"/>
  <c r="CB348" i="10"/>
  <c r="CE347" i="10"/>
  <c r="CD347" i="10"/>
  <c r="CB347" i="10"/>
  <c r="CC347" i="10" s="1"/>
  <c r="CE346" i="10"/>
  <c r="CD346" i="10"/>
  <c r="CF346" i="10" s="1"/>
  <c r="CB346" i="10"/>
  <c r="CC346" i="10" s="1"/>
  <c r="CE345" i="10"/>
  <c r="CD345" i="10"/>
  <c r="CF345" i="10" s="1"/>
  <c r="CB345" i="10"/>
  <c r="CC345" i="10" s="1"/>
  <c r="CE344" i="10"/>
  <c r="CD344" i="10"/>
  <c r="CB344" i="10"/>
  <c r="CE343" i="10"/>
  <c r="CD343" i="10"/>
  <c r="CB343" i="10"/>
  <c r="CE342" i="10"/>
  <c r="CF342" i="10" s="1"/>
  <c r="CD342" i="10"/>
  <c r="CB342" i="10"/>
  <c r="CC342" i="10" s="1"/>
  <c r="CE341" i="10"/>
  <c r="CD341" i="10"/>
  <c r="CB341" i="10"/>
  <c r="CC341" i="10" s="1"/>
  <c r="CE340" i="10"/>
  <c r="CD340" i="10"/>
  <c r="CF340" i="10" s="1"/>
  <c r="CB340" i="10"/>
  <c r="CC340" i="10" s="1"/>
  <c r="CE339" i="10"/>
  <c r="CD339" i="10"/>
  <c r="CB339" i="10"/>
  <c r="CC339" i="10" s="1"/>
  <c r="CE338" i="10"/>
  <c r="CD338" i="10"/>
  <c r="CB338" i="10"/>
  <c r="CC338" i="10" s="1"/>
  <c r="CE337" i="10"/>
  <c r="CD337" i="10"/>
  <c r="CB337" i="10"/>
  <c r="CE336" i="10"/>
  <c r="CD336" i="10"/>
  <c r="CB336" i="10"/>
  <c r="CE335" i="10"/>
  <c r="CD335" i="10"/>
  <c r="CB335" i="10"/>
  <c r="CE334" i="10"/>
  <c r="CD334" i="10"/>
  <c r="CF334" i="10" s="1"/>
  <c r="CB334" i="10"/>
  <c r="CC334" i="10" s="1"/>
  <c r="CE333" i="10"/>
  <c r="CF333" i="10" s="1"/>
  <c r="CD333" i="10"/>
  <c r="CB333" i="10"/>
  <c r="CC333" i="10" s="1"/>
  <c r="CE332" i="10"/>
  <c r="CD332" i="10"/>
  <c r="CF332" i="10" s="1"/>
  <c r="CB332" i="10"/>
  <c r="CE331" i="10"/>
  <c r="CD331" i="10"/>
  <c r="CF331" i="10" s="1"/>
  <c r="CB331" i="10"/>
  <c r="CC331" i="10" s="1"/>
  <c r="CE330" i="10"/>
  <c r="CD330" i="10"/>
  <c r="CF330" i="10" s="1"/>
  <c r="CB330" i="10"/>
  <c r="CC330" i="10" s="1"/>
  <c r="CE329" i="10"/>
  <c r="CD329" i="10"/>
  <c r="CB329" i="10"/>
  <c r="CE328" i="10"/>
  <c r="CD328" i="10"/>
  <c r="CB328" i="10"/>
  <c r="CC328" i="10" s="1"/>
  <c r="CE327" i="10"/>
  <c r="CD327" i="10"/>
  <c r="CB327" i="10"/>
  <c r="CC327" i="10" s="1"/>
  <c r="CE326" i="10"/>
  <c r="CD326" i="10"/>
  <c r="CF326" i="10" s="1"/>
  <c r="CB326" i="10"/>
  <c r="CE325" i="10"/>
  <c r="CD325" i="10"/>
  <c r="CB325" i="10"/>
  <c r="CC325" i="10" s="1"/>
  <c r="CE324" i="10"/>
  <c r="CD324" i="10"/>
  <c r="CF324" i="10" s="1"/>
  <c r="CB324" i="10"/>
  <c r="CC324" i="10" s="1"/>
  <c r="CE323" i="10"/>
  <c r="CD323" i="10"/>
  <c r="CF323" i="10" s="1"/>
  <c r="CB323" i="10"/>
  <c r="CC323" i="10" s="1"/>
  <c r="CE322" i="10"/>
  <c r="CD322" i="10"/>
  <c r="CB322" i="10"/>
  <c r="CE321" i="10"/>
  <c r="CD321" i="10"/>
  <c r="CB321" i="10"/>
  <c r="CE320" i="10"/>
  <c r="CF320" i="10" s="1"/>
  <c r="CD320" i="10"/>
  <c r="CB320" i="10"/>
  <c r="CC320" i="10" s="1"/>
  <c r="CE319" i="10"/>
  <c r="CD319" i="10"/>
  <c r="CB319" i="10"/>
  <c r="CC319" i="10" s="1"/>
  <c r="CE318" i="10"/>
  <c r="CD318" i="10"/>
  <c r="CF318" i="10" s="1"/>
  <c r="CB318" i="10"/>
  <c r="CC318" i="10" s="1"/>
  <c r="CE317" i="10"/>
  <c r="CD317" i="10"/>
  <c r="CB317" i="10"/>
  <c r="CC317" i="10" s="1"/>
  <c r="CE316" i="10"/>
  <c r="CD316" i="10"/>
  <c r="CB316" i="10"/>
  <c r="CC316" i="10" s="1"/>
  <c r="CE315" i="10"/>
  <c r="CD315" i="10"/>
  <c r="CB315" i="10"/>
  <c r="CE314" i="10"/>
  <c r="CD314" i="10"/>
  <c r="CB314" i="10"/>
  <c r="CE313" i="10"/>
  <c r="CD313" i="10"/>
  <c r="CF313" i="10" s="1"/>
  <c r="CB313" i="10"/>
  <c r="CE312" i="10"/>
  <c r="CD312" i="10"/>
  <c r="CF312" i="10" s="1"/>
  <c r="CB312" i="10"/>
  <c r="CC312" i="10" s="1"/>
  <c r="CE311" i="10"/>
  <c r="CF311" i="10" s="1"/>
  <c r="CD311" i="10"/>
  <c r="CB311" i="10"/>
  <c r="CC311" i="10" s="1"/>
  <c r="CE310" i="10"/>
  <c r="CD310" i="10"/>
  <c r="CF310" i="10" s="1"/>
  <c r="CB310" i="10"/>
  <c r="CC310" i="10" s="1"/>
  <c r="CE309" i="10"/>
  <c r="CD309" i="10"/>
  <c r="CB309" i="10"/>
  <c r="CC309" i="10" s="1"/>
  <c r="CE308" i="10"/>
  <c r="CD308" i="10"/>
  <c r="CF308" i="10" s="1"/>
  <c r="CB308" i="10"/>
  <c r="CE307" i="10"/>
  <c r="CD307" i="10"/>
  <c r="CB307" i="10"/>
  <c r="CE306" i="10"/>
  <c r="CD306" i="10"/>
  <c r="CB306" i="10"/>
  <c r="CE305" i="10"/>
  <c r="CD305" i="10"/>
  <c r="CB305" i="10"/>
  <c r="CC305" i="10" s="1"/>
  <c r="CE304" i="10"/>
  <c r="CD304" i="10"/>
  <c r="CB304" i="10"/>
  <c r="CE303" i="10"/>
  <c r="CD303" i="10"/>
  <c r="CB303" i="10"/>
  <c r="CC303" i="10" s="1"/>
  <c r="CE302" i="10"/>
  <c r="CD302" i="10"/>
  <c r="CF302" i="10" s="1"/>
  <c r="CB302" i="10"/>
  <c r="CC302" i="10" s="1"/>
  <c r="CE301" i="10"/>
  <c r="CD301" i="10"/>
  <c r="CB301" i="10"/>
  <c r="CC301" i="10" s="1"/>
  <c r="CE300" i="10"/>
  <c r="CD300" i="10"/>
  <c r="CB300" i="10"/>
  <c r="CE299" i="10"/>
  <c r="CD299" i="10"/>
  <c r="CB299" i="10"/>
  <c r="CE298" i="10"/>
  <c r="CF298" i="10" s="1"/>
  <c r="CD298" i="10"/>
  <c r="CB298" i="10"/>
  <c r="CC298" i="10" s="1"/>
  <c r="CE297" i="10"/>
  <c r="CD297" i="10"/>
  <c r="CB297" i="10"/>
  <c r="CC297" i="10" s="1"/>
  <c r="CE296" i="10"/>
  <c r="CD296" i="10"/>
  <c r="CF296" i="10" s="1"/>
  <c r="CB296" i="10"/>
  <c r="CC296" i="10" s="1"/>
  <c r="CE295" i="10"/>
  <c r="CD295" i="10"/>
  <c r="CF295" i="10" s="1"/>
  <c r="CB295" i="10"/>
  <c r="CC295" i="10" s="1"/>
  <c r="CE294" i="10"/>
  <c r="CD294" i="10"/>
  <c r="CB294" i="10"/>
  <c r="CC294" i="10" s="1"/>
  <c r="CE293" i="10"/>
  <c r="CF293" i="10" s="1"/>
  <c r="CD293" i="10"/>
  <c r="CB293" i="10"/>
  <c r="CE292" i="10"/>
  <c r="CD292" i="10"/>
  <c r="CB292" i="10"/>
  <c r="CE291" i="10"/>
  <c r="CD291" i="10"/>
  <c r="CB291" i="10"/>
  <c r="CE290" i="10"/>
  <c r="CD290" i="10"/>
  <c r="CF290" i="10" s="1"/>
  <c r="CB290" i="10"/>
  <c r="CC290" i="10" s="1"/>
  <c r="CE289" i="10"/>
  <c r="CF289" i="10" s="1"/>
  <c r="CD289" i="10"/>
  <c r="CB289" i="10"/>
  <c r="CC289" i="10" s="1"/>
  <c r="CE288" i="10"/>
  <c r="CD288" i="10"/>
  <c r="CB288" i="10"/>
  <c r="CC288" i="10" s="1"/>
  <c r="CE287" i="10"/>
  <c r="CD287" i="10"/>
  <c r="CF287" i="10" s="1"/>
  <c r="CB287" i="10"/>
  <c r="CC287" i="10" s="1"/>
  <c r="CE286" i="10"/>
  <c r="CD286" i="10"/>
  <c r="CB286" i="10"/>
  <c r="CE285" i="10"/>
  <c r="CD285" i="10"/>
  <c r="CB285" i="10"/>
  <c r="CE284" i="10"/>
  <c r="CD284" i="10"/>
  <c r="CB284" i="10"/>
  <c r="CE283" i="10"/>
  <c r="CD283" i="10"/>
  <c r="CB283" i="10"/>
  <c r="CC283" i="10" s="1"/>
  <c r="CE282" i="10"/>
  <c r="CD282" i="10"/>
  <c r="CF282" i="10" s="1"/>
  <c r="CB282" i="10"/>
  <c r="CE281" i="10"/>
  <c r="CD281" i="10"/>
  <c r="CB281" i="10"/>
  <c r="CC281" i="10" s="1"/>
  <c r="CE280" i="10"/>
  <c r="CD280" i="10"/>
  <c r="CF280" i="10" s="1"/>
  <c r="CB280" i="10"/>
  <c r="CC280" i="10" s="1"/>
  <c r="CE279" i="10"/>
  <c r="CD279" i="10"/>
  <c r="CF279" i="10" s="1"/>
  <c r="CB279" i="10"/>
  <c r="CC279" i="10" s="1"/>
  <c r="CE278" i="10"/>
  <c r="CD278" i="10"/>
  <c r="CB278" i="10"/>
  <c r="CE277" i="10"/>
  <c r="CD277" i="10"/>
  <c r="CB277" i="10"/>
  <c r="CE276" i="10"/>
  <c r="CD276" i="10"/>
  <c r="CB276" i="10"/>
  <c r="CC276" i="10" s="1"/>
  <c r="CE275" i="10"/>
  <c r="CD275" i="10"/>
  <c r="CB275" i="10"/>
  <c r="CC275" i="10" s="1"/>
  <c r="CE274" i="10"/>
  <c r="CD274" i="10"/>
  <c r="CF274" i="10" s="1"/>
  <c r="CB274" i="10"/>
  <c r="CC274" i="10" s="1"/>
  <c r="CE273" i="10"/>
  <c r="CD273" i="10"/>
  <c r="CB273" i="10"/>
  <c r="CC273" i="10" s="1"/>
  <c r="CE272" i="10"/>
  <c r="CD272" i="10"/>
  <c r="CB272" i="10"/>
  <c r="CC272" i="10" s="1"/>
  <c r="CE271" i="10"/>
  <c r="CD271" i="10"/>
  <c r="CB271" i="10"/>
  <c r="CE270" i="10"/>
  <c r="CD270" i="10"/>
  <c r="CB270" i="10"/>
  <c r="CE269" i="10"/>
  <c r="CD269" i="10"/>
  <c r="CF269" i="10" s="1"/>
  <c r="CB269" i="10"/>
  <c r="CE268" i="10"/>
  <c r="CD268" i="10"/>
  <c r="CF268" i="10" s="1"/>
  <c r="CB268" i="10"/>
  <c r="CC268" i="10" s="1"/>
  <c r="CE267" i="10"/>
  <c r="CF267" i="10" s="1"/>
  <c r="CD267" i="10"/>
  <c r="CB267" i="10"/>
  <c r="CC267" i="10" s="1"/>
  <c r="CE266" i="10"/>
  <c r="CD266" i="10"/>
  <c r="CB266" i="10"/>
  <c r="CC266" i="10" s="1"/>
  <c r="CE265" i="10"/>
  <c r="CD265" i="10"/>
  <c r="CF265" i="10" s="1"/>
  <c r="CB265" i="10"/>
  <c r="CC265" i="10" s="1"/>
  <c r="CE264" i="10"/>
  <c r="CD264" i="10"/>
  <c r="CF264" i="10" s="1"/>
  <c r="CB264" i="10"/>
  <c r="CC264" i="10" s="1"/>
  <c r="CE263" i="10"/>
  <c r="CD263" i="10"/>
  <c r="CB263" i="10"/>
  <c r="CE262" i="10"/>
  <c r="CD262" i="10"/>
  <c r="CB262" i="10"/>
  <c r="CC262" i="10" s="1"/>
  <c r="CE261" i="10"/>
  <c r="CD261" i="10"/>
  <c r="CF261" i="10" s="1"/>
  <c r="CB261" i="10"/>
  <c r="CC261" i="10" s="1"/>
  <c r="CE260" i="10"/>
  <c r="CD260" i="10"/>
  <c r="CF260" i="10" s="1"/>
  <c r="CB260" i="10"/>
  <c r="CE259" i="10"/>
  <c r="CD259" i="10"/>
  <c r="CF259" i="10" s="1"/>
  <c r="CB259" i="10"/>
  <c r="CC259" i="10" s="1"/>
  <c r="CE258" i="10"/>
  <c r="CD258" i="10"/>
  <c r="CF258" i="10" s="1"/>
  <c r="CB258" i="10"/>
  <c r="CC258" i="10" s="1"/>
  <c r="CE257" i="10"/>
  <c r="CD257" i="10"/>
  <c r="CF257" i="10" s="1"/>
  <c r="CB257" i="10"/>
  <c r="CC257" i="10" s="1"/>
  <c r="CE256" i="10"/>
  <c r="CD256" i="10"/>
  <c r="CB256" i="10"/>
  <c r="CE255" i="10"/>
  <c r="CD255" i="10"/>
  <c r="CB255" i="10"/>
  <c r="CE254" i="10"/>
  <c r="CF254" i="10" s="1"/>
  <c r="CD254" i="10"/>
  <c r="CB254" i="10"/>
  <c r="CC254" i="10" s="1"/>
  <c r="CE253" i="10"/>
  <c r="CD253" i="10"/>
  <c r="CB253" i="10"/>
  <c r="CC253" i="10" s="1"/>
  <c r="CE252" i="10"/>
  <c r="CD252" i="10"/>
  <c r="CF252" i="10" s="1"/>
  <c r="CB252" i="10"/>
  <c r="CC252" i="10" s="1"/>
  <c r="CE251" i="10"/>
  <c r="CD251" i="10"/>
  <c r="CB251" i="10"/>
  <c r="CC251" i="10" s="1"/>
  <c r="CE250" i="10"/>
  <c r="CD250" i="10"/>
  <c r="CB250" i="10"/>
  <c r="CC250" i="10" s="1"/>
  <c r="CE249" i="10"/>
  <c r="CF249" i="10" s="1"/>
  <c r="CD249" i="10"/>
  <c r="CB249" i="10"/>
  <c r="CE248" i="10"/>
  <c r="CD248" i="10"/>
  <c r="CB248" i="10"/>
  <c r="CE247" i="10"/>
  <c r="CD247" i="10"/>
  <c r="CF247" i="10" s="1"/>
  <c r="CB247" i="10"/>
  <c r="CE246" i="10"/>
  <c r="CD246" i="10"/>
  <c r="CF246" i="10" s="1"/>
  <c r="CB246" i="10"/>
  <c r="CC246" i="10" s="1"/>
  <c r="CE245" i="10"/>
  <c r="CF245" i="10" s="1"/>
  <c r="CD245" i="10"/>
  <c r="CB245" i="10"/>
  <c r="CC245" i="10" s="1"/>
  <c r="CE244" i="10"/>
  <c r="CD244" i="10"/>
  <c r="CF244" i="10" s="1"/>
  <c r="CB244" i="10"/>
  <c r="CC244" i="10" s="1"/>
  <c r="CE243" i="10"/>
  <c r="CD243" i="10"/>
  <c r="CF243" i="10" s="1"/>
  <c r="CB243" i="10"/>
  <c r="CC243" i="10" s="1"/>
  <c r="CE242" i="10"/>
  <c r="CD242" i="10"/>
  <c r="CB242" i="10"/>
  <c r="CE241" i="10"/>
  <c r="CD241" i="10"/>
  <c r="CB241" i="10"/>
  <c r="CE240" i="10"/>
  <c r="CD240" i="10"/>
  <c r="CB240" i="10"/>
  <c r="CC240" i="10" s="1"/>
  <c r="CE239" i="10"/>
  <c r="CD239" i="10"/>
  <c r="CF239" i="10" s="1"/>
  <c r="CB239" i="10"/>
  <c r="CC239" i="10" s="1"/>
  <c r="CE238" i="10"/>
  <c r="CD238" i="10"/>
  <c r="CF238" i="10" s="1"/>
  <c r="CB238" i="10"/>
  <c r="CE237" i="10"/>
  <c r="CD237" i="10"/>
  <c r="CB237" i="10"/>
  <c r="CC237" i="10" s="1"/>
  <c r="CE236" i="10"/>
  <c r="CD236" i="10"/>
  <c r="CF236" i="10" s="1"/>
  <c r="CB236" i="10"/>
  <c r="CC236" i="10" s="1"/>
  <c r="CE235" i="10"/>
  <c r="CD235" i="10"/>
  <c r="CF235" i="10" s="1"/>
  <c r="CB235" i="10"/>
  <c r="CC235" i="10" s="1"/>
  <c r="CE234" i="10"/>
  <c r="CD234" i="10"/>
  <c r="CB234" i="10"/>
  <c r="CE233" i="10"/>
  <c r="CD233" i="10"/>
  <c r="CB233" i="10"/>
  <c r="CE232" i="10"/>
  <c r="CD232" i="10"/>
  <c r="CB232" i="10"/>
  <c r="CC232" i="10" s="1"/>
  <c r="CE231" i="10"/>
  <c r="CD231" i="10"/>
  <c r="CB231" i="10"/>
  <c r="CC231" i="10" s="1"/>
  <c r="CE230" i="10"/>
  <c r="CD230" i="10"/>
  <c r="CF230" i="10" s="1"/>
  <c r="CB230" i="10"/>
  <c r="CC230" i="10" s="1"/>
  <c r="CE229" i="10"/>
  <c r="CD229" i="10"/>
  <c r="CB229" i="10"/>
  <c r="CC229" i="10" s="1"/>
  <c r="CE228" i="10"/>
  <c r="CD228" i="10"/>
  <c r="CB228" i="10"/>
  <c r="CC228" i="10" s="1"/>
  <c r="CE227" i="10"/>
  <c r="CF227" i="10" s="1"/>
  <c r="CD227" i="10"/>
  <c r="CB227" i="10"/>
  <c r="CE226" i="10"/>
  <c r="CD226" i="10"/>
  <c r="CB226" i="10"/>
  <c r="CE225" i="10"/>
  <c r="CD225" i="10"/>
  <c r="CB225" i="10"/>
  <c r="CE224" i="10"/>
  <c r="CD224" i="10"/>
  <c r="CB224" i="10"/>
  <c r="CC224" i="10" s="1"/>
  <c r="CE223" i="10"/>
  <c r="CF223" i="10" s="1"/>
  <c r="CD223" i="10"/>
  <c r="CB223" i="10"/>
  <c r="CC223" i="10" s="1"/>
  <c r="CE222" i="10"/>
  <c r="CD222" i="10"/>
  <c r="CF222" i="10" s="1"/>
  <c r="CB222" i="10"/>
  <c r="CC222" i="10" s="1"/>
  <c r="CE221" i="10"/>
  <c r="CD221" i="10"/>
  <c r="CF221" i="10" s="1"/>
  <c r="CB221" i="10"/>
  <c r="CC221" i="10" s="1"/>
  <c r="CE220" i="10"/>
  <c r="CD220" i="10"/>
  <c r="CB220" i="10"/>
  <c r="CE219" i="10"/>
  <c r="CD219" i="10"/>
  <c r="CB219" i="10"/>
  <c r="CE218" i="10"/>
  <c r="CD218" i="10"/>
  <c r="CB218" i="10"/>
  <c r="CC218" i="10" s="1"/>
  <c r="CE217" i="10"/>
  <c r="CD217" i="10"/>
  <c r="CF217" i="10" s="1"/>
  <c r="CB217" i="10"/>
  <c r="CC217" i="10" s="1"/>
  <c r="CE216" i="10"/>
  <c r="CD216" i="10"/>
  <c r="CF216" i="10" s="1"/>
  <c r="CB216" i="10"/>
  <c r="CE215" i="10"/>
  <c r="CD215" i="10"/>
  <c r="CB215" i="10"/>
  <c r="CC215" i="10" s="1"/>
  <c r="CE214" i="10"/>
  <c r="CD214" i="10"/>
  <c r="CF214" i="10" s="1"/>
  <c r="CB214" i="10"/>
  <c r="CC214" i="10" s="1"/>
  <c r="CE213" i="10"/>
  <c r="CD213" i="10"/>
  <c r="CF213" i="10" s="1"/>
  <c r="CB213" i="10"/>
  <c r="CC213" i="10" s="1"/>
  <c r="CE212" i="10"/>
  <c r="CD212" i="10"/>
  <c r="CB212" i="10"/>
  <c r="CE211" i="10"/>
  <c r="CD211" i="10"/>
  <c r="CB211" i="10"/>
  <c r="CE210" i="10"/>
  <c r="CD210" i="10"/>
  <c r="CB210" i="10"/>
  <c r="CC210" i="10" s="1"/>
  <c r="CE209" i="10"/>
  <c r="CD209" i="10"/>
  <c r="CB209" i="10"/>
  <c r="CC209" i="10" s="1"/>
  <c r="CE208" i="10"/>
  <c r="CD208" i="10"/>
  <c r="CF208" i="10" s="1"/>
  <c r="CB208" i="10"/>
  <c r="CC208" i="10" s="1"/>
  <c r="CE207" i="10"/>
  <c r="CD207" i="10"/>
  <c r="CB207" i="10"/>
  <c r="CC207" i="10" s="1"/>
  <c r="CE206" i="10"/>
  <c r="CF206" i="10" s="1"/>
  <c r="CD206" i="10"/>
  <c r="CB206" i="10"/>
  <c r="CC206" i="10" s="1"/>
  <c r="CE205" i="10"/>
  <c r="CF205" i="10" s="1"/>
  <c r="CD205" i="10"/>
  <c r="CB205" i="10"/>
  <c r="CE204" i="10"/>
  <c r="CD204" i="10"/>
  <c r="CB204" i="10"/>
  <c r="CE203" i="10"/>
  <c r="CD203" i="10"/>
  <c r="CB203" i="10"/>
  <c r="CE202" i="10"/>
  <c r="CD202" i="10"/>
  <c r="CF202" i="10" s="1"/>
  <c r="CB202" i="10"/>
  <c r="CC202" i="10" s="1"/>
  <c r="CE201" i="10"/>
  <c r="CF201" i="10" s="1"/>
  <c r="CD201" i="10"/>
  <c r="CB201" i="10"/>
  <c r="CC201" i="10" s="1"/>
  <c r="CE200" i="10"/>
  <c r="CD200" i="10"/>
  <c r="CF200" i="10" s="1"/>
  <c r="CB200" i="10"/>
  <c r="CC200" i="10" s="1"/>
  <c r="CE199" i="10"/>
  <c r="CD199" i="10"/>
  <c r="CF199" i="10" s="1"/>
  <c r="CB199" i="10"/>
  <c r="CE198" i="10"/>
  <c r="CD198" i="10"/>
  <c r="CB198" i="10"/>
  <c r="CE197" i="10"/>
  <c r="CD197" i="10"/>
  <c r="CB197" i="10"/>
  <c r="CE196" i="10"/>
  <c r="CD196" i="10"/>
  <c r="CB196" i="10"/>
  <c r="CC196" i="10" s="1"/>
  <c r="CE195" i="10"/>
  <c r="CD195" i="10"/>
  <c r="CB195" i="10"/>
  <c r="CC195" i="10" s="1"/>
  <c r="CE194" i="10"/>
  <c r="CD194" i="10"/>
  <c r="CF194" i="10" s="1"/>
  <c r="CB194" i="10"/>
  <c r="CE193" i="10"/>
  <c r="CD193" i="10"/>
  <c r="CB193" i="10"/>
  <c r="CC193" i="10" s="1"/>
  <c r="CE192" i="10"/>
  <c r="CD192" i="10"/>
  <c r="CF192" i="10" s="1"/>
  <c r="CB192" i="10"/>
  <c r="CC192" i="10" s="1"/>
  <c r="CE191" i="10"/>
  <c r="CD191" i="10"/>
  <c r="CF191" i="10" s="1"/>
  <c r="CB191" i="10"/>
  <c r="CC191" i="10" s="1"/>
  <c r="CE190" i="10"/>
  <c r="CF190" i="10" s="1"/>
  <c r="CD190" i="10"/>
  <c r="CB190" i="10"/>
  <c r="CE189" i="10"/>
  <c r="CD189" i="10"/>
  <c r="CB189" i="10"/>
  <c r="CE188" i="10"/>
  <c r="CD188" i="10"/>
  <c r="CB188" i="10"/>
  <c r="CC188" i="10" s="1"/>
  <c r="CE187" i="10"/>
  <c r="CD187" i="10"/>
  <c r="CB187" i="10"/>
  <c r="CC187" i="10" s="1"/>
  <c r="CE186" i="10"/>
  <c r="CD186" i="10"/>
  <c r="CF186" i="10" s="1"/>
  <c r="CB186" i="10"/>
  <c r="CC186" i="10" s="1"/>
  <c r="CE185" i="10"/>
  <c r="CD185" i="10"/>
  <c r="CB185" i="10"/>
  <c r="CC185" i="10" s="1"/>
  <c r="CE184" i="10"/>
  <c r="CD184" i="10"/>
  <c r="CB184" i="10"/>
  <c r="CC184" i="10" s="1"/>
  <c r="CE183" i="10"/>
  <c r="CD183" i="10"/>
  <c r="CB183" i="10"/>
  <c r="CE182" i="10"/>
  <c r="CD182" i="10"/>
  <c r="CB182" i="10"/>
  <c r="CE181" i="10"/>
  <c r="CD181" i="10"/>
  <c r="CF181" i="10" s="1"/>
  <c r="CB181" i="10"/>
  <c r="CE180" i="10"/>
  <c r="CD180" i="10"/>
  <c r="CF180" i="10" s="1"/>
  <c r="CB180" i="10"/>
  <c r="CC180" i="10" s="1"/>
  <c r="CE179" i="10"/>
  <c r="CF179" i="10" s="1"/>
  <c r="CD179" i="10"/>
  <c r="CB179" i="10"/>
  <c r="CC179" i="10" s="1"/>
  <c r="CE178" i="10"/>
  <c r="CD178" i="10"/>
  <c r="CF178" i="10" s="1"/>
  <c r="CB178" i="10"/>
  <c r="CC178" i="10" s="1"/>
  <c r="CE177" i="10"/>
  <c r="CD177" i="10"/>
  <c r="CB177" i="10"/>
  <c r="CC177" i="10" s="1"/>
  <c r="CE176" i="10"/>
  <c r="CD176" i="10"/>
  <c r="CB176" i="10"/>
  <c r="CC176" i="10" s="1"/>
  <c r="CE175" i="10"/>
  <c r="CD175" i="10"/>
  <c r="CB175" i="10"/>
  <c r="CE174" i="10"/>
  <c r="CD174" i="10"/>
  <c r="CB174" i="10"/>
  <c r="CC174" i="10" s="1"/>
  <c r="CE173" i="10"/>
  <c r="CD173" i="10"/>
  <c r="CF173" i="10" s="1"/>
  <c r="CB173" i="10"/>
  <c r="CC173" i="10" s="1"/>
  <c r="CE172" i="10"/>
  <c r="CD172" i="10"/>
  <c r="CF172" i="10" s="1"/>
  <c r="CB172" i="10"/>
  <c r="CE171" i="10"/>
  <c r="CD171" i="10"/>
  <c r="CB171" i="10"/>
  <c r="CC171" i="10" s="1"/>
  <c r="CE170" i="10"/>
  <c r="CD170" i="10"/>
  <c r="CF170" i="10" s="1"/>
  <c r="CB170" i="10"/>
  <c r="CC170" i="10" s="1"/>
  <c r="CE169" i="10"/>
  <c r="CD169" i="10"/>
  <c r="CF169" i="10" s="1"/>
  <c r="CB169" i="10"/>
  <c r="CC169" i="10" s="1"/>
  <c r="CE168" i="10"/>
  <c r="CD168" i="10"/>
  <c r="CB168" i="10"/>
  <c r="CE167" i="10"/>
  <c r="CD167" i="10"/>
  <c r="CB167" i="10"/>
  <c r="CE166" i="10"/>
  <c r="CD166" i="10"/>
  <c r="CB166" i="10"/>
  <c r="CC166" i="10" s="1"/>
  <c r="CE165" i="10"/>
  <c r="CD165" i="10"/>
  <c r="CB165" i="10"/>
  <c r="CC165" i="10" s="1"/>
  <c r="CE164" i="10"/>
  <c r="CD164" i="10"/>
  <c r="CF164" i="10" s="1"/>
  <c r="CB164" i="10"/>
  <c r="CC164" i="10" s="1"/>
  <c r="CE163" i="10"/>
  <c r="CD163" i="10"/>
  <c r="CB163" i="10"/>
  <c r="CC163" i="10" s="1"/>
  <c r="CE162" i="10"/>
  <c r="CD162" i="10"/>
  <c r="CB162" i="10"/>
  <c r="CC162" i="10" s="1"/>
  <c r="CE161" i="10"/>
  <c r="CF161" i="10" s="1"/>
  <c r="CD161" i="10"/>
  <c r="CB161" i="10"/>
  <c r="CE160" i="10"/>
  <c r="CD160" i="10"/>
  <c r="CB160" i="10"/>
  <c r="CE159" i="10"/>
  <c r="CD159" i="10"/>
  <c r="CB159" i="10"/>
  <c r="CE158" i="10"/>
  <c r="CD158" i="10"/>
  <c r="CF158" i="10" s="1"/>
  <c r="CB158" i="10"/>
  <c r="CC158" i="10" s="1"/>
  <c r="CE157" i="10"/>
  <c r="CF157" i="10" s="1"/>
  <c r="CD157" i="10"/>
  <c r="CB157" i="10"/>
  <c r="CC157" i="10" s="1"/>
  <c r="CE156" i="10"/>
  <c r="CD156" i="10"/>
  <c r="CF156" i="10" s="1"/>
  <c r="CB156" i="10"/>
  <c r="CC156" i="10" s="1"/>
  <c r="CE155" i="10"/>
  <c r="CD155" i="10"/>
  <c r="CF155" i="10" s="1"/>
  <c r="CB155" i="10"/>
  <c r="CC155" i="10" s="1"/>
  <c r="CE154" i="10"/>
  <c r="CD154" i="10"/>
  <c r="CB154" i="10"/>
  <c r="CE153" i="10"/>
  <c r="CD153" i="10"/>
  <c r="CB153" i="10"/>
  <c r="CE152" i="10"/>
  <c r="CD152" i="10"/>
  <c r="CB152" i="10"/>
  <c r="CE151" i="10"/>
  <c r="CD151" i="10"/>
  <c r="CB151" i="10"/>
  <c r="CC151" i="10" s="1"/>
  <c r="CW377" i="10"/>
  <c r="CU377" i="10"/>
  <c r="CV375" i="10"/>
  <c r="CT375" i="10"/>
  <c r="CU375" i="10" s="1"/>
  <c r="CV374" i="10"/>
  <c r="CW374" i="10" s="1"/>
  <c r="CT374" i="10"/>
  <c r="CU374" i="10" s="1"/>
  <c r="CV373" i="10"/>
  <c r="CT373" i="10"/>
  <c r="CU373" i="10" s="1"/>
  <c r="CV372" i="10"/>
  <c r="CW372" i="10" s="1"/>
  <c r="CT372" i="10"/>
  <c r="CU372" i="10" s="1"/>
  <c r="CV371" i="10"/>
  <c r="CW371" i="10" s="1"/>
  <c r="CT371" i="10"/>
  <c r="CU371" i="10" s="1"/>
  <c r="CV370" i="10"/>
  <c r="CT370" i="10"/>
  <c r="CV369" i="10"/>
  <c r="CT369" i="10"/>
  <c r="CV368" i="10"/>
  <c r="CW368" i="10" s="1"/>
  <c r="CT368" i="10"/>
  <c r="CV367" i="10"/>
  <c r="CW367" i="10" s="1"/>
  <c r="CT367" i="10"/>
  <c r="CV366" i="10"/>
  <c r="CT366" i="10"/>
  <c r="CU366" i="10" s="1"/>
  <c r="CV365" i="10"/>
  <c r="CW365" i="10" s="1"/>
  <c r="CT365" i="10"/>
  <c r="CU365" i="10" s="1"/>
  <c r="CV364" i="10"/>
  <c r="CT364" i="10"/>
  <c r="CU364" i="10" s="1"/>
  <c r="CV363" i="10"/>
  <c r="CW363" i="10" s="1"/>
  <c r="CT363" i="10"/>
  <c r="CU363" i="10" s="1"/>
  <c r="CV362" i="10"/>
  <c r="CW362" i="10" s="1"/>
  <c r="CT362" i="10"/>
  <c r="CU362" i="10" s="1"/>
  <c r="CV361" i="10"/>
  <c r="CW361" i="10" s="1"/>
  <c r="CT361" i="10"/>
  <c r="CU361" i="10" s="1"/>
  <c r="CV360" i="10"/>
  <c r="CW360" i="10" s="1"/>
  <c r="CT360" i="10"/>
  <c r="CU360" i="10" s="1"/>
  <c r="CV359" i="10"/>
  <c r="CW359" i="10" s="1"/>
  <c r="CT359" i="10"/>
  <c r="CV358" i="10"/>
  <c r="CT358" i="10"/>
  <c r="CV357" i="10"/>
  <c r="CW357" i="10" s="1"/>
  <c r="CT357" i="10"/>
  <c r="CV356" i="10"/>
  <c r="CW356" i="10" s="1"/>
  <c r="CT356" i="10"/>
  <c r="CV355" i="10"/>
  <c r="CW355" i="10" s="1"/>
  <c r="CT355" i="10"/>
  <c r="CU355" i="10" s="1"/>
  <c r="CV354" i="10"/>
  <c r="CW354" i="10" s="1"/>
  <c r="CT354" i="10"/>
  <c r="CU354" i="10" s="1"/>
  <c r="CV353" i="10"/>
  <c r="CT353" i="10"/>
  <c r="CU353" i="10" s="1"/>
  <c r="CV352" i="10"/>
  <c r="CW352" i="10" s="1"/>
  <c r="CT352" i="10"/>
  <c r="CU352" i="10" s="1"/>
  <c r="CV351" i="10"/>
  <c r="CW351" i="10" s="1"/>
  <c r="CT351" i="10"/>
  <c r="CU351" i="10" s="1"/>
  <c r="CV350" i="10"/>
  <c r="CW350" i="10" s="1"/>
  <c r="CT350" i="10"/>
  <c r="CU350" i="10" s="1"/>
  <c r="CV349" i="10"/>
  <c r="CW349" i="10" s="1"/>
  <c r="CT349" i="10"/>
  <c r="CU349" i="10" s="1"/>
  <c r="CV348" i="10"/>
  <c r="CT348" i="10"/>
  <c r="CV347" i="10"/>
  <c r="CT347" i="10"/>
  <c r="CV346" i="10"/>
  <c r="CT346" i="10"/>
  <c r="CV345" i="10"/>
  <c r="CW345" i="10" s="1"/>
  <c r="CT345" i="10"/>
  <c r="CV344" i="10"/>
  <c r="CW344" i="10" s="1"/>
  <c r="CT344" i="10"/>
  <c r="CU344" i="10" s="1"/>
  <c r="CV343" i="10"/>
  <c r="CW343" i="10" s="1"/>
  <c r="CT343" i="10"/>
  <c r="CU343" i="10" s="1"/>
  <c r="CV342" i="10"/>
  <c r="CT342" i="10"/>
  <c r="CU342" i="10" s="1"/>
  <c r="CV341" i="10"/>
  <c r="CW341" i="10" s="1"/>
  <c r="CT341" i="10"/>
  <c r="CU341" i="10" s="1"/>
  <c r="CV340" i="10"/>
  <c r="CW340" i="10" s="1"/>
  <c r="CT340" i="10"/>
  <c r="CU340" i="10" s="1"/>
  <c r="CV339" i="10"/>
  <c r="CW339" i="10" s="1"/>
  <c r="CT339" i="10"/>
  <c r="CU339" i="10" s="1"/>
  <c r="CV338" i="10"/>
  <c r="CW338" i="10" s="1"/>
  <c r="CT338" i="10"/>
  <c r="CU338" i="10" s="1"/>
  <c r="CV337" i="10"/>
  <c r="CW337" i="10" s="1"/>
  <c r="CT337" i="10"/>
  <c r="CV336" i="10"/>
  <c r="CT336" i="10"/>
  <c r="CV335" i="10"/>
  <c r="CT335" i="10"/>
  <c r="CV334" i="10"/>
  <c r="CW334" i="10" s="1"/>
  <c r="CT334" i="10"/>
  <c r="CV333" i="10"/>
  <c r="CW333" i="10" s="1"/>
  <c r="CT333" i="10"/>
  <c r="CU333" i="10" s="1"/>
  <c r="CV332" i="10"/>
  <c r="CW332" i="10" s="1"/>
  <c r="CT332" i="10"/>
  <c r="CU332" i="10" s="1"/>
  <c r="CV331" i="10"/>
  <c r="CT331" i="10"/>
  <c r="CU331" i="10" s="1"/>
  <c r="CV330" i="10"/>
  <c r="CW330" i="10" s="1"/>
  <c r="CT330" i="10"/>
  <c r="CU330" i="10" s="1"/>
  <c r="CV329" i="10"/>
  <c r="CW329" i="10" s="1"/>
  <c r="CT329" i="10"/>
  <c r="CU329" i="10" s="1"/>
  <c r="CV328" i="10"/>
  <c r="CW328" i="10" s="1"/>
  <c r="CT328" i="10"/>
  <c r="CU328" i="10" s="1"/>
  <c r="CV327" i="10"/>
  <c r="CW327" i="10" s="1"/>
  <c r="CT327" i="10"/>
  <c r="CU327" i="10" s="1"/>
  <c r="CV326" i="10"/>
  <c r="CW326" i="10" s="1"/>
  <c r="CT326" i="10"/>
  <c r="CV325" i="10"/>
  <c r="CT325" i="10"/>
  <c r="CV324" i="10"/>
  <c r="CT324" i="10"/>
  <c r="CV323" i="10"/>
  <c r="CW323" i="10" s="1"/>
  <c r="CT323" i="10"/>
  <c r="CV322" i="10"/>
  <c r="CW322" i="10" s="1"/>
  <c r="CT322" i="10"/>
  <c r="CU322" i="10" s="1"/>
  <c r="CV321" i="10"/>
  <c r="CW321" i="10" s="1"/>
  <c r="CT321" i="10"/>
  <c r="CU321" i="10" s="1"/>
  <c r="CV320" i="10"/>
  <c r="CT320" i="10"/>
  <c r="CU320" i="10" s="1"/>
  <c r="CV319" i="10"/>
  <c r="CW319" i="10" s="1"/>
  <c r="CT319" i="10"/>
  <c r="CU319" i="10" s="1"/>
  <c r="CV318" i="10"/>
  <c r="CW318" i="10" s="1"/>
  <c r="CT318" i="10"/>
  <c r="CU318" i="10" s="1"/>
  <c r="CV317" i="10"/>
  <c r="CW317" i="10" s="1"/>
  <c r="CT317" i="10"/>
  <c r="CU317" i="10" s="1"/>
  <c r="CV316" i="10"/>
  <c r="CW316" i="10" s="1"/>
  <c r="CT316" i="10"/>
  <c r="CU316" i="10" s="1"/>
  <c r="CV315" i="10"/>
  <c r="CT315" i="10"/>
  <c r="CV314" i="10"/>
  <c r="CT314" i="10"/>
  <c r="CV313" i="10"/>
  <c r="CT313" i="10"/>
  <c r="CV312" i="10"/>
  <c r="CW312" i="10" s="1"/>
  <c r="CT312" i="10"/>
  <c r="CV311" i="10"/>
  <c r="CW311" i="10" s="1"/>
  <c r="CT311" i="10"/>
  <c r="CU311" i="10" s="1"/>
  <c r="CV310" i="10"/>
  <c r="CW310" i="10" s="1"/>
  <c r="CT310" i="10"/>
  <c r="CU310" i="10" s="1"/>
  <c r="CV309" i="10"/>
  <c r="CT309" i="10"/>
  <c r="CU309" i="10" s="1"/>
  <c r="CV308" i="10"/>
  <c r="CW308" i="10" s="1"/>
  <c r="CT308" i="10"/>
  <c r="CU308" i="10" s="1"/>
  <c r="CV307" i="10"/>
  <c r="CW307" i="10" s="1"/>
  <c r="CT307" i="10"/>
  <c r="CU307" i="10" s="1"/>
  <c r="CV306" i="10"/>
  <c r="CW306" i="10" s="1"/>
  <c r="CT306" i="10"/>
  <c r="CU306" i="10" s="1"/>
  <c r="CV305" i="10"/>
  <c r="CW305" i="10" s="1"/>
  <c r="CT305" i="10"/>
  <c r="CU305" i="10" s="1"/>
  <c r="CV304" i="10"/>
  <c r="CW304" i="10" s="1"/>
  <c r="CT304" i="10"/>
  <c r="CV303" i="10"/>
  <c r="CT303" i="10"/>
  <c r="CV302" i="10"/>
  <c r="CT302" i="10"/>
  <c r="CV301" i="10"/>
  <c r="CT301" i="10"/>
  <c r="CV300" i="10"/>
  <c r="CW300" i="10" s="1"/>
  <c r="CT300" i="10"/>
  <c r="CU300" i="10" s="1"/>
  <c r="CV299" i="10"/>
  <c r="CW299" i="10" s="1"/>
  <c r="CT299" i="10"/>
  <c r="CU299" i="10" s="1"/>
  <c r="CV298" i="10"/>
  <c r="CT298" i="10"/>
  <c r="CU298" i="10" s="1"/>
  <c r="CV297" i="10"/>
  <c r="CW297" i="10" s="1"/>
  <c r="CT297" i="10"/>
  <c r="CU297" i="10" s="1"/>
  <c r="CV296" i="10"/>
  <c r="CW296" i="10" s="1"/>
  <c r="CT296" i="10"/>
  <c r="CU296" i="10" s="1"/>
  <c r="CV295" i="10"/>
  <c r="CW295" i="10" s="1"/>
  <c r="CT295" i="10"/>
  <c r="CU295" i="10" s="1"/>
  <c r="CV294" i="10"/>
  <c r="CW294" i="10" s="1"/>
  <c r="CT294" i="10"/>
  <c r="CU294" i="10" s="1"/>
  <c r="CV293" i="10"/>
  <c r="CT293" i="10"/>
  <c r="CV292" i="10"/>
  <c r="CT292" i="10"/>
  <c r="CV291" i="10"/>
  <c r="CT291" i="10"/>
  <c r="CV290" i="10"/>
  <c r="CW290" i="10" s="1"/>
  <c r="CT290" i="10"/>
  <c r="CV289" i="10"/>
  <c r="CW289" i="10" s="1"/>
  <c r="CT289" i="10"/>
  <c r="CU289" i="10" s="1"/>
  <c r="CV288" i="10"/>
  <c r="CW288" i="10" s="1"/>
  <c r="CT288" i="10"/>
  <c r="CU288" i="10" s="1"/>
  <c r="CV287" i="10"/>
  <c r="CT287" i="10"/>
  <c r="CU287" i="10" s="1"/>
  <c r="CV286" i="10"/>
  <c r="CW286" i="10" s="1"/>
  <c r="CT286" i="10"/>
  <c r="CU286" i="10" s="1"/>
  <c r="CV285" i="10"/>
  <c r="CW285" i="10" s="1"/>
  <c r="CT285" i="10"/>
  <c r="CU285" i="10" s="1"/>
  <c r="CV284" i="10"/>
  <c r="CW284" i="10" s="1"/>
  <c r="CT284" i="10"/>
  <c r="CU284" i="10" s="1"/>
  <c r="CV283" i="10"/>
  <c r="CW283" i="10" s="1"/>
  <c r="CT283" i="10"/>
  <c r="CU283" i="10" s="1"/>
  <c r="CV282" i="10"/>
  <c r="CW282" i="10" s="1"/>
  <c r="CT282" i="10"/>
  <c r="CV281" i="10"/>
  <c r="CT281" i="10"/>
  <c r="CV280" i="10"/>
  <c r="CT280" i="10"/>
  <c r="CV279" i="10"/>
  <c r="CW279" i="10" s="1"/>
  <c r="CT279" i="10"/>
  <c r="CV278" i="10"/>
  <c r="CW278" i="10" s="1"/>
  <c r="CT278" i="10"/>
  <c r="CU278" i="10" s="1"/>
  <c r="CV277" i="10"/>
  <c r="CT277" i="10"/>
  <c r="CU277" i="10" s="1"/>
  <c r="CV276" i="10"/>
  <c r="CT276" i="10"/>
  <c r="CU276" i="10" s="1"/>
  <c r="CV275" i="10"/>
  <c r="CW275" i="10" s="1"/>
  <c r="CT275" i="10"/>
  <c r="CU275" i="10" s="1"/>
  <c r="CV274" i="10"/>
  <c r="CW274" i="10" s="1"/>
  <c r="CT274" i="10"/>
  <c r="CU274" i="10" s="1"/>
  <c r="CV273" i="10"/>
  <c r="CW273" i="10" s="1"/>
  <c r="CT273" i="10"/>
  <c r="CU273" i="10" s="1"/>
  <c r="CV272" i="10"/>
  <c r="CW272" i="10" s="1"/>
  <c r="CT272" i="10"/>
  <c r="CU272" i="10" s="1"/>
  <c r="CV271" i="10"/>
  <c r="CT271" i="10"/>
  <c r="CV270" i="10"/>
  <c r="CT270" i="10"/>
  <c r="CV269" i="10"/>
  <c r="CT269" i="10"/>
  <c r="CV268" i="10"/>
  <c r="CW268" i="10" s="1"/>
  <c r="CT268" i="10"/>
  <c r="CV267" i="10"/>
  <c r="CW267" i="10" s="1"/>
  <c r="CT267" i="10"/>
  <c r="CU267" i="10" s="1"/>
  <c r="CV266" i="10"/>
  <c r="CW266" i="10" s="1"/>
  <c r="CT266" i="10"/>
  <c r="CU266" i="10" s="1"/>
  <c r="CV265" i="10"/>
  <c r="CT265" i="10"/>
  <c r="CV264" i="10"/>
  <c r="CW264" i="10" s="1"/>
  <c r="CT264" i="10"/>
  <c r="CU264" i="10" s="1"/>
  <c r="CV263" i="10"/>
  <c r="CW263" i="10" s="1"/>
  <c r="CT263" i="10"/>
  <c r="CU263" i="10" s="1"/>
  <c r="CV262" i="10"/>
  <c r="CW262" i="10" s="1"/>
  <c r="CT262" i="10"/>
  <c r="CU262" i="10" s="1"/>
  <c r="CV261" i="10"/>
  <c r="CW261" i="10" s="1"/>
  <c r="CT261" i="10"/>
  <c r="CU261" i="10" s="1"/>
  <c r="CV260" i="10"/>
  <c r="CW260" i="10" s="1"/>
  <c r="CT260" i="10"/>
  <c r="CV259" i="10"/>
  <c r="CT259" i="10"/>
  <c r="CV258" i="10"/>
  <c r="CT258" i="10"/>
  <c r="CV257" i="10"/>
  <c r="CT257" i="10"/>
  <c r="CV256" i="10"/>
  <c r="CT256" i="10"/>
  <c r="CU256" i="10" s="1"/>
  <c r="CV255" i="10"/>
  <c r="CW255" i="10" s="1"/>
  <c r="CT255" i="10"/>
  <c r="CU255" i="10" s="1"/>
  <c r="CV254" i="10"/>
  <c r="CT254" i="10"/>
  <c r="CU254" i="10" s="1"/>
  <c r="CV253" i="10"/>
  <c r="CW253" i="10" s="1"/>
  <c r="CT253" i="10"/>
  <c r="CU253" i="10" s="1"/>
  <c r="CV252" i="10"/>
  <c r="CW252" i="10" s="1"/>
  <c r="CT252" i="10"/>
  <c r="CU252" i="10" s="1"/>
  <c r="CV251" i="10"/>
  <c r="CW251" i="10" s="1"/>
  <c r="CT251" i="10"/>
  <c r="CU251" i="10" s="1"/>
  <c r="CV250" i="10"/>
  <c r="CW250" i="10" s="1"/>
  <c r="CT250" i="10"/>
  <c r="CU250" i="10" s="1"/>
  <c r="CV249" i="10"/>
  <c r="CT249" i="10"/>
  <c r="CV248" i="10"/>
  <c r="CT248" i="10"/>
  <c r="CV247" i="10"/>
  <c r="CT247" i="10"/>
  <c r="CV246" i="10"/>
  <c r="CT246" i="10"/>
  <c r="CV245" i="10"/>
  <c r="CW245" i="10" s="1"/>
  <c r="CT245" i="10"/>
  <c r="CU245" i="10" s="1"/>
  <c r="CV244" i="10"/>
  <c r="CW244" i="10" s="1"/>
  <c r="CT244" i="10"/>
  <c r="CU244" i="10" s="1"/>
  <c r="CV243" i="10"/>
  <c r="CT243" i="10"/>
  <c r="CV242" i="10"/>
  <c r="CW242" i="10" s="1"/>
  <c r="CT242" i="10"/>
  <c r="CU242" i="10" s="1"/>
  <c r="CV241" i="10"/>
  <c r="CW241" i="10" s="1"/>
  <c r="CT241" i="10"/>
  <c r="CU241" i="10" s="1"/>
  <c r="CV240" i="10"/>
  <c r="CW240" i="10" s="1"/>
  <c r="CT240" i="10"/>
  <c r="CU240" i="10" s="1"/>
  <c r="CV239" i="10"/>
  <c r="CW239" i="10" s="1"/>
  <c r="CT239" i="10"/>
  <c r="CU239" i="10" s="1"/>
  <c r="CV238" i="10"/>
  <c r="CT238" i="10"/>
  <c r="CV237" i="10"/>
  <c r="CT237" i="10"/>
  <c r="CV236" i="10"/>
  <c r="CT236" i="10"/>
  <c r="CV235" i="10"/>
  <c r="CW235" i="10" s="1"/>
  <c r="CT235" i="10"/>
  <c r="CV234" i="10"/>
  <c r="CW234" i="10" s="1"/>
  <c r="CT234" i="10"/>
  <c r="CU234" i="10" s="1"/>
  <c r="CV233" i="10"/>
  <c r="CT233" i="10"/>
  <c r="CU233" i="10" s="1"/>
  <c r="CV232" i="10"/>
  <c r="CT232" i="10"/>
  <c r="CU232" i="10" s="1"/>
  <c r="CV231" i="10"/>
  <c r="CW231" i="10" s="1"/>
  <c r="CT231" i="10"/>
  <c r="CU231" i="10" s="1"/>
  <c r="CV230" i="10"/>
  <c r="CW230" i="10" s="1"/>
  <c r="CT230" i="10"/>
  <c r="CU230" i="10" s="1"/>
  <c r="CV229" i="10"/>
  <c r="CW229" i="10" s="1"/>
  <c r="CT229" i="10"/>
  <c r="CU229" i="10" s="1"/>
  <c r="CV228" i="10"/>
  <c r="CW228" i="10" s="1"/>
  <c r="CT228" i="10"/>
  <c r="CU228" i="10" s="1"/>
  <c r="CV227" i="10"/>
  <c r="CT227" i="10"/>
  <c r="CV226" i="10"/>
  <c r="CT226" i="10"/>
  <c r="CV225" i="10"/>
  <c r="CT225" i="10"/>
  <c r="CV224" i="10"/>
  <c r="CW224" i="10" s="1"/>
  <c r="CT224" i="10"/>
  <c r="CV223" i="10"/>
  <c r="CT223" i="10"/>
  <c r="CU223" i="10" s="1"/>
  <c r="CV222" i="10"/>
  <c r="CW222" i="10" s="1"/>
  <c r="CT222" i="10"/>
  <c r="CU222" i="10" s="1"/>
  <c r="CV221" i="10"/>
  <c r="CT221" i="10"/>
  <c r="CU221" i="10" s="1"/>
  <c r="CV220" i="10"/>
  <c r="CW220" i="10" s="1"/>
  <c r="CT220" i="10"/>
  <c r="CU220" i="10" s="1"/>
  <c r="CV219" i="10"/>
  <c r="CW219" i="10" s="1"/>
  <c r="CT219" i="10"/>
  <c r="CU219" i="10" s="1"/>
  <c r="CV218" i="10"/>
  <c r="CW218" i="10" s="1"/>
  <c r="CT218" i="10"/>
  <c r="CU218" i="10" s="1"/>
  <c r="CV217" i="10"/>
  <c r="CW217" i="10" s="1"/>
  <c r="CT217" i="10"/>
  <c r="CU217" i="10" s="1"/>
  <c r="CV216" i="10"/>
  <c r="CT216" i="10"/>
  <c r="CV215" i="10"/>
  <c r="CT215" i="10"/>
  <c r="CV214" i="10"/>
  <c r="CT214" i="10"/>
  <c r="CV213" i="10"/>
  <c r="CW213" i="10" s="1"/>
  <c r="CT213" i="10"/>
  <c r="CV212" i="10"/>
  <c r="CW212" i="10" s="1"/>
  <c r="CT212" i="10"/>
  <c r="CU212" i="10" s="1"/>
  <c r="CV211" i="10"/>
  <c r="CW211" i="10" s="1"/>
  <c r="CT211" i="10"/>
  <c r="CV210" i="10"/>
  <c r="CT210" i="10"/>
  <c r="CU210" i="10" s="1"/>
  <c r="CV209" i="10"/>
  <c r="CW209" i="10" s="1"/>
  <c r="CT209" i="10"/>
  <c r="CU209" i="10" s="1"/>
  <c r="CV208" i="10"/>
  <c r="CW208" i="10" s="1"/>
  <c r="CT208" i="10"/>
  <c r="CU208" i="10" s="1"/>
  <c r="CV207" i="10"/>
  <c r="CW207" i="10" s="1"/>
  <c r="CT207" i="10"/>
  <c r="CU207" i="10" s="1"/>
  <c r="CV206" i="10"/>
  <c r="CW206" i="10" s="1"/>
  <c r="CT206" i="10"/>
  <c r="CU206" i="10" s="1"/>
  <c r="CV205" i="10"/>
  <c r="CT205" i="10"/>
  <c r="CV204" i="10"/>
  <c r="CT204" i="10"/>
  <c r="CV203" i="10"/>
  <c r="CT203" i="10"/>
  <c r="CV202" i="10"/>
  <c r="CW202" i="10" s="1"/>
  <c r="CT202" i="10"/>
  <c r="CV201" i="10"/>
  <c r="CW201" i="10" s="1"/>
  <c r="CT201" i="10"/>
  <c r="CU201" i="10" s="1"/>
  <c r="CV200" i="10"/>
  <c r="CW200" i="10" s="1"/>
  <c r="CT200" i="10"/>
  <c r="CU200" i="10" s="1"/>
  <c r="CV199" i="10"/>
  <c r="CT199" i="10"/>
  <c r="CU199" i="10" s="1"/>
  <c r="CV198" i="10"/>
  <c r="CT198" i="10"/>
  <c r="CU198" i="10" s="1"/>
  <c r="CT197" i="10"/>
  <c r="CU197" i="10" s="1"/>
  <c r="CT196" i="10"/>
  <c r="CU196" i="10" s="1"/>
  <c r="CT195" i="10"/>
  <c r="CU195" i="10" s="1"/>
  <c r="CT194" i="10"/>
  <c r="CT193" i="10"/>
  <c r="CU193" i="10" s="1"/>
  <c r="CT192" i="10"/>
  <c r="CU192" i="10" s="1"/>
  <c r="CT191" i="10"/>
  <c r="CU191" i="10" s="1"/>
  <c r="CT190" i="10"/>
  <c r="CT189" i="10"/>
  <c r="CT188" i="10"/>
  <c r="CT187" i="10"/>
  <c r="CT186" i="10"/>
  <c r="CT185" i="10"/>
  <c r="CU185" i="10" s="1"/>
  <c r="CT184" i="10"/>
  <c r="CT183" i="10"/>
  <c r="CU183" i="10" s="1"/>
  <c r="CT182" i="10"/>
  <c r="CU182" i="10" s="1"/>
  <c r="CT181" i="10"/>
  <c r="CU181" i="10" s="1"/>
  <c r="CT180" i="10"/>
  <c r="CU180" i="10" s="1"/>
  <c r="CT179" i="10"/>
  <c r="CT178" i="10"/>
  <c r="CU178" i="10" s="1"/>
  <c r="CT177" i="10"/>
  <c r="CU177" i="10" s="1"/>
  <c r="CT176" i="10"/>
  <c r="CU176" i="10" s="1"/>
  <c r="CT175" i="10"/>
  <c r="CU175" i="10" s="1"/>
  <c r="CT174" i="10"/>
  <c r="CU174" i="10" s="1"/>
  <c r="CT173" i="10"/>
  <c r="CU173" i="10" s="1"/>
  <c r="CT172" i="10"/>
  <c r="CU172" i="10" s="1"/>
  <c r="CT171" i="10"/>
  <c r="CU171" i="10" s="1"/>
  <c r="CT170" i="10"/>
  <c r="CU170" i="10" s="1"/>
  <c r="CT169" i="10"/>
  <c r="CT168" i="10"/>
  <c r="CT167" i="10"/>
  <c r="CT166" i="10"/>
  <c r="CT165" i="10"/>
  <c r="CT164" i="10"/>
  <c r="CT163" i="10"/>
  <c r="CU163" i="10" s="1"/>
  <c r="CT162" i="10"/>
  <c r="CT161" i="10"/>
  <c r="CU161" i="10" s="1"/>
  <c r="CT160" i="10"/>
  <c r="CU160" i="10" s="1"/>
  <c r="CT159" i="10"/>
  <c r="CU159" i="10" s="1"/>
  <c r="CT158" i="10"/>
  <c r="CU158" i="10" s="1"/>
  <c r="CT157" i="10"/>
  <c r="CT156" i="10"/>
  <c r="CU156" i="10" s="1"/>
  <c r="CT155" i="10"/>
  <c r="CT154" i="10"/>
  <c r="CU154" i="10" s="1"/>
  <c r="CT153" i="10"/>
  <c r="CU153" i="10" s="1"/>
  <c r="CT152" i="10"/>
  <c r="CU152" i="10" s="1"/>
  <c r="CT151" i="10"/>
  <c r="CU151" i="10" s="1"/>
  <c r="CT150" i="10"/>
  <c r="CT149" i="10"/>
  <c r="CU149" i="10" s="1"/>
  <c r="CT148" i="10"/>
  <c r="CU148" i="10" s="1"/>
  <c r="CT147" i="10"/>
  <c r="CU147" i="10" s="1"/>
  <c r="CT146" i="10"/>
  <c r="CA377" i="10"/>
  <c r="BV377" i="10"/>
  <c r="BZ375" i="10"/>
  <c r="BY375" i="10"/>
  <c r="BX375" i="10"/>
  <c r="CA375" i="10" s="1"/>
  <c r="BW375" i="10"/>
  <c r="BU375" i="10"/>
  <c r="BV375" i="10" s="1"/>
  <c r="BZ374" i="10"/>
  <c r="BY374" i="10"/>
  <c r="BX374" i="10"/>
  <c r="BW374" i="10"/>
  <c r="BU374" i="10"/>
  <c r="BV374" i="10" s="1"/>
  <c r="BZ373" i="10"/>
  <c r="BY373" i="10"/>
  <c r="BX373" i="10"/>
  <c r="BW373" i="10"/>
  <c r="CA373" i="10" s="1"/>
  <c r="BU373" i="10"/>
  <c r="BV373" i="10" s="1"/>
  <c r="BZ372" i="10"/>
  <c r="BY372" i="10"/>
  <c r="BX372" i="10"/>
  <c r="BW372" i="10"/>
  <c r="BU372" i="10"/>
  <c r="BZ371" i="10"/>
  <c r="BY371" i="10"/>
  <c r="BX371" i="10"/>
  <c r="CA371" i="10" s="1"/>
  <c r="BW371" i="10"/>
  <c r="BU371" i="10"/>
  <c r="BV371" i="10" s="1"/>
  <c r="BZ370" i="10"/>
  <c r="BY370" i="10"/>
  <c r="BX370" i="10"/>
  <c r="BW370" i="10"/>
  <c r="BU370" i="10"/>
  <c r="BV370" i="10" s="1"/>
  <c r="BZ369" i="10"/>
  <c r="BY369" i="10"/>
  <c r="BX369" i="10"/>
  <c r="BW369" i="10"/>
  <c r="CA369" i="10" s="1"/>
  <c r="BU369" i="10"/>
  <c r="BV369" i="10" s="1"/>
  <c r="BZ368" i="10"/>
  <c r="BY368" i="10"/>
  <c r="BX368" i="10"/>
  <c r="BW368" i="10"/>
  <c r="BU368" i="10"/>
  <c r="BV368" i="10" s="1"/>
  <c r="BZ367" i="10"/>
  <c r="CA367" i="10" s="1"/>
  <c r="BY367" i="10"/>
  <c r="BX367" i="10"/>
  <c r="BW367" i="10"/>
  <c r="BU367" i="10"/>
  <c r="BV367" i="10" s="1"/>
  <c r="BZ366" i="10"/>
  <c r="BY366" i="10"/>
  <c r="BX366" i="10"/>
  <c r="BW366" i="10"/>
  <c r="BU366" i="10"/>
  <c r="BV366" i="10" s="1"/>
  <c r="BZ365" i="10"/>
  <c r="BY365" i="10"/>
  <c r="BX365" i="10"/>
  <c r="BW365" i="10"/>
  <c r="BU365" i="10"/>
  <c r="BV365" i="10" s="1"/>
  <c r="BZ364" i="10"/>
  <c r="BY364" i="10"/>
  <c r="BX364" i="10"/>
  <c r="BW364" i="10"/>
  <c r="CA364" i="10" s="1"/>
  <c r="BU364" i="10"/>
  <c r="BV364" i="10" s="1"/>
  <c r="BZ363" i="10"/>
  <c r="BY363" i="10"/>
  <c r="BX363" i="10"/>
  <c r="BW363" i="10"/>
  <c r="BU363" i="10"/>
  <c r="BZ362" i="10"/>
  <c r="BY362" i="10"/>
  <c r="BX362" i="10"/>
  <c r="BW362" i="10"/>
  <c r="CA362" i="10" s="1"/>
  <c r="BU362" i="10"/>
  <c r="BZ361" i="10"/>
  <c r="BY361" i="10"/>
  <c r="BX361" i="10"/>
  <c r="BW361" i="10"/>
  <c r="BU361" i="10"/>
  <c r="BZ360" i="10"/>
  <c r="BY360" i="10"/>
  <c r="BX360" i="10"/>
  <c r="BW360" i="10"/>
  <c r="BU360" i="10"/>
  <c r="BV360" i="10" s="1"/>
  <c r="BZ359" i="10"/>
  <c r="BY359" i="10"/>
  <c r="BX359" i="10"/>
  <c r="BW359" i="10"/>
  <c r="BU359" i="10"/>
  <c r="BV359" i="10" s="1"/>
  <c r="BZ358" i="10"/>
  <c r="BY358" i="10"/>
  <c r="BX358" i="10"/>
  <c r="BW358" i="10"/>
  <c r="BU358" i="10"/>
  <c r="BZ357" i="10"/>
  <c r="BY357" i="10"/>
  <c r="BX357" i="10"/>
  <c r="BW357" i="10"/>
  <c r="BU357" i="10"/>
  <c r="BV357" i="10" s="1"/>
  <c r="BZ356" i="10"/>
  <c r="BY356" i="10"/>
  <c r="BX356" i="10"/>
  <c r="BW356" i="10"/>
  <c r="BU356" i="10"/>
  <c r="BV356" i="10" s="1"/>
  <c r="BZ355" i="10"/>
  <c r="BY355" i="10"/>
  <c r="BX355" i="10"/>
  <c r="BW355" i="10"/>
  <c r="BU355" i="10"/>
  <c r="BV355" i="10" s="1"/>
  <c r="BZ354" i="10"/>
  <c r="BY354" i="10"/>
  <c r="BX354" i="10"/>
  <c r="BW354" i="10"/>
  <c r="BU354" i="10"/>
  <c r="BZ353" i="10"/>
  <c r="BY353" i="10"/>
  <c r="BX353" i="10"/>
  <c r="CA353" i="10" s="1"/>
  <c r="BW353" i="10"/>
  <c r="BU353" i="10"/>
  <c r="BV353" i="10" s="1"/>
  <c r="BZ352" i="10"/>
  <c r="BY352" i="10"/>
  <c r="BX352" i="10"/>
  <c r="BW352" i="10"/>
  <c r="BU352" i="10"/>
  <c r="BV352" i="10" s="1"/>
  <c r="BZ351" i="10"/>
  <c r="BY351" i="10"/>
  <c r="BX351" i="10"/>
  <c r="BW351" i="10"/>
  <c r="BU351" i="10"/>
  <c r="BV351" i="10" s="1"/>
  <c r="BZ350" i="10"/>
  <c r="BY350" i="10"/>
  <c r="BX350" i="10"/>
  <c r="BW350" i="10"/>
  <c r="BU350" i="10"/>
  <c r="BZ349" i="10"/>
  <c r="BY349" i="10"/>
  <c r="BX349" i="10"/>
  <c r="CA349" i="10" s="1"/>
  <c r="BW349" i="10"/>
  <c r="BU349" i="10"/>
  <c r="BZ348" i="10"/>
  <c r="BY348" i="10"/>
  <c r="BX348" i="10"/>
  <c r="BW348" i="10"/>
  <c r="BU348" i="10"/>
  <c r="BV348" i="10" s="1"/>
  <c r="BZ347" i="10"/>
  <c r="BY347" i="10"/>
  <c r="BX347" i="10"/>
  <c r="BW347" i="10"/>
  <c r="CA347" i="10" s="1"/>
  <c r="BU347" i="10"/>
  <c r="BV347" i="10" s="1"/>
  <c r="BZ346" i="10"/>
  <c r="BY346" i="10"/>
  <c r="BX346" i="10"/>
  <c r="BW346" i="10"/>
  <c r="BU346" i="10"/>
  <c r="BV346" i="10" s="1"/>
  <c r="BZ345" i="10"/>
  <c r="CA345" i="10" s="1"/>
  <c r="BY345" i="10"/>
  <c r="BX345" i="10"/>
  <c r="BW345" i="10"/>
  <c r="BU345" i="10"/>
  <c r="BZ344" i="10"/>
  <c r="BY344" i="10"/>
  <c r="BX344" i="10"/>
  <c r="BW344" i="10"/>
  <c r="BU344" i="10"/>
  <c r="BV344" i="10" s="1"/>
  <c r="BZ343" i="10"/>
  <c r="BY343" i="10"/>
  <c r="BX343" i="10"/>
  <c r="BW343" i="10"/>
  <c r="BU343" i="10"/>
  <c r="BV343" i="10" s="1"/>
  <c r="BZ342" i="10"/>
  <c r="BY342" i="10"/>
  <c r="BX342" i="10"/>
  <c r="BW342" i="10"/>
  <c r="CA342" i="10" s="1"/>
  <c r="BU342" i="10"/>
  <c r="BV342" i="10" s="1"/>
  <c r="BZ341" i="10"/>
  <c r="BY341" i="10"/>
  <c r="BX341" i="10"/>
  <c r="BW341" i="10"/>
  <c r="BU341" i="10"/>
  <c r="BZ340" i="10"/>
  <c r="BY340" i="10"/>
  <c r="BX340" i="10"/>
  <c r="BW340" i="10"/>
  <c r="CA340" i="10" s="1"/>
  <c r="BU340" i="10"/>
  <c r="BZ339" i="10"/>
  <c r="BY339" i="10"/>
  <c r="BX339" i="10"/>
  <c r="BW339" i="10"/>
  <c r="BU339" i="10"/>
  <c r="BZ338" i="10"/>
  <c r="BY338" i="10"/>
  <c r="BX338" i="10"/>
  <c r="BW338" i="10"/>
  <c r="BU338" i="10"/>
  <c r="BV338" i="10" s="1"/>
  <c r="BZ337" i="10"/>
  <c r="BY337" i="10"/>
  <c r="BX337" i="10"/>
  <c r="BW337" i="10"/>
  <c r="BU337" i="10"/>
  <c r="BV337" i="10" s="1"/>
  <c r="BZ336" i="10"/>
  <c r="BY336" i="10"/>
  <c r="BX336" i="10"/>
  <c r="BW336" i="10"/>
  <c r="CA336" i="10" s="1"/>
  <c r="BU336" i="10"/>
  <c r="BZ335" i="10"/>
  <c r="BY335" i="10"/>
  <c r="BX335" i="10"/>
  <c r="BW335" i="10"/>
  <c r="CA335" i="10" s="1"/>
  <c r="BU335" i="10"/>
  <c r="BV335" i="10" s="1"/>
  <c r="BZ334" i="10"/>
  <c r="BY334" i="10"/>
  <c r="BX334" i="10"/>
  <c r="BW334" i="10"/>
  <c r="BU334" i="10"/>
  <c r="BV334" i="10" s="1"/>
  <c r="BZ333" i="10"/>
  <c r="BY333" i="10"/>
  <c r="BX333" i="10"/>
  <c r="BW333" i="10"/>
  <c r="BU333" i="10"/>
  <c r="BV333" i="10" s="1"/>
  <c r="BZ332" i="10"/>
  <c r="BY332" i="10"/>
  <c r="BX332" i="10"/>
  <c r="BW332" i="10"/>
  <c r="BU332" i="10"/>
  <c r="BZ331" i="10"/>
  <c r="BY331" i="10"/>
  <c r="BX331" i="10"/>
  <c r="BW331" i="10"/>
  <c r="BU331" i="10"/>
  <c r="BV331" i="10" s="1"/>
  <c r="BZ330" i="10"/>
  <c r="BY330" i="10"/>
  <c r="BX330" i="10"/>
  <c r="BW330" i="10"/>
  <c r="BU330" i="10"/>
  <c r="BV330" i="10" s="1"/>
  <c r="BZ329" i="10"/>
  <c r="BY329" i="10"/>
  <c r="BX329" i="10"/>
  <c r="BW329" i="10"/>
  <c r="CA329" i="10" s="1"/>
  <c r="BU329" i="10"/>
  <c r="BV329" i="10" s="1"/>
  <c r="BZ328" i="10"/>
  <c r="BY328" i="10"/>
  <c r="BX328" i="10"/>
  <c r="BW328" i="10"/>
  <c r="BU328" i="10"/>
  <c r="BZ327" i="10"/>
  <c r="BY327" i="10"/>
  <c r="BX327" i="10"/>
  <c r="BW327" i="10"/>
  <c r="BU327" i="10"/>
  <c r="BV327" i="10" s="1"/>
  <c r="BZ326" i="10"/>
  <c r="BY326" i="10"/>
  <c r="BX326" i="10"/>
  <c r="BW326" i="10"/>
  <c r="BU326" i="10"/>
  <c r="BV326" i="10" s="1"/>
  <c r="BZ325" i="10"/>
  <c r="BY325" i="10"/>
  <c r="BX325" i="10"/>
  <c r="BW325" i="10"/>
  <c r="CA325" i="10" s="1"/>
  <c r="BU325" i="10"/>
  <c r="BV325" i="10" s="1"/>
  <c r="BZ324" i="10"/>
  <c r="BY324" i="10"/>
  <c r="BX324" i="10"/>
  <c r="BW324" i="10"/>
  <c r="BU324" i="10"/>
  <c r="BV324" i="10" s="1"/>
  <c r="BZ323" i="10"/>
  <c r="CA323" i="10" s="1"/>
  <c r="BY323" i="10"/>
  <c r="BX323" i="10"/>
  <c r="BW323" i="10"/>
  <c r="BU323" i="10"/>
  <c r="BV323" i="10" s="1"/>
  <c r="BZ322" i="10"/>
  <c r="BY322" i="10"/>
  <c r="BX322" i="10"/>
  <c r="BW322" i="10"/>
  <c r="BU322" i="10"/>
  <c r="BV322" i="10" s="1"/>
  <c r="BZ321" i="10"/>
  <c r="BY321" i="10"/>
  <c r="BX321" i="10"/>
  <c r="BW321" i="10"/>
  <c r="BU321" i="10"/>
  <c r="BV321" i="10" s="1"/>
  <c r="BZ320" i="10"/>
  <c r="BY320" i="10"/>
  <c r="BX320" i="10"/>
  <c r="BW320" i="10"/>
  <c r="BU320" i="10"/>
  <c r="BV320" i="10" s="1"/>
  <c r="BZ319" i="10"/>
  <c r="BY319" i="10"/>
  <c r="BX319" i="10"/>
  <c r="BW319" i="10"/>
  <c r="BU319" i="10"/>
  <c r="BZ318" i="10"/>
  <c r="BY318" i="10"/>
  <c r="BX318" i="10"/>
  <c r="BW318" i="10"/>
  <c r="CA318" i="10" s="1"/>
  <c r="BU318" i="10"/>
  <c r="BZ317" i="10"/>
  <c r="BY317" i="10"/>
  <c r="BX317" i="10"/>
  <c r="BW317" i="10"/>
  <c r="BU317" i="10"/>
  <c r="BZ316" i="10"/>
  <c r="BY316" i="10"/>
  <c r="BX316" i="10"/>
  <c r="BW316" i="10"/>
  <c r="BU316" i="10"/>
  <c r="BV316" i="10" s="1"/>
  <c r="BZ315" i="10"/>
  <c r="BY315" i="10"/>
  <c r="BX315" i="10"/>
  <c r="BW315" i="10"/>
  <c r="BU315" i="10"/>
  <c r="BV315" i="10" s="1"/>
  <c r="BZ314" i="10"/>
  <c r="BY314" i="10"/>
  <c r="BX314" i="10"/>
  <c r="BW314" i="10"/>
  <c r="BU314" i="10"/>
  <c r="BZ313" i="10"/>
  <c r="BY313" i="10"/>
  <c r="BX313" i="10"/>
  <c r="BW313" i="10"/>
  <c r="CA313" i="10" s="1"/>
  <c r="BU313" i="10"/>
  <c r="BV313" i="10" s="1"/>
  <c r="BZ312" i="10"/>
  <c r="BY312" i="10"/>
  <c r="BX312" i="10"/>
  <c r="BW312" i="10"/>
  <c r="BU312" i="10"/>
  <c r="BV312" i="10" s="1"/>
  <c r="BZ311" i="10"/>
  <c r="BY311" i="10"/>
  <c r="BX311" i="10"/>
  <c r="BW311" i="10"/>
  <c r="BU311" i="10"/>
  <c r="BV311" i="10" s="1"/>
  <c r="BZ310" i="10"/>
  <c r="BY310" i="10"/>
  <c r="BX310" i="10"/>
  <c r="BW310" i="10"/>
  <c r="BU310" i="10"/>
  <c r="BZ309" i="10"/>
  <c r="BY309" i="10"/>
  <c r="BX309" i="10"/>
  <c r="CA309" i="10" s="1"/>
  <c r="BW309" i="10"/>
  <c r="BU309" i="10"/>
  <c r="BV309" i="10" s="1"/>
  <c r="BZ308" i="10"/>
  <c r="BY308" i="10"/>
  <c r="BX308" i="10"/>
  <c r="BW308" i="10"/>
  <c r="BU308" i="10"/>
  <c r="BV308" i="10" s="1"/>
  <c r="BZ307" i="10"/>
  <c r="BY307" i="10"/>
  <c r="BX307" i="10"/>
  <c r="BW307" i="10"/>
  <c r="CA307" i="10" s="1"/>
  <c r="BU307" i="10"/>
  <c r="BV307" i="10" s="1"/>
  <c r="BZ306" i="10"/>
  <c r="BY306" i="10"/>
  <c r="BX306" i="10"/>
  <c r="BW306" i="10"/>
  <c r="BU306" i="10"/>
  <c r="BZ305" i="10"/>
  <c r="BY305" i="10"/>
  <c r="BX305" i="10"/>
  <c r="BW305" i="10"/>
  <c r="BU305" i="10"/>
  <c r="BV305" i="10" s="1"/>
  <c r="BZ304" i="10"/>
  <c r="BY304" i="10"/>
  <c r="BX304" i="10"/>
  <c r="BW304" i="10"/>
  <c r="BU304" i="10"/>
  <c r="BV304" i="10" s="1"/>
  <c r="BZ303" i="10"/>
  <c r="BY303" i="10"/>
  <c r="BX303" i="10"/>
  <c r="BW303" i="10"/>
  <c r="CA303" i="10" s="1"/>
  <c r="BU303" i="10"/>
  <c r="BV303" i="10" s="1"/>
  <c r="BZ302" i="10"/>
  <c r="BY302" i="10"/>
  <c r="BX302" i="10"/>
  <c r="BW302" i="10"/>
  <c r="BU302" i="10"/>
  <c r="BV302" i="10" s="1"/>
  <c r="BZ301" i="10"/>
  <c r="CA301" i="10" s="1"/>
  <c r="BY301" i="10"/>
  <c r="BX301" i="10"/>
  <c r="BW301" i="10"/>
  <c r="BU301" i="10"/>
  <c r="BZ300" i="10"/>
  <c r="BY300" i="10"/>
  <c r="BX300" i="10"/>
  <c r="BW300" i="10"/>
  <c r="BU300" i="10"/>
  <c r="BV300" i="10" s="1"/>
  <c r="BZ299" i="10"/>
  <c r="BY299" i="10"/>
  <c r="BX299" i="10"/>
  <c r="BW299" i="10"/>
  <c r="BU299" i="10"/>
  <c r="BV299" i="10" s="1"/>
  <c r="BZ298" i="10"/>
  <c r="BY298" i="10"/>
  <c r="BX298" i="10"/>
  <c r="BW298" i="10"/>
  <c r="CA298" i="10" s="1"/>
  <c r="BU298" i="10"/>
  <c r="BV298" i="10" s="1"/>
  <c r="BZ297" i="10"/>
  <c r="BY297" i="10"/>
  <c r="BX297" i="10"/>
  <c r="BW297" i="10"/>
  <c r="BU297" i="10"/>
  <c r="BZ296" i="10"/>
  <c r="BY296" i="10"/>
  <c r="BX296" i="10"/>
  <c r="BW296" i="10"/>
  <c r="CA296" i="10" s="1"/>
  <c r="BU296" i="10"/>
  <c r="BZ295" i="10"/>
  <c r="BY295" i="10"/>
  <c r="BX295" i="10"/>
  <c r="BW295" i="10"/>
  <c r="BU295" i="10"/>
  <c r="BZ294" i="10"/>
  <c r="BY294" i="10"/>
  <c r="BX294" i="10"/>
  <c r="BW294" i="10"/>
  <c r="BU294" i="10"/>
  <c r="BV294" i="10" s="1"/>
  <c r="BZ293" i="10"/>
  <c r="BY293" i="10"/>
  <c r="BX293" i="10"/>
  <c r="BW293" i="10"/>
  <c r="BU293" i="10"/>
  <c r="BV293" i="10" s="1"/>
  <c r="BZ292" i="10"/>
  <c r="BY292" i="10"/>
  <c r="BX292" i="10"/>
  <c r="BW292" i="10"/>
  <c r="BU292" i="10"/>
  <c r="BZ291" i="10"/>
  <c r="BY291" i="10"/>
  <c r="BX291" i="10"/>
  <c r="BW291" i="10"/>
  <c r="BU291" i="10"/>
  <c r="BV291" i="10" s="1"/>
  <c r="BZ290" i="10"/>
  <c r="BY290" i="10"/>
  <c r="BX290" i="10"/>
  <c r="BW290" i="10"/>
  <c r="BU290" i="10"/>
  <c r="BV290" i="10" s="1"/>
  <c r="BZ289" i="10"/>
  <c r="BY289" i="10"/>
  <c r="BX289" i="10"/>
  <c r="BW289" i="10"/>
  <c r="BU289" i="10"/>
  <c r="BV289" i="10" s="1"/>
  <c r="BZ288" i="10"/>
  <c r="BY288" i="10"/>
  <c r="BX288" i="10"/>
  <c r="BW288" i="10"/>
  <c r="BU288" i="10"/>
  <c r="BZ287" i="10"/>
  <c r="BY287" i="10"/>
  <c r="BX287" i="10"/>
  <c r="CA287" i="10" s="1"/>
  <c r="BW287" i="10"/>
  <c r="BU287" i="10"/>
  <c r="BV287" i="10" s="1"/>
  <c r="BZ286" i="10"/>
  <c r="BY286" i="10"/>
  <c r="BX286" i="10"/>
  <c r="BW286" i="10"/>
  <c r="BU286" i="10"/>
  <c r="BV286" i="10" s="1"/>
  <c r="BZ285" i="10"/>
  <c r="BY285" i="10"/>
  <c r="BX285" i="10"/>
  <c r="BW285" i="10"/>
  <c r="CA285" i="10" s="1"/>
  <c r="BU285" i="10"/>
  <c r="BV285" i="10" s="1"/>
  <c r="BZ284" i="10"/>
  <c r="BY284" i="10"/>
  <c r="BX284" i="10"/>
  <c r="BW284" i="10"/>
  <c r="BU284" i="10"/>
  <c r="BZ283" i="10"/>
  <c r="BY283" i="10"/>
  <c r="BX283" i="10"/>
  <c r="BW283" i="10"/>
  <c r="BU283" i="10"/>
  <c r="BV283" i="10" s="1"/>
  <c r="BZ282" i="10"/>
  <c r="BY282" i="10"/>
  <c r="BX282" i="10"/>
  <c r="BW282" i="10"/>
  <c r="BU282" i="10"/>
  <c r="BV282" i="10" s="1"/>
  <c r="BZ281" i="10"/>
  <c r="BY281" i="10"/>
  <c r="BX281" i="10"/>
  <c r="BW281" i="10"/>
  <c r="CA281" i="10" s="1"/>
  <c r="BU281" i="10"/>
  <c r="BV281" i="10" s="1"/>
  <c r="BZ280" i="10"/>
  <c r="BY280" i="10"/>
  <c r="BX280" i="10"/>
  <c r="BW280" i="10"/>
  <c r="BU280" i="10"/>
  <c r="BV280" i="10" s="1"/>
  <c r="BZ279" i="10"/>
  <c r="BY279" i="10"/>
  <c r="BX279" i="10"/>
  <c r="BW279" i="10"/>
  <c r="BU279" i="10"/>
  <c r="BZ278" i="10"/>
  <c r="BY278" i="10"/>
  <c r="BX278" i="10"/>
  <c r="BW278" i="10"/>
  <c r="BU278" i="10"/>
  <c r="BV278" i="10" s="1"/>
  <c r="BZ277" i="10"/>
  <c r="BY277" i="10"/>
  <c r="BX277" i="10"/>
  <c r="BW277" i="10"/>
  <c r="BU277" i="10"/>
  <c r="BZ276" i="10"/>
  <c r="BY276" i="10"/>
  <c r="BX276" i="10"/>
  <c r="BW276" i="10"/>
  <c r="BU276" i="10"/>
  <c r="BV276" i="10" s="1"/>
  <c r="BZ275" i="10"/>
  <c r="BY275" i="10"/>
  <c r="BX275" i="10"/>
  <c r="BW275" i="10"/>
  <c r="BU275" i="10"/>
  <c r="BZ274" i="10"/>
  <c r="BY274" i="10"/>
  <c r="BX274" i="10"/>
  <c r="BW274" i="10"/>
  <c r="BU274" i="10"/>
  <c r="BZ273" i="10"/>
  <c r="BY273" i="10"/>
  <c r="BX273" i="10"/>
  <c r="BW273" i="10"/>
  <c r="BU273" i="10"/>
  <c r="BZ272" i="10"/>
  <c r="BY272" i="10"/>
  <c r="BX272" i="10"/>
  <c r="BW272" i="10"/>
  <c r="CA272" i="10" s="1"/>
  <c r="BU272" i="10"/>
  <c r="BV272" i="10" s="1"/>
  <c r="BZ271" i="10"/>
  <c r="BY271" i="10"/>
  <c r="BX271" i="10"/>
  <c r="BW271" i="10"/>
  <c r="BU271" i="10"/>
  <c r="BV271" i="10" s="1"/>
  <c r="BZ270" i="10"/>
  <c r="BY270" i="10"/>
  <c r="BX270" i="10"/>
  <c r="BW270" i="10"/>
  <c r="BU270" i="10"/>
  <c r="BZ269" i="10"/>
  <c r="BY269" i="10"/>
  <c r="BX269" i="10"/>
  <c r="BW269" i="10"/>
  <c r="CA269" i="10" s="1"/>
  <c r="BU269" i="10"/>
  <c r="BV269" i="10" s="1"/>
  <c r="BZ268" i="10"/>
  <c r="BY268" i="10"/>
  <c r="BX268" i="10"/>
  <c r="BW268" i="10"/>
  <c r="BU268" i="10"/>
  <c r="BV268" i="10" s="1"/>
  <c r="BZ267" i="10"/>
  <c r="BY267" i="10"/>
  <c r="BX267" i="10"/>
  <c r="BW267" i="10"/>
  <c r="BU267" i="10"/>
  <c r="BV267" i="10" s="1"/>
  <c r="BZ266" i="10"/>
  <c r="BY266" i="10"/>
  <c r="BX266" i="10"/>
  <c r="BW266" i="10"/>
  <c r="BU266" i="10"/>
  <c r="BZ265" i="10"/>
  <c r="BY265" i="10"/>
  <c r="BX265" i="10"/>
  <c r="BW265" i="10"/>
  <c r="BU265" i="10"/>
  <c r="BV265" i="10" s="1"/>
  <c r="BZ264" i="10"/>
  <c r="BY264" i="10"/>
  <c r="BX264" i="10"/>
  <c r="BW264" i="10"/>
  <c r="BU264" i="10"/>
  <c r="BV264" i="10" s="1"/>
  <c r="BZ263" i="10"/>
  <c r="BY263" i="10"/>
  <c r="BX263" i="10"/>
  <c r="BW263" i="10"/>
  <c r="CA263" i="10" s="1"/>
  <c r="BU263" i="10"/>
  <c r="BV263" i="10" s="1"/>
  <c r="BZ262" i="10"/>
  <c r="BY262" i="10"/>
  <c r="BX262" i="10"/>
  <c r="BW262" i="10"/>
  <c r="BU262" i="10"/>
  <c r="BZ261" i="10"/>
  <c r="BY261" i="10"/>
  <c r="BX261" i="10"/>
  <c r="BW261" i="10"/>
  <c r="BU261" i="10"/>
  <c r="BZ260" i="10"/>
  <c r="BY260" i="10"/>
  <c r="BX260" i="10"/>
  <c r="BW260" i="10"/>
  <c r="BU260" i="10"/>
  <c r="BV260" i="10" s="1"/>
  <c r="BZ259" i="10"/>
  <c r="BY259" i="10"/>
  <c r="BX259" i="10"/>
  <c r="BW259" i="10"/>
  <c r="BU259" i="10"/>
  <c r="BV259" i="10" s="1"/>
  <c r="BZ258" i="10"/>
  <c r="BY258" i="10"/>
  <c r="BX258" i="10"/>
  <c r="BW258" i="10"/>
  <c r="BU258" i="10"/>
  <c r="BV258" i="10" s="1"/>
  <c r="BZ257" i="10"/>
  <c r="CA257" i="10" s="1"/>
  <c r="BY257" i="10"/>
  <c r="BX257" i="10"/>
  <c r="BW257" i="10"/>
  <c r="BU257" i="10"/>
  <c r="BZ256" i="10"/>
  <c r="BY256" i="10"/>
  <c r="BX256" i="10"/>
  <c r="BW256" i="10"/>
  <c r="BU256" i="10"/>
  <c r="BV256" i="10" s="1"/>
  <c r="BZ255" i="10"/>
  <c r="BY255" i="10"/>
  <c r="BX255" i="10"/>
  <c r="BW255" i="10"/>
  <c r="BU255" i="10"/>
  <c r="BV255" i="10" s="1"/>
  <c r="BZ254" i="10"/>
  <c r="BY254" i="10"/>
  <c r="BX254" i="10"/>
  <c r="BW254" i="10"/>
  <c r="CA254" i="10" s="1"/>
  <c r="BU254" i="10"/>
  <c r="BV254" i="10" s="1"/>
  <c r="BZ253" i="10"/>
  <c r="BY253" i="10"/>
  <c r="BX253" i="10"/>
  <c r="BW253" i="10"/>
  <c r="BU253" i="10"/>
  <c r="BZ252" i="10"/>
  <c r="BY252" i="10"/>
  <c r="BX252" i="10"/>
  <c r="BW252" i="10"/>
  <c r="CA252" i="10" s="1"/>
  <c r="BU252" i="10"/>
  <c r="BZ251" i="10"/>
  <c r="BY251" i="10"/>
  <c r="BX251" i="10"/>
  <c r="BW251" i="10"/>
  <c r="BU251" i="10"/>
  <c r="BZ250" i="10"/>
  <c r="BY250" i="10"/>
  <c r="BX250" i="10"/>
  <c r="BW250" i="10"/>
  <c r="BU250" i="10"/>
  <c r="BV250" i="10" s="1"/>
  <c r="BZ249" i="10"/>
  <c r="BY249" i="10"/>
  <c r="BX249" i="10"/>
  <c r="BW249" i="10"/>
  <c r="BU249" i="10"/>
  <c r="BV249" i="10" s="1"/>
  <c r="BZ248" i="10"/>
  <c r="BY248" i="10"/>
  <c r="BX248" i="10"/>
  <c r="BW248" i="10"/>
  <c r="BU248" i="10"/>
  <c r="BZ247" i="10"/>
  <c r="BY247" i="10"/>
  <c r="BX247" i="10"/>
  <c r="BW247" i="10"/>
  <c r="BU247" i="10"/>
  <c r="BV247" i="10" s="1"/>
  <c r="BZ246" i="10"/>
  <c r="BY246" i="10"/>
  <c r="BX246" i="10"/>
  <c r="BW246" i="10"/>
  <c r="BU246" i="10"/>
  <c r="BV246" i="10" s="1"/>
  <c r="BZ245" i="10"/>
  <c r="BY245" i="10"/>
  <c r="BX245" i="10"/>
  <c r="BW245" i="10"/>
  <c r="BU245" i="10"/>
  <c r="BV245" i="10" s="1"/>
  <c r="BZ244" i="10"/>
  <c r="BY244" i="10"/>
  <c r="CA244" i="10" s="1"/>
  <c r="BX244" i="10"/>
  <c r="BW244" i="10"/>
  <c r="BU244" i="10"/>
  <c r="BZ243" i="10"/>
  <c r="BY243" i="10"/>
  <c r="BX243" i="10"/>
  <c r="CA243" i="10" s="1"/>
  <c r="BW243" i="10"/>
  <c r="BU243" i="10"/>
  <c r="BV243" i="10" s="1"/>
  <c r="BZ242" i="10"/>
  <c r="BY242" i="10"/>
  <c r="BX242" i="10"/>
  <c r="BW242" i="10"/>
  <c r="BU242" i="10"/>
  <c r="BV242" i="10" s="1"/>
  <c r="BZ241" i="10"/>
  <c r="BY241" i="10"/>
  <c r="BX241" i="10"/>
  <c r="BW241" i="10"/>
  <c r="CA241" i="10" s="1"/>
  <c r="BU241" i="10"/>
  <c r="BV241" i="10" s="1"/>
  <c r="BZ240" i="10"/>
  <c r="BY240" i="10"/>
  <c r="BX240" i="10"/>
  <c r="BW240" i="10"/>
  <c r="BU240" i="10"/>
  <c r="BZ239" i="10"/>
  <c r="BY239" i="10"/>
  <c r="BX239" i="10"/>
  <c r="BW239" i="10"/>
  <c r="BU239" i="10"/>
  <c r="BZ238" i="10"/>
  <c r="BY238" i="10"/>
  <c r="BX238" i="10"/>
  <c r="BW238" i="10"/>
  <c r="BU238" i="10"/>
  <c r="BV238" i="10" s="1"/>
  <c r="BZ237" i="10"/>
  <c r="BY237" i="10"/>
  <c r="BX237" i="10"/>
  <c r="BW237" i="10"/>
  <c r="CA237" i="10" s="1"/>
  <c r="BU237" i="10"/>
  <c r="BV237" i="10" s="1"/>
  <c r="BZ236" i="10"/>
  <c r="BY236" i="10"/>
  <c r="BX236" i="10"/>
  <c r="BW236" i="10"/>
  <c r="BU236" i="10"/>
  <c r="BV236" i="10" s="1"/>
  <c r="BZ235" i="10"/>
  <c r="BY235" i="10"/>
  <c r="BX235" i="10"/>
  <c r="BW235" i="10"/>
  <c r="BU235" i="10"/>
  <c r="BZ234" i="10"/>
  <c r="BY234" i="10"/>
  <c r="BX234" i="10"/>
  <c r="BW234" i="10"/>
  <c r="BU234" i="10"/>
  <c r="BV234" i="10" s="1"/>
  <c r="BZ233" i="10"/>
  <c r="BY233" i="10"/>
  <c r="BX233" i="10"/>
  <c r="BW233" i="10"/>
  <c r="BU233" i="10"/>
  <c r="BV233" i="10" s="1"/>
  <c r="BZ232" i="10"/>
  <c r="BY232" i="10"/>
  <c r="BX232" i="10"/>
  <c r="BW232" i="10"/>
  <c r="CA232" i="10" s="1"/>
  <c r="BU232" i="10"/>
  <c r="BV232" i="10" s="1"/>
  <c r="BZ231" i="10"/>
  <c r="BY231" i="10"/>
  <c r="BX231" i="10"/>
  <c r="BW231" i="10"/>
  <c r="BU231" i="10"/>
  <c r="BZ230" i="10"/>
  <c r="BY230" i="10"/>
  <c r="BX230" i="10"/>
  <c r="BW230" i="10"/>
  <c r="BU230" i="10"/>
  <c r="BZ229" i="10"/>
  <c r="BY229" i="10"/>
  <c r="BX229" i="10"/>
  <c r="BW229" i="10"/>
  <c r="BU229" i="10"/>
  <c r="BZ228" i="10"/>
  <c r="BY228" i="10"/>
  <c r="BX228" i="10"/>
  <c r="BW228" i="10"/>
  <c r="BU228" i="10"/>
  <c r="BV228" i="10" s="1"/>
  <c r="BZ227" i="10"/>
  <c r="BY227" i="10"/>
  <c r="BX227" i="10"/>
  <c r="BW227" i="10"/>
  <c r="BU227" i="10"/>
  <c r="BV227" i="10" s="1"/>
  <c r="BZ226" i="10"/>
  <c r="BY226" i="10"/>
  <c r="BX226" i="10"/>
  <c r="BW226" i="10"/>
  <c r="BU226" i="10"/>
  <c r="BZ225" i="10"/>
  <c r="BY225" i="10"/>
  <c r="BX225" i="10"/>
  <c r="BW225" i="10"/>
  <c r="CA225" i="10" s="1"/>
  <c r="BU225" i="10"/>
  <c r="BV225" i="10" s="1"/>
  <c r="BZ224" i="10"/>
  <c r="BY224" i="10"/>
  <c r="BX224" i="10"/>
  <c r="BW224" i="10"/>
  <c r="BU224" i="10"/>
  <c r="BV224" i="10" s="1"/>
  <c r="BZ223" i="10"/>
  <c r="BY223" i="10"/>
  <c r="BX223" i="10"/>
  <c r="BW223" i="10"/>
  <c r="BU223" i="10"/>
  <c r="BV223" i="10" s="1"/>
  <c r="BZ222" i="10"/>
  <c r="BY222" i="10"/>
  <c r="CA222" i="10" s="1"/>
  <c r="BX222" i="10"/>
  <c r="BW222" i="10"/>
  <c r="BU222" i="10"/>
  <c r="BZ221" i="10"/>
  <c r="BY221" i="10"/>
  <c r="BX221" i="10"/>
  <c r="BW221" i="10"/>
  <c r="BU221" i="10"/>
  <c r="BV221" i="10" s="1"/>
  <c r="BZ220" i="10"/>
  <c r="BY220" i="10"/>
  <c r="BX220" i="10"/>
  <c r="BW220" i="10"/>
  <c r="BU220" i="10"/>
  <c r="BV220" i="10" s="1"/>
  <c r="BZ219" i="10"/>
  <c r="BY219" i="10"/>
  <c r="BX219" i="10"/>
  <c r="BW219" i="10"/>
  <c r="CA219" i="10" s="1"/>
  <c r="BU219" i="10"/>
  <c r="BV219" i="10" s="1"/>
  <c r="BZ218" i="10"/>
  <c r="BY218" i="10"/>
  <c r="BX218" i="10"/>
  <c r="BW218" i="10"/>
  <c r="BU218" i="10"/>
  <c r="BZ217" i="10"/>
  <c r="BY217" i="10"/>
  <c r="BX217" i="10"/>
  <c r="BW217" i="10"/>
  <c r="BU217" i="10"/>
  <c r="BZ216" i="10"/>
  <c r="BY216" i="10"/>
  <c r="BX216" i="10"/>
  <c r="BW216" i="10"/>
  <c r="BU216" i="10"/>
  <c r="BV216" i="10" s="1"/>
  <c r="BZ215" i="10"/>
  <c r="BY215" i="10"/>
  <c r="BX215" i="10"/>
  <c r="BW215" i="10"/>
  <c r="BU215" i="10"/>
  <c r="BV215" i="10" s="1"/>
  <c r="BZ214" i="10"/>
  <c r="BY214" i="10"/>
  <c r="BX214" i="10"/>
  <c r="BW214" i="10"/>
  <c r="BU214" i="10"/>
  <c r="BV214" i="10" s="1"/>
  <c r="BZ213" i="10"/>
  <c r="CA213" i="10" s="1"/>
  <c r="BY213" i="10"/>
  <c r="BX213" i="10"/>
  <c r="BW213" i="10"/>
  <c r="BU213" i="10"/>
  <c r="BZ212" i="10"/>
  <c r="BY212" i="10"/>
  <c r="BX212" i="10"/>
  <c r="BW212" i="10"/>
  <c r="BU212" i="10"/>
  <c r="BV212" i="10" s="1"/>
  <c r="BZ211" i="10"/>
  <c r="BY211" i="10"/>
  <c r="BX211" i="10"/>
  <c r="BW211" i="10"/>
  <c r="BU211" i="10"/>
  <c r="BZ210" i="10"/>
  <c r="BY210" i="10"/>
  <c r="BX210" i="10"/>
  <c r="BW210" i="10"/>
  <c r="CA210" i="10" s="1"/>
  <c r="BU210" i="10"/>
  <c r="BZ209" i="10"/>
  <c r="BY209" i="10"/>
  <c r="BX209" i="10"/>
  <c r="BW209" i="10"/>
  <c r="BU209" i="10"/>
  <c r="BZ208" i="10"/>
  <c r="BY208" i="10"/>
  <c r="BX208" i="10"/>
  <c r="BW208" i="10"/>
  <c r="BU208" i="10"/>
  <c r="BZ207" i="10"/>
  <c r="BY207" i="10"/>
  <c r="BX207" i="10"/>
  <c r="BW207" i="10"/>
  <c r="BU207" i="10"/>
  <c r="BZ206" i="10"/>
  <c r="BY206" i="10"/>
  <c r="BX206" i="10"/>
  <c r="BW206" i="10"/>
  <c r="BU206" i="10"/>
  <c r="BV206" i="10" s="1"/>
  <c r="BZ205" i="10"/>
  <c r="BY205" i="10"/>
  <c r="BX205" i="10"/>
  <c r="BW205" i="10"/>
  <c r="BU205" i="10"/>
  <c r="BV205" i="10" s="1"/>
  <c r="BZ204" i="10"/>
  <c r="BY204" i="10"/>
  <c r="BX204" i="10"/>
  <c r="BW204" i="10"/>
  <c r="BU204" i="10"/>
  <c r="BZ203" i="10"/>
  <c r="BY203" i="10"/>
  <c r="BX203" i="10"/>
  <c r="BW203" i="10"/>
  <c r="CA203" i="10" s="1"/>
  <c r="BU203" i="10"/>
  <c r="BV203" i="10" s="1"/>
  <c r="BZ202" i="10"/>
  <c r="BY202" i="10"/>
  <c r="BX202" i="10"/>
  <c r="BW202" i="10"/>
  <c r="BU202" i="10"/>
  <c r="BV202" i="10" s="1"/>
  <c r="BZ201" i="10"/>
  <c r="BY201" i="10"/>
  <c r="BX201" i="10"/>
  <c r="BW201" i="10"/>
  <c r="BU201" i="10"/>
  <c r="BV201" i="10" s="1"/>
  <c r="BZ200" i="10"/>
  <c r="BY200" i="10"/>
  <c r="CA200" i="10" s="1"/>
  <c r="BX200" i="10"/>
  <c r="BW200" i="10"/>
  <c r="BU200" i="10"/>
  <c r="BZ199" i="10"/>
  <c r="BY199" i="10"/>
  <c r="BX199" i="10"/>
  <c r="BW199" i="10"/>
  <c r="BU199" i="10"/>
  <c r="BZ198" i="10"/>
  <c r="BY198" i="10"/>
  <c r="BX198" i="10"/>
  <c r="BW198" i="10"/>
  <c r="BU198" i="10"/>
  <c r="BV198" i="10" s="1"/>
  <c r="BZ197" i="10"/>
  <c r="BY197" i="10"/>
  <c r="BX197" i="10"/>
  <c r="BW197" i="10"/>
  <c r="CA197" i="10" s="1"/>
  <c r="BU197" i="10"/>
  <c r="BV197" i="10" s="1"/>
  <c r="BZ196" i="10"/>
  <c r="BY196" i="10"/>
  <c r="BX196" i="10"/>
  <c r="BW196" i="10"/>
  <c r="BU196" i="10"/>
  <c r="BZ195" i="10"/>
  <c r="BY195" i="10"/>
  <c r="BX195" i="10"/>
  <c r="BW195" i="10"/>
  <c r="BU195" i="10"/>
  <c r="BV195" i="10" s="1"/>
  <c r="BZ194" i="10"/>
  <c r="BY194" i="10"/>
  <c r="BX194" i="10"/>
  <c r="BW194" i="10"/>
  <c r="BU194" i="10"/>
  <c r="BV194" i="10" s="1"/>
  <c r="BZ193" i="10"/>
  <c r="BY193" i="10"/>
  <c r="BX193" i="10"/>
  <c r="BW193" i="10"/>
  <c r="CA193" i="10" s="1"/>
  <c r="BU193" i="10"/>
  <c r="BV193" i="10" s="1"/>
  <c r="BZ192" i="10"/>
  <c r="BY192" i="10"/>
  <c r="BX192" i="10"/>
  <c r="BW192" i="10"/>
  <c r="BU192" i="10"/>
  <c r="BV192" i="10" s="1"/>
  <c r="BZ191" i="10"/>
  <c r="CA191" i="10" s="1"/>
  <c r="BY191" i="10"/>
  <c r="BX191" i="10"/>
  <c r="BW191" i="10"/>
  <c r="BU191" i="10"/>
  <c r="BZ190" i="10"/>
  <c r="BY190" i="10"/>
  <c r="BX190" i="10"/>
  <c r="BW190" i="10"/>
  <c r="BU190" i="10"/>
  <c r="BV190" i="10" s="1"/>
  <c r="BZ189" i="10"/>
  <c r="BY189" i="10"/>
  <c r="BX189" i="10"/>
  <c r="BW189" i="10"/>
  <c r="BU189" i="10"/>
  <c r="BV189" i="10" s="1"/>
  <c r="BZ188" i="10"/>
  <c r="BY188" i="10"/>
  <c r="BX188" i="10"/>
  <c r="BW188" i="10"/>
  <c r="BU188" i="10"/>
  <c r="BV188" i="10" s="1"/>
  <c r="BZ187" i="10"/>
  <c r="BY187" i="10"/>
  <c r="BX187" i="10"/>
  <c r="BW187" i="10"/>
  <c r="BU187" i="10"/>
  <c r="BZ186" i="10"/>
  <c r="BY186" i="10"/>
  <c r="BX186" i="10"/>
  <c r="BW186" i="10"/>
  <c r="BU186" i="10"/>
  <c r="BZ185" i="10"/>
  <c r="BY185" i="10"/>
  <c r="BX185" i="10"/>
  <c r="BW185" i="10"/>
  <c r="BU185" i="10"/>
  <c r="BZ184" i="10"/>
  <c r="BY184" i="10"/>
  <c r="BX184" i="10"/>
  <c r="BW184" i="10"/>
  <c r="BU184" i="10"/>
  <c r="BV184" i="10" s="1"/>
  <c r="BZ183" i="10"/>
  <c r="BY183" i="10"/>
  <c r="BX183" i="10"/>
  <c r="BW183" i="10"/>
  <c r="BU183" i="10"/>
  <c r="BV183" i="10" s="1"/>
  <c r="BZ182" i="10"/>
  <c r="BY182" i="10"/>
  <c r="BX182" i="10"/>
  <c r="BW182" i="10"/>
  <c r="BU182" i="10"/>
  <c r="BZ181" i="10"/>
  <c r="BY181" i="10"/>
  <c r="BX181" i="10"/>
  <c r="BW181" i="10"/>
  <c r="CA181" i="10" s="1"/>
  <c r="BU181" i="10"/>
  <c r="BV181" i="10" s="1"/>
  <c r="BZ180" i="10"/>
  <c r="BY180" i="10"/>
  <c r="BX180" i="10"/>
  <c r="BW180" i="10"/>
  <c r="BU180" i="10"/>
  <c r="BV180" i="10" s="1"/>
  <c r="BZ179" i="10"/>
  <c r="BY179" i="10"/>
  <c r="BX179" i="10"/>
  <c r="BW179" i="10"/>
  <c r="BU179" i="10"/>
  <c r="BV179" i="10" s="1"/>
  <c r="BZ178" i="10"/>
  <c r="BY178" i="10"/>
  <c r="CA178" i="10" s="1"/>
  <c r="BX178" i="10"/>
  <c r="BW178" i="10"/>
  <c r="BU178" i="10"/>
  <c r="BZ177" i="10"/>
  <c r="BY177" i="10"/>
  <c r="BX177" i="10"/>
  <c r="BW177" i="10"/>
  <c r="BU177" i="10"/>
  <c r="BV177" i="10" s="1"/>
  <c r="BZ176" i="10"/>
  <c r="BY176" i="10"/>
  <c r="BX176" i="10"/>
  <c r="BW176" i="10"/>
  <c r="BU176" i="10"/>
  <c r="BV176" i="10" s="1"/>
  <c r="BZ175" i="10"/>
  <c r="BY175" i="10"/>
  <c r="BX175" i="10"/>
  <c r="BW175" i="10"/>
  <c r="CA175" i="10" s="1"/>
  <c r="BU175" i="10"/>
  <c r="BV175" i="10" s="1"/>
  <c r="BZ174" i="10"/>
  <c r="BY174" i="10"/>
  <c r="BX174" i="10"/>
  <c r="BW174" i="10"/>
  <c r="BU174" i="10"/>
  <c r="BZ173" i="10"/>
  <c r="BY173" i="10"/>
  <c r="BX173" i="10"/>
  <c r="BW173" i="10"/>
  <c r="BU173" i="10"/>
  <c r="BV173" i="10" s="1"/>
  <c r="BZ172" i="10"/>
  <c r="BY172" i="10"/>
  <c r="BX172" i="10"/>
  <c r="BW172" i="10"/>
  <c r="BU172" i="10"/>
  <c r="BV172" i="10" s="1"/>
  <c r="BZ171" i="10"/>
  <c r="BY171" i="10"/>
  <c r="BX171" i="10"/>
  <c r="BW171" i="10"/>
  <c r="BU171" i="10"/>
  <c r="BV171" i="10" s="1"/>
  <c r="BZ170" i="10"/>
  <c r="BY170" i="10"/>
  <c r="BX170" i="10"/>
  <c r="BW170" i="10"/>
  <c r="BU170" i="10"/>
  <c r="BV170" i="10" s="1"/>
  <c r="BZ169" i="10"/>
  <c r="CA169" i="10" s="1"/>
  <c r="BY169" i="10"/>
  <c r="BX169" i="10"/>
  <c r="BW169" i="10"/>
  <c r="BU169" i="10"/>
  <c r="BZ168" i="10"/>
  <c r="BY168" i="10"/>
  <c r="BX168" i="10"/>
  <c r="BW168" i="10"/>
  <c r="BU168" i="10"/>
  <c r="BV168" i="10" s="1"/>
  <c r="BZ167" i="10"/>
  <c r="BY167" i="10"/>
  <c r="BX167" i="10"/>
  <c r="BW167" i="10"/>
  <c r="BU167" i="10"/>
  <c r="BV167" i="10" s="1"/>
  <c r="BZ166" i="10"/>
  <c r="BY166" i="10"/>
  <c r="BX166" i="10"/>
  <c r="BW166" i="10"/>
  <c r="CA166" i="10" s="1"/>
  <c r="BU166" i="10"/>
  <c r="BZ165" i="10"/>
  <c r="BY165" i="10"/>
  <c r="BX165" i="10"/>
  <c r="BW165" i="10"/>
  <c r="BU165" i="10"/>
  <c r="BU164" i="10"/>
  <c r="BU163" i="10"/>
  <c r="BU162" i="10"/>
  <c r="BU161" i="10"/>
  <c r="BV161" i="10" s="1"/>
  <c r="BU160" i="10"/>
  <c r="BU159" i="10"/>
  <c r="BV159" i="10" s="1"/>
  <c r="BU158" i="10"/>
  <c r="BV158" i="10" s="1"/>
  <c r="BU157" i="10"/>
  <c r="BV157" i="10" s="1"/>
  <c r="BU156" i="10"/>
  <c r="BV156" i="10" s="1"/>
  <c r="BU155" i="10"/>
  <c r="BU154" i="10"/>
  <c r="BV154" i="10" s="1"/>
  <c r="BU153" i="10"/>
  <c r="BU152" i="10"/>
  <c r="BV152" i="10" s="1"/>
  <c r="BU151" i="10"/>
  <c r="BV151" i="10" s="1"/>
  <c r="BU150" i="10"/>
  <c r="BV150" i="10" s="1"/>
  <c r="BU149" i="10"/>
  <c r="BV149" i="10" s="1"/>
  <c r="BU148" i="10"/>
  <c r="BV148" i="10" s="1"/>
  <c r="BU147" i="10"/>
  <c r="BV147" i="10" s="1"/>
  <c r="BU146" i="10"/>
  <c r="BV146" i="10" s="1"/>
  <c r="BU145" i="10"/>
  <c r="BV145" i="10" s="1"/>
  <c r="S377" i="10"/>
  <c r="Q377" i="10"/>
  <c r="P375" i="10"/>
  <c r="O375" i="10"/>
  <c r="N375" i="10"/>
  <c r="M375" i="10"/>
  <c r="P374" i="10"/>
  <c r="O374" i="10"/>
  <c r="N374" i="10"/>
  <c r="M374" i="10"/>
  <c r="P373" i="10"/>
  <c r="O373" i="10"/>
  <c r="N373" i="10"/>
  <c r="M373" i="10"/>
  <c r="P372" i="10"/>
  <c r="O372" i="10"/>
  <c r="N372" i="10"/>
  <c r="M372" i="10"/>
  <c r="DP372" i="10" s="1"/>
  <c r="P371" i="10"/>
  <c r="O371" i="10"/>
  <c r="N371" i="10"/>
  <c r="M371" i="10"/>
  <c r="P370" i="10"/>
  <c r="O370" i="10"/>
  <c r="N370" i="10"/>
  <c r="M370" i="10"/>
  <c r="P369" i="10"/>
  <c r="O369" i="10"/>
  <c r="N369" i="10"/>
  <c r="M369" i="10"/>
  <c r="P368" i="10"/>
  <c r="O368" i="10"/>
  <c r="N368" i="10"/>
  <c r="M368" i="10"/>
  <c r="P367" i="10"/>
  <c r="O367" i="10"/>
  <c r="N367" i="10"/>
  <c r="M367" i="10"/>
  <c r="DP367" i="10" s="1"/>
  <c r="P366" i="10"/>
  <c r="O366" i="10"/>
  <c r="DU366" i="10" s="1"/>
  <c r="N366" i="10"/>
  <c r="M366" i="10"/>
  <c r="P365" i="10"/>
  <c r="O365" i="10"/>
  <c r="N365" i="10"/>
  <c r="M365" i="10"/>
  <c r="P364" i="10"/>
  <c r="O364" i="10"/>
  <c r="N364" i="10"/>
  <c r="M364" i="10"/>
  <c r="Q364" i="10" s="1"/>
  <c r="P363" i="10"/>
  <c r="O363" i="10"/>
  <c r="N363" i="10"/>
  <c r="M363" i="10"/>
  <c r="P362" i="10"/>
  <c r="O362" i="10"/>
  <c r="N362" i="10"/>
  <c r="M362" i="10"/>
  <c r="DP362" i="10" s="1"/>
  <c r="P361" i="10"/>
  <c r="O361" i="10"/>
  <c r="N361" i="10"/>
  <c r="M361" i="10"/>
  <c r="DP361" i="10" s="1"/>
  <c r="P360" i="10"/>
  <c r="O360" i="10"/>
  <c r="N360" i="10"/>
  <c r="M360" i="10"/>
  <c r="P359" i="10"/>
  <c r="O359" i="10"/>
  <c r="N359" i="10"/>
  <c r="M359" i="10"/>
  <c r="Q359" i="10" s="1"/>
  <c r="P358" i="10"/>
  <c r="O358" i="10"/>
  <c r="N358" i="10"/>
  <c r="M358" i="10"/>
  <c r="P357" i="10"/>
  <c r="O357" i="10"/>
  <c r="N357" i="10"/>
  <c r="M357" i="10"/>
  <c r="P356" i="10"/>
  <c r="O356" i="10"/>
  <c r="N356" i="10"/>
  <c r="M356" i="10"/>
  <c r="DP356" i="10" s="1"/>
  <c r="P355" i="10"/>
  <c r="O355" i="10"/>
  <c r="N355" i="10"/>
  <c r="M355" i="10"/>
  <c r="P354" i="10"/>
  <c r="O354" i="10"/>
  <c r="N354" i="10"/>
  <c r="M354" i="10"/>
  <c r="P353" i="10"/>
  <c r="O353" i="10"/>
  <c r="N353" i="10"/>
  <c r="M353" i="10"/>
  <c r="P352" i="10"/>
  <c r="O352" i="10"/>
  <c r="N352" i="10"/>
  <c r="M352" i="10"/>
  <c r="P351" i="10"/>
  <c r="O351" i="10"/>
  <c r="N351" i="10"/>
  <c r="M351" i="10"/>
  <c r="P350" i="10"/>
  <c r="O350" i="10"/>
  <c r="N350" i="10"/>
  <c r="M350" i="10"/>
  <c r="Q350" i="10" s="1"/>
  <c r="P349" i="10"/>
  <c r="O349" i="10"/>
  <c r="N349" i="10"/>
  <c r="M349" i="10"/>
  <c r="P348" i="10"/>
  <c r="O348" i="10"/>
  <c r="N348" i="10"/>
  <c r="M348" i="10"/>
  <c r="P347" i="10"/>
  <c r="O347" i="10"/>
  <c r="N347" i="10"/>
  <c r="M347" i="10"/>
  <c r="P346" i="10"/>
  <c r="O346" i="10"/>
  <c r="N346" i="10"/>
  <c r="M346" i="10"/>
  <c r="P345" i="10"/>
  <c r="O345" i="10"/>
  <c r="N345" i="10"/>
  <c r="M345" i="10"/>
  <c r="DP345" i="10" s="1"/>
  <c r="P344" i="10"/>
  <c r="O344" i="10"/>
  <c r="DU344" i="10" s="1"/>
  <c r="N344" i="10"/>
  <c r="M344" i="10"/>
  <c r="P343" i="10"/>
  <c r="O343" i="10"/>
  <c r="Q343" i="10" s="1"/>
  <c r="N343" i="10"/>
  <c r="M343" i="10"/>
  <c r="P342" i="10"/>
  <c r="O342" i="10"/>
  <c r="N342" i="10"/>
  <c r="M342" i="10"/>
  <c r="P341" i="10"/>
  <c r="O341" i="10"/>
  <c r="N341" i="10"/>
  <c r="DV341" i="10" s="1"/>
  <c r="M341" i="10"/>
  <c r="P340" i="10"/>
  <c r="O340" i="10"/>
  <c r="N340" i="10"/>
  <c r="M340" i="10"/>
  <c r="DP340" i="10" s="1"/>
  <c r="P339" i="10"/>
  <c r="O339" i="10"/>
  <c r="N339" i="10"/>
  <c r="M339" i="10"/>
  <c r="DP339" i="10" s="1"/>
  <c r="P338" i="10"/>
  <c r="O338" i="10"/>
  <c r="N338" i="10"/>
  <c r="M338" i="10"/>
  <c r="P337" i="10"/>
  <c r="O337" i="10"/>
  <c r="N337" i="10"/>
  <c r="M337" i="10"/>
  <c r="P336" i="10"/>
  <c r="O336" i="10"/>
  <c r="N336" i="10"/>
  <c r="M336" i="10"/>
  <c r="P335" i="10"/>
  <c r="O335" i="10"/>
  <c r="N335" i="10"/>
  <c r="M335" i="10"/>
  <c r="P334" i="10"/>
  <c r="O334" i="10"/>
  <c r="N334" i="10"/>
  <c r="M334" i="10"/>
  <c r="DP334" i="10" s="1"/>
  <c r="P333" i="10"/>
  <c r="O333" i="10"/>
  <c r="N333" i="10"/>
  <c r="M333" i="10"/>
  <c r="P332" i="10"/>
  <c r="O332" i="10"/>
  <c r="N332" i="10"/>
  <c r="M332" i="10"/>
  <c r="P331" i="10"/>
  <c r="O331" i="10"/>
  <c r="N331" i="10"/>
  <c r="M331" i="10"/>
  <c r="P330" i="10"/>
  <c r="O330" i="10"/>
  <c r="N330" i="10"/>
  <c r="M330" i="10"/>
  <c r="P329" i="10"/>
  <c r="O329" i="10"/>
  <c r="N329" i="10"/>
  <c r="M329" i="10"/>
  <c r="DP329" i="10" s="1"/>
  <c r="P328" i="10"/>
  <c r="O328" i="10"/>
  <c r="N328" i="10"/>
  <c r="M328" i="10"/>
  <c r="DP328" i="10" s="1"/>
  <c r="P327" i="10"/>
  <c r="O327" i="10"/>
  <c r="N327" i="10"/>
  <c r="M327" i="10"/>
  <c r="P326" i="10"/>
  <c r="O326" i="10"/>
  <c r="N326" i="10"/>
  <c r="M326" i="10"/>
  <c r="P325" i="10"/>
  <c r="O325" i="10"/>
  <c r="N325" i="10"/>
  <c r="M325" i="10"/>
  <c r="P324" i="10"/>
  <c r="O324" i="10"/>
  <c r="N324" i="10"/>
  <c r="M324" i="10"/>
  <c r="P323" i="10"/>
  <c r="O323" i="10"/>
  <c r="N323" i="10"/>
  <c r="M323" i="10"/>
  <c r="DP323" i="10" s="1"/>
  <c r="P322" i="10"/>
  <c r="O322" i="10"/>
  <c r="DU322" i="10" s="1"/>
  <c r="N322" i="10"/>
  <c r="M322" i="10"/>
  <c r="P321" i="10"/>
  <c r="O321" i="10"/>
  <c r="Q321" i="10" s="1"/>
  <c r="N321" i="10"/>
  <c r="M321" i="10"/>
  <c r="P320" i="10"/>
  <c r="O320" i="10"/>
  <c r="N320" i="10"/>
  <c r="M320" i="10"/>
  <c r="Q320" i="10" s="1"/>
  <c r="P319" i="10"/>
  <c r="O319" i="10"/>
  <c r="N319" i="10"/>
  <c r="DV319" i="10" s="1"/>
  <c r="M319" i="10"/>
  <c r="P318" i="10"/>
  <c r="O318" i="10"/>
  <c r="N318" i="10"/>
  <c r="M318" i="10"/>
  <c r="DP318" i="10" s="1"/>
  <c r="P317" i="10"/>
  <c r="O317" i="10"/>
  <c r="N317" i="10"/>
  <c r="M317" i="10"/>
  <c r="DP317" i="10" s="1"/>
  <c r="P316" i="10"/>
  <c r="O316" i="10"/>
  <c r="N316" i="10"/>
  <c r="M316" i="10"/>
  <c r="P315" i="10"/>
  <c r="O315" i="10"/>
  <c r="N315" i="10"/>
  <c r="M315" i="10"/>
  <c r="P314" i="10"/>
  <c r="O314" i="10"/>
  <c r="N314" i="10"/>
  <c r="M314" i="10"/>
  <c r="P313" i="10"/>
  <c r="O313" i="10"/>
  <c r="N313" i="10"/>
  <c r="M313" i="10"/>
  <c r="P312" i="10"/>
  <c r="O312" i="10"/>
  <c r="N312" i="10"/>
  <c r="M312" i="10"/>
  <c r="DP312" i="10" s="1"/>
  <c r="P311" i="10"/>
  <c r="O311" i="10"/>
  <c r="N311" i="10"/>
  <c r="M311" i="10"/>
  <c r="P310" i="10"/>
  <c r="O310" i="10"/>
  <c r="N310" i="10"/>
  <c r="M310" i="10"/>
  <c r="P309" i="10"/>
  <c r="O309" i="10"/>
  <c r="N309" i="10"/>
  <c r="M309" i="10"/>
  <c r="P308" i="10"/>
  <c r="O308" i="10"/>
  <c r="N308" i="10"/>
  <c r="DV308" i="10" s="1"/>
  <c r="M308" i="10"/>
  <c r="P307" i="10"/>
  <c r="O307" i="10"/>
  <c r="N307" i="10"/>
  <c r="M307" i="10"/>
  <c r="P306" i="10"/>
  <c r="O306" i="10"/>
  <c r="N306" i="10"/>
  <c r="M306" i="10"/>
  <c r="DP306" i="10" s="1"/>
  <c r="P305" i="10"/>
  <c r="O305" i="10"/>
  <c r="N305" i="10"/>
  <c r="M305" i="10"/>
  <c r="P304" i="10"/>
  <c r="O304" i="10"/>
  <c r="N304" i="10"/>
  <c r="M304" i="10"/>
  <c r="P303" i="10"/>
  <c r="O303" i="10"/>
  <c r="N303" i="10"/>
  <c r="M303" i="10"/>
  <c r="P302" i="10"/>
  <c r="O302" i="10"/>
  <c r="N302" i="10"/>
  <c r="M302" i="10"/>
  <c r="P301" i="10"/>
  <c r="O301" i="10"/>
  <c r="N301" i="10"/>
  <c r="M301" i="10"/>
  <c r="DP301" i="10" s="1"/>
  <c r="P300" i="10"/>
  <c r="O300" i="10"/>
  <c r="N300" i="10"/>
  <c r="M300" i="10"/>
  <c r="P299" i="10"/>
  <c r="O299" i="10"/>
  <c r="N299" i="10"/>
  <c r="M299" i="10"/>
  <c r="P298" i="10"/>
  <c r="O298" i="10"/>
  <c r="N298" i="10"/>
  <c r="M298" i="10"/>
  <c r="P297" i="10"/>
  <c r="O297" i="10"/>
  <c r="N297" i="10"/>
  <c r="M297" i="10"/>
  <c r="P296" i="10"/>
  <c r="O296" i="10"/>
  <c r="N296" i="10"/>
  <c r="M296" i="10"/>
  <c r="P295" i="10"/>
  <c r="O295" i="10"/>
  <c r="N295" i="10"/>
  <c r="M295" i="10"/>
  <c r="P294" i="10"/>
  <c r="O294" i="10"/>
  <c r="N294" i="10"/>
  <c r="M294" i="10"/>
  <c r="P293" i="10"/>
  <c r="O293" i="10"/>
  <c r="N293" i="10"/>
  <c r="M293" i="10"/>
  <c r="P292" i="10"/>
  <c r="O292" i="10"/>
  <c r="N292" i="10"/>
  <c r="M292" i="10"/>
  <c r="P291" i="10"/>
  <c r="O291" i="10"/>
  <c r="N291" i="10"/>
  <c r="M291" i="10"/>
  <c r="P290" i="10"/>
  <c r="O290" i="10"/>
  <c r="N290" i="10"/>
  <c r="M290" i="10"/>
  <c r="DP290" i="10" s="1"/>
  <c r="P289" i="10"/>
  <c r="O289" i="10"/>
  <c r="N289" i="10"/>
  <c r="M289" i="10"/>
  <c r="P288" i="10"/>
  <c r="O288" i="10"/>
  <c r="N288" i="10"/>
  <c r="M288" i="10"/>
  <c r="P287" i="10"/>
  <c r="O287" i="10"/>
  <c r="N287" i="10"/>
  <c r="M287" i="10"/>
  <c r="P286" i="10"/>
  <c r="O286" i="10"/>
  <c r="N286" i="10"/>
  <c r="M286" i="10"/>
  <c r="P285" i="10"/>
  <c r="O285" i="10"/>
  <c r="N285" i="10"/>
  <c r="M285" i="10"/>
  <c r="DP285" i="10" s="1"/>
  <c r="P284" i="10"/>
  <c r="O284" i="10"/>
  <c r="N284" i="10"/>
  <c r="M284" i="10"/>
  <c r="DP284" i="10" s="1"/>
  <c r="P283" i="10"/>
  <c r="O283" i="10"/>
  <c r="N283" i="10"/>
  <c r="M283" i="10"/>
  <c r="P282" i="10"/>
  <c r="O282" i="10"/>
  <c r="N282" i="10"/>
  <c r="M282" i="10"/>
  <c r="P281" i="10"/>
  <c r="O281" i="10"/>
  <c r="N281" i="10"/>
  <c r="M281" i="10"/>
  <c r="P280" i="10"/>
  <c r="O280" i="10"/>
  <c r="N280" i="10"/>
  <c r="M280" i="10"/>
  <c r="P279" i="10"/>
  <c r="O279" i="10"/>
  <c r="N279" i="10"/>
  <c r="DV279" i="10" s="1"/>
  <c r="M279" i="10"/>
  <c r="DP279" i="10" s="1"/>
  <c r="P278" i="10"/>
  <c r="O278" i="10"/>
  <c r="N278" i="10"/>
  <c r="M278" i="10"/>
  <c r="P277" i="10"/>
  <c r="O277" i="10"/>
  <c r="N277" i="10"/>
  <c r="M277" i="10"/>
  <c r="P276" i="10"/>
  <c r="O276" i="10"/>
  <c r="N276" i="10"/>
  <c r="M276" i="10"/>
  <c r="P275" i="10"/>
  <c r="O275" i="10"/>
  <c r="N275" i="10"/>
  <c r="DV275" i="10" s="1"/>
  <c r="M275" i="10"/>
  <c r="P274" i="10"/>
  <c r="O274" i="10"/>
  <c r="N274" i="10"/>
  <c r="M274" i="10"/>
  <c r="DP274" i="10" s="1"/>
  <c r="P273" i="10"/>
  <c r="O273" i="10"/>
  <c r="N273" i="10"/>
  <c r="M273" i="10"/>
  <c r="P272" i="10"/>
  <c r="O272" i="10"/>
  <c r="N272" i="10"/>
  <c r="M272" i="10"/>
  <c r="P271" i="10"/>
  <c r="O271" i="10"/>
  <c r="N271" i="10"/>
  <c r="M271" i="10"/>
  <c r="P270" i="10"/>
  <c r="O270" i="10"/>
  <c r="N270" i="10"/>
  <c r="M270" i="10"/>
  <c r="P269" i="10"/>
  <c r="O269" i="10"/>
  <c r="N269" i="10"/>
  <c r="M269" i="10"/>
  <c r="P268" i="10"/>
  <c r="O268" i="10"/>
  <c r="N268" i="10"/>
  <c r="M268" i="10"/>
  <c r="DP268" i="10" s="1"/>
  <c r="P267" i="10"/>
  <c r="O267" i="10"/>
  <c r="N267" i="10"/>
  <c r="M267" i="10"/>
  <c r="P266" i="10"/>
  <c r="O266" i="10"/>
  <c r="N266" i="10"/>
  <c r="M266" i="10"/>
  <c r="P265" i="10"/>
  <c r="O265" i="10"/>
  <c r="N265" i="10"/>
  <c r="M265" i="10"/>
  <c r="Q265" i="10" s="1"/>
  <c r="P264" i="10"/>
  <c r="O264" i="10"/>
  <c r="N264" i="10"/>
  <c r="M264" i="10"/>
  <c r="P263" i="10"/>
  <c r="O263" i="10"/>
  <c r="N263" i="10"/>
  <c r="M263" i="10"/>
  <c r="DP263" i="10" s="1"/>
  <c r="P262" i="10"/>
  <c r="O262" i="10"/>
  <c r="N262" i="10"/>
  <c r="M262" i="10"/>
  <c r="DP262" i="10" s="1"/>
  <c r="P261" i="10"/>
  <c r="O261" i="10"/>
  <c r="N261" i="10"/>
  <c r="M261" i="10"/>
  <c r="P260" i="10"/>
  <c r="O260" i="10"/>
  <c r="N260" i="10"/>
  <c r="M260" i="10"/>
  <c r="P259" i="10"/>
  <c r="O259" i="10"/>
  <c r="N259" i="10"/>
  <c r="M259" i="10"/>
  <c r="P258" i="10"/>
  <c r="O258" i="10"/>
  <c r="N258" i="10"/>
  <c r="M258" i="10"/>
  <c r="P257" i="10"/>
  <c r="O257" i="10"/>
  <c r="N257" i="10"/>
  <c r="M257" i="10"/>
  <c r="P256" i="10"/>
  <c r="O256" i="10"/>
  <c r="N256" i="10"/>
  <c r="M256" i="10"/>
  <c r="P255" i="10"/>
  <c r="O255" i="10"/>
  <c r="Q255" i="10" s="1"/>
  <c r="N255" i="10"/>
  <c r="M255" i="10"/>
  <c r="P254" i="10"/>
  <c r="O254" i="10"/>
  <c r="N254" i="10"/>
  <c r="M254" i="10"/>
  <c r="P253" i="10"/>
  <c r="O253" i="10"/>
  <c r="N253" i="10"/>
  <c r="DV253" i="10" s="1"/>
  <c r="M253" i="10"/>
  <c r="P252" i="10"/>
  <c r="O252" i="10"/>
  <c r="N252" i="10"/>
  <c r="M252" i="10"/>
  <c r="P251" i="10"/>
  <c r="O251" i="10"/>
  <c r="N251" i="10"/>
  <c r="M251" i="10"/>
  <c r="DP251" i="10" s="1"/>
  <c r="P250" i="10"/>
  <c r="O250" i="10"/>
  <c r="N250" i="10"/>
  <c r="M250" i="10"/>
  <c r="P249" i="10"/>
  <c r="O249" i="10"/>
  <c r="N249" i="10"/>
  <c r="M249" i="10"/>
  <c r="P248" i="10"/>
  <c r="O248" i="10"/>
  <c r="N248" i="10"/>
  <c r="M248" i="10"/>
  <c r="P247" i="10"/>
  <c r="O247" i="10"/>
  <c r="N247" i="10"/>
  <c r="M247" i="10"/>
  <c r="P246" i="10"/>
  <c r="O246" i="10"/>
  <c r="N246" i="10"/>
  <c r="M246" i="10"/>
  <c r="DP246" i="10" s="1"/>
  <c r="P245" i="10"/>
  <c r="O245" i="10"/>
  <c r="N245" i="10"/>
  <c r="M245" i="10"/>
  <c r="P244" i="10"/>
  <c r="O244" i="10"/>
  <c r="Q244" i="10" s="1"/>
  <c r="N244" i="10"/>
  <c r="M244" i="10"/>
  <c r="P243" i="10"/>
  <c r="O243" i="10"/>
  <c r="N243" i="10"/>
  <c r="M243" i="10"/>
  <c r="P242" i="10"/>
  <c r="O242" i="10"/>
  <c r="N242" i="10"/>
  <c r="M242" i="10"/>
  <c r="P241" i="10"/>
  <c r="O241" i="10"/>
  <c r="N241" i="10"/>
  <c r="M241" i="10"/>
  <c r="DP241" i="10" s="1"/>
  <c r="P240" i="10"/>
  <c r="O240" i="10"/>
  <c r="N240" i="10"/>
  <c r="M240" i="10"/>
  <c r="DP240" i="10" s="1"/>
  <c r="P239" i="10"/>
  <c r="O239" i="10"/>
  <c r="N239" i="10"/>
  <c r="M239" i="10"/>
  <c r="P238" i="10"/>
  <c r="O238" i="10"/>
  <c r="N238" i="10"/>
  <c r="M238" i="10"/>
  <c r="P237" i="10"/>
  <c r="O237" i="10"/>
  <c r="N237" i="10"/>
  <c r="M237" i="10"/>
  <c r="P236" i="10"/>
  <c r="O236" i="10"/>
  <c r="N236" i="10"/>
  <c r="M236" i="10"/>
  <c r="P235" i="10"/>
  <c r="O235" i="10"/>
  <c r="N235" i="10"/>
  <c r="M235" i="10"/>
  <c r="P234" i="10"/>
  <c r="O234" i="10"/>
  <c r="DU234" i="10" s="1"/>
  <c r="N234" i="10"/>
  <c r="M234" i="10"/>
  <c r="P233" i="10"/>
  <c r="O233" i="10"/>
  <c r="Q233" i="10" s="1"/>
  <c r="N233" i="10"/>
  <c r="M233" i="10"/>
  <c r="P232" i="10"/>
  <c r="O232" i="10"/>
  <c r="N232" i="10"/>
  <c r="M232" i="10"/>
  <c r="P231" i="10"/>
  <c r="O231" i="10"/>
  <c r="N231" i="10"/>
  <c r="M231" i="10"/>
  <c r="P230" i="10"/>
  <c r="O230" i="10"/>
  <c r="N230" i="10"/>
  <c r="M230" i="10"/>
  <c r="P229" i="10"/>
  <c r="O229" i="10"/>
  <c r="N229" i="10"/>
  <c r="M229" i="10"/>
  <c r="DP229" i="10" s="1"/>
  <c r="P228" i="10"/>
  <c r="O228" i="10"/>
  <c r="N228" i="10"/>
  <c r="M228" i="10"/>
  <c r="P227" i="10"/>
  <c r="O227" i="10"/>
  <c r="N227" i="10"/>
  <c r="M227" i="10"/>
  <c r="P226" i="10"/>
  <c r="O226" i="10"/>
  <c r="N226" i="10"/>
  <c r="M226" i="10"/>
  <c r="P225" i="10"/>
  <c r="O225" i="10"/>
  <c r="N225" i="10"/>
  <c r="M225" i="10"/>
  <c r="P224" i="10"/>
  <c r="O224" i="10"/>
  <c r="N224" i="10"/>
  <c r="M224" i="10"/>
  <c r="DP224" i="10" s="1"/>
  <c r="P223" i="10"/>
  <c r="O223" i="10"/>
  <c r="N223" i="10"/>
  <c r="M223" i="10"/>
  <c r="P222" i="10"/>
  <c r="O222" i="10"/>
  <c r="N222" i="10"/>
  <c r="M222" i="10"/>
  <c r="P221" i="10"/>
  <c r="O221" i="10"/>
  <c r="N221" i="10"/>
  <c r="M221" i="10"/>
  <c r="P220" i="10"/>
  <c r="O220" i="10"/>
  <c r="N220" i="10"/>
  <c r="DV220" i="10" s="1"/>
  <c r="M220" i="10"/>
  <c r="P219" i="10"/>
  <c r="O219" i="10"/>
  <c r="N219" i="10"/>
  <c r="M219" i="10"/>
  <c r="P218" i="10"/>
  <c r="O218" i="10"/>
  <c r="N218" i="10"/>
  <c r="M218" i="10"/>
  <c r="DP218" i="10" s="1"/>
  <c r="P217" i="10"/>
  <c r="O217" i="10"/>
  <c r="N217" i="10"/>
  <c r="M217" i="10"/>
  <c r="P216" i="10"/>
  <c r="O216" i="10"/>
  <c r="N216" i="10"/>
  <c r="M216" i="10"/>
  <c r="P215" i="10"/>
  <c r="O215" i="10"/>
  <c r="N215" i="10"/>
  <c r="M215" i="10"/>
  <c r="P214" i="10"/>
  <c r="O214" i="10"/>
  <c r="N214" i="10"/>
  <c r="M214" i="10"/>
  <c r="P213" i="10"/>
  <c r="O213" i="10"/>
  <c r="N213" i="10"/>
  <c r="M213" i="10"/>
  <c r="DP213" i="10" s="1"/>
  <c r="P212" i="10"/>
  <c r="O212" i="10"/>
  <c r="N212" i="10"/>
  <c r="M212" i="10"/>
  <c r="P211" i="10"/>
  <c r="O211" i="10"/>
  <c r="N211" i="10"/>
  <c r="M211" i="10"/>
  <c r="P210" i="10"/>
  <c r="O210" i="10"/>
  <c r="N210" i="10"/>
  <c r="M210" i="10"/>
  <c r="P209" i="10"/>
  <c r="O209" i="10"/>
  <c r="N209" i="10"/>
  <c r="DV209" i="10" s="1"/>
  <c r="M209" i="10"/>
  <c r="P208" i="10"/>
  <c r="O208" i="10"/>
  <c r="N208" i="10"/>
  <c r="M208" i="10"/>
  <c r="DP208" i="10" s="1"/>
  <c r="P207" i="10"/>
  <c r="O207" i="10"/>
  <c r="N207" i="10"/>
  <c r="M207" i="10"/>
  <c r="DP207" i="10" s="1"/>
  <c r="P206" i="10"/>
  <c r="O206" i="10"/>
  <c r="N206" i="10"/>
  <c r="M206" i="10"/>
  <c r="P205" i="10"/>
  <c r="O205" i="10"/>
  <c r="N205" i="10"/>
  <c r="M205" i="10"/>
  <c r="P204" i="10"/>
  <c r="O204" i="10"/>
  <c r="N204" i="10"/>
  <c r="M204" i="10"/>
  <c r="P203" i="10"/>
  <c r="O203" i="10"/>
  <c r="N203" i="10"/>
  <c r="M203" i="10"/>
  <c r="P202" i="10"/>
  <c r="O202" i="10"/>
  <c r="N202" i="10"/>
  <c r="M202" i="10"/>
  <c r="DP202" i="10" s="1"/>
  <c r="P201" i="10"/>
  <c r="O201" i="10"/>
  <c r="N201" i="10"/>
  <c r="M201" i="10"/>
  <c r="P200" i="10"/>
  <c r="O200" i="10"/>
  <c r="N200" i="10"/>
  <c r="M200" i="10"/>
  <c r="P199" i="10"/>
  <c r="O199" i="10"/>
  <c r="N199" i="10"/>
  <c r="M199" i="10"/>
  <c r="P198" i="10"/>
  <c r="O198" i="10"/>
  <c r="N198" i="10"/>
  <c r="Q198" i="10" s="1"/>
  <c r="M198" i="10"/>
  <c r="P197" i="10"/>
  <c r="O197" i="10"/>
  <c r="N197" i="10"/>
  <c r="M197" i="10"/>
  <c r="DP197" i="10" s="1"/>
  <c r="P196" i="10"/>
  <c r="O196" i="10"/>
  <c r="N196" i="10"/>
  <c r="M196" i="10"/>
  <c r="DP196" i="10" s="1"/>
  <c r="P195" i="10"/>
  <c r="O195" i="10"/>
  <c r="N195" i="10"/>
  <c r="M195" i="10"/>
  <c r="P194" i="10"/>
  <c r="O194" i="10"/>
  <c r="N194" i="10"/>
  <c r="M194" i="10"/>
  <c r="P193" i="10"/>
  <c r="O193" i="10"/>
  <c r="N193" i="10"/>
  <c r="M193" i="10"/>
  <c r="P192" i="10"/>
  <c r="O192" i="10"/>
  <c r="N192" i="10"/>
  <c r="M192" i="10"/>
  <c r="P191" i="10"/>
  <c r="O191" i="10"/>
  <c r="N191" i="10"/>
  <c r="M191" i="10"/>
  <c r="DP191" i="10" s="1"/>
  <c r="P190" i="10"/>
  <c r="O190" i="10"/>
  <c r="N190" i="10"/>
  <c r="M190" i="10"/>
  <c r="P189" i="10"/>
  <c r="O189" i="10"/>
  <c r="N189" i="10"/>
  <c r="M189" i="10"/>
  <c r="P188" i="10"/>
  <c r="O188" i="10"/>
  <c r="N188" i="10"/>
  <c r="M188" i="10"/>
  <c r="Q188" i="10" s="1"/>
  <c r="P187" i="10"/>
  <c r="O187" i="10"/>
  <c r="N187" i="10"/>
  <c r="M187" i="10"/>
  <c r="P186" i="10"/>
  <c r="O186" i="10"/>
  <c r="N186" i="10"/>
  <c r="M186" i="10"/>
  <c r="DP186" i="10" s="1"/>
  <c r="P185" i="10"/>
  <c r="O185" i="10"/>
  <c r="N185" i="10"/>
  <c r="M185" i="10"/>
  <c r="DP185" i="10" s="1"/>
  <c r="P184" i="10"/>
  <c r="O184" i="10"/>
  <c r="N184" i="10"/>
  <c r="M184" i="10"/>
  <c r="P183" i="10"/>
  <c r="O183" i="10"/>
  <c r="N183" i="10"/>
  <c r="M183" i="10"/>
  <c r="P182" i="10"/>
  <c r="O182" i="10"/>
  <c r="N182" i="10"/>
  <c r="M182" i="10"/>
  <c r="P181" i="10"/>
  <c r="O181" i="10"/>
  <c r="N181" i="10"/>
  <c r="M181" i="10"/>
  <c r="P180" i="10"/>
  <c r="O180" i="10"/>
  <c r="N180" i="10"/>
  <c r="M180" i="10"/>
  <c r="P179" i="10"/>
  <c r="O179" i="10"/>
  <c r="N179" i="10"/>
  <c r="M179" i="10"/>
  <c r="P178" i="10"/>
  <c r="O178" i="10"/>
  <c r="N178" i="10"/>
  <c r="M178" i="10"/>
  <c r="P177" i="10"/>
  <c r="O177" i="10"/>
  <c r="N177" i="10"/>
  <c r="M177" i="10"/>
  <c r="P176" i="10"/>
  <c r="O176" i="10"/>
  <c r="N176" i="10"/>
  <c r="M176" i="10"/>
  <c r="P175" i="10"/>
  <c r="O175" i="10"/>
  <c r="N175" i="10"/>
  <c r="M175" i="10"/>
  <c r="DP175" i="10" s="1"/>
  <c r="P174" i="10"/>
  <c r="DQ174" i="10" s="1"/>
  <c r="O174" i="10"/>
  <c r="N174" i="10"/>
  <c r="M174" i="10"/>
  <c r="P173" i="10"/>
  <c r="O173" i="10"/>
  <c r="N173" i="10"/>
  <c r="M173" i="10"/>
  <c r="P172" i="10"/>
  <c r="O172" i="10"/>
  <c r="N172" i="10"/>
  <c r="M172" i="10"/>
  <c r="P171" i="10"/>
  <c r="O171" i="10"/>
  <c r="N171" i="10"/>
  <c r="M171" i="10"/>
  <c r="P170" i="10"/>
  <c r="O170" i="10"/>
  <c r="N170" i="10"/>
  <c r="M170" i="10"/>
  <c r="P169" i="10"/>
  <c r="O169" i="10"/>
  <c r="N169" i="10"/>
  <c r="M169" i="10"/>
  <c r="DP169" i="10" s="1"/>
  <c r="P168" i="10"/>
  <c r="O168" i="10"/>
  <c r="N168" i="10"/>
  <c r="M168" i="10"/>
  <c r="P167" i="10"/>
  <c r="O167" i="10"/>
  <c r="N167" i="10"/>
  <c r="M167" i="10"/>
  <c r="P166" i="10"/>
  <c r="O166" i="10"/>
  <c r="N166" i="10"/>
  <c r="M166" i="10"/>
  <c r="P165" i="10"/>
  <c r="O165" i="10"/>
  <c r="N165" i="10"/>
  <c r="M165" i="10"/>
  <c r="P164" i="10"/>
  <c r="O164" i="10"/>
  <c r="N164" i="10"/>
  <c r="M164" i="10"/>
  <c r="DP164" i="10" s="1"/>
  <c r="P163" i="10"/>
  <c r="O163" i="10"/>
  <c r="N163" i="10"/>
  <c r="M163" i="10"/>
  <c r="DP163" i="10" s="1"/>
  <c r="P162" i="10"/>
  <c r="O162" i="10"/>
  <c r="N162" i="10"/>
  <c r="M162" i="10"/>
  <c r="P161" i="10"/>
  <c r="O161" i="10"/>
  <c r="N161" i="10"/>
  <c r="M161" i="10"/>
  <c r="P160" i="10"/>
  <c r="O160" i="10"/>
  <c r="N160" i="10"/>
  <c r="M160" i="10"/>
  <c r="P159" i="10"/>
  <c r="O159" i="10"/>
  <c r="N159" i="10"/>
  <c r="M159" i="10"/>
  <c r="P158" i="10"/>
  <c r="O158" i="10"/>
  <c r="N158" i="10"/>
  <c r="M158" i="10"/>
  <c r="DP158" i="10" s="1"/>
  <c r="P157" i="10"/>
  <c r="O157" i="10"/>
  <c r="N157" i="10"/>
  <c r="M157" i="10"/>
  <c r="P156" i="10"/>
  <c r="O156" i="10"/>
  <c r="N156" i="10"/>
  <c r="M156" i="10"/>
  <c r="P155" i="10"/>
  <c r="O155" i="10"/>
  <c r="N155" i="10"/>
  <c r="M155" i="10"/>
  <c r="P154" i="10"/>
  <c r="O154" i="10"/>
  <c r="N154" i="10"/>
  <c r="DV154" i="10" s="1"/>
  <c r="M154" i="10"/>
  <c r="P153" i="10"/>
  <c r="O153" i="10"/>
  <c r="N153" i="10"/>
  <c r="M153" i="10"/>
  <c r="DP153" i="10" s="1"/>
  <c r="P152" i="10"/>
  <c r="O152" i="10"/>
  <c r="N152" i="10"/>
  <c r="M152" i="10"/>
  <c r="DP152" i="10" s="1"/>
  <c r="P151" i="10"/>
  <c r="O151" i="10"/>
  <c r="N151" i="10"/>
  <c r="M151" i="10"/>
  <c r="P150" i="10"/>
  <c r="O150" i="10"/>
  <c r="N150" i="10"/>
  <c r="M150" i="10"/>
  <c r="P149" i="10"/>
  <c r="O149" i="10"/>
  <c r="N149" i="10"/>
  <c r="M149" i="10"/>
  <c r="P148" i="10"/>
  <c r="O148" i="10"/>
  <c r="N148" i="10"/>
  <c r="M148" i="10"/>
  <c r="P147" i="10"/>
  <c r="O147" i="10"/>
  <c r="N147" i="10"/>
  <c r="M147" i="10"/>
  <c r="DP147" i="10" s="1"/>
  <c r="P146" i="10"/>
  <c r="O146" i="10"/>
  <c r="N146" i="10"/>
  <c r="M146" i="10"/>
  <c r="P145" i="10"/>
  <c r="O145" i="10"/>
  <c r="Q145" i="10" s="1"/>
  <c r="N145" i="10"/>
  <c r="M145" i="10"/>
  <c r="CS377" i="10"/>
  <c r="CO377" i="10"/>
  <c r="CR375" i="10"/>
  <c r="CQ375" i="10"/>
  <c r="CP375" i="10"/>
  <c r="CN375" i="10"/>
  <c r="CM375" i="10"/>
  <c r="CL375" i="10"/>
  <c r="CR374" i="10"/>
  <c r="CQ374" i="10"/>
  <c r="CP374" i="10"/>
  <c r="CN374" i="10"/>
  <c r="CM374" i="10"/>
  <c r="CL374" i="10"/>
  <c r="CR373" i="10"/>
  <c r="CQ373" i="10"/>
  <c r="CP373" i="10"/>
  <c r="CN373" i="10"/>
  <c r="CM373" i="10"/>
  <c r="CL373" i="10"/>
  <c r="CR372" i="10"/>
  <c r="CQ372" i="10"/>
  <c r="CP372" i="10"/>
  <c r="CN372" i="10"/>
  <c r="CM372" i="10"/>
  <c r="CL372" i="10"/>
  <c r="CR371" i="10"/>
  <c r="CQ371" i="10"/>
  <c r="CP371" i="10"/>
  <c r="CS371" i="10" s="1"/>
  <c r="CN371" i="10"/>
  <c r="CM371" i="10"/>
  <c r="CO371" i="10" s="1"/>
  <c r="CL371" i="10"/>
  <c r="CR370" i="10"/>
  <c r="CQ370" i="10"/>
  <c r="CP370" i="10"/>
  <c r="CS370" i="10" s="1"/>
  <c r="CN370" i="10"/>
  <c r="CM370" i="10"/>
  <c r="CL370" i="10"/>
  <c r="CO370" i="10" s="1"/>
  <c r="CR369" i="10"/>
  <c r="CQ369" i="10"/>
  <c r="CP369" i="10"/>
  <c r="CN369" i="10"/>
  <c r="CO369" i="10" s="1"/>
  <c r="CM369" i="10"/>
  <c r="CL369" i="10"/>
  <c r="CR368" i="10"/>
  <c r="CQ368" i="10"/>
  <c r="CP368" i="10"/>
  <c r="CN368" i="10"/>
  <c r="CM368" i="10"/>
  <c r="CL368" i="10"/>
  <c r="CR367" i="10"/>
  <c r="CQ367" i="10"/>
  <c r="CP367" i="10"/>
  <c r="CN367" i="10"/>
  <c r="CM367" i="10"/>
  <c r="CL367" i="10"/>
  <c r="CO367" i="10" s="1"/>
  <c r="CR366" i="10"/>
  <c r="CQ366" i="10"/>
  <c r="CP366" i="10"/>
  <c r="CS366" i="10" s="1"/>
  <c r="CN366" i="10"/>
  <c r="CM366" i="10"/>
  <c r="CL366" i="10"/>
  <c r="CR365" i="10"/>
  <c r="CQ365" i="10"/>
  <c r="CS365" i="10" s="1"/>
  <c r="CP365" i="10"/>
  <c r="CN365" i="10"/>
  <c r="CM365" i="10"/>
  <c r="CL365" i="10"/>
  <c r="CR364" i="10"/>
  <c r="CQ364" i="10"/>
  <c r="CS364" i="10" s="1"/>
  <c r="CP364" i="10"/>
  <c r="CN364" i="10"/>
  <c r="CM364" i="10"/>
  <c r="CL364" i="10"/>
  <c r="CR363" i="10"/>
  <c r="CQ363" i="10"/>
  <c r="CP363" i="10"/>
  <c r="CN363" i="10"/>
  <c r="CM363" i="10"/>
  <c r="CL363" i="10"/>
  <c r="CR362" i="10"/>
  <c r="CQ362" i="10"/>
  <c r="CP362" i="10"/>
  <c r="CN362" i="10"/>
  <c r="CM362" i="10"/>
  <c r="CL362" i="10"/>
  <c r="CR361" i="10"/>
  <c r="CQ361" i="10"/>
  <c r="CP361" i="10"/>
  <c r="CN361" i="10"/>
  <c r="CM361" i="10"/>
  <c r="CL361" i="10"/>
  <c r="CR360" i="10"/>
  <c r="CQ360" i="10"/>
  <c r="CP360" i="10"/>
  <c r="CS360" i="10" s="1"/>
  <c r="CN360" i="10"/>
  <c r="CM360" i="10"/>
  <c r="CO360" i="10" s="1"/>
  <c r="CL360" i="10"/>
  <c r="CR359" i="10"/>
  <c r="CQ359" i="10"/>
  <c r="CP359" i="10"/>
  <c r="CS359" i="10" s="1"/>
  <c r="CN359" i="10"/>
  <c r="CM359" i="10"/>
  <c r="CL359" i="10"/>
  <c r="CO359" i="10" s="1"/>
  <c r="CR358" i="10"/>
  <c r="CQ358" i="10"/>
  <c r="CP358" i="10"/>
  <c r="CN358" i="10"/>
  <c r="CM358" i="10"/>
  <c r="CL358" i="10"/>
  <c r="CR357" i="10"/>
  <c r="CQ357" i="10"/>
  <c r="CS357" i="10" s="1"/>
  <c r="CP357" i="10"/>
  <c r="CN357" i="10"/>
  <c r="CM357" i="10"/>
  <c r="CL357" i="10"/>
  <c r="CR356" i="10"/>
  <c r="CQ356" i="10"/>
  <c r="CP356" i="10"/>
  <c r="CN356" i="10"/>
  <c r="CM356" i="10"/>
  <c r="CL356" i="10"/>
  <c r="CO356" i="10" s="1"/>
  <c r="CR355" i="10"/>
  <c r="CQ355" i="10"/>
  <c r="CP355" i="10"/>
  <c r="CS355" i="10" s="1"/>
  <c r="CN355" i="10"/>
  <c r="CM355" i="10"/>
  <c r="CL355" i="10"/>
  <c r="CR354" i="10"/>
  <c r="CQ354" i="10"/>
  <c r="CS354" i="10" s="1"/>
  <c r="CP354" i="10"/>
  <c r="CN354" i="10"/>
  <c r="CM354" i="10"/>
  <c r="CL354" i="10"/>
  <c r="CR353" i="10"/>
  <c r="CQ353" i="10"/>
  <c r="CS353" i="10" s="1"/>
  <c r="CP353" i="10"/>
  <c r="CN353" i="10"/>
  <c r="CM353" i="10"/>
  <c r="CL353" i="10"/>
  <c r="CR352" i="10"/>
  <c r="CQ352" i="10"/>
  <c r="CP352" i="10"/>
  <c r="CN352" i="10"/>
  <c r="CM352" i="10"/>
  <c r="CL352" i="10"/>
  <c r="CR351" i="10"/>
  <c r="CQ351" i="10"/>
  <c r="CP351" i="10"/>
  <c r="CN351" i="10"/>
  <c r="CM351" i="10"/>
  <c r="CL351" i="10"/>
  <c r="CR350" i="10"/>
  <c r="CQ350" i="10"/>
  <c r="CP350" i="10"/>
  <c r="CN350" i="10"/>
  <c r="CM350" i="10"/>
  <c r="CL350" i="10"/>
  <c r="CO350" i="10" s="1"/>
  <c r="CR349" i="10"/>
  <c r="CQ349" i="10"/>
  <c r="CP349" i="10"/>
  <c r="CS349" i="10" s="1"/>
  <c r="CN349" i="10"/>
  <c r="CM349" i="10"/>
  <c r="CL349" i="10"/>
  <c r="CR348" i="10"/>
  <c r="CQ348" i="10"/>
  <c r="CP348" i="10"/>
  <c r="CS348" i="10" s="1"/>
  <c r="CN348" i="10"/>
  <c r="CM348" i="10"/>
  <c r="CL348" i="10"/>
  <c r="CO348" i="10" s="1"/>
  <c r="CR347" i="10"/>
  <c r="CQ347" i="10"/>
  <c r="CP347" i="10"/>
  <c r="CN347" i="10"/>
  <c r="CO347" i="10" s="1"/>
  <c r="CM347" i="10"/>
  <c r="CL347" i="10"/>
  <c r="CR346" i="10"/>
  <c r="CQ346" i="10"/>
  <c r="CP346" i="10"/>
  <c r="CN346" i="10"/>
  <c r="CM346" i="10"/>
  <c r="CL346" i="10"/>
  <c r="CR345" i="10"/>
  <c r="CQ345" i="10"/>
  <c r="CP345" i="10"/>
  <c r="CN345" i="10"/>
  <c r="CM345" i="10"/>
  <c r="CL345" i="10"/>
  <c r="CO345" i="10" s="1"/>
  <c r="CR344" i="10"/>
  <c r="CQ344" i="10"/>
  <c r="CP344" i="10"/>
  <c r="CN344" i="10"/>
  <c r="CM344" i="10"/>
  <c r="CL344" i="10"/>
  <c r="CR343" i="10"/>
  <c r="CQ343" i="10"/>
  <c r="CS343" i="10" s="1"/>
  <c r="CP343" i="10"/>
  <c r="CN343" i="10"/>
  <c r="CM343" i="10"/>
  <c r="CL343" i="10"/>
  <c r="CR342" i="10"/>
  <c r="CQ342" i="10"/>
  <c r="CS342" i="10" s="1"/>
  <c r="CP342" i="10"/>
  <c r="CN342" i="10"/>
  <c r="CM342" i="10"/>
  <c r="CL342" i="10"/>
  <c r="CR341" i="10"/>
  <c r="CQ341" i="10"/>
  <c r="CP341" i="10"/>
  <c r="CN341" i="10"/>
  <c r="CM341" i="10"/>
  <c r="CL341" i="10"/>
  <c r="CR340" i="10"/>
  <c r="CQ340" i="10"/>
  <c r="CP340" i="10"/>
  <c r="CN340" i="10"/>
  <c r="CM340" i="10"/>
  <c r="CL340" i="10"/>
  <c r="CR339" i="10"/>
  <c r="CQ339" i="10"/>
  <c r="CP339" i="10"/>
  <c r="CN339" i="10"/>
  <c r="CM339" i="10"/>
  <c r="CL339" i="10"/>
  <c r="CO339" i="10" s="1"/>
  <c r="CR338" i="10"/>
  <c r="CQ338" i="10"/>
  <c r="CP338" i="10"/>
  <c r="CS338" i="10" s="1"/>
  <c r="CN338" i="10"/>
  <c r="CM338" i="10"/>
  <c r="CO338" i="10" s="1"/>
  <c r="CL338" i="10"/>
  <c r="CR337" i="10"/>
  <c r="CQ337" i="10"/>
  <c r="CP337" i="10"/>
  <c r="CS337" i="10" s="1"/>
  <c r="CN337" i="10"/>
  <c r="CM337" i="10"/>
  <c r="CL337" i="10"/>
  <c r="CO337" i="10" s="1"/>
  <c r="CR336" i="10"/>
  <c r="CQ336" i="10"/>
  <c r="CP336" i="10"/>
  <c r="CN336" i="10"/>
  <c r="CO336" i="10" s="1"/>
  <c r="CM336" i="10"/>
  <c r="CL336" i="10"/>
  <c r="CR335" i="10"/>
  <c r="CQ335" i="10"/>
  <c r="CS335" i="10" s="1"/>
  <c r="CP335" i="10"/>
  <c r="CN335" i="10"/>
  <c r="CM335" i="10"/>
  <c r="CL335" i="10"/>
  <c r="CR334" i="10"/>
  <c r="CQ334" i="10"/>
  <c r="CP334" i="10"/>
  <c r="CN334" i="10"/>
  <c r="CM334" i="10"/>
  <c r="CL334" i="10"/>
  <c r="CO334" i="10" s="1"/>
  <c r="CR333" i="10"/>
  <c r="CQ333" i="10"/>
  <c r="CP333" i="10"/>
  <c r="CS333" i="10" s="1"/>
  <c r="CN333" i="10"/>
  <c r="CM333" i="10"/>
  <c r="CL333" i="10"/>
  <c r="CR332" i="10"/>
  <c r="CQ332" i="10"/>
  <c r="CP332" i="10"/>
  <c r="CN332" i="10"/>
  <c r="CM332" i="10"/>
  <c r="CL332" i="10"/>
  <c r="CO332" i="10" s="1"/>
  <c r="CR331" i="10"/>
  <c r="CQ331" i="10"/>
  <c r="CS331" i="10" s="1"/>
  <c r="CP331" i="10"/>
  <c r="CN331" i="10"/>
  <c r="CM331" i="10"/>
  <c r="CL331" i="10"/>
  <c r="CR330" i="10"/>
  <c r="CQ330" i="10"/>
  <c r="CP330" i="10"/>
  <c r="CN330" i="10"/>
  <c r="CM330" i="10"/>
  <c r="CL330" i="10"/>
  <c r="CR329" i="10"/>
  <c r="CQ329" i="10"/>
  <c r="CP329" i="10"/>
  <c r="CN329" i="10"/>
  <c r="CM329" i="10"/>
  <c r="CL329" i="10"/>
  <c r="CR328" i="10"/>
  <c r="CQ328" i="10"/>
  <c r="CP328" i="10"/>
  <c r="CN328" i="10"/>
  <c r="CM328" i="10"/>
  <c r="CL328" i="10"/>
  <c r="CR327" i="10"/>
  <c r="CQ327" i="10"/>
  <c r="CP327" i="10"/>
  <c r="CS327" i="10" s="1"/>
  <c r="CN327" i="10"/>
  <c r="CM327" i="10"/>
  <c r="CL327" i="10"/>
  <c r="CR326" i="10"/>
  <c r="CQ326" i="10"/>
  <c r="CP326" i="10"/>
  <c r="CS326" i="10" s="1"/>
  <c r="CN326" i="10"/>
  <c r="CM326" i="10"/>
  <c r="CL326" i="10"/>
  <c r="DQ326" i="10" s="1"/>
  <c r="CR325" i="10"/>
  <c r="CQ325" i="10"/>
  <c r="CP325" i="10"/>
  <c r="CN325" i="10"/>
  <c r="CM325" i="10"/>
  <c r="CL325" i="10"/>
  <c r="CR324" i="10"/>
  <c r="CQ324" i="10"/>
  <c r="CP324" i="10"/>
  <c r="CN324" i="10"/>
  <c r="CM324" i="10"/>
  <c r="CL324" i="10"/>
  <c r="CR323" i="10"/>
  <c r="CQ323" i="10"/>
  <c r="CP323" i="10"/>
  <c r="CN323" i="10"/>
  <c r="CM323" i="10"/>
  <c r="CL323" i="10"/>
  <c r="CO323" i="10" s="1"/>
  <c r="CR322" i="10"/>
  <c r="CQ322" i="10"/>
  <c r="CP322" i="10"/>
  <c r="CS322" i="10" s="1"/>
  <c r="CN322" i="10"/>
  <c r="CM322" i="10"/>
  <c r="CL322" i="10"/>
  <c r="CR321" i="10"/>
  <c r="CQ321" i="10"/>
  <c r="CP321" i="10"/>
  <c r="CN321" i="10"/>
  <c r="CM321" i="10"/>
  <c r="CL321" i="10"/>
  <c r="CR320" i="10"/>
  <c r="CQ320" i="10"/>
  <c r="CP320" i="10"/>
  <c r="CN320" i="10"/>
  <c r="CM320" i="10"/>
  <c r="CL320" i="10"/>
  <c r="CR319" i="10"/>
  <c r="CQ319" i="10"/>
  <c r="CP319" i="10"/>
  <c r="CN319" i="10"/>
  <c r="CM319" i="10"/>
  <c r="CL319" i="10"/>
  <c r="CR318" i="10"/>
  <c r="CQ318" i="10"/>
  <c r="CP318" i="10"/>
  <c r="CN318" i="10"/>
  <c r="CM318" i="10"/>
  <c r="CL318" i="10"/>
  <c r="CR317" i="10"/>
  <c r="CQ317" i="10"/>
  <c r="CP317" i="10"/>
  <c r="CN317" i="10"/>
  <c r="CM317" i="10"/>
  <c r="CL317" i="10"/>
  <c r="CO317" i="10" s="1"/>
  <c r="CR316" i="10"/>
  <c r="CQ316" i="10"/>
  <c r="CP316" i="10"/>
  <c r="CS316" i="10" s="1"/>
  <c r="CN316" i="10"/>
  <c r="CM316" i="10"/>
  <c r="CO316" i="10" s="1"/>
  <c r="CL316" i="10"/>
  <c r="CR315" i="10"/>
  <c r="CQ315" i="10"/>
  <c r="CP315" i="10"/>
  <c r="CN315" i="10"/>
  <c r="CM315" i="10"/>
  <c r="CL315" i="10"/>
  <c r="CO315" i="10" s="1"/>
  <c r="CR314" i="10"/>
  <c r="CQ314" i="10"/>
  <c r="CP314" i="10"/>
  <c r="CN314" i="10"/>
  <c r="CO314" i="10" s="1"/>
  <c r="CM314" i="10"/>
  <c r="CL314" i="10"/>
  <c r="CR313" i="10"/>
  <c r="CQ313" i="10"/>
  <c r="CP313" i="10"/>
  <c r="CN313" i="10"/>
  <c r="CM313" i="10"/>
  <c r="CL313" i="10"/>
  <c r="CR312" i="10"/>
  <c r="CQ312" i="10"/>
  <c r="CP312" i="10"/>
  <c r="CN312" i="10"/>
  <c r="CM312" i="10"/>
  <c r="CL312" i="10"/>
  <c r="CO312" i="10" s="1"/>
  <c r="CR311" i="10"/>
  <c r="CQ311" i="10"/>
  <c r="CP311" i="10"/>
  <c r="CS311" i="10" s="1"/>
  <c r="CN311" i="10"/>
  <c r="CM311" i="10"/>
  <c r="CL311" i="10"/>
  <c r="CR310" i="10"/>
  <c r="CQ310" i="10"/>
  <c r="CS310" i="10" s="1"/>
  <c r="CP310" i="10"/>
  <c r="CN310" i="10"/>
  <c r="CM310" i="10"/>
  <c r="CL310" i="10"/>
  <c r="CR309" i="10"/>
  <c r="CQ309" i="10"/>
  <c r="CS309" i="10" s="1"/>
  <c r="CP309" i="10"/>
  <c r="CN309" i="10"/>
  <c r="CM309" i="10"/>
  <c r="CL309" i="10"/>
  <c r="CR308" i="10"/>
  <c r="CQ308" i="10"/>
  <c r="CP308" i="10"/>
  <c r="CN308" i="10"/>
  <c r="CM308" i="10"/>
  <c r="CL308" i="10"/>
  <c r="CR307" i="10"/>
  <c r="CQ307" i="10"/>
  <c r="CP307" i="10"/>
  <c r="CN307" i="10"/>
  <c r="CM307" i="10"/>
  <c r="CL307" i="10"/>
  <c r="CR306" i="10"/>
  <c r="CQ306" i="10"/>
  <c r="CP306" i="10"/>
  <c r="CN306" i="10"/>
  <c r="CM306" i="10"/>
  <c r="CL306" i="10"/>
  <c r="CR305" i="10"/>
  <c r="CQ305" i="10"/>
  <c r="CP305" i="10"/>
  <c r="CS305" i="10" s="1"/>
  <c r="CN305" i="10"/>
  <c r="CM305" i="10"/>
  <c r="CO305" i="10" s="1"/>
  <c r="CL305" i="10"/>
  <c r="CR304" i="10"/>
  <c r="CQ304" i="10"/>
  <c r="CP304" i="10"/>
  <c r="CS304" i="10" s="1"/>
  <c r="CN304" i="10"/>
  <c r="CM304" i="10"/>
  <c r="CL304" i="10"/>
  <c r="CO304" i="10" s="1"/>
  <c r="CR303" i="10"/>
  <c r="CQ303" i="10"/>
  <c r="CP303" i="10"/>
  <c r="CN303" i="10"/>
  <c r="CO303" i="10" s="1"/>
  <c r="CM303" i="10"/>
  <c r="CL303" i="10"/>
  <c r="CR302" i="10"/>
  <c r="CQ302" i="10"/>
  <c r="CP302" i="10"/>
  <c r="CN302" i="10"/>
  <c r="CM302" i="10"/>
  <c r="CL302" i="10"/>
  <c r="CR301" i="10"/>
  <c r="CQ301" i="10"/>
  <c r="CP301" i="10"/>
  <c r="CN301" i="10"/>
  <c r="CM301" i="10"/>
  <c r="CL301" i="10"/>
  <c r="CR300" i="10"/>
  <c r="CQ300" i="10"/>
  <c r="CP300" i="10"/>
  <c r="CN300" i="10"/>
  <c r="CM300" i="10"/>
  <c r="CL300" i="10"/>
  <c r="CR299" i="10"/>
  <c r="CQ299" i="10"/>
  <c r="CS299" i="10" s="1"/>
  <c r="CP299" i="10"/>
  <c r="CN299" i="10"/>
  <c r="CM299" i="10"/>
  <c r="CL299" i="10"/>
  <c r="CR298" i="10"/>
  <c r="CQ298" i="10"/>
  <c r="CP298" i="10"/>
  <c r="CN298" i="10"/>
  <c r="CM298" i="10"/>
  <c r="CL298" i="10"/>
  <c r="CR297" i="10"/>
  <c r="CQ297" i="10"/>
  <c r="CP297" i="10"/>
  <c r="CN297" i="10"/>
  <c r="CM297" i="10"/>
  <c r="CL297" i="10"/>
  <c r="CR296" i="10"/>
  <c r="CQ296" i="10"/>
  <c r="CP296" i="10"/>
  <c r="CN296" i="10"/>
  <c r="CM296" i="10"/>
  <c r="CL296" i="10"/>
  <c r="CR295" i="10"/>
  <c r="CQ295" i="10"/>
  <c r="CP295" i="10"/>
  <c r="CN295" i="10"/>
  <c r="CM295" i="10"/>
  <c r="CL295" i="10"/>
  <c r="CR294" i="10"/>
  <c r="CQ294" i="10"/>
  <c r="CP294" i="10"/>
  <c r="CS294" i="10" s="1"/>
  <c r="CN294" i="10"/>
  <c r="CM294" i="10"/>
  <c r="CO294" i="10" s="1"/>
  <c r="CL294" i="10"/>
  <c r="CR293" i="10"/>
  <c r="CQ293" i="10"/>
  <c r="CP293" i="10"/>
  <c r="CS293" i="10" s="1"/>
  <c r="CN293" i="10"/>
  <c r="CM293" i="10"/>
  <c r="CL293" i="10"/>
  <c r="CO293" i="10" s="1"/>
  <c r="CR292" i="10"/>
  <c r="CQ292" i="10"/>
  <c r="CP292" i="10"/>
  <c r="CN292" i="10"/>
  <c r="CO292" i="10" s="1"/>
  <c r="CM292" i="10"/>
  <c r="CL292" i="10"/>
  <c r="CR291" i="10"/>
  <c r="CQ291" i="10"/>
  <c r="CP291" i="10"/>
  <c r="CN291" i="10"/>
  <c r="CM291" i="10"/>
  <c r="CL291" i="10"/>
  <c r="CR290" i="10"/>
  <c r="CQ290" i="10"/>
  <c r="CP290" i="10"/>
  <c r="CN290" i="10"/>
  <c r="CM290" i="10"/>
  <c r="CL290" i="10"/>
  <c r="CO290" i="10" s="1"/>
  <c r="CR289" i="10"/>
  <c r="CQ289" i="10"/>
  <c r="CP289" i="10"/>
  <c r="CN289" i="10"/>
  <c r="CM289" i="10"/>
  <c r="CL289" i="10"/>
  <c r="CR288" i="10"/>
  <c r="CQ288" i="10"/>
  <c r="CS288" i="10" s="1"/>
  <c r="CP288" i="10"/>
  <c r="CN288" i="10"/>
  <c r="CM288" i="10"/>
  <c r="CL288" i="10"/>
  <c r="CR287" i="10"/>
  <c r="CQ287" i="10"/>
  <c r="CP287" i="10"/>
  <c r="CN287" i="10"/>
  <c r="CM287" i="10"/>
  <c r="CL287" i="10"/>
  <c r="CR286" i="10"/>
  <c r="CQ286" i="10"/>
  <c r="CP286" i="10"/>
  <c r="CN286" i="10"/>
  <c r="CM286" i="10"/>
  <c r="CL286" i="10"/>
  <c r="CR285" i="10"/>
  <c r="CQ285" i="10"/>
  <c r="CP285" i="10"/>
  <c r="CN285" i="10"/>
  <c r="CM285" i="10"/>
  <c r="CL285" i="10"/>
  <c r="CR284" i="10"/>
  <c r="CQ284" i="10"/>
  <c r="CP284" i="10"/>
  <c r="CN284" i="10"/>
  <c r="CM284" i="10"/>
  <c r="CL284" i="10"/>
  <c r="CR283" i="10"/>
  <c r="CQ283" i="10"/>
  <c r="CP283" i="10"/>
  <c r="CS283" i="10" s="1"/>
  <c r="CN283" i="10"/>
  <c r="CM283" i="10"/>
  <c r="CO283" i="10" s="1"/>
  <c r="CL283" i="10"/>
  <c r="CR282" i="10"/>
  <c r="CQ282" i="10"/>
  <c r="CP282" i="10"/>
  <c r="CS282" i="10" s="1"/>
  <c r="CN282" i="10"/>
  <c r="CM282" i="10"/>
  <c r="CL282" i="10"/>
  <c r="CO282" i="10" s="1"/>
  <c r="CR281" i="10"/>
  <c r="CQ281" i="10"/>
  <c r="CP281" i="10"/>
  <c r="CN281" i="10"/>
  <c r="CO281" i="10" s="1"/>
  <c r="CM281" i="10"/>
  <c r="CL281" i="10"/>
  <c r="CR280" i="10"/>
  <c r="CQ280" i="10"/>
  <c r="CP280" i="10"/>
  <c r="CN280" i="10"/>
  <c r="CM280" i="10"/>
  <c r="CL280" i="10"/>
  <c r="CR279" i="10"/>
  <c r="CQ279" i="10"/>
  <c r="CP279" i="10"/>
  <c r="CN279" i="10"/>
  <c r="CM279" i="10"/>
  <c r="CL279" i="10"/>
  <c r="CO279" i="10" s="1"/>
  <c r="CR278" i="10"/>
  <c r="CQ278" i="10"/>
  <c r="CP278" i="10"/>
  <c r="CS278" i="10" s="1"/>
  <c r="CN278" i="10"/>
  <c r="CM278" i="10"/>
  <c r="CL278" i="10"/>
  <c r="CR277" i="10"/>
  <c r="CQ277" i="10"/>
  <c r="CP277" i="10"/>
  <c r="CN277" i="10"/>
  <c r="CM277" i="10"/>
  <c r="CL277" i="10"/>
  <c r="CR276" i="10"/>
  <c r="CQ276" i="10"/>
  <c r="CP276" i="10"/>
  <c r="CN276" i="10"/>
  <c r="CM276" i="10"/>
  <c r="CL276" i="10"/>
  <c r="CR275" i="10"/>
  <c r="CQ275" i="10"/>
  <c r="CP275" i="10"/>
  <c r="CN275" i="10"/>
  <c r="CM275" i="10"/>
  <c r="CL275" i="10"/>
  <c r="CR274" i="10"/>
  <c r="CQ274" i="10"/>
  <c r="CS274" i="10" s="1"/>
  <c r="CP274" i="10"/>
  <c r="CN274" i="10"/>
  <c r="CM274" i="10"/>
  <c r="CL274" i="10"/>
  <c r="CR273" i="10"/>
  <c r="CQ273" i="10"/>
  <c r="CP273" i="10"/>
  <c r="CN273" i="10"/>
  <c r="CM273" i="10"/>
  <c r="CL273" i="10"/>
  <c r="CR272" i="10"/>
  <c r="CQ272" i="10"/>
  <c r="CP272" i="10"/>
  <c r="CS272" i="10" s="1"/>
  <c r="CN272" i="10"/>
  <c r="CM272" i="10"/>
  <c r="CO272" i="10" s="1"/>
  <c r="CL272" i="10"/>
  <c r="CR271" i="10"/>
  <c r="CQ271" i="10"/>
  <c r="CP271" i="10"/>
  <c r="CS271" i="10" s="1"/>
  <c r="CN271" i="10"/>
  <c r="CM271" i="10"/>
  <c r="CL271" i="10"/>
  <c r="CR270" i="10"/>
  <c r="CQ270" i="10"/>
  <c r="CP270" i="10"/>
  <c r="CN270" i="10"/>
  <c r="CO270" i="10" s="1"/>
  <c r="CM270" i="10"/>
  <c r="CL270" i="10"/>
  <c r="CR269" i="10"/>
  <c r="CQ269" i="10"/>
  <c r="CP269" i="10"/>
  <c r="CN269" i="10"/>
  <c r="CM269" i="10"/>
  <c r="CL269" i="10"/>
  <c r="CR268" i="10"/>
  <c r="CQ268" i="10"/>
  <c r="CP268" i="10"/>
  <c r="CN268" i="10"/>
  <c r="CM268" i="10"/>
  <c r="CL268" i="10"/>
  <c r="CO268" i="10" s="1"/>
  <c r="CR267" i="10"/>
  <c r="CQ267" i="10"/>
  <c r="CP267" i="10"/>
  <c r="CN267" i="10"/>
  <c r="CM267" i="10"/>
  <c r="CL267" i="10"/>
  <c r="CR266" i="10"/>
  <c r="CQ266" i="10"/>
  <c r="CP266" i="10"/>
  <c r="CN266" i="10"/>
  <c r="CM266" i="10"/>
  <c r="CL266" i="10"/>
  <c r="CR265" i="10"/>
  <c r="CQ265" i="10"/>
  <c r="CS265" i="10" s="1"/>
  <c r="CP265" i="10"/>
  <c r="CN265" i="10"/>
  <c r="CM265" i="10"/>
  <c r="CL265" i="10"/>
  <c r="CR264" i="10"/>
  <c r="CQ264" i="10"/>
  <c r="CP264" i="10"/>
  <c r="CN264" i="10"/>
  <c r="CM264" i="10"/>
  <c r="CL264" i="10"/>
  <c r="CR263" i="10"/>
  <c r="CQ263" i="10"/>
  <c r="CP263" i="10"/>
  <c r="CN263" i="10"/>
  <c r="CM263" i="10"/>
  <c r="CL263" i="10"/>
  <c r="CR262" i="10"/>
  <c r="CQ262" i="10"/>
  <c r="CP262" i="10"/>
  <c r="CN262" i="10"/>
  <c r="CM262" i="10"/>
  <c r="CL262" i="10"/>
  <c r="CO262" i="10" s="1"/>
  <c r="CR261" i="10"/>
  <c r="CQ261" i="10"/>
  <c r="CP261" i="10"/>
  <c r="CS261" i="10" s="1"/>
  <c r="CN261" i="10"/>
  <c r="CM261" i="10"/>
  <c r="CL261" i="10"/>
  <c r="CR260" i="10"/>
  <c r="CQ260" i="10"/>
  <c r="CP260" i="10"/>
  <c r="CS260" i="10" s="1"/>
  <c r="CN260" i="10"/>
  <c r="CM260" i="10"/>
  <c r="CL260" i="10"/>
  <c r="CO260" i="10" s="1"/>
  <c r="CR259" i="10"/>
  <c r="CQ259" i="10"/>
  <c r="CP259" i="10"/>
  <c r="CN259" i="10"/>
  <c r="CO259" i="10" s="1"/>
  <c r="CM259" i="10"/>
  <c r="CL259" i="10"/>
  <c r="CR258" i="10"/>
  <c r="CQ258" i="10"/>
  <c r="CP258" i="10"/>
  <c r="CN258" i="10"/>
  <c r="CM258" i="10"/>
  <c r="CL258" i="10"/>
  <c r="CR257" i="10"/>
  <c r="CQ257" i="10"/>
  <c r="CP257" i="10"/>
  <c r="CN257" i="10"/>
  <c r="CM257" i="10"/>
  <c r="CL257" i="10"/>
  <c r="CO257" i="10" s="1"/>
  <c r="CR256" i="10"/>
  <c r="CQ256" i="10"/>
  <c r="CP256" i="10"/>
  <c r="CS256" i="10" s="1"/>
  <c r="CN256" i="10"/>
  <c r="CM256" i="10"/>
  <c r="CL256" i="10"/>
  <c r="CR255" i="10"/>
  <c r="CQ255" i="10"/>
  <c r="CS255" i="10" s="1"/>
  <c r="CP255" i="10"/>
  <c r="CN255" i="10"/>
  <c r="CM255" i="10"/>
  <c r="CL255" i="10"/>
  <c r="CR254" i="10"/>
  <c r="CQ254" i="10"/>
  <c r="CP254" i="10"/>
  <c r="CN254" i="10"/>
  <c r="CM254" i="10"/>
  <c r="CL254" i="10"/>
  <c r="CR253" i="10"/>
  <c r="CQ253" i="10"/>
  <c r="CP253" i="10"/>
  <c r="CN253" i="10"/>
  <c r="CM253" i="10"/>
  <c r="CL253" i="10"/>
  <c r="CR252" i="10"/>
  <c r="CQ252" i="10"/>
  <c r="CP252" i="10"/>
  <c r="CN252" i="10"/>
  <c r="CM252" i="10"/>
  <c r="CL252" i="10"/>
  <c r="CR251" i="10"/>
  <c r="CQ251" i="10"/>
  <c r="CP251" i="10"/>
  <c r="CN251" i="10"/>
  <c r="CM251" i="10"/>
  <c r="CL251" i="10"/>
  <c r="CR250" i="10"/>
  <c r="CQ250" i="10"/>
  <c r="CP250" i="10"/>
  <c r="CS250" i="10" s="1"/>
  <c r="CN250" i="10"/>
  <c r="CM250" i="10"/>
  <c r="CO250" i="10" s="1"/>
  <c r="CL250" i="10"/>
  <c r="CR249" i="10"/>
  <c r="CQ249" i="10"/>
  <c r="CP249" i="10"/>
  <c r="CS249" i="10" s="1"/>
  <c r="CN249" i="10"/>
  <c r="CM249" i="10"/>
  <c r="CL249" i="10"/>
  <c r="CO249" i="10" s="1"/>
  <c r="CR248" i="10"/>
  <c r="CQ248" i="10"/>
  <c r="CP248" i="10"/>
  <c r="CN248" i="10"/>
  <c r="CO248" i="10" s="1"/>
  <c r="CM248" i="10"/>
  <c r="CL248" i="10"/>
  <c r="CR247" i="10"/>
  <c r="CQ247" i="10"/>
  <c r="CP247" i="10"/>
  <c r="CN247" i="10"/>
  <c r="CM247" i="10"/>
  <c r="CL247" i="10"/>
  <c r="CR246" i="10"/>
  <c r="CQ246" i="10"/>
  <c r="CP246" i="10"/>
  <c r="CN246" i="10"/>
  <c r="CM246" i="10"/>
  <c r="CL246" i="10"/>
  <c r="CO246" i="10" s="1"/>
  <c r="CR245" i="10"/>
  <c r="CQ245" i="10"/>
  <c r="CP245" i="10"/>
  <c r="CS245" i="10" s="1"/>
  <c r="CN245" i="10"/>
  <c r="CM245" i="10"/>
  <c r="CL245" i="10"/>
  <c r="CR244" i="10"/>
  <c r="CQ244" i="10"/>
  <c r="CP244" i="10"/>
  <c r="CN244" i="10"/>
  <c r="CM244" i="10"/>
  <c r="CL244" i="10"/>
  <c r="CR243" i="10"/>
  <c r="CQ243" i="10"/>
  <c r="CS243" i="10" s="1"/>
  <c r="CP243" i="10"/>
  <c r="CN243" i="10"/>
  <c r="CM243" i="10"/>
  <c r="CL243" i="10"/>
  <c r="CR242" i="10"/>
  <c r="CQ242" i="10"/>
  <c r="CP242" i="10"/>
  <c r="CN242" i="10"/>
  <c r="CM242" i="10"/>
  <c r="CL242" i="10"/>
  <c r="CR241" i="10"/>
  <c r="CQ241" i="10"/>
  <c r="CP241" i="10"/>
  <c r="CN241" i="10"/>
  <c r="CM241" i="10"/>
  <c r="CL241" i="10"/>
  <c r="CR240" i="10"/>
  <c r="CQ240" i="10"/>
  <c r="CP240" i="10"/>
  <c r="CN240" i="10"/>
  <c r="CM240" i="10"/>
  <c r="CL240" i="10"/>
  <c r="CO240" i="10" s="1"/>
  <c r="CR239" i="10"/>
  <c r="CQ239" i="10"/>
  <c r="CP239" i="10"/>
  <c r="CS239" i="10" s="1"/>
  <c r="CN239" i="10"/>
  <c r="CM239" i="10"/>
  <c r="CL239" i="10"/>
  <c r="CR238" i="10"/>
  <c r="CQ238" i="10"/>
  <c r="CP238" i="10"/>
  <c r="CS238" i="10" s="1"/>
  <c r="CN238" i="10"/>
  <c r="CM238" i="10"/>
  <c r="CL238" i="10"/>
  <c r="CO238" i="10" s="1"/>
  <c r="CR237" i="10"/>
  <c r="CQ237" i="10"/>
  <c r="CP237" i="10"/>
  <c r="CN237" i="10"/>
  <c r="CM237" i="10"/>
  <c r="CL237" i="10"/>
  <c r="CR236" i="10"/>
  <c r="CQ236" i="10"/>
  <c r="CP236" i="10"/>
  <c r="CN236" i="10"/>
  <c r="CM236" i="10"/>
  <c r="CL236" i="10"/>
  <c r="CR235" i="10"/>
  <c r="CQ235" i="10"/>
  <c r="CP235" i="10"/>
  <c r="CN235" i="10"/>
  <c r="CM235" i="10"/>
  <c r="CL235" i="10"/>
  <c r="CR234" i="10"/>
  <c r="CQ234" i="10"/>
  <c r="CP234" i="10"/>
  <c r="CS234" i="10" s="1"/>
  <c r="CN234" i="10"/>
  <c r="CM234" i="10"/>
  <c r="CL234" i="10"/>
  <c r="CR233" i="10"/>
  <c r="CQ233" i="10"/>
  <c r="CS233" i="10" s="1"/>
  <c r="CP233" i="10"/>
  <c r="CN233" i="10"/>
  <c r="CM233" i="10"/>
  <c r="CL233" i="10"/>
  <c r="CR232" i="10"/>
  <c r="CQ232" i="10"/>
  <c r="CS232" i="10" s="1"/>
  <c r="CP232" i="10"/>
  <c r="CN232" i="10"/>
  <c r="CM232" i="10"/>
  <c r="CL232" i="10"/>
  <c r="CR231" i="10"/>
  <c r="CQ231" i="10"/>
  <c r="CP231" i="10"/>
  <c r="CN231" i="10"/>
  <c r="CM231" i="10"/>
  <c r="CL231" i="10"/>
  <c r="CR230" i="10"/>
  <c r="CQ230" i="10"/>
  <c r="CP230" i="10"/>
  <c r="CN230" i="10"/>
  <c r="CM230" i="10"/>
  <c r="CL230" i="10"/>
  <c r="CR229" i="10"/>
  <c r="CQ229" i="10"/>
  <c r="CP229" i="10"/>
  <c r="CN229" i="10"/>
  <c r="CM229" i="10"/>
  <c r="CL229" i="10"/>
  <c r="CO229" i="10" s="1"/>
  <c r="CR228" i="10"/>
  <c r="CQ228" i="10"/>
  <c r="CP228" i="10"/>
  <c r="CN228" i="10"/>
  <c r="CM228" i="10"/>
  <c r="CL228" i="10"/>
  <c r="CR227" i="10"/>
  <c r="CQ227" i="10"/>
  <c r="CP227" i="10"/>
  <c r="CS227" i="10" s="1"/>
  <c r="CN227" i="10"/>
  <c r="CM227" i="10"/>
  <c r="CL227" i="10"/>
  <c r="CO227" i="10" s="1"/>
  <c r="CR226" i="10"/>
  <c r="CQ226" i="10"/>
  <c r="CP226" i="10"/>
  <c r="CN226" i="10"/>
  <c r="CO226" i="10" s="1"/>
  <c r="CM226" i="10"/>
  <c r="CL226" i="10"/>
  <c r="CR225" i="10"/>
  <c r="CQ225" i="10"/>
  <c r="CP225" i="10"/>
  <c r="CN225" i="10"/>
  <c r="CM225" i="10"/>
  <c r="CL225" i="10"/>
  <c r="CR224" i="10"/>
  <c r="CQ224" i="10"/>
  <c r="CP224" i="10"/>
  <c r="CN224" i="10"/>
  <c r="CM224" i="10"/>
  <c r="CL224" i="10"/>
  <c r="CO224" i="10" s="1"/>
  <c r="CR223" i="10"/>
  <c r="CQ223" i="10"/>
  <c r="CP223" i="10"/>
  <c r="CS223" i="10" s="1"/>
  <c r="CN223" i="10"/>
  <c r="CM223" i="10"/>
  <c r="CL223" i="10"/>
  <c r="CR222" i="10"/>
  <c r="CQ222" i="10"/>
  <c r="CS222" i="10" s="1"/>
  <c r="CP222" i="10"/>
  <c r="CN222" i="10"/>
  <c r="CM222" i="10"/>
  <c r="CL222" i="10"/>
  <c r="CR221" i="10"/>
  <c r="CQ221" i="10"/>
  <c r="CS221" i="10" s="1"/>
  <c r="CP221" i="10"/>
  <c r="CN221" i="10"/>
  <c r="CM221" i="10"/>
  <c r="CL221" i="10"/>
  <c r="CR220" i="10"/>
  <c r="CQ220" i="10"/>
  <c r="CP220" i="10"/>
  <c r="CN220" i="10"/>
  <c r="CM220" i="10"/>
  <c r="CL220" i="10"/>
  <c r="CR219" i="10"/>
  <c r="CQ219" i="10"/>
  <c r="CP219" i="10"/>
  <c r="CN219" i="10"/>
  <c r="CM219" i="10"/>
  <c r="CL219" i="10"/>
  <c r="CR218" i="10"/>
  <c r="CQ218" i="10"/>
  <c r="CP218" i="10"/>
  <c r="CN218" i="10"/>
  <c r="CM218" i="10"/>
  <c r="CL218" i="10"/>
  <c r="CR217" i="10"/>
  <c r="CQ217" i="10"/>
  <c r="CP217" i="10"/>
  <c r="CS217" i="10" s="1"/>
  <c r="CN217" i="10"/>
  <c r="CM217" i="10"/>
  <c r="CO217" i="10" s="1"/>
  <c r="CL217" i="10"/>
  <c r="CR216" i="10"/>
  <c r="CQ216" i="10"/>
  <c r="CP216" i="10"/>
  <c r="CS216" i="10" s="1"/>
  <c r="CN216" i="10"/>
  <c r="CM216" i="10"/>
  <c r="CL216" i="10"/>
  <c r="CO216" i="10" s="1"/>
  <c r="CR215" i="10"/>
  <c r="CQ215" i="10"/>
  <c r="CP215" i="10"/>
  <c r="CN215" i="10"/>
  <c r="CO215" i="10" s="1"/>
  <c r="CM215" i="10"/>
  <c r="CL215" i="10"/>
  <c r="CR214" i="10"/>
  <c r="CQ214" i="10"/>
  <c r="CP214" i="10"/>
  <c r="CN214" i="10"/>
  <c r="CM214" i="10"/>
  <c r="CL214" i="10"/>
  <c r="CR213" i="10"/>
  <c r="CQ213" i="10"/>
  <c r="CP213" i="10"/>
  <c r="CN213" i="10"/>
  <c r="CM213" i="10"/>
  <c r="CL213" i="10"/>
  <c r="CO213" i="10" s="1"/>
  <c r="CR212" i="10"/>
  <c r="CQ212" i="10"/>
  <c r="CP212" i="10"/>
  <c r="CS212" i="10" s="1"/>
  <c r="CN212" i="10"/>
  <c r="CM212" i="10"/>
  <c r="CL212" i="10"/>
  <c r="CR211" i="10"/>
  <c r="CQ211" i="10"/>
  <c r="CS211" i="10" s="1"/>
  <c r="CP211" i="10"/>
  <c r="CN211" i="10"/>
  <c r="CM211" i="10"/>
  <c r="CL211" i="10"/>
  <c r="CR210" i="10"/>
  <c r="CQ210" i="10"/>
  <c r="CS210" i="10" s="1"/>
  <c r="CP210" i="10"/>
  <c r="CN210" i="10"/>
  <c r="CM210" i="10"/>
  <c r="CL210" i="10"/>
  <c r="CR209" i="10"/>
  <c r="CQ209" i="10"/>
  <c r="CP209" i="10"/>
  <c r="CN209" i="10"/>
  <c r="CM209" i="10"/>
  <c r="CL209" i="10"/>
  <c r="CR208" i="10"/>
  <c r="CQ208" i="10"/>
  <c r="CP208" i="10"/>
  <c r="CN208" i="10"/>
  <c r="CM208" i="10"/>
  <c r="CL208" i="10"/>
  <c r="CR207" i="10"/>
  <c r="CQ207" i="10"/>
  <c r="CP207" i="10"/>
  <c r="CN207" i="10"/>
  <c r="CM207" i="10"/>
  <c r="CL207" i="10"/>
  <c r="CR206" i="10"/>
  <c r="CQ206" i="10"/>
  <c r="CP206" i="10"/>
  <c r="CS206" i="10" s="1"/>
  <c r="CN206" i="10"/>
  <c r="CM206" i="10"/>
  <c r="CO206" i="10" s="1"/>
  <c r="CL206" i="10"/>
  <c r="CR205" i="10"/>
  <c r="CQ205" i="10"/>
  <c r="CP205" i="10"/>
  <c r="CS205" i="10" s="1"/>
  <c r="CN205" i="10"/>
  <c r="CM205" i="10"/>
  <c r="CL205" i="10"/>
  <c r="CO205" i="10" s="1"/>
  <c r="CR204" i="10"/>
  <c r="CQ204" i="10"/>
  <c r="CP204" i="10"/>
  <c r="CN204" i="10"/>
  <c r="CO204" i="10" s="1"/>
  <c r="CM204" i="10"/>
  <c r="CL204" i="10"/>
  <c r="CR203" i="10"/>
  <c r="CQ203" i="10"/>
  <c r="CP203" i="10"/>
  <c r="CN203" i="10"/>
  <c r="CM203" i="10"/>
  <c r="CL203" i="10"/>
  <c r="CR202" i="10"/>
  <c r="CQ202" i="10"/>
  <c r="CP202" i="10"/>
  <c r="CN202" i="10"/>
  <c r="CM202" i="10"/>
  <c r="CL202" i="10"/>
  <c r="CR201" i="10"/>
  <c r="CQ201" i="10"/>
  <c r="CP201" i="10"/>
  <c r="CS201" i="10" s="1"/>
  <c r="CN201" i="10"/>
  <c r="CM201" i="10"/>
  <c r="CL201" i="10"/>
  <c r="CR200" i="10"/>
  <c r="CQ200" i="10"/>
  <c r="CS200" i="10" s="1"/>
  <c r="CP200" i="10"/>
  <c r="CN200" i="10"/>
  <c r="CM200" i="10"/>
  <c r="CL200" i="10"/>
  <c r="CR199" i="10"/>
  <c r="CQ199" i="10"/>
  <c r="CS199" i="10" s="1"/>
  <c r="CP199" i="10"/>
  <c r="CN199" i="10"/>
  <c r="CM199" i="10"/>
  <c r="CL199" i="10"/>
  <c r="CR198" i="10"/>
  <c r="CQ198" i="10"/>
  <c r="CP198" i="10"/>
  <c r="CN198" i="10"/>
  <c r="CM198" i="10"/>
  <c r="CL198" i="10"/>
  <c r="CR197" i="10"/>
  <c r="CQ197" i="10"/>
  <c r="CP197" i="10"/>
  <c r="CN197" i="10"/>
  <c r="CM197" i="10"/>
  <c r="CL197" i="10"/>
  <c r="CR196" i="10"/>
  <c r="CQ196" i="10"/>
  <c r="CP196" i="10"/>
  <c r="CN196" i="10"/>
  <c r="CM196" i="10"/>
  <c r="CL196" i="10"/>
  <c r="CO196" i="10" s="1"/>
  <c r="CR195" i="10"/>
  <c r="CQ195" i="10"/>
  <c r="CP195" i="10"/>
  <c r="CS195" i="10" s="1"/>
  <c r="CN195" i="10"/>
  <c r="CM195" i="10"/>
  <c r="CO195" i="10" s="1"/>
  <c r="CL195" i="10"/>
  <c r="CR194" i="10"/>
  <c r="CQ194" i="10"/>
  <c r="CP194" i="10"/>
  <c r="CN194" i="10"/>
  <c r="CM194" i="10"/>
  <c r="CL194" i="10"/>
  <c r="CO194" i="10" s="1"/>
  <c r="CR193" i="10"/>
  <c r="CQ193" i="10"/>
  <c r="CP193" i="10"/>
  <c r="CN193" i="10"/>
  <c r="CO193" i="10" s="1"/>
  <c r="CM193" i="10"/>
  <c r="CL193" i="10"/>
  <c r="CR192" i="10"/>
  <c r="CQ192" i="10"/>
  <c r="CP192" i="10"/>
  <c r="CN192" i="10"/>
  <c r="CM192" i="10"/>
  <c r="CL192" i="10"/>
  <c r="CR191" i="10"/>
  <c r="CQ191" i="10"/>
  <c r="CP191" i="10"/>
  <c r="CN191" i="10"/>
  <c r="CM191" i="10"/>
  <c r="CL191" i="10"/>
  <c r="CO191" i="10" s="1"/>
  <c r="CR190" i="10"/>
  <c r="CQ190" i="10"/>
  <c r="CP190" i="10"/>
  <c r="CS190" i="10" s="1"/>
  <c r="CN190" i="10"/>
  <c r="CM190" i="10"/>
  <c r="CL190" i="10"/>
  <c r="CR189" i="10"/>
  <c r="CQ189" i="10"/>
  <c r="CS189" i="10" s="1"/>
  <c r="CP189" i="10"/>
  <c r="CN189" i="10"/>
  <c r="CM189" i="10"/>
  <c r="CL189" i="10"/>
  <c r="CR188" i="10"/>
  <c r="CQ188" i="10"/>
  <c r="CP188" i="10"/>
  <c r="CN188" i="10"/>
  <c r="CM188" i="10"/>
  <c r="CL188" i="10"/>
  <c r="CR187" i="10"/>
  <c r="CQ187" i="10"/>
  <c r="CP187" i="10"/>
  <c r="CN187" i="10"/>
  <c r="CM187" i="10"/>
  <c r="CL187" i="10"/>
  <c r="CR186" i="10"/>
  <c r="CQ186" i="10"/>
  <c r="CS186" i="10" s="1"/>
  <c r="CP186" i="10"/>
  <c r="CN186" i="10"/>
  <c r="CM186" i="10"/>
  <c r="CL186" i="10"/>
  <c r="CR185" i="10"/>
  <c r="CQ185" i="10"/>
  <c r="CP185" i="10"/>
  <c r="CN185" i="10"/>
  <c r="CM185" i="10"/>
  <c r="CL185" i="10"/>
  <c r="CR184" i="10"/>
  <c r="CQ184" i="10"/>
  <c r="CP184" i="10"/>
  <c r="CS184" i="10" s="1"/>
  <c r="CN184" i="10"/>
  <c r="CM184" i="10"/>
  <c r="CL184" i="10"/>
  <c r="CR183" i="10"/>
  <c r="CQ183" i="10"/>
  <c r="CP183" i="10"/>
  <c r="CS183" i="10" s="1"/>
  <c r="CN183" i="10"/>
  <c r="CM183" i="10"/>
  <c r="CL183" i="10"/>
  <c r="CO183" i="10" s="1"/>
  <c r="CR182" i="10"/>
  <c r="CQ182" i="10"/>
  <c r="CP182" i="10"/>
  <c r="CN182" i="10"/>
  <c r="CO182" i="10" s="1"/>
  <c r="CM182" i="10"/>
  <c r="CL182" i="10"/>
  <c r="CR181" i="10"/>
  <c r="CQ181" i="10"/>
  <c r="CP181" i="10"/>
  <c r="CN181" i="10"/>
  <c r="CM181" i="10"/>
  <c r="CL181" i="10"/>
  <c r="CR180" i="10"/>
  <c r="CQ180" i="10"/>
  <c r="CP180" i="10"/>
  <c r="CN180" i="10"/>
  <c r="CM180" i="10"/>
  <c r="CL180" i="10"/>
  <c r="CO180" i="10" s="1"/>
  <c r="CR179" i="10"/>
  <c r="CQ179" i="10"/>
  <c r="CP179" i="10"/>
  <c r="CS179" i="10" s="1"/>
  <c r="CN179" i="10"/>
  <c r="CM179" i="10"/>
  <c r="CL179" i="10"/>
  <c r="CR178" i="10"/>
  <c r="CQ178" i="10"/>
  <c r="CS178" i="10" s="1"/>
  <c r="CP178" i="10"/>
  <c r="CN178" i="10"/>
  <c r="CM178" i="10"/>
  <c r="CL178" i="10"/>
  <c r="CR177" i="10"/>
  <c r="CQ177" i="10"/>
  <c r="CS177" i="10" s="1"/>
  <c r="CP177" i="10"/>
  <c r="CN177" i="10"/>
  <c r="CM177" i="10"/>
  <c r="CL177" i="10"/>
  <c r="CN176" i="10"/>
  <c r="CM176" i="10"/>
  <c r="CL176" i="10"/>
  <c r="CN175" i="10"/>
  <c r="CM175" i="10"/>
  <c r="CL175" i="10"/>
  <c r="CN174" i="10"/>
  <c r="CM174" i="10"/>
  <c r="CL174" i="10"/>
  <c r="CN173" i="10"/>
  <c r="CM173" i="10"/>
  <c r="CL173" i="10"/>
  <c r="CN172" i="10"/>
  <c r="CM172" i="10"/>
  <c r="CL172" i="10"/>
  <c r="CN171" i="10"/>
  <c r="CM171" i="10"/>
  <c r="CL171" i="10"/>
  <c r="CN170" i="10"/>
  <c r="CM170" i="10"/>
  <c r="CL170" i="10"/>
  <c r="CO170" i="10" s="1"/>
  <c r="CN169" i="10"/>
  <c r="CM169" i="10"/>
  <c r="CO169" i="10" s="1"/>
  <c r="CL169" i="10"/>
  <c r="CN168" i="10"/>
  <c r="CM168" i="10"/>
  <c r="CL168" i="10"/>
  <c r="CO168" i="10" s="1"/>
  <c r="CN167" i="10"/>
  <c r="CM167" i="10"/>
  <c r="CL167" i="10"/>
  <c r="CN166" i="10"/>
  <c r="CM166" i="10"/>
  <c r="CL166" i="10"/>
  <c r="CN165" i="10"/>
  <c r="CO165" i="10" s="1"/>
  <c r="CM165" i="10"/>
  <c r="CL165" i="10"/>
  <c r="CN164" i="10"/>
  <c r="CM164" i="10"/>
  <c r="CL164" i="10"/>
  <c r="CN163" i="10"/>
  <c r="CM163" i="10"/>
  <c r="CL163" i="10"/>
  <c r="CN162" i="10"/>
  <c r="CM162" i="10"/>
  <c r="CL162" i="10"/>
  <c r="CN161" i="10"/>
  <c r="CM161" i="10"/>
  <c r="CL161" i="10"/>
  <c r="CO161" i="10" s="1"/>
  <c r="CN160" i="10"/>
  <c r="CM160" i="10"/>
  <c r="CL160" i="10"/>
  <c r="CN159" i="10"/>
  <c r="CM159" i="10"/>
  <c r="CL159" i="10"/>
  <c r="CN158" i="10"/>
  <c r="CM158" i="10"/>
  <c r="CO158" i="10" s="1"/>
  <c r="CL158" i="10"/>
  <c r="CN157" i="10"/>
  <c r="CM157" i="10"/>
  <c r="CL157" i="10"/>
  <c r="CN156" i="10"/>
  <c r="CM156" i="10"/>
  <c r="CL156" i="10"/>
  <c r="CN155" i="10"/>
  <c r="CM155" i="10"/>
  <c r="CL155" i="10"/>
  <c r="CN154" i="10"/>
  <c r="CM154" i="10"/>
  <c r="CL154" i="10"/>
  <c r="CN153" i="10"/>
  <c r="CM153" i="10"/>
  <c r="CL153" i="10"/>
  <c r="CN152" i="10"/>
  <c r="CM152" i="10"/>
  <c r="CL152" i="10"/>
  <c r="CN151" i="10"/>
  <c r="CM151" i="10"/>
  <c r="CL151" i="10"/>
  <c r="CN150" i="10"/>
  <c r="CM150" i="10"/>
  <c r="CL150" i="10"/>
  <c r="CN149" i="10"/>
  <c r="CM149" i="10"/>
  <c r="CL149" i="10"/>
  <c r="CO149" i="10" s="1"/>
  <c r="CN148" i="10"/>
  <c r="CM148" i="10"/>
  <c r="CL148" i="10"/>
  <c r="CO148" i="10" s="1"/>
  <c r="CN147" i="10"/>
  <c r="CM147" i="10"/>
  <c r="CO147" i="10" s="1"/>
  <c r="CL147" i="10"/>
  <c r="CN146" i="10"/>
  <c r="CM146" i="10"/>
  <c r="CL146" i="10"/>
  <c r="CO146" i="10" s="1"/>
  <c r="CN145" i="10"/>
  <c r="CM145" i="10"/>
  <c r="CL145" i="10"/>
  <c r="CO145" i="10" s="1"/>
  <c r="CN144" i="10"/>
  <c r="CM144" i="10"/>
  <c r="CL144" i="10"/>
  <c r="CN143" i="10"/>
  <c r="CO143" i="10" s="1"/>
  <c r="CM143" i="10"/>
  <c r="CL143" i="10"/>
  <c r="X377" i="10"/>
  <c r="W375" i="10"/>
  <c r="V375" i="10"/>
  <c r="W374" i="10"/>
  <c r="V374" i="10"/>
  <c r="W373" i="10"/>
  <c r="V373" i="10"/>
  <c r="X373" i="10" s="1"/>
  <c r="W372" i="10"/>
  <c r="V372" i="10"/>
  <c r="X372" i="10" s="1"/>
  <c r="W371" i="10"/>
  <c r="V371" i="10"/>
  <c r="W370" i="10"/>
  <c r="V370" i="10"/>
  <c r="W369" i="10"/>
  <c r="V369" i="10"/>
  <c r="W368" i="10"/>
  <c r="V368" i="10"/>
  <c r="W367" i="10"/>
  <c r="V367" i="10"/>
  <c r="W366" i="10"/>
  <c r="V366" i="10"/>
  <c r="W365" i="10"/>
  <c r="V365" i="10"/>
  <c r="W364" i="10"/>
  <c r="X364" i="10" s="1"/>
  <c r="V364" i="10"/>
  <c r="W363" i="10"/>
  <c r="X363" i="10" s="1"/>
  <c r="V363" i="10"/>
  <c r="W362" i="10"/>
  <c r="V362" i="10"/>
  <c r="W361" i="10"/>
  <c r="V361" i="10"/>
  <c r="W360" i="10"/>
  <c r="V360" i="10"/>
  <c r="W359" i="10"/>
  <c r="V359" i="10"/>
  <c r="W358" i="10"/>
  <c r="V358" i="10"/>
  <c r="W357" i="10"/>
  <c r="V357" i="10"/>
  <c r="W356" i="10"/>
  <c r="V356" i="10"/>
  <c r="W355" i="10"/>
  <c r="V355" i="10"/>
  <c r="W354" i="10"/>
  <c r="V354" i="10"/>
  <c r="W353" i="10"/>
  <c r="V353" i="10"/>
  <c r="W352" i="10"/>
  <c r="V352" i="10"/>
  <c r="W351" i="10"/>
  <c r="V351" i="10"/>
  <c r="W350" i="10"/>
  <c r="V350" i="10"/>
  <c r="W349" i="10"/>
  <c r="V349" i="10"/>
  <c r="W348" i="10"/>
  <c r="V348" i="10"/>
  <c r="W347" i="10"/>
  <c r="V347" i="10"/>
  <c r="W346" i="10"/>
  <c r="V346" i="10"/>
  <c r="W345" i="10"/>
  <c r="V345" i="10"/>
  <c r="W344" i="10"/>
  <c r="X344" i="10" s="1"/>
  <c r="V344" i="10"/>
  <c r="W343" i="10"/>
  <c r="V343" i="10"/>
  <c r="W342" i="10"/>
  <c r="V342" i="10"/>
  <c r="W341" i="10"/>
  <c r="V341" i="10"/>
  <c r="W340" i="10"/>
  <c r="V340" i="10"/>
  <c r="W339" i="10"/>
  <c r="V339" i="10"/>
  <c r="W338" i="10"/>
  <c r="V338" i="10"/>
  <c r="W337" i="10"/>
  <c r="V337" i="10"/>
  <c r="W336" i="10"/>
  <c r="V336" i="10"/>
  <c r="W335" i="10"/>
  <c r="V335" i="10"/>
  <c r="W334" i="10"/>
  <c r="V334" i="10"/>
  <c r="W333" i="10"/>
  <c r="V333" i="10"/>
  <c r="W332" i="10"/>
  <c r="V332" i="10"/>
  <c r="W331" i="10"/>
  <c r="V331" i="10"/>
  <c r="W330" i="10"/>
  <c r="V330" i="10"/>
  <c r="W329" i="10"/>
  <c r="V329" i="10"/>
  <c r="X329" i="10" s="1"/>
  <c r="W328" i="10"/>
  <c r="V328" i="10"/>
  <c r="X328" i="10" s="1"/>
  <c r="W327" i="10"/>
  <c r="V327" i="10"/>
  <c r="X327" i="10" s="1"/>
  <c r="W326" i="10"/>
  <c r="V326" i="10"/>
  <c r="X326" i="10" s="1"/>
  <c r="W325" i="10"/>
  <c r="V325" i="10"/>
  <c r="W324" i="10"/>
  <c r="V324" i="10"/>
  <c r="W323" i="10"/>
  <c r="V323" i="10"/>
  <c r="W322" i="10"/>
  <c r="X322" i="10" s="1"/>
  <c r="V322" i="10"/>
  <c r="W321" i="10"/>
  <c r="V321" i="10"/>
  <c r="W320" i="10"/>
  <c r="V320" i="10"/>
  <c r="W319" i="10"/>
  <c r="V319" i="10"/>
  <c r="W318" i="10"/>
  <c r="V318" i="10"/>
  <c r="X318" i="10" s="1"/>
  <c r="W317" i="10"/>
  <c r="V317" i="10"/>
  <c r="W316" i="10"/>
  <c r="V316" i="10"/>
  <c r="W315" i="10"/>
  <c r="V315" i="10"/>
  <c r="X315" i="10" s="1"/>
  <c r="W314" i="10"/>
  <c r="V314" i="10"/>
  <c r="W313" i="10"/>
  <c r="V313" i="10"/>
  <c r="W312" i="10"/>
  <c r="V312" i="10"/>
  <c r="W311" i="10"/>
  <c r="V311" i="10"/>
  <c r="W310" i="10"/>
  <c r="V310" i="10"/>
  <c r="W309" i="10"/>
  <c r="V309" i="10"/>
  <c r="W308" i="10"/>
  <c r="V308" i="10"/>
  <c r="W307" i="10"/>
  <c r="V307" i="10"/>
  <c r="W306" i="10"/>
  <c r="V306" i="10"/>
  <c r="W305" i="10"/>
  <c r="V305" i="10"/>
  <c r="X305" i="10" s="1"/>
  <c r="W304" i="10"/>
  <c r="V304" i="10"/>
  <c r="W303" i="10"/>
  <c r="V303" i="10"/>
  <c r="W302" i="10"/>
  <c r="V302" i="10"/>
  <c r="W301" i="10"/>
  <c r="V301" i="10"/>
  <c r="W300" i="10"/>
  <c r="X300" i="10" s="1"/>
  <c r="V300" i="10"/>
  <c r="W299" i="10"/>
  <c r="V299" i="10"/>
  <c r="W298" i="10"/>
  <c r="V298" i="10"/>
  <c r="W297" i="10"/>
  <c r="V297" i="10"/>
  <c r="W296" i="10"/>
  <c r="V296" i="10"/>
  <c r="X296" i="10" s="1"/>
  <c r="W295" i="10"/>
  <c r="V295" i="10"/>
  <c r="X295" i="10" s="1"/>
  <c r="W294" i="10"/>
  <c r="V294" i="10"/>
  <c r="X294" i="10" s="1"/>
  <c r="W293" i="10"/>
  <c r="V293" i="10"/>
  <c r="W292" i="10"/>
  <c r="V292" i="10"/>
  <c r="W291" i="10"/>
  <c r="V291" i="10"/>
  <c r="W290" i="10"/>
  <c r="V290" i="10"/>
  <c r="W289" i="10"/>
  <c r="X289" i="10" s="1"/>
  <c r="V289" i="10"/>
  <c r="W288" i="10"/>
  <c r="V288" i="10"/>
  <c r="W287" i="10"/>
  <c r="V287" i="10"/>
  <c r="W286" i="10"/>
  <c r="X286" i="10" s="1"/>
  <c r="V286" i="10"/>
  <c r="W285" i="10"/>
  <c r="V285" i="10"/>
  <c r="W284" i="10"/>
  <c r="V284" i="10"/>
  <c r="W283" i="10"/>
  <c r="V283" i="10"/>
  <c r="X283" i="10" s="1"/>
  <c r="W282" i="10"/>
  <c r="V282" i="10"/>
  <c r="W281" i="10"/>
  <c r="V281" i="10"/>
  <c r="W280" i="10"/>
  <c r="V280" i="10"/>
  <c r="W279" i="10"/>
  <c r="V279" i="10"/>
  <c r="W278" i="10"/>
  <c r="V278" i="10"/>
  <c r="W277" i="10"/>
  <c r="V277" i="10"/>
  <c r="W276" i="10"/>
  <c r="V276" i="10"/>
  <c r="W275" i="10"/>
  <c r="V275" i="10"/>
  <c r="W274" i="10"/>
  <c r="V274" i="10"/>
  <c r="X274" i="10" s="1"/>
  <c r="W273" i="10"/>
  <c r="V273" i="10"/>
  <c r="W272" i="10"/>
  <c r="V272" i="10"/>
  <c r="W271" i="10"/>
  <c r="V271" i="10"/>
  <c r="W270" i="10"/>
  <c r="V270" i="10"/>
  <c r="W269" i="10"/>
  <c r="V269" i="10"/>
  <c r="W268" i="10"/>
  <c r="V268" i="10"/>
  <c r="W267" i="10"/>
  <c r="V267" i="10"/>
  <c r="W266" i="10"/>
  <c r="V266" i="10"/>
  <c r="W265" i="10"/>
  <c r="V265" i="10"/>
  <c r="W264" i="10"/>
  <c r="V264" i="10"/>
  <c r="W263" i="10"/>
  <c r="V263" i="10"/>
  <c r="X263" i="10" s="1"/>
  <c r="W262" i="10"/>
  <c r="V262" i="10"/>
  <c r="X262" i="10" s="1"/>
  <c r="W261" i="10"/>
  <c r="V261" i="10"/>
  <c r="W260" i="10"/>
  <c r="V260" i="10"/>
  <c r="W259" i="10"/>
  <c r="V259" i="10"/>
  <c r="W258" i="10"/>
  <c r="V258" i="10"/>
  <c r="W257" i="10"/>
  <c r="V257" i="10"/>
  <c r="W256" i="10"/>
  <c r="X256" i="10" s="1"/>
  <c r="V256" i="10"/>
  <c r="W255" i="10"/>
  <c r="V255" i="10"/>
  <c r="W254" i="10"/>
  <c r="V254" i="10"/>
  <c r="W253" i="10"/>
  <c r="V253" i="10"/>
  <c r="W252" i="10"/>
  <c r="V252" i="10"/>
  <c r="W251" i="10"/>
  <c r="V251" i="10"/>
  <c r="W250" i="10"/>
  <c r="V250" i="10"/>
  <c r="W249" i="10"/>
  <c r="V249" i="10"/>
  <c r="W248" i="10"/>
  <c r="V248" i="10"/>
  <c r="W247" i="10"/>
  <c r="V247" i="10"/>
  <c r="W246" i="10"/>
  <c r="V246" i="10"/>
  <c r="W245" i="10"/>
  <c r="V245" i="10"/>
  <c r="W244" i="10"/>
  <c r="V244" i="10"/>
  <c r="W243" i="10"/>
  <c r="V243" i="10"/>
  <c r="W242" i="10"/>
  <c r="V242" i="10"/>
  <c r="W241" i="10"/>
  <c r="V241" i="10"/>
  <c r="W240" i="10"/>
  <c r="V240" i="10"/>
  <c r="W239" i="10"/>
  <c r="V239" i="10"/>
  <c r="W238" i="10"/>
  <c r="V238" i="10"/>
  <c r="W237" i="10"/>
  <c r="V237" i="10"/>
  <c r="W236" i="10"/>
  <c r="V236" i="10"/>
  <c r="W235" i="10"/>
  <c r="V235" i="10"/>
  <c r="W234" i="10"/>
  <c r="V234" i="10"/>
  <c r="W233" i="10"/>
  <c r="V233" i="10"/>
  <c r="W232" i="10"/>
  <c r="V232" i="10"/>
  <c r="W231" i="10"/>
  <c r="V231" i="10"/>
  <c r="W230" i="10"/>
  <c r="V230" i="10"/>
  <c r="W229" i="10"/>
  <c r="V229" i="10"/>
  <c r="W228" i="10"/>
  <c r="V228" i="10"/>
  <c r="X228" i="10" s="1"/>
  <c r="W227" i="10"/>
  <c r="V227" i="10"/>
  <c r="W226" i="10"/>
  <c r="V226" i="10"/>
  <c r="W225" i="10"/>
  <c r="V225" i="10"/>
  <c r="W224" i="10"/>
  <c r="V224" i="10"/>
  <c r="W223" i="10"/>
  <c r="X223" i="10" s="1"/>
  <c r="V223" i="10"/>
  <c r="W222" i="10"/>
  <c r="V222" i="10"/>
  <c r="W221" i="10"/>
  <c r="V221" i="10"/>
  <c r="W220" i="10"/>
  <c r="V220" i="10"/>
  <c r="W219" i="10"/>
  <c r="V219" i="10"/>
  <c r="W218" i="10"/>
  <c r="V218" i="10"/>
  <c r="W217" i="10"/>
  <c r="V217" i="10"/>
  <c r="X217" i="10" s="1"/>
  <c r="W216" i="10"/>
  <c r="V216" i="10"/>
  <c r="W215" i="10"/>
  <c r="V215" i="10"/>
  <c r="W214" i="10"/>
  <c r="X214" i="10" s="1"/>
  <c r="V214" i="10"/>
  <c r="W213" i="10"/>
  <c r="V213" i="10"/>
  <c r="W212" i="10"/>
  <c r="V212" i="10"/>
  <c r="W211" i="10"/>
  <c r="V211" i="10"/>
  <c r="W210" i="10"/>
  <c r="V210" i="10"/>
  <c r="W209" i="10"/>
  <c r="V209" i="10"/>
  <c r="W208" i="10"/>
  <c r="V208" i="10"/>
  <c r="W207" i="10"/>
  <c r="V207" i="10"/>
  <c r="W206" i="10"/>
  <c r="V206" i="10"/>
  <c r="W205" i="10"/>
  <c r="V205" i="10"/>
  <c r="W204" i="10"/>
  <c r="V204" i="10"/>
  <c r="W203" i="10"/>
  <c r="X203" i="10" s="1"/>
  <c r="V203" i="10"/>
  <c r="W202" i="10"/>
  <c r="V202" i="10"/>
  <c r="W201" i="10"/>
  <c r="V201" i="10"/>
  <c r="W200" i="10"/>
  <c r="V200" i="10"/>
  <c r="W199" i="10"/>
  <c r="V199" i="10"/>
  <c r="W198" i="10"/>
  <c r="X198" i="10" s="1"/>
  <c r="V198" i="10"/>
  <c r="W197" i="10"/>
  <c r="V197" i="10"/>
  <c r="W196" i="10"/>
  <c r="V196" i="10"/>
  <c r="W195" i="10"/>
  <c r="V195" i="10"/>
  <c r="X195" i="10" s="1"/>
  <c r="W194" i="10"/>
  <c r="V194" i="10"/>
  <c r="W193" i="10"/>
  <c r="V193" i="10"/>
  <c r="W192" i="10"/>
  <c r="V192" i="10"/>
  <c r="W191" i="10"/>
  <c r="V191" i="10"/>
  <c r="W190" i="10"/>
  <c r="X190" i="10" s="1"/>
  <c r="V190" i="10"/>
  <c r="W189" i="10"/>
  <c r="V189" i="10"/>
  <c r="W188" i="10"/>
  <c r="V188" i="10"/>
  <c r="W187" i="10"/>
  <c r="X187" i="10" s="1"/>
  <c r="V187" i="10"/>
  <c r="W186" i="10"/>
  <c r="V186" i="10"/>
  <c r="W185" i="10"/>
  <c r="V185" i="10"/>
  <c r="W184" i="10"/>
  <c r="V184" i="10"/>
  <c r="X184" i="10" s="1"/>
  <c r="W183" i="10"/>
  <c r="V183" i="10"/>
  <c r="W182" i="10"/>
  <c r="V182" i="10"/>
  <c r="W181" i="10"/>
  <c r="X181" i="10" s="1"/>
  <c r="V181" i="10"/>
  <c r="W180" i="10"/>
  <c r="V180" i="10"/>
  <c r="W179" i="10"/>
  <c r="V179" i="10"/>
  <c r="W178" i="10"/>
  <c r="V178" i="10"/>
  <c r="W177" i="10"/>
  <c r="V177" i="10"/>
  <c r="W176" i="10"/>
  <c r="V176" i="10"/>
  <c r="W175" i="10"/>
  <c r="V175" i="10"/>
  <c r="X175" i="10" s="1"/>
  <c r="W174" i="10"/>
  <c r="V174" i="10"/>
  <c r="W173" i="10"/>
  <c r="V173" i="10"/>
  <c r="W172" i="10"/>
  <c r="V172" i="10"/>
  <c r="X172" i="10" s="1"/>
  <c r="W171" i="10"/>
  <c r="V171" i="10"/>
  <c r="W170" i="10"/>
  <c r="V170" i="10"/>
  <c r="W169" i="10"/>
  <c r="V169" i="10"/>
  <c r="W168" i="10"/>
  <c r="V168" i="10"/>
  <c r="W167" i="10"/>
  <c r="V167" i="10"/>
  <c r="W166" i="10"/>
  <c r="V166" i="10"/>
  <c r="W165" i="10"/>
  <c r="X165" i="10" s="1"/>
  <c r="V165" i="10"/>
  <c r="W164" i="10"/>
  <c r="V164" i="10"/>
  <c r="W163" i="10"/>
  <c r="V163" i="10"/>
  <c r="W162" i="10"/>
  <c r="V162" i="10"/>
  <c r="W161" i="10"/>
  <c r="V161" i="10"/>
  <c r="W160" i="10"/>
  <c r="V160" i="10"/>
  <c r="W159" i="10"/>
  <c r="DV159" i="10" s="1"/>
  <c r="V159" i="10"/>
  <c r="W158" i="10"/>
  <c r="V158" i="10"/>
  <c r="W157" i="10"/>
  <c r="X157" i="10" s="1"/>
  <c r="V157" i="10"/>
  <c r="W156" i="10"/>
  <c r="V156" i="10"/>
  <c r="W155" i="10"/>
  <c r="V155" i="10"/>
  <c r="W154" i="10"/>
  <c r="V154" i="10"/>
  <c r="W153" i="10"/>
  <c r="V153" i="10"/>
  <c r="W152" i="10"/>
  <c r="V152" i="10"/>
  <c r="X152" i="10" s="1"/>
  <c r="W151" i="10"/>
  <c r="V151" i="10"/>
  <c r="W150" i="10"/>
  <c r="V150" i="10"/>
  <c r="W149" i="10"/>
  <c r="V149" i="10"/>
  <c r="W148" i="10"/>
  <c r="V148" i="10"/>
  <c r="W147" i="10"/>
  <c r="V147" i="10"/>
  <c r="W146" i="10"/>
  <c r="X146" i="10" s="1"/>
  <c r="V146" i="10"/>
  <c r="W145" i="10"/>
  <c r="V145" i="10"/>
  <c r="W144" i="10"/>
  <c r="V144" i="10"/>
  <c r="W143" i="10"/>
  <c r="V143" i="10"/>
  <c r="W142" i="10"/>
  <c r="V142" i="10"/>
  <c r="CJ375" i="10"/>
  <c r="CI375" i="10"/>
  <c r="CK375" i="10" s="1"/>
  <c r="CG375" i="10"/>
  <c r="CH375" i="10" s="1"/>
  <c r="CJ374" i="10"/>
  <c r="CI374" i="10"/>
  <c r="CK374" i="10" s="1"/>
  <c r="CG374" i="10"/>
  <c r="CH374" i="10" s="1"/>
  <c r="CJ373" i="10"/>
  <c r="CI373" i="10"/>
  <c r="CK373" i="10" s="1"/>
  <c r="CG373" i="10"/>
  <c r="CH373" i="10" s="1"/>
  <c r="CJ372" i="10"/>
  <c r="CI372" i="10"/>
  <c r="CK372" i="10" s="1"/>
  <c r="CG372" i="10"/>
  <c r="CH372" i="10" s="1"/>
  <c r="CJ371" i="10"/>
  <c r="CK371" i="10" s="1"/>
  <c r="CI371" i="10"/>
  <c r="CG371" i="10"/>
  <c r="CJ370" i="10"/>
  <c r="CI370" i="10"/>
  <c r="CG370" i="10"/>
  <c r="CJ369" i="10"/>
  <c r="CK369" i="10" s="1"/>
  <c r="CI369" i="10"/>
  <c r="CG369" i="10"/>
  <c r="CH369" i="10" s="1"/>
  <c r="CJ368" i="10"/>
  <c r="CI368" i="10"/>
  <c r="CG368" i="10"/>
  <c r="CH368" i="10" s="1"/>
  <c r="CJ367" i="10"/>
  <c r="CI367" i="10"/>
  <c r="CK367" i="10" s="1"/>
  <c r="CG367" i="10"/>
  <c r="CH367" i="10" s="1"/>
  <c r="CJ366" i="10"/>
  <c r="CI366" i="10"/>
  <c r="CG366" i="10"/>
  <c r="CH366" i="10" s="1"/>
  <c r="CJ365" i="10"/>
  <c r="CI365" i="10"/>
  <c r="CG365" i="10"/>
  <c r="CH365" i="10" s="1"/>
  <c r="CJ364" i="10"/>
  <c r="CI364" i="10"/>
  <c r="CK364" i="10" s="1"/>
  <c r="CG364" i="10"/>
  <c r="CJ363" i="10"/>
  <c r="CI363" i="10"/>
  <c r="CG363" i="10"/>
  <c r="CJ362" i="10"/>
  <c r="CI362" i="10"/>
  <c r="CK362" i="10" s="1"/>
  <c r="CG362" i="10"/>
  <c r="CJ361" i="10"/>
  <c r="CI361" i="10"/>
  <c r="CK361" i="10" s="1"/>
  <c r="CG361" i="10"/>
  <c r="CH361" i="10" s="1"/>
  <c r="CJ360" i="10"/>
  <c r="CK360" i="10" s="1"/>
  <c r="CI360" i="10"/>
  <c r="CG360" i="10"/>
  <c r="CH360" i="10" s="1"/>
  <c r="CJ359" i="10"/>
  <c r="CI359" i="10"/>
  <c r="CK359" i="10" s="1"/>
  <c r="CG359" i="10"/>
  <c r="CH359" i="10" s="1"/>
  <c r="CJ358" i="10"/>
  <c r="CI358" i="10"/>
  <c r="CK358" i="10" s="1"/>
  <c r="CG358" i="10"/>
  <c r="CH358" i="10" s="1"/>
  <c r="CJ357" i="10"/>
  <c r="CI357" i="10"/>
  <c r="CG357" i="10"/>
  <c r="CH357" i="10" s="1"/>
  <c r="CJ356" i="10"/>
  <c r="CI356" i="10"/>
  <c r="CG356" i="10"/>
  <c r="CJ355" i="10"/>
  <c r="CI355" i="10"/>
  <c r="CG355" i="10"/>
  <c r="CH355" i="10" s="1"/>
  <c r="CJ354" i="10"/>
  <c r="CI354" i="10"/>
  <c r="CK354" i="10" s="1"/>
  <c r="CG354" i="10"/>
  <c r="CH354" i="10" s="1"/>
  <c r="CJ353" i="10"/>
  <c r="CI353" i="10"/>
  <c r="CK353" i="10" s="1"/>
  <c r="CG353" i="10"/>
  <c r="CJ352" i="10"/>
  <c r="CI352" i="10"/>
  <c r="CK352" i="10" s="1"/>
  <c r="CG352" i="10"/>
  <c r="CH352" i="10" s="1"/>
  <c r="CJ351" i="10"/>
  <c r="CI351" i="10"/>
  <c r="CK351" i="10" s="1"/>
  <c r="CG351" i="10"/>
  <c r="CH351" i="10" s="1"/>
  <c r="CJ350" i="10"/>
  <c r="CI350" i="10"/>
  <c r="CK350" i="10" s="1"/>
  <c r="CG350" i="10"/>
  <c r="CH350" i="10" s="1"/>
  <c r="CJ349" i="10"/>
  <c r="CK349" i="10" s="1"/>
  <c r="CI349" i="10"/>
  <c r="CG349" i="10"/>
  <c r="CJ348" i="10"/>
  <c r="CI348" i="10"/>
  <c r="CG348" i="10"/>
  <c r="CJ347" i="10"/>
  <c r="CI347" i="10"/>
  <c r="CG347" i="10"/>
  <c r="CH347" i="10" s="1"/>
  <c r="CJ346" i="10"/>
  <c r="CI346" i="10"/>
  <c r="CG346" i="10"/>
  <c r="CH346" i="10" s="1"/>
  <c r="CJ345" i="10"/>
  <c r="CI345" i="10"/>
  <c r="CK345" i="10" s="1"/>
  <c r="CG345" i="10"/>
  <c r="CH345" i="10" s="1"/>
  <c r="CJ344" i="10"/>
  <c r="CI344" i="10"/>
  <c r="CG344" i="10"/>
  <c r="CH344" i="10" s="1"/>
  <c r="CJ343" i="10"/>
  <c r="CI343" i="10"/>
  <c r="CG343" i="10"/>
  <c r="CH343" i="10" s="1"/>
  <c r="CJ342" i="10"/>
  <c r="CI342" i="10"/>
  <c r="CK342" i="10" s="1"/>
  <c r="CG342" i="10"/>
  <c r="CJ341" i="10"/>
  <c r="CI341" i="10"/>
  <c r="CG341" i="10"/>
  <c r="CH341" i="10" s="1"/>
  <c r="CJ340" i="10"/>
  <c r="CI340" i="10"/>
  <c r="CK340" i="10" s="1"/>
  <c r="CG340" i="10"/>
  <c r="CJ339" i="10"/>
  <c r="CI339" i="10"/>
  <c r="CK339" i="10" s="1"/>
  <c r="CG339" i="10"/>
  <c r="CH339" i="10" s="1"/>
  <c r="CJ338" i="10"/>
  <c r="CK338" i="10" s="1"/>
  <c r="CI338" i="10"/>
  <c r="CG338" i="10"/>
  <c r="CH338" i="10" s="1"/>
  <c r="CJ337" i="10"/>
  <c r="CI337" i="10"/>
  <c r="CK337" i="10" s="1"/>
  <c r="CG337" i="10"/>
  <c r="CH337" i="10" s="1"/>
  <c r="CJ336" i="10"/>
  <c r="CI336" i="10"/>
  <c r="CK336" i="10" s="1"/>
  <c r="CG336" i="10"/>
  <c r="CH336" i="10" s="1"/>
  <c r="CJ335" i="10"/>
  <c r="CI335" i="10"/>
  <c r="CG335" i="10"/>
  <c r="CH335" i="10" s="1"/>
  <c r="CJ334" i="10"/>
  <c r="CI334" i="10"/>
  <c r="CG334" i="10"/>
  <c r="CJ333" i="10"/>
  <c r="CI333" i="10"/>
  <c r="CG333" i="10"/>
  <c r="CJ332" i="10"/>
  <c r="CI332" i="10"/>
  <c r="CK332" i="10" s="1"/>
  <c r="CG332" i="10"/>
  <c r="CH332" i="10" s="1"/>
  <c r="CJ331" i="10"/>
  <c r="CI331" i="10"/>
  <c r="CK331" i="10" s="1"/>
  <c r="CG331" i="10"/>
  <c r="CJ330" i="10"/>
  <c r="CI330" i="10"/>
  <c r="CK330" i="10" s="1"/>
  <c r="CG330" i="10"/>
  <c r="CH330" i="10" s="1"/>
  <c r="CJ329" i="10"/>
  <c r="CI329" i="10"/>
  <c r="CK329" i="10" s="1"/>
  <c r="CG329" i="10"/>
  <c r="CH329" i="10" s="1"/>
  <c r="CJ328" i="10"/>
  <c r="CI328" i="10"/>
  <c r="CK328" i="10" s="1"/>
  <c r="CG328" i="10"/>
  <c r="CH328" i="10" s="1"/>
  <c r="CJ327" i="10"/>
  <c r="CK327" i="10" s="1"/>
  <c r="CI327" i="10"/>
  <c r="CG327" i="10"/>
  <c r="CJ326" i="10"/>
  <c r="CI326" i="10"/>
  <c r="CG326" i="10"/>
  <c r="CJ325" i="10"/>
  <c r="CK325" i="10" s="1"/>
  <c r="CI325" i="10"/>
  <c r="CG325" i="10"/>
  <c r="CH325" i="10" s="1"/>
  <c r="CJ324" i="10"/>
  <c r="CI324" i="10"/>
  <c r="CG324" i="10"/>
  <c r="CH324" i="10" s="1"/>
  <c r="CJ323" i="10"/>
  <c r="CI323" i="10"/>
  <c r="CK323" i="10" s="1"/>
  <c r="CG323" i="10"/>
  <c r="CH323" i="10" s="1"/>
  <c r="CJ322" i="10"/>
  <c r="CI322" i="10"/>
  <c r="CG322" i="10"/>
  <c r="CH322" i="10" s="1"/>
  <c r="CJ321" i="10"/>
  <c r="CI321" i="10"/>
  <c r="CG321" i="10"/>
  <c r="CH321" i="10" s="1"/>
  <c r="CJ320" i="10"/>
  <c r="CI320" i="10"/>
  <c r="CK320" i="10" s="1"/>
  <c r="CG320" i="10"/>
  <c r="CJ319" i="10"/>
  <c r="CI319" i="10"/>
  <c r="CG319" i="10"/>
  <c r="CJ318" i="10"/>
  <c r="CI318" i="10"/>
  <c r="CG318" i="10"/>
  <c r="CJ317" i="10"/>
  <c r="CI317" i="10"/>
  <c r="CK317" i="10" s="1"/>
  <c r="CG317" i="10"/>
  <c r="CH317" i="10" s="1"/>
  <c r="CJ316" i="10"/>
  <c r="CK316" i="10" s="1"/>
  <c r="CI316" i="10"/>
  <c r="CG316" i="10"/>
  <c r="CH316" i="10" s="1"/>
  <c r="CJ315" i="10"/>
  <c r="CI315" i="10"/>
  <c r="CK315" i="10" s="1"/>
  <c r="CG315" i="10"/>
  <c r="CH315" i="10" s="1"/>
  <c r="CJ314" i="10"/>
  <c r="CI314" i="10"/>
  <c r="CK314" i="10" s="1"/>
  <c r="CG314" i="10"/>
  <c r="CH314" i="10" s="1"/>
  <c r="CJ313" i="10"/>
  <c r="CI313" i="10"/>
  <c r="CG313" i="10"/>
  <c r="CH313" i="10" s="1"/>
  <c r="CJ312" i="10"/>
  <c r="CI312" i="10"/>
  <c r="CG312" i="10"/>
  <c r="CJ311" i="10"/>
  <c r="CI311" i="10"/>
  <c r="CG311" i="10"/>
  <c r="CH311" i="10" s="1"/>
  <c r="CJ310" i="10"/>
  <c r="CI310" i="10"/>
  <c r="CK310" i="10" s="1"/>
  <c r="CG310" i="10"/>
  <c r="CH310" i="10" s="1"/>
  <c r="CJ309" i="10"/>
  <c r="CI309" i="10"/>
  <c r="CK309" i="10" s="1"/>
  <c r="CG309" i="10"/>
  <c r="CJ308" i="10"/>
  <c r="CI308" i="10"/>
  <c r="CK308" i="10" s="1"/>
  <c r="CG308" i="10"/>
  <c r="CH308" i="10" s="1"/>
  <c r="CJ307" i="10"/>
  <c r="CI307" i="10"/>
  <c r="CK307" i="10" s="1"/>
  <c r="CG307" i="10"/>
  <c r="CH307" i="10" s="1"/>
  <c r="CJ306" i="10"/>
  <c r="CI306" i="10"/>
  <c r="CK306" i="10" s="1"/>
  <c r="CG306" i="10"/>
  <c r="CH306" i="10" s="1"/>
  <c r="CJ305" i="10"/>
  <c r="CI305" i="10"/>
  <c r="CG305" i="10"/>
  <c r="CJ304" i="10"/>
  <c r="CI304" i="10"/>
  <c r="CG304" i="10"/>
  <c r="CJ303" i="10"/>
  <c r="CK303" i="10" s="1"/>
  <c r="CI303" i="10"/>
  <c r="CG303" i="10"/>
  <c r="CH303" i="10" s="1"/>
  <c r="CJ302" i="10"/>
  <c r="CI302" i="10"/>
  <c r="CG302" i="10"/>
  <c r="CH302" i="10" s="1"/>
  <c r="CJ301" i="10"/>
  <c r="CI301" i="10"/>
  <c r="CK301" i="10" s="1"/>
  <c r="CG301" i="10"/>
  <c r="CH301" i="10" s="1"/>
  <c r="CJ300" i="10"/>
  <c r="CI300" i="10"/>
  <c r="CG300" i="10"/>
  <c r="CH300" i="10" s="1"/>
  <c r="CJ299" i="10"/>
  <c r="CI299" i="10"/>
  <c r="CG299" i="10"/>
  <c r="CH299" i="10" s="1"/>
  <c r="CJ298" i="10"/>
  <c r="CI298" i="10"/>
  <c r="CK298" i="10" s="1"/>
  <c r="CG298" i="10"/>
  <c r="CJ297" i="10"/>
  <c r="CI297" i="10"/>
  <c r="CG297" i="10"/>
  <c r="CJ296" i="10"/>
  <c r="CI296" i="10"/>
  <c r="CK296" i="10" s="1"/>
  <c r="CG296" i="10"/>
  <c r="CJ295" i="10"/>
  <c r="CI295" i="10"/>
  <c r="CK295" i="10" s="1"/>
  <c r="CG295" i="10"/>
  <c r="CH295" i="10" s="1"/>
  <c r="CJ294" i="10"/>
  <c r="CK294" i="10" s="1"/>
  <c r="CI294" i="10"/>
  <c r="CG294" i="10"/>
  <c r="CH294" i="10" s="1"/>
  <c r="CJ293" i="10"/>
  <c r="CI293" i="10"/>
  <c r="CK293" i="10" s="1"/>
  <c r="CG293" i="10"/>
  <c r="CH293" i="10" s="1"/>
  <c r="CJ292" i="10"/>
  <c r="CI292" i="10"/>
  <c r="CK292" i="10" s="1"/>
  <c r="CG292" i="10"/>
  <c r="CH292" i="10" s="1"/>
  <c r="CJ291" i="10"/>
  <c r="CI291" i="10"/>
  <c r="CG291" i="10"/>
  <c r="CH291" i="10" s="1"/>
  <c r="CJ290" i="10"/>
  <c r="CI290" i="10"/>
  <c r="CG290" i="10"/>
  <c r="CJ289" i="10"/>
  <c r="CI289" i="10"/>
  <c r="CG289" i="10"/>
  <c r="CH289" i="10" s="1"/>
  <c r="CJ288" i="10"/>
  <c r="CI288" i="10"/>
  <c r="CK288" i="10" s="1"/>
  <c r="CG288" i="10"/>
  <c r="CH288" i="10" s="1"/>
  <c r="CJ287" i="10"/>
  <c r="CI287" i="10"/>
  <c r="CK287" i="10" s="1"/>
  <c r="CG287" i="10"/>
  <c r="CJ286" i="10"/>
  <c r="CI286" i="10"/>
  <c r="CK286" i="10" s="1"/>
  <c r="CG286" i="10"/>
  <c r="CH286" i="10" s="1"/>
  <c r="CJ285" i="10"/>
  <c r="CI285" i="10"/>
  <c r="CG285" i="10"/>
  <c r="CH285" i="10" s="1"/>
  <c r="CJ284" i="10"/>
  <c r="CI284" i="10"/>
  <c r="CK284" i="10" s="1"/>
  <c r="CG284" i="10"/>
  <c r="CH284" i="10" s="1"/>
  <c r="CJ283" i="10"/>
  <c r="CK283" i="10" s="1"/>
  <c r="CI283" i="10"/>
  <c r="CG283" i="10"/>
  <c r="CJ282" i="10"/>
  <c r="CI282" i="10"/>
  <c r="CG282" i="10"/>
  <c r="CJ281" i="10"/>
  <c r="CK281" i="10" s="1"/>
  <c r="CI281" i="10"/>
  <c r="CG281" i="10"/>
  <c r="CH281" i="10" s="1"/>
  <c r="CJ280" i="10"/>
  <c r="CI280" i="10"/>
  <c r="CG280" i="10"/>
  <c r="CH280" i="10" s="1"/>
  <c r="CJ279" i="10"/>
  <c r="CI279" i="10"/>
  <c r="CK279" i="10" s="1"/>
  <c r="CG279" i="10"/>
  <c r="CH279" i="10" s="1"/>
  <c r="CJ278" i="10"/>
  <c r="CI278" i="10"/>
  <c r="CG278" i="10"/>
  <c r="CH278" i="10" s="1"/>
  <c r="CJ277" i="10"/>
  <c r="CI277" i="10"/>
  <c r="CG277" i="10"/>
  <c r="CH277" i="10" s="1"/>
  <c r="CJ276" i="10"/>
  <c r="CI276" i="10"/>
  <c r="CK276" i="10" s="1"/>
  <c r="CG276" i="10"/>
  <c r="CJ275" i="10"/>
  <c r="CI275" i="10"/>
  <c r="CG275" i="10"/>
  <c r="CJ274" i="10"/>
  <c r="CI274" i="10"/>
  <c r="CK274" i="10" s="1"/>
  <c r="CG274" i="10"/>
  <c r="CJ273" i="10"/>
  <c r="CI273" i="10"/>
  <c r="CG273" i="10"/>
  <c r="CH273" i="10" s="1"/>
  <c r="CJ272" i="10"/>
  <c r="CK272" i="10" s="1"/>
  <c r="CI272" i="10"/>
  <c r="CG272" i="10"/>
  <c r="CH272" i="10" s="1"/>
  <c r="CJ271" i="10"/>
  <c r="CI271" i="10"/>
  <c r="CK271" i="10" s="1"/>
  <c r="CG271" i="10"/>
  <c r="CH271" i="10" s="1"/>
  <c r="CJ270" i="10"/>
  <c r="CI270" i="10"/>
  <c r="CK270" i="10" s="1"/>
  <c r="CG270" i="10"/>
  <c r="CJ269" i="10"/>
  <c r="CI269" i="10"/>
  <c r="CG269" i="10"/>
  <c r="CH269" i="10" s="1"/>
  <c r="CJ268" i="10"/>
  <c r="CI268" i="10"/>
  <c r="CG268" i="10"/>
  <c r="CJ267" i="10"/>
  <c r="CI267" i="10"/>
  <c r="CG267" i="10"/>
  <c r="CJ266" i="10"/>
  <c r="CI266" i="10"/>
  <c r="CG266" i="10"/>
  <c r="CH266" i="10" s="1"/>
  <c r="CJ265" i="10"/>
  <c r="CI265" i="10"/>
  <c r="CG265" i="10"/>
  <c r="CJ264" i="10"/>
  <c r="CI264" i="10"/>
  <c r="CK264" i="10" s="1"/>
  <c r="CG264" i="10"/>
  <c r="CH264" i="10" s="1"/>
  <c r="CJ263" i="10"/>
  <c r="CI263" i="10"/>
  <c r="CK263" i="10" s="1"/>
  <c r="CG263" i="10"/>
  <c r="CH263" i="10" s="1"/>
  <c r="CJ262" i="10"/>
  <c r="CI262" i="10"/>
  <c r="CK262" i="10" s="1"/>
  <c r="CG262" i="10"/>
  <c r="CH262" i="10" s="1"/>
  <c r="CJ261" i="10"/>
  <c r="CK261" i="10" s="1"/>
  <c r="CI261" i="10"/>
  <c r="CG261" i="10"/>
  <c r="CJ260" i="10"/>
  <c r="CI260" i="10"/>
  <c r="CG260" i="10"/>
  <c r="CJ259" i="10"/>
  <c r="CK259" i="10" s="1"/>
  <c r="CI259" i="10"/>
  <c r="CG259" i="10"/>
  <c r="CJ258" i="10"/>
  <c r="CI258" i="10"/>
  <c r="CG258" i="10"/>
  <c r="CH258" i="10" s="1"/>
  <c r="CJ257" i="10"/>
  <c r="CI257" i="10"/>
  <c r="CK257" i="10" s="1"/>
  <c r="CG257" i="10"/>
  <c r="CH257" i="10" s="1"/>
  <c r="CJ256" i="10"/>
  <c r="CI256" i="10"/>
  <c r="CG256" i="10"/>
  <c r="CH256" i="10" s="1"/>
  <c r="CJ255" i="10"/>
  <c r="CI255" i="10"/>
  <c r="CG255" i="10"/>
  <c r="CH255" i="10" s="1"/>
  <c r="CJ254" i="10"/>
  <c r="CI254" i="10"/>
  <c r="CK254" i="10" s="1"/>
  <c r="CG254" i="10"/>
  <c r="CJ253" i="10"/>
  <c r="CI253" i="10"/>
  <c r="CG253" i="10"/>
  <c r="CJ252" i="10"/>
  <c r="CI252" i="10"/>
  <c r="CK252" i="10" s="1"/>
  <c r="CG252" i="10"/>
  <c r="CJ251" i="10"/>
  <c r="CI251" i="10"/>
  <c r="CK251" i="10" s="1"/>
  <c r="CG251" i="10"/>
  <c r="CH251" i="10" s="1"/>
  <c r="CJ250" i="10"/>
  <c r="CK250" i="10" s="1"/>
  <c r="CI250" i="10"/>
  <c r="CG250" i="10"/>
  <c r="CH250" i="10" s="1"/>
  <c r="CJ249" i="10"/>
  <c r="CI249" i="10"/>
  <c r="CK249" i="10" s="1"/>
  <c r="CG249" i="10"/>
  <c r="CH249" i="10" s="1"/>
  <c r="CJ248" i="10"/>
  <c r="CI248" i="10"/>
  <c r="CG248" i="10"/>
  <c r="CH248" i="10" s="1"/>
  <c r="CJ247" i="10"/>
  <c r="CI247" i="10"/>
  <c r="CG247" i="10"/>
  <c r="CH247" i="10" s="1"/>
  <c r="CJ246" i="10"/>
  <c r="CI246" i="10"/>
  <c r="CG246" i="10"/>
  <c r="CJ245" i="10"/>
  <c r="CI245" i="10"/>
  <c r="CG245" i="10"/>
  <c r="CH245" i="10" s="1"/>
  <c r="CJ244" i="10"/>
  <c r="CI244" i="10"/>
  <c r="CG244" i="10"/>
  <c r="CH244" i="10" s="1"/>
  <c r="CJ243" i="10"/>
  <c r="CI243" i="10"/>
  <c r="CK243" i="10" s="1"/>
  <c r="CG243" i="10"/>
  <c r="CJ242" i="10"/>
  <c r="CI242" i="10"/>
  <c r="CK242" i="10" s="1"/>
  <c r="CG242" i="10"/>
  <c r="CH242" i="10" s="1"/>
  <c r="CJ241" i="10"/>
  <c r="CI241" i="10"/>
  <c r="CK241" i="10" s="1"/>
  <c r="CG241" i="10"/>
  <c r="CH241" i="10" s="1"/>
  <c r="CJ240" i="10"/>
  <c r="CI240" i="10"/>
  <c r="CK240" i="10" s="1"/>
  <c r="CG240" i="10"/>
  <c r="CH240" i="10" s="1"/>
  <c r="CJ239" i="10"/>
  <c r="CK239" i="10" s="1"/>
  <c r="CI239" i="10"/>
  <c r="CG239" i="10"/>
  <c r="CJ238" i="10"/>
  <c r="CI238" i="10"/>
  <c r="CG238" i="10"/>
  <c r="CJ237" i="10"/>
  <c r="CK237" i="10" s="1"/>
  <c r="CI237" i="10"/>
  <c r="CG237" i="10"/>
  <c r="CH237" i="10" s="1"/>
  <c r="CJ236" i="10"/>
  <c r="CI236" i="10"/>
  <c r="CG236" i="10"/>
  <c r="CH236" i="10" s="1"/>
  <c r="CJ235" i="10"/>
  <c r="CI235" i="10"/>
  <c r="CK235" i="10" s="1"/>
  <c r="CG235" i="10"/>
  <c r="CH235" i="10" s="1"/>
  <c r="CJ234" i="10"/>
  <c r="CI234" i="10"/>
  <c r="CG234" i="10"/>
  <c r="CH234" i="10" s="1"/>
  <c r="CJ233" i="10"/>
  <c r="CI233" i="10"/>
  <c r="CG233" i="10"/>
  <c r="CH233" i="10" s="1"/>
  <c r="CJ232" i="10"/>
  <c r="CI232" i="10"/>
  <c r="CK232" i="10" s="1"/>
  <c r="CG232" i="10"/>
  <c r="CJ231" i="10"/>
  <c r="CI231" i="10"/>
  <c r="CG231" i="10"/>
  <c r="CJ230" i="10"/>
  <c r="CI230" i="10"/>
  <c r="CK230" i="10" s="1"/>
  <c r="CG230" i="10"/>
  <c r="CJ229" i="10"/>
  <c r="CI229" i="10"/>
  <c r="CK229" i="10" s="1"/>
  <c r="CG229" i="10"/>
  <c r="CH229" i="10" s="1"/>
  <c r="CJ228" i="10"/>
  <c r="CK228" i="10" s="1"/>
  <c r="CI228" i="10"/>
  <c r="CG228" i="10"/>
  <c r="CJ227" i="10"/>
  <c r="CI227" i="10"/>
  <c r="CK227" i="10" s="1"/>
  <c r="CG227" i="10"/>
  <c r="CH227" i="10" s="1"/>
  <c r="CJ226" i="10"/>
  <c r="CI226" i="10"/>
  <c r="CK226" i="10" s="1"/>
  <c r="CG226" i="10"/>
  <c r="CH226" i="10" s="1"/>
  <c r="CJ225" i="10"/>
  <c r="CI225" i="10"/>
  <c r="CG225" i="10"/>
  <c r="CH225" i="10" s="1"/>
  <c r="CJ224" i="10"/>
  <c r="CI224" i="10"/>
  <c r="CG224" i="10"/>
  <c r="CJ223" i="10"/>
  <c r="CI223" i="10"/>
  <c r="CG223" i="10"/>
  <c r="CH223" i="10" s="1"/>
  <c r="CJ222" i="10"/>
  <c r="CI222" i="10"/>
  <c r="CG222" i="10"/>
  <c r="CH222" i="10" s="1"/>
  <c r="CJ221" i="10"/>
  <c r="CI221" i="10"/>
  <c r="CK221" i="10" s="1"/>
  <c r="CG221" i="10"/>
  <c r="CJ220" i="10"/>
  <c r="CI220" i="10"/>
  <c r="CG220" i="10"/>
  <c r="CH220" i="10" s="1"/>
  <c r="CJ219" i="10"/>
  <c r="CI219" i="10"/>
  <c r="CK219" i="10" s="1"/>
  <c r="CG219" i="10"/>
  <c r="CH219" i="10" s="1"/>
  <c r="CJ218" i="10"/>
  <c r="CI218" i="10"/>
  <c r="CK218" i="10" s="1"/>
  <c r="CG218" i="10"/>
  <c r="CH218" i="10" s="1"/>
  <c r="CJ217" i="10"/>
  <c r="CK217" i="10" s="1"/>
  <c r="CI217" i="10"/>
  <c r="CG217" i="10"/>
  <c r="CJ216" i="10"/>
  <c r="CI216" i="10"/>
  <c r="CG216" i="10"/>
  <c r="CJ215" i="10"/>
  <c r="CK215" i="10" s="1"/>
  <c r="CI215" i="10"/>
  <c r="CG215" i="10"/>
  <c r="CH215" i="10" s="1"/>
  <c r="CJ214" i="10"/>
  <c r="CI214" i="10"/>
  <c r="CG214" i="10"/>
  <c r="CH214" i="10" s="1"/>
  <c r="CJ213" i="10"/>
  <c r="CI213" i="10"/>
  <c r="CK213" i="10" s="1"/>
  <c r="CG213" i="10"/>
  <c r="CH213" i="10" s="1"/>
  <c r="CJ212" i="10"/>
  <c r="CI212" i="10"/>
  <c r="CG212" i="10"/>
  <c r="CH212" i="10" s="1"/>
  <c r="CJ211" i="10"/>
  <c r="CK211" i="10" s="1"/>
  <c r="CI211" i="10"/>
  <c r="CG211" i="10"/>
  <c r="CH211" i="10" s="1"/>
  <c r="CJ210" i="10"/>
  <c r="CI210" i="10"/>
  <c r="CK210" i="10" s="1"/>
  <c r="CG210" i="10"/>
  <c r="CJ209" i="10"/>
  <c r="CI209" i="10"/>
  <c r="CG209" i="10"/>
  <c r="CJ208" i="10"/>
  <c r="CI208" i="10"/>
  <c r="CK208" i="10" s="1"/>
  <c r="CG208" i="10"/>
  <c r="CJ207" i="10"/>
  <c r="CI207" i="10"/>
  <c r="CK207" i="10" s="1"/>
  <c r="CG207" i="10"/>
  <c r="CH207" i="10" s="1"/>
  <c r="CJ206" i="10"/>
  <c r="CK206" i="10" s="1"/>
  <c r="CI206" i="10"/>
  <c r="CG206" i="10"/>
  <c r="CH206" i="10" s="1"/>
  <c r="CJ205" i="10"/>
  <c r="CI205" i="10"/>
  <c r="CK205" i="10" s="1"/>
  <c r="CG205" i="10"/>
  <c r="CH205" i="10" s="1"/>
  <c r="CJ204" i="10"/>
  <c r="CI204" i="10"/>
  <c r="CK204" i="10" s="1"/>
  <c r="CG204" i="10"/>
  <c r="CH204" i="10" s="1"/>
  <c r="CJ203" i="10"/>
  <c r="CI203" i="10"/>
  <c r="CG203" i="10"/>
  <c r="CH203" i="10" s="1"/>
  <c r="CJ202" i="10"/>
  <c r="CI202" i="10"/>
  <c r="CG202" i="10"/>
  <c r="CJ201" i="10"/>
  <c r="CI201" i="10"/>
  <c r="CG201" i="10"/>
  <c r="CH201" i="10" s="1"/>
  <c r="CJ200" i="10"/>
  <c r="CI200" i="10"/>
  <c r="CG200" i="10"/>
  <c r="CH200" i="10" s="1"/>
  <c r="CJ199" i="10"/>
  <c r="CI199" i="10"/>
  <c r="CK199" i="10" s="1"/>
  <c r="CG199" i="10"/>
  <c r="CJ198" i="10"/>
  <c r="CI198" i="10"/>
  <c r="CK198" i="10" s="1"/>
  <c r="CG198" i="10"/>
  <c r="CH198" i="10" s="1"/>
  <c r="CJ197" i="10"/>
  <c r="CI197" i="10"/>
  <c r="CK197" i="10" s="1"/>
  <c r="CG197" i="10"/>
  <c r="CH197" i="10" s="1"/>
  <c r="CJ196" i="10"/>
  <c r="CI196" i="10"/>
  <c r="CK196" i="10" s="1"/>
  <c r="CG196" i="10"/>
  <c r="CH196" i="10" s="1"/>
  <c r="CJ195" i="10"/>
  <c r="CK195" i="10" s="1"/>
  <c r="CI195" i="10"/>
  <c r="CG195" i="10"/>
  <c r="CJ194" i="10"/>
  <c r="CI194" i="10"/>
  <c r="CG194" i="10"/>
  <c r="CJ193" i="10"/>
  <c r="CI193" i="10"/>
  <c r="CG193" i="10"/>
  <c r="CH193" i="10" s="1"/>
  <c r="CJ192" i="10"/>
  <c r="CI192" i="10"/>
  <c r="CG192" i="10"/>
  <c r="CH192" i="10" s="1"/>
  <c r="CJ191" i="10"/>
  <c r="CI191" i="10"/>
  <c r="CG191" i="10"/>
  <c r="CH191" i="10" s="1"/>
  <c r="CJ190" i="10"/>
  <c r="CI190" i="10"/>
  <c r="CG190" i="10"/>
  <c r="CH190" i="10" s="1"/>
  <c r="CJ189" i="10"/>
  <c r="CI189" i="10"/>
  <c r="CG189" i="10"/>
  <c r="CH189" i="10" s="1"/>
  <c r="CJ188" i="10"/>
  <c r="CI188" i="10"/>
  <c r="CK188" i="10" s="1"/>
  <c r="CG188" i="10"/>
  <c r="CJ187" i="10"/>
  <c r="CI187" i="10"/>
  <c r="CG187" i="10"/>
  <c r="CJ186" i="10"/>
  <c r="CI186" i="10"/>
  <c r="CK186" i="10" s="1"/>
  <c r="CG186" i="10"/>
  <c r="CJ185" i="10"/>
  <c r="CI185" i="10"/>
  <c r="CK185" i="10" s="1"/>
  <c r="CG185" i="10"/>
  <c r="CH185" i="10" s="1"/>
  <c r="CJ184" i="10"/>
  <c r="CI184" i="10"/>
  <c r="CG184" i="10"/>
  <c r="CJ183" i="10"/>
  <c r="CI183" i="10"/>
  <c r="CG183" i="10"/>
  <c r="CH183" i="10" s="1"/>
  <c r="CJ182" i="10"/>
  <c r="CI182" i="10"/>
  <c r="CG182" i="10"/>
  <c r="CH182" i="10" s="1"/>
  <c r="CJ181" i="10"/>
  <c r="CI181" i="10"/>
  <c r="CG181" i="10"/>
  <c r="CH181" i="10" s="1"/>
  <c r="CJ180" i="10"/>
  <c r="CI180" i="10"/>
  <c r="CG180" i="10"/>
  <c r="CJ179" i="10"/>
  <c r="CI179" i="10"/>
  <c r="CG179" i="10"/>
  <c r="CJ178" i="10"/>
  <c r="CI178" i="10"/>
  <c r="CK178" i="10" s="1"/>
  <c r="CG178" i="10"/>
  <c r="CH178" i="10" s="1"/>
  <c r="CJ177" i="10"/>
  <c r="CI177" i="10"/>
  <c r="CK177" i="10" s="1"/>
  <c r="CG177" i="10"/>
  <c r="CJ176" i="10"/>
  <c r="CI176" i="10"/>
  <c r="CK176" i="10" s="1"/>
  <c r="CG176" i="10"/>
  <c r="CH176" i="10" s="1"/>
  <c r="CJ175" i="10"/>
  <c r="CI175" i="10"/>
  <c r="CK175" i="10" s="1"/>
  <c r="CG175" i="10"/>
  <c r="CH175" i="10" s="1"/>
  <c r="CJ174" i="10"/>
  <c r="CI174" i="10"/>
  <c r="CK174" i="10" s="1"/>
  <c r="CG174" i="10"/>
  <c r="CH174" i="10" s="1"/>
  <c r="CJ173" i="10"/>
  <c r="CI173" i="10"/>
  <c r="CG173" i="10"/>
  <c r="CJ172" i="10"/>
  <c r="CI172" i="10"/>
  <c r="CG172" i="10"/>
  <c r="CJ171" i="10"/>
  <c r="CK171" i="10" s="1"/>
  <c r="CI171" i="10"/>
  <c r="CG171" i="10"/>
  <c r="CH171" i="10" s="1"/>
  <c r="CJ170" i="10"/>
  <c r="CI170" i="10"/>
  <c r="CG170" i="10"/>
  <c r="CH170" i="10" s="1"/>
  <c r="CJ169" i="10"/>
  <c r="CI169" i="10"/>
  <c r="CK169" i="10" s="1"/>
  <c r="CG169" i="10"/>
  <c r="CH169" i="10" s="1"/>
  <c r="CJ168" i="10"/>
  <c r="CI168" i="10"/>
  <c r="CG168" i="10"/>
  <c r="CH168" i="10" s="1"/>
  <c r="CJ167" i="10"/>
  <c r="CI167" i="10"/>
  <c r="CG167" i="10"/>
  <c r="CH167" i="10" s="1"/>
  <c r="CJ166" i="10"/>
  <c r="CI166" i="10"/>
  <c r="CK166" i="10" s="1"/>
  <c r="CG166" i="10"/>
  <c r="CJ165" i="10"/>
  <c r="CI165" i="10"/>
  <c r="CG165" i="10"/>
  <c r="CJ164" i="10"/>
  <c r="CI164" i="10"/>
  <c r="CK164" i="10" s="1"/>
  <c r="CG164" i="10"/>
  <c r="CJ163" i="10"/>
  <c r="CI163" i="10"/>
  <c r="CK163" i="10" s="1"/>
  <c r="CG163" i="10"/>
  <c r="CH163" i="10" s="1"/>
  <c r="CJ162" i="10"/>
  <c r="CK162" i="10" s="1"/>
  <c r="CI162" i="10"/>
  <c r="CG162" i="10"/>
  <c r="CJ161" i="10"/>
  <c r="CI161" i="10"/>
  <c r="CK161" i="10" s="1"/>
  <c r="CG161" i="10"/>
  <c r="CH161" i="10" s="1"/>
  <c r="CJ160" i="10"/>
  <c r="CI160" i="10"/>
  <c r="CK160" i="10" s="1"/>
  <c r="CG160" i="10"/>
  <c r="CH160" i="10" s="1"/>
  <c r="CJ159" i="10"/>
  <c r="CI159" i="10"/>
  <c r="CG159" i="10"/>
  <c r="CH159" i="10" s="1"/>
  <c r="CJ158" i="10"/>
  <c r="CI158" i="10"/>
  <c r="CG158" i="10"/>
  <c r="CJ157" i="10"/>
  <c r="CI157" i="10"/>
  <c r="CG157" i="10"/>
  <c r="CH157" i="10" s="1"/>
  <c r="CJ156" i="10"/>
  <c r="CI156" i="10"/>
  <c r="CK156" i="10" s="1"/>
  <c r="CG156" i="10"/>
  <c r="CH156" i="10" s="1"/>
  <c r="CJ155" i="10"/>
  <c r="CI155" i="10"/>
  <c r="CK155" i="10" s="1"/>
  <c r="CG155" i="10"/>
  <c r="CJ154" i="10"/>
  <c r="CI154" i="10"/>
  <c r="CK154" i="10" s="1"/>
  <c r="CG154" i="10"/>
  <c r="CH154" i="10" s="1"/>
  <c r="CJ153" i="10"/>
  <c r="CI153" i="10"/>
  <c r="CG153" i="10"/>
  <c r="CH153" i="10" s="1"/>
  <c r="CJ152" i="10"/>
  <c r="CI152" i="10"/>
  <c r="CK152" i="10" s="1"/>
  <c r="CG152" i="10"/>
  <c r="CH152" i="10" s="1"/>
  <c r="CJ151" i="10"/>
  <c r="CK151" i="10" s="1"/>
  <c r="CI151" i="10"/>
  <c r="CG151" i="10"/>
  <c r="CJ150" i="10"/>
  <c r="CI150" i="10"/>
  <c r="CG150" i="10"/>
  <c r="CJ149" i="10"/>
  <c r="CK149" i="10" s="1"/>
  <c r="CI149" i="10"/>
  <c r="CG149" i="10"/>
  <c r="CH149" i="10" s="1"/>
  <c r="CJ148" i="10"/>
  <c r="CI148" i="10"/>
  <c r="CG148" i="10"/>
  <c r="CH148" i="10" s="1"/>
  <c r="CG147" i="10"/>
  <c r="CG146" i="10"/>
  <c r="CH146" i="10" s="1"/>
  <c r="CG145" i="10"/>
  <c r="CH145" i="10" s="1"/>
  <c r="CG144" i="10"/>
  <c r="CH144" i="10" s="1"/>
  <c r="CG143" i="10"/>
  <c r="CH143" i="10" s="1"/>
  <c r="CG142" i="10"/>
  <c r="CG141" i="10"/>
  <c r="CH141" i="10" s="1"/>
  <c r="AU377" i="10"/>
  <c r="AR377" i="10"/>
  <c r="AT375" i="10"/>
  <c r="AS375" i="10"/>
  <c r="AU375" i="10" s="1"/>
  <c r="AQ375" i="10"/>
  <c r="AP375" i="10"/>
  <c r="AT374" i="10"/>
  <c r="AS374" i="10"/>
  <c r="AQ374" i="10"/>
  <c r="AP374" i="10"/>
  <c r="AT373" i="10"/>
  <c r="AS373" i="10"/>
  <c r="AU373" i="10" s="1"/>
  <c r="AQ373" i="10"/>
  <c r="AP373" i="10"/>
  <c r="AT372" i="10"/>
  <c r="AU372" i="10" s="1"/>
  <c r="AS372" i="10"/>
  <c r="AQ372" i="10"/>
  <c r="AP372" i="10"/>
  <c r="AR372" i="10" s="1"/>
  <c r="AT371" i="10"/>
  <c r="AS371" i="10"/>
  <c r="AQ371" i="10"/>
  <c r="AP371" i="10"/>
  <c r="AR371" i="10" s="1"/>
  <c r="AT370" i="10"/>
  <c r="AS370" i="10"/>
  <c r="AU370" i="10" s="1"/>
  <c r="AQ370" i="10"/>
  <c r="AP370" i="10"/>
  <c r="AT369" i="10"/>
  <c r="AS369" i="10"/>
  <c r="AQ369" i="10"/>
  <c r="AP369" i="10"/>
  <c r="AT368" i="10"/>
  <c r="AS368" i="10"/>
  <c r="AQ368" i="10"/>
  <c r="AP368" i="10"/>
  <c r="AR368" i="10" s="1"/>
  <c r="AT367" i="10"/>
  <c r="AS367" i="10"/>
  <c r="AQ367" i="10"/>
  <c r="AR367" i="10" s="1"/>
  <c r="AP367" i="10"/>
  <c r="AT366" i="10"/>
  <c r="AS366" i="10"/>
  <c r="AU366" i="10" s="1"/>
  <c r="AQ366" i="10"/>
  <c r="AP366" i="10"/>
  <c r="AT365" i="10"/>
  <c r="AS365" i="10"/>
  <c r="AU365" i="10" s="1"/>
  <c r="AQ365" i="10"/>
  <c r="AP365" i="10"/>
  <c r="AR365" i="10" s="1"/>
  <c r="AT364" i="10"/>
  <c r="AS364" i="10"/>
  <c r="AU364" i="10" s="1"/>
  <c r="AQ364" i="10"/>
  <c r="AP364" i="10"/>
  <c r="AT363" i="10"/>
  <c r="AS363" i="10"/>
  <c r="AQ363" i="10"/>
  <c r="AP363" i="10"/>
  <c r="AT362" i="10"/>
  <c r="AS362" i="10"/>
  <c r="AU362" i="10" s="1"/>
  <c r="AQ362" i="10"/>
  <c r="AP362" i="10"/>
  <c r="AT361" i="10"/>
  <c r="AU361" i="10" s="1"/>
  <c r="AS361" i="10"/>
  <c r="AQ361" i="10"/>
  <c r="AP361" i="10"/>
  <c r="AR361" i="10" s="1"/>
  <c r="AT360" i="10"/>
  <c r="AS360" i="10"/>
  <c r="AQ360" i="10"/>
  <c r="AP360" i="10"/>
  <c r="AR360" i="10" s="1"/>
  <c r="AT359" i="10"/>
  <c r="AS359" i="10"/>
  <c r="AU359" i="10" s="1"/>
  <c r="AQ359" i="10"/>
  <c r="AP359" i="10"/>
  <c r="AT358" i="10"/>
  <c r="AS358" i="10"/>
  <c r="AQ358" i="10"/>
  <c r="AP358" i="10"/>
  <c r="AR358" i="10" s="1"/>
  <c r="AT357" i="10"/>
  <c r="AS357" i="10"/>
  <c r="AQ357" i="10"/>
  <c r="AP357" i="10"/>
  <c r="AR357" i="10" s="1"/>
  <c r="AT356" i="10"/>
  <c r="AS356" i="10"/>
  <c r="AQ356" i="10"/>
  <c r="AR356" i="10" s="1"/>
  <c r="AP356" i="10"/>
  <c r="AT355" i="10"/>
  <c r="AS355" i="10"/>
  <c r="AU355" i="10" s="1"/>
  <c r="AQ355" i="10"/>
  <c r="AP355" i="10"/>
  <c r="AT354" i="10"/>
  <c r="AS354" i="10"/>
  <c r="AU354" i="10" s="1"/>
  <c r="AQ354" i="10"/>
  <c r="AP354" i="10"/>
  <c r="AR354" i="10" s="1"/>
  <c r="AT353" i="10"/>
  <c r="AS353" i="10"/>
  <c r="AU353" i="10" s="1"/>
  <c r="AQ353" i="10"/>
  <c r="AP353" i="10"/>
  <c r="AT352" i="10"/>
  <c r="AS352" i="10"/>
  <c r="AQ352" i="10"/>
  <c r="AP352" i="10"/>
  <c r="AT351" i="10"/>
  <c r="AS351" i="10"/>
  <c r="AU351" i="10" s="1"/>
  <c r="AQ351" i="10"/>
  <c r="AP351" i="10"/>
  <c r="AT350" i="10"/>
  <c r="AU350" i="10" s="1"/>
  <c r="AS350" i="10"/>
  <c r="AQ350" i="10"/>
  <c r="AP350" i="10"/>
  <c r="AT349" i="10"/>
  <c r="AS349" i="10"/>
  <c r="AQ349" i="10"/>
  <c r="AP349" i="10"/>
  <c r="AT348" i="10"/>
  <c r="AS348" i="10"/>
  <c r="AQ348" i="10"/>
  <c r="AP348" i="10"/>
  <c r="AR348" i="10" s="1"/>
  <c r="AT347" i="10"/>
  <c r="AS347" i="10"/>
  <c r="AQ347" i="10"/>
  <c r="AP347" i="10"/>
  <c r="AT346" i="10"/>
  <c r="AS346" i="10"/>
  <c r="AQ346" i="10"/>
  <c r="AP346" i="10"/>
  <c r="AR346" i="10" s="1"/>
  <c r="AT345" i="10"/>
  <c r="AS345" i="10"/>
  <c r="AQ345" i="10"/>
  <c r="AP345" i="10"/>
  <c r="AT344" i="10"/>
  <c r="AS344" i="10"/>
  <c r="AU344" i="10" s="1"/>
  <c r="AQ344" i="10"/>
  <c r="AP344" i="10"/>
  <c r="AT343" i="10"/>
  <c r="AS343" i="10"/>
  <c r="AU343" i="10" s="1"/>
  <c r="AQ343" i="10"/>
  <c r="AP343" i="10"/>
  <c r="AT342" i="10"/>
  <c r="AS342" i="10"/>
  <c r="AU342" i="10" s="1"/>
  <c r="AQ342" i="10"/>
  <c r="AP342" i="10"/>
  <c r="AT341" i="10"/>
  <c r="AS341" i="10"/>
  <c r="AQ341" i="10"/>
  <c r="AP341" i="10"/>
  <c r="AR341" i="10" s="1"/>
  <c r="AT340" i="10"/>
  <c r="AS340" i="10"/>
  <c r="AU340" i="10" s="1"/>
  <c r="AQ340" i="10"/>
  <c r="AP340" i="10"/>
  <c r="AT339" i="10"/>
  <c r="AU339" i="10" s="1"/>
  <c r="AS339" i="10"/>
  <c r="AQ339" i="10"/>
  <c r="AP339" i="10"/>
  <c r="AR339" i="10" s="1"/>
  <c r="AT338" i="10"/>
  <c r="AS338" i="10"/>
  <c r="AQ338" i="10"/>
  <c r="AP338" i="10"/>
  <c r="AR338" i="10" s="1"/>
  <c r="AT337" i="10"/>
  <c r="AS337" i="10"/>
  <c r="AQ337" i="10"/>
  <c r="AP337" i="10"/>
  <c r="AR337" i="10" s="1"/>
  <c r="AT336" i="10"/>
  <c r="AS336" i="10"/>
  <c r="AQ336" i="10"/>
  <c r="AP336" i="10"/>
  <c r="AT335" i="10"/>
  <c r="AS335" i="10"/>
  <c r="AU335" i="10" s="1"/>
  <c r="AQ335" i="10"/>
  <c r="AP335" i="10"/>
  <c r="AR335" i="10" s="1"/>
  <c r="AT334" i="10"/>
  <c r="AS334" i="10"/>
  <c r="AQ334" i="10"/>
  <c r="AR334" i="10" s="1"/>
  <c r="AP334" i="10"/>
  <c r="AT333" i="10"/>
  <c r="AS333" i="10"/>
  <c r="AU333" i="10" s="1"/>
  <c r="AQ333" i="10"/>
  <c r="AP333" i="10"/>
  <c r="AT332" i="10"/>
  <c r="AS332" i="10"/>
  <c r="AU332" i="10" s="1"/>
  <c r="AQ332" i="10"/>
  <c r="AP332" i="10"/>
  <c r="AT331" i="10"/>
  <c r="AS331" i="10"/>
  <c r="AU331" i="10" s="1"/>
  <c r="AQ331" i="10"/>
  <c r="AP331" i="10"/>
  <c r="AT330" i="10"/>
  <c r="AS330" i="10"/>
  <c r="AQ330" i="10"/>
  <c r="AP330" i="10"/>
  <c r="AT329" i="10"/>
  <c r="AS329" i="10"/>
  <c r="AU329" i="10" s="1"/>
  <c r="AQ329" i="10"/>
  <c r="AP329" i="10"/>
  <c r="AT328" i="10"/>
  <c r="AU328" i="10" s="1"/>
  <c r="AS328" i="10"/>
  <c r="AQ328" i="10"/>
  <c r="AP328" i="10"/>
  <c r="AR328" i="10" s="1"/>
  <c r="AT327" i="10"/>
  <c r="AS327" i="10"/>
  <c r="AQ327" i="10"/>
  <c r="AP327" i="10"/>
  <c r="AR327" i="10" s="1"/>
  <c r="AT326" i="10"/>
  <c r="AS326" i="10"/>
  <c r="AU326" i="10" s="1"/>
  <c r="AQ326" i="10"/>
  <c r="AP326" i="10"/>
  <c r="AR326" i="10" s="1"/>
  <c r="AT325" i="10"/>
  <c r="AS325" i="10"/>
  <c r="AQ325" i="10"/>
  <c r="AP325" i="10"/>
  <c r="AT324" i="10"/>
  <c r="AS324" i="10"/>
  <c r="AQ324" i="10"/>
  <c r="AP324" i="10"/>
  <c r="AT323" i="10"/>
  <c r="AS323" i="10"/>
  <c r="AQ323" i="10"/>
  <c r="AR323" i="10" s="1"/>
  <c r="AP323" i="10"/>
  <c r="AT322" i="10"/>
  <c r="AS322" i="10"/>
  <c r="AU322" i="10" s="1"/>
  <c r="AQ322" i="10"/>
  <c r="AP322" i="10"/>
  <c r="AT321" i="10"/>
  <c r="AS321" i="10"/>
  <c r="AU321" i="10" s="1"/>
  <c r="AQ321" i="10"/>
  <c r="AP321" i="10"/>
  <c r="AT320" i="10"/>
  <c r="AS320" i="10"/>
  <c r="AQ320" i="10"/>
  <c r="AP320" i="10"/>
  <c r="AT319" i="10"/>
  <c r="AS319" i="10"/>
  <c r="AU319" i="10" s="1"/>
  <c r="AQ319" i="10"/>
  <c r="AP319" i="10"/>
  <c r="AR319" i="10" s="1"/>
  <c r="AT318" i="10"/>
  <c r="AS318" i="10"/>
  <c r="AU318" i="10" s="1"/>
  <c r="AQ318" i="10"/>
  <c r="AP318" i="10"/>
  <c r="AT317" i="10"/>
  <c r="AU317" i="10" s="1"/>
  <c r="AS317" i="10"/>
  <c r="AQ317" i="10"/>
  <c r="AP317" i="10"/>
  <c r="AT316" i="10"/>
  <c r="AS316" i="10"/>
  <c r="AQ316" i="10"/>
  <c r="AP316" i="10"/>
  <c r="AR316" i="10" s="1"/>
  <c r="AT315" i="10"/>
  <c r="AS315" i="10"/>
  <c r="AU315" i="10" s="1"/>
  <c r="AQ315" i="10"/>
  <c r="AP315" i="10"/>
  <c r="AR315" i="10" s="1"/>
  <c r="AT314" i="10"/>
  <c r="AS314" i="10"/>
  <c r="AQ314" i="10"/>
  <c r="AP314" i="10"/>
  <c r="AT313" i="10"/>
  <c r="AS313" i="10"/>
  <c r="AU313" i="10" s="1"/>
  <c r="AQ313" i="10"/>
  <c r="AP313" i="10"/>
  <c r="AR313" i="10" s="1"/>
  <c r="AT312" i="10"/>
  <c r="AS312" i="10"/>
  <c r="AQ312" i="10"/>
  <c r="AR312" i="10" s="1"/>
  <c r="AP312" i="10"/>
  <c r="AT311" i="10"/>
  <c r="AS311" i="10"/>
  <c r="AQ311" i="10"/>
  <c r="AP311" i="10"/>
  <c r="AT310" i="10"/>
  <c r="AS310" i="10"/>
  <c r="AU310" i="10" s="1"/>
  <c r="AQ310" i="10"/>
  <c r="AP310" i="10"/>
  <c r="AR310" i="10" s="1"/>
  <c r="AT309" i="10"/>
  <c r="AS309" i="10"/>
  <c r="AU309" i="10" s="1"/>
  <c r="AQ309" i="10"/>
  <c r="AP309" i="10"/>
  <c r="AT308" i="10"/>
  <c r="AS308" i="10"/>
  <c r="AQ308" i="10"/>
  <c r="AP308" i="10"/>
  <c r="AR308" i="10" s="1"/>
  <c r="AT307" i="10"/>
  <c r="AS307" i="10"/>
  <c r="AU307" i="10" s="1"/>
  <c r="AQ307" i="10"/>
  <c r="AP307" i="10"/>
  <c r="AT306" i="10"/>
  <c r="AU306" i="10" s="1"/>
  <c r="AS306" i="10"/>
  <c r="AQ306" i="10"/>
  <c r="AP306" i="10"/>
  <c r="AR306" i="10" s="1"/>
  <c r="AT305" i="10"/>
  <c r="AS305" i="10"/>
  <c r="AQ305" i="10"/>
  <c r="AP305" i="10"/>
  <c r="AR305" i="10" s="1"/>
  <c r="AT304" i="10"/>
  <c r="AS304" i="10"/>
  <c r="AU304" i="10" s="1"/>
  <c r="AQ304" i="10"/>
  <c r="AP304" i="10"/>
  <c r="AR304" i="10" s="1"/>
  <c r="AT303" i="10"/>
  <c r="AS303" i="10"/>
  <c r="AQ303" i="10"/>
  <c r="AP303" i="10"/>
  <c r="AT302" i="10"/>
  <c r="AS302" i="10"/>
  <c r="AU302" i="10" s="1"/>
  <c r="AQ302" i="10"/>
  <c r="AP302" i="10"/>
  <c r="AR302" i="10" s="1"/>
  <c r="AT301" i="10"/>
  <c r="AS301" i="10"/>
  <c r="AQ301" i="10"/>
  <c r="AR301" i="10" s="1"/>
  <c r="AP301" i="10"/>
  <c r="AT300" i="10"/>
  <c r="AS300" i="10"/>
  <c r="AU300" i="10" s="1"/>
  <c r="AQ300" i="10"/>
  <c r="AP300" i="10"/>
  <c r="AT299" i="10"/>
  <c r="AS299" i="10"/>
  <c r="AU299" i="10" s="1"/>
  <c r="AQ299" i="10"/>
  <c r="AP299" i="10"/>
  <c r="AT298" i="10"/>
  <c r="AS298" i="10"/>
  <c r="AU298" i="10" s="1"/>
  <c r="AQ298" i="10"/>
  <c r="AP298" i="10"/>
  <c r="AT297" i="10"/>
  <c r="AS297" i="10"/>
  <c r="AQ297" i="10"/>
  <c r="AP297" i="10"/>
  <c r="AR297" i="10" s="1"/>
  <c r="AT296" i="10"/>
  <c r="AS296" i="10"/>
  <c r="AU296" i="10" s="1"/>
  <c r="AQ296" i="10"/>
  <c r="AP296" i="10"/>
  <c r="AT295" i="10"/>
  <c r="AU295" i="10" s="1"/>
  <c r="AS295" i="10"/>
  <c r="AQ295" i="10"/>
  <c r="AP295" i="10"/>
  <c r="AR295" i="10" s="1"/>
  <c r="AT294" i="10"/>
  <c r="AS294" i="10"/>
  <c r="AQ294" i="10"/>
  <c r="AP294" i="10"/>
  <c r="AT293" i="10"/>
  <c r="AS293" i="10"/>
  <c r="AQ293" i="10"/>
  <c r="AP293" i="10"/>
  <c r="AT292" i="10"/>
  <c r="AS292" i="10"/>
  <c r="AQ292" i="10"/>
  <c r="AP292" i="10"/>
  <c r="AT291" i="10"/>
  <c r="AS291" i="10"/>
  <c r="AU291" i="10" s="1"/>
  <c r="AQ291" i="10"/>
  <c r="AP291" i="10"/>
  <c r="AR291" i="10" s="1"/>
  <c r="AT290" i="10"/>
  <c r="AS290" i="10"/>
  <c r="AQ290" i="10"/>
  <c r="AR290" i="10" s="1"/>
  <c r="AP290" i="10"/>
  <c r="AT289" i="10"/>
  <c r="AS289" i="10"/>
  <c r="AU289" i="10" s="1"/>
  <c r="AQ289" i="10"/>
  <c r="AP289" i="10"/>
  <c r="AT288" i="10"/>
  <c r="AS288" i="10"/>
  <c r="AU288" i="10" s="1"/>
  <c r="AQ288" i="10"/>
  <c r="AP288" i="10"/>
  <c r="AR288" i="10" s="1"/>
  <c r="AT287" i="10"/>
  <c r="AS287" i="10"/>
  <c r="AU287" i="10" s="1"/>
  <c r="AQ287" i="10"/>
  <c r="AP287" i="10"/>
  <c r="AT286" i="10"/>
  <c r="AS286" i="10"/>
  <c r="AQ286" i="10"/>
  <c r="AP286" i="10"/>
  <c r="AR286" i="10" s="1"/>
  <c r="AT285" i="10"/>
  <c r="AS285" i="10"/>
  <c r="AU285" i="10" s="1"/>
  <c r="AQ285" i="10"/>
  <c r="AP285" i="10"/>
  <c r="AT284" i="10"/>
  <c r="AS284" i="10"/>
  <c r="AQ284" i="10"/>
  <c r="AP284" i="10"/>
  <c r="AR284" i="10" s="1"/>
  <c r="AT283" i="10"/>
  <c r="AS283" i="10"/>
  <c r="AQ283" i="10"/>
  <c r="AP283" i="10"/>
  <c r="AR283" i="10" s="1"/>
  <c r="AT282" i="10"/>
  <c r="AS282" i="10"/>
  <c r="AU282" i="10" s="1"/>
  <c r="AQ282" i="10"/>
  <c r="AP282" i="10"/>
  <c r="AR282" i="10" s="1"/>
  <c r="AT281" i="10"/>
  <c r="AS281" i="10"/>
  <c r="AQ281" i="10"/>
  <c r="AP281" i="10"/>
  <c r="AT280" i="10"/>
  <c r="AS280" i="10"/>
  <c r="AU280" i="10" s="1"/>
  <c r="AQ280" i="10"/>
  <c r="AP280" i="10"/>
  <c r="AR280" i="10" s="1"/>
  <c r="AT279" i="10"/>
  <c r="AS279" i="10"/>
  <c r="AQ279" i="10"/>
  <c r="AR279" i="10" s="1"/>
  <c r="AP279" i="10"/>
  <c r="AT278" i="10"/>
  <c r="AS278" i="10"/>
  <c r="AU278" i="10" s="1"/>
  <c r="AQ278" i="10"/>
  <c r="AP278" i="10"/>
  <c r="AT277" i="10"/>
  <c r="AS277" i="10"/>
  <c r="AU277" i="10" s="1"/>
  <c r="AQ277" i="10"/>
  <c r="AP277" i="10"/>
  <c r="AR277" i="10" s="1"/>
  <c r="AT276" i="10"/>
  <c r="AS276" i="10"/>
  <c r="AQ276" i="10"/>
  <c r="AP276" i="10"/>
  <c r="AT275" i="10"/>
  <c r="AS275" i="10"/>
  <c r="AQ275" i="10"/>
  <c r="AP275" i="10"/>
  <c r="AT274" i="10"/>
  <c r="AS274" i="10"/>
  <c r="AU274" i="10" s="1"/>
  <c r="AQ274" i="10"/>
  <c r="AP274" i="10"/>
  <c r="AT273" i="10"/>
  <c r="AU273" i="10" s="1"/>
  <c r="AS273" i="10"/>
  <c r="AQ273" i="10"/>
  <c r="AP273" i="10"/>
  <c r="AR273" i="10" s="1"/>
  <c r="AT272" i="10"/>
  <c r="AS272" i="10"/>
  <c r="AQ272" i="10"/>
  <c r="AP272" i="10"/>
  <c r="AT271" i="10"/>
  <c r="AS271" i="10"/>
  <c r="AU271" i="10" s="1"/>
  <c r="AQ271" i="10"/>
  <c r="AP271" i="10"/>
  <c r="AR271" i="10" s="1"/>
  <c r="AT270" i="10"/>
  <c r="AS270" i="10"/>
  <c r="AQ270" i="10"/>
  <c r="AP270" i="10"/>
  <c r="AT269" i="10"/>
  <c r="AS269" i="10"/>
  <c r="AU269" i="10" s="1"/>
  <c r="AQ269" i="10"/>
  <c r="AP269" i="10"/>
  <c r="AR269" i="10" s="1"/>
  <c r="AT268" i="10"/>
  <c r="AS268" i="10"/>
  <c r="AQ268" i="10"/>
  <c r="AR268" i="10" s="1"/>
  <c r="AP268" i="10"/>
  <c r="AT267" i="10"/>
  <c r="AS267" i="10"/>
  <c r="AU267" i="10" s="1"/>
  <c r="AQ267" i="10"/>
  <c r="AP267" i="10"/>
  <c r="AT266" i="10"/>
  <c r="AS266" i="10"/>
  <c r="AQ266" i="10"/>
  <c r="AP266" i="10"/>
  <c r="AR266" i="10" s="1"/>
  <c r="AT265" i="10"/>
  <c r="AS265" i="10"/>
  <c r="AU265" i="10" s="1"/>
  <c r="AQ265" i="10"/>
  <c r="AP265" i="10"/>
  <c r="AT264" i="10"/>
  <c r="AS264" i="10"/>
  <c r="AQ264" i="10"/>
  <c r="AP264" i="10"/>
  <c r="AR264" i="10" s="1"/>
  <c r="AT263" i="10"/>
  <c r="AS263" i="10"/>
  <c r="AU263" i="10" s="1"/>
  <c r="AQ263" i="10"/>
  <c r="AP263" i="10"/>
  <c r="AT262" i="10"/>
  <c r="AU262" i="10" s="1"/>
  <c r="AS262" i="10"/>
  <c r="AQ262" i="10"/>
  <c r="AP262" i="10"/>
  <c r="AR262" i="10" s="1"/>
  <c r="AT261" i="10"/>
  <c r="AS261" i="10"/>
  <c r="AQ261" i="10"/>
  <c r="AP261" i="10"/>
  <c r="AT260" i="10"/>
  <c r="AS260" i="10"/>
  <c r="AU260" i="10" s="1"/>
  <c r="AQ260" i="10"/>
  <c r="AP260" i="10"/>
  <c r="AR260" i="10" s="1"/>
  <c r="AT259" i="10"/>
  <c r="AS259" i="10"/>
  <c r="AQ259" i="10"/>
  <c r="AP259" i="10"/>
  <c r="AT258" i="10"/>
  <c r="AS258" i="10"/>
  <c r="AQ258" i="10"/>
  <c r="AP258" i="10"/>
  <c r="AR258" i="10" s="1"/>
  <c r="AT257" i="10"/>
  <c r="AS257" i="10"/>
  <c r="AQ257" i="10"/>
  <c r="AR257" i="10" s="1"/>
  <c r="AP257" i="10"/>
  <c r="AT256" i="10"/>
  <c r="AS256" i="10"/>
  <c r="AU256" i="10" s="1"/>
  <c r="AQ256" i="10"/>
  <c r="AP256" i="10"/>
  <c r="AT255" i="10"/>
  <c r="AS255" i="10"/>
  <c r="AU255" i="10" s="1"/>
  <c r="AQ255" i="10"/>
  <c r="AP255" i="10"/>
  <c r="AR255" i="10" s="1"/>
  <c r="AT254" i="10"/>
  <c r="AS254" i="10"/>
  <c r="AU254" i="10" s="1"/>
  <c r="AQ254" i="10"/>
  <c r="AP254" i="10"/>
  <c r="AT253" i="10"/>
  <c r="AS253" i="10"/>
  <c r="AQ253" i="10"/>
  <c r="AP253" i="10"/>
  <c r="AT252" i="10"/>
  <c r="AS252" i="10"/>
  <c r="AQ252" i="10"/>
  <c r="AR252" i="10" s="1"/>
  <c r="AP252" i="10"/>
  <c r="AT251" i="10"/>
  <c r="AU251" i="10" s="1"/>
  <c r="AS251" i="10"/>
  <c r="AQ251" i="10"/>
  <c r="AP251" i="10"/>
  <c r="AR251" i="10" s="1"/>
  <c r="AT250" i="10"/>
  <c r="AS250" i="10"/>
  <c r="AQ250" i="10"/>
  <c r="AP250" i="10"/>
  <c r="AR250" i="10" s="1"/>
  <c r="AT249" i="10"/>
  <c r="AS249" i="10"/>
  <c r="AU249" i="10" s="1"/>
  <c r="AQ249" i="10"/>
  <c r="AP249" i="10"/>
  <c r="AR249" i="10" s="1"/>
  <c r="AT248" i="10"/>
  <c r="AS248" i="10"/>
  <c r="AQ248" i="10"/>
  <c r="AP248" i="10"/>
  <c r="AT247" i="10"/>
  <c r="AS247" i="10"/>
  <c r="AU247" i="10" s="1"/>
  <c r="AQ247" i="10"/>
  <c r="AP247" i="10"/>
  <c r="AR247" i="10" s="1"/>
  <c r="AT246" i="10"/>
  <c r="AS246" i="10"/>
  <c r="AQ246" i="10"/>
  <c r="AR246" i="10" s="1"/>
  <c r="AP246" i="10"/>
  <c r="AT245" i="10"/>
  <c r="AS245" i="10"/>
  <c r="AU245" i="10" s="1"/>
  <c r="AQ245" i="10"/>
  <c r="AP245" i="10"/>
  <c r="AT244" i="10"/>
  <c r="AS244" i="10"/>
  <c r="AU244" i="10" s="1"/>
  <c r="AQ244" i="10"/>
  <c r="AP244" i="10"/>
  <c r="AR244" i="10" s="1"/>
  <c r="AT243" i="10"/>
  <c r="AS243" i="10"/>
  <c r="AU243" i="10" s="1"/>
  <c r="AQ243" i="10"/>
  <c r="AP243" i="10"/>
  <c r="AT242" i="10"/>
  <c r="AS242" i="10"/>
  <c r="AQ242" i="10"/>
  <c r="AP242" i="10"/>
  <c r="AR242" i="10" s="1"/>
  <c r="AT241" i="10"/>
  <c r="AS241" i="10"/>
  <c r="AU241" i="10" s="1"/>
  <c r="AQ241" i="10"/>
  <c r="AP241" i="10"/>
  <c r="AT240" i="10"/>
  <c r="AU240" i="10" s="1"/>
  <c r="AS240" i="10"/>
  <c r="AQ240" i="10"/>
  <c r="AP240" i="10"/>
  <c r="AR240" i="10" s="1"/>
  <c r="AT239" i="10"/>
  <c r="AS239" i="10"/>
  <c r="AQ239" i="10"/>
  <c r="AP239" i="10"/>
  <c r="AR239" i="10" s="1"/>
  <c r="AT238" i="10"/>
  <c r="AS238" i="10"/>
  <c r="AU238" i="10" s="1"/>
  <c r="AQ238" i="10"/>
  <c r="AP238" i="10"/>
  <c r="AR238" i="10" s="1"/>
  <c r="AT237" i="10"/>
  <c r="AS237" i="10"/>
  <c r="AQ237" i="10"/>
  <c r="AP237" i="10"/>
  <c r="AT236" i="10"/>
  <c r="AS236" i="10"/>
  <c r="AU236" i="10" s="1"/>
  <c r="AQ236" i="10"/>
  <c r="AP236" i="10"/>
  <c r="AT235" i="10"/>
  <c r="AS235" i="10"/>
  <c r="AQ235" i="10"/>
  <c r="AR235" i="10" s="1"/>
  <c r="AP235" i="10"/>
  <c r="AT234" i="10"/>
  <c r="AS234" i="10"/>
  <c r="AU234" i="10" s="1"/>
  <c r="AQ234" i="10"/>
  <c r="AP234" i="10"/>
  <c r="AT233" i="10"/>
  <c r="AS233" i="10"/>
  <c r="AU233" i="10" s="1"/>
  <c r="AQ233" i="10"/>
  <c r="AP233" i="10"/>
  <c r="AR233" i="10" s="1"/>
  <c r="AT232" i="10"/>
  <c r="AS232" i="10"/>
  <c r="AU232" i="10" s="1"/>
  <c r="AQ232" i="10"/>
  <c r="AP232" i="10"/>
  <c r="AT231" i="10"/>
  <c r="AS231" i="10"/>
  <c r="AQ231" i="10"/>
  <c r="AP231" i="10"/>
  <c r="AR231" i="10" s="1"/>
  <c r="AT230" i="10"/>
  <c r="AS230" i="10"/>
  <c r="AQ230" i="10"/>
  <c r="AP230" i="10"/>
  <c r="AT229" i="10"/>
  <c r="AS229" i="10"/>
  <c r="AQ229" i="10"/>
  <c r="AP229" i="10"/>
  <c r="AR229" i="10" s="1"/>
  <c r="AT228" i="10"/>
  <c r="AS228" i="10"/>
  <c r="AU228" i="10" s="1"/>
  <c r="AQ228" i="10"/>
  <c r="AP228" i="10"/>
  <c r="AR228" i="10" s="1"/>
  <c r="AT227" i="10"/>
  <c r="AS227" i="10"/>
  <c r="AU227" i="10" s="1"/>
  <c r="AQ227" i="10"/>
  <c r="AP227" i="10"/>
  <c r="AR227" i="10" s="1"/>
  <c r="AT226" i="10"/>
  <c r="AS226" i="10"/>
  <c r="AQ226" i="10"/>
  <c r="AP226" i="10"/>
  <c r="AT225" i="10"/>
  <c r="AS225" i="10"/>
  <c r="AU225" i="10" s="1"/>
  <c r="AQ225" i="10"/>
  <c r="AP225" i="10"/>
  <c r="AR225" i="10" s="1"/>
  <c r="AT224" i="10"/>
  <c r="AS224" i="10"/>
  <c r="AQ224" i="10"/>
  <c r="AR224" i="10" s="1"/>
  <c r="AP224" i="10"/>
  <c r="AT223" i="10"/>
  <c r="AS223" i="10"/>
  <c r="AU223" i="10" s="1"/>
  <c r="AQ223" i="10"/>
  <c r="AP223" i="10"/>
  <c r="AT222" i="10"/>
  <c r="AS222" i="10"/>
  <c r="AU222" i="10" s="1"/>
  <c r="AQ222" i="10"/>
  <c r="AP222" i="10"/>
  <c r="AR222" i="10" s="1"/>
  <c r="AT221" i="10"/>
  <c r="AS221" i="10"/>
  <c r="AU221" i="10" s="1"/>
  <c r="AQ221" i="10"/>
  <c r="AP221" i="10"/>
  <c r="AT220" i="10"/>
  <c r="AS220" i="10"/>
  <c r="AQ220" i="10"/>
  <c r="AP220" i="10"/>
  <c r="AR220" i="10" s="1"/>
  <c r="AT219" i="10"/>
  <c r="AS219" i="10"/>
  <c r="AU219" i="10" s="1"/>
  <c r="AQ219" i="10"/>
  <c r="AP219" i="10"/>
  <c r="AT218" i="10"/>
  <c r="AU218" i="10" s="1"/>
  <c r="AS218" i="10"/>
  <c r="AQ218" i="10"/>
  <c r="AP218" i="10"/>
  <c r="AR218" i="10" s="1"/>
  <c r="AT217" i="10"/>
  <c r="AS217" i="10"/>
  <c r="AQ217" i="10"/>
  <c r="AP217" i="10"/>
  <c r="AR217" i="10" s="1"/>
  <c r="AT216" i="10"/>
  <c r="AS216" i="10"/>
  <c r="AU216" i="10" s="1"/>
  <c r="AQ216" i="10"/>
  <c r="AP216" i="10"/>
  <c r="AR216" i="10" s="1"/>
  <c r="AT215" i="10"/>
  <c r="AS215" i="10"/>
  <c r="AQ215" i="10"/>
  <c r="AP215" i="10"/>
  <c r="AT214" i="10"/>
  <c r="AS214" i="10"/>
  <c r="AU214" i="10" s="1"/>
  <c r="AQ214" i="10"/>
  <c r="AP214" i="10"/>
  <c r="AR214" i="10" s="1"/>
  <c r="AT213" i="10"/>
  <c r="AS213" i="10"/>
  <c r="AQ213" i="10"/>
  <c r="AP213" i="10"/>
  <c r="AT212" i="10"/>
  <c r="AS212" i="10"/>
  <c r="AU212" i="10" s="1"/>
  <c r="AQ212" i="10"/>
  <c r="AP212" i="10"/>
  <c r="AT211" i="10"/>
  <c r="AS211" i="10"/>
  <c r="AU211" i="10" s="1"/>
  <c r="AQ211" i="10"/>
  <c r="AP211" i="10"/>
  <c r="AR211" i="10" s="1"/>
  <c r="AT210" i="10"/>
  <c r="AS210" i="10"/>
  <c r="AU210" i="10" s="1"/>
  <c r="AQ210" i="10"/>
  <c r="AP210" i="10"/>
  <c r="AT209" i="10"/>
  <c r="AS209" i="10"/>
  <c r="AQ209" i="10"/>
  <c r="AP209" i="10"/>
  <c r="AR209" i="10" s="1"/>
  <c r="AT208" i="10"/>
  <c r="AS208" i="10"/>
  <c r="AU208" i="10" s="1"/>
  <c r="AQ208" i="10"/>
  <c r="AR208" i="10" s="1"/>
  <c r="AP208" i="10"/>
  <c r="AT207" i="10"/>
  <c r="AU207" i="10" s="1"/>
  <c r="AS207" i="10"/>
  <c r="AQ207" i="10"/>
  <c r="AP207" i="10"/>
  <c r="AR207" i="10" s="1"/>
  <c r="AT206" i="10"/>
  <c r="AS206" i="10"/>
  <c r="AU206" i="10" s="1"/>
  <c r="AQ206" i="10"/>
  <c r="AP206" i="10"/>
  <c r="AR206" i="10" s="1"/>
  <c r="AT205" i="10"/>
  <c r="AS205" i="10"/>
  <c r="AU205" i="10" s="1"/>
  <c r="AQ205" i="10"/>
  <c r="AP205" i="10"/>
  <c r="AR205" i="10" s="1"/>
  <c r="AT204" i="10"/>
  <c r="AS204" i="10"/>
  <c r="AQ204" i="10"/>
  <c r="AP204" i="10"/>
  <c r="AT203" i="10"/>
  <c r="AS203" i="10"/>
  <c r="AU203" i="10" s="1"/>
  <c r="AQ203" i="10"/>
  <c r="AP203" i="10"/>
  <c r="AT202" i="10"/>
  <c r="AS202" i="10"/>
  <c r="AQ202" i="10"/>
  <c r="AR202" i="10" s="1"/>
  <c r="AP202" i="10"/>
  <c r="AT201" i="10"/>
  <c r="AS201" i="10"/>
  <c r="AU201" i="10" s="1"/>
  <c r="AQ201" i="10"/>
  <c r="AP201" i="10"/>
  <c r="AR201" i="10" s="1"/>
  <c r="AT200" i="10"/>
  <c r="AS200" i="10"/>
  <c r="AU200" i="10" s="1"/>
  <c r="AQ200" i="10"/>
  <c r="AP200" i="10"/>
  <c r="AT199" i="10"/>
  <c r="AS199" i="10"/>
  <c r="AU199" i="10" s="1"/>
  <c r="AQ199" i="10"/>
  <c r="AP199" i="10"/>
  <c r="AT198" i="10"/>
  <c r="AS198" i="10"/>
  <c r="AQ198" i="10"/>
  <c r="AP198" i="10"/>
  <c r="AT197" i="10"/>
  <c r="AS197" i="10"/>
  <c r="AU197" i="10" s="1"/>
  <c r="AQ197" i="10"/>
  <c r="AP197" i="10"/>
  <c r="AT196" i="10"/>
  <c r="AU196" i="10" s="1"/>
  <c r="AS196" i="10"/>
  <c r="AQ196" i="10"/>
  <c r="AP196" i="10"/>
  <c r="AR196" i="10" s="1"/>
  <c r="AT195" i="10"/>
  <c r="AS195" i="10"/>
  <c r="AQ195" i="10"/>
  <c r="AP195" i="10"/>
  <c r="AT194" i="10"/>
  <c r="AS194" i="10"/>
  <c r="AU194" i="10" s="1"/>
  <c r="AQ194" i="10"/>
  <c r="AP194" i="10"/>
  <c r="AT193" i="10"/>
  <c r="AS193" i="10"/>
  <c r="AQ193" i="10"/>
  <c r="AP193" i="10"/>
  <c r="AT192" i="10"/>
  <c r="AS192" i="10"/>
  <c r="AQ192" i="10"/>
  <c r="AP192" i="10"/>
  <c r="AR192" i="10" s="1"/>
  <c r="AT191" i="10"/>
  <c r="AS191" i="10"/>
  <c r="AQ191" i="10"/>
  <c r="AR191" i="10" s="1"/>
  <c r="AP191" i="10"/>
  <c r="AT190" i="10"/>
  <c r="AS190" i="10"/>
  <c r="AU190" i="10" s="1"/>
  <c r="AQ190" i="10"/>
  <c r="AP190" i="10"/>
  <c r="AT189" i="10"/>
  <c r="AS189" i="10"/>
  <c r="AU189" i="10" s="1"/>
  <c r="AQ189" i="10"/>
  <c r="AP189" i="10"/>
  <c r="AT188" i="10"/>
  <c r="AS188" i="10"/>
  <c r="AU188" i="10" s="1"/>
  <c r="AQ188" i="10"/>
  <c r="AP188" i="10"/>
  <c r="AT187" i="10"/>
  <c r="AS187" i="10"/>
  <c r="AQ187" i="10"/>
  <c r="AP187" i="10"/>
  <c r="AT186" i="10"/>
  <c r="AS186" i="10"/>
  <c r="AU186" i="10" s="1"/>
  <c r="AQ186" i="10"/>
  <c r="AP186" i="10"/>
  <c r="AT185" i="10"/>
  <c r="AU185" i="10" s="1"/>
  <c r="AS185" i="10"/>
  <c r="AQ185" i="10"/>
  <c r="AP185" i="10"/>
  <c r="AR185" i="10" s="1"/>
  <c r="AT184" i="10"/>
  <c r="AS184" i="10"/>
  <c r="AQ184" i="10"/>
  <c r="AP184" i="10"/>
  <c r="AT183" i="10"/>
  <c r="AS183" i="10"/>
  <c r="AQ183" i="10"/>
  <c r="AP183" i="10"/>
  <c r="AT182" i="10"/>
  <c r="AS182" i="10"/>
  <c r="AQ182" i="10"/>
  <c r="AP182" i="10"/>
  <c r="AT181" i="10"/>
  <c r="AS181" i="10"/>
  <c r="AU181" i="10" s="1"/>
  <c r="AQ181" i="10"/>
  <c r="AP181" i="10"/>
  <c r="AT180" i="10"/>
  <c r="AS180" i="10"/>
  <c r="AQ180" i="10"/>
  <c r="AR180" i="10" s="1"/>
  <c r="AP180" i="10"/>
  <c r="AT179" i="10"/>
  <c r="AS179" i="10"/>
  <c r="AU179" i="10" s="1"/>
  <c r="AQ179" i="10"/>
  <c r="AP179" i="10"/>
  <c r="AT178" i="10"/>
  <c r="AS178" i="10"/>
  <c r="AU178" i="10" s="1"/>
  <c r="AQ178" i="10"/>
  <c r="AP178" i="10"/>
  <c r="AR178" i="10" s="1"/>
  <c r="AT177" i="10"/>
  <c r="AS177" i="10"/>
  <c r="AU177" i="10" s="1"/>
  <c r="AQ177" i="10"/>
  <c r="AP177" i="10"/>
  <c r="AT176" i="10"/>
  <c r="AS176" i="10"/>
  <c r="AQ176" i="10"/>
  <c r="AP176" i="10"/>
  <c r="AT175" i="10"/>
  <c r="AS175" i="10"/>
  <c r="AU175" i="10" s="1"/>
  <c r="AQ175" i="10"/>
  <c r="AP175" i="10"/>
  <c r="AT174" i="10"/>
  <c r="AU174" i="10" s="1"/>
  <c r="AS174" i="10"/>
  <c r="AQ174" i="10"/>
  <c r="AP174" i="10"/>
  <c r="AR174" i="10" s="1"/>
  <c r="AT173" i="10"/>
  <c r="AS173" i="10"/>
  <c r="AQ173" i="10"/>
  <c r="AP173" i="10"/>
  <c r="AR173" i="10" s="1"/>
  <c r="AT172" i="10"/>
  <c r="AS172" i="10"/>
  <c r="AU172" i="10" s="1"/>
  <c r="AQ172" i="10"/>
  <c r="AP172" i="10"/>
  <c r="AR172" i="10" s="1"/>
  <c r="AT171" i="10"/>
  <c r="AS171" i="10"/>
  <c r="AQ171" i="10"/>
  <c r="AP171" i="10"/>
  <c r="AT170" i="10"/>
  <c r="AS170" i="10"/>
  <c r="AU170" i="10" s="1"/>
  <c r="AQ170" i="10"/>
  <c r="AP170" i="10"/>
  <c r="AT169" i="10"/>
  <c r="AS169" i="10"/>
  <c r="AQ169" i="10"/>
  <c r="AP169" i="10"/>
  <c r="AT168" i="10"/>
  <c r="AS168" i="10"/>
  <c r="AQ168" i="10"/>
  <c r="AP168" i="10"/>
  <c r="AT167" i="10"/>
  <c r="AS167" i="10"/>
  <c r="AU167" i="10" s="1"/>
  <c r="AQ167" i="10"/>
  <c r="AP167" i="10"/>
  <c r="AR167" i="10" s="1"/>
  <c r="AT166" i="10"/>
  <c r="AS166" i="10"/>
  <c r="AU166" i="10" s="1"/>
  <c r="AQ166" i="10"/>
  <c r="AP166" i="10"/>
  <c r="AT165" i="10"/>
  <c r="AS165" i="10"/>
  <c r="AQ165" i="10"/>
  <c r="AP165" i="10"/>
  <c r="AT164" i="10"/>
  <c r="AS164" i="10"/>
  <c r="AQ164" i="10"/>
  <c r="AP164" i="10"/>
  <c r="AT163" i="10"/>
  <c r="AU163" i="10" s="1"/>
  <c r="AS163" i="10"/>
  <c r="AQ163" i="10"/>
  <c r="AP163" i="10"/>
  <c r="AR163" i="10" s="1"/>
  <c r="AT162" i="10"/>
  <c r="AS162" i="10"/>
  <c r="AQ162" i="10"/>
  <c r="AP162" i="10"/>
  <c r="AR162" i="10" s="1"/>
  <c r="AT161" i="10"/>
  <c r="AS161" i="10"/>
  <c r="AU161" i="10" s="1"/>
  <c r="AQ161" i="10"/>
  <c r="AP161" i="10"/>
  <c r="AR161" i="10" s="1"/>
  <c r="AT160" i="10"/>
  <c r="AS160" i="10"/>
  <c r="AQ160" i="10"/>
  <c r="AP160" i="10"/>
  <c r="AT159" i="10"/>
  <c r="AS159" i="10"/>
  <c r="AU159" i="10" s="1"/>
  <c r="AQ159" i="10"/>
  <c r="AP159" i="10"/>
  <c r="AR159" i="10" s="1"/>
  <c r="AT158" i="10"/>
  <c r="AS158" i="10"/>
  <c r="AQ158" i="10"/>
  <c r="AR158" i="10" s="1"/>
  <c r="AP158" i="10"/>
  <c r="AT157" i="10"/>
  <c r="AS157" i="10"/>
  <c r="AU157" i="10" s="1"/>
  <c r="AQ157" i="10"/>
  <c r="AP157" i="10"/>
  <c r="AT156" i="10"/>
  <c r="AS156" i="10"/>
  <c r="AU156" i="10" s="1"/>
  <c r="AQ156" i="10"/>
  <c r="AP156" i="10"/>
  <c r="AR156" i="10" s="1"/>
  <c r="AT155" i="10"/>
  <c r="AS155" i="10"/>
  <c r="AU155" i="10" s="1"/>
  <c r="AQ155" i="10"/>
  <c r="AP155" i="10"/>
  <c r="AT154" i="10"/>
  <c r="AS154" i="10"/>
  <c r="AQ154" i="10"/>
  <c r="AP154" i="10"/>
  <c r="AT153" i="10"/>
  <c r="AS153" i="10"/>
  <c r="AU153" i="10" s="1"/>
  <c r="AQ153" i="10"/>
  <c r="AP153" i="10"/>
  <c r="AT152" i="10"/>
  <c r="AU152" i="10" s="1"/>
  <c r="AS152" i="10"/>
  <c r="AQ152" i="10"/>
  <c r="AP152" i="10"/>
  <c r="AR152" i="10" s="1"/>
  <c r="AT151" i="10"/>
  <c r="AS151" i="10"/>
  <c r="AQ151" i="10"/>
  <c r="AP151" i="10"/>
  <c r="AR151" i="10" s="1"/>
  <c r="AT150" i="10"/>
  <c r="AS150" i="10"/>
  <c r="AU150" i="10" s="1"/>
  <c r="AQ150" i="10"/>
  <c r="AP150" i="10"/>
  <c r="AR150" i="10" s="1"/>
  <c r="AT149" i="10"/>
  <c r="AS149" i="10"/>
  <c r="AQ149" i="10"/>
  <c r="AP149" i="10"/>
  <c r="AQ148" i="10"/>
  <c r="AP148" i="10"/>
  <c r="AQ147" i="10"/>
  <c r="AP147" i="10"/>
  <c r="AQ146" i="10"/>
  <c r="AP146" i="10"/>
  <c r="AQ145" i="10"/>
  <c r="AR145" i="10" s="1"/>
  <c r="AP145" i="10"/>
  <c r="AQ144" i="10"/>
  <c r="AP144" i="10"/>
  <c r="AR144" i="10" s="1"/>
  <c r="AQ143" i="10"/>
  <c r="AP143" i="10"/>
  <c r="AQ142" i="10"/>
  <c r="AP142" i="10"/>
  <c r="AR142" i="10" s="1"/>
  <c r="AQ141" i="10"/>
  <c r="AP141" i="10"/>
  <c r="AR141" i="10" s="1"/>
  <c r="AQ140" i="10"/>
  <c r="AP140" i="10"/>
  <c r="AQ139" i="10"/>
  <c r="AP139" i="10"/>
  <c r="AQ138" i="10"/>
  <c r="AP138" i="10"/>
  <c r="AQ137" i="10"/>
  <c r="AP137" i="10"/>
  <c r="AR137" i="10" s="1"/>
  <c r="AQ136" i="10"/>
  <c r="AP136" i="10"/>
  <c r="AR136" i="10" s="1"/>
  <c r="BE377" i="10"/>
  <c r="BA377" i="10"/>
  <c r="AX377" i="10"/>
  <c r="BD375" i="10"/>
  <c r="BC375" i="10"/>
  <c r="BB375" i="10"/>
  <c r="BE375" i="10" s="1"/>
  <c r="AZ375" i="10"/>
  <c r="AY375" i="10"/>
  <c r="AW375" i="10"/>
  <c r="AV375" i="10"/>
  <c r="AX375" i="10" s="1"/>
  <c r="BD374" i="10"/>
  <c r="BC374" i="10"/>
  <c r="BB374" i="10"/>
  <c r="AZ374" i="10"/>
  <c r="BA374" i="10" s="1"/>
  <c r="AY374" i="10"/>
  <c r="AW374" i="10"/>
  <c r="AV374" i="10"/>
  <c r="BD373" i="10"/>
  <c r="BC373" i="10"/>
  <c r="BB373" i="10"/>
  <c r="BE373" i="10" s="1"/>
  <c r="AZ373" i="10"/>
  <c r="AY373" i="10"/>
  <c r="BA373" i="10" s="1"/>
  <c r="AW373" i="10"/>
  <c r="AV373" i="10"/>
  <c r="BD372" i="10"/>
  <c r="BC372" i="10"/>
  <c r="BB372" i="10"/>
  <c r="AZ372" i="10"/>
  <c r="AY372" i="10"/>
  <c r="BA372" i="10" s="1"/>
  <c r="AW372" i="10"/>
  <c r="AV372" i="10"/>
  <c r="AX372" i="10" s="1"/>
  <c r="BD371" i="10"/>
  <c r="BC371" i="10"/>
  <c r="BB371" i="10"/>
  <c r="AZ371" i="10"/>
  <c r="AY371" i="10"/>
  <c r="BA371" i="10" s="1"/>
  <c r="AW371" i="10"/>
  <c r="AV371" i="10"/>
  <c r="BD370" i="10"/>
  <c r="BC370" i="10"/>
  <c r="BE370" i="10" s="1"/>
  <c r="BB370" i="10"/>
  <c r="AZ370" i="10"/>
  <c r="AY370" i="10"/>
  <c r="AW370" i="10"/>
  <c r="AV370" i="10"/>
  <c r="AX370" i="10" s="1"/>
  <c r="BD369" i="10"/>
  <c r="BC369" i="10"/>
  <c r="BE369" i="10" s="1"/>
  <c r="BB369" i="10"/>
  <c r="AZ369" i="10"/>
  <c r="AY369" i="10"/>
  <c r="BA369" i="10" s="1"/>
  <c r="AW369" i="10"/>
  <c r="AV369" i="10"/>
  <c r="BD368" i="10"/>
  <c r="BC368" i="10"/>
  <c r="BB368" i="10"/>
  <c r="AZ368" i="10"/>
  <c r="AY368" i="10"/>
  <c r="AW368" i="10"/>
  <c r="AX368" i="10" s="1"/>
  <c r="AV368" i="10"/>
  <c r="BD367" i="10"/>
  <c r="BC367" i="10"/>
  <c r="BB367" i="10"/>
  <c r="AZ367" i="10"/>
  <c r="AY367" i="10"/>
  <c r="BA367" i="10" s="1"/>
  <c r="AW367" i="10"/>
  <c r="AV367" i="10"/>
  <c r="AX367" i="10" s="1"/>
  <c r="BD366" i="10"/>
  <c r="BC366" i="10"/>
  <c r="BB366" i="10"/>
  <c r="AZ366" i="10"/>
  <c r="AY366" i="10"/>
  <c r="BA366" i="10" s="1"/>
  <c r="AW366" i="10"/>
  <c r="AV366" i="10"/>
  <c r="AX366" i="10" s="1"/>
  <c r="BD365" i="10"/>
  <c r="BC365" i="10"/>
  <c r="BB365" i="10"/>
  <c r="BE365" i="10" s="1"/>
  <c r="AZ365" i="10"/>
  <c r="AY365" i="10"/>
  <c r="BA365" i="10" s="1"/>
  <c r="AW365" i="10"/>
  <c r="AV365" i="10"/>
  <c r="AX365" i="10" s="1"/>
  <c r="BD364" i="10"/>
  <c r="BC364" i="10"/>
  <c r="BB364" i="10"/>
  <c r="AZ364" i="10"/>
  <c r="AY364" i="10"/>
  <c r="AW364" i="10"/>
  <c r="AX364" i="10" s="1"/>
  <c r="AV364" i="10"/>
  <c r="BD363" i="10"/>
  <c r="BC363" i="10"/>
  <c r="BB363" i="10"/>
  <c r="AZ363" i="10"/>
  <c r="AY363" i="10"/>
  <c r="AW363" i="10"/>
  <c r="AV363" i="10"/>
  <c r="AX363" i="10" s="1"/>
  <c r="BD362" i="10"/>
  <c r="BC362" i="10"/>
  <c r="BB362" i="10"/>
  <c r="BE362" i="10" s="1"/>
  <c r="AZ362" i="10"/>
  <c r="AY362" i="10"/>
  <c r="AW362" i="10"/>
  <c r="AV362" i="10"/>
  <c r="BD361" i="10"/>
  <c r="BE361" i="10" s="1"/>
  <c r="BC361" i="10"/>
  <c r="BB361" i="10"/>
  <c r="AZ361" i="10"/>
  <c r="AY361" i="10"/>
  <c r="AW361" i="10"/>
  <c r="AV361" i="10"/>
  <c r="BD360" i="10"/>
  <c r="BC360" i="10"/>
  <c r="BB360" i="10"/>
  <c r="AZ360" i="10"/>
  <c r="AY360" i="10"/>
  <c r="BA360" i="10" s="1"/>
  <c r="AW360" i="10"/>
  <c r="AV360" i="10"/>
  <c r="AX360" i="10" s="1"/>
  <c r="BD359" i="10"/>
  <c r="BC359" i="10"/>
  <c r="BB359" i="10"/>
  <c r="AZ359" i="10"/>
  <c r="AY359" i="10"/>
  <c r="BA359" i="10" s="1"/>
  <c r="AW359" i="10"/>
  <c r="AV359" i="10"/>
  <c r="AX359" i="10" s="1"/>
  <c r="BD358" i="10"/>
  <c r="BC358" i="10"/>
  <c r="BE358" i="10" s="1"/>
  <c r="BB358" i="10"/>
  <c r="AZ358" i="10"/>
  <c r="AY358" i="10"/>
  <c r="AW358" i="10"/>
  <c r="AV358" i="10"/>
  <c r="BD357" i="10"/>
  <c r="BC357" i="10"/>
  <c r="BB357" i="10"/>
  <c r="AZ357" i="10"/>
  <c r="AY357" i="10"/>
  <c r="AW357" i="10"/>
  <c r="AX357" i="10" s="1"/>
  <c r="AV357" i="10"/>
  <c r="BD356" i="10"/>
  <c r="BC356" i="10"/>
  <c r="BB356" i="10"/>
  <c r="BE356" i="10" s="1"/>
  <c r="AZ356" i="10"/>
  <c r="AY356" i="10"/>
  <c r="BA356" i="10" s="1"/>
  <c r="AW356" i="10"/>
  <c r="AV356" i="10"/>
  <c r="BD355" i="10"/>
  <c r="BC355" i="10"/>
  <c r="BB355" i="10"/>
  <c r="BE355" i="10" s="1"/>
  <c r="AZ355" i="10"/>
  <c r="AY355" i="10"/>
  <c r="AW355" i="10"/>
  <c r="AV355" i="10"/>
  <c r="AX355" i="10" s="1"/>
  <c r="BD354" i="10"/>
  <c r="BC354" i="10"/>
  <c r="BE354" i="10" s="1"/>
  <c r="BB354" i="10"/>
  <c r="AZ354" i="10"/>
  <c r="AY354" i="10"/>
  <c r="BA354" i="10" s="1"/>
  <c r="AW354" i="10"/>
  <c r="AV354" i="10"/>
  <c r="AX354" i="10" s="1"/>
  <c r="BD353" i="10"/>
  <c r="BC353" i="10"/>
  <c r="BB353" i="10"/>
  <c r="BE353" i="10" s="1"/>
  <c r="AZ353" i="10"/>
  <c r="AY353" i="10"/>
  <c r="AW353" i="10"/>
  <c r="AV353" i="10"/>
  <c r="AX353" i="10" s="1"/>
  <c r="BD352" i="10"/>
  <c r="BC352" i="10"/>
  <c r="BB352" i="10"/>
  <c r="AZ352" i="10"/>
  <c r="BA352" i="10" s="1"/>
  <c r="AY352" i="10"/>
  <c r="AW352" i="10"/>
  <c r="AV352" i="10"/>
  <c r="BD351" i="10"/>
  <c r="BC351" i="10"/>
  <c r="BB351" i="10"/>
  <c r="AZ351" i="10"/>
  <c r="AY351" i="10"/>
  <c r="BA351" i="10" s="1"/>
  <c r="AW351" i="10"/>
  <c r="AV351" i="10"/>
  <c r="BD350" i="10"/>
  <c r="BC350" i="10"/>
  <c r="BB350" i="10"/>
  <c r="AZ350" i="10"/>
  <c r="AY350" i="10"/>
  <c r="BA350" i="10" s="1"/>
  <c r="AW350" i="10"/>
  <c r="AV350" i="10"/>
  <c r="AX350" i="10" s="1"/>
  <c r="BD349" i="10"/>
  <c r="BC349" i="10"/>
  <c r="BB349" i="10"/>
  <c r="AZ349" i="10"/>
  <c r="AY349" i="10"/>
  <c r="BA349" i="10" s="1"/>
  <c r="AW349" i="10"/>
  <c r="AV349" i="10"/>
  <c r="BD348" i="10"/>
  <c r="BC348" i="10"/>
  <c r="BE348" i="10" s="1"/>
  <c r="BB348" i="10"/>
  <c r="AZ348" i="10"/>
  <c r="BA348" i="10" s="1"/>
  <c r="AY348" i="10"/>
  <c r="AW348" i="10"/>
  <c r="AV348" i="10"/>
  <c r="AX348" i="10" s="1"/>
  <c r="BD347" i="10"/>
  <c r="BC347" i="10"/>
  <c r="BE347" i="10" s="1"/>
  <c r="BB347" i="10"/>
  <c r="AZ347" i="10"/>
  <c r="AY347" i="10"/>
  <c r="BA347" i="10" s="1"/>
  <c r="AW347" i="10"/>
  <c r="AV347" i="10"/>
  <c r="BD346" i="10"/>
  <c r="BC346" i="10"/>
  <c r="BB346" i="10"/>
  <c r="AZ346" i="10"/>
  <c r="AY346" i="10"/>
  <c r="AW346" i="10"/>
  <c r="AX346" i="10" s="1"/>
  <c r="AV346" i="10"/>
  <c r="BD345" i="10"/>
  <c r="BC345" i="10"/>
  <c r="BB345" i="10"/>
  <c r="AZ345" i="10"/>
  <c r="AY345" i="10"/>
  <c r="BA345" i="10" s="1"/>
  <c r="AW345" i="10"/>
  <c r="AV345" i="10"/>
  <c r="AX345" i="10" s="1"/>
  <c r="BD344" i="10"/>
  <c r="BC344" i="10"/>
  <c r="BB344" i="10"/>
  <c r="AZ344" i="10"/>
  <c r="AY344" i="10"/>
  <c r="BA344" i="10" s="1"/>
  <c r="AW344" i="10"/>
  <c r="AV344" i="10"/>
  <c r="AX344" i="10" s="1"/>
  <c r="BD343" i="10"/>
  <c r="BC343" i="10"/>
  <c r="BB343" i="10"/>
  <c r="AZ343" i="10"/>
  <c r="AY343" i="10"/>
  <c r="AW343" i="10"/>
  <c r="AV343" i="10"/>
  <c r="AX343" i="10" s="1"/>
  <c r="BD342" i="10"/>
  <c r="BC342" i="10"/>
  <c r="BB342" i="10"/>
  <c r="AZ342" i="10"/>
  <c r="AY342" i="10"/>
  <c r="AW342" i="10"/>
  <c r="AV342" i="10"/>
  <c r="BD341" i="10"/>
  <c r="BC341" i="10"/>
  <c r="BB341" i="10"/>
  <c r="AZ341" i="10"/>
  <c r="BA341" i="10" s="1"/>
  <c r="AY341" i="10"/>
  <c r="AW341" i="10"/>
  <c r="AV341" i="10"/>
  <c r="AX341" i="10" s="1"/>
  <c r="BD340" i="10"/>
  <c r="BC340" i="10"/>
  <c r="BB340" i="10"/>
  <c r="BE340" i="10" s="1"/>
  <c r="AZ340" i="10"/>
  <c r="AY340" i="10"/>
  <c r="AW340" i="10"/>
  <c r="AV340" i="10"/>
  <c r="BD339" i="10"/>
  <c r="BE339" i="10" s="1"/>
  <c r="BC339" i="10"/>
  <c r="BB339" i="10"/>
  <c r="AZ339" i="10"/>
  <c r="AY339" i="10"/>
  <c r="AW339" i="10"/>
  <c r="AV339" i="10"/>
  <c r="AX339" i="10" s="1"/>
  <c r="BD338" i="10"/>
  <c r="BC338" i="10"/>
  <c r="BB338" i="10"/>
  <c r="BE338" i="10" s="1"/>
  <c r="AZ338" i="10"/>
  <c r="AY338" i="10"/>
  <c r="BA338" i="10" s="1"/>
  <c r="AW338" i="10"/>
  <c r="AV338" i="10"/>
  <c r="AX338" i="10" s="1"/>
  <c r="BD337" i="10"/>
  <c r="BC337" i="10"/>
  <c r="BB337" i="10"/>
  <c r="AZ337" i="10"/>
  <c r="AY337" i="10"/>
  <c r="BA337" i="10" s="1"/>
  <c r="AW337" i="10"/>
  <c r="AV337" i="10"/>
  <c r="BD336" i="10"/>
  <c r="BC336" i="10"/>
  <c r="BB336" i="10"/>
  <c r="AZ336" i="10"/>
  <c r="AY336" i="10"/>
  <c r="AW336" i="10"/>
  <c r="AV336" i="10"/>
  <c r="BD335" i="10"/>
  <c r="BC335" i="10"/>
  <c r="BB335" i="10"/>
  <c r="AZ335" i="10"/>
  <c r="AY335" i="10"/>
  <c r="AW335" i="10"/>
  <c r="AX335" i="10" s="1"/>
  <c r="AV335" i="10"/>
  <c r="BD334" i="10"/>
  <c r="BC334" i="10"/>
  <c r="BB334" i="10"/>
  <c r="BE334" i="10" s="1"/>
  <c r="AZ334" i="10"/>
  <c r="AY334" i="10"/>
  <c r="BA334" i="10" s="1"/>
  <c r="AW334" i="10"/>
  <c r="AV334" i="10"/>
  <c r="BD333" i="10"/>
  <c r="BC333" i="10"/>
  <c r="BB333" i="10"/>
  <c r="AZ333" i="10"/>
  <c r="AY333" i="10"/>
  <c r="AW333" i="10"/>
  <c r="AV333" i="10"/>
  <c r="AX333" i="10" s="1"/>
  <c r="BD332" i="10"/>
  <c r="BC332" i="10"/>
  <c r="BB332" i="10"/>
  <c r="AZ332" i="10"/>
  <c r="AY332" i="10"/>
  <c r="BA332" i="10" s="1"/>
  <c r="AW332" i="10"/>
  <c r="AV332" i="10"/>
  <c r="AX332" i="10" s="1"/>
  <c r="BD331" i="10"/>
  <c r="BC331" i="10"/>
  <c r="BB331" i="10"/>
  <c r="BE331" i="10" s="1"/>
  <c r="AZ331" i="10"/>
  <c r="AY331" i="10"/>
  <c r="AW331" i="10"/>
  <c r="AV331" i="10"/>
  <c r="AX331" i="10" s="1"/>
  <c r="BD330" i="10"/>
  <c r="BC330" i="10"/>
  <c r="BB330" i="10"/>
  <c r="AZ330" i="10"/>
  <c r="BA330" i="10" s="1"/>
  <c r="AY330" i="10"/>
  <c r="AW330" i="10"/>
  <c r="AV330" i="10"/>
  <c r="BD329" i="10"/>
  <c r="BC329" i="10"/>
  <c r="BB329" i="10"/>
  <c r="BE329" i="10" s="1"/>
  <c r="AZ329" i="10"/>
  <c r="AY329" i="10"/>
  <c r="AW329" i="10"/>
  <c r="AV329" i="10"/>
  <c r="BD328" i="10"/>
  <c r="BC328" i="10"/>
  <c r="BB328" i="10"/>
  <c r="AZ328" i="10"/>
  <c r="AY328" i="10"/>
  <c r="BA328" i="10" s="1"/>
  <c r="AW328" i="10"/>
  <c r="AV328" i="10"/>
  <c r="AX328" i="10" s="1"/>
  <c r="BD327" i="10"/>
  <c r="BC327" i="10"/>
  <c r="BB327" i="10"/>
  <c r="AZ327" i="10"/>
  <c r="AY327" i="10"/>
  <c r="BA327" i="10" s="1"/>
  <c r="AW327" i="10"/>
  <c r="AV327" i="10"/>
  <c r="BD326" i="10"/>
  <c r="BC326" i="10"/>
  <c r="BB326" i="10"/>
  <c r="AZ326" i="10"/>
  <c r="BA326" i="10" s="1"/>
  <c r="AY326" i="10"/>
  <c r="AW326" i="10"/>
  <c r="AV326" i="10"/>
  <c r="AX326" i="10" s="1"/>
  <c r="BD325" i="10"/>
  <c r="BC325" i="10"/>
  <c r="BB325" i="10"/>
  <c r="AZ325" i="10"/>
  <c r="AY325" i="10"/>
  <c r="BA325" i="10" s="1"/>
  <c r="AW325" i="10"/>
  <c r="AV325" i="10"/>
  <c r="BD324" i="10"/>
  <c r="BC324" i="10"/>
  <c r="BB324" i="10"/>
  <c r="AZ324" i="10"/>
  <c r="AY324" i="10"/>
  <c r="AW324" i="10"/>
  <c r="AX324" i="10" s="1"/>
  <c r="AV324" i="10"/>
  <c r="BD323" i="10"/>
  <c r="BC323" i="10"/>
  <c r="BB323" i="10"/>
  <c r="AZ323" i="10"/>
  <c r="AY323" i="10"/>
  <c r="BA323" i="10" s="1"/>
  <c r="AW323" i="10"/>
  <c r="AV323" i="10"/>
  <c r="AX323" i="10" s="1"/>
  <c r="BD322" i="10"/>
  <c r="BC322" i="10"/>
  <c r="BB322" i="10"/>
  <c r="AZ322" i="10"/>
  <c r="AY322" i="10"/>
  <c r="BA322" i="10" s="1"/>
  <c r="AW322" i="10"/>
  <c r="AV322" i="10"/>
  <c r="BD321" i="10"/>
  <c r="BC321" i="10"/>
  <c r="BB321" i="10"/>
  <c r="BE321" i="10" s="1"/>
  <c r="AZ321" i="10"/>
  <c r="AY321" i="10"/>
  <c r="BA321" i="10" s="1"/>
  <c r="AW321" i="10"/>
  <c r="AV321" i="10"/>
  <c r="AX321" i="10" s="1"/>
  <c r="BD320" i="10"/>
  <c r="BC320" i="10"/>
  <c r="BB320" i="10"/>
  <c r="AZ320" i="10"/>
  <c r="AY320" i="10"/>
  <c r="AW320" i="10"/>
  <c r="AX320" i="10" s="1"/>
  <c r="AV320" i="10"/>
  <c r="BD319" i="10"/>
  <c r="BC319" i="10"/>
  <c r="BB319" i="10"/>
  <c r="AZ319" i="10"/>
  <c r="BA319" i="10" s="1"/>
  <c r="AY319" i="10"/>
  <c r="AW319" i="10"/>
  <c r="AV319" i="10"/>
  <c r="AX319" i="10" s="1"/>
  <c r="BD318" i="10"/>
  <c r="BC318" i="10"/>
  <c r="BB318" i="10"/>
  <c r="AZ318" i="10"/>
  <c r="AY318" i="10"/>
  <c r="AW318" i="10"/>
  <c r="AV318" i="10"/>
  <c r="BD317" i="10"/>
  <c r="BE317" i="10" s="1"/>
  <c r="BC317" i="10"/>
  <c r="BB317" i="10"/>
  <c r="AZ317" i="10"/>
  <c r="AY317" i="10"/>
  <c r="AW317" i="10"/>
  <c r="AV317" i="10"/>
  <c r="AX317" i="10" s="1"/>
  <c r="BD316" i="10"/>
  <c r="BC316" i="10"/>
  <c r="BB316" i="10"/>
  <c r="BE316" i="10" s="1"/>
  <c r="AZ316" i="10"/>
  <c r="AY316" i="10"/>
  <c r="BA316" i="10" s="1"/>
  <c r="AW316" i="10"/>
  <c r="AV316" i="10"/>
  <c r="AX316" i="10" s="1"/>
  <c r="BD315" i="10"/>
  <c r="BC315" i="10"/>
  <c r="BB315" i="10"/>
  <c r="AZ315" i="10"/>
  <c r="AY315" i="10"/>
  <c r="BA315" i="10" s="1"/>
  <c r="AW315" i="10"/>
  <c r="AV315" i="10"/>
  <c r="AX315" i="10" s="1"/>
  <c r="BD314" i="10"/>
  <c r="BC314" i="10"/>
  <c r="BE314" i="10" s="1"/>
  <c r="BB314" i="10"/>
  <c r="AZ314" i="10"/>
  <c r="AY314" i="10"/>
  <c r="AW314" i="10"/>
  <c r="AV314" i="10"/>
  <c r="BD313" i="10"/>
  <c r="BC313" i="10"/>
  <c r="BB313" i="10"/>
  <c r="AZ313" i="10"/>
  <c r="AY313" i="10"/>
  <c r="AW313" i="10"/>
  <c r="AX313" i="10" s="1"/>
  <c r="AV313" i="10"/>
  <c r="BD312" i="10"/>
  <c r="BC312" i="10"/>
  <c r="BB312" i="10"/>
  <c r="BE312" i="10" s="1"/>
  <c r="AZ312" i="10"/>
  <c r="AY312" i="10"/>
  <c r="BA312" i="10" s="1"/>
  <c r="AW312" i="10"/>
  <c r="AV312" i="10"/>
  <c r="BD311" i="10"/>
  <c r="BC311" i="10"/>
  <c r="BB311" i="10"/>
  <c r="BE311" i="10" s="1"/>
  <c r="AZ311" i="10"/>
  <c r="AY311" i="10"/>
  <c r="AW311" i="10"/>
  <c r="AV311" i="10"/>
  <c r="BD310" i="10"/>
  <c r="BC310" i="10"/>
  <c r="BE310" i="10" s="1"/>
  <c r="BB310" i="10"/>
  <c r="AZ310" i="10"/>
  <c r="AY310" i="10"/>
  <c r="BA310" i="10" s="1"/>
  <c r="AW310" i="10"/>
  <c r="AV310" i="10"/>
  <c r="AX310" i="10" s="1"/>
  <c r="BD309" i="10"/>
  <c r="BC309" i="10"/>
  <c r="BB309" i="10"/>
  <c r="AZ309" i="10"/>
  <c r="AY309" i="10"/>
  <c r="AW309" i="10"/>
  <c r="AV309" i="10"/>
  <c r="AX309" i="10" s="1"/>
  <c r="BD308" i="10"/>
  <c r="BC308" i="10"/>
  <c r="BB308" i="10"/>
  <c r="AZ308" i="10"/>
  <c r="AY308" i="10"/>
  <c r="AW308" i="10"/>
  <c r="AV308" i="10"/>
  <c r="BD307" i="10"/>
  <c r="BC307" i="10"/>
  <c r="BB307" i="10"/>
  <c r="BE307" i="10" s="1"/>
  <c r="AZ307" i="10"/>
  <c r="AY307" i="10"/>
  <c r="BA307" i="10" s="1"/>
  <c r="AW307" i="10"/>
  <c r="AV307" i="10"/>
  <c r="BD306" i="10"/>
  <c r="BC306" i="10"/>
  <c r="BB306" i="10"/>
  <c r="AZ306" i="10"/>
  <c r="AY306" i="10"/>
  <c r="BA306" i="10" s="1"/>
  <c r="AW306" i="10"/>
  <c r="AV306" i="10"/>
  <c r="AX306" i="10" s="1"/>
  <c r="BD305" i="10"/>
  <c r="DT305" i="10" s="1"/>
  <c r="BC305" i="10"/>
  <c r="BB305" i="10"/>
  <c r="AZ305" i="10"/>
  <c r="AY305" i="10"/>
  <c r="BA305" i="10" s="1"/>
  <c r="AW305" i="10"/>
  <c r="AV305" i="10"/>
  <c r="BD304" i="10"/>
  <c r="BC304" i="10"/>
  <c r="BB304" i="10"/>
  <c r="AZ304" i="10"/>
  <c r="AY304" i="10"/>
  <c r="AW304" i="10"/>
  <c r="AV304" i="10"/>
  <c r="BD303" i="10"/>
  <c r="BC303" i="10"/>
  <c r="BB303" i="10"/>
  <c r="AZ303" i="10"/>
  <c r="AY303" i="10"/>
  <c r="BA303" i="10" s="1"/>
  <c r="AW303" i="10"/>
  <c r="AV303" i="10"/>
  <c r="BD302" i="10"/>
  <c r="BC302" i="10"/>
  <c r="BB302" i="10"/>
  <c r="AZ302" i="10"/>
  <c r="AY302" i="10"/>
  <c r="AW302" i="10"/>
  <c r="AX302" i="10" s="1"/>
  <c r="AV302" i="10"/>
  <c r="BD301" i="10"/>
  <c r="BC301" i="10"/>
  <c r="BB301" i="10"/>
  <c r="AZ301" i="10"/>
  <c r="AY301" i="10"/>
  <c r="BA301" i="10" s="1"/>
  <c r="AW301" i="10"/>
  <c r="AV301" i="10"/>
  <c r="AX301" i="10" s="1"/>
  <c r="BD300" i="10"/>
  <c r="BC300" i="10"/>
  <c r="BB300" i="10"/>
  <c r="AZ300" i="10"/>
  <c r="AY300" i="10"/>
  <c r="BA300" i="10" s="1"/>
  <c r="AW300" i="10"/>
  <c r="AV300" i="10"/>
  <c r="AX300" i="10" s="1"/>
  <c r="BD299" i="10"/>
  <c r="BC299" i="10"/>
  <c r="BB299" i="10"/>
  <c r="BE299" i="10" s="1"/>
  <c r="AZ299" i="10"/>
  <c r="AY299" i="10"/>
  <c r="AW299" i="10"/>
  <c r="AV299" i="10"/>
  <c r="AX299" i="10" s="1"/>
  <c r="BD298" i="10"/>
  <c r="BC298" i="10"/>
  <c r="BB298" i="10"/>
  <c r="AZ298" i="10"/>
  <c r="AY298" i="10"/>
  <c r="AW298" i="10"/>
  <c r="AX298" i="10" s="1"/>
  <c r="AV298" i="10"/>
  <c r="BD297" i="10"/>
  <c r="BC297" i="10"/>
  <c r="BB297" i="10"/>
  <c r="AZ297" i="10"/>
  <c r="BA297" i="10" s="1"/>
  <c r="AY297" i="10"/>
  <c r="AW297" i="10"/>
  <c r="AV297" i="10"/>
  <c r="AX297" i="10" s="1"/>
  <c r="BD296" i="10"/>
  <c r="BC296" i="10"/>
  <c r="BB296" i="10"/>
  <c r="BE296" i="10" s="1"/>
  <c r="AZ296" i="10"/>
  <c r="AY296" i="10"/>
  <c r="AW296" i="10"/>
  <c r="AV296" i="10"/>
  <c r="BD295" i="10"/>
  <c r="BE295" i="10" s="1"/>
  <c r="BC295" i="10"/>
  <c r="BB295" i="10"/>
  <c r="AZ295" i="10"/>
  <c r="AY295" i="10"/>
  <c r="AW295" i="10"/>
  <c r="AV295" i="10"/>
  <c r="AX295" i="10" s="1"/>
  <c r="BD294" i="10"/>
  <c r="BC294" i="10"/>
  <c r="BB294" i="10"/>
  <c r="BE294" i="10" s="1"/>
  <c r="AZ294" i="10"/>
  <c r="AY294" i="10"/>
  <c r="AW294" i="10"/>
  <c r="AV294" i="10"/>
  <c r="AX294" i="10" s="1"/>
  <c r="BD293" i="10"/>
  <c r="BC293" i="10"/>
  <c r="BB293" i="10"/>
  <c r="AZ293" i="10"/>
  <c r="AY293" i="10"/>
  <c r="BA293" i="10" s="1"/>
  <c r="AW293" i="10"/>
  <c r="AV293" i="10"/>
  <c r="AX293" i="10" s="1"/>
  <c r="BD292" i="10"/>
  <c r="BC292" i="10"/>
  <c r="BE292" i="10" s="1"/>
  <c r="BB292" i="10"/>
  <c r="AZ292" i="10"/>
  <c r="AY292" i="10"/>
  <c r="AW292" i="10"/>
  <c r="AV292" i="10"/>
  <c r="BD291" i="10"/>
  <c r="BC291" i="10"/>
  <c r="BB291" i="10"/>
  <c r="AZ291" i="10"/>
  <c r="AY291" i="10"/>
  <c r="AW291" i="10"/>
  <c r="AV291" i="10"/>
  <c r="BD290" i="10"/>
  <c r="BC290" i="10"/>
  <c r="BB290" i="10"/>
  <c r="AZ290" i="10"/>
  <c r="AY290" i="10"/>
  <c r="AW290" i="10"/>
  <c r="AV290" i="10"/>
  <c r="BD289" i="10"/>
  <c r="BC289" i="10"/>
  <c r="BB289" i="10"/>
  <c r="BE289" i="10" s="1"/>
  <c r="AZ289" i="10"/>
  <c r="AY289" i="10"/>
  <c r="AW289" i="10"/>
  <c r="AV289" i="10"/>
  <c r="BD288" i="10"/>
  <c r="BC288" i="10"/>
  <c r="BE288" i="10" s="1"/>
  <c r="BB288" i="10"/>
  <c r="AZ288" i="10"/>
  <c r="AY288" i="10"/>
  <c r="BA288" i="10" s="1"/>
  <c r="AW288" i="10"/>
  <c r="AV288" i="10"/>
  <c r="AX288" i="10" s="1"/>
  <c r="BD287" i="10"/>
  <c r="BC287" i="10"/>
  <c r="BB287" i="10"/>
  <c r="BE287" i="10" s="1"/>
  <c r="AZ287" i="10"/>
  <c r="AY287" i="10"/>
  <c r="AW287" i="10"/>
  <c r="AV287" i="10"/>
  <c r="AX287" i="10" s="1"/>
  <c r="BD286" i="10"/>
  <c r="BC286" i="10"/>
  <c r="BB286" i="10"/>
  <c r="AZ286" i="10"/>
  <c r="AY286" i="10"/>
  <c r="AW286" i="10"/>
  <c r="AV286" i="10"/>
  <c r="BD285" i="10"/>
  <c r="BC285" i="10"/>
  <c r="BB285" i="10"/>
  <c r="AZ285" i="10"/>
  <c r="AY285" i="10"/>
  <c r="BA285" i="10" s="1"/>
  <c r="AW285" i="10"/>
  <c r="AV285" i="10"/>
  <c r="BD284" i="10"/>
  <c r="BC284" i="10"/>
  <c r="BB284" i="10"/>
  <c r="AZ284" i="10"/>
  <c r="AY284" i="10"/>
  <c r="AW284" i="10"/>
  <c r="AV284" i="10"/>
  <c r="AX284" i="10" s="1"/>
  <c r="BD283" i="10"/>
  <c r="BC283" i="10"/>
  <c r="BB283" i="10"/>
  <c r="AZ283" i="10"/>
  <c r="AY283" i="10"/>
  <c r="BA283" i="10" s="1"/>
  <c r="AW283" i="10"/>
  <c r="AV283" i="10"/>
  <c r="BD282" i="10"/>
  <c r="BC282" i="10"/>
  <c r="BB282" i="10"/>
  <c r="AZ282" i="10"/>
  <c r="AY282" i="10"/>
  <c r="AW282" i="10"/>
  <c r="AV282" i="10"/>
  <c r="AX282" i="10" s="1"/>
  <c r="BD281" i="10"/>
  <c r="BC281" i="10"/>
  <c r="BE281" i="10" s="1"/>
  <c r="BB281" i="10"/>
  <c r="AZ281" i="10"/>
  <c r="AY281" i="10"/>
  <c r="BA281" i="10" s="1"/>
  <c r="AW281" i="10"/>
  <c r="AV281" i="10"/>
  <c r="BD280" i="10"/>
  <c r="BC280" i="10"/>
  <c r="BB280" i="10"/>
  <c r="AZ280" i="10"/>
  <c r="AY280" i="10"/>
  <c r="AW280" i="10"/>
  <c r="AX280" i="10" s="1"/>
  <c r="AV280" i="10"/>
  <c r="BD279" i="10"/>
  <c r="BC279" i="10"/>
  <c r="BB279" i="10"/>
  <c r="AZ279" i="10"/>
  <c r="AY279" i="10"/>
  <c r="BA279" i="10" s="1"/>
  <c r="AW279" i="10"/>
  <c r="AV279" i="10"/>
  <c r="BD278" i="10"/>
  <c r="BC278" i="10"/>
  <c r="BB278" i="10"/>
  <c r="AZ278" i="10"/>
  <c r="AY278" i="10"/>
  <c r="AW278" i="10"/>
  <c r="AV278" i="10"/>
  <c r="AX278" i="10" s="1"/>
  <c r="BD277" i="10"/>
  <c r="BC277" i="10"/>
  <c r="BB277" i="10"/>
  <c r="BE277" i="10" s="1"/>
  <c r="AZ277" i="10"/>
  <c r="AY277" i="10"/>
  <c r="BA277" i="10" s="1"/>
  <c r="AW277" i="10"/>
  <c r="AV277" i="10"/>
  <c r="AX277" i="10" s="1"/>
  <c r="BD276" i="10"/>
  <c r="BC276" i="10"/>
  <c r="BB276" i="10"/>
  <c r="AZ276" i="10"/>
  <c r="AY276" i="10"/>
  <c r="AW276" i="10"/>
  <c r="AV276" i="10"/>
  <c r="BD275" i="10"/>
  <c r="BC275" i="10"/>
  <c r="BB275" i="10"/>
  <c r="AZ275" i="10"/>
  <c r="AY275" i="10"/>
  <c r="AW275" i="10"/>
  <c r="AV275" i="10"/>
  <c r="BD274" i="10"/>
  <c r="BC274" i="10"/>
  <c r="BB274" i="10"/>
  <c r="BE274" i="10" s="1"/>
  <c r="AZ274" i="10"/>
  <c r="AY274" i="10"/>
  <c r="AW274" i="10"/>
  <c r="AV274" i="10"/>
  <c r="BD273" i="10"/>
  <c r="BE273" i="10" s="1"/>
  <c r="BC273" i="10"/>
  <c r="BB273" i="10"/>
  <c r="AZ273" i="10"/>
  <c r="AY273" i="10"/>
  <c r="AW273" i="10"/>
  <c r="AV273" i="10"/>
  <c r="AX273" i="10" s="1"/>
  <c r="BD272" i="10"/>
  <c r="BC272" i="10"/>
  <c r="BB272" i="10"/>
  <c r="BE272" i="10" s="1"/>
  <c r="AZ272" i="10"/>
  <c r="AY272" i="10"/>
  <c r="BA272" i="10" s="1"/>
  <c r="AW272" i="10"/>
  <c r="AV272" i="10"/>
  <c r="BD271" i="10"/>
  <c r="BC271" i="10"/>
  <c r="BB271" i="10"/>
  <c r="AZ271" i="10"/>
  <c r="AY271" i="10"/>
  <c r="BA271" i="10" s="1"/>
  <c r="AW271" i="10"/>
  <c r="AV271" i="10"/>
  <c r="AX271" i="10" s="1"/>
  <c r="BD270" i="10"/>
  <c r="BC270" i="10"/>
  <c r="BB270" i="10"/>
  <c r="AZ270" i="10"/>
  <c r="AY270" i="10"/>
  <c r="AW270" i="10"/>
  <c r="AV270" i="10"/>
  <c r="BD269" i="10"/>
  <c r="BC269" i="10"/>
  <c r="BB269" i="10"/>
  <c r="AZ269" i="10"/>
  <c r="AY269" i="10"/>
  <c r="AW269" i="10"/>
  <c r="AX269" i="10" s="1"/>
  <c r="AV269" i="10"/>
  <c r="BD268" i="10"/>
  <c r="BC268" i="10"/>
  <c r="BB268" i="10"/>
  <c r="BE268" i="10" s="1"/>
  <c r="AZ268" i="10"/>
  <c r="AY268" i="10"/>
  <c r="BA268" i="10" s="1"/>
  <c r="AW268" i="10"/>
  <c r="AV268" i="10"/>
  <c r="BD267" i="10"/>
  <c r="BC267" i="10"/>
  <c r="BB267" i="10"/>
  <c r="BE267" i="10" s="1"/>
  <c r="AZ267" i="10"/>
  <c r="AY267" i="10"/>
  <c r="AW267" i="10"/>
  <c r="AV267" i="10"/>
  <c r="BD266" i="10"/>
  <c r="BC266" i="10"/>
  <c r="BE266" i="10" s="1"/>
  <c r="BB266" i="10"/>
  <c r="AZ266" i="10"/>
  <c r="AY266" i="10"/>
  <c r="AW266" i="10"/>
  <c r="AV266" i="10"/>
  <c r="BD265" i="10"/>
  <c r="BC265" i="10"/>
  <c r="BB265" i="10"/>
  <c r="BE265" i="10" s="1"/>
  <c r="AZ265" i="10"/>
  <c r="AY265" i="10"/>
  <c r="AW265" i="10"/>
  <c r="AV265" i="10"/>
  <c r="AX265" i="10" s="1"/>
  <c r="BD264" i="10"/>
  <c r="BC264" i="10"/>
  <c r="BB264" i="10"/>
  <c r="AZ264" i="10"/>
  <c r="AY264" i="10"/>
  <c r="AW264" i="10"/>
  <c r="AV264" i="10"/>
  <c r="BD263" i="10"/>
  <c r="BC263" i="10"/>
  <c r="BB263" i="10"/>
  <c r="BE263" i="10" s="1"/>
  <c r="AZ263" i="10"/>
  <c r="AY263" i="10"/>
  <c r="BA263" i="10" s="1"/>
  <c r="AW263" i="10"/>
  <c r="AV263" i="10"/>
  <c r="BD262" i="10"/>
  <c r="BC262" i="10"/>
  <c r="BB262" i="10"/>
  <c r="AZ262" i="10"/>
  <c r="AY262" i="10"/>
  <c r="BA262" i="10" s="1"/>
  <c r="AW262" i="10"/>
  <c r="AV262" i="10"/>
  <c r="AX262" i="10" s="1"/>
  <c r="BD261" i="10"/>
  <c r="BC261" i="10"/>
  <c r="BB261" i="10"/>
  <c r="AZ261" i="10"/>
  <c r="AY261" i="10"/>
  <c r="BA261" i="10" s="1"/>
  <c r="AW261" i="10"/>
  <c r="AV261" i="10"/>
  <c r="BD260" i="10"/>
  <c r="BC260" i="10"/>
  <c r="BB260" i="10"/>
  <c r="AZ260" i="10"/>
  <c r="AY260" i="10"/>
  <c r="AW260" i="10"/>
  <c r="AV260" i="10"/>
  <c r="AX260" i="10" s="1"/>
  <c r="BD259" i="10"/>
  <c r="BC259" i="10"/>
  <c r="BE259" i="10" s="1"/>
  <c r="BB259" i="10"/>
  <c r="AZ259" i="10"/>
  <c r="AY259" i="10"/>
  <c r="AW259" i="10"/>
  <c r="AV259" i="10"/>
  <c r="AX259" i="10" s="1"/>
  <c r="BD258" i="10"/>
  <c r="BC258" i="10"/>
  <c r="BB258" i="10"/>
  <c r="AZ258" i="10"/>
  <c r="AY258" i="10"/>
  <c r="AW258" i="10"/>
  <c r="AX258" i="10" s="1"/>
  <c r="AV258" i="10"/>
  <c r="BD257" i="10"/>
  <c r="BC257" i="10"/>
  <c r="BB257" i="10"/>
  <c r="AZ257" i="10"/>
  <c r="AY257" i="10"/>
  <c r="BA257" i="10" s="1"/>
  <c r="AW257" i="10"/>
  <c r="AV257" i="10"/>
  <c r="AX257" i="10" s="1"/>
  <c r="BD256" i="10"/>
  <c r="BC256" i="10"/>
  <c r="BB256" i="10"/>
  <c r="AZ256" i="10"/>
  <c r="AY256" i="10"/>
  <c r="BA256" i="10" s="1"/>
  <c r="AW256" i="10"/>
  <c r="AV256" i="10"/>
  <c r="AX256" i="10" s="1"/>
  <c r="BD255" i="10"/>
  <c r="BC255" i="10"/>
  <c r="BB255" i="10"/>
  <c r="BE255" i="10" s="1"/>
  <c r="AZ255" i="10"/>
  <c r="AY255" i="10"/>
  <c r="BA255" i="10" s="1"/>
  <c r="AW255" i="10"/>
  <c r="AV255" i="10"/>
  <c r="AX255" i="10" s="1"/>
  <c r="BD254" i="10"/>
  <c r="BC254" i="10"/>
  <c r="BB254" i="10"/>
  <c r="AZ254" i="10"/>
  <c r="AY254" i="10"/>
  <c r="AW254" i="10"/>
  <c r="AX254" i="10" s="1"/>
  <c r="AV254" i="10"/>
  <c r="BD253" i="10"/>
  <c r="BC253" i="10"/>
  <c r="BB253" i="10"/>
  <c r="AZ253" i="10"/>
  <c r="AY253" i="10"/>
  <c r="AW253" i="10"/>
  <c r="AV253" i="10"/>
  <c r="AX253" i="10" s="1"/>
  <c r="BD252" i="10"/>
  <c r="BC252" i="10"/>
  <c r="BB252" i="10"/>
  <c r="BE252" i="10" s="1"/>
  <c r="AZ252" i="10"/>
  <c r="AY252" i="10"/>
  <c r="AW252" i="10"/>
  <c r="AV252" i="10"/>
  <c r="BD251" i="10"/>
  <c r="BE251" i="10" s="1"/>
  <c r="BC251" i="10"/>
  <c r="BB251" i="10"/>
  <c r="AZ251" i="10"/>
  <c r="AY251" i="10"/>
  <c r="AW251" i="10"/>
  <c r="AV251" i="10"/>
  <c r="BD250" i="10"/>
  <c r="BC250" i="10"/>
  <c r="BB250" i="10"/>
  <c r="AZ250" i="10"/>
  <c r="AY250" i="10"/>
  <c r="BA250" i="10" s="1"/>
  <c r="AW250" i="10"/>
  <c r="AV250" i="10"/>
  <c r="BD249" i="10"/>
  <c r="BC249" i="10"/>
  <c r="BB249" i="10"/>
  <c r="AZ249" i="10"/>
  <c r="AY249" i="10"/>
  <c r="BA249" i="10" s="1"/>
  <c r="AW249" i="10"/>
  <c r="AV249" i="10"/>
  <c r="AX249" i="10" s="1"/>
  <c r="BD248" i="10"/>
  <c r="BC248" i="10"/>
  <c r="BE248" i="10" s="1"/>
  <c r="BB248" i="10"/>
  <c r="AZ248" i="10"/>
  <c r="AY248" i="10"/>
  <c r="AW248" i="10"/>
  <c r="AV248" i="10"/>
  <c r="BD247" i="10"/>
  <c r="BC247" i="10"/>
  <c r="BB247" i="10"/>
  <c r="AZ247" i="10"/>
  <c r="AY247" i="10"/>
  <c r="AW247" i="10"/>
  <c r="AX247" i="10" s="1"/>
  <c r="AV247" i="10"/>
  <c r="BD246" i="10"/>
  <c r="BC246" i="10"/>
  <c r="BB246" i="10"/>
  <c r="BE246" i="10" s="1"/>
  <c r="AZ246" i="10"/>
  <c r="AY246" i="10"/>
  <c r="BA246" i="10" s="1"/>
  <c r="AW246" i="10"/>
  <c r="AX246" i="10" s="1"/>
  <c r="AV246" i="10"/>
  <c r="BD245" i="10"/>
  <c r="BC245" i="10"/>
  <c r="BB245" i="10"/>
  <c r="BE245" i="10" s="1"/>
  <c r="AZ245" i="10"/>
  <c r="AY245" i="10"/>
  <c r="AW245" i="10"/>
  <c r="AV245" i="10"/>
  <c r="BD244" i="10"/>
  <c r="BC244" i="10"/>
  <c r="BE244" i="10" s="1"/>
  <c r="BB244" i="10"/>
  <c r="AZ244" i="10"/>
  <c r="AY244" i="10"/>
  <c r="BA244" i="10" s="1"/>
  <c r="AW244" i="10"/>
  <c r="AV244" i="10"/>
  <c r="AX244" i="10" s="1"/>
  <c r="BD243" i="10"/>
  <c r="BC243" i="10"/>
  <c r="BB243" i="10"/>
  <c r="BE243" i="10" s="1"/>
  <c r="AZ243" i="10"/>
  <c r="AY243" i="10"/>
  <c r="AW243" i="10"/>
  <c r="AV243" i="10"/>
  <c r="AX243" i="10" s="1"/>
  <c r="BD242" i="10"/>
  <c r="BC242" i="10"/>
  <c r="BB242" i="10"/>
  <c r="AZ242" i="10"/>
  <c r="BA242" i="10" s="1"/>
  <c r="AY242" i="10"/>
  <c r="AW242" i="10"/>
  <c r="AV242" i="10"/>
  <c r="BD241" i="10"/>
  <c r="BC241" i="10"/>
  <c r="BB241" i="10"/>
  <c r="AZ241" i="10"/>
  <c r="AY241" i="10"/>
  <c r="BA241" i="10" s="1"/>
  <c r="AW241" i="10"/>
  <c r="AV241" i="10"/>
  <c r="BD240" i="10"/>
  <c r="BC240" i="10"/>
  <c r="BB240" i="10"/>
  <c r="AZ240" i="10"/>
  <c r="AY240" i="10"/>
  <c r="AW240" i="10"/>
  <c r="AV240" i="10"/>
  <c r="BD239" i="10"/>
  <c r="BC239" i="10"/>
  <c r="BB239" i="10"/>
  <c r="AZ239" i="10"/>
  <c r="AY239" i="10"/>
  <c r="BA239" i="10" s="1"/>
  <c r="AW239" i="10"/>
  <c r="AV239" i="10"/>
  <c r="BD238" i="10"/>
  <c r="BC238" i="10"/>
  <c r="BB238" i="10"/>
  <c r="AZ238" i="10"/>
  <c r="BA238" i="10" s="1"/>
  <c r="AY238" i="10"/>
  <c r="AW238" i="10"/>
  <c r="AV238" i="10"/>
  <c r="AX238" i="10" s="1"/>
  <c r="BD237" i="10"/>
  <c r="BC237" i="10"/>
  <c r="BB237" i="10"/>
  <c r="AZ237" i="10"/>
  <c r="AY237" i="10"/>
  <c r="BA237" i="10" s="1"/>
  <c r="AW237" i="10"/>
  <c r="AV237" i="10"/>
  <c r="BD236" i="10"/>
  <c r="BC236" i="10"/>
  <c r="BB236" i="10"/>
  <c r="AZ236" i="10"/>
  <c r="AY236" i="10"/>
  <c r="AW236" i="10"/>
  <c r="AX236" i="10" s="1"/>
  <c r="AV236" i="10"/>
  <c r="BD235" i="10"/>
  <c r="BC235" i="10"/>
  <c r="BB235" i="10"/>
  <c r="AZ235" i="10"/>
  <c r="AY235" i="10"/>
  <c r="AW235" i="10"/>
  <c r="AV235" i="10"/>
  <c r="AX235" i="10" s="1"/>
  <c r="BD234" i="10"/>
  <c r="BC234" i="10"/>
  <c r="BB234" i="10"/>
  <c r="AZ234" i="10"/>
  <c r="AY234" i="10"/>
  <c r="BA234" i="10" s="1"/>
  <c r="AW234" i="10"/>
  <c r="AV234" i="10"/>
  <c r="AX234" i="10" s="1"/>
  <c r="BD233" i="10"/>
  <c r="BC233" i="10"/>
  <c r="BB233" i="10"/>
  <c r="BE233" i="10" s="1"/>
  <c r="AZ233" i="10"/>
  <c r="AY233" i="10"/>
  <c r="BA233" i="10" s="1"/>
  <c r="AW233" i="10"/>
  <c r="AV233" i="10"/>
  <c r="AX233" i="10" s="1"/>
  <c r="BD232" i="10"/>
  <c r="BC232" i="10"/>
  <c r="BB232" i="10"/>
  <c r="AZ232" i="10"/>
  <c r="AY232" i="10"/>
  <c r="AW232" i="10"/>
  <c r="AV232" i="10"/>
  <c r="BD231" i="10"/>
  <c r="BC231" i="10"/>
  <c r="BB231" i="10"/>
  <c r="AZ231" i="10"/>
  <c r="BA231" i="10" s="1"/>
  <c r="AY231" i="10"/>
  <c r="AW231" i="10"/>
  <c r="AV231" i="10"/>
  <c r="AX231" i="10" s="1"/>
  <c r="BD230" i="10"/>
  <c r="BC230" i="10"/>
  <c r="BB230" i="10"/>
  <c r="BE230" i="10" s="1"/>
  <c r="AZ230" i="10"/>
  <c r="AY230" i="10"/>
  <c r="AW230" i="10"/>
  <c r="AV230" i="10"/>
  <c r="BD229" i="10"/>
  <c r="BE229" i="10" s="1"/>
  <c r="BC229" i="10"/>
  <c r="BB229" i="10"/>
  <c r="AZ229" i="10"/>
  <c r="AY229" i="10"/>
  <c r="AW229" i="10"/>
  <c r="AV229" i="10"/>
  <c r="AX229" i="10" s="1"/>
  <c r="BD228" i="10"/>
  <c r="BC228" i="10"/>
  <c r="BB228" i="10"/>
  <c r="BE228" i="10" s="1"/>
  <c r="AZ228" i="10"/>
  <c r="AY228" i="10"/>
  <c r="BA228" i="10" s="1"/>
  <c r="AW228" i="10"/>
  <c r="AV228" i="10"/>
  <c r="AX228" i="10" s="1"/>
  <c r="BD227" i="10"/>
  <c r="BC227" i="10"/>
  <c r="BB227" i="10"/>
  <c r="BE227" i="10" s="1"/>
  <c r="AZ227" i="10"/>
  <c r="AY227" i="10"/>
  <c r="BA227" i="10" s="1"/>
  <c r="AW227" i="10"/>
  <c r="AV227" i="10"/>
  <c r="AX227" i="10" s="1"/>
  <c r="BD226" i="10"/>
  <c r="BC226" i="10"/>
  <c r="BE226" i="10" s="1"/>
  <c r="BB226" i="10"/>
  <c r="AZ226" i="10"/>
  <c r="AY226" i="10"/>
  <c r="AW226" i="10"/>
  <c r="AV226" i="10"/>
  <c r="BD225" i="10"/>
  <c r="BC225" i="10"/>
  <c r="BB225" i="10"/>
  <c r="AZ225" i="10"/>
  <c r="AY225" i="10"/>
  <c r="AW225" i="10"/>
  <c r="AX225" i="10" s="1"/>
  <c r="AV225" i="10"/>
  <c r="BD224" i="10"/>
  <c r="BC224" i="10"/>
  <c r="BB224" i="10"/>
  <c r="AZ224" i="10"/>
  <c r="AY224" i="10"/>
  <c r="BA224" i="10" s="1"/>
  <c r="AW224" i="10"/>
  <c r="AV224" i="10"/>
  <c r="BD223" i="10"/>
  <c r="BC223" i="10"/>
  <c r="BB223" i="10"/>
  <c r="BE223" i="10" s="1"/>
  <c r="AZ223" i="10"/>
  <c r="AY223" i="10"/>
  <c r="AW223" i="10"/>
  <c r="AV223" i="10"/>
  <c r="BD222" i="10"/>
  <c r="BC222" i="10"/>
  <c r="BB222" i="10"/>
  <c r="AZ222" i="10"/>
  <c r="AY222" i="10"/>
  <c r="BA222" i="10" s="1"/>
  <c r="AW222" i="10"/>
  <c r="AV222" i="10"/>
  <c r="AX222" i="10" s="1"/>
  <c r="BD221" i="10"/>
  <c r="BC221" i="10"/>
  <c r="BB221" i="10"/>
  <c r="BE221" i="10" s="1"/>
  <c r="AZ221" i="10"/>
  <c r="AY221" i="10"/>
  <c r="BA221" i="10" s="1"/>
  <c r="AW221" i="10"/>
  <c r="AV221" i="10"/>
  <c r="AX221" i="10" s="1"/>
  <c r="BD220" i="10"/>
  <c r="BC220" i="10"/>
  <c r="BB220" i="10"/>
  <c r="AZ220" i="10"/>
  <c r="AY220" i="10"/>
  <c r="AW220" i="10"/>
  <c r="AV220" i="10"/>
  <c r="BD219" i="10"/>
  <c r="BC219" i="10"/>
  <c r="BB219" i="10"/>
  <c r="BE219" i="10" s="1"/>
  <c r="AZ219" i="10"/>
  <c r="AY219" i="10"/>
  <c r="AW219" i="10"/>
  <c r="AV219" i="10"/>
  <c r="BD218" i="10"/>
  <c r="BC218" i="10"/>
  <c r="BB218" i="10"/>
  <c r="AZ218" i="10"/>
  <c r="AY218" i="10"/>
  <c r="BA218" i="10" s="1"/>
  <c r="AW218" i="10"/>
  <c r="AV218" i="10"/>
  <c r="AX218" i="10" s="1"/>
  <c r="BD217" i="10"/>
  <c r="BC217" i="10"/>
  <c r="BB217" i="10"/>
  <c r="AZ217" i="10"/>
  <c r="AY217" i="10"/>
  <c r="BA217" i="10" s="1"/>
  <c r="AW217" i="10"/>
  <c r="AV217" i="10"/>
  <c r="BD216" i="10"/>
  <c r="BC216" i="10"/>
  <c r="BB216" i="10"/>
  <c r="AZ216" i="10"/>
  <c r="BA216" i="10" s="1"/>
  <c r="AY216" i="10"/>
  <c r="AW216" i="10"/>
  <c r="AV216" i="10"/>
  <c r="AX216" i="10" s="1"/>
  <c r="BD215" i="10"/>
  <c r="BC215" i="10"/>
  <c r="BB215" i="10"/>
  <c r="AZ215" i="10"/>
  <c r="AY215" i="10"/>
  <c r="BA215" i="10" s="1"/>
  <c r="AW215" i="10"/>
  <c r="AV215" i="10"/>
  <c r="AX215" i="10" s="1"/>
  <c r="BD214" i="10"/>
  <c r="BC214" i="10"/>
  <c r="BB214" i="10"/>
  <c r="AZ214" i="10"/>
  <c r="AY214" i="10"/>
  <c r="AW214" i="10"/>
  <c r="AX214" i="10" s="1"/>
  <c r="AV214" i="10"/>
  <c r="BD213" i="10"/>
  <c r="BC213" i="10"/>
  <c r="BB213" i="10"/>
  <c r="AZ213" i="10"/>
  <c r="AY213" i="10"/>
  <c r="AW213" i="10"/>
  <c r="AV213" i="10"/>
  <c r="AX213" i="10" s="1"/>
  <c r="BD212" i="10"/>
  <c r="BC212" i="10"/>
  <c r="BB212" i="10"/>
  <c r="AZ212" i="10"/>
  <c r="AY212" i="10"/>
  <c r="AW212" i="10"/>
  <c r="AV212" i="10"/>
  <c r="AX212" i="10" s="1"/>
  <c r="BD211" i="10"/>
  <c r="BC211" i="10"/>
  <c r="BB211" i="10"/>
  <c r="BE211" i="10" s="1"/>
  <c r="AZ211" i="10"/>
  <c r="AY211" i="10"/>
  <c r="BA211" i="10" s="1"/>
  <c r="AW211" i="10"/>
  <c r="AV211" i="10"/>
  <c r="AX211" i="10" s="1"/>
  <c r="BD210" i="10"/>
  <c r="BC210" i="10"/>
  <c r="BB210" i="10"/>
  <c r="AZ210" i="10"/>
  <c r="AY210" i="10"/>
  <c r="AW210" i="10"/>
  <c r="AX210" i="10" s="1"/>
  <c r="AV210" i="10"/>
  <c r="BD209" i="10"/>
  <c r="BC209" i="10"/>
  <c r="BB209" i="10"/>
  <c r="AZ209" i="10"/>
  <c r="BA209" i="10" s="1"/>
  <c r="AY209" i="10"/>
  <c r="AW209" i="10"/>
  <c r="AV209" i="10"/>
  <c r="AX209" i="10" s="1"/>
  <c r="BD208" i="10"/>
  <c r="BC208" i="10"/>
  <c r="BB208" i="10"/>
  <c r="AZ208" i="10"/>
  <c r="AY208" i="10"/>
  <c r="AW208" i="10"/>
  <c r="AV208" i="10"/>
  <c r="BD207" i="10"/>
  <c r="BC207" i="10"/>
  <c r="BB207" i="10"/>
  <c r="AZ207" i="10"/>
  <c r="AY207" i="10"/>
  <c r="AW207" i="10"/>
  <c r="AV207" i="10"/>
  <c r="BD206" i="10"/>
  <c r="BC206" i="10"/>
  <c r="BB206" i="10"/>
  <c r="AZ206" i="10"/>
  <c r="AY206" i="10"/>
  <c r="BA206" i="10" s="1"/>
  <c r="AW206" i="10"/>
  <c r="AV206" i="10"/>
  <c r="BD205" i="10"/>
  <c r="BC205" i="10"/>
  <c r="BB205" i="10"/>
  <c r="BE205" i="10" s="1"/>
  <c r="AZ205" i="10"/>
  <c r="AY205" i="10"/>
  <c r="BA205" i="10" s="1"/>
  <c r="AW205" i="10"/>
  <c r="AV205" i="10"/>
  <c r="AX205" i="10" s="1"/>
  <c r="BD204" i="10"/>
  <c r="BC204" i="10"/>
  <c r="BE204" i="10" s="1"/>
  <c r="BB204" i="10"/>
  <c r="AZ204" i="10"/>
  <c r="AY204" i="10"/>
  <c r="AW204" i="10"/>
  <c r="AV204" i="10"/>
  <c r="BD203" i="10"/>
  <c r="BC203" i="10"/>
  <c r="BB203" i="10"/>
  <c r="AZ203" i="10"/>
  <c r="AY203" i="10"/>
  <c r="AW203" i="10"/>
  <c r="AX203" i="10" s="1"/>
  <c r="AV203" i="10"/>
  <c r="BD202" i="10"/>
  <c r="BC202" i="10"/>
  <c r="BB202" i="10"/>
  <c r="BE202" i="10" s="1"/>
  <c r="AZ202" i="10"/>
  <c r="AY202" i="10"/>
  <c r="BA202" i="10" s="1"/>
  <c r="AW202" i="10"/>
  <c r="AV202" i="10"/>
  <c r="BD201" i="10"/>
  <c r="BC201" i="10"/>
  <c r="BB201" i="10"/>
  <c r="BE201" i="10" s="1"/>
  <c r="AZ201" i="10"/>
  <c r="AY201" i="10"/>
  <c r="AW201" i="10"/>
  <c r="AV201" i="10"/>
  <c r="BD200" i="10"/>
  <c r="BC200" i="10"/>
  <c r="BE200" i="10" s="1"/>
  <c r="BB200" i="10"/>
  <c r="AZ200" i="10"/>
  <c r="AY200" i="10"/>
  <c r="BA200" i="10" s="1"/>
  <c r="AW200" i="10"/>
  <c r="AV200" i="10"/>
  <c r="AX200" i="10" s="1"/>
  <c r="BD199" i="10"/>
  <c r="BC199" i="10"/>
  <c r="BB199" i="10"/>
  <c r="BE199" i="10" s="1"/>
  <c r="AZ199" i="10"/>
  <c r="AY199" i="10"/>
  <c r="BA199" i="10" s="1"/>
  <c r="AW199" i="10"/>
  <c r="AV199" i="10"/>
  <c r="AX199" i="10" s="1"/>
  <c r="BD198" i="10"/>
  <c r="BC198" i="10"/>
  <c r="BB198" i="10"/>
  <c r="AZ198" i="10"/>
  <c r="BA198" i="10" s="1"/>
  <c r="AY198" i="10"/>
  <c r="AW198" i="10"/>
  <c r="AV198" i="10"/>
  <c r="BD197" i="10"/>
  <c r="BC197" i="10"/>
  <c r="BB197" i="10"/>
  <c r="BE197" i="10" s="1"/>
  <c r="AZ197" i="10"/>
  <c r="AY197" i="10"/>
  <c r="BA197" i="10" s="1"/>
  <c r="AW197" i="10"/>
  <c r="AV197" i="10"/>
  <c r="BD196" i="10"/>
  <c r="BC196" i="10"/>
  <c r="BB196" i="10"/>
  <c r="AZ196" i="10"/>
  <c r="AY196" i="10"/>
  <c r="BA196" i="10" s="1"/>
  <c r="AW196" i="10"/>
  <c r="AV196" i="10"/>
  <c r="AX196" i="10" s="1"/>
  <c r="BD195" i="10"/>
  <c r="BC195" i="10"/>
  <c r="BB195" i="10"/>
  <c r="AZ195" i="10"/>
  <c r="AY195" i="10"/>
  <c r="BA195" i="10" s="1"/>
  <c r="AW195" i="10"/>
  <c r="AV195" i="10"/>
  <c r="BD194" i="10"/>
  <c r="BC194" i="10"/>
  <c r="BB194" i="10"/>
  <c r="AZ194" i="10"/>
  <c r="AY194" i="10"/>
  <c r="AW194" i="10"/>
  <c r="AV194" i="10"/>
  <c r="AX194" i="10" s="1"/>
  <c r="BD193" i="10"/>
  <c r="BC193" i="10"/>
  <c r="BB193" i="10"/>
  <c r="AZ193" i="10"/>
  <c r="AY193" i="10"/>
  <c r="BA193" i="10" s="1"/>
  <c r="AW193" i="10"/>
  <c r="AV193" i="10"/>
  <c r="AX193" i="10" s="1"/>
  <c r="BD192" i="10"/>
  <c r="BC192" i="10"/>
  <c r="BB192" i="10"/>
  <c r="AZ192" i="10"/>
  <c r="AY192" i="10"/>
  <c r="AW192" i="10"/>
  <c r="AX192" i="10" s="1"/>
  <c r="AV192" i="10"/>
  <c r="BD191" i="10"/>
  <c r="BC191" i="10"/>
  <c r="BB191" i="10"/>
  <c r="AZ191" i="10"/>
  <c r="AY191" i="10"/>
  <c r="BA191" i="10" s="1"/>
  <c r="AW191" i="10"/>
  <c r="AV191" i="10"/>
  <c r="BD190" i="10"/>
  <c r="BC190" i="10"/>
  <c r="BB190" i="10"/>
  <c r="AZ190" i="10"/>
  <c r="AY190" i="10"/>
  <c r="BA190" i="10" s="1"/>
  <c r="AW190" i="10"/>
  <c r="AV190" i="10"/>
  <c r="AX190" i="10" s="1"/>
  <c r="BD189" i="10"/>
  <c r="BC189" i="10"/>
  <c r="BB189" i="10"/>
  <c r="BE189" i="10" s="1"/>
  <c r="AZ189" i="10"/>
  <c r="AY189" i="10"/>
  <c r="BA189" i="10" s="1"/>
  <c r="AW189" i="10"/>
  <c r="AV189" i="10"/>
  <c r="AX189" i="10" s="1"/>
  <c r="BD188" i="10"/>
  <c r="BC188" i="10"/>
  <c r="BB188" i="10"/>
  <c r="AZ188" i="10"/>
  <c r="AY188" i="10"/>
  <c r="AW188" i="10"/>
  <c r="AX188" i="10" s="1"/>
  <c r="AV188" i="10"/>
  <c r="BD187" i="10"/>
  <c r="BC187" i="10"/>
  <c r="BB187" i="10"/>
  <c r="AZ187" i="10"/>
  <c r="BA187" i="10" s="1"/>
  <c r="AY187" i="10"/>
  <c r="AW187" i="10"/>
  <c r="AV187" i="10"/>
  <c r="AX187" i="10" s="1"/>
  <c r="BD186" i="10"/>
  <c r="BC186" i="10"/>
  <c r="BB186" i="10"/>
  <c r="AZ186" i="10"/>
  <c r="AY186" i="10"/>
  <c r="AW186" i="10"/>
  <c r="AV186" i="10"/>
  <c r="BD185" i="10"/>
  <c r="BE185" i="10" s="1"/>
  <c r="BC185" i="10"/>
  <c r="BB185" i="10"/>
  <c r="AZ185" i="10"/>
  <c r="AY185" i="10"/>
  <c r="AW185" i="10"/>
  <c r="AV185" i="10"/>
  <c r="AX185" i="10" s="1"/>
  <c r="BD184" i="10"/>
  <c r="BC184" i="10"/>
  <c r="BB184" i="10"/>
  <c r="BE184" i="10" s="1"/>
  <c r="AZ184" i="10"/>
  <c r="AY184" i="10"/>
  <c r="BA184" i="10" s="1"/>
  <c r="AW184" i="10"/>
  <c r="AV184" i="10"/>
  <c r="AX184" i="10" s="1"/>
  <c r="BD183" i="10"/>
  <c r="BC183" i="10"/>
  <c r="BB183" i="10"/>
  <c r="BE183" i="10" s="1"/>
  <c r="AZ183" i="10"/>
  <c r="AY183" i="10"/>
  <c r="BA183" i="10" s="1"/>
  <c r="AW183" i="10"/>
  <c r="AV183" i="10"/>
  <c r="AX183" i="10" s="1"/>
  <c r="BD182" i="10"/>
  <c r="BC182" i="10"/>
  <c r="BE182" i="10" s="1"/>
  <c r="BB182" i="10"/>
  <c r="AZ182" i="10"/>
  <c r="AY182" i="10"/>
  <c r="AW182" i="10"/>
  <c r="AV182" i="10"/>
  <c r="BD181" i="10"/>
  <c r="BC181" i="10"/>
  <c r="BB181" i="10"/>
  <c r="AZ181" i="10"/>
  <c r="AY181" i="10"/>
  <c r="AW181" i="10"/>
  <c r="AX181" i="10" s="1"/>
  <c r="AV181" i="10"/>
  <c r="BD180" i="10"/>
  <c r="BC180" i="10"/>
  <c r="BB180" i="10"/>
  <c r="BE180" i="10" s="1"/>
  <c r="AZ180" i="10"/>
  <c r="AY180" i="10"/>
  <c r="BA180" i="10" s="1"/>
  <c r="AW180" i="10"/>
  <c r="AV180" i="10"/>
  <c r="BD179" i="10"/>
  <c r="BC179" i="10"/>
  <c r="BB179" i="10"/>
  <c r="BE179" i="10" s="1"/>
  <c r="AZ179" i="10"/>
  <c r="AY179" i="10"/>
  <c r="AW179" i="10"/>
  <c r="AV179" i="10"/>
  <c r="BD178" i="10"/>
  <c r="BC178" i="10"/>
  <c r="BE178" i="10" s="1"/>
  <c r="BB178" i="10"/>
  <c r="AZ178" i="10"/>
  <c r="AY178" i="10"/>
  <c r="BA178" i="10" s="1"/>
  <c r="AW178" i="10"/>
  <c r="AV178" i="10"/>
  <c r="AX178" i="10" s="1"/>
  <c r="BD177" i="10"/>
  <c r="BC177" i="10"/>
  <c r="BB177" i="10"/>
  <c r="BE177" i="10" s="1"/>
  <c r="AZ177" i="10"/>
  <c r="AY177" i="10"/>
  <c r="BA177" i="10" s="1"/>
  <c r="AW177" i="10"/>
  <c r="AV177" i="10"/>
  <c r="AX177" i="10" s="1"/>
  <c r="BD176" i="10"/>
  <c r="BC176" i="10"/>
  <c r="BB176" i="10"/>
  <c r="AZ176" i="10"/>
  <c r="BA176" i="10" s="1"/>
  <c r="AY176" i="10"/>
  <c r="AW176" i="10"/>
  <c r="AV176" i="10"/>
  <c r="BD175" i="10"/>
  <c r="BC175" i="10"/>
  <c r="BB175" i="10"/>
  <c r="BE175" i="10" s="1"/>
  <c r="AZ175" i="10"/>
  <c r="AY175" i="10"/>
  <c r="BA175" i="10" s="1"/>
  <c r="AW175" i="10"/>
  <c r="AV175" i="10"/>
  <c r="BD174" i="10"/>
  <c r="BC174" i="10"/>
  <c r="BB174" i="10"/>
  <c r="AZ174" i="10"/>
  <c r="AY174" i="10"/>
  <c r="BA174" i="10" s="1"/>
  <c r="AW174" i="10"/>
  <c r="AV174" i="10"/>
  <c r="AX174" i="10" s="1"/>
  <c r="BD173" i="10"/>
  <c r="BC173" i="10"/>
  <c r="BB173" i="10"/>
  <c r="AZ173" i="10"/>
  <c r="AY173" i="10"/>
  <c r="BA173" i="10" s="1"/>
  <c r="AW173" i="10"/>
  <c r="AV173" i="10"/>
  <c r="BD172" i="10"/>
  <c r="BC172" i="10"/>
  <c r="BB172" i="10"/>
  <c r="AZ172" i="10"/>
  <c r="AY172" i="10"/>
  <c r="AW172" i="10"/>
  <c r="AV172" i="10"/>
  <c r="BD171" i="10"/>
  <c r="BC171" i="10"/>
  <c r="BE171" i="10" s="1"/>
  <c r="BB171" i="10"/>
  <c r="AZ171" i="10"/>
  <c r="AY171" i="10"/>
  <c r="BA171" i="10" s="1"/>
  <c r="AW171" i="10"/>
  <c r="AV171" i="10"/>
  <c r="AX171" i="10" s="1"/>
  <c r="BD170" i="10"/>
  <c r="BC170" i="10"/>
  <c r="BB170" i="10"/>
  <c r="AZ170" i="10"/>
  <c r="AY170" i="10"/>
  <c r="AW170" i="10"/>
  <c r="AX170" i="10" s="1"/>
  <c r="AV170" i="10"/>
  <c r="BD169" i="10"/>
  <c r="BC169" i="10"/>
  <c r="BB169" i="10"/>
  <c r="AZ169" i="10"/>
  <c r="AY169" i="10"/>
  <c r="AW169" i="10"/>
  <c r="AV169" i="10"/>
  <c r="AX169" i="10" s="1"/>
  <c r="BD168" i="10"/>
  <c r="BC168" i="10"/>
  <c r="BB168" i="10"/>
  <c r="AZ168" i="10"/>
  <c r="AY168" i="10"/>
  <c r="AW168" i="10"/>
  <c r="AV168" i="10"/>
  <c r="AX168" i="10" s="1"/>
  <c r="BD167" i="10"/>
  <c r="BC167" i="10"/>
  <c r="BB167" i="10"/>
  <c r="BE167" i="10" s="1"/>
  <c r="AZ167" i="10"/>
  <c r="AY167" i="10"/>
  <c r="BA167" i="10" s="1"/>
  <c r="AW167" i="10"/>
  <c r="AV167" i="10"/>
  <c r="AX167" i="10" s="1"/>
  <c r="BD166" i="10"/>
  <c r="BC166" i="10"/>
  <c r="BB166" i="10"/>
  <c r="AZ166" i="10"/>
  <c r="AY166" i="10"/>
  <c r="AW166" i="10"/>
  <c r="AX166" i="10" s="1"/>
  <c r="AV166" i="10"/>
  <c r="BD165" i="10"/>
  <c r="BC165" i="10"/>
  <c r="BB165" i="10"/>
  <c r="AZ165" i="10"/>
  <c r="AY165" i="10"/>
  <c r="AW165" i="10"/>
  <c r="AV165" i="10"/>
  <c r="AX165" i="10" s="1"/>
  <c r="BD164" i="10"/>
  <c r="BC164" i="10"/>
  <c r="BB164" i="10"/>
  <c r="BE164" i="10" s="1"/>
  <c r="AZ164" i="10"/>
  <c r="BA164" i="10" s="1"/>
  <c r="AY164" i="10"/>
  <c r="AW164" i="10"/>
  <c r="AV164" i="10"/>
  <c r="BD163" i="10"/>
  <c r="BE163" i="10" s="1"/>
  <c r="BC163" i="10"/>
  <c r="BB163" i="10"/>
  <c r="AZ163" i="10"/>
  <c r="AY163" i="10"/>
  <c r="AW163" i="10"/>
  <c r="AV163" i="10"/>
  <c r="AX163" i="10" s="1"/>
  <c r="BD162" i="10"/>
  <c r="BC162" i="10"/>
  <c r="BB162" i="10"/>
  <c r="AZ162" i="10"/>
  <c r="AY162" i="10"/>
  <c r="BA162" i="10" s="1"/>
  <c r="AW162" i="10"/>
  <c r="AV162" i="10"/>
  <c r="BD161" i="10"/>
  <c r="BC161" i="10"/>
  <c r="BB161" i="10"/>
  <c r="AZ161" i="10"/>
  <c r="DQ161" i="10" s="1"/>
  <c r="AY161" i="10"/>
  <c r="BA161" i="10" s="1"/>
  <c r="AW161" i="10"/>
  <c r="AV161" i="10"/>
  <c r="AX161" i="10" s="1"/>
  <c r="BD160" i="10"/>
  <c r="BC160" i="10"/>
  <c r="BE160" i="10" s="1"/>
  <c r="BB160" i="10"/>
  <c r="AZ160" i="10"/>
  <c r="AY160" i="10"/>
  <c r="AW160" i="10"/>
  <c r="AV160" i="10"/>
  <c r="BD159" i="10"/>
  <c r="BC159" i="10"/>
  <c r="BB159" i="10"/>
  <c r="AZ159" i="10"/>
  <c r="AY159" i="10"/>
  <c r="AW159" i="10"/>
  <c r="AV159" i="10"/>
  <c r="BD158" i="10"/>
  <c r="BC158" i="10"/>
  <c r="BB158" i="10"/>
  <c r="BE158" i="10" s="1"/>
  <c r="AZ158" i="10"/>
  <c r="DQ158" i="10" s="1"/>
  <c r="AY158" i="10"/>
  <c r="BA158" i="10" s="1"/>
  <c r="AW158" i="10"/>
  <c r="AV158" i="10"/>
  <c r="BD157" i="10"/>
  <c r="BC157" i="10"/>
  <c r="BB157" i="10"/>
  <c r="BE157" i="10" s="1"/>
  <c r="AZ157" i="10"/>
  <c r="AY157" i="10"/>
  <c r="AW157" i="10"/>
  <c r="AV157" i="10"/>
  <c r="BD156" i="10"/>
  <c r="BC156" i="10"/>
  <c r="BB156" i="10"/>
  <c r="AZ156" i="10"/>
  <c r="AY156" i="10"/>
  <c r="BA156" i="10" s="1"/>
  <c r="AW156" i="10"/>
  <c r="AV156" i="10"/>
  <c r="AX156" i="10" s="1"/>
  <c r="BD155" i="10"/>
  <c r="BC155" i="10"/>
  <c r="BB155" i="10"/>
  <c r="BE155" i="10" s="1"/>
  <c r="AZ155" i="10"/>
  <c r="DQ155" i="10" s="1"/>
  <c r="AY155" i="10"/>
  <c r="BA155" i="10" s="1"/>
  <c r="AW155" i="10"/>
  <c r="AV155" i="10"/>
  <c r="AX155" i="10" s="1"/>
  <c r="BD154" i="10"/>
  <c r="BC154" i="10"/>
  <c r="BB154" i="10"/>
  <c r="AZ154" i="10"/>
  <c r="AY154" i="10"/>
  <c r="AW154" i="10"/>
  <c r="AV154" i="10"/>
  <c r="BD153" i="10"/>
  <c r="BC153" i="10"/>
  <c r="BB153" i="10"/>
  <c r="BE153" i="10" s="1"/>
  <c r="AZ153" i="10"/>
  <c r="AY153" i="10"/>
  <c r="BA153" i="10" s="1"/>
  <c r="AW153" i="10"/>
  <c r="AV153" i="10"/>
  <c r="BD152" i="10"/>
  <c r="BC152" i="10"/>
  <c r="BB152" i="10"/>
  <c r="AZ152" i="10"/>
  <c r="AY152" i="10"/>
  <c r="BA152" i="10" s="1"/>
  <c r="AW152" i="10"/>
  <c r="AV152" i="10"/>
  <c r="AX152" i="10" s="1"/>
  <c r="BD151" i="10"/>
  <c r="BC151" i="10"/>
  <c r="BB151" i="10"/>
  <c r="AZ151" i="10"/>
  <c r="AY151" i="10"/>
  <c r="BA151" i="10" s="1"/>
  <c r="AW151" i="10"/>
  <c r="AV151" i="10"/>
  <c r="BD150" i="10"/>
  <c r="BC150" i="10"/>
  <c r="BB150" i="10"/>
  <c r="AZ150" i="10"/>
  <c r="AY150" i="10"/>
  <c r="AW150" i="10"/>
  <c r="AV150" i="10"/>
  <c r="AX150" i="10" s="1"/>
  <c r="BD149" i="10"/>
  <c r="BC149" i="10"/>
  <c r="BB149" i="10"/>
  <c r="AZ149" i="10"/>
  <c r="AY149" i="10"/>
  <c r="BA149" i="10" s="1"/>
  <c r="AW149" i="10"/>
  <c r="AV149" i="10"/>
  <c r="AX149" i="10" s="1"/>
  <c r="BD148" i="10"/>
  <c r="BC148" i="10"/>
  <c r="BB148" i="10"/>
  <c r="AZ148" i="10"/>
  <c r="AY148" i="10"/>
  <c r="AW148" i="10"/>
  <c r="AX148" i="10" s="1"/>
  <c r="AV148" i="10"/>
  <c r="BD147" i="10"/>
  <c r="BC147" i="10"/>
  <c r="BB147" i="10"/>
  <c r="AZ147" i="10"/>
  <c r="AY147" i="10"/>
  <c r="BA147" i="10" s="1"/>
  <c r="AW147" i="10"/>
  <c r="AV147" i="10"/>
  <c r="AX147" i="10" s="1"/>
  <c r="BD146" i="10"/>
  <c r="BC146" i="10"/>
  <c r="BB146" i="10"/>
  <c r="AZ146" i="10"/>
  <c r="AY146" i="10"/>
  <c r="BA146" i="10" s="1"/>
  <c r="AW146" i="10"/>
  <c r="AV146" i="10"/>
  <c r="AX146" i="10" s="1"/>
  <c r="BD145" i="10"/>
  <c r="BC145" i="10"/>
  <c r="BB145" i="10"/>
  <c r="BE145" i="10" s="1"/>
  <c r="AZ145" i="10"/>
  <c r="AY145" i="10"/>
  <c r="BA145" i="10" s="1"/>
  <c r="AW145" i="10"/>
  <c r="AV145" i="10"/>
  <c r="AX145" i="10" s="1"/>
  <c r="BD144" i="10"/>
  <c r="BC144" i="10"/>
  <c r="BB144" i="10"/>
  <c r="AZ144" i="10"/>
  <c r="AY144" i="10"/>
  <c r="AW144" i="10"/>
  <c r="AV144" i="10"/>
  <c r="BD143" i="10"/>
  <c r="BC143" i="10"/>
  <c r="BB143" i="10"/>
  <c r="AZ143" i="10"/>
  <c r="BA143" i="10" s="1"/>
  <c r="AY143" i="10"/>
  <c r="AW143" i="10"/>
  <c r="AV143" i="10"/>
  <c r="AX143" i="10" s="1"/>
  <c r="BD142" i="10"/>
  <c r="BC142" i="10"/>
  <c r="BB142" i="10"/>
  <c r="BE142" i="10" s="1"/>
  <c r="AZ142" i="10"/>
  <c r="AY142" i="10"/>
  <c r="AW142" i="10"/>
  <c r="AV142" i="10"/>
  <c r="AZ141" i="10"/>
  <c r="BA141" i="10" s="1"/>
  <c r="AY141" i="10"/>
  <c r="AW141" i="10"/>
  <c r="AV141" i="10"/>
  <c r="AZ140" i="10"/>
  <c r="AY140" i="10"/>
  <c r="AW140" i="10"/>
  <c r="AV140" i="10"/>
  <c r="AZ139" i="10"/>
  <c r="AY139" i="10"/>
  <c r="BA139" i="10" s="1"/>
  <c r="AW139" i="10"/>
  <c r="AV139" i="10"/>
  <c r="AX139" i="10" s="1"/>
  <c r="AZ138" i="10"/>
  <c r="AY138" i="10"/>
  <c r="BA138" i="10" s="1"/>
  <c r="AW138" i="10"/>
  <c r="AV138" i="10"/>
  <c r="AX138" i="10" s="1"/>
  <c r="AZ137" i="10"/>
  <c r="DQ137" i="10" s="1"/>
  <c r="AY137" i="10"/>
  <c r="BA137" i="10" s="1"/>
  <c r="AW137" i="10"/>
  <c r="AV137" i="10"/>
  <c r="AZ136" i="10"/>
  <c r="AY136" i="10"/>
  <c r="AW136" i="10"/>
  <c r="AX136" i="10" s="1"/>
  <c r="AV136" i="10"/>
  <c r="AZ135" i="10"/>
  <c r="AY135" i="10"/>
  <c r="AW135" i="10"/>
  <c r="AV135" i="10"/>
  <c r="AZ134" i="10"/>
  <c r="BA134" i="10" s="1"/>
  <c r="AY134" i="10"/>
  <c r="AW134" i="10"/>
  <c r="AV134" i="10"/>
  <c r="AX134" i="10" s="1"/>
  <c r="AZ133" i="10"/>
  <c r="AY133" i="10"/>
  <c r="BA133" i="10" s="1"/>
  <c r="AW133" i="10"/>
  <c r="AV133" i="10"/>
  <c r="AX133" i="10" s="1"/>
  <c r="AZ132" i="10"/>
  <c r="AY132" i="10"/>
  <c r="BA132" i="10" s="1"/>
  <c r="AW132" i="10"/>
  <c r="AV132" i="10"/>
  <c r="AX132" i="10" s="1"/>
  <c r="AZ131" i="10"/>
  <c r="AY131" i="10"/>
  <c r="AW131" i="10"/>
  <c r="AV131" i="10"/>
  <c r="AZ130" i="10"/>
  <c r="AY130" i="10"/>
  <c r="AW130" i="10"/>
  <c r="AV130" i="10"/>
  <c r="AZ129" i="10"/>
  <c r="AY129" i="10"/>
  <c r="AW129" i="10"/>
  <c r="AX129" i="10" s="1"/>
  <c r="AV129" i="10"/>
  <c r="AZ128" i="10"/>
  <c r="AY128" i="10"/>
  <c r="BA128" i="10" s="1"/>
  <c r="AW128" i="10"/>
  <c r="AV128" i="10"/>
  <c r="AX128" i="10" s="1"/>
  <c r="AZ127" i="10"/>
  <c r="AY127" i="10"/>
  <c r="AW127" i="10"/>
  <c r="AV127" i="10"/>
  <c r="AW126" i="10"/>
  <c r="DU126" i="10" s="1"/>
  <c r="AV126" i="10"/>
  <c r="AW125" i="10"/>
  <c r="AV125" i="10"/>
  <c r="AW124" i="10"/>
  <c r="AV124" i="10"/>
  <c r="AW123" i="10"/>
  <c r="AX123" i="10" s="1"/>
  <c r="AV123" i="10"/>
  <c r="AW122" i="10"/>
  <c r="AV122" i="10"/>
  <c r="AW121" i="10"/>
  <c r="AV121" i="10"/>
  <c r="AW120" i="10"/>
  <c r="AV120" i="10"/>
  <c r="AW119" i="10"/>
  <c r="AV119" i="10"/>
  <c r="AX119" i="10" s="1"/>
  <c r="AW118" i="10"/>
  <c r="AV118" i="10"/>
  <c r="BS377" i="10"/>
  <c r="BP377" i="10"/>
  <c r="BN377" i="10"/>
  <c r="BI377" i="10"/>
  <c r="BG377" i="10"/>
  <c r="BR375" i="10"/>
  <c r="BQ375" i="10"/>
  <c r="BS375" i="10" s="1"/>
  <c r="BO375" i="10"/>
  <c r="BP375" i="10" s="1"/>
  <c r="BM375" i="10"/>
  <c r="BL375" i="10"/>
  <c r="BK375" i="10"/>
  <c r="BJ375" i="10"/>
  <c r="BH375" i="10"/>
  <c r="BF375" i="10"/>
  <c r="BR374" i="10"/>
  <c r="BQ374" i="10"/>
  <c r="BO374" i="10"/>
  <c r="BP374" i="10" s="1"/>
  <c r="BM374" i="10"/>
  <c r="BL374" i="10"/>
  <c r="BK374" i="10"/>
  <c r="BJ374" i="10"/>
  <c r="BH374" i="10"/>
  <c r="BI374" i="10" s="1"/>
  <c r="BF374" i="10"/>
  <c r="BR373" i="10"/>
  <c r="BQ373" i="10"/>
  <c r="BS373" i="10" s="1"/>
  <c r="BO373" i="10"/>
  <c r="BP373" i="10" s="1"/>
  <c r="BM373" i="10"/>
  <c r="BL373" i="10"/>
  <c r="BK373" i="10"/>
  <c r="BJ373" i="10"/>
  <c r="BH373" i="10"/>
  <c r="BI373" i="10" s="1"/>
  <c r="BF373" i="10"/>
  <c r="BG373" i="10" s="1"/>
  <c r="BR372" i="10"/>
  <c r="BS372" i="10" s="1"/>
  <c r="BQ372" i="10"/>
  <c r="BO372" i="10"/>
  <c r="BM372" i="10"/>
  <c r="BL372" i="10"/>
  <c r="BK372" i="10"/>
  <c r="BJ372" i="10"/>
  <c r="BH372" i="10"/>
  <c r="BF372" i="10"/>
  <c r="BR371" i="10"/>
  <c r="BQ371" i="10"/>
  <c r="BO371" i="10"/>
  <c r="BM371" i="10"/>
  <c r="BL371" i="10"/>
  <c r="BK371" i="10"/>
  <c r="BJ371" i="10"/>
  <c r="BN371" i="10" s="1"/>
  <c r="BH371" i="10"/>
  <c r="BI371" i="10" s="1"/>
  <c r="BF371" i="10"/>
  <c r="BG371" i="10" s="1"/>
  <c r="BR370" i="10"/>
  <c r="BQ370" i="10"/>
  <c r="BO370" i="10"/>
  <c r="BP370" i="10" s="1"/>
  <c r="BM370" i="10"/>
  <c r="BL370" i="10"/>
  <c r="BN370" i="10" s="1"/>
  <c r="BK370" i="10"/>
  <c r="BJ370" i="10"/>
  <c r="BH370" i="10"/>
  <c r="BF370" i="10"/>
  <c r="BR369" i="10"/>
  <c r="BQ369" i="10"/>
  <c r="BS369" i="10" s="1"/>
  <c r="BO369" i="10"/>
  <c r="BM369" i="10"/>
  <c r="BL369" i="10"/>
  <c r="BK369" i="10"/>
  <c r="BJ369" i="10"/>
  <c r="BH369" i="10"/>
  <c r="BI369" i="10" s="1"/>
  <c r="BF369" i="10"/>
  <c r="BG369" i="10" s="1"/>
  <c r="BR368" i="10"/>
  <c r="BQ368" i="10"/>
  <c r="BS368" i="10" s="1"/>
  <c r="BO368" i="10"/>
  <c r="BP368" i="10" s="1"/>
  <c r="BM368" i="10"/>
  <c r="BL368" i="10"/>
  <c r="BK368" i="10"/>
  <c r="BJ368" i="10"/>
  <c r="BH368" i="10"/>
  <c r="BI368" i="10" s="1"/>
  <c r="BF368" i="10"/>
  <c r="BG368" i="10" s="1"/>
  <c r="BR367" i="10"/>
  <c r="BQ367" i="10"/>
  <c r="BO367" i="10"/>
  <c r="BM367" i="10"/>
  <c r="BL367" i="10"/>
  <c r="BK367" i="10"/>
  <c r="BN367" i="10" s="1"/>
  <c r="BJ367" i="10"/>
  <c r="BH367" i="10"/>
  <c r="BI367" i="10" s="1"/>
  <c r="BF367" i="10"/>
  <c r="BG367" i="10" s="1"/>
  <c r="BR366" i="10"/>
  <c r="BQ366" i="10"/>
  <c r="BS366" i="10" s="1"/>
  <c r="BO366" i="10"/>
  <c r="BP366" i="10" s="1"/>
  <c r="BM366" i="10"/>
  <c r="BL366" i="10"/>
  <c r="BK366" i="10"/>
  <c r="BJ366" i="10"/>
  <c r="BN366" i="10" s="1"/>
  <c r="BH366" i="10"/>
  <c r="BI366" i="10" s="1"/>
  <c r="BF366" i="10"/>
  <c r="BG366" i="10" s="1"/>
  <c r="BR365" i="10"/>
  <c r="BQ365" i="10"/>
  <c r="BS365" i="10" s="1"/>
  <c r="BO365" i="10"/>
  <c r="BP365" i="10" s="1"/>
  <c r="BM365" i="10"/>
  <c r="BL365" i="10"/>
  <c r="BK365" i="10"/>
  <c r="BJ365" i="10"/>
  <c r="BH365" i="10"/>
  <c r="BI365" i="10" s="1"/>
  <c r="BF365" i="10"/>
  <c r="BR364" i="10"/>
  <c r="BS364" i="10" s="1"/>
  <c r="BQ364" i="10"/>
  <c r="BO364" i="10"/>
  <c r="BP364" i="10" s="1"/>
  <c r="BM364" i="10"/>
  <c r="BL364" i="10"/>
  <c r="BK364" i="10"/>
  <c r="BJ364" i="10"/>
  <c r="BH364" i="10"/>
  <c r="BI364" i="10" s="1"/>
  <c r="BF364" i="10"/>
  <c r="BG364" i="10" s="1"/>
  <c r="BR363" i="10"/>
  <c r="BQ363" i="10"/>
  <c r="BS363" i="10" s="1"/>
  <c r="BO363" i="10"/>
  <c r="BP363" i="10" s="1"/>
  <c r="BM363" i="10"/>
  <c r="BL363" i="10"/>
  <c r="BK363" i="10"/>
  <c r="BJ363" i="10"/>
  <c r="BH363" i="10"/>
  <c r="BI363" i="10" s="1"/>
  <c r="BF363" i="10"/>
  <c r="BR362" i="10"/>
  <c r="BQ362" i="10"/>
  <c r="BO362" i="10"/>
  <c r="BM362" i="10"/>
  <c r="BL362" i="10"/>
  <c r="BK362" i="10"/>
  <c r="BJ362" i="10"/>
  <c r="BH362" i="10"/>
  <c r="BI362" i="10" s="1"/>
  <c r="BF362" i="10"/>
  <c r="BG362" i="10" s="1"/>
  <c r="BR361" i="10"/>
  <c r="BQ361" i="10"/>
  <c r="BO361" i="10"/>
  <c r="BP361" i="10" s="1"/>
  <c r="BM361" i="10"/>
  <c r="BL361" i="10"/>
  <c r="BK361" i="10"/>
  <c r="BJ361" i="10"/>
  <c r="BN361" i="10" s="1"/>
  <c r="BH361" i="10"/>
  <c r="BI361" i="10" s="1"/>
  <c r="BF361" i="10"/>
  <c r="BG361" i="10" s="1"/>
  <c r="BR360" i="10"/>
  <c r="BQ360" i="10"/>
  <c r="BO360" i="10"/>
  <c r="BP360" i="10" s="1"/>
  <c r="BM360" i="10"/>
  <c r="BL360" i="10"/>
  <c r="BK360" i="10"/>
  <c r="BJ360" i="10"/>
  <c r="BH360" i="10"/>
  <c r="BF360" i="10"/>
  <c r="BG360" i="10" s="1"/>
  <c r="BR359" i="10"/>
  <c r="BQ359" i="10"/>
  <c r="BS359" i="10" s="1"/>
  <c r="BO359" i="10"/>
  <c r="BP359" i="10" s="1"/>
  <c r="BM359" i="10"/>
  <c r="BL359" i="10"/>
  <c r="BK359" i="10"/>
  <c r="BJ359" i="10"/>
  <c r="BH359" i="10"/>
  <c r="BI359" i="10" s="1"/>
  <c r="BF359" i="10"/>
  <c r="BG359" i="10" s="1"/>
  <c r="BR358" i="10"/>
  <c r="BQ358" i="10"/>
  <c r="BS358" i="10" s="1"/>
  <c r="BO358" i="10"/>
  <c r="BP358" i="10" s="1"/>
  <c r="BM358" i="10"/>
  <c r="BL358" i="10"/>
  <c r="BK358" i="10"/>
  <c r="BJ358" i="10"/>
  <c r="BN358" i="10" s="1"/>
  <c r="BH358" i="10"/>
  <c r="BF358" i="10"/>
  <c r="BR357" i="10"/>
  <c r="BQ357" i="10"/>
  <c r="BO357" i="10"/>
  <c r="BM357" i="10"/>
  <c r="BL357" i="10"/>
  <c r="BK357" i="10"/>
  <c r="BJ357" i="10"/>
  <c r="BN357" i="10" s="1"/>
  <c r="BH357" i="10"/>
  <c r="BI357" i="10" s="1"/>
  <c r="BF357" i="10"/>
  <c r="BG357" i="10" s="1"/>
  <c r="BR356" i="10"/>
  <c r="BQ356" i="10"/>
  <c r="BS356" i="10" s="1"/>
  <c r="BO356" i="10"/>
  <c r="BP356" i="10" s="1"/>
  <c r="BM356" i="10"/>
  <c r="BL356" i="10"/>
  <c r="BK356" i="10"/>
  <c r="BJ356" i="10"/>
  <c r="BN356" i="10" s="1"/>
  <c r="BH356" i="10"/>
  <c r="BI356" i="10" s="1"/>
  <c r="BF356" i="10"/>
  <c r="BG356" i="10" s="1"/>
  <c r="BR355" i="10"/>
  <c r="BQ355" i="10"/>
  <c r="BS355" i="10" s="1"/>
  <c r="BO355" i="10"/>
  <c r="BM355" i="10"/>
  <c r="BL355" i="10"/>
  <c r="BK355" i="10"/>
  <c r="BJ355" i="10"/>
  <c r="BH355" i="10"/>
  <c r="BI355" i="10" s="1"/>
  <c r="BF355" i="10"/>
  <c r="BR354" i="10"/>
  <c r="BQ354" i="10"/>
  <c r="BS354" i="10" s="1"/>
  <c r="BO354" i="10"/>
  <c r="BP354" i="10" s="1"/>
  <c r="BM354" i="10"/>
  <c r="BL354" i="10"/>
  <c r="BK354" i="10"/>
  <c r="BJ354" i="10"/>
  <c r="BH354" i="10"/>
  <c r="BI354" i="10" s="1"/>
  <c r="BF354" i="10"/>
  <c r="BG354" i="10" s="1"/>
  <c r="BR353" i="10"/>
  <c r="BQ353" i="10"/>
  <c r="BS353" i="10" s="1"/>
  <c r="BO353" i="10"/>
  <c r="BP353" i="10" s="1"/>
  <c r="BM353" i="10"/>
  <c r="BL353" i="10"/>
  <c r="BK353" i="10"/>
  <c r="BJ353" i="10"/>
  <c r="BH353" i="10"/>
  <c r="BF353" i="10"/>
  <c r="BR352" i="10"/>
  <c r="BS352" i="10" s="1"/>
  <c r="BQ352" i="10"/>
  <c r="BO352" i="10"/>
  <c r="BP352" i="10" s="1"/>
  <c r="BM352" i="10"/>
  <c r="BL352" i="10"/>
  <c r="BK352" i="10"/>
  <c r="BJ352" i="10"/>
  <c r="BH352" i="10"/>
  <c r="BI352" i="10" s="1"/>
  <c r="BF352" i="10"/>
  <c r="BG352" i="10" s="1"/>
  <c r="BR351" i="10"/>
  <c r="BQ351" i="10"/>
  <c r="BS351" i="10" s="1"/>
  <c r="BO351" i="10"/>
  <c r="BP351" i="10" s="1"/>
  <c r="BM351" i="10"/>
  <c r="BL351" i="10"/>
  <c r="BK351" i="10"/>
  <c r="BJ351" i="10"/>
  <c r="BH351" i="10"/>
  <c r="BI351" i="10" s="1"/>
  <c r="BF351" i="10"/>
  <c r="BG351" i="10" s="1"/>
  <c r="BR350" i="10"/>
  <c r="BQ350" i="10"/>
  <c r="BO350" i="10"/>
  <c r="BM350" i="10"/>
  <c r="BL350" i="10"/>
  <c r="BK350" i="10"/>
  <c r="BJ350" i="10"/>
  <c r="BN350" i="10" s="1"/>
  <c r="BH350" i="10"/>
  <c r="BF350" i="10"/>
  <c r="BG350" i="10" s="1"/>
  <c r="BR349" i="10"/>
  <c r="BQ349" i="10"/>
  <c r="BO349" i="10"/>
  <c r="BP349" i="10" s="1"/>
  <c r="BM349" i="10"/>
  <c r="BL349" i="10"/>
  <c r="BK349" i="10"/>
  <c r="BJ349" i="10"/>
  <c r="BN349" i="10" s="1"/>
  <c r="BH349" i="10"/>
  <c r="BI349" i="10" s="1"/>
  <c r="BF349" i="10"/>
  <c r="BG349" i="10" s="1"/>
  <c r="BR348" i="10"/>
  <c r="BQ348" i="10"/>
  <c r="BO348" i="10"/>
  <c r="BP348" i="10" s="1"/>
  <c r="BM348" i="10"/>
  <c r="BL348" i="10"/>
  <c r="BN348" i="10" s="1"/>
  <c r="BK348" i="10"/>
  <c r="BJ348" i="10"/>
  <c r="BH348" i="10"/>
  <c r="BF348" i="10"/>
  <c r="BR347" i="10"/>
  <c r="BQ347" i="10"/>
  <c r="BS347" i="10" s="1"/>
  <c r="BO347" i="10"/>
  <c r="BM347" i="10"/>
  <c r="BL347" i="10"/>
  <c r="BK347" i="10"/>
  <c r="BJ347" i="10"/>
  <c r="BH347" i="10"/>
  <c r="BF347" i="10"/>
  <c r="BG347" i="10" s="1"/>
  <c r="BR346" i="10"/>
  <c r="BQ346" i="10"/>
  <c r="BS346" i="10" s="1"/>
  <c r="BO346" i="10"/>
  <c r="BP346" i="10" s="1"/>
  <c r="BM346" i="10"/>
  <c r="BL346" i="10"/>
  <c r="BK346" i="10"/>
  <c r="BJ346" i="10"/>
  <c r="BH346" i="10"/>
  <c r="BI346" i="10" s="1"/>
  <c r="BF346" i="10"/>
  <c r="BG346" i="10" s="1"/>
  <c r="BR345" i="10"/>
  <c r="BQ345" i="10"/>
  <c r="BO345" i="10"/>
  <c r="BM345" i="10"/>
  <c r="BL345" i="10"/>
  <c r="BK345" i="10"/>
  <c r="BN345" i="10" s="1"/>
  <c r="BJ345" i="10"/>
  <c r="BH345" i="10"/>
  <c r="BI345" i="10" s="1"/>
  <c r="BF345" i="10"/>
  <c r="BG345" i="10" s="1"/>
  <c r="BR344" i="10"/>
  <c r="BQ344" i="10"/>
  <c r="BS344" i="10" s="1"/>
  <c r="BO344" i="10"/>
  <c r="BP344" i="10" s="1"/>
  <c r="BM344" i="10"/>
  <c r="BL344" i="10"/>
  <c r="BK344" i="10"/>
  <c r="BJ344" i="10"/>
  <c r="BN344" i="10" s="1"/>
  <c r="BH344" i="10"/>
  <c r="BI344" i="10" s="1"/>
  <c r="BF344" i="10"/>
  <c r="BG344" i="10" s="1"/>
  <c r="BR343" i="10"/>
  <c r="BQ343" i="10"/>
  <c r="BS343" i="10" s="1"/>
  <c r="BO343" i="10"/>
  <c r="BP343" i="10" s="1"/>
  <c r="BM343" i="10"/>
  <c r="BN343" i="10" s="1"/>
  <c r="BL343" i="10"/>
  <c r="BK343" i="10"/>
  <c r="BJ343" i="10"/>
  <c r="BH343" i="10"/>
  <c r="BF343" i="10"/>
  <c r="BR342" i="10"/>
  <c r="BS342" i="10" s="1"/>
  <c r="BQ342" i="10"/>
  <c r="BO342" i="10"/>
  <c r="BP342" i="10" s="1"/>
  <c r="BM342" i="10"/>
  <c r="BL342" i="10"/>
  <c r="BK342" i="10"/>
  <c r="BJ342" i="10"/>
  <c r="BH342" i="10"/>
  <c r="BF342" i="10"/>
  <c r="BG342" i="10" s="1"/>
  <c r="BR341" i="10"/>
  <c r="BQ341" i="10"/>
  <c r="BO341" i="10"/>
  <c r="BP341" i="10" s="1"/>
  <c r="BM341" i="10"/>
  <c r="BL341" i="10"/>
  <c r="BK341" i="10"/>
  <c r="BJ341" i="10"/>
  <c r="BH341" i="10"/>
  <c r="BI341" i="10" s="1"/>
  <c r="BF341" i="10"/>
  <c r="BR340" i="10"/>
  <c r="BQ340" i="10"/>
  <c r="BO340" i="10"/>
  <c r="BM340" i="10"/>
  <c r="BL340" i="10"/>
  <c r="BK340" i="10"/>
  <c r="BJ340" i="10"/>
  <c r="BH340" i="10"/>
  <c r="BI340" i="10" s="1"/>
  <c r="BF340" i="10"/>
  <c r="BG340" i="10" s="1"/>
  <c r="BR339" i="10"/>
  <c r="BQ339" i="10"/>
  <c r="BO339" i="10"/>
  <c r="BP339" i="10" s="1"/>
  <c r="BM339" i="10"/>
  <c r="BL339" i="10"/>
  <c r="BK339" i="10"/>
  <c r="BJ339" i="10"/>
  <c r="BN339" i="10" s="1"/>
  <c r="BH339" i="10"/>
  <c r="BI339" i="10" s="1"/>
  <c r="BF339" i="10"/>
  <c r="BG339" i="10" s="1"/>
  <c r="BR338" i="10"/>
  <c r="BQ338" i="10"/>
  <c r="BO338" i="10"/>
  <c r="BP338" i="10" s="1"/>
  <c r="BM338" i="10"/>
  <c r="BL338" i="10"/>
  <c r="BK338" i="10"/>
  <c r="BJ338" i="10"/>
  <c r="BH338" i="10"/>
  <c r="BF338" i="10"/>
  <c r="BG338" i="10" s="1"/>
  <c r="BR337" i="10"/>
  <c r="BQ337" i="10"/>
  <c r="BS337" i="10" s="1"/>
  <c r="BO337" i="10"/>
  <c r="BP337" i="10" s="1"/>
  <c r="BM337" i="10"/>
  <c r="BL337" i="10"/>
  <c r="BK337" i="10"/>
  <c r="BJ337" i="10"/>
  <c r="BH337" i="10"/>
  <c r="BI337" i="10" s="1"/>
  <c r="BF337" i="10"/>
  <c r="BG337" i="10" s="1"/>
  <c r="BR336" i="10"/>
  <c r="BQ336" i="10"/>
  <c r="BS336" i="10" s="1"/>
  <c r="BO336" i="10"/>
  <c r="BP336" i="10" s="1"/>
  <c r="BM336" i="10"/>
  <c r="BL336" i="10"/>
  <c r="BK336" i="10"/>
  <c r="BJ336" i="10"/>
  <c r="BN336" i="10" s="1"/>
  <c r="BH336" i="10"/>
  <c r="BF336" i="10"/>
  <c r="BR335" i="10"/>
  <c r="BQ335" i="10"/>
  <c r="BO335" i="10"/>
  <c r="BM335" i="10"/>
  <c r="BL335" i="10"/>
  <c r="BK335" i="10"/>
  <c r="BJ335" i="10"/>
  <c r="BN335" i="10" s="1"/>
  <c r="BH335" i="10"/>
  <c r="BI335" i="10" s="1"/>
  <c r="BF335" i="10"/>
  <c r="BG335" i="10" s="1"/>
  <c r="BR334" i="10"/>
  <c r="BQ334" i="10"/>
  <c r="BS334" i="10" s="1"/>
  <c r="BO334" i="10"/>
  <c r="BP334" i="10" s="1"/>
  <c r="BM334" i="10"/>
  <c r="BL334" i="10"/>
  <c r="BK334" i="10"/>
  <c r="BJ334" i="10"/>
  <c r="BN334" i="10" s="1"/>
  <c r="BH334" i="10"/>
  <c r="BI334" i="10" s="1"/>
  <c r="BF334" i="10"/>
  <c r="BG334" i="10" s="1"/>
  <c r="BR333" i="10"/>
  <c r="BQ333" i="10"/>
  <c r="BO333" i="10"/>
  <c r="BM333" i="10"/>
  <c r="BL333" i="10"/>
  <c r="BK333" i="10"/>
  <c r="BJ333" i="10"/>
  <c r="BH333" i="10"/>
  <c r="BI333" i="10" s="1"/>
  <c r="BF333" i="10"/>
  <c r="BR332" i="10"/>
  <c r="BQ332" i="10"/>
  <c r="BS332" i="10" s="1"/>
  <c r="BO332" i="10"/>
  <c r="BP332" i="10" s="1"/>
  <c r="BM332" i="10"/>
  <c r="BL332" i="10"/>
  <c r="BK332" i="10"/>
  <c r="BJ332" i="10"/>
  <c r="BH332" i="10"/>
  <c r="BI332" i="10" s="1"/>
  <c r="BF332" i="10"/>
  <c r="BG332" i="10" s="1"/>
  <c r="BR331" i="10"/>
  <c r="BQ331" i="10"/>
  <c r="BS331" i="10" s="1"/>
  <c r="BO331" i="10"/>
  <c r="BP331" i="10" s="1"/>
  <c r="BM331" i="10"/>
  <c r="BL331" i="10"/>
  <c r="BK331" i="10"/>
  <c r="BN331" i="10" s="1"/>
  <c r="BJ331" i="10"/>
  <c r="BH331" i="10"/>
  <c r="BF331" i="10"/>
  <c r="BR330" i="10"/>
  <c r="BQ330" i="10"/>
  <c r="BO330" i="10"/>
  <c r="BP330" i="10" s="1"/>
  <c r="BM330" i="10"/>
  <c r="BL330" i="10"/>
  <c r="BK330" i="10"/>
  <c r="BJ330" i="10"/>
  <c r="BH330" i="10"/>
  <c r="BI330" i="10" s="1"/>
  <c r="BF330" i="10"/>
  <c r="BG330" i="10" s="1"/>
  <c r="BR329" i="10"/>
  <c r="BQ329" i="10"/>
  <c r="BS329" i="10" s="1"/>
  <c r="BO329" i="10"/>
  <c r="BP329" i="10" s="1"/>
  <c r="BM329" i="10"/>
  <c r="BL329" i="10"/>
  <c r="BK329" i="10"/>
  <c r="BJ329" i="10"/>
  <c r="BH329" i="10"/>
  <c r="BI329" i="10" s="1"/>
  <c r="BF329" i="10"/>
  <c r="BG329" i="10" s="1"/>
  <c r="BR328" i="10"/>
  <c r="BS328" i="10" s="1"/>
  <c r="BQ328" i="10"/>
  <c r="BO328" i="10"/>
  <c r="BM328" i="10"/>
  <c r="BL328" i="10"/>
  <c r="BK328" i="10"/>
  <c r="BJ328" i="10"/>
  <c r="BH328" i="10"/>
  <c r="BF328" i="10"/>
  <c r="BG328" i="10" s="1"/>
  <c r="BR327" i="10"/>
  <c r="BQ327" i="10"/>
  <c r="BO327" i="10"/>
  <c r="BP327" i="10" s="1"/>
  <c r="BM327" i="10"/>
  <c r="BL327" i="10"/>
  <c r="BK327" i="10"/>
  <c r="BJ327" i="10"/>
  <c r="BN327" i="10" s="1"/>
  <c r="BH327" i="10"/>
  <c r="BI327" i="10" s="1"/>
  <c r="BF327" i="10"/>
  <c r="BR326" i="10"/>
  <c r="BQ326" i="10"/>
  <c r="BO326" i="10"/>
  <c r="BP326" i="10" s="1"/>
  <c r="BM326" i="10"/>
  <c r="BL326" i="10"/>
  <c r="BN326" i="10" s="1"/>
  <c r="BK326" i="10"/>
  <c r="BJ326" i="10"/>
  <c r="BH326" i="10"/>
  <c r="BF326" i="10"/>
  <c r="BR325" i="10"/>
  <c r="BQ325" i="10"/>
  <c r="BS325" i="10" s="1"/>
  <c r="BO325" i="10"/>
  <c r="BM325" i="10"/>
  <c r="BL325" i="10"/>
  <c r="BK325" i="10"/>
  <c r="BJ325" i="10"/>
  <c r="BH325" i="10"/>
  <c r="BI325" i="10" s="1"/>
  <c r="BF325" i="10"/>
  <c r="BG325" i="10" s="1"/>
  <c r="BR324" i="10"/>
  <c r="BQ324" i="10"/>
  <c r="BS324" i="10" s="1"/>
  <c r="BO324" i="10"/>
  <c r="BP324" i="10" s="1"/>
  <c r="BM324" i="10"/>
  <c r="BL324" i="10"/>
  <c r="BK324" i="10"/>
  <c r="BJ324" i="10"/>
  <c r="BH324" i="10"/>
  <c r="BI324" i="10" s="1"/>
  <c r="BF324" i="10"/>
  <c r="BG324" i="10" s="1"/>
  <c r="BR323" i="10"/>
  <c r="BQ323" i="10"/>
  <c r="BO323" i="10"/>
  <c r="BM323" i="10"/>
  <c r="BL323" i="10"/>
  <c r="BK323" i="10"/>
  <c r="BN323" i="10" s="1"/>
  <c r="BJ323" i="10"/>
  <c r="BH323" i="10"/>
  <c r="BI323" i="10" s="1"/>
  <c r="BF323" i="10"/>
  <c r="BG323" i="10" s="1"/>
  <c r="BR322" i="10"/>
  <c r="BQ322" i="10"/>
  <c r="BS322" i="10" s="1"/>
  <c r="BO322" i="10"/>
  <c r="BM322" i="10"/>
  <c r="BL322" i="10"/>
  <c r="BK322" i="10"/>
  <c r="BJ322" i="10"/>
  <c r="BN322" i="10" s="1"/>
  <c r="BH322" i="10"/>
  <c r="BI322" i="10" s="1"/>
  <c r="BF322" i="10"/>
  <c r="BG322" i="10" s="1"/>
  <c r="BR321" i="10"/>
  <c r="BQ321" i="10"/>
  <c r="BS321" i="10" s="1"/>
  <c r="BO321" i="10"/>
  <c r="BP321" i="10" s="1"/>
  <c r="BM321" i="10"/>
  <c r="BL321" i="10"/>
  <c r="BK321" i="10"/>
  <c r="BJ321" i="10"/>
  <c r="BH321" i="10"/>
  <c r="BF321" i="10"/>
  <c r="BR320" i="10"/>
  <c r="BS320" i="10" s="1"/>
  <c r="BQ320" i="10"/>
  <c r="BO320" i="10"/>
  <c r="BP320" i="10" s="1"/>
  <c r="BM320" i="10"/>
  <c r="BL320" i="10"/>
  <c r="BK320" i="10"/>
  <c r="BJ320" i="10"/>
  <c r="BH320" i="10"/>
  <c r="BI320" i="10" s="1"/>
  <c r="BF320" i="10"/>
  <c r="BG320" i="10" s="1"/>
  <c r="BR319" i="10"/>
  <c r="BQ319" i="10"/>
  <c r="BS319" i="10" s="1"/>
  <c r="BO319" i="10"/>
  <c r="BP319" i="10" s="1"/>
  <c r="BM319" i="10"/>
  <c r="BL319" i="10"/>
  <c r="BK319" i="10"/>
  <c r="BJ319" i="10"/>
  <c r="BH319" i="10"/>
  <c r="BI319" i="10" s="1"/>
  <c r="BF319" i="10"/>
  <c r="BR318" i="10"/>
  <c r="BQ318" i="10"/>
  <c r="BO318" i="10"/>
  <c r="BM318" i="10"/>
  <c r="BL318" i="10"/>
  <c r="BK318" i="10"/>
  <c r="BJ318" i="10"/>
  <c r="BH318" i="10"/>
  <c r="BI318" i="10" s="1"/>
  <c r="BF318" i="10"/>
  <c r="BG318" i="10" s="1"/>
  <c r="BR317" i="10"/>
  <c r="BQ317" i="10"/>
  <c r="BO317" i="10"/>
  <c r="BP317" i="10" s="1"/>
  <c r="BM317" i="10"/>
  <c r="BL317" i="10"/>
  <c r="BK317" i="10"/>
  <c r="BJ317" i="10"/>
  <c r="BN317" i="10" s="1"/>
  <c r="BH317" i="10"/>
  <c r="BI317" i="10" s="1"/>
  <c r="BF317" i="10"/>
  <c r="BG317" i="10" s="1"/>
  <c r="BR316" i="10"/>
  <c r="BQ316" i="10"/>
  <c r="BO316" i="10"/>
  <c r="BP316" i="10" s="1"/>
  <c r="BM316" i="10"/>
  <c r="BL316" i="10"/>
  <c r="BK316" i="10"/>
  <c r="BJ316" i="10"/>
  <c r="BH316" i="10"/>
  <c r="BF316" i="10"/>
  <c r="BG316" i="10" s="1"/>
  <c r="BR315" i="10"/>
  <c r="BQ315" i="10"/>
  <c r="BS315" i="10" s="1"/>
  <c r="BO315" i="10"/>
  <c r="BP315" i="10" s="1"/>
  <c r="BM315" i="10"/>
  <c r="BL315" i="10"/>
  <c r="BK315" i="10"/>
  <c r="BJ315" i="10"/>
  <c r="BH315" i="10"/>
  <c r="BI315" i="10" s="1"/>
  <c r="BF315" i="10"/>
  <c r="BG315" i="10" s="1"/>
  <c r="BR314" i="10"/>
  <c r="BQ314" i="10"/>
  <c r="BS314" i="10" s="1"/>
  <c r="BO314" i="10"/>
  <c r="BP314" i="10" s="1"/>
  <c r="BM314" i="10"/>
  <c r="BL314" i="10"/>
  <c r="BK314" i="10"/>
  <c r="BJ314" i="10"/>
  <c r="BN314" i="10" s="1"/>
  <c r="BH314" i="10"/>
  <c r="BF314" i="10"/>
  <c r="BR313" i="10"/>
  <c r="BQ313" i="10"/>
  <c r="BO313" i="10"/>
  <c r="BM313" i="10"/>
  <c r="BL313" i="10"/>
  <c r="BK313" i="10"/>
  <c r="BJ313" i="10"/>
  <c r="BN313" i="10" s="1"/>
  <c r="BH313" i="10"/>
  <c r="BI313" i="10" s="1"/>
  <c r="BF313" i="10"/>
  <c r="BG313" i="10" s="1"/>
  <c r="BR312" i="10"/>
  <c r="BQ312" i="10"/>
  <c r="BS312" i="10" s="1"/>
  <c r="BO312" i="10"/>
  <c r="BP312" i="10" s="1"/>
  <c r="BM312" i="10"/>
  <c r="BL312" i="10"/>
  <c r="BK312" i="10"/>
  <c r="BJ312" i="10"/>
  <c r="BN312" i="10" s="1"/>
  <c r="BH312" i="10"/>
  <c r="BI312" i="10" s="1"/>
  <c r="BF312" i="10"/>
  <c r="BG312" i="10" s="1"/>
  <c r="BR311" i="10"/>
  <c r="BQ311" i="10"/>
  <c r="BS311" i="10" s="1"/>
  <c r="BO311" i="10"/>
  <c r="BM311" i="10"/>
  <c r="BL311" i="10"/>
  <c r="BK311" i="10"/>
  <c r="BJ311" i="10"/>
  <c r="BH311" i="10"/>
  <c r="BI311" i="10" s="1"/>
  <c r="BF311" i="10"/>
  <c r="BR310" i="10"/>
  <c r="BQ310" i="10"/>
  <c r="BO310" i="10"/>
  <c r="BP310" i="10" s="1"/>
  <c r="BM310" i="10"/>
  <c r="BL310" i="10"/>
  <c r="BK310" i="10"/>
  <c r="BJ310" i="10"/>
  <c r="BH310" i="10"/>
  <c r="BI310" i="10" s="1"/>
  <c r="BF310" i="10"/>
  <c r="BG310" i="10" s="1"/>
  <c r="BR309" i="10"/>
  <c r="BQ309" i="10"/>
  <c r="BS309" i="10" s="1"/>
  <c r="BO309" i="10"/>
  <c r="BP309" i="10" s="1"/>
  <c r="BM309" i="10"/>
  <c r="BL309" i="10"/>
  <c r="BK309" i="10"/>
  <c r="BJ309" i="10"/>
  <c r="BH309" i="10"/>
  <c r="BF309" i="10"/>
  <c r="BR308" i="10"/>
  <c r="BQ308" i="10"/>
  <c r="BO308" i="10"/>
  <c r="BM308" i="10"/>
  <c r="BL308" i="10"/>
  <c r="BK308" i="10"/>
  <c r="BJ308" i="10"/>
  <c r="BH308" i="10"/>
  <c r="BI308" i="10" s="1"/>
  <c r="BF308" i="10"/>
  <c r="BG308" i="10" s="1"/>
  <c r="BR307" i="10"/>
  <c r="BQ307" i="10"/>
  <c r="BS307" i="10" s="1"/>
  <c r="BO307" i="10"/>
  <c r="BP307" i="10" s="1"/>
  <c r="BM307" i="10"/>
  <c r="BL307" i="10"/>
  <c r="BK307" i="10"/>
  <c r="BJ307" i="10"/>
  <c r="BH307" i="10"/>
  <c r="BI307" i="10" s="1"/>
  <c r="BF307" i="10"/>
  <c r="BG307" i="10" s="1"/>
  <c r="BR306" i="10"/>
  <c r="BS306" i="10" s="1"/>
  <c r="BQ306" i="10"/>
  <c r="BO306" i="10"/>
  <c r="BM306" i="10"/>
  <c r="BL306" i="10"/>
  <c r="BK306" i="10"/>
  <c r="BJ306" i="10"/>
  <c r="BN306" i="10" s="1"/>
  <c r="BH306" i="10"/>
  <c r="BF306" i="10"/>
  <c r="BG306" i="10" s="1"/>
  <c r="BR305" i="10"/>
  <c r="BQ305" i="10"/>
  <c r="BO305" i="10"/>
  <c r="BP305" i="10" s="1"/>
  <c r="BM305" i="10"/>
  <c r="BL305" i="10"/>
  <c r="BK305" i="10"/>
  <c r="BJ305" i="10"/>
  <c r="BN305" i="10" s="1"/>
  <c r="BH305" i="10"/>
  <c r="BI305" i="10" s="1"/>
  <c r="BF305" i="10"/>
  <c r="BG305" i="10" s="1"/>
  <c r="BR304" i="10"/>
  <c r="BQ304" i="10"/>
  <c r="BO304" i="10"/>
  <c r="BP304" i="10" s="1"/>
  <c r="BM304" i="10"/>
  <c r="BL304" i="10"/>
  <c r="BK304" i="10"/>
  <c r="BJ304" i="10"/>
  <c r="BH304" i="10"/>
  <c r="BF304" i="10"/>
  <c r="BG304" i="10" s="1"/>
  <c r="BR303" i="10"/>
  <c r="BQ303" i="10"/>
  <c r="BS303" i="10" s="1"/>
  <c r="BO303" i="10"/>
  <c r="BM303" i="10"/>
  <c r="BL303" i="10"/>
  <c r="BK303" i="10"/>
  <c r="BJ303" i="10"/>
  <c r="BH303" i="10"/>
  <c r="BI303" i="10" s="1"/>
  <c r="BF303" i="10"/>
  <c r="BG303" i="10" s="1"/>
  <c r="BR302" i="10"/>
  <c r="BQ302" i="10"/>
  <c r="BS302" i="10" s="1"/>
  <c r="BO302" i="10"/>
  <c r="BP302" i="10" s="1"/>
  <c r="BM302" i="10"/>
  <c r="BL302" i="10"/>
  <c r="BK302" i="10"/>
  <c r="BJ302" i="10"/>
  <c r="BH302" i="10"/>
  <c r="BI302" i="10" s="1"/>
  <c r="BF302" i="10"/>
  <c r="BG302" i="10" s="1"/>
  <c r="BR301" i="10"/>
  <c r="BQ301" i="10"/>
  <c r="BO301" i="10"/>
  <c r="BM301" i="10"/>
  <c r="BL301" i="10"/>
  <c r="BK301" i="10"/>
  <c r="BJ301" i="10"/>
  <c r="BH301" i="10"/>
  <c r="BI301" i="10" s="1"/>
  <c r="BF301" i="10"/>
  <c r="BG301" i="10" s="1"/>
  <c r="BR300" i="10"/>
  <c r="BQ300" i="10"/>
  <c r="BS300" i="10" s="1"/>
  <c r="BO300" i="10"/>
  <c r="BM300" i="10"/>
  <c r="BL300" i="10"/>
  <c r="BK300" i="10"/>
  <c r="BJ300" i="10"/>
  <c r="BH300" i="10"/>
  <c r="BI300" i="10" s="1"/>
  <c r="BF300" i="10"/>
  <c r="BG300" i="10" s="1"/>
  <c r="BR299" i="10"/>
  <c r="BQ299" i="10"/>
  <c r="BS299" i="10" s="1"/>
  <c r="BO299" i="10"/>
  <c r="BP299" i="10" s="1"/>
  <c r="BM299" i="10"/>
  <c r="BN299" i="10" s="1"/>
  <c r="BL299" i="10"/>
  <c r="BK299" i="10"/>
  <c r="BJ299" i="10"/>
  <c r="BH299" i="10"/>
  <c r="BF299" i="10"/>
  <c r="BR298" i="10"/>
  <c r="BS298" i="10" s="1"/>
  <c r="BQ298" i="10"/>
  <c r="BO298" i="10"/>
  <c r="BP298" i="10" s="1"/>
  <c r="BM298" i="10"/>
  <c r="BL298" i="10"/>
  <c r="BK298" i="10"/>
  <c r="BJ298" i="10"/>
  <c r="BH298" i="10"/>
  <c r="BI298" i="10" s="1"/>
  <c r="BF298" i="10"/>
  <c r="BG298" i="10" s="1"/>
  <c r="BR297" i="10"/>
  <c r="BQ297" i="10"/>
  <c r="BO297" i="10"/>
  <c r="BP297" i="10" s="1"/>
  <c r="BM297" i="10"/>
  <c r="BL297" i="10"/>
  <c r="BK297" i="10"/>
  <c r="BJ297" i="10"/>
  <c r="BH297" i="10"/>
  <c r="BI297" i="10" s="1"/>
  <c r="BF297" i="10"/>
  <c r="BR296" i="10"/>
  <c r="BQ296" i="10"/>
  <c r="BO296" i="10"/>
  <c r="BM296" i="10"/>
  <c r="BL296" i="10"/>
  <c r="BK296" i="10"/>
  <c r="BJ296" i="10"/>
  <c r="BH296" i="10"/>
  <c r="BI296" i="10" s="1"/>
  <c r="BF296" i="10"/>
  <c r="BG296" i="10" s="1"/>
  <c r="BR295" i="10"/>
  <c r="BQ295" i="10"/>
  <c r="BO295" i="10"/>
  <c r="BP295" i="10" s="1"/>
  <c r="BM295" i="10"/>
  <c r="BL295" i="10"/>
  <c r="BK295" i="10"/>
  <c r="BJ295" i="10"/>
  <c r="BH295" i="10"/>
  <c r="BI295" i="10" s="1"/>
  <c r="BF295" i="10"/>
  <c r="BG295" i="10" s="1"/>
  <c r="BR294" i="10"/>
  <c r="BQ294" i="10"/>
  <c r="BO294" i="10"/>
  <c r="BP294" i="10" s="1"/>
  <c r="BM294" i="10"/>
  <c r="BL294" i="10"/>
  <c r="BK294" i="10"/>
  <c r="BJ294" i="10"/>
  <c r="BH294" i="10"/>
  <c r="BF294" i="10"/>
  <c r="BG294" i="10" s="1"/>
  <c r="BR293" i="10"/>
  <c r="BQ293" i="10"/>
  <c r="BS293" i="10" s="1"/>
  <c r="BO293" i="10"/>
  <c r="BP293" i="10" s="1"/>
  <c r="BM293" i="10"/>
  <c r="BL293" i="10"/>
  <c r="BK293" i="10"/>
  <c r="BJ293" i="10"/>
  <c r="BH293" i="10"/>
  <c r="BI293" i="10" s="1"/>
  <c r="BF293" i="10"/>
  <c r="BG293" i="10" s="1"/>
  <c r="BR292" i="10"/>
  <c r="BQ292" i="10"/>
  <c r="BS292" i="10" s="1"/>
  <c r="BO292" i="10"/>
  <c r="BP292" i="10" s="1"/>
  <c r="BM292" i="10"/>
  <c r="BL292" i="10"/>
  <c r="BK292" i="10"/>
  <c r="BJ292" i="10"/>
  <c r="BN292" i="10" s="1"/>
  <c r="BH292" i="10"/>
  <c r="BF292" i="10"/>
  <c r="BR291" i="10"/>
  <c r="BQ291" i="10"/>
  <c r="BO291" i="10"/>
  <c r="BM291" i="10"/>
  <c r="BL291" i="10"/>
  <c r="BK291" i="10"/>
  <c r="BJ291" i="10"/>
  <c r="BH291" i="10"/>
  <c r="BI291" i="10" s="1"/>
  <c r="BF291" i="10"/>
  <c r="BG291" i="10" s="1"/>
  <c r="BR290" i="10"/>
  <c r="BQ290" i="10"/>
  <c r="BO290" i="10"/>
  <c r="BP290" i="10" s="1"/>
  <c r="BM290" i="10"/>
  <c r="BL290" i="10"/>
  <c r="BK290" i="10"/>
  <c r="BJ290" i="10"/>
  <c r="BN290" i="10" s="1"/>
  <c r="BH290" i="10"/>
  <c r="BI290" i="10" s="1"/>
  <c r="BF290" i="10"/>
  <c r="BG290" i="10" s="1"/>
  <c r="BR289" i="10"/>
  <c r="BQ289" i="10"/>
  <c r="BS289" i="10" s="1"/>
  <c r="BO289" i="10"/>
  <c r="BM289" i="10"/>
  <c r="BL289" i="10"/>
  <c r="BK289" i="10"/>
  <c r="BJ289" i="10"/>
  <c r="BH289" i="10"/>
  <c r="BF289" i="10"/>
  <c r="BR288" i="10"/>
  <c r="BQ288" i="10"/>
  <c r="BS288" i="10" s="1"/>
  <c r="BO288" i="10"/>
  <c r="BP288" i="10" s="1"/>
  <c r="BM288" i="10"/>
  <c r="BL288" i="10"/>
  <c r="BK288" i="10"/>
  <c r="BJ288" i="10"/>
  <c r="BH288" i="10"/>
  <c r="BI288" i="10" s="1"/>
  <c r="BF288" i="10"/>
  <c r="BG288" i="10" s="1"/>
  <c r="BR287" i="10"/>
  <c r="BQ287" i="10"/>
  <c r="BS287" i="10" s="1"/>
  <c r="BO287" i="10"/>
  <c r="BP287" i="10" s="1"/>
  <c r="BM287" i="10"/>
  <c r="BL287" i="10"/>
  <c r="BK287" i="10"/>
  <c r="BN287" i="10" s="1"/>
  <c r="BJ287" i="10"/>
  <c r="BH287" i="10"/>
  <c r="BF287" i="10"/>
  <c r="BR286" i="10"/>
  <c r="BQ286" i="10"/>
  <c r="BO286" i="10"/>
  <c r="BP286" i="10" s="1"/>
  <c r="BM286" i="10"/>
  <c r="BL286" i="10"/>
  <c r="BK286" i="10"/>
  <c r="BJ286" i="10"/>
  <c r="BH286" i="10"/>
  <c r="BI286" i="10" s="1"/>
  <c r="BF286" i="10"/>
  <c r="BR285" i="10"/>
  <c r="BQ285" i="10"/>
  <c r="BS285" i="10" s="1"/>
  <c r="BO285" i="10"/>
  <c r="BP285" i="10" s="1"/>
  <c r="BM285" i="10"/>
  <c r="BL285" i="10"/>
  <c r="BK285" i="10"/>
  <c r="BJ285" i="10"/>
  <c r="BH285" i="10"/>
  <c r="BI285" i="10" s="1"/>
  <c r="BF285" i="10"/>
  <c r="BG285" i="10" s="1"/>
  <c r="BR284" i="10"/>
  <c r="BS284" i="10" s="1"/>
  <c r="BQ284" i="10"/>
  <c r="BO284" i="10"/>
  <c r="BM284" i="10"/>
  <c r="BL284" i="10"/>
  <c r="BK284" i="10"/>
  <c r="BJ284" i="10"/>
  <c r="BN284" i="10" s="1"/>
  <c r="BH284" i="10"/>
  <c r="BF284" i="10"/>
  <c r="BG284" i="10" s="1"/>
  <c r="BR283" i="10"/>
  <c r="BQ283" i="10"/>
  <c r="BO283" i="10"/>
  <c r="BP283" i="10" s="1"/>
  <c r="BM283" i="10"/>
  <c r="BL283" i="10"/>
  <c r="BK283" i="10"/>
  <c r="BJ283" i="10"/>
  <c r="BN283" i="10" s="1"/>
  <c r="BH283" i="10"/>
  <c r="BI283" i="10" s="1"/>
  <c r="BF283" i="10"/>
  <c r="BG283" i="10" s="1"/>
  <c r="BR282" i="10"/>
  <c r="BQ282" i="10"/>
  <c r="BO282" i="10"/>
  <c r="BP282" i="10" s="1"/>
  <c r="BM282" i="10"/>
  <c r="BL282" i="10"/>
  <c r="BN282" i="10" s="1"/>
  <c r="BK282" i="10"/>
  <c r="BJ282" i="10"/>
  <c r="BH282" i="10"/>
  <c r="BF282" i="10"/>
  <c r="BR281" i="10"/>
  <c r="BQ281" i="10"/>
  <c r="BS281" i="10" s="1"/>
  <c r="BO281" i="10"/>
  <c r="BM281" i="10"/>
  <c r="BL281" i="10"/>
  <c r="BK281" i="10"/>
  <c r="BJ281" i="10"/>
  <c r="BH281" i="10"/>
  <c r="BI281" i="10" s="1"/>
  <c r="BF281" i="10"/>
  <c r="BG281" i="10" s="1"/>
  <c r="BR280" i="10"/>
  <c r="BQ280" i="10"/>
  <c r="BS280" i="10" s="1"/>
  <c r="BO280" i="10"/>
  <c r="BP280" i="10" s="1"/>
  <c r="BM280" i="10"/>
  <c r="BL280" i="10"/>
  <c r="BK280" i="10"/>
  <c r="BJ280" i="10"/>
  <c r="BH280" i="10"/>
  <c r="BI280" i="10" s="1"/>
  <c r="BF280" i="10"/>
  <c r="BG280" i="10" s="1"/>
  <c r="BR279" i="10"/>
  <c r="BQ279" i="10"/>
  <c r="BO279" i="10"/>
  <c r="BM279" i="10"/>
  <c r="BL279" i="10"/>
  <c r="BK279" i="10"/>
  <c r="BN279" i="10" s="1"/>
  <c r="BJ279" i="10"/>
  <c r="BH279" i="10"/>
  <c r="BI279" i="10" s="1"/>
  <c r="BF279" i="10"/>
  <c r="BG279" i="10" s="1"/>
  <c r="BR278" i="10"/>
  <c r="BQ278" i="10"/>
  <c r="BS278" i="10" s="1"/>
  <c r="BO278" i="10"/>
  <c r="BM278" i="10"/>
  <c r="BL278" i="10"/>
  <c r="BK278" i="10"/>
  <c r="BJ278" i="10"/>
  <c r="BN278" i="10" s="1"/>
  <c r="BH278" i="10"/>
  <c r="BI278" i="10" s="1"/>
  <c r="BF278" i="10"/>
  <c r="BG278" i="10" s="1"/>
  <c r="BR277" i="10"/>
  <c r="BQ277" i="10"/>
  <c r="BS277" i="10" s="1"/>
  <c r="BO277" i="10"/>
  <c r="BP277" i="10" s="1"/>
  <c r="BM277" i="10"/>
  <c r="BN277" i="10" s="1"/>
  <c r="BL277" i="10"/>
  <c r="BK277" i="10"/>
  <c r="BJ277" i="10"/>
  <c r="BH277" i="10"/>
  <c r="BF277" i="10"/>
  <c r="BR276" i="10"/>
  <c r="BS276" i="10" s="1"/>
  <c r="BQ276" i="10"/>
  <c r="BO276" i="10"/>
  <c r="BP276" i="10" s="1"/>
  <c r="BM276" i="10"/>
  <c r="BL276" i="10"/>
  <c r="BK276" i="10"/>
  <c r="BJ276" i="10"/>
  <c r="BH276" i="10"/>
  <c r="BI276" i="10" s="1"/>
  <c r="BF276" i="10"/>
  <c r="BG276" i="10" s="1"/>
  <c r="BR275" i="10"/>
  <c r="BQ275" i="10"/>
  <c r="BS275" i="10" s="1"/>
  <c r="BO275" i="10"/>
  <c r="BP275" i="10" s="1"/>
  <c r="BM275" i="10"/>
  <c r="BL275" i="10"/>
  <c r="BK275" i="10"/>
  <c r="BJ275" i="10"/>
  <c r="BH275" i="10"/>
  <c r="BI275" i="10" s="1"/>
  <c r="BF275" i="10"/>
  <c r="BR274" i="10"/>
  <c r="BQ274" i="10"/>
  <c r="BO274" i="10"/>
  <c r="BM274" i="10"/>
  <c r="BL274" i="10"/>
  <c r="BK274" i="10"/>
  <c r="BJ274" i="10"/>
  <c r="BH274" i="10"/>
  <c r="BI274" i="10" s="1"/>
  <c r="BF274" i="10"/>
  <c r="BG274" i="10" s="1"/>
  <c r="BR273" i="10"/>
  <c r="BQ273" i="10"/>
  <c r="BO273" i="10"/>
  <c r="BP273" i="10" s="1"/>
  <c r="BM273" i="10"/>
  <c r="BL273" i="10"/>
  <c r="BK273" i="10"/>
  <c r="BJ273" i="10"/>
  <c r="BH273" i="10"/>
  <c r="BI273" i="10" s="1"/>
  <c r="BF273" i="10"/>
  <c r="BG273" i="10" s="1"/>
  <c r="BR272" i="10"/>
  <c r="BQ272" i="10"/>
  <c r="BO272" i="10"/>
  <c r="BP272" i="10" s="1"/>
  <c r="BM272" i="10"/>
  <c r="BL272" i="10"/>
  <c r="BK272" i="10"/>
  <c r="BJ272" i="10"/>
  <c r="BH272" i="10"/>
  <c r="BF272" i="10"/>
  <c r="BG272" i="10" s="1"/>
  <c r="BR271" i="10"/>
  <c r="BQ271" i="10"/>
  <c r="BS271" i="10" s="1"/>
  <c r="BO271" i="10"/>
  <c r="BP271" i="10" s="1"/>
  <c r="BM271" i="10"/>
  <c r="BL271" i="10"/>
  <c r="BK271" i="10"/>
  <c r="BJ271" i="10"/>
  <c r="BH271" i="10"/>
  <c r="BI271" i="10" s="1"/>
  <c r="BF271" i="10"/>
  <c r="BG271" i="10" s="1"/>
  <c r="BR270" i="10"/>
  <c r="BQ270" i="10"/>
  <c r="BO270" i="10"/>
  <c r="BP270" i="10" s="1"/>
  <c r="BM270" i="10"/>
  <c r="BL270" i="10"/>
  <c r="BK270" i="10"/>
  <c r="BJ270" i="10"/>
  <c r="BN270" i="10" s="1"/>
  <c r="BH270" i="10"/>
  <c r="BF270" i="10"/>
  <c r="BR269" i="10"/>
  <c r="BQ269" i="10"/>
  <c r="BO269" i="10"/>
  <c r="BM269" i="10"/>
  <c r="BL269" i="10"/>
  <c r="BK269" i="10"/>
  <c r="BJ269" i="10"/>
  <c r="BN269" i="10" s="1"/>
  <c r="BH269" i="10"/>
  <c r="BI269" i="10" s="1"/>
  <c r="BF269" i="10"/>
  <c r="BG269" i="10" s="1"/>
  <c r="BR268" i="10"/>
  <c r="BQ268" i="10"/>
  <c r="BS268" i="10" s="1"/>
  <c r="BO268" i="10"/>
  <c r="BP268" i="10" s="1"/>
  <c r="BM268" i="10"/>
  <c r="BL268" i="10"/>
  <c r="BK268" i="10"/>
  <c r="BJ268" i="10"/>
  <c r="BN268" i="10" s="1"/>
  <c r="BH268" i="10"/>
  <c r="BI268" i="10" s="1"/>
  <c r="BF268" i="10"/>
  <c r="BG268" i="10" s="1"/>
  <c r="BR267" i="10"/>
  <c r="BQ267" i="10"/>
  <c r="BO267" i="10"/>
  <c r="BM267" i="10"/>
  <c r="BL267" i="10"/>
  <c r="BK267" i="10"/>
  <c r="BJ267" i="10"/>
  <c r="BH267" i="10"/>
  <c r="BI267" i="10" s="1"/>
  <c r="BF267" i="10"/>
  <c r="BR266" i="10"/>
  <c r="BQ266" i="10"/>
  <c r="BS266" i="10" s="1"/>
  <c r="BO266" i="10"/>
  <c r="BP266" i="10" s="1"/>
  <c r="BM266" i="10"/>
  <c r="BL266" i="10"/>
  <c r="BK266" i="10"/>
  <c r="BJ266" i="10"/>
  <c r="BH266" i="10"/>
  <c r="BI266" i="10" s="1"/>
  <c r="BF266" i="10"/>
  <c r="BG266" i="10" s="1"/>
  <c r="BR265" i="10"/>
  <c r="BQ265" i="10"/>
  <c r="BS265" i="10" s="1"/>
  <c r="BO265" i="10"/>
  <c r="BP265" i="10" s="1"/>
  <c r="BM265" i="10"/>
  <c r="BL265" i="10"/>
  <c r="BK265" i="10"/>
  <c r="BN265" i="10" s="1"/>
  <c r="BJ265" i="10"/>
  <c r="BH265" i="10"/>
  <c r="BF265" i="10"/>
  <c r="BR264" i="10"/>
  <c r="BQ264" i="10"/>
  <c r="BO264" i="10"/>
  <c r="BP264" i="10" s="1"/>
  <c r="BM264" i="10"/>
  <c r="BL264" i="10"/>
  <c r="BK264" i="10"/>
  <c r="BJ264" i="10"/>
  <c r="BH264" i="10"/>
  <c r="BI264" i="10" s="1"/>
  <c r="BF264" i="10"/>
  <c r="BG264" i="10" s="1"/>
  <c r="BR263" i="10"/>
  <c r="BQ263" i="10"/>
  <c r="BS263" i="10" s="1"/>
  <c r="BO263" i="10"/>
  <c r="BP263" i="10" s="1"/>
  <c r="BM263" i="10"/>
  <c r="BL263" i="10"/>
  <c r="BK263" i="10"/>
  <c r="BJ263" i="10"/>
  <c r="BH263" i="10"/>
  <c r="BI263" i="10" s="1"/>
  <c r="BF263" i="10"/>
  <c r="BG263" i="10" s="1"/>
  <c r="BR262" i="10"/>
  <c r="BS262" i="10" s="1"/>
  <c r="BQ262" i="10"/>
  <c r="BO262" i="10"/>
  <c r="BM262" i="10"/>
  <c r="BL262" i="10"/>
  <c r="BK262" i="10"/>
  <c r="BJ262" i="10"/>
  <c r="BH262" i="10"/>
  <c r="BF262" i="10"/>
  <c r="BG262" i="10" s="1"/>
  <c r="BR261" i="10"/>
  <c r="BS261" i="10" s="1"/>
  <c r="BQ261" i="10"/>
  <c r="BO261" i="10"/>
  <c r="BM261" i="10"/>
  <c r="BL261" i="10"/>
  <c r="BK261" i="10"/>
  <c r="BJ261" i="10"/>
  <c r="BH261" i="10"/>
  <c r="BI261" i="10" s="1"/>
  <c r="BF261" i="10"/>
  <c r="BG261" i="10" s="1"/>
  <c r="BR260" i="10"/>
  <c r="BQ260" i="10"/>
  <c r="BO260" i="10"/>
  <c r="BP260" i="10" s="1"/>
  <c r="BM260" i="10"/>
  <c r="BL260" i="10"/>
  <c r="BN260" i="10" s="1"/>
  <c r="BK260" i="10"/>
  <c r="BJ260" i="10"/>
  <c r="BH260" i="10"/>
  <c r="BF260" i="10"/>
  <c r="BR259" i="10"/>
  <c r="BQ259" i="10"/>
  <c r="BS259" i="10" s="1"/>
  <c r="BO259" i="10"/>
  <c r="BM259" i="10"/>
  <c r="BL259" i="10"/>
  <c r="BK259" i="10"/>
  <c r="BJ259" i="10"/>
  <c r="BH259" i="10"/>
  <c r="BI259" i="10" s="1"/>
  <c r="BF259" i="10"/>
  <c r="BG259" i="10" s="1"/>
  <c r="BR258" i="10"/>
  <c r="BQ258" i="10"/>
  <c r="BO258" i="10"/>
  <c r="BP258" i="10" s="1"/>
  <c r="BM258" i="10"/>
  <c r="BL258" i="10"/>
  <c r="BK258" i="10"/>
  <c r="BJ258" i="10"/>
  <c r="BH258" i="10"/>
  <c r="BI258" i="10" s="1"/>
  <c r="BF258" i="10"/>
  <c r="BG258" i="10" s="1"/>
  <c r="BR257" i="10"/>
  <c r="BQ257" i="10"/>
  <c r="BO257" i="10"/>
  <c r="BM257" i="10"/>
  <c r="BL257" i="10"/>
  <c r="BK257" i="10"/>
  <c r="BJ257" i="10"/>
  <c r="BH257" i="10"/>
  <c r="BI257" i="10" s="1"/>
  <c r="BF257" i="10"/>
  <c r="BG257" i="10" s="1"/>
  <c r="BR256" i="10"/>
  <c r="BQ256" i="10"/>
  <c r="BS256" i="10" s="1"/>
  <c r="BO256" i="10"/>
  <c r="BM256" i="10"/>
  <c r="BL256" i="10"/>
  <c r="BK256" i="10"/>
  <c r="BJ256" i="10"/>
  <c r="BN256" i="10" s="1"/>
  <c r="BH256" i="10"/>
  <c r="BI256" i="10" s="1"/>
  <c r="BF256" i="10"/>
  <c r="BG256" i="10" s="1"/>
  <c r="BR255" i="10"/>
  <c r="BQ255" i="10"/>
  <c r="BS255" i="10" s="1"/>
  <c r="BO255" i="10"/>
  <c r="BP255" i="10" s="1"/>
  <c r="BM255" i="10"/>
  <c r="BN255" i="10" s="1"/>
  <c r="BL255" i="10"/>
  <c r="BK255" i="10"/>
  <c r="BJ255" i="10"/>
  <c r="BH255" i="10"/>
  <c r="BF255" i="10"/>
  <c r="BR254" i="10"/>
  <c r="BS254" i="10" s="1"/>
  <c r="BQ254" i="10"/>
  <c r="BO254" i="10"/>
  <c r="BP254" i="10" s="1"/>
  <c r="BM254" i="10"/>
  <c r="BL254" i="10"/>
  <c r="BK254" i="10"/>
  <c r="BJ254" i="10"/>
  <c r="BH254" i="10"/>
  <c r="BI254" i="10" s="1"/>
  <c r="BF254" i="10"/>
  <c r="BG254" i="10" s="1"/>
  <c r="BR253" i="10"/>
  <c r="BQ253" i="10"/>
  <c r="BS253" i="10" s="1"/>
  <c r="BO253" i="10"/>
  <c r="BP253" i="10" s="1"/>
  <c r="BM253" i="10"/>
  <c r="BL253" i="10"/>
  <c r="BK253" i="10"/>
  <c r="BJ253" i="10"/>
  <c r="BH253" i="10"/>
  <c r="BI253" i="10" s="1"/>
  <c r="BF253" i="10"/>
  <c r="BR252" i="10"/>
  <c r="BQ252" i="10"/>
  <c r="BO252" i="10"/>
  <c r="BM252" i="10"/>
  <c r="BL252" i="10"/>
  <c r="BK252" i="10"/>
  <c r="BJ252" i="10"/>
  <c r="BH252" i="10"/>
  <c r="BI252" i="10" s="1"/>
  <c r="BF252" i="10"/>
  <c r="BG252" i="10" s="1"/>
  <c r="BR251" i="10"/>
  <c r="BQ251" i="10"/>
  <c r="BO251" i="10"/>
  <c r="BP251" i="10" s="1"/>
  <c r="BM251" i="10"/>
  <c r="BL251" i="10"/>
  <c r="BK251" i="10"/>
  <c r="BJ251" i="10"/>
  <c r="BN251" i="10" s="1"/>
  <c r="BH251" i="10"/>
  <c r="BI251" i="10" s="1"/>
  <c r="BF251" i="10"/>
  <c r="BG251" i="10" s="1"/>
  <c r="BR250" i="10"/>
  <c r="BQ250" i="10"/>
  <c r="BO250" i="10"/>
  <c r="BP250" i="10" s="1"/>
  <c r="BM250" i="10"/>
  <c r="BL250" i="10"/>
  <c r="BK250" i="10"/>
  <c r="BJ250" i="10"/>
  <c r="BH250" i="10"/>
  <c r="BF250" i="10"/>
  <c r="BG250" i="10" s="1"/>
  <c r="BR249" i="10"/>
  <c r="BQ249" i="10"/>
  <c r="BS249" i="10" s="1"/>
  <c r="BO249" i="10"/>
  <c r="BP249" i="10" s="1"/>
  <c r="BM249" i="10"/>
  <c r="BL249" i="10"/>
  <c r="BK249" i="10"/>
  <c r="BJ249" i="10"/>
  <c r="BH249" i="10"/>
  <c r="BI249" i="10" s="1"/>
  <c r="BF249" i="10"/>
  <c r="BG249" i="10" s="1"/>
  <c r="BR248" i="10"/>
  <c r="BQ248" i="10"/>
  <c r="BS248" i="10" s="1"/>
  <c r="BO248" i="10"/>
  <c r="BP248" i="10" s="1"/>
  <c r="BM248" i="10"/>
  <c r="BL248" i="10"/>
  <c r="BK248" i="10"/>
  <c r="BJ248" i="10"/>
  <c r="BH248" i="10"/>
  <c r="BF248" i="10"/>
  <c r="BR247" i="10"/>
  <c r="BQ247" i="10"/>
  <c r="BO247" i="10"/>
  <c r="BM247" i="10"/>
  <c r="BL247" i="10"/>
  <c r="BK247" i="10"/>
  <c r="BJ247" i="10"/>
  <c r="BN247" i="10" s="1"/>
  <c r="BH247" i="10"/>
  <c r="BF247" i="10"/>
  <c r="BG247" i="10" s="1"/>
  <c r="BR246" i="10"/>
  <c r="BQ246" i="10"/>
  <c r="BS246" i="10" s="1"/>
  <c r="BO246" i="10"/>
  <c r="BP246" i="10" s="1"/>
  <c r="BM246" i="10"/>
  <c r="BL246" i="10"/>
  <c r="BK246" i="10"/>
  <c r="BJ246" i="10"/>
  <c r="BN246" i="10" s="1"/>
  <c r="BH246" i="10"/>
  <c r="BI246" i="10" s="1"/>
  <c r="BF246" i="10"/>
  <c r="BG246" i="10" s="1"/>
  <c r="BR245" i="10"/>
  <c r="BQ245" i="10"/>
  <c r="BS245" i="10" s="1"/>
  <c r="BO245" i="10"/>
  <c r="BM245" i="10"/>
  <c r="BL245" i="10"/>
  <c r="BK245" i="10"/>
  <c r="BJ245" i="10"/>
  <c r="BH245" i="10"/>
  <c r="BF245" i="10"/>
  <c r="BR244" i="10"/>
  <c r="BQ244" i="10"/>
  <c r="BS244" i="10" s="1"/>
  <c r="BO244" i="10"/>
  <c r="BP244" i="10" s="1"/>
  <c r="BM244" i="10"/>
  <c r="BL244" i="10"/>
  <c r="BK244" i="10"/>
  <c r="BJ244" i="10"/>
  <c r="BH244" i="10"/>
  <c r="BI244" i="10" s="1"/>
  <c r="BF244" i="10"/>
  <c r="BG244" i="10" s="1"/>
  <c r="BR243" i="10"/>
  <c r="BQ243" i="10"/>
  <c r="BS243" i="10" s="1"/>
  <c r="BO243" i="10"/>
  <c r="BP243" i="10" s="1"/>
  <c r="BM243" i="10"/>
  <c r="BL243" i="10"/>
  <c r="BK243" i="10"/>
  <c r="BN243" i="10" s="1"/>
  <c r="BJ243" i="10"/>
  <c r="BH243" i="10"/>
  <c r="BF243" i="10"/>
  <c r="BR242" i="10"/>
  <c r="BQ242" i="10"/>
  <c r="BO242" i="10"/>
  <c r="BM242" i="10"/>
  <c r="BL242" i="10"/>
  <c r="BK242" i="10"/>
  <c r="BJ242" i="10"/>
  <c r="BH242" i="10"/>
  <c r="BI242" i="10" s="1"/>
  <c r="BF242" i="10"/>
  <c r="BG242" i="10" s="1"/>
  <c r="BR241" i="10"/>
  <c r="BQ241" i="10"/>
  <c r="BS241" i="10" s="1"/>
  <c r="BO241" i="10"/>
  <c r="BP241" i="10" s="1"/>
  <c r="BM241" i="10"/>
  <c r="BL241" i="10"/>
  <c r="BK241" i="10"/>
  <c r="BJ241" i="10"/>
  <c r="BH241" i="10"/>
  <c r="BI241" i="10" s="1"/>
  <c r="BF241" i="10"/>
  <c r="BG241" i="10" s="1"/>
  <c r="BR240" i="10"/>
  <c r="BS240" i="10" s="1"/>
  <c r="BQ240" i="10"/>
  <c r="BO240" i="10"/>
  <c r="BM240" i="10"/>
  <c r="BL240" i="10"/>
  <c r="BK240" i="10"/>
  <c r="BJ240" i="10"/>
  <c r="BN240" i="10" s="1"/>
  <c r="BH240" i="10"/>
  <c r="BF240" i="10"/>
  <c r="BG240" i="10" s="1"/>
  <c r="BR239" i="10"/>
  <c r="BQ239" i="10"/>
  <c r="BO239" i="10"/>
  <c r="BP239" i="10" s="1"/>
  <c r="BM239" i="10"/>
  <c r="BL239" i="10"/>
  <c r="BK239" i="10"/>
  <c r="BJ239" i="10"/>
  <c r="BN239" i="10" s="1"/>
  <c r="BH239" i="10"/>
  <c r="BI239" i="10" s="1"/>
  <c r="BF239" i="10"/>
  <c r="BG239" i="10" s="1"/>
  <c r="BR238" i="10"/>
  <c r="BQ238" i="10"/>
  <c r="BO238" i="10"/>
  <c r="BP238" i="10" s="1"/>
  <c r="BM238" i="10"/>
  <c r="BL238" i="10"/>
  <c r="BN238" i="10" s="1"/>
  <c r="BK238" i="10"/>
  <c r="BJ238" i="10"/>
  <c r="BH238" i="10"/>
  <c r="BF238" i="10"/>
  <c r="BR237" i="10"/>
  <c r="BQ237" i="10"/>
  <c r="BO237" i="10"/>
  <c r="BM237" i="10"/>
  <c r="BL237" i="10"/>
  <c r="BK237" i="10"/>
  <c r="BJ237" i="10"/>
  <c r="BH237" i="10"/>
  <c r="BI237" i="10" s="1"/>
  <c r="BF237" i="10"/>
  <c r="BG237" i="10" s="1"/>
  <c r="BR236" i="10"/>
  <c r="BQ236" i="10"/>
  <c r="BS236" i="10" s="1"/>
  <c r="BO236" i="10"/>
  <c r="BP236" i="10" s="1"/>
  <c r="BM236" i="10"/>
  <c r="BL236" i="10"/>
  <c r="BK236" i="10"/>
  <c r="BJ236" i="10"/>
  <c r="BH236" i="10"/>
  <c r="BI236" i="10" s="1"/>
  <c r="BF236" i="10"/>
  <c r="BG236" i="10" s="1"/>
  <c r="BR235" i="10"/>
  <c r="BQ235" i="10"/>
  <c r="BO235" i="10"/>
  <c r="BM235" i="10"/>
  <c r="BL235" i="10"/>
  <c r="BK235" i="10"/>
  <c r="BJ235" i="10"/>
  <c r="BH235" i="10"/>
  <c r="BI235" i="10" s="1"/>
  <c r="BF235" i="10"/>
  <c r="BG235" i="10" s="1"/>
  <c r="BR234" i="10"/>
  <c r="BQ234" i="10"/>
  <c r="BS234" i="10" s="1"/>
  <c r="BO234" i="10"/>
  <c r="BP234" i="10" s="1"/>
  <c r="BM234" i="10"/>
  <c r="BL234" i="10"/>
  <c r="BK234" i="10"/>
  <c r="BJ234" i="10"/>
  <c r="BN234" i="10" s="1"/>
  <c r="BH234" i="10"/>
  <c r="BI234" i="10" s="1"/>
  <c r="BF234" i="10"/>
  <c r="BG234" i="10" s="1"/>
  <c r="BR233" i="10"/>
  <c r="BQ233" i="10"/>
  <c r="BS233" i="10" s="1"/>
  <c r="BO233" i="10"/>
  <c r="BP233" i="10" s="1"/>
  <c r="BM233" i="10"/>
  <c r="BL233" i="10"/>
  <c r="BK233" i="10"/>
  <c r="BJ233" i="10"/>
  <c r="BH233" i="10"/>
  <c r="BF233" i="10"/>
  <c r="BR232" i="10"/>
  <c r="BS232" i="10" s="1"/>
  <c r="BQ232" i="10"/>
  <c r="BO232" i="10"/>
  <c r="BP232" i="10" s="1"/>
  <c r="BM232" i="10"/>
  <c r="BL232" i="10"/>
  <c r="BK232" i="10"/>
  <c r="BJ232" i="10"/>
  <c r="BH232" i="10"/>
  <c r="BI232" i="10" s="1"/>
  <c r="BF232" i="10"/>
  <c r="BG232" i="10" s="1"/>
  <c r="BR231" i="10"/>
  <c r="BQ231" i="10"/>
  <c r="BS231" i="10" s="1"/>
  <c r="BO231" i="10"/>
  <c r="BP231" i="10" s="1"/>
  <c r="BM231" i="10"/>
  <c r="BL231" i="10"/>
  <c r="BK231" i="10"/>
  <c r="BJ231" i="10"/>
  <c r="BH231" i="10"/>
  <c r="BI231" i="10" s="1"/>
  <c r="BF231" i="10"/>
  <c r="BR230" i="10"/>
  <c r="BQ230" i="10"/>
  <c r="BO230" i="10"/>
  <c r="BM230" i="10"/>
  <c r="BL230" i="10"/>
  <c r="BK230" i="10"/>
  <c r="BJ230" i="10"/>
  <c r="BH230" i="10"/>
  <c r="BI230" i="10" s="1"/>
  <c r="BF230" i="10"/>
  <c r="BG230" i="10" s="1"/>
  <c r="BR229" i="10"/>
  <c r="BQ229" i="10"/>
  <c r="BO229" i="10"/>
  <c r="BP229" i="10" s="1"/>
  <c r="BM229" i="10"/>
  <c r="BL229" i="10"/>
  <c r="BK229" i="10"/>
  <c r="BJ229" i="10"/>
  <c r="BN229" i="10" s="1"/>
  <c r="BH229" i="10"/>
  <c r="BI229" i="10" s="1"/>
  <c r="BF229" i="10"/>
  <c r="BG229" i="10" s="1"/>
  <c r="BR228" i="10"/>
  <c r="BQ228" i="10"/>
  <c r="BO228" i="10"/>
  <c r="BP228" i="10" s="1"/>
  <c r="BM228" i="10"/>
  <c r="BL228" i="10"/>
  <c r="BK228" i="10"/>
  <c r="BJ228" i="10"/>
  <c r="BH228" i="10"/>
  <c r="BF228" i="10"/>
  <c r="BG228" i="10" s="1"/>
  <c r="BR227" i="10"/>
  <c r="BQ227" i="10"/>
  <c r="BO227" i="10"/>
  <c r="BP227" i="10" s="1"/>
  <c r="BM227" i="10"/>
  <c r="BL227" i="10"/>
  <c r="BK227" i="10"/>
  <c r="BJ227" i="10"/>
  <c r="BH227" i="10"/>
  <c r="BI227" i="10" s="1"/>
  <c r="BF227" i="10"/>
  <c r="BG227" i="10" s="1"/>
  <c r="BR226" i="10"/>
  <c r="BQ226" i="10"/>
  <c r="BS226" i="10" s="1"/>
  <c r="BO226" i="10"/>
  <c r="BP226" i="10" s="1"/>
  <c r="BM226" i="10"/>
  <c r="BL226" i="10"/>
  <c r="BK226" i="10"/>
  <c r="BJ226" i="10"/>
  <c r="BN226" i="10" s="1"/>
  <c r="BH226" i="10"/>
  <c r="BF226" i="10"/>
  <c r="BR225" i="10"/>
  <c r="BQ225" i="10"/>
  <c r="BO225" i="10"/>
  <c r="BM225" i="10"/>
  <c r="BL225" i="10"/>
  <c r="BK225" i="10"/>
  <c r="BJ225" i="10"/>
  <c r="BN225" i="10" s="1"/>
  <c r="BH225" i="10"/>
  <c r="BI225" i="10" s="1"/>
  <c r="BF225" i="10"/>
  <c r="BG225" i="10" s="1"/>
  <c r="BR224" i="10"/>
  <c r="BQ224" i="10"/>
  <c r="BO224" i="10"/>
  <c r="BP224" i="10" s="1"/>
  <c r="BM224" i="10"/>
  <c r="BL224" i="10"/>
  <c r="BK224" i="10"/>
  <c r="BJ224" i="10"/>
  <c r="BN224" i="10" s="1"/>
  <c r="BH224" i="10"/>
  <c r="BI224" i="10" s="1"/>
  <c r="BF224" i="10"/>
  <c r="BG224" i="10" s="1"/>
  <c r="BR223" i="10"/>
  <c r="BQ223" i="10"/>
  <c r="BS223" i="10" s="1"/>
  <c r="BO223" i="10"/>
  <c r="BM223" i="10"/>
  <c r="BL223" i="10"/>
  <c r="BK223" i="10"/>
  <c r="BJ223" i="10"/>
  <c r="BH223" i="10"/>
  <c r="BI223" i="10" s="1"/>
  <c r="BF223" i="10"/>
  <c r="BR222" i="10"/>
  <c r="BQ222" i="10"/>
  <c r="BS222" i="10" s="1"/>
  <c r="BO222" i="10"/>
  <c r="BP222" i="10" s="1"/>
  <c r="BM222" i="10"/>
  <c r="BL222" i="10"/>
  <c r="BK222" i="10"/>
  <c r="BJ222" i="10"/>
  <c r="BN222" i="10" s="1"/>
  <c r="BH222" i="10"/>
  <c r="BI222" i="10" s="1"/>
  <c r="BF222" i="10"/>
  <c r="BG222" i="10" s="1"/>
  <c r="BR221" i="10"/>
  <c r="BQ221" i="10"/>
  <c r="BS221" i="10" s="1"/>
  <c r="BO221" i="10"/>
  <c r="BP221" i="10" s="1"/>
  <c r="BM221" i="10"/>
  <c r="BL221" i="10"/>
  <c r="BK221" i="10"/>
  <c r="BN221" i="10" s="1"/>
  <c r="BJ221" i="10"/>
  <c r="BH221" i="10"/>
  <c r="BF221" i="10"/>
  <c r="BR220" i="10"/>
  <c r="BQ220" i="10"/>
  <c r="BO220" i="10"/>
  <c r="BM220" i="10"/>
  <c r="BL220" i="10"/>
  <c r="BK220" i="10"/>
  <c r="BJ220" i="10"/>
  <c r="BH220" i="10"/>
  <c r="BI220" i="10" s="1"/>
  <c r="BF220" i="10"/>
  <c r="BR219" i="10"/>
  <c r="BQ219" i="10"/>
  <c r="BS219" i="10" s="1"/>
  <c r="BO219" i="10"/>
  <c r="BP219" i="10" s="1"/>
  <c r="BM219" i="10"/>
  <c r="BL219" i="10"/>
  <c r="BK219" i="10"/>
  <c r="BJ219" i="10"/>
  <c r="BH219" i="10"/>
  <c r="BI219" i="10" s="1"/>
  <c r="BF219" i="10"/>
  <c r="BG219" i="10" s="1"/>
  <c r="BR218" i="10"/>
  <c r="BS218" i="10" s="1"/>
  <c r="BQ218" i="10"/>
  <c r="BO218" i="10"/>
  <c r="BM218" i="10"/>
  <c r="BL218" i="10"/>
  <c r="BK218" i="10"/>
  <c r="BJ218" i="10"/>
  <c r="BN218" i="10" s="1"/>
  <c r="BH218" i="10"/>
  <c r="BF218" i="10"/>
  <c r="BR217" i="10"/>
  <c r="BQ217" i="10"/>
  <c r="BO217" i="10"/>
  <c r="BP217" i="10" s="1"/>
  <c r="BM217" i="10"/>
  <c r="BL217" i="10"/>
  <c r="BK217" i="10"/>
  <c r="BJ217" i="10"/>
  <c r="BN217" i="10" s="1"/>
  <c r="BH217" i="10"/>
  <c r="BI217" i="10" s="1"/>
  <c r="BF217" i="10"/>
  <c r="BG217" i="10" s="1"/>
  <c r="BR216" i="10"/>
  <c r="BQ216" i="10"/>
  <c r="BO216" i="10"/>
  <c r="BP216" i="10" s="1"/>
  <c r="BM216" i="10"/>
  <c r="BL216" i="10"/>
  <c r="BN216" i="10" s="1"/>
  <c r="BK216" i="10"/>
  <c r="BJ216" i="10"/>
  <c r="BH216" i="10"/>
  <c r="BF216" i="10"/>
  <c r="BR215" i="10"/>
  <c r="BQ215" i="10"/>
  <c r="BO215" i="10"/>
  <c r="BM215" i="10"/>
  <c r="BL215" i="10"/>
  <c r="BK215" i="10"/>
  <c r="BJ215" i="10"/>
  <c r="BH215" i="10"/>
  <c r="BI215" i="10" s="1"/>
  <c r="BF215" i="10"/>
  <c r="BG215" i="10" s="1"/>
  <c r="BR214" i="10"/>
  <c r="BQ214" i="10"/>
  <c r="BS214" i="10" s="1"/>
  <c r="BO214" i="10"/>
  <c r="BP214" i="10" s="1"/>
  <c r="BM214" i="10"/>
  <c r="BL214" i="10"/>
  <c r="BK214" i="10"/>
  <c r="BJ214" i="10"/>
  <c r="BH214" i="10"/>
  <c r="BI214" i="10" s="1"/>
  <c r="BF214" i="10"/>
  <c r="BG214" i="10" s="1"/>
  <c r="BR213" i="10"/>
  <c r="BQ213" i="10"/>
  <c r="BO213" i="10"/>
  <c r="BM213" i="10"/>
  <c r="BL213" i="10"/>
  <c r="BK213" i="10"/>
  <c r="BJ213" i="10"/>
  <c r="BH213" i="10"/>
  <c r="BI213" i="10" s="1"/>
  <c r="BF213" i="10"/>
  <c r="BG213" i="10" s="1"/>
  <c r="BR212" i="10"/>
  <c r="BQ212" i="10"/>
  <c r="BS212" i="10" s="1"/>
  <c r="BO212" i="10"/>
  <c r="BP212" i="10" s="1"/>
  <c r="BM212" i="10"/>
  <c r="BL212" i="10"/>
  <c r="BK212" i="10"/>
  <c r="BJ212" i="10"/>
  <c r="BH212" i="10"/>
  <c r="BI212" i="10" s="1"/>
  <c r="BF212" i="10"/>
  <c r="BG212" i="10" s="1"/>
  <c r="BR211" i="10"/>
  <c r="BQ211" i="10"/>
  <c r="BS211" i="10" s="1"/>
  <c r="BO211" i="10"/>
  <c r="BP211" i="10" s="1"/>
  <c r="BM211" i="10"/>
  <c r="BN211" i="10" s="1"/>
  <c r="BL211" i="10"/>
  <c r="BK211" i="10"/>
  <c r="BJ211" i="10"/>
  <c r="BH211" i="10"/>
  <c r="BF211" i="10"/>
  <c r="BR210" i="10"/>
  <c r="BQ210" i="10"/>
  <c r="BO210" i="10"/>
  <c r="BP210" i="10" s="1"/>
  <c r="BM210" i="10"/>
  <c r="BL210" i="10"/>
  <c r="BK210" i="10"/>
  <c r="BJ210" i="10"/>
  <c r="BH210" i="10"/>
  <c r="BI210" i="10" s="1"/>
  <c r="BF210" i="10"/>
  <c r="BG210" i="10" s="1"/>
  <c r="BR209" i="10"/>
  <c r="BQ209" i="10"/>
  <c r="BO209" i="10"/>
  <c r="BP209" i="10" s="1"/>
  <c r="BM209" i="10"/>
  <c r="BL209" i="10"/>
  <c r="BK209" i="10"/>
  <c r="BJ209" i="10"/>
  <c r="BH209" i="10"/>
  <c r="BI209" i="10" s="1"/>
  <c r="BF209" i="10"/>
  <c r="BR208" i="10"/>
  <c r="BQ208" i="10"/>
  <c r="BO208" i="10"/>
  <c r="BM208" i="10"/>
  <c r="BL208" i="10"/>
  <c r="BK208" i="10"/>
  <c r="BJ208" i="10"/>
  <c r="BH208" i="10"/>
  <c r="BI208" i="10" s="1"/>
  <c r="BF208" i="10"/>
  <c r="BG208" i="10" s="1"/>
  <c r="BR207" i="10"/>
  <c r="BS207" i="10" s="1"/>
  <c r="BQ207" i="10"/>
  <c r="BO207" i="10"/>
  <c r="BP207" i="10" s="1"/>
  <c r="BM207" i="10"/>
  <c r="BL207" i="10"/>
  <c r="BK207" i="10"/>
  <c r="BJ207" i="10"/>
  <c r="BN207" i="10" s="1"/>
  <c r="BH207" i="10"/>
  <c r="BI207" i="10" s="1"/>
  <c r="BF207" i="10"/>
  <c r="BG207" i="10" s="1"/>
  <c r="BR206" i="10"/>
  <c r="BQ206" i="10"/>
  <c r="BO206" i="10"/>
  <c r="BP206" i="10" s="1"/>
  <c r="BM206" i="10"/>
  <c r="BL206" i="10"/>
  <c r="BK206" i="10"/>
  <c r="BJ206" i="10"/>
  <c r="BH206" i="10"/>
  <c r="BF206" i="10"/>
  <c r="BR205" i="10"/>
  <c r="BQ205" i="10"/>
  <c r="BS205" i="10" s="1"/>
  <c r="BO205" i="10"/>
  <c r="BP205" i="10" s="1"/>
  <c r="BM205" i="10"/>
  <c r="BL205" i="10"/>
  <c r="BK205" i="10"/>
  <c r="BJ205" i="10"/>
  <c r="BH205" i="10"/>
  <c r="BI205" i="10" s="1"/>
  <c r="BF205" i="10"/>
  <c r="BG205" i="10" s="1"/>
  <c r="BR204" i="10"/>
  <c r="BQ204" i="10"/>
  <c r="BS204" i="10" s="1"/>
  <c r="BO204" i="10"/>
  <c r="BP204" i="10" s="1"/>
  <c r="BM204" i="10"/>
  <c r="BL204" i="10"/>
  <c r="BK204" i="10"/>
  <c r="BJ204" i="10"/>
  <c r="BN204" i="10" s="1"/>
  <c r="BH204" i="10"/>
  <c r="BF204" i="10"/>
  <c r="BR203" i="10"/>
  <c r="BQ203" i="10"/>
  <c r="BO203" i="10"/>
  <c r="BM203" i="10"/>
  <c r="BL203" i="10"/>
  <c r="BK203" i="10"/>
  <c r="BJ203" i="10"/>
  <c r="BN203" i="10" s="1"/>
  <c r="BH203" i="10"/>
  <c r="BI203" i="10" s="1"/>
  <c r="BF203" i="10"/>
  <c r="BG203" i="10" s="1"/>
  <c r="BR202" i="10"/>
  <c r="BQ202" i="10"/>
  <c r="BS202" i="10" s="1"/>
  <c r="BO202" i="10"/>
  <c r="BP202" i="10" s="1"/>
  <c r="BM202" i="10"/>
  <c r="BL202" i="10"/>
  <c r="BK202" i="10"/>
  <c r="BJ202" i="10"/>
  <c r="BN202" i="10" s="1"/>
  <c r="BH202" i="10"/>
  <c r="BI202" i="10" s="1"/>
  <c r="BF202" i="10"/>
  <c r="BG202" i="10" s="1"/>
  <c r="BR201" i="10"/>
  <c r="BQ201" i="10"/>
  <c r="BS201" i="10" s="1"/>
  <c r="BO201" i="10"/>
  <c r="BM201" i="10"/>
  <c r="BL201" i="10"/>
  <c r="BK201" i="10"/>
  <c r="BJ201" i="10"/>
  <c r="BH201" i="10"/>
  <c r="BF201" i="10"/>
  <c r="BR200" i="10"/>
  <c r="BQ200" i="10"/>
  <c r="BS200" i="10" s="1"/>
  <c r="BO200" i="10"/>
  <c r="BP200" i="10" s="1"/>
  <c r="BM200" i="10"/>
  <c r="BL200" i="10"/>
  <c r="BK200" i="10"/>
  <c r="BJ200" i="10"/>
  <c r="BN200" i="10" s="1"/>
  <c r="BH200" i="10"/>
  <c r="BI200" i="10" s="1"/>
  <c r="BF200" i="10"/>
  <c r="BG200" i="10" s="1"/>
  <c r="BR199" i="10"/>
  <c r="BQ199" i="10"/>
  <c r="BO199" i="10"/>
  <c r="BP199" i="10" s="1"/>
  <c r="BM199" i="10"/>
  <c r="BL199" i="10"/>
  <c r="BK199" i="10"/>
  <c r="BN199" i="10" s="1"/>
  <c r="BJ199" i="10"/>
  <c r="BH199" i="10"/>
  <c r="BF199" i="10"/>
  <c r="BR198" i="10"/>
  <c r="BQ198" i="10"/>
  <c r="BO198" i="10"/>
  <c r="BP198" i="10" s="1"/>
  <c r="BM198" i="10"/>
  <c r="BL198" i="10"/>
  <c r="BK198" i="10"/>
  <c r="BJ198" i="10"/>
  <c r="BH198" i="10"/>
  <c r="BI198" i="10" s="1"/>
  <c r="BF198" i="10"/>
  <c r="BR197" i="10"/>
  <c r="BQ197" i="10"/>
  <c r="BS197" i="10" s="1"/>
  <c r="BO197" i="10"/>
  <c r="BP197" i="10" s="1"/>
  <c r="BM197" i="10"/>
  <c r="BL197" i="10"/>
  <c r="BK197" i="10"/>
  <c r="BJ197" i="10"/>
  <c r="BH197" i="10"/>
  <c r="BI197" i="10" s="1"/>
  <c r="BF197" i="10"/>
  <c r="BG197" i="10" s="1"/>
  <c r="BR196" i="10"/>
  <c r="BS196" i="10" s="1"/>
  <c r="BQ196" i="10"/>
  <c r="BO196" i="10"/>
  <c r="BM196" i="10"/>
  <c r="BL196" i="10"/>
  <c r="BK196" i="10"/>
  <c r="BJ196" i="10"/>
  <c r="BH196" i="10"/>
  <c r="BF196" i="10"/>
  <c r="BG196" i="10" s="1"/>
  <c r="BR195" i="10"/>
  <c r="BQ195" i="10"/>
  <c r="BO195" i="10"/>
  <c r="BP195" i="10" s="1"/>
  <c r="BM195" i="10"/>
  <c r="BL195" i="10"/>
  <c r="BK195" i="10"/>
  <c r="BJ195" i="10"/>
  <c r="BH195" i="10"/>
  <c r="BI195" i="10" s="1"/>
  <c r="BF195" i="10"/>
  <c r="BG195" i="10" s="1"/>
  <c r="BR194" i="10"/>
  <c r="BQ194" i="10"/>
  <c r="BO194" i="10"/>
  <c r="BP194" i="10" s="1"/>
  <c r="BM194" i="10"/>
  <c r="BL194" i="10"/>
  <c r="BK194" i="10"/>
  <c r="BJ194" i="10"/>
  <c r="BH194" i="10"/>
  <c r="BF194" i="10"/>
  <c r="BR193" i="10"/>
  <c r="BQ193" i="10"/>
  <c r="BO193" i="10"/>
  <c r="BM193" i="10"/>
  <c r="BL193" i="10"/>
  <c r="BK193" i="10"/>
  <c r="BJ193" i="10"/>
  <c r="BH193" i="10"/>
  <c r="BF193" i="10"/>
  <c r="BG193" i="10" s="1"/>
  <c r="BR192" i="10"/>
  <c r="BQ192" i="10"/>
  <c r="BS192" i="10" s="1"/>
  <c r="BO192" i="10"/>
  <c r="BP192" i="10" s="1"/>
  <c r="BM192" i="10"/>
  <c r="BL192" i="10"/>
  <c r="BK192" i="10"/>
  <c r="BJ192" i="10"/>
  <c r="BH192" i="10"/>
  <c r="BI192" i="10" s="1"/>
  <c r="BF192" i="10"/>
  <c r="BG192" i="10" s="1"/>
  <c r="BR191" i="10"/>
  <c r="BQ191" i="10"/>
  <c r="BO191" i="10"/>
  <c r="BM191" i="10"/>
  <c r="BL191" i="10"/>
  <c r="BK191" i="10"/>
  <c r="BN191" i="10" s="1"/>
  <c r="BJ191" i="10"/>
  <c r="BH191" i="10"/>
  <c r="BI191" i="10" s="1"/>
  <c r="BF191" i="10"/>
  <c r="BG191" i="10" s="1"/>
  <c r="BR190" i="10"/>
  <c r="BQ190" i="10"/>
  <c r="BS190" i="10" s="1"/>
  <c r="BO190" i="10"/>
  <c r="BM190" i="10"/>
  <c r="BL190" i="10"/>
  <c r="BK190" i="10"/>
  <c r="BJ190" i="10"/>
  <c r="BN190" i="10" s="1"/>
  <c r="BH190" i="10"/>
  <c r="BI190" i="10" s="1"/>
  <c r="BF190" i="10"/>
  <c r="BG190" i="10" s="1"/>
  <c r="BR189" i="10"/>
  <c r="BQ189" i="10"/>
  <c r="BS189" i="10" s="1"/>
  <c r="BO189" i="10"/>
  <c r="BP189" i="10" s="1"/>
  <c r="BM189" i="10"/>
  <c r="BN189" i="10" s="1"/>
  <c r="BL189" i="10"/>
  <c r="BK189" i="10"/>
  <c r="BJ189" i="10"/>
  <c r="BH189" i="10"/>
  <c r="BF189" i="10"/>
  <c r="BR188" i="10"/>
  <c r="BS188" i="10" s="1"/>
  <c r="BQ188" i="10"/>
  <c r="BO188" i="10"/>
  <c r="BP188" i="10" s="1"/>
  <c r="BM188" i="10"/>
  <c r="BL188" i="10"/>
  <c r="BK188" i="10"/>
  <c r="BJ188" i="10"/>
  <c r="BH188" i="10"/>
  <c r="BI188" i="10" s="1"/>
  <c r="BF188" i="10"/>
  <c r="BG188" i="10" s="1"/>
  <c r="BR187" i="10"/>
  <c r="BQ187" i="10"/>
  <c r="BS187" i="10" s="1"/>
  <c r="BO187" i="10"/>
  <c r="BP187" i="10" s="1"/>
  <c r="BM187" i="10"/>
  <c r="BL187" i="10"/>
  <c r="BK187" i="10"/>
  <c r="BJ187" i="10"/>
  <c r="BH187" i="10"/>
  <c r="BI187" i="10" s="1"/>
  <c r="BF187" i="10"/>
  <c r="BR186" i="10"/>
  <c r="BQ186" i="10"/>
  <c r="BO186" i="10"/>
  <c r="BM186" i="10"/>
  <c r="BL186" i="10"/>
  <c r="BK186" i="10"/>
  <c r="BJ186" i="10"/>
  <c r="BH186" i="10"/>
  <c r="BI186" i="10" s="1"/>
  <c r="BF186" i="10"/>
  <c r="BG186" i="10" s="1"/>
  <c r="BR185" i="10"/>
  <c r="BQ185" i="10"/>
  <c r="BO185" i="10"/>
  <c r="BP185" i="10" s="1"/>
  <c r="BM185" i="10"/>
  <c r="BL185" i="10"/>
  <c r="BK185" i="10"/>
  <c r="BJ185" i="10"/>
  <c r="BN185" i="10" s="1"/>
  <c r="BH185" i="10"/>
  <c r="BI185" i="10" s="1"/>
  <c r="BF185" i="10"/>
  <c r="BG185" i="10" s="1"/>
  <c r="BR184" i="10"/>
  <c r="BQ184" i="10"/>
  <c r="BO184" i="10"/>
  <c r="BP184" i="10" s="1"/>
  <c r="BM184" i="10"/>
  <c r="BL184" i="10"/>
  <c r="BK184" i="10"/>
  <c r="BJ184" i="10"/>
  <c r="BH184" i="10"/>
  <c r="BF184" i="10"/>
  <c r="BR183" i="10"/>
  <c r="BQ183" i="10"/>
  <c r="BS183" i="10" s="1"/>
  <c r="BO183" i="10"/>
  <c r="BP183" i="10" s="1"/>
  <c r="BM183" i="10"/>
  <c r="BL183" i="10"/>
  <c r="BK183" i="10"/>
  <c r="BJ183" i="10"/>
  <c r="BH183" i="10"/>
  <c r="BI183" i="10" s="1"/>
  <c r="BF183" i="10"/>
  <c r="BG183" i="10" s="1"/>
  <c r="BR182" i="10"/>
  <c r="BQ182" i="10"/>
  <c r="BS182" i="10" s="1"/>
  <c r="BO182" i="10"/>
  <c r="BP182" i="10" s="1"/>
  <c r="BM182" i="10"/>
  <c r="BL182" i="10"/>
  <c r="BK182" i="10"/>
  <c r="BJ182" i="10"/>
  <c r="BH182" i="10"/>
  <c r="BF182" i="10"/>
  <c r="BR181" i="10"/>
  <c r="BQ181" i="10"/>
  <c r="BO181" i="10"/>
  <c r="BM181" i="10"/>
  <c r="BL181" i="10"/>
  <c r="BK181" i="10"/>
  <c r="BJ181" i="10"/>
  <c r="BH181" i="10"/>
  <c r="BI181" i="10" s="1"/>
  <c r="BF181" i="10"/>
  <c r="BG181" i="10" s="1"/>
  <c r="BR180" i="10"/>
  <c r="BQ180" i="10"/>
  <c r="BS180" i="10" s="1"/>
  <c r="BO180" i="10"/>
  <c r="BP180" i="10" s="1"/>
  <c r="BM180" i="10"/>
  <c r="BL180" i="10"/>
  <c r="BK180" i="10"/>
  <c r="BJ180" i="10"/>
  <c r="BH180" i="10"/>
  <c r="BI180" i="10" s="1"/>
  <c r="BF180" i="10"/>
  <c r="BG180" i="10" s="1"/>
  <c r="BR179" i="10"/>
  <c r="BQ179" i="10"/>
  <c r="BS179" i="10" s="1"/>
  <c r="BO179" i="10"/>
  <c r="BM179" i="10"/>
  <c r="BL179" i="10"/>
  <c r="BK179" i="10"/>
  <c r="BJ179" i="10"/>
  <c r="BH179" i="10"/>
  <c r="BI179" i="10" s="1"/>
  <c r="BF179" i="10"/>
  <c r="BR178" i="10"/>
  <c r="BQ178" i="10"/>
  <c r="BS178" i="10" s="1"/>
  <c r="BO178" i="10"/>
  <c r="BP178" i="10" s="1"/>
  <c r="BM178" i="10"/>
  <c r="BL178" i="10"/>
  <c r="BK178" i="10"/>
  <c r="BJ178" i="10"/>
  <c r="BH178" i="10"/>
  <c r="BI178" i="10" s="1"/>
  <c r="BF178" i="10"/>
  <c r="BG178" i="10" s="1"/>
  <c r="BR177" i="10"/>
  <c r="BQ177" i="10"/>
  <c r="BS177" i="10" s="1"/>
  <c r="BO177" i="10"/>
  <c r="BP177" i="10" s="1"/>
  <c r="BM177" i="10"/>
  <c r="BL177" i="10"/>
  <c r="BK177" i="10"/>
  <c r="BN177" i="10" s="1"/>
  <c r="BJ177" i="10"/>
  <c r="BH177" i="10"/>
  <c r="BF177" i="10"/>
  <c r="BR176" i="10"/>
  <c r="BQ176" i="10"/>
  <c r="BO176" i="10"/>
  <c r="BM176" i="10"/>
  <c r="BL176" i="10"/>
  <c r="BK176" i="10"/>
  <c r="BJ176" i="10"/>
  <c r="BH176" i="10"/>
  <c r="BI176" i="10" s="1"/>
  <c r="BF176" i="10"/>
  <c r="BR175" i="10"/>
  <c r="BQ175" i="10"/>
  <c r="BS175" i="10" s="1"/>
  <c r="BO175" i="10"/>
  <c r="BP175" i="10" s="1"/>
  <c r="BM175" i="10"/>
  <c r="BL175" i="10"/>
  <c r="BK175" i="10"/>
  <c r="BJ175" i="10"/>
  <c r="BH175" i="10"/>
  <c r="BI175" i="10" s="1"/>
  <c r="BF175" i="10"/>
  <c r="BG175" i="10" s="1"/>
  <c r="BR174" i="10"/>
  <c r="BS174" i="10" s="1"/>
  <c r="BQ174" i="10"/>
  <c r="BO174" i="10"/>
  <c r="BM174" i="10"/>
  <c r="BL174" i="10"/>
  <c r="BK174" i="10"/>
  <c r="BJ174" i="10"/>
  <c r="BN174" i="10" s="1"/>
  <c r="BH174" i="10"/>
  <c r="BF174" i="10"/>
  <c r="BR173" i="10"/>
  <c r="BQ173" i="10"/>
  <c r="BO173" i="10"/>
  <c r="BP173" i="10" s="1"/>
  <c r="BM173" i="10"/>
  <c r="BL173" i="10"/>
  <c r="BK173" i="10"/>
  <c r="BJ173" i="10"/>
  <c r="BN173" i="10" s="1"/>
  <c r="BH173" i="10"/>
  <c r="BI173" i="10" s="1"/>
  <c r="BF173" i="10"/>
  <c r="BG173" i="10" s="1"/>
  <c r="BR172" i="10"/>
  <c r="BQ172" i="10"/>
  <c r="BO172" i="10"/>
  <c r="BP172" i="10" s="1"/>
  <c r="BM172" i="10"/>
  <c r="BL172" i="10"/>
  <c r="BN172" i="10" s="1"/>
  <c r="BK172" i="10"/>
  <c r="BJ172" i="10"/>
  <c r="BH172" i="10"/>
  <c r="BF172" i="10"/>
  <c r="BR171" i="10"/>
  <c r="BQ171" i="10"/>
  <c r="BS171" i="10" s="1"/>
  <c r="BO171" i="10"/>
  <c r="BM171" i="10"/>
  <c r="BL171" i="10"/>
  <c r="BK171" i="10"/>
  <c r="BJ171" i="10"/>
  <c r="BH171" i="10"/>
  <c r="BI171" i="10" s="1"/>
  <c r="BF171" i="10"/>
  <c r="BG171" i="10" s="1"/>
  <c r="BR170" i="10"/>
  <c r="BQ170" i="10"/>
  <c r="BS170" i="10" s="1"/>
  <c r="BO170" i="10"/>
  <c r="BP170" i="10" s="1"/>
  <c r="BM170" i="10"/>
  <c r="BL170" i="10"/>
  <c r="BK170" i="10"/>
  <c r="BJ170" i="10"/>
  <c r="BH170" i="10"/>
  <c r="BI170" i="10" s="1"/>
  <c r="BF170" i="10"/>
  <c r="BG170" i="10" s="1"/>
  <c r="BR169" i="10"/>
  <c r="BQ169" i="10"/>
  <c r="BO169" i="10"/>
  <c r="BM169" i="10"/>
  <c r="BL169" i="10"/>
  <c r="BK169" i="10"/>
  <c r="BJ169" i="10"/>
  <c r="BH169" i="10"/>
  <c r="BF169" i="10"/>
  <c r="BR168" i="10"/>
  <c r="BQ168" i="10"/>
  <c r="BS168" i="10" s="1"/>
  <c r="BO168" i="10"/>
  <c r="BM168" i="10"/>
  <c r="BL168" i="10"/>
  <c r="BK168" i="10"/>
  <c r="BJ168" i="10"/>
  <c r="BN168" i="10" s="1"/>
  <c r="BH168" i="10"/>
  <c r="BI168" i="10" s="1"/>
  <c r="BF168" i="10"/>
  <c r="BG168" i="10" s="1"/>
  <c r="BR167" i="10"/>
  <c r="BQ167" i="10"/>
  <c r="BS167" i="10" s="1"/>
  <c r="BO167" i="10"/>
  <c r="BP167" i="10" s="1"/>
  <c r="BM167" i="10"/>
  <c r="BN167" i="10" s="1"/>
  <c r="BL167" i="10"/>
  <c r="BK167" i="10"/>
  <c r="BJ167" i="10"/>
  <c r="BH167" i="10"/>
  <c r="BF167" i="10"/>
  <c r="BR166" i="10"/>
  <c r="BQ166" i="10"/>
  <c r="BO166" i="10"/>
  <c r="BM166" i="10"/>
  <c r="BL166" i="10"/>
  <c r="BK166" i="10"/>
  <c r="BJ166" i="10"/>
  <c r="BH166" i="10"/>
  <c r="BI166" i="10" s="1"/>
  <c r="BF166" i="10"/>
  <c r="BG166" i="10" s="1"/>
  <c r="BR165" i="10"/>
  <c r="BQ165" i="10"/>
  <c r="BS165" i="10" s="1"/>
  <c r="BO165" i="10"/>
  <c r="BP165" i="10" s="1"/>
  <c r="BM165" i="10"/>
  <c r="BL165" i="10"/>
  <c r="BK165" i="10"/>
  <c r="BJ165" i="10"/>
  <c r="BH165" i="10"/>
  <c r="BI165" i="10" s="1"/>
  <c r="BF165" i="10"/>
  <c r="BO164" i="10"/>
  <c r="BM164" i="10"/>
  <c r="BL164" i="10"/>
  <c r="BK164" i="10"/>
  <c r="BJ164" i="10"/>
  <c r="BH164" i="10"/>
  <c r="BF164" i="10"/>
  <c r="BG164" i="10" s="1"/>
  <c r="BO163" i="10"/>
  <c r="BP163" i="10" s="1"/>
  <c r="BM163" i="10"/>
  <c r="BL163" i="10"/>
  <c r="BK163" i="10"/>
  <c r="BJ163" i="10"/>
  <c r="BH163" i="10"/>
  <c r="BI163" i="10" s="1"/>
  <c r="BF163" i="10"/>
  <c r="BG163" i="10" s="1"/>
  <c r="BO162" i="10"/>
  <c r="BP162" i="10" s="1"/>
  <c r="BM162" i="10"/>
  <c r="BL162" i="10"/>
  <c r="BK162" i="10"/>
  <c r="BJ162" i="10"/>
  <c r="BH162" i="10"/>
  <c r="BI162" i="10" s="1"/>
  <c r="BF162" i="10"/>
  <c r="BG162" i="10" s="1"/>
  <c r="BO161" i="10"/>
  <c r="BM161" i="10"/>
  <c r="BL161" i="10"/>
  <c r="BK161" i="10"/>
  <c r="BJ161" i="10"/>
  <c r="BH161" i="10"/>
  <c r="BF161" i="10"/>
  <c r="BO160" i="10"/>
  <c r="BP160" i="10" s="1"/>
  <c r="BM160" i="10"/>
  <c r="BL160" i="10"/>
  <c r="BK160" i="10"/>
  <c r="BJ160" i="10"/>
  <c r="BH160" i="10"/>
  <c r="BF160" i="10"/>
  <c r="BG160" i="10" s="1"/>
  <c r="BO159" i="10"/>
  <c r="BP159" i="10" s="1"/>
  <c r="BM159" i="10"/>
  <c r="BL159" i="10"/>
  <c r="BK159" i="10"/>
  <c r="BJ159" i="10"/>
  <c r="BH159" i="10"/>
  <c r="BI159" i="10" s="1"/>
  <c r="BF159" i="10"/>
  <c r="BG159" i="10" s="1"/>
  <c r="BO158" i="10"/>
  <c r="BP158" i="10" s="1"/>
  <c r="BM158" i="10"/>
  <c r="BL158" i="10"/>
  <c r="BK158" i="10"/>
  <c r="BJ158" i="10"/>
  <c r="BH158" i="10"/>
  <c r="BF158" i="10"/>
  <c r="BG158" i="10" s="1"/>
  <c r="BO157" i="10"/>
  <c r="BM157" i="10"/>
  <c r="BL157" i="10"/>
  <c r="BK157" i="10"/>
  <c r="BJ157" i="10"/>
  <c r="BH157" i="10"/>
  <c r="BF157" i="10"/>
  <c r="BG157" i="10" s="1"/>
  <c r="BO156" i="10"/>
  <c r="BP156" i="10" s="1"/>
  <c r="BM156" i="10"/>
  <c r="BL156" i="10"/>
  <c r="BK156" i="10"/>
  <c r="BJ156" i="10"/>
  <c r="BN156" i="10" s="1"/>
  <c r="BH156" i="10"/>
  <c r="BI156" i="10" s="1"/>
  <c r="BF156" i="10"/>
  <c r="BG156" i="10" s="1"/>
  <c r="BO155" i="10"/>
  <c r="BP155" i="10" s="1"/>
  <c r="BM155" i="10"/>
  <c r="BL155" i="10"/>
  <c r="BK155" i="10"/>
  <c r="BJ155" i="10"/>
  <c r="BH155" i="10"/>
  <c r="BF155" i="10"/>
  <c r="BO154" i="10"/>
  <c r="BP154" i="10" s="1"/>
  <c r="BM154" i="10"/>
  <c r="BL154" i="10"/>
  <c r="BK154" i="10"/>
  <c r="BJ154" i="10"/>
  <c r="BH154" i="10"/>
  <c r="BI154" i="10" s="1"/>
  <c r="BF154" i="10"/>
  <c r="BO153" i="10"/>
  <c r="BP153" i="10" s="1"/>
  <c r="BM153" i="10"/>
  <c r="BL153" i="10"/>
  <c r="BK153" i="10"/>
  <c r="BJ153" i="10"/>
  <c r="BN153" i="10" s="1"/>
  <c r="BH153" i="10"/>
  <c r="BI153" i="10" s="1"/>
  <c r="BF153" i="10"/>
  <c r="BG153" i="10" s="1"/>
  <c r="BO152" i="10"/>
  <c r="BP152" i="10" s="1"/>
  <c r="BM152" i="10"/>
  <c r="BL152" i="10"/>
  <c r="BN152" i="10" s="1"/>
  <c r="BK152" i="10"/>
  <c r="BJ152" i="10"/>
  <c r="BH152" i="10"/>
  <c r="BF152" i="10"/>
  <c r="BO151" i="10"/>
  <c r="BM151" i="10"/>
  <c r="BL151" i="10"/>
  <c r="BK151" i="10"/>
  <c r="BJ151" i="10"/>
  <c r="BN151" i="10" s="1"/>
  <c r="BH151" i="10"/>
  <c r="BI151" i="10" s="1"/>
  <c r="BF151" i="10"/>
  <c r="BG151" i="10" s="1"/>
  <c r="BO150" i="10"/>
  <c r="BP150" i="10" s="1"/>
  <c r="BM150" i="10"/>
  <c r="BL150" i="10"/>
  <c r="BK150" i="10"/>
  <c r="BJ150" i="10"/>
  <c r="BN150" i="10" s="1"/>
  <c r="BH150" i="10"/>
  <c r="BI150" i="10" s="1"/>
  <c r="BF150" i="10"/>
  <c r="BG150" i="10" s="1"/>
  <c r="BO149" i="10"/>
  <c r="BP149" i="10" s="1"/>
  <c r="BM149" i="10"/>
  <c r="BL149" i="10"/>
  <c r="BK149" i="10"/>
  <c r="BN149" i="10" s="1"/>
  <c r="BJ149" i="10"/>
  <c r="BH149" i="10"/>
  <c r="BF149" i="10"/>
  <c r="BO148" i="10"/>
  <c r="BM148" i="10"/>
  <c r="BL148" i="10"/>
  <c r="BK148" i="10"/>
  <c r="BJ148" i="10"/>
  <c r="BH148" i="10"/>
  <c r="BI148" i="10" s="1"/>
  <c r="BF148" i="10"/>
  <c r="BG148" i="10" s="1"/>
  <c r="BM147" i="10"/>
  <c r="BL147" i="10"/>
  <c r="BK147" i="10"/>
  <c r="BJ147" i="10"/>
  <c r="BH147" i="10"/>
  <c r="BI147" i="10" s="1"/>
  <c r="BF147" i="10"/>
  <c r="BG147" i="10" s="1"/>
  <c r="BM146" i="10"/>
  <c r="BL146" i="10"/>
  <c r="BK146" i="10"/>
  <c r="BJ146" i="10"/>
  <c r="BH146" i="10"/>
  <c r="BI146" i="10" s="1"/>
  <c r="BF146" i="10"/>
  <c r="BG146" i="10" s="1"/>
  <c r="BM145" i="10"/>
  <c r="BL145" i="10"/>
  <c r="BK145" i="10"/>
  <c r="BJ145" i="10"/>
  <c r="BH145" i="10"/>
  <c r="BF145" i="10"/>
  <c r="BG145" i="10" s="1"/>
  <c r="BM144" i="10"/>
  <c r="BL144" i="10"/>
  <c r="BK144" i="10"/>
  <c r="BJ144" i="10"/>
  <c r="BH144" i="10"/>
  <c r="BI144" i="10" s="1"/>
  <c r="BF144" i="10"/>
  <c r="BG144" i="10" s="1"/>
  <c r="BM143" i="10"/>
  <c r="BL143" i="10"/>
  <c r="BK143" i="10"/>
  <c r="BJ143" i="10"/>
  <c r="BH143" i="10"/>
  <c r="BI143" i="10" s="1"/>
  <c r="BF143" i="10"/>
  <c r="BG143" i="10" s="1"/>
  <c r="BM142" i="10"/>
  <c r="BL142" i="10"/>
  <c r="BK142" i="10"/>
  <c r="BJ142" i="10"/>
  <c r="BN142" i="10" s="1"/>
  <c r="BH142" i="10"/>
  <c r="BF142" i="10"/>
  <c r="BM141" i="10"/>
  <c r="BL141" i="10"/>
  <c r="BK141" i="10"/>
  <c r="BJ141" i="10"/>
  <c r="BH141" i="10"/>
  <c r="BF141" i="10"/>
  <c r="BG141" i="10" s="1"/>
  <c r="BM140" i="10"/>
  <c r="BL140" i="10"/>
  <c r="BK140" i="10"/>
  <c r="BJ140" i="10"/>
  <c r="BH140" i="10"/>
  <c r="BI140" i="10" s="1"/>
  <c r="BF140" i="10"/>
  <c r="BG140" i="10" s="1"/>
  <c r="BM139" i="10"/>
  <c r="BL139" i="10"/>
  <c r="BK139" i="10"/>
  <c r="BJ139" i="10"/>
  <c r="BH139" i="10"/>
  <c r="BI139" i="10" s="1"/>
  <c r="BF139" i="10"/>
  <c r="BG139" i="10" s="1"/>
  <c r="BM138" i="10"/>
  <c r="BL138" i="10"/>
  <c r="BK138" i="10"/>
  <c r="BJ138" i="10"/>
  <c r="BH138" i="10"/>
  <c r="BM137" i="10"/>
  <c r="BL137" i="10"/>
  <c r="BK137" i="10"/>
  <c r="BJ137" i="10"/>
  <c r="BH137" i="10"/>
  <c r="BI137" i="10" s="1"/>
  <c r="BM136" i="10"/>
  <c r="BL136" i="10"/>
  <c r="BK136" i="10"/>
  <c r="BJ136" i="10"/>
  <c r="BH136" i="10"/>
  <c r="BM135" i="10"/>
  <c r="BL135" i="10"/>
  <c r="BK135" i="10"/>
  <c r="BJ135" i="10"/>
  <c r="BN135" i="10" s="1"/>
  <c r="BH135" i="10"/>
  <c r="BI135" i="10" s="1"/>
  <c r="BM134" i="10"/>
  <c r="BL134" i="10"/>
  <c r="BK134" i="10"/>
  <c r="BJ134" i="10"/>
  <c r="BN134" i="10" s="1"/>
  <c r="BH134" i="10"/>
  <c r="BM133" i="10"/>
  <c r="BL133" i="10"/>
  <c r="BK133" i="10"/>
  <c r="BJ133" i="10"/>
  <c r="BH133" i="10"/>
  <c r="BI133" i="10" s="1"/>
  <c r="BM132" i="10"/>
  <c r="BL132" i="10"/>
  <c r="BK132" i="10"/>
  <c r="BJ132" i="10"/>
  <c r="BH132" i="10"/>
  <c r="BI132" i="10" s="1"/>
  <c r="BM131" i="10"/>
  <c r="BL131" i="10"/>
  <c r="BK131" i="10"/>
  <c r="BJ131" i="10"/>
  <c r="BN131" i="10" s="1"/>
  <c r="BH131" i="10"/>
  <c r="BI131" i="10" s="1"/>
  <c r="BM130" i="10"/>
  <c r="BL130" i="10"/>
  <c r="BK130" i="10"/>
  <c r="BJ130" i="10"/>
  <c r="BH130" i="10"/>
  <c r="BI130" i="10" s="1"/>
  <c r="BM129" i="10"/>
  <c r="BL129" i="10"/>
  <c r="BK129" i="10"/>
  <c r="BJ129" i="10"/>
  <c r="BH129" i="10"/>
  <c r="BM128" i="10"/>
  <c r="BL128" i="10"/>
  <c r="BK128" i="10"/>
  <c r="BJ128" i="10"/>
  <c r="BH128" i="10"/>
  <c r="BM127" i="10"/>
  <c r="BL127" i="10"/>
  <c r="BK127" i="10"/>
  <c r="BJ127" i="10"/>
  <c r="BH127" i="10"/>
  <c r="BI127" i="10" s="1"/>
  <c r="BM126" i="10"/>
  <c r="BL126" i="10"/>
  <c r="BK126" i="10"/>
  <c r="DQ126" i="10" s="1"/>
  <c r="BJ126" i="10"/>
  <c r="BN126" i="10" s="1"/>
  <c r="BH126" i="10"/>
  <c r="BI126" i="10" s="1"/>
  <c r="BM125" i="10"/>
  <c r="BL125" i="10"/>
  <c r="BK125" i="10"/>
  <c r="BJ125" i="10"/>
  <c r="BH125" i="10"/>
  <c r="BM124" i="10"/>
  <c r="BL124" i="10"/>
  <c r="BK124" i="10"/>
  <c r="BJ124" i="10"/>
  <c r="BH124" i="10"/>
  <c r="BM123" i="10"/>
  <c r="BL123" i="10"/>
  <c r="BK123" i="10"/>
  <c r="BJ123" i="10"/>
  <c r="BM122" i="10"/>
  <c r="BL122" i="10"/>
  <c r="BK122" i="10"/>
  <c r="BJ122" i="10"/>
  <c r="BN122" i="10" s="1"/>
  <c r="BM121" i="10"/>
  <c r="BL121" i="10"/>
  <c r="BK121" i="10"/>
  <c r="BJ121" i="10"/>
  <c r="BM120" i="10"/>
  <c r="BL120" i="10"/>
  <c r="BK120" i="10"/>
  <c r="BJ120" i="10"/>
  <c r="BM119" i="10"/>
  <c r="BL119" i="10"/>
  <c r="BK119" i="10"/>
  <c r="BJ119" i="10"/>
  <c r="BM118" i="10"/>
  <c r="BL118" i="10"/>
  <c r="BK118" i="10"/>
  <c r="BJ118" i="10"/>
  <c r="BN118" i="10" s="1"/>
  <c r="BM117" i="10"/>
  <c r="BL117" i="10"/>
  <c r="BK117" i="10"/>
  <c r="BJ117" i="10"/>
  <c r="DR117" i="10" s="1"/>
  <c r="BM116" i="10"/>
  <c r="BL116" i="10"/>
  <c r="BK116" i="10"/>
  <c r="BJ116" i="10"/>
  <c r="BN116" i="10" s="1"/>
  <c r="BM115" i="10"/>
  <c r="BL115" i="10"/>
  <c r="BK115" i="10"/>
  <c r="BJ115" i="10"/>
  <c r="BM114" i="10"/>
  <c r="BN114" i="10" s="1"/>
  <c r="BL114" i="10"/>
  <c r="BK114" i="10"/>
  <c r="BJ114" i="10"/>
  <c r="BM113" i="10"/>
  <c r="BL113" i="10"/>
  <c r="BK113" i="10"/>
  <c r="BJ113" i="10"/>
  <c r="BM112" i="10"/>
  <c r="BL112" i="10"/>
  <c r="BK112" i="10"/>
  <c r="BJ112" i="10"/>
  <c r="BM111" i="10"/>
  <c r="BL111" i="10"/>
  <c r="BK111" i="10"/>
  <c r="BJ111" i="10"/>
  <c r="BN111" i="10" s="1"/>
  <c r="BM110" i="10"/>
  <c r="BL110" i="10"/>
  <c r="BK110" i="10"/>
  <c r="BJ110" i="10"/>
  <c r="BM109" i="10"/>
  <c r="BL109" i="10"/>
  <c r="BK109" i="10"/>
  <c r="BN109" i="10" s="1"/>
  <c r="BJ109" i="10"/>
  <c r="BM108" i="10"/>
  <c r="BL108" i="10"/>
  <c r="BK108" i="10"/>
  <c r="BJ108" i="10"/>
  <c r="BM107" i="10"/>
  <c r="BL107" i="10"/>
  <c r="BK107" i="10"/>
  <c r="BJ107" i="10"/>
  <c r="BM106" i="10"/>
  <c r="BL106" i="10"/>
  <c r="BK106" i="10"/>
  <c r="BJ106" i="10"/>
  <c r="DR106" i="10" s="1"/>
  <c r="BM105" i="10"/>
  <c r="BL105" i="10"/>
  <c r="DT105" i="10" s="1"/>
  <c r="BK105" i="10"/>
  <c r="BJ105" i="10"/>
  <c r="BN105" i="10" s="1"/>
  <c r="BM104" i="10"/>
  <c r="BL104" i="10"/>
  <c r="BK104" i="10"/>
  <c r="BJ104" i="10"/>
  <c r="BM103" i="10"/>
  <c r="BL103" i="10"/>
  <c r="BK103" i="10"/>
  <c r="BJ103" i="10"/>
  <c r="BM102" i="10"/>
  <c r="BL102" i="10"/>
  <c r="BK102" i="10"/>
  <c r="BJ102" i="10"/>
  <c r="BM101" i="10"/>
  <c r="BL101" i="10"/>
  <c r="BK101" i="10"/>
  <c r="BJ101" i="10"/>
  <c r="BM100" i="10"/>
  <c r="BL100" i="10"/>
  <c r="BK100" i="10"/>
  <c r="BJ100" i="10"/>
  <c r="BN100" i="10" s="1"/>
  <c r="BM99" i="10"/>
  <c r="BL99" i="10"/>
  <c r="BK99" i="10"/>
  <c r="BJ99" i="10"/>
  <c r="BM98" i="10"/>
  <c r="BL98" i="10"/>
  <c r="BK98" i="10"/>
  <c r="BJ98" i="10"/>
  <c r="BM97" i="10"/>
  <c r="BL97" i="10"/>
  <c r="BK97" i="10"/>
  <c r="BJ97" i="10"/>
  <c r="BM96" i="10"/>
  <c r="BL96" i="10"/>
  <c r="BK96" i="10"/>
  <c r="BJ96" i="10"/>
  <c r="BN96" i="10" s="1"/>
  <c r="BM95" i="10"/>
  <c r="BL95" i="10"/>
  <c r="BK95" i="10"/>
  <c r="BJ95" i="10"/>
  <c r="BM94" i="10"/>
  <c r="BL94" i="10"/>
  <c r="BK94" i="10"/>
  <c r="BJ94" i="10"/>
  <c r="BM93" i="10"/>
  <c r="BL93" i="10"/>
  <c r="BK93" i="10"/>
  <c r="BJ93" i="10"/>
  <c r="BM92" i="10"/>
  <c r="BL92" i="10"/>
  <c r="BK92" i="10"/>
  <c r="BJ92" i="10"/>
  <c r="AO377" i="10"/>
  <c r="AL377" i="10"/>
  <c r="AJ377" i="10"/>
  <c r="AN375" i="10"/>
  <c r="AM375" i="10"/>
  <c r="AK375" i="10"/>
  <c r="AL375" i="10" s="1"/>
  <c r="AI375" i="10"/>
  <c r="AJ375" i="10" s="1"/>
  <c r="AN374" i="10"/>
  <c r="AM374" i="10"/>
  <c r="AK374" i="10"/>
  <c r="AL374" i="10" s="1"/>
  <c r="AI374" i="10"/>
  <c r="AJ374" i="10" s="1"/>
  <c r="AN373" i="10"/>
  <c r="AM373" i="10"/>
  <c r="AO373" i="10" s="1"/>
  <c r="AK373" i="10"/>
  <c r="AI373" i="10"/>
  <c r="AJ373" i="10" s="1"/>
  <c r="AN372" i="10"/>
  <c r="AM372" i="10"/>
  <c r="AO372" i="10" s="1"/>
  <c r="AK372" i="10"/>
  <c r="AL372" i="10" s="1"/>
  <c r="AI372" i="10"/>
  <c r="AN371" i="10"/>
  <c r="AM371" i="10"/>
  <c r="AK371" i="10"/>
  <c r="AI371" i="10"/>
  <c r="AN370" i="10"/>
  <c r="AM370" i="10"/>
  <c r="AO370" i="10" s="1"/>
  <c r="AK370" i="10"/>
  <c r="AI370" i="10"/>
  <c r="AJ370" i="10" s="1"/>
  <c r="AN369" i="10"/>
  <c r="AM369" i="10"/>
  <c r="AK369" i="10"/>
  <c r="AL369" i="10" s="1"/>
  <c r="AI369" i="10"/>
  <c r="AJ369" i="10" s="1"/>
  <c r="AN368" i="10"/>
  <c r="AM368" i="10"/>
  <c r="AO368" i="10" s="1"/>
  <c r="AK368" i="10"/>
  <c r="AL368" i="10" s="1"/>
  <c r="AI368" i="10"/>
  <c r="AJ368" i="10" s="1"/>
  <c r="AN367" i="10"/>
  <c r="AM367" i="10"/>
  <c r="AO367" i="10" s="1"/>
  <c r="AK367" i="10"/>
  <c r="AL367" i="10" s="1"/>
  <c r="AI367" i="10"/>
  <c r="AN366" i="10"/>
  <c r="AM366" i="10"/>
  <c r="AO366" i="10" s="1"/>
  <c r="AK366" i="10"/>
  <c r="AI366" i="10"/>
  <c r="AN365" i="10"/>
  <c r="AM365" i="10"/>
  <c r="AK365" i="10"/>
  <c r="AI365" i="10"/>
  <c r="AJ365" i="10" s="1"/>
  <c r="AN364" i="10"/>
  <c r="AM364" i="10"/>
  <c r="AO364" i="10" s="1"/>
  <c r="AK364" i="10"/>
  <c r="AL364" i="10" s="1"/>
  <c r="AI364" i="10"/>
  <c r="AN363" i="10"/>
  <c r="AM363" i="10"/>
  <c r="AK363" i="10"/>
  <c r="AL363" i="10" s="1"/>
  <c r="AI363" i="10"/>
  <c r="AN362" i="10"/>
  <c r="AM362" i="10"/>
  <c r="AO362" i="10" s="1"/>
  <c r="AK362" i="10"/>
  <c r="AI362" i="10"/>
  <c r="AJ362" i="10" s="1"/>
  <c r="AN361" i="10"/>
  <c r="AM361" i="10"/>
  <c r="AO361" i="10" s="1"/>
  <c r="AK361" i="10"/>
  <c r="AL361" i="10" s="1"/>
  <c r="AI361" i="10"/>
  <c r="AN360" i="10"/>
  <c r="AM360" i="10"/>
  <c r="AO360" i="10" s="1"/>
  <c r="AK360" i="10"/>
  <c r="AI360" i="10"/>
  <c r="AJ360" i="10" s="1"/>
  <c r="AN359" i="10"/>
  <c r="AM359" i="10"/>
  <c r="AO359" i="10" s="1"/>
  <c r="AK359" i="10"/>
  <c r="AI359" i="10"/>
  <c r="AJ359" i="10" s="1"/>
  <c r="AN358" i="10"/>
  <c r="AM358" i="10"/>
  <c r="AK358" i="10"/>
  <c r="AL358" i="10" s="1"/>
  <c r="AI358" i="10"/>
  <c r="AJ358" i="10" s="1"/>
  <c r="AN357" i="10"/>
  <c r="AM357" i="10"/>
  <c r="AO357" i="10" s="1"/>
  <c r="AK357" i="10"/>
  <c r="AL357" i="10" s="1"/>
  <c r="AI357" i="10"/>
  <c r="AJ357" i="10" s="1"/>
  <c r="AN356" i="10"/>
  <c r="AM356" i="10"/>
  <c r="AO356" i="10" s="1"/>
  <c r="AK356" i="10"/>
  <c r="AL356" i="10" s="1"/>
  <c r="AI356" i="10"/>
  <c r="AJ356" i="10" s="1"/>
  <c r="AN355" i="10"/>
  <c r="AM355" i="10"/>
  <c r="AO355" i="10" s="1"/>
  <c r="AK355" i="10"/>
  <c r="AI355" i="10"/>
  <c r="AN354" i="10"/>
  <c r="AM354" i="10"/>
  <c r="AO354" i="10" s="1"/>
  <c r="AK354" i="10"/>
  <c r="AI354" i="10"/>
  <c r="AN353" i="10"/>
  <c r="AM353" i="10"/>
  <c r="AO353" i="10" s="1"/>
  <c r="AK353" i="10"/>
  <c r="AI353" i="10"/>
  <c r="AJ353" i="10" s="1"/>
  <c r="AN352" i="10"/>
  <c r="AM352" i="10"/>
  <c r="AK352" i="10"/>
  <c r="AI352" i="10"/>
  <c r="AN351" i="10"/>
  <c r="AM351" i="10"/>
  <c r="AO351" i="10" s="1"/>
  <c r="AK351" i="10"/>
  <c r="AL351" i="10" s="1"/>
  <c r="AI351" i="10"/>
  <c r="AJ351" i="10" s="1"/>
  <c r="AN350" i="10"/>
  <c r="AM350" i="10"/>
  <c r="AO350" i="10" s="1"/>
  <c r="AK350" i="10"/>
  <c r="AL350" i="10" s="1"/>
  <c r="AI350" i="10"/>
  <c r="AJ350" i="10" s="1"/>
  <c r="AN349" i="10"/>
  <c r="AM349" i="10"/>
  <c r="AK349" i="10"/>
  <c r="AI349" i="10"/>
  <c r="AN348" i="10"/>
  <c r="AM348" i="10"/>
  <c r="AK348" i="10"/>
  <c r="AI348" i="10"/>
  <c r="AJ348" i="10" s="1"/>
  <c r="AN347" i="10"/>
  <c r="AM347" i="10"/>
  <c r="AK347" i="10"/>
  <c r="AL347" i="10" s="1"/>
  <c r="AI347" i="10"/>
  <c r="AJ347" i="10" s="1"/>
  <c r="AN346" i="10"/>
  <c r="AM346" i="10"/>
  <c r="AO346" i="10" s="1"/>
  <c r="AK346" i="10"/>
  <c r="AL346" i="10" s="1"/>
  <c r="AI346" i="10"/>
  <c r="AN345" i="10"/>
  <c r="AM345" i="10"/>
  <c r="AO345" i="10" s="1"/>
  <c r="AK345" i="10"/>
  <c r="AL345" i="10" s="1"/>
  <c r="AI345" i="10"/>
  <c r="AN344" i="10"/>
  <c r="AM344" i="10"/>
  <c r="AO344" i="10" s="1"/>
  <c r="AK344" i="10"/>
  <c r="AI344" i="10"/>
  <c r="AJ344" i="10" s="1"/>
  <c r="AN343" i="10"/>
  <c r="AM343" i="10"/>
  <c r="AO343" i="10" s="1"/>
  <c r="AK343" i="10"/>
  <c r="AI343" i="10"/>
  <c r="AJ343" i="10" s="1"/>
  <c r="AN342" i="10"/>
  <c r="AM342" i="10"/>
  <c r="AK342" i="10"/>
  <c r="AL342" i="10" s="1"/>
  <c r="AI342" i="10"/>
  <c r="AJ342" i="10" s="1"/>
  <c r="AN341" i="10"/>
  <c r="AO341" i="10" s="1"/>
  <c r="AM341" i="10"/>
  <c r="AK341" i="10"/>
  <c r="AI341" i="10"/>
  <c r="AJ341" i="10" s="1"/>
  <c r="AN340" i="10"/>
  <c r="AM340" i="10"/>
  <c r="AO340" i="10" s="1"/>
  <c r="AK340" i="10"/>
  <c r="AI340" i="10"/>
  <c r="AJ340" i="10" s="1"/>
  <c r="AN339" i="10"/>
  <c r="AM339" i="10"/>
  <c r="AO339" i="10" s="1"/>
  <c r="AK339" i="10"/>
  <c r="AL339" i="10" s="1"/>
  <c r="AI339" i="10"/>
  <c r="AN338" i="10"/>
  <c r="AM338" i="10"/>
  <c r="AK338" i="10"/>
  <c r="AI338" i="10"/>
  <c r="AN337" i="10"/>
  <c r="AM337" i="10"/>
  <c r="AO337" i="10" s="1"/>
  <c r="AK337" i="10"/>
  <c r="AL337" i="10" s="1"/>
  <c r="AI337" i="10"/>
  <c r="AJ337" i="10" s="1"/>
  <c r="AN336" i="10"/>
  <c r="AM336" i="10"/>
  <c r="AK336" i="10"/>
  <c r="AL336" i="10" s="1"/>
  <c r="AI336" i="10"/>
  <c r="AJ336" i="10" s="1"/>
  <c r="AN335" i="10"/>
  <c r="AM335" i="10"/>
  <c r="AO335" i="10" s="1"/>
  <c r="AK335" i="10"/>
  <c r="AI335" i="10"/>
  <c r="AJ335" i="10" s="1"/>
  <c r="AN334" i="10"/>
  <c r="AM334" i="10"/>
  <c r="AO334" i="10" s="1"/>
  <c r="AK334" i="10"/>
  <c r="AL334" i="10" s="1"/>
  <c r="AI334" i="10"/>
  <c r="AN333" i="10"/>
  <c r="AM333" i="10"/>
  <c r="AK333" i="10"/>
  <c r="AI333" i="10"/>
  <c r="AN332" i="10"/>
  <c r="AM332" i="10"/>
  <c r="AK332" i="10"/>
  <c r="AI332" i="10"/>
  <c r="AN331" i="10"/>
  <c r="AM331" i="10"/>
  <c r="AK331" i="10"/>
  <c r="AL331" i="10" s="1"/>
  <c r="AI331" i="10"/>
  <c r="AJ331" i="10" s="1"/>
  <c r="AN330" i="10"/>
  <c r="AM330" i="10"/>
  <c r="AK330" i="10"/>
  <c r="AL330" i="10" s="1"/>
  <c r="AI330" i="10"/>
  <c r="AJ330" i="10" s="1"/>
  <c r="AN329" i="10"/>
  <c r="AM329" i="10"/>
  <c r="AO329" i="10" s="1"/>
  <c r="AK329" i="10"/>
  <c r="AL329" i="10" s="1"/>
  <c r="AI329" i="10"/>
  <c r="AN328" i="10"/>
  <c r="AM328" i="10"/>
  <c r="AO328" i="10" s="1"/>
  <c r="AK328" i="10"/>
  <c r="AL328" i="10" s="1"/>
  <c r="AI328" i="10"/>
  <c r="AN327" i="10"/>
  <c r="AM327" i="10"/>
  <c r="AK327" i="10"/>
  <c r="AI327" i="10"/>
  <c r="AN326" i="10"/>
  <c r="AM326" i="10"/>
  <c r="AO326" i="10" s="1"/>
  <c r="AK326" i="10"/>
  <c r="AL326" i="10" s="1"/>
  <c r="AI326" i="10"/>
  <c r="AJ326" i="10" s="1"/>
  <c r="AN325" i="10"/>
  <c r="AM325" i="10"/>
  <c r="AK325" i="10"/>
  <c r="AL325" i="10" s="1"/>
  <c r="AI325" i="10"/>
  <c r="AJ325" i="10" s="1"/>
  <c r="AN324" i="10"/>
  <c r="AM324" i="10"/>
  <c r="AO324" i="10" s="1"/>
  <c r="AK324" i="10"/>
  <c r="AL324" i="10" s="1"/>
  <c r="AI324" i="10"/>
  <c r="AN323" i="10"/>
  <c r="AM323" i="10"/>
  <c r="AO323" i="10" s="1"/>
  <c r="AK323" i="10"/>
  <c r="AL323" i="10" s="1"/>
  <c r="AI323" i="10"/>
  <c r="AN322" i="10"/>
  <c r="AM322" i="10"/>
  <c r="AO322" i="10" s="1"/>
  <c r="AK322" i="10"/>
  <c r="AI322" i="10"/>
  <c r="AN321" i="10"/>
  <c r="AM321" i="10"/>
  <c r="AK321" i="10"/>
  <c r="AI321" i="10"/>
  <c r="AJ321" i="10" s="1"/>
  <c r="AN320" i="10"/>
  <c r="AM320" i="10"/>
  <c r="AK320" i="10"/>
  <c r="AL320" i="10" s="1"/>
  <c r="AI320" i="10"/>
  <c r="AJ320" i="10" s="1"/>
  <c r="AN319" i="10"/>
  <c r="AM319" i="10"/>
  <c r="AK319" i="10"/>
  <c r="AL319" i="10" s="1"/>
  <c r="AI319" i="10"/>
  <c r="AJ319" i="10" s="1"/>
  <c r="AN318" i="10"/>
  <c r="AM318" i="10"/>
  <c r="AO318" i="10" s="1"/>
  <c r="AK318" i="10"/>
  <c r="AL318" i="10" s="1"/>
  <c r="AI318" i="10"/>
  <c r="AJ318" i="10" s="1"/>
  <c r="AN317" i="10"/>
  <c r="AM317" i="10"/>
  <c r="AO317" i="10" s="1"/>
  <c r="AK317" i="10"/>
  <c r="AL317" i="10" s="1"/>
  <c r="AI317" i="10"/>
  <c r="AJ317" i="10" s="1"/>
  <c r="AN316" i="10"/>
  <c r="AM316" i="10"/>
  <c r="AK316" i="10"/>
  <c r="AI316" i="10"/>
  <c r="AJ316" i="10" s="1"/>
  <c r="AN315" i="10"/>
  <c r="AM315" i="10"/>
  <c r="AO315" i="10" s="1"/>
  <c r="AK315" i="10"/>
  <c r="AI315" i="10"/>
  <c r="AJ315" i="10" s="1"/>
  <c r="AN314" i="10"/>
  <c r="AM314" i="10"/>
  <c r="AK314" i="10"/>
  <c r="AI314" i="10"/>
  <c r="AJ314" i="10" s="1"/>
  <c r="AN313" i="10"/>
  <c r="AM313" i="10"/>
  <c r="AO313" i="10" s="1"/>
  <c r="AK313" i="10"/>
  <c r="AL313" i="10" s="1"/>
  <c r="AI313" i="10"/>
  <c r="AN312" i="10"/>
  <c r="AM312" i="10"/>
  <c r="AK312" i="10"/>
  <c r="AI312" i="10"/>
  <c r="AJ312" i="10" s="1"/>
  <c r="AN311" i="10"/>
  <c r="AM311" i="10"/>
  <c r="AO311" i="10" s="1"/>
  <c r="AK311" i="10"/>
  <c r="AI311" i="10"/>
  <c r="AN310" i="10"/>
  <c r="AM310" i="10"/>
  <c r="AK310" i="10"/>
  <c r="AI310" i="10"/>
  <c r="AJ310" i="10" s="1"/>
  <c r="AN309" i="10"/>
  <c r="AM309" i="10"/>
  <c r="AK309" i="10"/>
  <c r="AL309" i="10" s="1"/>
  <c r="AI309" i="10"/>
  <c r="AJ309" i="10" s="1"/>
  <c r="AN308" i="10"/>
  <c r="AM308" i="10"/>
  <c r="AK308" i="10"/>
  <c r="AL308" i="10" s="1"/>
  <c r="AI308" i="10"/>
  <c r="AJ308" i="10" s="1"/>
  <c r="AN307" i="10"/>
  <c r="AM307" i="10"/>
  <c r="AO307" i="10" s="1"/>
  <c r="AK307" i="10"/>
  <c r="AL307" i="10" s="1"/>
  <c r="AI307" i="10"/>
  <c r="AJ307" i="10" s="1"/>
  <c r="AN306" i="10"/>
  <c r="AM306" i="10"/>
  <c r="AO306" i="10" s="1"/>
  <c r="AK306" i="10"/>
  <c r="AL306" i="10" s="1"/>
  <c r="AI306" i="10"/>
  <c r="AJ306" i="10" s="1"/>
  <c r="AN305" i="10"/>
  <c r="AM305" i="10"/>
  <c r="AK305" i="10"/>
  <c r="AI305" i="10"/>
  <c r="AN304" i="10"/>
  <c r="AM304" i="10"/>
  <c r="AK304" i="10"/>
  <c r="AI304" i="10"/>
  <c r="AJ304" i="10" s="1"/>
  <c r="AN303" i="10"/>
  <c r="AM303" i="10"/>
  <c r="AK303" i="10"/>
  <c r="AL303" i="10" s="1"/>
  <c r="AI303" i="10"/>
  <c r="AJ303" i="10" s="1"/>
  <c r="AN302" i="10"/>
  <c r="AM302" i="10"/>
  <c r="AO302" i="10" s="1"/>
  <c r="AK302" i="10"/>
  <c r="AL302" i="10" s="1"/>
  <c r="AI302" i="10"/>
  <c r="AN301" i="10"/>
  <c r="AM301" i="10"/>
  <c r="AO301" i="10" s="1"/>
  <c r="AK301" i="10"/>
  <c r="AL301" i="10" s="1"/>
  <c r="AI301" i="10"/>
  <c r="AJ301" i="10" s="1"/>
  <c r="AN300" i="10"/>
  <c r="AM300" i="10"/>
  <c r="AO300" i="10" s="1"/>
  <c r="AK300" i="10"/>
  <c r="AI300" i="10"/>
  <c r="AJ300" i="10" s="1"/>
  <c r="AN299" i="10"/>
  <c r="AM299" i="10"/>
  <c r="AK299" i="10"/>
  <c r="AI299" i="10"/>
  <c r="AN298" i="10"/>
  <c r="AM298" i="10"/>
  <c r="AK298" i="10"/>
  <c r="AL298" i="10" s="1"/>
  <c r="AI298" i="10"/>
  <c r="AN297" i="10"/>
  <c r="AM297" i="10"/>
  <c r="AK297" i="10"/>
  <c r="AL297" i="10" s="1"/>
  <c r="AI297" i="10"/>
  <c r="AJ297" i="10" s="1"/>
  <c r="AN296" i="10"/>
  <c r="AM296" i="10"/>
  <c r="AK296" i="10"/>
  <c r="AL296" i="10" s="1"/>
  <c r="AI296" i="10"/>
  <c r="AN295" i="10"/>
  <c r="AM295" i="10"/>
  <c r="AO295" i="10" s="1"/>
  <c r="AK295" i="10"/>
  <c r="AL295" i="10" s="1"/>
  <c r="AI295" i="10"/>
  <c r="AJ295" i="10" s="1"/>
  <c r="AN294" i="10"/>
  <c r="AM294" i="10"/>
  <c r="AK294" i="10"/>
  <c r="AI294" i="10"/>
  <c r="AN293" i="10"/>
  <c r="AM293" i="10"/>
  <c r="AK293" i="10"/>
  <c r="AI293" i="10"/>
  <c r="AJ293" i="10" s="1"/>
  <c r="AN292" i="10"/>
  <c r="AM292" i="10"/>
  <c r="AK292" i="10"/>
  <c r="AL292" i="10" s="1"/>
  <c r="AI292" i="10"/>
  <c r="AN291" i="10"/>
  <c r="AM291" i="10"/>
  <c r="AO291" i="10" s="1"/>
  <c r="AK291" i="10"/>
  <c r="AL291" i="10" s="1"/>
  <c r="AI291" i="10"/>
  <c r="AJ291" i="10" s="1"/>
  <c r="AN290" i="10"/>
  <c r="AM290" i="10"/>
  <c r="AO290" i="10" s="1"/>
  <c r="AK290" i="10"/>
  <c r="AI290" i="10"/>
  <c r="AN289" i="10"/>
  <c r="AM289" i="10"/>
  <c r="AO289" i="10" s="1"/>
  <c r="AK289" i="10"/>
  <c r="AI289" i="10"/>
  <c r="AN288" i="10"/>
  <c r="AM288" i="10"/>
  <c r="AK288" i="10"/>
  <c r="AI288" i="10"/>
  <c r="AN287" i="10"/>
  <c r="AM287" i="10"/>
  <c r="AK287" i="10"/>
  <c r="AL287" i="10" s="1"/>
  <c r="AI287" i="10"/>
  <c r="AN286" i="10"/>
  <c r="AM286" i="10"/>
  <c r="AK286" i="10"/>
  <c r="AL286" i="10" s="1"/>
  <c r="AI286" i="10"/>
  <c r="AJ286" i="10" s="1"/>
  <c r="AN285" i="10"/>
  <c r="AM285" i="10"/>
  <c r="AO285" i="10" s="1"/>
  <c r="AK285" i="10"/>
  <c r="AL285" i="10" s="1"/>
  <c r="AI285" i="10"/>
  <c r="AJ285" i="10" s="1"/>
  <c r="AN284" i="10"/>
  <c r="AM284" i="10"/>
  <c r="AK284" i="10"/>
  <c r="AL284" i="10" s="1"/>
  <c r="AI284" i="10"/>
  <c r="AJ284" i="10" s="1"/>
  <c r="AN283" i="10"/>
  <c r="AM283" i="10"/>
  <c r="AK283" i="10"/>
  <c r="AI283" i="10"/>
  <c r="AN282" i="10"/>
  <c r="AM282" i="10"/>
  <c r="AO282" i="10" s="1"/>
  <c r="AK282" i="10"/>
  <c r="AL282" i="10" s="1"/>
  <c r="AI282" i="10"/>
  <c r="AJ282" i="10" s="1"/>
  <c r="AN281" i="10"/>
  <c r="AM281" i="10"/>
  <c r="AK281" i="10"/>
  <c r="AL281" i="10" s="1"/>
  <c r="AI281" i="10"/>
  <c r="AN280" i="10"/>
  <c r="AM280" i="10"/>
  <c r="AO280" i="10" s="1"/>
  <c r="AK280" i="10"/>
  <c r="AL280" i="10" s="1"/>
  <c r="AI280" i="10"/>
  <c r="AN279" i="10"/>
  <c r="AM279" i="10"/>
  <c r="AO279" i="10" s="1"/>
  <c r="AK279" i="10"/>
  <c r="AL279" i="10" s="1"/>
  <c r="AI279" i="10"/>
  <c r="AN278" i="10"/>
  <c r="AM278" i="10"/>
  <c r="AK278" i="10"/>
  <c r="AI278" i="10"/>
  <c r="AN277" i="10"/>
  <c r="AM277" i="10"/>
  <c r="AK277" i="10"/>
  <c r="AI277" i="10"/>
  <c r="AJ277" i="10" s="1"/>
  <c r="AN276" i="10"/>
  <c r="AO276" i="10" s="1"/>
  <c r="AM276" i="10"/>
  <c r="AK276" i="10"/>
  <c r="AL276" i="10" s="1"/>
  <c r="AI276" i="10"/>
  <c r="AN275" i="10"/>
  <c r="AO275" i="10" s="1"/>
  <c r="AM275" i="10"/>
  <c r="AK275" i="10"/>
  <c r="AL275" i="10" s="1"/>
  <c r="AI275" i="10"/>
  <c r="AJ275" i="10" s="1"/>
  <c r="AN274" i="10"/>
  <c r="AM274" i="10"/>
  <c r="AO274" i="10" s="1"/>
  <c r="AK274" i="10"/>
  <c r="AL274" i="10" s="1"/>
  <c r="AI274" i="10"/>
  <c r="AN273" i="10"/>
  <c r="AM273" i="10"/>
  <c r="AK273" i="10"/>
  <c r="AL273" i="10" s="1"/>
  <c r="AI273" i="10"/>
  <c r="AJ273" i="10" s="1"/>
  <c r="AN272" i="10"/>
  <c r="AM272" i="10"/>
  <c r="AK272" i="10"/>
  <c r="AI272" i="10"/>
  <c r="AN271" i="10"/>
  <c r="AM271" i="10"/>
  <c r="AO271" i="10" s="1"/>
  <c r="AK271" i="10"/>
  <c r="AL271" i="10" s="1"/>
  <c r="AI271" i="10"/>
  <c r="AN270" i="10"/>
  <c r="AM270" i="10"/>
  <c r="AK270" i="10"/>
  <c r="AL270" i="10" s="1"/>
  <c r="AI270" i="10"/>
  <c r="AN269" i="10"/>
  <c r="AM269" i="10"/>
  <c r="AO269" i="10" s="1"/>
  <c r="AK269" i="10"/>
  <c r="AL269" i="10" s="1"/>
  <c r="AI269" i="10"/>
  <c r="AJ269" i="10" s="1"/>
  <c r="AN268" i="10"/>
  <c r="AM268" i="10"/>
  <c r="AO268" i="10" s="1"/>
  <c r="AK268" i="10"/>
  <c r="AL268" i="10" s="1"/>
  <c r="AI268" i="10"/>
  <c r="AN267" i="10"/>
  <c r="AM267" i="10"/>
  <c r="AO267" i="10" s="1"/>
  <c r="AK267" i="10"/>
  <c r="AI267" i="10"/>
  <c r="AN266" i="10"/>
  <c r="AM266" i="10"/>
  <c r="AK266" i="10"/>
  <c r="AI266" i="10"/>
  <c r="AJ266" i="10" s="1"/>
  <c r="AN265" i="10"/>
  <c r="AM265" i="10"/>
  <c r="AK265" i="10"/>
  <c r="AL265" i="10" s="1"/>
  <c r="AI265" i="10"/>
  <c r="AJ265" i="10" s="1"/>
  <c r="AN264" i="10"/>
  <c r="AO264" i="10" s="1"/>
  <c r="AM264" i="10"/>
  <c r="AK264" i="10"/>
  <c r="AI264" i="10"/>
  <c r="AN263" i="10"/>
  <c r="AM263" i="10"/>
  <c r="AO263" i="10" s="1"/>
  <c r="AK263" i="10"/>
  <c r="AL263" i="10" s="1"/>
  <c r="AI263" i="10"/>
  <c r="AJ263" i="10" s="1"/>
  <c r="AN262" i="10"/>
  <c r="AM262" i="10"/>
  <c r="AO262" i="10" s="1"/>
  <c r="AK262" i="10"/>
  <c r="AL262" i="10" s="1"/>
  <c r="AI262" i="10"/>
  <c r="AN261" i="10"/>
  <c r="AM261" i="10"/>
  <c r="AK261" i="10"/>
  <c r="AI261" i="10"/>
  <c r="AN260" i="10"/>
  <c r="AM260" i="10"/>
  <c r="AO260" i="10" s="1"/>
  <c r="AK260" i="10"/>
  <c r="AI260" i="10"/>
  <c r="AN259" i="10"/>
  <c r="AM259" i="10"/>
  <c r="AK259" i="10"/>
  <c r="AL259" i="10" s="1"/>
  <c r="AI259" i="10"/>
  <c r="AJ259" i="10" s="1"/>
  <c r="AN258" i="10"/>
  <c r="AM258" i="10"/>
  <c r="AO258" i="10" s="1"/>
  <c r="AK258" i="10"/>
  <c r="AL258" i="10" s="1"/>
  <c r="AI258" i="10"/>
  <c r="AJ258" i="10" s="1"/>
  <c r="AN257" i="10"/>
  <c r="AM257" i="10"/>
  <c r="AO257" i="10" s="1"/>
  <c r="AK257" i="10"/>
  <c r="AL257" i="10" s="1"/>
  <c r="AI257" i="10"/>
  <c r="AJ257" i="10" s="1"/>
  <c r="AN256" i="10"/>
  <c r="AM256" i="10"/>
  <c r="AK256" i="10"/>
  <c r="AI256" i="10"/>
  <c r="AN255" i="10"/>
  <c r="AM255" i="10"/>
  <c r="AK255" i="10"/>
  <c r="AI255" i="10"/>
  <c r="AN254" i="10"/>
  <c r="AM254" i="10"/>
  <c r="AK254" i="10"/>
  <c r="AL254" i="10" s="1"/>
  <c r="AI254" i="10"/>
  <c r="AN253" i="10"/>
  <c r="AO253" i="10" s="1"/>
  <c r="AM253" i="10"/>
  <c r="AK253" i="10"/>
  <c r="AI253" i="10"/>
  <c r="AJ253" i="10" s="1"/>
  <c r="AN252" i="10"/>
  <c r="AM252" i="10"/>
  <c r="AO252" i="10" s="1"/>
  <c r="AK252" i="10"/>
  <c r="AL252" i="10" s="1"/>
  <c r="AI252" i="10"/>
  <c r="AJ252" i="10" s="1"/>
  <c r="AN251" i="10"/>
  <c r="AM251" i="10"/>
  <c r="AO251" i="10" s="1"/>
  <c r="AK251" i="10"/>
  <c r="AL251" i="10" s="1"/>
  <c r="AI251" i="10"/>
  <c r="AJ251" i="10" s="1"/>
  <c r="AN250" i="10"/>
  <c r="AM250" i="10"/>
  <c r="AK250" i="10"/>
  <c r="AI250" i="10"/>
  <c r="AN249" i="10"/>
  <c r="AM249" i="10"/>
  <c r="AK249" i="10"/>
  <c r="AI249" i="10"/>
  <c r="AN248" i="10"/>
  <c r="AM248" i="10"/>
  <c r="AK248" i="10"/>
  <c r="AL248" i="10" s="1"/>
  <c r="AI248" i="10"/>
  <c r="AJ248" i="10" s="1"/>
  <c r="AN247" i="10"/>
  <c r="AM247" i="10"/>
  <c r="AO247" i="10" s="1"/>
  <c r="AK247" i="10"/>
  <c r="AL247" i="10" s="1"/>
  <c r="AI247" i="10"/>
  <c r="AJ247" i="10" s="1"/>
  <c r="AN246" i="10"/>
  <c r="AM246" i="10"/>
  <c r="AO246" i="10" s="1"/>
  <c r="AK246" i="10"/>
  <c r="AL246" i="10" s="1"/>
  <c r="AI246" i="10"/>
  <c r="AJ246" i="10" s="1"/>
  <c r="AN245" i="10"/>
  <c r="AM245" i="10"/>
  <c r="AO245" i="10" s="1"/>
  <c r="AK245" i="10"/>
  <c r="AI245" i="10"/>
  <c r="AN244" i="10"/>
  <c r="AM244" i="10"/>
  <c r="AK244" i="10"/>
  <c r="AI244" i="10"/>
  <c r="AN243" i="10"/>
  <c r="AM243" i="10"/>
  <c r="AK243" i="10"/>
  <c r="AL243" i="10" s="1"/>
  <c r="AI243" i="10"/>
  <c r="AJ243" i="10" s="1"/>
  <c r="AN242" i="10"/>
  <c r="AO242" i="10" s="1"/>
  <c r="AM242" i="10"/>
  <c r="AK242" i="10"/>
  <c r="AL242" i="10" s="1"/>
  <c r="AI242" i="10"/>
  <c r="AJ242" i="10" s="1"/>
  <c r="AN241" i="10"/>
  <c r="AM241" i="10"/>
  <c r="AO241" i="10" s="1"/>
  <c r="AK241" i="10"/>
  <c r="AL241" i="10" s="1"/>
  <c r="AI241" i="10"/>
  <c r="AJ241" i="10" s="1"/>
  <c r="AN240" i="10"/>
  <c r="AM240" i="10"/>
  <c r="AO240" i="10" s="1"/>
  <c r="AK240" i="10"/>
  <c r="AL240" i="10" s="1"/>
  <c r="AI240" i="10"/>
  <c r="AJ240" i="10" s="1"/>
  <c r="AN239" i="10"/>
  <c r="AM239" i="10"/>
  <c r="AO239" i="10" s="1"/>
  <c r="AK239" i="10"/>
  <c r="AI239" i="10"/>
  <c r="AN238" i="10"/>
  <c r="AM238" i="10"/>
  <c r="AO238" i="10" s="1"/>
  <c r="AK238" i="10"/>
  <c r="AL238" i="10" s="1"/>
  <c r="AI238" i="10"/>
  <c r="AJ238" i="10" s="1"/>
  <c r="AN237" i="10"/>
  <c r="AM237" i="10"/>
  <c r="AK237" i="10"/>
  <c r="AL237" i="10" s="1"/>
  <c r="AI237" i="10"/>
  <c r="AJ237" i="10" s="1"/>
  <c r="AN236" i="10"/>
  <c r="AM236" i="10"/>
  <c r="AO236" i="10" s="1"/>
  <c r="AK236" i="10"/>
  <c r="AL236" i="10" s="1"/>
  <c r="AI236" i="10"/>
  <c r="AJ236" i="10" s="1"/>
  <c r="AN235" i="10"/>
  <c r="AM235" i="10"/>
  <c r="AK235" i="10"/>
  <c r="AL235" i="10" s="1"/>
  <c r="AI235" i="10"/>
  <c r="AN234" i="10"/>
  <c r="AM234" i="10"/>
  <c r="AO234" i="10" s="1"/>
  <c r="AK234" i="10"/>
  <c r="AI234" i="10"/>
  <c r="AN233" i="10"/>
  <c r="AM233" i="10"/>
  <c r="AK233" i="10"/>
  <c r="AI233" i="10"/>
  <c r="AN232" i="10"/>
  <c r="AM232" i="10"/>
  <c r="AK232" i="10"/>
  <c r="AL232" i="10" s="1"/>
  <c r="AI232" i="10"/>
  <c r="AN231" i="10"/>
  <c r="AM231" i="10"/>
  <c r="AK231" i="10"/>
  <c r="AL231" i="10" s="1"/>
  <c r="AI231" i="10"/>
  <c r="AJ231" i="10" s="1"/>
  <c r="AN230" i="10"/>
  <c r="AM230" i="10"/>
  <c r="AO230" i="10" s="1"/>
  <c r="AK230" i="10"/>
  <c r="AI230" i="10"/>
  <c r="AJ230" i="10" s="1"/>
  <c r="AN229" i="10"/>
  <c r="AM229" i="10"/>
  <c r="AO229" i="10" s="1"/>
  <c r="AK229" i="10"/>
  <c r="AL229" i="10" s="1"/>
  <c r="AI229" i="10"/>
  <c r="AJ229" i="10" s="1"/>
  <c r="AN228" i="10"/>
  <c r="AM228" i="10"/>
  <c r="AO228" i="10" s="1"/>
  <c r="AK228" i="10"/>
  <c r="AI228" i="10"/>
  <c r="AN227" i="10"/>
  <c r="AM227" i="10"/>
  <c r="AK227" i="10"/>
  <c r="AI227" i="10"/>
  <c r="AN226" i="10"/>
  <c r="AM226" i="10"/>
  <c r="AK226" i="10"/>
  <c r="AL226" i="10" s="1"/>
  <c r="AI226" i="10"/>
  <c r="AN225" i="10"/>
  <c r="AM225" i="10"/>
  <c r="AO225" i="10" s="1"/>
  <c r="AK225" i="10"/>
  <c r="AI225" i="10"/>
  <c r="AJ225" i="10" s="1"/>
  <c r="AN224" i="10"/>
  <c r="AM224" i="10"/>
  <c r="AO224" i="10" s="1"/>
  <c r="AK224" i="10"/>
  <c r="AL224" i="10" s="1"/>
  <c r="AI224" i="10"/>
  <c r="AN223" i="10"/>
  <c r="AM223" i="10"/>
  <c r="AO223" i="10" s="1"/>
  <c r="AK223" i="10"/>
  <c r="AI223" i="10"/>
  <c r="AN222" i="10"/>
  <c r="AM222" i="10"/>
  <c r="AK222" i="10"/>
  <c r="AI222" i="10"/>
  <c r="AJ222" i="10" s="1"/>
  <c r="AN221" i="10"/>
  <c r="AM221" i="10"/>
  <c r="AK221" i="10"/>
  <c r="AL221" i="10" s="1"/>
  <c r="AI221" i="10"/>
  <c r="AN220" i="10"/>
  <c r="AM220" i="10"/>
  <c r="AK220" i="10"/>
  <c r="AL220" i="10" s="1"/>
  <c r="AI220" i="10"/>
  <c r="AJ220" i="10" s="1"/>
  <c r="AN219" i="10"/>
  <c r="AM219" i="10"/>
  <c r="AO219" i="10" s="1"/>
  <c r="AK219" i="10"/>
  <c r="AL219" i="10" s="1"/>
  <c r="AI219" i="10"/>
  <c r="AJ219" i="10" s="1"/>
  <c r="AN218" i="10"/>
  <c r="AM218" i="10"/>
  <c r="AO218" i="10" s="1"/>
  <c r="AK218" i="10"/>
  <c r="AL218" i="10" s="1"/>
  <c r="AI218" i="10"/>
  <c r="AJ218" i="10" s="1"/>
  <c r="AN217" i="10"/>
  <c r="AM217" i="10"/>
  <c r="AK217" i="10"/>
  <c r="AI217" i="10"/>
  <c r="AN216" i="10"/>
  <c r="AM216" i="10"/>
  <c r="AO216" i="10" s="1"/>
  <c r="AK216" i="10"/>
  <c r="AL216" i="10" s="1"/>
  <c r="AI216" i="10"/>
  <c r="AJ216" i="10" s="1"/>
  <c r="AN215" i="10"/>
  <c r="AM215" i="10"/>
  <c r="AK215" i="10"/>
  <c r="AL215" i="10" s="1"/>
  <c r="AI215" i="10"/>
  <c r="AJ215" i="10" s="1"/>
  <c r="AN214" i="10"/>
  <c r="AM214" i="10"/>
  <c r="AO214" i="10" s="1"/>
  <c r="AK214" i="10"/>
  <c r="AL214" i="10" s="1"/>
  <c r="AI214" i="10"/>
  <c r="AJ214" i="10" s="1"/>
  <c r="AN213" i="10"/>
  <c r="AM213" i="10"/>
  <c r="AO213" i="10" s="1"/>
  <c r="AK213" i="10"/>
  <c r="AL213" i="10" s="1"/>
  <c r="AI213" i="10"/>
  <c r="AN212" i="10"/>
  <c r="AM212" i="10"/>
  <c r="AO212" i="10" s="1"/>
  <c r="AK212" i="10"/>
  <c r="AI212" i="10"/>
  <c r="AN211" i="10"/>
  <c r="AM211" i="10"/>
  <c r="AK211" i="10"/>
  <c r="AI211" i="10"/>
  <c r="AJ211" i="10" s="1"/>
  <c r="AN210" i="10"/>
  <c r="AM210" i="10"/>
  <c r="AK210" i="10"/>
  <c r="AL210" i="10" s="1"/>
  <c r="AI210" i="10"/>
  <c r="AN209" i="10"/>
  <c r="AM209" i="10"/>
  <c r="AK209" i="10"/>
  <c r="AL209" i="10" s="1"/>
  <c r="AI209" i="10"/>
  <c r="AJ209" i="10" s="1"/>
  <c r="AN208" i="10"/>
  <c r="AM208" i="10"/>
  <c r="AO208" i="10" s="1"/>
  <c r="AK208" i="10"/>
  <c r="AL208" i="10" s="1"/>
  <c r="AI208" i="10"/>
  <c r="AJ208" i="10" s="1"/>
  <c r="AN207" i="10"/>
  <c r="AM207" i="10"/>
  <c r="AO207" i="10" s="1"/>
  <c r="AK207" i="10"/>
  <c r="AL207" i="10" s="1"/>
  <c r="AI207" i="10"/>
  <c r="AJ207" i="10" s="1"/>
  <c r="AN206" i="10"/>
  <c r="AM206" i="10"/>
  <c r="AK206" i="10"/>
  <c r="AI206" i="10"/>
  <c r="AN205" i="10"/>
  <c r="AM205" i="10"/>
  <c r="AK205" i="10"/>
  <c r="AI205" i="10"/>
  <c r="AJ205" i="10" s="1"/>
  <c r="AN204" i="10"/>
  <c r="AM204" i="10"/>
  <c r="AK204" i="10"/>
  <c r="AL204" i="10" s="1"/>
  <c r="AI204" i="10"/>
  <c r="AN203" i="10"/>
  <c r="AM203" i="10"/>
  <c r="AO203" i="10" s="1"/>
  <c r="AK203" i="10"/>
  <c r="AL203" i="10" s="1"/>
  <c r="AI203" i="10"/>
  <c r="AJ203" i="10" s="1"/>
  <c r="AN202" i="10"/>
  <c r="AM202" i="10"/>
  <c r="AO202" i="10" s="1"/>
  <c r="AK202" i="10"/>
  <c r="AI202" i="10"/>
  <c r="AN201" i="10"/>
  <c r="AM201" i="10"/>
  <c r="AO201" i="10" s="1"/>
  <c r="AK201" i="10"/>
  <c r="AI201" i="10"/>
  <c r="AN200" i="10"/>
  <c r="AM200" i="10"/>
  <c r="AK200" i="10"/>
  <c r="AI200" i="10"/>
  <c r="AJ200" i="10" s="1"/>
  <c r="AN199" i="10"/>
  <c r="AM199" i="10"/>
  <c r="AK199" i="10"/>
  <c r="AI199" i="10"/>
  <c r="AJ199" i="10" s="1"/>
  <c r="AN198" i="10"/>
  <c r="AM198" i="10"/>
  <c r="AK198" i="10"/>
  <c r="AL198" i="10" s="1"/>
  <c r="AI198" i="10"/>
  <c r="AJ198" i="10" s="1"/>
  <c r="AN197" i="10"/>
  <c r="AM197" i="10"/>
  <c r="AO197" i="10" s="1"/>
  <c r="AK197" i="10"/>
  <c r="AL197" i="10" s="1"/>
  <c r="AI197" i="10"/>
  <c r="AJ197" i="10" s="1"/>
  <c r="AN196" i="10"/>
  <c r="AM196" i="10"/>
  <c r="AO196" i="10" s="1"/>
  <c r="AK196" i="10"/>
  <c r="AL196" i="10" s="1"/>
  <c r="AI196" i="10"/>
  <c r="AJ196" i="10" s="1"/>
  <c r="AN195" i="10"/>
  <c r="AM195" i="10"/>
  <c r="AK195" i="10"/>
  <c r="AI195" i="10"/>
  <c r="AJ195" i="10" s="1"/>
  <c r="AN194" i="10"/>
  <c r="AM194" i="10"/>
  <c r="AO194" i="10" s="1"/>
  <c r="AK194" i="10"/>
  <c r="AL194" i="10" s="1"/>
  <c r="AI194" i="10"/>
  <c r="AJ194" i="10" s="1"/>
  <c r="AN193" i="10"/>
  <c r="AM193" i="10"/>
  <c r="AK193" i="10"/>
  <c r="AL193" i="10" s="1"/>
  <c r="AI193" i="10"/>
  <c r="AJ193" i="10" s="1"/>
  <c r="AN192" i="10"/>
  <c r="AM192" i="10"/>
  <c r="AO192" i="10" s="1"/>
  <c r="AK192" i="10"/>
  <c r="AL192" i="10" s="1"/>
  <c r="AI192" i="10"/>
  <c r="AJ192" i="10" s="1"/>
  <c r="AN191" i="10"/>
  <c r="AM191" i="10"/>
  <c r="AO191" i="10" s="1"/>
  <c r="AK191" i="10"/>
  <c r="AL191" i="10" s="1"/>
  <c r="AI191" i="10"/>
  <c r="AN190" i="10"/>
  <c r="AM190" i="10"/>
  <c r="AO190" i="10" s="1"/>
  <c r="AK190" i="10"/>
  <c r="AI190" i="10"/>
  <c r="AN189" i="10"/>
  <c r="AM189" i="10"/>
  <c r="AK189" i="10"/>
  <c r="AI189" i="10"/>
  <c r="AN188" i="10"/>
  <c r="AM188" i="10"/>
  <c r="AK188" i="10"/>
  <c r="AL188" i="10" s="1"/>
  <c r="AI188" i="10"/>
  <c r="AJ188" i="10" s="1"/>
  <c r="AN187" i="10"/>
  <c r="AM187" i="10"/>
  <c r="AK187" i="10"/>
  <c r="AL187" i="10" s="1"/>
  <c r="AI187" i="10"/>
  <c r="AJ187" i="10" s="1"/>
  <c r="AN186" i="10"/>
  <c r="AM186" i="10"/>
  <c r="AO186" i="10" s="1"/>
  <c r="AK186" i="10"/>
  <c r="AL186" i="10" s="1"/>
  <c r="AI186" i="10"/>
  <c r="AJ186" i="10" s="1"/>
  <c r="AN185" i="10"/>
  <c r="AM185" i="10"/>
  <c r="AO185" i="10" s="1"/>
  <c r="AK185" i="10"/>
  <c r="AL185" i="10" s="1"/>
  <c r="AI185" i="10"/>
  <c r="AJ185" i="10" s="1"/>
  <c r="AN184" i="10"/>
  <c r="AM184" i="10"/>
  <c r="AK184" i="10"/>
  <c r="AI184" i="10"/>
  <c r="AN183" i="10"/>
  <c r="AM183" i="10"/>
  <c r="AO183" i="10" s="1"/>
  <c r="AK183" i="10"/>
  <c r="AL183" i="10" s="1"/>
  <c r="AI183" i="10"/>
  <c r="AJ183" i="10" s="1"/>
  <c r="AN182" i="10"/>
  <c r="AM182" i="10"/>
  <c r="AK182" i="10"/>
  <c r="AL182" i="10" s="1"/>
  <c r="AI182" i="10"/>
  <c r="AJ182" i="10" s="1"/>
  <c r="AN181" i="10"/>
  <c r="AM181" i="10"/>
  <c r="AO181" i="10" s="1"/>
  <c r="AK181" i="10"/>
  <c r="AL181" i="10" s="1"/>
  <c r="AI181" i="10"/>
  <c r="AJ181" i="10" s="1"/>
  <c r="AN180" i="10"/>
  <c r="AM180" i="10"/>
  <c r="AO180" i="10" s="1"/>
  <c r="AK180" i="10"/>
  <c r="AL180" i="10" s="1"/>
  <c r="AI180" i="10"/>
  <c r="AN179" i="10"/>
  <c r="AM179" i="10"/>
  <c r="AK179" i="10"/>
  <c r="AI179" i="10"/>
  <c r="AN178" i="10"/>
  <c r="AM178" i="10"/>
  <c r="AK178" i="10"/>
  <c r="AI178" i="10"/>
  <c r="AN177" i="10"/>
  <c r="AM177" i="10"/>
  <c r="AK177" i="10"/>
  <c r="AL177" i="10" s="1"/>
  <c r="AI177" i="10"/>
  <c r="AN176" i="10"/>
  <c r="AM176" i="10"/>
  <c r="AK176" i="10"/>
  <c r="AI176" i="10"/>
  <c r="AN175" i="10"/>
  <c r="AM175" i="10"/>
  <c r="AO175" i="10" s="1"/>
  <c r="AK175" i="10"/>
  <c r="AL175" i="10" s="1"/>
  <c r="AI175" i="10"/>
  <c r="AJ175" i="10" s="1"/>
  <c r="AN174" i="10"/>
  <c r="AM174" i="10"/>
  <c r="AO174" i="10" s="1"/>
  <c r="AK174" i="10"/>
  <c r="AL174" i="10" s="1"/>
  <c r="AI174" i="10"/>
  <c r="AJ174" i="10" s="1"/>
  <c r="AN173" i="10"/>
  <c r="AM173" i="10"/>
  <c r="AK173" i="10"/>
  <c r="AI173" i="10"/>
  <c r="AN172" i="10"/>
  <c r="AM172" i="10"/>
  <c r="AK172" i="10"/>
  <c r="AL172" i="10" s="1"/>
  <c r="AI172" i="10"/>
  <c r="AJ172" i="10" s="1"/>
  <c r="AN171" i="10"/>
  <c r="AM171" i="10"/>
  <c r="AK171" i="10"/>
  <c r="AL171" i="10" s="1"/>
  <c r="AI171" i="10"/>
  <c r="AN170" i="10"/>
  <c r="AM170" i="10"/>
  <c r="AO170" i="10" s="1"/>
  <c r="AK170" i="10"/>
  <c r="AL170" i="10" s="1"/>
  <c r="AI170" i="10"/>
  <c r="AN169" i="10"/>
  <c r="AM169" i="10"/>
  <c r="AO169" i="10" s="1"/>
  <c r="AK169" i="10"/>
  <c r="AI169" i="10"/>
  <c r="AJ169" i="10" s="1"/>
  <c r="AN168" i="10"/>
  <c r="AM168" i="10"/>
  <c r="AO168" i="10" s="1"/>
  <c r="AK168" i="10"/>
  <c r="AI168" i="10"/>
  <c r="AN167" i="10"/>
  <c r="AM167" i="10"/>
  <c r="AK167" i="10"/>
  <c r="AI167" i="10"/>
  <c r="AJ167" i="10" s="1"/>
  <c r="AN166" i="10"/>
  <c r="AM166" i="10"/>
  <c r="AK166" i="10"/>
  <c r="AL166" i="10" s="1"/>
  <c r="AI166" i="10"/>
  <c r="AJ166" i="10" s="1"/>
  <c r="AN165" i="10"/>
  <c r="AO165" i="10" s="1"/>
  <c r="AM165" i="10"/>
  <c r="AK165" i="10"/>
  <c r="AL165" i="10" s="1"/>
  <c r="AI165" i="10"/>
  <c r="AJ165" i="10" s="1"/>
  <c r="AN164" i="10"/>
  <c r="AM164" i="10"/>
  <c r="AO164" i="10" s="1"/>
  <c r="AK164" i="10"/>
  <c r="AL164" i="10" s="1"/>
  <c r="AI164" i="10"/>
  <c r="AJ164" i="10" s="1"/>
  <c r="AN163" i="10"/>
  <c r="AM163" i="10"/>
  <c r="AO163" i="10" s="1"/>
  <c r="AK163" i="10"/>
  <c r="AL163" i="10" s="1"/>
  <c r="AI163" i="10"/>
  <c r="AN162" i="10"/>
  <c r="AM162" i="10"/>
  <c r="AK162" i="10"/>
  <c r="AI162" i="10"/>
  <c r="AJ162" i="10" s="1"/>
  <c r="AN161" i="10"/>
  <c r="AM161" i="10"/>
  <c r="AK161" i="10"/>
  <c r="AI161" i="10"/>
  <c r="AJ161" i="10" s="1"/>
  <c r="AN160" i="10"/>
  <c r="AM160" i="10"/>
  <c r="AK160" i="10"/>
  <c r="AI160" i="10"/>
  <c r="AN159" i="10"/>
  <c r="AM159" i="10"/>
  <c r="AO159" i="10" s="1"/>
  <c r="AK159" i="10"/>
  <c r="AI159" i="10"/>
  <c r="AN158" i="10"/>
  <c r="AM158" i="10"/>
  <c r="AO158" i="10" s="1"/>
  <c r="AK158" i="10"/>
  <c r="AL158" i="10" s="1"/>
  <c r="AI158" i="10"/>
  <c r="AJ158" i="10" s="1"/>
  <c r="AN157" i="10"/>
  <c r="AM157" i="10"/>
  <c r="AO157" i="10" s="1"/>
  <c r="AK157" i="10"/>
  <c r="AI157" i="10"/>
  <c r="AN156" i="10"/>
  <c r="AM156" i="10"/>
  <c r="AK156" i="10"/>
  <c r="AI156" i="10"/>
  <c r="AJ156" i="10" s="1"/>
  <c r="AN155" i="10"/>
  <c r="AM155" i="10"/>
  <c r="AK155" i="10"/>
  <c r="AL155" i="10" s="1"/>
  <c r="AI155" i="10"/>
  <c r="AN154" i="10"/>
  <c r="AM154" i="10"/>
  <c r="AK154" i="10"/>
  <c r="AL154" i="10" s="1"/>
  <c r="AI154" i="10"/>
  <c r="AN153" i="10"/>
  <c r="AM153" i="10"/>
  <c r="AO153" i="10" s="1"/>
  <c r="AK153" i="10"/>
  <c r="AL153" i="10" s="1"/>
  <c r="AI153" i="10"/>
  <c r="AJ153" i="10" s="1"/>
  <c r="AN152" i="10"/>
  <c r="AM152" i="10"/>
  <c r="AO152" i="10" s="1"/>
  <c r="AK152" i="10"/>
  <c r="AL152" i="10" s="1"/>
  <c r="AI152" i="10"/>
  <c r="AJ152" i="10" s="1"/>
  <c r="AN151" i="10"/>
  <c r="AM151" i="10"/>
  <c r="AK151" i="10"/>
  <c r="AI151" i="10"/>
  <c r="AN150" i="10"/>
  <c r="AM150" i="10"/>
  <c r="AO150" i="10" s="1"/>
  <c r="AK150" i="10"/>
  <c r="AI150" i="10"/>
  <c r="AJ150" i="10" s="1"/>
  <c r="AN149" i="10"/>
  <c r="AM149" i="10"/>
  <c r="AK149" i="10"/>
  <c r="AL149" i="10" s="1"/>
  <c r="AI149" i="10"/>
  <c r="AJ149" i="10" s="1"/>
  <c r="AN148" i="10"/>
  <c r="AM148" i="10"/>
  <c r="AO148" i="10" s="1"/>
  <c r="AK148" i="10"/>
  <c r="AL148" i="10" s="1"/>
  <c r="AI148" i="10"/>
  <c r="AJ148" i="10" s="1"/>
  <c r="AN147" i="10"/>
  <c r="AM147" i="10"/>
  <c r="AO147" i="10" s="1"/>
  <c r="AK147" i="10"/>
  <c r="AL147" i="10" s="1"/>
  <c r="AI147" i="10"/>
  <c r="AJ147" i="10" s="1"/>
  <c r="AN146" i="10"/>
  <c r="AM146" i="10"/>
  <c r="AO146" i="10" s="1"/>
  <c r="AK146" i="10"/>
  <c r="AI146" i="10"/>
  <c r="AN145" i="10"/>
  <c r="AM145" i="10"/>
  <c r="AO145" i="10" s="1"/>
  <c r="AK145" i="10"/>
  <c r="AI145" i="10"/>
  <c r="AJ145" i="10" s="1"/>
  <c r="AN144" i="10"/>
  <c r="AM144" i="10"/>
  <c r="AK144" i="10"/>
  <c r="AL144" i="10" s="1"/>
  <c r="AI144" i="10"/>
  <c r="AN143" i="10"/>
  <c r="AM143" i="10"/>
  <c r="AK143" i="10"/>
  <c r="AL143" i="10" s="1"/>
  <c r="AI143" i="10"/>
  <c r="AJ143" i="10" s="1"/>
  <c r="AN142" i="10"/>
  <c r="AM142" i="10"/>
  <c r="AO142" i="10" s="1"/>
  <c r="AK142" i="10"/>
  <c r="AL142" i="10" s="1"/>
  <c r="AI142" i="10"/>
  <c r="AJ142" i="10" s="1"/>
  <c r="AN141" i="10"/>
  <c r="AM141" i="10"/>
  <c r="AK141" i="10"/>
  <c r="AL141" i="10" s="1"/>
  <c r="AI141" i="10"/>
  <c r="AJ141" i="10" s="1"/>
  <c r="AK140" i="10"/>
  <c r="AI140" i="10"/>
  <c r="AJ140" i="10" s="1"/>
  <c r="AK139" i="10"/>
  <c r="AI139" i="10"/>
  <c r="AK138" i="10"/>
  <c r="AI138" i="10"/>
  <c r="AJ138" i="10" s="1"/>
  <c r="AK137" i="10"/>
  <c r="AL137" i="10" s="1"/>
  <c r="AI137" i="10"/>
  <c r="AJ137" i="10" s="1"/>
  <c r="AK136" i="10"/>
  <c r="AI136" i="10"/>
  <c r="AJ136" i="10" s="1"/>
  <c r="AK135" i="10"/>
  <c r="AI135" i="10"/>
  <c r="AJ135" i="10" s="1"/>
  <c r="AK134" i="10"/>
  <c r="AL134" i="10" s="1"/>
  <c r="AI134" i="10"/>
  <c r="AJ134" i="10" s="1"/>
  <c r="AK133" i="10"/>
  <c r="AI133" i="10"/>
  <c r="AJ133" i="10" s="1"/>
  <c r="AK132" i="10"/>
  <c r="AI132" i="10"/>
  <c r="AK131" i="10"/>
  <c r="AI131" i="10"/>
  <c r="AJ131" i="10" s="1"/>
  <c r="AK130" i="10"/>
  <c r="AI130" i="10"/>
  <c r="AJ130" i="10" s="1"/>
  <c r="AK129" i="10"/>
  <c r="AI129" i="10"/>
  <c r="AJ129" i="10" s="1"/>
  <c r="AK128" i="10"/>
  <c r="AI128" i="10"/>
  <c r="AK127" i="10"/>
  <c r="AI127" i="10"/>
  <c r="AK126" i="10"/>
  <c r="AI126" i="10"/>
  <c r="AJ126" i="10" s="1"/>
  <c r="AK125" i="10"/>
  <c r="AL125" i="10" s="1"/>
  <c r="AI125" i="10"/>
  <c r="AJ125" i="10" s="1"/>
  <c r="AK124" i="10"/>
  <c r="AI124" i="10"/>
  <c r="AJ124" i="10" s="1"/>
  <c r="AK123" i="10"/>
  <c r="AL123" i="10" s="1"/>
  <c r="AI123" i="10"/>
  <c r="AJ123" i="10" s="1"/>
  <c r="AK122" i="10"/>
  <c r="DR122" i="10" s="1"/>
  <c r="AI122" i="10"/>
  <c r="AK121" i="10"/>
  <c r="AL121" i="10" s="1"/>
  <c r="AI121" i="10"/>
  <c r="AJ121" i="10" s="1"/>
  <c r="AK120" i="10"/>
  <c r="AL120" i="10" s="1"/>
  <c r="AI120" i="10"/>
  <c r="AJ120" i="10" s="1"/>
  <c r="AK119" i="10"/>
  <c r="AI119" i="10"/>
  <c r="AJ119" i="10" s="1"/>
  <c r="AK118" i="10"/>
  <c r="AI118" i="10"/>
  <c r="AK117" i="10"/>
  <c r="AI117" i="10"/>
  <c r="AK116" i="10"/>
  <c r="AI116" i="10"/>
  <c r="AK115" i="10"/>
  <c r="AI115" i="10"/>
  <c r="AJ115" i="10" s="1"/>
  <c r="AK114" i="10"/>
  <c r="AI114" i="10"/>
  <c r="AJ114" i="10" s="1"/>
  <c r="AK113" i="10"/>
  <c r="AI113" i="10"/>
  <c r="AK112" i="10"/>
  <c r="AL112" i="10" s="1"/>
  <c r="AI112" i="10"/>
  <c r="AJ112" i="10" s="1"/>
  <c r="AK111" i="10"/>
  <c r="AL111" i="10" s="1"/>
  <c r="AI111" i="10"/>
  <c r="AJ111" i="10" s="1"/>
  <c r="AK110" i="10"/>
  <c r="AI110" i="10"/>
  <c r="AJ110" i="10" s="1"/>
  <c r="AK109" i="10"/>
  <c r="AI109" i="10"/>
  <c r="AK108" i="10"/>
  <c r="DR108" i="10" s="1"/>
  <c r="AI108" i="10"/>
  <c r="AJ108" i="10" s="1"/>
  <c r="AK107" i="10"/>
  <c r="AI107" i="10"/>
  <c r="AK106" i="10"/>
  <c r="AI106" i="10"/>
  <c r="AK105" i="10"/>
  <c r="AI105" i="10"/>
  <c r="AJ105" i="10" s="1"/>
  <c r="AK104" i="10"/>
  <c r="AL104" i="10" s="1"/>
  <c r="AI104" i="10"/>
  <c r="AJ104" i="10" s="1"/>
  <c r="AK103" i="10"/>
  <c r="DR103" i="10" s="1"/>
  <c r="AI103" i="10"/>
  <c r="AK102" i="10"/>
  <c r="AI102" i="10"/>
  <c r="AJ102" i="10" s="1"/>
  <c r="AK101" i="10"/>
  <c r="AI101" i="10"/>
  <c r="AK100" i="10"/>
  <c r="AL100" i="10" s="1"/>
  <c r="AI100" i="10"/>
  <c r="AJ100" i="10" s="1"/>
  <c r="AK99" i="10"/>
  <c r="AI99" i="10"/>
  <c r="AK98" i="10"/>
  <c r="AI98" i="10"/>
  <c r="AJ98" i="10" s="1"/>
  <c r="AK97" i="10"/>
  <c r="AL97" i="10" s="1"/>
  <c r="AI97" i="10"/>
  <c r="AK96" i="10"/>
  <c r="AI96" i="10"/>
  <c r="AK95" i="10"/>
  <c r="AI95" i="10"/>
  <c r="AK94" i="10"/>
  <c r="AI94" i="10"/>
  <c r="AJ94" i="10" s="1"/>
  <c r="AK93" i="10"/>
  <c r="AL93" i="10" s="1"/>
  <c r="AI93" i="10"/>
  <c r="AK92" i="10"/>
  <c r="AI92" i="10"/>
  <c r="AJ92" i="10" s="1"/>
  <c r="AK91" i="10"/>
  <c r="DR91" i="10" s="1"/>
  <c r="AI91" i="10"/>
  <c r="AK90" i="10"/>
  <c r="DR90" i="10" s="1"/>
  <c r="AI90" i="10"/>
  <c r="AJ90" i="10" s="1"/>
  <c r="AK89" i="10"/>
  <c r="AI89" i="10"/>
  <c r="AJ89" i="10" s="1"/>
  <c r="AK88" i="10"/>
  <c r="AI88" i="10"/>
  <c r="AJ88" i="10" s="1"/>
  <c r="AK87" i="10"/>
  <c r="AI87" i="10"/>
  <c r="DT87" i="10" s="1"/>
  <c r="AK86" i="10"/>
  <c r="AI86" i="10"/>
  <c r="AJ86" i="10" s="1"/>
  <c r="AK85" i="10"/>
  <c r="AI85" i="10"/>
  <c r="AK84" i="10"/>
  <c r="AI84" i="10"/>
  <c r="AJ84" i="10" s="1"/>
  <c r="AK83" i="10"/>
  <c r="AI83" i="10"/>
  <c r="AJ83" i="10" s="1"/>
  <c r="AK82" i="10"/>
  <c r="AI82" i="10"/>
  <c r="AJ82" i="10" s="1"/>
  <c r="AK81" i="10"/>
  <c r="AI81" i="10"/>
  <c r="AJ81" i="10" s="1"/>
  <c r="AK80" i="10"/>
  <c r="AI80" i="10"/>
  <c r="AJ80" i="10" s="1"/>
  <c r="AK79" i="10"/>
  <c r="DR79" i="10" s="1"/>
  <c r="AI79" i="10"/>
  <c r="AJ79" i="10" s="1"/>
  <c r="AK78" i="10"/>
  <c r="AI78" i="10"/>
  <c r="AK77" i="10"/>
  <c r="AI77" i="10"/>
  <c r="AJ77" i="10" s="1"/>
  <c r="AK76" i="10"/>
  <c r="DR76" i="10" s="1"/>
  <c r="AI76" i="10"/>
  <c r="AJ76" i="10" s="1"/>
  <c r="AK75" i="10"/>
  <c r="DR75" i="10" s="1"/>
  <c r="AI75" i="10"/>
  <c r="AJ75" i="10" s="1"/>
  <c r="AK74" i="10"/>
  <c r="AI74" i="10"/>
  <c r="AK73" i="10"/>
  <c r="AI73" i="10"/>
  <c r="AK72" i="10"/>
  <c r="AI72" i="10"/>
  <c r="AK71" i="10"/>
  <c r="AI71" i="10"/>
  <c r="AK70" i="10"/>
  <c r="DR70" i="10" s="1"/>
  <c r="AI70" i="10"/>
  <c r="AJ70" i="10" s="1"/>
  <c r="AK69" i="10"/>
  <c r="DR69" i="10" s="1"/>
  <c r="AI69" i="10"/>
  <c r="AJ69" i="10" s="1"/>
  <c r="AK68" i="10"/>
  <c r="DR68" i="10" s="1"/>
  <c r="AI68" i="10"/>
  <c r="AJ68" i="10" s="1"/>
  <c r="AK67" i="10"/>
  <c r="DR67" i="10" s="1"/>
  <c r="AI67" i="10"/>
  <c r="AJ67" i="10" s="1"/>
  <c r="AI66" i="10"/>
  <c r="AI65" i="10"/>
  <c r="AJ65" i="10" s="1"/>
  <c r="AI64" i="10"/>
  <c r="AJ64" i="10" s="1"/>
  <c r="R375" i="10"/>
  <c r="S375" i="10" s="1"/>
  <c r="R374" i="10"/>
  <c r="S374" i="10" s="1"/>
  <c r="R373" i="10"/>
  <c r="R372" i="10"/>
  <c r="R371" i="10"/>
  <c r="R370" i="10"/>
  <c r="R369" i="10"/>
  <c r="S369" i="10" s="1"/>
  <c r="R368" i="10"/>
  <c r="R367" i="10"/>
  <c r="S367" i="10" s="1"/>
  <c r="R366" i="10"/>
  <c r="S366" i="10" s="1"/>
  <c r="R365" i="10"/>
  <c r="S365" i="10" s="1"/>
  <c r="R364" i="10"/>
  <c r="S364" i="10" s="1"/>
  <c r="R363" i="10"/>
  <c r="S363" i="10" s="1"/>
  <c r="R362" i="10"/>
  <c r="S362" i="10" s="1"/>
  <c r="R361" i="10"/>
  <c r="S361" i="10" s="1"/>
  <c r="R360" i="10"/>
  <c r="S360" i="10" s="1"/>
  <c r="R359" i="10"/>
  <c r="S359" i="10" s="1"/>
  <c r="R358" i="10"/>
  <c r="S358" i="10" s="1"/>
  <c r="R357" i="10"/>
  <c r="S357" i="10" s="1"/>
  <c r="R356" i="10"/>
  <c r="S356" i="10" s="1"/>
  <c r="R355" i="10"/>
  <c r="S355" i="10" s="1"/>
  <c r="R354" i="10"/>
  <c r="S354" i="10" s="1"/>
  <c r="R353" i="10"/>
  <c r="S353" i="10" s="1"/>
  <c r="R352" i="10"/>
  <c r="S352" i="10" s="1"/>
  <c r="R351" i="10"/>
  <c r="S351" i="10" s="1"/>
  <c r="R350" i="10"/>
  <c r="R349" i="10"/>
  <c r="R348" i="10"/>
  <c r="R347" i="10"/>
  <c r="R346" i="10"/>
  <c r="R345" i="10"/>
  <c r="S345" i="10" s="1"/>
  <c r="R344" i="10"/>
  <c r="R343" i="10"/>
  <c r="S343" i="10" s="1"/>
  <c r="R342" i="10"/>
  <c r="S342" i="10" s="1"/>
  <c r="R341" i="10"/>
  <c r="S341" i="10" s="1"/>
  <c r="R340" i="10"/>
  <c r="S340" i="10" s="1"/>
  <c r="R339" i="10"/>
  <c r="S339" i="10" s="1"/>
  <c r="R338" i="10"/>
  <c r="S338" i="10" s="1"/>
  <c r="R337" i="10"/>
  <c r="S337" i="10" s="1"/>
  <c r="R336" i="10"/>
  <c r="S336" i="10" s="1"/>
  <c r="R335" i="10"/>
  <c r="S335" i="10" s="1"/>
  <c r="R334" i="10"/>
  <c r="S334" i="10" s="1"/>
  <c r="R333" i="10"/>
  <c r="S333" i="10" s="1"/>
  <c r="R332" i="10"/>
  <c r="S332" i="10" s="1"/>
  <c r="R331" i="10"/>
  <c r="S331" i="10" s="1"/>
  <c r="R330" i="10"/>
  <c r="S330" i="10" s="1"/>
  <c r="R329" i="10"/>
  <c r="S329" i="10" s="1"/>
  <c r="R328" i="10"/>
  <c r="R327" i="10"/>
  <c r="S327" i="10" s="1"/>
  <c r="R326" i="10"/>
  <c r="R325" i="10"/>
  <c r="R324" i="10"/>
  <c r="R323" i="10"/>
  <c r="S323" i="10" s="1"/>
  <c r="R322" i="10"/>
  <c r="S322" i="10" s="1"/>
  <c r="R321" i="10"/>
  <c r="S321" i="10" s="1"/>
  <c r="R320" i="10"/>
  <c r="S320" i="10" s="1"/>
  <c r="R319" i="10"/>
  <c r="R318" i="10"/>
  <c r="S318" i="10" s="1"/>
  <c r="R317" i="10"/>
  <c r="S317" i="10" s="1"/>
  <c r="R316" i="10"/>
  <c r="S316" i="10" s="1"/>
  <c r="R315" i="10"/>
  <c r="R314" i="10"/>
  <c r="S314" i="10" s="1"/>
  <c r="R313" i="10"/>
  <c r="S313" i="10" s="1"/>
  <c r="R312" i="10"/>
  <c r="S312" i="10" s="1"/>
  <c r="R311" i="10"/>
  <c r="S311" i="10" s="1"/>
  <c r="R310" i="10"/>
  <c r="S310" i="10" s="1"/>
  <c r="R309" i="10"/>
  <c r="S309" i="10" s="1"/>
  <c r="R308" i="10"/>
  <c r="S308" i="10" s="1"/>
  <c r="R307" i="10"/>
  <c r="R306" i="10"/>
  <c r="R305" i="10"/>
  <c r="R304" i="10"/>
  <c r="R303" i="10"/>
  <c r="S303" i="10" s="1"/>
  <c r="R302" i="10"/>
  <c r="R301" i="10"/>
  <c r="R300" i="10"/>
  <c r="R299" i="10"/>
  <c r="S299" i="10" s="1"/>
  <c r="R298" i="10"/>
  <c r="R297" i="10"/>
  <c r="S297" i="10" s="1"/>
  <c r="R296" i="10"/>
  <c r="S296" i="10" s="1"/>
  <c r="R295" i="10"/>
  <c r="R294" i="10"/>
  <c r="S294" i="10" s="1"/>
  <c r="R293" i="10"/>
  <c r="S293" i="10" s="1"/>
  <c r="R292" i="10"/>
  <c r="S292" i="10" s="1"/>
  <c r="R291" i="10"/>
  <c r="S291" i="10" s="1"/>
  <c r="R290" i="10"/>
  <c r="S290" i="10" s="1"/>
  <c r="R289" i="10"/>
  <c r="S289" i="10" s="1"/>
  <c r="R288" i="10"/>
  <c r="S288" i="10" s="1"/>
  <c r="R287" i="10"/>
  <c r="R286" i="10"/>
  <c r="S286" i="10" s="1"/>
  <c r="R285" i="10"/>
  <c r="S285" i="10" s="1"/>
  <c r="R284" i="10"/>
  <c r="R283" i="10"/>
  <c r="R282" i="10"/>
  <c r="R281" i="10"/>
  <c r="R280" i="10"/>
  <c r="R279" i="10"/>
  <c r="S279" i="10" s="1"/>
  <c r="R278" i="10"/>
  <c r="S278" i="10" s="1"/>
  <c r="R277" i="10"/>
  <c r="S277" i="10" s="1"/>
  <c r="R276" i="10"/>
  <c r="S276" i="10" s="1"/>
  <c r="R275" i="10"/>
  <c r="S275" i="10" s="1"/>
  <c r="R274" i="10"/>
  <c r="R273" i="10"/>
  <c r="S273" i="10" s="1"/>
  <c r="R272" i="10"/>
  <c r="S272" i="10" s="1"/>
  <c r="R271" i="10"/>
  <c r="S271" i="10" s="1"/>
  <c r="R270" i="10"/>
  <c r="S270" i="10" s="1"/>
  <c r="R269" i="10"/>
  <c r="S269" i="10" s="1"/>
  <c r="R268" i="10"/>
  <c r="R267" i="10"/>
  <c r="S267" i="10" s="1"/>
  <c r="R266" i="10"/>
  <c r="S266" i="10" s="1"/>
  <c r="R265" i="10"/>
  <c r="S265" i="10" s="1"/>
  <c r="R264" i="10"/>
  <c r="S264" i="10" s="1"/>
  <c r="R263" i="10"/>
  <c r="R262" i="10"/>
  <c r="R261" i="10"/>
  <c r="R260" i="10"/>
  <c r="R259" i="10"/>
  <c r="R258" i="10"/>
  <c r="R257" i="10"/>
  <c r="S257" i="10" s="1"/>
  <c r="R256" i="10"/>
  <c r="S256" i="10" s="1"/>
  <c r="R255" i="10"/>
  <c r="R254" i="10"/>
  <c r="S254" i="10" s="1"/>
  <c r="R253" i="10"/>
  <c r="S253" i="10" s="1"/>
  <c r="R252" i="10"/>
  <c r="S252" i="10" s="1"/>
  <c r="R251" i="10"/>
  <c r="R250" i="10"/>
  <c r="S250" i="10" s="1"/>
  <c r="R249" i="10"/>
  <c r="S249" i="10" s="1"/>
  <c r="R248" i="10"/>
  <c r="S248" i="10" s="1"/>
  <c r="R247" i="10"/>
  <c r="S247" i="10" s="1"/>
  <c r="R246" i="10"/>
  <c r="R245" i="10"/>
  <c r="S245" i="10" s="1"/>
  <c r="R244" i="10"/>
  <c r="S244" i="10" s="1"/>
  <c r="R243" i="10"/>
  <c r="S243" i="10" s="1"/>
  <c r="R242" i="10"/>
  <c r="S242" i="10" s="1"/>
  <c r="R241" i="10"/>
  <c r="S241" i="10" s="1"/>
  <c r="R240" i="10"/>
  <c r="R239" i="10"/>
  <c r="R238" i="10"/>
  <c r="R237" i="10"/>
  <c r="S237" i="10" s="1"/>
  <c r="R236" i="10"/>
  <c r="R235" i="10"/>
  <c r="R234" i="10"/>
  <c r="R233" i="10"/>
  <c r="S233" i="10" s="1"/>
  <c r="R232" i="10"/>
  <c r="S232" i="10" s="1"/>
  <c r="R231" i="10"/>
  <c r="S231" i="10" s="1"/>
  <c r="R230" i="10"/>
  <c r="S230" i="10" s="1"/>
  <c r="R229" i="10"/>
  <c r="R228" i="10"/>
  <c r="S228" i="10" s="1"/>
  <c r="R227" i="10"/>
  <c r="S227" i="10" s="1"/>
  <c r="R226" i="10"/>
  <c r="S226" i="10" s="1"/>
  <c r="R225" i="10"/>
  <c r="S225" i="10" s="1"/>
  <c r="R224" i="10"/>
  <c r="R223" i="10"/>
  <c r="S223" i="10" s="1"/>
  <c r="R222" i="10"/>
  <c r="S222" i="10" s="1"/>
  <c r="R221" i="10"/>
  <c r="S221" i="10" s="1"/>
  <c r="R220" i="10"/>
  <c r="S220" i="10" s="1"/>
  <c r="R219" i="10"/>
  <c r="S219" i="10" s="1"/>
  <c r="R218" i="10"/>
  <c r="R217" i="10"/>
  <c r="R216" i="10"/>
  <c r="R215" i="10"/>
  <c r="R214" i="10"/>
  <c r="R213" i="10"/>
  <c r="R212" i="10"/>
  <c r="R211" i="10"/>
  <c r="S211" i="10" s="1"/>
  <c r="R210" i="10"/>
  <c r="S210" i="10" s="1"/>
  <c r="R209" i="10"/>
  <c r="S209" i="10" s="1"/>
  <c r="R208" i="10"/>
  <c r="S208" i="10" s="1"/>
  <c r="R207" i="10"/>
  <c r="R206" i="10"/>
  <c r="S206" i="10" s="1"/>
  <c r="R205" i="10"/>
  <c r="S205" i="10" s="1"/>
  <c r="R204" i="10"/>
  <c r="S204" i="10" s="1"/>
  <c r="R203" i="10"/>
  <c r="S203" i="10" s="1"/>
  <c r="R202" i="10"/>
  <c r="R201" i="10"/>
  <c r="S201" i="10" s="1"/>
  <c r="R200" i="10"/>
  <c r="S200" i="10" s="1"/>
  <c r="R199" i="10"/>
  <c r="S199" i="10" s="1"/>
  <c r="R198" i="10"/>
  <c r="R197" i="10"/>
  <c r="R196" i="10"/>
  <c r="R195" i="10"/>
  <c r="R194" i="10"/>
  <c r="R193" i="10"/>
  <c r="R192" i="10"/>
  <c r="R191" i="10"/>
  <c r="S191" i="10" s="1"/>
  <c r="R190" i="10"/>
  <c r="S190" i="10" s="1"/>
  <c r="R189" i="10"/>
  <c r="S189" i="10" s="1"/>
  <c r="R188" i="10"/>
  <c r="S188" i="10" s="1"/>
  <c r="R187" i="10"/>
  <c r="S187" i="10" s="1"/>
  <c r="R186" i="10"/>
  <c r="S186" i="10" s="1"/>
  <c r="R185" i="10"/>
  <c r="R184" i="10"/>
  <c r="S184" i="10" s="1"/>
  <c r="R183" i="10"/>
  <c r="S183" i="10" s="1"/>
  <c r="R182" i="10"/>
  <c r="S182" i="10" s="1"/>
  <c r="R181" i="10"/>
  <c r="S181" i="10" s="1"/>
  <c r="R180" i="10"/>
  <c r="S180" i="10" s="1"/>
  <c r="R179" i="10"/>
  <c r="S179" i="10" s="1"/>
  <c r="R178" i="10"/>
  <c r="S178" i="10" s="1"/>
  <c r="R177" i="10"/>
  <c r="S177" i="10" s="1"/>
  <c r="R176" i="10"/>
  <c r="S176" i="10" s="1"/>
  <c r="R175" i="10"/>
  <c r="R174" i="10"/>
  <c r="R173" i="10"/>
  <c r="R172" i="10"/>
  <c r="R171" i="10"/>
  <c r="R170" i="10"/>
  <c r="R169" i="10"/>
  <c r="S169" i="10" s="1"/>
  <c r="R168" i="10"/>
  <c r="R167" i="10"/>
  <c r="S167" i="10" s="1"/>
  <c r="R166" i="10"/>
  <c r="S166" i="10" s="1"/>
  <c r="R165" i="10"/>
  <c r="S165" i="10" s="1"/>
  <c r="R164" i="10"/>
  <c r="S164" i="10" s="1"/>
  <c r="R163" i="10"/>
  <c r="S163" i="10" s="1"/>
  <c r="R162" i="10"/>
  <c r="S162" i="10" s="1"/>
  <c r="R161" i="10"/>
  <c r="S161" i="10" s="1"/>
  <c r="R160" i="10"/>
  <c r="S160" i="10" s="1"/>
  <c r="R159" i="10"/>
  <c r="S159" i="10" s="1"/>
  <c r="R158" i="10"/>
  <c r="S158" i="10" s="1"/>
  <c r="R157" i="10"/>
  <c r="S157" i="10" s="1"/>
  <c r="R156" i="10"/>
  <c r="R155" i="10"/>
  <c r="R154" i="10"/>
  <c r="S154" i="10" s="1"/>
  <c r="R153" i="10"/>
  <c r="S153" i="10" s="1"/>
  <c r="R152" i="10"/>
  <c r="R151" i="10"/>
  <c r="R150" i="10"/>
  <c r="R149" i="10"/>
  <c r="R148" i="10"/>
  <c r="R147" i="10"/>
  <c r="S147" i="10" s="1"/>
  <c r="R146" i="10"/>
  <c r="R145" i="10"/>
  <c r="S145" i="10" s="1"/>
  <c r="R144" i="10"/>
  <c r="S144" i="10" s="1"/>
  <c r="R143" i="10"/>
  <c r="S143" i="10" s="1"/>
  <c r="R142" i="10"/>
  <c r="S142" i="10" s="1"/>
  <c r="R141" i="10"/>
  <c r="R140" i="10"/>
  <c r="R139" i="10"/>
  <c r="R138" i="10"/>
  <c r="R137" i="10"/>
  <c r="R136" i="10"/>
  <c r="R135" i="10"/>
  <c r="R134" i="10"/>
  <c r="S134" i="10" s="1"/>
  <c r="R133" i="10"/>
  <c r="S133" i="10" s="1"/>
  <c r="R132" i="10"/>
  <c r="S132" i="10" s="1"/>
  <c r="R131" i="10"/>
  <c r="R130" i="10"/>
  <c r="R129" i="10"/>
  <c r="R128" i="10"/>
  <c r="R127" i="10"/>
  <c r="R126" i="10"/>
  <c r="R125" i="10"/>
  <c r="S125" i="10" s="1"/>
  <c r="R124" i="10"/>
  <c r="R123" i="10"/>
  <c r="S123" i="10" s="1"/>
  <c r="R122" i="10"/>
  <c r="S122" i="10" s="1"/>
  <c r="R121" i="10"/>
  <c r="R120" i="10"/>
  <c r="R119" i="10"/>
  <c r="R118" i="10"/>
  <c r="S118" i="10" s="1"/>
  <c r="R117" i="10"/>
  <c r="R116" i="10"/>
  <c r="S116" i="10" s="1"/>
  <c r="R115" i="10"/>
  <c r="R114" i="10"/>
  <c r="R113" i="10"/>
  <c r="S113" i="10" s="1"/>
  <c r="R112" i="10"/>
  <c r="S112" i="10" s="1"/>
  <c r="R111" i="10"/>
  <c r="R110" i="10"/>
  <c r="S110" i="10" s="1"/>
  <c r="R109" i="10"/>
  <c r="S109" i="10" s="1"/>
  <c r="R108" i="10"/>
  <c r="R107" i="10"/>
  <c r="R106" i="10"/>
  <c r="R105" i="10"/>
  <c r="R104" i="10"/>
  <c r="R103" i="10"/>
  <c r="R102" i="10"/>
  <c r="R101" i="10"/>
  <c r="S101" i="10" s="1"/>
  <c r="R100" i="10"/>
  <c r="S100" i="10" s="1"/>
  <c r="R99" i="10"/>
  <c r="R98" i="10"/>
  <c r="S98" i="10" s="1"/>
  <c r="R97" i="10"/>
  <c r="DU97" i="10" s="1"/>
  <c r="R96" i="10"/>
  <c r="S96" i="10" s="1"/>
  <c r="R95" i="10"/>
  <c r="R94" i="10"/>
  <c r="S94" i="10" s="1"/>
  <c r="R93" i="10"/>
  <c r="S93" i="10" s="1"/>
  <c r="R92" i="10"/>
  <c r="R91" i="10"/>
  <c r="R90" i="10"/>
  <c r="S90" i="10" s="1"/>
  <c r="R89" i="10"/>
  <c r="S89" i="10" s="1"/>
  <c r="R88" i="10"/>
  <c r="R87" i="10"/>
  <c r="R86" i="10"/>
  <c r="R85" i="10"/>
  <c r="R84" i="10"/>
  <c r="R83" i="10"/>
  <c r="R82" i="10"/>
  <c r="R81" i="10"/>
  <c r="R80" i="10"/>
  <c r="S80" i="10" s="1"/>
  <c r="R79" i="10"/>
  <c r="R78" i="10"/>
  <c r="S78" i="10" s="1"/>
  <c r="R77" i="10"/>
  <c r="S77" i="10" s="1"/>
  <c r="R76" i="10"/>
  <c r="R75" i="10"/>
  <c r="R74" i="10"/>
  <c r="S74" i="10" s="1"/>
  <c r="R73" i="10"/>
  <c r="R72" i="10"/>
  <c r="S72" i="10" s="1"/>
  <c r="R71" i="10"/>
  <c r="R70" i="10"/>
  <c r="R69" i="10"/>
  <c r="R68" i="10"/>
  <c r="S68" i="10" s="1"/>
  <c r="R67" i="10"/>
  <c r="R66" i="10"/>
  <c r="R65" i="10"/>
  <c r="S65" i="10" s="1"/>
  <c r="R64" i="10"/>
  <c r="AF377" i="10"/>
  <c r="AB377" i="10"/>
  <c r="AE375" i="10"/>
  <c r="AD375" i="10"/>
  <c r="AC375" i="10"/>
  <c r="AF375" i="10" s="1"/>
  <c r="AA375" i="10"/>
  <c r="Z375" i="10"/>
  <c r="AE374" i="10"/>
  <c r="AD374" i="10"/>
  <c r="AC374" i="10"/>
  <c r="AA374" i="10"/>
  <c r="Z374" i="10"/>
  <c r="AB374" i="10" s="1"/>
  <c r="AE373" i="10"/>
  <c r="AD373" i="10"/>
  <c r="AC373" i="10"/>
  <c r="AA373" i="10"/>
  <c r="Z373" i="10"/>
  <c r="AE372" i="10"/>
  <c r="AD372" i="10"/>
  <c r="AC372" i="10"/>
  <c r="AA372" i="10"/>
  <c r="Z372" i="10"/>
  <c r="AE371" i="10"/>
  <c r="AD371" i="10"/>
  <c r="AC371" i="10"/>
  <c r="AA371" i="10"/>
  <c r="Z371" i="10"/>
  <c r="AE370" i="10"/>
  <c r="AD370" i="10"/>
  <c r="AC370" i="10"/>
  <c r="AA370" i="10"/>
  <c r="Z370" i="10"/>
  <c r="AB370" i="10" s="1"/>
  <c r="AE369" i="10"/>
  <c r="AD369" i="10"/>
  <c r="AC369" i="10"/>
  <c r="AA369" i="10"/>
  <c r="Z369" i="10"/>
  <c r="AE368" i="10"/>
  <c r="AD368" i="10"/>
  <c r="AC368" i="10"/>
  <c r="AA368" i="10"/>
  <c r="Z368" i="10"/>
  <c r="AE367" i="10"/>
  <c r="AF367" i="10" s="1"/>
  <c r="AD367" i="10"/>
  <c r="AC367" i="10"/>
  <c r="AA367" i="10"/>
  <c r="Z367" i="10"/>
  <c r="AB367" i="10" s="1"/>
  <c r="AE366" i="10"/>
  <c r="AD366" i="10"/>
  <c r="AC366" i="10"/>
  <c r="AA366" i="10"/>
  <c r="Z366" i="10"/>
  <c r="AE365" i="10"/>
  <c r="AD365" i="10"/>
  <c r="AC365" i="10"/>
  <c r="AA365" i="10"/>
  <c r="Z365" i="10"/>
  <c r="AB365" i="10" s="1"/>
  <c r="AE364" i="10"/>
  <c r="AD364" i="10"/>
  <c r="AC364" i="10"/>
  <c r="AA364" i="10"/>
  <c r="Z364" i="10"/>
  <c r="AE363" i="10"/>
  <c r="AD363" i="10"/>
  <c r="AC363" i="10"/>
  <c r="AA363" i="10"/>
  <c r="Z363" i="10"/>
  <c r="AE362" i="10"/>
  <c r="AD362" i="10"/>
  <c r="AC362" i="10"/>
  <c r="AA362" i="10"/>
  <c r="Z362" i="10"/>
  <c r="AE361" i="10"/>
  <c r="AD361" i="10"/>
  <c r="AC361" i="10"/>
  <c r="AA361" i="10"/>
  <c r="Z361" i="10"/>
  <c r="AE360" i="10"/>
  <c r="AD360" i="10"/>
  <c r="AC360" i="10"/>
  <c r="AA360" i="10"/>
  <c r="Z360" i="10"/>
  <c r="AE359" i="10"/>
  <c r="AD359" i="10"/>
  <c r="AC359" i="10"/>
  <c r="AA359" i="10"/>
  <c r="Z359" i="10"/>
  <c r="AE358" i="10"/>
  <c r="AD358" i="10"/>
  <c r="AC358" i="10"/>
  <c r="AA358" i="10"/>
  <c r="Z358" i="10"/>
  <c r="AE357" i="10"/>
  <c r="AD357" i="10"/>
  <c r="AC357" i="10"/>
  <c r="AA357" i="10"/>
  <c r="Z357" i="10"/>
  <c r="AE356" i="10"/>
  <c r="AD356" i="10"/>
  <c r="AC356" i="10"/>
  <c r="AA356" i="10"/>
  <c r="Z356" i="10"/>
  <c r="AE355" i="10"/>
  <c r="AD355" i="10"/>
  <c r="AC355" i="10"/>
  <c r="AA355" i="10"/>
  <c r="Z355" i="10"/>
  <c r="AE354" i="10"/>
  <c r="AD354" i="10"/>
  <c r="AC354" i="10"/>
  <c r="AA354" i="10"/>
  <c r="Z354" i="10"/>
  <c r="AE353" i="10"/>
  <c r="AD353" i="10"/>
  <c r="AC353" i="10"/>
  <c r="AA353" i="10"/>
  <c r="Z353" i="10"/>
  <c r="AE352" i="10"/>
  <c r="AD352" i="10"/>
  <c r="AC352" i="10"/>
  <c r="AA352" i="10"/>
  <c r="Z352" i="10"/>
  <c r="AE351" i="10"/>
  <c r="AD351" i="10"/>
  <c r="AC351" i="10"/>
  <c r="AA351" i="10"/>
  <c r="Z351" i="10"/>
  <c r="AB351" i="10" s="1"/>
  <c r="AE350" i="10"/>
  <c r="AD350" i="10"/>
  <c r="AC350" i="10"/>
  <c r="AA350" i="10"/>
  <c r="Z350" i="10"/>
  <c r="AE349" i="10"/>
  <c r="AD349" i="10"/>
  <c r="AC349" i="10"/>
  <c r="AA349" i="10"/>
  <c r="Z349" i="10"/>
  <c r="AB349" i="10" s="1"/>
  <c r="AE348" i="10"/>
  <c r="AD348" i="10"/>
  <c r="AC348" i="10"/>
  <c r="DS348" i="10" s="1"/>
  <c r="AA348" i="10"/>
  <c r="Z348" i="10"/>
  <c r="AE347" i="10"/>
  <c r="AD347" i="10"/>
  <c r="AC347" i="10"/>
  <c r="AF347" i="10" s="1"/>
  <c r="AA347" i="10"/>
  <c r="Z347" i="10"/>
  <c r="AB347" i="10" s="1"/>
  <c r="AE346" i="10"/>
  <c r="AD346" i="10"/>
  <c r="AC346" i="10"/>
  <c r="AA346" i="10"/>
  <c r="Z346" i="10"/>
  <c r="AE345" i="10"/>
  <c r="AD345" i="10"/>
  <c r="AC345" i="10"/>
  <c r="AA345" i="10"/>
  <c r="Z345" i="10"/>
  <c r="AE344" i="10"/>
  <c r="AD344" i="10"/>
  <c r="AC344" i="10"/>
  <c r="AA344" i="10"/>
  <c r="Z344" i="10"/>
  <c r="AB344" i="10" s="1"/>
  <c r="AE343" i="10"/>
  <c r="AD343" i="10"/>
  <c r="AC343" i="10"/>
  <c r="AA343" i="10"/>
  <c r="Z343" i="10"/>
  <c r="AE342" i="10"/>
  <c r="AD342" i="10"/>
  <c r="AC342" i="10"/>
  <c r="AA342" i="10"/>
  <c r="Z342" i="10"/>
  <c r="AE341" i="10"/>
  <c r="AD341" i="10"/>
  <c r="AC341" i="10"/>
  <c r="AA341" i="10"/>
  <c r="Z341" i="10"/>
  <c r="AB341" i="10" s="1"/>
  <c r="AE340" i="10"/>
  <c r="AD340" i="10"/>
  <c r="AF340" i="10" s="1"/>
  <c r="AC340" i="10"/>
  <c r="AA340" i="10"/>
  <c r="Z340" i="10"/>
  <c r="AE339" i="10"/>
  <c r="AD339" i="10"/>
  <c r="AC339" i="10"/>
  <c r="AA339" i="10"/>
  <c r="Z339" i="10"/>
  <c r="AE338" i="10"/>
  <c r="AD338" i="10"/>
  <c r="AC338" i="10"/>
  <c r="AF338" i="10" s="1"/>
  <c r="AA338" i="10"/>
  <c r="Z338" i="10"/>
  <c r="AE337" i="10"/>
  <c r="AD337" i="10"/>
  <c r="AC337" i="10"/>
  <c r="AA337" i="10"/>
  <c r="Z337" i="10"/>
  <c r="AB337" i="10" s="1"/>
  <c r="AE336" i="10"/>
  <c r="AD336" i="10"/>
  <c r="AC336" i="10"/>
  <c r="AA336" i="10"/>
  <c r="Z336" i="10"/>
  <c r="AE335" i="10"/>
  <c r="AD335" i="10"/>
  <c r="AC335" i="10"/>
  <c r="AA335" i="10"/>
  <c r="Z335" i="10"/>
  <c r="AE334" i="10"/>
  <c r="AD334" i="10"/>
  <c r="AC334" i="10"/>
  <c r="AA334" i="10"/>
  <c r="Z334" i="10"/>
  <c r="AE333" i="10"/>
  <c r="AD333" i="10"/>
  <c r="AC333" i="10"/>
  <c r="AF333" i="10" s="1"/>
  <c r="AA333" i="10"/>
  <c r="Z333" i="10"/>
  <c r="AE332" i="10"/>
  <c r="AD332" i="10"/>
  <c r="AC332" i="10"/>
  <c r="AA332" i="10"/>
  <c r="Z332" i="10"/>
  <c r="AE331" i="10"/>
  <c r="AD331" i="10"/>
  <c r="AC331" i="10"/>
  <c r="AF331" i="10" s="1"/>
  <c r="AA331" i="10"/>
  <c r="Z331" i="10"/>
  <c r="AE330" i="10"/>
  <c r="AD330" i="10"/>
  <c r="AC330" i="10"/>
  <c r="AA330" i="10"/>
  <c r="Z330" i="10"/>
  <c r="AE329" i="10"/>
  <c r="AD329" i="10"/>
  <c r="AC329" i="10"/>
  <c r="AF329" i="10" s="1"/>
  <c r="AA329" i="10"/>
  <c r="Z329" i="10"/>
  <c r="AB329" i="10" s="1"/>
  <c r="AE328" i="10"/>
  <c r="AD328" i="10"/>
  <c r="AC328" i="10"/>
  <c r="AA328" i="10"/>
  <c r="AB328" i="10" s="1"/>
  <c r="Z328" i="10"/>
  <c r="AE327" i="10"/>
  <c r="AD327" i="10"/>
  <c r="AC327" i="10"/>
  <c r="AA327" i="10"/>
  <c r="Z327" i="10"/>
  <c r="AE326" i="10"/>
  <c r="AD326" i="10"/>
  <c r="AC326" i="10"/>
  <c r="AF326" i="10" s="1"/>
  <c r="AA326" i="10"/>
  <c r="Z326" i="10"/>
  <c r="AE325" i="10"/>
  <c r="AD325" i="10"/>
  <c r="AC325" i="10"/>
  <c r="AA325" i="10"/>
  <c r="Z325" i="10"/>
  <c r="AB325" i="10" s="1"/>
  <c r="AE324" i="10"/>
  <c r="AD324" i="10"/>
  <c r="AC324" i="10"/>
  <c r="AA324" i="10"/>
  <c r="Z324" i="10"/>
  <c r="AE323" i="10"/>
  <c r="AF323" i="10" s="1"/>
  <c r="AD323" i="10"/>
  <c r="AC323" i="10"/>
  <c r="AA323" i="10"/>
  <c r="Z323" i="10"/>
  <c r="AE322" i="10"/>
  <c r="AD322" i="10"/>
  <c r="AC322" i="10"/>
  <c r="AA322" i="10"/>
  <c r="Z322" i="10"/>
  <c r="AE321" i="10"/>
  <c r="AD321" i="10"/>
  <c r="AF321" i="10" s="1"/>
  <c r="AC321" i="10"/>
  <c r="AA321" i="10"/>
  <c r="Z321" i="10"/>
  <c r="AE320" i="10"/>
  <c r="AD320" i="10"/>
  <c r="AC320" i="10"/>
  <c r="AA320" i="10"/>
  <c r="Z320" i="10"/>
  <c r="AE319" i="10"/>
  <c r="AD319" i="10"/>
  <c r="AC319" i="10"/>
  <c r="AA319" i="10"/>
  <c r="Z319" i="10"/>
  <c r="AE318" i="10"/>
  <c r="AD318" i="10"/>
  <c r="AC318" i="10"/>
  <c r="AA318" i="10"/>
  <c r="Z318" i="10"/>
  <c r="AE317" i="10"/>
  <c r="AD317" i="10"/>
  <c r="AC317" i="10"/>
  <c r="AA317" i="10"/>
  <c r="AB317" i="10" s="1"/>
  <c r="Z317" i="10"/>
  <c r="AE316" i="10"/>
  <c r="AD316" i="10"/>
  <c r="AC316" i="10"/>
  <c r="AA316" i="10"/>
  <c r="Z316" i="10"/>
  <c r="AE315" i="10"/>
  <c r="AD315" i="10"/>
  <c r="AC315" i="10"/>
  <c r="AA315" i="10"/>
  <c r="Z315" i="10"/>
  <c r="AE314" i="10"/>
  <c r="AD314" i="10"/>
  <c r="AC314" i="10"/>
  <c r="AA314" i="10"/>
  <c r="Z314" i="10"/>
  <c r="AE313" i="10"/>
  <c r="AD313" i="10"/>
  <c r="AC313" i="10"/>
  <c r="AA313" i="10"/>
  <c r="Z313" i="10"/>
  <c r="AE312" i="10"/>
  <c r="AD312" i="10"/>
  <c r="AC312" i="10"/>
  <c r="AA312" i="10"/>
  <c r="Z312" i="10"/>
  <c r="AB312" i="10" s="1"/>
  <c r="AE311" i="10"/>
  <c r="AD311" i="10"/>
  <c r="AC311" i="10"/>
  <c r="AA311" i="10"/>
  <c r="Z311" i="10"/>
  <c r="AE310" i="10"/>
  <c r="AD310" i="10"/>
  <c r="AF310" i="10" s="1"/>
  <c r="AC310" i="10"/>
  <c r="AA310" i="10"/>
  <c r="Z310" i="10"/>
  <c r="AE309" i="10"/>
  <c r="AD309" i="10"/>
  <c r="AC309" i="10"/>
  <c r="AF309" i="10" s="1"/>
  <c r="AA309" i="10"/>
  <c r="Z309" i="10"/>
  <c r="AE308" i="10"/>
  <c r="AD308" i="10"/>
  <c r="AC308" i="10"/>
  <c r="AA308" i="10"/>
  <c r="Z308" i="10"/>
  <c r="AE307" i="10"/>
  <c r="AD307" i="10"/>
  <c r="AC307" i="10"/>
  <c r="AA307" i="10"/>
  <c r="Z307" i="10"/>
  <c r="AE306" i="10"/>
  <c r="AD306" i="10"/>
  <c r="AC306" i="10"/>
  <c r="AA306" i="10"/>
  <c r="Z306" i="10"/>
  <c r="AE305" i="10"/>
  <c r="AD305" i="10"/>
  <c r="AC305" i="10"/>
  <c r="AA305" i="10"/>
  <c r="Z305" i="10"/>
  <c r="AE304" i="10"/>
  <c r="AD304" i="10"/>
  <c r="AC304" i="10"/>
  <c r="AA304" i="10"/>
  <c r="Z304" i="10"/>
  <c r="AE303" i="10"/>
  <c r="AD303" i="10"/>
  <c r="AC303" i="10"/>
  <c r="AA303" i="10"/>
  <c r="Z303" i="10"/>
  <c r="AE302" i="10"/>
  <c r="AD302" i="10"/>
  <c r="AC302" i="10"/>
  <c r="AA302" i="10"/>
  <c r="Z302" i="10"/>
  <c r="AE301" i="10"/>
  <c r="AD301" i="10"/>
  <c r="AC301" i="10"/>
  <c r="AA301" i="10"/>
  <c r="Z301" i="10"/>
  <c r="AE300" i="10"/>
  <c r="AD300" i="10"/>
  <c r="AC300" i="10"/>
  <c r="AA300" i="10"/>
  <c r="Z300" i="10"/>
  <c r="AB300" i="10" s="1"/>
  <c r="AE299" i="10"/>
  <c r="AD299" i="10"/>
  <c r="AC299" i="10"/>
  <c r="AA299" i="10"/>
  <c r="Z299" i="10"/>
  <c r="AB299" i="10" s="1"/>
  <c r="AE298" i="10"/>
  <c r="AD298" i="10"/>
  <c r="AC298" i="10"/>
  <c r="AA298" i="10"/>
  <c r="Z298" i="10"/>
  <c r="AE297" i="10"/>
  <c r="AD297" i="10"/>
  <c r="AC297" i="10"/>
  <c r="AF297" i="10" s="1"/>
  <c r="AA297" i="10"/>
  <c r="Z297" i="10"/>
  <c r="AE296" i="10"/>
  <c r="AD296" i="10"/>
  <c r="AC296" i="10"/>
  <c r="AA296" i="10"/>
  <c r="Z296" i="10"/>
  <c r="AE295" i="10"/>
  <c r="AD295" i="10"/>
  <c r="AC295" i="10"/>
  <c r="AA295" i="10"/>
  <c r="Z295" i="10"/>
  <c r="AE294" i="10"/>
  <c r="AD294" i="10"/>
  <c r="AC294" i="10"/>
  <c r="AA294" i="10"/>
  <c r="Z294" i="10"/>
  <c r="AE293" i="10"/>
  <c r="AD293" i="10"/>
  <c r="AC293" i="10"/>
  <c r="AA293" i="10"/>
  <c r="Z293" i="10"/>
  <c r="AB293" i="10" s="1"/>
  <c r="AE292" i="10"/>
  <c r="AD292" i="10"/>
  <c r="AC292" i="10"/>
  <c r="AA292" i="10"/>
  <c r="AB292" i="10" s="1"/>
  <c r="Z292" i="10"/>
  <c r="AE291" i="10"/>
  <c r="AD291" i="10"/>
  <c r="AC291" i="10"/>
  <c r="AA291" i="10"/>
  <c r="Z291" i="10"/>
  <c r="AE290" i="10"/>
  <c r="AD290" i="10"/>
  <c r="AC290" i="10"/>
  <c r="AA290" i="10"/>
  <c r="Z290" i="10"/>
  <c r="AB290" i="10" s="1"/>
  <c r="AE289" i="10"/>
  <c r="AD289" i="10"/>
  <c r="AC289" i="10"/>
  <c r="AA289" i="10"/>
  <c r="Z289" i="10"/>
  <c r="AE288" i="10"/>
  <c r="AD288" i="10"/>
  <c r="AF288" i="10" s="1"/>
  <c r="AC288" i="10"/>
  <c r="AA288" i="10"/>
  <c r="Z288" i="10"/>
  <c r="AE287" i="10"/>
  <c r="AD287" i="10"/>
  <c r="AC287" i="10"/>
  <c r="AA287" i="10"/>
  <c r="Z287" i="10"/>
  <c r="AE286" i="10"/>
  <c r="AD286" i="10"/>
  <c r="AC286" i="10"/>
  <c r="AA286" i="10"/>
  <c r="Z286" i="10"/>
  <c r="AE285" i="10"/>
  <c r="AD285" i="10"/>
  <c r="AC285" i="10"/>
  <c r="AF285" i="10" s="1"/>
  <c r="AA285" i="10"/>
  <c r="Z285" i="10"/>
  <c r="AB285" i="10" s="1"/>
  <c r="AE284" i="10"/>
  <c r="AD284" i="10"/>
  <c r="AC284" i="10"/>
  <c r="AA284" i="10"/>
  <c r="Z284" i="10"/>
  <c r="AE283" i="10"/>
  <c r="AD283" i="10"/>
  <c r="AC283" i="10"/>
  <c r="AA283" i="10"/>
  <c r="Z283" i="10"/>
  <c r="AE282" i="10"/>
  <c r="AD282" i="10"/>
  <c r="AC282" i="10"/>
  <c r="AA282" i="10"/>
  <c r="Z282" i="10"/>
  <c r="AE281" i="10"/>
  <c r="AD281" i="10"/>
  <c r="AC281" i="10"/>
  <c r="DS281" i="10" s="1"/>
  <c r="AA281" i="10"/>
  <c r="Z281" i="10"/>
  <c r="AB281" i="10" s="1"/>
  <c r="AE280" i="10"/>
  <c r="AD280" i="10"/>
  <c r="AC280" i="10"/>
  <c r="AA280" i="10"/>
  <c r="Z280" i="10"/>
  <c r="AE279" i="10"/>
  <c r="AF279" i="10" s="1"/>
  <c r="AD279" i="10"/>
  <c r="AC279" i="10"/>
  <c r="AA279" i="10"/>
  <c r="Z279" i="10"/>
  <c r="AE278" i="10"/>
  <c r="AD278" i="10"/>
  <c r="AC278" i="10"/>
  <c r="AA278" i="10"/>
  <c r="Z278" i="10"/>
  <c r="AE277" i="10"/>
  <c r="AD277" i="10"/>
  <c r="AC277" i="10"/>
  <c r="AA277" i="10"/>
  <c r="Z277" i="10"/>
  <c r="AE276" i="10"/>
  <c r="AD276" i="10"/>
  <c r="AC276" i="10"/>
  <c r="AA276" i="10"/>
  <c r="Z276" i="10"/>
  <c r="AE275" i="10"/>
  <c r="AD275" i="10"/>
  <c r="AC275" i="10"/>
  <c r="AF275" i="10" s="1"/>
  <c r="AA275" i="10"/>
  <c r="Z275" i="10"/>
  <c r="AE274" i="10"/>
  <c r="AD274" i="10"/>
  <c r="AC274" i="10"/>
  <c r="AA274" i="10"/>
  <c r="Z274" i="10"/>
  <c r="AE273" i="10"/>
  <c r="AD273" i="10"/>
  <c r="AC273" i="10"/>
  <c r="AA273" i="10"/>
  <c r="Z273" i="10"/>
  <c r="AE272" i="10"/>
  <c r="AD272" i="10"/>
  <c r="AC272" i="10"/>
  <c r="AA272" i="10"/>
  <c r="Z272" i="10"/>
  <c r="AE271" i="10"/>
  <c r="AD271" i="10"/>
  <c r="AC271" i="10"/>
  <c r="AA271" i="10"/>
  <c r="Z271" i="10"/>
  <c r="AE270" i="10"/>
  <c r="AD270" i="10"/>
  <c r="AC270" i="10"/>
  <c r="AA270" i="10"/>
  <c r="Z270" i="10"/>
  <c r="AE269" i="10"/>
  <c r="AD269" i="10"/>
  <c r="AC269" i="10"/>
  <c r="AA269" i="10"/>
  <c r="Z269" i="10"/>
  <c r="AE268" i="10"/>
  <c r="AD268" i="10"/>
  <c r="AC268" i="10"/>
  <c r="AA268" i="10"/>
  <c r="Z268" i="10"/>
  <c r="AE267" i="10"/>
  <c r="AD267" i="10"/>
  <c r="AC267" i="10"/>
  <c r="AF267" i="10" s="1"/>
  <c r="AA267" i="10"/>
  <c r="Z267" i="10"/>
  <c r="AE266" i="10"/>
  <c r="AD266" i="10"/>
  <c r="AF266" i="10" s="1"/>
  <c r="AC266" i="10"/>
  <c r="AA266" i="10"/>
  <c r="Z266" i="10"/>
  <c r="AE265" i="10"/>
  <c r="AD265" i="10"/>
  <c r="AC265" i="10"/>
  <c r="AA265" i="10"/>
  <c r="Z265" i="10"/>
  <c r="AE264" i="10"/>
  <c r="AD264" i="10"/>
  <c r="AC264" i="10"/>
  <c r="AA264" i="10"/>
  <c r="Z264" i="10"/>
  <c r="AB264" i="10" s="1"/>
  <c r="AE263" i="10"/>
  <c r="AD263" i="10"/>
  <c r="AC263" i="10"/>
  <c r="AA263" i="10"/>
  <c r="Z263" i="10"/>
  <c r="AE262" i="10"/>
  <c r="AD262" i="10"/>
  <c r="AC262" i="10"/>
  <c r="AA262" i="10"/>
  <c r="Z262" i="10"/>
  <c r="AE261" i="10"/>
  <c r="AD261" i="10"/>
  <c r="AC261" i="10"/>
  <c r="AA261" i="10"/>
  <c r="Z261" i="10"/>
  <c r="AB261" i="10" s="1"/>
  <c r="AE260" i="10"/>
  <c r="AD260" i="10"/>
  <c r="AC260" i="10"/>
  <c r="AA260" i="10"/>
  <c r="Z260" i="10"/>
  <c r="AE259" i="10"/>
  <c r="AD259" i="10"/>
  <c r="AC259" i="10"/>
  <c r="AF259" i="10" s="1"/>
  <c r="AA259" i="10"/>
  <c r="Z259" i="10"/>
  <c r="AE258" i="10"/>
  <c r="AD258" i="10"/>
  <c r="AC258" i="10"/>
  <c r="AA258" i="10"/>
  <c r="Z258" i="10"/>
  <c r="AE257" i="10"/>
  <c r="AD257" i="10"/>
  <c r="AC257" i="10"/>
  <c r="AA257" i="10"/>
  <c r="Z257" i="10"/>
  <c r="AE256" i="10"/>
  <c r="AD256" i="10"/>
  <c r="AC256" i="10"/>
  <c r="AA256" i="10"/>
  <c r="Z256" i="10"/>
  <c r="AB256" i="10" s="1"/>
  <c r="AE255" i="10"/>
  <c r="AD255" i="10"/>
  <c r="AC255" i="10"/>
  <c r="AA255" i="10"/>
  <c r="Z255" i="10"/>
  <c r="AB255" i="10" s="1"/>
  <c r="AE254" i="10"/>
  <c r="AD254" i="10"/>
  <c r="AC254" i="10"/>
  <c r="AA254" i="10"/>
  <c r="Z254" i="10"/>
  <c r="AE253" i="10"/>
  <c r="AD253" i="10"/>
  <c r="AC253" i="10"/>
  <c r="AA253" i="10"/>
  <c r="Z253" i="10"/>
  <c r="AE252" i="10"/>
  <c r="AD252" i="10"/>
  <c r="AC252" i="10"/>
  <c r="AA252" i="10"/>
  <c r="Z252" i="10"/>
  <c r="AE251" i="10"/>
  <c r="AD251" i="10"/>
  <c r="AC251" i="10"/>
  <c r="AA251" i="10"/>
  <c r="AB251" i="10" s="1"/>
  <c r="Z251" i="10"/>
  <c r="AE250" i="10"/>
  <c r="AD250" i="10"/>
  <c r="AC250" i="10"/>
  <c r="AA250" i="10"/>
  <c r="Z250" i="10"/>
  <c r="AE249" i="10"/>
  <c r="AD249" i="10"/>
  <c r="AC249" i="10"/>
  <c r="AA249" i="10"/>
  <c r="Z249" i="10"/>
  <c r="AB249" i="10" s="1"/>
  <c r="AE248" i="10"/>
  <c r="AD248" i="10"/>
  <c r="AC248" i="10"/>
  <c r="AA248" i="10"/>
  <c r="Z248" i="10"/>
  <c r="AE247" i="10"/>
  <c r="AD247" i="10"/>
  <c r="AF247" i="10" s="1"/>
  <c r="AC247" i="10"/>
  <c r="AA247" i="10"/>
  <c r="Z247" i="10"/>
  <c r="AE246" i="10"/>
  <c r="AD246" i="10"/>
  <c r="AC246" i="10"/>
  <c r="AA246" i="10"/>
  <c r="Z246" i="10"/>
  <c r="AE245" i="10"/>
  <c r="AD245" i="10"/>
  <c r="AC245" i="10"/>
  <c r="AF245" i="10" s="1"/>
  <c r="AA245" i="10"/>
  <c r="Z245" i="10"/>
  <c r="AE244" i="10"/>
  <c r="AD244" i="10"/>
  <c r="AF244" i="10" s="1"/>
  <c r="AC244" i="10"/>
  <c r="AA244" i="10"/>
  <c r="Z244" i="10"/>
  <c r="AE243" i="10"/>
  <c r="AD243" i="10"/>
  <c r="AC243" i="10"/>
  <c r="AA243" i="10"/>
  <c r="Z243" i="10"/>
  <c r="AE242" i="10"/>
  <c r="AD242" i="10"/>
  <c r="AC242" i="10"/>
  <c r="AA242" i="10"/>
  <c r="Z242" i="10"/>
  <c r="AE241" i="10"/>
  <c r="AD241" i="10"/>
  <c r="AC241" i="10"/>
  <c r="AF241" i="10" s="1"/>
  <c r="AA241" i="10"/>
  <c r="Z241" i="10"/>
  <c r="AE240" i="10"/>
  <c r="AD240" i="10"/>
  <c r="AC240" i="10"/>
  <c r="AA240" i="10"/>
  <c r="Z240" i="10"/>
  <c r="AE239" i="10"/>
  <c r="AD239" i="10"/>
  <c r="AC239" i="10"/>
  <c r="AA239" i="10"/>
  <c r="Z239" i="10"/>
  <c r="AB239" i="10" s="1"/>
  <c r="AE238" i="10"/>
  <c r="AD238" i="10"/>
  <c r="AC238" i="10"/>
  <c r="AF238" i="10" s="1"/>
  <c r="AA238" i="10"/>
  <c r="Z238" i="10"/>
  <c r="AB238" i="10" s="1"/>
  <c r="AE237" i="10"/>
  <c r="AD237" i="10"/>
  <c r="AC237" i="10"/>
  <c r="AF237" i="10" s="1"/>
  <c r="AA237" i="10"/>
  <c r="Z237" i="10"/>
  <c r="AE236" i="10"/>
  <c r="AD236" i="10"/>
  <c r="AC236" i="10"/>
  <c r="AA236" i="10"/>
  <c r="Z236" i="10"/>
  <c r="AE235" i="10"/>
  <c r="AF235" i="10" s="1"/>
  <c r="AD235" i="10"/>
  <c r="AC235" i="10"/>
  <c r="AA235" i="10"/>
  <c r="Z235" i="10"/>
  <c r="AE234" i="10"/>
  <c r="AD234" i="10"/>
  <c r="AC234" i="10"/>
  <c r="AA234" i="10"/>
  <c r="Z234" i="10"/>
  <c r="AE233" i="10"/>
  <c r="AD233" i="10"/>
  <c r="AC233" i="10"/>
  <c r="AA233" i="10"/>
  <c r="Z233" i="10"/>
  <c r="AE232" i="10"/>
  <c r="AD232" i="10"/>
  <c r="AC232" i="10"/>
  <c r="AA232" i="10"/>
  <c r="Z232" i="10"/>
  <c r="AE231" i="10"/>
  <c r="AD231" i="10"/>
  <c r="AC231" i="10"/>
  <c r="AF231" i="10" s="1"/>
  <c r="AA231" i="10"/>
  <c r="Z231" i="10"/>
  <c r="AE230" i="10"/>
  <c r="AD230" i="10"/>
  <c r="AC230" i="10"/>
  <c r="AA230" i="10"/>
  <c r="Z230" i="10"/>
  <c r="AE229" i="10"/>
  <c r="AD229" i="10"/>
  <c r="AC229" i="10"/>
  <c r="AA229" i="10"/>
  <c r="Z229" i="10"/>
  <c r="AE228" i="10"/>
  <c r="AD228" i="10"/>
  <c r="AC228" i="10"/>
  <c r="AF228" i="10" s="1"/>
  <c r="AA228" i="10"/>
  <c r="Z228" i="10"/>
  <c r="AE227" i="10"/>
  <c r="AD227" i="10"/>
  <c r="AC227" i="10"/>
  <c r="AA227" i="10"/>
  <c r="Z227" i="10"/>
  <c r="AE226" i="10"/>
  <c r="AD226" i="10"/>
  <c r="AC226" i="10"/>
  <c r="AA226" i="10"/>
  <c r="Z226" i="10"/>
  <c r="AE225" i="10"/>
  <c r="AD225" i="10"/>
  <c r="AC225" i="10"/>
  <c r="AA225" i="10"/>
  <c r="Z225" i="10"/>
  <c r="AE224" i="10"/>
  <c r="AD224" i="10"/>
  <c r="AC224" i="10"/>
  <c r="AA224" i="10"/>
  <c r="Z224" i="10"/>
  <c r="AE223" i="10"/>
  <c r="AD223" i="10"/>
  <c r="AC223" i="10"/>
  <c r="AA223" i="10"/>
  <c r="Z223" i="10"/>
  <c r="AE222" i="10"/>
  <c r="AD222" i="10"/>
  <c r="AC222" i="10"/>
  <c r="AA222" i="10"/>
  <c r="Z222" i="10"/>
  <c r="AE221" i="10"/>
  <c r="AD221" i="10"/>
  <c r="AC221" i="10"/>
  <c r="AA221" i="10"/>
  <c r="Z221" i="10"/>
  <c r="AE220" i="10"/>
  <c r="AD220" i="10"/>
  <c r="AC220" i="10"/>
  <c r="AA220" i="10"/>
  <c r="Z220" i="10"/>
  <c r="AE219" i="10"/>
  <c r="AD219" i="10"/>
  <c r="AC219" i="10"/>
  <c r="AA219" i="10"/>
  <c r="Z219" i="10"/>
  <c r="AE218" i="10"/>
  <c r="AD218" i="10"/>
  <c r="AC218" i="10"/>
  <c r="AA218" i="10"/>
  <c r="Z218" i="10"/>
  <c r="AE217" i="10"/>
  <c r="AD217" i="10"/>
  <c r="AC217" i="10"/>
  <c r="AA217" i="10"/>
  <c r="Z217" i="10"/>
  <c r="AE216" i="10"/>
  <c r="AD216" i="10"/>
  <c r="AC216" i="10"/>
  <c r="DS216" i="10" s="1"/>
  <c r="AA216" i="10"/>
  <c r="Z216" i="10"/>
  <c r="AE215" i="10"/>
  <c r="AD215" i="10"/>
  <c r="AC215" i="10"/>
  <c r="AF215" i="10" s="1"/>
  <c r="AA215" i="10"/>
  <c r="Z215" i="10"/>
  <c r="AB215" i="10" s="1"/>
  <c r="AE214" i="10"/>
  <c r="AD214" i="10"/>
  <c r="AC214" i="10"/>
  <c r="AA214" i="10"/>
  <c r="Z214" i="10"/>
  <c r="AE213" i="10"/>
  <c r="AF213" i="10" s="1"/>
  <c r="AD213" i="10"/>
  <c r="AC213" i="10"/>
  <c r="AA213" i="10"/>
  <c r="Z213" i="10"/>
  <c r="AE212" i="10"/>
  <c r="AD212" i="10"/>
  <c r="AC212" i="10"/>
  <c r="AA212" i="10"/>
  <c r="Z212" i="10"/>
  <c r="AE211" i="10"/>
  <c r="AD211" i="10"/>
  <c r="AC211" i="10"/>
  <c r="AA211" i="10"/>
  <c r="Z211" i="10"/>
  <c r="AB211" i="10" s="1"/>
  <c r="AE210" i="10"/>
  <c r="AD210" i="10"/>
  <c r="AC210" i="10"/>
  <c r="AA210" i="10"/>
  <c r="Z210" i="10"/>
  <c r="AE209" i="10"/>
  <c r="AD209" i="10"/>
  <c r="AC209" i="10"/>
  <c r="AA209" i="10"/>
  <c r="Z209" i="10"/>
  <c r="AE208" i="10"/>
  <c r="AD208" i="10"/>
  <c r="AC208" i="10"/>
  <c r="AA208" i="10"/>
  <c r="Z208" i="10"/>
  <c r="AE207" i="10"/>
  <c r="AD207" i="10"/>
  <c r="AC207" i="10"/>
  <c r="AA207" i="10"/>
  <c r="Z207" i="10"/>
  <c r="AE206" i="10"/>
  <c r="AD206" i="10"/>
  <c r="AC206" i="10"/>
  <c r="AA206" i="10"/>
  <c r="Z206" i="10"/>
  <c r="AE205" i="10"/>
  <c r="AD205" i="10"/>
  <c r="AC205" i="10"/>
  <c r="AA205" i="10"/>
  <c r="Z205" i="10"/>
  <c r="AB205" i="10" s="1"/>
  <c r="AE204" i="10"/>
  <c r="AD204" i="10"/>
  <c r="AC204" i="10"/>
  <c r="AA204" i="10"/>
  <c r="Z204" i="10"/>
  <c r="AE203" i="10"/>
  <c r="AD203" i="10"/>
  <c r="AC203" i="10"/>
  <c r="AA203" i="10"/>
  <c r="Z203" i="10"/>
  <c r="AE202" i="10"/>
  <c r="AD202" i="10"/>
  <c r="AC202" i="10"/>
  <c r="AA202" i="10"/>
  <c r="Z202" i="10"/>
  <c r="AB202" i="10" s="1"/>
  <c r="AE201" i="10"/>
  <c r="AD201" i="10"/>
  <c r="AC201" i="10"/>
  <c r="AA201" i="10"/>
  <c r="Z201" i="10"/>
  <c r="AE200" i="10"/>
  <c r="AD200" i="10"/>
  <c r="AF200" i="10" s="1"/>
  <c r="AC200" i="10"/>
  <c r="AA200" i="10"/>
  <c r="Z200" i="10"/>
  <c r="AE199" i="10"/>
  <c r="AD199" i="10"/>
  <c r="AC199" i="10"/>
  <c r="AA199" i="10"/>
  <c r="AB199" i="10" s="1"/>
  <c r="Z199" i="10"/>
  <c r="AE198" i="10"/>
  <c r="AD198" i="10"/>
  <c r="AC198" i="10"/>
  <c r="AA198" i="10"/>
  <c r="Z198" i="10"/>
  <c r="AB198" i="10" s="1"/>
  <c r="AE197" i="10"/>
  <c r="AD197" i="10"/>
  <c r="AC197" i="10"/>
  <c r="AF197" i="10" s="1"/>
  <c r="AA197" i="10"/>
  <c r="Z197" i="10"/>
  <c r="AE196" i="10"/>
  <c r="AD196" i="10"/>
  <c r="AC196" i="10"/>
  <c r="AA196" i="10"/>
  <c r="Z196" i="10"/>
  <c r="AE195" i="10"/>
  <c r="AD195" i="10"/>
  <c r="AC195" i="10"/>
  <c r="AA195" i="10"/>
  <c r="Z195" i="10"/>
  <c r="AE194" i="10"/>
  <c r="AD194" i="10"/>
  <c r="AC194" i="10"/>
  <c r="AA194" i="10"/>
  <c r="Z194" i="10"/>
  <c r="AE193" i="10"/>
  <c r="AD193" i="10"/>
  <c r="AC193" i="10"/>
  <c r="AA193" i="10"/>
  <c r="Z193" i="10"/>
  <c r="AB193" i="10" s="1"/>
  <c r="AE192" i="10"/>
  <c r="AD192" i="10"/>
  <c r="AC192" i="10"/>
  <c r="AA192" i="10"/>
  <c r="Z192" i="10"/>
  <c r="AE191" i="10"/>
  <c r="AF191" i="10" s="1"/>
  <c r="AD191" i="10"/>
  <c r="AC191" i="10"/>
  <c r="AA191" i="10"/>
  <c r="Z191" i="10"/>
  <c r="AE190" i="10"/>
  <c r="AD190" i="10"/>
  <c r="AC190" i="10"/>
  <c r="AA190" i="10"/>
  <c r="Z190" i="10"/>
  <c r="AE189" i="10"/>
  <c r="AD189" i="10"/>
  <c r="AC189" i="10"/>
  <c r="AA189" i="10"/>
  <c r="Z189" i="10"/>
  <c r="AE188" i="10"/>
  <c r="AD188" i="10"/>
  <c r="AC188" i="10"/>
  <c r="AA188" i="10"/>
  <c r="Z188" i="10"/>
  <c r="AE187" i="10"/>
  <c r="AD187" i="10"/>
  <c r="AC187" i="10"/>
  <c r="AA187" i="10"/>
  <c r="Z187" i="10"/>
  <c r="AE186" i="10"/>
  <c r="AD186" i="10"/>
  <c r="AC186" i="10"/>
  <c r="AA186" i="10"/>
  <c r="Z186" i="10"/>
  <c r="AE185" i="10"/>
  <c r="AD185" i="10"/>
  <c r="AC185" i="10"/>
  <c r="AA185" i="10"/>
  <c r="Z185" i="10"/>
  <c r="AE184" i="10"/>
  <c r="AD184" i="10"/>
  <c r="AC184" i="10"/>
  <c r="AF184" i="10" s="1"/>
  <c r="AA184" i="10"/>
  <c r="Z184" i="10"/>
  <c r="AE183" i="10"/>
  <c r="AD183" i="10"/>
  <c r="AC183" i="10"/>
  <c r="AA183" i="10"/>
  <c r="Z183" i="10"/>
  <c r="AE182" i="10"/>
  <c r="AD182" i="10"/>
  <c r="AC182" i="10"/>
  <c r="AA182" i="10"/>
  <c r="Z182" i="10"/>
  <c r="AE181" i="10"/>
  <c r="AD181" i="10"/>
  <c r="AC181" i="10"/>
  <c r="AA181" i="10"/>
  <c r="Z181" i="10"/>
  <c r="AE180" i="10"/>
  <c r="AD180" i="10"/>
  <c r="AC180" i="10"/>
  <c r="AA180" i="10"/>
  <c r="Z180" i="10"/>
  <c r="AE179" i="10"/>
  <c r="AD179" i="10"/>
  <c r="AC179" i="10"/>
  <c r="AA179" i="10"/>
  <c r="Z179" i="10"/>
  <c r="AE178" i="10"/>
  <c r="AD178" i="10"/>
  <c r="AC178" i="10"/>
  <c r="AA178" i="10"/>
  <c r="Z178" i="10"/>
  <c r="AE177" i="10"/>
  <c r="AD177" i="10"/>
  <c r="AC177" i="10"/>
  <c r="AF177" i="10" s="1"/>
  <c r="AA177" i="10"/>
  <c r="Z177" i="10"/>
  <c r="AE176" i="10"/>
  <c r="AD176" i="10"/>
  <c r="AC176" i="10"/>
  <c r="AA176" i="10"/>
  <c r="Z176" i="10"/>
  <c r="AE175" i="10"/>
  <c r="AD175" i="10"/>
  <c r="AC175" i="10"/>
  <c r="AA175" i="10"/>
  <c r="Z175" i="10"/>
  <c r="AE174" i="10"/>
  <c r="AD174" i="10"/>
  <c r="AC174" i="10"/>
  <c r="AA174" i="10"/>
  <c r="Z174" i="10"/>
  <c r="AE173" i="10"/>
  <c r="AD173" i="10"/>
  <c r="AC173" i="10"/>
  <c r="AA173" i="10"/>
  <c r="Z173" i="10"/>
  <c r="AE172" i="10"/>
  <c r="AD172" i="10"/>
  <c r="AC172" i="10"/>
  <c r="AA172" i="10"/>
  <c r="Z172" i="10"/>
  <c r="AB172" i="10" s="1"/>
  <c r="AE171" i="10"/>
  <c r="AD171" i="10"/>
  <c r="AC171" i="10"/>
  <c r="AF171" i="10" s="1"/>
  <c r="AA171" i="10"/>
  <c r="Z171" i="10"/>
  <c r="AE170" i="10"/>
  <c r="AD170" i="10"/>
  <c r="AC170" i="10"/>
  <c r="AA170" i="10"/>
  <c r="Z170" i="10"/>
  <c r="AE169" i="10"/>
  <c r="AD169" i="10"/>
  <c r="AC169" i="10"/>
  <c r="AA169" i="10"/>
  <c r="Z169" i="10"/>
  <c r="AE168" i="10"/>
  <c r="AD168" i="10"/>
  <c r="AC168" i="10"/>
  <c r="AA168" i="10"/>
  <c r="Z168" i="10"/>
  <c r="AE167" i="10"/>
  <c r="AD167" i="10"/>
  <c r="AC167" i="10"/>
  <c r="AA167" i="10"/>
  <c r="Z167" i="10"/>
  <c r="AE166" i="10"/>
  <c r="AD166" i="10"/>
  <c r="AC166" i="10"/>
  <c r="AA166" i="10"/>
  <c r="Z166" i="10"/>
  <c r="AE165" i="10"/>
  <c r="AD165" i="10"/>
  <c r="AC165" i="10"/>
  <c r="AF165" i="10" s="1"/>
  <c r="AA165" i="10"/>
  <c r="Z165" i="10"/>
  <c r="AE164" i="10"/>
  <c r="AD164" i="10"/>
  <c r="AC164" i="10"/>
  <c r="AA164" i="10"/>
  <c r="Z164" i="10"/>
  <c r="AE163" i="10"/>
  <c r="AD163" i="10"/>
  <c r="AC163" i="10"/>
  <c r="AA163" i="10"/>
  <c r="Z163" i="10"/>
  <c r="AE162" i="10"/>
  <c r="AD162" i="10"/>
  <c r="AC162" i="10"/>
  <c r="AA162" i="10"/>
  <c r="Z162" i="10"/>
  <c r="AB162" i="10" s="1"/>
  <c r="AE161" i="10"/>
  <c r="AD161" i="10"/>
  <c r="AC161" i="10"/>
  <c r="AA161" i="10"/>
  <c r="Z161" i="10"/>
  <c r="AE160" i="10"/>
  <c r="AD160" i="10"/>
  <c r="AC160" i="10"/>
  <c r="AA160" i="10"/>
  <c r="AB160" i="10" s="1"/>
  <c r="Z160" i="10"/>
  <c r="AE159" i="10"/>
  <c r="AD159" i="10"/>
  <c r="AC159" i="10"/>
  <c r="AA159" i="10"/>
  <c r="Z159" i="10"/>
  <c r="AE158" i="10"/>
  <c r="AD158" i="10"/>
  <c r="AC158" i="10"/>
  <c r="AA158" i="10"/>
  <c r="Z158" i="10"/>
  <c r="AB158" i="10" s="1"/>
  <c r="AE157" i="10"/>
  <c r="AD157" i="10"/>
  <c r="AC157" i="10"/>
  <c r="AF157" i="10" s="1"/>
  <c r="AA157" i="10"/>
  <c r="Z157" i="10"/>
  <c r="AE156" i="10"/>
  <c r="AD156" i="10"/>
  <c r="AC156" i="10"/>
  <c r="AA156" i="10"/>
  <c r="Z156" i="10"/>
  <c r="AE155" i="10"/>
  <c r="AD155" i="10"/>
  <c r="AC155" i="10"/>
  <c r="AA155" i="10"/>
  <c r="Z155" i="10"/>
  <c r="AE154" i="10"/>
  <c r="AD154" i="10"/>
  <c r="AC154" i="10"/>
  <c r="AA154" i="10"/>
  <c r="Z154" i="10"/>
  <c r="AE153" i="10"/>
  <c r="AD153" i="10"/>
  <c r="AC153" i="10"/>
  <c r="AF153" i="10" s="1"/>
  <c r="AA153" i="10"/>
  <c r="Z153" i="10"/>
  <c r="AB153" i="10" s="1"/>
  <c r="AE152" i="10"/>
  <c r="AD152" i="10"/>
  <c r="AC152" i="10"/>
  <c r="AA152" i="10"/>
  <c r="Z152" i="10"/>
  <c r="AE151" i="10"/>
  <c r="AD151" i="10"/>
  <c r="AC151" i="10"/>
  <c r="AA151" i="10"/>
  <c r="Z151" i="10"/>
  <c r="AE150" i="10"/>
  <c r="AD150" i="10"/>
  <c r="AC150" i="10"/>
  <c r="AA150" i="10"/>
  <c r="Z150" i="10"/>
  <c r="AE149" i="10"/>
  <c r="AD149" i="10"/>
  <c r="AC149" i="10"/>
  <c r="AF149" i="10" s="1"/>
  <c r="AA149" i="10"/>
  <c r="Z149" i="10"/>
  <c r="AE148" i="10"/>
  <c r="AD148" i="10"/>
  <c r="AC148" i="10"/>
  <c r="AA148" i="10"/>
  <c r="Z148" i="10"/>
  <c r="AE147" i="10"/>
  <c r="AD147" i="10"/>
  <c r="AC147" i="10"/>
  <c r="AA147" i="10"/>
  <c r="Z147" i="10"/>
  <c r="AB147" i="10" s="1"/>
  <c r="AE146" i="10"/>
  <c r="AD146" i="10"/>
  <c r="AF146" i="10" s="1"/>
  <c r="AA146" i="10"/>
  <c r="Z146" i="10"/>
  <c r="AE145" i="10"/>
  <c r="AD145" i="10"/>
  <c r="AA145" i="10"/>
  <c r="Z145" i="10"/>
  <c r="AE144" i="10"/>
  <c r="AD144" i="10"/>
  <c r="AF144" i="10" s="1"/>
  <c r="AA144" i="10"/>
  <c r="Z144" i="10"/>
  <c r="AB144" i="10" s="1"/>
  <c r="AE143" i="10"/>
  <c r="AD143" i="10"/>
  <c r="AF143" i="10" s="1"/>
  <c r="AA143" i="10"/>
  <c r="Z143" i="10"/>
  <c r="AB143" i="10" s="1"/>
  <c r="AE142" i="10"/>
  <c r="AD142" i="10"/>
  <c r="AA142" i="10"/>
  <c r="Z142" i="10"/>
  <c r="AE141" i="10"/>
  <c r="AD141" i="10"/>
  <c r="AA141" i="10"/>
  <c r="Z141" i="10"/>
  <c r="AB141" i="10" s="1"/>
  <c r="AA140" i="10"/>
  <c r="Z140" i="10"/>
  <c r="AA139" i="10"/>
  <c r="Z139" i="10"/>
  <c r="AA138" i="10"/>
  <c r="Z138" i="10"/>
  <c r="AA137" i="10"/>
  <c r="Z137" i="10"/>
  <c r="DT137" i="10" s="1"/>
  <c r="AA136" i="10"/>
  <c r="Z136" i="10"/>
  <c r="DT136" i="10" s="1"/>
  <c r="AA135" i="10"/>
  <c r="Z135" i="10"/>
  <c r="AA134" i="10"/>
  <c r="Z134" i="10"/>
  <c r="AA133" i="10"/>
  <c r="Z133" i="10"/>
  <c r="AA132" i="10"/>
  <c r="Z132" i="10"/>
  <c r="AA131" i="10"/>
  <c r="Z131" i="10"/>
  <c r="AB131" i="10" s="1"/>
  <c r="AA130" i="10"/>
  <c r="Z130" i="10"/>
  <c r="AA129" i="10"/>
  <c r="Z129" i="10"/>
  <c r="DT129" i="10" s="1"/>
  <c r="AA128" i="10"/>
  <c r="Z128" i="10"/>
  <c r="AA127" i="10"/>
  <c r="Z127" i="10"/>
  <c r="AA126" i="10"/>
  <c r="Z126" i="10"/>
  <c r="AA125" i="10"/>
  <c r="Z125" i="10"/>
  <c r="AA124" i="10"/>
  <c r="Z124" i="10"/>
  <c r="AA123" i="10"/>
  <c r="Z123" i="10"/>
  <c r="AA122" i="10"/>
  <c r="Z122" i="10"/>
  <c r="AA121" i="10"/>
  <c r="Z121" i="10"/>
  <c r="AA120" i="10"/>
  <c r="Z120" i="10"/>
  <c r="AA119" i="10"/>
  <c r="Z119" i="10"/>
  <c r="AB119" i="10" s="1"/>
  <c r="AA118" i="10"/>
  <c r="Z118" i="10"/>
  <c r="AA117" i="10"/>
  <c r="Z117" i="10"/>
  <c r="AA116" i="10"/>
  <c r="Z116" i="10"/>
  <c r="AA115" i="10"/>
  <c r="Z115" i="10"/>
  <c r="AA114" i="10"/>
  <c r="Z114" i="10"/>
  <c r="AA113" i="10"/>
  <c r="Z113" i="10"/>
  <c r="AA112" i="10"/>
  <c r="Z112" i="10"/>
  <c r="AA111" i="10"/>
  <c r="Z111" i="10"/>
  <c r="AA110" i="10"/>
  <c r="Z110" i="10"/>
  <c r="AA109" i="10"/>
  <c r="Z109" i="10"/>
  <c r="AA108" i="10"/>
  <c r="Z108" i="10"/>
  <c r="AA107" i="10"/>
  <c r="Z107" i="10"/>
  <c r="AA106" i="10"/>
  <c r="Z106" i="10"/>
  <c r="AA105" i="10"/>
  <c r="AB105" i="10" s="1"/>
  <c r="Z105" i="10"/>
  <c r="AA104" i="10"/>
  <c r="Z104" i="10"/>
  <c r="AA103" i="10"/>
  <c r="Z103" i="10"/>
  <c r="AA102" i="10"/>
  <c r="DU102" i="10" s="1"/>
  <c r="Z102" i="10"/>
  <c r="AA101" i="10"/>
  <c r="Z101" i="10"/>
  <c r="AA100" i="10"/>
  <c r="Z100" i="10"/>
  <c r="AB100" i="10" s="1"/>
  <c r="AA99" i="10"/>
  <c r="Z99" i="10"/>
  <c r="AA98" i="10"/>
  <c r="Z98" i="10"/>
  <c r="AB98" i="10" s="1"/>
  <c r="AA97" i="10"/>
  <c r="Z97" i="10"/>
  <c r="AA96" i="10"/>
  <c r="Z96" i="10"/>
  <c r="AA95" i="10"/>
  <c r="Z95" i="10"/>
  <c r="AA94" i="10"/>
  <c r="Z94" i="10"/>
  <c r="AA93" i="10"/>
  <c r="Z93" i="10"/>
  <c r="AB93" i="10" s="1"/>
  <c r="AA92" i="10"/>
  <c r="Z92" i="10"/>
  <c r="DT92" i="10" s="1"/>
  <c r="AA91" i="10"/>
  <c r="Z91" i="10"/>
  <c r="AA90" i="10"/>
  <c r="Z90" i="10"/>
  <c r="AA89" i="10"/>
  <c r="Z89" i="10"/>
  <c r="AA88" i="10"/>
  <c r="Z88" i="10"/>
  <c r="AA87" i="10"/>
  <c r="Z87" i="10"/>
  <c r="AA86" i="10"/>
  <c r="Z86" i="10"/>
  <c r="AA85" i="10"/>
  <c r="Z85" i="10"/>
  <c r="AA84" i="10"/>
  <c r="Z84" i="10"/>
  <c r="AA83" i="10"/>
  <c r="Z83" i="10"/>
  <c r="AA82" i="10"/>
  <c r="DU82" i="10" s="1"/>
  <c r="Z82" i="10"/>
  <c r="AB82" i="10" s="1"/>
  <c r="AA81" i="10"/>
  <c r="Z81" i="10"/>
  <c r="AA80" i="10"/>
  <c r="DU80" i="10" s="1"/>
  <c r="Z80" i="10"/>
  <c r="AA79" i="10"/>
  <c r="Z79" i="10"/>
  <c r="AA78" i="10"/>
  <c r="Z78" i="10"/>
  <c r="AA77" i="10"/>
  <c r="Z77" i="10"/>
  <c r="AA76" i="10"/>
  <c r="Z76" i="10"/>
  <c r="AA75" i="10"/>
  <c r="Z75" i="10"/>
  <c r="AA74" i="10"/>
  <c r="Z74" i="10"/>
  <c r="AA73" i="10"/>
  <c r="Z73" i="10"/>
  <c r="AA72" i="10"/>
  <c r="Z72" i="10"/>
  <c r="AA71" i="10"/>
  <c r="Z71" i="10"/>
  <c r="AA70" i="10"/>
  <c r="Z70" i="10"/>
  <c r="AA69" i="10"/>
  <c r="Z69" i="10"/>
  <c r="AB69" i="10" s="1"/>
  <c r="AA68" i="10"/>
  <c r="Z68" i="10"/>
  <c r="AA67" i="10"/>
  <c r="Z67" i="10"/>
  <c r="AA66" i="10"/>
  <c r="Z66" i="10"/>
  <c r="AB66" i="10" s="1"/>
  <c r="AA65" i="10"/>
  <c r="Z65" i="10"/>
  <c r="AA64" i="10"/>
  <c r="Z64" i="10"/>
  <c r="AA63" i="10"/>
  <c r="Z63" i="10"/>
  <c r="AA62" i="10"/>
  <c r="Z62" i="10"/>
  <c r="AA61" i="10"/>
  <c r="Z61" i="10"/>
  <c r="AA60" i="10"/>
  <c r="DU60" i="10" s="1"/>
  <c r="Z60" i="10"/>
  <c r="AB60" i="10" s="1"/>
  <c r="AA59" i="10"/>
  <c r="DU59" i="10" s="1"/>
  <c r="Z59" i="10"/>
  <c r="AA58" i="10"/>
  <c r="DU58" i="10" s="1"/>
  <c r="Z58" i="10"/>
  <c r="AA57" i="10"/>
  <c r="Z57" i="10"/>
  <c r="DT57" i="10" s="1"/>
  <c r="AA56" i="10"/>
  <c r="Z56" i="10"/>
  <c r="DT56" i="10" s="1"/>
  <c r="AA55" i="10"/>
  <c r="Z55" i="10"/>
  <c r="AA54" i="10"/>
  <c r="Z54" i="10"/>
  <c r="AA53" i="10"/>
  <c r="Z53" i="10"/>
  <c r="DT53" i="10" s="1"/>
  <c r="AA52" i="10"/>
  <c r="Z52" i="10"/>
  <c r="AA51" i="10"/>
  <c r="Z51" i="10"/>
  <c r="DT51" i="10" s="1"/>
  <c r="AA50" i="10"/>
  <c r="Z50" i="10"/>
  <c r="DT50" i="10" s="1"/>
  <c r="I377" i="10"/>
  <c r="H375" i="10"/>
  <c r="G375" i="10"/>
  <c r="F375" i="10"/>
  <c r="E375" i="10"/>
  <c r="H374" i="10"/>
  <c r="G374" i="10"/>
  <c r="F374" i="10"/>
  <c r="E374" i="10"/>
  <c r="H373" i="10"/>
  <c r="G373" i="10"/>
  <c r="F373" i="10"/>
  <c r="E373" i="10"/>
  <c r="H372" i="10"/>
  <c r="G372" i="10"/>
  <c r="F372" i="10"/>
  <c r="E372" i="10"/>
  <c r="H371" i="10"/>
  <c r="G371" i="10"/>
  <c r="F371" i="10"/>
  <c r="E371" i="10"/>
  <c r="H370" i="10"/>
  <c r="G370" i="10"/>
  <c r="F370" i="10"/>
  <c r="E370" i="10"/>
  <c r="DP370" i="10" s="1"/>
  <c r="H369" i="10"/>
  <c r="G369" i="10"/>
  <c r="F369" i="10"/>
  <c r="E369" i="10"/>
  <c r="H368" i="10"/>
  <c r="G368" i="10"/>
  <c r="F368" i="10"/>
  <c r="E368" i="10"/>
  <c r="H367" i="10"/>
  <c r="G367" i="10"/>
  <c r="F367" i="10"/>
  <c r="E367" i="10"/>
  <c r="H366" i="10"/>
  <c r="G366" i="10"/>
  <c r="F366" i="10"/>
  <c r="E366" i="10"/>
  <c r="H365" i="10"/>
  <c r="G365" i="10"/>
  <c r="F365" i="10"/>
  <c r="E365" i="10"/>
  <c r="DP365" i="10" s="1"/>
  <c r="H364" i="10"/>
  <c r="G364" i="10"/>
  <c r="F364" i="10"/>
  <c r="E364" i="10"/>
  <c r="DP364" i="10" s="1"/>
  <c r="H363" i="10"/>
  <c r="G363" i="10"/>
  <c r="F363" i="10"/>
  <c r="E363" i="10"/>
  <c r="H362" i="10"/>
  <c r="G362" i="10"/>
  <c r="F362" i="10"/>
  <c r="E362" i="10"/>
  <c r="H361" i="10"/>
  <c r="G361" i="10"/>
  <c r="F361" i="10"/>
  <c r="E361" i="10"/>
  <c r="H360" i="10"/>
  <c r="G360" i="10"/>
  <c r="F360" i="10"/>
  <c r="E360" i="10"/>
  <c r="H359" i="10"/>
  <c r="G359" i="10"/>
  <c r="F359" i="10"/>
  <c r="E359" i="10"/>
  <c r="DP359" i="10" s="1"/>
  <c r="H358" i="10"/>
  <c r="G358" i="10"/>
  <c r="F358" i="10"/>
  <c r="DV358" i="10" s="1"/>
  <c r="E358" i="10"/>
  <c r="H357" i="10"/>
  <c r="G357" i="10"/>
  <c r="F357" i="10"/>
  <c r="E357" i="10"/>
  <c r="H356" i="10"/>
  <c r="G356" i="10"/>
  <c r="F356" i="10"/>
  <c r="E356" i="10"/>
  <c r="H355" i="10"/>
  <c r="G355" i="10"/>
  <c r="F355" i="10"/>
  <c r="E355" i="10"/>
  <c r="H354" i="10"/>
  <c r="G354" i="10"/>
  <c r="F354" i="10"/>
  <c r="E354" i="10"/>
  <c r="DP354" i="10" s="1"/>
  <c r="H353" i="10"/>
  <c r="G353" i="10"/>
  <c r="F353" i="10"/>
  <c r="E353" i="10"/>
  <c r="H352" i="10"/>
  <c r="G352" i="10"/>
  <c r="F352" i="10"/>
  <c r="E352" i="10"/>
  <c r="H351" i="10"/>
  <c r="G351" i="10"/>
  <c r="F351" i="10"/>
  <c r="E351" i="10"/>
  <c r="H350" i="10"/>
  <c r="G350" i="10"/>
  <c r="F350" i="10"/>
  <c r="E350" i="10"/>
  <c r="H349" i="10"/>
  <c r="G349" i="10"/>
  <c r="F349" i="10"/>
  <c r="E349" i="10"/>
  <c r="H348" i="10"/>
  <c r="G348" i="10"/>
  <c r="F348" i="10"/>
  <c r="E348" i="10"/>
  <c r="DP348" i="10" s="1"/>
  <c r="H347" i="10"/>
  <c r="G347" i="10"/>
  <c r="F347" i="10"/>
  <c r="DV347" i="10" s="1"/>
  <c r="E347" i="10"/>
  <c r="H346" i="10"/>
  <c r="G346" i="10"/>
  <c r="F346" i="10"/>
  <c r="E346" i="10"/>
  <c r="H345" i="10"/>
  <c r="G345" i="10"/>
  <c r="F345" i="10"/>
  <c r="E345" i="10"/>
  <c r="H344" i="10"/>
  <c r="G344" i="10"/>
  <c r="F344" i="10"/>
  <c r="E344" i="10"/>
  <c r="H343" i="10"/>
  <c r="G343" i="10"/>
  <c r="F343" i="10"/>
  <c r="E343" i="10"/>
  <c r="DP343" i="10" s="1"/>
  <c r="H342" i="10"/>
  <c r="G342" i="10"/>
  <c r="F342" i="10"/>
  <c r="DV342" i="10" s="1"/>
  <c r="E342" i="10"/>
  <c r="H341" i="10"/>
  <c r="G341" i="10"/>
  <c r="F341" i="10"/>
  <c r="E341" i="10"/>
  <c r="H340" i="10"/>
  <c r="G340" i="10"/>
  <c r="F340" i="10"/>
  <c r="E340" i="10"/>
  <c r="H339" i="10"/>
  <c r="G339" i="10"/>
  <c r="F339" i="10"/>
  <c r="E339" i="10"/>
  <c r="H338" i="10"/>
  <c r="G338" i="10"/>
  <c r="F338" i="10"/>
  <c r="E338" i="10"/>
  <c r="H337" i="10"/>
  <c r="G337" i="10"/>
  <c r="F337" i="10"/>
  <c r="E337" i="10"/>
  <c r="DP337" i="10" s="1"/>
  <c r="H336" i="10"/>
  <c r="G336" i="10"/>
  <c r="F336" i="10"/>
  <c r="DV336" i="10" s="1"/>
  <c r="E336" i="10"/>
  <c r="H335" i="10"/>
  <c r="G335" i="10"/>
  <c r="F335" i="10"/>
  <c r="E335" i="10"/>
  <c r="H334" i="10"/>
  <c r="G334" i="10"/>
  <c r="F334" i="10"/>
  <c r="E334" i="10"/>
  <c r="H333" i="10"/>
  <c r="G333" i="10"/>
  <c r="F333" i="10"/>
  <c r="E333" i="10"/>
  <c r="H332" i="10"/>
  <c r="G332" i="10"/>
  <c r="F332" i="10"/>
  <c r="E332" i="10"/>
  <c r="DP332" i="10" s="1"/>
  <c r="H331" i="10"/>
  <c r="G331" i="10"/>
  <c r="F331" i="10"/>
  <c r="E331" i="10"/>
  <c r="H330" i="10"/>
  <c r="G330" i="10"/>
  <c r="F330" i="10"/>
  <c r="E330" i="10"/>
  <c r="H329" i="10"/>
  <c r="G329" i="10"/>
  <c r="F329" i="10"/>
  <c r="E329" i="10"/>
  <c r="H328" i="10"/>
  <c r="G328" i="10"/>
  <c r="F328" i="10"/>
  <c r="E328" i="10"/>
  <c r="H327" i="10"/>
  <c r="G327" i="10"/>
  <c r="F327" i="10"/>
  <c r="E327" i="10"/>
  <c r="H326" i="10"/>
  <c r="G326" i="10"/>
  <c r="F326" i="10"/>
  <c r="E326" i="10"/>
  <c r="DP326" i="10" s="1"/>
  <c r="H325" i="10"/>
  <c r="G325" i="10"/>
  <c r="F325" i="10"/>
  <c r="DV325" i="10" s="1"/>
  <c r="E325" i="10"/>
  <c r="H324" i="10"/>
  <c r="G324" i="10"/>
  <c r="F324" i="10"/>
  <c r="E324" i="10"/>
  <c r="H323" i="10"/>
  <c r="G323" i="10"/>
  <c r="F323" i="10"/>
  <c r="E323" i="10"/>
  <c r="H322" i="10"/>
  <c r="G322" i="10"/>
  <c r="F322" i="10"/>
  <c r="E322" i="10"/>
  <c r="H321" i="10"/>
  <c r="G321" i="10"/>
  <c r="F321" i="10"/>
  <c r="E321" i="10"/>
  <c r="DP321" i="10" s="1"/>
  <c r="H320" i="10"/>
  <c r="G320" i="10"/>
  <c r="F320" i="10"/>
  <c r="E320" i="10"/>
  <c r="DP320" i="10" s="1"/>
  <c r="H319" i="10"/>
  <c r="G319" i="10"/>
  <c r="F319" i="10"/>
  <c r="E319" i="10"/>
  <c r="H318" i="10"/>
  <c r="G318" i="10"/>
  <c r="F318" i="10"/>
  <c r="E318" i="10"/>
  <c r="H317" i="10"/>
  <c r="G317" i="10"/>
  <c r="F317" i="10"/>
  <c r="E317" i="10"/>
  <c r="H316" i="10"/>
  <c r="G316" i="10"/>
  <c r="F316" i="10"/>
  <c r="E316" i="10"/>
  <c r="H315" i="10"/>
  <c r="G315" i="10"/>
  <c r="F315" i="10"/>
  <c r="E315" i="10"/>
  <c r="I315" i="10" s="1"/>
  <c r="H314" i="10"/>
  <c r="G314" i="10"/>
  <c r="F314" i="10"/>
  <c r="DV314" i="10" s="1"/>
  <c r="E314" i="10"/>
  <c r="H313" i="10"/>
  <c r="G313" i="10"/>
  <c r="F313" i="10"/>
  <c r="E313" i="10"/>
  <c r="H312" i="10"/>
  <c r="G312" i="10"/>
  <c r="F312" i="10"/>
  <c r="E312" i="10"/>
  <c r="H311" i="10"/>
  <c r="G311" i="10"/>
  <c r="F311" i="10"/>
  <c r="E311" i="10"/>
  <c r="H310" i="10"/>
  <c r="G310" i="10"/>
  <c r="F310" i="10"/>
  <c r="E310" i="10"/>
  <c r="DP310" i="10" s="1"/>
  <c r="H309" i="10"/>
  <c r="G309" i="10"/>
  <c r="F309" i="10"/>
  <c r="DV309" i="10" s="1"/>
  <c r="E309" i="10"/>
  <c r="H308" i="10"/>
  <c r="G308" i="10"/>
  <c r="F308" i="10"/>
  <c r="E308" i="10"/>
  <c r="H307" i="10"/>
  <c r="G307" i="10"/>
  <c r="F307" i="10"/>
  <c r="E307" i="10"/>
  <c r="H306" i="10"/>
  <c r="G306" i="10"/>
  <c r="F306" i="10"/>
  <c r="E306" i="10"/>
  <c r="H305" i="10"/>
  <c r="G305" i="10"/>
  <c r="F305" i="10"/>
  <c r="E305" i="10"/>
  <c r="H304" i="10"/>
  <c r="G304" i="10"/>
  <c r="F304" i="10"/>
  <c r="E304" i="10"/>
  <c r="DP304" i="10" s="1"/>
  <c r="H303" i="10"/>
  <c r="G303" i="10"/>
  <c r="F303" i="10"/>
  <c r="I303" i="10" s="1"/>
  <c r="E303" i="10"/>
  <c r="H302" i="10"/>
  <c r="G302" i="10"/>
  <c r="F302" i="10"/>
  <c r="E302" i="10"/>
  <c r="H301" i="10"/>
  <c r="G301" i="10"/>
  <c r="F301" i="10"/>
  <c r="E301" i="10"/>
  <c r="H300" i="10"/>
  <c r="G300" i="10"/>
  <c r="F300" i="10"/>
  <c r="E300" i="10"/>
  <c r="DP300" i="10" s="1"/>
  <c r="H299" i="10"/>
  <c r="G299" i="10"/>
  <c r="F299" i="10"/>
  <c r="E299" i="10"/>
  <c r="H298" i="10"/>
  <c r="G298" i="10"/>
  <c r="F298" i="10"/>
  <c r="DV298" i="10" s="1"/>
  <c r="E298" i="10"/>
  <c r="H297" i="10"/>
  <c r="G297" i="10"/>
  <c r="F297" i="10"/>
  <c r="E297" i="10"/>
  <c r="H296" i="10"/>
  <c r="G296" i="10"/>
  <c r="F296" i="10"/>
  <c r="E296" i="10"/>
  <c r="H295" i="10"/>
  <c r="G295" i="10"/>
  <c r="F295" i="10"/>
  <c r="E295" i="10"/>
  <c r="H294" i="10"/>
  <c r="G294" i="10"/>
  <c r="F294" i="10"/>
  <c r="E294" i="10"/>
  <c r="H293" i="10"/>
  <c r="G293" i="10"/>
  <c r="F293" i="10"/>
  <c r="E293" i="10"/>
  <c r="DP293" i="10" s="1"/>
  <c r="H292" i="10"/>
  <c r="G292" i="10"/>
  <c r="F292" i="10"/>
  <c r="DV292" i="10" s="1"/>
  <c r="E292" i="10"/>
  <c r="H291" i="10"/>
  <c r="G291" i="10"/>
  <c r="F291" i="10"/>
  <c r="E291" i="10"/>
  <c r="H290" i="10"/>
  <c r="G290" i="10"/>
  <c r="F290" i="10"/>
  <c r="E290" i="10"/>
  <c r="H289" i="10"/>
  <c r="G289" i="10"/>
  <c r="F289" i="10"/>
  <c r="E289" i="10"/>
  <c r="H288" i="10"/>
  <c r="G288" i="10"/>
  <c r="F288" i="10"/>
  <c r="E288" i="10"/>
  <c r="H287" i="10"/>
  <c r="G287" i="10"/>
  <c r="F287" i="10"/>
  <c r="E287" i="10"/>
  <c r="H286" i="10"/>
  <c r="G286" i="10"/>
  <c r="F286" i="10"/>
  <c r="E286" i="10"/>
  <c r="H285" i="10"/>
  <c r="G285" i="10"/>
  <c r="F285" i="10"/>
  <c r="E285" i="10"/>
  <c r="H284" i="10"/>
  <c r="G284" i="10"/>
  <c r="F284" i="10"/>
  <c r="E284" i="10"/>
  <c r="H283" i="10"/>
  <c r="G283" i="10"/>
  <c r="F283" i="10"/>
  <c r="E283" i="10"/>
  <c r="H282" i="10"/>
  <c r="G282" i="10"/>
  <c r="F282" i="10"/>
  <c r="E282" i="10"/>
  <c r="DP282" i="10" s="1"/>
  <c r="H281" i="10"/>
  <c r="G281" i="10"/>
  <c r="F281" i="10"/>
  <c r="DV281" i="10" s="1"/>
  <c r="E281" i="10"/>
  <c r="H280" i="10"/>
  <c r="G280" i="10"/>
  <c r="F280" i="10"/>
  <c r="E280" i="10"/>
  <c r="H279" i="10"/>
  <c r="G279" i="10"/>
  <c r="F279" i="10"/>
  <c r="E279" i="10"/>
  <c r="H278" i="10"/>
  <c r="G278" i="10"/>
  <c r="F278" i="10"/>
  <c r="E278" i="10"/>
  <c r="H277" i="10"/>
  <c r="G277" i="10"/>
  <c r="F277" i="10"/>
  <c r="E277" i="10"/>
  <c r="DP277" i="10" s="1"/>
  <c r="H276" i="10"/>
  <c r="G276" i="10"/>
  <c r="F276" i="10"/>
  <c r="E276" i="10"/>
  <c r="H275" i="10"/>
  <c r="G275" i="10"/>
  <c r="F275" i="10"/>
  <c r="E275" i="10"/>
  <c r="H274" i="10"/>
  <c r="G274" i="10"/>
  <c r="F274" i="10"/>
  <c r="E274" i="10"/>
  <c r="H273" i="10"/>
  <c r="G273" i="10"/>
  <c r="F273" i="10"/>
  <c r="E273" i="10"/>
  <c r="H272" i="10"/>
  <c r="G272" i="10"/>
  <c r="F272" i="10"/>
  <c r="E272" i="10"/>
  <c r="H271" i="10"/>
  <c r="G271" i="10"/>
  <c r="F271" i="10"/>
  <c r="E271" i="10"/>
  <c r="DP271" i="10" s="1"/>
  <c r="H270" i="10"/>
  <c r="G270" i="10"/>
  <c r="F270" i="10"/>
  <c r="E270" i="10"/>
  <c r="H269" i="10"/>
  <c r="G269" i="10"/>
  <c r="F269" i="10"/>
  <c r="E269" i="10"/>
  <c r="H268" i="10"/>
  <c r="G268" i="10"/>
  <c r="F268" i="10"/>
  <c r="E268" i="10"/>
  <c r="H267" i="10"/>
  <c r="G267" i="10"/>
  <c r="F267" i="10"/>
  <c r="E267" i="10"/>
  <c r="H266" i="10"/>
  <c r="G266" i="10"/>
  <c r="F266" i="10"/>
  <c r="E266" i="10"/>
  <c r="DP266" i="10" s="1"/>
  <c r="H265" i="10"/>
  <c r="G265" i="10"/>
  <c r="F265" i="10"/>
  <c r="DV265" i="10" s="1"/>
  <c r="E265" i="10"/>
  <c r="H264" i="10"/>
  <c r="G264" i="10"/>
  <c r="F264" i="10"/>
  <c r="E264" i="10"/>
  <c r="H263" i="10"/>
  <c r="G263" i="10"/>
  <c r="F263" i="10"/>
  <c r="E263" i="10"/>
  <c r="H262" i="10"/>
  <c r="G262" i="10"/>
  <c r="F262" i="10"/>
  <c r="E262" i="10"/>
  <c r="H261" i="10"/>
  <c r="G261" i="10"/>
  <c r="F261" i="10"/>
  <c r="E261" i="10"/>
  <c r="H260" i="10"/>
  <c r="G260" i="10"/>
  <c r="F260" i="10"/>
  <c r="E260" i="10"/>
  <c r="H259" i="10"/>
  <c r="G259" i="10"/>
  <c r="F259" i="10"/>
  <c r="E259" i="10"/>
  <c r="H258" i="10"/>
  <c r="G258" i="10"/>
  <c r="F258" i="10"/>
  <c r="I258" i="10" s="1"/>
  <c r="E258" i="10"/>
  <c r="H257" i="10"/>
  <c r="G257" i="10"/>
  <c r="F257" i="10"/>
  <c r="E257" i="10"/>
  <c r="H256" i="10"/>
  <c r="G256" i="10"/>
  <c r="F256" i="10"/>
  <c r="E256" i="10"/>
  <c r="H255" i="10"/>
  <c r="G255" i="10"/>
  <c r="F255" i="10"/>
  <c r="E255" i="10"/>
  <c r="H254" i="10"/>
  <c r="G254" i="10"/>
  <c r="F254" i="10"/>
  <c r="DV254" i="10" s="1"/>
  <c r="E254" i="10"/>
  <c r="H253" i="10"/>
  <c r="G253" i="10"/>
  <c r="F253" i="10"/>
  <c r="E253" i="10"/>
  <c r="H252" i="10"/>
  <c r="G252" i="10"/>
  <c r="F252" i="10"/>
  <c r="E252" i="10"/>
  <c r="H251" i="10"/>
  <c r="G251" i="10"/>
  <c r="F251" i="10"/>
  <c r="E251" i="10"/>
  <c r="H250" i="10"/>
  <c r="G250" i="10"/>
  <c r="F250" i="10"/>
  <c r="E250" i="10"/>
  <c r="H249" i="10"/>
  <c r="G249" i="10"/>
  <c r="F249" i="10"/>
  <c r="E249" i="10"/>
  <c r="H248" i="10"/>
  <c r="G248" i="10"/>
  <c r="F248" i="10"/>
  <c r="DV248" i="10" s="1"/>
  <c r="E248" i="10"/>
  <c r="H247" i="10"/>
  <c r="G247" i="10"/>
  <c r="F247" i="10"/>
  <c r="E247" i="10"/>
  <c r="H246" i="10"/>
  <c r="G246" i="10"/>
  <c r="F246" i="10"/>
  <c r="E246" i="10"/>
  <c r="H245" i="10"/>
  <c r="G245" i="10"/>
  <c r="F245" i="10"/>
  <c r="E245" i="10"/>
  <c r="H244" i="10"/>
  <c r="G244" i="10"/>
  <c r="F244" i="10"/>
  <c r="E244" i="10"/>
  <c r="DP244" i="10" s="1"/>
  <c r="H243" i="10"/>
  <c r="G243" i="10"/>
  <c r="F243" i="10"/>
  <c r="DV243" i="10" s="1"/>
  <c r="E243" i="10"/>
  <c r="H242" i="10"/>
  <c r="G242" i="10"/>
  <c r="F242" i="10"/>
  <c r="E242" i="10"/>
  <c r="H241" i="10"/>
  <c r="G241" i="10"/>
  <c r="F241" i="10"/>
  <c r="E241" i="10"/>
  <c r="H240" i="10"/>
  <c r="G240" i="10"/>
  <c r="F240" i="10"/>
  <c r="E240" i="10"/>
  <c r="H239" i="10"/>
  <c r="G239" i="10"/>
  <c r="F239" i="10"/>
  <c r="E239" i="10"/>
  <c r="H238" i="10"/>
  <c r="G238" i="10"/>
  <c r="F238" i="10"/>
  <c r="E238" i="10"/>
  <c r="H237" i="10"/>
  <c r="G237" i="10"/>
  <c r="F237" i="10"/>
  <c r="E237" i="10"/>
  <c r="H236" i="10"/>
  <c r="G236" i="10"/>
  <c r="F236" i="10"/>
  <c r="I236" i="10" s="1"/>
  <c r="E236" i="10"/>
  <c r="H235" i="10"/>
  <c r="G235" i="10"/>
  <c r="F235" i="10"/>
  <c r="E235" i="10"/>
  <c r="H234" i="10"/>
  <c r="G234" i="10"/>
  <c r="F234" i="10"/>
  <c r="E234" i="10"/>
  <c r="H233" i="10"/>
  <c r="G233" i="10"/>
  <c r="F233" i="10"/>
  <c r="E233" i="10"/>
  <c r="DP233" i="10" s="1"/>
  <c r="H232" i="10"/>
  <c r="G232" i="10"/>
  <c r="F232" i="10"/>
  <c r="DV232" i="10" s="1"/>
  <c r="E232" i="10"/>
  <c r="H231" i="10"/>
  <c r="G231" i="10"/>
  <c r="F231" i="10"/>
  <c r="E231" i="10"/>
  <c r="H230" i="10"/>
  <c r="G230" i="10"/>
  <c r="F230" i="10"/>
  <c r="E230" i="10"/>
  <c r="H229" i="10"/>
  <c r="G229" i="10"/>
  <c r="F229" i="10"/>
  <c r="E229" i="10"/>
  <c r="H228" i="10"/>
  <c r="G228" i="10"/>
  <c r="F228" i="10"/>
  <c r="E228" i="10"/>
  <c r="H227" i="10"/>
  <c r="G227" i="10"/>
  <c r="F227" i="10"/>
  <c r="E227" i="10"/>
  <c r="DP227" i="10" s="1"/>
  <c r="H226" i="10"/>
  <c r="G226" i="10"/>
  <c r="F226" i="10"/>
  <c r="E226" i="10"/>
  <c r="H225" i="10"/>
  <c r="G225" i="10"/>
  <c r="F225" i="10"/>
  <c r="E225" i="10"/>
  <c r="H224" i="10"/>
  <c r="I224" i="10" s="1"/>
  <c r="G224" i="10"/>
  <c r="F224" i="10"/>
  <c r="E224" i="10"/>
  <c r="H223" i="10"/>
  <c r="G223" i="10"/>
  <c r="F223" i="10"/>
  <c r="E223" i="10"/>
  <c r="H222" i="10"/>
  <c r="G222" i="10"/>
  <c r="F222" i="10"/>
  <c r="E222" i="10"/>
  <c r="DP222" i="10" s="1"/>
  <c r="H221" i="10"/>
  <c r="G221" i="10"/>
  <c r="F221" i="10"/>
  <c r="DV221" i="10" s="1"/>
  <c r="E221" i="10"/>
  <c r="DP221" i="10" s="1"/>
  <c r="H220" i="10"/>
  <c r="G220" i="10"/>
  <c r="F220" i="10"/>
  <c r="E220" i="10"/>
  <c r="H219" i="10"/>
  <c r="G219" i="10"/>
  <c r="F219" i="10"/>
  <c r="E219" i="10"/>
  <c r="H218" i="10"/>
  <c r="G218" i="10"/>
  <c r="F218" i="10"/>
  <c r="E218" i="10"/>
  <c r="H217" i="10"/>
  <c r="G217" i="10"/>
  <c r="F217" i="10"/>
  <c r="E217" i="10"/>
  <c r="H216" i="10"/>
  <c r="G216" i="10"/>
  <c r="F216" i="10"/>
  <c r="E216" i="10"/>
  <c r="DP216" i="10" s="1"/>
  <c r="H215" i="10"/>
  <c r="G215" i="10"/>
  <c r="F215" i="10"/>
  <c r="E215" i="10"/>
  <c r="H214" i="10"/>
  <c r="G214" i="10"/>
  <c r="F214" i="10"/>
  <c r="E214" i="10"/>
  <c r="H213" i="10"/>
  <c r="G213" i="10"/>
  <c r="F213" i="10"/>
  <c r="E213" i="10"/>
  <c r="H212" i="10"/>
  <c r="G212" i="10"/>
  <c r="F212" i="10"/>
  <c r="E212" i="10"/>
  <c r="H211" i="10"/>
  <c r="G211" i="10"/>
  <c r="F211" i="10"/>
  <c r="E211" i="10"/>
  <c r="DP211" i="10" s="1"/>
  <c r="H210" i="10"/>
  <c r="G210" i="10"/>
  <c r="F210" i="10"/>
  <c r="E210" i="10"/>
  <c r="H209" i="10"/>
  <c r="I209" i="10" s="1"/>
  <c r="G209" i="10"/>
  <c r="F209" i="10"/>
  <c r="E209" i="10"/>
  <c r="H208" i="10"/>
  <c r="G208" i="10"/>
  <c r="F208" i="10"/>
  <c r="E208" i="10"/>
  <c r="H207" i="10"/>
  <c r="G207" i="10"/>
  <c r="F207" i="10"/>
  <c r="E207" i="10"/>
  <c r="H206" i="10"/>
  <c r="G206" i="10"/>
  <c r="F206" i="10"/>
  <c r="E206" i="10"/>
  <c r="H205" i="10"/>
  <c r="G205" i="10"/>
  <c r="F205" i="10"/>
  <c r="E205" i="10"/>
  <c r="DP205" i="10" s="1"/>
  <c r="H204" i="10"/>
  <c r="G204" i="10"/>
  <c r="F204" i="10"/>
  <c r="DV204" i="10" s="1"/>
  <c r="E204" i="10"/>
  <c r="H203" i="10"/>
  <c r="G203" i="10"/>
  <c r="F203" i="10"/>
  <c r="E203" i="10"/>
  <c r="H202" i="10"/>
  <c r="G202" i="10"/>
  <c r="F202" i="10"/>
  <c r="E202" i="10"/>
  <c r="H201" i="10"/>
  <c r="G201" i="10"/>
  <c r="F201" i="10"/>
  <c r="E201" i="10"/>
  <c r="H200" i="10"/>
  <c r="G200" i="10"/>
  <c r="F200" i="10"/>
  <c r="E200" i="10"/>
  <c r="DP200" i="10" s="1"/>
  <c r="H199" i="10"/>
  <c r="G199" i="10"/>
  <c r="F199" i="10"/>
  <c r="DV199" i="10" s="1"/>
  <c r="E199" i="10"/>
  <c r="H198" i="10"/>
  <c r="G198" i="10"/>
  <c r="F198" i="10"/>
  <c r="E198" i="10"/>
  <c r="H197" i="10"/>
  <c r="G197" i="10"/>
  <c r="F197" i="10"/>
  <c r="E197" i="10"/>
  <c r="H196" i="10"/>
  <c r="G196" i="10"/>
  <c r="F196" i="10"/>
  <c r="E196" i="10"/>
  <c r="H195" i="10"/>
  <c r="G195" i="10"/>
  <c r="F195" i="10"/>
  <c r="E195" i="10"/>
  <c r="H194" i="10"/>
  <c r="G194" i="10"/>
  <c r="F194" i="10"/>
  <c r="E194" i="10"/>
  <c r="DP194" i="10" s="1"/>
  <c r="H193" i="10"/>
  <c r="G193" i="10"/>
  <c r="F193" i="10"/>
  <c r="DV193" i="10" s="1"/>
  <c r="E193" i="10"/>
  <c r="H192" i="10"/>
  <c r="G192" i="10"/>
  <c r="F192" i="10"/>
  <c r="E192" i="10"/>
  <c r="H191" i="10"/>
  <c r="G191" i="10"/>
  <c r="F191" i="10"/>
  <c r="E191" i="10"/>
  <c r="H190" i="10"/>
  <c r="G190" i="10"/>
  <c r="F190" i="10"/>
  <c r="E190" i="10"/>
  <c r="H189" i="10"/>
  <c r="G189" i="10"/>
  <c r="F189" i="10"/>
  <c r="E189" i="10"/>
  <c r="DP189" i="10" s="1"/>
  <c r="H188" i="10"/>
  <c r="G188" i="10"/>
  <c r="F188" i="10"/>
  <c r="DV188" i="10" s="1"/>
  <c r="E188" i="10"/>
  <c r="H187" i="10"/>
  <c r="I187" i="10" s="1"/>
  <c r="G187" i="10"/>
  <c r="F187" i="10"/>
  <c r="E187" i="10"/>
  <c r="H186" i="10"/>
  <c r="G186" i="10"/>
  <c r="F186" i="10"/>
  <c r="E186" i="10"/>
  <c r="H185" i="10"/>
  <c r="G185" i="10"/>
  <c r="F185" i="10"/>
  <c r="E185" i="10"/>
  <c r="H184" i="10"/>
  <c r="G184" i="10"/>
  <c r="F184" i="10"/>
  <c r="E184" i="10"/>
  <c r="H183" i="10"/>
  <c r="G183" i="10"/>
  <c r="F183" i="10"/>
  <c r="E183" i="10"/>
  <c r="DP183" i="10" s="1"/>
  <c r="H182" i="10"/>
  <c r="G182" i="10"/>
  <c r="F182" i="10"/>
  <c r="DV182" i="10" s="1"/>
  <c r="E182" i="10"/>
  <c r="H181" i="10"/>
  <c r="G181" i="10"/>
  <c r="F181" i="10"/>
  <c r="E181" i="10"/>
  <c r="H180" i="10"/>
  <c r="G180" i="10"/>
  <c r="F180" i="10"/>
  <c r="E180" i="10"/>
  <c r="H179" i="10"/>
  <c r="G179" i="10"/>
  <c r="F179" i="10"/>
  <c r="E179" i="10"/>
  <c r="H178" i="10"/>
  <c r="G178" i="10"/>
  <c r="F178" i="10"/>
  <c r="E178" i="10"/>
  <c r="H177" i="10"/>
  <c r="G177" i="10"/>
  <c r="F177" i="10"/>
  <c r="DV177" i="10" s="1"/>
  <c r="E177" i="10"/>
  <c r="H176" i="10"/>
  <c r="G176" i="10"/>
  <c r="F176" i="10"/>
  <c r="E176" i="10"/>
  <c r="H175" i="10"/>
  <c r="G175" i="10"/>
  <c r="F175" i="10"/>
  <c r="E175" i="10"/>
  <c r="H174" i="10"/>
  <c r="G174" i="10"/>
  <c r="F174" i="10"/>
  <c r="E174" i="10"/>
  <c r="H173" i="10"/>
  <c r="G173" i="10"/>
  <c r="F173" i="10"/>
  <c r="E173" i="10"/>
  <c r="H172" i="10"/>
  <c r="G172" i="10"/>
  <c r="F172" i="10"/>
  <c r="E172" i="10"/>
  <c r="H171" i="10"/>
  <c r="G171" i="10"/>
  <c r="F171" i="10"/>
  <c r="E171" i="10"/>
  <c r="H170" i="10"/>
  <c r="G170" i="10"/>
  <c r="F170" i="10"/>
  <c r="I170" i="10" s="1"/>
  <c r="E170" i="10"/>
  <c r="H169" i="10"/>
  <c r="G169" i="10"/>
  <c r="F169" i="10"/>
  <c r="E169" i="10"/>
  <c r="H168" i="10"/>
  <c r="G168" i="10"/>
  <c r="F168" i="10"/>
  <c r="E168" i="10"/>
  <c r="H167" i="10"/>
  <c r="G167" i="10"/>
  <c r="F167" i="10"/>
  <c r="E167" i="10"/>
  <c r="DP167" i="10" s="1"/>
  <c r="H166" i="10"/>
  <c r="G166" i="10"/>
  <c r="F166" i="10"/>
  <c r="DV166" i="10" s="1"/>
  <c r="E166" i="10"/>
  <c r="DP166" i="10" s="1"/>
  <c r="H165" i="10"/>
  <c r="G165" i="10"/>
  <c r="F165" i="10"/>
  <c r="E165" i="10"/>
  <c r="H164" i="10"/>
  <c r="G164" i="10"/>
  <c r="F164" i="10"/>
  <c r="E164" i="10"/>
  <c r="H163" i="10"/>
  <c r="G163" i="10"/>
  <c r="F163" i="10"/>
  <c r="E163" i="10"/>
  <c r="H162" i="10"/>
  <c r="G162" i="10"/>
  <c r="F162" i="10"/>
  <c r="E162" i="10"/>
  <c r="H161" i="10"/>
  <c r="G161" i="10"/>
  <c r="F161" i="10"/>
  <c r="E161" i="10"/>
  <c r="DP161" i="10" s="1"/>
  <c r="H160" i="10"/>
  <c r="G160" i="10"/>
  <c r="F160" i="10"/>
  <c r="DV160" i="10" s="1"/>
  <c r="E160" i="10"/>
  <c r="H159" i="10"/>
  <c r="G159" i="10"/>
  <c r="F159" i="10"/>
  <c r="E159" i="10"/>
  <c r="H158" i="10"/>
  <c r="G158" i="10"/>
  <c r="F158" i="10"/>
  <c r="E158" i="10"/>
  <c r="H157" i="10"/>
  <c r="G157" i="10"/>
  <c r="F157" i="10"/>
  <c r="E157" i="10"/>
  <c r="H156" i="10"/>
  <c r="G156" i="10"/>
  <c r="F156" i="10"/>
  <c r="E156" i="10"/>
  <c r="DP156" i="10" s="1"/>
  <c r="H155" i="10"/>
  <c r="G155" i="10"/>
  <c r="F155" i="10"/>
  <c r="E155" i="10"/>
  <c r="H154" i="10"/>
  <c r="G154" i="10"/>
  <c r="F154" i="10"/>
  <c r="E154" i="10"/>
  <c r="H153" i="10"/>
  <c r="G153" i="10"/>
  <c r="F153" i="10"/>
  <c r="E153" i="10"/>
  <c r="H152" i="10"/>
  <c r="G152" i="10"/>
  <c r="F152" i="10"/>
  <c r="E152" i="10"/>
  <c r="H151" i="10"/>
  <c r="G151" i="10"/>
  <c r="F151" i="10"/>
  <c r="E151" i="10"/>
  <c r="H150" i="10"/>
  <c r="G150" i="10"/>
  <c r="F150" i="10"/>
  <c r="E150" i="10"/>
  <c r="DP150" i="10" s="1"/>
  <c r="H149" i="10"/>
  <c r="G149" i="10"/>
  <c r="F149" i="10"/>
  <c r="DV149" i="10" s="1"/>
  <c r="E149" i="10"/>
  <c r="H148" i="10"/>
  <c r="G148" i="10"/>
  <c r="F148" i="10"/>
  <c r="E148" i="10"/>
  <c r="H147" i="10"/>
  <c r="G147" i="10"/>
  <c r="F147" i="10"/>
  <c r="E147" i="10"/>
  <c r="H146" i="10"/>
  <c r="G146" i="10"/>
  <c r="F146" i="10"/>
  <c r="E146" i="10"/>
  <c r="H145" i="10"/>
  <c r="G145" i="10"/>
  <c r="F145" i="10"/>
  <c r="E145" i="10"/>
  <c r="DP145" i="10" s="1"/>
  <c r="H144" i="10"/>
  <c r="G144" i="10"/>
  <c r="F144" i="10"/>
  <c r="DV144" i="10" s="1"/>
  <c r="E144" i="10"/>
  <c r="DP144" i="10" s="1"/>
  <c r="H143" i="10"/>
  <c r="G143" i="10"/>
  <c r="F143" i="10"/>
  <c r="E143" i="10"/>
  <c r="DP143" i="10" s="1"/>
  <c r="H142" i="10"/>
  <c r="G142" i="10"/>
  <c r="F142" i="10"/>
  <c r="E142" i="10"/>
  <c r="H141" i="10"/>
  <c r="G141" i="10"/>
  <c r="F141" i="10"/>
  <c r="DV141" i="10" s="1"/>
  <c r="E141" i="10"/>
  <c r="DP141" i="10" s="1"/>
  <c r="H140" i="10"/>
  <c r="G140" i="10"/>
  <c r="F140" i="10"/>
  <c r="E140" i="10"/>
  <c r="H139" i="10"/>
  <c r="G139" i="10"/>
  <c r="F139" i="10"/>
  <c r="DV139" i="10" s="1"/>
  <c r="E139" i="10"/>
  <c r="DP139" i="10" s="1"/>
  <c r="H138" i="10"/>
  <c r="G138" i="10"/>
  <c r="F138" i="10"/>
  <c r="DV138" i="10" s="1"/>
  <c r="E138" i="10"/>
  <c r="H137" i="10"/>
  <c r="G137" i="10"/>
  <c r="F137" i="10"/>
  <c r="DV137" i="10" s="1"/>
  <c r="E137" i="10"/>
  <c r="H136" i="10"/>
  <c r="G136" i="10"/>
  <c r="F136" i="10"/>
  <c r="E136" i="10"/>
  <c r="H135" i="10"/>
  <c r="G135" i="10"/>
  <c r="F135" i="10"/>
  <c r="DV135" i="10" s="1"/>
  <c r="E135" i="10"/>
  <c r="H134" i="10"/>
  <c r="G134" i="10"/>
  <c r="F134" i="10"/>
  <c r="E134" i="10"/>
  <c r="H133" i="10"/>
  <c r="G133" i="10"/>
  <c r="F133" i="10"/>
  <c r="DV133" i="10" s="1"/>
  <c r="E133" i="10"/>
  <c r="H132" i="10"/>
  <c r="G132" i="10"/>
  <c r="F132" i="10"/>
  <c r="DV132" i="10" s="1"/>
  <c r="E132" i="10"/>
  <c r="H131" i="10"/>
  <c r="G131" i="10"/>
  <c r="F131" i="10"/>
  <c r="DV131" i="10" s="1"/>
  <c r="E131" i="10"/>
  <c r="H130" i="10"/>
  <c r="G130" i="10"/>
  <c r="F130" i="10"/>
  <c r="DV130" i="10" s="1"/>
  <c r="E130" i="10"/>
  <c r="DP130" i="10" s="1"/>
  <c r="H129" i="10"/>
  <c r="G129" i="10"/>
  <c r="F129" i="10"/>
  <c r="E129" i="10"/>
  <c r="H128" i="10"/>
  <c r="G128" i="10"/>
  <c r="F128" i="10"/>
  <c r="DV128" i="10" s="1"/>
  <c r="E128" i="10"/>
  <c r="I128" i="10" s="1"/>
  <c r="H127" i="10"/>
  <c r="DQ127" i="10" s="1"/>
  <c r="G127" i="10"/>
  <c r="F127" i="10"/>
  <c r="DV127" i="10" s="1"/>
  <c r="E127" i="10"/>
  <c r="H126" i="10"/>
  <c r="G126" i="10"/>
  <c r="F126" i="10"/>
  <c r="E126" i="10"/>
  <c r="H125" i="10"/>
  <c r="G125" i="10"/>
  <c r="F125" i="10"/>
  <c r="E125" i="10"/>
  <c r="H124" i="10"/>
  <c r="DQ124" i="10" s="1"/>
  <c r="G124" i="10"/>
  <c r="F124" i="10"/>
  <c r="DV124" i="10" s="1"/>
  <c r="E124" i="10"/>
  <c r="DP124" i="10" s="1"/>
  <c r="H123" i="10"/>
  <c r="G123" i="10"/>
  <c r="F123" i="10"/>
  <c r="DV123" i="10" s="1"/>
  <c r="E123" i="10"/>
  <c r="DP123" i="10" s="1"/>
  <c r="H122" i="10"/>
  <c r="G122" i="10"/>
  <c r="F122" i="10"/>
  <c r="DV122" i="10" s="1"/>
  <c r="E122" i="10"/>
  <c r="DP122" i="10" s="1"/>
  <c r="H121" i="10"/>
  <c r="G121" i="10"/>
  <c r="F121" i="10"/>
  <c r="E121" i="10"/>
  <c r="H120" i="10"/>
  <c r="G120" i="10"/>
  <c r="F120" i="10"/>
  <c r="E120" i="10"/>
  <c r="H119" i="10"/>
  <c r="G119" i="10"/>
  <c r="F119" i="10"/>
  <c r="DV119" i="10" s="1"/>
  <c r="E119" i="10"/>
  <c r="DP119" i="10" s="1"/>
  <c r="H118" i="10"/>
  <c r="DQ118" i="10" s="1"/>
  <c r="G118" i="10"/>
  <c r="F118" i="10"/>
  <c r="DV118" i="10" s="1"/>
  <c r="E118" i="10"/>
  <c r="DP118" i="10" s="1"/>
  <c r="H117" i="10"/>
  <c r="G117" i="10"/>
  <c r="F117" i="10"/>
  <c r="DV117" i="10" s="1"/>
  <c r="E117" i="10"/>
  <c r="DP117" i="10" s="1"/>
  <c r="H116" i="10"/>
  <c r="G116" i="10"/>
  <c r="F116" i="10"/>
  <c r="DV116" i="10" s="1"/>
  <c r="E116" i="10"/>
  <c r="H115" i="10"/>
  <c r="G115" i="10"/>
  <c r="F115" i="10"/>
  <c r="DV115" i="10" s="1"/>
  <c r="E115" i="10"/>
  <c r="H114" i="10"/>
  <c r="G114" i="10"/>
  <c r="F114" i="10"/>
  <c r="E114" i="10"/>
  <c r="H113" i="10"/>
  <c r="DQ113" i="10" s="1"/>
  <c r="G113" i="10"/>
  <c r="F113" i="10"/>
  <c r="DV113" i="10" s="1"/>
  <c r="E113" i="10"/>
  <c r="DP113" i="10" s="1"/>
  <c r="H112" i="10"/>
  <c r="G112" i="10"/>
  <c r="F112" i="10"/>
  <c r="E112" i="10"/>
  <c r="DP112" i="10" s="1"/>
  <c r="H111" i="10"/>
  <c r="G111" i="10"/>
  <c r="F111" i="10"/>
  <c r="DV111" i="10" s="1"/>
  <c r="E111" i="10"/>
  <c r="DP111" i="10" s="1"/>
  <c r="H110" i="10"/>
  <c r="G110" i="10"/>
  <c r="F110" i="10"/>
  <c r="DV110" i="10" s="1"/>
  <c r="E110" i="10"/>
  <c r="DP110" i="10" s="1"/>
  <c r="H109" i="10"/>
  <c r="G109" i="10"/>
  <c r="F109" i="10"/>
  <c r="E109" i="10"/>
  <c r="H108" i="10"/>
  <c r="G108" i="10"/>
  <c r="F108" i="10"/>
  <c r="E108" i="10"/>
  <c r="DP108" i="10" s="1"/>
  <c r="H107" i="10"/>
  <c r="G107" i="10"/>
  <c r="F107" i="10"/>
  <c r="E107" i="10"/>
  <c r="DP107" i="10" s="1"/>
  <c r="H106" i="10"/>
  <c r="G106" i="10"/>
  <c r="F106" i="10"/>
  <c r="E106" i="10"/>
  <c r="H105" i="10"/>
  <c r="G105" i="10"/>
  <c r="F105" i="10"/>
  <c r="E105" i="10"/>
  <c r="H104" i="10"/>
  <c r="G104" i="10"/>
  <c r="F104" i="10"/>
  <c r="DV104" i="10" s="1"/>
  <c r="E104" i="10"/>
  <c r="H103" i="10"/>
  <c r="DQ103" i="10" s="1"/>
  <c r="G103" i="10"/>
  <c r="F103" i="10"/>
  <c r="E103" i="10"/>
  <c r="H102" i="10"/>
  <c r="DQ102" i="10" s="1"/>
  <c r="G102" i="10"/>
  <c r="F102" i="10"/>
  <c r="DV102" i="10" s="1"/>
  <c r="E102" i="10"/>
  <c r="DP102" i="10" s="1"/>
  <c r="H101" i="10"/>
  <c r="G101" i="10"/>
  <c r="F101" i="10"/>
  <c r="E101" i="10"/>
  <c r="I101" i="10" s="1"/>
  <c r="H100" i="10"/>
  <c r="G100" i="10"/>
  <c r="F100" i="10"/>
  <c r="DV100" i="10" s="1"/>
  <c r="E100" i="10"/>
  <c r="DP100" i="10" s="1"/>
  <c r="H99" i="10"/>
  <c r="G99" i="10"/>
  <c r="F99" i="10"/>
  <c r="E99" i="10"/>
  <c r="H98" i="10"/>
  <c r="G98" i="10"/>
  <c r="F98" i="10"/>
  <c r="DV98" i="10" s="1"/>
  <c r="E98" i="10"/>
  <c r="H97" i="10"/>
  <c r="G97" i="10"/>
  <c r="F97" i="10"/>
  <c r="DV97" i="10" s="1"/>
  <c r="E97" i="10"/>
  <c r="H96" i="10"/>
  <c r="G96" i="10"/>
  <c r="F96" i="10"/>
  <c r="DV96" i="10" s="1"/>
  <c r="E96" i="10"/>
  <c r="H95" i="10"/>
  <c r="G95" i="10"/>
  <c r="F95" i="10"/>
  <c r="DV95" i="10" s="1"/>
  <c r="E95" i="10"/>
  <c r="DP95" i="10" s="1"/>
  <c r="H94" i="10"/>
  <c r="G94" i="10"/>
  <c r="F94" i="10"/>
  <c r="DV94" i="10" s="1"/>
  <c r="E94" i="10"/>
  <c r="H93" i="10"/>
  <c r="G93" i="10"/>
  <c r="F93" i="10"/>
  <c r="DV93" i="10" s="1"/>
  <c r="E93" i="10"/>
  <c r="H92" i="10"/>
  <c r="G92" i="10"/>
  <c r="F92" i="10"/>
  <c r="E92" i="10"/>
  <c r="H91" i="10"/>
  <c r="DQ91" i="10" s="1"/>
  <c r="G91" i="10"/>
  <c r="F91" i="10"/>
  <c r="DV91" i="10" s="1"/>
  <c r="E91" i="10"/>
  <c r="H90" i="10"/>
  <c r="G90" i="10"/>
  <c r="F90" i="10"/>
  <c r="E90" i="10"/>
  <c r="DP90" i="10" s="1"/>
  <c r="H89" i="10"/>
  <c r="DQ89" i="10" s="1"/>
  <c r="G89" i="10"/>
  <c r="DU89" i="10" s="1"/>
  <c r="F89" i="10"/>
  <c r="DV89" i="10" s="1"/>
  <c r="E89" i="10"/>
  <c r="DP89" i="10" s="1"/>
  <c r="H88" i="10"/>
  <c r="DQ88" i="10" s="1"/>
  <c r="G88" i="10"/>
  <c r="F88" i="10"/>
  <c r="E88" i="10"/>
  <c r="DP88" i="10" s="1"/>
  <c r="H87" i="10"/>
  <c r="G87" i="10"/>
  <c r="F87" i="10"/>
  <c r="E87" i="10"/>
  <c r="H86" i="10"/>
  <c r="G86" i="10"/>
  <c r="F86" i="10"/>
  <c r="E86" i="10"/>
  <c r="H85" i="10"/>
  <c r="G85" i="10"/>
  <c r="F85" i="10"/>
  <c r="E85" i="10"/>
  <c r="DP85" i="10" s="1"/>
  <c r="H84" i="10"/>
  <c r="G84" i="10"/>
  <c r="F84" i="10"/>
  <c r="DV84" i="10" s="1"/>
  <c r="E84" i="10"/>
  <c r="H83" i="10"/>
  <c r="DQ83" i="10" s="1"/>
  <c r="G83" i="10"/>
  <c r="F83" i="10"/>
  <c r="DV83" i="10" s="1"/>
  <c r="E83" i="10"/>
  <c r="H82" i="10"/>
  <c r="G82" i="10"/>
  <c r="F82" i="10"/>
  <c r="E82" i="10"/>
  <c r="H81" i="10"/>
  <c r="G81" i="10"/>
  <c r="F81" i="10"/>
  <c r="E81" i="10"/>
  <c r="H80" i="10"/>
  <c r="DQ80" i="10" s="1"/>
  <c r="G80" i="10"/>
  <c r="F80" i="10"/>
  <c r="DV80" i="10" s="1"/>
  <c r="E80" i="10"/>
  <c r="H79" i="10"/>
  <c r="DQ79" i="10" s="1"/>
  <c r="G79" i="10"/>
  <c r="F79" i="10"/>
  <c r="DV79" i="10" s="1"/>
  <c r="E79" i="10"/>
  <c r="H78" i="10"/>
  <c r="DQ78" i="10" s="1"/>
  <c r="G78" i="10"/>
  <c r="F78" i="10"/>
  <c r="DV78" i="10" s="1"/>
  <c r="E78" i="10"/>
  <c r="H77" i="10"/>
  <c r="G77" i="10"/>
  <c r="F77" i="10"/>
  <c r="E77" i="10"/>
  <c r="H76" i="10"/>
  <c r="G76" i="10"/>
  <c r="F76" i="10"/>
  <c r="E76" i="10"/>
  <c r="H75" i="10"/>
  <c r="G75" i="10"/>
  <c r="F75" i="10"/>
  <c r="DV75" i="10" s="1"/>
  <c r="E75" i="10"/>
  <c r="H74" i="10"/>
  <c r="DQ74" i="10" s="1"/>
  <c r="G74" i="10"/>
  <c r="DU74" i="10" s="1"/>
  <c r="F74" i="10"/>
  <c r="DV74" i="10" s="1"/>
  <c r="E74" i="10"/>
  <c r="DP74" i="10" s="1"/>
  <c r="H73" i="10"/>
  <c r="G73" i="10"/>
  <c r="F73" i="10"/>
  <c r="DV73" i="10" s="1"/>
  <c r="E73" i="10"/>
  <c r="H72" i="10"/>
  <c r="DQ72" i="10" s="1"/>
  <c r="G72" i="10"/>
  <c r="F72" i="10"/>
  <c r="E72" i="10"/>
  <c r="H71" i="10"/>
  <c r="DQ71" i="10" s="1"/>
  <c r="G71" i="10"/>
  <c r="F71" i="10"/>
  <c r="I71" i="10" s="1"/>
  <c r="E71" i="10"/>
  <c r="H70" i="10"/>
  <c r="DQ70" i="10" s="1"/>
  <c r="G70" i="10"/>
  <c r="F70" i="10"/>
  <c r="E70" i="10"/>
  <c r="H69" i="10"/>
  <c r="DQ69" i="10" s="1"/>
  <c r="G69" i="10"/>
  <c r="F69" i="10"/>
  <c r="E69" i="10"/>
  <c r="H68" i="10"/>
  <c r="G68" i="10"/>
  <c r="F68" i="10"/>
  <c r="E68" i="10"/>
  <c r="I68" i="10" s="1"/>
  <c r="H67" i="10"/>
  <c r="DQ67" i="10" s="1"/>
  <c r="G67" i="10"/>
  <c r="F67" i="10"/>
  <c r="DV67" i="10" s="1"/>
  <c r="E67" i="10"/>
  <c r="DP67" i="10" s="1"/>
  <c r="H66" i="10"/>
  <c r="DQ66" i="10" s="1"/>
  <c r="G66" i="10"/>
  <c r="F66" i="10"/>
  <c r="E66" i="10"/>
  <c r="DP66" i="10" s="1"/>
  <c r="H65" i="10"/>
  <c r="G65" i="10"/>
  <c r="F65" i="10"/>
  <c r="E65" i="10"/>
  <c r="H64" i="10"/>
  <c r="G64" i="10"/>
  <c r="F64" i="10"/>
  <c r="DV64" i="10" s="1"/>
  <c r="E64" i="10"/>
  <c r="H63" i="10"/>
  <c r="DQ63" i="10" s="1"/>
  <c r="G63" i="10"/>
  <c r="DU63" i="10" s="1"/>
  <c r="F63" i="10"/>
  <c r="E63" i="10"/>
  <c r="DP63" i="10" s="1"/>
  <c r="H62" i="10"/>
  <c r="DQ62" i="10" s="1"/>
  <c r="G62" i="10"/>
  <c r="F62" i="10"/>
  <c r="DV62" i="10" s="1"/>
  <c r="E62" i="10"/>
  <c r="DP62" i="10" s="1"/>
  <c r="H61" i="10"/>
  <c r="DQ61" i="10" s="1"/>
  <c r="G61" i="10"/>
  <c r="F61" i="10"/>
  <c r="DV61" i="10" s="1"/>
  <c r="E61" i="10"/>
  <c r="H60" i="10"/>
  <c r="G60" i="10"/>
  <c r="F60" i="10"/>
  <c r="E60" i="10"/>
  <c r="H59" i="10"/>
  <c r="G59" i="10"/>
  <c r="F59" i="10"/>
  <c r="E59" i="10"/>
  <c r="H58" i="10"/>
  <c r="DQ58" i="10" s="1"/>
  <c r="G58" i="10"/>
  <c r="F58" i="10"/>
  <c r="E58" i="10"/>
  <c r="DP58" i="10" s="1"/>
  <c r="H57" i="10"/>
  <c r="DQ57" i="10" s="1"/>
  <c r="G57" i="10"/>
  <c r="F57" i="10"/>
  <c r="E57" i="10"/>
  <c r="DP57" i="10" s="1"/>
  <c r="H56" i="10"/>
  <c r="DQ56" i="10" s="1"/>
  <c r="G56" i="10"/>
  <c r="F56" i="10"/>
  <c r="DV56" i="10" s="1"/>
  <c r="E56" i="10"/>
  <c r="DP56" i="10" s="1"/>
  <c r="H55" i="10"/>
  <c r="DQ55" i="10" s="1"/>
  <c r="G55" i="10"/>
  <c r="F55" i="10"/>
  <c r="E55" i="10"/>
  <c r="H54" i="10"/>
  <c r="DQ54" i="10" s="1"/>
  <c r="G54" i="10"/>
  <c r="F54" i="10"/>
  <c r="DV54" i="10" s="1"/>
  <c r="E54" i="10"/>
  <c r="H53" i="10"/>
  <c r="G53" i="10"/>
  <c r="F53" i="10"/>
  <c r="DV53" i="10" s="1"/>
  <c r="E53" i="10"/>
  <c r="H52" i="10"/>
  <c r="DQ52" i="10" s="1"/>
  <c r="G52" i="10"/>
  <c r="DU52" i="10" s="1"/>
  <c r="F52" i="10"/>
  <c r="E52" i="10"/>
  <c r="DP52" i="10" s="1"/>
  <c r="H51" i="10"/>
  <c r="G51" i="10"/>
  <c r="F51" i="10"/>
  <c r="E51" i="10"/>
  <c r="DP51" i="10" s="1"/>
  <c r="H50" i="10"/>
  <c r="DQ50" i="10" s="1"/>
  <c r="G50" i="10"/>
  <c r="F50" i="10"/>
  <c r="DV50" i="10" s="1"/>
  <c r="E50" i="10"/>
  <c r="H49" i="10"/>
  <c r="G49" i="10"/>
  <c r="F49" i="10"/>
  <c r="DV49" i="10" s="1"/>
  <c r="E49" i="10"/>
  <c r="H48" i="10"/>
  <c r="G48" i="10"/>
  <c r="F48" i="10"/>
  <c r="E48" i="10"/>
  <c r="H47" i="10"/>
  <c r="DQ47" i="10" s="1"/>
  <c r="G47" i="10"/>
  <c r="F47" i="10"/>
  <c r="E47" i="10"/>
  <c r="H46" i="10"/>
  <c r="DQ46" i="10" s="1"/>
  <c r="G46" i="10"/>
  <c r="DU46" i="10" s="1"/>
  <c r="F46" i="10"/>
  <c r="DV46" i="10" s="1"/>
  <c r="E46" i="10"/>
  <c r="H45" i="10"/>
  <c r="DQ45" i="10" s="1"/>
  <c r="G45" i="10"/>
  <c r="DU45" i="10" s="1"/>
  <c r="F45" i="10"/>
  <c r="DV45" i="10" s="1"/>
  <c r="E45" i="10"/>
  <c r="DP45" i="10" s="1"/>
  <c r="H44" i="10"/>
  <c r="I44" i="10" s="1"/>
  <c r="G44" i="10"/>
  <c r="F44" i="10"/>
  <c r="E44" i="10"/>
  <c r="H43" i="10"/>
  <c r="DQ43" i="10" s="1"/>
  <c r="G43" i="10"/>
  <c r="F43" i="10"/>
  <c r="E43" i="10"/>
  <c r="H42" i="10"/>
  <c r="G42" i="10"/>
  <c r="F42" i="10"/>
  <c r="E42" i="10"/>
  <c r="H41" i="10"/>
  <c r="G41" i="10"/>
  <c r="DU41" i="10" s="1"/>
  <c r="F41" i="10"/>
  <c r="E41" i="10"/>
  <c r="DP41" i="10" s="1"/>
  <c r="H40" i="10"/>
  <c r="G40" i="10"/>
  <c r="DU40" i="10" s="1"/>
  <c r="F40" i="10"/>
  <c r="DV40" i="10" s="1"/>
  <c r="E40" i="10"/>
  <c r="DP40" i="10" s="1"/>
  <c r="H39" i="10"/>
  <c r="DQ39" i="10" s="1"/>
  <c r="G39" i="10"/>
  <c r="DU39" i="10" s="1"/>
  <c r="F39" i="10"/>
  <c r="DV39" i="10" s="1"/>
  <c r="E39" i="10"/>
  <c r="H38" i="10"/>
  <c r="G38" i="10"/>
  <c r="F38" i="10"/>
  <c r="DV38" i="10" s="1"/>
  <c r="E38" i="10"/>
  <c r="H37" i="10"/>
  <c r="G37" i="10"/>
  <c r="F37" i="10"/>
  <c r="E37" i="10"/>
  <c r="H36" i="10"/>
  <c r="DQ36" i="10" s="1"/>
  <c r="G36" i="10"/>
  <c r="DU36" i="10" s="1"/>
  <c r="F36" i="10"/>
  <c r="DV36" i="10" s="1"/>
  <c r="E36" i="10"/>
  <c r="H35" i="10"/>
  <c r="DQ35" i="10" s="1"/>
  <c r="G35" i="10"/>
  <c r="DU35" i="10" s="1"/>
  <c r="F35" i="10"/>
  <c r="DV35" i="10" s="1"/>
  <c r="E35" i="10"/>
  <c r="H34" i="10"/>
  <c r="DQ34" i="10" s="1"/>
  <c r="G34" i="10"/>
  <c r="F34" i="10"/>
  <c r="DV34" i="10" s="1"/>
  <c r="E34" i="10"/>
  <c r="DP34" i="10" s="1"/>
  <c r="H33" i="10"/>
  <c r="DQ33" i="10" s="1"/>
  <c r="G33" i="10"/>
  <c r="F33" i="10"/>
  <c r="E33" i="10"/>
  <c r="H32" i="10"/>
  <c r="DQ32" i="10" s="1"/>
  <c r="G32" i="10"/>
  <c r="F32" i="10"/>
  <c r="E32" i="10"/>
  <c r="H31" i="10"/>
  <c r="G31" i="10"/>
  <c r="F31" i="10"/>
  <c r="DV31" i="10" s="1"/>
  <c r="E31" i="10"/>
  <c r="DP31" i="10" s="1"/>
  <c r="H30" i="10"/>
  <c r="DQ30" i="10" s="1"/>
  <c r="G30" i="10"/>
  <c r="F30" i="10"/>
  <c r="DV30" i="10" s="1"/>
  <c r="E30" i="10"/>
  <c r="H29" i="10"/>
  <c r="G29" i="10"/>
  <c r="DU29" i="10" s="1"/>
  <c r="F29" i="10"/>
  <c r="DV29" i="10" s="1"/>
  <c r="E29" i="10"/>
  <c r="DP29" i="10" s="1"/>
  <c r="H28" i="10"/>
  <c r="DQ28" i="10" s="1"/>
  <c r="G28" i="10"/>
  <c r="DU28" i="10" s="1"/>
  <c r="F28" i="10"/>
  <c r="DV28" i="10" s="1"/>
  <c r="E28" i="10"/>
  <c r="DP28" i="10" s="1"/>
  <c r="H27" i="10"/>
  <c r="G27" i="10"/>
  <c r="F27" i="10"/>
  <c r="DV27" i="10" s="1"/>
  <c r="E27" i="10"/>
  <c r="H26" i="10"/>
  <c r="G26" i="10"/>
  <c r="F26" i="10"/>
  <c r="E26" i="10"/>
  <c r="H25" i="10"/>
  <c r="DQ25" i="10" s="1"/>
  <c r="G25" i="10"/>
  <c r="F25" i="10"/>
  <c r="DV25" i="10" s="1"/>
  <c r="E25" i="10"/>
  <c r="DP25" i="10" s="1"/>
  <c r="H24" i="10"/>
  <c r="DQ24" i="10" s="1"/>
  <c r="G24" i="10"/>
  <c r="DU24" i="10" s="1"/>
  <c r="F24" i="10"/>
  <c r="DV24" i="10" s="1"/>
  <c r="E24" i="10"/>
  <c r="H23" i="10"/>
  <c r="DQ23" i="10" s="1"/>
  <c r="G23" i="10"/>
  <c r="DU23" i="10" s="1"/>
  <c r="F23" i="10"/>
  <c r="DV23" i="10" s="1"/>
  <c r="E23" i="10"/>
  <c r="H22" i="10"/>
  <c r="DQ22" i="10" s="1"/>
  <c r="G22" i="10"/>
  <c r="F22" i="10"/>
  <c r="E22" i="10"/>
  <c r="H21" i="10"/>
  <c r="DQ21" i="10" s="1"/>
  <c r="G21" i="10"/>
  <c r="F21" i="10"/>
  <c r="E21" i="10"/>
  <c r="H20" i="10"/>
  <c r="G20" i="10"/>
  <c r="F20" i="10"/>
  <c r="DV20" i="10" s="1"/>
  <c r="E20" i="10"/>
  <c r="DP20" i="10" s="1"/>
  <c r="H19" i="10"/>
  <c r="DQ19" i="10" s="1"/>
  <c r="G19" i="10"/>
  <c r="DU19" i="10" s="1"/>
  <c r="F19" i="10"/>
  <c r="DV19" i="10" s="1"/>
  <c r="E19" i="10"/>
  <c r="H18" i="10"/>
  <c r="G18" i="10"/>
  <c r="F18" i="10"/>
  <c r="E18" i="10"/>
  <c r="DP18" i="10" s="1"/>
  <c r="H17" i="10"/>
  <c r="DQ17" i="10" s="1"/>
  <c r="G17" i="10"/>
  <c r="DU17" i="10" s="1"/>
  <c r="F17" i="10"/>
  <c r="E17" i="10"/>
  <c r="H16" i="10"/>
  <c r="G16" i="10"/>
  <c r="F16" i="10"/>
  <c r="DV16" i="10" s="1"/>
  <c r="E16" i="10"/>
  <c r="H15" i="10"/>
  <c r="G15" i="10"/>
  <c r="F15" i="10"/>
  <c r="E15" i="10"/>
  <c r="H14" i="10"/>
  <c r="DQ14" i="10" s="1"/>
  <c r="G14" i="10"/>
  <c r="F14" i="10"/>
  <c r="E14" i="10"/>
  <c r="DP14" i="10" s="1"/>
  <c r="H13" i="10"/>
  <c r="DQ13" i="10" s="1"/>
  <c r="G13" i="10"/>
  <c r="DU13" i="10" s="1"/>
  <c r="F13" i="10"/>
  <c r="DV13" i="10" s="1"/>
  <c r="E13" i="10"/>
  <c r="H12" i="10"/>
  <c r="DQ12" i="10" s="1"/>
  <c r="G12" i="10"/>
  <c r="F12" i="10"/>
  <c r="DV12" i="10" s="1"/>
  <c r="E12" i="10"/>
  <c r="DP12" i="10" s="1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15" i="16"/>
  <c r="E6" i="16"/>
  <c r="E7" i="16" s="1"/>
  <c r="B4" i="16"/>
  <c r="B17" i="15"/>
  <c r="B18" i="15" s="1"/>
  <c r="D15" i="15"/>
  <c r="G13" i="15"/>
  <c r="D13" i="15"/>
  <c r="G12" i="15"/>
  <c r="G11" i="15"/>
  <c r="G10" i="15"/>
  <c r="G9" i="15"/>
  <c r="G8" i="15"/>
  <c r="G7" i="15"/>
  <c r="G6" i="15"/>
  <c r="G5" i="15"/>
  <c r="G4" i="15"/>
  <c r="G3" i="15"/>
  <c r="G2" i="15"/>
  <c r="D100" i="14"/>
  <c r="F100" i="14" s="1"/>
  <c r="C100" i="14"/>
  <c r="B100" i="14" s="1"/>
  <c r="G100" i="14" s="1"/>
  <c r="A100" i="14"/>
  <c r="D99" i="14"/>
  <c r="E99" i="14" s="1"/>
  <c r="H99" i="14" s="1"/>
  <c r="I99" i="14" s="1"/>
  <c r="C99" i="14"/>
  <c r="F99" i="14" s="1"/>
  <c r="B99" i="14"/>
  <c r="G99" i="14" s="1"/>
  <c r="A99" i="14"/>
  <c r="F98" i="14"/>
  <c r="D98" i="14"/>
  <c r="E98" i="14" s="1"/>
  <c r="C98" i="14"/>
  <c r="B98" i="14" s="1"/>
  <c r="G98" i="14" s="1"/>
  <c r="A98" i="14"/>
  <c r="D97" i="14"/>
  <c r="F97" i="14" s="1"/>
  <c r="C97" i="14"/>
  <c r="B97" i="14"/>
  <c r="G97" i="14" s="1"/>
  <c r="A97" i="14"/>
  <c r="D96" i="14"/>
  <c r="F96" i="14" s="1"/>
  <c r="C96" i="14"/>
  <c r="B96" i="14"/>
  <c r="G96" i="14" s="1"/>
  <c r="A96" i="14"/>
  <c r="D95" i="14"/>
  <c r="F95" i="14" s="1"/>
  <c r="C95" i="14"/>
  <c r="B95" i="14"/>
  <c r="G95" i="14" s="1"/>
  <c r="A95" i="14"/>
  <c r="D94" i="14"/>
  <c r="F94" i="14" s="1"/>
  <c r="C94" i="14"/>
  <c r="B94" i="14"/>
  <c r="G94" i="14" s="1"/>
  <c r="A94" i="14"/>
  <c r="D93" i="14"/>
  <c r="F93" i="14" s="1"/>
  <c r="C93" i="14"/>
  <c r="B93" i="14" s="1"/>
  <c r="G93" i="14" s="1"/>
  <c r="A93" i="14"/>
  <c r="D92" i="14"/>
  <c r="F92" i="14" s="1"/>
  <c r="C92" i="14"/>
  <c r="B92" i="14" s="1"/>
  <c r="G92" i="14" s="1"/>
  <c r="A92" i="14"/>
  <c r="D91" i="14"/>
  <c r="F91" i="14" s="1"/>
  <c r="C91" i="14"/>
  <c r="B91" i="14" s="1"/>
  <c r="G91" i="14" s="1"/>
  <c r="A91" i="14"/>
  <c r="E90" i="14"/>
  <c r="D90" i="14"/>
  <c r="F90" i="14" s="1"/>
  <c r="C90" i="14"/>
  <c r="B90" i="14"/>
  <c r="G90" i="14" s="1"/>
  <c r="A90" i="14"/>
  <c r="D89" i="14"/>
  <c r="F89" i="14" s="1"/>
  <c r="C89" i="14"/>
  <c r="B89" i="14"/>
  <c r="G89" i="14" s="1"/>
  <c r="A89" i="14"/>
  <c r="D88" i="14"/>
  <c r="F88" i="14" s="1"/>
  <c r="C88" i="14"/>
  <c r="B88" i="14"/>
  <c r="G88" i="14" s="1"/>
  <c r="A88" i="14"/>
  <c r="D87" i="14"/>
  <c r="E87" i="14" s="1"/>
  <c r="C87" i="14"/>
  <c r="B87" i="14"/>
  <c r="G87" i="14" s="1"/>
  <c r="A87" i="14"/>
  <c r="D86" i="14"/>
  <c r="F86" i="14" s="1"/>
  <c r="C86" i="14"/>
  <c r="B86" i="14" s="1"/>
  <c r="G86" i="14" s="1"/>
  <c r="A86" i="14"/>
  <c r="D85" i="14"/>
  <c r="E85" i="14" s="1"/>
  <c r="C85" i="14"/>
  <c r="F85" i="14" s="1"/>
  <c r="B85" i="14"/>
  <c r="G85" i="14" s="1"/>
  <c r="A85" i="14"/>
  <c r="D84" i="14"/>
  <c r="E84" i="14" s="1"/>
  <c r="C84" i="14"/>
  <c r="B84" i="14"/>
  <c r="G84" i="14" s="1"/>
  <c r="A84" i="14"/>
  <c r="E83" i="14"/>
  <c r="H83" i="14" s="1"/>
  <c r="I83" i="14" s="1"/>
  <c r="D83" i="14"/>
  <c r="F83" i="14" s="1"/>
  <c r="C83" i="14"/>
  <c r="B83" i="14"/>
  <c r="G83" i="14" s="1"/>
  <c r="A83" i="14"/>
  <c r="E82" i="14"/>
  <c r="D82" i="14"/>
  <c r="C82" i="14"/>
  <c r="F82" i="14" s="1"/>
  <c r="B82" i="14"/>
  <c r="G82" i="14" s="1"/>
  <c r="A82" i="14"/>
  <c r="G81" i="14"/>
  <c r="F81" i="14"/>
  <c r="E81" i="14"/>
  <c r="H81" i="14" s="1"/>
  <c r="I81" i="14" s="1"/>
  <c r="D81" i="14"/>
  <c r="C81" i="14"/>
  <c r="B81" i="14"/>
  <c r="A81" i="14"/>
  <c r="D80" i="14"/>
  <c r="F80" i="14" s="1"/>
  <c r="C80" i="14"/>
  <c r="B80" i="14"/>
  <c r="G80" i="14" s="1"/>
  <c r="A80" i="14"/>
  <c r="D79" i="14"/>
  <c r="F79" i="14" s="1"/>
  <c r="C79" i="14"/>
  <c r="B79" i="14"/>
  <c r="G79" i="14" s="1"/>
  <c r="A79" i="14"/>
  <c r="D78" i="14"/>
  <c r="F78" i="14" s="1"/>
  <c r="C78" i="14"/>
  <c r="B78" i="14" s="1"/>
  <c r="G78" i="14" s="1"/>
  <c r="A78" i="14"/>
  <c r="F77" i="14"/>
  <c r="D77" i="14"/>
  <c r="E77" i="14" s="1"/>
  <c r="C77" i="14"/>
  <c r="B77" i="14"/>
  <c r="G77" i="14" s="1"/>
  <c r="A77" i="14"/>
  <c r="F76" i="14"/>
  <c r="D76" i="14"/>
  <c r="E76" i="14" s="1"/>
  <c r="C76" i="14"/>
  <c r="B76" i="14" s="1"/>
  <c r="G76" i="14" s="1"/>
  <c r="A76" i="14"/>
  <c r="D75" i="14"/>
  <c r="F75" i="14" s="1"/>
  <c r="C75" i="14"/>
  <c r="B75" i="14"/>
  <c r="G75" i="14" s="1"/>
  <c r="A75" i="14"/>
  <c r="D74" i="14"/>
  <c r="F74" i="14" s="1"/>
  <c r="C74" i="14"/>
  <c r="B74" i="14"/>
  <c r="G74" i="14" s="1"/>
  <c r="A74" i="14"/>
  <c r="D73" i="14"/>
  <c r="F73" i="14" s="1"/>
  <c r="C73" i="14"/>
  <c r="B73" i="14" s="1"/>
  <c r="G73" i="14" s="1"/>
  <c r="A73" i="14"/>
  <c r="D72" i="14"/>
  <c r="F72" i="14" s="1"/>
  <c r="C72" i="14"/>
  <c r="B72" i="14"/>
  <c r="G72" i="14" s="1"/>
  <c r="A72" i="14"/>
  <c r="D71" i="14"/>
  <c r="F71" i="14" s="1"/>
  <c r="C71" i="14"/>
  <c r="B71" i="14" s="1"/>
  <c r="G71" i="14" s="1"/>
  <c r="A71" i="14"/>
  <c r="D70" i="14"/>
  <c r="F70" i="14" s="1"/>
  <c r="C70" i="14"/>
  <c r="B70" i="14" s="1"/>
  <c r="G70" i="14" s="1"/>
  <c r="A70" i="14"/>
  <c r="D69" i="14"/>
  <c r="E69" i="14" s="1"/>
  <c r="C69" i="14"/>
  <c r="B69" i="14" s="1"/>
  <c r="G69" i="14" s="1"/>
  <c r="A69" i="14"/>
  <c r="F68" i="14"/>
  <c r="E68" i="14"/>
  <c r="D68" i="14"/>
  <c r="C68" i="14"/>
  <c r="B68" i="14"/>
  <c r="G68" i="14" s="1"/>
  <c r="A68" i="14"/>
  <c r="D67" i="14"/>
  <c r="F67" i="14" s="1"/>
  <c r="C67" i="14"/>
  <c r="B67" i="14"/>
  <c r="G67" i="14" s="1"/>
  <c r="A67" i="14"/>
  <c r="D66" i="14"/>
  <c r="F66" i="14" s="1"/>
  <c r="C66" i="14"/>
  <c r="B66" i="14"/>
  <c r="G66" i="14" s="1"/>
  <c r="A66" i="14"/>
  <c r="D65" i="14"/>
  <c r="E65" i="14" s="1"/>
  <c r="C65" i="14"/>
  <c r="B65" i="14"/>
  <c r="G65" i="14" s="1"/>
  <c r="A65" i="14"/>
  <c r="D64" i="14"/>
  <c r="F64" i="14" s="1"/>
  <c r="C64" i="14"/>
  <c r="B64" i="14" s="1"/>
  <c r="G64" i="14" s="1"/>
  <c r="A64" i="14"/>
  <c r="D63" i="14"/>
  <c r="E63" i="14" s="1"/>
  <c r="C63" i="14"/>
  <c r="F63" i="14" s="1"/>
  <c r="B63" i="14"/>
  <c r="G63" i="14" s="1"/>
  <c r="A63" i="14"/>
  <c r="D62" i="14"/>
  <c r="E62" i="14" s="1"/>
  <c r="C62" i="14"/>
  <c r="B62" i="14"/>
  <c r="G62" i="14" s="1"/>
  <c r="A62" i="14"/>
  <c r="E61" i="14"/>
  <c r="D61" i="14"/>
  <c r="C61" i="14"/>
  <c r="F61" i="14" s="1"/>
  <c r="A61" i="14"/>
  <c r="E60" i="14"/>
  <c r="D60" i="14"/>
  <c r="C60" i="14"/>
  <c r="F60" i="14" s="1"/>
  <c r="B60" i="14"/>
  <c r="G60" i="14" s="1"/>
  <c r="A60" i="14"/>
  <c r="G59" i="14"/>
  <c r="F59" i="14"/>
  <c r="E59" i="14"/>
  <c r="H59" i="14" s="1"/>
  <c r="I59" i="14" s="1"/>
  <c r="D59" i="14"/>
  <c r="C59" i="14"/>
  <c r="B59" i="14"/>
  <c r="A59" i="14"/>
  <c r="D58" i="14"/>
  <c r="F58" i="14" s="1"/>
  <c r="C58" i="14"/>
  <c r="B58" i="14"/>
  <c r="G58" i="14" s="1"/>
  <c r="A58" i="14"/>
  <c r="D57" i="14"/>
  <c r="E57" i="14" s="1"/>
  <c r="H57" i="14" s="1"/>
  <c r="I57" i="14" s="1"/>
  <c r="C57" i="14"/>
  <c r="B57" i="14"/>
  <c r="G57" i="14" s="1"/>
  <c r="A57" i="14"/>
  <c r="D56" i="14"/>
  <c r="F56" i="14" s="1"/>
  <c r="C56" i="14"/>
  <c r="B56" i="14" s="1"/>
  <c r="G56" i="14" s="1"/>
  <c r="A56" i="14"/>
  <c r="D55" i="14"/>
  <c r="E55" i="14" s="1"/>
  <c r="C55" i="14"/>
  <c r="F55" i="14" s="1"/>
  <c r="B55" i="14"/>
  <c r="G55" i="14" s="1"/>
  <c r="A55" i="14"/>
  <c r="F54" i="14"/>
  <c r="E54" i="14"/>
  <c r="D54" i="14"/>
  <c r="C54" i="14"/>
  <c r="B54" i="14" s="1"/>
  <c r="G54" i="14" s="1"/>
  <c r="H54" i="14" s="1"/>
  <c r="I54" i="14" s="1"/>
  <c r="A54" i="14"/>
  <c r="D53" i="14"/>
  <c r="F53" i="14" s="1"/>
  <c r="C53" i="14"/>
  <c r="B53" i="14"/>
  <c r="G53" i="14" s="1"/>
  <c r="A53" i="14"/>
  <c r="D52" i="14"/>
  <c r="F52" i="14" s="1"/>
  <c r="C52" i="14"/>
  <c r="B52" i="14"/>
  <c r="G52" i="14" s="1"/>
  <c r="A52" i="14"/>
  <c r="E51" i="14"/>
  <c r="D51" i="14"/>
  <c r="F51" i="14" s="1"/>
  <c r="C51" i="14"/>
  <c r="B51" i="14" s="1"/>
  <c r="G51" i="14" s="1"/>
  <c r="A51" i="14"/>
  <c r="D50" i="14"/>
  <c r="F50" i="14" s="1"/>
  <c r="C50" i="14"/>
  <c r="B50" i="14"/>
  <c r="G50" i="14" s="1"/>
  <c r="A50" i="14"/>
  <c r="D49" i="14"/>
  <c r="F49" i="14" s="1"/>
  <c r="C49" i="14"/>
  <c r="B49" i="14" s="1"/>
  <c r="G49" i="14" s="1"/>
  <c r="A49" i="14"/>
  <c r="D48" i="14"/>
  <c r="F48" i="14" s="1"/>
  <c r="C48" i="14"/>
  <c r="B48" i="14" s="1"/>
  <c r="G48" i="14" s="1"/>
  <c r="A48" i="14"/>
  <c r="D47" i="14"/>
  <c r="E47" i="14" s="1"/>
  <c r="C47" i="14"/>
  <c r="B47" i="14" s="1"/>
  <c r="G47" i="14" s="1"/>
  <c r="A47" i="14"/>
  <c r="F46" i="14"/>
  <c r="E46" i="14"/>
  <c r="D46" i="14"/>
  <c r="C46" i="14"/>
  <c r="B46" i="14"/>
  <c r="G46" i="14" s="1"/>
  <c r="A46" i="14"/>
  <c r="D45" i="14"/>
  <c r="F45" i="14" s="1"/>
  <c r="C45" i="14"/>
  <c r="B45" i="14"/>
  <c r="G45" i="14" s="1"/>
  <c r="A45" i="14"/>
  <c r="D44" i="14"/>
  <c r="F44" i="14" s="1"/>
  <c r="C44" i="14"/>
  <c r="B44" i="14"/>
  <c r="G44" i="14" s="1"/>
  <c r="A44" i="14"/>
  <c r="D43" i="14"/>
  <c r="E43" i="14" s="1"/>
  <c r="C43" i="14"/>
  <c r="B43" i="14"/>
  <c r="G43" i="14" s="1"/>
  <c r="A43" i="14"/>
  <c r="D42" i="14"/>
  <c r="F42" i="14" s="1"/>
  <c r="C42" i="14"/>
  <c r="B42" i="14" s="1"/>
  <c r="G42" i="14" s="1"/>
  <c r="A42" i="14"/>
  <c r="F41" i="14"/>
  <c r="E41" i="14"/>
  <c r="D41" i="14"/>
  <c r="C41" i="14"/>
  <c r="B41" i="14"/>
  <c r="G41" i="14" s="1"/>
  <c r="A41" i="14"/>
  <c r="D40" i="14"/>
  <c r="E40" i="14" s="1"/>
  <c r="C40" i="14"/>
  <c r="B40" i="14"/>
  <c r="G40" i="14" s="1"/>
  <c r="A40" i="14"/>
  <c r="E39" i="14"/>
  <c r="D39" i="14"/>
  <c r="C39" i="14"/>
  <c r="F39" i="14" s="1"/>
  <c r="A39" i="14"/>
  <c r="E38" i="14"/>
  <c r="D38" i="14"/>
  <c r="C38" i="14"/>
  <c r="F38" i="14" s="1"/>
  <c r="B38" i="14"/>
  <c r="G38" i="14" s="1"/>
  <c r="A38" i="14"/>
  <c r="G37" i="14"/>
  <c r="F37" i="14"/>
  <c r="E37" i="14"/>
  <c r="H37" i="14" s="1"/>
  <c r="I37" i="14" s="1"/>
  <c r="D37" i="14"/>
  <c r="C37" i="14"/>
  <c r="B37" i="14"/>
  <c r="A37" i="14"/>
  <c r="D36" i="14"/>
  <c r="F36" i="14" s="1"/>
  <c r="C36" i="14"/>
  <c r="B36" i="14"/>
  <c r="G36" i="14" s="1"/>
  <c r="A36" i="14"/>
  <c r="D35" i="14"/>
  <c r="F35" i="14" s="1"/>
  <c r="C35" i="14"/>
  <c r="B35" i="14"/>
  <c r="G35" i="14" s="1"/>
  <c r="A35" i="14"/>
  <c r="D34" i="14"/>
  <c r="F34" i="14" s="1"/>
  <c r="C34" i="14"/>
  <c r="B34" i="14" s="1"/>
  <c r="G34" i="14" s="1"/>
  <c r="A34" i="14"/>
  <c r="D33" i="14"/>
  <c r="E33" i="14" s="1"/>
  <c r="C33" i="14"/>
  <c r="F33" i="14" s="1"/>
  <c r="B33" i="14"/>
  <c r="G33" i="14" s="1"/>
  <c r="A33" i="14"/>
  <c r="F32" i="14"/>
  <c r="E32" i="14"/>
  <c r="D32" i="14"/>
  <c r="C32" i="14"/>
  <c r="B32" i="14" s="1"/>
  <c r="G32" i="14" s="1"/>
  <c r="H32" i="14" s="1"/>
  <c r="I32" i="14" s="1"/>
  <c r="A32" i="14"/>
  <c r="D31" i="14"/>
  <c r="F31" i="14" s="1"/>
  <c r="C31" i="14"/>
  <c r="B31" i="14"/>
  <c r="G31" i="14" s="1"/>
  <c r="A31" i="14"/>
  <c r="D30" i="14"/>
  <c r="E30" i="14" s="1"/>
  <c r="C30" i="14"/>
  <c r="B30" i="14"/>
  <c r="G30" i="14" s="1"/>
  <c r="A30" i="14"/>
  <c r="E29" i="14"/>
  <c r="D29" i="14"/>
  <c r="F29" i="14" s="1"/>
  <c r="C29" i="14"/>
  <c r="B29" i="14" s="1"/>
  <c r="G29" i="14" s="1"/>
  <c r="A29" i="14"/>
  <c r="D28" i="14"/>
  <c r="F28" i="14" s="1"/>
  <c r="C28" i="14"/>
  <c r="B28" i="14"/>
  <c r="G28" i="14" s="1"/>
  <c r="A28" i="14"/>
  <c r="D27" i="14"/>
  <c r="F27" i="14" s="1"/>
  <c r="C27" i="14"/>
  <c r="B27" i="14" s="1"/>
  <c r="G27" i="14" s="1"/>
  <c r="A27" i="14"/>
  <c r="D26" i="14"/>
  <c r="F26" i="14" s="1"/>
  <c r="C26" i="14"/>
  <c r="B26" i="14" s="1"/>
  <c r="G26" i="14" s="1"/>
  <c r="A26" i="14"/>
  <c r="D25" i="14"/>
  <c r="F25" i="14" s="1"/>
  <c r="C25" i="14"/>
  <c r="B25" i="14" s="1"/>
  <c r="G25" i="14" s="1"/>
  <c r="A25" i="14"/>
  <c r="F24" i="14"/>
  <c r="E24" i="14"/>
  <c r="D24" i="14"/>
  <c r="C24" i="14"/>
  <c r="B24" i="14"/>
  <c r="G24" i="14" s="1"/>
  <c r="A24" i="14"/>
  <c r="D23" i="14"/>
  <c r="F23" i="14" s="1"/>
  <c r="C23" i="14"/>
  <c r="B23" i="14"/>
  <c r="G23" i="14" s="1"/>
  <c r="A23" i="14"/>
  <c r="D22" i="14"/>
  <c r="F22" i="14" s="1"/>
  <c r="C22" i="14"/>
  <c r="B22" i="14"/>
  <c r="G22" i="14" s="1"/>
  <c r="A22" i="14"/>
  <c r="D21" i="14"/>
  <c r="E21" i="14" s="1"/>
  <c r="C21" i="14"/>
  <c r="B21" i="14"/>
  <c r="G21" i="14" s="1"/>
  <c r="A21" i="14"/>
  <c r="D20" i="14"/>
  <c r="E20" i="14" s="1"/>
  <c r="C20" i="14"/>
  <c r="B20" i="14" s="1"/>
  <c r="G20" i="14" s="1"/>
  <c r="A20" i="14"/>
  <c r="F19" i="14"/>
  <c r="E19" i="14"/>
  <c r="H19" i="14" s="1"/>
  <c r="I19" i="14" s="1"/>
  <c r="D19" i="14"/>
  <c r="C19" i="14"/>
  <c r="B19" i="14"/>
  <c r="G19" i="14" s="1"/>
  <c r="A19" i="14"/>
  <c r="D18" i="14"/>
  <c r="E18" i="14" s="1"/>
  <c r="C18" i="14"/>
  <c r="B18" i="14"/>
  <c r="G18" i="14" s="1"/>
  <c r="A18" i="14"/>
  <c r="E17" i="14"/>
  <c r="D17" i="14"/>
  <c r="C17" i="14"/>
  <c r="F17" i="14" s="1"/>
  <c r="A17" i="14"/>
  <c r="E16" i="14"/>
  <c r="D16" i="14"/>
  <c r="C16" i="14"/>
  <c r="F16" i="14" s="1"/>
  <c r="B16" i="14"/>
  <c r="G16" i="14" s="1"/>
  <c r="A16" i="14"/>
  <c r="G15" i="14"/>
  <c r="F15" i="14"/>
  <c r="E15" i="14"/>
  <c r="H15" i="14" s="1"/>
  <c r="I15" i="14" s="1"/>
  <c r="D15" i="14"/>
  <c r="C15" i="14"/>
  <c r="B15" i="14"/>
  <c r="A15" i="14"/>
  <c r="D14" i="14"/>
  <c r="F14" i="14" s="1"/>
  <c r="C14" i="14"/>
  <c r="B14" i="14"/>
  <c r="G14" i="14" s="1"/>
  <c r="A14" i="14"/>
  <c r="D13" i="14"/>
  <c r="E13" i="14" s="1"/>
  <c r="C13" i="14"/>
  <c r="B13" i="14"/>
  <c r="G13" i="14" s="1"/>
  <c r="A13" i="14"/>
  <c r="D12" i="14"/>
  <c r="F12" i="14" s="1"/>
  <c r="C12" i="14"/>
  <c r="B12" i="14" s="1"/>
  <c r="G12" i="14" s="1"/>
  <c r="A12" i="14"/>
  <c r="D11" i="14"/>
  <c r="E11" i="14" s="1"/>
  <c r="C11" i="14"/>
  <c r="F11" i="14" s="1"/>
  <c r="B11" i="14"/>
  <c r="G11" i="14" s="1"/>
  <c r="A11" i="14"/>
  <c r="F10" i="14"/>
  <c r="E10" i="14"/>
  <c r="D10" i="14"/>
  <c r="C10" i="14"/>
  <c r="B10" i="14" s="1"/>
  <c r="G10" i="14" s="1"/>
  <c r="H10" i="14" s="1"/>
  <c r="I10" i="14" s="1"/>
  <c r="A10" i="14"/>
  <c r="D9" i="14"/>
  <c r="F9" i="14" s="1"/>
  <c r="C9" i="14"/>
  <c r="B9" i="14"/>
  <c r="G9" i="14" s="1"/>
  <c r="A9" i="14"/>
  <c r="D8" i="14"/>
  <c r="F8" i="14" s="1"/>
  <c r="C8" i="14"/>
  <c r="B8" i="14"/>
  <c r="G8" i="14" s="1"/>
  <c r="A8" i="14"/>
  <c r="E7" i="14"/>
  <c r="D7" i="14"/>
  <c r="F7" i="14" s="1"/>
  <c r="C7" i="14"/>
  <c r="B7" i="14" s="1"/>
  <c r="G7" i="14" s="1"/>
  <c r="A7" i="14"/>
  <c r="D6" i="14"/>
  <c r="F6" i="14" s="1"/>
  <c r="C6" i="14"/>
  <c r="B6" i="14"/>
  <c r="G6" i="14" s="1"/>
  <c r="A6" i="14"/>
  <c r="D5" i="14"/>
  <c r="F5" i="14" s="1"/>
  <c r="C5" i="14"/>
  <c r="B5" i="14" s="1"/>
  <c r="G5" i="14" s="1"/>
  <c r="A5" i="14"/>
  <c r="D4" i="14"/>
  <c r="F4" i="14" s="1"/>
  <c r="C4" i="14"/>
  <c r="B4" i="14" s="1"/>
  <c r="G4" i="14" s="1"/>
  <c r="A4" i="14"/>
  <c r="D3" i="14"/>
  <c r="E3" i="14" s="1"/>
  <c r="C3" i="14"/>
  <c r="B3" i="14" s="1"/>
  <c r="G3" i="14" s="1"/>
  <c r="A3" i="14"/>
  <c r="F2" i="14"/>
  <c r="E2" i="14"/>
  <c r="D2" i="14"/>
  <c r="C2" i="14"/>
  <c r="B2" i="14"/>
  <c r="G2" i="14" s="1"/>
  <c r="A2" i="14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DI375" i="10"/>
  <c r="DE375" i="10"/>
  <c r="DC375" i="10"/>
  <c r="CW375" i="10"/>
  <c r="BI375" i="10"/>
  <c r="BG375" i="10"/>
  <c r="AR375" i="10"/>
  <c r="AG375" i="10"/>
  <c r="Y375" i="10"/>
  <c r="X375" i="10"/>
  <c r="T375" i="10"/>
  <c r="J375" i="10"/>
  <c r="D375" i="10"/>
  <c r="DW375" i="10" s="1"/>
  <c r="C375" i="10"/>
  <c r="B375" i="10"/>
  <c r="DW374" i="10"/>
  <c r="DN374" i="10"/>
  <c r="DI374" i="10"/>
  <c r="DE374" i="10"/>
  <c r="BG374" i="10"/>
  <c r="AX374" i="10"/>
  <c r="AU374" i="10"/>
  <c r="AG374" i="10"/>
  <c r="Y374" i="10"/>
  <c r="T374" i="10"/>
  <c r="J374" i="10"/>
  <c r="D374" i="10"/>
  <c r="C374" i="10"/>
  <c r="B374" i="10"/>
  <c r="DW373" i="10"/>
  <c r="DP373" i="10"/>
  <c r="DN373" i="10"/>
  <c r="DI373" i="10"/>
  <c r="DG373" i="10"/>
  <c r="CW373" i="10"/>
  <c r="CF373" i="10"/>
  <c r="CC373" i="10"/>
  <c r="AG373" i="10"/>
  <c r="Y373" i="10"/>
  <c r="T373" i="10"/>
  <c r="J373" i="10"/>
  <c r="D373" i="10"/>
  <c r="C373" i="10"/>
  <c r="B373" i="10"/>
  <c r="DW372" i="10"/>
  <c r="CS372" i="10"/>
  <c r="CO372" i="10"/>
  <c r="BV372" i="10"/>
  <c r="BP372" i="10"/>
  <c r="BN372" i="10"/>
  <c r="BI372" i="10"/>
  <c r="BG372" i="10"/>
  <c r="AG372" i="10"/>
  <c r="Y372" i="10"/>
  <c r="T372" i="10"/>
  <c r="S372" i="10"/>
  <c r="J372" i="10"/>
  <c r="D372" i="10"/>
  <c r="C372" i="10"/>
  <c r="B372" i="10"/>
  <c r="DW371" i="10"/>
  <c r="DG371" i="10"/>
  <c r="DC371" i="10"/>
  <c r="CZ371" i="10"/>
  <c r="CH371" i="10"/>
  <c r="BP371" i="10"/>
  <c r="AO371" i="10"/>
  <c r="AL371" i="10"/>
  <c r="AG371" i="10"/>
  <c r="AF371" i="10"/>
  <c r="Y371" i="10"/>
  <c r="T371" i="10"/>
  <c r="S371" i="10"/>
  <c r="J371" i="10"/>
  <c r="D371" i="10"/>
  <c r="C371" i="10"/>
  <c r="B371" i="10"/>
  <c r="DW370" i="10"/>
  <c r="DE370" i="10"/>
  <c r="CW370" i="10"/>
  <c r="CU370" i="10"/>
  <c r="CK370" i="10"/>
  <c r="CH370" i="10"/>
  <c r="CC370" i="10"/>
  <c r="BI370" i="10"/>
  <c r="BG370" i="10"/>
  <c r="BA370" i="10"/>
  <c r="AL370" i="10"/>
  <c r="AG370" i="10"/>
  <c r="Y370" i="10"/>
  <c r="T370" i="10"/>
  <c r="S370" i="10"/>
  <c r="Q370" i="10"/>
  <c r="J370" i="10"/>
  <c r="D370" i="10"/>
  <c r="C370" i="10"/>
  <c r="B370" i="10"/>
  <c r="DG369" i="10"/>
  <c r="CW369" i="10"/>
  <c r="CU369" i="10"/>
  <c r="BP369" i="10"/>
  <c r="AU369" i="10"/>
  <c r="AG369" i="10"/>
  <c r="Y369" i="10"/>
  <c r="T369" i="10"/>
  <c r="J369" i="10"/>
  <c r="D369" i="10"/>
  <c r="DW369" i="10" s="1"/>
  <c r="C369" i="10"/>
  <c r="B369" i="10"/>
  <c r="CU368" i="10"/>
  <c r="CS368" i="10"/>
  <c r="AU368" i="10"/>
  <c r="AG368" i="10"/>
  <c r="Y368" i="10"/>
  <c r="T368" i="10"/>
  <c r="S368" i="10"/>
  <c r="J368" i="10"/>
  <c r="DP368" i="10"/>
  <c r="D368" i="10"/>
  <c r="DW368" i="10" s="1"/>
  <c r="C368" i="10"/>
  <c r="B368" i="10"/>
  <c r="DW367" i="10"/>
  <c r="CU367" i="10"/>
  <c r="BS367" i="10"/>
  <c r="BP367" i="10"/>
  <c r="BE367" i="10"/>
  <c r="AG367" i="10"/>
  <c r="Y367" i="10"/>
  <c r="T367" i="10"/>
  <c r="J367" i="10"/>
  <c r="D367" i="10"/>
  <c r="C367" i="10"/>
  <c r="B367" i="10"/>
  <c r="DG366" i="10"/>
  <c r="DE366" i="10"/>
  <c r="DC366" i="10"/>
  <c r="CW366" i="10"/>
  <c r="CC366" i="10"/>
  <c r="CA366" i="10"/>
  <c r="AL366" i="10"/>
  <c r="AJ366" i="10"/>
  <c r="AG366" i="10"/>
  <c r="Y366" i="10"/>
  <c r="T366" i="10"/>
  <c r="J366" i="10"/>
  <c r="D366" i="10"/>
  <c r="DW366" i="10" s="1"/>
  <c r="C366" i="10"/>
  <c r="B366" i="10"/>
  <c r="DI365" i="10"/>
  <c r="DG365" i="10"/>
  <c r="DE365" i="10"/>
  <c r="CO365" i="10"/>
  <c r="CC365" i="10"/>
  <c r="BG365" i="10"/>
  <c r="AO365" i="10"/>
  <c r="AL365" i="10"/>
  <c r="AG365" i="10"/>
  <c r="Y365" i="10"/>
  <c r="X365" i="10"/>
  <c r="T365" i="10"/>
  <c r="J365" i="10"/>
  <c r="D365" i="10"/>
  <c r="C365" i="10"/>
  <c r="B365" i="10"/>
  <c r="DN364" i="10"/>
  <c r="DI364" i="10"/>
  <c r="DE364" i="10"/>
  <c r="CW364" i="10"/>
  <c r="CH364" i="10"/>
  <c r="BE364" i="10"/>
  <c r="BA364" i="10"/>
  <c r="AR364" i="10"/>
  <c r="AG364" i="10"/>
  <c r="Y364" i="10"/>
  <c r="T364" i="10"/>
  <c r="J364" i="10"/>
  <c r="D364" i="10"/>
  <c r="DW364" i="10" s="1"/>
  <c r="C364" i="10"/>
  <c r="B364" i="10"/>
  <c r="DI363" i="10"/>
  <c r="CK363" i="10"/>
  <c r="CH363" i="10"/>
  <c r="BV363" i="10"/>
  <c r="BG363" i="10"/>
  <c r="AU363" i="10"/>
  <c r="AG363" i="10"/>
  <c r="AB363" i="10"/>
  <c r="Y363" i="10"/>
  <c r="T363" i="10"/>
  <c r="J363" i="10"/>
  <c r="D363" i="10"/>
  <c r="DW363" i="10" s="1"/>
  <c r="C363" i="10"/>
  <c r="B363" i="10"/>
  <c r="DI362" i="10"/>
  <c r="DE362" i="10"/>
  <c r="DC362" i="10"/>
  <c r="CH362" i="10"/>
  <c r="BV362" i="10"/>
  <c r="BS362" i="10"/>
  <c r="BP362" i="10"/>
  <c r="AG362" i="10"/>
  <c r="Y362" i="10"/>
  <c r="T362" i="10"/>
  <c r="J362" i="10"/>
  <c r="D362" i="10"/>
  <c r="C362" i="10"/>
  <c r="B362" i="10"/>
  <c r="DE361" i="10"/>
  <c r="DC361" i="10"/>
  <c r="CS361" i="10"/>
  <c r="BV361" i="10"/>
  <c r="BA361" i="10"/>
  <c r="AG361" i="10"/>
  <c r="Y361" i="10"/>
  <c r="T361" i="10"/>
  <c r="J361" i="10"/>
  <c r="D361" i="10"/>
  <c r="DW361" i="10" s="1"/>
  <c r="C361" i="10"/>
  <c r="B361" i="10"/>
  <c r="DW360" i="10"/>
  <c r="BI360" i="10"/>
  <c r="AL360" i="10"/>
  <c r="AG360" i="10"/>
  <c r="Y360" i="10"/>
  <c r="T360" i="10"/>
  <c r="J360" i="10"/>
  <c r="D360" i="10"/>
  <c r="C360" i="10"/>
  <c r="B360" i="10"/>
  <c r="CU359" i="10"/>
  <c r="CC359" i="10"/>
  <c r="AL359" i="10"/>
  <c r="AG359" i="10"/>
  <c r="Y359" i="10"/>
  <c r="T359" i="10"/>
  <c r="J359" i="10"/>
  <c r="D359" i="10"/>
  <c r="DW359" i="10" s="1"/>
  <c r="C359" i="10"/>
  <c r="B359" i="10"/>
  <c r="CZ358" i="10"/>
  <c r="CW358" i="10"/>
  <c r="CU358" i="10"/>
  <c r="CO358" i="10"/>
  <c r="CF358" i="10"/>
  <c r="CC358" i="10"/>
  <c r="BV358" i="10"/>
  <c r="BI358" i="10"/>
  <c r="BG358" i="10"/>
  <c r="BA358" i="10"/>
  <c r="AX358" i="10"/>
  <c r="AU358" i="10"/>
  <c r="AG358" i="10"/>
  <c r="Y358" i="10"/>
  <c r="AB358" i="10" s="1"/>
  <c r="T358" i="10"/>
  <c r="J358" i="10"/>
  <c r="D358" i="10"/>
  <c r="DW358" i="10" s="1"/>
  <c r="C358" i="10"/>
  <c r="B358" i="10"/>
  <c r="DW357" i="10"/>
  <c r="DE357" i="10"/>
  <c r="DC357" i="10"/>
  <c r="CU357" i="10"/>
  <c r="CC357" i="10"/>
  <c r="BS357" i="10"/>
  <c r="BP357" i="10"/>
  <c r="AU357" i="10"/>
  <c r="AG357" i="10"/>
  <c r="Y357" i="10"/>
  <c r="T357" i="10"/>
  <c r="J357" i="10"/>
  <c r="D357" i="10"/>
  <c r="C357" i="10"/>
  <c r="B357" i="10"/>
  <c r="DW356" i="10"/>
  <c r="CU356" i="10"/>
  <c r="CK356" i="10"/>
  <c r="CH356" i="10"/>
  <c r="AG356" i="10"/>
  <c r="Y356" i="10"/>
  <c r="T356" i="10"/>
  <c r="J356" i="10"/>
  <c r="D356" i="10"/>
  <c r="C356" i="10"/>
  <c r="B356" i="10"/>
  <c r="DW355" i="10"/>
  <c r="BP355" i="10"/>
  <c r="BN355" i="10"/>
  <c r="BG355" i="10"/>
  <c r="BA355" i="10"/>
  <c r="AL355" i="10"/>
  <c r="AJ355" i="10"/>
  <c r="AG355" i="10"/>
  <c r="Y355" i="10"/>
  <c r="T355" i="10"/>
  <c r="J355" i="10"/>
  <c r="D355" i="10"/>
  <c r="C355" i="10"/>
  <c r="B355" i="10"/>
  <c r="DI354" i="10"/>
  <c r="DG354" i="10"/>
  <c r="CO354" i="10"/>
  <c r="BV354" i="10"/>
  <c r="AL354" i="10"/>
  <c r="AG354" i="10"/>
  <c r="Y354" i="10"/>
  <c r="T354" i="10"/>
  <c r="J354" i="10"/>
  <c r="D354" i="10"/>
  <c r="DW354" i="10" s="1"/>
  <c r="C354" i="10"/>
  <c r="B354" i="10"/>
  <c r="DW353" i="10"/>
  <c r="DN353" i="10"/>
  <c r="DI353" i="10"/>
  <c r="DG353" i="10"/>
  <c r="DE353" i="10"/>
  <c r="DC353" i="10"/>
  <c r="CZ353" i="10"/>
  <c r="CW353" i="10"/>
  <c r="CH353" i="10"/>
  <c r="BI353" i="10"/>
  <c r="BG353" i="10"/>
  <c r="AR353" i="10"/>
  <c r="AG353" i="10"/>
  <c r="Y353" i="10"/>
  <c r="T353" i="10"/>
  <c r="J353" i="10"/>
  <c r="D353" i="10"/>
  <c r="C353" i="10"/>
  <c r="B353" i="10"/>
  <c r="DI352" i="10"/>
  <c r="DG352" i="10"/>
  <c r="DE352" i="10"/>
  <c r="CC352" i="10"/>
  <c r="AX352" i="10"/>
  <c r="AU352" i="10"/>
  <c r="AG352" i="10"/>
  <c r="Y352" i="10"/>
  <c r="T352" i="10"/>
  <c r="J352" i="10"/>
  <c r="D352" i="10"/>
  <c r="DW352" i="10" s="1"/>
  <c r="C352" i="10"/>
  <c r="B352" i="10"/>
  <c r="DW351" i="10"/>
  <c r="DI351" i="10"/>
  <c r="CF351" i="10"/>
  <c r="CC351" i="10"/>
  <c r="AG351" i="10"/>
  <c r="Y351" i="10"/>
  <c r="T351" i="10"/>
  <c r="J351" i="10"/>
  <c r="DP351" i="10"/>
  <c r="D351" i="10"/>
  <c r="C351" i="10"/>
  <c r="B351" i="10"/>
  <c r="DW350" i="10"/>
  <c r="CS350" i="10"/>
  <c r="CF350" i="10"/>
  <c r="BV350" i="10"/>
  <c r="BP350" i="10"/>
  <c r="BI350" i="10"/>
  <c r="AG350" i="10"/>
  <c r="Y350" i="10"/>
  <c r="T350" i="10"/>
  <c r="S350" i="10"/>
  <c r="J350" i="10"/>
  <c r="D350" i="10"/>
  <c r="C350" i="10"/>
  <c r="B350" i="10"/>
  <c r="DW349" i="10"/>
  <c r="DG349" i="10"/>
  <c r="DC349" i="10"/>
  <c r="CH349" i="10"/>
  <c r="BV349" i="10"/>
  <c r="AX349" i="10"/>
  <c r="AO349" i="10"/>
  <c r="AL349" i="10"/>
  <c r="AJ349" i="10"/>
  <c r="AG349" i="10"/>
  <c r="AF349" i="10"/>
  <c r="Y349" i="10"/>
  <c r="T349" i="10"/>
  <c r="S349" i="10"/>
  <c r="J349" i="10"/>
  <c r="D349" i="10"/>
  <c r="C349" i="10"/>
  <c r="B349" i="10"/>
  <c r="DW348" i="10"/>
  <c r="DE348" i="10"/>
  <c r="CW348" i="10"/>
  <c r="CU348" i="10"/>
  <c r="CK348" i="10"/>
  <c r="CH348" i="10"/>
  <c r="CC348" i="10"/>
  <c r="BI348" i="10"/>
  <c r="BG348" i="10"/>
  <c r="AO348" i="10"/>
  <c r="AL348" i="10"/>
  <c r="AG348" i="10"/>
  <c r="Y348" i="10"/>
  <c r="T348" i="10"/>
  <c r="S348" i="10"/>
  <c r="J348" i="10"/>
  <c r="Q348" i="10" s="1"/>
  <c r="D348" i="10"/>
  <c r="C348" i="10"/>
  <c r="B348" i="10"/>
  <c r="CW347" i="10"/>
  <c r="CU347" i="10"/>
  <c r="BP347" i="10"/>
  <c r="AU347" i="10"/>
  <c r="AR347" i="10"/>
  <c r="AG347" i="10"/>
  <c r="Y347" i="10"/>
  <c r="T347" i="10"/>
  <c r="S347" i="10"/>
  <c r="J347" i="10"/>
  <c r="D347" i="10"/>
  <c r="DW347" i="10" s="1"/>
  <c r="C347" i="10"/>
  <c r="B347" i="10"/>
  <c r="CW346" i="10"/>
  <c r="CU346" i="10"/>
  <c r="AG346" i="10"/>
  <c r="Y346" i="10"/>
  <c r="T346" i="10"/>
  <c r="S346" i="10"/>
  <c r="J346" i="10"/>
  <c r="DP346" i="10"/>
  <c r="D346" i="10"/>
  <c r="DW346" i="10" s="1"/>
  <c r="C346" i="10"/>
  <c r="B346" i="10"/>
  <c r="DW345" i="10"/>
  <c r="CU345" i="10"/>
  <c r="BV345" i="10"/>
  <c r="BS345" i="10"/>
  <c r="BP345" i="10"/>
  <c r="AG345" i="10"/>
  <c r="Y345" i="10"/>
  <c r="T345" i="10"/>
  <c r="J345" i="10"/>
  <c r="D345" i="10"/>
  <c r="C345" i="10"/>
  <c r="B345" i="10"/>
  <c r="DG344" i="10"/>
  <c r="DE344" i="10"/>
  <c r="DC344" i="10"/>
  <c r="CZ344" i="10"/>
  <c r="CF344" i="10"/>
  <c r="CC344" i="10"/>
  <c r="AL344" i="10"/>
  <c r="AG344" i="10"/>
  <c r="Y344" i="10"/>
  <c r="T344" i="10"/>
  <c r="S344" i="10"/>
  <c r="J344" i="10"/>
  <c r="D344" i="10"/>
  <c r="DW344" i="10" s="1"/>
  <c r="C344" i="10"/>
  <c r="B344" i="10"/>
  <c r="DW343" i="10"/>
  <c r="DI343" i="10"/>
  <c r="DG343" i="10"/>
  <c r="DE343" i="10"/>
  <c r="CO343" i="10"/>
  <c r="CF343" i="10"/>
  <c r="CC343" i="10"/>
  <c r="BI343" i="10"/>
  <c r="BG343" i="10"/>
  <c r="AL343" i="10"/>
  <c r="AG343" i="10"/>
  <c r="Y343" i="10"/>
  <c r="T343" i="10"/>
  <c r="X343" i="10" s="1"/>
  <c r="J343" i="10"/>
  <c r="D343" i="10"/>
  <c r="C343" i="10"/>
  <c r="B343" i="10"/>
  <c r="DI342" i="10"/>
  <c r="DG342" i="10"/>
  <c r="DE342" i="10"/>
  <c r="CW342" i="10"/>
  <c r="CH342" i="10"/>
  <c r="BI342" i="10"/>
  <c r="BA342" i="10"/>
  <c r="AR342" i="10"/>
  <c r="AG342" i="10"/>
  <c r="Y342" i="10"/>
  <c r="T342" i="10"/>
  <c r="X342" i="10" s="1"/>
  <c r="J342" i="10"/>
  <c r="D342" i="10"/>
  <c r="DW342" i="10" s="1"/>
  <c r="C342" i="10"/>
  <c r="B342" i="10"/>
  <c r="DW341" i="10"/>
  <c r="DI341" i="10"/>
  <c r="CK341" i="10"/>
  <c r="BV341" i="10"/>
  <c r="BG341" i="10"/>
  <c r="AU341" i="10"/>
  <c r="AG341" i="10"/>
  <c r="Y341" i="10"/>
  <c r="T341" i="10"/>
  <c r="J341" i="10"/>
  <c r="D341" i="10"/>
  <c r="C341" i="10"/>
  <c r="B341" i="10"/>
  <c r="DW340" i="10"/>
  <c r="DI340" i="10"/>
  <c r="DC340" i="10"/>
  <c r="CZ340" i="10"/>
  <c r="CH340" i="10"/>
  <c r="BV340" i="10"/>
  <c r="BS340" i="10"/>
  <c r="BP340" i="10"/>
  <c r="AG340" i="10"/>
  <c r="Y340" i="10"/>
  <c r="T340" i="10"/>
  <c r="J340" i="10"/>
  <c r="D340" i="10"/>
  <c r="C340" i="10"/>
  <c r="B340" i="10"/>
  <c r="I340" i="10" s="1"/>
  <c r="DE339" i="10"/>
  <c r="CS339" i="10"/>
  <c r="BV339" i="10"/>
  <c r="AG339" i="10"/>
  <c r="Y339" i="10"/>
  <c r="T339" i="10"/>
  <c r="J339" i="10"/>
  <c r="D339" i="10"/>
  <c r="DW339" i="10" s="1"/>
  <c r="C339" i="10"/>
  <c r="B339" i="10"/>
  <c r="DG338" i="10"/>
  <c r="BI338" i="10"/>
  <c r="AO338" i="10"/>
  <c r="AL338" i="10"/>
  <c r="AG338" i="10"/>
  <c r="Y338" i="10"/>
  <c r="T338" i="10"/>
  <c r="J338" i="10"/>
  <c r="D338" i="10"/>
  <c r="DW338" i="10" s="1"/>
  <c r="C338" i="10"/>
  <c r="B338" i="10"/>
  <c r="DW337" i="10"/>
  <c r="CU337" i="10"/>
  <c r="CC337" i="10"/>
  <c r="AG337" i="10"/>
  <c r="Y337" i="10"/>
  <c r="T337" i="10"/>
  <c r="J337" i="10"/>
  <c r="D337" i="10"/>
  <c r="C337" i="10"/>
  <c r="B337" i="10"/>
  <c r="CZ336" i="10"/>
  <c r="CW336" i="10"/>
  <c r="CU336" i="10"/>
  <c r="CF336" i="10"/>
  <c r="CC336" i="10"/>
  <c r="BV336" i="10"/>
  <c r="BI336" i="10"/>
  <c r="BG336" i="10"/>
  <c r="AR336" i="10"/>
  <c r="AG336" i="10"/>
  <c r="AB336" i="10"/>
  <c r="Y336" i="10"/>
  <c r="T336" i="10"/>
  <c r="J336" i="10"/>
  <c r="D336" i="10"/>
  <c r="DW336" i="10" s="1"/>
  <c r="C336" i="10"/>
  <c r="B336" i="10"/>
  <c r="DE335" i="10"/>
  <c r="DC335" i="10"/>
  <c r="CW335" i="10"/>
  <c r="CU335" i="10"/>
  <c r="CC335" i="10"/>
  <c r="BS335" i="10"/>
  <c r="BP335" i="10"/>
  <c r="AG335" i="10"/>
  <c r="Y335" i="10"/>
  <c r="T335" i="10"/>
  <c r="DP335" i="10"/>
  <c r="J335" i="10"/>
  <c r="D335" i="10"/>
  <c r="DW335" i="10" s="1"/>
  <c r="C335" i="10"/>
  <c r="B335" i="10"/>
  <c r="CU334" i="10"/>
  <c r="CK334" i="10"/>
  <c r="CH334" i="10"/>
  <c r="AG334" i="10"/>
  <c r="Y334" i="10"/>
  <c r="T334" i="10"/>
  <c r="J334" i="10"/>
  <c r="D334" i="10"/>
  <c r="DW334" i="10" s="1"/>
  <c r="C334" i="10"/>
  <c r="B334" i="10"/>
  <c r="DW333" i="10"/>
  <c r="DG333" i="10"/>
  <c r="CK333" i="10"/>
  <c r="CH333" i="10"/>
  <c r="BP333" i="10"/>
  <c r="BG333" i="10"/>
  <c r="BA333" i="10"/>
  <c r="AJ333" i="10"/>
  <c r="AG333" i="10"/>
  <c r="Y333" i="10"/>
  <c r="T333" i="10"/>
  <c r="J333" i="10"/>
  <c r="D333" i="10"/>
  <c r="C333" i="10"/>
  <c r="B333" i="10"/>
  <c r="DW332" i="10"/>
  <c r="DI332" i="10"/>
  <c r="DG332" i="10"/>
  <c r="CC332" i="10"/>
  <c r="BV332" i="10"/>
  <c r="BE332" i="10"/>
  <c r="AL332" i="10"/>
  <c r="AG332" i="10"/>
  <c r="Y332" i="10"/>
  <c r="T332" i="10"/>
  <c r="J332" i="10"/>
  <c r="D332" i="10"/>
  <c r="C332" i="10"/>
  <c r="B332" i="10"/>
  <c r="DW331" i="10"/>
  <c r="DN331" i="10"/>
  <c r="DI331" i="10"/>
  <c r="DG331" i="10"/>
  <c r="DE331" i="10"/>
  <c r="DC331" i="10"/>
  <c r="CZ331" i="10"/>
  <c r="CW331" i="10"/>
  <c r="CH331" i="10"/>
  <c r="CA331" i="10"/>
  <c r="BI331" i="10"/>
  <c r="BG331" i="10"/>
  <c r="AR331" i="10"/>
  <c r="AG331" i="10"/>
  <c r="Y331" i="10"/>
  <c r="X331" i="10"/>
  <c r="T331" i="10"/>
  <c r="J331" i="10"/>
  <c r="D331" i="10"/>
  <c r="C331" i="10"/>
  <c r="B331" i="10"/>
  <c r="DI330" i="10"/>
  <c r="DE330" i="10"/>
  <c r="AX330" i="10"/>
  <c r="AU330" i="10"/>
  <c r="AG330" i="10"/>
  <c r="Y330" i="10"/>
  <c r="T330" i="10"/>
  <c r="J330" i="10"/>
  <c r="D330" i="10"/>
  <c r="DW330" i="10" s="1"/>
  <c r="C330" i="10"/>
  <c r="B330" i="10"/>
  <c r="DW329" i="10"/>
  <c r="DI329" i="10"/>
  <c r="CF329" i="10"/>
  <c r="CC329" i="10"/>
  <c r="BA329" i="10"/>
  <c r="AG329" i="10"/>
  <c r="Y329" i="10"/>
  <c r="T329" i="10"/>
  <c r="J329" i="10"/>
  <c r="D329" i="10"/>
  <c r="C329" i="10"/>
  <c r="B329" i="10"/>
  <c r="CS328" i="10"/>
  <c r="CO328" i="10"/>
  <c r="CF328" i="10"/>
  <c r="BV328" i="10"/>
  <c r="BP328" i="10"/>
  <c r="BI328" i="10"/>
  <c r="AG328" i="10"/>
  <c r="Y328" i="10"/>
  <c r="T328" i="10"/>
  <c r="S328" i="10"/>
  <c r="J328" i="10"/>
  <c r="D328" i="10"/>
  <c r="DW328" i="10" s="1"/>
  <c r="C328" i="10"/>
  <c r="B328" i="10"/>
  <c r="DW327" i="10"/>
  <c r="DG327" i="10"/>
  <c r="CZ327" i="10"/>
  <c r="CH327" i="10"/>
  <c r="CF327" i="10"/>
  <c r="CA327" i="10"/>
  <c r="AX327" i="10"/>
  <c r="AO327" i="10"/>
  <c r="AL327" i="10"/>
  <c r="AG327" i="10"/>
  <c r="AF327" i="10"/>
  <c r="Y327" i="10"/>
  <c r="T327" i="10"/>
  <c r="J327" i="10"/>
  <c r="D327" i="10"/>
  <c r="C327" i="10"/>
  <c r="B327" i="10"/>
  <c r="DE326" i="10"/>
  <c r="CZ326" i="10"/>
  <c r="CU326" i="10"/>
  <c r="CK326" i="10"/>
  <c r="CH326" i="10"/>
  <c r="CC326" i="10"/>
  <c r="BI326" i="10"/>
  <c r="BG326" i="10"/>
  <c r="BE326" i="10"/>
  <c r="AG326" i="10"/>
  <c r="Y326" i="10"/>
  <c r="T326" i="10"/>
  <c r="S326" i="10"/>
  <c r="J326" i="10"/>
  <c r="D326" i="10"/>
  <c r="DW326" i="10" s="1"/>
  <c r="C326" i="10"/>
  <c r="B326" i="10"/>
  <c r="DN325" i="10"/>
  <c r="CW325" i="10"/>
  <c r="CU325" i="10"/>
  <c r="BP325" i="10"/>
  <c r="AU325" i="10"/>
  <c r="AR325" i="10"/>
  <c r="AG325" i="10"/>
  <c r="Y325" i="10"/>
  <c r="T325" i="10"/>
  <c r="S325" i="10"/>
  <c r="J325" i="10"/>
  <c r="D325" i="10"/>
  <c r="DW325" i="10" s="1"/>
  <c r="C325" i="10"/>
  <c r="B325" i="10"/>
  <c r="CW324" i="10"/>
  <c r="CU324" i="10"/>
  <c r="CS324" i="10"/>
  <c r="AU324" i="10"/>
  <c r="AR324" i="10"/>
  <c r="AG324" i="10"/>
  <c r="AB324" i="10"/>
  <c r="Y324" i="10"/>
  <c r="T324" i="10"/>
  <c r="S324" i="10"/>
  <c r="J324" i="10"/>
  <c r="DP324" i="10"/>
  <c r="D324" i="10"/>
  <c r="DW324" i="10" s="1"/>
  <c r="C324" i="10"/>
  <c r="B324" i="10"/>
  <c r="CU323" i="10"/>
  <c r="BS323" i="10"/>
  <c r="BP323" i="10"/>
  <c r="AG323" i="10"/>
  <c r="Y323" i="10"/>
  <c r="AB323" i="10" s="1"/>
  <c r="T323" i="10"/>
  <c r="J323" i="10"/>
  <c r="D323" i="10"/>
  <c r="DW323" i="10" s="1"/>
  <c r="C323" i="10"/>
  <c r="B323" i="10"/>
  <c r="DW322" i="10"/>
  <c r="DG322" i="10"/>
  <c r="DC322" i="10"/>
  <c r="CF322" i="10"/>
  <c r="CC322" i="10"/>
  <c r="BP322" i="10"/>
  <c r="AL322" i="10"/>
  <c r="AJ322" i="10"/>
  <c r="AG322" i="10"/>
  <c r="Y322" i="10"/>
  <c r="T322" i="10"/>
  <c r="J322" i="10"/>
  <c r="D322" i="10"/>
  <c r="C322" i="10"/>
  <c r="B322" i="10"/>
  <c r="DI321" i="10"/>
  <c r="DG321" i="10"/>
  <c r="DE321" i="10"/>
  <c r="CF321" i="10"/>
  <c r="CC321" i="10"/>
  <c r="BI321" i="10"/>
  <c r="BG321" i="10"/>
  <c r="AO321" i="10"/>
  <c r="AL321" i="10"/>
  <c r="AG321" i="10"/>
  <c r="Y321" i="10"/>
  <c r="T321" i="10"/>
  <c r="X321" i="10" s="1"/>
  <c r="J321" i="10"/>
  <c r="D321" i="10"/>
  <c r="DW321" i="10" s="1"/>
  <c r="C321" i="10"/>
  <c r="I321" i="10" s="1"/>
  <c r="B321" i="10"/>
  <c r="DN320" i="10"/>
  <c r="DI320" i="10"/>
  <c r="DG320" i="10"/>
  <c r="DE320" i="10"/>
  <c r="CW320" i="10"/>
  <c r="CH320" i="10"/>
  <c r="BE320" i="10"/>
  <c r="AR320" i="10"/>
  <c r="AG320" i="10"/>
  <c r="Y320" i="10"/>
  <c r="T320" i="10"/>
  <c r="J320" i="10"/>
  <c r="D320" i="10"/>
  <c r="DW320" i="10" s="1"/>
  <c r="C320" i="10"/>
  <c r="B320" i="10"/>
  <c r="DI319" i="10"/>
  <c r="DG319" i="10"/>
  <c r="CK319" i="10"/>
  <c r="CH319" i="10"/>
  <c r="BV319" i="10"/>
  <c r="BG319" i="10"/>
  <c r="AG319" i="10"/>
  <c r="Y319" i="10"/>
  <c r="AB319" i="10" s="1"/>
  <c r="T319" i="10"/>
  <c r="S319" i="10"/>
  <c r="J319" i="10"/>
  <c r="D319" i="10"/>
  <c r="DW319" i="10" s="1"/>
  <c r="C319" i="10"/>
  <c r="B319" i="10"/>
  <c r="DW318" i="10"/>
  <c r="DI318" i="10"/>
  <c r="DE318" i="10"/>
  <c r="DC318" i="10"/>
  <c r="CZ318" i="10"/>
  <c r="CH318" i="10"/>
  <c r="BV318" i="10"/>
  <c r="BS318" i="10"/>
  <c r="BP318" i="10"/>
  <c r="AG318" i="10"/>
  <c r="AF318" i="10"/>
  <c r="Y318" i="10"/>
  <c r="T318" i="10"/>
  <c r="J318" i="10"/>
  <c r="D318" i="10"/>
  <c r="C318" i="10"/>
  <c r="B318" i="10"/>
  <c r="DE317" i="10"/>
  <c r="BV317" i="10"/>
  <c r="BA317" i="10"/>
  <c r="AG317" i="10"/>
  <c r="Y317" i="10"/>
  <c r="T317" i="10"/>
  <c r="J317" i="10"/>
  <c r="D317" i="10"/>
  <c r="DW317" i="10" s="1"/>
  <c r="C317" i="10"/>
  <c r="B317" i="10"/>
  <c r="DG316" i="10"/>
  <c r="BN316" i="10"/>
  <c r="BI316" i="10"/>
  <c r="AO316" i="10"/>
  <c r="AL316" i="10"/>
  <c r="AG316" i="10"/>
  <c r="Y316" i="10"/>
  <c r="T316" i="10"/>
  <c r="J316" i="10"/>
  <c r="D316" i="10"/>
  <c r="DW316" i="10" s="1"/>
  <c r="C316" i="10"/>
  <c r="B316" i="10"/>
  <c r="DW315" i="10"/>
  <c r="CW315" i="10"/>
  <c r="CU315" i="10"/>
  <c r="CC315" i="10"/>
  <c r="AG315" i="10"/>
  <c r="Y315" i="10"/>
  <c r="T315" i="10"/>
  <c r="J315" i="10"/>
  <c r="D315" i="10"/>
  <c r="C315" i="10"/>
  <c r="B315" i="10"/>
  <c r="CZ314" i="10"/>
  <c r="CW314" i="10"/>
  <c r="CU314" i="10"/>
  <c r="CF314" i="10"/>
  <c r="CC314" i="10"/>
  <c r="CA314" i="10"/>
  <c r="BV314" i="10"/>
  <c r="BI314" i="10"/>
  <c r="BG314" i="10"/>
  <c r="BA314" i="10"/>
  <c r="AX314" i="10"/>
  <c r="AU314" i="10"/>
  <c r="AR314" i="10"/>
  <c r="AG314" i="10"/>
  <c r="AB314" i="10"/>
  <c r="Y314" i="10"/>
  <c r="T314" i="10"/>
  <c r="J314" i="10"/>
  <c r="D314" i="10"/>
  <c r="DW314" i="10" s="1"/>
  <c r="C314" i="10"/>
  <c r="B314" i="10"/>
  <c r="DW313" i="10"/>
  <c r="DE313" i="10"/>
  <c r="CZ313" i="10"/>
  <c r="CW313" i="10"/>
  <c r="CU313" i="10"/>
  <c r="CS313" i="10"/>
  <c r="CC313" i="10"/>
  <c r="BS313" i="10"/>
  <c r="BP313" i="10"/>
  <c r="AG313" i="10"/>
  <c r="Y313" i="10"/>
  <c r="T313" i="10"/>
  <c r="J313" i="10"/>
  <c r="DP313" i="10"/>
  <c r="D313" i="10"/>
  <c r="C313" i="10"/>
  <c r="B313" i="10"/>
  <c r="CU312" i="10"/>
  <c r="CH312" i="10"/>
  <c r="AG312" i="10"/>
  <c r="Y312" i="10"/>
  <c r="T312" i="10"/>
  <c r="J312" i="10"/>
  <c r="D312" i="10"/>
  <c r="DW312" i="10" s="1"/>
  <c r="C312" i="10"/>
  <c r="B312" i="10"/>
  <c r="I312" i="10" s="1"/>
  <c r="DG311" i="10"/>
  <c r="CK311" i="10"/>
  <c r="BP311" i="10"/>
  <c r="BN311" i="10"/>
  <c r="BG311" i="10"/>
  <c r="BA311" i="10"/>
  <c r="AL311" i="10"/>
  <c r="AJ311" i="10"/>
  <c r="AG311" i="10"/>
  <c r="Y311" i="10"/>
  <c r="T311" i="10"/>
  <c r="J311" i="10"/>
  <c r="D311" i="10"/>
  <c r="DW311" i="10" s="1"/>
  <c r="C311" i="10"/>
  <c r="B311" i="10"/>
  <c r="DI310" i="10"/>
  <c r="DG310" i="10"/>
  <c r="CO310" i="10"/>
  <c r="BV310" i="10"/>
  <c r="AO310" i="10"/>
  <c r="AL310" i="10"/>
  <c r="AG310" i="10"/>
  <c r="Y310" i="10"/>
  <c r="AB310" i="10" s="1"/>
  <c r="T310" i="10"/>
  <c r="J310" i="10"/>
  <c r="D310" i="10"/>
  <c r="DW310" i="10" s="1"/>
  <c r="C310" i="10"/>
  <c r="B310" i="10"/>
  <c r="DN309" i="10"/>
  <c r="DI309" i="10"/>
  <c r="DG309" i="10"/>
  <c r="DE309" i="10"/>
  <c r="DC309" i="10"/>
  <c r="CZ309" i="10"/>
  <c r="CW309" i="10"/>
  <c r="CH309" i="10"/>
  <c r="BI309" i="10"/>
  <c r="BG309" i="10"/>
  <c r="AR309" i="10"/>
  <c r="AG309" i="10"/>
  <c r="Y309" i="10"/>
  <c r="X309" i="10"/>
  <c r="T309" i="10"/>
  <c r="J309" i="10"/>
  <c r="D309" i="10"/>
  <c r="DW309" i="10" s="1"/>
  <c r="C309" i="10"/>
  <c r="B309" i="10"/>
  <c r="DW308" i="10"/>
  <c r="DI308" i="10"/>
  <c r="DE308" i="10"/>
  <c r="CC308" i="10"/>
  <c r="BS308" i="10"/>
  <c r="BP308" i="10"/>
  <c r="AG308" i="10"/>
  <c r="Y308" i="10"/>
  <c r="T308" i="10"/>
  <c r="J308" i="10"/>
  <c r="D308" i="10"/>
  <c r="C308" i="10"/>
  <c r="B308" i="10"/>
  <c r="DI307" i="10"/>
  <c r="CF307" i="10"/>
  <c r="CC307" i="10"/>
  <c r="AG307" i="10"/>
  <c r="Y307" i="10"/>
  <c r="T307" i="10"/>
  <c r="J307" i="10"/>
  <c r="D307" i="10"/>
  <c r="DW307" i="10" s="1"/>
  <c r="C307" i="10"/>
  <c r="B307" i="10"/>
  <c r="DW306" i="10"/>
  <c r="CS306" i="10"/>
  <c r="CF306" i="10"/>
  <c r="CC306" i="10"/>
  <c r="BV306" i="10"/>
  <c r="BP306" i="10"/>
  <c r="BI306" i="10"/>
  <c r="AG306" i="10"/>
  <c r="Y306" i="10"/>
  <c r="T306" i="10"/>
  <c r="S306" i="10"/>
  <c r="J306" i="10"/>
  <c r="D306" i="10"/>
  <c r="C306" i="10"/>
  <c r="B306" i="10"/>
  <c r="DW305" i="10"/>
  <c r="DG305" i="10"/>
  <c r="CZ305" i="10"/>
  <c r="CH305" i="10"/>
  <c r="CF305" i="10"/>
  <c r="AL305" i="10"/>
  <c r="AG305" i="10"/>
  <c r="AJ305" i="10" s="1"/>
  <c r="AF305" i="10"/>
  <c r="AB305" i="10"/>
  <c r="Y305" i="10"/>
  <c r="T305" i="10"/>
  <c r="S305" i="10"/>
  <c r="J305" i="10"/>
  <c r="D305" i="10"/>
  <c r="C305" i="10"/>
  <c r="B305" i="10"/>
  <c r="DE304" i="10"/>
  <c r="CZ304" i="10"/>
  <c r="CU304" i="10"/>
  <c r="CH304" i="10"/>
  <c r="CC304" i="10"/>
  <c r="BI304" i="10"/>
  <c r="BE304" i="10"/>
  <c r="AO304" i="10"/>
  <c r="AL304" i="10"/>
  <c r="AG304" i="10"/>
  <c r="Y304" i="10"/>
  <c r="T304" i="10"/>
  <c r="J304" i="10"/>
  <c r="D304" i="10"/>
  <c r="DW304" i="10" s="1"/>
  <c r="C304" i="10"/>
  <c r="B304" i="10"/>
  <c r="DW303" i="10"/>
  <c r="DP303" i="10"/>
  <c r="CW303" i="10"/>
  <c r="CU303" i="10"/>
  <c r="BP303" i="10"/>
  <c r="AU303" i="10"/>
  <c r="AR303" i="10"/>
  <c r="AG303" i="10"/>
  <c r="Y303" i="10"/>
  <c r="T303" i="10"/>
  <c r="J303" i="10"/>
  <c r="D303" i="10"/>
  <c r="C303" i="10"/>
  <c r="B303" i="10"/>
  <c r="DW302" i="10"/>
  <c r="DP302" i="10"/>
  <c r="CW302" i="10"/>
  <c r="CU302" i="10"/>
  <c r="CS302" i="10"/>
  <c r="AG302" i="10"/>
  <c r="Y302" i="10"/>
  <c r="T302" i="10"/>
  <c r="S302" i="10"/>
  <c r="J302" i="10"/>
  <c r="D302" i="10"/>
  <c r="C302" i="10"/>
  <c r="B302" i="10"/>
  <c r="DW301" i="10"/>
  <c r="CW301" i="10"/>
  <c r="CU301" i="10"/>
  <c r="BV301" i="10"/>
  <c r="BS301" i="10"/>
  <c r="BP301" i="10"/>
  <c r="BN301" i="10"/>
  <c r="AG301" i="10"/>
  <c r="AB301" i="10"/>
  <c r="Y301" i="10"/>
  <c r="T301" i="10"/>
  <c r="S301" i="10"/>
  <c r="J301" i="10"/>
  <c r="D301" i="10"/>
  <c r="C301" i="10"/>
  <c r="B301" i="10"/>
  <c r="I301" i="10" s="1"/>
  <c r="DG300" i="10"/>
  <c r="DE300" i="10"/>
  <c r="DC300" i="10"/>
  <c r="CC300" i="10"/>
  <c r="BP300" i="10"/>
  <c r="AL300" i="10"/>
  <c r="AG300" i="10"/>
  <c r="Y300" i="10"/>
  <c r="T300" i="10"/>
  <c r="S300" i="10"/>
  <c r="J300" i="10"/>
  <c r="D300" i="10"/>
  <c r="DW300" i="10" s="1"/>
  <c r="C300" i="10"/>
  <c r="B300" i="10"/>
  <c r="DW299" i="10"/>
  <c r="DI299" i="10"/>
  <c r="DG299" i="10"/>
  <c r="DE299" i="10"/>
  <c r="CO299" i="10"/>
  <c r="CF299" i="10"/>
  <c r="CC299" i="10"/>
  <c r="BI299" i="10"/>
  <c r="BG299" i="10"/>
  <c r="AO299" i="10"/>
  <c r="AL299" i="10"/>
  <c r="AJ299" i="10"/>
  <c r="AG299" i="10"/>
  <c r="Y299" i="10"/>
  <c r="X299" i="10"/>
  <c r="T299" i="10"/>
  <c r="DP299" i="10"/>
  <c r="J299" i="10"/>
  <c r="D299" i="10"/>
  <c r="C299" i="10"/>
  <c r="B299" i="10"/>
  <c r="DW298" i="10"/>
  <c r="DN298" i="10"/>
  <c r="DI298" i="10"/>
  <c r="DG298" i="10"/>
  <c r="DE298" i="10"/>
  <c r="CW298" i="10"/>
  <c r="CH298" i="10"/>
  <c r="BE298" i="10"/>
  <c r="BA298" i="10"/>
  <c r="AR298" i="10"/>
  <c r="AG298" i="10"/>
  <c r="Y298" i="10"/>
  <c r="X298" i="10"/>
  <c r="T298" i="10"/>
  <c r="S298" i="10"/>
  <c r="J298" i="10"/>
  <c r="D298" i="10"/>
  <c r="C298" i="10"/>
  <c r="B298" i="10"/>
  <c r="DW297" i="10"/>
  <c r="DI297" i="10"/>
  <c r="DG297" i="10"/>
  <c r="CH297" i="10"/>
  <c r="BV297" i="10"/>
  <c r="BG297" i="10"/>
  <c r="AU297" i="10"/>
  <c r="AG297" i="10"/>
  <c r="Y297" i="10"/>
  <c r="T297" i="10"/>
  <c r="J297" i="10"/>
  <c r="D297" i="10"/>
  <c r="C297" i="10"/>
  <c r="B297" i="10"/>
  <c r="DN296" i="10"/>
  <c r="DI296" i="10"/>
  <c r="DE296" i="10"/>
  <c r="DC296" i="10"/>
  <c r="CZ296" i="10"/>
  <c r="CH296" i="10"/>
  <c r="BV296" i="10"/>
  <c r="BP296" i="10"/>
  <c r="AG296" i="10"/>
  <c r="Y296" i="10"/>
  <c r="T296" i="10"/>
  <c r="J296" i="10"/>
  <c r="D296" i="10"/>
  <c r="DW296" i="10" s="1"/>
  <c r="C296" i="10"/>
  <c r="B296" i="10"/>
  <c r="DW295" i="10"/>
  <c r="DE295" i="10"/>
  <c r="CS295" i="10"/>
  <c r="CO295" i="10"/>
  <c r="BV295" i="10"/>
  <c r="BA295" i="10"/>
  <c r="AG295" i="10"/>
  <c r="Y295" i="10"/>
  <c r="T295" i="10"/>
  <c r="S295" i="10"/>
  <c r="J295" i="10"/>
  <c r="D295" i="10"/>
  <c r="C295" i="10"/>
  <c r="B295" i="10"/>
  <c r="DG294" i="10"/>
  <c r="BN294" i="10"/>
  <c r="BI294" i="10"/>
  <c r="AO294" i="10"/>
  <c r="AL294" i="10"/>
  <c r="AG294" i="10"/>
  <c r="AJ294" i="10" s="1"/>
  <c r="Y294" i="10"/>
  <c r="T294" i="10"/>
  <c r="J294" i="10"/>
  <c r="D294" i="10"/>
  <c r="DW294" i="10" s="1"/>
  <c r="C294" i="10"/>
  <c r="B294" i="10"/>
  <c r="DW293" i="10"/>
  <c r="CW293" i="10"/>
  <c r="CU293" i="10"/>
  <c r="CC293" i="10"/>
  <c r="AO293" i="10"/>
  <c r="AL293" i="10"/>
  <c r="AG293" i="10"/>
  <c r="Y293" i="10"/>
  <c r="T293" i="10"/>
  <c r="Q293" i="10"/>
  <c r="J293" i="10"/>
  <c r="D293" i="10"/>
  <c r="C293" i="10"/>
  <c r="B293" i="10"/>
  <c r="CZ292" i="10"/>
  <c r="CW292" i="10"/>
  <c r="CU292" i="10"/>
  <c r="CF292" i="10"/>
  <c r="CC292" i="10"/>
  <c r="BV292" i="10"/>
  <c r="BI292" i="10"/>
  <c r="BG292" i="10"/>
  <c r="AX292" i="10"/>
  <c r="AR292" i="10"/>
  <c r="AJ292" i="10"/>
  <c r="AG292" i="10"/>
  <c r="AF292" i="10"/>
  <c r="Y292" i="10"/>
  <c r="T292" i="10"/>
  <c r="J292" i="10"/>
  <c r="D292" i="10"/>
  <c r="DW292" i="10" s="1"/>
  <c r="C292" i="10"/>
  <c r="B292" i="10"/>
  <c r="DE291" i="10"/>
  <c r="CW291" i="10"/>
  <c r="CU291" i="10"/>
  <c r="CS291" i="10"/>
  <c r="CF291" i="10"/>
  <c r="CC291" i="10"/>
  <c r="BS291" i="10"/>
  <c r="BP291" i="10"/>
  <c r="BE291" i="10"/>
  <c r="AG291" i="10"/>
  <c r="Y291" i="10"/>
  <c r="T291" i="10"/>
  <c r="J291" i="10"/>
  <c r="DP291" i="10"/>
  <c r="D291" i="10"/>
  <c r="DW291" i="10" s="1"/>
  <c r="C291" i="10"/>
  <c r="B291" i="10"/>
  <c r="DE290" i="10"/>
  <c r="CU290" i="10"/>
  <c r="CK290" i="10"/>
  <c r="CH290" i="10"/>
  <c r="AG290" i="10"/>
  <c r="Y290" i="10"/>
  <c r="T290" i="10"/>
  <c r="J290" i="10"/>
  <c r="D290" i="10"/>
  <c r="DW290" i="10" s="1"/>
  <c r="C290" i="10"/>
  <c r="B290" i="10"/>
  <c r="DW289" i="10"/>
  <c r="DG289" i="10"/>
  <c r="CK289" i="10"/>
  <c r="BP289" i="10"/>
  <c r="BN289" i="10"/>
  <c r="BI289" i="10"/>
  <c r="BG289" i="10"/>
  <c r="BA289" i="10"/>
  <c r="AX289" i="10"/>
  <c r="AL289" i="10"/>
  <c r="AG289" i="10"/>
  <c r="Y289" i="10"/>
  <c r="T289" i="10"/>
  <c r="J289" i="10"/>
  <c r="D289" i="10"/>
  <c r="C289" i="10"/>
  <c r="B289" i="10"/>
  <c r="DW288" i="10"/>
  <c r="DI288" i="10"/>
  <c r="DG288" i="10"/>
  <c r="CO288" i="10"/>
  <c r="BV288" i="10"/>
  <c r="AL288" i="10"/>
  <c r="AG288" i="10"/>
  <c r="AB288" i="10"/>
  <c r="Y288" i="10"/>
  <c r="X288" i="10"/>
  <c r="T288" i="10"/>
  <c r="J288" i="10"/>
  <c r="DP288" i="10"/>
  <c r="D288" i="10"/>
  <c r="C288" i="10"/>
  <c r="B288" i="10"/>
  <c r="DW287" i="10"/>
  <c r="DN287" i="10"/>
  <c r="DI287" i="10"/>
  <c r="DG287" i="10"/>
  <c r="DE287" i="10"/>
  <c r="DC287" i="10"/>
  <c r="CZ287" i="10"/>
  <c r="CW287" i="10"/>
  <c r="CS287" i="10"/>
  <c r="CH287" i="10"/>
  <c r="BI287" i="10"/>
  <c r="BG287" i="10"/>
  <c r="AR287" i="10"/>
  <c r="AG287" i="10"/>
  <c r="Y287" i="10"/>
  <c r="X287" i="10"/>
  <c r="T287" i="10"/>
  <c r="J287" i="10"/>
  <c r="D287" i="10"/>
  <c r="C287" i="10"/>
  <c r="I287" i="10" s="1"/>
  <c r="B287" i="10"/>
  <c r="DI286" i="10"/>
  <c r="CF286" i="10"/>
  <c r="CC286" i="10"/>
  <c r="BS286" i="10"/>
  <c r="BG286" i="10"/>
  <c r="AX286" i="10"/>
  <c r="AU286" i="10"/>
  <c r="AG286" i="10"/>
  <c r="Y286" i="10"/>
  <c r="T286" i="10"/>
  <c r="J286" i="10"/>
  <c r="D286" i="10"/>
  <c r="DW286" i="10" s="1"/>
  <c r="C286" i="10"/>
  <c r="B286" i="10"/>
  <c r="DI285" i="10"/>
  <c r="DG285" i="10"/>
  <c r="DC285" i="10"/>
  <c r="CF285" i="10"/>
  <c r="CC285" i="10"/>
  <c r="AG285" i="10"/>
  <c r="Y285" i="10"/>
  <c r="T285" i="10"/>
  <c r="J285" i="10"/>
  <c r="D285" i="10"/>
  <c r="DW285" i="10" s="1"/>
  <c r="C285" i="10"/>
  <c r="B285" i="10"/>
  <c r="CS284" i="10"/>
  <c r="CO284" i="10"/>
  <c r="CF284" i="10"/>
  <c r="CC284" i="10"/>
  <c r="BV284" i="10"/>
  <c r="BP284" i="10"/>
  <c r="BI284" i="10"/>
  <c r="AG284" i="10"/>
  <c r="Y284" i="10"/>
  <c r="T284" i="10"/>
  <c r="S284" i="10"/>
  <c r="J284" i="10"/>
  <c r="D284" i="10"/>
  <c r="DW284" i="10" s="1"/>
  <c r="C284" i="10"/>
  <c r="B284" i="10"/>
  <c r="DG283" i="10"/>
  <c r="CZ283" i="10"/>
  <c r="CH283" i="10"/>
  <c r="CF283" i="10"/>
  <c r="AO283" i="10"/>
  <c r="AL283" i="10"/>
  <c r="AG283" i="10"/>
  <c r="AF283" i="10"/>
  <c r="Y283" i="10"/>
  <c r="T283" i="10"/>
  <c r="S283" i="10"/>
  <c r="J283" i="10"/>
  <c r="D283" i="10"/>
  <c r="DW283" i="10" s="1"/>
  <c r="C283" i="10"/>
  <c r="B283" i="10"/>
  <c r="DI282" i="10"/>
  <c r="DG282" i="10"/>
  <c r="DE282" i="10"/>
  <c r="CU282" i="10"/>
  <c r="CK282" i="10"/>
  <c r="CH282" i="10"/>
  <c r="CC282" i="10"/>
  <c r="BI282" i="10"/>
  <c r="BG282" i="10"/>
  <c r="BE282" i="10"/>
  <c r="AG282" i="10"/>
  <c r="Y282" i="10"/>
  <c r="T282" i="10"/>
  <c r="S282" i="10"/>
  <c r="J282" i="10"/>
  <c r="Q282" i="10" s="1"/>
  <c r="D282" i="10"/>
  <c r="C282" i="10"/>
  <c r="B282" i="10"/>
  <c r="CZ281" i="10"/>
  <c r="CW281" i="10"/>
  <c r="CU281" i="10"/>
  <c r="BP281" i="10"/>
  <c r="AU281" i="10"/>
  <c r="AR281" i="10"/>
  <c r="AG281" i="10"/>
  <c r="Y281" i="10"/>
  <c r="T281" i="10"/>
  <c r="S281" i="10"/>
  <c r="J281" i="10"/>
  <c r="DP281" i="10"/>
  <c r="D281" i="10"/>
  <c r="DW281" i="10" s="1"/>
  <c r="C281" i="10"/>
  <c r="B281" i="10"/>
  <c r="CW280" i="10"/>
  <c r="CU280" i="10"/>
  <c r="CS280" i="10"/>
  <c r="AG280" i="10"/>
  <c r="Y280" i="10"/>
  <c r="T280" i="10"/>
  <c r="S280" i="10"/>
  <c r="J280" i="10"/>
  <c r="DP280" i="10"/>
  <c r="D280" i="10"/>
  <c r="DW280" i="10" s="1"/>
  <c r="C280" i="10"/>
  <c r="B280" i="10"/>
  <c r="DW279" i="10"/>
  <c r="CZ279" i="10"/>
  <c r="CU279" i="10"/>
  <c r="BV279" i="10"/>
  <c r="BS279" i="10"/>
  <c r="BP279" i="10"/>
  <c r="BE279" i="10"/>
  <c r="AJ279" i="10"/>
  <c r="AG279" i="10"/>
  <c r="AB279" i="10"/>
  <c r="Y279" i="10"/>
  <c r="T279" i="10"/>
  <c r="J279" i="10"/>
  <c r="D279" i="10"/>
  <c r="C279" i="10"/>
  <c r="B279" i="10"/>
  <c r="DW278" i="10"/>
  <c r="DG278" i="10"/>
  <c r="DE278" i="10"/>
  <c r="DC278" i="10"/>
  <c r="CZ278" i="10"/>
  <c r="CF278" i="10"/>
  <c r="CC278" i="10"/>
  <c r="BP278" i="10"/>
  <c r="AL278" i="10"/>
  <c r="AG278" i="10"/>
  <c r="AJ278" i="10" s="1"/>
  <c r="Y278" i="10"/>
  <c r="T278" i="10"/>
  <c r="J278" i="10"/>
  <c r="D278" i="10"/>
  <c r="C278" i="10"/>
  <c r="B278" i="10"/>
  <c r="DW277" i="10"/>
  <c r="DI277" i="10"/>
  <c r="DG277" i="10"/>
  <c r="DE277" i="10"/>
  <c r="CO277" i="10"/>
  <c r="CF277" i="10"/>
  <c r="CC277" i="10"/>
  <c r="BV277" i="10"/>
  <c r="BI277" i="10"/>
  <c r="BG277" i="10"/>
  <c r="AO277" i="10"/>
  <c r="AL277" i="10"/>
  <c r="AG277" i="10"/>
  <c r="Y277" i="10"/>
  <c r="X277" i="10"/>
  <c r="DV277" i="10"/>
  <c r="T277" i="10"/>
  <c r="J277" i="10"/>
  <c r="D277" i="10"/>
  <c r="C277" i="10"/>
  <c r="B277" i="10"/>
  <c r="DW276" i="10"/>
  <c r="DN276" i="10"/>
  <c r="DI276" i="10"/>
  <c r="DG276" i="10"/>
  <c r="DE276" i="10"/>
  <c r="CW276" i="10"/>
  <c r="CH276" i="10"/>
  <c r="BE276" i="10"/>
  <c r="BA276" i="10"/>
  <c r="AR276" i="10"/>
  <c r="AG276" i="10"/>
  <c r="Y276" i="10"/>
  <c r="T276" i="10"/>
  <c r="J276" i="10"/>
  <c r="D276" i="10"/>
  <c r="C276" i="10"/>
  <c r="B276" i="10"/>
  <c r="DW275" i="10"/>
  <c r="DI275" i="10"/>
  <c r="CH275" i="10"/>
  <c r="BV275" i="10"/>
  <c r="BG275" i="10"/>
  <c r="AU275" i="10"/>
  <c r="AG275" i="10"/>
  <c r="AB275" i="10"/>
  <c r="Y275" i="10"/>
  <c r="T275" i="10"/>
  <c r="J275" i="10"/>
  <c r="D275" i="10"/>
  <c r="C275" i="10"/>
  <c r="B275" i="10"/>
  <c r="DI274" i="10"/>
  <c r="DE274" i="10"/>
  <c r="DC274" i="10"/>
  <c r="CZ274" i="10"/>
  <c r="CH274" i="10"/>
  <c r="CA274" i="10"/>
  <c r="BV274" i="10"/>
  <c r="BS274" i="10"/>
  <c r="BP274" i="10"/>
  <c r="AG274" i="10"/>
  <c r="Y274" i="10"/>
  <c r="T274" i="10"/>
  <c r="J274" i="10"/>
  <c r="D274" i="10"/>
  <c r="DW274" i="10" s="1"/>
  <c r="C274" i="10"/>
  <c r="B274" i="10"/>
  <c r="DW273" i="10"/>
  <c r="DG273" i="10"/>
  <c r="DE273" i="10"/>
  <c r="DC273" i="10"/>
  <c r="CS273" i="10"/>
  <c r="CO273" i="10"/>
  <c r="BV273" i="10"/>
  <c r="BA273" i="10"/>
  <c r="AG273" i="10"/>
  <c r="Y273" i="10"/>
  <c r="T273" i="10"/>
  <c r="J273" i="10"/>
  <c r="D273" i="10"/>
  <c r="C273" i="10"/>
  <c r="B273" i="10"/>
  <c r="DW272" i="10"/>
  <c r="DG272" i="10"/>
  <c r="BN272" i="10"/>
  <c r="BI272" i="10"/>
  <c r="AO272" i="10"/>
  <c r="AL272" i="10"/>
  <c r="AJ272" i="10"/>
  <c r="AG272" i="10"/>
  <c r="Y272" i="10"/>
  <c r="T272" i="10"/>
  <c r="J272" i="10"/>
  <c r="D272" i="10"/>
  <c r="C272" i="10"/>
  <c r="B272" i="10"/>
  <c r="CW271" i="10"/>
  <c r="CU271" i="10"/>
  <c r="CC271" i="10"/>
  <c r="AG271" i="10"/>
  <c r="Y271" i="10"/>
  <c r="T271" i="10"/>
  <c r="Q271" i="10"/>
  <c r="J271" i="10"/>
  <c r="D271" i="10"/>
  <c r="DW271" i="10" s="1"/>
  <c r="C271" i="10"/>
  <c r="B271" i="10"/>
  <c r="DW270" i="10"/>
  <c r="DN270" i="10"/>
  <c r="CZ270" i="10"/>
  <c r="CW270" i="10"/>
  <c r="CU270" i="10"/>
  <c r="CH270" i="10"/>
  <c r="CC270" i="10"/>
  <c r="CA270" i="10"/>
  <c r="BV270" i="10"/>
  <c r="BI270" i="10"/>
  <c r="BG270" i="10"/>
  <c r="BA270" i="10"/>
  <c r="AX270" i="10"/>
  <c r="AU270" i="10"/>
  <c r="AR270" i="10"/>
  <c r="AG270" i="10"/>
  <c r="AJ270" i="10" s="1"/>
  <c r="Y270" i="10"/>
  <c r="T270" i="10"/>
  <c r="J270" i="10"/>
  <c r="D270" i="10"/>
  <c r="C270" i="10"/>
  <c r="B270" i="10"/>
  <c r="DW269" i="10"/>
  <c r="DE269" i="10"/>
  <c r="DC269" i="10"/>
  <c r="CW269" i="10"/>
  <c r="CU269" i="10"/>
  <c r="CS269" i="10"/>
  <c r="CC269" i="10"/>
  <c r="BS269" i="10"/>
  <c r="BP269" i="10"/>
  <c r="AG269" i="10"/>
  <c r="Y269" i="10"/>
  <c r="T269" i="10"/>
  <c r="J269" i="10"/>
  <c r="DP269" i="10"/>
  <c r="D269" i="10"/>
  <c r="C269" i="10"/>
  <c r="B269" i="10"/>
  <c r="DE268" i="10"/>
  <c r="CU268" i="10"/>
  <c r="CK268" i="10"/>
  <c r="CH268" i="10"/>
  <c r="AG268" i="10"/>
  <c r="Y268" i="10"/>
  <c r="T268" i="10"/>
  <c r="J268" i="10"/>
  <c r="D268" i="10"/>
  <c r="DW268" i="10" s="1"/>
  <c r="C268" i="10"/>
  <c r="B268" i="10"/>
  <c r="DW267" i="10"/>
  <c r="DG267" i="10"/>
  <c r="CH267" i="10"/>
  <c r="BP267" i="10"/>
  <c r="BG267" i="10"/>
  <c r="BA267" i="10"/>
  <c r="AX267" i="10"/>
  <c r="AL267" i="10"/>
  <c r="AJ267" i="10"/>
  <c r="AG267" i="10"/>
  <c r="Y267" i="10"/>
  <c r="T267" i="10"/>
  <c r="J267" i="10"/>
  <c r="D267" i="10"/>
  <c r="C267" i="10"/>
  <c r="B267" i="10"/>
  <c r="DI266" i="10"/>
  <c r="DG266" i="10"/>
  <c r="CO266" i="10"/>
  <c r="BV266" i="10"/>
  <c r="AO266" i="10"/>
  <c r="AL266" i="10"/>
  <c r="AG266" i="10"/>
  <c r="Y266" i="10"/>
  <c r="AB266" i="10" s="1"/>
  <c r="T266" i="10"/>
  <c r="X266" i="10" s="1"/>
  <c r="J266" i="10"/>
  <c r="D266" i="10"/>
  <c r="DW266" i="10" s="1"/>
  <c r="C266" i="10"/>
  <c r="B266" i="10"/>
  <c r="DW265" i="10"/>
  <c r="DN265" i="10"/>
  <c r="DI265" i="10"/>
  <c r="DG265" i="10"/>
  <c r="DE265" i="10"/>
  <c r="DC265" i="10"/>
  <c r="CZ265" i="10"/>
  <c r="CW265" i="10"/>
  <c r="CU265" i="10"/>
  <c r="CH265" i="10"/>
  <c r="BI265" i="10"/>
  <c r="BG265" i="10"/>
  <c r="AG265" i="10"/>
  <c r="AF265" i="10"/>
  <c r="Y265" i="10"/>
  <c r="T265" i="10"/>
  <c r="J265" i="10"/>
  <c r="D265" i="10"/>
  <c r="C265" i="10"/>
  <c r="B265" i="10"/>
  <c r="DI264" i="10"/>
  <c r="DG264" i="10"/>
  <c r="BS264" i="10"/>
  <c r="AX264" i="10"/>
  <c r="AU264" i="10"/>
  <c r="AG264" i="10"/>
  <c r="Y264" i="10"/>
  <c r="T264" i="10"/>
  <c r="J264" i="10"/>
  <c r="D264" i="10"/>
  <c r="DW264" i="10" s="1"/>
  <c r="C264" i="10"/>
  <c r="B264" i="10"/>
  <c r="DW263" i="10"/>
  <c r="DI263" i="10"/>
  <c r="DG263" i="10"/>
  <c r="CF263" i="10"/>
  <c r="CC263" i="10"/>
  <c r="AG263" i="10"/>
  <c r="Y263" i="10"/>
  <c r="T263" i="10"/>
  <c r="J263" i="10"/>
  <c r="D263" i="10"/>
  <c r="C263" i="10"/>
  <c r="B263" i="10"/>
  <c r="CS262" i="10"/>
  <c r="CF262" i="10"/>
  <c r="BV262" i="10"/>
  <c r="BP262" i="10"/>
  <c r="BI262" i="10"/>
  <c r="AG262" i="10"/>
  <c r="Y262" i="10"/>
  <c r="T262" i="10"/>
  <c r="S262" i="10"/>
  <c r="J262" i="10"/>
  <c r="D262" i="10"/>
  <c r="DW262" i="10" s="1"/>
  <c r="C262" i="10"/>
  <c r="B262" i="10"/>
  <c r="DG261" i="10"/>
  <c r="DC261" i="10"/>
  <c r="CZ261" i="10"/>
  <c r="CH261" i="10"/>
  <c r="CA261" i="10"/>
  <c r="BV261" i="10"/>
  <c r="BP261" i="10"/>
  <c r="AX261" i="10"/>
  <c r="AO261" i="10"/>
  <c r="AJ261" i="10"/>
  <c r="AG261" i="10"/>
  <c r="Y261" i="10"/>
  <c r="T261" i="10"/>
  <c r="S261" i="10"/>
  <c r="J261" i="10"/>
  <c r="D261" i="10"/>
  <c r="DW261" i="10" s="1"/>
  <c r="C261" i="10"/>
  <c r="B261" i="10"/>
  <c r="DW260" i="10"/>
  <c r="DE260" i="10"/>
  <c r="DC260" i="10"/>
  <c r="CU260" i="10"/>
  <c r="CH260" i="10"/>
  <c r="CC260" i="10"/>
  <c r="BI260" i="10"/>
  <c r="BG260" i="10"/>
  <c r="AL260" i="10"/>
  <c r="AG260" i="10"/>
  <c r="Y260" i="10"/>
  <c r="T260" i="10"/>
  <c r="S260" i="10"/>
  <c r="Q260" i="10"/>
  <c r="J260" i="10"/>
  <c r="D260" i="10"/>
  <c r="C260" i="10"/>
  <c r="B260" i="10"/>
  <c r="I260" i="10" s="1"/>
  <c r="DG259" i="10"/>
  <c r="CW259" i="10"/>
  <c r="CU259" i="10"/>
  <c r="CH259" i="10"/>
  <c r="BP259" i="10"/>
  <c r="AU259" i="10"/>
  <c r="AR259" i="10"/>
  <c r="AG259" i="10"/>
  <c r="Y259" i="10"/>
  <c r="T259" i="10"/>
  <c r="S259" i="10"/>
  <c r="J259" i="10"/>
  <c r="D259" i="10"/>
  <c r="DW259" i="10" s="1"/>
  <c r="C259" i="10"/>
  <c r="B259" i="10"/>
  <c r="DP258" i="10"/>
  <c r="DE258" i="10"/>
  <c r="CW258" i="10"/>
  <c r="CU258" i="10"/>
  <c r="CS258" i="10"/>
  <c r="AU258" i="10"/>
  <c r="AG258" i="10"/>
  <c r="Y258" i="10"/>
  <c r="T258" i="10"/>
  <c r="S258" i="10"/>
  <c r="J258" i="10"/>
  <c r="D258" i="10"/>
  <c r="DW258" i="10" s="1"/>
  <c r="C258" i="10"/>
  <c r="B258" i="10"/>
  <c r="DW257" i="10"/>
  <c r="CW257" i="10"/>
  <c r="CU257" i="10"/>
  <c r="BV257" i="10"/>
  <c r="BS257" i="10"/>
  <c r="BP257" i="10"/>
  <c r="BE257" i="10"/>
  <c r="AG257" i="10"/>
  <c r="Y257" i="10"/>
  <c r="AB257" i="10" s="1"/>
  <c r="T257" i="10"/>
  <c r="J257" i="10"/>
  <c r="D257" i="10"/>
  <c r="C257" i="10"/>
  <c r="B257" i="10"/>
  <c r="DW256" i="10"/>
  <c r="DG256" i="10"/>
  <c r="DE256" i="10"/>
  <c r="DC256" i="10"/>
  <c r="CW256" i="10"/>
  <c r="CC256" i="10"/>
  <c r="CA256" i="10"/>
  <c r="BP256" i="10"/>
  <c r="AL256" i="10"/>
  <c r="AG256" i="10"/>
  <c r="Y256" i="10"/>
  <c r="T256" i="10"/>
  <c r="J256" i="10"/>
  <c r="D256" i="10"/>
  <c r="C256" i="10"/>
  <c r="B256" i="10"/>
  <c r="DW255" i="10"/>
  <c r="DP255" i="10"/>
  <c r="DI255" i="10"/>
  <c r="DG255" i="10"/>
  <c r="DE255" i="10"/>
  <c r="DC255" i="10"/>
  <c r="CZ255" i="10"/>
  <c r="CF255" i="10"/>
  <c r="CC255" i="10"/>
  <c r="BI255" i="10"/>
  <c r="BG255" i="10"/>
  <c r="AO255" i="10"/>
  <c r="AL255" i="10"/>
  <c r="AJ255" i="10"/>
  <c r="AG255" i="10"/>
  <c r="Y255" i="10"/>
  <c r="T255" i="10"/>
  <c r="J255" i="10"/>
  <c r="D255" i="10"/>
  <c r="C255" i="10"/>
  <c r="B255" i="10"/>
  <c r="DN254" i="10"/>
  <c r="DI254" i="10"/>
  <c r="DG254" i="10"/>
  <c r="DE254" i="10"/>
  <c r="CW254" i="10"/>
  <c r="CS254" i="10"/>
  <c r="CH254" i="10"/>
  <c r="BA254" i="10"/>
  <c r="AR254" i="10"/>
  <c r="AG254" i="10"/>
  <c r="Y254" i="10"/>
  <c r="T254" i="10"/>
  <c r="X254" i="10" s="1"/>
  <c r="J254" i="10"/>
  <c r="Q254" i="10" s="1"/>
  <c r="D254" i="10"/>
  <c r="DW254" i="10" s="1"/>
  <c r="C254" i="10"/>
  <c r="B254" i="10"/>
  <c r="DI253" i="10"/>
  <c r="DG253" i="10"/>
  <c r="CK253" i="10"/>
  <c r="CH253" i="10"/>
  <c r="BV253" i="10"/>
  <c r="BG253" i="10"/>
  <c r="AU253" i="10"/>
  <c r="AL253" i="10"/>
  <c r="AG253" i="10"/>
  <c r="Y253" i="10"/>
  <c r="X253" i="10"/>
  <c r="T253" i="10"/>
  <c r="J253" i="10"/>
  <c r="D253" i="10"/>
  <c r="DW253" i="10" s="1"/>
  <c r="C253" i="10"/>
  <c r="B253" i="10"/>
  <c r="DI252" i="10"/>
  <c r="DE252" i="10"/>
  <c r="DC252" i="10"/>
  <c r="CZ252" i="10"/>
  <c r="CH252" i="10"/>
  <c r="BV252" i="10"/>
  <c r="BS252" i="10"/>
  <c r="BP252" i="10"/>
  <c r="AU252" i="10"/>
  <c r="AG252" i="10"/>
  <c r="Y252" i="10"/>
  <c r="T252" i="10"/>
  <c r="J252" i="10"/>
  <c r="D252" i="10"/>
  <c r="DW252" i="10" s="1"/>
  <c r="C252" i="10"/>
  <c r="B252" i="10"/>
  <c r="DW251" i="10"/>
  <c r="DE251" i="10"/>
  <c r="CS251" i="10"/>
  <c r="CO251" i="10"/>
  <c r="BV251" i="10"/>
  <c r="BA251" i="10"/>
  <c r="AX251" i="10"/>
  <c r="AG251" i="10"/>
  <c r="Y251" i="10"/>
  <c r="T251" i="10"/>
  <c r="S251" i="10"/>
  <c r="J251" i="10"/>
  <c r="D251" i="10"/>
  <c r="C251" i="10"/>
  <c r="B251" i="10"/>
  <c r="DG250" i="10"/>
  <c r="BI250" i="10"/>
  <c r="AL250" i="10"/>
  <c r="AG250" i="10"/>
  <c r="AJ250" i="10" s="1"/>
  <c r="Y250" i="10"/>
  <c r="T250" i="10"/>
  <c r="J250" i="10"/>
  <c r="D250" i="10"/>
  <c r="DW250" i="10" s="1"/>
  <c r="C250" i="10"/>
  <c r="B250" i="10"/>
  <c r="DW249" i="10"/>
  <c r="CW249" i="10"/>
  <c r="CU249" i="10"/>
  <c r="CC249" i="10"/>
  <c r="AO249" i="10"/>
  <c r="AJ249" i="10"/>
  <c r="AG249" i="10"/>
  <c r="Y249" i="10"/>
  <c r="T249" i="10"/>
  <c r="J249" i="10"/>
  <c r="Q249" i="10" s="1"/>
  <c r="D249" i="10"/>
  <c r="C249" i="10"/>
  <c r="B249" i="10"/>
  <c r="CZ248" i="10"/>
  <c r="CW248" i="10"/>
  <c r="CU248" i="10"/>
  <c r="CF248" i="10"/>
  <c r="CC248" i="10"/>
  <c r="CA248" i="10"/>
  <c r="BV248" i="10"/>
  <c r="BI248" i="10"/>
  <c r="BG248" i="10"/>
  <c r="BA248" i="10"/>
  <c r="AX248" i="10"/>
  <c r="AR248" i="10"/>
  <c r="AG248" i="10"/>
  <c r="AB248" i="10"/>
  <c r="Y248" i="10"/>
  <c r="T248" i="10"/>
  <c r="J248" i="10"/>
  <c r="D248" i="10"/>
  <c r="DW248" i="10" s="1"/>
  <c r="C248" i="10"/>
  <c r="B248" i="10"/>
  <c r="DP247" i="10"/>
  <c r="DE247" i="10"/>
  <c r="CW247" i="10"/>
  <c r="CU247" i="10"/>
  <c r="CS247" i="10"/>
  <c r="CC247" i="10"/>
  <c r="BS247" i="10"/>
  <c r="BP247" i="10"/>
  <c r="BI247" i="10"/>
  <c r="AG247" i="10"/>
  <c r="Y247" i="10"/>
  <c r="T247" i="10"/>
  <c r="J247" i="10"/>
  <c r="D247" i="10"/>
  <c r="C247" i="10"/>
  <c r="B247" i="10"/>
  <c r="DW246" i="10"/>
  <c r="CW246" i="10"/>
  <c r="CU246" i="10"/>
  <c r="CK246" i="10"/>
  <c r="CH246" i="10"/>
  <c r="AG246" i="10"/>
  <c r="Y246" i="10"/>
  <c r="T246" i="10"/>
  <c r="J246" i="10"/>
  <c r="D246" i="10"/>
  <c r="C246" i="10"/>
  <c r="B246" i="10"/>
  <c r="DG245" i="10"/>
  <c r="CK245" i="10"/>
  <c r="BP245" i="10"/>
  <c r="BN245" i="10"/>
  <c r="BI245" i="10"/>
  <c r="BG245" i="10"/>
  <c r="BA245" i="10"/>
  <c r="AX245" i="10"/>
  <c r="AL245" i="10"/>
  <c r="AG245" i="10"/>
  <c r="Y245" i="10"/>
  <c r="T245" i="10"/>
  <c r="J245" i="10"/>
  <c r="D245" i="10"/>
  <c r="DW245" i="10" s="1"/>
  <c r="C245" i="10"/>
  <c r="B245" i="10"/>
  <c r="DW244" i="10"/>
  <c r="DI244" i="10"/>
  <c r="DG244" i="10"/>
  <c r="CO244" i="10"/>
  <c r="BV244" i="10"/>
  <c r="AO244" i="10"/>
  <c r="AL244" i="10"/>
  <c r="AG244" i="10"/>
  <c r="AB244" i="10"/>
  <c r="Y244" i="10"/>
  <c r="T244" i="10"/>
  <c r="X244" i="10" s="1"/>
  <c r="J244" i="10"/>
  <c r="D244" i="10"/>
  <c r="C244" i="10"/>
  <c r="B244" i="10"/>
  <c r="DW243" i="10"/>
  <c r="DI243" i="10"/>
  <c r="DG243" i="10"/>
  <c r="DE243" i="10"/>
  <c r="DC243" i="10"/>
  <c r="CZ243" i="10"/>
  <c r="CW243" i="10"/>
  <c r="CU243" i="10"/>
  <c r="CH243" i="10"/>
  <c r="BI243" i="10"/>
  <c r="BG243" i="10"/>
  <c r="AR243" i="10"/>
  <c r="AG243" i="10"/>
  <c r="Y243" i="10"/>
  <c r="T243" i="10"/>
  <c r="X243" i="10" s="1"/>
  <c r="J243" i="10"/>
  <c r="D243" i="10"/>
  <c r="C243" i="10"/>
  <c r="B243" i="10"/>
  <c r="DI242" i="10"/>
  <c r="CC242" i="10"/>
  <c r="BS242" i="10"/>
  <c r="BP242" i="10"/>
  <c r="AX242" i="10"/>
  <c r="AU242" i="10"/>
  <c r="AG242" i="10"/>
  <c r="Y242" i="10"/>
  <c r="T242" i="10"/>
  <c r="J242" i="10"/>
  <c r="D242" i="10"/>
  <c r="DW242" i="10" s="1"/>
  <c r="C242" i="10"/>
  <c r="B242" i="10"/>
  <c r="DW241" i="10"/>
  <c r="DI241" i="10"/>
  <c r="DG241" i="10"/>
  <c r="CF241" i="10"/>
  <c r="CC241" i="10"/>
  <c r="AG241" i="10"/>
  <c r="Y241" i="10"/>
  <c r="T241" i="10"/>
  <c r="J241" i="10"/>
  <c r="D241" i="10"/>
  <c r="C241" i="10"/>
  <c r="B241" i="10"/>
  <c r="CS240" i="10"/>
  <c r="CF240" i="10"/>
  <c r="BV240" i="10"/>
  <c r="BP240" i="10"/>
  <c r="BI240" i="10"/>
  <c r="AG240" i="10"/>
  <c r="Y240" i="10"/>
  <c r="T240" i="10"/>
  <c r="S240" i="10"/>
  <c r="J240" i="10"/>
  <c r="D240" i="10"/>
  <c r="DW240" i="10" s="1"/>
  <c r="C240" i="10"/>
  <c r="B240" i="10"/>
  <c r="DG239" i="10"/>
  <c r="DC239" i="10"/>
  <c r="CZ239" i="10"/>
  <c r="CH239" i="10"/>
  <c r="BV239" i="10"/>
  <c r="AX239" i="10"/>
  <c r="AL239" i="10"/>
  <c r="AJ239" i="10"/>
  <c r="AG239" i="10"/>
  <c r="AF239" i="10"/>
  <c r="Y239" i="10"/>
  <c r="T239" i="10"/>
  <c r="S239" i="10"/>
  <c r="J239" i="10"/>
  <c r="D239" i="10"/>
  <c r="DW239" i="10" s="1"/>
  <c r="C239" i="10"/>
  <c r="B239" i="10"/>
  <c r="DW238" i="10"/>
  <c r="DE238" i="10"/>
  <c r="CW238" i="10"/>
  <c r="CU238" i="10"/>
  <c r="CK238" i="10"/>
  <c r="CH238" i="10"/>
  <c r="CC238" i="10"/>
  <c r="BI238" i="10"/>
  <c r="BG238" i="10"/>
  <c r="AG238" i="10"/>
  <c r="Y238" i="10"/>
  <c r="T238" i="10"/>
  <c r="S238" i="10"/>
  <c r="J238" i="10"/>
  <c r="Q238" i="10" s="1"/>
  <c r="D238" i="10"/>
  <c r="C238" i="10"/>
  <c r="B238" i="10"/>
  <c r="CW237" i="10"/>
  <c r="CU237" i="10"/>
  <c r="BP237" i="10"/>
  <c r="AR237" i="10"/>
  <c r="AG237" i="10"/>
  <c r="Y237" i="10"/>
  <c r="T237" i="10"/>
  <c r="DP237" i="10"/>
  <c r="J237" i="10"/>
  <c r="D237" i="10"/>
  <c r="DW237" i="10" s="1"/>
  <c r="C237" i="10"/>
  <c r="B237" i="10"/>
  <c r="DW236" i="10"/>
  <c r="CW236" i="10"/>
  <c r="CU236" i="10"/>
  <c r="CS236" i="10"/>
  <c r="AR236" i="10"/>
  <c r="AG236" i="10"/>
  <c r="Y236" i="10"/>
  <c r="T236" i="10"/>
  <c r="S236" i="10"/>
  <c r="J236" i="10"/>
  <c r="D236" i="10"/>
  <c r="C236" i="10"/>
  <c r="B236" i="10"/>
  <c r="CZ235" i="10"/>
  <c r="CU235" i="10"/>
  <c r="BV235" i="10"/>
  <c r="BS235" i="10"/>
  <c r="BP235" i="10"/>
  <c r="BE235" i="10"/>
  <c r="BA235" i="10"/>
  <c r="AG235" i="10"/>
  <c r="AB235" i="10"/>
  <c r="Y235" i="10"/>
  <c r="T235" i="10"/>
  <c r="J235" i="10"/>
  <c r="DP235" i="10"/>
  <c r="D235" i="10"/>
  <c r="DW235" i="10" s="1"/>
  <c r="C235" i="10"/>
  <c r="B235" i="10"/>
  <c r="DW234" i="10"/>
  <c r="DG234" i="10"/>
  <c r="DE234" i="10"/>
  <c r="DC234" i="10"/>
  <c r="CF234" i="10"/>
  <c r="CC234" i="10"/>
  <c r="AL234" i="10"/>
  <c r="AJ234" i="10"/>
  <c r="AG234" i="10"/>
  <c r="Y234" i="10"/>
  <c r="T234" i="10"/>
  <c r="S234" i="10"/>
  <c r="J234" i="10"/>
  <c r="D234" i="10"/>
  <c r="C234" i="10"/>
  <c r="B234" i="10"/>
  <c r="DI233" i="10"/>
  <c r="DG233" i="10"/>
  <c r="DE233" i="10"/>
  <c r="CZ233" i="10"/>
  <c r="CW233" i="10"/>
  <c r="CF233" i="10"/>
  <c r="CC233" i="10"/>
  <c r="BI233" i="10"/>
  <c r="BG233" i="10"/>
  <c r="AO233" i="10"/>
  <c r="AL233" i="10"/>
  <c r="AG233" i="10"/>
  <c r="Y233" i="10"/>
  <c r="T233" i="10"/>
  <c r="X233" i="10" s="1"/>
  <c r="J233" i="10"/>
  <c r="D233" i="10"/>
  <c r="DW233" i="10" s="1"/>
  <c r="C233" i="10"/>
  <c r="B233" i="10"/>
  <c r="DN232" i="10"/>
  <c r="DI232" i="10"/>
  <c r="DG232" i="10"/>
  <c r="DE232" i="10"/>
  <c r="DC232" i="10"/>
  <c r="CW232" i="10"/>
  <c r="CH232" i="10"/>
  <c r="CF232" i="10"/>
  <c r="BE232" i="10"/>
  <c r="AR232" i="10"/>
  <c r="AG232" i="10"/>
  <c r="Y232" i="10"/>
  <c r="X232" i="10"/>
  <c r="T232" i="10"/>
  <c r="J232" i="10"/>
  <c r="D232" i="10"/>
  <c r="DW232" i="10" s="1"/>
  <c r="C232" i="10"/>
  <c r="B232" i="10"/>
  <c r="DI231" i="10"/>
  <c r="DG231" i="10"/>
  <c r="CK231" i="10"/>
  <c r="CH231" i="10"/>
  <c r="BV231" i="10"/>
  <c r="BG231" i="10"/>
  <c r="AU231" i="10"/>
  <c r="AG231" i="10"/>
  <c r="Y231" i="10"/>
  <c r="AB231" i="10" s="1"/>
  <c r="T231" i="10"/>
  <c r="J231" i="10"/>
  <c r="D231" i="10"/>
  <c r="DW231" i="10" s="1"/>
  <c r="C231" i="10"/>
  <c r="B231" i="10"/>
  <c r="DI230" i="10"/>
  <c r="DG230" i="10"/>
  <c r="DC230" i="10"/>
  <c r="CZ230" i="10"/>
  <c r="CH230" i="10"/>
  <c r="CA230" i="10"/>
  <c r="BV230" i="10"/>
  <c r="BS230" i="10"/>
  <c r="BP230" i="10"/>
  <c r="AU230" i="10"/>
  <c r="AG230" i="10"/>
  <c r="Y230" i="10"/>
  <c r="T230" i="10"/>
  <c r="J230" i="10"/>
  <c r="D230" i="10"/>
  <c r="DW230" i="10" s="1"/>
  <c r="C230" i="10"/>
  <c r="B230" i="10"/>
  <c r="DE229" i="10"/>
  <c r="BV229" i="10"/>
  <c r="BA229" i="10"/>
  <c r="AG229" i="10"/>
  <c r="Y229" i="10"/>
  <c r="T229" i="10"/>
  <c r="S229" i="10"/>
  <c r="J229" i="10"/>
  <c r="D229" i="10"/>
  <c r="DW229" i="10" s="1"/>
  <c r="C229" i="10"/>
  <c r="B229" i="10"/>
  <c r="DG228" i="10"/>
  <c r="DE228" i="10"/>
  <c r="CS228" i="10"/>
  <c r="CO228" i="10"/>
  <c r="CH228" i="10"/>
  <c r="BN228" i="10"/>
  <c r="BI228" i="10"/>
  <c r="AL228" i="10"/>
  <c r="AJ228" i="10"/>
  <c r="AG228" i="10"/>
  <c r="Y228" i="10"/>
  <c r="T228" i="10"/>
  <c r="J228" i="10"/>
  <c r="D228" i="10"/>
  <c r="DW228" i="10" s="1"/>
  <c r="C228" i="10"/>
  <c r="B228" i="10"/>
  <c r="DW227" i="10"/>
  <c r="CW227" i="10"/>
  <c r="CU227" i="10"/>
  <c r="CC227" i="10"/>
  <c r="AO227" i="10"/>
  <c r="AG227" i="10"/>
  <c r="Y227" i="10"/>
  <c r="T227" i="10"/>
  <c r="J227" i="10"/>
  <c r="D227" i="10"/>
  <c r="C227" i="10"/>
  <c r="B227" i="10"/>
  <c r="DW226" i="10"/>
  <c r="CZ226" i="10"/>
  <c r="CU226" i="10"/>
  <c r="CF226" i="10"/>
  <c r="CC226" i="10"/>
  <c r="BV226" i="10"/>
  <c r="BI226" i="10"/>
  <c r="BG226" i="10"/>
  <c r="BA226" i="10"/>
  <c r="AU226" i="10"/>
  <c r="AR226" i="10"/>
  <c r="AJ226" i="10"/>
  <c r="AG226" i="10"/>
  <c r="Y226" i="10"/>
  <c r="AB226" i="10" s="1"/>
  <c r="T226" i="10"/>
  <c r="J226" i="10"/>
  <c r="D226" i="10"/>
  <c r="C226" i="10"/>
  <c r="B226" i="10"/>
  <c r="DW225" i="10"/>
  <c r="DE225" i="10"/>
  <c r="DC225" i="10"/>
  <c r="CZ225" i="10"/>
  <c r="CW225" i="10"/>
  <c r="CU225" i="10"/>
  <c r="CS225" i="10"/>
  <c r="CO225" i="10"/>
  <c r="CC225" i="10"/>
  <c r="BS225" i="10"/>
  <c r="BP225" i="10"/>
  <c r="AG225" i="10"/>
  <c r="Y225" i="10"/>
  <c r="T225" i="10"/>
  <c r="J225" i="10"/>
  <c r="DP225" i="10"/>
  <c r="D225" i="10"/>
  <c r="C225" i="10"/>
  <c r="B225" i="10"/>
  <c r="DW224" i="10"/>
  <c r="CU224" i="10"/>
  <c r="CH224" i="10"/>
  <c r="AG224" i="10"/>
  <c r="Y224" i="10"/>
  <c r="T224" i="10"/>
  <c r="J224" i="10"/>
  <c r="D224" i="10"/>
  <c r="C224" i="10"/>
  <c r="B224" i="10"/>
  <c r="DG223" i="10"/>
  <c r="CW223" i="10"/>
  <c r="CK223" i="10"/>
  <c r="BP223" i="10"/>
  <c r="BN223" i="10"/>
  <c r="BG223" i="10"/>
  <c r="BA223" i="10"/>
  <c r="AL223" i="10"/>
  <c r="AJ223" i="10"/>
  <c r="AG223" i="10"/>
  <c r="Y223" i="10"/>
  <c r="T223" i="10"/>
  <c r="J223" i="10"/>
  <c r="D223" i="10"/>
  <c r="DW223" i="10" s="1"/>
  <c r="C223" i="10"/>
  <c r="B223" i="10"/>
  <c r="DW222" i="10"/>
  <c r="DI222" i="10"/>
  <c r="DG222" i="10"/>
  <c r="CO222" i="10"/>
  <c r="CK222" i="10"/>
  <c r="BV222" i="10"/>
  <c r="BE222" i="10"/>
  <c r="AO222" i="10"/>
  <c r="AL222" i="10"/>
  <c r="AG222" i="10"/>
  <c r="AB222" i="10"/>
  <c r="Y222" i="10"/>
  <c r="T222" i="10"/>
  <c r="X222" i="10" s="1"/>
  <c r="J222" i="10"/>
  <c r="D222" i="10"/>
  <c r="C222" i="10"/>
  <c r="B222" i="10"/>
  <c r="DW221" i="10"/>
  <c r="DN221" i="10"/>
  <c r="DI221" i="10"/>
  <c r="DG221" i="10"/>
  <c r="DE221" i="10"/>
  <c r="DC221" i="10"/>
  <c r="CZ221" i="10"/>
  <c r="CW221" i="10"/>
  <c r="CH221" i="10"/>
  <c r="BI221" i="10"/>
  <c r="BG221" i="10"/>
  <c r="AR221" i="10"/>
  <c r="AG221" i="10"/>
  <c r="Y221" i="10"/>
  <c r="X221" i="10"/>
  <c r="T221" i="10"/>
  <c r="Q221" i="10"/>
  <c r="J221" i="10"/>
  <c r="D221" i="10"/>
  <c r="C221" i="10"/>
  <c r="B221" i="10"/>
  <c r="DN220" i="10"/>
  <c r="DI220" i="10"/>
  <c r="DC220" i="10"/>
  <c r="CC220" i="10"/>
  <c r="BS220" i="10"/>
  <c r="BP220" i="10"/>
  <c r="BG220" i="10"/>
  <c r="AX220" i="10"/>
  <c r="AU220" i="10"/>
  <c r="AG220" i="10"/>
  <c r="Y220" i="10"/>
  <c r="X220" i="10"/>
  <c r="T220" i="10"/>
  <c r="J220" i="10"/>
  <c r="D220" i="10"/>
  <c r="DW220" i="10" s="1"/>
  <c r="C220" i="10"/>
  <c r="B220" i="10"/>
  <c r="DW219" i="10"/>
  <c r="DI219" i="10"/>
  <c r="CF219" i="10"/>
  <c r="CC219" i="10"/>
  <c r="AG219" i="10"/>
  <c r="Y219" i="10"/>
  <c r="T219" i="10"/>
  <c r="J219" i="10"/>
  <c r="D219" i="10"/>
  <c r="I219" i="10" s="1"/>
  <c r="C219" i="10"/>
  <c r="B219" i="10"/>
  <c r="CS218" i="10"/>
  <c r="CF218" i="10"/>
  <c r="BV218" i="10"/>
  <c r="BP218" i="10"/>
  <c r="BI218" i="10"/>
  <c r="BG218" i="10"/>
  <c r="AG218" i="10"/>
  <c r="Y218" i="10"/>
  <c r="T218" i="10"/>
  <c r="S218" i="10"/>
  <c r="J218" i="10"/>
  <c r="D218" i="10"/>
  <c r="DW218" i="10" s="1"/>
  <c r="C218" i="10"/>
  <c r="B218" i="10"/>
  <c r="DW217" i="10"/>
  <c r="DG217" i="10"/>
  <c r="DC217" i="10"/>
  <c r="CZ217" i="10"/>
  <c r="CH217" i="10"/>
  <c r="BV217" i="10"/>
  <c r="AX217" i="10"/>
  <c r="AO217" i="10"/>
  <c r="AL217" i="10"/>
  <c r="AG217" i="10"/>
  <c r="AJ217" i="10" s="1"/>
  <c r="AF217" i="10"/>
  <c r="AB217" i="10"/>
  <c r="Y217" i="10"/>
  <c r="T217" i="10"/>
  <c r="S217" i="10"/>
  <c r="J217" i="10"/>
  <c r="D217" i="10"/>
  <c r="C217" i="10"/>
  <c r="B217" i="10"/>
  <c r="DE216" i="10"/>
  <c r="CW216" i="10"/>
  <c r="CU216" i="10"/>
  <c r="CK216" i="10"/>
  <c r="CH216" i="10"/>
  <c r="CC216" i="10"/>
  <c r="BI216" i="10"/>
  <c r="BG216" i="10"/>
  <c r="BE216" i="10"/>
  <c r="AG216" i="10"/>
  <c r="Y216" i="10"/>
  <c r="T216" i="10"/>
  <c r="S216" i="10"/>
  <c r="Q216" i="10"/>
  <c r="J216" i="10"/>
  <c r="D216" i="10"/>
  <c r="DW216" i="10" s="1"/>
  <c r="C216" i="10"/>
  <c r="B216" i="10"/>
  <c r="DW215" i="10"/>
  <c r="CW215" i="10"/>
  <c r="CU215" i="10"/>
  <c r="BS215" i="10"/>
  <c r="BP215" i="10"/>
  <c r="AU215" i="10"/>
  <c r="AR215" i="10"/>
  <c r="AG215" i="10"/>
  <c r="Y215" i="10"/>
  <c r="T215" i="10"/>
  <c r="S215" i="10"/>
  <c r="J215" i="10"/>
  <c r="D215" i="10"/>
  <c r="C215" i="10"/>
  <c r="B215" i="10"/>
  <c r="DW214" i="10"/>
  <c r="CW214" i="10"/>
  <c r="CU214" i="10"/>
  <c r="CS214" i="10"/>
  <c r="AG214" i="10"/>
  <c r="Y214" i="10"/>
  <c r="T214" i="10"/>
  <c r="S214" i="10"/>
  <c r="DP214" i="10"/>
  <c r="J214" i="10"/>
  <c r="D214" i="10"/>
  <c r="C214" i="10"/>
  <c r="B214" i="10"/>
  <c r="CZ213" i="10"/>
  <c r="CU213" i="10"/>
  <c r="BV213" i="10"/>
  <c r="BS213" i="10"/>
  <c r="BP213" i="10"/>
  <c r="BA213" i="10"/>
  <c r="AG213" i="10"/>
  <c r="AB213" i="10"/>
  <c r="Y213" i="10"/>
  <c r="T213" i="10"/>
  <c r="S213" i="10"/>
  <c r="J213" i="10"/>
  <c r="D213" i="10"/>
  <c r="DW213" i="10" s="1"/>
  <c r="C213" i="10"/>
  <c r="B213" i="10"/>
  <c r="DW212" i="10"/>
  <c r="DG212" i="10"/>
  <c r="DE212" i="10"/>
  <c r="DC212" i="10"/>
  <c r="CC212" i="10"/>
  <c r="AL212" i="10"/>
  <c r="AJ212" i="10"/>
  <c r="AG212" i="10"/>
  <c r="Y212" i="10"/>
  <c r="T212" i="10"/>
  <c r="S212" i="10"/>
  <c r="J212" i="10"/>
  <c r="D212" i="10"/>
  <c r="C212" i="10"/>
  <c r="B212" i="10"/>
  <c r="DI211" i="10"/>
  <c r="DG211" i="10"/>
  <c r="DE211" i="10"/>
  <c r="CU211" i="10"/>
  <c r="CO211" i="10"/>
  <c r="CF211" i="10"/>
  <c r="CC211" i="10"/>
  <c r="BV211" i="10"/>
  <c r="BI211" i="10"/>
  <c r="BG211" i="10"/>
  <c r="AO211" i="10"/>
  <c r="AG211" i="10"/>
  <c r="Y211" i="10"/>
  <c r="X211" i="10"/>
  <c r="T211" i="10"/>
  <c r="J211" i="10"/>
  <c r="D211" i="10"/>
  <c r="DW211" i="10" s="1"/>
  <c r="C211" i="10"/>
  <c r="B211" i="10"/>
  <c r="DN210" i="10"/>
  <c r="DI210" i="10"/>
  <c r="DG210" i="10"/>
  <c r="DE210" i="10"/>
  <c r="CW210" i="10"/>
  <c r="CH210" i="10"/>
  <c r="CF210" i="10"/>
  <c r="BV210" i="10"/>
  <c r="BS210" i="10"/>
  <c r="BE210" i="10"/>
  <c r="BA210" i="10"/>
  <c r="AR210" i="10"/>
  <c r="AG210" i="10"/>
  <c r="Y210" i="10"/>
  <c r="X210" i="10"/>
  <c r="T210" i="10"/>
  <c r="J210" i="10"/>
  <c r="D210" i="10"/>
  <c r="DW210" i="10" s="1"/>
  <c r="C210" i="10"/>
  <c r="B210" i="10"/>
  <c r="DW209" i="10"/>
  <c r="DI209" i="10"/>
  <c r="DG209" i="10"/>
  <c r="CK209" i="10"/>
  <c r="CH209" i="10"/>
  <c r="BV209" i="10"/>
  <c r="BG209" i="10"/>
  <c r="AU209" i="10"/>
  <c r="AG209" i="10"/>
  <c r="Y209" i="10"/>
  <c r="X209" i="10"/>
  <c r="T209" i="10"/>
  <c r="J209" i="10"/>
  <c r="D209" i="10"/>
  <c r="C209" i="10"/>
  <c r="B209" i="10"/>
  <c r="DI208" i="10"/>
  <c r="DE208" i="10"/>
  <c r="DC208" i="10"/>
  <c r="CZ208" i="10"/>
  <c r="CH208" i="10"/>
  <c r="CA208" i="10"/>
  <c r="BV208" i="10"/>
  <c r="BS208" i="10"/>
  <c r="BP208" i="10"/>
  <c r="AG208" i="10"/>
  <c r="Y208" i="10"/>
  <c r="T208" i="10"/>
  <c r="J208" i="10"/>
  <c r="D208" i="10"/>
  <c r="DW208" i="10" s="1"/>
  <c r="C208" i="10"/>
  <c r="B208" i="10"/>
  <c r="DW207" i="10"/>
  <c r="DE207" i="10"/>
  <c r="CS207" i="10"/>
  <c r="BV207" i="10"/>
  <c r="BA207" i="10"/>
  <c r="AX207" i="10"/>
  <c r="AG207" i="10"/>
  <c r="Y207" i="10"/>
  <c r="T207" i="10"/>
  <c r="J207" i="10"/>
  <c r="D207" i="10"/>
  <c r="C207" i="10"/>
  <c r="B207" i="10"/>
  <c r="DG206" i="10"/>
  <c r="BI206" i="10"/>
  <c r="BG206" i="10"/>
  <c r="AX206" i="10"/>
  <c r="AO206" i="10"/>
  <c r="AL206" i="10"/>
  <c r="AJ206" i="10"/>
  <c r="AG206" i="10"/>
  <c r="Y206" i="10"/>
  <c r="T206" i="10"/>
  <c r="J206" i="10"/>
  <c r="D206" i="10"/>
  <c r="DW206" i="10" s="1"/>
  <c r="C206" i="10"/>
  <c r="B206" i="10"/>
  <c r="DW205" i="10"/>
  <c r="CW205" i="10"/>
  <c r="CU205" i="10"/>
  <c r="CC205" i="10"/>
  <c r="AL205" i="10"/>
  <c r="AG205" i="10"/>
  <c r="Y205" i="10"/>
  <c r="T205" i="10"/>
  <c r="J205" i="10"/>
  <c r="Q205" i="10" s="1"/>
  <c r="D205" i="10"/>
  <c r="C205" i="10"/>
  <c r="B205" i="10"/>
  <c r="DW204" i="10"/>
  <c r="CZ204" i="10"/>
  <c r="CW204" i="10"/>
  <c r="CU204" i="10"/>
  <c r="CF204" i="10"/>
  <c r="CC204" i="10"/>
  <c r="CA204" i="10"/>
  <c r="BV204" i="10"/>
  <c r="BI204" i="10"/>
  <c r="BG204" i="10"/>
  <c r="BA204" i="10"/>
  <c r="AU204" i="10"/>
  <c r="AG204" i="10"/>
  <c r="AJ204" i="10" s="1"/>
  <c r="AF204" i="10"/>
  <c r="Y204" i="10"/>
  <c r="AB204" i="10" s="1"/>
  <c r="T204" i="10"/>
  <c r="J204" i="10"/>
  <c r="D204" i="10"/>
  <c r="C204" i="10"/>
  <c r="B204" i="10"/>
  <c r="DW203" i="10"/>
  <c r="DP203" i="10"/>
  <c r="DE203" i="10"/>
  <c r="DC203" i="10"/>
  <c r="CW203" i="10"/>
  <c r="CU203" i="10"/>
  <c r="CS203" i="10"/>
  <c r="CO203" i="10"/>
  <c r="CF203" i="10"/>
  <c r="CC203" i="10"/>
  <c r="BS203" i="10"/>
  <c r="BP203" i="10"/>
  <c r="AG203" i="10"/>
  <c r="Y203" i="10"/>
  <c r="T203" i="10"/>
  <c r="J203" i="10"/>
  <c r="D203" i="10"/>
  <c r="C203" i="10"/>
  <c r="B203" i="10"/>
  <c r="CU202" i="10"/>
  <c r="CK202" i="10"/>
  <c r="CH202" i="10"/>
  <c r="AL202" i="10"/>
  <c r="AJ202" i="10"/>
  <c r="AG202" i="10"/>
  <c r="Y202" i="10"/>
  <c r="T202" i="10"/>
  <c r="J202" i="10"/>
  <c r="D202" i="10"/>
  <c r="DW202" i="10" s="1"/>
  <c r="C202" i="10"/>
  <c r="B202" i="10"/>
  <c r="DG201" i="10"/>
  <c r="CK201" i="10"/>
  <c r="BP201" i="10"/>
  <c r="BN201" i="10"/>
  <c r="BI201" i="10"/>
  <c r="BG201" i="10"/>
  <c r="BA201" i="10"/>
  <c r="AX201" i="10"/>
  <c r="AL201" i="10"/>
  <c r="AJ201" i="10"/>
  <c r="AG201" i="10"/>
  <c r="Y201" i="10"/>
  <c r="T201" i="10"/>
  <c r="J201" i="10"/>
  <c r="D201" i="10"/>
  <c r="DW201" i="10" s="1"/>
  <c r="C201" i="10"/>
  <c r="B201" i="10"/>
  <c r="DW200" i="10"/>
  <c r="DI200" i="10"/>
  <c r="DG200" i="10"/>
  <c r="BV200" i="10"/>
  <c r="AO200" i="10"/>
  <c r="AL200" i="10"/>
  <c r="AG200" i="10"/>
  <c r="Y200" i="10"/>
  <c r="AB200" i="10" s="1"/>
  <c r="X200" i="10"/>
  <c r="T200" i="10"/>
  <c r="J200" i="10"/>
  <c r="D200" i="10"/>
  <c r="C200" i="10"/>
  <c r="B200" i="10"/>
  <c r="DN199" i="10"/>
  <c r="DI199" i="10"/>
  <c r="DG199" i="10"/>
  <c r="CW199" i="10"/>
  <c r="CH199" i="10"/>
  <c r="CC199" i="10"/>
  <c r="CA199" i="10"/>
  <c r="BV199" i="10"/>
  <c r="BI199" i="10"/>
  <c r="BG199" i="10"/>
  <c r="AG199" i="10"/>
  <c r="AF199" i="10"/>
  <c r="Y199" i="10"/>
  <c r="T199" i="10"/>
  <c r="J199" i="10"/>
  <c r="Q199" i="10" s="1"/>
  <c r="D199" i="10"/>
  <c r="DW199" i="10" s="1"/>
  <c r="C199" i="10"/>
  <c r="B199" i="10"/>
  <c r="DW198" i="10"/>
  <c r="DN198" i="10"/>
  <c r="DI198" i="10"/>
  <c r="CZ198" i="10"/>
  <c r="CW198" i="10"/>
  <c r="CC198" i="10"/>
  <c r="BS198" i="10"/>
  <c r="BG198" i="10"/>
  <c r="AX198" i="10"/>
  <c r="AU198" i="10"/>
  <c r="AR198" i="10"/>
  <c r="AG198" i="10"/>
  <c r="Y198" i="10"/>
  <c r="T198" i="10"/>
  <c r="J198" i="10"/>
  <c r="DP198" i="10"/>
  <c r="D198" i="10"/>
  <c r="C198" i="10"/>
  <c r="B198" i="10"/>
  <c r="DI197" i="10"/>
  <c r="CZ197" i="10"/>
  <c r="CF197" i="10"/>
  <c r="CC197" i="10"/>
  <c r="AG197" i="10"/>
  <c r="Y197" i="10"/>
  <c r="T197" i="10"/>
  <c r="J197" i="10"/>
  <c r="D197" i="10"/>
  <c r="DW197" i="10" s="1"/>
  <c r="C197" i="10"/>
  <c r="B197" i="10"/>
  <c r="CZ196" i="10"/>
  <c r="CS196" i="10"/>
  <c r="BV196" i="10"/>
  <c r="BP196" i="10"/>
  <c r="BN196" i="10"/>
  <c r="BI196" i="10"/>
  <c r="AG196" i="10"/>
  <c r="Y196" i="10"/>
  <c r="T196" i="10"/>
  <c r="S196" i="10"/>
  <c r="J196" i="10"/>
  <c r="D196" i="10"/>
  <c r="DW196" i="10" s="1"/>
  <c r="C196" i="10"/>
  <c r="B196" i="10"/>
  <c r="DG195" i="10"/>
  <c r="CZ195" i="10"/>
  <c r="CH195" i="10"/>
  <c r="CF195" i="10"/>
  <c r="CA195" i="10"/>
  <c r="AX195" i="10"/>
  <c r="AL195" i="10"/>
  <c r="AG195" i="10"/>
  <c r="AF195" i="10"/>
  <c r="Y195" i="10"/>
  <c r="AB195" i="10" s="1"/>
  <c r="T195" i="10"/>
  <c r="S195" i="10"/>
  <c r="J195" i="10"/>
  <c r="D195" i="10"/>
  <c r="DW195" i="10" s="1"/>
  <c r="C195" i="10"/>
  <c r="B195" i="10"/>
  <c r="DI194" i="10"/>
  <c r="CU194" i="10"/>
  <c r="CK194" i="10"/>
  <c r="CH194" i="10"/>
  <c r="CC194" i="10"/>
  <c r="BI194" i="10"/>
  <c r="BG194" i="10"/>
  <c r="BE194" i="10"/>
  <c r="BA194" i="10"/>
  <c r="AG194" i="10"/>
  <c r="Y194" i="10"/>
  <c r="T194" i="10"/>
  <c r="S194" i="10"/>
  <c r="J194" i="10"/>
  <c r="D194" i="10"/>
  <c r="DW194" i="10" s="1"/>
  <c r="C194" i="10"/>
  <c r="B194" i="10"/>
  <c r="DW193" i="10"/>
  <c r="CK193" i="10"/>
  <c r="BS193" i="10"/>
  <c r="BP193" i="10"/>
  <c r="BI193" i="10"/>
  <c r="AU193" i="10"/>
  <c r="AR193" i="10"/>
  <c r="AG193" i="10"/>
  <c r="Y193" i="10"/>
  <c r="T193" i="10"/>
  <c r="S193" i="10"/>
  <c r="J193" i="10"/>
  <c r="D193" i="10"/>
  <c r="C193" i="10"/>
  <c r="B193" i="10"/>
  <c r="DW192" i="10"/>
  <c r="CS192" i="10"/>
  <c r="AU192" i="10"/>
  <c r="AG192" i="10"/>
  <c r="Y192" i="10"/>
  <c r="T192" i="10"/>
  <c r="S192" i="10"/>
  <c r="J192" i="10"/>
  <c r="DP192" i="10"/>
  <c r="D192" i="10"/>
  <c r="C192" i="10"/>
  <c r="B192" i="10"/>
  <c r="BV191" i="10"/>
  <c r="BS191" i="10"/>
  <c r="BP191" i="10"/>
  <c r="AG191" i="10"/>
  <c r="Y191" i="10"/>
  <c r="AB191" i="10" s="1"/>
  <c r="T191" i="10"/>
  <c r="J191" i="10"/>
  <c r="D191" i="10"/>
  <c r="DW191" i="10" s="1"/>
  <c r="C191" i="10"/>
  <c r="B191" i="10"/>
  <c r="I191" i="10" s="1"/>
  <c r="DG190" i="10"/>
  <c r="CU190" i="10"/>
  <c r="CC190" i="10"/>
  <c r="BP190" i="10"/>
  <c r="AL190" i="10"/>
  <c r="AJ190" i="10"/>
  <c r="AG190" i="10"/>
  <c r="Y190" i="10"/>
  <c r="T190" i="10"/>
  <c r="J190" i="10"/>
  <c r="D190" i="10"/>
  <c r="DW190" i="10" s="1"/>
  <c r="C190" i="10"/>
  <c r="B190" i="10"/>
  <c r="DV189" i="10"/>
  <c r="DI189" i="10"/>
  <c r="DG189" i="10"/>
  <c r="CU189" i="10"/>
  <c r="CO189" i="10"/>
  <c r="CC189" i="10"/>
  <c r="BI189" i="10"/>
  <c r="BG189" i="10"/>
  <c r="AO189" i="10"/>
  <c r="AL189" i="10"/>
  <c r="AJ189" i="10"/>
  <c r="AG189" i="10"/>
  <c r="Y189" i="10"/>
  <c r="X189" i="10"/>
  <c r="T189" i="10"/>
  <c r="J189" i="10"/>
  <c r="D189" i="10"/>
  <c r="DW189" i="10" s="1"/>
  <c r="C189" i="10"/>
  <c r="B189" i="10"/>
  <c r="DW188" i="10"/>
  <c r="DN188" i="10"/>
  <c r="DI188" i="10"/>
  <c r="DG188" i="10"/>
  <c r="CU188" i="10"/>
  <c r="CS188" i="10"/>
  <c r="CH188" i="10"/>
  <c r="CF188" i="10"/>
  <c r="BA188" i="10"/>
  <c r="AR188" i="10"/>
  <c r="AG188" i="10"/>
  <c r="Y188" i="10"/>
  <c r="X188" i="10"/>
  <c r="T188" i="10"/>
  <c r="J188" i="10"/>
  <c r="D188" i="10"/>
  <c r="C188" i="10"/>
  <c r="B188" i="10"/>
  <c r="DW187" i="10"/>
  <c r="DI187" i="10"/>
  <c r="CZ187" i="10"/>
  <c r="CU187" i="10"/>
  <c r="CK187" i="10"/>
  <c r="CH187" i="10"/>
  <c r="BV187" i="10"/>
  <c r="BG187" i="10"/>
  <c r="AU187" i="10"/>
  <c r="AG187" i="10"/>
  <c r="AB187" i="10"/>
  <c r="Y187" i="10"/>
  <c r="T187" i="10"/>
  <c r="J187" i="10"/>
  <c r="D187" i="10"/>
  <c r="C187" i="10"/>
  <c r="B187" i="10"/>
  <c r="DW186" i="10"/>
  <c r="DI186" i="10"/>
  <c r="CZ186" i="10"/>
  <c r="CU186" i="10"/>
  <c r="CH186" i="10"/>
  <c r="BV186" i="10"/>
  <c r="BS186" i="10"/>
  <c r="BP186" i="10"/>
  <c r="AG186" i="10"/>
  <c r="Y186" i="10"/>
  <c r="T186" i="10"/>
  <c r="J186" i="10"/>
  <c r="D186" i="10"/>
  <c r="C186" i="10"/>
  <c r="B186" i="10"/>
  <c r="CZ185" i="10"/>
  <c r="CS185" i="10"/>
  <c r="BV185" i="10"/>
  <c r="AG185" i="10"/>
  <c r="Y185" i="10"/>
  <c r="T185" i="10"/>
  <c r="S185" i="10"/>
  <c r="J185" i="10"/>
  <c r="D185" i="10"/>
  <c r="DW185" i="10" s="1"/>
  <c r="C185" i="10"/>
  <c r="B185" i="10"/>
  <c r="DG184" i="10"/>
  <c r="CU184" i="10"/>
  <c r="CH184" i="10"/>
  <c r="BI184" i="10"/>
  <c r="BG184" i="10"/>
  <c r="AO184" i="10"/>
  <c r="AJ184" i="10"/>
  <c r="AG184" i="10"/>
  <c r="Y184" i="10"/>
  <c r="T184" i="10"/>
  <c r="J184" i="10"/>
  <c r="D184" i="10"/>
  <c r="DW184" i="10" s="1"/>
  <c r="C184" i="10"/>
  <c r="B184" i="10"/>
  <c r="DW183" i="10"/>
  <c r="CC183" i="10"/>
  <c r="AG183" i="10"/>
  <c r="Y183" i="10"/>
  <c r="T183" i="10"/>
  <c r="Q183" i="10"/>
  <c r="J183" i="10"/>
  <c r="D183" i="10"/>
  <c r="C183" i="10"/>
  <c r="B183" i="10"/>
  <c r="DW182" i="10"/>
  <c r="DG182" i="10"/>
  <c r="CF182" i="10"/>
  <c r="CC182" i="10"/>
  <c r="BV182" i="10"/>
  <c r="BI182" i="10"/>
  <c r="BG182" i="10"/>
  <c r="BA182" i="10"/>
  <c r="AX182" i="10"/>
  <c r="AU182" i="10"/>
  <c r="AG182" i="10"/>
  <c r="AF182" i="10"/>
  <c r="Y182" i="10"/>
  <c r="T182" i="10"/>
  <c r="Q182" i="10"/>
  <c r="J182" i="10"/>
  <c r="D182" i="10"/>
  <c r="C182" i="10"/>
  <c r="B182" i="10"/>
  <c r="DW181" i="10"/>
  <c r="CC181" i="10"/>
  <c r="BP181" i="10"/>
  <c r="BE181" i="10"/>
  <c r="AG181" i="10"/>
  <c r="Y181" i="10"/>
  <c r="T181" i="10"/>
  <c r="J181" i="10"/>
  <c r="D181" i="10"/>
  <c r="C181" i="10"/>
  <c r="B181" i="10"/>
  <c r="DW180" i="10"/>
  <c r="CH180" i="10"/>
  <c r="AG180" i="10"/>
  <c r="Y180" i="10"/>
  <c r="T180" i="10"/>
  <c r="J180" i="10"/>
  <c r="C180" i="10"/>
  <c r="B180" i="10"/>
  <c r="DW179" i="10"/>
  <c r="CU179" i="10"/>
  <c r="CK179" i="10"/>
  <c r="CH179" i="10"/>
  <c r="BP179" i="10"/>
  <c r="BN179" i="10"/>
  <c r="BG179" i="10"/>
  <c r="BA179" i="10"/>
  <c r="AX179" i="10"/>
  <c r="AL179" i="10"/>
  <c r="AG179" i="10"/>
  <c r="AJ179" i="10" s="1"/>
  <c r="Y179" i="10"/>
  <c r="T179" i="10"/>
  <c r="J179" i="10"/>
  <c r="C179" i="10"/>
  <c r="B179" i="10"/>
  <c r="DW178" i="10"/>
  <c r="CO178" i="10"/>
  <c r="BV178" i="10"/>
  <c r="AO178" i="10"/>
  <c r="AL178" i="10"/>
  <c r="AJ178" i="10"/>
  <c r="AG178" i="10"/>
  <c r="Y178" i="10"/>
  <c r="AB178" i="10" s="1"/>
  <c r="T178" i="10"/>
  <c r="X178" i="10" s="1"/>
  <c r="J178" i="10"/>
  <c r="C178" i="10"/>
  <c r="B178" i="10"/>
  <c r="DW177" i="10"/>
  <c r="CH177" i="10"/>
  <c r="BI177" i="10"/>
  <c r="BG177" i="10"/>
  <c r="AR177" i="10"/>
  <c r="AG177" i="10"/>
  <c r="Y177" i="10"/>
  <c r="T177" i="10"/>
  <c r="X177" i="10" s="1"/>
  <c r="J177" i="10"/>
  <c r="C177" i="10"/>
  <c r="B177" i="10"/>
  <c r="DW176" i="10"/>
  <c r="DN176" i="10"/>
  <c r="BS176" i="10"/>
  <c r="BP176" i="10"/>
  <c r="BG176" i="10"/>
  <c r="AU176" i="10"/>
  <c r="AR176" i="10"/>
  <c r="AG176" i="10"/>
  <c r="Y176" i="10"/>
  <c r="T176" i="10"/>
  <c r="J176" i="10"/>
  <c r="C176" i="10"/>
  <c r="B176" i="10"/>
  <c r="DW175" i="10"/>
  <c r="CF175" i="10"/>
  <c r="CC175" i="10"/>
  <c r="AG175" i="10"/>
  <c r="Y175" i="10"/>
  <c r="T175" i="10"/>
  <c r="J175" i="10"/>
  <c r="I175" i="10"/>
  <c r="C175" i="10"/>
  <c r="B175" i="10"/>
  <c r="DW174" i="10"/>
  <c r="CF174" i="10"/>
  <c r="BV174" i="10"/>
  <c r="BP174" i="10"/>
  <c r="BI174" i="10"/>
  <c r="BG174" i="10"/>
  <c r="AG174" i="10"/>
  <c r="Y174" i="10"/>
  <c r="T174" i="10"/>
  <c r="S174" i="10"/>
  <c r="J174" i="10"/>
  <c r="C174" i="10"/>
  <c r="B174" i="10"/>
  <c r="DW173" i="10"/>
  <c r="CH173" i="10"/>
  <c r="CA173" i="10"/>
  <c r="AO173" i="10"/>
  <c r="AJ173" i="10"/>
  <c r="AG173" i="10"/>
  <c r="AF173" i="10"/>
  <c r="Y173" i="10"/>
  <c r="T173" i="10"/>
  <c r="S173" i="10"/>
  <c r="J173" i="10"/>
  <c r="C173" i="10"/>
  <c r="B173" i="10"/>
  <c r="DW172" i="10"/>
  <c r="CK172" i="10"/>
  <c r="CH172" i="10"/>
  <c r="CC172" i="10"/>
  <c r="BI172" i="10"/>
  <c r="BG172" i="10"/>
  <c r="BE172" i="10"/>
  <c r="AO172" i="10"/>
  <c r="AG172" i="10"/>
  <c r="Y172" i="10"/>
  <c r="T172" i="10"/>
  <c r="S172" i="10"/>
  <c r="Q172" i="10"/>
  <c r="J172" i="10"/>
  <c r="C172" i="10"/>
  <c r="B172" i="10"/>
  <c r="DW171" i="10"/>
  <c r="DN171" i="10"/>
  <c r="CO171" i="10"/>
  <c r="CF171" i="10"/>
  <c r="BP171" i="10"/>
  <c r="AR171" i="10"/>
  <c r="AG171" i="10"/>
  <c r="Y171" i="10"/>
  <c r="T171" i="10"/>
  <c r="S171" i="10"/>
  <c r="J171" i="10"/>
  <c r="C171" i="10"/>
  <c r="B171" i="10"/>
  <c r="DW170" i="10"/>
  <c r="AR170" i="10"/>
  <c r="AG170" i="10"/>
  <c r="Y170" i="10"/>
  <c r="T170" i="10"/>
  <c r="S170" i="10"/>
  <c r="J170" i="10"/>
  <c r="DP170" i="10"/>
  <c r="C170" i="10"/>
  <c r="B170" i="10"/>
  <c r="DW169" i="10"/>
  <c r="CU169" i="10"/>
  <c r="BV169" i="10"/>
  <c r="BS169" i="10"/>
  <c r="BP169" i="10"/>
  <c r="BN169" i="10"/>
  <c r="BE169" i="10"/>
  <c r="BA169" i="10"/>
  <c r="AG169" i="10"/>
  <c r="AB169" i="10"/>
  <c r="Y169" i="10"/>
  <c r="T169" i="10"/>
  <c r="J169" i="10"/>
  <c r="C169" i="10"/>
  <c r="B169" i="10"/>
  <c r="DW168" i="10"/>
  <c r="CU168" i="10"/>
  <c r="CF168" i="10"/>
  <c r="CC168" i="10"/>
  <c r="BP168" i="10"/>
  <c r="BA168" i="10"/>
  <c r="AL168" i="10"/>
  <c r="AG168" i="10"/>
  <c r="AJ168" i="10" s="1"/>
  <c r="AF168" i="10"/>
  <c r="Y168" i="10"/>
  <c r="T168" i="10"/>
  <c r="S168" i="10"/>
  <c r="J168" i="10"/>
  <c r="C168" i="10"/>
  <c r="B168" i="10"/>
  <c r="DW167" i="10"/>
  <c r="CU167" i="10"/>
  <c r="CF167" i="10"/>
  <c r="CC167" i="10"/>
  <c r="BI167" i="10"/>
  <c r="BG167" i="10"/>
  <c r="AO167" i="10"/>
  <c r="AL167" i="10"/>
  <c r="AG167" i="10"/>
  <c r="Y167" i="10"/>
  <c r="T167" i="10"/>
  <c r="X167" i="10" s="1"/>
  <c r="J167" i="10"/>
  <c r="I167" i="10"/>
  <c r="C167" i="10"/>
  <c r="B167" i="10"/>
  <c r="DW166" i="10"/>
  <c r="DN166" i="10"/>
  <c r="CU166" i="10"/>
  <c r="CH166" i="10"/>
  <c r="CF166" i="10"/>
  <c r="BV166" i="10"/>
  <c r="BP166" i="10"/>
  <c r="BE166" i="10"/>
  <c r="BA166" i="10"/>
  <c r="AR166" i="10"/>
  <c r="AG166" i="10"/>
  <c r="Y166" i="10"/>
  <c r="X166" i="10"/>
  <c r="T166" i="10"/>
  <c r="J166" i="10"/>
  <c r="C166" i="10"/>
  <c r="B166" i="10"/>
  <c r="DW165" i="10"/>
  <c r="CU165" i="10"/>
  <c r="CK165" i="10"/>
  <c r="CH165" i="10"/>
  <c r="BV165" i="10"/>
  <c r="BG165" i="10"/>
  <c r="AU165" i="10"/>
  <c r="AR165" i="10"/>
  <c r="AG165" i="10"/>
  <c r="Y165" i="10"/>
  <c r="T165" i="10"/>
  <c r="J165" i="10"/>
  <c r="C165" i="10"/>
  <c r="B165" i="10"/>
  <c r="DW164" i="10"/>
  <c r="CU164" i="10"/>
  <c r="CO164" i="10"/>
  <c r="CH164" i="10"/>
  <c r="BV164" i="10"/>
  <c r="BP164" i="10"/>
  <c r="BN164" i="10"/>
  <c r="BI164" i="10"/>
  <c r="AU164" i="10"/>
  <c r="AG164" i="10"/>
  <c r="AF164" i="10"/>
  <c r="Y164" i="10"/>
  <c r="T164" i="10"/>
  <c r="J164" i="10"/>
  <c r="C164" i="10"/>
  <c r="B164" i="10"/>
  <c r="DW163" i="10"/>
  <c r="BV163" i="10"/>
  <c r="BA163" i="10"/>
  <c r="AJ163" i="10"/>
  <c r="AG163" i="10"/>
  <c r="Y163" i="10"/>
  <c r="T163" i="10"/>
  <c r="J163" i="10"/>
  <c r="C163" i="10"/>
  <c r="B163" i="10"/>
  <c r="DW162" i="10"/>
  <c r="CU162" i="10"/>
  <c r="CH162" i="10"/>
  <c r="BV162" i="10"/>
  <c r="BE162" i="10"/>
  <c r="AX162" i="10"/>
  <c r="AO162" i="10"/>
  <c r="AL162" i="10"/>
  <c r="AG162" i="10"/>
  <c r="Y162" i="10"/>
  <c r="T162" i="10"/>
  <c r="J162" i="10"/>
  <c r="C162" i="10"/>
  <c r="B162" i="10"/>
  <c r="DW161" i="10"/>
  <c r="BP161" i="10"/>
  <c r="BI161" i="10"/>
  <c r="BG161" i="10"/>
  <c r="AO161" i="10"/>
  <c r="AL161" i="10"/>
  <c r="AG161" i="10"/>
  <c r="Y161" i="10"/>
  <c r="T161" i="10"/>
  <c r="J161" i="10"/>
  <c r="Q161" i="10" s="1"/>
  <c r="C161" i="10"/>
  <c r="B161" i="10"/>
  <c r="DW160" i="10"/>
  <c r="CF160" i="10"/>
  <c r="CC160" i="10"/>
  <c r="BV160" i="10"/>
  <c r="BA160" i="10"/>
  <c r="AX160" i="10"/>
  <c r="AU160" i="10"/>
  <c r="AR160" i="10"/>
  <c r="AG160" i="10"/>
  <c r="T160" i="10"/>
  <c r="J160" i="10"/>
  <c r="C160" i="10"/>
  <c r="B160" i="10"/>
  <c r="DW159" i="10"/>
  <c r="CF159" i="10"/>
  <c r="CC159" i="10"/>
  <c r="AG159" i="10"/>
  <c r="Y159" i="10"/>
  <c r="T159" i="10"/>
  <c r="J159" i="10"/>
  <c r="DP159" i="10"/>
  <c r="C159" i="10"/>
  <c r="DS159" i="10" s="1"/>
  <c r="B159" i="10"/>
  <c r="DW158" i="10"/>
  <c r="CK158" i="10"/>
  <c r="CH158" i="10"/>
  <c r="BN158" i="10"/>
  <c r="BI158" i="10"/>
  <c r="AG158" i="10"/>
  <c r="Y158" i="10"/>
  <c r="T158" i="10"/>
  <c r="J158" i="10"/>
  <c r="C158" i="10"/>
  <c r="B158" i="10"/>
  <c r="DW157" i="10"/>
  <c r="CU157" i="10"/>
  <c r="CO157" i="10"/>
  <c r="BP157" i="10"/>
  <c r="BN157" i="10"/>
  <c r="BI157" i="10"/>
  <c r="BA157" i="10"/>
  <c r="AX157" i="10"/>
  <c r="AL157" i="10"/>
  <c r="AG157" i="10"/>
  <c r="Y157" i="10"/>
  <c r="T157" i="10"/>
  <c r="J157" i="10"/>
  <c r="C157" i="10"/>
  <c r="B157" i="10"/>
  <c r="BE156" i="10"/>
  <c r="AO156" i="10"/>
  <c r="AL156" i="10"/>
  <c r="AG156" i="10"/>
  <c r="AB156" i="10"/>
  <c r="Y156" i="10"/>
  <c r="T156" i="10"/>
  <c r="S156" i="10"/>
  <c r="J156" i="10"/>
  <c r="D156" i="10"/>
  <c r="DW156" i="10" s="1"/>
  <c r="C156" i="10"/>
  <c r="B156" i="10"/>
  <c r="DW155" i="10"/>
  <c r="CU155" i="10"/>
  <c r="CH155" i="10"/>
  <c r="BV155" i="10"/>
  <c r="BI155" i="10"/>
  <c r="BG155" i="10"/>
  <c r="AR155" i="10"/>
  <c r="AG155" i="10"/>
  <c r="AF155" i="10"/>
  <c r="Y155" i="10"/>
  <c r="X155" i="10"/>
  <c r="T155" i="10"/>
  <c r="J155" i="10"/>
  <c r="D155" i="10"/>
  <c r="C155" i="10"/>
  <c r="B155" i="10"/>
  <c r="DW154" i="10"/>
  <c r="CC154" i="10"/>
  <c r="BG154" i="10"/>
  <c r="AX154" i="10"/>
  <c r="AU154" i="10"/>
  <c r="AR154" i="10"/>
  <c r="AG154" i="10"/>
  <c r="Y154" i="10"/>
  <c r="AB154" i="10" s="1"/>
  <c r="X154" i="10"/>
  <c r="T154" i="10"/>
  <c r="J154" i="10"/>
  <c r="D154" i="10"/>
  <c r="C154" i="10"/>
  <c r="B154" i="10"/>
  <c r="CF153" i="10"/>
  <c r="CC153" i="10"/>
  <c r="AG153" i="10"/>
  <c r="Y153" i="10"/>
  <c r="T153" i="10"/>
  <c r="J153" i="10"/>
  <c r="D153" i="10"/>
  <c r="DW153" i="10" s="1"/>
  <c r="C153" i="10"/>
  <c r="B153" i="10"/>
  <c r="CF152" i="10"/>
  <c r="CC152" i="10"/>
  <c r="BI152" i="10"/>
  <c r="BG152" i="10"/>
  <c r="AG152" i="10"/>
  <c r="Y152" i="10"/>
  <c r="T152" i="10"/>
  <c r="S152" i="10"/>
  <c r="J152" i="10"/>
  <c r="D152" i="10"/>
  <c r="DW152" i="10" s="1"/>
  <c r="C152" i="10"/>
  <c r="B152" i="10"/>
  <c r="CH151" i="10"/>
  <c r="CF151" i="10"/>
  <c r="BP151" i="10"/>
  <c r="AX151" i="10"/>
  <c r="AO151" i="10"/>
  <c r="AL151" i="10"/>
  <c r="AJ151" i="10"/>
  <c r="AB151" i="10"/>
  <c r="Y151" i="10"/>
  <c r="T151" i="10"/>
  <c r="X151" i="10" s="1"/>
  <c r="S151" i="10"/>
  <c r="J151" i="10"/>
  <c r="D151" i="10"/>
  <c r="DW151" i="10" s="1"/>
  <c r="C151" i="10"/>
  <c r="B151" i="10"/>
  <c r="DW150" i="10"/>
  <c r="CU150" i="10"/>
  <c r="CO150" i="10"/>
  <c r="CK150" i="10"/>
  <c r="CH150" i="10"/>
  <c r="BE150" i="10"/>
  <c r="AL150" i="10"/>
  <c r="AG150" i="10"/>
  <c r="Y150" i="10"/>
  <c r="T150" i="10"/>
  <c r="S150" i="10"/>
  <c r="J150" i="10"/>
  <c r="D150" i="10"/>
  <c r="C150" i="10"/>
  <c r="B150" i="10"/>
  <c r="DW149" i="10"/>
  <c r="BI149" i="10"/>
  <c r="BG149" i="10"/>
  <c r="AU149" i="10"/>
  <c r="AG149" i="10"/>
  <c r="Y149" i="10"/>
  <c r="T149" i="10"/>
  <c r="S149" i="10"/>
  <c r="DP149" i="10"/>
  <c r="D149" i="10"/>
  <c r="C149" i="10"/>
  <c r="B149" i="10"/>
  <c r="BP148" i="10"/>
  <c r="AG148" i="10"/>
  <c r="Y148" i="10"/>
  <c r="S148" i="10"/>
  <c r="DP148" i="10"/>
  <c r="D148" i="10"/>
  <c r="C148" i="10"/>
  <c r="B148" i="10"/>
  <c r="DW147" i="10"/>
  <c r="CH147" i="10"/>
  <c r="BE147" i="10"/>
  <c r="AR147" i="10"/>
  <c r="Y147" i="10"/>
  <c r="D147" i="10"/>
  <c r="C147" i="10"/>
  <c r="B147" i="10"/>
  <c r="I147" i="10" s="1"/>
  <c r="CU146" i="10"/>
  <c r="AL146" i="10"/>
  <c r="AJ146" i="10"/>
  <c r="Y146" i="10"/>
  <c r="S146" i="10"/>
  <c r="D146" i="10"/>
  <c r="DW146" i="10" s="1"/>
  <c r="B146" i="10"/>
  <c r="DV145" i="10"/>
  <c r="BN145" i="10"/>
  <c r="BI145" i="10"/>
  <c r="AL145" i="10"/>
  <c r="Y145" i="10"/>
  <c r="X145" i="10"/>
  <c r="D145" i="10"/>
  <c r="DW145" i="10" s="1"/>
  <c r="B145" i="10"/>
  <c r="DW144" i="10"/>
  <c r="BA144" i="10"/>
  <c r="AX144" i="10"/>
  <c r="AJ144" i="10"/>
  <c r="Y144" i="10"/>
  <c r="X144" i="10"/>
  <c r="B144" i="10"/>
  <c r="DW143" i="10"/>
  <c r="DV143" i="10"/>
  <c r="Y143" i="10"/>
  <c r="B143" i="10"/>
  <c r="DW142" i="10"/>
  <c r="DP142" i="10"/>
  <c r="BI142" i="10"/>
  <c r="BG142" i="10"/>
  <c r="AB142" i="10"/>
  <c r="Y142" i="10"/>
  <c r="B142" i="10"/>
  <c r="I142" i="10" s="1"/>
  <c r="DW141" i="10"/>
  <c r="BN141" i="10"/>
  <c r="BI141" i="10"/>
  <c r="AX141" i="10"/>
  <c r="Y141" i="10"/>
  <c r="DU141" i="10"/>
  <c r="B141" i="10"/>
  <c r="DW140" i="10"/>
  <c r="DV140" i="10"/>
  <c r="BA140" i="10"/>
  <c r="AX140" i="10"/>
  <c r="AL140" i="10"/>
  <c r="Y140" i="10"/>
  <c r="S140" i="10"/>
  <c r="DP140" i="10"/>
  <c r="B140" i="10"/>
  <c r="DW139" i="10"/>
  <c r="AR139" i="10"/>
  <c r="AL139" i="10"/>
  <c r="AJ139" i="10"/>
  <c r="Y139" i="10"/>
  <c r="B139" i="10"/>
  <c r="DW138" i="10"/>
  <c r="BI138" i="10"/>
  <c r="AR138" i="10"/>
  <c r="Y138" i="10"/>
  <c r="DP138" i="10"/>
  <c r="B138" i="10"/>
  <c r="DW137" i="10"/>
  <c r="DP137" i="10"/>
  <c r="BN137" i="10"/>
  <c r="Y137" i="10"/>
  <c r="B137" i="10"/>
  <c r="DW136" i="10"/>
  <c r="BI136" i="10"/>
  <c r="Y136" i="10"/>
  <c r="DV136" i="10"/>
  <c r="DP136" i="10"/>
  <c r="B136" i="10"/>
  <c r="DW135" i="10"/>
  <c r="BA135" i="10"/>
  <c r="AX135" i="10"/>
  <c r="Y135" i="10"/>
  <c r="B135" i="10"/>
  <c r="DW134" i="10"/>
  <c r="DV134" i="10"/>
  <c r="BI134" i="10"/>
  <c r="Y134" i="10"/>
  <c r="B134" i="10"/>
  <c r="DW133" i="10"/>
  <c r="Y133" i="10"/>
  <c r="B133" i="10"/>
  <c r="DW132" i="10"/>
  <c r="DP132" i="10"/>
  <c r="Y132" i="10"/>
  <c r="B132" i="10"/>
  <c r="DW131" i="10"/>
  <c r="Y131" i="10"/>
  <c r="DP131" i="10"/>
  <c r="B131" i="10"/>
  <c r="DW130" i="10"/>
  <c r="AX130" i="10"/>
  <c r="Y130" i="10"/>
  <c r="S130" i="10"/>
  <c r="B130" i="10"/>
  <c r="DW129" i="10"/>
  <c r="BI129" i="10"/>
  <c r="BA129" i="10"/>
  <c r="Y129" i="10"/>
  <c r="S129" i="10"/>
  <c r="DV129" i="10"/>
  <c r="DP129" i="10"/>
  <c r="B129" i="10"/>
  <c r="DW128" i="10"/>
  <c r="DQ128" i="10"/>
  <c r="AJ128" i="10"/>
  <c r="Y128" i="10"/>
  <c r="S128" i="10"/>
  <c r="B128" i="10"/>
  <c r="DW127" i="10"/>
  <c r="AL127" i="10"/>
  <c r="AJ127" i="10"/>
  <c r="Y127" i="10"/>
  <c r="S127" i="10"/>
  <c r="B127" i="10"/>
  <c r="DW126" i="10"/>
  <c r="DP126" i="10"/>
  <c r="AL126" i="10"/>
  <c r="Y126" i="10"/>
  <c r="S126" i="10"/>
  <c r="DV126" i="10"/>
  <c r="B126" i="10"/>
  <c r="DW125" i="10"/>
  <c r="DV125" i="10"/>
  <c r="DP125" i="10"/>
  <c r="BI125" i="10"/>
  <c r="Y125" i="10"/>
  <c r="I125" i="10"/>
  <c r="B125" i="10"/>
  <c r="DW124" i="10"/>
  <c r="BI124" i="10"/>
  <c r="Y124" i="10"/>
  <c r="S124" i="10"/>
  <c r="B124" i="10"/>
  <c r="DW123" i="10"/>
  <c r="B123" i="10"/>
  <c r="DW122" i="10"/>
  <c r="AX122" i="10"/>
  <c r="B122" i="10"/>
  <c r="DW121" i="10"/>
  <c r="S121" i="10"/>
  <c r="DP121" i="10"/>
  <c r="B121" i="10"/>
  <c r="DW120" i="10"/>
  <c r="DV120" i="10"/>
  <c r="AX120" i="10"/>
  <c r="DP120" i="10"/>
  <c r="B120" i="10"/>
  <c r="I120" i="10" s="1"/>
  <c r="DW119" i="10"/>
  <c r="DQ119" i="10"/>
  <c r="S119" i="10"/>
  <c r="B119" i="10"/>
  <c r="DW118" i="10"/>
  <c r="AL118" i="10"/>
  <c r="AJ118" i="10"/>
  <c r="B118" i="10"/>
  <c r="DW117" i="10"/>
  <c r="AL117" i="10"/>
  <c r="AJ117" i="10"/>
  <c r="DQ117" i="10"/>
  <c r="B117" i="10"/>
  <c r="DW116" i="10"/>
  <c r="AL116" i="10"/>
  <c r="AJ116" i="10"/>
  <c r="DP116" i="10"/>
  <c r="B116" i="10"/>
  <c r="DW115" i="10"/>
  <c r="DP115" i="10"/>
  <c r="B115" i="10"/>
  <c r="DW114" i="10"/>
  <c r="DQ114" i="10"/>
  <c r="DV114" i="10"/>
  <c r="DP114" i="10"/>
  <c r="B114" i="10"/>
  <c r="DW113" i="10"/>
  <c r="BN113" i="10"/>
  <c r="AJ113" i="10"/>
  <c r="B113" i="10"/>
  <c r="DW112" i="10"/>
  <c r="DV112" i="10"/>
  <c r="B112" i="10"/>
  <c r="I112" i="10" s="1"/>
  <c r="DW111" i="10"/>
  <c r="S111" i="10"/>
  <c r="B111" i="10"/>
  <c r="DW110" i="10"/>
  <c r="B110" i="10"/>
  <c r="DW109" i="10"/>
  <c r="AB109" i="10"/>
  <c r="DV109" i="10"/>
  <c r="DP109" i="10"/>
  <c r="B109" i="10"/>
  <c r="DW108" i="10"/>
  <c r="AB108" i="10"/>
  <c r="B108" i="10"/>
  <c r="DW107" i="10"/>
  <c r="DV107" i="10"/>
  <c r="DQ107" i="10"/>
  <c r="AL107" i="10"/>
  <c r="AJ107" i="10"/>
  <c r="S107" i="10"/>
  <c r="B107" i="10"/>
  <c r="DW106" i="10"/>
  <c r="AL106" i="10"/>
  <c r="AJ106" i="10"/>
  <c r="S106" i="10"/>
  <c r="DQ106" i="10"/>
  <c r="DV106" i="10"/>
  <c r="B106" i="10"/>
  <c r="DW105" i="10"/>
  <c r="DP105" i="10"/>
  <c r="S105" i="10"/>
  <c r="B105" i="10"/>
  <c r="DW104" i="10"/>
  <c r="DP104" i="10"/>
  <c r="B104" i="10"/>
  <c r="I104" i="10" s="1"/>
  <c r="DW103" i="10"/>
  <c r="DV103" i="10"/>
  <c r="DP103" i="10"/>
  <c r="S103" i="10"/>
  <c r="B103" i="10"/>
  <c r="DW102" i="10"/>
  <c r="BN102" i="10"/>
  <c r="S102" i="10"/>
  <c r="B102" i="10"/>
  <c r="DW101" i="10"/>
  <c r="DV101" i="10"/>
  <c r="B101" i="10"/>
  <c r="DW100" i="10"/>
  <c r="B100" i="10"/>
  <c r="DW99" i="10"/>
  <c r="DV99" i="10"/>
  <c r="DP99" i="10"/>
  <c r="AB99" i="10"/>
  <c r="DW98" i="10"/>
  <c r="DP98" i="10"/>
  <c r="DW97" i="10"/>
  <c r="DQ97" i="10"/>
  <c r="BN97" i="10"/>
  <c r="S97" i="10"/>
  <c r="DW96" i="10"/>
  <c r="DP96" i="10"/>
  <c r="DU96" i="10"/>
  <c r="DQ96" i="10"/>
  <c r="AL96" i="10"/>
  <c r="AJ96" i="10"/>
  <c r="DW95" i="10"/>
  <c r="AJ95" i="10"/>
  <c r="DQ95" i="10"/>
  <c r="DW94" i="10"/>
  <c r="DP94" i="10"/>
  <c r="AL94" i="10"/>
  <c r="DW93" i="10"/>
  <c r="DP93" i="10"/>
  <c r="AJ93" i="10"/>
  <c r="DW92" i="10"/>
  <c r="DQ92" i="10"/>
  <c r="DV92" i="10"/>
  <c r="DP92" i="10"/>
  <c r="DW91" i="10"/>
  <c r="DP91" i="10"/>
  <c r="DW90" i="10"/>
  <c r="DV90" i="10"/>
  <c r="DQ90" i="10"/>
  <c r="DW89" i="10"/>
  <c r="DW88" i="10"/>
  <c r="DW87" i="10"/>
  <c r="DV87" i="10"/>
  <c r="DQ87" i="10"/>
  <c r="DP87" i="10"/>
  <c r="AB87" i="10"/>
  <c r="DW86" i="10"/>
  <c r="DQ86" i="10"/>
  <c r="DP86" i="10"/>
  <c r="DW85" i="10"/>
  <c r="AL85" i="10"/>
  <c r="DR85" i="10"/>
  <c r="AJ85" i="10"/>
  <c r="AB85" i="10"/>
  <c r="DT85" i="10"/>
  <c r="S85" i="10"/>
  <c r="DV85" i="10"/>
  <c r="DW84" i="10"/>
  <c r="DR84" i="10"/>
  <c r="AL84" i="10"/>
  <c r="S84" i="10"/>
  <c r="DQ84" i="10"/>
  <c r="DW83" i="10"/>
  <c r="DR83" i="10"/>
  <c r="S83" i="10"/>
  <c r="DW82" i="10"/>
  <c r="DV82" i="10"/>
  <c r="DQ82" i="10"/>
  <c r="AL82" i="10"/>
  <c r="S82" i="10"/>
  <c r="DW81" i="10"/>
  <c r="DQ81" i="10"/>
  <c r="DP81" i="10"/>
  <c r="S81" i="10"/>
  <c r="DW80" i="10"/>
  <c r="DW79" i="10"/>
  <c r="DW78" i="10"/>
  <c r="DW77" i="10"/>
  <c r="DV77" i="10"/>
  <c r="DP77" i="10"/>
  <c r="AB77" i="10"/>
  <c r="DW76" i="10"/>
  <c r="DQ76" i="10"/>
  <c r="DV76" i="10"/>
  <c r="DW75" i="10"/>
  <c r="DQ75" i="10"/>
  <c r="S75" i="10"/>
  <c r="DP75" i="10"/>
  <c r="DW74" i="10"/>
  <c r="DR74" i="10"/>
  <c r="AJ74" i="10"/>
  <c r="DW73" i="10"/>
  <c r="DQ73" i="10"/>
  <c r="AL73" i="10"/>
  <c r="AJ73" i="10"/>
  <c r="DW72" i="10"/>
  <c r="DR72" i="10"/>
  <c r="DP72" i="10"/>
  <c r="AL72" i="10"/>
  <c r="AJ72" i="10"/>
  <c r="DW71" i="10"/>
  <c r="DV71" i="10"/>
  <c r="AL71" i="10"/>
  <c r="DR71" i="10"/>
  <c r="DP71" i="10"/>
  <c r="DW70" i="10"/>
  <c r="DV70" i="10"/>
  <c r="DW69" i="10"/>
  <c r="DP69" i="10"/>
  <c r="DW68" i="10"/>
  <c r="DV68" i="10"/>
  <c r="DQ68" i="10"/>
  <c r="DW67" i="10"/>
  <c r="DW66" i="10"/>
  <c r="DV66" i="10"/>
  <c r="DR66" i="10"/>
  <c r="DW65" i="10"/>
  <c r="DV65" i="10"/>
  <c r="DR65" i="10"/>
  <c r="DQ65" i="10"/>
  <c r="DP65" i="10"/>
  <c r="AB65" i="10"/>
  <c r="I65" i="10"/>
  <c r="DW64" i="10"/>
  <c r="DR64" i="10"/>
  <c r="S64" i="10"/>
  <c r="DQ64" i="10"/>
  <c r="DP64" i="10"/>
  <c r="DW63" i="10"/>
  <c r="DR63" i="10"/>
  <c r="DV63" i="10"/>
  <c r="DW62" i="10"/>
  <c r="DR62" i="10"/>
  <c r="DW61" i="10"/>
  <c r="DR61" i="10"/>
  <c r="DP61" i="10"/>
  <c r="DW60" i="10"/>
  <c r="DR60" i="10"/>
  <c r="DQ60" i="10"/>
  <c r="DV60" i="10"/>
  <c r="DP60" i="10"/>
  <c r="DW59" i="10"/>
  <c r="DR59" i="10"/>
  <c r="DQ59" i="10"/>
  <c r="DV59" i="10"/>
  <c r="DP59" i="10"/>
  <c r="DW58" i="10"/>
  <c r="DR58" i="10"/>
  <c r="DW57" i="10"/>
  <c r="DV57" i="10"/>
  <c r="DR57" i="10"/>
  <c r="DW56" i="10"/>
  <c r="DR56" i="10"/>
  <c r="DW55" i="10"/>
  <c r="DT55" i="10"/>
  <c r="DR55" i="10"/>
  <c r="AB55" i="10"/>
  <c r="DU55" i="10"/>
  <c r="DV55" i="10"/>
  <c r="DP55" i="10"/>
  <c r="DW54" i="10"/>
  <c r="DR54" i="10"/>
  <c r="AB54" i="10"/>
  <c r="DT54" i="10"/>
  <c r="DU54" i="10"/>
  <c r="DP54" i="10"/>
  <c r="DW53" i="10"/>
  <c r="DR53" i="10"/>
  <c r="AB53" i="10"/>
  <c r="DQ53" i="10"/>
  <c r="DU53" i="10"/>
  <c r="DP53" i="10"/>
  <c r="DW52" i="10"/>
  <c r="DR52" i="10"/>
  <c r="DV52" i="10"/>
  <c r="DW51" i="10"/>
  <c r="DR51" i="10"/>
  <c r="DQ51" i="10"/>
  <c r="AB51" i="10"/>
  <c r="DV51" i="10"/>
  <c r="DW50" i="10"/>
  <c r="DR50" i="10"/>
  <c r="DP50" i="10"/>
  <c r="DW49" i="10"/>
  <c r="DU49" i="10"/>
  <c r="DT49" i="10"/>
  <c r="DR49" i="10"/>
  <c r="DQ49" i="10"/>
  <c r="DW48" i="10"/>
  <c r="DT48" i="10"/>
  <c r="DR48" i="10"/>
  <c r="DQ48" i="10"/>
  <c r="DU48" i="10"/>
  <c r="DV48" i="10"/>
  <c r="DW47" i="10"/>
  <c r="DU47" i="10"/>
  <c r="DT47" i="10"/>
  <c r="DR47" i="10"/>
  <c r="DP47" i="10"/>
  <c r="DW46" i="10"/>
  <c r="DT46" i="10"/>
  <c r="DR46" i="10"/>
  <c r="DW45" i="10"/>
  <c r="DT45" i="10"/>
  <c r="DR45" i="10"/>
  <c r="DW44" i="10"/>
  <c r="DV44" i="10"/>
  <c r="DU44" i="10"/>
  <c r="DT44" i="10"/>
  <c r="DR44" i="10"/>
  <c r="DP44" i="10"/>
  <c r="DW43" i="10"/>
  <c r="DV43" i="10"/>
  <c r="DT43" i="10"/>
  <c r="DR43" i="10"/>
  <c r="DU43" i="10"/>
  <c r="DP43" i="10"/>
  <c r="DW42" i="10"/>
  <c r="DT42" i="10"/>
  <c r="DR42" i="10"/>
  <c r="DQ42" i="10"/>
  <c r="DP42" i="10"/>
  <c r="DU42" i="10"/>
  <c r="DW41" i="10"/>
  <c r="DV41" i="10"/>
  <c r="DT41" i="10"/>
  <c r="DR41" i="10"/>
  <c r="DW40" i="10"/>
  <c r="DT40" i="10"/>
  <c r="DR40" i="10"/>
  <c r="DQ40" i="10"/>
  <c r="DW39" i="10"/>
  <c r="DT39" i="10"/>
  <c r="DR39" i="10"/>
  <c r="DW38" i="10"/>
  <c r="DU38" i="10"/>
  <c r="DT38" i="10"/>
  <c r="DR38" i="10"/>
  <c r="DQ38" i="10"/>
  <c r="DW37" i="10"/>
  <c r="DT37" i="10"/>
  <c r="DR37" i="10"/>
  <c r="DQ37" i="10"/>
  <c r="DU37" i="10"/>
  <c r="DV37" i="10"/>
  <c r="DW36" i="10"/>
  <c r="DT36" i="10"/>
  <c r="DR36" i="10"/>
  <c r="DW35" i="10"/>
  <c r="DT35" i="10"/>
  <c r="DR35" i="10"/>
  <c r="DW34" i="10"/>
  <c r="DT34" i="10"/>
  <c r="DR34" i="10"/>
  <c r="DW33" i="10"/>
  <c r="DV33" i="10"/>
  <c r="DT33" i="10"/>
  <c r="DR33" i="10"/>
  <c r="DP33" i="10"/>
  <c r="DU33" i="10"/>
  <c r="DW32" i="10"/>
  <c r="DV32" i="10"/>
  <c r="DT32" i="10"/>
  <c r="DR32" i="10"/>
  <c r="DU32" i="10"/>
  <c r="DP32" i="10"/>
  <c r="DW31" i="10"/>
  <c r="DT31" i="10"/>
  <c r="DR31" i="10"/>
  <c r="DQ31" i="10"/>
  <c r="DU31" i="10"/>
  <c r="DW30" i="10"/>
  <c r="DU30" i="10"/>
  <c r="DT30" i="10"/>
  <c r="DR30" i="10"/>
  <c r="DP30" i="10"/>
  <c r="DW29" i="10"/>
  <c r="DT29" i="10"/>
  <c r="DR29" i="10"/>
  <c r="DQ29" i="10"/>
  <c r="DW28" i="10"/>
  <c r="DT28" i="10"/>
  <c r="DR28" i="10"/>
  <c r="DW27" i="10"/>
  <c r="DU27" i="10"/>
  <c r="DT27" i="10"/>
  <c r="DR27" i="10"/>
  <c r="DQ27" i="10"/>
  <c r="DW26" i="10"/>
  <c r="DT26" i="10"/>
  <c r="DR26" i="10"/>
  <c r="DQ26" i="10"/>
  <c r="DU26" i="10"/>
  <c r="DV26" i="10"/>
  <c r="DW25" i="10"/>
  <c r="DT25" i="10"/>
  <c r="DR25" i="10"/>
  <c r="DU25" i="10"/>
  <c r="DW24" i="10"/>
  <c r="DT24" i="10"/>
  <c r="DR24" i="10"/>
  <c r="DW23" i="10"/>
  <c r="DT23" i="10"/>
  <c r="DR23" i="10"/>
  <c r="DW22" i="10"/>
  <c r="DV22" i="10"/>
  <c r="DT22" i="10"/>
  <c r="DR22" i="10"/>
  <c r="DP22" i="10"/>
  <c r="DU22" i="10"/>
  <c r="DW21" i="10"/>
  <c r="DV21" i="10"/>
  <c r="DT21" i="10"/>
  <c r="DR21" i="10"/>
  <c r="DU21" i="10"/>
  <c r="DP21" i="10"/>
  <c r="DW20" i="10"/>
  <c r="DT20" i="10"/>
  <c r="DR20" i="10"/>
  <c r="DQ20" i="10"/>
  <c r="DU20" i="10"/>
  <c r="DW19" i="10"/>
  <c r="DT19" i="10"/>
  <c r="DR19" i="10"/>
  <c r="DP19" i="10"/>
  <c r="DW18" i="10"/>
  <c r="DT18" i="10"/>
  <c r="DR18" i="10"/>
  <c r="DQ18" i="10"/>
  <c r="DU18" i="10"/>
  <c r="DV18" i="10"/>
  <c r="DW17" i="10"/>
  <c r="DT17" i="10"/>
  <c r="DR17" i="10"/>
  <c r="DP17" i="10"/>
  <c r="DW16" i="10"/>
  <c r="DU16" i="10"/>
  <c r="DT16" i="10"/>
  <c r="DR16" i="10"/>
  <c r="DQ16" i="10"/>
  <c r="DW15" i="10"/>
  <c r="DT15" i="10"/>
  <c r="DR15" i="10"/>
  <c r="DQ15" i="10"/>
  <c r="DU15" i="10"/>
  <c r="DV15" i="10"/>
  <c r="DW14" i="10"/>
  <c r="DU14" i="10"/>
  <c r="DT14" i="10"/>
  <c r="DR14" i="10"/>
  <c r="DW13" i="10"/>
  <c r="DT13" i="10"/>
  <c r="DR13" i="10"/>
  <c r="DW12" i="10"/>
  <c r="DT12" i="10"/>
  <c r="DR12" i="10"/>
  <c r="DN3" i="10"/>
  <c r="DC3" i="10"/>
  <c r="CZ3" i="10"/>
  <c r="CW3" i="10"/>
  <c r="CU3" i="10"/>
  <c r="CS3" i="10"/>
  <c r="CO3" i="10"/>
  <c r="CK3" i="10"/>
  <c r="CH3" i="10"/>
  <c r="CF3" i="10"/>
  <c r="CC3" i="10"/>
  <c r="CA3" i="10"/>
  <c r="BV3" i="10"/>
  <c r="BS3" i="10"/>
  <c r="BP3" i="10"/>
  <c r="BN3" i="10"/>
  <c r="BI3" i="10"/>
  <c r="BG3" i="10"/>
  <c r="BE3" i="10"/>
  <c r="BA3" i="10"/>
  <c r="AX3" i="10"/>
  <c r="AU3" i="10"/>
  <c r="AT3" i="10"/>
  <c r="AR3" i="10"/>
  <c r="AO3" i="10"/>
  <c r="AL3" i="10"/>
  <c r="AJ3" i="10"/>
  <c r="AF3" i="10"/>
  <c r="AB3" i="10"/>
  <c r="X3" i="10"/>
  <c r="S3" i="10"/>
  <c r="Q3" i="10"/>
  <c r="I3" i="10"/>
  <c r="BR86" i="9"/>
  <c r="BR85" i="9"/>
  <c r="BR84" i="9"/>
  <c r="BR83" i="9"/>
  <c r="BR82" i="9"/>
  <c r="BR81" i="9"/>
  <c r="BR80" i="9"/>
  <c r="BR79" i="9"/>
  <c r="BR78" i="9"/>
  <c r="BR77" i="9"/>
  <c r="BR76" i="9"/>
  <c r="BR75" i="9"/>
  <c r="BR74" i="9"/>
  <c r="BR73" i="9"/>
  <c r="BR72" i="9"/>
  <c r="BR71" i="9"/>
  <c r="BR70" i="9"/>
  <c r="BR69" i="9"/>
  <c r="BR68" i="9"/>
  <c r="BR67" i="9"/>
  <c r="BR66" i="9"/>
  <c r="BR65" i="9"/>
  <c r="BR64" i="9"/>
  <c r="BR63" i="9"/>
  <c r="BR62" i="9"/>
  <c r="BR61" i="9"/>
  <c r="BR60" i="9"/>
  <c r="BR59" i="9"/>
  <c r="BR58" i="9"/>
  <c r="BR57" i="9"/>
  <c r="BR56" i="9"/>
  <c r="BR55" i="9"/>
  <c r="BR54" i="9"/>
  <c r="BR53" i="9"/>
  <c r="BR52" i="9"/>
  <c r="BR51" i="9"/>
  <c r="BR50" i="9"/>
  <c r="BR49" i="9"/>
  <c r="BR48" i="9"/>
  <c r="BR47" i="9"/>
  <c r="BR46" i="9"/>
  <c r="BR45" i="9"/>
  <c r="BR44" i="9"/>
  <c r="BR43" i="9"/>
  <c r="BR42" i="9"/>
  <c r="BR41" i="9"/>
  <c r="BR40" i="9"/>
  <c r="BR39" i="9"/>
  <c r="BR38" i="9"/>
  <c r="BR37" i="9"/>
  <c r="BR36" i="9"/>
  <c r="BR35" i="9"/>
  <c r="BR34" i="9"/>
  <c r="BR33" i="9"/>
  <c r="BR32" i="9"/>
  <c r="BR31" i="9"/>
  <c r="BR30" i="9"/>
  <c r="BR29" i="9"/>
  <c r="BR28" i="9"/>
  <c r="BR27" i="9"/>
  <c r="BR26" i="9"/>
  <c r="BR25" i="9"/>
  <c r="BR24" i="9"/>
  <c r="BR23" i="9"/>
  <c r="BR22" i="9"/>
  <c r="BR21" i="9"/>
  <c r="BR20" i="9"/>
  <c r="BR19" i="9"/>
  <c r="BR18" i="9"/>
  <c r="BR17" i="9"/>
  <c r="BR16" i="9"/>
  <c r="BR15" i="9"/>
  <c r="BR14" i="9"/>
  <c r="BR13" i="9"/>
  <c r="BR12" i="9"/>
  <c r="H353" i="6"/>
  <c r="H378" i="6" s="1"/>
  <c r="G353" i="6"/>
  <c r="G378" i="6" s="1"/>
  <c r="F353" i="6"/>
  <c r="F378" i="6" s="1"/>
  <c r="E353" i="6"/>
  <c r="E378" i="6" s="1"/>
  <c r="D353" i="6"/>
  <c r="D378" i="6" s="1"/>
  <c r="C353" i="6"/>
  <c r="C378" i="6" s="1"/>
  <c r="B353" i="6"/>
  <c r="B378" i="6" s="1"/>
  <c r="H352" i="6"/>
  <c r="G363" i="6" s="1"/>
  <c r="G352" i="6"/>
  <c r="G377" i="6" s="1"/>
  <c r="F352" i="6"/>
  <c r="F377" i="6" s="1"/>
  <c r="E352" i="6"/>
  <c r="G360" i="6" s="1"/>
  <c r="D352" i="6"/>
  <c r="C352" i="6"/>
  <c r="C377" i="6" s="1"/>
  <c r="B352" i="6"/>
  <c r="H351" i="6"/>
  <c r="G351" i="6"/>
  <c r="F362" i="6" s="1"/>
  <c r="F351" i="6"/>
  <c r="E351" i="6"/>
  <c r="F360" i="6" s="1"/>
  <c r="D351" i="6"/>
  <c r="F359" i="6" s="1"/>
  <c r="C351" i="6"/>
  <c r="F358" i="6" s="1"/>
  <c r="B351" i="6"/>
  <c r="H350" i="6"/>
  <c r="G350" i="6"/>
  <c r="G375" i="6" s="1"/>
  <c r="F350" i="6"/>
  <c r="F375" i="6" s="1"/>
  <c r="E350" i="6"/>
  <c r="E375" i="6" s="1"/>
  <c r="D350" i="6"/>
  <c r="D375" i="6" s="1"/>
  <c r="C350" i="6"/>
  <c r="E358" i="6" s="1"/>
  <c r="B350" i="6"/>
  <c r="H349" i="6"/>
  <c r="G349" i="6"/>
  <c r="F349" i="6"/>
  <c r="E349" i="6"/>
  <c r="D360" i="6" s="1"/>
  <c r="D349" i="6"/>
  <c r="C349" i="6"/>
  <c r="D358" i="6" s="1"/>
  <c r="B349" i="6"/>
  <c r="D357" i="6" s="1"/>
  <c r="H348" i="6"/>
  <c r="G348" i="6"/>
  <c r="G373" i="6" s="1"/>
  <c r="F348" i="6"/>
  <c r="E348" i="6"/>
  <c r="C360" i="6" s="1"/>
  <c r="D348" i="6"/>
  <c r="D373" i="6" s="1"/>
  <c r="C348" i="6"/>
  <c r="C358" i="6" s="1"/>
  <c r="B348" i="6"/>
  <c r="C357" i="6" s="1"/>
  <c r="H347" i="6"/>
  <c r="G347" i="6"/>
  <c r="F347" i="6"/>
  <c r="E347" i="6"/>
  <c r="D347" i="6"/>
  <c r="C347" i="6"/>
  <c r="C372" i="6" s="1"/>
  <c r="B347" i="6"/>
  <c r="B318" i="6"/>
  <c r="A318" i="6"/>
  <c r="O317" i="6"/>
  <c r="M317" i="6"/>
  <c r="G317" i="6"/>
  <c r="B317" i="6"/>
  <c r="A317" i="6"/>
  <c r="B316" i="6"/>
  <c r="A316" i="6"/>
  <c r="B315" i="6"/>
  <c r="A315" i="6"/>
  <c r="B314" i="6"/>
  <c r="A314" i="6"/>
  <c r="B313" i="6"/>
  <c r="A313" i="6"/>
  <c r="B312" i="6"/>
  <c r="A312" i="6"/>
  <c r="B311" i="6"/>
  <c r="A311" i="6"/>
  <c r="Q310" i="6"/>
  <c r="B310" i="6"/>
  <c r="A310" i="6"/>
  <c r="K309" i="6"/>
  <c r="G309" i="6"/>
  <c r="F309" i="6"/>
  <c r="E309" i="6"/>
  <c r="C309" i="6"/>
  <c r="B309" i="6"/>
  <c r="A309" i="6"/>
  <c r="B308" i="6"/>
  <c r="A308" i="6"/>
  <c r="B307" i="6"/>
  <c r="A307" i="6"/>
  <c r="B306" i="6"/>
  <c r="A306" i="6"/>
  <c r="B305" i="6"/>
  <c r="A305" i="6"/>
  <c r="R304" i="6"/>
  <c r="Q304" i="6"/>
  <c r="P304" i="6"/>
  <c r="O304" i="6"/>
  <c r="B304" i="6"/>
  <c r="A304" i="6"/>
  <c r="B303" i="6"/>
  <c r="A303" i="6"/>
  <c r="B302" i="6"/>
  <c r="A302" i="6"/>
  <c r="B301" i="6"/>
  <c r="A301" i="6"/>
  <c r="B300" i="6"/>
  <c r="A300" i="6"/>
  <c r="B299" i="6"/>
  <c r="A299" i="6"/>
  <c r="K298" i="6"/>
  <c r="G298" i="6"/>
  <c r="F298" i="6"/>
  <c r="C298" i="6"/>
  <c r="B298" i="6"/>
  <c r="A298" i="6"/>
  <c r="O297" i="6"/>
  <c r="B297" i="6"/>
  <c r="A297" i="6"/>
  <c r="B296" i="6"/>
  <c r="A296" i="6"/>
  <c r="B295" i="6"/>
  <c r="A295" i="6"/>
  <c r="B294" i="6"/>
  <c r="A294" i="6"/>
  <c r="P293" i="6"/>
  <c r="O293" i="6"/>
  <c r="M293" i="6"/>
  <c r="I293" i="6"/>
  <c r="H293" i="6"/>
  <c r="G293" i="6"/>
  <c r="B293" i="6"/>
  <c r="A293" i="6"/>
  <c r="B292" i="6"/>
  <c r="A292" i="6"/>
  <c r="B291" i="6"/>
  <c r="A291" i="6"/>
  <c r="B290" i="6"/>
  <c r="A290" i="6"/>
  <c r="B289" i="6"/>
  <c r="A289" i="6"/>
  <c r="B288" i="6"/>
  <c r="A288" i="6"/>
  <c r="F287" i="6"/>
  <c r="E287" i="6"/>
  <c r="C287" i="6"/>
  <c r="B287" i="6"/>
  <c r="A287" i="6"/>
  <c r="O286" i="6"/>
  <c r="B286" i="6"/>
  <c r="A286" i="6"/>
  <c r="B285" i="6"/>
  <c r="A285" i="6"/>
  <c r="B284" i="6"/>
  <c r="A284" i="6"/>
  <c r="B283" i="6"/>
  <c r="A283" i="6"/>
  <c r="Q282" i="6"/>
  <c r="P282" i="6"/>
  <c r="O282" i="6"/>
  <c r="M282" i="6"/>
  <c r="I282" i="6"/>
  <c r="H282" i="6"/>
  <c r="G282" i="6"/>
  <c r="E282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E276" i="6"/>
  <c r="C276" i="6"/>
  <c r="B276" i="6"/>
  <c r="A276" i="6"/>
  <c r="B275" i="6"/>
  <c r="A275" i="6"/>
  <c r="B274" i="6"/>
  <c r="A274" i="6"/>
  <c r="B273" i="6"/>
  <c r="A273" i="6"/>
  <c r="C272" i="6"/>
  <c r="B272" i="6"/>
  <c r="A272" i="6"/>
  <c r="Q271" i="6"/>
  <c r="P271" i="6"/>
  <c r="O271" i="6"/>
  <c r="M271" i="6"/>
  <c r="I271" i="6"/>
  <c r="H271" i="6"/>
  <c r="G271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Q265" i="6"/>
  <c r="P265" i="6"/>
  <c r="B265" i="6"/>
  <c r="A265" i="6"/>
  <c r="B264" i="6"/>
  <c r="A264" i="6"/>
  <c r="B263" i="6"/>
  <c r="A263" i="6"/>
  <c r="B262" i="6"/>
  <c r="A262" i="6"/>
  <c r="Q261" i="6"/>
  <c r="M261" i="6"/>
  <c r="B261" i="6"/>
  <c r="A261" i="6"/>
  <c r="B260" i="6"/>
  <c r="A260" i="6"/>
  <c r="B259" i="6"/>
  <c r="A259" i="6"/>
  <c r="I258" i="6"/>
  <c r="H258" i="6"/>
  <c r="G258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P252" i="6"/>
  <c r="N252" i="6"/>
  <c r="K252" i="6"/>
  <c r="I252" i="6"/>
  <c r="H252" i="6"/>
  <c r="G252" i="6"/>
  <c r="F252" i="6"/>
  <c r="B252" i="6"/>
  <c r="A252" i="6"/>
  <c r="B251" i="6"/>
  <c r="A251" i="6"/>
  <c r="B250" i="6"/>
  <c r="A250" i="6"/>
  <c r="B249" i="6"/>
  <c r="A249" i="6"/>
  <c r="Q248" i="6"/>
  <c r="O248" i="6"/>
  <c r="N248" i="6"/>
  <c r="M248" i="6"/>
  <c r="B248" i="6"/>
  <c r="A248" i="6"/>
  <c r="B247" i="6"/>
  <c r="A247" i="6"/>
  <c r="B246" i="6"/>
  <c r="A246" i="6"/>
  <c r="B245" i="6"/>
  <c r="A245" i="6"/>
  <c r="B244" i="6"/>
  <c r="A244" i="6"/>
  <c r="O243" i="6"/>
  <c r="N243" i="6"/>
  <c r="M243" i="6"/>
  <c r="K243" i="6"/>
  <c r="G243" i="6"/>
  <c r="F243" i="6"/>
  <c r="E243" i="6"/>
  <c r="B243" i="6"/>
  <c r="A243" i="6"/>
  <c r="B242" i="6"/>
  <c r="A242" i="6"/>
  <c r="B241" i="6"/>
  <c r="A241" i="6"/>
  <c r="E240" i="6"/>
  <c r="B240" i="6"/>
  <c r="A240" i="6"/>
  <c r="B239" i="6"/>
  <c r="A239" i="6"/>
  <c r="Q238" i="6"/>
  <c r="B238" i="6"/>
  <c r="A238" i="6"/>
  <c r="B237" i="6"/>
  <c r="A237" i="6"/>
  <c r="K236" i="6"/>
  <c r="J236" i="6"/>
  <c r="B236" i="6"/>
  <c r="A236" i="6"/>
  <c r="K235" i="6"/>
  <c r="J235" i="6"/>
  <c r="I235" i="6"/>
  <c r="B235" i="6"/>
  <c r="A235" i="6"/>
  <c r="B234" i="6"/>
  <c r="A234" i="6"/>
  <c r="E233" i="6"/>
  <c r="B233" i="6"/>
  <c r="A233" i="6"/>
  <c r="G232" i="6"/>
  <c r="F232" i="6"/>
  <c r="E232" i="6"/>
  <c r="C232" i="6"/>
  <c r="B232" i="6"/>
  <c r="A232" i="6"/>
  <c r="B231" i="6"/>
  <c r="A231" i="6"/>
  <c r="B230" i="6"/>
  <c r="A230" i="6"/>
  <c r="B229" i="6"/>
  <c r="A229" i="6"/>
  <c r="I228" i="6"/>
  <c r="H228" i="6"/>
  <c r="B228" i="6"/>
  <c r="A228" i="6"/>
  <c r="O227" i="6"/>
  <c r="M227" i="6"/>
  <c r="L227" i="6"/>
  <c r="B227" i="6"/>
  <c r="A227" i="6"/>
  <c r="B226" i="6"/>
  <c r="A226" i="6"/>
  <c r="J225" i="6"/>
  <c r="I225" i="6"/>
  <c r="B225" i="6"/>
  <c r="A225" i="6"/>
  <c r="B224" i="6"/>
  <c r="A224" i="6"/>
  <c r="B223" i="6"/>
  <c r="A223" i="6"/>
  <c r="B222" i="6"/>
  <c r="A222" i="6"/>
  <c r="S217" i="6"/>
  <c r="P217" i="6"/>
  <c r="O217" i="6"/>
  <c r="N217" i="6"/>
  <c r="M217" i="6"/>
  <c r="L217" i="6"/>
  <c r="I217" i="6"/>
  <c r="H217" i="6"/>
  <c r="G217" i="6"/>
  <c r="E217" i="6"/>
  <c r="D217" i="6"/>
  <c r="S216" i="6"/>
  <c r="G216" i="6"/>
  <c r="E216" i="6"/>
  <c r="D216" i="6"/>
  <c r="S215" i="6"/>
  <c r="P215" i="6" s="1"/>
  <c r="O215" i="6"/>
  <c r="S214" i="6"/>
  <c r="P214" i="6"/>
  <c r="O214" i="6"/>
  <c r="N214" i="6"/>
  <c r="L214" i="6"/>
  <c r="K214" i="6"/>
  <c r="J214" i="6"/>
  <c r="I214" i="6"/>
  <c r="H214" i="6"/>
  <c r="G214" i="6"/>
  <c r="F214" i="6"/>
  <c r="D214" i="6"/>
  <c r="S213" i="6"/>
  <c r="F213" i="6"/>
  <c r="E213" i="6"/>
  <c r="S212" i="6"/>
  <c r="P212" i="6"/>
  <c r="O212" i="6"/>
  <c r="N212" i="6"/>
  <c r="M212" i="6"/>
  <c r="L212" i="6"/>
  <c r="K212" i="6"/>
  <c r="J212" i="6"/>
  <c r="S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S210" i="6"/>
  <c r="H210" i="6" s="1"/>
  <c r="G210" i="6"/>
  <c r="F210" i="6"/>
  <c r="E210" i="6"/>
  <c r="D210" i="6"/>
  <c r="S209" i="6"/>
  <c r="P209" i="6"/>
  <c r="O209" i="6"/>
  <c r="N209" i="6"/>
  <c r="M209" i="6"/>
  <c r="S208" i="6"/>
  <c r="S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Q207" i="6" s="1"/>
  <c r="S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Q206" i="6" s="1"/>
  <c r="S205" i="6"/>
  <c r="P205" i="6"/>
  <c r="O205" i="6"/>
  <c r="E205" i="6"/>
  <c r="S204" i="6"/>
  <c r="P204" i="6"/>
  <c r="O204" i="6"/>
  <c r="N204" i="6"/>
  <c r="M204" i="6"/>
  <c r="L204" i="6"/>
  <c r="K204" i="6"/>
  <c r="J204" i="6"/>
  <c r="S203" i="6"/>
  <c r="D203" i="6" s="1"/>
  <c r="P203" i="6"/>
  <c r="O203" i="6"/>
  <c r="N203" i="6"/>
  <c r="M203" i="6"/>
  <c r="L203" i="6"/>
  <c r="K203" i="6"/>
  <c r="J203" i="6"/>
  <c r="I203" i="6"/>
  <c r="Q203" i="6" s="1"/>
  <c r="R203" i="6" s="1"/>
  <c r="H203" i="6"/>
  <c r="G203" i="6"/>
  <c r="F203" i="6"/>
  <c r="E203" i="6"/>
  <c r="S202" i="6"/>
  <c r="P202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S201" i="6"/>
  <c r="S200" i="6"/>
  <c r="P200" i="6"/>
  <c r="O200" i="6"/>
  <c r="N200" i="6"/>
  <c r="M200" i="6"/>
  <c r="L200" i="6"/>
  <c r="F200" i="6"/>
  <c r="S199" i="6"/>
  <c r="S198" i="6"/>
  <c r="P198" i="6" s="1"/>
  <c r="O198" i="6"/>
  <c r="N198" i="6"/>
  <c r="M198" i="6"/>
  <c r="L198" i="6"/>
  <c r="K198" i="6"/>
  <c r="J198" i="6"/>
  <c r="I198" i="6"/>
  <c r="H198" i="6"/>
  <c r="G198" i="6"/>
  <c r="F198" i="6"/>
  <c r="E198" i="6"/>
  <c r="D198" i="6"/>
  <c r="Q198" i="6" s="1"/>
  <c r="R198" i="6" s="1"/>
  <c r="S197" i="6"/>
  <c r="M197" i="6" s="1"/>
  <c r="J197" i="6"/>
  <c r="I197" i="6"/>
  <c r="H197" i="6"/>
  <c r="G197" i="6"/>
  <c r="F197" i="6"/>
  <c r="E197" i="6"/>
  <c r="D197" i="6"/>
  <c r="S196" i="6"/>
  <c r="P196" i="6"/>
  <c r="O196" i="6"/>
  <c r="N196" i="6"/>
  <c r="H196" i="6"/>
  <c r="E196" i="6"/>
  <c r="D196" i="6"/>
  <c r="S195" i="6"/>
  <c r="J195" i="6"/>
  <c r="I195" i="6"/>
  <c r="S194" i="6"/>
  <c r="R194" i="6" s="1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S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S192" i="6"/>
  <c r="S191" i="6"/>
  <c r="P191" i="6"/>
  <c r="O191" i="6"/>
  <c r="N191" i="6"/>
  <c r="M191" i="6"/>
  <c r="L191" i="6"/>
  <c r="K191" i="6"/>
  <c r="F191" i="6"/>
  <c r="E191" i="6"/>
  <c r="D191" i="6"/>
  <c r="S190" i="6"/>
  <c r="S189" i="6"/>
  <c r="P189" i="6"/>
  <c r="O189" i="6"/>
  <c r="N189" i="6"/>
  <c r="M189" i="6"/>
  <c r="L189" i="6"/>
  <c r="K189" i="6"/>
  <c r="Q189" i="6" s="1"/>
  <c r="R189" i="6" s="1"/>
  <c r="J189" i="6"/>
  <c r="I189" i="6"/>
  <c r="H189" i="6"/>
  <c r="G189" i="6"/>
  <c r="F189" i="6"/>
  <c r="E189" i="6"/>
  <c r="D189" i="6"/>
  <c r="S188" i="6"/>
  <c r="S187" i="6"/>
  <c r="G187" i="6"/>
  <c r="F187" i="6"/>
  <c r="E187" i="6"/>
  <c r="D187" i="6"/>
  <c r="S186" i="6"/>
  <c r="P186" i="6"/>
  <c r="S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Q185" i="6" s="1"/>
  <c r="R185" i="6" s="1"/>
  <c r="S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Q184" i="6" s="1"/>
  <c r="S183" i="6"/>
  <c r="P183" i="6"/>
  <c r="O183" i="6"/>
  <c r="L183" i="6"/>
  <c r="S182" i="6"/>
  <c r="S181" i="6"/>
  <c r="D181" i="6" s="1"/>
  <c r="P181" i="6"/>
  <c r="O181" i="6"/>
  <c r="N181" i="6"/>
  <c r="M181" i="6"/>
  <c r="L181" i="6"/>
  <c r="K181" i="6"/>
  <c r="J181" i="6"/>
  <c r="I181" i="6"/>
  <c r="H181" i="6"/>
  <c r="G181" i="6"/>
  <c r="F181" i="6"/>
  <c r="E181" i="6"/>
  <c r="S180" i="6"/>
  <c r="N180" i="6"/>
  <c r="E180" i="6"/>
  <c r="D180" i="6"/>
  <c r="S179" i="6"/>
  <c r="N179" i="6"/>
  <c r="M179" i="6"/>
  <c r="L179" i="6"/>
  <c r="K179" i="6"/>
  <c r="J179" i="6"/>
  <c r="I179" i="6"/>
  <c r="H179" i="6"/>
  <c r="G179" i="6"/>
  <c r="S178" i="6"/>
  <c r="P178" i="6"/>
  <c r="O178" i="6"/>
  <c r="N178" i="6"/>
  <c r="M178" i="6"/>
  <c r="L178" i="6"/>
  <c r="I178" i="6"/>
  <c r="H178" i="6"/>
  <c r="G178" i="6"/>
  <c r="F178" i="6"/>
  <c r="E178" i="6"/>
  <c r="D178" i="6"/>
  <c r="S177" i="6"/>
  <c r="H177" i="6"/>
  <c r="G177" i="6"/>
  <c r="D177" i="6"/>
  <c r="S176" i="6"/>
  <c r="S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Q175" i="6" s="1"/>
  <c r="S174" i="6"/>
  <c r="P174" i="6"/>
  <c r="O174" i="6"/>
  <c r="N174" i="6"/>
  <c r="K174" i="6"/>
  <c r="J174" i="6"/>
  <c r="I174" i="6"/>
  <c r="H174" i="6"/>
  <c r="G174" i="6"/>
  <c r="F174" i="6"/>
  <c r="E174" i="6"/>
  <c r="D174" i="6"/>
  <c r="S173" i="6"/>
  <c r="P173" i="6"/>
  <c r="O173" i="6"/>
  <c r="N173" i="6"/>
  <c r="M173" i="6"/>
  <c r="S172" i="6"/>
  <c r="S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S170" i="6"/>
  <c r="F170" i="6"/>
  <c r="E170" i="6"/>
  <c r="D170" i="6"/>
  <c r="S169" i="6"/>
  <c r="P169" i="6"/>
  <c r="O169" i="6"/>
  <c r="N169" i="6"/>
  <c r="M169" i="6"/>
  <c r="L169" i="6"/>
  <c r="K169" i="6"/>
  <c r="S168" i="6"/>
  <c r="P168" i="6"/>
  <c r="O168" i="6"/>
  <c r="N168" i="6"/>
  <c r="M168" i="6"/>
  <c r="L168" i="6"/>
  <c r="K168" i="6"/>
  <c r="J168" i="6"/>
  <c r="I168" i="6"/>
  <c r="H168" i="6"/>
  <c r="G168" i="6"/>
  <c r="F168" i="6"/>
  <c r="S167" i="6"/>
  <c r="I167" i="6"/>
  <c r="H167" i="6"/>
  <c r="G167" i="6"/>
  <c r="F167" i="6"/>
  <c r="E167" i="6"/>
  <c r="D167" i="6"/>
  <c r="S166" i="6"/>
  <c r="O166" i="6"/>
  <c r="N166" i="6"/>
  <c r="M166" i="6"/>
  <c r="L166" i="6"/>
  <c r="K166" i="6"/>
  <c r="S165" i="6"/>
  <c r="O165" i="6"/>
  <c r="N165" i="6"/>
  <c r="M165" i="6"/>
  <c r="J165" i="6"/>
  <c r="I165" i="6"/>
  <c r="H165" i="6"/>
  <c r="G165" i="6"/>
  <c r="F165" i="6"/>
  <c r="E165" i="6"/>
  <c r="D165" i="6"/>
  <c r="S164" i="6"/>
  <c r="P164" i="6"/>
  <c r="O164" i="6"/>
  <c r="N164" i="6"/>
  <c r="M164" i="6"/>
  <c r="L164" i="6"/>
  <c r="K164" i="6"/>
  <c r="J164" i="6"/>
  <c r="I164" i="6"/>
  <c r="H164" i="6"/>
  <c r="E164" i="6"/>
  <c r="D164" i="6"/>
  <c r="S163" i="6"/>
  <c r="P163" i="6"/>
  <c r="O163" i="6"/>
  <c r="N163" i="6"/>
  <c r="E163" i="6"/>
  <c r="D163" i="6"/>
  <c r="S162" i="6"/>
  <c r="P162" i="6"/>
  <c r="O162" i="6"/>
  <c r="N162" i="6"/>
  <c r="M162" i="6"/>
  <c r="L162" i="6"/>
  <c r="K162" i="6"/>
  <c r="J162" i="6"/>
  <c r="I162" i="6"/>
  <c r="H162" i="6"/>
  <c r="Q162" i="6" s="1"/>
  <c r="G162" i="6"/>
  <c r="F162" i="6"/>
  <c r="E162" i="6"/>
  <c r="D162" i="6"/>
  <c r="S161" i="6"/>
  <c r="M161" i="6" s="1"/>
  <c r="P161" i="6"/>
  <c r="O161" i="6"/>
  <c r="N161" i="6"/>
  <c r="L161" i="6"/>
  <c r="K161" i="6"/>
  <c r="Q161" i="6" s="1"/>
  <c r="R161" i="6" s="1"/>
  <c r="J161" i="6"/>
  <c r="I161" i="6"/>
  <c r="H161" i="6"/>
  <c r="G161" i="6"/>
  <c r="F161" i="6"/>
  <c r="E161" i="6"/>
  <c r="D161" i="6"/>
  <c r="S160" i="6"/>
  <c r="L160" i="6" s="1"/>
  <c r="I160" i="6"/>
  <c r="H160" i="6"/>
  <c r="G160" i="6"/>
  <c r="F160" i="6"/>
  <c r="E160" i="6"/>
  <c r="D160" i="6"/>
  <c r="S159" i="6"/>
  <c r="S158" i="6"/>
  <c r="O158" i="6"/>
  <c r="N158" i="6"/>
  <c r="M158" i="6"/>
  <c r="L158" i="6"/>
  <c r="K158" i="6"/>
  <c r="J158" i="6"/>
  <c r="I158" i="6"/>
  <c r="S157" i="6"/>
  <c r="S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S155" i="6"/>
  <c r="P155" i="6"/>
  <c r="I155" i="6"/>
  <c r="H155" i="6"/>
  <c r="G155" i="6"/>
  <c r="F155" i="6"/>
  <c r="E155" i="6"/>
  <c r="D155" i="6"/>
  <c r="S154" i="6"/>
  <c r="P154" i="6"/>
  <c r="O154" i="6"/>
  <c r="S153" i="6"/>
  <c r="P153" i="6"/>
  <c r="O153" i="6"/>
  <c r="N153" i="6"/>
  <c r="M153" i="6"/>
  <c r="L153" i="6"/>
  <c r="K153" i="6"/>
  <c r="J153" i="6"/>
  <c r="I153" i="6"/>
  <c r="H153" i="6"/>
  <c r="G153" i="6"/>
  <c r="F153" i="6"/>
  <c r="S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S151" i="6"/>
  <c r="L151" i="6"/>
  <c r="K151" i="6"/>
  <c r="J151" i="6"/>
  <c r="I151" i="6"/>
  <c r="H151" i="6"/>
  <c r="G151" i="6"/>
  <c r="S150" i="6"/>
  <c r="P150" i="6"/>
  <c r="O150" i="6"/>
  <c r="N150" i="6"/>
  <c r="M150" i="6"/>
  <c r="G150" i="6"/>
  <c r="F150" i="6"/>
  <c r="E150" i="6"/>
  <c r="D150" i="6"/>
  <c r="S149" i="6"/>
  <c r="S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Q148" i="6" s="1"/>
  <c r="R148" i="6" s="1"/>
  <c r="S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Q147" i="6" s="1"/>
  <c r="R147" i="6" s="1"/>
  <c r="S146" i="6"/>
  <c r="P146" i="6"/>
  <c r="O146" i="6"/>
  <c r="I146" i="6"/>
  <c r="S145" i="6"/>
  <c r="P145" i="6"/>
  <c r="O145" i="6"/>
  <c r="N145" i="6"/>
  <c r="M145" i="6"/>
  <c r="L145" i="6"/>
  <c r="K145" i="6"/>
  <c r="J145" i="6"/>
  <c r="D145" i="6"/>
  <c r="S144" i="6"/>
  <c r="P144" i="6"/>
  <c r="S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S142" i="6"/>
  <c r="J142" i="6"/>
  <c r="I142" i="6"/>
  <c r="H142" i="6"/>
  <c r="G142" i="6"/>
  <c r="F142" i="6"/>
  <c r="E142" i="6"/>
  <c r="D142" i="6"/>
  <c r="S141" i="6"/>
  <c r="P141" i="6"/>
  <c r="O141" i="6"/>
  <c r="N141" i="6"/>
  <c r="S140" i="6"/>
  <c r="P140" i="6"/>
  <c r="O140" i="6"/>
  <c r="N140" i="6"/>
  <c r="M140" i="6"/>
  <c r="L140" i="6"/>
  <c r="K140" i="6"/>
  <c r="J140" i="6"/>
  <c r="I140" i="6"/>
  <c r="H140" i="6"/>
  <c r="G140" i="6"/>
  <c r="S139" i="6"/>
  <c r="Q139" i="6"/>
  <c r="R139" i="6" s="1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S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S137" i="6"/>
  <c r="P137" i="6"/>
  <c r="L137" i="6"/>
  <c r="J137" i="6"/>
  <c r="I137" i="6"/>
  <c r="H137" i="6"/>
  <c r="G137" i="6"/>
  <c r="F137" i="6"/>
  <c r="E137" i="6"/>
  <c r="D137" i="6"/>
  <c r="S136" i="6"/>
  <c r="P136" i="6"/>
  <c r="O136" i="6"/>
  <c r="N136" i="6"/>
  <c r="M136" i="6"/>
  <c r="L136" i="6"/>
  <c r="H136" i="6"/>
  <c r="F136" i="6"/>
  <c r="E136" i="6"/>
  <c r="D136" i="6"/>
  <c r="S135" i="6"/>
  <c r="P135" i="6"/>
  <c r="O135" i="6"/>
  <c r="N135" i="6"/>
  <c r="M135" i="6"/>
  <c r="AA134" i="6"/>
  <c r="S134" i="6"/>
  <c r="D134" i="6" s="1"/>
  <c r="P134" i="6"/>
  <c r="O134" i="6"/>
  <c r="N134" i="6"/>
  <c r="M134" i="6"/>
  <c r="L134" i="6"/>
  <c r="K134" i="6"/>
  <c r="J134" i="6"/>
  <c r="I134" i="6"/>
  <c r="H134" i="6"/>
  <c r="Q134" i="6" s="1"/>
  <c r="R134" i="6" s="1"/>
  <c r="G134" i="6"/>
  <c r="AA133" i="6"/>
  <c r="S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Q133" i="6" s="1"/>
  <c r="R133" i="6" s="1"/>
  <c r="AA132" i="6"/>
  <c r="S132" i="6"/>
  <c r="AA131" i="6"/>
  <c r="S131" i="6"/>
  <c r="P131" i="6"/>
  <c r="O131" i="6"/>
  <c r="M131" i="6"/>
  <c r="K131" i="6"/>
  <c r="AA130" i="6"/>
  <c r="S130" i="6"/>
  <c r="P130" i="6"/>
  <c r="O130" i="6"/>
  <c r="N130" i="6"/>
  <c r="M130" i="6"/>
  <c r="L130" i="6"/>
  <c r="K130" i="6"/>
  <c r="I130" i="6"/>
  <c r="G130" i="6"/>
  <c r="F130" i="6"/>
  <c r="E130" i="6"/>
  <c r="AA129" i="6"/>
  <c r="S129" i="6"/>
  <c r="P129" i="6"/>
  <c r="O129" i="6"/>
  <c r="N129" i="6"/>
  <c r="M129" i="6"/>
  <c r="L129" i="6"/>
  <c r="K129" i="6"/>
  <c r="J129" i="6"/>
  <c r="I129" i="6"/>
  <c r="H129" i="6"/>
  <c r="G129" i="6"/>
  <c r="E129" i="6"/>
  <c r="AA128" i="6"/>
  <c r="S128" i="6"/>
  <c r="AA127" i="6"/>
  <c r="S127" i="6"/>
  <c r="P127" i="6"/>
  <c r="O127" i="6"/>
  <c r="N127" i="6"/>
  <c r="M127" i="6"/>
  <c r="L127" i="6"/>
  <c r="K127" i="6"/>
  <c r="AA126" i="6"/>
  <c r="S126" i="6"/>
  <c r="O126" i="6"/>
  <c r="M126" i="6"/>
  <c r="L126" i="6"/>
  <c r="K126" i="6"/>
  <c r="J126" i="6"/>
  <c r="I126" i="6"/>
  <c r="H126" i="6"/>
  <c r="G126" i="6"/>
  <c r="F126" i="6"/>
  <c r="E126" i="6"/>
  <c r="S125" i="6"/>
  <c r="O125" i="6"/>
  <c r="N125" i="6"/>
  <c r="M125" i="6"/>
  <c r="L125" i="6"/>
  <c r="J125" i="6"/>
  <c r="H125" i="6"/>
  <c r="G125" i="6"/>
  <c r="F125" i="6"/>
  <c r="E125" i="6"/>
  <c r="D125" i="6"/>
  <c r="S124" i="6"/>
  <c r="P124" i="6"/>
  <c r="O124" i="6"/>
  <c r="S123" i="6"/>
  <c r="G123" i="6" s="1"/>
  <c r="P123" i="6"/>
  <c r="O123" i="6"/>
  <c r="N123" i="6"/>
  <c r="M123" i="6"/>
  <c r="L123" i="6"/>
  <c r="K123" i="6"/>
  <c r="J123" i="6"/>
  <c r="I123" i="6"/>
  <c r="H123" i="6"/>
  <c r="S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Q122" i="6" s="1"/>
  <c r="I120" i="6"/>
  <c r="P120" i="6"/>
  <c r="O120" i="6"/>
  <c r="N120" i="6"/>
  <c r="M120" i="6"/>
  <c r="L120" i="6"/>
  <c r="K120" i="6"/>
  <c r="N119" i="6"/>
  <c r="M119" i="6"/>
  <c r="L119" i="6"/>
  <c r="K119" i="6"/>
  <c r="J119" i="6"/>
  <c r="I119" i="6"/>
  <c r="H119" i="6"/>
  <c r="G119" i="6"/>
  <c r="F119" i="6"/>
  <c r="P118" i="6"/>
  <c r="O118" i="6"/>
  <c r="M118" i="6"/>
  <c r="L118" i="6"/>
  <c r="K118" i="6"/>
  <c r="J118" i="6"/>
  <c r="I118" i="6"/>
  <c r="H118" i="6"/>
  <c r="G118" i="6"/>
  <c r="F118" i="6"/>
  <c r="E118" i="6"/>
  <c r="D118" i="6"/>
  <c r="P117" i="6"/>
  <c r="N117" i="6"/>
  <c r="H116" i="6"/>
  <c r="P116" i="6"/>
  <c r="O116" i="6"/>
  <c r="N116" i="6"/>
  <c r="M116" i="6"/>
  <c r="L116" i="6"/>
  <c r="K116" i="6"/>
  <c r="J116" i="6"/>
  <c r="I116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15" i="6" s="1"/>
  <c r="R115" i="6" s="1"/>
  <c r="M114" i="6"/>
  <c r="L114" i="6"/>
  <c r="K114" i="6"/>
  <c r="J114" i="6"/>
  <c r="I114" i="6"/>
  <c r="H114" i="6"/>
  <c r="G114" i="6"/>
  <c r="F114" i="6"/>
  <c r="E114" i="6"/>
  <c r="D114" i="6"/>
  <c r="P113" i="6"/>
  <c r="J112" i="6"/>
  <c r="P112" i="6"/>
  <c r="O112" i="6"/>
  <c r="N112" i="6"/>
  <c r="M112" i="6"/>
  <c r="L112" i="6"/>
  <c r="K112" i="6"/>
  <c r="E111" i="6"/>
  <c r="O111" i="6"/>
  <c r="N111" i="6"/>
  <c r="M111" i="6"/>
  <c r="L111" i="6"/>
  <c r="K111" i="6"/>
  <c r="J111" i="6"/>
  <c r="I111" i="6"/>
  <c r="H111" i="6"/>
  <c r="G111" i="6"/>
  <c r="F111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S108" i="6"/>
  <c r="L108" i="6" s="1"/>
  <c r="P108" i="6"/>
  <c r="O108" i="6"/>
  <c r="N108" i="6"/>
  <c r="M108" i="6"/>
  <c r="S107" i="6"/>
  <c r="G107" i="6" s="1"/>
  <c r="P107" i="6"/>
  <c r="O107" i="6"/>
  <c r="N107" i="6"/>
  <c r="M107" i="6"/>
  <c r="L107" i="6"/>
  <c r="K107" i="6"/>
  <c r="J107" i="6"/>
  <c r="I107" i="6"/>
  <c r="H107" i="6"/>
  <c r="S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S105" i="6"/>
  <c r="P105" i="6" s="1"/>
  <c r="O105" i="6"/>
  <c r="N105" i="6"/>
  <c r="M105" i="6"/>
  <c r="L105" i="6"/>
  <c r="K105" i="6"/>
  <c r="J105" i="6"/>
  <c r="I105" i="6"/>
  <c r="H105" i="6"/>
  <c r="G105" i="6"/>
  <c r="F105" i="6"/>
  <c r="E105" i="6"/>
  <c r="D105" i="6"/>
  <c r="Q105" i="6" s="1"/>
  <c r="R105" i="6" s="1"/>
  <c r="S104" i="6"/>
  <c r="S103" i="6"/>
  <c r="I103" i="6" s="1"/>
  <c r="P103" i="6"/>
  <c r="O103" i="6"/>
  <c r="N103" i="6"/>
  <c r="M103" i="6"/>
  <c r="L103" i="6"/>
  <c r="K103" i="6"/>
  <c r="J103" i="6"/>
  <c r="S102" i="6"/>
  <c r="D102" i="6" s="1"/>
  <c r="N102" i="6"/>
  <c r="M102" i="6"/>
  <c r="L102" i="6"/>
  <c r="K102" i="6"/>
  <c r="J102" i="6"/>
  <c r="I102" i="6"/>
  <c r="H102" i="6"/>
  <c r="G102" i="6"/>
  <c r="F102" i="6"/>
  <c r="E102" i="6"/>
  <c r="S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Q101" i="6" s="1"/>
  <c r="S100" i="6"/>
  <c r="S99" i="6"/>
  <c r="K99" i="6" s="1"/>
  <c r="P99" i="6"/>
  <c r="O99" i="6"/>
  <c r="N99" i="6"/>
  <c r="M99" i="6"/>
  <c r="L99" i="6"/>
  <c r="S98" i="6"/>
  <c r="P98" i="6"/>
  <c r="O98" i="6"/>
  <c r="N98" i="6"/>
  <c r="M98" i="6"/>
  <c r="L98" i="6"/>
  <c r="K98" i="6"/>
  <c r="J98" i="6"/>
  <c r="I98" i="6"/>
  <c r="H98" i="6"/>
  <c r="G98" i="6"/>
  <c r="V97" i="6"/>
  <c r="S97" i="6"/>
  <c r="R97" i="6" s="1"/>
  <c r="R317" i="6" s="1"/>
  <c r="V96" i="6"/>
  <c r="S96" i="6"/>
  <c r="R96" i="6" s="1"/>
  <c r="R316" i="6" s="1"/>
  <c r="V95" i="6"/>
  <c r="S95" i="6"/>
  <c r="R95" i="6" s="1"/>
  <c r="R315" i="6" s="1"/>
  <c r="V94" i="6"/>
  <c r="S94" i="6"/>
  <c r="R94" i="6"/>
  <c r="R314" i="6" s="1"/>
  <c r="V93" i="6"/>
  <c r="T93" i="6"/>
  <c r="S93" i="6"/>
  <c r="R93" i="6"/>
  <c r="R313" i="6" s="1"/>
  <c r="V92" i="6"/>
  <c r="S92" i="6"/>
  <c r="R92" i="6"/>
  <c r="R312" i="6" s="1"/>
  <c r="V91" i="6"/>
  <c r="S91" i="6"/>
  <c r="R91" i="6" s="1"/>
  <c r="R311" i="6" s="1"/>
  <c r="V90" i="6"/>
  <c r="S90" i="6"/>
  <c r="R90" i="6" s="1"/>
  <c r="R310" i="6" s="1"/>
  <c r="V89" i="6"/>
  <c r="S89" i="6"/>
  <c r="R89" i="6" s="1"/>
  <c r="R309" i="6" s="1"/>
  <c r="V88" i="6"/>
  <c r="S88" i="6"/>
  <c r="R88" i="6" s="1"/>
  <c r="R308" i="6" s="1"/>
  <c r="V87" i="6"/>
  <c r="S87" i="6"/>
  <c r="Q87" i="6"/>
  <c r="Q307" i="6" s="1"/>
  <c r="V86" i="6"/>
  <c r="V98" i="6" s="1"/>
  <c r="S86" i="6"/>
  <c r="Q86" i="6"/>
  <c r="R86" i="6" s="1"/>
  <c r="V85" i="6"/>
  <c r="S85" i="6"/>
  <c r="Q85" i="6"/>
  <c r="V84" i="6"/>
  <c r="S84" i="6"/>
  <c r="R84" i="6"/>
  <c r="Q84" i="6"/>
  <c r="V83" i="6"/>
  <c r="S83" i="6"/>
  <c r="R83" i="6" s="1"/>
  <c r="R303" i="6" s="1"/>
  <c r="Q83" i="6"/>
  <c r="V82" i="6"/>
  <c r="S82" i="6"/>
  <c r="Q82" i="6"/>
  <c r="Q302" i="6" s="1"/>
  <c r="V81" i="6"/>
  <c r="S81" i="6"/>
  <c r="Q81" i="6"/>
  <c r="Q301" i="6" s="1"/>
  <c r="V80" i="6"/>
  <c r="S80" i="6"/>
  <c r="Q80" i="6"/>
  <c r="Q300" i="6" s="1"/>
  <c r="V79" i="6"/>
  <c r="S79" i="6"/>
  <c r="R79" i="6" s="1"/>
  <c r="R299" i="6" s="1"/>
  <c r="Q79" i="6"/>
  <c r="V78" i="6"/>
  <c r="S78" i="6"/>
  <c r="R78" i="6" s="1"/>
  <c r="R298" i="6" s="1"/>
  <c r="Q78" i="6"/>
  <c r="Q298" i="6" s="1"/>
  <c r="V77" i="6"/>
  <c r="S77" i="6"/>
  <c r="R77" i="6" s="1"/>
  <c r="R297" i="6" s="1"/>
  <c r="Q77" i="6"/>
  <c r="V76" i="6"/>
  <c r="S76" i="6"/>
  <c r="Q76" i="6"/>
  <c r="Q296" i="6" s="1"/>
  <c r="V75" i="6"/>
  <c r="S75" i="6"/>
  <c r="R75" i="6" s="1"/>
  <c r="R295" i="6" s="1"/>
  <c r="Q75" i="6"/>
  <c r="X74" i="6"/>
  <c r="V74" i="6"/>
  <c r="S74" i="6"/>
  <c r="R74" i="6"/>
  <c r="Q74" i="6"/>
  <c r="V73" i="6"/>
  <c r="S73" i="6"/>
  <c r="R73" i="6" s="1"/>
  <c r="R293" i="6" s="1"/>
  <c r="Q73" i="6"/>
  <c r="Q293" i="6" s="1"/>
  <c r="V72" i="6"/>
  <c r="S72" i="6"/>
  <c r="R72" i="6"/>
  <c r="R292" i="6" s="1"/>
  <c r="Q72" i="6"/>
  <c r="Q292" i="6" s="1"/>
  <c r="V71" i="6"/>
  <c r="S71" i="6"/>
  <c r="Q71" i="6"/>
  <c r="Q291" i="6" s="1"/>
  <c r="V70" i="6"/>
  <c r="S70" i="6"/>
  <c r="Q70" i="6"/>
  <c r="Q290" i="6" s="1"/>
  <c r="V69" i="6"/>
  <c r="S69" i="6"/>
  <c r="R69" i="6"/>
  <c r="R289" i="6" s="1"/>
  <c r="Q69" i="6"/>
  <c r="V68" i="6"/>
  <c r="S68" i="6"/>
  <c r="Q68" i="6"/>
  <c r="Q288" i="6" s="1"/>
  <c r="V67" i="6"/>
  <c r="S67" i="6"/>
  <c r="R67" i="6"/>
  <c r="R287" i="6" s="1"/>
  <c r="Q67" i="6"/>
  <c r="Q287" i="6" s="1"/>
  <c r="V66" i="6"/>
  <c r="S66" i="6"/>
  <c r="R66" i="6" s="1"/>
  <c r="R286" i="6" s="1"/>
  <c r="Q66" i="6"/>
  <c r="Q286" i="6" s="1"/>
  <c r="V65" i="6"/>
  <c r="S65" i="6"/>
  <c r="Q65" i="6"/>
  <c r="V64" i="6"/>
  <c r="S64" i="6"/>
  <c r="Q64" i="6"/>
  <c r="V63" i="6"/>
  <c r="S63" i="6"/>
  <c r="R63" i="6"/>
  <c r="R283" i="6" s="1"/>
  <c r="Q63" i="6"/>
  <c r="Q283" i="6" s="1"/>
  <c r="V62" i="6"/>
  <c r="S62" i="6"/>
  <c r="R62" i="6" s="1"/>
  <c r="Q62" i="6"/>
  <c r="V61" i="6"/>
  <c r="S61" i="6"/>
  <c r="R61" i="6"/>
  <c r="R281" i="6" s="1"/>
  <c r="Q61" i="6"/>
  <c r="Q281" i="6" s="1"/>
  <c r="V60" i="6"/>
  <c r="S60" i="6"/>
  <c r="Q60" i="6"/>
  <c r="Q280" i="6" s="1"/>
  <c r="V59" i="6"/>
  <c r="S59" i="6"/>
  <c r="R59" i="6" s="1"/>
  <c r="R279" i="6" s="1"/>
  <c r="Q59" i="6"/>
  <c r="Q279" i="6" s="1"/>
  <c r="V58" i="6"/>
  <c r="S58" i="6"/>
  <c r="R58" i="6"/>
  <c r="R278" i="6" s="1"/>
  <c r="Q58" i="6"/>
  <c r="V57" i="6"/>
  <c r="S57" i="6"/>
  <c r="R57" i="6" s="1"/>
  <c r="R277" i="6" s="1"/>
  <c r="Q57" i="6"/>
  <c r="Q277" i="6" s="1"/>
  <c r="V56" i="6"/>
  <c r="S56" i="6"/>
  <c r="R56" i="6"/>
  <c r="R276" i="6" s="1"/>
  <c r="Q56" i="6"/>
  <c r="Q276" i="6" s="1"/>
  <c r="V55" i="6"/>
  <c r="S55" i="6"/>
  <c r="R55" i="6" s="1"/>
  <c r="R275" i="6" s="1"/>
  <c r="Q55" i="6"/>
  <c r="Q275" i="6" s="1"/>
  <c r="V54" i="6"/>
  <c r="S54" i="6"/>
  <c r="F274" i="6" s="1"/>
  <c r="Q54" i="6"/>
  <c r="V53" i="6"/>
  <c r="S53" i="6"/>
  <c r="R53" i="6"/>
  <c r="R273" i="6" s="1"/>
  <c r="Q53" i="6"/>
  <c r="V52" i="6"/>
  <c r="S52" i="6"/>
  <c r="R52" i="6"/>
  <c r="R272" i="6" s="1"/>
  <c r="Q52" i="6"/>
  <c r="Q272" i="6" s="1"/>
  <c r="V51" i="6"/>
  <c r="S51" i="6"/>
  <c r="R51" i="6" s="1"/>
  <c r="R271" i="6" s="1"/>
  <c r="Q51" i="6"/>
  <c r="V50" i="6"/>
  <c r="S50" i="6"/>
  <c r="R50" i="6"/>
  <c r="Q50" i="6"/>
  <c r="V49" i="6"/>
  <c r="S49" i="6"/>
  <c r="J269" i="6" s="1"/>
  <c r="Q49" i="6"/>
  <c r="Q269" i="6" s="1"/>
  <c r="V48" i="6"/>
  <c r="S48" i="6"/>
  <c r="Q48" i="6"/>
  <c r="V47" i="6"/>
  <c r="S47" i="6"/>
  <c r="R47" i="6"/>
  <c r="R267" i="6" s="1"/>
  <c r="Q47" i="6"/>
  <c r="V46" i="6"/>
  <c r="S46" i="6"/>
  <c r="R46" i="6" s="1"/>
  <c r="R266" i="6" s="1"/>
  <c r="Q46" i="6"/>
  <c r="Q266" i="6" s="1"/>
  <c r="V45" i="6"/>
  <c r="S45" i="6"/>
  <c r="R45" i="6"/>
  <c r="R265" i="6" s="1"/>
  <c r="Q45" i="6"/>
  <c r="V44" i="6"/>
  <c r="S44" i="6"/>
  <c r="R44" i="6" s="1"/>
  <c r="R264" i="6" s="1"/>
  <c r="Q44" i="6"/>
  <c r="Q264" i="6" s="1"/>
  <c r="V43" i="6"/>
  <c r="S43" i="6"/>
  <c r="Q43" i="6"/>
  <c r="V42" i="6"/>
  <c r="S42" i="6"/>
  <c r="D262" i="6" s="1"/>
  <c r="R42" i="6"/>
  <c r="R262" i="6" s="1"/>
  <c r="Q42" i="6"/>
  <c r="V41" i="6"/>
  <c r="S41" i="6"/>
  <c r="R41" i="6"/>
  <c r="R261" i="6" s="1"/>
  <c r="Q41" i="6"/>
  <c r="V40" i="6"/>
  <c r="S40" i="6"/>
  <c r="R40" i="6" s="1"/>
  <c r="R260" i="6" s="1"/>
  <c r="Q40" i="6"/>
  <c r="V39" i="6"/>
  <c r="S39" i="6"/>
  <c r="R39" i="6"/>
  <c r="R259" i="6" s="1"/>
  <c r="Q39" i="6"/>
  <c r="Q259" i="6" s="1"/>
  <c r="V38" i="6"/>
  <c r="S38" i="6"/>
  <c r="P258" i="6" s="1"/>
  <c r="Q38" i="6"/>
  <c r="V37" i="6"/>
  <c r="S37" i="6"/>
  <c r="Q37" i="6"/>
  <c r="Q257" i="6" s="1"/>
  <c r="V36" i="6"/>
  <c r="S36" i="6"/>
  <c r="J256" i="6" s="1"/>
  <c r="R36" i="6"/>
  <c r="R256" i="6" s="1"/>
  <c r="Q36" i="6"/>
  <c r="V35" i="6"/>
  <c r="S35" i="6"/>
  <c r="R35" i="6" s="1"/>
  <c r="R255" i="6" s="1"/>
  <c r="Q35" i="6"/>
  <c r="Q255" i="6" s="1"/>
  <c r="V34" i="6"/>
  <c r="S34" i="6"/>
  <c r="P254" i="6" s="1"/>
  <c r="R34" i="6"/>
  <c r="R254" i="6" s="1"/>
  <c r="Q34" i="6"/>
  <c r="Q254" i="6" s="1"/>
  <c r="V33" i="6"/>
  <c r="S33" i="6"/>
  <c r="R33" i="6" s="1"/>
  <c r="R253" i="6" s="1"/>
  <c r="Q33" i="6"/>
  <c r="Q253" i="6" s="1"/>
  <c r="V32" i="6"/>
  <c r="S32" i="6"/>
  <c r="Q32" i="6"/>
  <c r="V31" i="6"/>
  <c r="S31" i="6"/>
  <c r="Q31" i="6"/>
  <c r="Q251" i="6" s="1"/>
  <c r="V30" i="6"/>
  <c r="S30" i="6"/>
  <c r="F250" i="6" s="1"/>
  <c r="R30" i="6"/>
  <c r="R250" i="6" s="1"/>
  <c r="Q30" i="6"/>
  <c r="Q250" i="6" s="1"/>
  <c r="V29" i="6"/>
  <c r="S29" i="6"/>
  <c r="R29" i="6" s="1"/>
  <c r="R249" i="6" s="1"/>
  <c r="Q29" i="6"/>
  <c r="V28" i="6"/>
  <c r="S28" i="6"/>
  <c r="R28" i="6"/>
  <c r="R248" i="6" s="1"/>
  <c r="Q28" i="6"/>
  <c r="V27" i="6"/>
  <c r="S27" i="6"/>
  <c r="Q27" i="6"/>
  <c r="Q247" i="6" s="1"/>
  <c r="V26" i="6"/>
  <c r="S26" i="6"/>
  <c r="R26" i="6"/>
  <c r="Q26" i="6"/>
  <c r="V25" i="6"/>
  <c r="S25" i="6"/>
  <c r="R25" i="6"/>
  <c r="R245" i="6" s="1"/>
  <c r="Q25" i="6"/>
  <c r="V24" i="6"/>
  <c r="S24" i="6"/>
  <c r="R24" i="6" s="1"/>
  <c r="R244" i="6" s="1"/>
  <c r="Q24" i="6"/>
  <c r="Q244" i="6" s="1"/>
  <c r="V23" i="6"/>
  <c r="S23" i="6"/>
  <c r="R23" i="6"/>
  <c r="R243" i="6" s="1"/>
  <c r="Q23" i="6"/>
  <c r="Q243" i="6" s="1"/>
  <c r="V22" i="6"/>
  <c r="S22" i="6"/>
  <c r="R22" i="6" s="1"/>
  <c r="R242" i="6" s="1"/>
  <c r="Q22" i="6"/>
  <c r="Q242" i="6" s="1"/>
  <c r="V21" i="6"/>
  <c r="S21" i="6"/>
  <c r="Q21" i="6"/>
  <c r="V20" i="6"/>
  <c r="S20" i="6"/>
  <c r="Q20" i="6"/>
  <c r="Q240" i="6" s="1"/>
  <c r="V19" i="6"/>
  <c r="S19" i="6"/>
  <c r="R19" i="6"/>
  <c r="R239" i="6" s="1"/>
  <c r="Q19" i="6"/>
  <c r="Q239" i="6" s="1"/>
  <c r="V18" i="6"/>
  <c r="S18" i="6"/>
  <c r="G238" i="6" s="1"/>
  <c r="Q18" i="6"/>
  <c r="V17" i="6"/>
  <c r="S17" i="6"/>
  <c r="R17" i="6"/>
  <c r="R237" i="6" s="1"/>
  <c r="Q17" i="6"/>
  <c r="Q237" i="6" s="1"/>
  <c r="V16" i="6"/>
  <c r="S16" i="6"/>
  <c r="Q16" i="6"/>
  <c r="Q236" i="6" s="1"/>
  <c r="V15" i="6"/>
  <c r="S15" i="6"/>
  <c r="M235" i="6" s="1"/>
  <c r="R15" i="6"/>
  <c r="R235" i="6" s="1"/>
  <c r="Q15" i="6"/>
  <c r="Q235" i="6" s="1"/>
  <c r="V14" i="6"/>
  <c r="S14" i="6"/>
  <c r="R14" i="6"/>
  <c r="Q14" i="6"/>
  <c r="V13" i="6"/>
  <c r="S13" i="6"/>
  <c r="R13" i="6" s="1"/>
  <c r="R233" i="6" s="1"/>
  <c r="Q13" i="6"/>
  <c r="Q233" i="6" s="1"/>
  <c r="V12" i="6"/>
  <c r="S12" i="6"/>
  <c r="R12" i="6"/>
  <c r="R232" i="6" s="1"/>
  <c r="Q12" i="6"/>
  <c r="Q232" i="6" s="1"/>
  <c r="V11" i="6"/>
  <c r="S11" i="6"/>
  <c r="R11" i="6" s="1"/>
  <c r="R231" i="6" s="1"/>
  <c r="Q11" i="6"/>
  <c r="Q231" i="6" s="1"/>
  <c r="V10" i="6"/>
  <c r="S10" i="6"/>
  <c r="Q10" i="6"/>
  <c r="V9" i="6"/>
  <c r="S9" i="6"/>
  <c r="Q9" i="6"/>
  <c r="Q229" i="6" s="1"/>
  <c r="V8" i="6"/>
  <c r="S8" i="6"/>
  <c r="R8" i="6"/>
  <c r="R228" i="6" s="1"/>
  <c r="Q8" i="6"/>
  <c r="Q228" i="6" s="1"/>
  <c r="V7" i="6"/>
  <c r="S7" i="6"/>
  <c r="R7" i="6" s="1"/>
  <c r="R227" i="6" s="1"/>
  <c r="Q7" i="6"/>
  <c r="V6" i="6"/>
  <c r="S6" i="6"/>
  <c r="R6" i="6"/>
  <c r="R226" i="6" s="1"/>
  <c r="Q6" i="6"/>
  <c r="Q226" i="6" s="1"/>
  <c r="V5" i="6"/>
  <c r="S5" i="6"/>
  <c r="O225" i="6" s="1"/>
  <c r="Q5" i="6"/>
  <c r="Q225" i="6" s="1"/>
  <c r="V4" i="6"/>
  <c r="S4" i="6"/>
  <c r="R4" i="6" s="1"/>
  <c r="R224" i="6" s="1"/>
  <c r="Q4" i="6"/>
  <c r="Q224" i="6" s="1"/>
  <c r="V3" i="6"/>
  <c r="S3" i="6"/>
  <c r="R3" i="6"/>
  <c r="R223" i="6" s="1"/>
  <c r="Q3" i="6"/>
  <c r="AM2" i="6"/>
  <c r="AJ2" i="6"/>
  <c r="V2" i="6"/>
  <c r="S2" i="6"/>
  <c r="K222" i="6" s="1"/>
  <c r="R2" i="6"/>
  <c r="AL2" i="6" s="1"/>
  <c r="Q2" i="6"/>
  <c r="AK2" i="6" s="1"/>
  <c r="P18" i="5"/>
  <c r="O18" i="5"/>
  <c r="P15" i="5"/>
  <c r="Q15" i="5" s="1"/>
  <c r="O15" i="5"/>
  <c r="P16" i="5" s="1"/>
  <c r="N15" i="5"/>
  <c r="O16" i="5" s="1"/>
  <c r="M15" i="5"/>
  <c r="N16" i="5" s="1"/>
  <c r="L15" i="5"/>
  <c r="M16" i="5" s="1"/>
  <c r="K15" i="5"/>
  <c r="L16" i="5" s="1"/>
  <c r="J15" i="5"/>
  <c r="K16" i="5" s="1"/>
  <c r="I15" i="5"/>
  <c r="J16" i="5" s="1"/>
  <c r="H15" i="5"/>
  <c r="I16" i="5" s="1"/>
  <c r="G15" i="5"/>
  <c r="H16" i="5" s="1"/>
  <c r="F15" i="5"/>
  <c r="F16" i="5" s="1"/>
  <c r="E15" i="5"/>
  <c r="D15" i="5"/>
  <c r="C15" i="5"/>
  <c r="B15" i="5"/>
  <c r="AD14" i="5"/>
  <c r="AD13" i="5"/>
  <c r="AD12" i="5"/>
  <c r="AD11" i="5"/>
  <c r="AD10" i="5"/>
  <c r="AD9" i="5"/>
  <c r="AD8" i="5"/>
  <c r="AD7" i="5"/>
  <c r="AD6" i="5"/>
  <c r="AD5" i="5"/>
  <c r="AD4" i="5"/>
  <c r="AD3" i="5"/>
  <c r="K35" i="4"/>
  <c r="J35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N35" i="4" s="1"/>
  <c r="M27" i="4"/>
  <c r="M35" i="4" s="1"/>
  <c r="L27" i="4"/>
  <c r="L35" i="4" s="1"/>
  <c r="K27" i="4"/>
  <c r="J27" i="4"/>
  <c r="I27" i="4"/>
  <c r="H27" i="4"/>
  <c r="G27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Q35" i="4" s="1"/>
  <c r="P26" i="4"/>
  <c r="P35" i="4" s="1"/>
  <c r="O26" i="4"/>
  <c r="O35" i="4" s="1"/>
  <c r="N26" i="4"/>
  <c r="M26" i="4"/>
  <c r="L26" i="4"/>
  <c r="K26" i="4"/>
  <c r="J26" i="4"/>
  <c r="I26" i="4"/>
  <c r="H26" i="4"/>
  <c r="G26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S35" i="4" s="1"/>
  <c r="R25" i="4"/>
  <c r="R35" i="4" s="1"/>
  <c r="Q25" i="4"/>
  <c r="P25" i="4"/>
  <c r="O25" i="4"/>
  <c r="N25" i="4"/>
  <c r="M25" i="4"/>
  <c r="L25" i="4"/>
  <c r="K25" i="4"/>
  <c r="J25" i="4"/>
  <c r="I25" i="4"/>
  <c r="H25" i="4"/>
  <c r="G25" i="4"/>
  <c r="AE24" i="4"/>
  <c r="AD24" i="4"/>
  <c r="AC24" i="4"/>
  <c r="AB24" i="4"/>
  <c r="AA24" i="4"/>
  <c r="Z24" i="4"/>
  <c r="Y24" i="4"/>
  <c r="X24" i="4"/>
  <c r="W24" i="4"/>
  <c r="V24" i="4"/>
  <c r="V35" i="4" s="1"/>
  <c r="U24" i="4"/>
  <c r="T24" i="4"/>
  <c r="T35" i="4" s="1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AE23" i="4"/>
  <c r="AE35" i="4" s="1"/>
  <c r="AD23" i="4"/>
  <c r="AD35" i="4" s="1"/>
  <c r="AC23" i="4"/>
  <c r="AC35" i="4" s="1"/>
  <c r="AB23" i="4"/>
  <c r="AB35" i="4" s="1"/>
  <c r="AA23" i="4"/>
  <c r="AA35" i="4" s="1"/>
  <c r="Z23" i="4"/>
  <c r="Z35" i="4" s="1"/>
  <c r="Y23" i="4"/>
  <c r="Y35" i="4" s="1"/>
  <c r="X23" i="4"/>
  <c r="X35" i="4" s="1"/>
  <c r="W23" i="4"/>
  <c r="W35" i="4" s="1"/>
  <c r="V23" i="4"/>
  <c r="U23" i="4"/>
  <c r="U35" i="4" s="1"/>
  <c r="T23" i="4"/>
  <c r="S23" i="4"/>
  <c r="R23" i="4"/>
  <c r="Q23" i="4"/>
  <c r="P23" i="4"/>
  <c r="O23" i="4"/>
  <c r="N23" i="4"/>
  <c r="M23" i="4"/>
  <c r="L23" i="4"/>
  <c r="K23" i="4"/>
  <c r="J23" i="4"/>
  <c r="I23" i="4"/>
  <c r="I35" i="4" s="1"/>
  <c r="H23" i="4"/>
  <c r="H35" i="4" s="1"/>
  <c r="G23" i="4"/>
  <c r="G35" i="4" s="1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V20" i="4"/>
  <c r="U17" i="4"/>
  <c r="U18" i="4" s="1"/>
  <c r="T17" i="4"/>
  <c r="T18" i="4" s="1"/>
  <c r="S17" i="4"/>
  <c r="S19" i="4" s="1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K16" i="2"/>
  <c r="D16" i="2"/>
  <c r="L15" i="2"/>
  <c r="K15" i="2"/>
  <c r="J15" i="2"/>
  <c r="I15" i="2"/>
  <c r="H15" i="2"/>
  <c r="G15" i="2"/>
  <c r="F15" i="2"/>
  <c r="D15" i="2"/>
  <c r="N14" i="2"/>
  <c r="D14" i="2"/>
  <c r="N13" i="2"/>
  <c r="D13" i="2"/>
  <c r="N12" i="2"/>
  <c r="D12" i="2"/>
  <c r="N11" i="2"/>
  <c r="D11" i="2"/>
  <c r="N10" i="2"/>
  <c r="D10" i="2"/>
  <c r="N9" i="2"/>
  <c r="D9" i="2"/>
  <c r="N8" i="2"/>
  <c r="D8" i="2"/>
  <c r="N7" i="2"/>
  <c r="D7" i="2"/>
  <c r="N6" i="2"/>
  <c r="D6" i="2"/>
  <c r="N5" i="2"/>
  <c r="D5" i="2"/>
  <c r="N4" i="2"/>
  <c r="D4" i="2"/>
  <c r="N3" i="2"/>
  <c r="D3" i="2"/>
  <c r="O119" i="6" l="1"/>
  <c r="P119" i="6"/>
  <c r="D119" i="6"/>
  <c r="Q119" i="6" s="1"/>
  <c r="R119" i="6" s="1"/>
  <c r="Q110" i="6"/>
  <c r="R110" i="6" s="1"/>
  <c r="I12" i="10"/>
  <c r="DU12" i="10"/>
  <c r="I73" i="10"/>
  <c r="DP73" i="10"/>
  <c r="DP84" i="10"/>
  <c r="I84" i="10"/>
  <c r="DP106" i="10"/>
  <c r="I106" i="10"/>
  <c r="DP238" i="10"/>
  <c r="I238" i="10"/>
  <c r="I276" i="10"/>
  <c r="I331" i="10"/>
  <c r="DU215" i="10"/>
  <c r="DU259" i="10"/>
  <c r="DU303" i="10"/>
  <c r="DR133" i="10"/>
  <c r="AL133" i="10"/>
  <c r="AX237" i="10"/>
  <c r="BA243" i="10"/>
  <c r="BE249" i="10"/>
  <c r="AX303" i="10"/>
  <c r="BE315" i="10"/>
  <c r="BE337" i="10"/>
  <c r="AX369" i="10"/>
  <c r="AR143" i="10"/>
  <c r="AR157" i="10"/>
  <c r="AU162" i="10"/>
  <c r="AR179" i="10"/>
  <c r="I370" i="10"/>
  <c r="DQ77" i="10"/>
  <c r="I77" i="10"/>
  <c r="DQ110" i="10"/>
  <c r="DQ116" i="10"/>
  <c r="I17" i="10"/>
  <c r="DV17" i="10"/>
  <c r="DQ121" i="10"/>
  <c r="DV72" i="10"/>
  <c r="I72" i="10"/>
  <c r="DP78" i="10"/>
  <c r="I78" i="10"/>
  <c r="DQ105" i="10"/>
  <c r="DR179" i="10"/>
  <c r="DV105" i="10"/>
  <c r="I105" i="10"/>
  <c r="I23" i="10"/>
  <c r="DP23" i="10"/>
  <c r="DQ94" i="10"/>
  <c r="DQ99" i="10"/>
  <c r="DR88" i="10"/>
  <c r="AL88" i="10"/>
  <c r="I90" i="10"/>
  <c r="I123" i="10"/>
  <c r="AL68" i="10"/>
  <c r="AB176" i="10"/>
  <c r="I99" i="10"/>
  <c r="I198" i="10"/>
  <c r="DP68" i="10"/>
  <c r="DP101" i="10"/>
  <c r="DQ258" i="10"/>
  <c r="I127" i="10"/>
  <c r="I336" i="10"/>
  <c r="I204" i="10"/>
  <c r="CF193" i="10"/>
  <c r="CF281" i="10"/>
  <c r="CF325" i="10"/>
  <c r="CF369" i="10"/>
  <c r="CZ206" i="10"/>
  <c r="DC210" i="10"/>
  <c r="DC254" i="10"/>
  <c r="CZ272" i="10"/>
  <c r="DC276" i="10"/>
  <c r="CZ294" i="10"/>
  <c r="DC320" i="10"/>
  <c r="CZ338" i="10"/>
  <c r="CZ360" i="10"/>
  <c r="I134" i="10"/>
  <c r="DP134" i="10"/>
  <c r="CF215" i="10"/>
  <c r="CF303" i="10"/>
  <c r="I286" i="10"/>
  <c r="DU50" i="10"/>
  <c r="DU61" i="10"/>
  <c r="DU127" i="10"/>
  <c r="AF154" i="10"/>
  <c r="DS176" i="10"/>
  <c r="AF202" i="10"/>
  <c r="AF308" i="10"/>
  <c r="AF330" i="10"/>
  <c r="BN112" i="10"/>
  <c r="BN123" i="10"/>
  <c r="BN193" i="10"/>
  <c r="I199" i="10"/>
  <c r="AO369" i="10"/>
  <c r="AU184" i="10"/>
  <c r="AR234" i="10"/>
  <c r="AR256" i="10"/>
  <c r="AU272" i="10"/>
  <c r="AU294" i="10"/>
  <c r="AU316" i="10"/>
  <c r="AR344" i="10"/>
  <c r="AR366" i="10"/>
  <c r="CK212" i="10"/>
  <c r="CK278" i="10"/>
  <c r="CK366" i="10"/>
  <c r="CO175" i="10"/>
  <c r="DQ240" i="10"/>
  <c r="Q334" i="10"/>
  <c r="CF185" i="10"/>
  <c r="CF251" i="10"/>
  <c r="CF361" i="10"/>
  <c r="DN361" i="10"/>
  <c r="DC214" i="10"/>
  <c r="DC236" i="10"/>
  <c r="DC258" i="10"/>
  <c r="DC280" i="10"/>
  <c r="DC302" i="10"/>
  <c r="DC346" i="10"/>
  <c r="CZ364" i="10"/>
  <c r="I205" i="10"/>
  <c r="DS369" i="10"/>
  <c r="AF369" i="10"/>
  <c r="DU62" i="10"/>
  <c r="I160" i="10"/>
  <c r="I165" i="10"/>
  <c r="Q308" i="10"/>
  <c r="I348" i="10"/>
  <c r="AU195" i="10"/>
  <c r="AU250" i="10"/>
  <c r="AR278" i="10"/>
  <c r="AU305" i="10"/>
  <c r="AU327" i="10"/>
  <c r="AU349" i="10"/>
  <c r="AU371" i="10"/>
  <c r="CK234" i="10"/>
  <c r="CK322" i="10"/>
  <c r="CO209" i="10"/>
  <c r="CO275" i="10"/>
  <c r="CO308" i="10"/>
  <c r="Q191" i="10"/>
  <c r="Q213" i="10"/>
  <c r="CA294" i="10"/>
  <c r="CA360" i="10"/>
  <c r="DN185" i="10"/>
  <c r="DN218" i="10"/>
  <c r="DN251" i="10"/>
  <c r="DC324" i="10"/>
  <c r="DU51" i="10"/>
  <c r="DX51" i="10" s="1"/>
  <c r="EG51" i="10" s="1"/>
  <c r="EQ51" i="10" s="1"/>
  <c r="I122" i="10"/>
  <c r="AR223" i="10"/>
  <c r="AR289" i="10"/>
  <c r="AR311" i="10"/>
  <c r="AR333" i="10"/>
  <c r="CK190" i="10"/>
  <c r="CK256" i="10"/>
  <c r="CO220" i="10"/>
  <c r="CO253" i="10"/>
  <c r="CO286" i="10"/>
  <c r="CO319" i="10"/>
  <c r="CO352" i="10"/>
  <c r="Q224" i="10"/>
  <c r="CA184" i="10"/>
  <c r="CA250" i="10"/>
  <c r="CA338" i="10"/>
  <c r="CF163" i="10"/>
  <c r="CF339" i="10"/>
  <c r="DN163" i="10"/>
  <c r="DN196" i="10"/>
  <c r="DN229" i="10"/>
  <c r="DN350" i="10"/>
  <c r="CZ298" i="10"/>
  <c r="DQ111" i="10"/>
  <c r="DU84" i="10"/>
  <c r="DS312" i="10"/>
  <c r="I100" i="10"/>
  <c r="DP219" i="10"/>
  <c r="DP230" i="10"/>
  <c r="AR190" i="10"/>
  <c r="AU261" i="10"/>
  <c r="AU283" i="10"/>
  <c r="AR300" i="10"/>
  <c r="AR322" i="10"/>
  <c r="AU338" i="10"/>
  <c r="AR355" i="10"/>
  <c r="CK300" i="10"/>
  <c r="CO187" i="10"/>
  <c r="CO198" i="10"/>
  <c r="CO264" i="10"/>
  <c r="CO297" i="10"/>
  <c r="CO363" i="10"/>
  <c r="CO374" i="10"/>
  <c r="Q257" i="10"/>
  <c r="CA316" i="10"/>
  <c r="CF207" i="10"/>
  <c r="CF273" i="10"/>
  <c r="CF317" i="10"/>
  <c r="DN207" i="10"/>
  <c r="DN240" i="10"/>
  <c r="DN273" i="10"/>
  <c r="DN317" i="10"/>
  <c r="DN328" i="10"/>
  <c r="DN372" i="10"/>
  <c r="CZ210" i="10"/>
  <c r="CZ232" i="10"/>
  <c r="CZ254" i="10"/>
  <c r="CZ276" i="10"/>
  <c r="CZ320" i="10"/>
  <c r="CZ342" i="10"/>
  <c r="DC368" i="10"/>
  <c r="DQ100" i="10"/>
  <c r="I193" i="10"/>
  <c r="I43" i="10"/>
  <c r="DT78" i="10"/>
  <c r="DT111" i="10"/>
  <c r="DT133" i="10"/>
  <c r="DR178" i="10"/>
  <c r="DU240" i="10"/>
  <c r="DU284" i="10"/>
  <c r="DU131" i="10"/>
  <c r="DU175" i="10"/>
  <c r="DQ98" i="10"/>
  <c r="DU129" i="10"/>
  <c r="DQ270" i="10"/>
  <c r="I352" i="10"/>
  <c r="DU100" i="10"/>
  <c r="AB148" i="10"/>
  <c r="AF152" i="10"/>
  <c r="DT156" i="10"/>
  <c r="AB236" i="10"/>
  <c r="AF240" i="10"/>
  <c r="AF262" i="10"/>
  <c r="AB302" i="10"/>
  <c r="AB346" i="10"/>
  <c r="AB368" i="10"/>
  <c r="AF372" i="10"/>
  <c r="DR93" i="10"/>
  <c r="BN104" i="10"/>
  <c r="DQ134" i="10"/>
  <c r="BS184" i="10"/>
  <c r="BN187" i="10"/>
  <c r="BS206" i="10"/>
  <c r="BS228" i="10"/>
  <c r="BS250" i="10"/>
  <c r="BS272" i="10"/>
  <c r="BN275" i="10"/>
  <c r="BS294" i="10"/>
  <c r="BS316" i="10"/>
  <c r="BS338" i="10"/>
  <c r="BN341" i="10"/>
  <c r="BS360" i="10"/>
  <c r="BN363" i="10"/>
  <c r="AX124" i="10"/>
  <c r="AX131" i="10"/>
  <c r="BA136" i="10"/>
  <c r="AX142" i="10"/>
  <c r="BA148" i="10"/>
  <c r="AX164" i="10"/>
  <c r="BA170" i="10"/>
  <c r="AX186" i="10"/>
  <c r="BA192" i="10"/>
  <c r="BE198" i="10"/>
  <c r="DT204" i="10"/>
  <c r="AX208" i="10"/>
  <c r="BA214" i="10"/>
  <c r="BE220" i="10"/>
  <c r="AX230" i="10"/>
  <c r="BA236" i="10"/>
  <c r="BE242" i="10"/>
  <c r="AX252" i="10"/>
  <c r="AX274" i="10"/>
  <c r="BA280" i="10"/>
  <c r="BE286" i="10"/>
  <c r="AX296" i="10"/>
  <c r="BA302" i="10"/>
  <c r="BE308" i="10"/>
  <c r="AX318" i="10"/>
  <c r="BA324" i="10"/>
  <c r="BE330" i="10"/>
  <c r="AX340" i="10"/>
  <c r="BA346" i="10"/>
  <c r="BE352" i="10"/>
  <c r="BA368" i="10"/>
  <c r="BE374" i="10"/>
  <c r="I88" i="10"/>
  <c r="DT68" i="10"/>
  <c r="DT101" i="10"/>
  <c r="DT134" i="10"/>
  <c r="AF161" i="10"/>
  <c r="DT209" i="10"/>
  <c r="AF227" i="10"/>
  <c r="AF249" i="10"/>
  <c r="DS293" i="10"/>
  <c r="DQ115" i="10"/>
  <c r="BN130" i="10"/>
  <c r="BN146" i="10"/>
  <c r="BN162" i="10"/>
  <c r="BN192" i="10"/>
  <c r="BN258" i="10"/>
  <c r="BN302" i="10"/>
  <c r="DQ319" i="10"/>
  <c r="BN324" i="10"/>
  <c r="BN346" i="10"/>
  <c r="BN368" i="10"/>
  <c r="DQ136" i="10"/>
  <c r="DX136" i="10" s="1"/>
  <c r="BE173" i="10"/>
  <c r="BE195" i="10"/>
  <c r="BE217" i="10"/>
  <c r="BE239" i="10"/>
  <c r="BE261" i="10"/>
  <c r="BE283" i="10"/>
  <c r="BE305" i="10"/>
  <c r="BE327" i="10"/>
  <c r="BE349" i="10"/>
  <c r="BE371" i="10"/>
  <c r="I347" i="10"/>
  <c r="DU57" i="10"/>
  <c r="AF148" i="10"/>
  <c r="AB210" i="10"/>
  <c r="AF214" i="10"/>
  <c r="DT276" i="10"/>
  <c r="AF302" i="10"/>
  <c r="AB320" i="10"/>
  <c r="DS346" i="10"/>
  <c r="AF368" i="10"/>
  <c r="BN99" i="10"/>
  <c r="BS172" i="10"/>
  <c r="BN175" i="10"/>
  <c r="BS194" i="10"/>
  <c r="BN197" i="10"/>
  <c r="BS216" i="10"/>
  <c r="BN219" i="10"/>
  <c r="BS238" i="10"/>
  <c r="BN241" i="10"/>
  <c r="BS260" i="10"/>
  <c r="BN263" i="10"/>
  <c r="BS304" i="10"/>
  <c r="BN307" i="10"/>
  <c r="BS326" i="10"/>
  <c r="BN329" i="10"/>
  <c r="BS348" i="10"/>
  <c r="BS370" i="10"/>
  <c r="BN373" i="10"/>
  <c r="AX125" i="10"/>
  <c r="BA131" i="10"/>
  <c r="AX137" i="10"/>
  <c r="BA142" i="10"/>
  <c r="BE148" i="10"/>
  <c r="AX312" i="10"/>
  <c r="I254" i="10"/>
  <c r="I320" i="10"/>
  <c r="BN136" i="10"/>
  <c r="BN166" i="10"/>
  <c r="BN210" i="10"/>
  <c r="BN215" i="10"/>
  <c r="BN281" i="10"/>
  <c r="BN293" i="10"/>
  <c r="BN298" i="10"/>
  <c r="BN303" i="10"/>
  <c r="DQ320" i="10"/>
  <c r="BN325" i="10"/>
  <c r="BN347" i="10"/>
  <c r="BN369" i="10"/>
  <c r="BE168" i="10"/>
  <c r="BE174" i="10"/>
  <c r="BE190" i="10"/>
  <c r="BE212" i="10"/>
  <c r="BE300" i="10"/>
  <c r="BE322" i="10"/>
  <c r="BE344" i="10"/>
  <c r="BE366" i="10"/>
  <c r="BE372" i="10"/>
  <c r="DT251" i="10"/>
  <c r="CO154" i="10"/>
  <c r="CO162" i="10"/>
  <c r="CS191" i="10"/>
  <c r="CS202" i="10"/>
  <c r="CS213" i="10"/>
  <c r="CS224" i="10"/>
  <c r="CS235" i="10"/>
  <c r="CS246" i="10"/>
  <c r="CS268" i="10"/>
  <c r="CS279" i="10"/>
  <c r="CS286" i="10"/>
  <c r="CS290" i="10"/>
  <c r="CS301" i="10"/>
  <c r="CS312" i="10"/>
  <c r="CS323" i="10"/>
  <c r="CS334" i="10"/>
  <c r="CS345" i="10"/>
  <c r="CS356" i="10"/>
  <c r="Q148" i="10"/>
  <c r="Q159" i="10"/>
  <c r="DQ175" i="10"/>
  <c r="Q192" i="10"/>
  <c r="DQ197" i="10"/>
  <c r="DV214" i="10"/>
  <c r="Q230" i="10"/>
  <c r="DV258" i="10"/>
  <c r="DV269" i="10"/>
  <c r="Q291" i="10"/>
  <c r="DV368" i="10"/>
  <c r="CA176" i="10"/>
  <c r="CA180" i="10"/>
  <c r="CA185" i="10"/>
  <c r="CA198" i="10"/>
  <c r="CA207" i="10"/>
  <c r="CA211" i="10"/>
  <c r="CA220" i="10"/>
  <c r="CA242" i="10"/>
  <c r="CA251" i="10"/>
  <c r="CA264" i="10"/>
  <c r="CA273" i="10"/>
  <c r="CA286" i="10"/>
  <c r="CA295" i="10"/>
  <c r="CA308" i="10"/>
  <c r="CA317" i="10"/>
  <c r="CA330" i="10"/>
  <c r="CA361" i="10"/>
  <c r="CA374" i="10"/>
  <c r="DN153" i="10"/>
  <c r="DN164" i="10"/>
  <c r="DN186" i="10"/>
  <c r="DN197" i="10"/>
  <c r="DN208" i="10"/>
  <c r="DN219" i="10"/>
  <c r="DN252" i="10"/>
  <c r="DN263" i="10"/>
  <c r="DN285" i="10"/>
  <c r="DN290" i="10"/>
  <c r="DN318" i="10"/>
  <c r="DN329" i="10"/>
  <c r="DN334" i="10"/>
  <c r="DN340" i="10"/>
  <c r="DN351" i="10"/>
  <c r="DN362" i="10"/>
  <c r="AB106" i="10"/>
  <c r="AF163" i="10"/>
  <c r="AF273" i="10"/>
  <c r="AB291" i="10"/>
  <c r="AF295" i="10"/>
  <c r="AF317" i="10"/>
  <c r="AO149" i="10"/>
  <c r="AO160" i="10"/>
  <c r="AO182" i="10"/>
  <c r="AO193" i="10"/>
  <c r="AO204" i="10"/>
  <c r="AO215" i="10"/>
  <c r="AO226" i="10"/>
  <c r="AO237" i="10"/>
  <c r="AO248" i="10"/>
  <c r="AO259" i="10"/>
  <c r="AO281" i="10"/>
  <c r="AO292" i="10"/>
  <c r="AO303" i="10"/>
  <c r="AO314" i="10"/>
  <c r="AO325" i="10"/>
  <c r="AO336" i="10"/>
  <c r="AO347" i="10"/>
  <c r="AO358" i="10"/>
  <c r="DQ101" i="10"/>
  <c r="DQ123" i="10"/>
  <c r="BN144" i="10"/>
  <c r="BN154" i="10"/>
  <c r="BS173" i="10"/>
  <c r="BN176" i="10"/>
  <c r="BS195" i="10"/>
  <c r="BS217" i="10"/>
  <c r="BS239" i="10"/>
  <c r="BN242" i="10"/>
  <c r="BS283" i="10"/>
  <c r="BN286" i="10"/>
  <c r="BS305" i="10"/>
  <c r="BS327" i="10"/>
  <c r="BN330" i="10"/>
  <c r="BS349" i="10"/>
  <c r="BN352" i="10"/>
  <c r="BS371" i="10"/>
  <c r="BN374" i="10"/>
  <c r="DU118" i="10"/>
  <c r="DQ133" i="10"/>
  <c r="AX153" i="10"/>
  <c r="BE165" i="10"/>
  <c r="AX175" i="10"/>
  <c r="BA181" i="10"/>
  <c r="BE187" i="10"/>
  <c r="AX197" i="10"/>
  <c r="BA203" i="10"/>
  <c r="BE209" i="10"/>
  <c r="BE231" i="10"/>
  <c r="AX241" i="10"/>
  <c r="BA247" i="10"/>
  <c r="AX263" i="10"/>
  <c r="BA269" i="10"/>
  <c r="BE275" i="10"/>
  <c r="AX285" i="10"/>
  <c r="BE297" i="10"/>
  <c r="BA313" i="10"/>
  <c r="BE319" i="10"/>
  <c r="AX329" i="10"/>
  <c r="BA335" i="10"/>
  <c r="BE341" i="10"/>
  <c r="AX351" i="10"/>
  <c r="BA357" i="10"/>
  <c r="BE363" i="10"/>
  <c r="AX373" i="10"/>
  <c r="AR146" i="10"/>
  <c r="AR153" i="10"/>
  <c r="AU158" i="10"/>
  <c r="AR164" i="10"/>
  <c r="AU169" i="10"/>
  <c r="AR175" i="10"/>
  <c r="AU180" i="10"/>
  <c r="AR186" i="10"/>
  <c r="AU191" i="10"/>
  <c r="AR197" i="10"/>
  <c r="AU202" i="10"/>
  <c r="AU213" i="10"/>
  <c r="AR219" i="10"/>
  <c r="AU224" i="10"/>
  <c r="AR230" i="10"/>
  <c r="AU235" i="10"/>
  <c r="AU246" i="10"/>
  <c r="AU257" i="10"/>
  <c r="AR263" i="10"/>
  <c r="AR274" i="10"/>
  <c r="AU279" i="10"/>
  <c r="AR285" i="10"/>
  <c r="AU290" i="10"/>
  <c r="AR296" i="10"/>
  <c r="AU301" i="10"/>
  <c r="AR307" i="10"/>
  <c r="AU312" i="10"/>
  <c r="AR318" i="10"/>
  <c r="AU323" i="10"/>
  <c r="I41" i="10"/>
  <c r="I47" i="10"/>
  <c r="I96" i="10"/>
  <c r="DQ140" i="10"/>
  <c r="I201" i="10"/>
  <c r="DQ283" i="10"/>
  <c r="I355" i="10"/>
  <c r="AB107" i="10"/>
  <c r="AB155" i="10"/>
  <c r="AB177" i="10"/>
  <c r="AF225" i="10"/>
  <c r="AB243" i="10"/>
  <c r="AF269" i="10"/>
  <c r="AB287" i="10"/>
  <c r="AF291" i="10"/>
  <c r="AF335" i="10"/>
  <c r="AB353" i="10"/>
  <c r="AB375" i="10"/>
  <c r="AO144" i="10"/>
  <c r="AO155" i="10"/>
  <c r="AO166" i="10"/>
  <c r="AO188" i="10"/>
  <c r="AO199" i="10"/>
  <c r="AO210" i="10"/>
  <c r="AO221" i="10"/>
  <c r="AO232" i="10"/>
  <c r="AO243" i="10"/>
  <c r="AO254" i="10"/>
  <c r="AO265" i="10"/>
  <c r="AO287" i="10"/>
  <c r="AO298" i="10"/>
  <c r="AO309" i="10"/>
  <c r="AO331" i="10"/>
  <c r="AO342" i="10"/>
  <c r="BN128" i="10"/>
  <c r="BN148" i="10"/>
  <c r="BN186" i="10"/>
  <c r="BN208" i="10"/>
  <c r="BN252" i="10"/>
  <c r="BN274" i="10"/>
  <c r="BN296" i="10"/>
  <c r="BN318" i="10"/>
  <c r="BN340" i="10"/>
  <c r="BN362" i="10"/>
  <c r="BE159" i="10"/>
  <c r="BE203" i="10"/>
  <c r="BE225" i="10"/>
  <c r="BE247" i="10"/>
  <c r="BE313" i="10"/>
  <c r="BE335" i="10"/>
  <c r="BE357" i="10"/>
  <c r="I174" i="10"/>
  <c r="I295" i="10"/>
  <c r="AB164" i="10"/>
  <c r="AF190" i="10"/>
  <c r="AB208" i="10"/>
  <c r="AF212" i="10"/>
  <c r="AB230" i="10"/>
  <c r="AF234" i="10"/>
  <c r="AF256" i="10"/>
  <c r="AB274" i="10"/>
  <c r="AF322" i="10"/>
  <c r="DU107" i="10"/>
  <c r="DP177" i="10"/>
  <c r="DP199" i="10"/>
  <c r="DP210" i="10"/>
  <c r="DP232" i="10"/>
  <c r="DP254" i="10"/>
  <c r="DP298" i="10"/>
  <c r="DP309" i="10"/>
  <c r="DP342" i="10"/>
  <c r="I171" i="10"/>
  <c r="I98" i="10"/>
  <c r="AB165" i="10"/>
  <c r="BN333" i="10"/>
  <c r="BN338" i="10"/>
  <c r="BE323" i="10"/>
  <c r="I66" i="10"/>
  <c r="I115" i="10"/>
  <c r="DV88" i="10"/>
  <c r="DP127" i="10"/>
  <c r="AB182" i="10"/>
  <c r="AB332" i="10"/>
  <c r="I226" i="10"/>
  <c r="Q258" i="10"/>
  <c r="I293" i="10"/>
  <c r="I318" i="10"/>
  <c r="I116" i="10"/>
  <c r="I176" i="10"/>
  <c r="Q197" i="10"/>
  <c r="AB270" i="10"/>
  <c r="I280" i="10"/>
  <c r="I292" i="10"/>
  <c r="AB297" i="10"/>
  <c r="DS323" i="10"/>
  <c r="AJ327" i="10"/>
  <c r="CO186" i="10"/>
  <c r="CO197" i="10"/>
  <c r="CO208" i="10"/>
  <c r="CO219" i="10"/>
  <c r="CO230" i="10"/>
  <c r="CO241" i="10"/>
  <c r="CO252" i="10"/>
  <c r="CO274" i="10"/>
  <c r="CO296" i="10"/>
  <c r="CO307" i="10"/>
  <c r="CO318" i="10"/>
  <c r="CO340" i="10"/>
  <c r="CO351" i="10"/>
  <c r="CO362" i="10"/>
  <c r="CO373" i="10"/>
  <c r="DP206" i="10"/>
  <c r="Q217" i="10"/>
  <c r="Q228" i="10"/>
  <c r="Q239" i="10"/>
  <c r="Q272" i="10"/>
  <c r="Q305" i="10"/>
  <c r="Q371" i="10"/>
  <c r="CA187" i="10"/>
  <c r="CA196" i="10"/>
  <c r="CA209" i="10"/>
  <c r="CA218" i="10"/>
  <c r="CA231" i="10"/>
  <c r="CA253" i="10"/>
  <c r="CA275" i="10"/>
  <c r="CA284" i="10"/>
  <c r="CA288" i="10"/>
  <c r="CA297" i="10"/>
  <c r="CA306" i="10"/>
  <c r="CA319" i="10"/>
  <c r="CA341" i="10"/>
  <c r="CA350" i="10"/>
  <c r="CA354" i="10"/>
  <c r="CA363" i="10"/>
  <c r="CA372" i="10"/>
  <c r="DN293" i="10"/>
  <c r="CK181" i="10"/>
  <c r="CK203" i="10"/>
  <c r="CK225" i="10"/>
  <c r="CK247" i="10"/>
  <c r="CK291" i="10"/>
  <c r="CK313" i="10"/>
  <c r="CK335" i="10"/>
  <c r="CK357" i="10"/>
  <c r="X180" i="10"/>
  <c r="DT202" i="10"/>
  <c r="DT224" i="10"/>
  <c r="X257" i="10"/>
  <c r="DT268" i="10"/>
  <c r="X323" i="10"/>
  <c r="CO144" i="10"/>
  <c r="CO166" i="10"/>
  <c r="CS182" i="10"/>
  <c r="CS193" i="10"/>
  <c r="CS204" i="10"/>
  <c r="CS215" i="10"/>
  <c r="CS237" i="10"/>
  <c r="CS248" i="10"/>
  <c r="CS259" i="10"/>
  <c r="CS270" i="10"/>
  <c r="CS281" i="10"/>
  <c r="CS292" i="10"/>
  <c r="CS303" i="10"/>
  <c r="CS314" i="10"/>
  <c r="CS325" i="10"/>
  <c r="CS336" i="10"/>
  <c r="CS347" i="10"/>
  <c r="CS358" i="10"/>
  <c r="DQ156" i="10"/>
  <c r="DV195" i="10"/>
  <c r="DV349" i="10"/>
  <c r="CA183" i="10"/>
  <c r="CA205" i="10"/>
  <c r="CA227" i="10"/>
  <c r="CA249" i="10"/>
  <c r="CA271" i="10"/>
  <c r="CA315" i="10"/>
  <c r="CA337" i="10"/>
  <c r="CA359" i="10"/>
  <c r="CF154" i="10"/>
  <c r="CF176" i="10"/>
  <c r="CF198" i="10"/>
  <c r="CF220" i="10"/>
  <c r="DV293" i="10"/>
  <c r="DC279" i="10"/>
  <c r="CO159" i="10"/>
  <c r="CO179" i="10"/>
  <c r="CO190" i="10"/>
  <c r="CO201" i="10"/>
  <c r="CO212" i="10"/>
  <c r="CO223" i="10"/>
  <c r="CO234" i="10"/>
  <c r="CO245" i="10"/>
  <c r="CO256" i="10"/>
  <c r="CO278" i="10"/>
  <c r="CO289" i="10"/>
  <c r="CO300" i="10"/>
  <c r="CO311" i="10"/>
  <c r="CO322" i="10"/>
  <c r="CO333" i="10"/>
  <c r="CO344" i="10"/>
  <c r="CO366" i="10"/>
  <c r="DP146" i="10"/>
  <c r="DP157" i="10"/>
  <c r="DP168" i="10"/>
  <c r="Q190" i="10"/>
  <c r="DU217" i="10"/>
  <c r="DP234" i="10"/>
  <c r="DU239" i="10"/>
  <c r="DP256" i="10"/>
  <c r="DP267" i="10"/>
  <c r="DP278" i="10"/>
  <c r="Q311" i="10"/>
  <c r="Q322" i="10"/>
  <c r="DP344" i="10"/>
  <c r="DU349" i="10"/>
  <c r="CA170" i="10"/>
  <c r="CA214" i="10"/>
  <c r="CA236" i="10"/>
  <c r="CA258" i="10"/>
  <c r="CA280" i="10"/>
  <c r="CA302" i="10"/>
  <c r="CA324" i="10"/>
  <c r="CA346" i="10"/>
  <c r="DN173" i="10"/>
  <c r="DN184" i="10"/>
  <c r="DS195" i="10"/>
  <c r="DN206" i="10"/>
  <c r="DN228" i="10"/>
  <c r="DN239" i="10"/>
  <c r="DN261" i="10"/>
  <c r="DN272" i="10"/>
  <c r="DN283" i="10"/>
  <c r="DN305" i="10"/>
  <c r="DN349" i="10"/>
  <c r="CZ188" i="10"/>
  <c r="CZ253" i="10"/>
  <c r="DC332" i="10"/>
  <c r="DC354" i="10"/>
  <c r="DV156" i="10"/>
  <c r="DV167" i="10"/>
  <c r="DV211" i="10"/>
  <c r="DV222" i="10"/>
  <c r="DV233" i="10"/>
  <c r="DV244" i="10"/>
  <c r="DV266" i="10"/>
  <c r="DV288" i="10"/>
  <c r="DV299" i="10"/>
  <c r="DV310" i="10"/>
  <c r="DV321" i="10"/>
  <c r="DV354" i="10"/>
  <c r="DV365" i="10"/>
  <c r="AR329" i="10"/>
  <c r="AU334" i="10"/>
  <c r="AR340" i="10"/>
  <c r="AU345" i="10"/>
  <c r="AR351" i="10"/>
  <c r="AU356" i="10"/>
  <c r="AR362" i="10"/>
  <c r="AU367" i="10"/>
  <c r="AR373" i="10"/>
  <c r="CK148" i="10"/>
  <c r="CK170" i="10"/>
  <c r="CK192" i="10"/>
  <c r="CK236" i="10"/>
  <c r="CK258" i="10"/>
  <c r="CK302" i="10"/>
  <c r="CK324" i="10"/>
  <c r="CK346" i="10"/>
  <c r="CK368" i="10"/>
  <c r="CO155" i="10"/>
  <c r="CO199" i="10"/>
  <c r="CO210" i="10"/>
  <c r="CO221" i="10"/>
  <c r="CO232" i="10"/>
  <c r="CO254" i="10"/>
  <c r="CO265" i="10"/>
  <c r="CO276" i="10"/>
  <c r="CO298" i="10"/>
  <c r="CO309" i="10"/>
  <c r="CO320" i="10"/>
  <c r="CO331" i="10"/>
  <c r="CO342" i="10"/>
  <c r="CO353" i="10"/>
  <c r="CO364" i="10"/>
  <c r="CO375" i="10"/>
  <c r="DP154" i="10"/>
  <c r="DP220" i="10"/>
  <c r="DP231" i="10"/>
  <c r="DP242" i="10"/>
  <c r="DP286" i="10"/>
  <c r="DP308" i="10"/>
  <c r="DP319" i="10"/>
  <c r="DP341" i="10"/>
  <c r="DP352" i="10"/>
  <c r="DP363" i="10"/>
  <c r="CA172" i="10"/>
  <c r="CA194" i="10"/>
  <c r="CA238" i="10"/>
  <c r="CA348" i="10"/>
  <c r="CA370" i="10"/>
  <c r="CF165" i="10"/>
  <c r="CF187" i="10"/>
  <c r="CF209" i="10"/>
  <c r="CF231" i="10"/>
  <c r="CF253" i="10"/>
  <c r="CF275" i="10"/>
  <c r="CF297" i="10"/>
  <c r="CF319" i="10"/>
  <c r="CF341" i="10"/>
  <c r="CF363" i="10"/>
  <c r="DN159" i="10"/>
  <c r="DN170" i="10"/>
  <c r="DN181" i="10"/>
  <c r="DN192" i="10"/>
  <c r="DN203" i="10"/>
  <c r="DN214" i="10"/>
  <c r="DN225" i="10"/>
  <c r="DN236" i="10"/>
  <c r="DN247" i="10"/>
  <c r="DN258" i="10"/>
  <c r="DN269" i="10"/>
  <c r="DN291" i="10"/>
  <c r="DN302" i="10"/>
  <c r="DN324" i="10"/>
  <c r="DN335" i="10"/>
  <c r="DN346" i="10"/>
  <c r="DN357" i="10"/>
  <c r="DN368" i="10"/>
  <c r="DC202" i="10"/>
  <c r="CZ211" i="10"/>
  <c r="DC224" i="10"/>
  <c r="DC246" i="10"/>
  <c r="DC268" i="10"/>
  <c r="DC312" i="10"/>
  <c r="DC334" i="10"/>
  <c r="DC356" i="10"/>
  <c r="DV142" i="10"/>
  <c r="CO163" i="10"/>
  <c r="CO181" i="10"/>
  <c r="CO214" i="10"/>
  <c r="CO247" i="10"/>
  <c r="CO258" i="10"/>
  <c r="CO269" i="10"/>
  <c r="CO280" i="10"/>
  <c r="CO291" i="10"/>
  <c r="CO302" i="10"/>
  <c r="CO313" i="10"/>
  <c r="CO324" i="10"/>
  <c r="CO335" i="10"/>
  <c r="CO357" i="10"/>
  <c r="CO368" i="10"/>
  <c r="DP160" i="10"/>
  <c r="DP171" i="10"/>
  <c r="DP182" i="10"/>
  <c r="DP204" i="10"/>
  <c r="DP215" i="10"/>
  <c r="DP248" i="10"/>
  <c r="Q259" i="10"/>
  <c r="DP270" i="10"/>
  <c r="Q281" i="10"/>
  <c r="DP292" i="10"/>
  <c r="DP347" i="10"/>
  <c r="Q369" i="10"/>
  <c r="CA168" i="10"/>
  <c r="CA190" i="10"/>
  <c r="CA212" i="10"/>
  <c r="CA234" i="10"/>
  <c r="CA278" i="10"/>
  <c r="CA300" i="10"/>
  <c r="CA322" i="10"/>
  <c r="CA344" i="10"/>
  <c r="DN154" i="10"/>
  <c r="DN165" i="10"/>
  <c r="DN187" i="10"/>
  <c r="DN209" i="10"/>
  <c r="DN231" i="10"/>
  <c r="DN242" i="10"/>
  <c r="DN253" i="10"/>
  <c r="DN275" i="10"/>
  <c r="DN286" i="10"/>
  <c r="DN308" i="10"/>
  <c r="DN319" i="10"/>
  <c r="DN341" i="10"/>
  <c r="DN352" i="10"/>
  <c r="DN363" i="10"/>
  <c r="DV331" i="10"/>
  <c r="DV353" i="10"/>
  <c r="DV14" i="10"/>
  <c r="DX14" i="10" s="1"/>
  <c r="I14" i="10"/>
  <c r="DV58" i="10"/>
  <c r="I58" i="10"/>
  <c r="I69" i="10"/>
  <c r="DV69" i="10"/>
  <c r="DQ85" i="10"/>
  <c r="I85" i="10"/>
  <c r="DV146" i="10"/>
  <c r="DQ151" i="10"/>
  <c r="I151" i="10"/>
  <c r="DV168" i="10"/>
  <c r="DV179" i="10"/>
  <c r="DV190" i="10"/>
  <c r="DQ195" i="10"/>
  <c r="DQ206" i="10"/>
  <c r="DV212" i="10"/>
  <c r="DQ228" i="10"/>
  <c r="DV234" i="10"/>
  <c r="I234" i="10"/>
  <c r="DQ250" i="10"/>
  <c r="DV256" i="10"/>
  <c r="DV267" i="10"/>
  <c r="DV278" i="10"/>
  <c r="DV300" i="10"/>
  <c r="DV322" i="10"/>
  <c r="DV344" i="10"/>
  <c r="I344" i="10"/>
  <c r="DV366" i="10"/>
  <c r="DU103" i="10"/>
  <c r="DU149" i="10"/>
  <c r="DS162" i="10"/>
  <c r="AF162" i="10"/>
  <c r="DS272" i="10"/>
  <c r="AF272" i="10"/>
  <c r="AF316" i="10"/>
  <c r="DS316" i="10"/>
  <c r="DU116" i="10"/>
  <c r="DU138" i="10"/>
  <c r="S138" i="10"/>
  <c r="DR78" i="10"/>
  <c r="AL78" i="10"/>
  <c r="AL159" i="10"/>
  <c r="DR159" i="10"/>
  <c r="AL335" i="10"/>
  <c r="DR335" i="10"/>
  <c r="DR127" i="10"/>
  <c r="AX127" i="10"/>
  <c r="DQ177" i="10"/>
  <c r="DQ287" i="10"/>
  <c r="X183" i="10"/>
  <c r="DT183" i="10"/>
  <c r="DT205" i="10"/>
  <c r="DT238" i="10"/>
  <c r="DT282" i="10"/>
  <c r="DT293" i="10"/>
  <c r="DT337" i="10"/>
  <c r="Q147" i="10"/>
  <c r="DV147" i="10"/>
  <c r="DV169" i="10"/>
  <c r="DQ229" i="10"/>
  <c r="DV246" i="10"/>
  <c r="DV268" i="10"/>
  <c r="DV290" i="10"/>
  <c r="DQ295" i="10"/>
  <c r="DV312" i="10"/>
  <c r="DV323" i="10"/>
  <c r="DQ339" i="10"/>
  <c r="Q345" i="10"/>
  <c r="DV345" i="10"/>
  <c r="DQ361" i="10"/>
  <c r="DV367" i="10"/>
  <c r="Q367" i="10"/>
  <c r="DT75" i="10"/>
  <c r="Q146" i="10"/>
  <c r="DT71" i="10"/>
  <c r="AB71" i="10"/>
  <c r="DT93" i="10"/>
  <c r="DT115" i="10"/>
  <c r="AB115" i="10"/>
  <c r="DT126" i="10"/>
  <c r="DX126" i="10" s="1"/>
  <c r="DT233" i="10"/>
  <c r="AF303" i="10"/>
  <c r="DS303" i="10"/>
  <c r="DR316" i="10"/>
  <c r="DT343" i="10"/>
  <c r="S73" i="10"/>
  <c r="DU73" i="10"/>
  <c r="S95" i="10"/>
  <c r="DU95" i="10"/>
  <c r="S117" i="10"/>
  <c r="DU117" i="10"/>
  <c r="DU139" i="10"/>
  <c r="S139" i="10"/>
  <c r="DU293" i="10"/>
  <c r="BN147" i="10"/>
  <c r="BN178" i="10"/>
  <c r="BN244" i="10"/>
  <c r="BN266" i="10"/>
  <c r="BN288" i="10"/>
  <c r="BN310" i="10"/>
  <c r="BN354" i="10"/>
  <c r="DQ132" i="10"/>
  <c r="DV194" i="10"/>
  <c r="DV205" i="10"/>
  <c r="DV238" i="10"/>
  <c r="DV282" i="10"/>
  <c r="DV304" i="10"/>
  <c r="AL75" i="10"/>
  <c r="DV355" i="10"/>
  <c r="DV42" i="10"/>
  <c r="I42" i="10"/>
  <c r="I86" i="10"/>
  <c r="DV86" i="10"/>
  <c r="DV108" i="10"/>
  <c r="I108" i="10"/>
  <c r="DQ146" i="10"/>
  <c r="DV152" i="10"/>
  <c r="DV163" i="10"/>
  <c r="I163" i="10"/>
  <c r="DV185" i="10"/>
  <c r="DQ190" i="10"/>
  <c r="DV196" i="10"/>
  <c r="DQ201" i="10"/>
  <c r="DV207" i="10"/>
  <c r="DV218" i="10"/>
  <c r="DV229" i="10"/>
  <c r="DV240" i="10"/>
  <c r="DQ245" i="10"/>
  <c r="DV251" i="10"/>
  <c r="DQ256" i="10"/>
  <c r="DV262" i="10"/>
  <c r="DV273" i="10"/>
  <c r="I273" i="10"/>
  <c r="DV284" i="10"/>
  <c r="DQ289" i="10"/>
  <c r="DV306" i="10"/>
  <c r="DQ311" i="10"/>
  <c r="I317" i="10"/>
  <c r="DV317" i="10"/>
  <c r="DV339" i="10"/>
  <c r="DV350" i="10"/>
  <c r="DQ355" i="10"/>
  <c r="DQ366" i="10"/>
  <c r="DV372" i="10"/>
  <c r="DT60" i="10"/>
  <c r="DX60" i="10" s="1"/>
  <c r="DU94" i="10"/>
  <c r="Q246" i="10"/>
  <c r="DR142" i="10"/>
  <c r="AF142" i="10"/>
  <c r="AF187" i="10"/>
  <c r="DS187" i="10"/>
  <c r="DS209" i="10"/>
  <c r="AF209" i="10"/>
  <c r="AF341" i="10"/>
  <c r="DS341" i="10"/>
  <c r="DT266" i="10"/>
  <c r="X147" i="10"/>
  <c r="DT147" i="10"/>
  <c r="DE261" i="10"/>
  <c r="DS261" i="10"/>
  <c r="DT98" i="10"/>
  <c r="DP201" i="10"/>
  <c r="Q201" i="10"/>
  <c r="DU250" i="10"/>
  <c r="AL98" i="10"/>
  <c r="DR98" i="10"/>
  <c r="AB58" i="10"/>
  <c r="DT58" i="10"/>
  <c r="DT135" i="10"/>
  <c r="AB135" i="10"/>
  <c r="DU69" i="10"/>
  <c r="S69" i="10"/>
  <c r="AJ99" i="10"/>
  <c r="DT99" i="10"/>
  <c r="S136" i="10"/>
  <c r="DU136" i="10"/>
  <c r="BN94" i="10"/>
  <c r="DR94" i="10"/>
  <c r="DT193" i="10"/>
  <c r="AF175" i="10"/>
  <c r="DS175" i="10"/>
  <c r="S71" i="10"/>
  <c r="DU71" i="10"/>
  <c r="DQ154" i="10"/>
  <c r="BA154" i="10"/>
  <c r="DQ264" i="10"/>
  <c r="BA264" i="10"/>
  <c r="DQ336" i="10"/>
  <c r="BE336" i="10"/>
  <c r="DR140" i="10"/>
  <c r="AR140" i="10"/>
  <c r="X213" i="10"/>
  <c r="DT213" i="10"/>
  <c r="DE239" i="10"/>
  <c r="DS239" i="10"/>
  <c r="DT223" i="10"/>
  <c r="DT311" i="10"/>
  <c r="DR350" i="10"/>
  <c r="DP212" i="10"/>
  <c r="Q212" i="10"/>
  <c r="DU316" i="10"/>
  <c r="CZ275" i="10"/>
  <c r="CZ319" i="10"/>
  <c r="DT188" i="10"/>
  <c r="AB364" i="10"/>
  <c r="DT364" i="10"/>
  <c r="DR87" i="10"/>
  <c r="AL87" i="10"/>
  <c r="DT91" i="10"/>
  <c r="AB91" i="10"/>
  <c r="DS179" i="10"/>
  <c r="AF179" i="10"/>
  <c r="DU223" i="10"/>
  <c r="DU245" i="10"/>
  <c r="DS212" i="10"/>
  <c r="DN212" i="10"/>
  <c r="DN256" i="10"/>
  <c r="DS256" i="10"/>
  <c r="DR244" i="10"/>
  <c r="DS188" i="10"/>
  <c r="AF188" i="10"/>
  <c r="DU70" i="10"/>
  <c r="S70" i="10"/>
  <c r="AL77" i="10"/>
  <c r="DR77" i="10"/>
  <c r="DR132" i="10"/>
  <c r="AL132" i="10"/>
  <c r="DQ249" i="10"/>
  <c r="DQ359" i="10"/>
  <c r="DT182" i="10"/>
  <c r="X182" i="10"/>
  <c r="DT226" i="10"/>
  <c r="DT336" i="10"/>
  <c r="CZ258" i="10"/>
  <c r="CZ346" i="10"/>
  <c r="DT81" i="10"/>
  <c r="AB81" i="10"/>
  <c r="DR188" i="10"/>
  <c r="DR210" i="10"/>
  <c r="DR254" i="10"/>
  <c r="AB68" i="10"/>
  <c r="X235" i="10"/>
  <c r="X358" i="10"/>
  <c r="S76" i="10"/>
  <c r="DU76" i="10"/>
  <c r="DR102" i="10"/>
  <c r="AL102" i="10"/>
  <c r="DQ165" i="10"/>
  <c r="DQ237" i="10"/>
  <c r="DT163" i="10"/>
  <c r="DT240" i="10"/>
  <c r="DT306" i="10"/>
  <c r="DT339" i="10"/>
  <c r="X339" i="10"/>
  <c r="DV170" i="10"/>
  <c r="Q170" i="10"/>
  <c r="DV236" i="10"/>
  <c r="DV302" i="10"/>
  <c r="BA165" i="10"/>
  <c r="DT62" i="10"/>
  <c r="AB62" i="10"/>
  <c r="DS339" i="10"/>
  <c r="AF361" i="10"/>
  <c r="DS361" i="10"/>
  <c r="Q165" i="10"/>
  <c r="DP165" i="10"/>
  <c r="Q187" i="10"/>
  <c r="DP187" i="10"/>
  <c r="DP209" i="10"/>
  <c r="Q209" i="10"/>
  <c r="DU258" i="10"/>
  <c r="DU280" i="10"/>
  <c r="Q297" i="10"/>
  <c r="DP297" i="10"/>
  <c r="DU357" i="10"/>
  <c r="CZ299" i="10"/>
  <c r="CZ343" i="10"/>
  <c r="CZ365" i="10"/>
  <c r="I250" i="10"/>
  <c r="DS194" i="10"/>
  <c r="AF194" i="10"/>
  <c r="DR92" i="10"/>
  <c r="DX92" i="10" s="1"/>
  <c r="AL92" i="10"/>
  <c r="DR136" i="10"/>
  <c r="AL136" i="10"/>
  <c r="AL199" i="10"/>
  <c r="DR199" i="10"/>
  <c r="DT164" i="10"/>
  <c r="DT208" i="10"/>
  <c r="DQ203" i="10"/>
  <c r="DQ225" i="10"/>
  <c r="CZ308" i="10"/>
  <c r="DT172" i="10"/>
  <c r="DT74" i="10"/>
  <c r="AB74" i="10"/>
  <c r="AB146" i="10"/>
  <c r="DT146" i="10"/>
  <c r="DT199" i="10"/>
  <c r="DS247" i="10"/>
  <c r="AF313" i="10"/>
  <c r="DS313" i="10"/>
  <c r="I19" i="10"/>
  <c r="DY19" i="10" s="1"/>
  <c r="AB57" i="10"/>
  <c r="S131" i="10"/>
  <c r="AF293" i="10"/>
  <c r="DX19" i="10"/>
  <c r="EE19" i="10" s="1"/>
  <c r="EO19" i="10" s="1"/>
  <c r="DT65" i="10"/>
  <c r="DU110" i="10"/>
  <c r="AJ154" i="10"/>
  <c r="I306" i="10"/>
  <c r="DU65" i="10"/>
  <c r="DR134" i="10"/>
  <c r="DQ194" i="10"/>
  <c r="BN125" i="10"/>
  <c r="DQ125" i="10"/>
  <c r="Q294" i="10"/>
  <c r="DP294" i="10"/>
  <c r="S66" i="10"/>
  <c r="DU66" i="10"/>
  <c r="AL130" i="10"/>
  <c r="DR130" i="10"/>
  <c r="DT235" i="10"/>
  <c r="DT301" i="10"/>
  <c r="DS349" i="10"/>
  <c r="DE349" i="10"/>
  <c r="AB90" i="10"/>
  <c r="DT90" i="10"/>
  <c r="AB123" i="10"/>
  <c r="DT123" i="10"/>
  <c r="DX123" i="10" s="1"/>
  <c r="EG123" i="10" s="1"/>
  <c r="EQ123" i="10" s="1"/>
  <c r="AF359" i="10"/>
  <c r="DS359" i="10"/>
  <c r="S67" i="10"/>
  <c r="DU67" i="10"/>
  <c r="Q289" i="10"/>
  <c r="DP289" i="10"/>
  <c r="CZ199" i="10"/>
  <c r="AB111" i="10"/>
  <c r="DR169" i="10"/>
  <c r="DU91" i="10"/>
  <c r="S91" i="10"/>
  <c r="DU289" i="10"/>
  <c r="DU114" i="10"/>
  <c r="S114" i="10"/>
  <c r="DT70" i="10"/>
  <c r="AB70" i="10"/>
  <c r="AF220" i="10"/>
  <c r="DS220" i="10"/>
  <c r="DU98" i="10"/>
  <c r="DX98" i="10" s="1"/>
  <c r="EC98" i="10" s="1"/>
  <c r="EM98" i="10" s="1"/>
  <c r="S274" i="10"/>
  <c r="DU274" i="10"/>
  <c r="DR113" i="10"/>
  <c r="AL113" i="10"/>
  <c r="AL314" i="10"/>
  <c r="DR314" i="10"/>
  <c r="DQ188" i="10"/>
  <c r="DQ276" i="10"/>
  <c r="BN276" i="10"/>
  <c r="BA253" i="10"/>
  <c r="DQ253" i="10"/>
  <c r="DT218" i="10"/>
  <c r="DQ153" i="10"/>
  <c r="AB84" i="10"/>
  <c r="DT84" i="10"/>
  <c r="DT139" i="10"/>
  <c r="AB139" i="10"/>
  <c r="AF185" i="10"/>
  <c r="DS185" i="10"/>
  <c r="DR374" i="10"/>
  <c r="DU148" i="10"/>
  <c r="DU214" i="10"/>
  <c r="DP264" i="10"/>
  <c r="Q264" i="10"/>
  <c r="DU291" i="10"/>
  <c r="CZ193" i="10"/>
  <c r="CZ277" i="10"/>
  <c r="DR207" i="10"/>
  <c r="DT186" i="10"/>
  <c r="DT241" i="10"/>
  <c r="X285" i="10"/>
  <c r="DT285" i="10"/>
  <c r="DT340" i="10"/>
  <c r="DQ247" i="10"/>
  <c r="DU77" i="10"/>
  <c r="X163" i="10"/>
  <c r="DU219" i="10"/>
  <c r="X238" i="10"/>
  <c r="AJ254" i="10"/>
  <c r="DU152" i="10"/>
  <c r="AB152" i="10"/>
  <c r="AB196" i="10"/>
  <c r="DU196" i="10"/>
  <c r="DU87" i="10"/>
  <c r="S87" i="10"/>
  <c r="DU197" i="10"/>
  <c r="S197" i="10"/>
  <c r="DU307" i="10"/>
  <c r="S307" i="10"/>
  <c r="Q250" i="10"/>
  <c r="DP250" i="10"/>
  <c r="DT100" i="10"/>
  <c r="DU88" i="10"/>
  <c r="S88" i="10"/>
  <c r="DR86" i="10"/>
  <c r="AL86" i="10"/>
  <c r="Q223" i="10"/>
  <c r="DP223" i="10"/>
  <c r="Q245" i="10"/>
  <c r="DP245" i="10"/>
  <c r="CZ341" i="10"/>
  <c r="DR131" i="10"/>
  <c r="AL131" i="10"/>
  <c r="DS223" i="10"/>
  <c r="AF223" i="10"/>
  <c r="AR195" i="10"/>
  <c r="DR195" i="10"/>
  <c r="AR349" i="10"/>
  <c r="DR349" i="10"/>
  <c r="DS210" i="10"/>
  <c r="DR267" i="10"/>
  <c r="S224" i="10"/>
  <c r="DU224" i="10"/>
  <c r="DR126" i="10"/>
  <c r="AX126" i="10"/>
  <c r="DT160" i="10"/>
  <c r="CZ236" i="10"/>
  <c r="CZ280" i="10"/>
  <c r="DT59" i="10"/>
  <c r="DX59" i="10" s="1"/>
  <c r="AB59" i="10"/>
  <c r="AB125" i="10"/>
  <c r="DT125" i="10"/>
  <c r="DU115" i="10"/>
  <c r="S115" i="10"/>
  <c r="DT121" i="10"/>
  <c r="DP190" i="10"/>
  <c r="Q253" i="10"/>
  <c r="DP253" i="10"/>
  <c r="DP275" i="10"/>
  <c r="Q275" i="10"/>
  <c r="DU302" i="10"/>
  <c r="DU324" i="10"/>
  <c r="Q374" i="10"/>
  <c r="DP374" i="10"/>
  <c r="DT308" i="10"/>
  <c r="X153" i="10"/>
  <c r="DT153" i="10"/>
  <c r="DQ346" i="10"/>
  <c r="I30" i="10"/>
  <c r="DS148" i="10"/>
  <c r="AB163" i="10"/>
  <c r="S175" i="10"/>
  <c r="DT122" i="10"/>
  <c r="AB122" i="10"/>
  <c r="S263" i="10"/>
  <c r="DU263" i="10"/>
  <c r="DU373" i="10"/>
  <c r="S373" i="10"/>
  <c r="BN120" i="10"/>
  <c r="DQ120" i="10"/>
  <c r="BA308" i="10"/>
  <c r="DQ308" i="10"/>
  <c r="DT119" i="10"/>
  <c r="DR119" i="10"/>
  <c r="AL119" i="10"/>
  <c r="X367" i="10"/>
  <c r="DT367" i="10"/>
  <c r="DR147" i="10"/>
  <c r="DS231" i="10"/>
  <c r="AB112" i="10"/>
  <c r="DT112" i="10"/>
  <c r="DT355" i="10"/>
  <c r="DU111" i="10"/>
  <c r="S287" i="10"/>
  <c r="DU287" i="10"/>
  <c r="AJ109" i="10"/>
  <c r="DT109" i="10"/>
  <c r="DU184" i="10"/>
  <c r="CZ177" i="10"/>
  <c r="CZ231" i="10"/>
  <c r="CZ363" i="10"/>
  <c r="AB166" i="10"/>
  <c r="DT166" i="10"/>
  <c r="DR293" i="10"/>
  <c r="DR337" i="10"/>
  <c r="DT124" i="10"/>
  <c r="AB124" i="10"/>
  <c r="S135" i="10"/>
  <c r="DU135" i="10"/>
  <c r="DT132" i="10"/>
  <c r="AJ132" i="10"/>
  <c r="DS322" i="10"/>
  <c r="DN322" i="10"/>
  <c r="Q251" i="10"/>
  <c r="DS276" i="10"/>
  <c r="AF276" i="10"/>
  <c r="DU92" i="10"/>
  <c r="S246" i="10"/>
  <c r="DU246" i="10"/>
  <c r="DT66" i="10"/>
  <c r="DX66" i="10" s="1"/>
  <c r="AJ66" i="10"/>
  <c r="DR99" i="10"/>
  <c r="AL99" i="10"/>
  <c r="DR230" i="10"/>
  <c r="AL230" i="10"/>
  <c r="AL340" i="10"/>
  <c r="DR340" i="10"/>
  <c r="DQ337" i="10"/>
  <c r="DT149" i="10"/>
  <c r="DT270" i="10"/>
  <c r="CZ214" i="10"/>
  <c r="CZ302" i="10"/>
  <c r="CZ368" i="10"/>
  <c r="DT103" i="10"/>
  <c r="AB103" i="10"/>
  <c r="DR276" i="10"/>
  <c r="DQ180" i="10"/>
  <c r="DP228" i="10"/>
  <c r="DU120" i="10"/>
  <c r="S120" i="10"/>
  <c r="AL160" i="10"/>
  <c r="DR160" i="10"/>
  <c r="DQ363" i="10"/>
  <c r="BA363" i="10"/>
  <c r="DT229" i="10"/>
  <c r="DV247" i="10"/>
  <c r="DQ296" i="10"/>
  <c r="DV313" i="10"/>
  <c r="DU150" i="10"/>
  <c r="DU370" i="10"/>
  <c r="DU99" i="10"/>
  <c r="S99" i="10"/>
  <c r="DU225" i="10"/>
  <c r="DU269" i="10"/>
  <c r="Q330" i="10"/>
  <c r="DP330" i="10"/>
  <c r="CZ321" i="10"/>
  <c r="DU106" i="10"/>
  <c r="DT168" i="10"/>
  <c r="AF304" i="10"/>
  <c r="DS304" i="10"/>
  <c r="DR81" i="10"/>
  <c r="AL81" i="10"/>
  <c r="DR114" i="10"/>
  <c r="AL114" i="10"/>
  <c r="DT142" i="10"/>
  <c r="X142" i="10"/>
  <c r="DT307" i="10"/>
  <c r="CZ220" i="10"/>
  <c r="CZ286" i="10"/>
  <c r="CZ330" i="10"/>
  <c r="CZ374" i="10"/>
  <c r="AL169" i="10"/>
  <c r="DU321" i="10"/>
  <c r="DT63" i="10"/>
  <c r="DX63" i="10" s="1"/>
  <c r="EG63" i="10" s="1"/>
  <c r="EQ63" i="10" s="1"/>
  <c r="AB63" i="10"/>
  <c r="DT118" i="10"/>
  <c r="AB118" i="10"/>
  <c r="DR150" i="10"/>
  <c r="DS203" i="10"/>
  <c r="AF203" i="10"/>
  <c r="S79" i="10"/>
  <c r="DU79" i="10"/>
  <c r="DT77" i="10"/>
  <c r="AB168" i="10"/>
  <c r="DS190" i="10"/>
  <c r="DS335" i="10"/>
  <c r="DQ41" i="10"/>
  <c r="DX41" i="10" s="1"/>
  <c r="DV47" i="10"/>
  <c r="DX47" i="10" s="1"/>
  <c r="DV148" i="10"/>
  <c r="Q167" i="10"/>
  <c r="CO326" i="10"/>
  <c r="Q360" i="10"/>
  <c r="AX158" i="10"/>
  <c r="BE170" i="10"/>
  <c r="AX180" i="10"/>
  <c r="BA186" i="10"/>
  <c r="BE192" i="10"/>
  <c r="AX202" i="10"/>
  <c r="BA208" i="10"/>
  <c r="BE214" i="10"/>
  <c r="AX224" i="10"/>
  <c r="BA230" i="10"/>
  <c r="BE236" i="10"/>
  <c r="BE258" i="10"/>
  <c r="AX268" i="10"/>
  <c r="BA274" i="10"/>
  <c r="BE280" i="10"/>
  <c r="AX290" i="10"/>
  <c r="BA296" i="10"/>
  <c r="BE302" i="10"/>
  <c r="BA318" i="10"/>
  <c r="BE324" i="10"/>
  <c r="AX334" i="10"/>
  <c r="BA340" i="10"/>
  <c r="BE346" i="10"/>
  <c r="AX356" i="10"/>
  <c r="BA362" i="10"/>
  <c r="BE368" i="10"/>
  <c r="CK167" i="10"/>
  <c r="CK189" i="10"/>
  <c r="CK233" i="10"/>
  <c r="CK255" i="10"/>
  <c r="CK277" i="10"/>
  <c r="CK299" i="10"/>
  <c r="CK321" i="10"/>
  <c r="CK343" i="10"/>
  <c r="CK365" i="10"/>
  <c r="DT148" i="10"/>
  <c r="X148" i="10"/>
  <c r="X159" i="10"/>
  <c r="X170" i="10"/>
  <c r="X192" i="10"/>
  <c r="DT236" i="10"/>
  <c r="X269" i="10"/>
  <c r="DT280" i="10"/>
  <c r="DT302" i="10"/>
  <c r="X313" i="10"/>
  <c r="DT324" i="10"/>
  <c r="X324" i="10"/>
  <c r="DT335" i="10"/>
  <c r="DT346" i="10"/>
  <c r="X357" i="10"/>
  <c r="X368" i="10"/>
  <c r="CO174" i="10"/>
  <c r="CS197" i="10"/>
  <c r="CS208" i="10"/>
  <c r="CS219" i="10"/>
  <c r="CS230" i="10"/>
  <c r="CS285" i="10"/>
  <c r="CS296" i="10"/>
  <c r="CS318" i="10"/>
  <c r="CS329" i="10"/>
  <c r="CS351" i="10"/>
  <c r="CS362" i="10"/>
  <c r="CS373" i="10"/>
  <c r="CA179" i="10"/>
  <c r="CA245" i="10"/>
  <c r="CA267" i="10"/>
  <c r="CA289" i="10"/>
  <c r="CA311" i="10"/>
  <c r="CA333" i="10"/>
  <c r="CA355" i="10"/>
  <c r="CF184" i="10"/>
  <c r="CF228" i="10"/>
  <c r="CF250" i="10"/>
  <c r="CF294" i="10"/>
  <c r="CF316" i="10"/>
  <c r="CF338" i="10"/>
  <c r="CF360" i="10"/>
  <c r="CZ218" i="10"/>
  <c r="DC231" i="10"/>
  <c r="CZ240" i="10"/>
  <c r="DC253" i="10"/>
  <c r="CZ262" i="10"/>
  <c r="CZ306" i="10"/>
  <c r="CZ328" i="10"/>
  <c r="DC341" i="10"/>
  <c r="DE345" i="10"/>
  <c r="DS345" i="10"/>
  <c r="CZ350" i="10"/>
  <c r="DC363" i="10"/>
  <c r="CZ372" i="10"/>
  <c r="AB184" i="10"/>
  <c r="X197" i="10"/>
  <c r="X236" i="10"/>
  <c r="AB245" i="10"/>
  <c r="Q341" i="10"/>
  <c r="DQ139" i="10"/>
  <c r="AB188" i="10"/>
  <c r="AB214" i="10"/>
  <c r="X334" i="10"/>
  <c r="AB159" i="10"/>
  <c r="X171" i="10"/>
  <c r="Q186" i="10"/>
  <c r="Q317" i="10"/>
  <c r="AB183" i="10"/>
  <c r="AB171" i="10"/>
  <c r="AJ264" i="10"/>
  <c r="X337" i="10"/>
  <c r="Q240" i="10"/>
  <c r="AJ290" i="10"/>
  <c r="X202" i="10"/>
  <c r="DV315" i="10"/>
  <c r="DV337" i="10"/>
  <c r="DX30" i="10"/>
  <c r="EH30" i="10" s="1"/>
  <c r="ER30" i="10" s="1"/>
  <c r="I129" i="10"/>
  <c r="AJ177" i="10"/>
  <c r="AB311" i="10"/>
  <c r="DT154" i="10"/>
  <c r="AF158" i="10"/>
  <c r="DU140" i="10"/>
  <c r="BE152" i="10"/>
  <c r="DQ171" i="10"/>
  <c r="CS209" i="10"/>
  <c r="CS253" i="10"/>
  <c r="CS341" i="10"/>
  <c r="Q208" i="10"/>
  <c r="Q241" i="10"/>
  <c r="CA299" i="10"/>
  <c r="DN169" i="10"/>
  <c r="DN202" i="10"/>
  <c r="DN356" i="10"/>
  <c r="Q211" i="10"/>
  <c r="DS200" i="10"/>
  <c r="CK200" i="10"/>
  <c r="CK244" i="10"/>
  <c r="DS244" i="10"/>
  <c r="DS257" i="10"/>
  <c r="DV301" i="10"/>
  <c r="DS199" i="10"/>
  <c r="Q179" i="10"/>
  <c r="AB189" i="10"/>
  <c r="DU341" i="10"/>
  <c r="CZ273" i="10"/>
  <c r="Q185" i="10"/>
  <c r="AJ210" i="10"/>
  <c r="AB221" i="10"/>
  <c r="Q313" i="10"/>
  <c r="AB343" i="10"/>
  <c r="DQ279" i="10"/>
  <c r="DV296" i="10"/>
  <c r="DQ334" i="10"/>
  <c r="DU231" i="10"/>
  <c r="AJ221" i="10"/>
  <c r="X227" i="10"/>
  <c r="I278" i="10"/>
  <c r="AB309" i="10"/>
  <c r="CK266" i="10"/>
  <c r="DS266" i="10"/>
  <c r="Q226" i="10"/>
  <c r="DP226" i="10"/>
  <c r="AB170" i="10"/>
  <c r="X247" i="10"/>
  <c r="Q280" i="10"/>
  <c r="AB190" i="10"/>
  <c r="AB247" i="10"/>
  <c r="DT198" i="10"/>
  <c r="DT220" i="10"/>
  <c r="AF224" i="10"/>
  <c r="DT286" i="10"/>
  <c r="DS290" i="10"/>
  <c r="DR303" i="10"/>
  <c r="DT330" i="10"/>
  <c r="AF356" i="10"/>
  <c r="BN205" i="10"/>
  <c r="BN249" i="10"/>
  <c r="BN271" i="10"/>
  <c r="BN315" i="10"/>
  <c r="BN359" i="10"/>
  <c r="BE196" i="10"/>
  <c r="DQ215" i="10"/>
  <c r="BE240" i="10"/>
  <c r="BE284" i="10"/>
  <c r="BE306" i="10"/>
  <c r="DQ325" i="10"/>
  <c r="BE328" i="10"/>
  <c r="DQ347" i="10"/>
  <c r="BE350" i="10"/>
  <c r="DT162" i="10"/>
  <c r="DT173" i="10"/>
  <c r="X173" i="10"/>
  <c r="X206" i="10"/>
  <c r="DT206" i="10"/>
  <c r="DT239" i="10"/>
  <c r="DT316" i="10"/>
  <c r="DT349" i="10"/>
  <c r="DT371" i="10"/>
  <c r="CO176" i="10"/>
  <c r="CS187" i="10"/>
  <c r="CS198" i="10"/>
  <c r="CS220" i="10"/>
  <c r="CS231" i="10"/>
  <c r="CS242" i="10"/>
  <c r="CS264" i="10"/>
  <c r="CS275" i="10"/>
  <c r="CS297" i="10"/>
  <c r="CS319" i="10"/>
  <c r="CS330" i="10"/>
  <c r="DQ202" i="10"/>
  <c r="Q219" i="10"/>
  <c r="DV219" i="10"/>
  <c r="Q285" i="10"/>
  <c r="Q340" i="10"/>
  <c r="Q362" i="10"/>
  <c r="CA224" i="10"/>
  <c r="CA233" i="10"/>
  <c r="CA246" i="10"/>
  <c r="CA255" i="10"/>
  <c r="CA290" i="10"/>
  <c r="CA321" i="10"/>
  <c r="CA343" i="10"/>
  <c r="CA365" i="10"/>
  <c r="DN191" i="10"/>
  <c r="DN213" i="10"/>
  <c r="DN224" i="10"/>
  <c r="DN235" i="10"/>
  <c r="DN301" i="10"/>
  <c r="DN323" i="10"/>
  <c r="DX57" i="10"/>
  <c r="EA57" i="10" s="1"/>
  <c r="EK57" i="10" s="1"/>
  <c r="AB138" i="10"/>
  <c r="Q151" i="10"/>
  <c r="Q152" i="10"/>
  <c r="X215" i="10"/>
  <c r="AJ227" i="10"/>
  <c r="DS295" i="10"/>
  <c r="X350" i="10"/>
  <c r="AO187" i="10"/>
  <c r="AO209" i="10"/>
  <c r="BS295" i="10"/>
  <c r="X258" i="10"/>
  <c r="X346" i="10"/>
  <c r="Q354" i="10"/>
  <c r="X306" i="10"/>
  <c r="DU56" i="10"/>
  <c r="I56" i="10"/>
  <c r="DU166" i="10"/>
  <c r="AB86" i="10"/>
  <c r="DT86" i="10"/>
  <c r="DU301" i="10"/>
  <c r="BA282" i="10"/>
  <c r="DQ282" i="10"/>
  <c r="DS318" i="10"/>
  <c r="CK318" i="10"/>
  <c r="DU193" i="10"/>
  <c r="DU232" i="10"/>
  <c r="AB64" i="10"/>
  <c r="DT64" i="10"/>
  <c r="DT97" i="10"/>
  <c r="AB97" i="10"/>
  <c r="DU81" i="10"/>
  <c r="DU235" i="10"/>
  <c r="S235" i="10"/>
  <c r="BA150" i="10"/>
  <c r="DQ150" i="10"/>
  <c r="DQ304" i="10"/>
  <c r="I18" i="10"/>
  <c r="I45" i="10"/>
  <c r="BN106" i="10"/>
  <c r="DR123" i="10"/>
  <c r="AB240" i="10"/>
  <c r="BA304" i="10"/>
  <c r="AB373" i="10"/>
  <c r="DR112" i="10"/>
  <c r="X207" i="10"/>
  <c r="X267" i="10"/>
  <c r="X316" i="10"/>
  <c r="AJ339" i="10"/>
  <c r="DX42" i="10"/>
  <c r="EF42" i="10" s="1"/>
  <c r="EP42" i="10" s="1"/>
  <c r="AB149" i="10"/>
  <c r="I166" i="10"/>
  <c r="X194" i="10"/>
  <c r="Q195" i="10"/>
  <c r="AB242" i="10"/>
  <c r="X264" i="10"/>
  <c r="AB229" i="10"/>
  <c r="DU78" i="10"/>
  <c r="AL79" i="10"/>
  <c r="DP128" i="10"/>
  <c r="I141" i="10"/>
  <c r="AB223" i="10"/>
  <c r="AB241" i="10"/>
  <c r="I107" i="10"/>
  <c r="DU112" i="10"/>
  <c r="DU123" i="10"/>
  <c r="DP162" i="10"/>
  <c r="DP173" i="10"/>
  <c r="DU178" i="10"/>
  <c r="DU189" i="10"/>
  <c r="I195" i="10"/>
  <c r="DU200" i="10"/>
  <c r="DP217" i="10"/>
  <c r="DU222" i="10"/>
  <c r="DU233" i="10"/>
  <c r="DP261" i="10"/>
  <c r="DP272" i="10"/>
  <c r="DU277" i="10"/>
  <c r="DP283" i="10"/>
  <c r="DU288" i="10"/>
  <c r="DP305" i="10"/>
  <c r="DP316" i="10"/>
  <c r="DP327" i="10"/>
  <c r="DU332" i="10"/>
  <c r="I332" i="10"/>
  <c r="DP349" i="10"/>
  <c r="DU365" i="10"/>
  <c r="DP371" i="10"/>
  <c r="CZ229" i="10"/>
  <c r="CZ295" i="10"/>
  <c r="CZ339" i="10"/>
  <c r="AB180" i="10"/>
  <c r="AJ334" i="10"/>
  <c r="Q366" i="10"/>
  <c r="DU133" i="10"/>
  <c r="I249" i="10"/>
  <c r="DP249" i="10"/>
  <c r="DT130" i="10"/>
  <c r="DX32" i="10"/>
  <c r="EF32" i="10" s="1"/>
  <c r="EP32" i="10" s="1"/>
  <c r="I124" i="10"/>
  <c r="DS189" i="10"/>
  <c r="Q203" i="10"/>
  <c r="DS277" i="10"/>
  <c r="X345" i="10"/>
  <c r="DU367" i="10"/>
  <c r="DQ112" i="10"/>
  <c r="DX112" i="10" s="1"/>
  <c r="DY112" i="10" s="1"/>
  <c r="DQ145" i="10"/>
  <c r="DV162" i="10"/>
  <c r="DV173" i="10"/>
  <c r="DV184" i="10"/>
  <c r="DQ189" i="10"/>
  <c r="DQ200" i="10"/>
  <c r="DV217" i="10"/>
  <c r="DQ222" i="10"/>
  <c r="DQ233" i="10"/>
  <c r="DV239" i="10"/>
  <c r="DQ244" i="10"/>
  <c r="DV250" i="10"/>
  <c r="DQ255" i="10"/>
  <c r="DV261" i="10"/>
  <c r="DQ266" i="10"/>
  <c r="DV272" i="10"/>
  <c r="DV283" i="10"/>
  <c r="DQ288" i="10"/>
  <c r="DV294" i="10"/>
  <c r="DQ299" i="10"/>
  <c r="DV305" i="10"/>
  <c r="DV316" i="10"/>
  <c r="DV360" i="10"/>
  <c r="Q344" i="10"/>
  <c r="AB61" i="10"/>
  <c r="DT72" i="10"/>
  <c r="DT83" i="10"/>
  <c r="AB145" i="10"/>
  <c r="AB185" i="10"/>
  <c r="AB207" i="10"/>
  <c r="AF255" i="10"/>
  <c r="DR268" i="10"/>
  <c r="AB295" i="10"/>
  <c r="DU207" i="10"/>
  <c r="AO143" i="10"/>
  <c r="AO176" i="10"/>
  <c r="AO198" i="10"/>
  <c r="AO231" i="10"/>
  <c r="AO286" i="10"/>
  <c r="AO297" i="10"/>
  <c r="AO308" i="10"/>
  <c r="AO319" i="10"/>
  <c r="AO330" i="10"/>
  <c r="AO352" i="10"/>
  <c r="AO363" i="10"/>
  <c r="AO374" i="10"/>
  <c r="BN160" i="10"/>
  <c r="BS185" i="10"/>
  <c r="BN188" i="10"/>
  <c r="BS229" i="10"/>
  <c r="BN232" i="10"/>
  <c r="BS251" i="10"/>
  <c r="BN254" i="10"/>
  <c r="BS339" i="10"/>
  <c r="BS361" i="10"/>
  <c r="BN364" i="10"/>
  <c r="DP276" i="10"/>
  <c r="Q276" i="10"/>
  <c r="DU281" i="10"/>
  <c r="DP287" i="10"/>
  <c r="Q287" i="10"/>
  <c r="DU314" i="10"/>
  <c r="Q331" i="10"/>
  <c r="DP331" i="10"/>
  <c r="DU336" i="10"/>
  <c r="DP353" i="10"/>
  <c r="Q353" i="10"/>
  <c r="DU358" i="10"/>
  <c r="AB134" i="10"/>
  <c r="DP188" i="10"/>
  <c r="X191" i="10"/>
  <c r="X212" i="10"/>
  <c r="X218" i="10"/>
  <c r="AB224" i="10"/>
  <c r="Q234" i="10"/>
  <c r="AJ302" i="10"/>
  <c r="Q262" i="10"/>
  <c r="Q292" i="10"/>
  <c r="AJ296" i="10"/>
  <c r="AJ364" i="10"/>
  <c r="DS155" i="10"/>
  <c r="Q193" i="10"/>
  <c r="X234" i="10"/>
  <c r="X290" i="10"/>
  <c r="X297" i="10"/>
  <c r="I162" i="10"/>
  <c r="AJ191" i="10"/>
  <c r="AB206" i="10"/>
  <c r="AB234" i="10"/>
  <c r="Q263" i="10"/>
  <c r="AB83" i="10"/>
  <c r="I156" i="10"/>
  <c r="Q222" i="10"/>
  <c r="AB225" i="10"/>
  <c r="DX21" i="10"/>
  <c r="EH21" i="10" s="1"/>
  <c r="ER21" i="10" s="1"/>
  <c r="DT61" i="10"/>
  <c r="Q156" i="10"/>
  <c r="X168" i="10"/>
  <c r="Q171" i="10"/>
  <c r="I173" i="10"/>
  <c r="X204" i="10"/>
  <c r="S207" i="10"/>
  <c r="X219" i="10"/>
  <c r="Q286" i="10"/>
  <c r="Q153" i="10"/>
  <c r="Q169" i="10"/>
  <c r="X241" i="10"/>
  <c r="X330" i="10"/>
  <c r="I339" i="10"/>
  <c r="DV197" i="10"/>
  <c r="DV241" i="10"/>
  <c r="DQ246" i="10"/>
  <c r="DV263" i="10"/>
  <c r="DV285" i="10"/>
  <c r="DV307" i="10"/>
  <c r="DQ323" i="10"/>
  <c r="DV329" i="10"/>
  <c r="DV362" i="10"/>
  <c r="AB192" i="10"/>
  <c r="X201" i="10"/>
  <c r="I216" i="10"/>
  <c r="AB267" i="10"/>
  <c r="X281" i="10"/>
  <c r="AJ329" i="10"/>
  <c r="Q375" i="10"/>
  <c r="AB179" i="10"/>
  <c r="I223" i="10"/>
  <c r="I233" i="10"/>
  <c r="AB273" i="10"/>
  <c r="X352" i="10"/>
  <c r="DQ142" i="10"/>
  <c r="DV280" i="10"/>
  <c r="DV357" i="10"/>
  <c r="DQ373" i="10"/>
  <c r="BA265" i="10"/>
  <c r="AX281" i="10"/>
  <c r="BA309" i="10"/>
  <c r="AX325" i="10"/>
  <c r="BA331" i="10"/>
  <c r="AX347" i="10"/>
  <c r="BA353" i="10"/>
  <c r="BE359" i="10"/>
  <c r="BA375" i="10"/>
  <c r="AU151" i="10"/>
  <c r="AU173" i="10"/>
  <c r="AU217" i="10"/>
  <c r="AU239" i="10"/>
  <c r="I114" i="10"/>
  <c r="X176" i="10"/>
  <c r="X185" i="10"/>
  <c r="AB203" i="10"/>
  <c r="I217" i="10"/>
  <c r="Q252" i="10"/>
  <c r="X260" i="10"/>
  <c r="AB282" i="10"/>
  <c r="I283" i="10"/>
  <c r="Q301" i="10"/>
  <c r="X308" i="10"/>
  <c r="X351" i="10"/>
  <c r="AJ354" i="10"/>
  <c r="I357" i="10"/>
  <c r="DQ252" i="10"/>
  <c r="DV291" i="10"/>
  <c r="DV324" i="10"/>
  <c r="DV346" i="10"/>
  <c r="Q180" i="10"/>
  <c r="X226" i="10"/>
  <c r="X246" i="10"/>
  <c r="AJ260" i="10"/>
  <c r="Q283" i="10"/>
  <c r="X301" i="10"/>
  <c r="AB308" i="10"/>
  <c r="X355" i="10"/>
  <c r="DR125" i="10"/>
  <c r="DX125" i="10" s="1"/>
  <c r="EG125" i="10" s="1"/>
  <c r="EQ125" i="10" s="1"/>
  <c r="AB140" i="10"/>
  <c r="X161" i="10"/>
  <c r="I186" i="10"/>
  <c r="AJ213" i="10"/>
  <c r="X224" i="10"/>
  <c r="I229" i="10"/>
  <c r="X231" i="10"/>
  <c r="AB246" i="10"/>
  <c r="X249" i="10"/>
  <c r="I265" i="10"/>
  <c r="I269" i="10"/>
  <c r="AJ298" i="10"/>
  <c r="Q372" i="10"/>
  <c r="I137" i="10"/>
  <c r="I153" i="10"/>
  <c r="Q196" i="10"/>
  <c r="I202" i="10"/>
  <c r="DS289" i="10"/>
  <c r="Q295" i="10"/>
  <c r="Q365" i="10"/>
  <c r="BE149" i="10"/>
  <c r="AX159" i="10"/>
  <c r="BE193" i="10"/>
  <c r="BE215" i="10"/>
  <c r="AX291" i="10"/>
  <c r="BE303" i="10"/>
  <c r="AB228" i="10"/>
  <c r="AB232" i="10"/>
  <c r="AB335" i="10"/>
  <c r="X362" i="10"/>
  <c r="AB318" i="10"/>
  <c r="Q336" i="10"/>
  <c r="AJ346" i="10"/>
  <c r="AB360" i="10"/>
  <c r="DQ93" i="10"/>
  <c r="DQ104" i="10"/>
  <c r="DV176" i="10"/>
  <c r="DV187" i="10"/>
  <c r="DV198" i="10"/>
  <c r="DV231" i="10"/>
  <c r="I231" i="10"/>
  <c r="DV242" i="10"/>
  <c r="DV264" i="10"/>
  <c r="DQ280" i="10"/>
  <c r="DV286" i="10"/>
  <c r="DV297" i="10"/>
  <c r="I297" i="10"/>
  <c r="DV352" i="10"/>
  <c r="DQ357" i="10"/>
  <c r="I245" i="10"/>
  <c r="AB277" i="10"/>
  <c r="AB296" i="10"/>
  <c r="AB307" i="10"/>
  <c r="DP193" i="10"/>
  <c r="DU253" i="10"/>
  <c r="DP314" i="10"/>
  <c r="DU363" i="10"/>
  <c r="AB304" i="10"/>
  <c r="I305" i="10"/>
  <c r="Q310" i="10"/>
  <c r="DU298" i="10"/>
  <c r="DU309" i="10"/>
  <c r="DQ122" i="10"/>
  <c r="DQ199" i="10"/>
  <c r="DV216" i="10"/>
  <c r="DV227" i="10"/>
  <c r="DV249" i="10"/>
  <c r="DV271" i="10"/>
  <c r="DQ364" i="10"/>
  <c r="DV370" i="10"/>
  <c r="DU161" i="10"/>
  <c r="I299" i="10"/>
  <c r="DU326" i="10"/>
  <c r="CF183" i="10"/>
  <c r="CF271" i="10"/>
  <c r="CF337" i="10"/>
  <c r="CF359" i="10"/>
  <c r="DN161" i="10"/>
  <c r="DN266" i="10"/>
  <c r="DN370" i="10"/>
  <c r="DC336" i="10"/>
  <c r="DC358" i="10"/>
  <c r="I360" i="10"/>
  <c r="AB150" i="10"/>
  <c r="Q157" i="10"/>
  <c r="AJ160" i="10"/>
  <c r="I179" i="10"/>
  <c r="AB181" i="10"/>
  <c r="I182" i="10"/>
  <c r="AB201" i="10"/>
  <c r="Q207" i="10"/>
  <c r="I221" i="10"/>
  <c r="X268" i="10"/>
  <c r="AB272" i="10"/>
  <c r="AB315" i="10"/>
  <c r="AB330" i="10"/>
  <c r="X336" i="10"/>
  <c r="AB339" i="10"/>
  <c r="X360" i="10"/>
  <c r="DS366" i="10"/>
  <c r="DP325" i="10"/>
  <c r="DP336" i="10"/>
  <c r="DX336" i="10" s="1"/>
  <c r="EF336" i="10" s="1"/>
  <c r="EP336" i="10" s="1"/>
  <c r="DP369" i="10"/>
  <c r="X252" i="10"/>
  <c r="X270" i="10"/>
  <c r="AJ274" i="10"/>
  <c r="AB276" i="10"/>
  <c r="AB278" i="10"/>
  <c r="Q298" i="10"/>
  <c r="AB362" i="10"/>
  <c r="AB161" i="10"/>
  <c r="Q162" i="10"/>
  <c r="DS165" i="10"/>
  <c r="Q184" i="10"/>
  <c r="X186" i="10"/>
  <c r="Q231" i="10"/>
  <c r="AB237" i="10"/>
  <c r="Q247" i="10"/>
  <c r="X250" i="10"/>
  <c r="AB252" i="10"/>
  <c r="X284" i="10"/>
  <c r="X292" i="10"/>
  <c r="I300" i="10"/>
  <c r="I302" i="10"/>
  <c r="Q323" i="10"/>
  <c r="AJ352" i="10"/>
  <c r="I364" i="10"/>
  <c r="CA268" i="10"/>
  <c r="CA334" i="10"/>
  <c r="CA356" i="10"/>
  <c r="CF347" i="10"/>
  <c r="DN345" i="10"/>
  <c r="DN367" i="10"/>
  <c r="CZ351" i="10"/>
  <c r="DC364" i="10"/>
  <c r="CZ373" i="10"/>
  <c r="AJ262" i="10"/>
  <c r="AB283" i="10"/>
  <c r="AJ324" i="10"/>
  <c r="Q329" i="10"/>
  <c r="I338" i="10"/>
  <c r="X340" i="10"/>
  <c r="Q368" i="10"/>
  <c r="DP311" i="10"/>
  <c r="DU360" i="10"/>
  <c r="I138" i="10"/>
  <c r="Q154" i="10"/>
  <c r="X160" i="10"/>
  <c r="AB175" i="10"/>
  <c r="I210" i="10"/>
  <c r="X216" i="10"/>
  <c r="AB227" i="10"/>
  <c r="DS235" i="10"/>
  <c r="Q277" i="10"/>
  <c r="AB289" i="10"/>
  <c r="X312" i="10"/>
  <c r="X314" i="10"/>
  <c r="X369" i="10"/>
  <c r="DQ196" i="10"/>
  <c r="DV334" i="10"/>
  <c r="I164" i="10"/>
  <c r="Q168" i="10"/>
  <c r="AB219" i="10"/>
  <c r="Q229" i="10"/>
  <c r="X237" i="10"/>
  <c r="I296" i="10"/>
  <c r="AB338" i="10"/>
  <c r="AB369" i="10"/>
  <c r="DP252" i="10"/>
  <c r="DP296" i="10"/>
  <c r="AB260" i="10"/>
  <c r="I275" i="10"/>
  <c r="X280" i="10"/>
  <c r="AB284" i="10"/>
  <c r="X302" i="10"/>
  <c r="AB303" i="10"/>
  <c r="Q316" i="10"/>
  <c r="DR329" i="10"/>
  <c r="Q335" i="10"/>
  <c r="DR327" i="10"/>
  <c r="DS336" i="10"/>
  <c r="AF336" i="10"/>
  <c r="DQ341" i="10"/>
  <c r="I119" i="10"/>
  <c r="AB126" i="10"/>
  <c r="I146" i="10"/>
  <c r="AB157" i="10"/>
  <c r="Q163" i="10"/>
  <c r="X169" i="10"/>
  <c r="AJ171" i="10"/>
  <c r="X174" i="10"/>
  <c r="AJ180" i="10"/>
  <c r="I181" i="10"/>
  <c r="DS184" i="10"/>
  <c r="AB218" i="10"/>
  <c r="AB268" i="10"/>
  <c r="X275" i="10"/>
  <c r="AJ276" i="10"/>
  <c r="Q358" i="10"/>
  <c r="AB361" i="10"/>
  <c r="AB366" i="10"/>
  <c r="X317" i="10"/>
  <c r="Q325" i="10"/>
  <c r="AB326" i="10"/>
  <c r="I328" i="10"/>
  <c r="AB345" i="10"/>
  <c r="I349" i="10"/>
  <c r="X325" i="10"/>
  <c r="I334" i="10"/>
  <c r="X335" i="10"/>
  <c r="I342" i="10"/>
  <c r="AJ345" i="10"/>
  <c r="X347" i="10"/>
  <c r="Q349" i="10"/>
  <c r="Q352" i="10"/>
  <c r="I369" i="10"/>
  <c r="AF345" i="10"/>
  <c r="AB352" i="10"/>
  <c r="X356" i="10"/>
  <c r="DP375" i="10"/>
  <c r="CZ369" i="10"/>
  <c r="AB357" i="10"/>
  <c r="X370" i="10"/>
  <c r="DQ358" i="10"/>
  <c r="Q324" i="10"/>
  <c r="AB333" i="10"/>
  <c r="Q337" i="10"/>
  <c r="X359" i="10"/>
  <c r="I372" i="10"/>
  <c r="Q373" i="10"/>
  <c r="X374" i="10"/>
  <c r="AB354" i="10"/>
  <c r="AJ363" i="10"/>
  <c r="I343" i="10"/>
  <c r="X353" i="10"/>
  <c r="H11" i="14"/>
  <c r="I11" i="14" s="1"/>
  <c r="H41" i="14"/>
  <c r="I41" i="14" s="1"/>
  <c r="H76" i="14"/>
  <c r="I76" i="14" s="1"/>
  <c r="H46" i="14"/>
  <c r="I46" i="14" s="1"/>
  <c r="H33" i="14"/>
  <c r="I33" i="14" s="1"/>
  <c r="H43" i="14"/>
  <c r="I43" i="14" s="1"/>
  <c r="H68" i="14"/>
  <c r="I68" i="14" s="1"/>
  <c r="H85" i="14"/>
  <c r="I85" i="14" s="1"/>
  <c r="H7" i="14"/>
  <c r="I7" i="14" s="1"/>
  <c r="H17" i="14"/>
  <c r="I17" i="14" s="1"/>
  <c r="H38" i="14"/>
  <c r="I38" i="14" s="1"/>
  <c r="H98" i="14"/>
  <c r="I98" i="14" s="1"/>
  <c r="H63" i="14"/>
  <c r="I63" i="14" s="1"/>
  <c r="H69" i="14"/>
  <c r="I69" i="14" s="1"/>
  <c r="H65" i="14"/>
  <c r="I65" i="14" s="1"/>
  <c r="H20" i="14"/>
  <c r="I20" i="14" s="1"/>
  <c r="H84" i="14"/>
  <c r="I84" i="14" s="1"/>
  <c r="H13" i="14"/>
  <c r="I13" i="14" s="1"/>
  <c r="H90" i="14"/>
  <c r="I90" i="14" s="1"/>
  <c r="H21" i="14"/>
  <c r="I21" i="14" s="1"/>
  <c r="H16" i="14"/>
  <c r="I16" i="14" s="1"/>
  <c r="H55" i="14"/>
  <c r="I55" i="14" s="1"/>
  <c r="H77" i="14"/>
  <c r="I77" i="14" s="1"/>
  <c r="H87" i="14"/>
  <c r="I87" i="14" s="1"/>
  <c r="H2" i="14"/>
  <c r="I2" i="14" s="1"/>
  <c r="H18" i="14"/>
  <c r="I18" i="14" s="1"/>
  <c r="H29" i="14"/>
  <c r="I29" i="14" s="1"/>
  <c r="H60" i="14"/>
  <c r="I60" i="14" s="1"/>
  <c r="H47" i="14"/>
  <c r="I47" i="14" s="1"/>
  <c r="H82" i="14"/>
  <c r="I82" i="14" s="1"/>
  <c r="H62" i="14"/>
  <c r="I62" i="14" s="1"/>
  <c r="H3" i="14"/>
  <c r="I3" i="14" s="1"/>
  <c r="H24" i="14"/>
  <c r="I24" i="14" s="1"/>
  <c r="H30" i="14"/>
  <c r="I30" i="14" s="1"/>
  <c r="H40" i="14"/>
  <c r="I40" i="14" s="1"/>
  <c r="H51" i="14"/>
  <c r="I51" i="14" s="1"/>
  <c r="H61" i="14"/>
  <c r="I61" i="14" s="1"/>
  <c r="F18" i="14"/>
  <c r="E23" i="14"/>
  <c r="H23" i="14" s="1"/>
  <c r="I23" i="14" s="1"/>
  <c r="F40" i="14"/>
  <c r="E45" i="14"/>
  <c r="H45" i="14" s="1"/>
  <c r="I45" i="14" s="1"/>
  <c r="F62" i="14"/>
  <c r="E67" i="14"/>
  <c r="H67" i="14" s="1"/>
  <c r="I67" i="14" s="1"/>
  <c r="F84" i="14"/>
  <c r="E89" i="14"/>
  <c r="H89" i="14" s="1"/>
  <c r="I89" i="14" s="1"/>
  <c r="E6" i="14"/>
  <c r="H6" i="14" s="1"/>
  <c r="I6" i="14" s="1"/>
  <c r="E28" i="14"/>
  <c r="H28" i="14" s="1"/>
  <c r="I28" i="14" s="1"/>
  <c r="E50" i="14"/>
  <c r="H50" i="14" s="1"/>
  <c r="I50" i="14" s="1"/>
  <c r="E72" i="14"/>
  <c r="H72" i="14" s="1"/>
  <c r="I72" i="14" s="1"/>
  <c r="E94" i="14"/>
  <c r="H94" i="14" s="1"/>
  <c r="I94" i="14" s="1"/>
  <c r="E91" i="14"/>
  <c r="H91" i="14" s="1"/>
  <c r="I91" i="14" s="1"/>
  <c r="E4" i="14"/>
  <c r="H4" i="14" s="1"/>
  <c r="I4" i="14" s="1"/>
  <c r="F21" i="14"/>
  <c r="E26" i="14"/>
  <c r="H26" i="14" s="1"/>
  <c r="I26" i="14" s="1"/>
  <c r="F43" i="14"/>
  <c r="E48" i="14"/>
  <c r="H48" i="14" s="1"/>
  <c r="I48" i="14" s="1"/>
  <c r="F65" i="14"/>
  <c r="E70" i="14"/>
  <c r="H70" i="14" s="1"/>
  <c r="I70" i="14" s="1"/>
  <c r="F87" i="14"/>
  <c r="E92" i="14"/>
  <c r="H92" i="14" s="1"/>
  <c r="I92" i="14" s="1"/>
  <c r="E74" i="14"/>
  <c r="H74" i="14" s="1"/>
  <c r="I74" i="14" s="1"/>
  <c r="E9" i="14"/>
  <c r="H9" i="14" s="1"/>
  <c r="I9" i="14" s="1"/>
  <c r="E31" i="14"/>
  <c r="H31" i="14" s="1"/>
  <c r="I31" i="14" s="1"/>
  <c r="E53" i="14"/>
  <c r="H53" i="14" s="1"/>
  <c r="I53" i="14" s="1"/>
  <c r="E75" i="14"/>
  <c r="H75" i="14" s="1"/>
  <c r="I75" i="14" s="1"/>
  <c r="E97" i="14"/>
  <c r="H97" i="14" s="1"/>
  <c r="I97" i="14" s="1"/>
  <c r="E14" i="14"/>
  <c r="H14" i="14" s="1"/>
  <c r="I14" i="14" s="1"/>
  <c r="E36" i="14"/>
  <c r="H36" i="14" s="1"/>
  <c r="I36" i="14" s="1"/>
  <c r="E58" i="14"/>
  <c r="H58" i="14" s="1"/>
  <c r="I58" i="14" s="1"/>
  <c r="E80" i="14"/>
  <c r="H80" i="14" s="1"/>
  <c r="I80" i="14" s="1"/>
  <c r="E79" i="14"/>
  <c r="H79" i="14" s="1"/>
  <c r="I79" i="14" s="1"/>
  <c r="B17" i="14"/>
  <c r="G17" i="14" s="1"/>
  <c r="B39" i="14"/>
  <c r="G39" i="14" s="1"/>
  <c r="H39" i="14" s="1"/>
  <c r="I39" i="14" s="1"/>
  <c r="B61" i="14"/>
  <c r="G61" i="14" s="1"/>
  <c r="E86" i="14"/>
  <c r="H86" i="14" s="1"/>
  <c r="I86" i="14" s="1"/>
  <c r="E73" i="14"/>
  <c r="H73" i="14" s="1"/>
  <c r="I73" i="14" s="1"/>
  <c r="E95" i="14"/>
  <c r="H95" i="14" s="1"/>
  <c r="I95" i="14" s="1"/>
  <c r="F20" i="14"/>
  <c r="E25" i="14"/>
  <c r="H25" i="14" s="1"/>
  <c r="I25" i="14" s="1"/>
  <c r="F3" i="14"/>
  <c r="E8" i="14"/>
  <c r="H8" i="14" s="1"/>
  <c r="I8" i="14" s="1"/>
  <c r="F47" i="14"/>
  <c r="F69" i="14"/>
  <c r="E12" i="14"/>
  <c r="H12" i="14" s="1"/>
  <c r="I12" i="14" s="1"/>
  <c r="E34" i="14"/>
  <c r="H34" i="14" s="1"/>
  <c r="I34" i="14" s="1"/>
  <c r="E56" i="14"/>
  <c r="H56" i="14" s="1"/>
  <c r="I56" i="14" s="1"/>
  <c r="E78" i="14"/>
  <c r="H78" i="14" s="1"/>
  <c r="I78" i="14" s="1"/>
  <c r="E100" i="14"/>
  <c r="H100" i="14" s="1"/>
  <c r="I100" i="14" s="1"/>
  <c r="F30" i="14"/>
  <c r="F13" i="14"/>
  <c r="F57" i="14"/>
  <c r="E42" i="14"/>
  <c r="H42" i="14" s="1"/>
  <c r="I42" i="14" s="1"/>
  <c r="E64" i="14"/>
  <c r="H64" i="14" s="1"/>
  <c r="I64" i="14" s="1"/>
  <c r="E52" i="14"/>
  <c r="H52" i="14" s="1"/>
  <c r="I52" i="14" s="1"/>
  <c r="E96" i="14"/>
  <c r="H96" i="14" s="1"/>
  <c r="I96" i="14" s="1"/>
  <c r="E22" i="14"/>
  <c r="H22" i="14" s="1"/>
  <c r="I22" i="14" s="1"/>
  <c r="E44" i="14"/>
  <c r="H44" i="14" s="1"/>
  <c r="I44" i="14" s="1"/>
  <c r="E66" i="14"/>
  <c r="H66" i="14" s="1"/>
  <c r="I66" i="14" s="1"/>
  <c r="E88" i="14"/>
  <c r="H88" i="14" s="1"/>
  <c r="I88" i="14" s="1"/>
  <c r="E35" i="14"/>
  <c r="H35" i="14" s="1"/>
  <c r="I35" i="14" s="1"/>
  <c r="E5" i="14"/>
  <c r="H5" i="14" s="1"/>
  <c r="I5" i="14" s="1"/>
  <c r="E27" i="14"/>
  <c r="H27" i="14" s="1"/>
  <c r="I27" i="14" s="1"/>
  <c r="E49" i="14"/>
  <c r="H49" i="14" s="1"/>
  <c r="I49" i="14" s="1"/>
  <c r="E71" i="14"/>
  <c r="H71" i="14" s="1"/>
  <c r="I71" i="14" s="1"/>
  <c r="E93" i="14"/>
  <c r="H93" i="14" s="1"/>
  <c r="I93" i="14" s="1"/>
  <c r="EA17" i="10"/>
  <c r="EK17" i="10" s="1"/>
  <c r="DX25" i="10"/>
  <c r="EA25" i="10" s="1"/>
  <c r="EK25" i="10" s="1"/>
  <c r="DX91" i="10"/>
  <c r="EH91" i="10" s="1"/>
  <c r="ER91" i="10" s="1"/>
  <c r="DX20" i="10"/>
  <c r="EB20" i="10" s="1"/>
  <c r="EL20" i="10" s="1"/>
  <c r="DX29" i="10"/>
  <c r="EF29" i="10" s="1"/>
  <c r="EP29" i="10" s="1"/>
  <c r="EB55" i="10"/>
  <c r="EL55" i="10" s="1"/>
  <c r="EG19" i="10"/>
  <c r="EQ19" i="10" s="1"/>
  <c r="DT67" i="10"/>
  <c r="AB67" i="10"/>
  <c r="AJ71" i="10"/>
  <c r="AL74" i="10"/>
  <c r="AJ101" i="10"/>
  <c r="AL108" i="10"/>
  <c r="DU137" i="10"/>
  <c r="S137" i="10"/>
  <c r="EH19" i="10"/>
  <c r="ER19" i="10" s="1"/>
  <c r="I21" i="10"/>
  <c r="I29" i="10"/>
  <c r="DQ44" i="10"/>
  <c r="DX44" i="10" s="1"/>
  <c r="DX54" i="10"/>
  <c r="EF54" i="10" s="1"/>
  <c r="EP54" i="10" s="1"/>
  <c r="DX74" i="10"/>
  <c r="EC74" i="10" s="1"/>
  <c r="EM74" i="10" s="1"/>
  <c r="S92" i="10"/>
  <c r="DR101" i="10"/>
  <c r="AL101" i="10"/>
  <c r="DU104" i="10"/>
  <c r="S104" i="10"/>
  <c r="BN124" i="10"/>
  <c r="AB129" i="10"/>
  <c r="AB137" i="10"/>
  <c r="DR137" i="10"/>
  <c r="DT145" i="10"/>
  <c r="AF178" i="10"/>
  <c r="DS178" i="10"/>
  <c r="AL69" i="10"/>
  <c r="AB79" i="10"/>
  <c r="DT79" i="10"/>
  <c r="I97" i="10"/>
  <c r="DP97" i="10"/>
  <c r="DR111" i="10"/>
  <c r="DQ138" i="10"/>
  <c r="DT114" i="10"/>
  <c r="AB114" i="10"/>
  <c r="DP24" i="10"/>
  <c r="I24" i="10"/>
  <c r="DP80" i="10"/>
  <c r="I80" i="10"/>
  <c r="I180" i="10"/>
  <c r="DP180" i="10"/>
  <c r="AL249" i="10"/>
  <c r="DR249" i="10"/>
  <c r="DS300" i="10"/>
  <c r="AF300" i="10"/>
  <c r="AB101" i="10"/>
  <c r="DU101" i="10"/>
  <c r="DU299" i="10"/>
  <c r="DR96" i="10"/>
  <c r="DR82" i="10"/>
  <c r="EG28" i="10"/>
  <c r="EQ28" i="10" s="1"/>
  <c r="EA30" i="10"/>
  <c r="EK30" i="10" s="1"/>
  <c r="I54" i="10"/>
  <c r="DY54" i="10" s="1"/>
  <c r="DT82" i="10"/>
  <c r="I89" i="10"/>
  <c r="I95" i="10"/>
  <c r="DR100" i="10"/>
  <c r="DX100" i="10" s="1"/>
  <c r="AJ103" i="10"/>
  <c r="DR104" i="10"/>
  <c r="AB127" i="10"/>
  <c r="DT127" i="10"/>
  <c r="DR196" i="10"/>
  <c r="AF196" i="10"/>
  <c r="DX22" i="10"/>
  <c r="EA22" i="10" s="1"/>
  <c r="EK22" i="10" s="1"/>
  <c r="DU34" i="10"/>
  <c r="I34" i="10"/>
  <c r="DX18" i="10"/>
  <c r="BN115" i="10"/>
  <c r="DS169" i="10"/>
  <c r="AF169" i="10"/>
  <c r="BG169" i="10"/>
  <c r="EF30" i="10"/>
  <c r="EP30" i="10" s="1"/>
  <c r="DX53" i="10"/>
  <c r="EB53" i="10" s="1"/>
  <c r="EL53" i="10" s="1"/>
  <c r="DX55" i="10"/>
  <c r="EG55" i="10" s="1"/>
  <c r="EQ55" i="10" s="1"/>
  <c r="DU68" i="10"/>
  <c r="DX68" i="10" s="1"/>
  <c r="DT69" i="10"/>
  <c r="DX69" i="10" s="1"/>
  <c r="EG69" i="10" s="1"/>
  <c r="EQ69" i="10" s="1"/>
  <c r="DP76" i="10"/>
  <c r="I76" i="10"/>
  <c r="AJ91" i="10"/>
  <c r="AL103" i="10"/>
  <c r="AJ122" i="10"/>
  <c r="BI169" i="10"/>
  <c r="DU169" i="10"/>
  <c r="BN98" i="10"/>
  <c r="DP39" i="10"/>
  <c r="I39" i="10"/>
  <c r="I20" i="10"/>
  <c r="DX23" i="10"/>
  <c r="DY23" i="10" s="1"/>
  <c r="I28" i="10"/>
  <c r="EG30" i="10"/>
  <c r="EQ30" i="10" s="1"/>
  <c r="DX40" i="10"/>
  <c r="EG40" i="10" s="1"/>
  <c r="EQ40" i="10" s="1"/>
  <c r="DT89" i="10"/>
  <c r="AB89" i="10"/>
  <c r="BN103" i="10"/>
  <c r="CH142" i="10"/>
  <c r="I190" i="10"/>
  <c r="DT102" i="10"/>
  <c r="DX102" i="10" s="1"/>
  <c r="EC102" i="10" s="1"/>
  <c r="EM102" i="10" s="1"/>
  <c r="AB102" i="10"/>
  <c r="EF19" i="10"/>
  <c r="EP19" i="10" s="1"/>
  <c r="BA299" i="10"/>
  <c r="DR299" i="10"/>
  <c r="I50" i="10"/>
  <c r="AB78" i="10"/>
  <c r="I87" i="10"/>
  <c r="AL91" i="10"/>
  <c r="I110" i="10"/>
  <c r="AL122" i="10"/>
  <c r="DU125" i="10"/>
  <c r="DR153" i="10"/>
  <c r="CO167" i="10"/>
  <c r="AR183" i="10"/>
  <c r="DN204" i="10"/>
  <c r="DS204" i="10"/>
  <c r="EB22" i="10"/>
  <c r="EL22" i="10" s="1"/>
  <c r="I52" i="10"/>
  <c r="DX56" i="10"/>
  <c r="EB56" i="10" s="1"/>
  <c r="EL56" i="10" s="1"/>
  <c r="DP133" i="10"/>
  <c r="I133" i="10"/>
  <c r="DX31" i="10"/>
  <c r="EC31" i="10" s="1"/>
  <c r="EM31" i="10" s="1"/>
  <c r="DT52" i="10"/>
  <c r="AB52" i="10"/>
  <c r="AB75" i="10"/>
  <c r="DQ143" i="10"/>
  <c r="I143" i="10"/>
  <c r="I79" i="10"/>
  <c r="DP79" i="10"/>
  <c r="AB94" i="10"/>
  <c r="DT94" i="10"/>
  <c r="EA12" i="10"/>
  <c r="EK12" i="10" s="1"/>
  <c r="DX12" i="10"/>
  <c r="EE23" i="10"/>
  <c r="EO23" i="10" s="1"/>
  <c r="EC28" i="10"/>
  <c r="EM28" i="10" s="1"/>
  <c r="DU90" i="10"/>
  <c r="AB96" i="10"/>
  <c r="DT96" i="10"/>
  <c r="AX121" i="10"/>
  <c r="DR121" i="10"/>
  <c r="AO171" i="10"/>
  <c r="DR171" i="10"/>
  <c r="DS180" i="10"/>
  <c r="DX17" i="10"/>
  <c r="EH17" i="10" s="1"/>
  <c r="ER17" i="10" s="1"/>
  <c r="I25" i="10"/>
  <c r="DU75" i="10"/>
  <c r="AJ78" i="10"/>
  <c r="DU86" i="10"/>
  <c r="DX86" i="10" s="1"/>
  <c r="S86" i="10"/>
  <c r="DU109" i="10"/>
  <c r="DR141" i="10"/>
  <c r="AF150" i="10"/>
  <c r="DS150" i="10"/>
  <c r="DR165" i="10"/>
  <c r="DT73" i="10"/>
  <c r="AB73" i="10"/>
  <c r="DV81" i="10"/>
  <c r="I81" i="10"/>
  <c r="DT113" i="10"/>
  <c r="DX113" i="10" s="1"/>
  <c r="EH113" i="10" s="1"/>
  <c r="ER113" i="10" s="1"/>
  <c r="AB113" i="10"/>
  <c r="DR135" i="10"/>
  <c r="AL135" i="10"/>
  <c r="AB72" i="10"/>
  <c r="EC19" i="10"/>
  <c r="EM19" i="10" s="1"/>
  <c r="I67" i="10"/>
  <c r="I64" i="10"/>
  <c r="BI128" i="10"/>
  <c r="DU128" i="10"/>
  <c r="DP27" i="10"/>
  <c r="I27" i="10"/>
  <c r="AB50" i="10"/>
  <c r="I60" i="10"/>
  <c r="DT76" i="10"/>
  <c r="AB76" i="10"/>
  <c r="DP83" i="10"/>
  <c r="I83" i="10"/>
  <c r="DR89" i="10"/>
  <c r="AL89" i="10"/>
  <c r="AJ97" i="10"/>
  <c r="DX103" i="10"/>
  <c r="EA103" i="10" s="1"/>
  <c r="EK103" i="10" s="1"/>
  <c r="DQ109" i="10"/>
  <c r="DT110" i="10"/>
  <c r="AB110" i="10"/>
  <c r="DU113" i="10"/>
  <c r="I117" i="10"/>
  <c r="I136" i="10"/>
  <c r="X149" i="10"/>
  <c r="DS149" i="10"/>
  <c r="DS153" i="10"/>
  <c r="DP26" i="10"/>
  <c r="I26" i="10"/>
  <c r="DX28" i="10"/>
  <c r="EF28" i="10" s="1"/>
  <c r="EP28" i="10" s="1"/>
  <c r="I31" i="10"/>
  <c r="DX43" i="10"/>
  <c r="DY43" i="10" s="1"/>
  <c r="DP70" i="10"/>
  <c r="I70" i="10"/>
  <c r="I75" i="10"/>
  <c r="I62" i="10"/>
  <c r="AB116" i="10"/>
  <c r="DT116" i="10"/>
  <c r="EB19" i="10"/>
  <c r="EL19" i="10" s="1"/>
  <c r="CO160" i="10"/>
  <c r="DR300" i="10"/>
  <c r="I92" i="10"/>
  <c r="I22" i="10"/>
  <c r="DX33" i="10"/>
  <c r="DP36" i="10"/>
  <c r="I36" i="10"/>
  <c r="DX45" i="10"/>
  <c r="EA45" i="10" s="1"/>
  <c r="EK45" i="10" s="1"/>
  <c r="AB88" i="10"/>
  <c r="DT88" i="10"/>
  <c r="BN93" i="10"/>
  <c r="I113" i="10"/>
  <c r="CC161" i="10"/>
  <c r="DR161" i="10"/>
  <c r="X179" i="10"/>
  <c r="DT179" i="10"/>
  <c r="DU64" i="10"/>
  <c r="BN101" i="10"/>
  <c r="AB117" i="10"/>
  <c r="DT117" i="10"/>
  <c r="DX117" i="10" s="1"/>
  <c r="EG117" i="10" s="1"/>
  <c r="EQ117" i="10" s="1"/>
  <c r="I118" i="10"/>
  <c r="DT120" i="10"/>
  <c r="AB120" i="10"/>
  <c r="DQ130" i="10"/>
  <c r="BA130" i="10"/>
  <c r="DT140" i="10"/>
  <c r="DR151" i="10"/>
  <c r="CA165" i="10"/>
  <c r="S198" i="10"/>
  <c r="DU198" i="10"/>
  <c r="I111" i="10"/>
  <c r="DU124" i="10"/>
  <c r="AF160" i="10"/>
  <c r="DS160" i="10"/>
  <c r="DQ167" i="10"/>
  <c r="DT167" i="10"/>
  <c r="DP37" i="10"/>
  <c r="I37" i="10"/>
  <c r="DP38" i="10"/>
  <c r="I38" i="10"/>
  <c r="DR97" i="10"/>
  <c r="DR116" i="10"/>
  <c r="BN117" i="10"/>
  <c r="DU121" i="10"/>
  <c r="I126" i="10"/>
  <c r="DR138" i="10"/>
  <c r="AL138" i="10"/>
  <c r="DU146" i="10"/>
  <c r="AO154" i="10"/>
  <c r="DR154" i="10"/>
  <c r="Q175" i="10"/>
  <c r="DP35" i="10"/>
  <c r="I35" i="10"/>
  <c r="DT80" i="10"/>
  <c r="AB80" i="10"/>
  <c r="I93" i="10"/>
  <c r="BN119" i="10"/>
  <c r="DU132" i="10"/>
  <c r="BN132" i="10"/>
  <c r="DS147" i="10"/>
  <c r="AF147" i="10"/>
  <c r="DW148" i="10"/>
  <c r="I148" i="10"/>
  <c r="DQ160" i="10"/>
  <c r="DR163" i="10"/>
  <c r="AB95" i="10"/>
  <c r="DT95" i="10"/>
  <c r="DR110" i="10"/>
  <c r="AL110" i="10"/>
  <c r="DR129" i="10"/>
  <c r="AL129" i="10"/>
  <c r="DU167" i="10"/>
  <c r="DV175" i="10"/>
  <c r="EC30" i="10"/>
  <c r="EM30" i="10" s="1"/>
  <c r="I32" i="10"/>
  <c r="I33" i="10"/>
  <c r="AL67" i="10"/>
  <c r="AL70" i="10"/>
  <c r="AL76" i="10"/>
  <c r="AL83" i="10"/>
  <c r="I91" i="10"/>
  <c r="DU93" i="10"/>
  <c r="I132" i="10"/>
  <c r="X143" i="10"/>
  <c r="DT143" i="10"/>
  <c r="BE146" i="10"/>
  <c r="AF176" i="10"/>
  <c r="CO184" i="10"/>
  <c r="CF196" i="10"/>
  <c r="DR203" i="10"/>
  <c r="AR203" i="10"/>
  <c r="EE30" i="10"/>
  <c r="EO30" i="10" s="1"/>
  <c r="I74" i="10"/>
  <c r="AF174" i="10"/>
  <c r="DS174" i="10"/>
  <c r="AL184" i="10"/>
  <c r="DR184" i="10"/>
  <c r="I40" i="10"/>
  <c r="EC54" i="10"/>
  <c r="EM54" i="10" s="1"/>
  <c r="DR80" i="10"/>
  <c r="AL80" i="10"/>
  <c r="BN92" i="10"/>
  <c r="I144" i="10"/>
  <c r="DP15" i="10"/>
  <c r="I15" i="10"/>
  <c r="DP16" i="10"/>
  <c r="I16" i="10"/>
  <c r="I82" i="10"/>
  <c r="DP82" i="10"/>
  <c r="DU85" i="10"/>
  <c r="AL90" i="10"/>
  <c r="DR95" i="10"/>
  <c r="AL95" i="10"/>
  <c r="AB121" i="10"/>
  <c r="DU159" i="10"/>
  <c r="DQ184" i="10"/>
  <c r="DP13" i="10"/>
  <c r="I13" i="10"/>
  <c r="AB56" i="10"/>
  <c r="DR73" i="10"/>
  <c r="AJ87" i="10"/>
  <c r="BN95" i="10"/>
  <c r="DR118" i="10"/>
  <c r="DR124" i="10"/>
  <c r="AL124" i="10"/>
  <c r="DT128" i="10"/>
  <c r="DU145" i="10"/>
  <c r="DV155" i="10"/>
  <c r="DP48" i="10"/>
  <c r="I48" i="10"/>
  <c r="DP49" i="10"/>
  <c r="I49" i="10"/>
  <c r="DU72" i="10"/>
  <c r="DU83" i="10"/>
  <c r="BN107" i="10"/>
  <c r="S108" i="10"/>
  <c r="DU108" i="10"/>
  <c r="DU119" i="10"/>
  <c r="DU122" i="10"/>
  <c r="DR158" i="10"/>
  <c r="EB12" i="10"/>
  <c r="EL12" i="10" s="1"/>
  <c r="DP46" i="10"/>
  <c r="I46" i="10"/>
  <c r="I94" i="10"/>
  <c r="AX118" i="10"/>
  <c r="AB128" i="10"/>
  <c r="BN138" i="10"/>
  <c r="I158" i="10"/>
  <c r="DT158" i="10"/>
  <c r="BN213" i="10"/>
  <c r="BN155" i="10"/>
  <c r="BI160" i="10"/>
  <c r="DU160" i="10"/>
  <c r="DR180" i="10"/>
  <c r="AF180" i="10"/>
  <c r="AR189" i="10"/>
  <c r="DT189" i="10"/>
  <c r="DT107" i="10"/>
  <c r="BN108" i="10"/>
  <c r="AL128" i="10"/>
  <c r="DR128" i="10"/>
  <c r="AB133" i="10"/>
  <c r="DR139" i="10"/>
  <c r="BN143" i="10"/>
  <c r="DU158" i="10"/>
  <c r="DQ178" i="10"/>
  <c r="DT180" i="10"/>
  <c r="CZ209" i="10"/>
  <c r="DT106" i="10"/>
  <c r="DX106" i="10" s="1"/>
  <c r="EB106" i="10" s="1"/>
  <c r="EL106" i="10" s="1"/>
  <c r="I109" i="10"/>
  <c r="DT131" i="10"/>
  <c r="AB132" i="10"/>
  <c r="AB136" i="10"/>
  <c r="DV164" i="10"/>
  <c r="DS173" i="10"/>
  <c r="CK173" i="10"/>
  <c r="DU183" i="10"/>
  <c r="I103" i="10"/>
  <c r="DU105" i="10"/>
  <c r="DR107" i="10"/>
  <c r="BN110" i="10"/>
  <c r="DQ131" i="10"/>
  <c r="DQ148" i="10"/>
  <c r="I150" i="10"/>
  <c r="BE151" i="10"/>
  <c r="Q155" i="10"/>
  <c r="DP155" i="10"/>
  <c r="DV157" i="10"/>
  <c r="I157" i="10"/>
  <c r="AJ157" i="10"/>
  <c r="BA159" i="10"/>
  <c r="DU164" i="10"/>
  <c r="I178" i="10"/>
  <c r="DU180" i="10"/>
  <c r="DP135" i="10"/>
  <c r="I135" i="10"/>
  <c r="DU157" i="10"/>
  <c r="DT169" i="10"/>
  <c r="AR169" i="10"/>
  <c r="DR120" i="10"/>
  <c r="BA127" i="10"/>
  <c r="BN129" i="10"/>
  <c r="DU142" i="10"/>
  <c r="DS151" i="10"/>
  <c r="DS170" i="10"/>
  <c r="DQ141" i="10"/>
  <c r="I149" i="10"/>
  <c r="DV150" i="10"/>
  <c r="BV153" i="10"/>
  <c r="DU153" i="10"/>
  <c r="AF156" i="10"/>
  <c r="DS156" i="10"/>
  <c r="DS161" i="10"/>
  <c r="DR170" i="10"/>
  <c r="DV178" i="10"/>
  <c r="AX232" i="10"/>
  <c r="DR232" i="10"/>
  <c r="I51" i="10"/>
  <c r="I53" i="10"/>
  <c r="I55" i="10"/>
  <c r="I57" i="10"/>
  <c r="I59" i="10"/>
  <c r="I61" i="10"/>
  <c r="I63" i="10"/>
  <c r="AB92" i="10"/>
  <c r="DT104" i="10"/>
  <c r="I130" i="10"/>
  <c r="DQ135" i="10"/>
  <c r="DR143" i="10"/>
  <c r="AR149" i="10"/>
  <c r="DR149" i="10"/>
  <c r="DT151" i="10"/>
  <c r="DT159" i="10"/>
  <c r="DQ162" i="10"/>
  <c r="DQ168" i="10"/>
  <c r="DT170" i="10"/>
  <c r="AF172" i="10"/>
  <c r="DS172" i="10"/>
  <c r="AL173" i="10"/>
  <c r="DR173" i="10"/>
  <c r="BS181" i="10"/>
  <c r="BE186" i="10"/>
  <c r="CF229" i="10"/>
  <c r="I102" i="10"/>
  <c r="I139" i="10"/>
  <c r="DP151" i="10"/>
  <c r="AF151" i="10"/>
  <c r="I161" i="10"/>
  <c r="DT165" i="10"/>
  <c r="I168" i="10"/>
  <c r="AF170" i="10"/>
  <c r="AB104" i="10"/>
  <c r="BN127" i="10"/>
  <c r="S141" i="10"/>
  <c r="DU173" i="10"/>
  <c r="AB186" i="10"/>
  <c r="DU187" i="10"/>
  <c r="DR105" i="10"/>
  <c r="DQ108" i="10"/>
  <c r="AB130" i="10"/>
  <c r="DU134" i="10"/>
  <c r="BN139" i="10"/>
  <c r="DQ149" i="10"/>
  <c r="Q149" i="10"/>
  <c r="I152" i="10"/>
  <c r="DR152" i="10"/>
  <c r="BN161" i="10"/>
  <c r="DU170" i="10"/>
  <c r="AJ170" i="10"/>
  <c r="DQ173" i="10"/>
  <c r="DS186" i="10"/>
  <c r="AF186" i="10"/>
  <c r="AR199" i="10"/>
  <c r="BS199" i="10"/>
  <c r="DR206" i="10"/>
  <c r="BA212" i="10"/>
  <c r="DR212" i="10"/>
  <c r="AL105" i="10"/>
  <c r="AL115" i="10"/>
  <c r="DR115" i="10"/>
  <c r="I121" i="10"/>
  <c r="DV121" i="10"/>
  <c r="DT141" i="10"/>
  <c r="DU143" i="10"/>
  <c r="DR148" i="10"/>
  <c r="DT152" i="10"/>
  <c r="CK153" i="10"/>
  <c r="DS154" i="10"/>
  <c r="I159" i="10"/>
  <c r="BN163" i="10"/>
  <c r="DQ170" i="10"/>
  <c r="CO172" i="10"/>
  <c r="BE176" i="10"/>
  <c r="DS181" i="10"/>
  <c r="I185" i="10"/>
  <c r="AF141" i="10"/>
  <c r="BE143" i="10"/>
  <c r="DS152" i="10"/>
  <c r="CO152" i="10"/>
  <c r="DU154" i="10"/>
  <c r="X156" i="10"/>
  <c r="DS158" i="10"/>
  <c r="AF159" i="10"/>
  <c r="DQ172" i="10"/>
  <c r="CO173" i="10"/>
  <c r="AU183" i="10"/>
  <c r="DS183" i="10"/>
  <c r="I206" i="10"/>
  <c r="CW226" i="10"/>
  <c r="DQ226" i="10"/>
  <c r="Q178" i="10"/>
  <c r="DV180" i="10"/>
  <c r="I196" i="10"/>
  <c r="X208" i="10"/>
  <c r="DU218" i="10"/>
  <c r="AX226" i="10"/>
  <c r="DR226" i="10"/>
  <c r="DR144" i="10"/>
  <c r="AF145" i="10"/>
  <c r="DR145" i="10"/>
  <c r="DQ152" i="10"/>
  <c r="DS164" i="10"/>
  <c r="DS166" i="10"/>
  <c r="AF166" i="10"/>
  <c r="CA167" i="10"/>
  <c r="DT194" i="10"/>
  <c r="DS198" i="10"/>
  <c r="AF198" i="10"/>
  <c r="DR201" i="10"/>
  <c r="DR220" i="10"/>
  <c r="AO141" i="10"/>
  <c r="DQ147" i="10"/>
  <c r="CO151" i="10"/>
  <c r="DT155" i="10"/>
  <c r="CO156" i="10"/>
  <c r="DV158" i="10"/>
  <c r="CF162" i="10"/>
  <c r="DR164" i="10"/>
  <c r="DR166" i="10"/>
  <c r="DS171" i="10"/>
  <c r="Q173" i="10"/>
  <c r="Q174" i="10"/>
  <c r="CF189" i="10"/>
  <c r="AX191" i="10"/>
  <c r="DR191" i="10"/>
  <c r="DR194" i="10"/>
  <c r="BN195" i="10"/>
  <c r="DV200" i="10"/>
  <c r="DN200" i="10"/>
  <c r="I243" i="10"/>
  <c r="DU186" i="10"/>
  <c r="DS240" i="10"/>
  <c r="CA240" i="10"/>
  <c r="DQ243" i="10"/>
  <c r="CO243" i="10"/>
  <c r="DT171" i="10"/>
  <c r="DT181" i="10"/>
  <c r="I194" i="10"/>
  <c r="Q150" i="10"/>
  <c r="DQ157" i="10"/>
  <c r="DT161" i="10"/>
  <c r="CA171" i="10"/>
  <c r="DU174" i="10"/>
  <c r="CA177" i="10"/>
  <c r="DT187" i="10"/>
  <c r="DT191" i="10"/>
  <c r="Q194" i="10"/>
  <c r="CA215" i="10"/>
  <c r="DR215" i="10"/>
  <c r="I140" i="10"/>
  <c r="AR148" i="10"/>
  <c r="DR157" i="10"/>
  <c r="DQ159" i="10"/>
  <c r="DQ166" i="10"/>
  <c r="DP176" i="10"/>
  <c r="Q176" i="10"/>
  <c r="BA185" i="10"/>
  <c r="DU188" i="10"/>
  <c r="DU199" i="10"/>
  <c r="DS217" i="10"/>
  <c r="DR172" i="10"/>
  <c r="AX172" i="10"/>
  <c r="DT200" i="10"/>
  <c r="I131" i="10"/>
  <c r="DT138" i="10"/>
  <c r="DV151" i="10"/>
  <c r="DS168" i="10"/>
  <c r="DU171" i="10"/>
  <c r="DT177" i="10"/>
  <c r="DU194" i="10"/>
  <c r="DQ212" i="10"/>
  <c r="DR109" i="10"/>
  <c r="DU130" i="10"/>
  <c r="DU144" i="10"/>
  <c r="DR146" i="10"/>
  <c r="DU151" i="10"/>
  <c r="DN155" i="10"/>
  <c r="DU163" i="10"/>
  <c r="Q164" i="10"/>
  <c r="DR168" i="10"/>
  <c r="DQ176" i="10"/>
  <c r="DU182" i="10"/>
  <c r="AR187" i="10"/>
  <c r="DR187" i="10"/>
  <c r="CO188" i="10"/>
  <c r="DR189" i="10"/>
  <c r="CA206" i="10"/>
  <c r="DT108" i="10"/>
  <c r="AL109" i="10"/>
  <c r="BN121" i="10"/>
  <c r="DQ129" i="10"/>
  <c r="BN133" i="10"/>
  <c r="DQ144" i="10"/>
  <c r="DT150" i="10"/>
  <c r="X150" i="10"/>
  <c r="I155" i="10"/>
  <c r="BE161" i="10"/>
  <c r="DQ163" i="10"/>
  <c r="CF177" i="10"/>
  <c r="Q181" i="10"/>
  <c r="DQ182" i="10"/>
  <c r="DP184" i="10"/>
  <c r="I184" i="10"/>
  <c r="CK184" i="10"/>
  <c r="DS191" i="10"/>
  <c r="CZ207" i="10"/>
  <c r="DR223" i="10"/>
  <c r="AX223" i="10"/>
  <c r="DV235" i="10"/>
  <c r="AJ235" i="10"/>
  <c r="BE208" i="10"/>
  <c r="DT210" i="10"/>
  <c r="AF230" i="10"/>
  <c r="DS230" i="10"/>
  <c r="DQ235" i="10"/>
  <c r="DN243" i="10"/>
  <c r="X245" i="10"/>
  <c r="DT245" i="10"/>
  <c r="Q160" i="10"/>
  <c r="X162" i="10"/>
  <c r="DU168" i="10"/>
  <c r="CK168" i="10"/>
  <c r="CA174" i="10"/>
  <c r="DN175" i="10"/>
  <c r="DU176" i="10"/>
  <c r="BN184" i="10"/>
  <c r="DQ192" i="10"/>
  <c r="DU195" i="10"/>
  <c r="DT203" i="10"/>
  <c r="DS206" i="10"/>
  <c r="DR209" i="10"/>
  <c r="AF229" i="10"/>
  <c r="DS229" i="10"/>
  <c r="Q235" i="10"/>
  <c r="AO235" i="10"/>
  <c r="DR235" i="10"/>
  <c r="BN237" i="10"/>
  <c r="DS243" i="10"/>
  <c r="AF243" i="10"/>
  <c r="DU147" i="10"/>
  <c r="AJ155" i="10"/>
  <c r="DQ164" i="10"/>
  <c r="BN171" i="10"/>
  <c r="AB174" i="10"/>
  <c r="DT175" i="10"/>
  <c r="DR177" i="10"/>
  <c r="DR185" i="10"/>
  <c r="DR198" i="10"/>
  <c r="CO200" i="10"/>
  <c r="DT201" i="10"/>
  <c r="DU204" i="10"/>
  <c r="CO153" i="10"/>
  <c r="DT157" i="10"/>
  <c r="Q158" i="10"/>
  <c r="DN158" i="10"/>
  <c r="CK159" i="10"/>
  <c r="DV161" i="10"/>
  <c r="I169" i="10"/>
  <c r="BA172" i="10"/>
  <c r="DT192" i="10"/>
  <c r="AO195" i="10"/>
  <c r="X199" i="10"/>
  <c r="CA202" i="10"/>
  <c r="DQ204" i="10"/>
  <c r="AR204" i="10"/>
  <c r="AF205" i="10"/>
  <c r="DS205" i="10"/>
  <c r="DU209" i="10"/>
  <c r="AO220" i="10"/>
  <c r="BE224" i="10"/>
  <c r="DR239" i="10"/>
  <c r="AX240" i="10"/>
  <c r="DQ191" i="10"/>
  <c r="DR205" i="10"/>
  <c r="AB212" i="10"/>
  <c r="DT212" i="10"/>
  <c r="DR181" i="10"/>
  <c r="AF181" i="10"/>
  <c r="AR182" i="10"/>
  <c r="CK183" i="10"/>
  <c r="AF201" i="10"/>
  <c r="DS201" i="10"/>
  <c r="DV215" i="10"/>
  <c r="DQ232" i="10"/>
  <c r="X240" i="10"/>
  <c r="DT256" i="10"/>
  <c r="DR174" i="10"/>
  <c r="DU177" i="10"/>
  <c r="DU185" i="10"/>
  <c r="I200" i="10"/>
  <c r="BA240" i="10"/>
  <c r="BE154" i="10"/>
  <c r="DV165" i="10"/>
  <c r="DR167" i="10"/>
  <c r="AF167" i="10"/>
  <c r="AU168" i="10"/>
  <c r="DT178" i="10"/>
  <c r="DP179" i="10"/>
  <c r="CZ182" i="10"/>
  <c r="BN183" i="10"/>
  <c r="DQ185" i="10"/>
  <c r="DT197" i="10"/>
  <c r="DQ198" i="10"/>
  <c r="Q204" i="10"/>
  <c r="BE207" i="10"/>
  <c r="I145" i="10"/>
  <c r="DU165" i="10"/>
  <c r="DQ169" i="10"/>
  <c r="DV171" i="10"/>
  <c r="I177" i="10"/>
  <c r="DP181" i="10"/>
  <c r="DQ183" i="10"/>
  <c r="DT190" i="10"/>
  <c r="DQ193" i="10"/>
  <c r="AR200" i="10"/>
  <c r="DR200" i="10"/>
  <c r="I247" i="10"/>
  <c r="DW247" i="10"/>
  <c r="DT144" i="10"/>
  <c r="I154" i="10"/>
  <c r="DS157" i="10"/>
  <c r="AJ159" i="10"/>
  <c r="BN165" i="10"/>
  <c r="BS166" i="10"/>
  <c r="DP172" i="10"/>
  <c r="DT176" i="10"/>
  <c r="AX176" i="10"/>
  <c r="DU179" i="10"/>
  <c r="I183" i="10"/>
  <c r="DU190" i="10"/>
  <c r="AB197" i="10"/>
  <c r="DS207" i="10"/>
  <c r="DT215" i="10"/>
  <c r="DQ218" i="10"/>
  <c r="BN140" i="10"/>
  <c r="DU155" i="10"/>
  <c r="DR155" i="10"/>
  <c r="DU156" i="10"/>
  <c r="X158" i="10"/>
  <c r="DU162" i="10"/>
  <c r="DS163" i="10"/>
  <c r="DQ179" i="10"/>
  <c r="DN180" i="10"/>
  <c r="DU181" i="10"/>
  <c r="DS182" i="10"/>
  <c r="CA182" i="10"/>
  <c r="CA186" i="10"/>
  <c r="DR192" i="10"/>
  <c r="BN194" i="10"/>
  <c r="DS197" i="10"/>
  <c r="DQ205" i="10"/>
  <c r="I207" i="10"/>
  <c r="DV210" i="10"/>
  <c r="DT216" i="10"/>
  <c r="BE144" i="10"/>
  <c r="S155" i="10"/>
  <c r="DR156" i="10"/>
  <c r="DN156" i="10"/>
  <c r="CK157" i="10"/>
  <c r="BN159" i="10"/>
  <c r="DR162" i="10"/>
  <c r="DN162" i="10"/>
  <c r="X164" i="10"/>
  <c r="DU172" i="10"/>
  <c r="DR175" i="10"/>
  <c r="AO179" i="10"/>
  <c r="CS181" i="10"/>
  <c r="Q189" i="10"/>
  <c r="CZ191" i="10"/>
  <c r="DN195" i="10"/>
  <c r="I197" i="10"/>
  <c r="DR197" i="10"/>
  <c r="DT207" i="10"/>
  <c r="CA223" i="10"/>
  <c r="BE191" i="10"/>
  <c r="CA192" i="10"/>
  <c r="X193" i="10"/>
  <c r="AR194" i="10"/>
  <c r="CS194" i="10"/>
  <c r="BE206" i="10"/>
  <c r="DC207" i="10"/>
  <c r="DS213" i="10"/>
  <c r="Q214" i="10"/>
  <c r="DR229" i="10"/>
  <c r="DN230" i="10"/>
  <c r="CA239" i="10"/>
  <c r="I242" i="10"/>
  <c r="I172" i="10"/>
  <c r="AX173" i="10"/>
  <c r="DT174" i="10"/>
  <c r="CK180" i="10"/>
  <c r="DV181" i="10"/>
  <c r="AR184" i="10"/>
  <c r="DR186" i="10"/>
  <c r="DV202" i="10"/>
  <c r="AF206" i="10"/>
  <c r="AF207" i="10"/>
  <c r="DS208" i="10"/>
  <c r="AF210" i="10"/>
  <c r="DS215" i="10"/>
  <c r="DU216" i="10"/>
  <c r="DQ216" i="10"/>
  <c r="DQ217" i="10"/>
  <c r="DQ220" i="10"/>
  <c r="DU221" i="10"/>
  <c r="DS226" i="10"/>
  <c r="DQ230" i="10"/>
  <c r="BN230" i="10"/>
  <c r="DV237" i="10"/>
  <c r="DN174" i="10"/>
  <c r="DS177" i="10"/>
  <c r="BN180" i="10"/>
  <c r="DU211" i="10"/>
  <c r="I212" i="10"/>
  <c r="DV213" i="10"/>
  <c r="AF216" i="10"/>
  <c r="DV224" i="10"/>
  <c r="DS225" i="10"/>
  <c r="DU237" i="10"/>
  <c r="AR168" i="10"/>
  <c r="BN170" i="10"/>
  <c r="DN177" i="10"/>
  <c r="DQ181" i="10"/>
  <c r="CA188" i="10"/>
  <c r="DR190" i="10"/>
  <c r="AF192" i="10"/>
  <c r="DS192" i="10"/>
  <c r="DT195" i="10"/>
  <c r="DV206" i="10"/>
  <c r="DR211" i="10"/>
  <c r="DU213" i="10"/>
  <c r="DR216" i="10"/>
  <c r="AJ244" i="10"/>
  <c r="DT244" i="10"/>
  <c r="CS244" i="10"/>
  <c r="CK267" i="10"/>
  <c r="AB167" i="10"/>
  <c r="DV172" i="10"/>
  <c r="AB173" i="10"/>
  <c r="DR182" i="10"/>
  <c r="DN182" i="10"/>
  <c r="DV191" i="10"/>
  <c r="I192" i="10"/>
  <c r="X196" i="10"/>
  <c r="I203" i="10"/>
  <c r="DQ207" i="10"/>
  <c r="AF208" i="10"/>
  <c r="AL211" i="10"/>
  <c r="DQ213" i="10"/>
  <c r="DN216" i="10"/>
  <c r="DR217" i="10"/>
  <c r="DC222" i="10"/>
  <c r="X225" i="10"/>
  <c r="DT225" i="10"/>
  <c r="BA225" i="10"/>
  <c r="DR231" i="10"/>
  <c r="Q237" i="10"/>
  <c r="BS237" i="10"/>
  <c r="DC248" i="10"/>
  <c r="BN267" i="10"/>
  <c r="CO267" i="10"/>
  <c r="DQ267" i="10"/>
  <c r="DT184" i="10"/>
  <c r="CO185" i="10"/>
  <c r="DU191" i="10"/>
  <c r="AF193" i="10"/>
  <c r="DS193" i="10"/>
  <c r="AB194" i="10"/>
  <c r="DT196" i="10"/>
  <c r="Q202" i="10"/>
  <c r="CO202" i="10"/>
  <c r="AX204" i="10"/>
  <c r="BN206" i="10"/>
  <c r="DV208" i="10"/>
  <c r="BN209" i="10"/>
  <c r="DQ210" i="10"/>
  <c r="DT214" i="10"/>
  <c r="DT231" i="10"/>
  <c r="DQ186" i="10"/>
  <c r="DU208" i="10"/>
  <c r="DS222" i="10"/>
  <c r="Q166" i="10"/>
  <c r="DS167" i="10"/>
  <c r="DP178" i="10"/>
  <c r="CS180" i="10"/>
  <c r="BN181" i="10"/>
  <c r="BE188" i="10"/>
  <c r="CA189" i="10"/>
  <c r="DV192" i="10"/>
  <c r="BN198" i="10"/>
  <c r="Q206" i="10"/>
  <c r="DQ208" i="10"/>
  <c r="DQ209" i="10"/>
  <c r="DU212" i="10"/>
  <c r="CA217" i="10"/>
  <c r="I222" i="10"/>
  <c r="DR222" i="10"/>
  <c r="BN231" i="10"/>
  <c r="DS234" i="10"/>
  <c r="DR240" i="10"/>
  <c r="DR183" i="10"/>
  <c r="CK191" i="10"/>
  <c r="DU192" i="10"/>
  <c r="DV203" i="10"/>
  <c r="I208" i="10"/>
  <c r="DQ211" i="10"/>
  <c r="DR213" i="10"/>
  <c r="AR213" i="10"/>
  <c r="I215" i="10"/>
  <c r="DT222" i="10"/>
  <c r="Q177" i="10"/>
  <c r="DT185" i="10"/>
  <c r="I188" i="10"/>
  <c r="DN194" i="10"/>
  <c r="DU203" i="10"/>
  <c r="X205" i="10"/>
  <c r="DU205" i="10"/>
  <c r="AF222" i="10"/>
  <c r="DQ223" i="10"/>
  <c r="DP174" i="10"/>
  <c r="AJ176" i="10"/>
  <c r="DN178" i="10"/>
  <c r="AR181" i="10"/>
  <c r="CK182" i="10"/>
  <c r="DV183" i="10"/>
  <c r="AF183" i="10"/>
  <c r="DU202" i="10"/>
  <c r="DR202" i="10"/>
  <c r="DR208" i="10"/>
  <c r="DT217" i="10"/>
  <c r="DR228" i="10"/>
  <c r="DS248" i="10"/>
  <c r="AF248" i="10"/>
  <c r="AU171" i="10"/>
  <c r="DV174" i="10"/>
  <c r="AL176" i="10"/>
  <c r="DR176" i="10"/>
  <c r="AO177" i="10"/>
  <c r="CO177" i="10"/>
  <c r="BN182" i="10"/>
  <c r="DQ187" i="10"/>
  <c r="I189" i="10"/>
  <c r="AF189" i="10"/>
  <c r="CO192" i="10"/>
  <c r="DR193" i="10"/>
  <c r="DP195" i="10"/>
  <c r="DS196" i="10"/>
  <c r="CA201" i="10"/>
  <c r="S202" i="10"/>
  <c r="DS202" i="10"/>
  <c r="BS209" i="10"/>
  <c r="AR212" i="10"/>
  <c r="BN235" i="10"/>
  <c r="DU220" i="10"/>
  <c r="DQ231" i="10"/>
  <c r="BE234" i="10"/>
  <c r="DU206" i="10"/>
  <c r="BE218" i="10"/>
  <c r="DT219" i="10"/>
  <c r="AX219" i="10"/>
  <c r="I228" i="10"/>
  <c r="CA235" i="10"/>
  <c r="DS237" i="10"/>
  <c r="CZ242" i="10"/>
  <c r="Q243" i="10"/>
  <c r="DP243" i="10"/>
  <c r="DU244" i="10"/>
  <c r="DR247" i="10"/>
  <c r="DQ251" i="10"/>
  <c r="BA260" i="10"/>
  <c r="DR260" i="10"/>
  <c r="DV201" i="10"/>
  <c r="DU210" i="10"/>
  <c r="DQ214" i="10"/>
  <c r="DQ221" i="10"/>
  <c r="DT248" i="10"/>
  <c r="Q267" i="10"/>
  <c r="DU267" i="10"/>
  <c r="DW282" i="10"/>
  <c r="I282" i="10"/>
  <c r="DU201" i="10"/>
  <c r="CF212" i="10"/>
  <c r="I214" i="10"/>
  <c r="CK214" i="10"/>
  <c r="AF218" i="10"/>
  <c r="DS218" i="10"/>
  <c r="BA220" i="10"/>
  <c r="CF224" i="10"/>
  <c r="DT227" i="10"/>
  <c r="DS227" i="10"/>
  <c r="BA232" i="10"/>
  <c r="DU236" i="10"/>
  <c r="I248" i="10"/>
  <c r="S255" i="10"/>
  <c r="DU255" i="10"/>
  <c r="BA287" i="10"/>
  <c r="DR204" i="10"/>
  <c r="CO207" i="10"/>
  <c r="AB209" i="10"/>
  <c r="Q210" i="10"/>
  <c r="DT211" i="10"/>
  <c r="BN214" i="10"/>
  <c r="DC215" i="10"/>
  <c r="I218" i="10"/>
  <c r="DR218" i="10"/>
  <c r="DT221" i="10"/>
  <c r="DV226" i="10"/>
  <c r="BN227" i="10"/>
  <c r="DU229" i="10"/>
  <c r="DS233" i="10"/>
  <c r="AF233" i="10"/>
  <c r="DT242" i="10"/>
  <c r="DS242" i="10"/>
  <c r="DQ293" i="10"/>
  <c r="DN217" i="10"/>
  <c r="AB220" i="10"/>
  <c r="DU226" i="10"/>
  <c r="DU227" i="10"/>
  <c r="DR227" i="10"/>
  <c r="AL227" i="10"/>
  <c r="DR233" i="10"/>
  <c r="DT255" i="10"/>
  <c r="DR225" i="10"/>
  <c r="DQ227" i="10"/>
  <c r="DQ236" i="10"/>
  <c r="X242" i="10"/>
  <c r="DQ278" i="10"/>
  <c r="BA278" i="10"/>
  <c r="AF219" i="10"/>
  <c r="DS219" i="10"/>
  <c r="AJ224" i="10"/>
  <c r="DS224" i="10"/>
  <c r="CK224" i="10"/>
  <c r="DV225" i="10"/>
  <c r="AL225" i="10"/>
  <c r="I227" i="10"/>
  <c r="DT232" i="10"/>
  <c r="DR246" i="10"/>
  <c r="AF254" i="10"/>
  <c r="AF260" i="10"/>
  <c r="DS260" i="10"/>
  <c r="BN262" i="10"/>
  <c r="DR262" i="10"/>
  <c r="Q200" i="10"/>
  <c r="AO205" i="10"/>
  <c r="BN212" i="10"/>
  <c r="DR224" i="10"/>
  <c r="Q227" i="10"/>
  <c r="DT230" i="10"/>
  <c r="AJ233" i="10"/>
  <c r="BN233" i="10"/>
  <c r="Q236" i="10"/>
  <c r="DT246" i="10"/>
  <c r="Q215" i="10"/>
  <c r="CA216" i="10"/>
  <c r="DQ224" i="10"/>
  <c r="CA229" i="10"/>
  <c r="DS232" i="10"/>
  <c r="AF232" i="10"/>
  <c r="AF246" i="10"/>
  <c r="DR275" i="10"/>
  <c r="AR275" i="10"/>
  <c r="I211" i="10"/>
  <c r="I213" i="10"/>
  <c r="BE213" i="10"/>
  <c r="CO218" i="10"/>
  <c r="I220" i="10"/>
  <c r="Q225" i="10"/>
  <c r="BS227" i="10"/>
  <c r="X230" i="10"/>
  <c r="I232" i="10"/>
  <c r="DR241" i="10"/>
  <c r="AR241" i="10"/>
  <c r="DS246" i="10"/>
  <c r="S268" i="10"/>
  <c r="DU268" i="10"/>
  <c r="DS211" i="10"/>
  <c r="AF211" i="10"/>
  <c r="AB216" i="10"/>
  <c r="DS221" i="10"/>
  <c r="AF221" i="10"/>
  <c r="CS226" i="10"/>
  <c r="DU228" i="10"/>
  <c r="DS228" i="10"/>
  <c r="CO235" i="10"/>
  <c r="DR242" i="10"/>
  <c r="DS250" i="10"/>
  <c r="AF250" i="10"/>
  <c r="DS262" i="10"/>
  <c r="CA221" i="10"/>
  <c r="DV223" i="10"/>
  <c r="CA226" i="10"/>
  <c r="DT234" i="10"/>
  <c r="AU237" i="10"/>
  <c r="CF242" i="10"/>
  <c r="DR248" i="10"/>
  <c r="DR250" i="10"/>
  <c r="AR267" i="10"/>
  <c r="BA219" i="10"/>
  <c r="DR221" i="10"/>
  <c r="AF226" i="10"/>
  <c r="CA228" i="10"/>
  <c r="CO231" i="10"/>
  <c r="CO233" i="10"/>
  <c r="I240" i="10"/>
  <c r="DS245" i="10"/>
  <c r="I246" i="10"/>
  <c r="AX275" i="10"/>
  <c r="DU275" i="10"/>
  <c r="DN227" i="10"/>
  <c r="I230" i="10"/>
  <c r="CO242" i="10"/>
  <c r="DR245" i="10"/>
  <c r="CS252" i="10"/>
  <c r="DE275" i="10"/>
  <c r="DS275" i="10"/>
  <c r="DS241" i="10"/>
  <c r="DR252" i="10"/>
  <c r="DQ259" i="10"/>
  <c r="DT237" i="10"/>
  <c r="DS238" i="10"/>
  <c r="I255" i="10"/>
  <c r="DN274" i="10"/>
  <c r="DS274" i="10"/>
  <c r="DC290" i="10"/>
  <c r="DR238" i="10"/>
  <c r="DP239" i="10"/>
  <c r="AF258" i="10"/>
  <c r="DS258" i="10"/>
  <c r="BS224" i="10"/>
  <c r="DV228" i="10"/>
  <c r="AU229" i="10"/>
  <c r="CS229" i="10"/>
  <c r="DV230" i="10"/>
  <c r="DS236" i="10"/>
  <c r="DU230" i="10"/>
  <c r="DR236" i="10"/>
  <c r="DU241" i="10"/>
  <c r="DV245" i="10"/>
  <c r="DE249" i="10"/>
  <c r="DS249" i="10"/>
  <c r="CZ250" i="10"/>
  <c r="DU252" i="10"/>
  <c r="DT253" i="10"/>
  <c r="BE253" i="10"/>
  <c r="DU261" i="10"/>
  <c r="CK280" i="10"/>
  <c r="DQ219" i="10"/>
  <c r="I225" i="10"/>
  <c r="DN226" i="10"/>
  <c r="AJ232" i="10"/>
  <c r="I235" i="10"/>
  <c r="DQ239" i="10"/>
  <c r="DU248" i="10"/>
  <c r="AO273" i="10"/>
  <c r="DR273" i="10"/>
  <c r="DS283" i="10"/>
  <c r="DS214" i="10"/>
  <c r="Q220" i="10"/>
  <c r="DQ234" i="10"/>
  <c r="DP236" i="10"/>
  <c r="AF236" i="10"/>
  <c r="I239" i="10"/>
  <c r="AB253" i="10"/>
  <c r="AJ280" i="10"/>
  <c r="DR214" i="10"/>
  <c r="Q218" i="10"/>
  <c r="DR219" i="10"/>
  <c r="BN220" i="10"/>
  <c r="CK220" i="10"/>
  <c r="CF225" i="10"/>
  <c r="X229" i="10"/>
  <c r="Q232" i="10"/>
  <c r="AB233" i="10"/>
  <c r="DR234" i="10"/>
  <c r="CO237" i="10"/>
  <c r="DQ242" i="10"/>
  <c r="AR245" i="10"/>
  <c r="AX250" i="10"/>
  <c r="I253" i="10"/>
  <c r="DR265" i="10"/>
  <c r="CK265" i="10"/>
  <c r="DN241" i="10"/>
  <c r="AF242" i="10"/>
  <c r="DT243" i="10"/>
  <c r="DQ248" i="10"/>
  <c r="DU249" i="10"/>
  <c r="BS267" i="10"/>
  <c r="CS267" i="10"/>
  <c r="DQ271" i="10"/>
  <c r="BE285" i="10"/>
  <c r="DQ285" i="10"/>
  <c r="DR258" i="10"/>
  <c r="AF268" i="10"/>
  <c r="DS268" i="10"/>
  <c r="DR269" i="10"/>
  <c r="DR277" i="10"/>
  <c r="AF277" i="10"/>
  <c r="DT278" i="10"/>
  <c r="BN236" i="10"/>
  <c r="DU238" i="10"/>
  <c r="CS241" i="10"/>
  <c r="X251" i="10"/>
  <c r="DT252" i="10"/>
  <c r="AF253" i="10"/>
  <c r="DS253" i="10"/>
  <c r="DR257" i="10"/>
  <c r="AF257" i="10"/>
  <c r="DT264" i="10"/>
  <c r="DQ275" i="10"/>
  <c r="DR285" i="10"/>
  <c r="CO285" i="10"/>
  <c r="CO236" i="10"/>
  <c r="DQ238" i="10"/>
  <c r="X239" i="10"/>
  <c r="DV252" i="10"/>
  <c r="DR253" i="10"/>
  <c r="X255" i="10"/>
  <c r="DQ260" i="10"/>
  <c r="DP260" i="10"/>
  <c r="X261" i="10"/>
  <c r="DT261" i="10"/>
  <c r="CS266" i="10"/>
  <c r="Q273" i="10"/>
  <c r="I285" i="10"/>
  <c r="DS278" i="10"/>
  <c r="AF278" i="10"/>
  <c r="BS258" i="10"/>
  <c r="CA262" i="10"/>
  <c r="AX272" i="10"/>
  <c r="DR278" i="10"/>
  <c r="BE290" i="10"/>
  <c r="DQ284" i="10"/>
  <c r="AO284" i="10"/>
  <c r="DR284" i="10"/>
  <c r="DR308" i="10"/>
  <c r="AX308" i="10"/>
  <c r="DT250" i="10"/>
  <c r="I263" i="10"/>
  <c r="DT272" i="10"/>
  <c r="I284" i="10"/>
  <c r="DU242" i="10"/>
  <c r="I244" i="10"/>
  <c r="CZ245" i="10"/>
  <c r="DU247" i="10"/>
  <c r="DT254" i="10"/>
  <c r="DU257" i="10"/>
  <c r="BN257" i="10"/>
  <c r="DQ274" i="10"/>
  <c r="DR289" i="10"/>
  <c r="AF289" i="10"/>
  <c r="I237" i="10"/>
  <c r="DT249" i="10"/>
  <c r="DQ257" i="10"/>
  <c r="DS259" i="10"/>
  <c r="DT265" i="10"/>
  <c r="X272" i="10"/>
  <c r="DT228" i="10"/>
  <c r="DR237" i="10"/>
  <c r="BE237" i="10"/>
  <c r="Q242" i="10"/>
  <c r="CZ247" i="10"/>
  <c r="AB250" i="10"/>
  <c r="AB254" i="10"/>
  <c r="BE254" i="10"/>
  <c r="I257" i="10"/>
  <c r="BE262" i="10"/>
  <c r="Q269" i="10"/>
  <c r="CF237" i="10"/>
  <c r="DN238" i="10"/>
  <c r="I241" i="10"/>
  <c r="BE241" i="10"/>
  <c r="DC247" i="10"/>
  <c r="BE250" i="10"/>
  <c r="DS254" i="10"/>
  <c r="DP259" i="10"/>
  <c r="I261" i="10"/>
  <c r="AF261" i="10"/>
  <c r="DT262" i="10"/>
  <c r="Q266" i="10"/>
  <c r="AF271" i="10"/>
  <c r="DS271" i="10"/>
  <c r="DS279" i="10"/>
  <c r="DN279" i="10"/>
  <c r="Q299" i="10"/>
  <c r="DT300" i="10"/>
  <c r="CF300" i="10"/>
  <c r="DT267" i="10"/>
  <c r="DU279" i="10"/>
  <c r="CK285" i="10"/>
  <c r="BA286" i="10"/>
  <c r="DS297" i="10"/>
  <c r="CK297" i="10"/>
  <c r="BE278" i="10"/>
  <c r="DR280" i="10"/>
  <c r="DS285" i="10"/>
  <c r="AB286" i="10"/>
  <c r="DR243" i="10"/>
  <c r="AJ245" i="10"/>
  <c r="BN250" i="10"/>
  <c r="DS251" i="10"/>
  <c r="CZ251" i="10"/>
  <c r="DU254" i="10"/>
  <c r="BE256" i="10"/>
  <c r="DT260" i="10"/>
  <c r="CA260" i="10"/>
  <c r="AU266" i="10"/>
  <c r="CZ271" i="10"/>
  <c r="Q274" i="10"/>
  <c r="BN280" i="10"/>
  <c r="CA247" i="10"/>
  <c r="BN248" i="10"/>
  <c r="CK248" i="10"/>
  <c r="I251" i="10"/>
  <c r="DR251" i="10"/>
  <c r="DC251" i="10"/>
  <c r="DQ254" i="10"/>
  <c r="DC257" i="10"/>
  <c r="DT259" i="10"/>
  <c r="X259" i="10"/>
  <c r="BA259" i="10"/>
  <c r="DT263" i="10"/>
  <c r="AO270" i="10"/>
  <c r="DR270" i="10"/>
  <c r="CW277" i="10"/>
  <c r="DQ277" i="10"/>
  <c r="S304" i="10"/>
  <c r="DU304" i="10"/>
  <c r="BA320" i="10"/>
  <c r="DU243" i="10"/>
  <c r="DN246" i="10"/>
  <c r="Q248" i="10"/>
  <c r="AF251" i="10"/>
  <c r="I256" i="10"/>
  <c r="AB258" i="10"/>
  <c r="AB259" i="10"/>
  <c r="I267" i="10"/>
  <c r="DS267" i="10"/>
  <c r="AJ268" i="10"/>
  <c r="Q270" i="10"/>
  <c r="DR272" i="10"/>
  <c r="I281" i="10"/>
  <c r="DR281" i="10"/>
  <c r="DS291" i="10"/>
  <c r="X304" i="10"/>
  <c r="DT304" i="10"/>
  <c r="CA305" i="10"/>
  <c r="DR305" i="10"/>
  <c r="DQ306" i="10"/>
  <c r="DQ241" i="10"/>
  <c r="AO250" i="10"/>
  <c r="DR256" i="10"/>
  <c r="BE260" i="10"/>
  <c r="BN261" i="10"/>
  <c r="DQ261" i="10"/>
  <c r="AB263" i="10"/>
  <c r="BN264" i="10"/>
  <c r="BA266" i="10"/>
  <c r="AX279" i="10"/>
  <c r="DT281" i="10"/>
  <c r="DN281" i="10"/>
  <c r="CF288" i="10"/>
  <c r="DR291" i="10"/>
  <c r="DR294" i="10"/>
  <c r="DS320" i="10"/>
  <c r="AF320" i="10"/>
  <c r="CO239" i="10"/>
  <c r="DU251" i="10"/>
  <c r="AL261" i="10"/>
  <c r="DR261" i="10"/>
  <c r="DQ265" i="10"/>
  <c r="DU278" i="10"/>
  <c r="AF281" i="10"/>
  <c r="I291" i="10"/>
  <c r="DR320" i="10"/>
  <c r="DT271" i="10"/>
  <c r="DP273" i="10"/>
  <c r="CK273" i="10"/>
  <c r="DS273" i="10"/>
  <c r="DR259" i="10"/>
  <c r="DR263" i="10"/>
  <c r="DR264" i="10"/>
  <c r="X279" i="10"/>
  <c r="I288" i="10"/>
  <c r="DS288" i="10"/>
  <c r="Q326" i="10"/>
  <c r="I252" i="10"/>
  <c r="DS252" i="10"/>
  <c r="AF252" i="10"/>
  <c r="DU256" i="10"/>
  <c r="AJ256" i="10"/>
  <c r="DP257" i="10"/>
  <c r="I259" i="10"/>
  <c r="DS263" i="10"/>
  <c r="AL264" i="10"/>
  <c r="DS265" i="10"/>
  <c r="I268" i="10"/>
  <c r="X271" i="10"/>
  <c r="DT283" i="10"/>
  <c r="DT287" i="10"/>
  <c r="BE238" i="10"/>
  <c r="CO255" i="10"/>
  <c r="DN257" i="10"/>
  <c r="DN259" i="10"/>
  <c r="AB262" i="10"/>
  <c r="AF263" i="10"/>
  <c r="DU264" i="10"/>
  <c r="X265" i="10"/>
  <c r="AU268" i="10"/>
  <c r="DQ273" i="10"/>
  <c r="CA276" i="10"/>
  <c r="I277" i="10"/>
  <c r="DR283" i="10"/>
  <c r="DT288" i="10"/>
  <c r="DQ313" i="10"/>
  <c r="Q261" i="10"/>
  <c r="I262" i="10"/>
  <c r="AB265" i="10"/>
  <c r="AX266" i="10"/>
  <c r="CA266" i="10"/>
  <c r="BS270" i="10"/>
  <c r="DU273" i="10"/>
  <c r="BN273" i="10"/>
  <c r="AX276" i="10"/>
  <c r="CA277" i="10"/>
  <c r="DR288" i="10"/>
  <c r="BA290" i="10"/>
  <c r="DT294" i="10"/>
  <c r="AX311" i="10"/>
  <c r="AU293" i="10"/>
  <c r="BN297" i="10"/>
  <c r="I298" i="10"/>
  <c r="DT298" i="10"/>
  <c r="AF298" i="10"/>
  <c r="DU306" i="10"/>
  <c r="DR342" i="10"/>
  <c r="AF342" i="10"/>
  <c r="CA293" i="10"/>
  <c r="DR301" i="10"/>
  <c r="AX305" i="10"/>
  <c r="DQ262" i="10"/>
  <c r="BE271" i="10"/>
  <c r="DU283" i="10"/>
  <c r="AJ283" i="10"/>
  <c r="I290" i="10"/>
  <c r="DT290" i="10"/>
  <c r="DS301" i="10"/>
  <c r="AF301" i="10"/>
  <c r="BA252" i="10"/>
  <c r="CF256" i="10"/>
  <c r="DV257" i="10"/>
  <c r="BN259" i="10"/>
  <c r="DQ263" i="10"/>
  <c r="DN264" i="10"/>
  <c r="DU265" i="10"/>
  <c r="I266" i="10"/>
  <c r="DR266" i="10"/>
  <c r="CZ269" i="10"/>
  <c r="AB271" i="10"/>
  <c r="BA275" i="10"/>
  <c r="DN277" i="10"/>
  <c r="Q279" i="10"/>
  <c r="AJ281" i="10"/>
  <c r="DR287" i="10"/>
  <c r="AF290" i="10"/>
  <c r="DR292" i="10"/>
  <c r="DN295" i="10"/>
  <c r="DR304" i="10"/>
  <c r="DQ281" i="10"/>
  <c r="AF286" i="10"/>
  <c r="DS286" i="10"/>
  <c r="DQ292" i="10"/>
  <c r="DU310" i="10"/>
  <c r="DR274" i="10"/>
  <c r="DT284" i="10"/>
  <c r="DR286" i="10"/>
  <c r="DQ269" i="10"/>
  <c r="DR271" i="10"/>
  <c r="DT274" i="10"/>
  <c r="DT258" i="10"/>
  <c r="DT269" i="10"/>
  <c r="I271" i="10"/>
  <c r="AF274" i="10"/>
  <c r="DR282" i="10"/>
  <c r="DS284" i="10"/>
  <c r="AF284" i="10"/>
  <c r="DU290" i="10"/>
  <c r="DR290" i="10"/>
  <c r="AL290" i="10"/>
  <c r="DT247" i="10"/>
  <c r="DN250" i="10"/>
  <c r="BN253" i="10"/>
  <c r="DS255" i="10"/>
  <c r="Q256" i="10"/>
  <c r="DU266" i="10"/>
  <c r="BE269" i="10"/>
  <c r="DV276" i="10"/>
  <c r="DT289" i="10"/>
  <c r="DQ290" i="10"/>
  <c r="DQ291" i="10"/>
  <c r="I314" i="10"/>
  <c r="DT314" i="10"/>
  <c r="I324" i="10"/>
  <c r="DS324" i="10"/>
  <c r="AU248" i="10"/>
  <c r="DR255" i="10"/>
  <c r="CS257" i="10"/>
  <c r="DV260" i="10"/>
  <c r="CK260" i="10"/>
  <c r="AB269" i="10"/>
  <c r="AJ271" i="10"/>
  <c r="AR272" i="10"/>
  <c r="DU276" i="10"/>
  <c r="BA291" i="10"/>
  <c r="Q304" i="10"/>
  <c r="AX304" i="10"/>
  <c r="CK305" i="10"/>
  <c r="DS305" i="10"/>
  <c r="AF314" i="10"/>
  <c r="AF324" i="10"/>
  <c r="X248" i="10"/>
  <c r="DV255" i="10"/>
  <c r="AO256" i="10"/>
  <c r="DT257" i="10"/>
  <c r="AR265" i="10"/>
  <c r="DS269" i="10"/>
  <c r="DV274" i="10"/>
  <c r="CS276" i="10"/>
  <c r="X278" i="10"/>
  <c r="DS280" i="10"/>
  <c r="AF280" i="10"/>
  <c r="DN284" i="10"/>
  <c r="DQ286" i="10"/>
  <c r="I289" i="10"/>
  <c r="DU308" i="10"/>
  <c r="AU308" i="10"/>
  <c r="DQ316" i="10"/>
  <c r="DQ324" i="10"/>
  <c r="DN297" i="10"/>
  <c r="Q306" i="10"/>
  <c r="DU262" i="10"/>
  <c r="DU271" i="10"/>
  <c r="DN271" i="10"/>
  <c r="BS273" i="10"/>
  <c r="DC275" i="10"/>
  <c r="DU285" i="10"/>
  <c r="BN285" i="10"/>
  <c r="AF287" i="10"/>
  <c r="X293" i="10"/>
  <c r="BA294" i="10"/>
  <c r="DU295" i="10"/>
  <c r="BN295" i="10"/>
  <c r="CA304" i="10"/>
  <c r="DT325" i="10"/>
  <c r="DQ328" i="10"/>
  <c r="BE293" i="10"/>
  <c r="AB294" i="10"/>
  <c r="DR295" i="10"/>
  <c r="DU300" i="10"/>
  <c r="I325" i="10"/>
  <c r="CO271" i="10"/>
  <c r="CF272" i="10"/>
  <c r="CA279" i="10"/>
  <c r="Q284" i="10"/>
  <c r="AJ288" i="10"/>
  <c r="DR297" i="10"/>
  <c r="DQ307" i="10"/>
  <c r="CK312" i="10"/>
  <c r="BE318" i="10"/>
  <c r="DR334" i="10"/>
  <c r="CO263" i="10"/>
  <c r="BE270" i="10"/>
  <c r="DT273" i="10"/>
  <c r="X273" i="10"/>
  <c r="DU282" i="10"/>
  <c r="Q290" i="10"/>
  <c r="DS294" i="10"/>
  <c r="DQ297" i="10"/>
  <c r="DT297" i="10"/>
  <c r="I307" i="10"/>
  <c r="BA258" i="10"/>
  <c r="CA259" i="10"/>
  <c r="DU260" i="10"/>
  <c r="CZ266" i="10"/>
  <c r="DQ268" i="10"/>
  <c r="I270" i="10"/>
  <c r="AF270" i="10"/>
  <c r="DS270" i="10"/>
  <c r="CA282" i="10"/>
  <c r="DV287" i="10"/>
  <c r="AJ289" i="10"/>
  <c r="DT292" i="10"/>
  <c r="I294" i="10"/>
  <c r="DS296" i="10"/>
  <c r="Q303" i="10"/>
  <c r="Q307" i="10"/>
  <c r="CF309" i="10"/>
  <c r="AF312" i="10"/>
  <c r="DU325" i="10"/>
  <c r="AF334" i="10"/>
  <c r="DR296" i="10"/>
  <c r="DQ309" i="10"/>
  <c r="AF328" i="10"/>
  <c r="DR328" i="10"/>
  <c r="DN262" i="10"/>
  <c r="CS263" i="10"/>
  <c r="CA265" i="10"/>
  <c r="CF266" i="10"/>
  <c r="Q268" i="10"/>
  <c r="CF270" i="10"/>
  <c r="DU272" i="10"/>
  <c r="CK275" i="10"/>
  <c r="AO278" i="10"/>
  <c r="I279" i="10"/>
  <c r="X282" i="10"/>
  <c r="CZ282" i="10"/>
  <c r="AU284" i="10"/>
  <c r="AF294" i="10"/>
  <c r="DT296" i="10"/>
  <c r="BS297" i="10"/>
  <c r="AB298" i="10"/>
  <c r="DC298" i="10"/>
  <c r="AO305" i="10"/>
  <c r="DQ305" i="10"/>
  <c r="DT309" i="10"/>
  <c r="AR317" i="10"/>
  <c r="DQ272" i="10"/>
  <c r="CS277" i="10"/>
  <c r="Q278" i="10"/>
  <c r="DR279" i="10"/>
  <c r="CA291" i="10"/>
  <c r="AF296" i="10"/>
  <c r="CF301" i="10"/>
  <c r="BE309" i="10"/>
  <c r="I264" i="10"/>
  <c r="DS264" i="10"/>
  <c r="AF264" i="10"/>
  <c r="DP265" i="10"/>
  <c r="DN268" i="10"/>
  <c r="DV270" i="10"/>
  <c r="I272" i="10"/>
  <c r="DS287" i="10"/>
  <c r="CS289" i="10"/>
  <c r="X303" i="10"/>
  <c r="AR253" i="10"/>
  <c r="DV259" i="10"/>
  <c r="AR261" i="10"/>
  <c r="CO261" i="10"/>
  <c r="BE264" i="10"/>
  <c r="DU270" i="10"/>
  <c r="DT277" i="10"/>
  <c r="AX283" i="10"/>
  <c r="CA283" i="10"/>
  <c r="DC291" i="10"/>
  <c r="DS298" i="10"/>
  <c r="DN299" i="10"/>
  <c r="BE301" i="10"/>
  <c r="DS309" i="10"/>
  <c r="DU311" i="10"/>
  <c r="AU311" i="10"/>
  <c r="DT315" i="10"/>
  <c r="BA284" i="10"/>
  <c r="DQ294" i="10"/>
  <c r="DU296" i="10"/>
  <c r="AR299" i="10"/>
  <c r="I309" i="10"/>
  <c r="DR309" i="10"/>
  <c r="DX309" i="10" s="1"/>
  <c r="EA309" i="10" s="1"/>
  <c r="EK309" i="10" s="1"/>
  <c r="DS314" i="10"/>
  <c r="DV326" i="10"/>
  <c r="AU292" i="10"/>
  <c r="DU294" i="10"/>
  <c r="DQ300" i="10"/>
  <c r="DT303" i="10"/>
  <c r="X311" i="10"/>
  <c r="AL312" i="10"/>
  <c r="DR312" i="10"/>
  <c r="DC319" i="10"/>
  <c r="BN320" i="10"/>
  <c r="CF276" i="10"/>
  <c r="DN282" i="10"/>
  <c r="BN291" i="10"/>
  <c r="DT295" i="10"/>
  <c r="DT299" i="10"/>
  <c r="BN300" i="10"/>
  <c r="X307" i="10"/>
  <c r="DQ312" i="10"/>
  <c r="DQ314" i="10"/>
  <c r="AL315" i="10"/>
  <c r="DR315" i="10"/>
  <c r="CS315" i="10"/>
  <c r="DT321" i="10"/>
  <c r="X333" i="10"/>
  <c r="Q288" i="10"/>
  <c r="CA292" i="10"/>
  <c r="DS292" i="10"/>
  <c r="DQ298" i="10"/>
  <c r="DS302" i="10"/>
  <c r="I308" i="10"/>
  <c r="DQ310" i="10"/>
  <c r="DT327" i="10"/>
  <c r="DN330" i="10"/>
  <c r="DS332" i="10"/>
  <c r="AF332" i="10"/>
  <c r="AJ287" i="10"/>
  <c r="DV289" i="10"/>
  <c r="Q296" i="10"/>
  <c r="DR298" i="10"/>
  <c r="DQ301" i="10"/>
  <c r="DR302" i="10"/>
  <c r="CF304" i="10"/>
  <c r="DQ315" i="10"/>
  <c r="DS321" i="10"/>
  <c r="DR332" i="10"/>
  <c r="DU346" i="10"/>
  <c r="BS282" i="10"/>
  <c r="DU286" i="10"/>
  <c r="AO288" i="10"/>
  <c r="BA292" i="10"/>
  <c r="DN294" i="10"/>
  <c r="AO296" i="10"/>
  <c r="DR321" i="10"/>
  <c r="DS299" i="10"/>
  <c r="CO301" i="10"/>
  <c r="DT310" i="10"/>
  <c r="CZ297" i="10"/>
  <c r="DU312" i="10"/>
  <c r="DX312" i="10" s="1"/>
  <c r="DP315" i="10"/>
  <c r="Q315" i="10"/>
  <c r="DV318" i="10"/>
  <c r="DU323" i="10"/>
  <c r="BG327" i="10"/>
  <c r="DQ330" i="10"/>
  <c r="AU336" i="10"/>
  <c r="CK269" i="10"/>
  <c r="DN280" i="10"/>
  <c r="BS290" i="10"/>
  <c r="AR294" i="10"/>
  <c r="BS296" i="10"/>
  <c r="DN303" i="10"/>
  <c r="DS306" i="10"/>
  <c r="DS307" i="10"/>
  <c r="DN307" i="10"/>
  <c r="CS308" i="10"/>
  <c r="CA312" i="10"/>
  <c r="AB316" i="10"/>
  <c r="DU318" i="10"/>
  <c r="BN321" i="10"/>
  <c r="DU329" i="10"/>
  <c r="CO330" i="10"/>
  <c r="DT291" i="10"/>
  <c r="AF299" i="10"/>
  <c r="DQ302" i="10"/>
  <c r="DR306" i="10"/>
  <c r="DR307" i="10"/>
  <c r="DU317" i="10"/>
  <c r="DT275" i="10"/>
  <c r="DN278" i="10"/>
  <c r="CZ284" i="10"/>
  <c r="DQ317" i="10"/>
  <c r="AX322" i="10"/>
  <c r="DT326" i="10"/>
  <c r="DU330" i="10"/>
  <c r="CO287" i="10"/>
  <c r="X291" i="10"/>
  <c r="DP295" i="10"/>
  <c r="Q302" i="10"/>
  <c r="DV303" i="10"/>
  <c r="AF306" i="10"/>
  <c r="AF307" i="10"/>
  <c r="DS310" i="10"/>
  <c r="DS311" i="10"/>
  <c r="DT312" i="10"/>
  <c r="DU315" i="10"/>
  <c r="S315" i="10"/>
  <c r="DR319" i="10"/>
  <c r="AF319" i="10"/>
  <c r="DT322" i="10"/>
  <c r="DE322" i="10"/>
  <c r="DC271" i="10"/>
  <c r="I274" i="10"/>
  <c r="X276" i="10"/>
  <c r="AU276" i="10"/>
  <c r="DT279" i="10"/>
  <c r="AB280" i="10"/>
  <c r="DS282" i="10"/>
  <c r="AF282" i="10"/>
  <c r="DU292" i="10"/>
  <c r="AR293" i="10"/>
  <c r="DV295" i="10"/>
  <c r="DU297" i="10"/>
  <c r="CS298" i="10"/>
  <c r="DP307" i="10"/>
  <c r="DT313" i="10"/>
  <c r="I316" i="10"/>
  <c r="DT318" i="10"/>
  <c r="DR324" i="10"/>
  <c r="I327" i="10"/>
  <c r="DV327" i="10"/>
  <c r="DS334" i="10"/>
  <c r="DS342" i="10"/>
  <c r="Q314" i="10"/>
  <c r="CS317" i="10"/>
  <c r="DQ321" i="10"/>
  <c r="AJ323" i="10"/>
  <c r="DQ329" i="10"/>
  <c r="CS332" i="10"/>
  <c r="DU305" i="10"/>
  <c r="Q312" i="10"/>
  <c r="AO312" i="10"/>
  <c r="DC316" i="10"/>
  <c r="BS317" i="10"/>
  <c r="DQ318" i="10"/>
  <c r="DU327" i="10"/>
  <c r="DV330" i="10"/>
  <c r="DQ332" i="10"/>
  <c r="AO332" i="10"/>
  <c r="DS343" i="10"/>
  <c r="DN343" i="10"/>
  <c r="DR311" i="10"/>
  <c r="I319" i="10"/>
  <c r="DQ322" i="10"/>
  <c r="DQ327" i="10"/>
  <c r="DT328" i="10"/>
  <c r="BA339" i="10"/>
  <c r="DR339" i="10"/>
  <c r="Q300" i="10"/>
  <c r="I304" i="10"/>
  <c r="CS307" i="10"/>
  <c r="Q309" i="10"/>
  <c r="BS310" i="10"/>
  <c r="DR310" i="10"/>
  <c r="DC311" i="10"/>
  <c r="DN312" i="10"/>
  <c r="DT317" i="10"/>
  <c r="DR318" i="10"/>
  <c r="I322" i="10"/>
  <c r="CO327" i="10"/>
  <c r="Q328" i="10"/>
  <c r="DC304" i="10"/>
  <c r="CO306" i="10"/>
  <c r="DN306" i="10"/>
  <c r="DS308" i="10"/>
  <c r="BN309" i="10"/>
  <c r="AF311" i="10"/>
  <c r="DC313" i="10"/>
  <c r="AO320" i="10"/>
  <c r="CS320" i="10"/>
  <c r="DN326" i="10"/>
  <c r="CO329" i="10"/>
  <c r="Q332" i="10"/>
  <c r="DV311" i="10"/>
  <c r="DU328" i="10"/>
  <c r="I313" i="10"/>
  <c r="DU319" i="10"/>
  <c r="DV320" i="10"/>
  <c r="DR326" i="10"/>
  <c r="DU331" i="10"/>
  <c r="Q347" i="10"/>
  <c r="AX307" i="10"/>
  <c r="X310" i="10"/>
  <c r="CA310" i="10"/>
  <c r="DN316" i="10"/>
  <c r="CZ317" i="10"/>
  <c r="BE325" i="10"/>
  <c r="I326" i="10"/>
  <c r="I329" i="10"/>
  <c r="DS329" i="10"/>
  <c r="DQ331" i="10"/>
  <c r="DN339" i="10"/>
  <c r="I311" i="10"/>
  <c r="Q318" i="10"/>
  <c r="Q327" i="10"/>
  <c r="DR333" i="10"/>
  <c r="DU337" i="10"/>
  <c r="DS317" i="10"/>
  <c r="DS319" i="10"/>
  <c r="CA320" i="10"/>
  <c r="CZ324" i="10"/>
  <c r="DS326" i="10"/>
  <c r="CA328" i="10"/>
  <c r="DT334" i="10"/>
  <c r="DU335" i="10"/>
  <c r="AX337" i="10"/>
  <c r="CS300" i="10"/>
  <c r="CZ310" i="10"/>
  <c r="DS315" i="10"/>
  <c r="AF315" i="10"/>
  <c r="DR317" i="10"/>
  <c r="AF325" i="10"/>
  <c r="DS325" i="10"/>
  <c r="DS328" i="10"/>
  <c r="DT333" i="10"/>
  <c r="DQ360" i="10"/>
  <c r="BN360" i="10"/>
  <c r="DC297" i="10"/>
  <c r="AB306" i="10"/>
  <c r="BN308" i="10"/>
  <c r="I310" i="10"/>
  <c r="DU313" i="10"/>
  <c r="AJ313" i="10"/>
  <c r="CF315" i="10"/>
  <c r="DT320" i="10"/>
  <c r="DT323" i="10"/>
  <c r="DR325" i="10"/>
  <c r="BS333" i="10"/>
  <c r="AB334" i="10"/>
  <c r="Q338" i="10"/>
  <c r="DQ340" i="10"/>
  <c r="CS346" i="10"/>
  <c r="DT350" i="10"/>
  <c r="CO325" i="10"/>
  <c r="DU334" i="10"/>
  <c r="AX336" i="10"/>
  <c r="AU346" i="10"/>
  <c r="BN328" i="10"/>
  <c r="AR330" i="10"/>
  <c r="CS340" i="10"/>
  <c r="CZ349" i="10"/>
  <c r="CF365" i="10"/>
  <c r="DR371" i="10"/>
  <c r="AX371" i="10"/>
  <c r="AR343" i="10"/>
  <c r="DR343" i="10"/>
  <c r="DS371" i="10"/>
  <c r="X371" i="10"/>
  <c r="DT331" i="10"/>
  <c r="DT338" i="10"/>
  <c r="DT332" i="10"/>
  <c r="X332" i="10"/>
  <c r="CA332" i="10"/>
  <c r="DV333" i="10"/>
  <c r="DU351" i="10"/>
  <c r="DS367" i="10"/>
  <c r="I367" i="10"/>
  <c r="DR367" i="10"/>
  <c r="DS331" i="10"/>
  <c r="AB331" i="10"/>
  <c r="DU333" i="10"/>
  <c r="AL333" i="10"/>
  <c r="DT342" i="10"/>
  <c r="AF348" i="10"/>
  <c r="DS352" i="10"/>
  <c r="AF352" i="10"/>
  <c r="DR365" i="10"/>
  <c r="DQ303" i="10"/>
  <c r="DC303" i="10"/>
  <c r="BN304" i="10"/>
  <c r="CK304" i="10"/>
  <c r="CZ312" i="10"/>
  <c r="DT319" i="10"/>
  <c r="DP322" i="10"/>
  <c r="I323" i="10"/>
  <c r="CA326" i="10"/>
  <c r="DQ333" i="10"/>
  <c r="AO333" i="10"/>
  <c r="AX361" i="10"/>
  <c r="DR361" i="10"/>
  <c r="DT329" i="10"/>
  <c r="Q333" i="10"/>
  <c r="DS333" i="10"/>
  <c r="AL341" i="10"/>
  <c r="DR341" i="10"/>
  <c r="BE342" i="10"/>
  <c r="X319" i="10"/>
  <c r="AR321" i="10"/>
  <c r="CS321" i="10"/>
  <c r="AB327" i="10"/>
  <c r="DN358" i="10"/>
  <c r="CA351" i="10"/>
  <c r="DT365" i="10"/>
  <c r="DU320" i="10"/>
  <c r="CO321" i="10"/>
  <c r="BS330" i="10"/>
  <c r="DR331" i="10"/>
  <c r="I335" i="10"/>
  <c r="BA336" i="10"/>
  <c r="BN342" i="10"/>
  <c r="DT351" i="10"/>
  <c r="DT362" i="10"/>
  <c r="DN313" i="10"/>
  <c r="DR323" i="10"/>
  <c r="CZ323" i="10"/>
  <c r="DR338" i="10"/>
  <c r="BI347" i="10"/>
  <c r="DU347" i="10"/>
  <c r="DN347" i="10"/>
  <c r="DR356" i="10"/>
  <c r="DU372" i="10"/>
  <c r="DN327" i="10"/>
  <c r="DC337" i="10"/>
  <c r="DN338" i="10"/>
  <c r="DN344" i="10"/>
  <c r="DS347" i="10"/>
  <c r="CK347" i="10"/>
  <c r="AU348" i="10"/>
  <c r="DQ342" i="10"/>
  <c r="DU350" i="10"/>
  <c r="DU356" i="10"/>
  <c r="I356" i="10"/>
  <c r="DS337" i="10"/>
  <c r="AF337" i="10"/>
  <c r="DS338" i="10"/>
  <c r="AF344" i="10"/>
  <c r="DS344" i="10"/>
  <c r="Q355" i="10"/>
  <c r="DQ356" i="10"/>
  <c r="AB313" i="10"/>
  <c r="AB322" i="10"/>
  <c r="BE333" i="10"/>
  <c r="DQ335" i="10"/>
  <c r="I337" i="10"/>
  <c r="AJ338" i="10"/>
  <c r="DR347" i="10"/>
  <c r="DX347" i="10" s="1"/>
  <c r="X348" i="10"/>
  <c r="DS351" i="10"/>
  <c r="AF351" i="10"/>
  <c r="Q356" i="10"/>
  <c r="DP338" i="10"/>
  <c r="DT348" i="10"/>
  <c r="DS327" i="10"/>
  <c r="DV338" i="10"/>
  <c r="DU342" i="10"/>
  <c r="DR353" i="10"/>
  <c r="AL353" i="10"/>
  <c r="CZ322" i="10"/>
  <c r="DV328" i="10"/>
  <c r="I330" i="10"/>
  <c r="DS330" i="10"/>
  <c r="DV332" i="10"/>
  <c r="AJ332" i="10"/>
  <c r="DN336" i="10"/>
  <c r="DU338" i="10"/>
  <c r="DT344" i="10"/>
  <c r="DR313" i="10"/>
  <c r="Q319" i="10"/>
  <c r="BN319" i="10"/>
  <c r="X320" i="10"/>
  <c r="AU320" i="10"/>
  <c r="AB321" i="10"/>
  <c r="DR322" i="10"/>
  <c r="DR330" i="10"/>
  <c r="BN332" i="10"/>
  <c r="DP333" i="10"/>
  <c r="DQ338" i="10"/>
  <c r="AB340" i="10"/>
  <c r="CO341" i="10"/>
  <c r="DT345" i="10"/>
  <c r="CK344" i="10"/>
  <c r="I345" i="10"/>
  <c r="X349" i="10"/>
  <c r="BE351" i="10"/>
  <c r="BN353" i="10"/>
  <c r="DS365" i="10"/>
  <c r="AF365" i="10"/>
  <c r="CS374" i="10"/>
  <c r="CS375" i="10"/>
  <c r="AJ328" i="10"/>
  <c r="DV335" i="10"/>
  <c r="DR336" i="10"/>
  <c r="CA339" i="10"/>
  <c r="DN342" i="10"/>
  <c r="BA343" i="10"/>
  <c r="I351" i="10"/>
  <c r="DU353" i="10"/>
  <c r="I353" i="10"/>
  <c r="X361" i="10"/>
  <c r="DW362" i="10"/>
  <c r="I362" i="10"/>
  <c r="BN365" i="10"/>
  <c r="AR332" i="10"/>
  <c r="DV340" i="10"/>
  <c r="DS350" i="10"/>
  <c r="DQ353" i="10"/>
  <c r="DT361" i="10"/>
  <c r="BS374" i="10"/>
  <c r="DU340" i="10"/>
  <c r="X341" i="10"/>
  <c r="DU345" i="10"/>
  <c r="DU348" i="10"/>
  <c r="DQ352" i="10"/>
  <c r="DR352" i="10"/>
  <c r="DT354" i="10"/>
  <c r="AR359" i="10"/>
  <c r="DR359" i="10"/>
  <c r="DR360" i="10"/>
  <c r="DP366" i="10"/>
  <c r="I366" i="10"/>
  <c r="DR375" i="10"/>
  <c r="AO375" i="10"/>
  <c r="CF335" i="10"/>
  <c r="BN337" i="10"/>
  <c r="X338" i="10"/>
  <c r="AF339" i="10"/>
  <c r="DT341" i="10"/>
  <c r="CS344" i="10"/>
  <c r="I346" i="10"/>
  <c r="DT347" i="10"/>
  <c r="I350" i="10"/>
  <c r="BN351" i="10"/>
  <c r="AL352" i="10"/>
  <c r="CZ370" i="10"/>
  <c r="DR346" i="10"/>
  <c r="AF350" i="10"/>
  <c r="DR351" i="10"/>
  <c r="X354" i="10"/>
  <c r="DS355" i="10"/>
  <c r="CK355" i="10"/>
  <c r="DQ367" i="10"/>
  <c r="AR374" i="10"/>
  <c r="DQ375" i="10"/>
  <c r="I375" i="10"/>
  <c r="DR345" i="10"/>
  <c r="AF346" i="10"/>
  <c r="DP350" i="10"/>
  <c r="DQ351" i="10"/>
  <c r="I363" i="10"/>
  <c r="DU339" i="10"/>
  <c r="AX342" i="10"/>
  <c r="Q351" i="10"/>
  <c r="DU352" i="10"/>
  <c r="AR352" i="10"/>
  <c r="AU360" i="10"/>
  <c r="Q363" i="10"/>
  <c r="AR345" i="10"/>
  <c r="DQ345" i="10"/>
  <c r="DQ348" i="10"/>
  <c r="I341" i="10"/>
  <c r="DQ349" i="10"/>
  <c r="DX349" i="10" s="1"/>
  <c r="EE349" i="10" s="1"/>
  <c r="EO349" i="10" s="1"/>
  <c r="DQ350" i="10"/>
  <c r="Q357" i="10"/>
  <c r="DC330" i="10"/>
  <c r="I333" i="10"/>
  <c r="AU337" i="10"/>
  <c r="Q339" i="10"/>
  <c r="AB342" i="10"/>
  <c r="CO346" i="10"/>
  <c r="DT353" i="10"/>
  <c r="DP358" i="10"/>
  <c r="DU362" i="10"/>
  <c r="CF372" i="10"/>
  <c r="DS353" i="10"/>
  <c r="AF353" i="10"/>
  <c r="DS362" i="10"/>
  <c r="AF362" i="10"/>
  <c r="DW365" i="10"/>
  <c r="I365" i="10"/>
  <c r="AJ367" i="10"/>
  <c r="CS367" i="10"/>
  <c r="AB348" i="10"/>
  <c r="AR350" i="10"/>
  <c r="DS354" i="10"/>
  <c r="DS364" i="10"/>
  <c r="AF364" i="10"/>
  <c r="CS369" i="10"/>
  <c r="DR354" i="10"/>
  <c r="DR364" i="10"/>
  <c r="DQ365" i="10"/>
  <c r="DS340" i="10"/>
  <c r="BE345" i="10"/>
  <c r="BS350" i="10"/>
  <c r="DV351" i="10"/>
  <c r="DT360" i="10"/>
  <c r="X366" i="10"/>
  <c r="DT366" i="10"/>
  <c r="CF366" i="10"/>
  <c r="AR369" i="10"/>
  <c r="AF354" i="10"/>
  <c r="DQ362" i="10"/>
  <c r="DR362" i="10"/>
  <c r="AL362" i="10"/>
  <c r="DS356" i="10"/>
  <c r="DS370" i="10"/>
  <c r="AF370" i="10"/>
  <c r="DU354" i="10"/>
  <c r="DU368" i="10"/>
  <c r="DR370" i="10"/>
  <c r="DT373" i="10"/>
  <c r="DQ354" i="10"/>
  <c r="DR355" i="10"/>
  <c r="AF355" i="10"/>
  <c r="AJ361" i="10"/>
  <c r="AF343" i="10"/>
  <c r="BE343" i="10"/>
  <c r="DR344" i="10"/>
  <c r="DV348" i="10"/>
  <c r="I354" i="10"/>
  <c r="DS358" i="10"/>
  <c r="AB359" i="10"/>
  <c r="DV361" i="10"/>
  <c r="DS363" i="10"/>
  <c r="I368" i="10"/>
  <c r="DQ371" i="10"/>
  <c r="DR358" i="10"/>
  <c r="DU361" i="10"/>
  <c r="DR363" i="10"/>
  <c r="DR366" i="10"/>
  <c r="DV343" i="10"/>
  <c r="Q346" i="10"/>
  <c r="I358" i="10"/>
  <c r="DT363" i="10"/>
  <c r="DT369" i="10"/>
  <c r="DT372" i="10"/>
  <c r="DV373" i="10"/>
  <c r="I373" i="10"/>
  <c r="DR373" i="10"/>
  <c r="AL373" i="10"/>
  <c r="DS374" i="10"/>
  <c r="Q342" i="10"/>
  <c r="DC342" i="10"/>
  <c r="DU343" i="10"/>
  <c r="DQ344" i="10"/>
  <c r="DR348" i="10"/>
  <c r="CO349" i="10"/>
  <c r="DV356" i="10"/>
  <c r="AF358" i="10"/>
  <c r="DN360" i="10"/>
  <c r="CO361" i="10"/>
  <c r="AX362" i="10"/>
  <c r="DV363" i="10"/>
  <c r="AF363" i="10"/>
  <c r="AF366" i="10"/>
  <c r="CF367" i="10"/>
  <c r="I374" i="10"/>
  <c r="DQ369" i="10"/>
  <c r="AB372" i="10"/>
  <c r="DS375" i="10"/>
  <c r="DT370" i="10"/>
  <c r="BE360" i="10"/>
  <c r="CS363" i="10"/>
  <c r="AJ372" i="10"/>
  <c r="DU359" i="10"/>
  <c r="DT374" i="10"/>
  <c r="DP355" i="10"/>
  <c r="DT356" i="10"/>
  <c r="AF360" i="10"/>
  <c r="DS360" i="10"/>
  <c r="DQ370" i="10"/>
  <c r="DQ372" i="10"/>
  <c r="DT352" i="10"/>
  <c r="I359" i="10"/>
  <c r="CZ367" i="10"/>
  <c r="DR369" i="10"/>
  <c r="DN371" i="10"/>
  <c r="BS341" i="10"/>
  <c r="CS352" i="10"/>
  <c r="DU355" i="10"/>
  <c r="CA358" i="10"/>
  <c r="DS368" i="10"/>
  <c r="DQ368" i="10"/>
  <c r="DV375" i="10"/>
  <c r="DQ343" i="10"/>
  <c r="AB350" i="10"/>
  <c r="AB356" i="10"/>
  <c r="DT358" i="10"/>
  <c r="DN359" i="10"/>
  <c r="I361" i="10"/>
  <c r="CZ361" i="10"/>
  <c r="DR368" i="10"/>
  <c r="DX368" i="10" s="1"/>
  <c r="DU375" i="10"/>
  <c r="BN375" i="10"/>
  <c r="DT359" i="10"/>
  <c r="AB371" i="10"/>
  <c r="CO355" i="10"/>
  <c r="DN355" i="10"/>
  <c r="DT357" i="10"/>
  <c r="AR363" i="10"/>
  <c r="AR370" i="10"/>
  <c r="DR372" i="10"/>
  <c r="DT375" i="10"/>
  <c r="DV374" i="10"/>
  <c r="DU374" i="10"/>
  <c r="I371" i="10"/>
  <c r="DQ374" i="10"/>
  <c r="DP360" i="10"/>
  <c r="AB355" i="10"/>
  <c r="DV364" i="10"/>
  <c r="DV369" i="10"/>
  <c r="CZ375" i="10"/>
  <c r="CA352" i="10"/>
  <c r="CA357" i="10"/>
  <c r="Q361" i="10"/>
  <c r="DU364" i="10"/>
  <c r="CZ366" i="10"/>
  <c r="DU369" i="10"/>
  <c r="DS357" i="10"/>
  <c r="DT368" i="10"/>
  <c r="CA368" i="10"/>
  <c r="DV371" i="10"/>
  <c r="AJ371" i="10"/>
  <c r="DS373" i="10"/>
  <c r="AF373" i="10"/>
  <c r="DP357" i="10"/>
  <c r="DR357" i="10"/>
  <c r="DV359" i="10"/>
  <c r="DU371" i="10"/>
  <c r="DS372" i="10"/>
  <c r="AF374" i="10"/>
  <c r="AF357" i="10"/>
  <c r="R306" i="6"/>
  <c r="R31" i="6"/>
  <c r="R251" i="6" s="1"/>
  <c r="P257" i="6"/>
  <c r="M257" i="6"/>
  <c r="K257" i="6"/>
  <c r="J257" i="6"/>
  <c r="H257" i="6"/>
  <c r="O257" i="6"/>
  <c r="N257" i="6"/>
  <c r="L257" i="6"/>
  <c r="I257" i="6"/>
  <c r="G257" i="6"/>
  <c r="F257" i="6"/>
  <c r="E257" i="6"/>
  <c r="D257" i="6"/>
  <c r="C257" i="6"/>
  <c r="R282" i="6"/>
  <c r="D109" i="6"/>
  <c r="P109" i="6"/>
  <c r="O109" i="6"/>
  <c r="G354" i="6" s="1"/>
  <c r="I362" i="6" s="1"/>
  <c r="E109" i="6"/>
  <c r="N109" i="6"/>
  <c r="M109" i="6"/>
  <c r="L109" i="6"/>
  <c r="K109" i="6"/>
  <c r="J109" i="6"/>
  <c r="I109" i="6"/>
  <c r="H109" i="6"/>
  <c r="G109" i="6"/>
  <c r="F109" i="6"/>
  <c r="F376" i="6"/>
  <c r="F361" i="6"/>
  <c r="P245" i="6"/>
  <c r="L245" i="6"/>
  <c r="G245" i="6"/>
  <c r="F245" i="6"/>
  <c r="D245" i="6"/>
  <c r="O245" i="6"/>
  <c r="N245" i="6"/>
  <c r="M245" i="6"/>
  <c r="K245" i="6"/>
  <c r="H245" i="6"/>
  <c r="E245" i="6"/>
  <c r="C245" i="6"/>
  <c r="J245" i="6"/>
  <c r="I245" i="6"/>
  <c r="N251" i="6"/>
  <c r="K251" i="6"/>
  <c r="I251" i="6"/>
  <c r="H251" i="6"/>
  <c r="F251" i="6"/>
  <c r="P251" i="6"/>
  <c r="O251" i="6"/>
  <c r="M251" i="6"/>
  <c r="L251" i="6"/>
  <c r="J251" i="6"/>
  <c r="G251" i="6"/>
  <c r="E251" i="6"/>
  <c r="D251" i="6"/>
  <c r="C251" i="6"/>
  <c r="R81" i="6"/>
  <c r="R301" i="6" s="1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Q128" i="6" s="1"/>
  <c r="R128" i="6" s="1"/>
  <c r="J154" i="6"/>
  <c r="I154" i="6"/>
  <c r="H154" i="6"/>
  <c r="G154" i="6"/>
  <c r="F154" i="6"/>
  <c r="E154" i="6"/>
  <c r="N154" i="6"/>
  <c r="M154" i="6"/>
  <c r="L154" i="6"/>
  <c r="K154" i="6"/>
  <c r="D154" i="6"/>
  <c r="E172" i="6"/>
  <c r="D172" i="6"/>
  <c r="P172" i="6"/>
  <c r="O172" i="6"/>
  <c r="N172" i="6"/>
  <c r="M172" i="6"/>
  <c r="L172" i="6"/>
  <c r="F172" i="6"/>
  <c r="K172" i="6"/>
  <c r="J172" i="6"/>
  <c r="I172" i="6"/>
  <c r="H172" i="6"/>
  <c r="G172" i="6"/>
  <c r="Q295" i="6"/>
  <c r="P100" i="6"/>
  <c r="O100" i="6"/>
  <c r="N100" i="6"/>
  <c r="M100" i="6"/>
  <c r="L100" i="6"/>
  <c r="K100" i="6"/>
  <c r="J100" i="6"/>
  <c r="D100" i="6"/>
  <c r="I100" i="6"/>
  <c r="H100" i="6"/>
  <c r="G100" i="6"/>
  <c r="F100" i="6"/>
  <c r="E100" i="6"/>
  <c r="Q246" i="6"/>
  <c r="I348" i="6"/>
  <c r="C365" i="6" s="1"/>
  <c r="R32" i="6"/>
  <c r="R252" i="6" s="1"/>
  <c r="Q252" i="6"/>
  <c r="P289" i="6"/>
  <c r="L289" i="6"/>
  <c r="J289" i="6"/>
  <c r="I289" i="6"/>
  <c r="H289" i="6"/>
  <c r="G289" i="6"/>
  <c r="F289" i="6"/>
  <c r="D289" i="6"/>
  <c r="C289" i="6"/>
  <c r="O289" i="6"/>
  <c r="N289" i="6"/>
  <c r="M289" i="6"/>
  <c r="K289" i="6"/>
  <c r="E289" i="6"/>
  <c r="M121" i="6"/>
  <c r="K121" i="6"/>
  <c r="P121" i="6"/>
  <c r="O121" i="6"/>
  <c r="N121" i="6"/>
  <c r="L121" i="6"/>
  <c r="J121" i="6"/>
  <c r="I121" i="6"/>
  <c r="H121" i="6"/>
  <c r="G121" i="6"/>
  <c r="F121" i="6"/>
  <c r="E121" i="6"/>
  <c r="D121" i="6"/>
  <c r="Q121" i="6" s="1"/>
  <c r="R121" i="6" s="1"/>
  <c r="Q181" i="6"/>
  <c r="P268" i="6"/>
  <c r="M268" i="6"/>
  <c r="K268" i="6"/>
  <c r="J268" i="6"/>
  <c r="H268" i="6"/>
  <c r="O268" i="6"/>
  <c r="N268" i="6"/>
  <c r="L268" i="6"/>
  <c r="I268" i="6"/>
  <c r="C268" i="6"/>
  <c r="G268" i="6"/>
  <c r="F268" i="6"/>
  <c r="E268" i="6"/>
  <c r="D268" i="6"/>
  <c r="Q160" i="6"/>
  <c r="R160" i="6" s="1"/>
  <c r="Q180" i="6"/>
  <c r="R180" i="6" s="1"/>
  <c r="R80" i="6"/>
  <c r="R300" i="6" s="1"/>
  <c r="K353" i="6"/>
  <c r="N306" i="6"/>
  <c r="L306" i="6"/>
  <c r="K306" i="6"/>
  <c r="J306" i="6"/>
  <c r="I306" i="6"/>
  <c r="H306" i="6"/>
  <c r="F306" i="6"/>
  <c r="E306" i="6"/>
  <c r="D306" i="6"/>
  <c r="C306" i="6"/>
  <c r="G306" i="6"/>
  <c r="P306" i="6"/>
  <c r="O306" i="6"/>
  <c r="M306" i="6"/>
  <c r="G149" i="6"/>
  <c r="F149" i="6"/>
  <c r="E149" i="6"/>
  <c r="D149" i="6"/>
  <c r="M149" i="6"/>
  <c r="L149" i="6"/>
  <c r="K149" i="6"/>
  <c r="J149" i="6"/>
  <c r="I149" i="6"/>
  <c r="H149" i="6"/>
  <c r="R37" i="6"/>
  <c r="R257" i="6" s="1"/>
  <c r="G208" i="6"/>
  <c r="F208" i="6"/>
  <c r="E208" i="6"/>
  <c r="D208" i="6"/>
  <c r="O208" i="6"/>
  <c r="N208" i="6"/>
  <c r="M208" i="6"/>
  <c r="L208" i="6"/>
  <c r="K208" i="6"/>
  <c r="J208" i="6"/>
  <c r="I208" i="6"/>
  <c r="H208" i="6"/>
  <c r="P208" i="6"/>
  <c r="R20" i="6"/>
  <c r="R240" i="6" s="1"/>
  <c r="Q102" i="6"/>
  <c r="R102" i="6" s="1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Q157" i="6" s="1"/>
  <c r="R157" i="6" s="1"/>
  <c r="P234" i="6"/>
  <c r="L234" i="6"/>
  <c r="K347" i="6"/>
  <c r="D234" i="6"/>
  <c r="O234" i="6"/>
  <c r="N234" i="6"/>
  <c r="M234" i="6"/>
  <c r="K234" i="6"/>
  <c r="J234" i="6"/>
  <c r="I234" i="6"/>
  <c r="H234" i="6"/>
  <c r="G234" i="6"/>
  <c r="F234" i="6"/>
  <c r="E234" i="6"/>
  <c r="C234" i="6"/>
  <c r="N240" i="6"/>
  <c r="F240" i="6"/>
  <c r="P240" i="6"/>
  <c r="O240" i="6"/>
  <c r="M240" i="6"/>
  <c r="L240" i="6"/>
  <c r="K240" i="6"/>
  <c r="D240" i="6"/>
  <c r="C240" i="6"/>
  <c r="I240" i="6"/>
  <c r="G240" i="6"/>
  <c r="J240" i="6"/>
  <c r="H240" i="6"/>
  <c r="Q284" i="6"/>
  <c r="I351" i="6"/>
  <c r="F365" i="6" s="1"/>
  <c r="R70" i="6"/>
  <c r="R290" i="6" s="1"/>
  <c r="R152" i="6"/>
  <c r="R64" i="6"/>
  <c r="R284" i="6" s="1"/>
  <c r="P290" i="6"/>
  <c r="N290" i="6"/>
  <c r="M290" i="6"/>
  <c r="L290" i="6"/>
  <c r="K290" i="6"/>
  <c r="J290" i="6"/>
  <c r="H290" i="6"/>
  <c r="O290" i="6"/>
  <c r="I290" i="6"/>
  <c r="G290" i="6"/>
  <c r="F290" i="6"/>
  <c r="E290" i="6"/>
  <c r="D290" i="6"/>
  <c r="C290" i="6"/>
  <c r="E354" i="6"/>
  <c r="I360" i="6" s="1"/>
  <c r="N146" i="6"/>
  <c r="M146" i="6"/>
  <c r="L146" i="6"/>
  <c r="K146" i="6"/>
  <c r="J146" i="6"/>
  <c r="H146" i="6"/>
  <c r="G146" i="6"/>
  <c r="F146" i="6"/>
  <c r="E146" i="6"/>
  <c r="D146" i="6"/>
  <c r="L235" i="6"/>
  <c r="H256" i="6"/>
  <c r="Q241" i="6"/>
  <c r="R21" i="6"/>
  <c r="R241" i="6" s="1"/>
  <c r="P278" i="6"/>
  <c r="L278" i="6"/>
  <c r="J278" i="6"/>
  <c r="I278" i="6"/>
  <c r="H278" i="6"/>
  <c r="G278" i="6"/>
  <c r="F278" i="6"/>
  <c r="D278" i="6"/>
  <c r="C278" i="6"/>
  <c r="O278" i="6"/>
  <c r="E278" i="6"/>
  <c r="N278" i="6"/>
  <c r="M278" i="6"/>
  <c r="K278" i="6"/>
  <c r="N284" i="6"/>
  <c r="L284" i="6"/>
  <c r="K284" i="6"/>
  <c r="J284" i="6"/>
  <c r="I284" i="6"/>
  <c r="H284" i="6"/>
  <c r="F284" i="6"/>
  <c r="E284" i="6"/>
  <c r="D284" i="6"/>
  <c r="C284" i="6"/>
  <c r="P284" i="6"/>
  <c r="O284" i="6"/>
  <c r="M284" i="6"/>
  <c r="G284" i="6"/>
  <c r="Q136" i="6"/>
  <c r="R136" i="6" s="1"/>
  <c r="G186" i="6"/>
  <c r="F186" i="6"/>
  <c r="D186" i="6"/>
  <c r="J186" i="6"/>
  <c r="I186" i="6"/>
  <c r="H186" i="6"/>
  <c r="E186" i="6"/>
  <c r="O186" i="6"/>
  <c r="N186" i="6"/>
  <c r="M186" i="6"/>
  <c r="L186" i="6"/>
  <c r="K186" i="6"/>
  <c r="E190" i="6"/>
  <c r="D190" i="6"/>
  <c r="P190" i="6"/>
  <c r="O190" i="6"/>
  <c r="N190" i="6"/>
  <c r="M190" i="6"/>
  <c r="L190" i="6"/>
  <c r="K190" i="6"/>
  <c r="J190" i="6"/>
  <c r="I190" i="6"/>
  <c r="H190" i="6"/>
  <c r="G190" i="6"/>
  <c r="F190" i="6"/>
  <c r="C262" i="6"/>
  <c r="K141" i="6"/>
  <c r="J141" i="6"/>
  <c r="I141" i="6"/>
  <c r="H141" i="6"/>
  <c r="G141" i="6"/>
  <c r="M141" i="6"/>
  <c r="L141" i="6"/>
  <c r="F141" i="6"/>
  <c r="E141" i="6"/>
  <c r="D141" i="6"/>
  <c r="R9" i="6"/>
  <c r="R229" i="6" s="1"/>
  <c r="P235" i="6"/>
  <c r="H235" i="6"/>
  <c r="O235" i="6"/>
  <c r="N235" i="6"/>
  <c r="D235" i="6"/>
  <c r="C235" i="6"/>
  <c r="G235" i="6"/>
  <c r="F235" i="6"/>
  <c r="E235" i="6"/>
  <c r="Q285" i="6"/>
  <c r="R65" i="6"/>
  <c r="R285" i="6" s="1"/>
  <c r="F124" i="6"/>
  <c r="D124" i="6"/>
  <c r="N124" i="6"/>
  <c r="M124" i="6"/>
  <c r="L124" i="6"/>
  <c r="K124" i="6"/>
  <c r="J124" i="6"/>
  <c r="I124" i="6"/>
  <c r="H124" i="6"/>
  <c r="G124" i="6"/>
  <c r="E124" i="6"/>
  <c r="J224" i="6"/>
  <c r="P223" i="6"/>
  <c r="L223" i="6"/>
  <c r="D223" i="6"/>
  <c r="O223" i="6"/>
  <c r="N223" i="6"/>
  <c r="M223" i="6"/>
  <c r="K223" i="6"/>
  <c r="J223" i="6"/>
  <c r="I223" i="6"/>
  <c r="H223" i="6"/>
  <c r="G223" i="6"/>
  <c r="F223" i="6"/>
  <c r="E223" i="6"/>
  <c r="C223" i="6"/>
  <c r="N229" i="6"/>
  <c r="F229" i="6"/>
  <c r="P229" i="6"/>
  <c r="O229" i="6"/>
  <c r="M229" i="6"/>
  <c r="L229" i="6"/>
  <c r="K229" i="6"/>
  <c r="J229" i="6"/>
  <c r="I229" i="6"/>
  <c r="H229" i="6"/>
  <c r="G229" i="6"/>
  <c r="E229" i="6"/>
  <c r="D229" i="6"/>
  <c r="C229" i="6"/>
  <c r="Q273" i="6"/>
  <c r="P312" i="6"/>
  <c r="N312" i="6"/>
  <c r="M312" i="6"/>
  <c r="L312" i="6"/>
  <c r="K312" i="6"/>
  <c r="J312" i="6"/>
  <c r="H312" i="6"/>
  <c r="Q312" i="6"/>
  <c r="O312" i="6"/>
  <c r="I312" i="6"/>
  <c r="G312" i="6"/>
  <c r="F312" i="6"/>
  <c r="E312" i="6"/>
  <c r="D312" i="6"/>
  <c r="C312" i="6"/>
  <c r="O117" i="6"/>
  <c r="M117" i="6"/>
  <c r="L117" i="6"/>
  <c r="K117" i="6"/>
  <c r="J117" i="6"/>
  <c r="I117" i="6"/>
  <c r="H117" i="6"/>
  <c r="G117" i="6"/>
  <c r="F117" i="6"/>
  <c r="E117" i="6"/>
  <c r="D117" i="6"/>
  <c r="K224" i="6"/>
  <c r="N262" i="6"/>
  <c r="K262" i="6"/>
  <c r="I262" i="6"/>
  <c r="H262" i="6"/>
  <c r="F262" i="6"/>
  <c r="P262" i="6"/>
  <c r="O262" i="6"/>
  <c r="M262" i="6"/>
  <c r="J262" i="6"/>
  <c r="L262" i="6"/>
  <c r="E262" i="6"/>
  <c r="G262" i="6"/>
  <c r="N104" i="6"/>
  <c r="M104" i="6"/>
  <c r="L104" i="6"/>
  <c r="K104" i="6"/>
  <c r="J104" i="6"/>
  <c r="I104" i="6"/>
  <c r="H104" i="6"/>
  <c r="G104" i="6"/>
  <c r="F104" i="6"/>
  <c r="E104" i="6"/>
  <c r="D104" i="6"/>
  <c r="P300" i="6"/>
  <c r="L300" i="6"/>
  <c r="J300" i="6"/>
  <c r="I300" i="6"/>
  <c r="H300" i="6"/>
  <c r="G300" i="6"/>
  <c r="F300" i="6"/>
  <c r="D300" i="6"/>
  <c r="M300" i="6"/>
  <c r="K300" i="6"/>
  <c r="E300" i="6"/>
  <c r="C300" i="6"/>
  <c r="O300" i="6"/>
  <c r="N300" i="6"/>
  <c r="P279" i="6"/>
  <c r="N279" i="6"/>
  <c r="M279" i="6"/>
  <c r="L279" i="6"/>
  <c r="K279" i="6"/>
  <c r="J279" i="6"/>
  <c r="H279" i="6"/>
  <c r="O279" i="6"/>
  <c r="I279" i="6"/>
  <c r="G279" i="6"/>
  <c r="F279" i="6"/>
  <c r="E279" i="6"/>
  <c r="D279" i="6"/>
  <c r="C279" i="6"/>
  <c r="V99" i="6"/>
  <c r="Q106" i="6"/>
  <c r="R106" i="6" s="1"/>
  <c r="L224" i="6"/>
  <c r="I353" i="6"/>
  <c r="H365" i="6" s="1"/>
  <c r="Q306" i="6"/>
  <c r="P256" i="6"/>
  <c r="L256" i="6"/>
  <c r="I256" i="6"/>
  <c r="G256" i="6"/>
  <c r="F256" i="6"/>
  <c r="D256" i="6"/>
  <c r="O256" i="6"/>
  <c r="N256" i="6"/>
  <c r="M256" i="6"/>
  <c r="K256" i="6"/>
  <c r="E256" i="6"/>
  <c r="C256" i="6"/>
  <c r="Q263" i="6"/>
  <c r="R43" i="6"/>
  <c r="R263" i="6" s="1"/>
  <c r="R246" i="6"/>
  <c r="N295" i="6"/>
  <c r="L295" i="6"/>
  <c r="K295" i="6"/>
  <c r="J295" i="6"/>
  <c r="I295" i="6"/>
  <c r="H295" i="6"/>
  <c r="F295" i="6"/>
  <c r="E295" i="6"/>
  <c r="D295" i="6"/>
  <c r="C295" i="6"/>
  <c r="P295" i="6"/>
  <c r="O295" i="6"/>
  <c r="M295" i="6"/>
  <c r="G295" i="6"/>
  <c r="R234" i="6"/>
  <c r="K348" i="6"/>
  <c r="P246" i="6"/>
  <c r="M246" i="6"/>
  <c r="K246" i="6"/>
  <c r="J246" i="6"/>
  <c r="H246" i="6"/>
  <c r="F246" i="6"/>
  <c r="E246" i="6"/>
  <c r="D246" i="6"/>
  <c r="C246" i="6"/>
  <c r="O246" i="6"/>
  <c r="N246" i="6"/>
  <c r="L246" i="6"/>
  <c r="I246" i="6"/>
  <c r="G246" i="6"/>
  <c r="Q230" i="6"/>
  <c r="R10" i="6"/>
  <c r="R230" i="6" s="1"/>
  <c r="P267" i="6"/>
  <c r="L267" i="6"/>
  <c r="I267" i="6"/>
  <c r="G267" i="6"/>
  <c r="F267" i="6"/>
  <c r="D267" i="6"/>
  <c r="J267" i="6"/>
  <c r="H267" i="6"/>
  <c r="E267" i="6"/>
  <c r="C267" i="6"/>
  <c r="N267" i="6"/>
  <c r="M267" i="6"/>
  <c r="K267" i="6"/>
  <c r="O267" i="6"/>
  <c r="N273" i="6"/>
  <c r="L273" i="6"/>
  <c r="K273" i="6"/>
  <c r="J273" i="6"/>
  <c r="I273" i="6"/>
  <c r="H273" i="6"/>
  <c r="F273" i="6"/>
  <c r="E273" i="6"/>
  <c r="D273" i="6"/>
  <c r="C273" i="6"/>
  <c r="P273" i="6"/>
  <c r="O273" i="6"/>
  <c r="M273" i="6"/>
  <c r="G273" i="6"/>
  <c r="D144" i="6"/>
  <c r="O144" i="6"/>
  <c r="N144" i="6"/>
  <c r="M144" i="6"/>
  <c r="L144" i="6"/>
  <c r="K144" i="6"/>
  <c r="J144" i="6"/>
  <c r="I144" i="6"/>
  <c r="H144" i="6"/>
  <c r="G144" i="6"/>
  <c r="F144" i="6"/>
  <c r="E144" i="6"/>
  <c r="I176" i="6"/>
  <c r="H176" i="6"/>
  <c r="G176" i="6"/>
  <c r="F176" i="6"/>
  <c r="E176" i="6"/>
  <c r="D176" i="6"/>
  <c r="P176" i="6"/>
  <c r="O176" i="6"/>
  <c r="N176" i="6"/>
  <c r="M176" i="6"/>
  <c r="L176" i="6"/>
  <c r="K176" i="6"/>
  <c r="J176" i="6"/>
  <c r="M224" i="6"/>
  <c r="F313" i="6"/>
  <c r="D313" i="6"/>
  <c r="C313" i="6"/>
  <c r="Q313" i="6"/>
  <c r="P313" i="6"/>
  <c r="O313" i="6"/>
  <c r="N313" i="6"/>
  <c r="L313" i="6"/>
  <c r="M313" i="6"/>
  <c r="K313" i="6"/>
  <c r="J313" i="6"/>
  <c r="I313" i="6"/>
  <c r="H313" i="6"/>
  <c r="G313" i="6"/>
  <c r="E313" i="6"/>
  <c r="O104" i="6"/>
  <c r="N149" i="6"/>
  <c r="P224" i="6"/>
  <c r="H224" i="6"/>
  <c r="O224" i="6"/>
  <c r="N224" i="6"/>
  <c r="I224" i="6"/>
  <c r="G224" i="6"/>
  <c r="F224" i="6"/>
  <c r="E224" i="6"/>
  <c r="D224" i="6"/>
  <c r="C224" i="6"/>
  <c r="Q268" i="6"/>
  <c r="Q274" i="6"/>
  <c r="R54" i="6"/>
  <c r="R274" i="6" s="1"/>
  <c r="P305" i="6"/>
  <c r="O305" i="6"/>
  <c r="N305" i="6"/>
  <c r="J305" i="6"/>
  <c r="H305" i="6"/>
  <c r="G305" i="6"/>
  <c r="F305" i="6"/>
  <c r="E305" i="6"/>
  <c r="D305" i="6"/>
  <c r="M305" i="6"/>
  <c r="L305" i="6"/>
  <c r="K305" i="6"/>
  <c r="I305" i="6"/>
  <c r="C305" i="6"/>
  <c r="R85" i="6"/>
  <c r="R305" i="6" s="1"/>
  <c r="P104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P132" i="6"/>
  <c r="O132" i="6"/>
  <c r="N132" i="6"/>
  <c r="M132" i="6"/>
  <c r="L132" i="6"/>
  <c r="K132" i="6"/>
  <c r="J132" i="6"/>
  <c r="D132" i="6"/>
  <c r="Q132" i="6" s="1"/>
  <c r="R132" i="6" s="1"/>
  <c r="I132" i="6"/>
  <c r="H132" i="6"/>
  <c r="G132" i="6"/>
  <c r="F132" i="6"/>
  <c r="E132" i="6"/>
  <c r="O149" i="6"/>
  <c r="Q177" i="6"/>
  <c r="R177" i="6" s="1"/>
  <c r="I182" i="6"/>
  <c r="H182" i="6"/>
  <c r="P182" i="6"/>
  <c r="O182" i="6"/>
  <c r="N182" i="6"/>
  <c r="M182" i="6"/>
  <c r="L182" i="6"/>
  <c r="K182" i="6"/>
  <c r="J182" i="6"/>
  <c r="G182" i="6"/>
  <c r="F182" i="6"/>
  <c r="E182" i="6"/>
  <c r="D182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F199" i="6"/>
  <c r="E199" i="6"/>
  <c r="D199" i="6"/>
  <c r="N199" i="6"/>
  <c r="M199" i="6"/>
  <c r="L199" i="6"/>
  <c r="K199" i="6"/>
  <c r="J199" i="6"/>
  <c r="I199" i="6"/>
  <c r="H199" i="6"/>
  <c r="G199" i="6"/>
  <c r="P199" i="6"/>
  <c r="O199" i="6"/>
  <c r="Q262" i="6"/>
  <c r="R48" i="6"/>
  <c r="R268" i="6" s="1"/>
  <c r="R101" i="6"/>
  <c r="AA137" i="6"/>
  <c r="P149" i="6"/>
  <c r="M159" i="6"/>
  <c r="L159" i="6"/>
  <c r="K159" i="6"/>
  <c r="J159" i="6"/>
  <c r="I159" i="6"/>
  <c r="H159" i="6"/>
  <c r="P159" i="6"/>
  <c r="O159" i="6"/>
  <c r="N159" i="6"/>
  <c r="G159" i="6"/>
  <c r="F159" i="6"/>
  <c r="E159" i="6"/>
  <c r="D159" i="6"/>
  <c r="F363" i="6"/>
  <c r="H376" i="6"/>
  <c r="N131" i="6"/>
  <c r="L131" i="6"/>
  <c r="G135" i="6"/>
  <c r="F135" i="6"/>
  <c r="E135" i="6"/>
  <c r="D230" i="6"/>
  <c r="J230" i="6"/>
  <c r="P230" i="6"/>
  <c r="O230" i="6"/>
  <c r="D241" i="6"/>
  <c r="J241" i="6"/>
  <c r="E241" i="6"/>
  <c r="C241" i="6"/>
  <c r="P241" i="6"/>
  <c r="O241" i="6"/>
  <c r="N241" i="6"/>
  <c r="M241" i="6"/>
  <c r="L241" i="6"/>
  <c r="Q258" i="6"/>
  <c r="I349" i="6"/>
  <c r="D365" i="6" s="1"/>
  <c r="P151" i="6"/>
  <c r="O151" i="6"/>
  <c r="N151" i="6"/>
  <c r="M151" i="6"/>
  <c r="P167" i="6"/>
  <c r="O167" i="6"/>
  <c r="N167" i="6"/>
  <c r="M167" i="6"/>
  <c r="L167" i="6"/>
  <c r="K167" i="6"/>
  <c r="Q167" i="6" s="1"/>
  <c r="R167" i="6" s="1"/>
  <c r="J167" i="6"/>
  <c r="R5" i="6"/>
  <c r="R225" i="6" s="1"/>
  <c r="R16" i="6"/>
  <c r="R236" i="6" s="1"/>
  <c r="R38" i="6"/>
  <c r="D307" i="6"/>
  <c r="P307" i="6"/>
  <c r="O307" i="6"/>
  <c r="N307" i="6"/>
  <c r="M307" i="6"/>
  <c r="L307" i="6"/>
  <c r="J307" i="6"/>
  <c r="K307" i="6"/>
  <c r="I307" i="6"/>
  <c r="H307" i="6"/>
  <c r="G307" i="6"/>
  <c r="F307" i="6"/>
  <c r="E307" i="6"/>
  <c r="C307" i="6"/>
  <c r="M163" i="6"/>
  <c r="Q163" i="6" s="1"/>
  <c r="R163" i="6" s="1"/>
  <c r="L163" i="6"/>
  <c r="K163" i="6"/>
  <c r="J163" i="6"/>
  <c r="I163" i="6"/>
  <c r="H163" i="6"/>
  <c r="G163" i="6"/>
  <c r="F163" i="6"/>
  <c r="L209" i="6"/>
  <c r="K209" i="6"/>
  <c r="J209" i="6"/>
  <c r="I209" i="6"/>
  <c r="H209" i="6"/>
  <c r="G209" i="6"/>
  <c r="F209" i="6"/>
  <c r="E209" i="6"/>
  <c r="D209" i="6"/>
  <c r="Q209" i="6" s="1"/>
  <c r="R209" i="6" s="1"/>
  <c r="F280" i="6"/>
  <c r="D280" i="6"/>
  <c r="C280" i="6"/>
  <c r="P280" i="6"/>
  <c r="O280" i="6"/>
  <c r="N280" i="6"/>
  <c r="L280" i="6"/>
  <c r="M280" i="6"/>
  <c r="K280" i="6"/>
  <c r="J280" i="6"/>
  <c r="I280" i="6"/>
  <c r="H280" i="6"/>
  <c r="F291" i="6"/>
  <c r="D291" i="6"/>
  <c r="C291" i="6"/>
  <c r="P291" i="6"/>
  <c r="O291" i="6"/>
  <c r="N291" i="6"/>
  <c r="L291" i="6"/>
  <c r="M291" i="6"/>
  <c r="K291" i="6"/>
  <c r="J291" i="6"/>
  <c r="I291" i="6"/>
  <c r="R82" i="6"/>
  <c r="R302" i="6" s="1"/>
  <c r="Q174" i="6"/>
  <c r="R174" i="6" s="1"/>
  <c r="K225" i="6"/>
  <c r="J258" i="6"/>
  <c r="Q297" i="6"/>
  <c r="F302" i="6"/>
  <c r="D302" i="6"/>
  <c r="C302" i="6"/>
  <c r="P302" i="6"/>
  <c r="O302" i="6"/>
  <c r="N302" i="6"/>
  <c r="L302" i="6"/>
  <c r="M302" i="6"/>
  <c r="H302" i="6"/>
  <c r="O102" i="6"/>
  <c r="R107" i="6"/>
  <c r="P111" i="6"/>
  <c r="P158" i="6"/>
  <c r="J160" i="6"/>
  <c r="Q164" i="6"/>
  <c r="R164" i="6" s="1"/>
  <c r="P165" i="6"/>
  <c r="P179" i="6"/>
  <c r="O179" i="6"/>
  <c r="F179" i="6"/>
  <c r="E179" i="6"/>
  <c r="D179" i="6"/>
  <c r="M225" i="6"/>
  <c r="F233" i="6"/>
  <c r="D249" i="6"/>
  <c r="K258" i="6"/>
  <c r="P317" i="6"/>
  <c r="R76" i="6"/>
  <c r="R296" i="6" s="1"/>
  <c r="F247" i="6"/>
  <c r="D247" i="6"/>
  <c r="C247" i="6"/>
  <c r="O247" i="6"/>
  <c r="N247" i="6"/>
  <c r="L247" i="6"/>
  <c r="P247" i="6"/>
  <c r="M247" i="6"/>
  <c r="K247" i="6"/>
  <c r="J247" i="6"/>
  <c r="I247" i="6"/>
  <c r="H247" i="6"/>
  <c r="G247" i="6"/>
  <c r="E247" i="6"/>
  <c r="H231" i="6"/>
  <c r="F231" i="6"/>
  <c r="E231" i="6"/>
  <c r="D231" i="6"/>
  <c r="N231" i="6"/>
  <c r="K231" i="6"/>
  <c r="J231" i="6"/>
  <c r="I231" i="6"/>
  <c r="G231" i="6"/>
  <c r="C231" i="6"/>
  <c r="P231" i="6"/>
  <c r="O231" i="6"/>
  <c r="M231" i="6"/>
  <c r="L231" i="6"/>
  <c r="H242" i="6"/>
  <c r="F242" i="6"/>
  <c r="E242" i="6"/>
  <c r="D242" i="6"/>
  <c r="N242" i="6"/>
  <c r="P242" i="6"/>
  <c r="O242" i="6"/>
  <c r="M242" i="6"/>
  <c r="L242" i="6"/>
  <c r="K242" i="6"/>
  <c r="J242" i="6"/>
  <c r="I242" i="6"/>
  <c r="G242" i="6"/>
  <c r="C242" i="6"/>
  <c r="H253" i="6"/>
  <c r="F253" i="6"/>
  <c r="E253" i="6"/>
  <c r="D253" i="6"/>
  <c r="P253" i="6"/>
  <c r="N253" i="6"/>
  <c r="O253" i="6"/>
  <c r="M253" i="6"/>
  <c r="L253" i="6"/>
  <c r="K253" i="6"/>
  <c r="J253" i="6"/>
  <c r="I253" i="6"/>
  <c r="G253" i="6"/>
  <c r="C253" i="6"/>
  <c r="H264" i="6"/>
  <c r="F264" i="6"/>
  <c r="E264" i="6"/>
  <c r="D264" i="6"/>
  <c r="P264" i="6"/>
  <c r="N264" i="6"/>
  <c r="O264" i="6"/>
  <c r="M264" i="6"/>
  <c r="L264" i="6"/>
  <c r="C264" i="6"/>
  <c r="I350" i="6"/>
  <c r="E365" i="6" s="1"/>
  <c r="Q270" i="6"/>
  <c r="H275" i="6"/>
  <c r="F275" i="6"/>
  <c r="E275" i="6"/>
  <c r="D275" i="6"/>
  <c r="P275" i="6"/>
  <c r="N275" i="6"/>
  <c r="K275" i="6"/>
  <c r="J275" i="6"/>
  <c r="I275" i="6"/>
  <c r="G275" i="6"/>
  <c r="C275" i="6"/>
  <c r="H286" i="6"/>
  <c r="F286" i="6"/>
  <c r="E286" i="6"/>
  <c r="D286" i="6"/>
  <c r="P286" i="6"/>
  <c r="N286" i="6"/>
  <c r="K286" i="6"/>
  <c r="J286" i="6"/>
  <c r="I286" i="6"/>
  <c r="G286" i="6"/>
  <c r="C286" i="6"/>
  <c r="H308" i="6"/>
  <c r="F308" i="6"/>
  <c r="E308" i="6"/>
  <c r="D308" i="6"/>
  <c r="Q308" i="6"/>
  <c r="P308" i="6"/>
  <c r="N308" i="6"/>
  <c r="K308" i="6"/>
  <c r="J308" i="6"/>
  <c r="I308" i="6"/>
  <c r="G308" i="6"/>
  <c r="C308" i="6"/>
  <c r="M308" i="6"/>
  <c r="L308" i="6"/>
  <c r="N315" i="6"/>
  <c r="L315" i="6"/>
  <c r="K315" i="6"/>
  <c r="J315" i="6"/>
  <c r="F315" i="6"/>
  <c r="D315" i="6"/>
  <c r="C315" i="6"/>
  <c r="Q315" i="6"/>
  <c r="P315" i="6"/>
  <c r="O315" i="6"/>
  <c r="M315" i="6"/>
  <c r="I315" i="6"/>
  <c r="H315" i="6"/>
  <c r="G315" i="6"/>
  <c r="E315" i="6"/>
  <c r="P102" i="6"/>
  <c r="K160" i="6"/>
  <c r="N205" i="6"/>
  <c r="M205" i="6"/>
  <c r="L205" i="6"/>
  <c r="K205" i="6"/>
  <c r="J205" i="6"/>
  <c r="I205" i="6"/>
  <c r="H205" i="6"/>
  <c r="G205" i="6"/>
  <c r="F205" i="6"/>
  <c r="D205" i="6"/>
  <c r="G222" i="6"/>
  <c r="N225" i="6"/>
  <c r="C230" i="6"/>
  <c r="G233" i="6"/>
  <c r="E249" i="6"/>
  <c r="M258" i="6"/>
  <c r="D361" i="6"/>
  <c r="F374" i="6"/>
  <c r="D285" i="6"/>
  <c r="P285" i="6"/>
  <c r="O285" i="6"/>
  <c r="N285" i="6"/>
  <c r="M285" i="6"/>
  <c r="L285" i="6"/>
  <c r="J285" i="6"/>
  <c r="K285" i="6"/>
  <c r="I285" i="6"/>
  <c r="H285" i="6"/>
  <c r="E285" i="6"/>
  <c r="C285" i="6"/>
  <c r="R27" i="6"/>
  <c r="R247" i="6" s="1"/>
  <c r="F236" i="6"/>
  <c r="D236" i="6"/>
  <c r="C236" i="6"/>
  <c r="L236" i="6"/>
  <c r="I236" i="6"/>
  <c r="H236" i="6"/>
  <c r="G236" i="6"/>
  <c r="E236" i="6"/>
  <c r="P236" i="6"/>
  <c r="O236" i="6"/>
  <c r="N236" i="6"/>
  <c r="M236" i="6"/>
  <c r="R270" i="6"/>
  <c r="H297" i="6"/>
  <c r="F297" i="6"/>
  <c r="E297" i="6"/>
  <c r="D297" i="6"/>
  <c r="P297" i="6"/>
  <c r="N297" i="6"/>
  <c r="K297" i="6"/>
  <c r="J297" i="6"/>
  <c r="I297" i="6"/>
  <c r="G297" i="6"/>
  <c r="C297" i="6"/>
  <c r="Q303" i="6"/>
  <c r="K354" i="6"/>
  <c r="R111" i="6"/>
  <c r="P126" i="6"/>
  <c r="N126" i="6"/>
  <c r="J130" i="6"/>
  <c r="H130" i="6"/>
  <c r="O137" i="6"/>
  <c r="AA138" i="6" s="1"/>
  <c r="N137" i="6"/>
  <c r="M137" i="6"/>
  <c r="K137" i="6"/>
  <c r="Q137" i="6" s="1"/>
  <c r="R137" i="6" s="1"/>
  <c r="J191" i="6"/>
  <c r="I191" i="6"/>
  <c r="H191" i="6"/>
  <c r="Q191" i="6" s="1"/>
  <c r="R191" i="6" s="1"/>
  <c r="G191" i="6"/>
  <c r="P201" i="6"/>
  <c r="O201" i="6"/>
  <c r="N201" i="6"/>
  <c r="M201" i="6"/>
  <c r="L201" i="6"/>
  <c r="J201" i="6"/>
  <c r="I201" i="6"/>
  <c r="K201" i="6"/>
  <c r="H201" i="6"/>
  <c r="G201" i="6"/>
  <c r="F201" i="6"/>
  <c r="E201" i="6"/>
  <c r="D201" i="6"/>
  <c r="J215" i="6"/>
  <c r="H215" i="6"/>
  <c r="G215" i="6"/>
  <c r="F215" i="6"/>
  <c r="E215" i="6"/>
  <c r="D215" i="6"/>
  <c r="N215" i="6"/>
  <c r="M215" i="6"/>
  <c r="L215" i="6"/>
  <c r="K215" i="6"/>
  <c r="I215" i="6"/>
  <c r="I222" i="6"/>
  <c r="E230" i="6"/>
  <c r="I233" i="6"/>
  <c r="F241" i="6"/>
  <c r="N254" i="6"/>
  <c r="G374" i="6"/>
  <c r="D362" i="6"/>
  <c r="R71" i="6"/>
  <c r="R291" i="6" s="1"/>
  <c r="J226" i="6"/>
  <c r="G226" i="6"/>
  <c r="F226" i="6"/>
  <c r="P226" i="6"/>
  <c r="O226" i="6"/>
  <c r="N226" i="6"/>
  <c r="M226" i="6"/>
  <c r="L226" i="6"/>
  <c r="K226" i="6"/>
  <c r="I226" i="6"/>
  <c r="H226" i="6"/>
  <c r="E226" i="6"/>
  <c r="D226" i="6"/>
  <c r="C226" i="6"/>
  <c r="J237" i="6"/>
  <c r="H237" i="6"/>
  <c r="G237" i="6"/>
  <c r="F237" i="6"/>
  <c r="P237" i="6"/>
  <c r="O237" i="6"/>
  <c r="N237" i="6"/>
  <c r="M237" i="6"/>
  <c r="L237" i="6"/>
  <c r="K237" i="6"/>
  <c r="I237" i="6"/>
  <c r="E237" i="6"/>
  <c r="D237" i="6"/>
  <c r="C237" i="6"/>
  <c r="J248" i="6"/>
  <c r="H248" i="6"/>
  <c r="G248" i="6"/>
  <c r="F248" i="6"/>
  <c r="P248" i="6"/>
  <c r="D248" i="6"/>
  <c r="C248" i="6"/>
  <c r="L248" i="6"/>
  <c r="K248" i="6"/>
  <c r="I248" i="6"/>
  <c r="E248" i="6"/>
  <c r="J259" i="6"/>
  <c r="H259" i="6"/>
  <c r="G259" i="6"/>
  <c r="F259" i="6"/>
  <c r="P259" i="6"/>
  <c r="N259" i="6"/>
  <c r="M259" i="6"/>
  <c r="L259" i="6"/>
  <c r="K259" i="6"/>
  <c r="I259" i="6"/>
  <c r="E259" i="6"/>
  <c r="D259" i="6"/>
  <c r="C259" i="6"/>
  <c r="J270" i="6"/>
  <c r="H270" i="6"/>
  <c r="G270" i="6"/>
  <c r="F270" i="6"/>
  <c r="P270" i="6"/>
  <c r="K350" i="6"/>
  <c r="O270" i="6"/>
  <c r="N270" i="6"/>
  <c r="M270" i="6"/>
  <c r="L270" i="6"/>
  <c r="K270" i="6"/>
  <c r="I270" i="6"/>
  <c r="E270" i="6"/>
  <c r="D270" i="6"/>
  <c r="C270" i="6"/>
  <c r="J281" i="6"/>
  <c r="H281" i="6"/>
  <c r="G281" i="6"/>
  <c r="F281" i="6"/>
  <c r="P281" i="6"/>
  <c r="O281" i="6"/>
  <c r="N281" i="6"/>
  <c r="M281" i="6"/>
  <c r="L281" i="6"/>
  <c r="K281" i="6"/>
  <c r="I281" i="6"/>
  <c r="E281" i="6"/>
  <c r="D281" i="6"/>
  <c r="C281" i="6"/>
  <c r="J292" i="6"/>
  <c r="H292" i="6"/>
  <c r="G292" i="6"/>
  <c r="F292" i="6"/>
  <c r="P292" i="6"/>
  <c r="O292" i="6"/>
  <c r="N292" i="6"/>
  <c r="M292" i="6"/>
  <c r="L292" i="6"/>
  <c r="K292" i="6"/>
  <c r="I292" i="6"/>
  <c r="E292" i="6"/>
  <c r="D292" i="6"/>
  <c r="C292" i="6"/>
  <c r="D108" i="6"/>
  <c r="H158" i="6"/>
  <c r="G158" i="6"/>
  <c r="F158" i="6"/>
  <c r="E158" i="6"/>
  <c r="D158" i="6"/>
  <c r="P160" i="6"/>
  <c r="O160" i="6"/>
  <c r="N160" i="6"/>
  <c r="M160" i="6"/>
  <c r="L165" i="6"/>
  <c r="K165" i="6"/>
  <c r="Q165" i="6" s="1"/>
  <c r="R165" i="6" s="1"/>
  <c r="J222" i="6"/>
  <c r="F230" i="6"/>
  <c r="J233" i="6"/>
  <c r="C238" i="6"/>
  <c r="G241" i="6"/>
  <c r="O254" i="6"/>
  <c r="B372" i="6"/>
  <c r="B357" i="6"/>
  <c r="H374" i="6"/>
  <c r="D363" i="6"/>
  <c r="J303" i="6"/>
  <c r="H303" i="6"/>
  <c r="G303" i="6"/>
  <c r="F303" i="6"/>
  <c r="P303" i="6"/>
  <c r="O303" i="6"/>
  <c r="N303" i="6"/>
  <c r="M303" i="6"/>
  <c r="L303" i="6"/>
  <c r="K303" i="6"/>
  <c r="I303" i="6"/>
  <c r="E303" i="6"/>
  <c r="D303" i="6"/>
  <c r="C303" i="6"/>
  <c r="L309" i="6"/>
  <c r="J309" i="6"/>
  <c r="I309" i="6"/>
  <c r="H309" i="6"/>
  <c r="D309" i="6"/>
  <c r="Q309" i="6"/>
  <c r="P309" i="6"/>
  <c r="O309" i="6"/>
  <c r="N309" i="6"/>
  <c r="M309" i="6"/>
  <c r="P316" i="6"/>
  <c r="O316" i="6"/>
  <c r="N316" i="6"/>
  <c r="J316" i="6"/>
  <c r="H316" i="6"/>
  <c r="G316" i="6"/>
  <c r="F316" i="6"/>
  <c r="E316" i="6"/>
  <c r="D316" i="6"/>
  <c r="Q316" i="6"/>
  <c r="M316" i="6"/>
  <c r="L316" i="6"/>
  <c r="K316" i="6"/>
  <c r="I316" i="6"/>
  <c r="C316" i="6"/>
  <c r="D99" i="6"/>
  <c r="Q99" i="6" s="1"/>
  <c r="R99" i="6" s="1"/>
  <c r="E108" i="6"/>
  <c r="K142" i="6"/>
  <c r="Q142" i="6" s="1"/>
  <c r="R142" i="6" s="1"/>
  <c r="Q202" i="6"/>
  <c r="G230" i="6"/>
  <c r="K233" i="6"/>
  <c r="D238" i="6"/>
  <c r="H241" i="6"/>
  <c r="C250" i="6"/>
  <c r="G264" i="6"/>
  <c r="E274" i="6"/>
  <c r="P301" i="6"/>
  <c r="N301" i="6"/>
  <c r="M301" i="6"/>
  <c r="L301" i="6"/>
  <c r="K301" i="6"/>
  <c r="J301" i="6"/>
  <c r="H301" i="6"/>
  <c r="O301" i="6"/>
  <c r="I301" i="6"/>
  <c r="G301" i="6"/>
  <c r="F301" i="6"/>
  <c r="E301" i="6"/>
  <c r="D301" i="6"/>
  <c r="C301" i="6"/>
  <c r="H195" i="6"/>
  <c r="G195" i="6"/>
  <c r="F195" i="6"/>
  <c r="E195" i="6"/>
  <c r="D195" i="6"/>
  <c r="P195" i="6"/>
  <c r="O195" i="6"/>
  <c r="N195" i="6"/>
  <c r="M195" i="6"/>
  <c r="L195" i="6"/>
  <c r="K195" i="6"/>
  <c r="R87" i="6"/>
  <c r="R307" i="6" s="1"/>
  <c r="R60" i="6"/>
  <c r="R280" i="6" s="1"/>
  <c r="J314" i="6"/>
  <c r="H314" i="6"/>
  <c r="G314" i="6"/>
  <c r="F314" i="6"/>
  <c r="P314" i="6"/>
  <c r="Q314" i="6"/>
  <c r="O314" i="6"/>
  <c r="N314" i="6"/>
  <c r="M314" i="6"/>
  <c r="L314" i="6"/>
  <c r="K314" i="6"/>
  <c r="I314" i="6"/>
  <c r="E314" i="6"/>
  <c r="D314" i="6"/>
  <c r="C314" i="6"/>
  <c r="J169" i="6"/>
  <c r="I169" i="6"/>
  <c r="G169" i="6"/>
  <c r="F169" i="6"/>
  <c r="E169" i="6"/>
  <c r="D169" i="6"/>
  <c r="L187" i="6"/>
  <c r="K187" i="6"/>
  <c r="I187" i="6"/>
  <c r="P187" i="6"/>
  <c r="O187" i="6"/>
  <c r="N187" i="6"/>
  <c r="M187" i="6"/>
  <c r="Q187" i="6" s="1"/>
  <c r="R187" i="6" s="1"/>
  <c r="J187" i="6"/>
  <c r="H187" i="6"/>
  <c r="P222" i="6"/>
  <c r="M222" i="6"/>
  <c r="L222" i="6"/>
  <c r="H222" i="6"/>
  <c r="F222" i="6"/>
  <c r="E222" i="6"/>
  <c r="D222" i="6"/>
  <c r="C222" i="6"/>
  <c r="Q227" i="6"/>
  <c r="L232" i="6"/>
  <c r="J232" i="6"/>
  <c r="I232" i="6"/>
  <c r="H232" i="6"/>
  <c r="D232" i="6"/>
  <c r="P232" i="6"/>
  <c r="O232" i="6"/>
  <c r="N232" i="6"/>
  <c r="M232" i="6"/>
  <c r="K232" i="6"/>
  <c r="L243" i="6"/>
  <c r="J243" i="6"/>
  <c r="I243" i="6"/>
  <c r="H243" i="6"/>
  <c r="D243" i="6"/>
  <c r="P243" i="6"/>
  <c r="Q249" i="6"/>
  <c r="L254" i="6"/>
  <c r="J254" i="6"/>
  <c r="I254" i="6"/>
  <c r="H254" i="6"/>
  <c r="D254" i="6"/>
  <c r="M254" i="6"/>
  <c r="K254" i="6"/>
  <c r="G254" i="6"/>
  <c r="F254" i="6"/>
  <c r="E254" i="6"/>
  <c r="C254" i="6"/>
  <c r="Q260" i="6"/>
  <c r="L265" i="6"/>
  <c r="J265" i="6"/>
  <c r="I265" i="6"/>
  <c r="H265" i="6"/>
  <c r="D265" i="6"/>
  <c r="K265" i="6"/>
  <c r="G265" i="6"/>
  <c r="F265" i="6"/>
  <c r="E265" i="6"/>
  <c r="C265" i="6"/>
  <c r="O265" i="6"/>
  <c r="L276" i="6"/>
  <c r="J276" i="6"/>
  <c r="I276" i="6"/>
  <c r="H276" i="6"/>
  <c r="D276" i="6"/>
  <c r="P276" i="6"/>
  <c r="O276" i="6"/>
  <c r="N276" i="6"/>
  <c r="M276" i="6"/>
  <c r="K276" i="6"/>
  <c r="G276" i="6"/>
  <c r="F276" i="6"/>
  <c r="L287" i="6"/>
  <c r="J287" i="6"/>
  <c r="I287" i="6"/>
  <c r="H287" i="6"/>
  <c r="D287" i="6"/>
  <c r="P287" i="6"/>
  <c r="O287" i="6"/>
  <c r="N287" i="6"/>
  <c r="M287" i="6"/>
  <c r="K287" i="6"/>
  <c r="G287" i="6"/>
  <c r="E99" i="6"/>
  <c r="F108" i="6"/>
  <c r="D112" i="6"/>
  <c r="N114" i="6"/>
  <c r="D127" i="6"/>
  <c r="D131" i="6"/>
  <c r="Q138" i="6"/>
  <c r="R138" i="6" s="1"/>
  <c r="F140" i="6"/>
  <c r="E140" i="6"/>
  <c r="D140" i="6"/>
  <c r="Q140" i="6" s="1"/>
  <c r="R140" i="6" s="1"/>
  <c r="I145" i="6"/>
  <c r="H145" i="6"/>
  <c r="Q145" i="6" s="1"/>
  <c r="R145" i="6" s="1"/>
  <c r="G145" i="6"/>
  <c r="F145" i="6"/>
  <c r="E145" i="6"/>
  <c r="E153" i="6"/>
  <c r="D153" i="6"/>
  <c r="Q153" i="6" s="1"/>
  <c r="R153" i="6" s="1"/>
  <c r="O155" i="6"/>
  <c r="N155" i="6"/>
  <c r="M155" i="6"/>
  <c r="L155" i="6"/>
  <c r="K155" i="6"/>
  <c r="Q155" i="6" s="1"/>
  <c r="R155" i="6" s="1"/>
  <c r="J155" i="6"/>
  <c r="O170" i="6"/>
  <c r="N170" i="6"/>
  <c r="P170" i="6"/>
  <c r="M170" i="6"/>
  <c r="L170" i="6"/>
  <c r="K170" i="6"/>
  <c r="J170" i="6"/>
  <c r="I170" i="6"/>
  <c r="H170" i="6"/>
  <c r="Q170" i="6" s="1"/>
  <c r="R170" i="6" s="1"/>
  <c r="G170" i="6"/>
  <c r="O180" i="6"/>
  <c r="N222" i="6"/>
  <c r="H230" i="6"/>
  <c r="E238" i="6"/>
  <c r="I241" i="6"/>
  <c r="I264" i="6"/>
  <c r="D252" i="6"/>
  <c r="O252" i="6"/>
  <c r="M252" i="6"/>
  <c r="L252" i="6"/>
  <c r="J252" i="6"/>
  <c r="D274" i="6"/>
  <c r="P274" i="6"/>
  <c r="O274" i="6"/>
  <c r="N274" i="6"/>
  <c r="M274" i="6"/>
  <c r="L274" i="6"/>
  <c r="J274" i="6"/>
  <c r="K274" i="6"/>
  <c r="I274" i="6"/>
  <c r="H274" i="6"/>
  <c r="C274" i="6"/>
  <c r="H173" i="6"/>
  <c r="G173" i="6"/>
  <c r="L173" i="6"/>
  <c r="K173" i="6"/>
  <c r="J173" i="6"/>
  <c r="I173" i="6"/>
  <c r="F173" i="6"/>
  <c r="E173" i="6"/>
  <c r="D173" i="6"/>
  <c r="R49" i="6"/>
  <c r="R269" i="6" s="1"/>
  <c r="F177" i="6"/>
  <c r="E177" i="6"/>
  <c r="P177" i="6"/>
  <c r="O177" i="6"/>
  <c r="N177" i="6"/>
  <c r="M177" i="6"/>
  <c r="L177" i="6"/>
  <c r="K177" i="6"/>
  <c r="J177" i="6"/>
  <c r="I177" i="6"/>
  <c r="D366" i="6"/>
  <c r="R18" i="6"/>
  <c r="R238" i="6" s="1"/>
  <c r="L298" i="6"/>
  <c r="J298" i="6"/>
  <c r="I298" i="6"/>
  <c r="H298" i="6"/>
  <c r="D298" i="6"/>
  <c r="P298" i="6"/>
  <c r="O298" i="6"/>
  <c r="N298" i="6"/>
  <c r="M298" i="6"/>
  <c r="E298" i="6"/>
  <c r="F99" i="6"/>
  <c r="P101" i="6"/>
  <c r="D103" i="6"/>
  <c r="G108" i="6"/>
  <c r="E112" i="6"/>
  <c r="O114" i="6"/>
  <c r="N118" i="6"/>
  <c r="Q118" i="6" s="1"/>
  <c r="R118" i="6" s="1"/>
  <c r="R122" i="6"/>
  <c r="P122" i="6"/>
  <c r="P125" i="6"/>
  <c r="E127" i="6"/>
  <c r="E131" i="6"/>
  <c r="D135" i="6"/>
  <c r="Q135" i="6" s="1"/>
  <c r="R135" i="6" s="1"/>
  <c r="P180" i="6"/>
  <c r="O192" i="6"/>
  <c r="N192" i="6"/>
  <c r="M192" i="6"/>
  <c r="L192" i="6"/>
  <c r="H192" i="6"/>
  <c r="P192" i="6"/>
  <c r="K192" i="6"/>
  <c r="J192" i="6"/>
  <c r="I192" i="6"/>
  <c r="G192" i="6"/>
  <c r="F192" i="6"/>
  <c r="E192" i="6"/>
  <c r="D192" i="6"/>
  <c r="M196" i="6"/>
  <c r="L196" i="6"/>
  <c r="K196" i="6"/>
  <c r="J196" i="6"/>
  <c r="I196" i="6"/>
  <c r="Q196" i="6" s="1"/>
  <c r="R196" i="6" s="1"/>
  <c r="G196" i="6"/>
  <c r="F196" i="6"/>
  <c r="O222" i="6"/>
  <c r="I230" i="6"/>
  <c r="K241" i="6"/>
  <c r="O259" i="6"/>
  <c r="J264" i="6"/>
  <c r="I269" i="6"/>
  <c r="G274" i="6"/>
  <c r="F285" i="6"/>
  <c r="D263" i="6"/>
  <c r="O263" i="6"/>
  <c r="M263" i="6"/>
  <c r="L263" i="6"/>
  <c r="J263" i="6"/>
  <c r="I263" i="6"/>
  <c r="H263" i="6"/>
  <c r="G263" i="6"/>
  <c r="F263" i="6"/>
  <c r="E263" i="6"/>
  <c r="C263" i="6"/>
  <c r="P263" i="6"/>
  <c r="N263" i="6"/>
  <c r="K263" i="6"/>
  <c r="N227" i="6"/>
  <c r="K227" i="6"/>
  <c r="J227" i="6"/>
  <c r="F227" i="6"/>
  <c r="P227" i="6"/>
  <c r="C227" i="6"/>
  <c r="N238" i="6"/>
  <c r="L238" i="6"/>
  <c r="K238" i="6"/>
  <c r="J238" i="6"/>
  <c r="F238" i="6"/>
  <c r="N249" i="6"/>
  <c r="L249" i="6"/>
  <c r="K249" i="6"/>
  <c r="J249" i="6"/>
  <c r="F249" i="6"/>
  <c r="C249" i="6"/>
  <c r="P249" i="6"/>
  <c r="O249" i="6"/>
  <c r="M249" i="6"/>
  <c r="I249" i="6"/>
  <c r="H249" i="6"/>
  <c r="G249" i="6"/>
  <c r="N260" i="6"/>
  <c r="L260" i="6"/>
  <c r="K260" i="6"/>
  <c r="J260" i="6"/>
  <c r="F260" i="6"/>
  <c r="C260" i="6"/>
  <c r="P260" i="6"/>
  <c r="O260" i="6"/>
  <c r="M260" i="6"/>
  <c r="I260" i="6"/>
  <c r="H260" i="6"/>
  <c r="G260" i="6"/>
  <c r="E260" i="6"/>
  <c r="D260" i="6"/>
  <c r="N271" i="6"/>
  <c r="L271" i="6"/>
  <c r="K271" i="6"/>
  <c r="J271" i="6"/>
  <c r="F271" i="6"/>
  <c r="C271" i="6"/>
  <c r="E271" i="6"/>
  <c r="D271" i="6"/>
  <c r="N282" i="6"/>
  <c r="L282" i="6"/>
  <c r="K282" i="6"/>
  <c r="J282" i="6"/>
  <c r="F282" i="6"/>
  <c r="D282" i="6"/>
  <c r="C282" i="6"/>
  <c r="K351" i="6"/>
  <c r="N293" i="6"/>
  <c r="L293" i="6"/>
  <c r="K293" i="6"/>
  <c r="J293" i="6"/>
  <c r="F293" i="6"/>
  <c r="D293" i="6"/>
  <c r="C293" i="6"/>
  <c r="E293" i="6"/>
  <c r="P310" i="6"/>
  <c r="N310" i="6"/>
  <c r="M310" i="6"/>
  <c r="L310" i="6"/>
  <c r="H310" i="6"/>
  <c r="F310" i="6"/>
  <c r="E310" i="6"/>
  <c r="D310" i="6"/>
  <c r="C310" i="6"/>
  <c r="O310" i="6"/>
  <c r="K310" i="6"/>
  <c r="J310" i="6"/>
  <c r="I310" i="6"/>
  <c r="G310" i="6"/>
  <c r="N317" i="6"/>
  <c r="L317" i="6"/>
  <c r="K317" i="6"/>
  <c r="J317" i="6"/>
  <c r="I317" i="6"/>
  <c r="H317" i="6"/>
  <c r="F317" i="6"/>
  <c r="E317" i="6"/>
  <c r="D317" i="6"/>
  <c r="C317" i="6"/>
  <c r="Q317" i="6"/>
  <c r="G99" i="6"/>
  <c r="D354" i="6" s="1"/>
  <c r="I359" i="6" s="1"/>
  <c r="E103" i="6"/>
  <c r="H108" i="6"/>
  <c r="F112" i="6"/>
  <c r="P114" i="6"/>
  <c r="D116" i="6"/>
  <c r="Q116" i="6" s="1"/>
  <c r="R116" i="6" s="1"/>
  <c r="D120" i="6"/>
  <c r="F127" i="6"/>
  <c r="F131" i="6"/>
  <c r="H135" i="6"/>
  <c r="P142" i="6"/>
  <c r="O142" i="6"/>
  <c r="N142" i="6"/>
  <c r="M142" i="6"/>
  <c r="L142" i="6"/>
  <c r="L150" i="6"/>
  <c r="K150" i="6"/>
  <c r="J150" i="6"/>
  <c r="I150" i="6"/>
  <c r="H150" i="6"/>
  <c r="Q150" i="6" s="1"/>
  <c r="R150" i="6" s="1"/>
  <c r="Q156" i="6"/>
  <c r="R156" i="6" s="1"/>
  <c r="Q171" i="6"/>
  <c r="R171" i="6" s="1"/>
  <c r="M213" i="6"/>
  <c r="H213" i="6"/>
  <c r="P213" i="6"/>
  <c r="O213" i="6"/>
  <c r="N213" i="6"/>
  <c r="L213" i="6"/>
  <c r="K213" i="6"/>
  <c r="J213" i="6"/>
  <c r="I213" i="6"/>
  <c r="G213" i="6"/>
  <c r="D213" i="6"/>
  <c r="Q222" i="6"/>
  <c r="D227" i="6"/>
  <c r="K230" i="6"/>
  <c r="H238" i="6"/>
  <c r="K264" i="6"/>
  <c r="G285" i="6"/>
  <c r="E302" i="6"/>
  <c r="R68" i="6"/>
  <c r="R288" i="6" s="1"/>
  <c r="Q299" i="6"/>
  <c r="N304" i="6"/>
  <c r="L304" i="6"/>
  <c r="K304" i="6"/>
  <c r="J304" i="6"/>
  <c r="F304" i="6"/>
  <c r="D304" i="6"/>
  <c r="C304" i="6"/>
  <c r="M304" i="6"/>
  <c r="I304" i="6"/>
  <c r="H304" i="6"/>
  <c r="G304" i="6"/>
  <c r="E304" i="6"/>
  <c r="H99" i="6"/>
  <c r="F103" i="6"/>
  <c r="D107" i="6"/>
  <c r="Q107" i="6" s="1"/>
  <c r="I108" i="6"/>
  <c r="G112" i="6"/>
  <c r="E116" i="6"/>
  <c r="E120" i="6"/>
  <c r="D123" i="6"/>
  <c r="Q123" i="6" s="1"/>
  <c r="R123" i="6" s="1"/>
  <c r="G127" i="6"/>
  <c r="F129" i="6"/>
  <c r="D129" i="6"/>
  <c r="Q129" i="6" s="1"/>
  <c r="R129" i="6" s="1"/>
  <c r="G131" i="6"/>
  <c r="I135" i="6"/>
  <c r="Q193" i="6"/>
  <c r="R193" i="6" s="1"/>
  <c r="Q197" i="6"/>
  <c r="R197" i="6" s="1"/>
  <c r="F216" i="6"/>
  <c r="O216" i="6"/>
  <c r="Q216" i="6" s="1"/>
  <c r="R216" i="6" s="1"/>
  <c r="P216" i="6"/>
  <c r="N216" i="6"/>
  <c r="M216" i="6"/>
  <c r="L216" i="6"/>
  <c r="K216" i="6"/>
  <c r="J216" i="6"/>
  <c r="I216" i="6"/>
  <c r="H216" i="6"/>
  <c r="R222" i="6"/>
  <c r="E227" i="6"/>
  <c r="L230" i="6"/>
  <c r="I238" i="6"/>
  <c r="E280" i="6"/>
  <c r="G302" i="6"/>
  <c r="D296" i="6"/>
  <c r="P296" i="6"/>
  <c r="O296" i="6"/>
  <c r="N296" i="6"/>
  <c r="M296" i="6"/>
  <c r="L296" i="6"/>
  <c r="J296" i="6"/>
  <c r="K296" i="6"/>
  <c r="I296" i="6"/>
  <c r="H296" i="6"/>
  <c r="G296" i="6"/>
  <c r="F296" i="6"/>
  <c r="E296" i="6"/>
  <c r="C296" i="6"/>
  <c r="F269" i="6"/>
  <c r="D269" i="6"/>
  <c r="C269" i="6"/>
  <c r="O269" i="6"/>
  <c r="N269" i="6"/>
  <c r="L269" i="6"/>
  <c r="H269" i="6"/>
  <c r="G269" i="6"/>
  <c r="E269" i="6"/>
  <c r="P269" i="6"/>
  <c r="M269" i="6"/>
  <c r="K269" i="6"/>
  <c r="P233" i="6"/>
  <c r="N233" i="6"/>
  <c r="M233" i="6"/>
  <c r="L233" i="6"/>
  <c r="H233" i="6"/>
  <c r="D233" i="6"/>
  <c r="C233" i="6"/>
  <c r="O233" i="6"/>
  <c r="P244" i="6"/>
  <c r="N244" i="6"/>
  <c r="M244" i="6"/>
  <c r="L244" i="6"/>
  <c r="H244" i="6"/>
  <c r="I244" i="6"/>
  <c r="G244" i="6"/>
  <c r="F244" i="6"/>
  <c r="E244" i="6"/>
  <c r="D244" i="6"/>
  <c r="C244" i="6"/>
  <c r="O244" i="6"/>
  <c r="K244" i="6"/>
  <c r="J244" i="6"/>
  <c r="P255" i="6"/>
  <c r="N255" i="6"/>
  <c r="M255" i="6"/>
  <c r="L255" i="6"/>
  <c r="H255" i="6"/>
  <c r="E255" i="6"/>
  <c r="C255" i="6"/>
  <c r="O255" i="6"/>
  <c r="K255" i="6"/>
  <c r="J255" i="6"/>
  <c r="I255" i="6"/>
  <c r="G255" i="6"/>
  <c r="F255" i="6"/>
  <c r="D255" i="6"/>
  <c r="P266" i="6"/>
  <c r="N266" i="6"/>
  <c r="M266" i="6"/>
  <c r="L266" i="6"/>
  <c r="H266" i="6"/>
  <c r="E266" i="6"/>
  <c r="C266" i="6"/>
  <c r="O266" i="6"/>
  <c r="K266" i="6"/>
  <c r="J266" i="6"/>
  <c r="I266" i="6"/>
  <c r="G266" i="6"/>
  <c r="F266" i="6"/>
  <c r="D266" i="6"/>
  <c r="P277" i="6"/>
  <c r="N277" i="6"/>
  <c r="M277" i="6"/>
  <c r="L277" i="6"/>
  <c r="H277" i="6"/>
  <c r="F277" i="6"/>
  <c r="E277" i="6"/>
  <c r="D277" i="6"/>
  <c r="C277" i="6"/>
  <c r="O277" i="6"/>
  <c r="K277" i="6"/>
  <c r="J277" i="6"/>
  <c r="I277" i="6"/>
  <c r="G277" i="6"/>
  <c r="P288" i="6"/>
  <c r="N288" i="6"/>
  <c r="M288" i="6"/>
  <c r="L288" i="6"/>
  <c r="H288" i="6"/>
  <c r="F288" i="6"/>
  <c r="E288" i="6"/>
  <c r="D288" i="6"/>
  <c r="C288" i="6"/>
  <c r="O288" i="6"/>
  <c r="K288" i="6"/>
  <c r="J288" i="6"/>
  <c r="I288" i="6"/>
  <c r="G288" i="6"/>
  <c r="I352" i="6"/>
  <c r="G365" i="6" s="1"/>
  <c r="Q294" i="6"/>
  <c r="D98" i="6"/>
  <c r="Q98" i="6" s="1"/>
  <c r="I99" i="6"/>
  <c r="F354" i="6" s="1"/>
  <c r="I361" i="6" s="1"/>
  <c r="G103" i="6"/>
  <c r="E107" i="6"/>
  <c r="J108" i="6"/>
  <c r="H112" i="6"/>
  <c r="F116" i="6"/>
  <c r="G120" i="6"/>
  <c r="E123" i="6"/>
  <c r="K125" i="6"/>
  <c r="I125" i="6"/>
  <c r="Q125" i="6" s="1"/>
  <c r="R125" i="6" s="1"/>
  <c r="H127" i="6"/>
  <c r="H131" i="6"/>
  <c r="J135" i="6"/>
  <c r="Q143" i="6"/>
  <c r="R143" i="6" s="1"/>
  <c r="D151" i="6"/>
  <c r="M180" i="6"/>
  <c r="L180" i="6"/>
  <c r="K180" i="6"/>
  <c r="J180" i="6"/>
  <c r="I180" i="6"/>
  <c r="H180" i="6"/>
  <c r="G180" i="6"/>
  <c r="F180" i="6"/>
  <c r="Q214" i="6"/>
  <c r="R214" i="6" s="1"/>
  <c r="G227" i="6"/>
  <c r="M230" i="6"/>
  <c r="M238" i="6"/>
  <c r="L275" i="6"/>
  <c r="G280" i="6"/>
  <c r="E291" i="6"/>
  <c r="I302" i="6"/>
  <c r="O308" i="6"/>
  <c r="F258" i="6"/>
  <c r="D258" i="6"/>
  <c r="C258" i="6"/>
  <c r="O258" i="6"/>
  <c r="N258" i="6"/>
  <c r="K349" i="6"/>
  <c r="L258" i="6"/>
  <c r="E258" i="6"/>
  <c r="R294" i="6"/>
  <c r="P299" i="6"/>
  <c r="N299" i="6"/>
  <c r="M299" i="6"/>
  <c r="L299" i="6"/>
  <c r="H299" i="6"/>
  <c r="F299" i="6"/>
  <c r="E299" i="6"/>
  <c r="D299" i="6"/>
  <c r="C299" i="6"/>
  <c r="O299" i="6"/>
  <c r="K299" i="6"/>
  <c r="J299" i="6"/>
  <c r="I299" i="6"/>
  <c r="G299" i="6"/>
  <c r="Q305" i="6"/>
  <c r="Q311" i="6"/>
  <c r="P311" i="6"/>
  <c r="L311" i="6"/>
  <c r="J311" i="6"/>
  <c r="I311" i="6"/>
  <c r="H311" i="6"/>
  <c r="G311" i="6"/>
  <c r="F311" i="6"/>
  <c r="D311" i="6"/>
  <c r="O311" i="6"/>
  <c r="N311" i="6"/>
  <c r="M311" i="6"/>
  <c r="K311" i="6"/>
  <c r="E311" i="6"/>
  <c r="C311" i="6"/>
  <c r="E98" i="6"/>
  <c r="J99" i="6"/>
  <c r="H103" i="6"/>
  <c r="F107" i="6"/>
  <c r="K108" i="6"/>
  <c r="D111" i="6"/>
  <c r="Q111" i="6" s="1"/>
  <c r="I112" i="6"/>
  <c r="G116" i="6"/>
  <c r="F123" i="6"/>
  <c r="I127" i="6"/>
  <c r="I131" i="6"/>
  <c r="E134" i="6"/>
  <c r="K135" i="6"/>
  <c r="K136" i="6"/>
  <c r="J136" i="6"/>
  <c r="I136" i="6"/>
  <c r="G136" i="6"/>
  <c r="E151" i="6"/>
  <c r="P166" i="6"/>
  <c r="J166" i="6"/>
  <c r="I166" i="6"/>
  <c r="H166" i="6"/>
  <c r="G166" i="6"/>
  <c r="F166" i="6"/>
  <c r="E166" i="6"/>
  <c r="D166" i="6"/>
  <c r="Q166" i="6" s="1"/>
  <c r="R166" i="6" s="1"/>
  <c r="Q217" i="6"/>
  <c r="R217" i="6" s="1"/>
  <c r="H227" i="6"/>
  <c r="N230" i="6"/>
  <c r="O238" i="6"/>
  <c r="C252" i="6"/>
  <c r="M265" i="6"/>
  <c r="M275" i="6"/>
  <c r="L286" i="6"/>
  <c r="G291" i="6"/>
  <c r="L297" i="6"/>
  <c r="J302" i="6"/>
  <c r="H120" i="6"/>
  <c r="F120" i="6"/>
  <c r="N183" i="6"/>
  <c r="M183" i="6"/>
  <c r="K183" i="6"/>
  <c r="J183" i="6"/>
  <c r="I183" i="6"/>
  <c r="H183" i="6"/>
  <c r="G183" i="6"/>
  <c r="F183" i="6"/>
  <c r="E183" i="6"/>
  <c r="D183" i="6"/>
  <c r="F225" i="6"/>
  <c r="C225" i="6"/>
  <c r="L225" i="6"/>
  <c r="H225" i="6"/>
  <c r="G225" i="6"/>
  <c r="E225" i="6"/>
  <c r="D225" i="6"/>
  <c r="P225" i="6"/>
  <c r="Q223" i="6"/>
  <c r="O228" i="6"/>
  <c r="N228" i="6"/>
  <c r="J228" i="6"/>
  <c r="G228" i="6"/>
  <c r="F228" i="6"/>
  <c r="E228" i="6"/>
  <c r="D228" i="6"/>
  <c r="C228" i="6"/>
  <c r="P228" i="6"/>
  <c r="M228" i="6"/>
  <c r="L228" i="6"/>
  <c r="K228" i="6"/>
  <c r="Q234" i="6"/>
  <c r="I347" i="6"/>
  <c r="B365" i="6" s="1"/>
  <c r="P239" i="6"/>
  <c r="O239" i="6"/>
  <c r="N239" i="6"/>
  <c r="J239" i="6"/>
  <c r="K239" i="6"/>
  <c r="I239" i="6"/>
  <c r="H239" i="6"/>
  <c r="G239" i="6"/>
  <c r="F239" i="6"/>
  <c r="E239" i="6"/>
  <c r="D239" i="6"/>
  <c r="C239" i="6"/>
  <c r="M239" i="6"/>
  <c r="L239" i="6"/>
  <c r="Q245" i="6"/>
  <c r="P250" i="6"/>
  <c r="O250" i="6"/>
  <c r="N250" i="6"/>
  <c r="J250" i="6"/>
  <c r="G250" i="6"/>
  <c r="E250" i="6"/>
  <c r="D250" i="6"/>
  <c r="M250" i="6"/>
  <c r="L250" i="6"/>
  <c r="K250" i="6"/>
  <c r="I250" i="6"/>
  <c r="H250" i="6"/>
  <c r="Q256" i="6"/>
  <c r="P261" i="6"/>
  <c r="O261" i="6"/>
  <c r="N261" i="6"/>
  <c r="J261" i="6"/>
  <c r="G261" i="6"/>
  <c r="E261" i="6"/>
  <c r="D261" i="6"/>
  <c r="L261" i="6"/>
  <c r="K261" i="6"/>
  <c r="I261" i="6"/>
  <c r="H261" i="6"/>
  <c r="F261" i="6"/>
  <c r="C261" i="6"/>
  <c r="Q267" i="6"/>
  <c r="P272" i="6"/>
  <c r="O272" i="6"/>
  <c r="N272" i="6"/>
  <c r="J272" i="6"/>
  <c r="H272" i="6"/>
  <c r="G272" i="6"/>
  <c r="E272" i="6"/>
  <c r="D272" i="6"/>
  <c r="M272" i="6"/>
  <c r="L272" i="6"/>
  <c r="K272" i="6"/>
  <c r="I272" i="6"/>
  <c r="F272" i="6"/>
  <c r="Q278" i="6"/>
  <c r="P283" i="6"/>
  <c r="O283" i="6"/>
  <c r="N283" i="6"/>
  <c r="J283" i="6"/>
  <c r="H283" i="6"/>
  <c r="G283" i="6"/>
  <c r="F283" i="6"/>
  <c r="E283" i="6"/>
  <c r="D283" i="6"/>
  <c r="M283" i="6"/>
  <c r="L283" i="6"/>
  <c r="K283" i="6"/>
  <c r="I283" i="6"/>
  <c r="C283" i="6"/>
  <c r="Q289" i="6"/>
  <c r="P294" i="6"/>
  <c r="O294" i="6"/>
  <c r="N294" i="6"/>
  <c r="K352" i="6"/>
  <c r="J294" i="6"/>
  <c r="H294" i="6"/>
  <c r="G294" i="6"/>
  <c r="F294" i="6"/>
  <c r="E294" i="6"/>
  <c r="D294" i="6"/>
  <c r="M294" i="6"/>
  <c r="L294" i="6"/>
  <c r="K294" i="6"/>
  <c r="I294" i="6"/>
  <c r="C294" i="6"/>
  <c r="F98" i="6"/>
  <c r="J120" i="6"/>
  <c r="D126" i="6"/>
  <c r="J127" i="6"/>
  <c r="D130" i="6"/>
  <c r="J131" i="6"/>
  <c r="F134" i="6"/>
  <c r="L135" i="6"/>
  <c r="F151" i="6"/>
  <c r="R162" i="6"/>
  <c r="H169" i="6"/>
  <c r="I227" i="6"/>
  <c r="P238" i="6"/>
  <c r="C243" i="6"/>
  <c r="E252" i="6"/>
  <c r="N265" i="6"/>
  <c r="O275" i="6"/>
  <c r="M286" i="6"/>
  <c r="H291" i="6"/>
  <c r="M297" i="6"/>
  <c r="K302" i="6"/>
  <c r="D374" i="6"/>
  <c r="D359" i="6"/>
  <c r="G357" i="6"/>
  <c r="B377" i="6"/>
  <c r="R207" i="6"/>
  <c r="D372" i="6"/>
  <c r="B359" i="6"/>
  <c r="R175" i="6"/>
  <c r="K200" i="6"/>
  <c r="J200" i="6"/>
  <c r="I200" i="6"/>
  <c r="H200" i="6"/>
  <c r="G200" i="6"/>
  <c r="E200" i="6"/>
  <c r="D200" i="6"/>
  <c r="Q200" i="6" s="1"/>
  <c r="R200" i="6" s="1"/>
  <c r="E168" i="6"/>
  <c r="D168" i="6"/>
  <c r="Q168" i="6" s="1"/>
  <c r="R168" i="6" s="1"/>
  <c r="K178" i="6"/>
  <c r="Q178" i="6" s="1"/>
  <c r="R178" i="6" s="1"/>
  <c r="J178" i="6"/>
  <c r="R202" i="6"/>
  <c r="O210" i="6"/>
  <c r="P210" i="6"/>
  <c r="N210" i="6"/>
  <c r="M210" i="6"/>
  <c r="L210" i="6"/>
  <c r="K210" i="6"/>
  <c r="J210" i="6"/>
  <c r="I210" i="6"/>
  <c r="Q210" i="6" s="1"/>
  <c r="R210" i="6" s="1"/>
  <c r="R181" i="6"/>
  <c r="I204" i="6"/>
  <c r="H204" i="6"/>
  <c r="G204" i="6"/>
  <c r="F204" i="6"/>
  <c r="E204" i="6"/>
  <c r="D204" i="6"/>
  <c r="Q204" i="6" s="1"/>
  <c r="R204" i="6" s="1"/>
  <c r="Q211" i="6"/>
  <c r="R211" i="6" s="1"/>
  <c r="H212" i="6"/>
  <c r="I212" i="6"/>
  <c r="G212" i="6"/>
  <c r="F212" i="6"/>
  <c r="E212" i="6"/>
  <c r="D212" i="6"/>
  <c r="G164" i="6"/>
  <c r="F164" i="6"/>
  <c r="P197" i="6"/>
  <c r="O197" i="6"/>
  <c r="N197" i="6"/>
  <c r="L197" i="6"/>
  <c r="K197" i="6"/>
  <c r="R206" i="6"/>
  <c r="M174" i="6"/>
  <c r="L174" i="6"/>
  <c r="R184" i="6"/>
  <c r="E372" i="6"/>
  <c r="B360" i="6"/>
  <c r="D377" i="6"/>
  <c r="G359" i="6"/>
  <c r="F372" i="6"/>
  <c r="B361" i="6"/>
  <c r="B375" i="6"/>
  <c r="E357" i="6"/>
  <c r="B362" i="6"/>
  <c r="G372" i="6"/>
  <c r="B363" i="6"/>
  <c r="H372" i="6"/>
  <c r="M214" i="6"/>
  <c r="E214" i="6"/>
  <c r="K217" i="6"/>
  <c r="J217" i="6"/>
  <c r="F217" i="6"/>
  <c r="C366" i="6"/>
  <c r="E363" i="6"/>
  <c r="H375" i="6"/>
  <c r="C361" i="6"/>
  <c r="F373" i="6"/>
  <c r="F357" i="6"/>
  <c r="B376" i="6"/>
  <c r="C363" i="6"/>
  <c r="H373" i="6"/>
  <c r="F366" i="6"/>
  <c r="G358" i="6"/>
  <c r="G366" i="6" s="1"/>
  <c r="E361" i="6"/>
  <c r="H358" i="6"/>
  <c r="G361" i="6"/>
  <c r="B373" i="6"/>
  <c r="C376" i="6"/>
  <c r="H361" i="6"/>
  <c r="C373" i="6"/>
  <c r="D376" i="6"/>
  <c r="C359" i="6"/>
  <c r="E376" i="6"/>
  <c r="E373" i="6"/>
  <c r="E359" i="6"/>
  <c r="E366" i="6" s="1"/>
  <c r="C362" i="6"/>
  <c r="G376" i="6"/>
  <c r="E362" i="6"/>
  <c r="H359" i="6"/>
  <c r="B374" i="6"/>
  <c r="G362" i="6"/>
  <c r="C374" i="6"/>
  <c r="H362" i="6"/>
  <c r="E377" i="6"/>
  <c r="E374" i="6"/>
  <c r="E360" i="6"/>
  <c r="H377" i="6"/>
  <c r="H357" i="6"/>
  <c r="B358" i="6"/>
  <c r="H360" i="6"/>
  <c r="C375" i="6"/>
  <c r="H363" i="6"/>
  <c r="Q12" i="5"/>
  <c r="Q6" i="5"/>
  <c r="Q13" i="5"/>
  <c r="Q11" i="5"/>
  <c r="Q9" i="5"/>
  <c r="Q7" i="5"/>
  <c r="Q5" i="5"/>
  <c r="Q3" i="5"/>
  <c r="Q10" i="5"/>
  <c r="Q4" i="5"/>
  <c r="Q8" i="5"/>
  <c r="R15" i="5"/>
  <c r="Q14" i="5"/>
  <c r="G16" i="5"/>
  <c r="V17" i="4"/>
  <c r="T19" i="4"/>
  <c r="U19" i="4"/>
  <c r="Q114" i="6" l="1"/>
  <c r="R114" i="6" s="1"/>
  <c r="Q117" i="6"/>
  <c r="R117" i="6" s="1"/>
  <c r="AA135" i="6"/>
  <c r="H354" i="6"/>
  <c r="I363" i="6" s="1"/>
  <c r="EB14" i="10"/>
  <c r="EL14" i="10" s="1"/>
  <c r="EH14" i="10"/>
  <c r="ER14" i="10" s="1"/>
  <c r="EH136" i="10"/>
  <c r="ER136" i="10" s="1"/>
  <c r="EF136" i="10"/>
  <c r="EP136" i="10" s="1"/>
  <c r="EE136" i="10"/>
  <c r="EO136" i="10" s="1"/>
  <c r="EG136" i="10"/>
  <c r="EQ136" i="10" s="1"/>
  <c r="EF118" i="10"/>
  <c r="EP118" i="10" s="1"/>
  <c r="DX319" i="10"/>
  <c r="DY319" i="10" s="1"/>
  <c r="EG32" i="10"/>
  <c r="EQ32" i="10" s="1"/>
  <c r="DX287" i="10"/>
  <c r="DX118" i="10"/>
  <c r="EH118" i="10" s="1"/>
  <c r="ER118" i="10" s="1"/>
  <c r="EF55" i="10"/>
  <c r="EP55" i="10" s="1"/>
  <c r="DX230" i="10"/>
  <c r="EE230" i="10" s="1"/>
  <c r="EO230" i="10" s="1"/>
  <c r="DX335" i="10"/>
  <c r="EA335" i="10" s="1"/>
  <c r="EK335" i="10" s="1"/>
  <c r="DX205" i="10"/>
  <c r="EC205" i="10" s="1"/>
  <c r="EM205" i="10" s="1"/>
  <c r="DX64" i="10"/>
  <c r="EF64" i="10" s="1"/>
  <c r="EP64" i="10" s="1"/>
  <c r="EA55" i="10"/>
  <c r="EK55" i="10" s="1"/>
  <c r="DX142" i="10"/>
  <c r="EH142" i="10" s="1"/>
  <c r="ER142" i="10" s="1"/>
  <c r="DX229" i="10"/>
  <c r="DX371" i="10"/>
  <c r="EE371" i="10" s="1"/>
  <c r="EO371" i="10" s="1"/>
  <c r="DX50" i="10"/>
  <c r="EA42" i="10"/>
  <c r="EK42" i="10" s="1"/>
  <c r="DX114" i="10"/>
  <c r="EH114" i="10" s="1"/>
  <c r="ER114" i="10" s="1"/>
  <c r="DX140" i="10"/>
  <c r="EC140" i="10" s="1"/>
  <c r="EM140" i="10" s="1"/>
  <c r="DX221" i="10"/>
  <c r="DX90" i="10"/>
  <c r="EB31" i="10"/>
  <c r="EL31" i="10" s="1"/>
  <c r="EB43" i="10"/>
  <c r="EL43" i="10" s="1"/>
  <c r="DX130" i="10"/>
  <c r="EG130" i="10" s="1"/>
  <c r="EQ130" i="10" s="1"/>
  <c r="DX132" i="10"/>
  <c r="DX283" i="10"/>
  <c r="EH283" i="10" s="1"/>
  <c r="ER283" i="10" s="1"/>
  <c r="DX61" i="10"/>
  <c r="EE61" i="10" s="1"/>
  <c r="EO61" i="10" s="1"/>
  <c r="DX233" i="10"/>
  <c r="EB233" i="10" s="1"/>
  <c r="EL233" i="10" s="1"/>
  <c r="DX232" i="10"/>
  <c r="EH232" i="10" s="1"/>
  <c r="ER232" i="10" s="1"/>
  <c r="DX171" i="10"/>
  <c r="EA171" i="10" s="1"/>
  <c r="EK171" i="10" s="1"/>
  <c r="DX122" i="10"/>
  <c r="DY122" i="10" s="1"/>
  <c r="DX84" i="10"/>
  <c r="EB84" i="10" s="1"/>
  <c r="EL84" i="10" s="1"/>
  <c r="EE91" i="10"/>
  <c r="EO91" i="10" s="1"/>
  <c r="DX78" i="10"/>
  <c r="EC78" i="10" s="1"/>
  <c r="EM78" i="10" s="1"/>
  <c r="DX365" i="10"/>
  <c r="DX246" i="10"/>
  <c r="EA246" i="10" s="1"/>
  <c r="EK246" i="10" s="1"/>
  <c r="DX182" i="10"/>
  <c r="DX163" i="10"/>
  <c r="DY55" i="10"/>
  <c r="EA28" i="10"/>
  <c r="EK28" i="10" s="1"/>
  <c r="DX223" i="10"/>
  <c r="DY223" i="10" s="1"/>
  <c r="EF91" i="10"/>
  <c r="EP91" i="10" s="1"/>
  <c r="DX87" i="10"/>
  <c r="EH87" i="10" s="1"/>
  <c r="ER87" i="10" s="1"/>
  <c r="DX373" i="10"/>
  <c r="EG373" i="10" s="1"/>
  <c r="EQ373" i="10" s="1"/>
  <c r="DX345" i="10"/>
  <c r="EF22" i="10"/>
  <c r="EP22" i="10" s="1"/>
  <c r="EE74" i="10"/>
  <c r="EO74" i="10" s="1"/>
  <c r="DX71" i="10"/>
  <c r="EF71" i="10" s="1"/>
  <c r="EP71" i="10" s="1"/>
  <c r="DX161" i="10"/>
  <c r="EB161" i="10" s="1"/>
  <c r="EL161" i="10" s="1"/>
  <c r="DY32" i="10"/>
  <c r="DX268" i="10"/>
  <c r="EC268" i="10" s="1"/>
  <c r="EM268" i="10" s="1"/>
  <c r="DX284" i="10"/>
  <c r="EB284" i="10" s="1"/>
  <c r="EL284" i="10" s="1"/>
  <c r="EC25" i="10"/>
  <c r="EM25" i="10" s="1"/>
  <c r="EC103" i="10"/>
  <c r="EM103" i="10" s="1"/>
  <c r="DY30" i="10"/>
  <c r="DX237" i="10"/>
  <c r="EB30" i="10"/>
  <c r="EL30" i="10" s="1"/>
  <c r="ES30" i="10" s="1"/>
  <c r="EG17" i="10"/>
  <c r="EQ17" i="10" s="1"/>
  <c r="DY22" i="10"/>
  <c r="EE17" i="10"/>
  <c r="EO17" i="10" s="1"/>
  <c r="EA19" i="10"/>
  <c r="EK19" i="10" s="1"/>
  <c r="DX199" i="10"/>
  <c r="EA199" i="10" s="1"/>
  <c r="EK199" i="10" s="1"/>
  <c r="EE98" i="10"/>
  <c r="EO98" i="10" s="1"/>
  <c r="DX88" i="10"/>
  <c r="DX77" i="10"/>
  <c r="EE77" i="10" s="1"/>
  <c r="EO77" i="10" s="1"/>
  <c r="DX115" i="10"/>
  <c r="EC115" i="10" s="1"/>
  <c r="EM115" i="10" s="1"/>
  <c r="EG103" i="10"/>
  <c r="EQ103" i="10" s="1"/>
  <c r="DX241" i="10"/>
  <c r="EA241" i="10" s="1"/>
  <c r="EK241" i="10" s="1"/>
  <c r="EE86" i="10"/>
  <c r="EO86" i="10" s="1"/>
  <c r="EG43" i="10"/>
  <c r="EQ43" i="10" s="1"/>
  <c r="DX65" i="10"/>
  <c r="EA65" i="10" s="1"/>
  <c r="EK65" i="10" s="1"/>
  <c r="EE28" i="10"/>
  <c r="EO28" i="10" s="1"/>
  <c r="DY106" i="10"/>
  <c r="DX165" i="10"/>
  <c r="EB165" i="10" s="1"/>
  <c r="EL165" i="10" s="1"/>
  <c r="EH312" i="10"/>
  <c r="ER312" i="10" s="1"/>
  <c r="ED312" i="10"/>
  <c r="EN312" i="10" s="1"/>
  <c r="EA312" i="10"/>
  <c r="EK312" i="10" s="1"/>
  <c r="EF100" i="10"/>
  <c r="EP100" i="10" s="1"/>
  <c r="EE100" i="10"/>
  <c r="EO100" i="10" s="1"/>
  <c r="EH100" i="10"/>
  <c r="ER100" i="10" s="1"/>
  <c r="EG100" i="10"/>
  <c r="EQ100" i="10" s="1"/>
  <c r="EB100" i="10"/>
  <c r="EL100" i="10" s="1"/>
  <c r="DY100" i="10"/>
  <c r="EE41" i="10"/>
  <c r="EO41" i="10" s="1"/>
  <c r="EH41" i="10"/>
  <c r="ER41" i="10" s="1"/>
  <c r="DY142" i="10"/>
  <c r="EA78" i="10"/>
  <c r="EK78" i="10" s="1"/>
  <c r="EF78" i="10"/>
  <c r="EP78" i="10" s="1"/>
  <c r="EG78" i="10"/>
  <c r="EQ78" i="10" s="1"/>
  <c r="EC68" i="10"/>
  <c r="EM68" i="10" s="1"/>
  <c r="EB68" i="10"/>
  <c r="EL68" i="10" s="1"/>
  <c r="EB142" i="10"/>
  <c r="EL142" i="10" s="1"/>
  <c r="EA142" i="10"/>
  <c r="EK142" i="10" s="1"/>
  <c r="EG142" i="10"/>
  <c r="EQ142" i="10" s="1"/>
  <c r="EA66" i="10"/>
  <c r="EK66" i="10" s="1"/>
  <c r="EH66" i="10"/>
  <c r="ER66" i="10" s="1"/>
  <c r="EB66" i="10"/>
  <c r="EL66" i="10" s="1"/>
  <c r="EC66" i="10"/>
  <c r="EM66" i="10" s="1"/>
  <c r="EG66" i="10"/>
  <c r="EQ66" i="10" s="1"/>
  <c r="EA90" i="10"/>
  <c r="EK90" i="10" s="1"/>
  <c r="EC90" i="10"/>
  <c r="EM90" i="10" s="1"/>
  <c r="EF44" i="10"/>
  <c r="EP44" i="10" s="1"/>
  <c r="EG44" i="10"/>
  <c r="EQ44" i="10" s="1"/>
  <c r="EH44" i="10"/>
  <c r="ER44" i="10" s="1"/>
  <c r="EH130" i="10"/>
  <c r="ER130" i="10" s="1"/>
  <c r="EH126" i="10"/>
  <c r="ER126" i="10" s="1"/>
  <c r="EF126" i="10"/>
  <c r="EP126" i="10" s="1"/>
  <c r="EA126" i="10"/>
  <c r="EK126" i="10" s="1"/>
  <c r="EG126" i="10"/>
  <c r="EQ126" i="10" s="1"/>
  <c r="EA268" i="10"/>
  <c r="EK268" i="10" s="1"/>
  <c r="EE268" i="10"/>
  <c r="EO268" i="10" s="1"/>
  <c r="EB60" i="10"/>
  <c r="EL60" i="10" s="1"/>
  <c r="EA60" i="10"/>
  <c r="EK60" i="10" s="1"/>
  <c r="EH60" i="10"/>
  <c r="ER60" i="10" s="1"/>
  <c r="EF60" i="10"/>
  <c r="EP60" i="10" s="1"/>
  <c r="EC60" i="10"/>
  <c r="EM60" i="10" s="1"/>
  <c r="EG60" i="10"/>
  <c r="EQ60" i="10" s="1"/>
  <c r="EA84" i="10"/>
  <c r="EK84" i="10" s="1"/>
  <c r="EF84" i="10"/>
  <c r="EP84" i="10" s="1"/>
  <c r="EH84" i="10"/>
  <c r="ER84" i="10" s="1"/>
  <c r="ED223" i="10"/>
  <c r="EN223" i="10" s="1"/>
  <c r="EE223" i="10"/>
  <c r="EO223" i="10" s="1"/>
  <c r="EH223" i="10"/>
  <c r="ER223" i="10" s="1"/>
  <c r="DY84" i="10"/>
  <c r="DY66" i="10"/>
  <c r="EF140" i="10"/>
  <c r="EP140" i="10" s="1"/>
  <c r="EA59" i="10"/>
  <c r="EK59" i="10" s="1"/>
  <c r="EH59" i="10"/>
  <c r="ER59" i="10" s="1"/>
  <c r="EC59" i="10"/>
  <c r="EM59" i="10" s="1"/>
  <c r="EG59" i="10"/>
  <c r="EQ59" i="10" s="1"/>
  <c r="EH345" i="10"/>
  <c r="ER345" i="10" s="1"/>
  <c r="EG345" i="10"/>
  <c r="EQ345" i="10" s="1"/>
  <c r="EE163" i="10"/>
  <c r="EO163" i="10" s="1"/>
  <c r="EA237" i="10"/>
  <c r="EK237" i="10" s="1"/>
  <c r="EH237" i="10"/>
  <c r="ER237" i="10" s="1"/>
  <c r="EE115" i="10"/>
  <c r="EO115" i="10" s="1"/>
  <c r="EB115" i="10"/>
  <c r="EL115" i="10" s="1"/>
  <c r="EC88" i="10"/>
  <c r="EM88" i="10" s="1"/>
  <c r="EB88" i="10"/>
  <c r="EL88" i="10" s="1"/>
  <c r="DY88" i="10"/>
  <c r="DY77" i="10"/>
  <c r="EG77" i="10"/>
  <c r="EQ77" i="10" s="1"/>
  <c r="EB77" i="10"/>
  <c r="EL77" i="10" s="1"/>
  <c r="DY163" i="10"/>
  <c r="EG21" i="10"/>
  <c r="EQ21" i="10" s="1"/>
  <c r="EA56" i="10"/>
  <c r="EK56" i="10" s="1"/>
  <c r="EF53" i="10"/>
  <c r="EP53" i="10" s="1"/>
  <c r="EA53" i="10"/>
  <c r="EK53" i="10" s="1"/>
  <c r="DY62" i="10"/>
  <c r="DY42" i="10"/>
  <c r="EC42" i="10"/>
  <c r="EM42" i="10" s="1"/>
  <c r="EH42" i="10"/>
  <c r="ER42" i="10" s="1"/>
  <c r="EG42" i="10"/>
  <c r="EQ42" i="10" s="1"/>
  <c r="DX324" i="10"/>
  <c r="EG324" i="10" s="1"/>
  <c r="EQ324" i="10" s="1"/>
  <c r="EA40" i="10"/>
  <c r="EK40" i="10" s="1"/>
  <c r="DX297" i="10"/>
  <c r="EC297" i="10" s="1"/>
  <c r="EM297" i="10" s="1"/>
  <c r="DY182" i="10"/>
  <c r="DY130" i="10"/>
  <c r="EC92" i="10"/>
  <c r="EM92" i="10" s="1"/>
  <c r="EE22" i="10"/>
  <c r="EO22" i="10" s="1"/>
  <c r="EB91" i="10"/>
  <c r="EL91" i="10" s="1"/>
  <c r="EF21" i="10"/>
  <c r="EP21" i="10" s="1"/>
  <c r="EB57" i="10"/>
  <c r="EL57" i="10" s="1"/>
  <c r="EA98" i="10"/>
  <c r="EK98" i="10" s="1"/>
  <c r="EB25" i="10"/>
  <c r="EL25" i="10" s="1"/>
  <c r="DX194" i="10"/>
  <c r="DY194" i="10" s="1"/>
  <c r="DY103" i="10"/>
  <c r="DY56" i="10"/>
  <c r="EG22" i="10"/>
  <c r="EQ22" i="10" s="1"/>
  <c r="DX58" i="10"/>
  <c r="DY58" i="10" s="1"/>
  <c r="EG45" i="10"/>
  <c r="EQ45" i="10" s="1"/>
  <c r="DX202" i="10"/>
  <c r="EH202" i="10" s="1"/>
  <c r="ER202" i="10" s="1"/>
  <c r="DX193" i="10"/>
  <c r="EC193" i="10" s="1"/>
  <c r="EM193" i="10" s="1"/>
  <c r="DY51" i="10"/>
  <c r="DY40" i="10"/>
  <c r="EH22" i="10"/>
  <c r="ER22" i="10" s="1"/>
  <c r="EH57" i="10"/>
  <c r="ER57" i="10" s="1"/>
  <c r="DX326" i="10"/>
  <c r="EC326" i="10" s="1"/>
  <c r="EM326" i="10" s="1"/>
  <c r="EF74" i="10"/>
  <c r="EP74" i="10" s="1"/>
  <c r="EF88" i="10"/>
  <c r="EP88" i="10" s="1"/>
  <c r="DY25" i="10"/>
  <c r="EE51" i="10"/>
  <c r="EO51" i="10" s="1"/>
  <c r="EC51" i="10"/>
  <c r="EM51" i="10" s="1"/>
  <c r="EB29" i="10"/>
  <c r="EL29" i="10" s="1"/>
  <c r="DY202" i="10"/>
  <c r="DY57" i="10"/>
  <c r="DX344" i="10"/>
  <c r="EA344" i="10" s="1"/>
  <c r="EK344" i="10" s="1"/>
  <c r="DX301" i="10"/>
  <c r="EH301" i="10" s="1"/>
  <c r="ER301" i="10" s="1"/>
  <c r="DY91" i="10"/>
  <c r="EE60" i="10"/>
  <c r="EO60" i="10" s="1"/>
  <c r="EG57" i="10"/>
  <c r="EQ57" i="10" s="1"/>
  <c r="EB23" i="10"/>
  <c r="EL23" i="10" s="1"/>
  <c r="EG14" i="10"/>
  <c r="EQ14" i="10" s="1"/>
  <c r="EE57" i="10"/>
  <c r="EO57" i="10" s="1"/>
  <c r="EE42" i="10"/>
  <c r="EO42" i="10" s="1"/>
  <c r="EH98" i="10"/>
  <c r="ER98" i="10" s="1"/>
  <c r="EC123" i="10"/>
  <c r="EM123" i="10" s="1"/>
  <c r="DX321" i="10"/>
  <c r="EB321" i="10" s="1"/>
  <c r="EL321" i="10" s="1"/>
  <c r="EC21" i="10"/>
  <c r="EM21" i="10" s="1"/>
  <c r="EA21" i="10"/>
  <c r="EK21" i="10" s="1"/>
  <c r="EB21" i="10"/>
  <c r="EL21" i="10" s="1"/>
  <c r="EE21" i="10"/>
  <c r="EO21" i="10" s="1"/>
  <c r="EB42" i="10"/>
  <c r="EL42" i="10" s="1"/>
  <c r="ES42" i="10" s="1"/>
  <c r="EG98" i="10"/>
  <c r="EQ98" i="10" s="1"/>
  <c r="DY29" i="10"/>
  <c r="DX99" i="10"/>
  <c r="EE99" i="10" s="1"/>
  <c r="EO99" i="10" s="1"/>
  <c r="DY21" i="10"/>
  <c r="EC57" i="10"/>
  <c r="EM57" i="10" s="1"/>
  <c r="EA91" i="10"/>
  <c r="EK91" i="10" s="1"/>
  <c r="DX62" i="10"/>
  <c r="DX346" i="10"/>
  <c r="EC346" i="10" s="1"/>
  <c r="EM346" i="10" s="1"/>
  <c r="EC22" i="10"/>
  <c r="EM22" i="10" s="1"/>
  <c r="EA14" i="10"/>
  <c r="EK14" i="10" s="1"/>
  <c r="EG29" i="10"/>
  <c r="EQ29" i="10" s="1"/>
  <c r="EC91" i="10"/>
  <c r="EM91" i="10" s="1"/>
  <c r="DY98" i="10"/>
  <c r="DY221" i="10"/>
  <c r="DX250" i="10"/>
  <c r="EB250" i="10" s="1"/>
  <c r="EL250" i="10" s="1"/>
  <c r="DX147" i="10"/>
  <c r="EE147" i="10" s="1"/>
  <c r="EO147" i="10" s="1"/>
  <c r="EF103" i="10"/>
  <c r="EP103" i="10" s="1"/>
  <c r="EA69" i="10"/>
  <c r="EK69" i="10" s="1"/>
  <c r="EE66" i="10"/>
  <c r="EO66" i="10" s="1"/>
  <c r="EG53" i="10"/>
  <c r="EQ53" i="10" s="1"/>
  <c r="EE14" i="10"/>
  <c r="EO14" i="10" s="1"/>
  <c r="EC14" i="10"/>
  <c r="EM14" i="10" s="1"/>
  <c r="DY14" i="10"/>
  <c r="DY59" i="10"/>
  <c r="DY53" i="10"/>
  <c r="DX192" i="10"/>
  <c r="DY192" i="10" s="1"/>
  <c r="DX188" i="10"/>
  <c r="EH188" i="10" s="1"/>
  <c r="ER188" i="10" s="1"/>
  <c r="EG91" i="10"/>
  <c r="EQ91" i="10" s="1"/>
  <c r="EB51" i="10"/>
  <c r="EL51" i="10" s="1"/>
  <c r="EF57" i="10"/>
  <c r="EP57" i="10" s="1"/>
  <c r="EG23" i="10"/>
  <c r="EQ23" i="10" s="1"/>
  <c r="EF14" i="10"/>
  <c r="EP14" i="10" s="1"/>
  <c r="EH32" i="10"/>
  <c r="ER32" i="10" s="1"/>
  <c r="EE32" i="10"/>
  <c r="EO32" i="10" s="1"/>
  <c r="EC32" i="10"/>
  <c r="EM32" i="10" s="1"/>
  <c r="EB32" i="10"/>
  <c r="EL32" i="10" s="1"/>
  <c r="EA32" i="10"/>
  <c r="EA321" i="10"/>
  <c r="EK321" i="10" s="1"/>
  <c r="EH321" i="10"/>
  <c r="ER321" i="10" s="1"/>
  <c r="EF321" i="10"/>
  <c r="EP321" i="10" s="1"/>
  <c r="EG321" i="10"/>
  <c r="EQ321" i="10" s="1"/>
  <c r="DX249" i="10"/>
  <c r="ED249" i="10" s="1"/>
  <c r="EN249" i="10" s="1"/>
  <c r="DX107" i="10"/>
  <c r="DX15" i="10"/>
  <c r="EA15" i="10" s="1"/>
  <c r="EK15" i="10" s="1"/>
  <c r="EC336" i="10"/>
  <c r="EM336" i="10" s="1"/>
  <c r="DX311" i="10"/>
  <c r="DY311" i="10" s="1"/>
  <c r="DX216" i="10"/>
  <c r="EC216" i="10" s="1"/>
  <c r="EM216" i="10" s="1"/>
  <c r="DX105" i="10"/>
  <c r="EC105" i="10" s="1"/>
  <c r="EM105" i="10" s="1"/>
  <c r="DX351" i="10"/>
  <c r="ED351" i="10" s="1"/>
  <c r="EN351" i="10" s="1"/>
  <c r="EG335" i="10"/>
  <c r="EQ335" i="10" s="1"/>
  <c r="EA324" i="10"/>
  <c r="EK324" i="10" s="1"/>
  <c r="DX330" i="10"/>
  <c r="EF330" i="10" s="1"/>
  <c r="EP330" i="10" s="1"/>
  <c r="DY254" i="10"/>
  <c r="DX198" i="10"/>
  <c r="ED198" i="10" s="1"/>
  <c r="EN198" i="10" s="1"/>
  <c r="DX206" i="10"/>
  <c r="EC206" i="10" s="1"/>
  <c r="EM206" i="10" s="1"/>
  <c r="EC47" i="10"/>
  <c r="EM47" i="10" s="1"/>
  <c r="EF47" i="10"/>
  <c r="EP47" i="10" s="1"/>
  <c r="DY47" i="10"/>
  <c r="EG47" i="10"/>
  <c r="EQ47" i="10" s="1"/>
  <c r="EB47" i="10"/>
  <c r="EL47" i="10" s="1"/>
  <c r="EE47" i="10"/>
  <c r="EO47" i="10" s="1"/>
  <c r="EA47" i="10"/>
  <c r="EK47" i="10" s="1"/>
  <c r="EH47" i="10"/>
  <c r="ER47" i="10" s="1"/>
  <c r="EA350" i="10"/>
  <c r="EK350" i="10" s="1"/>
  <c r="DX350" i="10"/>
  <c r="EE350" i="10" s="1"/>
  <c r="EO350" i="10" s="1"/>
  <c r="EB221" i="10"/>
  <c r="EL221" i="10" s="1"/>
  <c r="DX197" i="10"/>
  <c r="EC197" i="10" s="1"/>
  <c r="EM197" i="10" s="1"/>
  <c r="DX73" i="10"/>
  <c r="DX101" i="10"/>
  <c r="EC101" i="10" s="1"/>
  <c r="EM101" i="10" s="1"/>
  <c r="EC368" i="10"/>
  <c r="EM368" i="10" s="1"/>
  <c r="DX304" i="10"/>
  <c r="EE304" i="10" s="1"/>
  <c r="EO304" i="10" s="1"/>
  <c r="DX214" i="10"/>
  <c r="DY214" i="10" s="1"/>
  <c r="DX220" i="10"/>
  <c r="EF220" i="10" s="1"/>
  <c r="EP220" i="10" s="1"/>
  <c r="DX145" i="10"/>
  <c r="EC145" i="10" s="1"/>
  <c r="EM145" i="10" s="1"/>
  <c r="DX34" i="10"/>
  <c r="DY34" i="10" s="1"/>
  <c r="EB347" i="10"/>
  <c r="EL347" i="10" s="1"/>
  <c r="DY347" i="10"/>
  <c r="EG347" i="10"/>
  <c r="EQ347" i="10" s="1"/>
  <c r="EH347" i="10"/>
  <c r="ER347" i="10" s="1"/>
  <c r="EA347" i="10"/>
  <c r="EK347" i="10" s="1"/>
  <c r="DY336" i="10"/>
  <c r="EB319" i="10"/>
  <c r="EL319" i="10" s="1"/>
  <c r="EH368" i="10"/>
  <c r="ER368" i="10" s="1"/>
  <c r="EG368" i="10"/>
  <c r="EQ368" i="10" s="1"/>
  <c r="EF365" i="10"/>
  <c r="EP365" i="10" s="1"/>
  <c r="EG365" i="10"/>
  <c r="EQ365" i="10" s="1"/>
  <c r="EA319" i="10"/>
  <c r="EK319" i="10" s="1"/>
  <c r="DY322" i="10"/>
  <c r="EG309" i="10"/>
  <c r="EQ309" i="10" s="1"/>
  <c r="EH309" i="10"/>
  <c r="ER309" i="10" s="1"/>
  <c r="EF309" i="10"/>
  <c r="EP309" i="10" s="1"/>
  <c r="DX166" i="10"/>
  <c r="DY166" i="10" s="1"/>
  <c r="DY107" i="10"/>
  <c r="DX137" i="10"/>
  <c r="DX281" i="10"/>
  <c r="EE281" i="10" s="1"/>
  <c r="EO281" i="10" s="1"/>
  <c r="DX191" i="10"/>
  <c r="EF191" i="10" s="1"/>
  <c r="EP191" i="10" s="1"/>
  <c r="DY275" i="10"/>
  <c r="DY191" i="10"/>
  <c r="EF287" i="10"/>
  <c r="EP287" i="10" s="1"/>
  <c r="EA287" i="10"/>
  <c r="EK287" i="10" s="1"/>
  <c r="EB287" i="10"/>
  <c r="EL287" i="10" s="1"/>
  <c r="EC275" i="10"/>
  <c r="EM275" i="10" s="1"/>
  <c r="EE256" i="10"/>
  <c r="EO256" i="10" s="1"/>
  <c r="EA221" i="10"/>
  <c r="EK221" i="10" s="1"/>
  <c r="EG221" i="10"/>
  <c r="EQ221" i="10" s="1"/>
  <c r="EH221" i="10"/>
  <c r="ER221" i="10" s="1"/>
  <c r="DX257" i="10"/>
  <c r="EH45" i="10"/>
  <c r="ER45" i="10" s="1"/>
  <c r="EC45" i="10"/>
  <c r="EM45" i="10" s="1"/>
  <c r="EB45" i="10"/>
  <c r="EL45" i="10" s="1"/>
  <c r="EF45" i="10"/>
  <c r="EP45" i="10" s="1"/>
  <c r="EE45" i="10"/>
  <c r="EO45" i="10" s="1"/>
  <c r="DY45" i="10"/>
  <c r="DX83" i="10"/>
  <c r="DY83" i="10" s="1"/>
  <c r="EA368" i="10"/>
  <c r="EK368" i="10" s="1"/>
  <c r="EA365" i="10"/>
  <c r="EK365" i="10" s="1"/>
  <c r="EF319" i="10"/>
  <c r="EP319" i="10" s="1"/>
  <c r="EF254" i="10"/>
  <c r="EP254" i="10" s="1"/>
  <c r="EH229" i="10"/>
  <c r="ER229" i="10" s="1"/>
  <c r="EG229" i="10"/>
  <c r="EQ229" i="10" s="1"/>
  <c r="EA229" i="10"/>
  <c r="EK229" i="10" s="1"/>
  <c r="EB229" i="10"/>
  <c r="EL229" i="10" s="1"/>
  <c r="DY229" i="10"/>
  <c r="EE229" i="10"/>
  <c r="EO229" i="10" s="1"/>
  <c r="DX159" i="10"/>
  <c r="EE159" i="10" s="1"/>
  <c r="EO159" i="10" s="1"/>
  <c r="DX89" i="10"/>
  <c r="DY89" i="10" s="1"/>
  <c r="EH18" i="10"/>
  <c r="ER18" i="10" s="1"/>
  <c r="EF18" i="10"/>
  <c r="EP18" i="10" s="1"/>
  <c r="EE18" i="10"/>
  <c r="EO18" i="10" s="1"/>
  <c r="EG18" i="10"/>
  <c r="EQ18" i="10" s="1"/>
  <c r="EC18" i="10"/>
  <c r="EM18" i="10" s="1"/>
  <c r="EB18" i="10"/>
  <c r="EL18" i="10" s="1"/>
  <c r="DY18" i="10"/>
  <c r="EA18" i="10"/>
  <c r="EK18" i="10" s="1"/>
  <c r="EE369" i="10"/>
  <c r="EO369" i="10" s="1"/>
  <c r="EE253" i="10"/>
  <c r="EO253" i="10" s="1"/>
  <c r="EF344" i="10"/>
  <c r="EP344" i="10" s="1"/>
  <c r="DX270" i="10"/>
  <c r="EG270" i="10" s="1"/>
  <c r="EQ270" i="10" s="1"/>
  <c r="DX277" i="10"/>
  <c r="DY277" i="10" s="1"/>
  <c r="EH132" i="10"/>
  <c r="ER132" i="10" s="1"/>
  <c r="EG132" i="10"/>
  <c r="EQ132" i="10" s="1"/>
  <c r="EE132" i="10"/>
  <c r="EO132" i="10" s="1"/>
  <c r="EA132" i="10"/>
  <c r="EK132" i="10" s="1"/>
  <c r="EC132" i="10"/>
  <c r="EM132" i="10" s="1"/>
  <c r="DX294" i="10"/>
  <c r="EC294" i="10" s="1"/>
  <c r="EM294" i="10" s="1"/>
  <c r="DX291" i="10"/>
  <c r="EB291" i="10" s="1"/>
  <c r="EL291" i="10" s="1"/>
  <c r="DX253" i="10"/>
  <c r="ED253" i="10" s="1"/>
  <c r="EN253" i="10" s="1"/>
  <c r="DX245" i="10"/>
  <c r="EE245" i="10" s="1"/>
  <c r="EO245" i="10" s="1"/>
  <c r="EF156" i="10"/>
  <c r="EP156" i="10" s="1"/>
  <c r="DX72" i="10"/>
  <c r="EF72" i="10" s="1"/>
  <c r="EP72" i="10" s="1"/>
  <c r="EB132" i="10"/>
  <c r="EL132" i="10" s="1"/>
  <c r="DX362" i="10"/>
  <c r="EH362" i="10" s="1"/>
  <c r="ER362" i="10" s="1"/>
  <c r="DX263" i="10"/>
  <c r="DY132" i="10"/>
  <c r="DX167" i="10"/>
  <c r="EE167" i="10" s="1"/>
  <c r="EO167" i="10" s="1"/>
  <c r="EF114" i="10"/>
  <c r="EP114" i="10" s="1"/>
  <c r="EB114" i="10"/>
  <c r="EL114" i="10" s="1"/>
  <c r="EG114" i="10"/>
  <c r="EQ114" i="10" s="1"/>
  <c r="DY114" i="10"/>
  <c r="EA114" i="10"/>
  <c r="EK114" i="10" s="1"/>
  <c r="EC114" i="10"/>
  <c r="EM114" i="10" s="1"/>
  <c r="DY245" i="10"/>
  <c r="DX26" i="10"/>
  <c r="EA26" i="10" s="1"/>
  <c r="EK26" i="10" s="1"/>
  <c r="DX369" i="10"/>
  <c r="EC369" i="10" s="1"/>
  <c r="EM369" i="10" s="1"/>
  <c r="DX341" i="10"/>
  <c r="DX363" i="10"/>
  <c r="DY363" i="10" s="1"/>
  <c r="EH287" i="10"/>
  <c r="ER287" i="10" s="1"/>
  <c r="DX327" i="10"/>
  <c r="EE327" i="10" s="1"/>
  <c r="EO327" i="10" s="1"/>
  <c r="EB286" i="10"/>
  <c r="EL286" i="10" s="1"/>
  <c r="DX286" i="10"/>
  <c r="EC286" i="10" s="1"/>
  <c r="EM286" i="10" s="1"/>
  <c r="DX16" i="10"/>
  <c r="DY16" i="10" s="1"/>
  <c r="EA16" i="10"/>
  <c r="EK16" i="10" s="1"/>
  <c r="DX334" i="10"/>
  <c r="ED334" i="10" s="1"/>
  <c r="EN334" i="10" s="1"/>
  <c r="EE243" i="10"/>
  <c r="EO243" i="10" s="1"/>
  <c r="EH192" i="10"/>
  <c r="ER192" i="10" s="1"/>
  <c r="EA192" i="10"/>
  <c r="EK192" i="10" s="1"/>
  <c r="DY15" i="10"/>
  <c r="EI103" i="10"/>
  <c r="DX354" i="10"/>
  <c r="EE354" i="10" s="1"/>
  <c r="EO354" i="10" s="1"/>
  <c r="EC356" i="10"/>
  <c r="EM356" i="10" s="1"/>
  <c r="DX303" i="10"/>
  <c r="EG303" i="10" s="1"/>
  <c r="EQ303" i="10" s="1"/>
  <c r="DY312" i="10"/>
  <c r="DX288" i="10"/>
  <c r="DX156" i="10"/>
  <c r="ED156" i="10" s="1"/>
  <c r="EN156" i="10" s="1"/>
  <c r="DX152" i="10"/>
  <c r="EE152" i="10" s="1"/>
  <c r="EO152" i="10" s="1"/>
  <c r="DX267" i="10"/>
  <c r="DY267" i="10" s="1"/>
  <c r="EH194" i="10"/>
  <c r="ER194" i="10" s="1"/>
  <c r="EB194" i="10"/>
  <c r="EL194" i="10" s="1"/>
  <c r="EB336" i="10"/>
  <c r="EL336" i="10" s="1"/>
  <c r="EH336" i="10"/>
  <c r="ER336" i="10" s="1"/>
  <c r="ED336" i="10"/>
  <c r="EN336" i="10" s="1"/>
  <c r="EG336" i="10"/>
  <c r="EQ336" i="10" s="1"/>
  <c r="EH297" i="10"/>
  <c r="ER297" i="10" s="1"/>
  <c r="EA297" i="10"/>
  <c r="EK297" i="10" s="1"/>
  <c r="DY297" i="10"/>
  <c r="DX244" i="10"/>
  <c r="DY244" i="10" s="1"/>
  <c r="DX139" i="10"/>
  <c r="DY139" i="10" s="1"/>
  <c r="DX81" i="10"/>
  <c r="DY81" i="10" s="1"/>
  <c r="DX339" i="10"/>
  <c r="ED221" i="10"/>
  <c r="EN221" i="10" s="1"/>
  <c r="DY369" i="10"/>
  <c r="DX356" i="10"/>
  <c r="EF356" i="10" s="1"/>
  <c r="EP356" i="10" s="1"/>
  <c r="EC365" i="10"/>
  <c r="EM365" i="10" s="1"/>
  <c r="DX218" i="10"/>
  <c r="DY218" i="10" s="1"/>
  <c r="DX143" i="10"/>
  <c r="EF143" i="10" s="1"/>
  <c r="EP143" i="10" s="1"/>
  <c r="EA117" i="10"/>
  <c r="EK117" i="10" s="1"/>
  <c r="EB117" i="10"/>
  <c r="EL117" i="10" s="1"/>
  <c r="EF117" i="10"/>
  <c r="EP117" i="10" s="1"/>
  <c r="EH117" i="10"/>
  <c r="ER117" i="10" s="1"/>
  <c r="EC117" i="10"/>
  <c r="EM117" i="10" s="1"/>
  <c r="DX67" i="10"/>
  <c r="EH20" i="10"/>
  <c r="ER20" i="10" s="1"/>
  <c r="EF20" i="10"/>
  <c r="EP20" i="10" s="1"/>
  <c r="EE20" i="10"/>
  <c r="EO20" i="10" s="1"/>
  <c r="EG20" i="10"/>
  <c r="EQ20" i="10" s="1"/>
  <c r="EC20" i="10"/>
  <c r="EM20" i="10" s="1"/>
  <c r="DX169" i="10"/>
  <c r="EF169" i="10" s="1"/>
  <c r="EP169" i="10" s="1"/>
  <c r="DX366" i="10"/>
  <c r="EE366" i="10" s="1"/>
  <c r="EO366" i="10" s="1"/>
  <c r="EE336" i="10"/>
  <c r="EO336" i="10" s="1"/>
  <c r="DX151" i="10"/>
  <c r="EE151" i="10" s="1"/>
  <c r="EO151" i="10" s="1"/>
  <c r="DX158" i="10"/>
  <c r="EE158" i="10" s="1"/>
  <c r="EO158" i="10" s="1"/>
  <c r="EA20" i="10"/>
  <c r="EK20" i="10" s="1"/>
  <c r="EF158" i="10"/>
  <c r="EP158" i="10" s="1"/>
  <c r="EA336" i="10"/>
  <c r="EK336" i="10" s="1"/>
  <c r="ED327" i="10"/>
  <c r="EN327" i="10" s="1"/>
  <c r="EA165" i="10"/>
  <c r="EK165" i="10" s="1"/>
  <c r="ED165" i="10"/>
  <c r="EN165" i="10" s="1"/>
  <c r="DX325" i="10"/>
  <c r="EF325" i="10" s="1"/>
  <c r="EP325" i="10" s="1"/>
  <c r="DX329" i="10"/>
  <c r="EF329" i="10" s="1"/>
  <c r="EP329" i="10" s="1"/>
  <c r="DX310" i="10"/>
  <c r="DY310" i="10" s="1"/>
  <c r="EG241" i="10"/>
  <c r="EQ241" i="10" s="1"/>
  <c r="EE241" i="10"/>
  <c r="EO241" i="10" s="1"/>
  <c r="EH241" i="10"/>
  <c r="ER241" i="10" s="1"/>
  <c r="EH199" i="10"/>
  <c r="ER199" i="10" s="1"/>
  <c r="EB199" i="10"/>
  <c r="EL199" i="10" s="1"/>
  <c r="EC199" i="10"/>
  <c r="EM199" i="10" s="1"/>
  <c r="EE199" i="10"/>
  <c r="EO199" i="10" s="1"/>
  <c r="EG199" i="10"/>
  <c r="EQ199" i="10" s="1"/>
  <c r="ED199" i="10"/>
  <c r="EN199" i="10" s="1"/>
  <c r="DY199" i="10"/>
  <c r="EH86" i="10"/>
  <c r="ER86" i="10" s="1"/>
  <c r="EG86" i="10"/>
  <c r="EQ86" i="10" s="1"/>
  <c r="EC86" i="10"/>
  <c r="EM86" i="10" s="1"/>
  <c r="EA86" i="10"/>
  <c r="EK86" i="10" s="1"/>
  <c r="DY86" i="10"/>
  <c r="EB86" i="10"/>
  <c r="EL86" i="10" s="1"/>
  <c r="EB135" i="10"/>
  <c r="EL135" i="10" s="1"/>
  <c r="DX36" i="10"/>
  <c r="DY36" i="10" s="1"/>
  <c r="EF371" i="10"/>
  <c r="EP371" i="10" s="1"/>
  <c r="DX360" i="10"/>
  <c r="EB360" i="10" s="1"/>
  <c r="EL360" i="10" s="1"/>
  <c r="DX372" i="10"/>
  <c r="DY372" i="10" s="1"/>
  <c r="EB372" i="10"/>
  <c r="EL372" i="10" s="1"/>
  <c r="EG343" i="10"/>
  <c r="EQ343" i="10" s="1"/>
  <c r="EH365" i="10"/>
  <c r="ER365" i="10" s="1"/>
  <c r="EB350" i="10"/>
  <c r="EL350" i="10" s="1"/>
  <c r="ED350" i="10"/>
  <c r="EN350" i="10" s="1"/>
  <c r="ED365" i="10"/>
  <c r="EN365" i="10" s="1"/>
  <c r="EC313" i="10"/>
  <c r="EM313" i="10" s="1"/>
  <c r="DX338" i="10"/>
  <c r="EH338" i="10" s="1"/>
  <c r="ER338" i="10" s="1"/>
  <c r="EF347" i="10"/>
  <c r="EP347" i="10" s="1"/>
  <c r="EF312" i="10"/>
  <c r="EP312" i="10" s="1"/>
  <c r="ED294" i="10"/>
  <c r="EN294" i="10" s="1"/>
  <c r="EC287" i="10"/>
  <c r="EM287" i="10" s="1"/>
  <c r="EF241" i="10"/>
  <c r="EP241" i="10" s="1"/>
  <c r="EB246" i="10"/>
  <c r="EL246" i="10" s="1"/>
  <c r="ED229" i="10"/>
  <c r="EN229" i="10" s="1"/>
  <c r="EF33" i="10"/>
  <c r="EP33" i="10" s="1"/>
  <c r="EC33" i="10"/>
  <c r="EM33" i="10" s="1"/>
  <c r="EE33" i="10"/>
  <c r="EO33" i="10" s="1"/>
  <c r="EB33" i="10"/>
  <c r="EL33" i="10" s="1"/>
  <c r="EB113" i="10"/>
  <c r="EL113" i="10" s="1"/>
  <c r="EF75" i="10"/>
  <c r="EP75" i="10" s="1"/>
  <c r="DX75" i="10"/>
  <c r="EB92" i="10"/>
  <c r="EL92" i="10" s="1"/>
  <c r="EF92" i="10"/>
  <c r="EP92" i="10" s="1"/>
  <c r="EA92" i="10"/>
  <c r="EK92" i="10" s="1"/>
  <c r="ED349" i="10"/>
  <c r="EN349" i="10" s="1"/>
  <c r="EH69" i="10"/>
  <c r="ER69" i="10" s="1"/>
  <c r="EB69" i="10"/>
  <c r="EL69" i="10" s="1"/>
  <c r="EF69" i="10"/>
  <c r="EP69" i="10" s="1"/>
  <c r="DY69" i="10"/>
  <c r="DX374" i="10"/>
  <c r="DY374" i="10" s="1"/>
  <c r="EB349" i="10"/>
  <c r="EL349" i="10" s="1"/>
  <c r="EE365" i="10"/>
  <c r="EO365" i="10" s="1"/>
  <c r="EC343" i="10"/>
  <c r="EM343" i="10" s="1"/>
  <c r="EA345" i="10"/>
  <c r="EK345" i="10" s="1"/>
  <c r="DY327" i="10"/>
  <c r="EC312" i="10"/>
  <c r="EM312" i="10" s="1"/>
  <c r="EF311" i="10"/>
  <c r="EP311" i="10" s="1"/>
  <c r="ED296" i="10"/>
  <c r="EN296" i="10" s="1"/>
  <c r="DY263" i="10"/>
  <c r="DX48" i="10"/>
  <c r="DY48" i="10" s="1"/>
  <c r="EA48" i="10"/>
  <c r="EK48" i="10" s="1"/>
  <c r="DX299" i="10"/>
  <c r="DY299" i="10" s="1"/>
  <c r="EF223" i="10"/>
  <c r="EP223" i="10" s="1"/>
  <c r="EC69" i="10"/>
  <c r="EM69" i="10" s="1"/>
  <c r="EC113" i="10"/>
  <c r="EM113" i="10" s="1"/>
  <c r="ED371" i="10"/>
  <c r="EN371" i="10" s="1"/>
  <c r="DX185" i="10"/>
  <c r="EF185" i="10" s="1"/>
  <c r="EP185" i="10" s="1"/>
  <c r="EA371" i="10"/>
  <c r="EK371" i="10" s="1"/>
  <c r="EE326" i="10"/>
  <c r="EO326" i="10" s="1"/>
  <c r="DX252" i="10"/>
  <c r="DX49" i="10"/>
  <c r="DY49" i="10" s="1"/>
  <c r="EF112" i="10"/>
  <c r="EP112" i="10" s="1"/>
  <c r="EC324" i="10"/>
  <c r="EM324" i="10" s="1"/>
  <c r="DY294" i="10"/>
  <c r="EC295" i="10"/>
  <c r="EM295" i="10" s="1"/>
  <c r="DX320" i="10"/>
  <c r="ED320" i="10" s="1"/>
  <c r="EN320" i="10" s="1"/>
  <c r="ED288" i="10"/>
  <c r="EN288" i="10" s="1"/>
  <c r="DX13" i="10"/>
  <c r="EA13" i="10" s="1"/>
  <c r="EK13" i="10" s="1"/>
  <c r="DX121" i="10"/>
  <c r="EF121" i="10" s="1"/>
  <c r="EP121" i="10" s="1"/>
  <c r="EC121" i="10"/>
  <c r="EM121" i="10" s="1"/>
  <c r="DX76" i="10"/>
  <c r="DY76" i="10" s="1"/>
  <c r="DX357" i="10"/>
  <c r="EC357" i="10" s="1"/>
  <c r="EM357" i="10" s="1"/>
  <c r="EC345" i="10"/>
  <c r="EM345" i="10" s="1"/>
  <c r="EE333" i="10"/>
  <c r="EO333" i="10" s="1"/>
  <c r="EC310" i="10"/>
  <c r="EM310" i="10" s="1"/>
  <c r="DX296" i="10"/>
  <c r="EF296" i="10" s="1"/>
  <c r="EP296" i="10" s="1"/>
  <c r="DX256" i="10"/>
  <c r="DY256" i="10" s="1"/>
  <c r="DX269" i="10"/>
  <c r="EB269" i="10" s="1"/>
  <c r="EL269" i="10" s="1"/>
  <c r="DX254" i="10"/>
  <c r="EA202" i="10"/>
  <c r="EK202" i="10" s="1"/>
  <c r="EA223" i="10"/>
  <c r="EK223" i="10" s="1"/>
  <c r="EF163" i="10"/>
  <c r="EP163" i="10" s="1"/>
  <c r="DX226" i="10"/>
  <c r="EG226" i="10" s="1"/>
  <c r="EQ226" i="10" s="1"/>
  <c r="EF142" i="10"/>
  <c r="EP142" i="10" s="1"/>
  <c r="EA33" i="10"/>
  <c r="EK33" i="10" s="1"/>
  <c r="EE112" i="10"/>
  <c r="EO112" i="10" s="1"/>
  <c r="DX27" i="10"/>
  <c r="EE69" i="10"/>
  <c r="EO69" i="10" s="1"/>
  <c r="EE44" i="10"/>
  <c r="EO44" i="10" s="1"/>
  <c r="EA44" i="10"/>
  <c r="EK44" i="10" s="1"/>
  <c r="DX207" i="10"/>
  <c r="DY207" i="10" s="1"/>
  <c r="EG113" i="10"/>
  <c r="EQ113" i="10" s="1"/>
  <c r="EA113" i="10"/>
  <c r="EK113" i="10" s="1"/>
  <c r="DX332" i="10"/>
  <c r="EC332" i="10" s="1"/>
  <c r="EM332" i="10" s="1"/>
  <c r="ED309" i="10"/>
  <c r="EN309" i="10" s="1"/>
  <c r="EE221" i="10"/>
  <c r="EO221" i="10" s="1"/>
  <c r="EG237" i="10"/>
  <c r="EQ237" i="10" s="1"/>
  <c r="DX179" i="10"/>
  <c r="EF179" i="10" s="1"/>
  <c r="EP179" i="10" s="1"/>
  <c r="EA179" i="10"/>
  <c r="EK179" i="10" s="1"/>
  <c r="DX173" i="10"/>
  <c r="EE373" i="10"/>
  <c r="EO373" i="10" s="1"/>
  <c r="DY350" i="10"/>
  <c r="DY349" i="10"/>
  <c r="EE344" i="10"/>
  <c r="EO344" i="10" s="1"/>
  <c r="EC371" i="10"/>
  <c r="EM371" i="10" s="1"/>
  <c r="ED307" i="10"/>
  <c r="EN307" i="10" s="1"/>
  <c r="DX337" i="10"/>
  <c r="DX255" i="10"/>
  <c r="DY255" i="10" s="1"/>
  <c r="DX279" i="10"/>
  <c r="DY279" i="10" s="1"/>
  <c r="DY246" i="10"/>
  <c r="EF202" i="10"/>
  <c r="EP202" i="10" s="1"/>
  <c r="DX222" i="10"/>
  <c r="ED222" i="10" s="1"/>
  <c r="EN222" i="10" s="1"/>
  <c r="EB163" i="10"/>
  <c r="EL163" i="10" s="1"/>
  <c r="DX200" i="10"/>
  <c r="EE200" i="10" s="1"/>
  <c r="EO200" i="10" s="1"/>
  <c r="DX46" i="10"/>
  <c r="DY46" i="10" s="1"/>
  <c r="EA46" i="10"/>
  <c r="EK46" i="10" s="1"/>
  <c r="EC112" i="10"/>
  <c r="EM112" i="10" s="1"/>
  <c r="EA123" i="10"/>
  <c r="EK123" i="10" s="1"/>
  <c r="DY123" i="10"/>
  <c r="EH123" i="10"/>
  <c r="ER123" i="10" s="1"/>
  <c r="EF123" i="10"/>
  <c r="EP123" i="10" s="1"/>
  <c r="EB123" i="10"/>
  <c r="EL123" i="10" s="1"/>
  <c r="EF68" i="10"/>
  <c r="EP68" i="10" s="1"/>
  <c r="EB112" i="10"/>
  <c r="EL112" i="10" s="1"/>
  <c r="EC44" i="10"/>
  <c r="EM44" i="10" s="1"/>
  <c r="EG287" i="10"/>
  <c r="EQ287" i="10" s="1"/>
  <c r="EF368" i="10"/>
  <c r="EP368" i="10" s="1"/>
  <c r="EB365" i="10"/>
  <c r="EL365" i="10" s="1"/>
  <c r="DX352" i="10"/>
  <c r="ED352" i="10" s="1"/>
  <c r="EN352" i="10" s="1"/>
  <c r="EC347" i="10"/>
  <c r="EM347" i="10" s="1"/>
  <c r="EC319" i="10"/>
  <c r="EM319" i="10" s="1"/>
  <c r="EG255" i="10"/>
  <c r="EQ255" i="10" s="1"/>
  <c r="DX280" i="10"/>
  <c r="EC280" i="10" s="1"/>
  <c r="EM280" i="10" s="1"/>
  <c r="DX259" i="10"/>
  <c r="EB259" i="10" s="1"/>
  <c r="EL259" i="10" s="1"/>
  <c r="DX271" i="10"/>
  <c r="DX242" i="10"/>
  <c r="EE242" i="10" s="1"/>
  <c r="EO242" i="10" s="1"/>
  <c r="EC233" i="10"/>
  <c r="EM233" i="10" s="1"/>
  <c r="DX146" i="10"/>
  <c r="EF146" i="10" s="1"/>
  <c r="EP146" i="10" s="1"/>
  <c r="EH182" i="10"/>
  <c r="ER182" i="10" s="1"/>
  <c r="EE182" i="10"/>
  <c r="EO182" i="10" s="1"/>
  <c r="EA182" i="10"/>
  <c r="EK182" i="10" s="1"/>
  <c r="EG182" i="10"/>
  <c r="EQ182" i="10" s="1"/>
  <c r="EH90" i="10"/>
  <c r="ER90" i="10" s="1"/>
  <c r="EB90" i="10"/>
  <c r="EL90" i="10" s="1"/>
  <c r="EE90" i="10"/>
  <c r="EO90" i="10" s="1"/>
  <c r="EG90" i="10"/>
  <c r="EQ90" i="10" s="1"/>
  <c r="EG33" i="10"/>
  <c r="EQ33" i="10" s="1"/>
  <c r="EG31" i="10"/>
  <c r="EQ31" i="10" s="1"/>
  <c r="EH31" i="10"/>
  <c r="ER31" i="10" s="1"/>
  <c r="EF31" i="10"/>
  <c r="EP31" i="10" s="1"/>
  <c r="EE31" i="10"/>
  <c r="EO31" i="10" s="1"/>
  <c r="EH63" i="10"/>
  <c r="ER63" i="10" s="1"/>
  <c r="EE63" i="10"/>
  <c r="EO63" i="10" s="1"/>
  <c r="EF63" i="10"/>
  <c r="EP63" i="10" s="1"/>
  <c r="EC63" i="10"/>
  <c r="EM63" i="10" s="1"/>
  <c r="EB63" i="10"/>
  <c r="EL63" i="10" s="1"/>
  <c r="DX116" i="10"/>
  <c r="DX93" i="10"/>
  <c r="DY93" i="10" s="1"/>
  <c r="DX153" i="10"/>
  <c r="EC153" i="10" s="1"/>
  <c r="EM153" i="10" s="1"/>
  <c r="EB237" i="10"/>
  <c r="EL237" i="10" s="1"/>
  <c r="EC358" i="10"/>
  <c r="EM358" i="10" s="1"/>
  <c r="EE347" i="10"/>
  <c r="EO347" i="10" s="1"/>
  <c r="DX318" i="10"/>
  <c r="EC318" i="10" s="1"/>
  <c r="EM318" i="10" s="1"/>
  <c r="EB241" i="10"/>
  <c r="EL241" i="10" s="1"/>
  <c r="DX358" i="10"/>
  <c r="DY358" i="10" s="1"/>
  <c r="DX266" i="10"/>
  <c r="EF266" i="10" s="1"/>
  <c r="EP266" i="10" s="1"/>
  <c r="EE287" i="10"/>
  <c r="EO287" i="10" s="1"/>
  <c r="EC263" i="10"/>
  <c r="EM263" i="10" s="1"/>
  <c r="EE249" i="10"/>
  <c r="EO249" i="10" s="1"/>
  <c r="ED226" i="10"/>
  <c r="EN226" i="10" s="1"/>
  <c r="DY183" i="10"/>
  <c r="DX204" i="10"/>
  <c r="ED204" i="10" s="1"/>
  <c r="EN204" i="10" s="1"/>
  <c r="EH68" i="10"/>
  <c r="ER68" i="10" s="1"/>
  <c r="EG68" i="10"/>
  <c r="EQ68" i="10" s="1"/>
  <c r="DY68" i="10"/>
  <c r="EE68" i="10"/>
  <c r="EO68" i="10" s="1"/>
  <c r="EA68" i="10"/>
  <c r="EK68" i="10" s="1"/>
  <c r="EE123" i="10"/>
  <c r="EO123" i="10" s="1"/>
  <c r="EA31" i="10"/>
  <c r="EK31" i="10" s="1"/>
  <c r="EA63" i="10"/>
  <c r="EK63" i="10" s="1"/>
  <c r="EG92" i="10"/>
  <c r="EQ92" i="10" s="1"/>
  <c r="EB368" i="10"/>
  <c r="EL368" i="10" s="1"/>
  <c r="DY368" i="10"/>
  <c r="DX348" i="10"/>
  <c r="EB348" i="10" s="1"/>
  <c r="EL348" i="10" s="1"/>
  <c r="EE341" i="10"/>
  <c r="EO341" i="10" s="1"/>
  <c r="EF348" i="10"/>
  <c r="EP348" i="10" s="1"/>
  <c r="EG332" i="10"/>
  <c r="EQ332" i="10" s="1"/>
  <c r="DX328" i="10"/>
  <c r="ED328" i="10" s="1"/>
  <c r="EN328" i="10" s="1"/>
  <c r="DY324" i="10"/>
  <c r="DY237" i="10"/>
  <c r="DX201" i="10"/>
  <c r="DY201" i="10" s="1"/>
  <c r="EC172" i="10"/>
  <c r="EM172" i="10" s="1"/>
  <c r="DX120" i="10"/>
  <c r="EE120" i="10" s="1"/>
  <c r="EO120" i="10" s="1"/>
  <c r="DX155" i="10"/>
  <c r="EC155" i="10" s="1"/>
  <c r="EM155" i="10" s="1"/>
  <c r="EC158" i="10"/>
  <c r="EM158" i="10" s="1"/>
  <c r="DY90" i="10"/>
  <c r="DX35" i="10"/>
  <c r="DY35" i="10" s="1"/>
  <c r="EC151" i="10"/>
  <c r="EM151" i="10" s="1"/>
  <c r="EA140" i="10"/>
  <c r="EK140" i="10" s="1"/>
  <c r="EG140" i="10"/>
  <c r="EQ140" i="10" s="1"/>
  <c r="EH140" i="10"/>
  <c r="ER140" i="10" s="1"/>
  <c r="EF90" i="10"/>
  <c r="EP90" i="10" s="1"/>
  <c r="DX109" i="10"/>
  <c r="EF109" i="10" s="1"/>
  <c r="EP109" i="10" s="1"/>
  <c r="EH74" i="10"/>
  <c r="ER74" i="10" s="1"/>
  <c r="EG74" i="10"/>
  <c r="EQ74" i="10" s="1"/>
  <c r="EG25" i="10"/>
  <c r="EQ25" i="10" s="1"/>
  <c r="EF25" i="10"/>
  <c r="EP25" i="10" s="1"/>
  <c r="EE25" i="10"/>
  <c r="EO25" i="10" s="1"/>
  <c r="EH25" i="10"/>
  <c r="ER25" i="10" s="1"/>
  <c r="EH349" i="10"/>
  <c r="ER349" i="10" s="1"/>
  <c r="EA349" i="10"/>
  <c r="EK349" i="10" s="1"/>
  <c r="DX315" i="10"/>
  <c r="EE315" i="10" s="1"/>
  <c r="EO315" i="10" s="1"/>
  <c r="EE309" i="10"/>
  <c r="EO309" i="10" s="1"/>
  <c r="EA161" i="10"/>
  <c r="EK161" i="10" s="1"/>
  <c r="EF161" i="10"/>
  <c r="EP161" i="10" s="1"/>
  <c r="EH161" i="10"/>
  <c r="ER161" i="10" s="1"/>
  <c r="EH115" i="10"/>
  <c r="ER115" i="10" s="1"/>
  <c r="EG163" i="10"/>
  <c r="EQ163" i="10" s="1"/>
  <c r="EA163" i="10"/>
  <c r="EK163" i="10" s="1"/>
  <c r="EE368" i="10"/>
  <c r="EO368" i="10" s="1"/>
  <c r="ED368" i="10"/>
  <c r="EN368" i="10" s="1"/>
  <c r="ED363" i="10"/>
  <c r="EN363" i="10" s="1"/>
  <c r="EB345" i="10"/>
  <c r="EL345" i="10" s="1"/>
  <c r="EF345" i="10"/>
  <c r="EP345" i="10" s="1"/>
  <c r="EE345" i="10"/>
  <c r="EO345" i="10" s="1"/>
  <c r="DX322" i="10"/>
  <c r="EC322" i="10" s="1"/>
  <c r="EM322" i="10" s="1"/>
  <c r="EH371" i="10"/>
  <c r="ER371" i="10" s="1"/>
  <c r="DX307" i="10"/>
  <c r="EB307" i="10" s="1"/>
  <c r="EL307" i="10" s="1"/>
  <c r="EE312" i="10"/>
  <c r="EO312" i="10" s="1"/>
  <c r="EC298" i="10"/>
  <c r="EM298" i="10" s="1"/>
  <c r="EB314" i="10"/>
  <c r="EL314" i="10" s="1"/>
  <c r="EG326" i="10"/>
  <c r="EQ326" i="10" s="1"/>
  <c r="DX316" i="10"/>
  <c r="ED284" i="10"/>
  <c r="EN284" i="10" s="1"/>
  <c r="DX292" i="10"/>
  <c r="ED292" i="10" s="1"/>
  <c r="EN292" i="10" s="1"/>
  <c r="DX262" i="10"/>
  <c r="DY262" i="10" s="1"/>
  <c r="DY167" i="10"/>
  <c r="DX144" i="10"/>
  <c r="EF144" i="10" s="1"/>
  <c r="EP144" i="10" s="1"/>
  <c r="EB125" i="10"/>
  <c r="EL125" i="10" s="1"/>
  <c r="EC125" i="10"/>
  <c r="EM125" i="10" s="1"/>
  <c r="EE125" i="10"/>
  <c r="EO125" i="10" s="1"/>
  <c r="EA125" i="10"/>
  <c r="EK125" i="10" s="1"/>
  <c r="EE140" i="10"/>
  <c r="EO140" i="10" s="1"/>
  <c r="DX150" i="10"/>
  <c r="ED150" i="10" s="1"/>
  <c r="EN150" i="10" s="1"/>
  <c r="DY20" i="10"/>
  <c r="EA74" i="10"/>
  <c r="EK74" i="10" s="1"/>
  <c r="DX298" i="10"/>
  <c r="EE298" i="10" s="1"/>
  <c r="EO298" i="10" s="1"/>
  <c r="EB343" i="10"/>
  <c r="EL343" i="10" s="1"/>
  <c r="EF151" i="10"/>
  <c r="EP151" i="10" s="1"/>
  <c r="DY104" i="10"/>
  <c r="DX70" i="10"/>
  <c r="EA70" i="10"/>
  <c r="EK70" i="10" s="1"/>
  <c r="DX138" i="10"/>
  <c r="EC138" i="10" s="1"/>
  <c r="EM138" i="10" s="1"/>
  <c r="DX359" i="10"/>
  <c r="EE359" i="10" s="1"/>
  <c r="EO359" i="10" s="1"/>
  <c r="EG361" i="10"/>
  <c r="EQ361" i="10" s="1"/>
  <c r="ED370" i="10"/>
  <c r="EN370" i="10" s="1"/>
  <c r="DX343" i="10"/>
  <c r="ED343" i="10" s="1"/>
  <c r="EN343" i="10" s="1"/>
  <c r="ED347" i="10"/>
  <c r="EN347" i="10" s="1"/>
  <c r="DX361" i="10"/>
  <c r="EC361" i="10" s="1"/>
  <c r="EM361" i="10" s="1"/>
  <c r="EF349" i="10"/>
  <c r="EP349" i="10" s="1"/>
  <c r="DY296" i="10"/>
  <c r="EB312" i="10"/>
  <c r="EL312" i="10" s="1"/>
  <c r="DX314" i="10"/>
  <c r="ED314" i="10" s="1"/>
  <c r="EN314" i="10" s="1"/>
  <c r="DX282" i="10"/>
  <c r="EC282" i="10" s="1"/>
  <c r="EM282" i="10" s="1"/>
  <c r="DX289" i="10"/>
  <c r="EE289" i="10" s="1"/>
  <c r="EO289" i="10" s="1"/>
  <c r="DX209" i="10"/>
  <c r="EC209" i="10" s="1"/>
  <c r="EM209" i="10" s="1"/>
  <c r="DX272" i="10"/>
  <c r="EC272" i="10" s="1"/>
  <c r="EM272" i="10" s="1"/>
  <c r="DX217" i="10"/>
  <c r="EE217" i="10" s="1"/>
  <c r="EO217" i="10" s="1"/>
  <c r="DX215" i="10"/>
  <c r="EG158" i="10"/>
  <c r="DY113" i="10"/>
  <c r="EH103" i="10"/>
  <c r="ER103" i="10" s="1"/>
  <c r="EB103" i="10"/>
  <c r="EL103" i="10" s="1"/>
  <c r="EE103" i="10"/>
  <c r="EO103" i="10" s="1"/>
  <c r="DX79" i="10"/>
  <c r="DY79" i="10" s="1"/>
  <c r="EG88" i="10"/>
  <c r="EQ88" i="10" s="1"/>
  <c r="EH88" i="10"/>
  <c r="ER88" i="10" s="1"/>
  <c r="DX124" i="10"/>
  <c r="EC124" i="10" s="1"/>
  <c r="EM124" i="10" s="1"/>
  <c r="EF264" i="10"/>
  <c r="EP264" i="10" s="1"/>
  <c r="EC61" i="10"/>
  <c r="EM61" i="10" s="1"/>
  <c r="EF61" i="10"/>
  <c r="EP61" i="10" s="1"/>
  <c r="EB61" i="10"/>
  <c r="EL61" i="10" s="1"/>
  <c r="EF369" i="10"/>
  <c r="EP369" i="10" s="1"/>
  <c r="DX364" i="10"/>
  <c r="EC364" i="10" s="1"/>
  <c r="EM364" i="10" s="1"/>
  <c r="DX367" i="10"/>
  <c r="ED367" i="10" s="1"/>
  <c r="EN367" i="10" s="1"/>
  <c r="DX308" i="10"/>
  <c r="ED308" i="10" s="1"/>
  <c r="EN308" i="10" s="1"/>
  <c r="DX313" i="10"/>
  <c r="EB313" i="10" s="1"/>
  <c r="EL313" i="10" s="1"/>
  <c r="DX306" i="10"/>
  <c r="DY306" i="10" s="1"/>
  <c r="DY241" i="10"/>
  <c r="DX212" i="10"/>
  <c r="EF212" i="10" s="1"/>
  <c r="EP212" i="10" s="1"/>
  <c r="DX157" i="10"/>
  <c r="EF157" i="10" s="1"/>
  <c r="EP157" i="10" s="1"/>
  <c r="ED158" i="10"/>
  <c r="EN158" i="10" s="1"/>
  <c r="DX127" i="10"/>
  <c r="EE127" i="10" s="1"/>
  <c r="EO127" i="10" s="1"/>
  <c r="DX134" i="10"/>
  <c r="DX82" i="10"/>
  <c r="DY82" i="10" s="1"/>
  <c r="EF167" i="10"/>
  <c r="EP167" i="10" s="1"/>
  <c r="EC163" i="10"/>
  <c r="EM163" i="10" s="1"/>
  <c r="EH33" i="10"/>
  <c r="ER33" i="10" s="1"/>
  <c r="EF56" i="10"/>
  <c r="EP56" i="10" s="1"/>
  <c r="EE56" i="10"/>
  <c r="EO56" i="10" s="1"/>
  <c r="EG56" i="10"/>
  <c r="EQ56" i="10" s="1"/>
  <c r="EC56" i="10"/>
  <c r="EM56" i="10" s="1"/>
  <c r="EH56" i="10"/>
  <c r="ER56" i="10" s="1"/>
  <c r="EE92" i="10"/>
  <c r="EO92" i="10" s="1"/>
  <c r="DX104" i="10"/>
  <c r="EE104" i="10" s="1"/>
  <c r="EO104" i="10" s="1"/>
  <c r="DX96" i="10"/>
  <c r="EC96" i="10" s="1"/>
  <c r="EM96" i="10" s="1"/>
  <c r="EA88" i="10"/>
  <c r="EK88" i="10" s="1"/>
  <c r="ES19" i="10"/>
  <c r="EI19" i="10"/>
  <c r="EG71" i="10"/>
  <c r="EQ71" i="10" s="1"/>
  <c r="EE71" i="10"/>
  <c r="EO71" i="10" s="1"/>
  <c r="EH71" i="10"/>
  <c r="ER71" i="10" s="1"/>
  <c r="DY71" i="10"/>
  <c r="EC71" i="10"/>
  <c r="EM71" i="10" s="1"/>
  <c r="EB98" i="10"/>
  <c r="EL98" i="10" s="1"/>
  <c r="EF98" i="10"/>
  <c r="EP98" i="10" s="1"/>
  <c r="EB74" i="10"/>
  <c r="EL74" i="10" s="1"/>
  <c r="DY44" i="10"/>
  <c r="DX236" i="10"/>
  <c r="EB236" i="10" s="1"/>
  <c r="EL236" i="10" s="1"/>
  <c r="DX247" i="10"/>
  <c r="EF247" i="10" s="1"/>
  <c r="EP247" i="10" s="1"/>
  <c r="DX370" i="10"/>
  <c r="EB370" i="10" s="1"/>
  <c r="EL370" i="10" s="1"/>
  <c r="DX342" i="10"/>
  <c r="EE342" i="10" s="1"/>
  <c r="EO342" i="10" s="1"/>
  <c r="EG333" i="10"/>
  <c r="EQ333" i="10" s="1"/>
  <c r="EC349" i="10"/>
  <c r="EM349" i="10" s="1"/>
  <c r="DX302" i="10"/>
  <c r="DX305" i="10"/>
  <c r="EB305" i="10" s="1"/>
  <c r="EL305" i="10" s="1"/>
  <c r="ED305" i="10"/>
  <c r="EN305" i="10" s="1"/>
  <c r="DX290" i="10"/>
  <c r="EE290" i="10" s="1"/>
  <c r="EO290" i="10" s="1"/>
  <c r="EB290" i="10"/>
  <c r="EL290" i="10" s="1"/>
  <c r="DX260" i="10"/>
  <c r="EH260" i="10" s="1"/>
  <c r="ER260" i="10" s="1"/>
  <c r="DX219" i="10"/>
  <c r="DY219" i="10" s="1"/>
  <c r="ED241" i="10"/>
  <c r="EN241" i="10" s="1"/>
  <c r="DX234" i="10"/>
  <c r="ED234" i="10" s="1"/>
  <c r="EN234" i="10" s="1"/>
  <c r="ED219" i="10"/>
  <c r="EN219" i="10" s="1"/>
  <c r="DX187" i="10"/>
  <c r="EB187" i="10" s="1"/>
  <c r="EL187" i="10" s="1"/>
  <c r="DX210" i="10"/>
  <c r="DY210" i="10" s="1"/>
  <c r="EB202" i="10"/>
  <c r="EL202" i="10" s="1"/>
  <c r="DX164" i="10"/>
  <c r="EB164" i="10" s="1"/>
  <c r="EL164" i="10" s="1"/>
  <c r="EF194" i="10"/>
  <c r="EP194" i="10" s="1"/>
  <c r="EA130" i="10"/>
  <c r="EK130" i="10" s="1"/>
  <c r="EE130" i="10"/>
  <c r="EO130" i="10" s="1"/>
  <c r="EC130" i="10"/>
  <c r="EM130" i="10" s="1"/>
  <c r="DX168" i="10"/>
  <c r="DY168" i="10" s="1"/>
  <c r="EB118" i="10"/>
  <c r="EL118" i="10" s="1"/>
  <c r="EA118" i="10"/>
  <c r="EK118" i="10" s="1"/>
  <c r="EG118" i="10"/>
  <c r="EQ118" i="10" s="1"/>
  <c r="EE118" i="10"/>
  <c r="EO118" i="10" s="1"/>
  <c r="EH163" i="10"/>
  <c r="ER163" i="10" s="1"/>
  <c r="DX160" i="10"/>
  <c r="EB160" i="10" s="1"/>
  <c r="EL160" i="10" s="1"/>
  <c r="EB130" i="10"/>
  <c r="EL130" i="10" s="1"/>
  <c r="DY31" i="10"/>
  <c r="EH92" i="10"/>
  <c r="ER92" i="10" s="1"/>
  <c r="DX52" i="10"/>
  <c r="DY52" i="10" s="1"/>
  <c r="EG61" i="10"/>
  <c r="EQ61" i="10" s="1"/>
  <c r="DX85" i="10"/>
  <c r="EF85" i="10" s="1"/>
  <c r="EP85" i="10" s="1"/>
  <c r="EE361" i="10"/>
  <c r="EO361" i="10" s="1"/>
  <c r="ED280" i="10"/>
  <c r="EN280" i="10" s="1"/>
  <c r="EH112" i="10"/>
  <c r="ER112" i="10" s="1"/>
  <c r="EG112" i="10"/>
  <c r="EQ112" i="10" s="1"/>
  <c r="EA112" i="10"/>
  <c r="EK112" i="10" s="1"/>
  <c r="EC106" i="10"/>
  <c r="EM106" i="10" s="1"/>
  <c r="EA106" i="10"/>
  <c r="EK106" i="10" s="1"/>
  <c r="EG106" i="10"/>
  <c r="EQ106" i="10" s="1"/>
  <c r="EH106" i="10"/>
  <c r="ER106" i="10" s="1"/>
  <c r="EF106" i="10"/>
  <c r="EP106" i="10" s="1"/>
  <c r="DY365" i="10"/>
  <c r="ED360" i="10"/>
  <c r="EN360" i="10" s="1"/>
  <c r="DY345" i="10"/>
  <c r="EE321" i="10"/>
  <c r="EO321" i="10" s="1"/>
  <c r="EE370" i="10"/>
  <c r="EO370" i="10" s="1"/>
  <c r="DY354" i="10"/>
  <c r="DX375" i="10"/>
  <c r="ED375" i="10" s="1"/>
  <c r="EN375" i="10" s="1"/>
  <c r="DX333" i="10"/>
  <c r="EH333" i="10" s="1"/>
  <c r="ER333" i="10" s="1"/>
  <c r="EA333" i="10"/>
  <c r="EK333" i="10" s="1"/>
  <c r="ED345" i="10"/>
  <c r="EN345" i="10" s="1"/>
  <c r="EG349" i="10"/>
  <c r="EQ349" i="10" s="1"/>
  <c r="EE269" i="10"/>
  <c r="EO269" i="10" s="1"/>
  <c r="DX300" i="10"/>
  <c r="EB300" i="10" s="1"/>
  <c r="EL300" i="10" s="1"/>
  <c r="EE288" i="10"/>
  <c r="EO288" i="10" s="1"/>
  <c r="EC291" i="10"/>
  <c r="EM291" i="10" s="1"/>
  <c r="DX285" i="10"/>
  <c r="EC285" i="10" s="1"/>
  <c r="EM285" i="10" s="1"/>
  <c r="DX261" i="10"/>
  <c r="EC261" i="10" s="1"/>
  <c r="EM261" i="10" s="1"/>
  <c r="DX293" i="10"/>
  <c r="EB293" i="10" s="1"/>
  <c r="EL293" i="10" s="1"/>
  <c r="EE248" i="10"/>
  <c r="EO248" i="10" s="1"/>
  <c r="DX154" i="10"/>
  <c r="DY154" i="10" s="1"/>
  <c r="DY121" i="10"/>
  <c r="EE126" i="10"/>
  <c r="EO126" i="10" s="1"/>
  <c r="EC126" i="10"/>
  <c r="EM126" i="10" s="1"/>
  <c r="EH28" i="10"/>
  <c r="ER28" i="10" s="1"/>
  <c r="EB28" i="10"/>
  <c r="EL28" i="10" s="1"/>
  <c r="EH125" i="10"/>
  <c r="ER125" i="10" s="1"/>
  <c r="DX39" i="10"/>
  <c r="DY39" i="10" s="1"/>
  <c r="DX80" i="10"/>
  <c r="EC80" i="10" s="1"/>
  <c r="EM80" i="10" s="1"/>
  <c r="EA80" i="10"/>
  <c r="EK80" i="10" s="1"/>
  <c r="EH54" i="10"/>
  <c r="ER54" i="10" s="1"/>
  <c r="EE54" i="10"/>
  <c r="EO54" i="10" s="1"/>
  <c r="EB54" i="10"/>
  <c r="EL54" i="10" s="1"/>
  <c r="EG54" i="10"/>
  <c r="EQ54" i="10" s="1"/>
  <c r="DY125" i="10"/>
  <c r="EH246" i="10"/>
  <c r="ER246" i="10" s="1"/>
  <c r="EF246" i="10"/>
  <c r="EP246" i="10" s="1"/>
  <c r="EG246" i="10"/>
  <c r="EQ246" i="10" s="1"/>
  <c r="EF86" i="10"/>
  <c r="EP86" i="10" s="1"/>
  <c r="DX353" i="10"/>
  <c r="EC353" i="10" s="1"/>
  <c r="EM353" i="10" s="1"/>
  <c r="DX240" i="10"/>
  <c r="EC240" i="10" s="1"/>
  <c r="EM240" i="10" s="1"/>
  <c r="ED373" i="10"/>
  <c r="EN373" i="10" s="1"/>
  <c r="DX355" i="10"/>
  <c r="ED355" i="10" s="1"/>
  <c r="EN355" i="10" s="1"/>
  <c r="DX317" i="10"/>
  <c r="EB317" i="10" s="1"/>
  <c r="EL317" i="10" s="1"/>
  <c r="ED287" i="10"/>
  <c r="EN287" i="10" s="1"/>
  <c r="EC373" i="10"/>
  <c r="EM373" i="10" s="1"/>
  <c r="EG348" i="10"/>
  <c r="EQ348" i="10" s="1"/>
  <c r="DX340" i="10"/>
  <c r="DX323" i="10"/>
  <c r="EF323" i="10" s="1"/>
  <c r="EP323" i="10" s="1"/>
  <c r="EG312" i="10"/>
  <c r="EQ312" i="10" s="1"/>
  <c r="DY287" i="10"/>
  <c r="DX264" i="10"/>
  <c r="ED264" i="10" s="1"/>
  <c r="EN264" i="10" s="1"/>
  <c r="ED263" i="10"/>
  <c r="EN263" i="10" s="1"/>
  <c r="DY281" i="10"/>
  <c r="ED275" i="10"/>
  <c r="EN275" i="10" s="1"/>
  <c r="EC221" i="10"/>
  <c r="EM221" i="10" s="1"/>
  <c r="DX251" i="10"/>
  <c r="EC251" i="10" s="1"/>
  <c r="EM251" i="10" s="1"/>
  <c r="EF206" i="10"/>
  <c r="EP206" i="10" s="1"/>
  <c r="DX211" i="10"/>
  <c r="EB211" i="10" s="1"/>
  <c r="EL211" i="10" s="1"/>
  <c r="EG224" i="10"/>
  <c r="EQ224" i="10" s="1"/>
  <c r="DX176" i="10"/>
  <c r="DY176" i="10" s="1"/>
  <c r="DX108" i="10"/>
  <c r="EE108" i="10" s="1"/>
  <c r="EO108" i="10" s="1"/>
  <c r="DY151" i="10"/>
  <c r="DX162" i="10"/>
  <c r="EF162" i="10" s="1"/>
  <c r="EP162" i="10" s="1"/>
  <c r="DX111" i="10"/>
  <c r="DY111" i="10" s="1"/>
  <c r="EE113" i="10"/>
  <c r="EO113" i="10" s="1"/>
  <c r="DY78" i="10"/>
  <c r="EB126" i="10"/>
  <c r="EL126" i="10" s="1"/>
  <c r="EA54" i="10"/>
  <c r="EK54" i="10" s="1"/>
  <c r="EF249" i="10"/>
  <c r="EP249" i="10" s="1"/>
  <c r="DX239" i="10"/>
  <c r="EB239" i="10" s="1"/>
  <c r="EL239" i="10" s="1"/>
  <c r="EA239" i="10"/>
  <c r="EK239" i="10" s="1"/>
  <c r="DX174" i="10"/>
  <c r="EG174" i="10" s="1"/>
  <c r="EQ174" i="10" s="1"/>
  <c r="EA174" i="10"/>
  <c r="EK174" i="10" s="1"/>
  <c r="EF237" i="10"/>
  <c r="EP237" i="10" s="1"/>
  <c r="EF221" i="10"/>
  <c r="EP221" i="10" s="1"/>
  <c r="EE215" i="10"/>
  <c r="EO215" i="10" s="1"/>
  <c r="EF130" i="10"/>
  <c r="EP130" i="10" s="1"/>
  <c r="DY140" i="10"/>
  <c r="DX149" i="10"/>
  <c r="DY149" i="10" s="1"/>
  <c r="DY102" i="10"/>
  <c r="EC149" i="10"/>
  <c r="EM149" i="10" s="1"/>
  <c r="DY126" i="10"/>
  <c r="EE102" i="10"/>
  <c r="EO102" i="10" s="1"/>
  <c r="EE55" i="10"/>
  <c r="EO55" i="10" s="1"/>
  <c r="EC55" i="10"/>
  <c r="EM55" i="10" s="1"/>
  <c r="EB17" i="10"/>
  <c r="EL17" i="10" s="1"/>
  <c r="EF23" i="10"/>
  <c r="EP23" i="10" s="1"/>
  <c r="DX97" i="10"/>
  <c r="DY97" i="10" s="1"/>
  <c r="EB50" i="10"/>
  <c r="EL50" i="10" s="1"/>
  <c r="DY257" i="10"/>
  <c r="EC273" i="10"/>
  <c r="EM273" i="10" s="1"/>
  <c r="EG223" i="10"/>
  <c r="EQ223" i="10" s="1"/>
  <c r="DX278" i="10"/>
  <c r="EE278" i="10" s="1"/>
  <c r="EO278" i="10" s="1"/>
  <c r="EF226" i="10"/>
  <c r="EP226" i="10" s="1"/>
  <c r="EC223" i="10"/>
  <c r="EM223" i="10" s="1"/>
  <c r="DX129" i="10"/>
  <c r="EC129" i="10" s="1"/>
  <c r="EM129" i="10" s="1"/>
  <c r="DY74" i="10"/>
  <c r="EA136" i="10"/>
  <c r="EK136" i="10" s="1"/>
  <c r="DY75" i="10"/>
  <c r="EC89" i="10"/>
  <c r="EM89" i="10" s="1"/>
  <c r="EC136" i="10"/>
  <c r="EM136" i="10" s="1"/>
  <c r="DY87" i="10"/>
  <c r="EH53" i="10"/>
  <c r="ER53" i="10" s="1"/>
  <c r="EC53" i="10"/>
  <c r="EM53" i="10" s="1"/>
  <c r="EE53" i="10"/>
  <c r="EO53" i="10" s="1"/>
  <c r="EA51" i="10"/>
  <c r="EK51" i="10" s="1"/>
  <c r="EF66" i="10"/>
  <c r="EP66" i="10" s="1"/>
  <c r="EE84" i="10"/>
  <c r="EO84" i="10" s="1"/>
  <c r="EF283" i="10"/>
  <c r="EP283" i="10" s="1"/>
  <c r="DX273" i="10"/>
  <c r="ED273" i="10" s="1"/>
  <c r="EN273" i="10" s="1"/>
  <c r="EC281" i="10"/>
  <c r="EM281" i="10" s="1"/>
  <c r="EC247" i="10"/>
  <c r="EM247" i="10" s="1"/>
  <c r="EB223" i="10"/>
  <c r="EL223" i="10" s="1"/>
  <c r="EC229" i="10"/>
  <c r="EM229" i="10" s="1"/>
  <c r="DY158" i="10"/>
  <c r="EC203" i="10"/>
  <c r="EM203" i="10" s="1"/>
  <c r="DX203" i="10"/>
  <c r="EE203" i="10" s="1"/>
  <c r="EO203" i="10" s="1"/>
  <c r="ED149" i="10"/>
  <c r="EN149" i="10" s="1"/>
  <c r="EH12" i="10"/>
  <c r="ER12" i="10" s="1"/>
  <c r="EC12" i="10"/>
  <c r="EM12" i="10" s="1"/>
  <c r="EF12" i="10"/>
  <c r="EP12" i="10" s="1"/>
  <c r="EG12" i="10"/>
  <c r="EQ12" i="10" s="1"/>
  <c r="EE12" i="10"/>
  <c r="EO12" i="10" s="1"/>
  <c r="EC100" i="10"/>
  <c r="EM100" i="10" s="1"/>
  <c r="EB44" i="10"/>
  <c r="EL44" i="10" s="1"/>
  <c r="DX275" i="10"/>
  <c r="EC269" i="10"/>
  <c r="EM269" i="10" s="1"/>
  <c r="ED246" i="10"/>
  <c r="EN246" i="10" s="1"/>
  <c r="DX224" i="10"/>
  <c r="DX186" i="10"/>
  <c r="EC186" i="10" s="1"/>
  <c r="EM186" i="10" s="1"/>
  <c r="DX213" i="10"/>
  <c r="DY213" i="10" s="1"/>
  <c r="DX181" i="10"/>
  <c r="EH181" i="10" s="1"/>
  <c r="ER181" i="10" s="1"/>
  <c r="EA181" i="10"/>
  <c r="EK181" i="10" s="1"/>
  <c r="DY63" i="10"/>
  <c r="DX128" i="10"/>
  <c r="EE128" i="10" s="1"/>
  <c r="EO128" i="10" s="1"/>
  <c r="DX119" i="10"/>
  <c r="DY119" i="10" s="1"/>
  <c r="EE88" i="10"/>
  <c r="EO88" i="10" s="1"/>
  <c r="EE116" i="10"/>
  <c r="EO116" i="10" s="1"/>
  <c r="EE73" i="10"/>
  <c r="EO73" i="10" s="1"/>
  <c r="EA41" i="10"/>
  <c r="EK41" i="10" s="1"/>
  <c r="DY41" i="10"/>
  <c r="EC17" i="10"/>
  <c r="EM17" i="10" s="1"/>
  <c r="DX24" i="10"/>
  <c r="EA24" i="10" s="1"/>
  <c r="EK24" i="10" s="1"/>
  <c r="EC237" i="10"/>
  <c r="EM237" i="10" s="1"/>
  <c r="DX227" i="10"/>
  <c r="EF227" i="10" s="1"/>
  <c r="EP227" i="10" s="1"/>
  <c r="DX243" i="10"/>
  <c r="EC243" i="10" s="1"/>
  <c r="EM243" i="10" s="1"/>
  <c r="DX228" i="10"/>
  <c r="ED228" i="10" s="1"/>
  <c r="EN228" i="10" s="1"/>
  <c r="ED213" i="10"/>
  <c r="EN213" i="10" s="1"/>
  <c r="DX172" i="10"/>
  <c r="EA172" i="10" s="1"/>
  <c r="EK172" i="10" s="1"/>
  <c r="DY206" i="10"/>
  <c r="DY92" i="10"/>
  <c r="DY133" i="10"/>
  <c r="EF40" i="10"/>
  <c r="EP40" i="10" s="1"/>
  <c r="EH40" i="10"/>
  <c r="ER40" i="10" s="1"/>
  <c r="EE40" i="10"/>
  <c r="EO40" i="10" s="1"/>
  <c r="EC40" i="10"/>
  <c r="EM40" i="10" s="1"/>
  <c r="EB40" i="10"/>
  <c r="EL40" i="10" s="1"/>
  <c r="EE29" i="10"/>
  <c r="EO29" i="10" s="1"/>
  <c r="EC29" i="10"/>
  <c r="EM29" i="10" s="1"/>
  <c r="EH29" i="10"/>
  <c r="ER29" i="10" s="1"/>
  <c r="EB59" i="10"/>
  <c r="EL59" i="10" s="1"/>
  <c r="EF51" i="10"/>
  <c r="EP51" i="10" s="1"/>
  <c r="DX295" i="10"/>
  <c r="EG295" i="10" s="1"/>
  <c r="EQ295" i="10" s="1"/>
  <c r="EC309" i="10"/>
  <c r="EM309" i="10" s="1"/>
  <c r="DX265" i="10"/>
  <c r="EE265" i="10" s="1"/>
  <c r="EO265" i="10" s="1"/>
  <c r="DY266" i="10"/>
  <c r="ED285" i="10"/>
  <c r="EN285" i="10" s="1"/>
  <c r="EE228" i="10"/>
  <c r="EO228" i="10" s="1"/>
  <c r="EE264" i="10"/>
  <c r="EO264" i="10" s="1"/>
  <c r="EC241" i="10"/>
  <c r="EM241" i="10" s="1"/>
  <c r="ED202" i="10"/>
  <c r="EN202" i="10" s="1"/>
  <c r="DX208" i="10"/>
  <c r="ED208" i="10" s="1"/>
  <c r="EN208" i="10" s="1"/>
  <c r="DY208" i="10"/>
  <c r="ED182" i="10"/>
  <c r="EN182" i="10" s="1"/>
  <c r="DX184" i="10"/>
  <c r="DY184" i="10" s="1"/>
  <c r="DX170" i="10"/>
  <c r="DY170" i="10" s="1"/>
  <c r="EE106" i="10"/>
  <c r="EO106" i="10" s="1"/>
  <c r="DY118" i="10"/>
  <c r="DY60" i="10"/>
  <c r="EA100" i="10"/>
  <c r="EK100" i="10" s="1"/>
  <c r="DX133" i="10"/>
  <c r="EA133" i="10"/>
  <c r="EK133" i="10" s="1"/>
  <c r="EH51" i="10"/>
  <c r="ER51" i="10" s="1"/>
  <c r="EB136" i="10"/>
  <c r="EL136" i="10" s="1"/>
  <c r="EA29" i="10"/>
  <c r="EK29" i="10" s="1"/>
  <c r="DY309" i="10"/>
  <c r="EE277" i="10"/>
  <c r="EO277" i="10" s="1"/>
  <c r="EF265" i="10"/>
  <c r="EP265" i="10" s="1"/>
  <c r="EE262" i="10"/>
  <c r="EO262" i="10" s="1"/>
  <c r="EE255" i="10"/>
  <c r="EO255" i="10" s="1"/>
  <c r="EF255" i="10"/>
  <c r="EP255" i="10" s="1"/>
  <c r="EE192" i="10"/>
  <c r="EO192" i="10" s="1"/>
  <c r="DX183" i="10"/>
  <c r="EF183" i="10" s="1"/>
  <c r="EP183" i="10" s="1"/>
  <c r="ED206" i="10"/>
  <c r="EN206" i="10" s="1"/>
  <c r="EB182" i="10"/>
  <c r="EL182" i="10" s="1"/>
  <c r="ED168" i="10"/>
  <c r="EN168" i="10" s="1"/>
  <c r="EF199" i="10"/>
  <c r="EP199" i="10" s="1"/>
  <c r="DX135" i="10"/>
  <c r="EC135" i="10" s="1"/>
  <c r="EM135" i="10" s="1"/>
  <c r="EE107" i="10"/>
  <c r="EO107" i="10" s="1"/>
  <c r="EC118" i="10"/>
  <c r="EM118" i="10" s="1"/>
  <c r="EE117" i="10"/>
  <c r="EO117" i="10" s="1"/>
  <c r="DY136" i="10"/>
  <c r="EB143" i="10"/>
  <c r="EL143" i="10" s="1"/>
  <c r="DY50" i="10"/>
  <c r="EC249" i="10"/>
  <c r="EM249" i="10" s="1"/>
  <c r="EC84" i="10"/>
  <c r="EM84" i="10" s="1"/>
  <c r="EB309" i="10"/>
  <c r="EL309" i="10" s="1"/>
  <c r="DX274" i="10"/>
  <c r="ED274" i="10" s="1"/>
  <c r="EN274" i="10" s="1"/>
  <c r="EE237" i="10"/>
  <c r="EO237" i="10" s="1"/>
  <c r="ED237" i="10"/>
  <c r="EN237" i="10" s="1"/>
  <c r="EB191" i="10"/>
  <c r="EL191" i="10" s="1"/>
  <c r="DX235" i="10"/>
  <c r="EC235" i="10" s="1"/>
  <c r="EM235" i="10" s="1"/>
  <c r="EG151" i="10"/>
  <c r="EQ151" i="10" s="1"/>
  <c r="EB243" i="10"/>
  <c r="EL243" i="10" s="1"/>
  <c r="DX225" i="10"/>
  <c r="EG225" i="10" s="1"/>
  <c r="EQ225" i="10" s="1"/>
  <c r="DY159" i="10"/>
  <c r="DX177" i="10"/>
  <c r="DY177" i="10" s="1"/>
  <c r="DX148" i="10"/>
  <c r="DY148" i="10" s="1"/>
  <c r="EH102" i="10"/>
  <c r="ER102" i="10" s="1"/>
  <c r="EG102" i="10"/>
  <c r="EQ102" i="10" s="1"/>
  <c r="DY33" i="10"/>
  <c r="DX38" i="10"/>
  <c r="EH77" i="10"/>
  <c r="ER77" i="10" s="1"/>
  <c r="EC77" i="10"/>
  <c r="EM77" i="10" s="1"/>
  <c r="DX189" i="10"/>
  <c r="DY189" i="10" s="1"/>
  <c r="DY117" i="10"/>
  <c r="DX94" i="10"/>
  <c r="EE94" i="10" s="1"/>
  <c r="EO94" i="10" s="1"/>
  <c r="DX110" i="10"/>
  <c r="EE110" i="10" s="1"/>
  <c r="EO110" i="10" s="1"/>
  <c r="DY28" i="10"/>
  <c r="EF41" i="10"/>
  <c r="EP41" i="10" s="1"/>
  <c r="EF77" i="10"/>
  <c r="EP77" i="10" s="1"/>
  <c r="EH55" i="10"/>
  <c r="ER55" i="10" s="1"/>
  <c r="DX331" i="10"/>
  <c r="EC331" i="10" s="1"/>
  <c r="EM331" i="10" s="1"/>
  <c r="EE317" i="10"/>
  <c r="EO317" i="10" s="1"/>
  <c r="ED332" i="10"/>
  <c r="EN332" i="10" s="1"/>
  <c r="EE295" i="10"/>
  <c r="EO295" i="10" s="1"/>
  <c r="DY264" i="10"/>
  <c r="EE296" i="10"/>
  <c r="EO296" i="10" s="1"/>
  <c r="EB263" i="10"/>
  <c r="EL263" i="10" s="1"/>
  <c r="DX276" i="10"/>
  <c r="DY276" i="10" s="1"/>
  <c r="DX258" i="10"/>
  <c r="ED258" i="10" s="1"/>
  <c r="EN258" i="10" s="1"/>
  <c r="EC246" i="10"/>
  <c r="EM246" i="10" s="1"/>
  <c r="DX248" i="10"/>
  <c r="EC248" i="10" s="1"/>
  <c r="EM248" i="10" s="1"/>
  <c r="EC182" i="10"/>
  <c r="EM182" i="10" s="1"/>
  <c r="DX238" i="10"/>
  <c r="DX196" i="10"/>
  <c r="EE196" i="10" s="1"/>
  <c r="EO196" i="10" s="1"/>
  <c r="EE175" i="10"/>
  <c r="EO175" i="10" s="1"/>
  <c r="EF182" i="10"/>
  <c r="EP182" i="10" s="1"/>
  <c r="DX141" i="10"/>
  <c r="EB141" i="10" s="1"/>
  <c r="EL141" i="10" s="1"/>
  <c r="EA102" i="10"/>
  <c r="EK102" i="10" s="1"/>
  <c r="EA77" i="10"/>
  <c r="EK77" i="10" s="1"/>
  <c r="EH50" i="10"/>
  <c r="ER50" i="10" s="1"/>
  <c r="EA50" i="10"/>
  <c r="EK50" i="10" s="1"/>
  <c r="EF125" i="10"/>
  <c r="EP125" i="10" s="1"/>
  <c r="EF59" i="10"/>
  <c r="EP59" i="10" s="1"/>
  <c r="DX180" i="10"/>
  <c r="EE180" i="10" s="1"/>
  <c r="EO180" i="10" s="1"/>
  <c r="EA180" i="10"/>
  <c r="EK180" i="10" s="1"/>
  <c r="EE114" i="10"/>
  <c r="EO114" i="10" s="1"/>
  <c r="EC41" i="10"/>
  <c r="EM41" i="10" s="1"/>
  <c r="EF236" i="10"/>
  <c r="EP236" i="10" s="1"/>
  <c r="DX195" i="10"/>
  <c r="EF195" i="10" s="1"/>
  <c r="EP195" i="10" s="1"/>
  <c r="EG202" i="10"/>
  <c r="EQ202" i="10" s="1"/>
  <c r="ED163" i="10"/>
  <c r="EN163" i="10" s="1"/>
  <c r="DX175" i="10"/>
  <c r="EC175" i="10" s="1"/>
  <c r="EM175" i="10" s="1"/>
  <c r="DX131" i="10"/>
  <c r="DY131" i="10" s="1"/>
  <c r="EE189" i="10"/>
  <c r="EO189" i="10" s="1"/>
  <c r="EF83" i="10"/>
  <c r="EP83" i="10" s="1"/>
  <c r="DX37" i="10"/>
  <c r="DY37" i="10" s="1"/>
  <c r="EF43" i="10"/>
  <c r="EP43" i="10" s="1"/>
  <c r="EA43" i="10"/>
  <c r="EK43" i="10" s="1"/>
  <c r="EE43" i="10"/>
  <c r="EO43" i="10" s="1"/>
  <c r="EC43" i="10"/>
  <c r="EM43" i="10" s="1"/>
  <c r="EH43" i="10"/>
  <c r="ER43" i="10" s="1"/>
  <c r="EF17" i="10"/>
  <c r="EP17" i="10" s="1"/>
  <c r="EH23" i="10"/>
  <c r="ER23" i="10" s="1"/>
  <c r="EC23" i="10"/>
  <c r="EM23" i="10" s="1"/>
  <c r="EB41" i="10"/>
  <c r="EL41" i="10" s="1"/>
  <c r="EG41" i="10"/>
  <c r="EQ41" i="10" s="1"/>
  <c r="EB281" i="10"/>
  <c r="EL281" i="10" s="1"/>
  <c r="EG257" i="10"/>
  <c r="EQ257" i="10" s="1"/>
  <c r="DY288" i="10"/>
  <c r="ED254" i="10"/>
  <c r="EN254" i="10" s="1"/>
  <c r="EE246" i="10"/>
  <c r="EO246" i="10" s="1"/>
  <c r="DY227" i="10"/>
  <c r="EF229" i="10"/>
  <c r="EP229" i="10" s="1"/>
  <c r="DY228" i="10"/>
  <c r="DX178" i="10"/>
  <c r="EB178" i="10" s="1"/>
  <c r="EL178" i="10" s="1"/>
  <c r="EA178" i="10"/>
  <c r="EK178" i="10" s="1"/>
  <c r="EG172" i="10"/>
  <c r="EQ172" i="10" s="1"/>
  <c r="DX190" i="10"/>
  <c r="DY190" i="10" s="1"/>
  <c r="DX231" i="10"/>
  <c r="EB231" i="10" s="1"/>
  <c r="EL231" i="10" s="1"/>
  <c r="EG161" i="10"/>
  <c r="EQ161" i="10" s="1"/>
  <c r="ED151" i="10"/>
  <c r="EN151" i="10" s="1"/>
  <c r="DX95" i="10"/>
  <c r="EE95" i="10" s="1"/>
  <c r="EO95" i="10" s="1"/>
  <c r="EG175" i="10"/>
  <c r="EQ175" i="10" s="1"/>
  <c r="EF132" i="10"/>
  <c r="EP132" i="10" s="1"/>
  <c r="EF198" i="10"/>
  <c r="EP198" i="10" s="1"/>
  <c r="EB102" i="10"/>
  <c r="EL102" i="10" s="1"/>
  <c r="EF113" i="10"/>
  <c r="EP113" i="10" s="1"/>
  <c r="DY12" i="10"/>
  <c r="EA23" i="10"/>
  <c r="EK23" i="10" s="1"/>
  <c r="EE59" i="10"/>
  <c r="EO59" i="10" s="1"/>
  <c r="EF102" i="10"/>
  <c r="EP102" i="10" s="1"/>
  <c r="DY17" i="10"/>
  <c r="Q149" i="6"/>
  <c r="R149" i="6" s="1"/>
  <c r="AA136" i="6"/>
  <c r="X134" i="6"/>
  <c r="Q201" i="6"/>
  <c r="R201" i="6" s="1"/>
  <c r="Q159" i="6"/>
  <c r="R159" i="6" s="1"/>
  <c r="Q104" i="6"/>
  <c r="R104" i="6" s="1"/>
  <c r="Q141" i="6"/>
  <c r="R141" i="6" s="1"/>
  <c r="B354" i="6"/>
  <c r="I357" i="6" s="1"/>
  <c r="Q127" i="6"/>
  <c r="R127" i="6" s="1"/>
  <c r="R98" i="6"/>
  <c r="Q103" i="6"/>
  <c r="R103" i="6" s="1"/>
  <c r="Q112" i="6"/>
  <c r="R112" i="6" s="1"/>
  <c r="Q208" i="6"/>
  <c r="R208" i="6" s="1"/>
  <c r="Q190" i="6"/>
  <c r="R190" i="6" s="1"/>
  <c r="J352" i="6"/>
  <c r="G367" i="6" s="1"/>
  <c r="G368" i="6" s="1"/>
  <c r="G364" i="6" s="1"/>
  <c r="Q146" i="6"/>
  <c r="R146" i="6" s="1"/>
  <c r="Q172" i="6"/>
  <c r="R172" i="6" s="1"/>
  <c r="J348" i="6"/>
  <c r="C367" i="6" s="1"/>
  <c r="C368" i="6" s="1"/>
  <c r="C364" i="6" s="1"/>
  <c r="Q124" i="6"/>
  <c r="R124" i="6" s="1"/>
  <c r="Q100" i="6"/>
  <c r="R100" i="6" s="1"/>
  <c r="J349" i="6"/>
  <c r="D367" i="6" s="1"/>
  <c r="D368" i="6" s="1"/>
  <c r="D364" i="6" s="1"/>
  <c r="R258" i="6"/>
  <c r="Q199" i="6"/>
  <c r="R199" i="6" s="1"/>
  <c r="Q144" i="6"/>
  <c r="R144" i="6" s="1"/>
  <c r="Q130" i="6"/>
  <c r="R130" i="6" s="1"/>
  <c r="Q213" i="6"/>
  <c r="R213" i="6" s="1"/>
  <c r="Q205" i="6"/>
  <c r="R205" i="6" s="1"/>
  <c r="Q154" i="6"/>
  <c r="R154" i="6" s="1"/>
  <c r="Q173" i="6"/>
  <c r="R173" i="6" s="1"/>
  <c r="V100" i="6"/>
  <c r="Q108" i="6"/>
  <c r="R108" i="6" s="1"/>
  <c r="Q192" i="6"/>
  <c r="R192" i="6" s="1"/>
  <c r="Q182" i="6"/>
  <c r="R182" i="6" s="1"/>
  <c r="Q126" i="6"/>
  <c r="R126" i="6" s="1"/>
  <c r="Q151" i="6"/>
  <c r="R151" i="6" s="1"/>
  <c r="Q158" i="6"/>
  <c r="R158" i="6" s="1"/>
  <c r="Q188" i="6"/>
  <c r="R188" i="6" s="1"/>
  <c r="Q113" i="6"/>
  <c r="R113" i="6" s="1"/>
  <c r="Q131" i="6"/>
  <c r="R131" i="6" s="1"/>
  <c r="B366" i="6"/>
  <c r="Q195" i="6"/>
  <c r="R195" i="6" s="1"/>
  <c r="Q176" i="6"/>
  <c r="R176" i="6" s="1"/>
  <c r="J347" i="6"/>
  <c r="B367" i="6" s="1"/>
  <c r="B368" i="6" s="1"/>
  <c r="B364" i="6" s="1"/>
  <c r="C354" i="6"/>
  <c r="I358" i="6" s="1"/>
  <c r="I366" i="6" s="1"/>
  <c r="Q183" i="6"/>
  <c r="R183" i="6" s="1"/>
  <c r="Q120" i="6"/>
  <c r="R120" i="6" s="1"/>
  <c r="Q186" i="6"/>
  <c r="R186" i="6" s="1"/>
  <c r="Q109" i="6"/>
  <c r="R109" i="6" s="1"/>
  <c r="J353" i="6"/>
  <c r="H367" i="6" s="1"/>
  <c r="H368" i="6" s="1"/>
  <c r="H364" i="6" s="1"/>
  <c r="Q215" i="6"/>
  <c r="R215" i="6" s="1"/>
  <c r="J350" i="6"/>
  <c r="E367" i="6" s="1"/>
  <c r="E368" i="6" s="1"/>
  <c r="E364" i="6" s="1"/>
  <c r="Q169" i="6"/>
  <c r="R169" i="6" s="1"/>
  <c r="H366" i="6"/>
  <c r="Q212" i="6"/>
  <c r="R212" i="6" s="1"/>
  <c r="Q179" i="6"/>
  <c r="R179" i="6" s="1"/>
  <c r="J351" i="6"/>
  <c r="F367" i="6" s="1"/>
  <c r="F368" i="6" s="1"/>
  <c r="F364" i="6" s="1"/>
  <c r="Q18" i="5"/>
  <c r="R8" i="5"/>
  <c r="R13" i="5"/>
  <c r="R11" i="5"/>
  <c r="R9" i="5"/>
  <c r="R7" i="5"/>
  <c r="R5" i="5"/>
  <c r="R3" i="5"/>
  <c r="R6" i="5"/>
  <c r="R12" i="5"/>
  <c r="R4" i="5"/>
  <c r="S15" i="5"/>
  <c r="R10" i="5"/>
  <c r="V7" i="4"/>
  <c r="V9" i="4"/>
  <c r="V11" i="4"/>
  <c r="V12" i="4"/>
  <c r="V16" i="4"/>
  <c r="V13" i="4"/>
  <c r="V10" i="4"/>
  <c r="V15" i="4"/>
  <c r="V19" i="4"/>
  <c r="V6" i="4"/>
  <c r="W17" i="4"/>
  <c r="V8" i="4"/>
  <c r="V14" i="4"/>
  <c r="V18" i="4"/>
  <c r="EB122" i="10" l="1"/>
  <c r="EL122" i="10" s="1"/>
  <c r="EF171" i="10"/>
  <c r="EP171" i="10" s="1"/>
  <c r="ED205" i="10"/>
  <c r="EN205" i="10" s="1"/>
  <c r="ES28" i="10"/>
  <c r="EE141" i="10"/>
  <c r="EO141" i="10" s="1"/>
  <c r="EE319" i="10"/>
  <c r="EO319" i="10" s="1"/>
  <c r="EE232" i="10"/>
  <c r="EO232" i="10" s="1"/>
  <c r="EF268" i="10"/>
  <c r="EP268" i="10" s="1"/>
  <c r="EH65" i="10"/>
  <c r="ER65" i="10" s="1"/>
  <c r="EF228" i="10"/>
  <c r="EP228" i="10" s="1"/>
  <c r="DY230" i="10"/>
  <c r="EF373" i="10"/>
  <c r="EP373" i="10" s="1"/>
  <c r="EH250" i="10"/>
  <c r="ER250" i="10" s="1"/>
  <c r="EH335" i="10"/>
  <c r="ER335" i="10" s="1"/>
  <c r="DY171" i="10"/>
  <c r="DY232" i="10"/>
  <c r="EB219" i="10"/>
  <c r="EL219" i="10" s="1"/>
  <c r="EC82" i="10"/>
  <c r="EM82" i="10" s="1"/>
  <c r="ED250" i="10"/>
  <c r="EN250" i="10" s="1"/>
  <c r="EB205" i="10"/>
  <c r="EL205" i="10" s="1"/>
  <c r="EF147" i="10"/>
  <c r="EP147" i="10" s="1"/>
  <c r="ES147" i="10" s="1"/>
  <c r="ET147" i="10" s="1"/>
  <c r="EF328" i="10"/>
  <c r="EP328" i="10" s="1"/>
  <c r="EB315" i="10"/>
  <c r="EL315" i="10" s="1"/>
  <c r="EF115" i="10"/>
  <c r="EP115" i="10" s="1"/>
  <c r="EE52" i="10"/>
  <c r="EO52" i="10" s="1"/>
  <c r="EE233" i="10"/>
  <c r="EO233" i="10" s="1"/>
  <c r="DY326" i="10"/>
  <c r="EA49" i="10"/>
  <c r="EK49" i="10" s="1"/>
  <c r="DY343" i="10"/>
  <c r="DY258" i="10"/>
  <c r="EH373" i="10"/>
  <c r="ER373" i="10" s="1"/>
  <c r="EG250" i="10"/>
  <c r="EQ250" i="10" s="1"/>
  <c r="DY127" i="10"/>
  <c r="ED335" i="10"/>
  <c r="EN335" i="10" s="1"/>
  <c r="EC232" i="10"/>
  <c r="EM232" i="10" s="1"/>
  <c r="ED233" i="10"/>
  <c r="EN233" i="10" s="1"/>
  <c r="EF270" i="10"/>
  <c r="EP270" i="10" s="1"/>
  <c r="EC258" i="10"/>
  <c r="EM258" i="10" s="1"/>
  <c r="EG171" i="10"/>
  <c r="EQ171" i="10" s="1"/>
  <c r="EE212" i="10"/>
  <c r="EO212" i="10" s="1"/>
  <c r="EH61" i="10"/>
  <c r="ER61" i="10" s="1"/>
  <c r="EE161" i="10"/>
  <c r="EO161" i="10" s="1"/>
  <c r="ES161" i="10" s="1"/>
  <c r="ET161" i="10" s="1"/>
  <c r="EG115" i="10"/>
  <c r="EQ115" i="10" s="1"/>
  <c r="ED319" i="10"/>
  <c r="EN319" i="10" s="1"/>
  <c r="EG233" i="10"/>
  <c r="EQ233" i="10" s="1"/>
  <c r="EE284" i="10"/>
  <c r="EO284" i="10" s="1"/>
  <c r="DY373" i="10"/>
  <c r="EC330" i="10"/>
  <c r="EM330" i="10" s="1"/>
  <c r="EF260" i="10"/>
  <c r="EP260" i="10" s="1"/>
  <c r="EA250" i="10"/>
  <c r="EK250" i="10" s="1"/>
  <c r="EC335" i="10"/>
  <c r="EM335" i="10" s="1"/>
  <c r="ES335" i="10" s="1"/>
  <c r="ET335" i="10" s="1"/>
  <c r="ES21" i="10"/>
  <c r="DY161" i="10"/>
  <c r="EB268" i="10"/>
  <c r="EL268" i="10" s="1"/>
  <c r="EF355" i="10"/>
  <c r="EP355" i="10" s="1"/>
  <c r="EA61" i="10"/>
  <c r="EK61" i="10" s="1"/>
  <c r="ES61" i="10" s="1"/>
  <c r="EA115" i="10"/>
  <c r="EK115" i="10" s="1"/>
  <c r="EH233" i="10"/>
  <c r="ER233" i="10" s="1"/>
  <c r="EC262" i="10"/>
  <c r="EM262" i="10" s="1"/>
  <c r="DY165" i="10"/>
  <c r="EG297" i="10"/>
  <c r="EQ297" i="10" s="1"/>
  <c r="EB373" i="10"/>
  <c r="EL373" i="10" s="1"/>
  <c r="EE335" i="10"/>
  <c r="EO335" i="10" s="1"/>
  <c r="ES14" i="10"/>
  <c r="ES60" i="10"/>
  <c r="EF87" i="10"/>
  <c r="EP87" i="10" s="1"/>
  <c r="ED278" i="10"/>
  <c r="EN278" i="10" s="1"/>
  <c r="EH122" i="10"/>
  <c r="ER122" i="10" s="1"/>
  <c r="EA71" i="10"/>
  <c r="EK71" i="10" s="1"/>
  <c r="EC289" i="10"/>
  <c r="EM289" i="10" s="1"/>
  <c r="ED232" i="10"/>
  <c r="EN232" i="10" s="1"/>
  <c r="EC360" i="10"/>
  <c r="EM360" i="10" s="1"/>
  <c r="EA205" i="10"/>
  <c r="EK205" i="10" s="1"/>
  <c r="ES205" i="10" s="1"/>
  <c r="ET205" i="10" s="1"/>
  <c r="DY211" i="10"/>
  <c r="DY360" i="10"/>
  <c r="EA147" i="10"/>
  <c r="EK147" i="10" s="1"/>
  <c r="EG284" i="10"/>
  <c r="EQ284" i="10" s="1"/>
  <c r="EB78" i="10"/>
  <c r="EL78" i="10" s="1"/>
  <c r="ES78" i="10" s="1"/>
  <c r="EC225" i="10"/>
  <c r="EM225" i="10" s="1"/>
  <c r="EG232" i="10"/>
  <c r="EQ232" i="10" s="1"/>
  <c r="ED326" i="10"/>
  <c r="EN326" i="10" s="1"/>
  <c r="EA232" i="10"/>
  <c r="EK232" i="10" s="1"/>
  <c r="ES232" i="10" s="1"/>
  <c r="ET232" i="10" s="1"/>
  <c r="DY315" i="10"/>
  <c r="EE219" i="10"/>
  <c r="EO219" i="10" s="1"/>
  <c r="ED297" i="10"/>
  <c r="EN297" i="10" s="1"/>
  <c r="ED171" i="10"/>
  <c r="EN171" i="10" s="1"/>
  <c r="ED283" i="10"/>
  <c r="EN283" i="10" s="1"/>
  <c r="EG205" i="10"/>
  <c r="EQ205" i="10" s="1"/>
  <c r="EA373" i="10"/>
  <c r="EK373" i="10" s="1"/>
  <c r="EE372" i="10"/>
  <c r="EO372" i="10" s="1"/>
  <c r="DY335" i="10"/>
  <c r="EC147" i="10"/>
  <c r="EM147" i="10" s="1"/>
  <c r="EF284" i="10"/>
  <c r="EP284" i="10" s="1"/>
  <c r="EG84" i="10"/>
  <c r="EQ84" i="10" s="1"/>
  <c r="EH78" i="10"/>
  <c r="ER78" i="10" s="1"/>
  <c r="EG122" i="10"/>
  <c r="EQ122" i="10" s="1"/>
  <c r="EE205" i="10"/>
  <c r="EO205" i="10" s="1"/>
  <c r="EC177" i="10"/>
  <c r="EM177" i="10" s="1"/>
  <c r="DY61" i="10"/>
  <c r="EB260" i="10"/>
  <c r="EL260" i="10" s="1"/>
  <c r="EE297" i="10"/>
  <c r="EO297" i="10" s="1"/>
  <c r="EB297" i="10"/>
  <c r="EL297" i="10" s="1"/>
  <c r="ES297" i="10" s="1"/>
  <c r="ET297" i="10" s="1"/>
  <c r="EB71" i="10"/>
  <c r="EL71" i="10" s="1"/>
  <c r="ES71" i="10" s="1"/>
  <c r="DY361" i="10"/>
  <c r="EE283" i="10"/>
  <c r="EO283" i="10" s="1"/>
  <c r="EA37" i="10"/>
  <c r="EK37" i="10" s="1"/>
  <c r="EF165" i="10"/>
  <c r="EP165" i="10" s="1"/>
  <c r="DY143" i="10"/>
  <c r="EC320" i="10"/>
  <c r="EM320" i="10" s="1"/>
  <c r="ED217" i="10"/>
  <c r="EN217" i="10" s="1"/>
  <c r="EE177" i="10"/>
  <c r="EO177" i="10" s="1"/>
  <c r="EF243" i="10"/>
  <c r="EP243" i="10" s="1"/>
  <c r="EC283" i="10"/>
  <c r="EM283" i="10" s="1"/>
  <c r="EG268" i="10"/>
  <c r="EQ268" i="10" s="1"/>
  <c r="EF208" i="10"/>
  <c r="EP208" i="10" s="1"/>
  <c r="EB226" i="10"/>
  <c r="EL226" i="10" s="1"/>
  <c r="EE122" i="10"/>
  <c r="EO122" i="10" s="1"/>
  <c r="EH205" i="10"/>
  <c r="ER205" i="10" s="1"/>
  <c r="EF233" i="10"/>
  <c r="EP233" i="10" s="1"/>
  <c r="EH64" i="10"/>
  <c r="ER64" i="10" s="1"/>
  <c r="EG319" i="10"/>
  <c r="EQ319" i="10" s="1"/>
  <c r="EG147" i="10"/>
  <c r="EQ147" i="10" s="1"/>
  <c r="EE78" i="10"/>
  <c r="EO78" i="10" s="1"/>
  <c r="ED147" i="10"/>
  <c r="EN147" i="10" s="1"/>
  <c r="EE260" i="10"/>
  <c r="EO260" i="10" s="1"/>
  <c r="EC284" i="10"/>
  <c r="EM284" i="10" s="1"/>
  <c r="EA233" i="10"/>
  <c r="EK233" i="10" s="1"/>
  <c r="EH147" i="10"/>
  <c r="ER147" i="10" s="1"/>
  <c r="EC141" i="10"/>
  <c r="EM141" i="10" s="1"/>
  <c r="EF297" i="10"/>
  <c r="EP297" i="10" s="1"/>
  <c r="DY268" i="10"/>
  <c r="EC325" i="10"/>
  <c r="EM325" i="10" s="1"/>
  <c r="EA64" i="10"/>
  <c r="EK64" i="10" s="1"/>
  <c r="EC64" i="10"/>
  <c r="EM64" i="10" s="1"/>
  <c r="EH319" i="10"/>
  <c r="ER319" i="10" s="1"/>
  <c r="EI42" i="10"/>
  <c r="ES84" i="10"/>
  <c r="ED177" i="10"/>
  <c r="EN177" i="10" s="1"/>
  <c r="EA79" i="10"/>
  <c r="EK79" i="10" s="1"/>
  <c r="DY314" i="10"/>
  <c r="DY260" i="10"/>
  <c r="DY13" i="10"/>
  <c r="EC65" i="10"/>
  <c r="EM65" i="10" s="1"/>
  <c r="EE64" i="10"/>
  <c r="EO64" i="10" s="1"/>
  <c r="ES64" i="10" s="1"/>
  <c r="EC217" i="10"/>
  <c r="EM217" i="10" s="1"/>
  <c r="EA87" i="10"/>
  <c r="EK87" i="10" s="1"/>
  <c r="EA122" i="10"/>
  <c r="EK122" i="10" s="1"/>
  <c r="ES122" i="10" s="1"/>
  <c r="EF122" i="10"/>
  <c r="EP122" i="10" s="1"/>
  <c r="EF230" i="10"/>
  <c r="EP230" i="10" s="1"/>
  <c r="EF65" i="10"/>
  <c r="EP65" i="10" s="1"/>
  <c r="ES65" i="10" s="1"/>
  <c r="DY160" i="10"/>
  <c r="EF335" i="10"/>
  <c r="EP335" i="10" s="1"/>
  <c r="EG87" i="10"/>
  <c r="EQ87" i="10" s="1"/>
  <c r="EC122" i="10"/>
  <c r="EM122" i="10" s="1"/>
  <c r="DY64" i="10"/>
  <c r="ED230" i="10"/>
  <c r="EN230" i="10" s="1"/>
  <c r="EB232" i="10"/>
  <c r="EL232" i="10" s="1"/>
  <c r="EF305" i="10"/>
  <c r="EP305" i="10" s="1"/>
  <c r="EE250" i="10"/>
  <c r="EO250" i="10" s="1"/>
  <c r="DY371" i="10"/>
  <c r="EI30" i="10"/>
  <c r="EB65" i="10"/>
  <c r="EL65" i="10" s="1"/>
  <c r="EF193" i="10"/>
  <c r="EP193" i="10" s="1"/>
  <c r="DY147" i="10"/>
  <c r="ES22" i="10"/>
  <c r="EE87" i="10"/>
  <c r="EO87" i="10" s="1"/>
  <c r="DY283" i="10"/>
  <c r="EC171" i="10"/>
  <c r="EM171" i="10" s="1"/>
  <c r="EE76" i="10"/>
  <c r="EO76" i="10" s="1"/>
  <c r="EH165" i="10"/>
  <c r="ER165" i="10" s="1"/>
  <c r="EC165" i="10"/>
  <c r="EM165" i="10" s="1"/>
  <c r="ES165" i="10" s="1"/>
  <c r="ET165" i="10" s="1"/>
  <c r="EG64" i="10"/>
  <c r="EQ64" i="10" s="1"/>
  <c r="EF205" i="10"/>
  <c r="EP205" i="10" s="1"/>
  <c r="ED172" i="10"/>
  <c r="EN172" i="10" s="1"/>
  <c r="ES172" i="10" s="1"/>
  <c r="ET172" i="10" s="1"/>
  <c r="EC278" i="10"/>
  <c r="EM278" i="10" s="1"/>
  <c r="EF181" i="10"/>
  <c r="EP181" i="10" s="1"/>
  <c r="EG230" i="10"/>
  <c r="EQ230" i="10" s="1"/>
  <c r="EG206" i="10"/>
  <c r="EQ206" i="10" s="1"/>
  <c r="EE351" i="10"/>
  <c r="EO351" i="10" s="1"/>
  <c r="EB335" i="10"/>
  <c r="EL335" i="10" s="1"/>
  <c r="EF343" i="10"/>
  <c r="EP343" i="10" s="1"/>
  <c r="EB371" i="10"/>
  <c r="EL371" i="10" s="1"/>
  <c r="DY286" i="10"/>
  <c r="EE142" i="10"/>
  <c r="EO142" i="10" s="1"/>
  <c r="EB171" i="10"/>
  <c r="EL171" i="10" s="1"/>
  <c r="ES171" i="10" s="1"/>
  <c r="ET171" i="10" s="1"/>
  <c r="EE65" i="10"/>
  <c r="EO65" i="10" s="1"/>
  <c r="EA326" i="10"/>
  <c r="EK326" i="10" s="1"/>
  <c r="EC321" i="10"/>
  <c r="EM321" i="10" s="1"/>
  <c r="ES321" i="10" s="1"/>
  <c r="ET321" i="10" s="1"/>
  <c r="EE193" i="10"/>
  <c r="EO193" i="10" s="1"/>
  <c r="EC230" i="10"/>
  <c r="EM230" i="10" s="1"/>
  <c r="DY120" i="10"/>
  <c r="EB87" i="10"/>
  <c r="EL87" i="10" s="1"/>
  <c r="EB283" i="10"/>
  <c r="EL283" i="10" s="1"/>
  <c r="EB140" i="10"/>
  <c r="EL140" i="10" s="1"/>
  <c r="ES140" i="10" s="1"/>
  <c r="ET140" i="10" s="1"/>
  <c r="DY115" i="10"/>
  <c r="EB217" i="10"/>
  <c r="EL217" i="10" s="1"/>
  <c r="ED357" i="10"/>
  <c r="EN357" i="10" s="1"/>
  <c r="EF232" i="10"/>
  <c r="EP232" i="10" s="1"/>
  <c r="EE258" i="10"/>
  <c r="EO258" i="10" s="1"/>
  <c r="DY135" i="10"/>
  <c r="EE165" i="10"/>
  <c r="EO165" i="10" s="1"/>
  <c r="DY284" i="10"/>
  <c r="ED183" i="10"/>
  <c r="EN183" i="10" s="1"/>
  <c r="ED268" i="10"/>
  <c r="EN268" i="10" s="1"/>
  <c r="EG213" i="10"/>
  <c r="EQ213" i="10" s="1"/>
  <c r="EC164" i="10"/>
  <c r="EM164" i="10" s="1"/>
  <c r="EB149" i="10"/>
  <c r="EL149" i="10" s="1"/>
  <c r="ED161" i="10"/>
  <c r="EN161" i="10" s="1"/>
  <c r="ES103" i="10"/>
  <c r="EA284" i="10"/>
  <c r="EK284" i="10" s="1"/>
  <c r="ES284" i="10" s="1"/>
  <c r="ET284" i="10" s="1"/>
  <c r="EC372" i="10"/>
  <c r="EM372" i="10" s="1"/>
  <c r="EG356" i="10"/>
  <c r="EQ356" i="10" s="1"/>
  <c r="EA283" i="10"/>
  <c r="EK283" i="10" s="1"/>
  <c r="ES283" i="10" s="1"/>
  <c r="ET283" i="10" s="1"/>
  <c r="EC142" i="10"/>
  <c r="EM142" i="10" s="1"/>
  <c r="EH171" i="10"/>
  <c r="ER171" i="10" s="1"/>
  <c r="EF320" i="10"/>
  <c r="EP320" i="10" s="1"/>
  <c r="DY65" i="10"/>
  <c r="EB326" i="10"/>
  <c r="EL326" i="10" s="1"/>
  <c r="ES326" i="10" s="1"/>
  <c r="ET326" i="10" s="1"/>
  <c r="DY321" i="10"/>
  <c r="EH193" i="10"/>
  <c r="ER193" i="10" s="1"/>
  <c r="EA230" i="10"/>
  <c r="EK230" i="10" s="1"/>
  <c r="EC87" i="10"/>
  <c r="EM87" i="10" s="1"/>
  <c r="EG283" i="10"/>
  <c r="EQ283" i="10" s="1"/>
  <c r="EF177" i="10"/>
  <c r="EP177" i="10" s="1"/>
  <c r="DY205" i="10"/>
  <c r="EC250" i="10"/>
  <c r="EM250" i="10" s="1"/>
  <c r="EE195" i="10"/>
  <c r="EO195" i="10" s="1"/>
  <c r="EG165" i="10"/>
  <c r="EQ165" i="10" s="1"/>
  <c r="EB277" i="10"/>
  <c r="EL277" i="10" s="1"/>
  <c r="EB147" i="10"/>
  <c r="EL147" i="10" s="1"/>
  <c r="EF242" i="10"/>
  <c r="EP242" i="10" s="1"/>
  <c r="ED260" i="10"/>
  <c r="EN260" i="10" s="1"/>
  <c r="EC211" i="10"/>
  <c r="EM211" i="10" s="1"/>
  <c r="EF352" i="10"/>
  <c r="EP352" i="10" s="1"/>
  <c r="EG121" i="10"/>
  <c r="EQ121" i="10" s="1"/>
  <c r="EH284" i="10"/>
  <c r="ER284" i="10" s="1"/>
  <c r="EG371" i="10"/>
  <c r="EQ371" i="10" s="1"/>
  <c r="ES371" i="10" s="1"/>
  <c r="ET371" i="10" s="1"/>
  <c r="EE303" i="10"/>
  <c r="EO303" i="10" s="1"/>
  <c r="EC168" i="10"/>
  <c r="EM168" i="10" s="1"/>
  <c r="EG65" i="10"/>
  <c r="EQ65" i="10" s="1"/>
  <c r="EH326" i="10"/>
  <c r="ER326" i="10" s="1"/>
  <c r="EB64" i="10"/>
  <c r="EL64" i="10" s="1"/>
  <c r="EH230" i="10"/>
  <c r="ER230" i="10" s="1"/>
  <c r="ES91" i="10"/>
  <c r="DY233" i="10"/>
  <c r="EE190" i="10"/>
  <c r="EO190" i="10" s="1"/>
  <c r="EH268" i="10"/>
  <c r="ER268" i="10" s="1"/>
  <c r="DY239" i="10"/>
  <c r="EC161" i="10"/>
  <c r="EM161" i="10" s="1"/>
  <c r="EE143" i="10"/>
  <c r="EO143" i="10" s="1"/>
  <c r="EE171" i="10"/>
  <c r="EO171" i="10" s="1"/>
  <c r="EE184" i="10"/>
  <c r="EO184" i="10" s="1"/>
  <c r="ED167" i="10"/>
  <c r="EN167" i="10" s="1"/>
  <c r="EA236" i="10"/>
  <c r="EK236" i="10" s="1"/>
  <c r="EE357" i="10"/>
  <c r="EO357" i="10" s="1"/>
  <c r="DY124" i="10"/>
  <c r="EB230" i="10"/>
  <c r="EL230" i="10" s="1"/>
  <c r="ED321" i="10"/>
  <c r="EN321" i="10" s="1"/>
  <c r="EG330" i="10"/>
  <c r="EQ330" i="10" s="1"/>
  <c r="EA338" i="10"/>
  <c r="EK338" i="10" s="1"/>
  <c r="ES338" i="10" s="1"/>
  <c r="ET338" i="10" s="1"/>
  <c r="EF250" i="10"/>
  <c r="EP250" i="10" s="1"/>
  <c r="ES57" i="10"/>
  <c r="DY193" i="10"/>
  <c r="EE50" i="10"/>
  <c r="EO50" i="10" s="1"/>
  <c r="EC50" i="10"/>
  <c r="EM50" i="10" s="1"/>
  <c r="EG50" i="10"/>
  <c r="EQ50" i="10" s="1"/>
  <c r="EF50" i="10"/>
  <c r="EP50" i="10" s="1"/>
  <c r="ES50" i="10" s="1"/>
  <c r="EE181" i="10"/>
  <c r="EO181" i="10" s="1"/>
  <c r="EF351" i="10"/>
  <c r="EP351" i="10" s="1"/>
  <c r="EB192" i="10"/>
  <c r="EL192" i="10" s="1"/>
  <c r="DY26" i="10"/>
  <c r="EC239" i="10"/>
  <c r="EM239" i="10" s="1"/>
  <c r="EG328" i="10"/>
  <c r="EQ328" i="10" s="1"/>
  <c r="EB301" i="10"/>
  <c r="EL301" i="10" s="1"/>
  <c r="EF248" i="10"/>
  <c r="EP248" i="10" s="1"/>
  <c r="EI14" i="10"/>
  <c r="EC279" i="10"/>
  <c r="EM279" i="10" s="1"/>
  <c r="EF306" i="10"/>
  <c r="EP306" i="10" s="1"/>
  <c r="EG327" i="10"/>
  <c r="EQ327" i="10" s="1"/>
  <c r="DY352" i="10"/>
  <c r="EA194" i="10"/>
  <c r="EK194" i="10" s="1"/>
  <c r="ES194" i="10" s="1"/>
  <c r="ET194" i="10" s="1"/>
  <c r="EB369" i="10"/>
  <c r="EL369" i="10" s="1"/>
  <c r="DY348" i="10"/>
  <c r="EH324" i="10"/>
  <c r="ER324" i="10" s="1"/>
  <c r="EE58" i="10"/>
  <c r="EO58" i="10" s="1"/>
  <c r="EE138" i="10"/>
  <c r="EO138" i="10" s="1"/>
  <c r="EG192" i="10"/>
  <c r="EQ192" i="10" s="1"/>
  <c r="EF176" i="10"/>
  <c r="EP176" i="10" s="1"/>
  <c r="EE259" i="10"/>
  <c r="EO259" i="10" s="1"/>
  <c r="EC111" i="10"/>
  <c r="EM111" i="10" s="1"/>
  <c r="DY259" i="10"/>
  <c r="EC334" i="10"/>
  <c r="EM334" i="10" s="1"/>
  <c r="EE79" i="10"/>
  <c r="EO79" i="10" s="1"/>
  <c r="EB248" i="10"/>
  <c r="EL248" i="10" s="1"/>
  <c r="EC174" i="10"/>
  <c r="EM174" i="10" s="1"/>
  <c r="EF334" i="10"/>
  <c r="EP334" i="10" s="1"/>
  <c r="DY280" i="10"/>
  <c r="EC344" i="10"/>
  <c r="EM344" i="10" s="1"/>
  <c r="EG194" i="10"/>
  <c r="EQ194" i="10" s="1"/>
  <c r="EI28" i="10"/>
  <c r="EE338" i="10"/>
  <c r="EO338" i="10" s="1"/>
  <c r="EE324" i="10"/>
  <c r="EO324" i="10" s="1"/>
  <c r="DY328" i="10"/>
  <c r="DY188" i="10"/>
  <c r="DY270" i="10"/>
  <c r="EB208" i="10"/>
  <c r="EL208" i="10" s="1"/>
  <c r="EF313" i="10"/>
  <c r="EP313" i="10" s="1"/>
  <c r="DY351" i="10"/>
  <c r="DY300" i="10"/>
  <c r="EB204" i="10"/>
  <c r="EL204" i="10" s="1"/>
  <c r="EC348" i="10"/>
  <c r="EM348" i="10" s="1"/>
  <c r="EF346" i="10"/>
  <c r="EP346" i="10" s="1"/>
  <c r="DY355" i="10"/>
  <c r="ED194" i="10"/>
  <c r="EN194" i="10" s="1"/>
  <c r="DY105" i="10"/>
  <c r="DY181" i="10"/>
  <c r="EF324" i="10"/>
  <c r="EP324" i="10" s="1"/>
  <c r="EF326" i="10"/>
  <c r="EP326" i="10" s="1"/>
  <c r="EF292" i="10"/>
  <c r="EP292" i="10" s="1"/>
  <c r="EG344" i="10"/>
  <c r="EQ344" i="10" s="1"/>
  <c r="EH344" i="10"/>
  <c r="ER344" i="10" s="1"/>
  <c r="EF174" i="10"/>
  <c r="EP174" i="10" s="1"/>
  <c r="EE96" i="10"/>
  <c r="EO96" i="10" s="1"/>
  <c r="EF192" i="10"/>
  <c r="EP192" i="10" s="1"/>
  <c r="EF104" i="10"/>
  <c r="EP104" i="10" s="1"/>
  <c r="EB186" i="10"/>
  <c r="EL186" i="10" s="1"/>
  <c r="EH148" i="10"/>
  <c r="ER148" i="10" s="1"/>
  <c r="EF186" i="10"/>
  <c r="EP186" i="10" s="1"/>
  <c r="EG208" i="10"/>
  <c r="EQ208" i="10" s="1"/>
  <c r="EB193" i="10"/>
  <c r="EL193" i="10" s="1"/>
  <c r="EF299" i="10"/>
  <c r="EP299" i="10" s="1"/>
  <c r="EC104" i="10"/>
  <c r="EM104" i="10" s="1"/>
  <c r="ED259" i="10"/>
  <c r="EN259" i="10" s="1"/>
  <c r="EB318" i="10"/>
  <c r="EL318" i="10" s="1"/>
  <c r="EB333" i="10"/>
  <c r="EL333" i="10" s="1"/>
  <c r="EA58" i="10"/>
  <c r="EK58" i="10" s="1"/>
  <c r="EC255" i="10"/>
  <c r="EM255" i="10" s="1"/>
  <c r="EE346" i="10"/>
  <c r="EO346" i="10" s="1"/>
  <c r="EE328" i="10"/>
  <c r="EO328" i="10" s="1"/>
  <c r="EA193" i="10"/>
  <c r="EK193" i="10" s="1"/>
  <c r="EG99" i="10"/>
  <c r="EQ99" i="10" s="1"/>
  <c r="EB99" i="10"/>
  <c r="EL99" i="10" s="1"/>
  <c r="EC99" i="10"/>
  <c r="EM99" i="10" s="1"/>
  <c r="EH99" i="10"/>
  <c r="ER99" i="10" s="1"/>
  <c r="EA99" i="10"/>
  <c r="EF99" i="10"/>
  <c r="EP99" i="10" s="1"/>
  <c r="DY99" i="10"/>
  <c r="DY344" i="10"/>
  <c r="EC188" i="10"/>
  <c r="EM188" i="10" s="1"/>
  <c r="EC62" i="10"/>
  <c r="EM62" i="10" s="1"/>
  <c r="EB62" i="10"/>
  <c r="EL62" i="10" s="1"/>
  <c r="EA62" i="10"/>
  <c r="EG62" i="10"/>
  <c r="EQ62" i="10" s="1"/>
  <c r="EH62" i="10"/>
  <c r="ER62" i="10" s="1"/>
  <c r="EF62" i="10"/>
  <c r="EP62" i="10" s="1"/>
  <c r="EB338" i="10"/>
  <c r="EL338" i="10" s="1"/>
  <c r="EB346" i="10"/>
  <c r="EL346" i="10" s="1"/>
  <c r="DY248" i="10"/>
  <c r="EE82" i="10"/>
  <c r="EO82" i="10" s="1"/>
  <c r="EC162" i="10"/>
  <c r="EM162" i="10" s="1"/>
  <c r="EF273" i="10"/>
  <c r="EP273" i="10" s="1"/>
  <c r="EC213" i="10"/>
  <c r="EM213" i="10" s="1"/>
  <c r="EC109" i="10"/>
  <c r="EM109" i="10" s="1"/>
  <c r="EF216" i="10"/>
  <c r="EP216" i="10" s="1"/>
  <c r="EI53" i="10"/>
  <c r="EB344" i="10"/>
  <c r="EL344" i="10" s="1"/>
  <c r="ES344" i="10" s="1"/>
  <c r="ET344" i="10" s="1"/>
  <c r="EB342" i="10"/>
  <c r="EL342" i="10" s="1"/>
  <c r="EC58" i="10"/>
  <c r="EM58" i="10" s="1"/>
  <c r="ES58" i="10" s="1"/>
  <c r="EE358" i="10"/>
  <c r="EO358" i="10" s="1"/>
  <c r="ED346" i="10"/>
  <c r="EN346" i="10" s="1"/>
  <c r="EG193" i="10"/>
  <c r="EQ193" i="10" s="1"/>
  <c r="DY342" i="10"/>
  <c r="ED255" i="10"/>
  <c r="EN255" i="10" s="1"/>
  <c r="EG318" i="10"/>
  <c r="EQ318" i="10" s="1"/>
  <c r="EB214" i="10"/>
  <c r="EL214" i="10" s="1"/>
  <c r="DY301" i="10"/>
  <c r="EE62" i="10"/>
  <c r="EO62" i="10" s="1"/>
  <c r="EC192" i="10"/>
  <c r="EM192" i="10" s="1"/>
  <c r="EF204" i="10"/>
  <c r="EP204" i="10" s="1"/>
  <c r="EH346" i="10"/>
  <c r="ER346" i="10" s="1"/>
  <c r="EG301" i="10"/>
  <c r="EQ301" i="10" s="1"/>
  <c r="EG181" i="10"/>
  <c r="EQ181" i="10" s="1"/>
  <c r="EE194" i="10"/>
  <c r="EO194" i="10" s="1"/>
  <c r="EE176" i="10"/>
  <c r="EO176" i="10" s="1"/>
  <c r="EC176" i="10"/>
  <c r="EM176" i="10" s="1"/>
  <c r="ED192" i="10"/>
  <c r="EN192" i="10" s="1"/>
  <c r="EA346" i="10"/>
  <c r="EK346" i="10" s="1"/>
  <c r="ES346" i="10" s="1"/>
  <c r="ET346" i="10" s="1"/>
  <c r="EC194" i="10"/>
  <c r="EM194" i="10" s="1"/>
  <c r="EE291" i="10"/>
  <c r="EO291" i="10" s="1"/>
  <c r="EF188" i="10"/>
  <c r="EP188" i="10" s="1"/>
  <c r="EG210" i="10"/>
  <c r="EQ210" i="10" s="1"/>
  <c r="ED344" i="10"/>
  <c r="EN344" i="10" s="1"/>
  <c r="EE155" i="10"/>
  <c r="EO155" i="10" s="1"/>
  <c r="ED372" i="10"/>
  <c r="EN372" i="10" s="1"/>
  <c r="EF262" i="10"/>
  <c r="EP262" i="10" s="1"/>
  <c r="EC333" i="10"/>
  <c r="EM333" i="10" s="1"/>
  <c r="ED262" i="10"/>
  <c r="EN262" i="10" s="1"/>
  <c r="ED324" i="10"/>
  <c r="EN324" i="10" s="1"/>
  <c r="EC146" i="10"/>
  <c r="EM146" i="10" s="1"/>
  <c r="EF310" i="10"/>
  <c r="EP310" i="10" s="1"/>
  <c r="EF327" i="10"/>
  <c r="EP327" i="10" s="1"/>
  <c r="EC355" i="10"/>
  <c r="EM355" i="10" s="1"/>
  <c r="DY164" i="10"/>
  <c r="DY179" i="10"/>
  <c r="EC351" i="10"/>
  <c r="EM351" i="10" s="1"/>
  <c r="EK32" i="10"/>
  <c r="ES32" i="10" s="1"/>
  <c r="EI32" i="10"/>
  <c r="EE188" i="10"/>
  <c r="EO188" i="10" s="1"/>
  <c r="EE299" i="10"/>
  <c r="EO299" i="10" s="1"/>
  <c r="DY145" i="10"/>
  <c r="EG188" i="10"/>
  <c r="EQ188" i="10" s="1"/>
  <c r="EE145" i="10"/>
  <c r="EO145" i="10" s="1"/>
  <c r="EA188" i="10"/>
  <c r="EK188" i="10" s="1"/>
  <c r="ES188" i="10" s="1"/>
  <c r="ET188" i="10" s="1"/>
  <c r="EF256" i="10"/>
  <c r="EP256" i="10" s="1"/>
  <c r="ED245" i="10"/>
  <c r="EN245" i="10" s="1"/>
  <c r="EF58" i="10"/>
  <c r="EP58" i="10" s="1"/>
  <c r="EF108" i="10"/>
  <c r="EP108" i="10" s="1"/>
  <c r="EE310" i="10"/>
  <c r="EO310" i="10" s="1"/>
  <c r="EA315" i="10"/>
  <c r="EK315" i="10" s="1"/>
  <c r="EB58" i="10"/>
  <c r="EL58" i="10" s="1"/>
  <c r="EC154" i="10"/>
  <c r="EM154" i="10" s="1"/>
  <c r="EC328" i="10"/>
  <c r="EM328" i="10" s="1"/>
  <c r="EF318" i="10"/>
  <c r="EP318" i="10" s="1"/>
  <c r="EE322" i="10"/>
  <c r="EO322" i="10" s="1"/>
  <c r="DY261" i="10"/>
  <c r="EC266" i="10"/>
  <c r="EM266" i="10" s="1"/>
  <c r="EE318" i="10"/>
  <c r="EO318" i="10" s="1"/>
  <c r="EE301" i="10"/>
  <c r="EO301" i="10" s="1"/>
  <c r="EI78" i="10"/>
  <c r="EC181" i="10"/>
  <c r="EM181" i="10" s="1"/>
  <c r="EF364" i="10"/>
  <c r="EP364" i="10" s="1"/>
  <c r="DY174" i="10"/>
  <c r="EF145" i="10"/>
  <c r="EP145" i="10" s="1"/>
  <c r="EG235" i="10"/>
  <c r="EQ235" i="10" s="1"/>
  <c r="ED188" i="10"/>
  <c r="EN188" i="10" s="1"/>
  <c r="EC144" i="10"/>
  <c r="EM144" i="10" s="1"/>
  <c r="EE279" i="10"/>
  <c r="EO279" i="10" s="1"/>
  <c r="ED242" i="10"/>
  <c r="EN242" i="10" s="1"/>
  <c r="EG155" i="10"/>
  <c r="EQ155" i="10" s="1"/>
  <c r="EI22" i="10"/>
  <c r="EF155" i="10"/>
  <c r="EP155" i="10" s="1"/>
  <c r="EF209" i="10"/>
  <c r="EP209" i="10" s="1"/>
  <c r="EB327" i="10"/>
  <c r="EL327" i="10" s="1"/>
  <c r="EA301" i="10"/>
  <c r="EK301" i="10" s="1"/>
  <c r="EC300" i="10"/>
  <c r="EM300" i="10" s="1"/>
  <c r="EH58" i="10"/>
  <c r="ER58" i="10" s="1"/>
  <c r="EE214" i="10"/>
  <c r="EO214" i="10" s="1"/>
  <c r="ED174" i="10"/>
  <c r="EN174" i="10" s="1"/>
  <c r="EB213" i="10"/>
  <c r="EL213" i="10" s="1"/>
  <c r="EI21" i="10"/>
  <c r="EC227" i="10"/>
  <c r="EM227" i="10" s="1"/>
  <c r="ED186" i="10"/>
  <c r="EN186" i="10" s="1"/>
  <c r="ED299" i="10"/>
  <c r="EN299" i="10" s="1"/>
  <c r="EG245" i="10"/>
  <c r="EQ245" i="10" s="1"/>
  <c r="EF286" i="10"/>
  <c r="EP286" i="10" s="1"/>
  <c r="EB324" i="10"/>
  <c r="EL324" i="10" s="1"/>
  <c r="ES324" i="10" s="1"/>
  <c r="ET324" i="10" s="1"/>
  <c r="ED317" i="10"/>
  <c r="EN317" i="10" s="1"/>
  <c r="EE174" i="10"/>
  <c r="EO174" i="10" s="1"/>
  <c r="EH247" i="10"/>
  <c r="ER247" i="10" s="1"/>
  <c r="EC299" i="10"/>
  <c r="EM299" i="10" s="1"/>
  <c r="EG364" i="10"/>
  <c r="EQ364" i="10" s="1"/>
  <c r="ED331" i="10"/>
  <c r="EN331" i="10" s="1"/>
  <c r="EB310" i="10"/>
  <c r="EL310" i="10" s="1"/>
  <c r="DY273" i="10"/>
  <c r="EF244" i="10"/>
  <c r="EP244" i="10" s="1"/>
  <c r="DY231" i="10"/>
  <c r="EC301" i="10"/>
  <c r="EM301" i="10" s="1"/>
  <c r="DY204" i="10"/>
  <c r="DY334" i="10"/>
  <c r="ED315" i="10"/>
  <c r="EN315" i="10" s="1"/>
  <c r="ED270" i="10"/>
  <c r="EN270" i="10" s="1"/>
  <c r="EF338" i="10"/>
  <c r="EP338" i="10" s="1"/>
  <c r="DY346" i="10"/>
  <c r="DY180" i="10"/>
  <c r="EF301" i="10"/>
  <c r="EP301" i="10" s="1"/>
  <c r="ES301" i="10" s="1"/>
  <c r="ET301" i="10" s="1"/>
  <c r="EC187" i="10"/>
  <c r="EM187" i="10" s="1"/>
  <c r="ED181" i="10"/>
  <c r="EN181" i="10" s="1"/>
  <c r="ED286" i="10"/>
  <c r="EN286" i="10" s="1"/>
  <c r="DY298" i="10"/>
  <c r="EE80" i="10"/>
  <c r="EO80" i="10" s="1"/>
  <c r="EE216" i="10"/>
  <c r="EO216" i="10" s="1"/>
  <c r="EG200" i="10"/>
  <c r="EQ200" i="10" s="1"/>
  <c r="EC167" i="10"/>
  <c r="EM167" i="10" s="1"/>
  <c r="EB278" i="10"/>
  <c r="EL278" i="10" s="1"/>
  <c r="EB181" i="10"/>
  <c r="EL181" i="10" s="1"/>
  <c r="EE202" i="10"/>
  <c r="EO202" i="10" s="1"/>
  <c r="ED301" i="10"/>
  <c r="EN301" i="10" s="1"/>
  <c r="DY332" i="10"/>
  <c r="ED333" i="10"/>
  <c r="EN333" i="10" s="1"/>
  <c r="EI91" i="10"/>
  <c r="EC202" i="10"/>
  <c r="EM202" i="10" s="1"/>
  <c r="ES202" i="10" s="1"/>
  <c r="ET202" i="10" s="1"/>
  <c r="EC208" i="10"/>
  <c r="EM208" i="10" s="1"/>
  <c r="EC226" i="10"/>
  <c r="EM226" i="10" s="1"/>
  <c r="EE191" i="10"/>
  <c r="EO191" i="10" s="1"/>
  <c r="EB183" i="10"/>
  <c r="EL183" i="10" s="1"/>
  <c r="ED291" i="10"/>
  <c r="EN291" i="10" s="1"/>
  <c r="EC306" i="10"/>
  <c r="EM306" i="10" s="1"/>
  <c r="DY304" i="10"/>
  <c r="EG183" i="10"/>
  <c r="EQ183" i="10" s="1"/>
  <c r="EI57" i="10"/>
  <c r="DY250" i="10"/>
  <c r="EE300" i="10"/>
  <c r="EO300" i="10" s="1"/>
  <c r="EC292" i="10"/>
  <c r="EM292" i="10" s="1"/>
  <c r="EC204" i="10"/>
  <c r="EM204" i="10" s="1"/>
  <c r="EA176" i="10"/>
  <c r="EK176" i="10" s="1"/>
  <c r="EB188" i="10"/>
  <c r="EL188" i="10" s="1"/>
  <c r="EG351" i="10"/>
  <c r="EQ351" i="10" s="1"/>
  <c r="ED338" i="10"/>
  <c r="EN338" i="10" s="1"/>
  <c r="EC338" i="10"/>
  <c r="EM338" i="10" s="1"/>
  <c r="EG346" i="10"/>
  <c r="EQ346" i="10" s="1"/>
  <c r="EG58" i="10"/>
  <c r="EQ58" i="10" s="1"/>
  <c r="DY291" i="10"/>
  <c r="ED193" i="10"/>
  <c r="EN193" i="10" s="1"/>
  <c r="EB176" i="10"/>
  <c r="EL176" i="10" s="1"/>
  <c r="EC296" i="10"/>
  <c r="EM296" i="10" s="1"/>
  <c r="EF190" i="10"/>
  <c r="EP190" i="10" s="1"/>
  <c r="EC183" i="10"/>
  <c r="EM183" i="10" s="1"/>
  <c r="EB262" i="10"/>
  <c r="EL262" i="10" s="1"/>
  <c r="EC166" i="10"/>
  <c r="EM166" i="10" s="1"/>
  <c r="DY325" i="10"/>
  <c r="EA260" i="10"/>
  <c r="EK260" i="10" s="1"/>
  <c r="EI60" i="10"/>
  <c r="EE187" i="10"/>
  <c r="EO187" i="10" s="1"/>
  <c r="EC236" i="10"/>
  <c r="EM236" i="10" s="1"/>
  <c r="ED310" i="10"/>
  <c r="EN310" i="10" s="1"/>
  <c r="EC317" i="10"/>
  <c r="EM317" i="10" s="1"/>
  <c r="DY186" i="10"/>
  <c r="EE234" i="10"/>
  <c r="EO234" i="10" s="1"/>
  <c r="EF300" i="10"/>
  <c r="EP300" i="10" s="1"/>
  <c r="EE331" i="10"/>
  <c r="EO331" i="10" s="1"/>
  <c r="EB157" i="10"/>
  <c r="EL157" i="10" s="1"/>
  <c r="EI25" i="10"/>
  <c r="EE49" i="10"/>
  <c r="EO49" i="10" s="1"/>
  <c r="EH49" i="10"/>
  <c r="ER49" i="10" s="1"/>
  <c r="EB49" i="10"/>
  <c r="EL49" i="10" s="1"/>
  <c r="EC49" i="10"/>
  <c r="EM49" i="10" s="1"/>
  <c r="EF49" i="10"/>
  <c r="EP49" i="10" s="1"/>
  <c r="EG49" i="10"/>
  <c r="EQ49" i="10" s="1"/>
  <c r="EA201" i="10"/>
  <c r="EK201" i="10" s="1"/>
  <c r="EB201" i="10"/>
  <c r="EL201" i="10" s="1"/>
  <c r="EH201" i="10"/>
  <c r="ER201" i="10" s="1"/>
  <c r="EB235" i="10"/>
  <c r="EL235" i="10" s="1"/>
  <c r="EH252" i="10"/>
  <c r="ER252" i="10" s="1"/>
  <c r="EA252" i="10"/>
  <c r="EK252" i="10" s="1"/>
  <c r="EB252" i="10"/>
  <c r="EL252" i="10" s="1"/>
  <c r="ES132" i="10"/>
  <c r="ET132" i="10" s="1"/>
  <c r="EI132" i="10"/>
  <c r="EC95" i="10"/>
  <c r="EM95" i="10" s="1"/>
  <c r="EG307" i="10"/>
  <c r="EQ307" i="10" s="1"/>
  <c r="EH307" i="10"/>
  <c r="ER307" i="10" s="1"/>
  <c r="EF307" i="10"/>
  <c r="EP307" i="10" s="1"/>
  <c r="EE307" i="10"/>
  <c r="EO307" i="10" s="1"/>
  <c r="EC196" i="10"/>
  <c r="EM196" i="10" s="1"/>
  <c r="DY95" i="10"/>
  <c r="EH172" i="10"/>
  <c r="ER172" i="10" s="1"/>
  <c r="EE172" i="10"/>
  <c r="EO172" i="10" s="1"/>
  <c r="EC200" i="10"/>
  <c r="EM200" i="10" s="1"/>
  <c r="DY197" i="10"/>
  <c r="EH251" i="10"/>
  <c r="ER251" i="10" s="1"/>
  <c r="EE251" i="10"/>
  <c r="EO251" i="10" s="1"/>
  <c r="EG251" i="10"/>
  <c r="EQ251" i="10" s="1"/>
  <c r="EA251" i="10"/>
  <c r="EK251" i="10" s="1"/>
  <c r="EI312" i="10"/>
  <c r="EA210" i="10"/>
  <c r="EK210" i="10" s="1"/>
  <c r="EC210" i="10"/>
  <c r="EM210" i="10" s="1"/>
  <c r="ED210" i="10"/>
  <c r="EN210" i="10" s="1"/>
  <c r="EH210" i="10"/>
  <c r="ER210" i="10" s="1"/>
  <c r="EB212" i="10"/>
  <c r="EL212" i="10" s="1"/>
  <c r="EA367" i="10"/>
  <c r="EK367" i="10" s="1"/>
  <c r="EH367" i="10"/>
  <c r="ER367" i="10" s="1"/>
  <c r="EF367" i="10"/>
  <c r="EP367" i="10" s="1"/>
  <c r="EG367" i="10"/>
  <c r="EQ367" i="10" s="1"/>
  <c r="EE367" i="10"/>
  <c r="EO367" i="10" s="1"/>
  <c r="EH215" i="10"/>
  <c r="ER215" i="10" s="1"/>
  <c r="EA215" i="10"/>
  <c r="EK215" i="10" s="1"/>
  <c r="EB215" i="10"/>
  <c r="EL215" i="10" s="1"/>
  <c r="EF215" i="10"/>
  <c r="EP215" i="10" s="1"/>
  <c r="EA307" i="10"/>
  <c r="EK307" i="10" s="1"/>
  <c r="EB375" i="10"/>
  <c r="EL375" i="10" s="1"/>
  <c r="EA358" i="10"/>
  <c r="EK358" i="10" s="1"/>
  <c r="ED153" i="10"/>
  <c r="EN153" i="10" s="1"/>
  <c r="EA352" i="10"/>
  <c r="EK352" i="10" s="1"/>
  <c r="EH352" i="10"/>
  <c r="ER352" i="10" s="1"/>
  <c r="EG352" i="10"/>
  <c r="EQ352" i="10" s="1"/>
  <c r="EB218" i="10"/>
  <c r="EL218" i="10" s="1"/>
  <c r="EI223" i="10"/>
  <c r="ES223" i="10"/>
  <c r="ET223" i="10" s="1"/>
  <c r="EI237" i="10"/>
  <c r="ED354" i="10"/>
  <c r="EN354" i="10" s="1"/>
  <c r="EA214" i="10"/>
  <c r="EK214" i="10" s="1"/>
  <c r="EF214" i="10"/>
  <c r="EP214" i="10" s="1"/>
  <c r="EH214" i="10"/>
  <c r="ER214" i="10" s="1"/>
  <c r="EG214" i="10"/>
  <c r="EQ214" i="10" s="1"/>
  <c r="EB330" i="10"/>
  <c r="EL330" i="10" s="1"/>
  <c r="EB172" i="10"/>
  <c r="EL172" i="10" s="1"/>
  <c r="EA238" i="10"/>
  <c r="EK238" i="10" s="1"/>
  <c r="EE238" i="10"/>
  <c r="EO238" i="10" s="1"/>
  <c r="EG238" i="10"/>
  <c r="EQ238" i="10" s="1"/>
  <c r="DY238" i="10"/>
  <c r="EH238" i="10"/>
  <c r="ER238" i="10" s="1"/>
  <c r="EG274" i="10"/>
  <c r="EQ274" i="10" s="1"/>
  <c r="DY252" i="10"/>
  <c r="EF172" i="10"/>
  <c r="EP172" i="10" s="1"/>
  <c r="ED300" i="10"/>
  <c r="EN300" i="10" s="1"/>
  <c r="ED203" i="10"/>
  <c r="EN203" i="10" s="1"/>
  <c r="EB203" i="10"/>
  <c r="EL203" i="10" s="1"/>
  <c r="EH203" i="10"/>
  <c r="ER203" i="10" s="1"/>
  <c r="EA203" i="10"/>
  <c r="EK203" i="10" s="1"/>
  <c r="ED207" i="10"/>
  <c r="EN207" i="10" s="1"/>
  <c r="DY172" i="10"/>
  <c r="ES312" i="10"/>
  <c r="ET312" i="10" s="1"/>
  <c r="EB210" i="10"/>
  <c r="EL210" i="10" s="1"/>
  <c r="EF331" i="10"/>
  <c r="EP331" i="10" s="1"/>
  <c r="EB367" i="10"/>
  <c r="EL367" i="10" s="1"/>
  <c r="EA217" i="10"/>
  <c r="EK217" i="10" s="1"/>
  <c r="EH217" i="10"/>
  <c r="ER217" i="10" s="1"/>
  <c r="EG217" i="10"/>
  <c r="EQ217" i="10" s="1"/>
  <c r="EF217" i="10"/>
  <c r="EP217" i="10" s="1"/>
  <c r="DY217" i="10"/>
  <c r="EB109" i="10"/>
  <c r="EL109" i="10" s="1"/>
  <c r="EH348" i="10"/>
  <c r="ER348" i="10" s="1"/>
  <c r="EA348" i="10"/>
  <c r="EK348" i="10" s="1"/>
  <c r="ED348" i="10"/>
  <c r="EN348" i="10" s="1"/>
  <c r="EC308" i="10"/>
  <c r="EM308" i="10" s="1"/>
  <c r="EF124" i="10"/>
  <c r="EP124" i="10" s="1"/>
  <c r="DY157" i="10"/>
  <c r="EB352" i="10"/>
  <c r="EL352" i="10" s="1"/>
  <c r="EG260" i="10"/>
  <c r="EQ260" i="10" s="1"/>
  <c r="EG180" i="10"/>
  <c r="EQ180" i="10" s="1"/>
  <c r="EC212" i="10"/>
  <c r="EM212" i="10" s="1"/>
  <c r="ES114" i="10"/>
  <c r="EI114" i="10"/>
  <c r="ES18" i="10"/>
  <c r="EI18" i="10"/>
  <c r="EF210" i="10"/>
  <c r="EP210" i="10" s="1"/>
  <c r="EG201" i="10"/>
  <c r="EQ201" i="10" s="1"/>
  <c r="EC350" i="10"/>
  <c r="EM350" i="10" s="1"/>
  <c r="EG350" i="10"/>
  <c r="EQ350" i="10" s="1"/>
  <c r="EH350" i="10"/>
  <c r="ER350" i="10" s="1"/>
  <c r="DY340" i="10"/>
  <c r="EE340" i="10"/>
  <c r="EO340" i="10" s="1"/>
  <c r="EC340" i="10"/>
  <c r="EM340" i="10" s="1"/>
  <c r="EA340" i="10"/>
  <c r="EK340" i="10" s="1"/>
  <c r="EH340" i="10"/>
  <c r="ER340" i="10" s="1"/>
  <c r="EB362" i="10"/>
  <c r="EL362" i="10" s="1"/>
  <c r="EH198" i="10"/>
  <c r="ER198" i="10" s="1"/>
  <c r="EA198" i="10"/>
  <c r="EK198" i="10" s="1"/>
  <c r="EG198" i="10"/>
  <c r="EQ198" i="10" s="1"/>
  <c r="EE198" i="10"/>
  <c r="EO198" i="10" s="1"/>
  <c r="EC128" i="10"/>
  <c r="EM128" i="10" s="1"/>
  <c r="EB366" i="10"/>
  <c r="EL366" i="10" s="1"/>
  <c r="EF366" i="10"/>
  <c r="EP366" i="10" s="1"/>
  <c r="ED366" i="10"/>
  <c r="EN366" i="10" s="1"/>
  <c r="EG366" i="10"/>
  <c r="EQ366" i="10" s="1"/>
  <c r="EH366" i="10"/>
  <c r="ER366" i="10" s="1"/>
  <c r="ES59" i="10"/>
  <c r="EB207" i="10"/>
  <c r="EL207" i="10" s="1"/>
  <c r="EA366" i="10"/>
  <c r="EK366" i="10" s="1"/>
  <c r="EA224" i="10"/>
  <c r="EK224" i="10" s="1"/>
  <c r="EE224" i="10"/>
  <c r="EO224" i="10" s="1"/>
  <c r="EF224" i="10"/>
  <c r="EP224" i="10" s="1"/>
  <c r="EH224" i="10"/>
  <c r="ER224" i="10" s="1"/>
  <c r="EA353" i="10"/>
  <c r="EK353" i="10" s="1"/>
  <c r="EH353" i="10"/>
  <c r="ER353" i="10" s="1"/>
  <c r="EG353" i="10"/>
  <c r="EQ353" i="10" s="1"/>
  <c r="ES31" i="10"/>
  <c r="EI31" i="10"/>
  <c r="EA325" i="10"/>
  <c r="EK325" i="10" s="1"/>
  <c r="EG325" i="10"/>
  <c r="EQ325" i="10" s="1"/>
  <c r="EB325" i="10"/>
  <c r="EL325" i="10" s="1"/>
  <c r="EH325" i="10"/>
  <c r="ER325" i="10" s="1"/>
  <c r="EH179" i="10"/>
  <c r="ER179" i="10" s="1"/>
  <c r="EG179" i="10"/>
  <c r="EQ179" i="10" s="1"/>
  <c r="ED179" i="10"/>
  <c r="EN179" i="10" s="1"/>
  <c r="EC179" i="10"/>
  <c r="EM179" i="10" s="1"/>
  <c r="EE363" i="10"/>
  <c r="EO363" i="10" s="1"/>
  <c r="EH72" i="10"/>
  <c r="ER72" i="10" s="1"/>
  <c r="EC72" i="10"/>
  <c r="EM72" i="10" s="1"/>
  <c r="EG72" i="10"/>
  <c r="EQ72" i="10" s="1"/>
  <c r="EB72" i="10"/>
  <c r="EL72" i="10" s="1"/>
  <c r="EA72" i="10"/>
  <c r="EK72" i="10" s="1"/>
  <c r="EE72" i="10"/>
  <c r="EO72" i="10" s="1"/>
  <c r="DY72" i="10"/>
  <c r="ES229" i="10"/>
  <c r="ET229" i="10" s="1"/>
  <c r="EI229" i="10"/>
  <c r="EC189" i="10"/>
  <c r="EM189" i="10" s="1"/>
  <c r="EH93" i="10"/>
  <c r="ER93" i="10" s="1"/>
  <c r="EG93" i="10"/>
  <c r="EQ93" i="10" s="1"/>
  <c r="EB93" i="10"/>
  <c r="EL93" i="10" s="1"/>
  <c r="EE93" i="10"/>
  <c r="EO93" i="10" s="1"/>
  <c r="EC93" i="10"/>
  <c r="EM93" i="10" s="1"/>
  <c r="EA93" i="10"/>
  <c r="EK93" i="10" s="1"/>
  <c r="EI45" i="10"/>
  <c r="ED157" i="10"/>
  <c r="EN157" i="10" s="1"/>
  <c r="EG184" i="10"/>
  <c r="EQ184" i="10" s="1"/>
  <c r="EH184" i="10"/>
  <c r="ER184" i="10" s="1"/>
  <c r="EF184" i="10"/>
  <c r="EP184" i="10" s="1"/>
  <c r="ED184" i="10"/>
  <c r="EN184" i="10" s="1"/>
  <c r="ED166" i="10"/>
  <c r="EN166" i="10" s="1"/>
  <c r="EH342" i="10"/>
  <c r="ER342" i="10" s="1"/>
  <c r="EG342" i="10"/>
  <c r="EQ342" i="10" s="1"/>
  <c r="EA342" i="10"/>
  <c r="EK342" i="10" s="1"/>
  <c r="EG272" i="10"/>
  <c r="EQ272" i="10" s="1"/>
  <c r="ED272" i="10"/>
  <c r="EN272" i="10" s="1"/>
  <c r="EA272" i="10"/>
  <c r="EK272" i="10" s="1"/>
  <c r="EH272" i="10"/>
  <c r="ER272" i="10" s="1"/>
  <c r="EF93" i="10"/>
  <c r="EP93" i="10" s="1"/>
  <c r="EB222" i="10"/>
  <c r="EL222" i="10" s="1"/>
  <c r="EA222" i="10"/>
  <c r="EK222" i="10" s="1"/>
  <c r="EH222" i="10"/>
  <c r="ER222" i="10" s="1"/>
  <c r="EG222" i="10"/>
  <c r="EQ222" i="10" s="1"/>
  <c r="EF222" i="10"/>
  <c r="EP222" i="10" s="1"/>
  <c r="EE339" i="10"/>
  <c r="EO339" i="10" s="1"/>
  <c r="EG339" i="10"/>
  <c r="EQ339" i="10" s="1"/>
  <c r="EA339" i="10"/>
  <c r="EK339" i="10" s="1"/>
  <c r="ED339" i="10"/>
  <c r="EN339" i="10" s="1"/>
  <c r="EB339" i="10"/>
  <c r="EL339" i="10" s="1"/>
  <c r="DY339" i="10"/>
  <c r="EH339" i="10"/>
  <c r="ER339" i="10" s="1"/>
  <c r="ES199" i="10"/>
  <c r="ET199" i="10" s="1"/>
  <c r="EF245" i="10"/>
  <c r="EP245" i="10" s="1"/>
  <c r="EA245" i="10"/>
  <c r="EK245" i="10" s="1"/>
  <c r="EB245" i="10"/>
  <c r="EL245" i="10" s="1"/>
  <c r="EH245" i="10"/>
  <c r="ER245" i="10" s="1"/>
  <c r="EC157" i="10"/>
  <c r="EM157" i="10" s="1"/>
  <c r="EH257" i="10"/>
  <c r="ER257" i="10" s="1"/>
  <c r="ED257" i="10"/>
  <c r="EN257" i="10" s="1"/>
  <c r="EC201" i="10"/>
  <c r="EM201" i="10" s="1"/>
  <c r="DY220" i="10"/>
  <c r="ED240" i="10"/>
  <c r="EN240" i="10" s="1"/>
  <c r="ED180" i="10"/>
  <c r="EN180" i="10" s="1"/>
  <c r="EB179" i="10"/>
  <c r="EL179" i="10" s="1"/>
  <c r="ES29" i="10"/>
  <c r="EI29" i="10"/>
  <c r="EA184" i="10"/>
  <c r="EK184" i="10" s="1"/>
  <c r="EB267" i="10"/>
  <c r="EL267" i="10" s="1"/>
  <c r="EG215" i="10"/>
  <c r="EQ215" i="10" s="1"/>
  <c r="EC214" i="10"/>
  <c r="EM214" i="10" s="1"/>
  <c r="EB220" i="10"/>
  <c r="EL220" i="10" s="1"/>
  <c r="EF261" i="10"/>
  <c r="EP261" i="10" s="1"/>
  <c r="EE352" i="10"/>
  <c r="EO352" i="10" s="1"/>
  <c r="ES118" i="10"/>
  <c r="EI118" i="10"/>
  <c r="EI98" i="10"/>
  <c r="EC231" i="10"/>
  <c r="EM231" i="10" s="1"/>
  <c r="EC307" i="10"/>
  <c r="EM307" i="10" s="1"/>
  <c r="EC354" i="10"/>
  <c r="EM354" i="10" s="1"/>
  <c r="ES68" i="10"/>
  <c r="EI68" i="10"/>
  <c r="EF251" i="10"/>
  <c r="EP251" i="10" s="1"/>
  <c r="EB257" i="10"/>
  <c r="EL257" i="10" s="1"/>
  <c r="EC222" i="10"/>
  <c r="EM222" i="10" s="1"/>
  <c r="EC254" i="10"/>
  <c r="EM254" i="10" s="1"/>
  <c r="EH254" i="10"/>
  <c r="ER254" i="10" s="1"/>
  <c r="EA254" i="10"/>
  <c r="EK254" i="10" s="1"/>
  <c r="EG254" i="10"/>
  <c r="EQ254" i="10" s="1"/>
  <c r="EA357" i="10"/>
  <c r="EK357" i="10" s="1"/>
  <c r="EB185" i="10"/>
  <c r="EL185" i="10" s="1"/>
  <c r="ED329" i="10"/>
  <c r="EN329" i="10" s="1"/>
  <c r="EF339" i="10"/>
  <c r="EP339" i="10" s="1"/>
  <c r="EA334" i="10"/>
  <c r="EK334" i="10" s="1"/>
  <c r="EG334" i="10"/>
  <c r="EQ334" i="10" s="1"/>
  <c r="EH334" i="10"/>
  <c r="ER334" i="10" s="1"/>
  <c r="EB334" i="10"/>
  <c r="EL334" i="10" s="1"/>
  <c r="EC245" i="10"/>
  <c r="EM245" i="10" s="1"/>
  <c r="DY247" i="10"/>
  <c r="EA257" i="10"/>
  <c r="EK257" i="10" s="1"/>
  <c r="EC311" i="10"/>
  <c r="EM311" i="10" s="1"/>
  <c r="EH323" i="10"/>
  <c r="ER323" i="10" s="1"/>
  <c r="EG323" i="10"/>
  <c r="EQ323" i="10" s="1"/>
  <c r="EA323" i="10"/>
  <c r="EK323" i="10" s="1"/>
  <c r="EB323" i="10"/>
  <c r="EL323" i="10" s="1"/>
  <c r="ED323" i="10"/>
  <c r="EN323" i="10" s="1"/>
  <c r="ES51" i="10"/>
  <c r="EI51" i="10"/>
  <c r="EA110" i="10"/>
  <c r="EK110" i="10" s="1"/>
  <c r="EH110" i="10"/>
  <c r="ER110" i="10" s="1"/>
  <c r="EF110" i="10"/>
  <c r="EP110" i="10" s="1"/>
  <c r="EB110" i="10"/>
  <c r="EL110" i="10" s="1"/>
  <c r="EG110" i="10"/>
  <c r="EQ110" i="10" s="1"/>
  <c r="EA374" i="10"/>
  <c r="EK374" i="10" s="1"/>
  <c r="EH374" i="10"/>
  <c r="ER374" i="10" s="1"/>
  <c r="EC374" i="10"/>
  <c r="EM374" i="10" s="1"/>
  <c r="EG329" i="10"/>
  <c r="EQ329" i="10" s="1"/>
  <c r="EA329" i="10"/>
  <c r="EK329" i="10" s="1"/>
  <c r="EC329" i="10"/>
  <c r="EM329" i="10" s="1"/>
  <c r="EH329" i="10"/>
  <c r="ER329" i="10" s="1"/>
  <c r="EE235" i="10"/>
  <c r="EO235" i="10" s="1"/>
  <c r="EA235" i="10"/>
  <c r="EK235" i="10" s="1"/>
  <c r="ED235" i="10"/>
  <c r="EN235" i="10" s="1"/>
  <c r="EF235" i="10"/>
  <c r="EP235" i="10" s="1"/>
  <c r="EH235" i="10"/>
  <c r="ER235" i="10" s="1"/>
  <c r="EH138" i="10"/>
  <c r="ER138" i="10" s="1"/>
  <c r="EA138" i="10"/>
  <c r="EK138" i="10" s="1"/>
  <c r="EG138" i="10"/>
  <c r="EQ138" i="10" s="1"/>
  <c r="EF138" i="10"/>
  <c r="EP138" i="10" s="1"/>
  <c r="EG164" i="10"/>
  <c r="EQ164" i="10" s="1"/>
  <c r="EH330" i="10"/>
  <c r="ER330" i="10" s="1"/>
  <c r="EE330" i="10"/>
  <c r="EO330" i="10" s="1"/>
  <c r="EA330" i="10"/>
  <c r="EK330" i="10" s="1"/>
  <c r="EA196" i="10"/>
  <c r="EK196" i="10" s="1"/>
  <c r="EF196" i="10"/>
  <c r="EP196" i="10" s="1"/>
  <c r="EG196" i="10"/>
  <c r="EQ196" i="10" s="1"/>
  <c r="EH196" i="10"/>
  <c r="ER196" i="10" s="1"/>
  <c r="EB196" i="10"/>
  <c r="EL196" i="10" s="1"/>
  <c r="ED201" i="10"/>
  <c r="EN201" i="10" s="1"/>
  <c r="DY240" i="10"/>
  <c r="EG185" i="10"/>
  <c r="EQ185" i="10" s="1"/>
  <c r="EH185" i="10"/>
  <c r="ER185" i="10" s="1"/>
  <c r="ED185" i="10"/>
  <c r="EN185" i="10" s="1"/>
  <c r="EA185" i="10"/>
  <c r="EK185" i="10" s="1"/>
  <c r="ES45" i="10"/>
  <c r="EC191" i="10"/>
  <c r="EM191" i="10" s="1"/>
  <c r="EI50" i="10"/>
  <c r="ED342" i="10"/>
  <c r="EN342" i="10" s="1"/>
  <c r="EG191" i="10"/>
  <c r="EQ191" i="10" s="1"/>
  <c r="EE325" i="10"/>
  <c r="EO325" i="10" s="1"/>
  <c r="ES41" i="10"/>
  <c r="EI41" i="10"/>
  <c r="EG273" i="10"/>
  <c r="EQ273" i="10" s="1"/>
  <c r="EH273" i="10"/>
  <c r="ER273" i="10" s="1"/>
  <c r="ES136" i="10"/>
  <c r="ET136" i="10" s="1"/>
  <c r="EI136" i="10"/>
  <c r="DY222" i="10"/>
  <c r="EF238" i="10"/>
  <c r="EP238" i="10" s="1"/>
  <c r="EF308" i="10"/>
  <c r="EP308" i="10" s="1"/>
  <c r="EH85" i="10"/>
  <c r="ER85" i="10" s="1"/>
  <c r="EB85" i="10"/>
  <c r="EL85" i="10" s="1"/>
  <c r="EA85" i="10"/>
  <c r="EK85" i="10" s="1"/>
  <c r="DY85" i="10"/>
  <c r="EE85" i="10"/>
  <c r="EO85" i="10" s="1"/>
  <c r="EG85" i="10"/>
  <c r="EQ85" i="10" s="1"/>
  <c r="EC85" i="10"/>
  <c r="EM85" i="10" s="1"/>
  <c r="EH234" i="10"/>
  <c r="ER234" i="10" s="1"/>
  <c r="EG234" i="10"/>
  <c r="EQ234" i="10" s="1"/>
  <c r="EA234" i="10"/>
  <c r="EK234" i="10" s="1"/>
  <c r="DY234" i="10"/>
  <c r="EF234" i="10"/>
  <c r="EP234" i="10" s="1"/>
  <c r="EF340" i="10"/>
  <c r="EP340" i="10" s="1"/>
  <c r="EG82" i="10"/>
  <c r="EQ82" i="10" s="1"/>
  <c r="EH82" i="10"/>
  <c r="ER82" i="10" s="1"/>
  <c r="EB82" i="10"/>
  <c r="EL82" i="10" s="1"/>
  <c r="EF82" i="10"/>
  <c r="EP82" i="10" s="1"/>
  <c r="ES98" i="10"/>
  <c r="EH209" i="10"/>
  <c r="ER209" i="10" s="1"/>
  <c r="EA209" i="10"/>
  <c r="EK209" i="10" s="1"/>
  <c r="ED209" i="10"/>
  <c r="EN209" i="10" s="1"/>
  <c r="EG209" i="10"/>
  <c r="EQ209" i="10" s="1"/>
  <c r="EE209" i="10"/>
  <c r="EO209" i="10" s="1"/>
  <c r="ED311" i="10"/>
  <c r="EN311" i="10" s="1"/>
  <c r="EE323" i="10"/>
  <c r="EO323" i="10" s="1"/>
  <c r="EF354" i="10"/>
  <c r="EP354" i="10" s="1"/>
  <c r="EH259" i="10"/>
  <c r="ER259" i="10" s="1"/>
  <c r="EF259" i="10"/>
  <c r="EP259" i="10" s="1"/>
  <c r="ES123" i="10"/>
  <c r="ET123" i="10" s="1"/>
  <c r="EI123" i="10"/>
  <c r="EG27" i="10"/>
  <c r="EQ27" i="10" s="1"/>
  <c r="EC27" i="10"/>
  <c r="EM27" i="10" s="1"/>
  <c r="EH27" i="10"/>
  <c r="ER27" i="10" s="1"/>
  <c r="EB27" i="10"/>
  <c r="EL27" i="10" s="1"/>
  <c r="EF27" i="10"/>
  <c r="EP27" i="10" s="1"/>
  <c r="EE27" i="10"/>
  <c r="EO27" i="10" s="1"/>
  <c r="EH269" i="10"/>
  <c r="ER269" i="10" s="1"/>
  <c r="EG269" i="10"/>
  <c r="EQ269" i="10" s="1"/>
  <c r="EF269" i="10"/>
  <c r="EP269" i="10" s="1"/>
  <c r="EA269" i="10"/>
  <c r="EK269" i="10" s="1"/>
  <c r="DY269" i="10"/>
  <c r="EB138" i="10"/>
  <c r="EL138" i="10" s="1"/>
  <c r="EC260" i="10"/>
  <c r="EM260" i="10" s="1"/>
  <c r="EE207" i="10"/>
  <c r="EO207" i="10" s="1"/>
  <c r="ES345" i="10"/>
  <c r="ET345" i="10" s="1"/>
  <c r="EI345" i="10"/>
  <c r="ES233" i="10"/>
  <c r="ET233" i="10" s="1"/>
  <c r="EI233" i="10"/>
  <c r="DY359" i="10"/>
  <c r="EH156" i="10"/>
  <c r="ER156" i="10" s="1"/>
  <c r="EB156" i="10"/>
  <c r="EL156" i="10" s="1"/>
  <c r="EE156" i="10"/>
  <c r="EO156" i="10" s="1"/>
  <c r="EA156" i="10"/>
  <c r="EK156" i="10" s="1"/>
  <c r="EG156" i="10"/>
  <c r="EQ156" i="10" s="1"/>
  <c r="EH341" i="10"/>
  <c r="ER341" i="10" s="1"/>
  <c r="EB341" i="10"/>
  <c r="EL341" i="10" s="1"/>
  <c r="EF341" i="10"/>
  <c r="EP341" i="10" s="1"/>
  <c r="EG341" i="10"/>
  <c r="EQ341" i="10" s="1"/>
  <c r="EA341" i="10"/>
  <c r="EK341" i="10" s="1"/>
  <c r="ED341" i="10"/>
  <c r="EN341" i="10" s="1"/>
  <c r="EA253" i="10"/>
  <c r="EK253" i="10" s="1"/>
  <c r="EH253" i="10"/>
  <c r="ER253" i="10" s="1"/>
  <c r="EF253" i="10"/>
  <c r="EP253" i="10" s="1"/>
  <c r="EB253" i="10"/>
  <c r="EL253" i="10" s="1"/>
  <c r="EG253" i="10"/>
  <c r="EQ253" i="10" s="1"/>
  <c r="DY236" i="10"/>
  <c r="ES309" i="10"/>
  <c r="ET309" i="10" s="1"/>
  <c r="EH150" i="10"/>
  <c r="ER150" i="10" s="1"/>
  <c r="EB150" i="10"/>
  <c r="EL150" i="10" s="1"/>
  <c r="EA150" i="10"/>
  <c r="EK150" i="10" s="1"/>
  <c r="EC150" i="10"/>
  <c r="EM150" i="10" s="1"/>
  <c r="EF150" i="10"/>
  <c r="EP150" i="10" s="1"/>
  <c r="EA225" i="10"/>
  <c r="EK225" i="10" s="1"/>
  <c r="EH225" i="10"/>
  <c r="ER225" i="10" s="1"/>
  <c r="EB225" i="10"/>
  <c r="EL225" i="10" s="1"/>
  <c r="EF225" i="10"/>
  <c r="EP225" i="10" s="1"/>
  <c r="EF119" i="10"/>
  <c r="EP119" i="10" s="1"/>
  <c r="EB282" i="10"/>
  <c r="EL282" i="10" s="1"/>
  <c r="EG282" i="10"/>
  <c r="EQ282" i="10" s="1"/>
  <c r="EE282" i="10"/>
  <c r="EO282" i="10" s="1"/>
  <c r="EA282" i="10"/>
  <c r="EK282" i="10" s="1"/>
  <c r="EA362" i="10"/>
  <c r="EK362" i="10" s="1"/>
  <c r="EG362" i="10"/>
  <c r="EQ362" i="10" s="1"/>
  <c r="EE197" i="10"/>
  <c r="EO197" i="10" s="1"/>
  <c r="DY225" i="10"/>
  <c r="EB131" i="10"/>
  <c r="EL131" i="10" s="1"/>
  <c r="EH48" i="10"/>
  <c r="ER48" i="10" s="1"/>
  <c r="EG48" i="10"/>
  <c r="EQ48" i="10" s="1"/>
  <c r="EE48" i="10"/>
  <c r="EO48" i="10" s="1"/>
  <c r="EB48" i="10"/>
  <c r="EL48" i="10" s="1"/>
  <c r="EC48" i="10"/>
  <c r="EM48" i="10" s="1"/>
  <c r="EF48" i="10"/>
  <c r="EP48" i="10" s="1"/>
  <c r="EE131" i="10"/>
  <c r="EO131" i="10" s="1"/>
  <c r="EF302" i="10"/>
  <c r="EP302" i="10" s="1"/>
  <c r="EH302" i="10"/>
  <c r="ER302" i="10" s="1"/>
  <c r="EA302" i="10"/>
  <c r="EK302" i="10" s="1"/>
  <c r="EG302" i="10"/>
  <c r="EQ302" i="10" s="1"/>
  <c r="EE302" i="10"/>
  <c r="EO302" i="10" s="1"/>
  <c r="EA211" i="10"/>
  <c r="EK211" i="10" s="1"/>
  <c r="EG211" i="10"/>
  <c r="EQ211" i="10" s="1"/>
  <c r="EH211" i="10"/>
  <c r="ER211" i="10" s="1"/>
  <c r="EC169" i="10"/>
  <c r="EM169" i="10" s="1"/>
  <c r="EG169" i="10"/>
  <c r="EQ169" i="10" s="1"/>
  <c r="EH169" i="10"/>
  <c r="ER169" i="10" s="1"/>
  <c r="EA169" i="10"/>
  <c r="EK169" i="10" s="1"/>
  <c r="ED178" i="10"/>
  <c r="EN178" i="10" s="1"/>
  <c r="EA200" i="10"/>
  <c r="EK200" i="10" s="1"/>
  <c r="EH200" i="10"/>
  <c r="ER200" i="10" s="1"/>
  <c r="ED200" i="10"/>
  <c r="EN200" i="10" s="1"/>
  <c r="EB200" i="10"/>
  <c r="EL200" i="10" s="1"/>
  <c r="EF200" i="10"/>
  <c r="EP200" i="10" s="1"/>
  <c r="DY138" i="10"/>
  <c r="ES230" i="10"/>
  <c r="ET230" i="10" s="1"/>
  <c r="EB38" i="10"/>
  <c r="EL38" i="10" s="1"/>
  <c r="EE38" i="10"/>
  <c r="EO38" i="10" s="1"/>
  <c r="EC38" i="10"/>
  <c r="EM38" i="10" s="1"/>
  <c r="EH38" i="10"/>
  <c r="ER38" i="10" s="1"/>
  <c r="EG38" i="10"/>
  <c r="EQ38" i="10" s="1"/>
  <c r="EF38" i="10"/>
  <c r="EP38" i="10" s="1"/>
  <c r="EE364" i="10"/>
  <c r="EO364" i="10" s="1"/>
  <c r="EH364" i="10"/>
  <c r="ER364" i="10" s="1"/>
  <c r="EA364" i="10"/>
  <c r="EK364" i="10" s="1"/>
  <c r="DY364" i="10"/>
  <c r="EB364" i="10"/>
  <c r="EL364" i="10" s="1"/>
  <c r="EH271" i="10"/>
  <c r="ER271" i="10" s="1"/>
  <c r="EA271" i="10"/>
  <c r="EK271" i="10" s="1"/>
  <c r="EG271" i="10"/>
  <c r="EQ271" i="10" s="1"/>
  <c r="DY216" i="10"/>
  <c r="EB169" i="10"/>
  <c r="EL169" i="10" s="1"/>
  <c r="EF211" i="10"/>
  <c r="EP211" i="10" s="1"/>
  <c r="DY235" i="10"/>
  <c r="ES115" i="10"/>
  <c r="EC367" i="10"/>
  <c r="EM367" i="10" s="1"/>
  <c r="ED302" i="10"/>
  <c r="EN302" i="10" s="1"/>
  <c r="EC252" i="10"/>
  <c r="EM252" i="10" s="1"/>
  <c r="DY144" i="10"/>
  <c r="EG203" i="10"/>
  <c r="EQ203" i="10" s="1"/>
  <c r="EC185" i="10"/>
  <c r="EM185" i="10" s="1"/>
  <c r="EB228" i="10"/>
  <c r="EL228" i="10" s="1"/>
  <c r="EA228" i="10"/>
  <c r="EK228" i="10" s="1"/>
  <c r="EH228" i="10"/>
  <c r="ER228" i="10" s="1"/>
  <c r="EA275" i="10"/>
  <c r="EK275" i="10" s="1"/>
  <c r="EG275" i="10"/>
  <c r="EQ275" i="10" s="1"/>
  <c r="EH275" i="10"/>
  <c r="ER275" i="10" s="1"/>
  <c r="EA273" i="10"/>
  <c r="EK273" i="10" s="1"/>
  <c r="EE222" i="10"/>
  <c r="EO222" i="10" s="1"/>
  <c r="EF257" i="10"/>
  <c r="EP257" i="10" s="1"/>
  <c r="EH317" i="10"/>
  <c r="ER317" i="10" s="1"/>
  <c r="EG317" i="10"/>
  <c r="EQ317" i="10" s="1"/>
  <c r="EA317" i="10"/>
  <c r="EK317" i="10" s="1"/>
  <c r="DY317" i="10"/>
  <c r="EE227" i="10"/>
  <c r="EO227" i="10" s="1"/>
  <c r="EI55" i="10"/>
  <c r="EC242" i="10"/>
  <c r="EM242" i="10" s="1"/>
  <c r="ED364" i="10"/>
  <c r="EN364" i="10" s="1"/>
  <c r="EA82" i="10"/>
  <c r="EK82" i="10" s="1"/>
  <c r="EB209" i="10"/>
  <c r="EL209" i="10" s="1"/>
  <c r="DY367" i="10"/>
  <c r="EF322" i="10"/>
  <c r="EP322" i="10" s="1"/>
  <c r="EG322" i="10"/>
  <c r="EQ322" i="10" s="1"/>
  <c r="ED322" i="10"/>
  <c r="EN322" i="10" s="1"/>
  <c r="EH322" i="10"/>
  <c r="ER322" i="10" s="1"/>
  <c r="EE35" i="10"/>
  <c r="EO35" i="10" s="1"/>
  <c r="EC35" i="10"/>
  <c r="EM35" i="10" s="1"/>
  <c r="EB35" i="10"/>
  <c r="EL35" i="10" s="1"/>
  <c r="EG35" i="10"/>
  <c r="EQ35" i="10" s="1"/>
  <c r="EF35" i="10"/>
  <c r="EP35" i="10" s="1"/>
  <c r="EH35" i="10"/>
  <c r="ER35" i="10" s="1"/>
  <c r="EC259" i="10"/>
  <c r="EM259" i="10" s="1"/>
  <c r="ES40" i="10"/>
  <c r="EF272" i="10"/>
  <c r="EP272" i="10" s="1"/>
  <c r="EC152" i="10"/>
  <c r="EM152" i="10" s="1"/>
  <c r="EA259" i="10"/>
  <c r="EK259" i="10" s="1"/>
  <c r="EE374" i="10"/>
  <c r="EO374" i="10" s="1"/>
  <c r="EA27" i="10"/>
  <c r="EK27" i="10" s="1"/>
  <c r="DY251" i="10"/>
  <c r="EH76" i="10"/>
  <c r="ER76" i="10" s="1"/>
  <c r="EC76" i="10"/>
  <c r="EM76" i="10" s="1"/>
  <c r="EF76" i="10"/>
  <c r="EP76" i="10" s="1"/>
  <c r="EB76" i="10"/>
  <c r="EL76" i="10" s="1"/>
  <c r="EG76" i="10"/>
  <c r="EQ76" i="10" s="1"/>
  <c r="EF271" i="10"/>
  <c r="EP271" i="10" s="1"/>
  <c r="DY224" i="10"/>
  <c r="ES20" i="10"/>
  <c r="EI20" i="10"/>
  <c r="EH67" i="10"/>
  <c r="ER67" i="10" s="1"/>
  <c r="EC67" i="10"/>
  <c r="EM67" i="10" s="1"/>
  <c r="EF67" i="10"/>
  <c r="EP67" i="10" s="1"/>
  <c r="EA67" i="10"/>
  <c r="EK67" i="10" s="1"/>
  <c r="EG67" i="10"/>
  <c r="EQ67" i="10" s="1"/>
  <c r="EB67" i="10"/>
  <c r="EL67" i="10" s="1"/>
  <c r="EF81" i="10"/>
  <c r="EP81" i="10" s="1"/>
  <c r="EH81" i="10"/>
  <c r="ER81" i="10" s="1"/>
  <c r="EA81" i="10"/>
  <c r="EK81" i="10" s="1"/>
  <c r="EC81" i="10"/>
  <c r="EM81" i="10" s="1"/>
  <c r="EE81" i="10"/>
  <c r="EO81" i="10" s="1"/>
  <c r="EB81" i="10"/>
  <c r="EL81" i="10" s="1"/>
  <c r="EC156" i="10"/>
  <c r="EM156" i="10" s="1"/>
  <c r="EC341" i="10"/>
  <c r="EM341" i="10" s="1"/>
  <c r="EA167" i="10"/>
  <c r="EK167" i="10" s="1"/>
  <c r="EG167" i="10"/>
  <c r="EQ167" i="10" s="1"/>
  <c r="EH167" i="10"/>
  <c r="ER167" i="10" s="1"/>
  <c r="ED251" i="10"/>
  <c r="EN251" i="10" s="1"/>
  <c r="EG277" i="10"/>
  <c r="EQ277" i="10" s="1"/>
  <c r="ED277" i="10"/>
  <c r="EN277" i="10" s="1"/>
  <c r="EA277" i="10"/>
  <c r="EK277" i="10" s="1"/>
  <c r="EF277" i="10"/>
  <c r="EP277" i="10" s="1"/>
  <c r="EH277" i="10"/>
  <c r="ER277" i="10" s="1"/>
  <c r="EI309" i="10"/>
  <c r="ES347" i="10"/>
  <c r="ET347" i="10" s="1"/>
  <c r="EI347" i="10"/>
  <c r="EA351" i="10"/>
  <c r="EK351" i="10" s="1"/>
  <c r="EH351" i="10"/>
  <c r="ER351" i="10" s="1"/>
  <c r="DY320" i="10"/>
  <c r="EA316" i="10"/>
  <c r="EK316" i="10" s="1"/>
  <c r="EH316" i="10"/>
  <c r="ER316" i="10" s="1"/>
  <c r="EF316" i="10"/>
  <c r="EP316" i="10" s="1"/>
  <c r="EE316" i="10"/>
  <c r="EO316" i="10" s="1"/>
  <c r="ED316" i="10"/>
  <c r="EN316" i="10" s="1"/>
  <c r="EC316" i="10"/>
  <c r="EM316" i="10" s="1"/>
  <c r="EG316" i="10"/>
  <c r="EQ316" i="10" s="1"/>
  <c r="DY150" i="10"/>
  <c r="EB316" i="10"/>
  <c r="EL316" i="10" s="1"/>
  <c r="ED197" i="10"/>
  <c r="EN197" i="10" s="1"/>
  <c r="ED267" i="10"/>
  <c r="EN267" i="10" s="1"/>
  <c r="EB159" i="10"/>
  <c r="EL159" i="10" s="1"/>
  <c r="DY323" i="10"/>
  <c r="EH178" i="10"/>
  <c r="ER178" i="10" s="1"/>
  <c r="EF178" i="10"/>
  <c r="EP178" i="10" s="1"/>
  <c r="EC178" i="10"/>
  <c r="EM178" i="10" s="1"/>
  <c r="EH170" i="10"/>
  <c r="ER170" i="10" s="1"/>
  <c r="EG170" i="10"/>
  <c r="EQ170" i="10" s="1"/>
  <c r="EA170" i="10"/>
  <c r="EK170" i="10" s="1"/>
  <c r="EI63" i="10"/>
  <c r="ES63" i="10"/>
  <c r="DY178" i="10"/>
  <c r="EH356" i="10"/>
  <c r="ER356" i="10" s="1"/>
  <c r="EA356" i="10"/>
  <c r="EK356" i="10" s="1"/>
  <c r="ED261" i="10"/>
  <c r="EN261" i="10" s="1"/>
  <c r="EA261" i="10"/>
  <c r="EK261" i="10" s="1"/>
  <c r="EG261" i="10"/>
  <c r="EQ261" i="10" s="1"/>
  <c r="EH261" i="10"/>
  <c r="ER261" i="10" s="1"/>
  <c r="EF170" i="10"/>
  <c r="EP170" i="10" s="1"/>
  <c r="DY94" i="10"/>
  <c r="EB329" i="10"/>
  <c r="EL329" i="10" s="1"/>
  <c r="EG150" i="10"/>
  <c r="EQ150" i="10" s="1"/>
  <c r="EI287" i="10"/>
  <c r="ES287" i="10"/>
  <c r="ET287" i="10" s="1"/>
  <c r="EB97" i="10"/>
  <c r="EL97" i="10" s="1"/>
  <c r="EE97" i="10"/>
  <c r="EO97" i="10" s="1"/>
  <c r="EF97" i="10"/>
  <c r="EP97" i="10" s="1"/>
  <c r="EH97" i="10"/>
  <c r="ER97" i="10" s="1"/>
  <c r="EG97" i="10"/>
  <c r="EQ97" i="10" s="1"/>
  <c r="EA160" i="10"/>
  <c r="EK160" i="10" s="1"/>
  <c r="EE160" i="10"/>
  <c r="EO160" i="10" s="1"/>
  <c r="EH160" i="10"/>
  <c r="ER160" i="10" s="1"/>
  <c r="EC160" i="10"/>
  <c r="EM160" i="10" s="1"/>
  <c r="EG160" i="10"/>
  <c r="EQ160" i="10" s="1"/>
  <c r="ES163" i="10"/>
  <c r="ET163" i="10" s="1"/>
  <c r="EI163" i="10"/>
  <c r="DY366" i="10"/>
  <c r="EH166" i="10"/>
  <c r="ER166" i="10" s="1"/>
  <c r="EA166" i="10"/>
  <c r="EK166" i="10" s="1"/>
  <c r="EE166" i="10"/>
  <c r="EO166" i="10" s="1"/>
  <c r="EG166" i="10"/>
  <c r="EQ166" i="10" s="1"/>
  <c r="EF166" i="10"/>
  <c r="EP166" i="10" s="1"/>
  <c r="EG189" i="10"/>
  <c r="EQ189" i="10" s="1"/>
  <c r="EA189" i="10"/>
  <c r="EK189" i="10" s="1"/>
  <c r="ED189" i="10"/>
  <c r="EN189" i="10" s="1"/>
  <c r="EH189" i="10"/>
  <c r="ER189" i="10" s="1"/>
  <c r="EB189" i="10"/>
  <c r="EL189" i="10" s="1"/>
  <c r="EF189" i="10"/>
  <c r="EP189" i="10" s="1"/>
  <c r="EB224" i="10"/>
  <c r="EL224" i="10" s="1"/>
  <c r="EE285" i="10"/>
  <c r="EO285" i="10" s="1"/>
  <c r="EA285" i="10"/>
  <c r="EK285" i="10" s="1"/>
  <c r="EG285" i="10"/>
  <c r="EQ285" i="10" s="1"/>
  <c r="EH285" i="10"/>
  <c r="ER285" i="10" s="1"/>
  <c r="EG153" i="10"/>
  <c r="EQ153" i="10" s="1"/>
  <c r="EA153" i="10"/>
  <c r="EK153" i="10" s="1"/>
  <c r="EH153" i="10"/>
  <c r="ER153" i="10" s="1"/>
  <c r="EB153" i="10"/>
  <c r="EL153" i="10" s="1"/>
  <c r="EE153" i="10"/>
  <c r="EO153" i="10" s="1"/>
  <c r="DY153" i="10"/>
  <c r="EB166" i="10"/>
  <c r="EL166" i="10" s="1"/>
  <c r="EF276" i="10"/>
  <c r="EP276" i="10" s="1"/>
  <c r="EB354" i="10"/>
  <c r="EL354" i="10" s="1"/>
  <c r="EH191" i="10"/>
  <c r="ER191" i="10" s="1"/>
  <c r="EA191" i="10"/>
  <c r="EK191" i="10" s="1"/>
  <c r="DY169" i="10"/>
  <c r="ES77" i="10"/>
  <c r="EI77" i="10"/>
  <c r="EE231" i="10"/>
  <c r="EO231" i="10" s="1"/>
  <c r="EG311" i="10"/>
  <c r="EQ311" i="10" s="1"/>
  <c r="EF159" i="10"/>
  <c r="EP159" i="10" s="1"/>
  <c r="EH282" i="10"/>
  <c r="ER282" i="10" s="1"/>
  <c r="EC228" i="10"/>
  <c r="EM228" i="10" s="1"/>
  <c r="EI12" i="10"/>
  <c r="EB275" i="10"/>
  <c r="EL275" i="10" s="1"/>
  <c r="EH174" i="10"/>
  <c r="ER174" i="10" s="1"/>
  <c r="EB174" i="10"/>
  <c r="EL174" i="10" s="1"/>
  <c r="EC170" i="10"/>
  <c r="EM170" i="10" s="1"/>
  <c r="ES55" i="10"/>
  <c r="EE168" i="10"/>
  <c r="EO168" i="10" s="1"/>
  <c r="EA168" i="10"/>
  <c r="EK168" i="10" s="1"/>
  <c r="EG168" i="10"/>
  <c r="EQ168" i="10" s="1"/>
  <c r="EH168" i="10"/>
  <c r="ER168" i="10" s="1"/>
  <c r="ED356" i="10"/>
  <c r="EN356" i="10" s="1"/>
  <c r="EF160" i="10"/>
  <c r="EP160" i="10" s="1"/>
  <c r="EF304" i="10"/>
  <c r="EP304" i="10" s="1"/>
  <c r="ED224" i="10"/>
  <c r="EN224" i="10" s="1"/>
  <c r="EC352" i="10"/>
  <c r="EM352" i="10" s="1"/>
  <c r="DY209" i="10"/>
  <c r="EA322" i="10"/>
  <c r="EK322" i="10" s="1"/>
  <c r="EA35" i="10"/>
  <c r="EK35" i="10" s="1"/>
  <c r="EG266" i="10"/>
  <c r="EQ266" i="10" s="1"/>
  <c r="EA266" i="10"/>
  <c r="EK266" i="10" s="1"/>
  <c r="ED266" i="10"/>
  <c r="EN266" i="10" s="1"/>
  <c r="EE266" i="10"/>
  <c r="EO266" i="10" s="1"/>
  <c r="EB266" i="10"/>
  <c r="EL266" i="10" s="1"/>
  <c r="EH266" i="10"/>
  <c r="ER266" i="10" s="1"/>
  <c r="EI40" i="10"/>
  <c r="EE348" i="10"/>
  <c r="EO348" i="10" s="1"/>
  <c r="ED164" i="10"/>
  <c r="EN164" i="10" s="1"/>
  <c r="EE280" i="10"/>
  <c r="EO280" i="10" s="1"/>
  <c r="EF280" i="10"/>
  <c r="EP280" i="10" s="1"/>
  <c r="EA280" i="10"/>
  <c r="EK280" i="10" s="1"/>
  <c r="EG280" i="10"/>
  <c r="EQ280" i="10" s="1"/>
  <c r="EH280" i="10"/>
  <c r="ER280" i="10" s="1"/>
  <c r="EB280" i="10"/>
  <c r="EL280" i="10" s="1"/>
  <c r="EG375" i="10"/>
  <c r="EQ375" i="10" s="1"/>
  <c r="ED269" i="10"/>
  <c r="EN269" i="10" s="1"/>
  <c r="EE179" i="10"/>
  <c r="EO179" i="10" s="1"/>
  <c r="EB256" i="10"/>
  <c r="EL256" i="10" s="1"/>
  <c r="EG256" i="10"/>
  <c r="EQ256" i="10" s="1"/>
  <c r="ED256" i="10"/>
  <c r="EN256" i="10" s="1"/>
  <c r="EA256" i="10"/>
  <c r="EK256" i="10" s="1"/>
  <c r="EH256" i="10"/>
  <c r="ER256" i="10" s="1"/>
  <c r="EA76" i="10"/>
  <c r="EK76" i="10" s="1"/>
  <c r="DY329" i="10"/>
  <c r="EF333" i="10"/>
  <c r="EP333" i="10" s="1"/>
  <c r="EI92" i="10"/>
  <c r="ES92" i="10"/>
  <c r="ED271" i="10"/>
  <c r="EN271" i="10" s="1"/>
  <c r="EH158" i="10"/>
  <c r="ER158" i="10" s="1"/>
  <c r="EA158" i="10"/>
  <c r="EK158" i="10" s="1"/>
  <c r="EB158" i="10"/>
  <c r="EL158" i="10" s="1"/>
  <c r="EE67" i="10"/>
  <c r="EO67" i="10" s="1"/>
  <c r="EG81" i="10"/>
  <c r="EQ81" i="10" s="1"/>
  <c r="EE16" i="10"/>
  <c r="EO16" i="10" s="1"/>
  <c r="EC16" i="10"/>
  <c r="EM16" i="10" s="1"/>
  <c r="EB16" i="10"/>
  <c r="EL16" i="10" s="1"/>
  <c r="EH16" i="10"/>
  <c r="ER16" i="10" s="1"/>
  <c r="EF16" i="10"/>
  <c r="EP16" i="10" s="1"/>
  <c r="EG16" i="10"/>
  <c r="EQ16" i="10" s="1"/>
  <c r="EA369" i="10"/>
  <c r="EK369" i="10" s="1"/>
  <c r="EH369" i="10"/>
  <c r="ER369" i="10" s="1"/>
  <c r="ED369" i="10"/>
  <c r="EN369" i="10" s="1"/>
  <c r="EB167" i="10"/>
  <c r="EL167" i="10" s="1"/>
  <c r="EH291" i="10"/>
  <c r="ER291" i="10" s="1"/>
  <c r="EF291" i="10"/>
  <c r="EP291" i="10" s="1"/>
  <c r="EG291" i="10"/>
  <c r="EQ291" i="10" s="1"/>
  <c r="EA291" i="10"/>
  <c r="EK291" i="10" s="1"/>
  <c r="EC277" i="10"/>
  <c r="EM277" i="10" s="1"/>
  <c r="EE332" i="10"/>
  <c r="EO332" i="10" s="1"/>
  <c r="DY333" i="10"/>
  <c r="EI47" i="10"/>
  <c r="ES47" i="10"/>
  <c r="EB351" i="10"/>
  <c r="EL351" i="10" s="1"/>
  <c r="EB240" i="10"/>
  <c r="EL240" i="10" s="1"/>
  <c r="EA240" i="10"/>
  <c r="EK240" i="10" s="1"/>
  <c r="EG240" i="10"/>
  <c r="EQ240" i="10" s="1"/>
  <c r="EF240" i="10"/>
  <c r="EP240" i="10" s="1"/>
  <c r="EH240" i="10"/>
  <c r="ER240" i="10" s="1"/>
  <c r="EE240" i="10"/>
  <c r="EO240" i="10" s="1"/>
  <c r="EA157" i="10"/>
  <c r="EK157" i="10" s="1"/>
  <c r="EH157" i="10"/>
  <c r="ER157" i="10" s="1"/>
  <c r="DY316" i="10"/>
  <c r="ES336" i="10"/>
  <c r="ET336" i="10" s="1"/>
  <c r="EI336" i="10"/>
  <c r="EB274" i="10"/>
  <c r="EL274" i="10" s="1"/>
  <c r="EE150" i="10"/>
  <c r="EO150" i="10" s="1"/>
  <c r="DY274" i="10"/>
  <c r="EH218" i="10"/>
  <c r="ER218" i="10" s="1"/>
  <c r="EG218" i="10"/>
  <c r="EQ218" i="10" s="1"/>
  <c r="EE218" i="10"/>
  <c r="EO218" i="10" s="1"/>
  <c r="EA218" i="10"/>
  <c r="EK218" i="10" s="1"/>
  <c r="EB337" i="10"/>
  <c r="EL337" i="10" s="1"/>
  <c r="EH337" i="10"/>
  <c r="ER337" i="10" s="1"/>
  <c r="EC337" i="10"/>
  <c r="EM337" i="10" s="1"/>
  <c r="EG337" i="10"/>
  <c r="EQ337" i="10" s="1"/>
  <c r="EE337" i="10"/>
  <c r="EO337" i="10" s="1"/>
  <c r="EA337" i="10"/>
  <c r="EK337" i="10" s="1"/>
  <c r="EI125" i="10"/>
  <c r="ES125" i="10"/>
  <c r="ET125" i="10" s="1"/>
  <c r="EB374" i="10"/>
  <c r="EL374" i="10" s="1"/>
  <c r="DY110" i="10"/>
  <c r="EC24" i="10"/>
  <c r="EM24" i="10" s="1"/>
  <c r="EE24" i="10"/>
  <c r="EO24" i="10" s="1"/>
  <c r="EF24" i="10"/>
  <c r="EP24" i="10" s="1"/>
  <c r="EH24" i="10"/>
  <c r="ER24" i="10" s="1"/>
  <c r="EB24" i="10"/>
  <c r="EL24" i="10" s="1"/>
  <c r="EG24" i="10"/>
  <c r="EQ24" i="10" s="1"/>
  <c r="ED337" i="10"/>
  <c r="EN337" i="10" s="1"/>
  <c r="EH183" i="10"/>
  <c r="ER183" i="10" s="1"/>
  <c r="EE183" i="10"/>
  <c r="EO183" i="10" s="1"/>
  <c r="EA183" i="10"/>
  <c r="EK183" i="10" s="1"/>
  <c r="EC220" i="10"/>
  <c r="EM220" i="10" s="1"/>
  <c r="EH300" i="10"/>
  <c r="ER300" i="10" s="1"/>
  <c r="EA300" i="10"/>
  <c r="EK300" i="10" s="1"/>
  <c r="EG300" i="10"/>
  <c r="EQ300" i="10" s="1"/>
  <c r="ES246" i="10"/>
  <c r="ET246" i="10" s="1"/>
  <c r="EC304" i="10"/>
  <c r="EM304" i="10" s="1"/>
  <c r="EE210" i="10"/>
  <c r="EO210" i="10" s="1"/>
  <c r="EB285" i="10"/>
  <c r="EL285" i="10" s="1"/>
  <c r="EA331" i="10"/>
  <c r="EK331" i="10" s="1"/>
  <c r="EH331" i="10"/>
  <c r="ER331" i="10" s="1"/>
  <c r="EG331" i="10"/>
  <c r="EQ331" i="10" s="1"/>
  <c r="DY282" i="10"/>
  <c r="EH265" i="10"/>
  <c r="ER265" i="10" s="1"/>
  <c r="EG265" i="10"/>
  <c r="EQ265" i="10" s="1"/>
  <c r="EG243" i="10"/>
  <c r="EQ243" i="10" s="1"/>
  <c r="EH243" i="10"/>
  <c r="ER243" i="10" s="1"/>
  <c r="ES12" i="10"/>
  <c r="DY285" i="10"/>
  <c r="EB170" i="10"/>
  <c r="EL170" i="10" s="1"/>
  <c r="EA111" i="10"/>
  <c r="EK111" i="10" s="1"/>
  <c r="EH111" i="10"/>
  <c r="ER111" i="10" s="1"/>
  <c r="EG111" i="10"/>
  <c r="EQ111" i="10" s="1"/>
  <c r="EE111" i="10"/>
  <c r="EO111" i="10" s="1"/>
  <c r="EF111" i="10"/>
  <c r="EP111" i="10" s="1"/>
  <c r="EB111" i="10"/>
  <c r="EL111" i="10" s="1"/>
  <c r="EG178" i="10"/>
  <c r="EQ178" i="10" s="1"/>
  <c r="EH219" i="10"/>
  <c r="ER219" i="10" s="1"/>
  <c r="EF219" i="10"/>
  <c r="EP219" i="10" s="1"/>
  <c r="EA219" i="10"/>
  <c r="EK219" i="10" s="1"/>
  <c r="EG219" i="10"/>
  <c r="EQ219" i="10" s="1"/>
  <c r="ED358" i="10"/>
  <c r="EN358" i="10" s="1"/>
  <c r="EE306" i="10"/>
  <c r="EO306" i="10" s="1"/>
  <c r="EA306" i="10"/>
  <c r="EK306" i="10" s="1"/>
  <c r="EH306" i="10"/>
  <c r="ER306" i="10" s="1"/>
  <c r="EG306" i="10"/>
  <c r="EQ306" i="10" s="1"/>
  <c r="EE261" i="10"/>
  <c r="EO261" i="10" s="1"/>
  <c r="EE320" i="10"/>
  <c r="EO320" i="10" s="1"/>
  <c r="EE252" i="10"/>
  <c r="EO252" i="10" s="1"/>
  <c r="DY337" i="10"/>
  <c r="EF359" i="10"/>
  <c r="EP359" i="10" s="1"/>
  <c r="EB306" i="10"/>
  <c r="EL306" i="10" s="1"/>
  <c r="EE375" i="10"/>
  <c r="EO375" i="10" s="1"/>
  <c r="EB279" i="10"/>
  <c r="EL279" i="10" s="1"/>
  <c r="EH279" i="10"/>
  <c r="ER279" i="10" s="1"/>
  <c r="EG279" i="10"/>
  <c r="EQ279" i="10" s="1"/>
  <c r="EA279" i="10"/>
  <c r="EK279" i="10" s="1"/>
  <c r="EB272" i="10"/>
  <c r="EL272" i="10" s="1"/>
  <c r="EC256" i="10"/>
  <c r="EM256" i="10" s="1"/>
  <c r="EC359" i="10"/>
  <c r="EM359" i="10" s="1"/>
  <c r="EE185" i="10"/>
  <c r="EO185" i="10" s="1"/>
  <c r="EB254" i="10"/>
  <c r="EL254" i="10" s="1"/>
  <c r="EG363" i="10"/>
  <c r="EQ363" i="10" s="1"/>
  <c r="EE271" i="10"/>
  <c r="EO271" i="10" s="1"/>
  <c r="EF288" i="10"/>
  <c r="EP288" i="10" s="1"/>
  <c r="EG288" i="10"/>
  <c r="EQ288" i="10" s="1"/>
  <c r="EB288" i="10"/>
  <c r="EL288" i="10" s="1"/>
  <c r="EA288" i="10"/>
  <c r="EK288" i="10" s="1"/>
  <c r="EH288" i="10"/>
  <c r="ER288" i="10" s="1"/>
  <c r="EF168" i="10"/>
  <c r="EP168" i="10" s="1"/>
  <c r="EA294" i="10"/>
  <c r="EK294" i="10" s="1"/>
  <c r="EH294" i="10"/>
  <c r="ER294" i="10" s="1"/>
  <c r="EG294" i="10"/>
  <c r="EQ294" i="10" s="1"/>
  <c r="EC253" i="10"/>
  <c r="EM253" i="10" s="1"/>
  <c r="ES365" i="10"/>
  <c r="ET365" i="10" s="1"/>
  <c r="EI365" i="10"/>
  <c r="ES250" i="10"/>
  <c r="ET250" i="10" s="1"/>
  <c r="EE308" i="10"/>
  <c r="EO308" i="10" s="1"/>
  <c r="EA308" i="10"/>
  <c r="EK308" i="10" s="1"/>
  <c r="EH308" i="10"/>
  <c r="ER308" i="10" s="1"/>
  <c r="EG308" i="10"/>
  <c r="EQ308" i="10" s="1"/>
  <c r="EB308" i="10"/>
  <c r="EL308" i="10" s="1"/>
  <c r="EI86" i="10"/>
  <c r="ES86" i="10"/>
  <c r="EH137" i="10"/>
  <c r="ER137" i="10" s="1"/>
  <c r="EG137" i="10"/>
  <c r="EQ137" i="10" s="1"/>
  <c r="EE137" i="10"/>
  <c r="EO137" i="10" s="1"/>
  <c r="EA137" i="10"/>
  <c r="EK137" i="10" s="1"/>
  <c r="EB137" i="10"/>
  <c r="EL137" i="10" s="1"/>
  <c r="EA290" i="10"/>
  <c r="EK290" i="10" s="1"/>
  <c r="EH290" i="10"/>
  <c r="ER290" i="10" s="1"/>
  <c r="ED290" i="10"/>
  <c r="EN290" i="10" s="1"/>
  <c r="EG290" i="10"/>
  <c r="EQ290" i="10" s="1"/>
  <c r="EC137" i="10"/>
  <c r="EM137" i="10" s="1"/>
  <c r="EH80" i="10"/>
  <c r="ER80" i="10" s="1"/>
  <c r="EF80" i="10"/>
  <c r="EP80" i="10" s="1"/>
  <c r="EB80" i="10"/>
  <c r="EL80" i="10" s="1"/>
  <c r="EG80" i="10"/>
  <c r="EQ80" i="10" s="1"/>
  <c r="EE173" i="10"/>
  <c r="EO173" i="10" s="1"/>
  <c r="EH173" i="10"/>
  <c r="ER173" i="10" s="1"/>
  <c r="EG173" i="10"/>
  <c r="EQ173" i="10" s="1"/>
  <c r="EA173" i="10"/>
  <c r="EK173" i="10" s="1"/>
  <c r="EI59" i="10"/>
  <c r="ED170" i="10"/>
  <c r="EN170" i="10" s="1"/>
  <c r="EG359" i="10"/>
  <c r="EQ359" i="10" s="1"/>
  <c r="EB356" i="10"/>
  <c r="EL356" i="10" s="1"/>
  <c r="EC375" i="10"/>
  <c r="EM375" i="10" s="1"/>
  <c r="EB302" i="10"/>
  <c r="EL302" i="10" s="1"/>
  <c r="DY375" i="10"/>
  <c r="DY198" i="10"/>
  <c r="EB353" i="10"/>
  <c r="EL353" i="10" s="1"/>
  <c r="EF128" i="10"/>
  <c r="EP128" i="10" s="1"/>
  <c r="EB180" i="10"/>
  <c r="EL180" i="10" s="1"/>
  <c r="EH180" i="10"/>
  <c r="ER180" i="10" s="1"/>
  <c r="ES44" i="10"/>
  <c r="EI44" i="10"/>
  <c r="EC271" i="10"/>
  <c r="EM271" i="10" s="1"/>
  <c r="DY215" i="10"/>
  <c r="EE272" i="10"/>
  <c r="EO272" i="10" s="1"/>
  <c r="ED196" i="10"/>
  <c r="EN196" i="10" s="1"/>
  <c r="EB331" i="10"/>
  <c r="EL331" i="10" s="1"/>
  <c r="EG228" i="10"/>
  <c r="EQ228" i="10" s="1"/>
  <c r="DY38" i="10"/>
  <c r="EB133" i="10"/>
  <c r="EL133" i="10" s="1"/>
  <c r="EE133" i="10"/>
  <c r="EO133" i="10" s="1"/>
  <c r="EG133" i="10"/>
  <c r="EQ133" i="10" s="1"/>
  <c r="EF133" i="10"/>
  <c r="EP133" i="10" s="1"/>
  <c r="EC133" i="10"/>
  <c r="EM133" i="10" s="1"/>
  <c r="EH133" i="10"/>
  <c r="ER133" i="10" s="1"/>
  <c r="EA265" i="10"/>
  <c r="EK265" i="10" s="1"/>
  <c r="EB184" i="10"/>
  <c r="EL184" i="10" s="1"/>
  <c r="EA243" i="10"/>
  <c r="EK243" i="10" s="1"/>
  <c r="EB152" i="10"/>
  <c r="EL152" i="10" s="1"/>
  <c r="DY271" i="10"/>
  <c r="EA278" i="10"/>
  <c r="EK278" i="10" s="1"/>
  <c r="EH278" i="10"/>
  <c r="ER278" i="10" s="1"/>
  <c r="EG278" i="10"/>
  <c r="EQ278" i="10" s="1"/>
  <c r="EF164" i="10"/>
  <c r="EP164" i="10" s="1"/>
  <c r="ED218" i="10"/>
  <c r="EN218" i="10" s="1"/>
  <c r="EH162" i="10"/>
  <c r="ER162" i="10" s="1"/>
  <c r="EG162" i="10"/>
  <c r="EQ162" i="10" s="1"/>
  <c r="EE162" i="10"/>
  <c r="EO162" i="10" s="1"/>
  <c r="EA162" i="10"/>
  <c r="EK162" i="10" s="1"/>
  <c r="DY162" i="10"/>
  <c r="ED162" i="10"/>
  <c r="EN162" i="10" s="1"/>
  <c r="ED340" i="10"/>
  <c r="EN340" i="10" s="1"/>
  <c r="EC339" i="10"/>
  <c r="EM339" i="10" s="1"/>
  <c r="DY80" i="10"/>
  <c r="EB162" i="10"/>
  <c r="EL162" i="10" s="1"/>
  <c r="EC219" i="10"/>
  <c r="EM219" i="10" s="1"/>
  <c r="ED374" i="10"/>
  <c r="EN374" i="10" s="1"/>
  <c r="ES88" i="10"/>
  <c r="EI88" i="10"/>
  <c r="EE169" i="10"/>
  <c r="EO169" i="10" s="1"/>
  <c r="EH79" i="10"/>
  <c r="ER79" i="10" s="1"/>
  <c r="EC79" i="10"/>
  <c r="EM79" i="10" s="1"/>
  <c r="EG79" i="10"/>
  <c r="EQ79" i="10" s="1"/>
  <c r="EF79" i="10"/>
  <c r="EP79" i="10" s="1"/>
  <c r="EB79" i="10"/>
  <c r="EL79" i="10" s="1"/>
  <c r="ED330" i="10"/>
  <c r="EN330" i="10" s="1"/>
  <c r="ED325" i="10"/>
  <c r="EN325" i="10" s="1"/>
  <c r="DY152" i="10"/>
  <c r="EF290" i="10"/>
  <c r="EP290" i="10" s="1"/>
  <c r="ES17" i="10"/>
  <c r="ES182" i="10"/>
  <c r="ET182" i="10" s="1"/>
  <c r="EI182" i="10"/>
  <c r="EC290" i="10"/>
  <c r="EM290" i="10" s="1"/>
  <c r="EI66" i="10"/>
  <c r="ED353" i="10"/>
  <c r="EN353" i="10" s="1"/>
  <c r="ES33" i="10"/>
  <c r="EI33" i="10"/>
  <c r="EF278" i="10"/>
  <c r="EP278" i="10" s="1"/>
  <c r="EH121" i="10"/>
  <c r="ER121" i="10" s="1"/>
  <c r="EA121" i="10"/>
  <c r="EK121" i="10" s="1"/>
  <c r="EB121" i="10"/>
  <c r="EL121" i="10" s="1"/>
  <c r="EE121" i="10"/>
  <c r="EO121" i="10" s="1"/>
  <c r="DY341" i="10"/>
  <c r="EB251" i="10"/>
  <c r="EL251" i="10" s="1"/>
  <c r="EC342" i="10"/>
  <c r="EM342" i="10" s="1"/>
  <c r="EB151" i="10"/>
  <c r="EL151" i="10" s="1"/>
  <c r="EH151" i="10"/>
  <c r="ER151" i="10" s="1"/>
  <c r="EB322" i="10"/>
  <c r="EL322" i="10" s="1"/>
  <c r="EC288" i="10"/>
  <c r="EM288" i="10" s="1"/>
  <c r="DY265" i="10"/>
  <c r="EE157" i="10"/>
  <c r="EO157" i="10" s="1"/>
  <c r="EB294" i="10"/>
  <c r="EL294" i="10" s="1"/>
  <c r="EB270" i="10"/>
  <c r="EL270" i="10" s="1"/>
  <c r="EA270" i="10"/>
  <c r="EK270" i="10" s="1"/>
  <c r="EE270" i="10"/>
  <c r="EO270" i="10" s="1"/>
  <c r="EH270" i="10"/>
  <c r="ER270" i="10" s="1"/>
  <c r="ES368" i="10"/>
  <c r="ET368" i="10" s="1"/>
  <c r="EI368" i="10"/>
  <c r="ES221" i="10"/>
  <c r="ET221" i="10" s="1"/>
  <c r="EI221" i="10"/>
  <c r="EB273" i="10"/>
  <c r="EL273" i="10" s="1"/>
  <c r="EH101" i="10"/>
  <c r="ER101" i="10" s="1"/>
  <c r="EA101" i="10"/>
  <c r="EK101" i="10" s="1"/>
  <c r="EE101" i="10"/>
  <c r="EO101" i="10" s="1"/>
  <c r="EB101" i="10"/>
  <c r="EL101" i="10" s="1"/>
  <c r="EG101" i="10"/>
  <c r="EQ101" i="10" s="1"/>
  <c r="DY101" i="10"/>
  <c r="ES90" i="10"/>
  <c r="EH159" i="10"/>
  <c r="ER159" i="10" s="1"/>
  <c r="EG159" i="10"/>
  <c r="EQ159" i="10" s="1"/>
  <c r="EC159" i="10"/>
  <c r="EM159" i="10" s="1"/>
  <c r="EA159" i="10"/>
  <c r="EK159" i="10" s="1"/>
  <c r="ED159" i="10"/>
  <c r="EN159" i="10" s="1"/>
  <c r="EA131" i="10"/>
  <c r="EK131" i="10" s="1"/>
  <c r="EC131" i="10"/>
  <c r="EM131" i="10" s="1"/>
  <c r="EG131" i="10"/>
  <c r="EQ131" i="10" s="1"/>
  <c r="EF131" i="10"/>
  <c r="EP131" i="10" s="1"/>
  <c r="EH131" i="10"/>
  <c r="ER131" i="10" s="1"/>
  <c r="EB95" i="10"/>
  <c r="EL95" i="10" s="1"/>
  <c r="EA95" i="10"/>
  <c r="EK95" i="10" s="1"/>
  <c r="EH95" i="10"/>
  <c r="ER95" i="10" s="1"/>
  <c r="EF95" i="10"/>
  <c r="EP95" i="10" s="1"/>
  <c r="EG95" i="10"/>
  <c r="EQ95" i="10" s="1"/>
  <c r="EF201" i="10"/>
  <c r="EP201" i="10" s="1"/>
  <c r="EF252" i="10"/>
  <c r="EP252" i="10" s="1"/>
  <c r="ED252" i="10"/>
  <c r="EN252" i="10" s="1"/>
  <c r="EC180" i="10"/>
  <c r="EM180" i="10" s="1"/>
  <c r="DY242" i="10"/>
  <c r="ES23" i="10"/>
  <c r="EI23" i="10"/>
  <c r="EF231" i="10"/>
  <c r="EP231" i="10" s="1"/>
  <c r="ED231" i="10"/>
  <c r="EN231" i="10" s="1"/>
  <c r="EA231" i="10"/>
  <c r="EK231" i="10" s="1"/>
  <c r="EH231" i="10"/>
  <c r="ER231" i="10" s="1"/>
  <c r="EG231" i="10"/>
  <c r="EQ231" i="10" s="1"/>
  <c r="EF267" i="10"/>
  <c r="EP267" i="10" s="1"/>
  <c r="EA148" i="10"/>
  <c r="EK148" i="10" s="1"/>
  <c r="EG148" i="10"/>
  <c r="EQ148" i="10" s="1"/>
  <c r="EF148" i="10"/>
  <c r="EP148" i="10" s="1"/>
  <c r="EE148" i="10"/>
  <c r="EO148" i="10" s="1"/>
  <c r="ED148" i="10"/>
  <c r="EN148" i="10" s="1"/>
  <c r="EC257" i="10"/>
  <c r="EM257" i="10" s="1"/>
  <c r="EC110" i="10"/>
  <c r="EM110" i="10" s="1"/>
  <c r="EH213" i="10"/>
  <c r="ER213" i="10" s="1"/>
  <c r="EA213" i="10"/>
  <c r="EK213" i="10" s="1"/>
  <c r="EE213" i="10"/>
  <c r="EO213" i="10" s="1"/>
  <c r="EE273" i="10"/>
  <c r="EO273" i="10" s="1"/>
  <c r="EB355" i="10"/>
  <c r="EL355" i="10" s="1"/>
  <c r="EG355" i="10"/>
  <c r="EQ355" i="10" s="1"/>
  <c r="EH355" i="10"/>
  <c r="ER355" i="10" s="1"/>
  <c r="EE355" i="10"/>
  <c r="EO355" i="10" s="1"/>
  <c r="EG154" i="10"/>
  <c r="EQ154" i="10" s="1"/>
  <c r="EE154" i="10"/>
  <c r="EO154" i="10" s="1"/>
  <c r="EB154" i="10"/>
  <c r="EL154" i="10" s="1"/>
  <c r="EH154" i="10"/>
  <c r="ER154" i="10" s="1"/>
  <c r="EA154" i="10"/>
  <c r="EK154" i="10" s="1"/>
  <c r="EG370" i="10"/>
  <c r="EQ370" i="10" s="1"/>
  <c r="EA370" i="10"/>
  <c r="EK370" i="10" s="1"/>
  <c r="EF370" i="10"/>
  <c r="EP370" i="10" s="1"/>
  <c r="EH370" i="10"/>
  <c r="ER370" i="10" s="1"/>
  <c r="EH96" i="10"/>
  <c r="ER96" i="10" s="1"/>
  <c r="EF96" i="10"/>
  <c r="EP96" i="10" s="1"/>
  <c r="EG96" i="10"/>
  <c r="EQ96" i="10" s="1"/>
  <c r="DY96" i="10"/>
  <c r="EB96" i="10"/>
  <c r="EL96" i="10" s="1"/>
  <c r="EA96" i="10"/>
  <c r="EK96" i="10" s="1"/>
  <c r="EB168" i="10"/>
  <c r="EL168" i="10" s="1"/>
  <c r="EA313" i="10"/>
  <c r="EK313" i="10" s="1"/>
  <c r="EH313" i="10"/>
  <c r="ER313" i="10" s="1"/>
  <c r="EG313" i="10"/>
  <c r="EQ313" i="10" s="1"/>
  <c r="ED313" i="10"/>
  <c r="EN313" i="10" s="1"/>
  <c r="EF289" i="10"/>
  <c r="EP289" i="10" s="1"/>
  <c r="EB289" i="10"/>
  <c r="EL289" i="10" s="1"/>
  <c r="ED289" i="10"/>
  <c r="EN289" i="10" s="1"/>
  <c r="EA289" i="10"/>
  <c r="EK289" i="10" s="1"/>
  <c r="EH289" i="10"/>
  <c r="ER289" i="10" s="1"/>
  <c r="EA361" i="10"/>
  <c r="EK361" i="10" s="1"/>
  <c r="EB361" i="10"/>
  <c r="EL361" i="10" s="1"/>
  <c r="EH361" i="10"/>
  <c r="ER361" i="10" s="1"/>
  <c r="ED361" i="10"/>
  <c r="EN361" i="10" s="1"/>
  <c r="EF213" i="10"/>
  <c r="EP213" i="10" s="1"/>
  <c r="EH262" i="10"/>
  <c r="ER262" i="10" s="1"/>
  <c r="EA262" i="10"/>
  <c r="EK262" i="10" s="1"/>
  <c r="EG262" i="10"/>
  <c r="EQ262" i="10" s="1"/>
  <c r="EH315" i="10"/>
  <c r="ER315" i="10" s="1"/>
  <c r="EG315" i="10"/>
  <c r="EQ315" i="10" s="1"/>
  <c r="EA328" i="10"/>
  <c r="EK328" i="10" s="1"/>
  <c r="EH328" i="10"/>
  <c r="ER328" i="10" s="1"/>
  <c r="EG374" i="10"/>
  <c r="EQ374" i="10" s="1"/>
  <c r="EC148" i="10"/>
  <c r="EM148" i="10" s="1"/>
  <c r="EI17" i="10"/>
  <c r="ES66" i="10"/>
  <c r="EB265" i="10"/>
  <c r="EL265" i="10" s="1"/>
  <c r="DY290" i="10"/>
  <c r="DY67" i="10"/>
  <c r="EG340" i="10"/>
  <c r="EQ340" i="10" s="1"/>
  <c r="EA75" i="10"/>
  <c r="EK75" i="10" s="1"/>
  <c r="EB75" i="10"/>
  <c r="EL75" i="10" s="1"/>
  <c r="EC75" i="10"/>
  <c r="EM75" i="10" s="1"/>
  <c r="EH75" i="10"/>
  <c r="ER75" i="10" s="1"/>
  <c r="EE75" i="10"/>
  <c r="EO75" i="10" s="1"/>
  <c r="EG75" i="10"/>
  <c r="EQ75" i="10" s="1"/>
  <c r="EG372" i="10"/>
  <c r="EQ372" i="10" s="1"/>
  <c r="EA372" i="10"/>
  <c r="EK372" i="10" s="1"/>
  <c r="EH372" i="10"/>
  <c r="ER372" i="10" s="1"/>
  <c r="EF279" i="10"/>
  <c r="EP279" i="10" s="1"/>
  <c r="EA151" i="10"/>
  <c r="EK151" i="10" s="1"/>
  <c r="EE274" i="10"/>
  <c r="EO274" i="10" s="1"/>
  <c r="EG286" i="10"/>
  <c r="EQ286" i="10" s="1"/>
  <c r="EE286" i="10"/>
  <c r="EO286" i="10" s="1"/>
  <c r="EA286" i="10"/>
  <c r="EK286" i="10" s="1"/>
  <c r="EH286" i="10"/>
  <c r="ER286" i="10" s="1"/>
  <c r="EH26" i="10"/>
  <c r="ER26" i="10" s="1"/>
  <c r="EF26" i="10"/>
  <c r="EP26" i="10" s="1"/>
  <c r="EG26" i="10"/>
  <c r="EQ26" i="10" s="1"/>
  <c r="EB26" i="10"/>
  <c r="EL26" i="10" s="1"/>
  <c r="EE26" i="10"/>
  <c r="EO26" i="10" s="1"/>
  <c r="EC26" i="10"/>
  <c r="EM26" i="10" s="1"/>
  <c r="EG252" i="10"/>
  <c r="EQ252" i="10" s="1"/>
  <c r="EC270" i="10"/>
  <c r="EM270" i="10" s="1"/>
  <c r="DY137" i="10"/>
  <c r="EG369" i="10"/>
  <c r="EQ369" i="10" s="1"/>
  <c r="EA281" i="10"/>
  <c r="EK281" i="10" s="1"/>
  <c r="EF281" i="10"/>
  <c r="EP281" i="10" s="1"/>
  <c r="ED281" i="10"/>
  <c r="EN281" i="10" s="1"/>
  <c r="EG281" i="10"/>
  <c r="EQ281" i="10" s="1"/>
  <c r="EH281" i="10"/>
  <c r="ER281" i="10" s="1"/>
  <c r="EF101" i="10"/>
  <c r="EP101" i="10" s="1"/>
  <c r="EI90" i="10"/>
  <c r="EH119" i="10"/>
  <c r="ER119" i="10" s="1"/>
  <c r="EE119" i="10"/>
  <c r="EO119" i="10" s="1"/>
  <c r="EC119" i="10"/>
  <c r="EM119" i="10" s="1"/>
  <c r="EB119" i="10"/>
  <c r="EL119" i="10" s="1"/>
  <c r="EA119" i="10"/>
  <c r="EK119" i="10" s="1"/>
  <c r="EG119" i="10"/>
  <c r="EQ119" i="10" s="1"/>
  <c r="EA375" i="10"/>
  <c r="EK375" i="10" s="1"/>
  <c r="EH375" i="10"/>
  <c r="ER375" i="10" s="1"/>
  <c r="EG197" i="10"/>
  <c r="EQ197" i="10" s="1"/>
  <c r="EB197" i="10"/>
  <c r="EL197" i="10" s="1"/>
  <c r="EF197" i="10"/>
  <c r="EP197" i="10" s="1"/>
  <c r="EA197" i="10"/>
  <c r="EK197" i="10" s="1"/>
  <c r="EH197" i="10"/>
  <c r="ER197" i="10" s="1"/>
  <c r="EF129" i="10"/>
  <c r="EP129" i="10" s="1"/>
  <c r="EA129" i="10"/>
  <c r="EK129" i="10" s="1"/>
  <c r="EE129" i="10"/>
  <c r="EO129" i="10" s="1"/>
  <c r="EH129" i="10"/>
  <c r="ER129" i="10" s="1"/>
  <c r="EG129" i="10"/>
  <c r="EQ129" i="10" s="1"/>
  <c r="EE170" i="10"/>
  <c r="EO170" i="10" s="1"/>
  <c r="EE362" i="10"/>
  <c r="EO362" i="10" s="1"/>
  <c r="EC323" i="10"/>
  <c r="EM323" i="10" s="1"/>
  <c r="EF363" i="10"/>
  <c r="EP363" i="10" s="1"/>
  <c r="EB363" i="10"/>
  <c r="EL363" i="10" s="1"/>
  <c r="EH363" i="10"/>
  <c r="ER363" i="10" s="1"/>
  <c r="EA363" i="10"/>
  <c r="EK363" i="10" s="1"/>
  <c r="EA97" i="10"/>
  <c r="EK97" i="10" s="1"/>
  <c r="EA39" i="10"/>
  <c r="EK39" i="10" s="1"/>
  <c r="ED212" i="10"/>
  <c r="EN212" i="10" s="1"/>
  <c r="EA212" i="10"/>
  <c r="EK212" i="10" s="1"/>
  <c r="EH212" i="10"/>
  <c r="ER212" i="10" s="1"/>
  <c r="EG212" i="10"/>
  <c r="EQ212" i="10" s="1"/>
  <c r="EA109" i="10"/>
  <c r="EK109" i="10" s="1"/>
  <c r="EH109" i="10"/>
  <c r="ER109" i="10" s="1"/>
  <c r="EG109" i="10"/>
  <c r="EQ109" i="10" s="1"/>
  <c r="EE109" i="10"/>
  <c r="EO109" i="10" s="1"/>
  <c r="EB216" i="10"/>
  <c r="EL216" i="10" s="1"/>
  <c r="EI199" i="10"/>
  <c r="EA38" i="10"/>
  <c r="EK38" i="10" s="1"/>
  <c r="EH124" i="10"/>
  <c r="ER124" i="10" s="1"/>
  <c r="EE124" i="10"/>
  <c r="EO124" i="10" s="1"/>
  <c r="EG124" i="10"/>
  <c r="EQ124" i="10" s="1"/>
  <c r="EA124" i="10"/>
  <c r="EK124" i="10" s="1"/>
  <c r="EB124" i="10"/>
  <c r="EL124" i="10" s="1"/>
  <c r="EF337" i="10"/>
  <c r="EP337" i="10" s="1"/>
  <c r="EC305" i="10"/>
  <c r="EM305" i="10" s="1"/>
  <c r="EF362" i="10"/>
  <c r="EP362" i="10" s="1"/>
  <c r="EH357" i="10"/>
  <c r="ER357" i="10" s="1"/>
  <c r="EG357" i="10"/>
  <c r="EQ357" i="10" s="1"/>
  <c r="EF357" i="10"/>
  <c r="EP357" i="10" s="1"/>
  <c r="EB357" i="10"/>
  <c r="EL357" i="10" s="1"/>
  <c r="ED191" i="10"/>
  <c r="EN191" i="10" s="1"/>
  <c r="EE144" i="10"/>
  <c r="EO144" i="10" s="1"/>
  <c r="ES43" i="10"/>
  <c r="EI43" i="10"/>
  <c r="EF203" i="10"/>
  <c r="EP203" i="10" s="1"/>
  <c r="ES102" i="10"/>
  <c r="EI102" i="10"/>
  <c r="EB148" i="10"/>
  <c r="EL148" i="10" s="1"/>
  <c r="ES100" i="10"/>
  <c r="EI100" i="10"/>
  <c r="EH227" i="10"/>
  <c r="ER227" i="10" s="1"/>
  <c r="EA227" i="10"/>
  <c r="EK227" i="10" s="1"/>
  <c r="EG227" i="10"/>
  <c r="EQ227" i="10" s="1"/>
  <c r="DY212" i="10"/>
  <c r="DY243" i="10"/>
  <c r="ED173" i="10"/>
  <c r="EN173" i="10" s="1"/>
  <c r="EC224" i="10"/>
  <c r="EM224" i="10" s="1"/>
  <c r="EH264" i="10"/>
  <c r="ER264" i="10" s="1"/>
  <c r="EG264" i="10"/>
  <c r="EQ264" i="10" s="1"/>
  <c r="EA264" i="10"/>
  <c r="EK264" i="10" s="1"/>
  <c r="EB264" i="10"/>
  <c r="EL264" i="10" s="1"/>
  <c r="EA355" i="10"/>
  <c r="EK355" i="10" s="1"/>
  <c r="EF154" i="10"/>
  <c r="EP154" i="10" s="1"/>
  <c r="EB247" i="10"/>
  <c r="EL247" i="10" s="1"/>
  <c r="ED247" i="10"/>
  <c r="EN247" i="10" s="1"/>
  <c r="EA247" i="10"/>
  <c r="EK247" i="10" s="1"/>
  <c r="EG247" i="10"/>
  <c r="EQ247" i="10" s="1"/>
  <c r="EH134" i="10"/>
  <c r="ER134" i="10" s="1"/>
  <c r="EG134" i="10"/>
  <c r="EQ134" i="10" s="1"/>
  <c r="DY134" i="10"/>
  <c r="EC134" i="10"/>
  <c r="EM134" i="10" s="1"/>
  <c r="EE134" i="10"/>
  <c r="EO134" i="10" s="1"/>
  <c r="EA134" i="10"/>
  <c r="EK134" i="10" s="1"/>
  <c r="EB134" i="10"/>
  <c r="EL134" i="10" s="1"/>
  <c r="EA298" i="10"/>
  <c r="EK298" i="10" s="1"/>
  <c r="EF298" i="10"/>
  <c r="EP298" i="10" s="1"/>
  <c r="EG298" i="10"/>
  <c r="EQ298" i="10" s="1"/>
  <c r="EH298" i="10"/>
  <c r="ER298" i="10" s="1"/>
  <c r="EG292" i="10"/>
  <c r="EQ292" i="10" s="1"/>
  <c r="EA292" i="10"/>
  <c r="EK292" i="10" s="1"/>
  <c r="EH292" i="10"/>
  <c r="ER292" i="10" s="1"/>
  <c r="DY353" i="10"/>
  <c r="EH155" i="10"/>
  <c r="ER155" i="10" s="1"/>
  <c r="EB155" i="10"/>
  <c r="EL155" i="10" s="1"/>
  <c r="ED155" i="10"/>
  <c r="EN155" i="10" s="1"/>
  <c r="ED298" i="10"/>
  <c r="EN298" i="10" s="1"/>
  <c r="EG116" i="10"/>
  <c r="EQ116" i="10" s="1"/>
  <c r="EF116" i="10"/>
  <c r="EP116" i="10" s="1"/>
  <c r="EA116" i="10"/>
  <c r="EK116" i="10" s="1"/>
  <c r="EH116" i="10"/>
  <c r="ER116" i="10" s="1"/>
  <c r="EB116" i="10"/>
  <c r="EL116" i="10" s="1"/>
  <c r="EB328" i="10"/>
  <c r="EL328" i="10" s="1"/>
  <c r="EC234" i="10"/>
  <c r="EM234" i="10" s="1"/>
  <c r="EC274" i="10"/>
  <c r="EM274" i="10" s="1"/>
  <c r="EF361" i="10"/>
  <c r="EP361" i="10" s="1"/>
  <c r="EA332" i="10"/>
  <c r="EK332" i="10" s="1"/>
  <c r="EF332" i="10"/>
  <c r="EP332" i="10" s="1"/>
  <c r="EH332" i="10"/>
  <c r="ER332" i="10" s="1"/>
  <c r="EC116" i="10"/>
  <c r="EM116" i="10" s="1"/>
  <c r="EG360" i="10"/>
  <c r="EQ360" i="10" s="1"/>
  <c r="EH360" i="10"/>
  <c r="ER360" i="10" s="1"/>
  <c r="EF360" i="10"/>
  <c r="EP360" i="10" s="1"/>
  <c r="DY307" i="10"/>
  <c r="EE254" i="10"/>
  <c r="EO254" i="10" s="1"/>
  <c r="EG276" i="10"/>
  <c r="EQ276" i="10" s="1"/>
  <c r="EH139" i="10"/>
  <c r="ER139" i="10" s="1"/>
  <c r="EG139" i="10"/>
  <c r="EQ139" i="10" s="1"/>
  <c r="EB139" i="10"/>
  <c r="EL139" i="10" s="1"/>
  <c r="EE139" i="10"/>
  <c r="EO139" i="10" s="1"/>
  <c r="EA139" i="10"/>
  <c r="EK139" i="10" s="1"/>
  <c r="EF139" i="10"/>
  <c r="EP139" i="10" s="1"/>
  <c r="ED160" i="10"/>
  <c r="EN160" i="10" s="1"/>
  <c r="EH263" i="10"/>
  <c r="ER263" i="10" s="1"/>
  <c r="EA263" i="10"/>
  <c r="EK263" i="10" s="1"/>
  <c r="EF263" i="10"/>
  <c r="EP263" i="10" s="1"/>
  <c r="EG263" i="10"/>
  <c r="EQ263" i="10" s="1"/>
  <c r="EE294" i="10"/>
  <c r="EO294" i="10" s="1"/>
  <c r="EH89" i="10"/>
  <c r="ER89" i="10" s="1"/>
  <c r="EB89" i="10"/>
  <c r="EL89" i="10" s="1"/>
  <c r="EF89" i="10"/>
  <c r="EP89" i="10" s="1"/>
  <c r="EG89" i="10"/>
  <c r="EQ89" i="10" s="1"/>
  <c r="EA89" i="10"/>
  <c r="EK89" i="10" s="1"/>
  <c r="EE83" i="10"/>
  <c r="EO83" i="10" s="1"/>
  <c r="EH83" i="10"/>
  <c r="ER83" i="10" s="1"/>
  <c r="EC83" i="10"/>
  <c r="EM83" i="10" s="1"/>
  <c r="EG83" i="10"/>
  <c r="EQ83" i="10" s="1"/>
  <c r="EB83" i="10"/>
  <c r="EL83" i="10" s="1"/>
  <c r="EH34" i="10"/>
  <c r="ER34" i="10" s="1"/>
  <c r="EE34" i="10"/>
  <c r="EO34" i="10" s="1"/>
  <c r="EC34" i="10"/>
  <c r="EM34" i="10" s="1"/>
  <c r="EB34" i="10"/>
  <c r="EL34" i="10" s="1"/>
  <c r="EA34" i="10"/>
  <c r="EK34" i="10" s="1"/>
  <c r="EG34" i="10"/>
  <c r="EQ34" i="10" s="1"/>
  <c r="EH73" i="10"/>
  <c r="ER73" i="10" s="1"/>
  <c r="EG73" i="10"/>
  <c r="EQ73" i="10" s="1"/>
  <c r="EF73" i="10"/>
  <c r="EP73" i="10" s="1"/>
  <c r="EB73" i="10"/>
  <c r="EL73" i="10" s="1"/>
  <c r="EA73" i="10"/>
  <c r="EK73" i="10" s="1"/>
  <c r="DY73" i="10"/>
  <c r="EH105" i="10"/>
  <c r="ER105" i="10" s="1"/>
  <c r="EG105" i="10"/>
  <c r="EQ105" i="10" s="1"/>
  <c r="EB105" i="10"/>
  <c r="EL105" i="10" s="1"/>
  <c r="EA105" i="10"/>
  <c r="EK105" i="10" s="1"/>
  <c r="EE105" i="10"/>
  <c r="EO105" i="10" s="1"/>
  <c r="EH15" i="10"/>
  <c r="ER15" i="10" s="1"/>
  <c r="EG15" i="10"/>
  <c r="EQ15" i="10" s="1"/>
  <c r="EF15" i="10"/>
  <c r="EP15" i="10" s="1"/>
  <c r="EC15" i="10"/>
  <c r="EM15" i="10" s="1"/>
  <c r="EE15" i="10"/>
  <c r="EO15" i="10" s="1"/>
  <c r="EB15" i="10"/>
  <c r="EL15" i="10" s="1"/>
  <c r="EA293" i="10"/>
  <c r="EK293" i="10" s="1"/>
  <c r="EG293" i="10"/>
  <c r="EQ293" i="10" s="1"/>
  <c r="EE293" i="10"/>
  <c r="EO293" i="10" s="1"/>
  <c r="EC293" i="10"/>
  <c r="EM293" i="10" s="1"/>
  <c r="EF293" i="10"/>
  <c r="EP293" i="10" s="1"/>
  <c r="EH293" i="10"/>
  <c r="ER293" i="10" s="1"/>
  <c r="ED293" i="10"/>
  <c r="EN293" i="10" s="1"/>
  <c r="ES112" i="10"/>
  <c r="EI112" i="10"/>
  <c r="EH359" i="10"/>
  <c r="ER359" i="10" s="1"/>
  <c r="ED359" i="10"/>
  <c r="EN359" i="10" s="1"/>
  <c r="EB359" i="10"/>
  <c r="EL359" i="10" s="1"/>
  <c r="EA359" i="10"/>
  <c r="EK359" i="10" s="1"/>
  <c r="ES319" i="10"/>
  <c r="ET319" i="10" s="1"/>
  <c r="EI319" i="10"/>
  <c r="EH354" i="10"/>
  <c r="ER354" i="10" s="1"/>
  <c r="EA354" i="10"/>
  <c r="EK354" i="10" s="1"/>
  <c r="EG354" i="10"/>
  <c r="EQ354" i="10" s="1"/>
  <c r="EF218" i="10"/>
  <c r="EP218" i="10" s="1"/>
  <c r="EH314" i="10"/>
  <c r="ER314" i="10" s="1"/>
  <c r="EA314" i="10"/>
  <c r="EK314" i="10" s="1"/>
  <c r="EF314" i="10"/>
  <c r="EP314" i="10" s="1"/>
  <c r="EG314" i="10"/>
  <c r="EQ314" i="10" s="1"/>
  <c r="EC314" i="10"/>
  <c r="EM314" i="10" s="1"/>
  <c r="EE178" i="10"/>
  <c r="EO178" i="10" s="1"/>
  <c r="EI54" i="10"/>
  <c r="ES54" i="10"/>
  <c r="EE211" i="10"/>
  <c r="EO211" i="10" s="1"/>
  <c r="EE225" i="10"/>
  <c r="EO225" i="10" s="1"/>
  <c r="EG70" i="10"/>
  <c r="EQ70" i="10" s="1"/>
  <c r="EE70" i="10"/>
  <c r="EO70" i="10" s="1"/>
  <c r="EC70" i="10"/>
  <c r="EM70" i="10" s="1"/>
  <c r="ES70" i="10" s="1"/>
  <c r="EH70" i="10"/>
  <c r="ER70" i="10" s="1"/>
  <c r="EF70" i="10"/>
  <c r="EP70" i="10" s="1"/>
  <c r="EB70" i="10"/>
  <c r="EL70" i="10" s="1"/>
  <c r="EH242" i="10"/>
  <c r="ER242" i="10" s="1"/>
  <c r="EA242" i="10"/>
  <c r="EK242" i="10" s="1"/>
  <c r="EG242" i="10"/>
  <c r="EQ242" i="10" s="1"/>
  <c r="ES237" i="10"/>
  <c r="ET237" i="10" s="1"/>
  <c r="EA187" i="10"/>
  <c r="EK187" i="10" s="1"/>
  <c r="ED187" i="10"/>
  <c r="EN187" i="10" s="1"/>
  <c r="DY187" i="10"/>
  <c r="EG187" i="10"/>
  <c r="EQ187" i="10" s="1"/>
  <c r="EH187" i="10"/>
  <c r="ER187" i="10" s="1"/>
  <c r="ES373" i="10"/>
  <c r="ET373" i="10" s="1"/>
  <c r="EG304" i="10"/>
  <c r="EQ304" i="10" s="1"/>
  <c r="EA304" i="10"/>
  <c r="EK304" i="10" s="1"/>
  <c r="EB304" i="10"/>
  <c r="EL304" i="10" s="1"/>
  <c r="ED304" i="10"/>
  <c r="EN304" i="10" s="1"/>
  <c r="EH304" i="10"/>
  <c r="ER304" i="10" s="1"/>
  <c r="EE353" i="10"/>
  <c r="EO353" i="10" s="1"/>
  <c r="EC215" i="10"/>
  <c r="EM215" i="10" s="1"/>
  <c r="EB311" i="10"/>
  <c r="EL311" i="10" s="1"/>
  <c r="EE311" i="10"/>
  <c r="EO311" i="10" s="1"/>
  <c r="EA311" i="10"/>
  <c r="EK311" i="10" s="1"/>
  <c r="EH311" i="10"/>
  <c r="ER311" i="10" s="1"/>
  <c r="EA141" i="10"/>
  <c r="EK141" i="10" s="1"/>
  <c r="EF141" i="10"/>
  <c r="EP141" i="10" s="1"/>
  <c r="EG141" i="10"/>
  <c r="EQ141" i="10" s="1"/>
  <c r="EH141" i="10"/>
  <c r="ER141" i="10" s="1"/>
  <c r="EA248" i="10"/>
  <c r="EK248" i="10" s="1"/>
  <c r="EH248" i="10"/>
  <c r="ER248" i="10" s="1"/>
  <c r="EG248" i="10"/>
  <c r="EQ248" i="10" s="1"/>
  <c r="EC173" i="10"/>
  <c r="EM173" i="10" s="1"/>
  <c r="ED238" i="10"/>
  <c r="EN238" i="10" s="1"/>
  <c r="EH295" i="10"/>
  <c r="ER295" i="10" s="1"/>
  <c r="ED295" i="10"/>
  <c r="EN295" i="10" s="1"/>
  <c r="DY295" i="10"/>
  <c r="EB295" i="10"/>
  <c r="EL295" i="10" s="1"/>
  <c r="DY109" i="10"/>
  <c r="EB227" i="10"/>
  <c r="EL227" i="10" s="1"/>
  <c r="DY24" i="10"/>
  <c r="EE201" i="10"/>
  <c r="EO201" i="10" s="1"/>
  <c r="EF153" i="10"/>
  <c r="EP153" i="10" s="1"/>
  <c r="ED211" i="10"/>
  <c r="EN211" i="10" s="1"/>
  <c r="EH239" i="10"/>
  <c r="ER239" i="10" s="1"/>
  <c r="ED239" i="10"/>
  <c r="EN239" i="10" s="1"/>
  <c r="EG239" i="10"/>
  <c r="EQ239" i="10" s="1"/>
  <c r="EF239" i="10"/>
  <c r="EP239" i="10" s="1"/>
  <c r="EE239" i="10"/>
  <c r="EO239" i="10" s="1"/>
  <c r="ES239" i="10" s="1"/>
  <c r="ET239" i="10" s="1"/>
  <c r="EH108" i="10"/>
  <c r="ER108" i="10" s="1"/>
  <c r="EG108" i="10"/>
  <c r="EQ108" i="10" s="1"/>
  <c r="EA108" i="10"/>
  <c r="EK108" i="10" s="1"/>
  <c r="EC108" i="10"/>
  <c r="EM108" i="10" s="1"/>
  <c r="DY108" i="10"/>
  <c r="DY200" i="10"/>
  <c r="EI56" i="10"/>
  <c r="ES130" i="10"/>
  <c r="ET130" i="10" s="1"/>
  <c r="EI130" i="10"/>
  <c r="EC264" i="10"/>
  <c r="EM264" i="10" s="1"/>
  <c r="EH104" i="10"/>
  <c r="ER104" i="10" s="1"/>
  <c r="EB104" i="10"/>
  <c r="EL104" i="10" s="1"/>
  <c r="EA104" i="10"/>
  <c r="EK104" i="10" s="1"/>
  <c r="EG104" i="10"/>
  <c r="EQ104" i="10" s="1"/>
  <c r="EF134" i="10"/>
  <c r="EP134" i="10" s="1"/>
  <c r="DY330" i="10"/>
  <c r="EB298" i="10"/>
  <c r="EL298" i="10" s="1"/>
  <c r="EB292" i="10"/>
  <c r="EL292" i="10" s="1"/>
  <c r="ES349" i="10"/>
  <c r="ET349" i="10" s="1"/>
  <c r="EI349" i="10"/>
  <c r="EA155" i="10"/>
  <c r="EK155" i="10" s="1"/>
  <c r="EF317" i="10"/>
  <c r="EP317" i="10" s="1"/>
  <c r="ED318" i="10"/>
  <c r="EN318" i="10" s="1"/>
  <c r="EA318" i="10"/>
  <c r="EK318" i="10" s="1"/>
  <c r="EH318" i="10"/>
  <c r="ER318" i="10" s="1"/>
  <c r="EH146" i="10"/>
  <c r="ER146" i="10" s="1"/>
  <c r="EE146" i="10"/>
  <c r="EO146" i="10" s="1"/>
  <c r="EA146" i="10"/>
  <c r="EK146" i="10" s="1"/>
  <c r="EG146" i="10"/>
  <c r="EQ146" i="10" s="1"/>
  <c r="DY146" i="10"/>
  <c r="EB146" i="10"/>
  <c r="EL146" i="10" s="1"/>
  <c r="EH255" i="10"/>
  <c r="ER255" i="10" s="1"/>
  <c r="EB255" i="10"/>
  <c r="EL255" i="10" s="1"/>
  <c r="EA255" i="10"/>
  <c r="EK255" i="10" s="1"/>
  <c r="EE356" i="10"/>
  <c r="EO356" i="10" s="1"/>
  <c r="EB332" i="10"/>
  <c r="EL332" i="10" s="1"/>
  <c r="EH226" i="10"/>
  <c r="ER226" i="10" s="1"/>
  <c r="EA226" i="10"/>
  <c r="EK226" i="10" s="1"/>
  <c r="EE226" i="10"/>
  <c r="EO226" i="10" s="1"/>
  <c r="DY226" i="10"/>
  <c r="EF282" i="10"/>
  <c r="EP282" i="10" s="1"/>
  <c r="EC13" i="10"/>
  <c r="EM13" i="10" s="1"/>
  <c r="EB13" i="10"/>
  <c r="EL13" i="10" s="1"/>
  <c r="EG13" i="10"/>
  <c r="EQ13" i="10" s="1"/>
  <c r="EF13" i="10"/>
  <c r="EP13" i="10" s="1"/>
  <c r="EH13" i="10"/>
  <c r="ER13" i="10" s="1"/>
  <c r="EE13" i="10"/>
  <c r="EO13" i="10" s="1"/>
  <c r="EA299" i="10"/>
  <c r="EK299" i="10" s="1"/>
  <c r="EG299" i="10"/>
  <c r="EQ299" i="10" s="1"/>
  <c r="EH299" i="10"/>
  <c r="ER299" i="10" s="1"/>
  <c r="EB299" i="10"/>
  <c r="EL299" i="10" s="1"/>
  <c r="EE247" i="10"/>
  <c r="EO247" i="10" s="1"/>
  <c r="EA360" i="10"/>
  <c r="EK360" i="10" s="1"/>
  <c r="EH310" i="10"/>
  <c r="ER310" i="10" s="1"/>
  <c r="EG310" i="10"/>
  <c r="EQ310" i="10" s="1"/>
  <c r="EA310" i="10"/>
  <c r="EK310" i="10" s="1"/>
  <c r="EI117" i="10"/>
  <c r="ES117" i="10"/>
  <c r="EC139" i="10"/>
  <c r="EM139" i="10" s="1"/>
  <c r="DY338" i="10"/>
  <c r="EH327" i="10"/>
  <c r="ER327" i="10" s="1"/>
  <c r="EC327" i="10"/>
  <c r="EM327" i="10" s="1"/>
  <c r="EA327" i="10"/>
  <c r="EK327" i="10" s="1"/>
  <c r="EI126" i="10"/>
  <c r="EE263" i="10"/>
  <c r="EO263" i="10" s="1"/>
  <c r="EF372" i="10"/>
  <c r="EP372" i="10" s="1"/>
  <c r="EE89" i="10"/>
  <c r="EO89" i="10" s="1"/>
  <c r="EA83" i="10"/>
  <c r="EK83" i="10" s="1"/>
  <c r="ES268" i="10"/>
  <c r="ET268" i="10" s="1"/>
  <c r="DY308" i="10"/>
  <c r="EF34" i="10"/>
  <c r="EP34" i="10" s="1"/>
  <c r="EC73" i="10"/>
  <c r="EM73" i="10" s="1"/>
  <c r="EF105" i="10"/>
  <c r="EP105" i="10" s="1"/>
  <c r="EA107" i="10"/>
  <c r="EK107" i="10" s="1"/>
  <c r="EB107" i="10"/>
  <c r="EL107" i="10" s="1"/>
  <c r="EH107" i="10"/>
  <c r="ER107" i="10" s="1"/>
  <c r="EG107" i="10"/>
  <c r="EQ107" i="10" s="1"/>
  <c r="EF107" i="10"/>
  <c r="EP107" i="10" s="1"/>
  <c r="EH267" i="10"/>
  <c r="ER267" i="10" s="1"/>
  <c r="EG267" i="10"/>
  <c r="EQ267" i="10" s="1"/>
  <c r="EA267" i="10"/>
  <c r="EK267" i="10" s="1"/>
  <c r="EC267" i="10"/>
  <c r="EM267" i="10" s="1"/>
  <c r="EA274" i="10"/>
  <c r="EK274" i="10" s="1"/>
  <c r="EH274" i="10"/>
  <c r="ER274" i="10" s="1"/>
  <c r="EF274" i="10"/>
  <c r="EP274" i="10" s="1"/>
  <c r="EI113" i="10"/>
  <c r="ES113" i="10"/>
  <c r="EB276" i="10"/>
  <c r="EL276" i="10" s="1"/>
  <c r="ED276" i="10"/>
  <c r="EN276" i="10" s="1"/>
  <c r="EA276" i="10"/>
  <c r="EK276" i="10" s="1"/>
  <c r="EE276" i="10"/>
  <c r="EO276" i="10" s="1"/>
  <c r="EH276" i="10"/>
  <c r="ER276" i="10" s="1"/>
  <c r="EC276" i="10"/>
  <c r="EM276" i="10" s="1"/>
  <c r="EG128" i="10"/>
  <c r="EQ128" i="10" s="1"/>
  <c r="EH128" i="10"/>
  <c r="ER128" i="10" s="1"/>
  <c r="EA128" i="10"/>
  <c r="EK128" i="10" s="1"/>
  <c r="DY128" i="10"/>
  <c r="EB128" i="10"/>
  <c r="EL128" i="10" s="1"/>
  <c r="EA164" i="10"/>
  <c r="EK164" i="10" s="1"/>
  <c r="EE164" i="10"/>
  <c r="EO164" i="10" s="1"/>
  <c r="EH164" i="10"/>
  <c r="ER164" i="10" s="1"/>
  <c r="EH152" i="10"/>
  <c r="ER152" i="10" s="1"/>
  <c r="EG152" i="10"/>
  <c r="EQ152" i="10" s="1"/>
  <c r="EA152" i="10"/>
  <c r="EK152" i="10" s="1"/>
  <c r="EF152" i="10"/>
  <c r="EP152" i="10" s="1"/>
  <c r="EC207" i="10"/>
  <c r="EM207" i="10" s="1"/>
  <c r="EA207" i="10"/>
  <c r="EK207" i="10" s="1"/>
  <c r="EH207" i="10"/>
  <c r="ER207" i="10" s="1"/>
  <c r="EF207" i="10"/>
  <c r="EP207" i="10" s="1"/>
  <c r="EG207" i="10"/>
  <c r="EQ207" i="10" s="1"/>
  <c r="EC198" i="10"/>
  <c r="EM198" i="10" s="1"/>
  <c r="EB340" i="10"/>
  <c r="EL340" i="10" s="1"/>
  <c r="EE329" i="10"/>
  <c r="EO329" i="10" s="1"/>
  <c r="ED220" i="10"/>
  <c r="EN220" i="10" s="1"/>
  <c r="EH220" i="10"/>
  <c r="ER220" i="10" s="1"/>
  <c r="EE220" i="10"/>
  <c r="EO220" i="10" s="1"/>
  <c r="EA220" i="10"/>
  <c r="EK220" i="10" s="1"/>
  <c r="EG220" i="10"/>
  <c r="EQ220" i="10" s="1"/>
  <c r="EB358" i="10"/>
  <c r="EL358" i="10" s="1"/>
  <c r="EG358" i="10"/>
  <c r="EQ358" i="10" s="1"/>
  <c r="EF358" i="10"/>
  <c r="EP358" i="10" s="1"/>
  <c r="EH358" i="10"/>
  <c r="ER358" i="10" s="1"/>
  <c r="ED169" i="10"/>
  <c r="EN169" i="10" s="1"/>
  <c r="EA175" i="10"/>
  <c r="EK175" i="10" s="1"/>
  <c r="EF175" i="10"/>
  <c r="EP175" i="10" s="1"/>
  <c r="EB175" i="10"/>
  <c r="EL175" i="10" s="1"/>
  <c r="EH175" i="10"/>
  <c r="ER175" i="10" s="1"/>
  <c r="DY175" i="10"/>
  <c r="ED175" i="10"/>
  <c r="EN175" i="10" s="1"/>
  <c r="EF375" i="10"/>
  <c r="EP375" i="10" s="1"/>
  <c r="EB190" i="10"/>
  <c r="EL190" i="10" s="1"/>
  <c r="ED190" i="10"/>
  <c r="EN190" i="10" s="1"/>
  <c r="EH190" i="10"/>
  <c r="ER190" i="10" s="1"/>
  <c r="EG190" i="10"/>
  <c r="EQ190" i="10" s="1"/>
  <c r="EA190" i="10"/>
  <c r="EK190" i="10" s="1"/>
  <c r="EB261" i="10"/>
  <c r="EL261" i="10" s="1"/>
  <c r="EH195" i="10"/>
  <c r="ER195" i="10" s="1"/>
  <c r="DY195" i="10"/>
  <c r="EB195" i="10"/>
  <c r="EL195" i="10" s="1"/>
  <c r="EC195" i="10"/>
  <c r="EM195" i="10" s="1"/>
  <c r="EG195" i="10"/>
  <c r="EQ195" i="10" s="1"/>
  <c r="ED195" i="10"/>
  <c r="EN195" i="10" s="1"/>
  <c r="EF173" i="10"/>
  <c r="EP173" i="10" s="1"/>
  <c r="EE135" i="10"/>
  <c r="EO135" i="10" s="1"/>
  <c r="EF135" i="10"/>
  <c r="EP135" i="10" s="1"/>
  <c r="EG135" i="10"/>
  <c r="EQ135" i="10" s="1"/>
  <c r="EH135" i="10"/>
  <c r="ER135" i="10" s="1"/>
  <c r="EH208" i="10"/>
  <c r="ER208" i="10" s="1"/>
  <c r="EA208" i="10"/>
  <c r="EK208" i="10" s="1"/>
  <c r="EE208" i="10"/>
  <c r="EO208" i="10" s="1"/>
  <c r="EA295" i="10"/>
  <c r="EK295" i="10" s="1"/>
  <c r="EF275" i="10"/>
  <c r="EP275" i="10" s="1"/>
  <c r="DY203" i="10"/>
  <c r="EF137" i="10"/>
  <c r="EP137" i="10" s="1"/>
  <c r="DY185" i="10"/>
  <c r="EG149" i="10"/>
  <c r="EQ149" i="10" s="1"/>
  <c r="EF149" i="10"/>
  <c r="EP149" i="10" s="1"/>
  <c r="EH149" i="10"/>
  <c r="ER149" i="10" s="1"/>
  <c r="EA149" i="10"/>
  <c r="EK149" i="10" s="1"/>
  <c r="EE149" i="10"/>
  <c r="EO149" i="10" s="1"/>
  <c r="EB108" i="10"/>
  <c r="EL108" i="10" s="1"/>
  <c r="EC363" i="10"/>
  <c r="EM363" i="10" s="1"/>
  <c r="ED215" i="10"/>
  <c r="EN215" i="10" s="1"/>
  <c r="ES56" i="10"/>
  <c r="EE275" i="10"/>
  <c r="EO275" i="10" s="1"/>
  <c r="EA127" i="10"/>
  <c r="EK127" i="10" s="1"/>
  <c r="EB127" i="10"/>
  <c r="EL127" i="10" s="1"/>
  <c r="EF127" i="10"/>
  <c r="EP127" i="10" s="1"/>
  <c r="EC127" i="10"/>
  <c r="EM127" i="10" s="1"/>
  <c r="EH127" i="10"/>
  <c r="ER127" i="10" s="1"/>
  <c r="EG127" i="10"/>
  <c r="EQ127" i="10" s="1"/>
  <c r="EF295" i="10"/>
  <c r="EP295" i="10" s="1"/>
  <c r="EB234" i="10"/>
  <c r="EL234" i="10" s="1"/>
  <c r="EF353" i="10"/>
  <c r="EP353" i="10" s="1"/>
  <c r="ES74" i="10"/>
  <c r="EI74" i="10"/>
  <c r="EH120" i="10"/>
  <c r="ER120" i="10" s="1"/>
  <c r="EB120" i="10"/>
  <c r="EL120" i="10" s="1"/>
  <c r="EA120" i="10"/>
  <c r="EK120" i="10" s="1"/>
  <c r="EF120" i="10"/>
  <c r="EP120" i="10" s="1"/>
  <c r="EG120" i="10"/>
  <c r="EQ120" i="10" s="1"/>
  <c r="EF315" i="10"/>
  <c r="EP315" i="10" s="1"/>
  <c r="ED248" i="10"/>
  <c r="EN248" i="10" s="1"/>
  <c r="EC315" i="10"/>
  <c r="EM315" i="10" s="1"/>
  <c r="DY272" i="10"/>
  <c r="DY70" i="10"/>
  <c r="EF374" i="10"/>
  <c r="EP374" i="10" s="1"/>
  <c r="DY356" i="10"/>
  <c r="EE292" i="10"/>
  <c r="EO292" i="10" s="1"/>
  <c r="ED214" i="10"/>
  <c r="EN214" i="10" s="1"/>
  <c r="EE360" i="10"/>
  <c r="EO360" i="10" s="1"/>
  <c r="EG338" i="10"/>
  <c r="EQ338" i="10" s="1"/>
  <c r="EH143" i="10"/>
  <c r="ER143" i="10" s="1"/>
  <c r="EG143" i="10"/>
  <c r="EQ143" i="10" s="1"/>
  <c r="EA143" i="10"/>
  <c r="EK143" i="10" s="1"/>
  <c r="EG244" i="10"/>
  <c r="EQ244" i="10" s="1"/>
  <c r="EA244" i="10"/>
  <c r="EK244" i="10" s="1"/>
  <c r="ED244" i="10"/>
  <c r="EN244" i="10" s="1"/>
  <c r="EH244" i="10"/>
  <c r="ER244" i="10" s="1"/>
  <c r="EB244" i="10"/>
  <c r="EL244" i="10" s="1"/>
  <c r="EC244" i="10"/>
  <c r="EM244" i="10" s="1"/>
  <c r="ES241" i="10"/>
  <c r="ET241" i="10" s="1"/>
  <c r="EH303" i="10"/>
  <c r="ER303" i="10" s="1"/>
  <c r="EF303" i="10"/>
  <c r="EP303" i="10" s="1"/>
  <c r="ED303" i="10"/>
  <c r="EN303" i="10" s="1"/>
  <c r="EA303" i="10"/>
  <c r="EK303" i="10" s="1"/>
  <c r="EC303" i="10"/>
  <c r="EM303" i="10" s="1"/>
  <c r="DY303" i="10"/>
  <c r="ES126" i="10"/>
  <c r="ET126" i="10" s="1"/>
  <c r="DY302" i="10"/>
  <c r="DY357" i="10"/>
  <c r="DY313" i="10"/>
  <c r="EI69" i="10"/>
  <c r="EF285" i="10"/>
  <c r="EP285" i="10" s="1"/>
  <c r="EF342" i="10"/>
  <c r="EP342" i="10" s="1"/>
  <c r="DY141" i="10"/>
  <c r="ED152" i="10"/>
  <c r="EN152" i="10" s="1"/>
  <c r="EC107" i="10"/>
  <c r="EM107" i="10" s="1"/>
  <c r="ES106" i="10"/>
  <c r="EI106" i="10"/>
  <c r="ES25" i="10"/>
  <c r="EC36" i="10"/>
  <c r="EM36" i="10" s="1"/>
  <c r="EG36" i="10"/>
  <c r="EQ36" i="10" s="1"/>
  <c r="EB36" i="10"/>
  <c r="EL36" i="10" s="1"/>
  <c r="EF36" i="10"/>
  <c r="EP36" i="10" s="1"/>
  <c r="EE36" i="10"/>
  <c r="EO36" i="10" s="1"/>
  <c r="EH36" i="10"/>
  <c r="ER36" i="10" s="1"/>
  <c r="EE267" i="10"/>
  <c r="EO267" i="10" s="1"/>
  <c r="EG236" i="10"/>
  <c r="EQ236" i="10" s="1"/>
  <c r="EE236" i="10"/>
  <c r="EO236" i="10" s="1"/>
  <c r="EH236" i="10"/>
  <c r="ER236" i="10" s="1"/>
  <c r="EC46" i="10"/>
  <c r="EM46" i="10" s="1"/>
  <c r="EB46" i="10"/>
  <c r="EL46" i="10" s="1"/>
  <c r="EF46" i="10"/>
  <c r="EP46" i="10" s="1"/>
  <c r="EH46" i="10"/>
  <c r="ER46" i="10" s="1"/>
  <c r="EE46" i="10"/>
  <c r="EO46" i="10" s="1"/>
  <c r="EG46" i="10"/>
  <c r="EQ46" i="10" s="1"/>
  <c r="EG94" i="10"/>
  <c r="EQ94" i="10" s="1"/>
  <c r="EF94" i="10"/>
  <c r="EP94" i="10" s="1"/>
  <c r="EB94" i="10"/>
  <c r="EL94" i="10" s="1"/>
  <c r="EC94" i="10"/>
  <c r="EM94" i="10" s="1"/>
  <c r="EA94" i="10"/>
  <c r="EK94" i="10" s="1"/>
  <c r="EH94" i="10"/>
  <c r="ER94" i="10" s="1"/>
  <c r="EE305" i="10"/>
  <c r="EO305" i="10" s="1"/>
  <c r="EA305" i="10"/>
  <c r="EK305" i="10" s="1"/>
  <c r="EH305" i="10"/>
  <c r="ER305" i="10" s="1"/>
  <c r="DY305" i="10"/>
  <c r="EG305" i="10"/>
  <c r="EQ305" i="10" s="1"/>
  <c r="EB173" i="10"/>
  <c r="EL173" i="10" s="1"/>
  <c r="EB198" i="10"/>
  <c r="EL198" i="10" s="1"/>
  <c r="EB129" i="10"/>
  <c r="EL129" i="10" s="1"/>
  <c r="DY129" i="10"/>
  <c r="EH39" i="10"/>
  <c r="ER39" i="10" s="1"/>
  <c r="EG39" i="10"/>
  <c r="EQ39" i="10" s="1"/>
  <c r="EE39" i="10"/>
  <c r="EO39" i="10" s="1"/>
  <c r="EB39" i="10"/>
  <c r="EL39" i="10" s="1"/>
  <c r="EC39" i="10"/>
  <c r="EM39" i="10" s="1"/>
  <c r="EF39" i="10"/>
  <c r="EP39" i="10" s="1"/>
  <c r="EH216" i="10"/>
  <c r="ER216" i="10" s="1"/>
  <c r="ED216" i="10"/>
  <c r="EN216" i="10" s="1"/>
  <c r="EA216" i="10"/>
  <c r="EK216" i="10" s="1"/>
  <c r="EG216" i="10"/>
  <c r="EQ216" i="10" s="1"/>
  <c r="EC97" i="10"/>
  <c r="EM97" i="10" s="1"/>
  <c r="DY362" i="10"/>
  <c r="EH144" i="10"/>
  <c r="ER144" i="10" s="1"/>
  <c r="EG144" i="10"/>
  <c r="EQ144" i="10" s="1"/>
  <c r="EA144" i="10"/>
  <c r="EK144" i="10" s="1"/>
  <c r="EH320" i="10"/>
  <c r="ER320" i="10" s="1"/>
  <c r="EA320" i="10"/>
  <c r="EK320" i="10" s="1"/>
  <c r="EB320" i="10"/>
  <c r="EL320" i="10" s="1"/>
  <c r="ED236" i="10"/>
  <c r="EN236" i="10" s="1"/>
  <c r="EB144" i="10"/>
  <c r="EL144" i="10" s="1"/>
  <c r="EG157" i="10"/>
  <c r="EQ157" i="10" s="1"/>
  <c r="EB271" i="10"/>
  <c r="EL271" i="10" s="1"/>
  <c r="EC218" i="10"/>
  <c r="EM218" i="10" s="1"/>
  <c r="EI246" i="10"/>
  <c r="EC190" i="10"/>
  <c r="EM190" i="10" s="1"/>
  <c r="EG37" i="10"/>
  <c r="EQ37" i="10" s="1"/>
  <c r="EC37" i="10"/>
  <c r="EM37" i="10" s="1"/>
  <c r="EH37" i="10"/>
  <c r="ER37" i="10" s="1"/>
  <c r="EF37" i="10"/>
  <c r="EP37" i="10" s="1"/>
  <c r="EE37" i="10"/>
  <c r="EO37" i="10" s="1"/>
  <c r="EB37" i="10"/>
  <c r="EL37" i="10" s="1"/>
  <c r="EA195" i="10"/>
  <c r="EK195" i="10" s="1"/>
  <c r="ED154" i="10"/>
  <c r="EN154" i="10" s="1"/>
  <c r="EG258" i="10"/>
  <c r="EQ258" i="10" s="1"/>
  <c r="EA258" i="10"/>
  <c r="EK258" i="10" s="1"/>
  <c r="EB258" i="10"/>
  <c r="EL258" i="10" s="1"/>
  <c r="EF258" i="10"/>
  <c r="EP258" i="10" s="1"/>
  <c r="EH258" i="10"/>
  <c r="ER258" i="10" s="1"/>
  <c r="EH177" i="10"/>
  <c r="ER177" i="10" s="1"/>
  <c r="EA177" i="10"/>
  <c r="EK177" i="10" s="1"/>
  <c r="EG177" i="10"/>
  <c r="EQ177" i="10" s="1"/>
  <c r="EB177" i="10"/>
  <c r="EL177" i="10" s="1"/>
  <c r="EA135" i="10"/>
  <c r="EK135" i="10" s="1"/>
  <c r="EC265" i="10"/>
  <c r="EM265" i="10" s="1"/>
  <c r="EC184" i="10"/>
  <c r="EM184" i="10" s="1"/>
  <c r="ED282" i="10"/>
  <c r="EN282" i="10" s="1"/>
  <c r="EF187" i="10"/>
  <c r="EP187" i="10" s="1"/>
  <c r="EA186" i="10"/>
  <c r="EK186" i="10" s="1"/>
  <c r="EE186" i="10"/>
  <c r="EO186" i="10" s="1"/>
  <c r="EG186" i="10"/>
  <c r="EQ186" i="10" s="1"/>
  <c r="EH186" i="10"/>
  <c r="ER186" i="10" s="1"/>
  <c r="DY196" i="10"/>
  <c r="EC238" i="10"/>
  <c r="EM238" i="10" s="1"/>
  <c r="EB238" i="10"/>
  <c r="EL238" i="10" s="1"/>
  <c r="EH176" i="10"/>
  <c r="ER176" i="10" s="1"/>
  <c r="ED176" i="10"/>
  <c r="EN176" i="10" s="1"/>
  <c r="EG176" i="10"/>
  <c r="EQ176" i="10" s="1"/>
  <c r="EG320" i="10"/>
  <c r="EQ320" i="10" s="1"/>
  <c r="EF180" i="10"/>
  <c r="EP180" i="10" s="1"/>
  <c r="ED225" i="10"/>
  <c r="EN225" i="10" s="1"/>
  <c r="EG52" i="10"/>
  <c r="EQ52" i="10" s="1"/>
  <c r="EC52" i="10"/>
  <c r="EM52" i="10" s="1"/>
  <c r="EA52" i="10"/>
  <c r="EK52" i="10" s="1"/>
  <c r="EH52" i="10"/>
  <c r="ER52" i="10" s="1"/>
  <c r="EB52" i="10"/>
  <c r="EL52" i="10" s="1"/>
  <c r="EF52" i="10"/>
  <c r="EP52" i="10" s="1"/>
  <c r="DY156" i="10"/>
  <c r="ED265" i="10"/>
  <c r="EN265" i="10" s="1"/>
  <c r="EC370" i="10"/>
  <c r="EM370" i="10" s="1"/>
  <c r="ES53" i="10"/>
  <c r="EG289" i="10"/>
  <c r="EQ289" i="10" s="1"/>
  <c r="ED279" i="10"/>
  <c r="EN279" i="10" s="1"/>
  <c r="EH343" i="10"/>
  <c r="ER343" i="10" s="1"/>
  <c r="EA343" i="10"/>
  <c r="EK343" i="10" s="1"/>
  <c r="EE343" i="10"/>
  <c r="EO343" i="10" s="1"/>
  <c r="EE314" i="10"/>
  <c r="EO314" i="10" s="1"/>
  <c r="DY370" i="10"/>
  <c r="ED227" i="10"/>
  <c r="EN227" i="10" s="1"/>
  <c r="EC120" i="10"/>
  <c r="EM120" i="10" s="1"/>
  <c r="EE313" i="10"/>
  <c r="EO313" i="10" s="1"/>
  <c r="DY253" i="10"/>
  <c r="EH204" i="10"/>
  <c r="ER204" i="10" s="1"/>
  <c r="EA204" i="10"/>
  <c r="EK204" i="10" s="1"/>
  <c r="EE204" i="10"/>
  <c r="EO204" i="10" s="1"/>
  <c r="EG204" i="10"/>
  <c r="EQ204" i="10" s="1"/>
  <c r="EC302" i="10"/>
  <c r="EM302" i="10" s="1"/>
  <c r="EF350" i="10"/>
  <c r="EP350" i="10" s="1"/>
  <c r="DY155" i="10"/>
  <c r="EF294" i="10"/>
  <c r="EP294" i="10" s="1"/>
  <c r="ED306" i="10"/>
  <c r="EN306" i="10" s="1"/>
  <c r="EE257" i="10"/>
  <c r="EO257" i="10" s="1"/>
  <c r="DY27" i="10"/>
  <c r="ED362" i="10"/>
  <c r="EN362" i="10" s="1"/>
  <c r="DY173" i="10"/>
  <c r="EA296" i="10"/>
  <c r="EK296" i="10" s="1"/>
  <c r="EB296" i="10"/>
  <c r="EL296" i="10" s="1"/>
  <c r="EH296" i="10"/>
  <c r="ER296" i="10" s="1"/>
  <c r="EG296" i="10"/>
  <c r="EQ296" i="10" s="1"/>
  <c r="DY116" i="10"/>
  <c r="EB242" i="10"/>
  <c r="EL242" i="10" s="1"/>
  <c r="EC366" i="10"/>
  <c r="EM366" i="10" s="1"/>
  <c r="DY278" i="10"/>
  <c r="EA36" i="10"/>
  <c r="EK36" i="10" s="1"/>
  <c r="DY289" i="10"/>
  <c r="EC143" i="10"/>
  <c r="EM143" i="10" s="1"/>
  <c r="EE244" i="10"/>
  <c r="EO244" i="10" s="1"/>
  <c r="EI241" i="10"/>
  <c r="EB303" i="10"/>
  <c r="EL303" i="10" s="1"/>
  <c r="DY331" i="10"/>
  <c r="DY293" i="10"/>
  <c r="EC362" i="10"/>
  <c r="EM362" i="10" s="1"/>
  <c r="DY318" i="10"/>
  <c r="ES69" i="10"/>
  <c r="EE334" i="10"/>
  <c r="EO334" i="10" s="1"/>
  <c r="EG259" i="10"/>
  <c r="EQ259" i="10" s="1"/>
  <c r="EH145" i="10"/>
  <c r="ER145" i="10" s="1"/>
  <c r="EG145" i="10"/>
  <c r="EQ145" i="10" s="1"/>
  <c r="EA145" i="10"/>
  <c r="EK145" i="10" s="1"/>
  <c r="EB145" i="10"/>
  <c r="EL145" i="10" s="1"/>
  <c r="ED243" i="10"/>
  <c r="EN243" i="10" s="1"/>
  <c r="EE206" i="10"/>
  <c r="EO206" i="10" s="1"/>
  <c r="EB206" i="10"/>
  <c r="EL206" i="10" s="1"/>
  <c r="EA206" i="10"/>
  <c r="EK206" i="10" s="1"/>
  <c r="EH206" i="10"/>
  <c r="ER206" i="10" s="1"/>
  <c r="EH249" i="10"/>
  <c r="ER249" i="10" s="1"/>
  <c r="EG249" i="10"/>
  <c r="EQ249" i="10" s="1"/>
  <c r="EB249" i="10"/>
  <c r="EL249" i="10" s="1"/>
  <c r="EA249" i="10"/>
  <c r="EK249" i="10" s="1"/>
  <c r="DY249" i="10"/>
  <c r="DY292" i="10"/>
  <c r="I354" i="6"/>
  <c r="I365" i="6" s="1"/>
  <c r="V101" i="6"/>
  <c r="J354" i="6"/>
  <c r="I367" i="6" s="1"/>
  <c r="I368" i="6" s="1"/>
  <c r="I364" i="6" s="1"/>
  <c r="S13" i="5"/>
  <c r="S11" i="5"/>
  <c r="S9" i="5"/>
  <c r="S7" i="5"/>
  <c r="S5" i="5"/>
  <c r="S3" i="5"/>
  <c r="S4" i="5"/>
  <c r="S8" i="5"/>
  <c r="S6" i="5"/>
  <c r="T15" i="5"/>
  <c r="S10" i="5"/>
  <c r="S14" i="5" s="1"/>
  <c r="S12" i="5"/>
  <c r="R14" i="5"/>
  <c r="R18" i="5" s="1"/>
  <c r="W9" i="4"/>
  <c r="W11" i="4"/>
  <c r="W13" i="4"/>
  <c r="W14" i="4"/>
  <c r="W16" i="4"/>
  <c r="W15" i="4"/>
  <c r="W19" i="4"/>
  <c r="W6" i="4"/>
  <c r="X17" i="4"/>
  <c r="W8" i="4"/>
  <c r="W10" i="4"/>
  <c r="W12" i="4"/>
  <c r="W5" i="4"/>
  <c r="W18" i="4"/>
  <c r="W7" i="4"/>
  <c r="EI326" i="10" l="1"/>
  <c r="EI87" i="10"/>
  <c r="EI122" i="10"/>
  <c r="EI142" i="10"/>
  <c r="EI64" i="10"/>
  <c r="EI161" i="10"/>
  <c r="EI283" i="10"/>
  <c r="EI84" i="10"/>
  <c r="ES142" i="10"/>
  <c r="ET142" i="10" s="1"/>
  <c r="EI171" i="10"/>
  <c r="ES87" i="10"/>
  <c r="ES192" i="10"/>
  <c r="ET192" i="10" s="1"/>
  <c r="EI335" i="10"/>
  <c r="EI205" i="10"/>
  <c r="EI147" i="10"/>
  <c r="EI324" i="10"/>
  <c r="EI297" i="10"/>
  <c r="ES333" i="10"/>
  <c r="ET333" i="10" s="1"/>
  <c r="EI65" i="10"/>
  <c r="ES174" i="10"/>
  <c r="ET174" i="10" s="1"/>
  <c r="EI371" i="10"/>
  <c r="EI174" i="10"/>
  <c r="ES193" i="10"/>
  <c r="ET193" i="10" s="1"/>
  <c r="EI232" i="10"/>
  <c r="EI71" i="10"/>
  <c r="EI321" i="10"/>
  <c r="EI284" i="10"/>
  <c r="EI140" i="10"/>
  <c r="ES181" i="10"/>
  <c r="ET181" i="10" s="1"/>
  <c r="EI346" i="10"/>
  <c r="EI165" i="10"/>
  <c r="EI202" i="10"/>
  <c r="EI338" i="10"/>
  <c r="EI268" i="10"/>
  <c r="EI194" i="10"/>
  <c r="EI61" i="10"/>
  <c r="EI373" i="10"/>
  <c r="EI250" i="10"/>
  <c r="EI115" i="10"/>
  <c r="EI230" i="10"/>
  <c r="EI301" i="10"/>
  <c r="EI181" i="10"/>
  <c r="EI58" i="10"/>
  <c r="EK99" i="10"/>
  <c r="ES99" i="10" s="1"/>
  <c r="EI99" i="10"/>
  <c r="EI344" i="10"/>
  <c r="EK62" i="10"/>
  <c r="ES62" i="10" s="1"/>
  <c r="EI62" i="10"/>
  <c r="EI70" i="10"/>
  <c r="EI333" i="10"/>
  <c r="EI188" i="10"/>
  <c r="EI192" i="10"/>
  <c r="EI176" i="10"/>
  <c r="EI193" i="10"/>
  <c r="EI239" i="10"/>
  <c r="EI172" i="10"/>
  <c r="ES375" i="10"/>
  <c r="ET375" i="10" s="1"/>
  <c r="EI375" i="10"/>
  <c r="EI72" i="10"/>
  <c r="ES72" i="10"/>
  <c r="ES342" i="10"/>
  <c r="ET342" i="10" s="1"/>
  <c r="EI342" i="10"/>
  <c r="ES37" i="10"/>
  <c r="EI34" i="10"/>
  <c r="ES34" i="10"/>
  <c r="ES139" i="10"/>
  <c r="ET139" i="10" s="1"/>
  <c r="EI139" i="10"/>
  <c r="ES124" i="10"/>
  <c r="ET124" i="10" s="1"/>
  <c r="EI124" i="10"/>
  <c r="EI271" i="10"/>
  <c r="ES271" i="10"/>
  <c r="ET271" i="10" s="1"/>
  <c r="ES169" i="10"/>
  <c r="ET169" i="10" s="1"/>
  <c r="EI169" i="10"/>
  <c r="EI334" i="10"/>
  <c r="ES334" i="10"/>
  <c r="ET334" i="10" s="1"/>
  <c r="EI299" i="10"/>
  <c r="ES299" i="10"/>
  <c r="ET299" i="10" s="1"/>
  <c r="EI293" i="10"/>
  <c r="ES293" i="10"/>
  <c r="ET293" i="10" s="1"/>
  <c r="EI186" i="10"/>
  <c r="ES186" i="10"/>
  <c r="ET186" i="10" s="1"/>
  <c r="ES143" i="10"/>
  <c r="ET143" i="10" s="1"/>
  <c r="EI143" i="10"/>
  <c r="EI190" i="10"/>
  <c r="ES190" i="10"/>
  <c r="ET190" i="10" s="1"/>
  <c r="ES108" i="10"/>
  <c r="EI108" i="10"/>
  <c r="ES248" i="10"/>
  <c r="ET248" i="10" s="1"/>
  <c r="EI248" i="10"/>
  <c r="ES187" i="10"/>
  <c r="ET187" i="10" s="1"/>
  <c r="EI187" i="10"/>
  <c r="ES227" i="10"/>
  <c r="ET227" i="10" s="1"/>
  <c r="EI227" i="10"/>
  <c r="EI328" i="10"/>
  <c r="ES328" i="10"/>
  <c r="ET328" i="10" s="1"/>
  <c r="ES253" i="10"/>
  <c r="ET253" i="10" s="1"/>
  <c r="EI253" i="10"/>
  <c r="ES374" i="10"/>
  <c r="ET374" i="10" s="1"/>
  <c r="EI374" i="10"/>
  <c r="EI201" i="10"/>
  <c r="ES201" i="10"/>
  <c r="ET201" i="10" s="1"/>
  <c r="ES107" i="10"/>
  <c r="EI107" i="10"/>
  <c r="ES210" i="10"/>
  <c r="ET210" i="10" s="1"/>
  <c r="EI210" i="10"/>
  <c r="EI244" i="10"/>
  <c r="ES244" i="10"/>
  <c r="ET244" i="10" s="1"/>
  <c r="ES213" i="10"/>
  <c r="ET213" i="10" s="1"/>
  <c r="EI213" i="10"/>
  <c r="ES101" i="10"/>
  <c r="EI101" i="10"/>
  <c r="ES300" i="10"/>
  <c r="ET300" i="10" s="1"/>
  <c r="EI300" i="10"/>
  <c r="ES96" i="10"/>
  <c r="EI96" i="10"/>
  <c r="ES243" i="10"/>
  <c r="ET243" i="10" s="1"/>
  <c r="EI243" i="10"/>
  <c r="EI240" i="10"/>
  <c r="ES240" i="10"/>
  <c r="ET240" i="10" s="1"/>
  <c r="ES191" i="10"/>
  <c r="ET191" i="10" s="1"/>
  <c r="EI191" i="10"/>
  <c r="ES189" i="10"/>
  <c r="ET189" i="10" s="1"/>
  <c r="EI189" i="10"/>
  <c r="EI275" i="10"/>
  <c r="ES275" i="10"/>
  <c r="ET275" i="10" s="1"/>
  <c r="ES269" i="10"/>
  <c r="ET269" i="10" s="1"/>
  <c r="EI269" i="10"/>
  <c r="ES251" i="10"/>
  <c r="ET251" i="10" s="1"/>
  <c r="EI251" i="10"/>
  <c r="ES276" i="10"/>
  <c r="ET276" i="10" s="1"/>
  <c r="EI276" i="10"/>
  <c r="ES83" i="10"/>
  <c r="EI83" i="10"/>
  <c r="ES318" i="10"/>
  <c r="ET318" i="10" s="1"/>
  <c r="EI318" i="10"/>
  <c r="ES354" i="10"/>
  <c r="ET354" i="10" s="1"/>
  <c r="EI354" i="10"/>
  <c r="ES116" i="10"/>
  <c r="EI116" i="10"/>
  <c r="EI95" i="10"/>
  <c r="ES95" i="10"/>
  <c r="ES121" i="10"/>
  <c r="EI121" i="10"/>
  <c r="EI265" i="10"/>
  <c r="ES265" i="10"/>
  <c r="ET265" i="10" s="1"/>
  <c r="EI294" i="10"/>
  <c r="ES294" i="10"/>
  <c r="ET294" i="10" s="1"/>
  <c r="ES111" i="10"/>
  <c r="EI111" i="10"/>
  <c r="ES183" i="10"/>
  <c r="ET183" i="10" s="1"/>
  <c r="EI183" i="10"/>
  <c r="EI218" i="10"/>
  <c r="ES218" i="10"/>
  <c r="ET218" i="10" s="1"/>
  <c r="ES280" i="10"/>
  <c r="ET280" i="10" s="1"/>
  <c r="EI280" i="10"/>
  <c r="ES167" i="10"/>
  <c r="ET167" i="10" s="1"/>
  <c r="EI167" i="10"/>
  <c r="ES362" i="10"/>
  <c r="ET362" i="10" s="1"/>
  <c r="EI362" i="10"/>
  <c r="ES348" i="10"/>
  <c r="ET348" i="10" s="1"/>
  <c r="EI348" i="10"/>
  <c r="ES352" i="10"/>
  <c r="ET352" i="10" s="1"/>
  <c r="EI352" i="10"/>
  <c r="ES97" i="10"/>
  <c r="EI97" i="10"/>
  <c r="ES369" i="10"/>
  <c r="ET369" i="10" s="1"/>
  <c r="EI369" i="10"/>
  <c r="ES85" i="10"/>
  <c r="EI85" i="10"/>
  <c r="EI298" i="10"/>
  <c r="ES298" i="10"/>
  <c r="ET298" i="10" s="1"/>
  <c r="ES279" i="10"/>
  <c r="ET279" i="10" s="1"/>
  <c r="EI279" i="10"/>
  <c r="ES252" i="10"/>
  <c r="ET252" i="10" s="1"/>
  <c r="EI252" i="10"/>
  <c r="ES120" i="10"/>
  <c r="EI120" i="10"/>
  <c r="ES278" i="10"/>
  <c r="ET278" i="10" s="1"/>
  <c r="EI278" i="10"/>
  <c r="EI273" i="10"/>
  <c r="ES273" i="10"/>
  <c r="ET273" i="10" s="1"/>
  <c r="ES350" i="10"/>
  <c r="ET350" i="10" s="1"/>
  <c r="ES262" i="10"/>
  <c r="ET262" i="10" s="1"/>
  <c r="EI262" i="10"/>
  <c r="ES158" i="10"/>
  <c r="ET158" i="10" s="1"/>
  <c r="EI158" i="10"/>
  <c r="ES135" i="10"/>
  <c r="ET135" i="10" s="1"/>
  <c r="EI135" i="10"/>
  <c r="EI48" i="10"/>
  <c r="ES372" i="10"/>
  <c r="ET372" i="10" s="1"/>
  <c r="EI372" i="10"/>
  <c r="ES137" i="10"/>
  <c r="ET137" i="10" s="1"/>
  <c r="EI137" i="10"/>
  <c r="EI168" i="10"/>
  <c r="ES168" i="10"/>
  <c r="ET168" i="10" s="1"/>
  <c r="EI261" i="10"/>
  <c r="ES261" i="10"/>
  <c r="ET261" i="10" s="1"/>
  <c r="ES82" i="10"/>
  <c r="EI82" i="10"/>
  <c r="ES110" i="10"/>
  <c r="EI110" i="10"/>
  <c r="ES93" i="10"/>
  <c r="EI93" i="10"/>
  <c r="ES307" i="10"/>
  <c r="ET307" i="10" s="1"/>
  <c r="EI307" i="10"/>
  <c r="EI322" i="10"/>
  <c r="ES322" i="10"/>
  <c r="ET322" i="10" s="1"/>
  <c r="ES224" i="10"/>
  <c r="ET224" i="10" s="1"/>
  <c r="EI224" i="10"/>
  <c r="EI134" i="10"/>
  <c r="ES134" i="10"/>
  <c r="ET134" i="10" s="1"/>
  <c r="ES358" i="10"/>
  <c r="ET358" i="10" s="1"/>
  <c r="EI358" i="10"/>
  <c r="EI211" i="10"/>
  <c r="ES211" i="10"/>
  <c r="ET211" i="10" s="1"/>
  <c r="ES13" i="10"/>
  <c r="ES208" i="10"/>
  <c r="ET208" i="10" s="1"/>
  <c r="EI208" i="10"/>
  <c r="ES207" i="10"/>
  <c r="ET207" i="10" s="1"/>
  <c r="EI207" i="10"/>
  <c r="EI327" i="10"/>
  <c r="ES327" i="10"/>
  <c r="ET327" i="10" s="1"/>
  <c r="ES311" i="10"/>
  <c r="ET311" i="10" s="1"/>
  <c r="EI311" i="10"/>
  <c r="ES48" i="10"/>
  <c r="ES281" i="10"/>
  <c r="ET281" i="10" s="1"/>
  <c r="EI281" i="10"/>
  <c r="ES148" i="10"/>
  <c r="ET148" i="10" s="1"/>
  <c r="EI148" i="10"/>
  <c r="EI79" i="10"/>
  <c r="EI27" i="10"/>
  <c r="ES27" i="10"/>
  <c r="EI254" i="10"/>
  <c r="ES254" i="10"/>
  <c r="ET254" i="10" s="1"/>
  <c r="ES184" i="10"/>
  <c r="ET184" i="10" s="1"/>
  <c r="EI184" i="10"/>
  <c r="ES155" i="10"/>
  <c r="ET155" i="10" s="1"/>
  <c r="EI155" i="10"/>
  <c r="ES52" i="10"/>
  <c r="EI52" i="10"/>
  <c r="EI178" i="10"/>
  <c r="EI13" i="10"/>
  <c r="ES359" i="10"/>
  <c r="ET359" i="10" s="1"/>
  <c r="EI359" i="10"/>
  <c r="EI260" i="10"/>
  <c r="EI129" i="10"/>
  <c r="ES129" i="10"/>
  <c r="ET129" i="10" s="1"/>
  <c r="ES370" i="10"/>
  <c r="ET370" i="10" s="1"/>
  <c r="EI370" i="10"/>
  <c r="ES270" i="10"/>
  <c r="ET270" i="10" s="1"/>
  <c r="EI270" i="10"/>
  <c r="ES79" i="10"/>
  <c r="EI236" i="10"/>
  <c r="ES356" i="10"/>
  <c r="ET356" i="10" s="1"/>
  <c r="EI356" i="10"/>
  <c r="ES325" i="10"/>
  <c r="ET325" i="10" s="1"/>
  <c r="EI325" i="10"/>
  <c r="ES238" i="10"/>
  <c r="ET238" i="10" s="1"/>
  <c r="EI238" i="10"/>
  <c r="ES149" i="10"/>
  <c r="ET149" i="10" s="1"/>
  <c r="EI149" i="10"/>
  <c r="ES245" i="10"/>
  <c r="ET245" i="10" s="1"/>
  <c r="EI245" i="10"/>
  <c r="EI350" i="10"/>
  <c r="ES330" i="10"/>
  <c r="ET330" i="10" s="1"/>
  <c r="EI330" i="10"/>
  <c r="ES249" i="10"/>
  <c r="ET249" i="10" s="1"/>
  <c r="EI249" i="10"/>
  <c r="ES295" i="10"/>
  <c r="ET295" i="10" s="1"/>
  <c r="EI295" i="10"/>
  <c r="EI177" i="10"/>
  <c r="ES177" i="10"/>
  <c r="ET177" i="10" s="1"/>
  <c r="ES178" i="10"/>
  <c r="ET178" i="10" s="1"/>
  <c r="EI274" i="10"/>
  <c r="ES274" i="10"/>
  <c r="ET274" i="10" s="1"/>
  <c r="ES89" i="10"/>
  <c r="EI89" i="10"/>
  <c r="EI315" i="10"/>
  <c r="ES260" i="10"/>
  <c r="ET260" i="10" s="1"/>
  <c r="ES236" i="10"/>
  <c r="ET236" i="10" s="1"/>
  <c r="ES316" i="10"/>
  <c r="ET316" i="10" s="1"/>
  <c r="EI316" i="10"/>
  <c r="EI156" i="10"/>
  <c r="ES156" i="10"/>
  <c r="ET156" i="10" s="1"/>
  <c r="EI179" i="10"/>
  <c r="ES198" i="10"/>
  <c r="ET198" i="10" s="1"/>
  <c r="EI198" i="10"/>
  <c r="ES217" i="10"/>
  <c r="ET217" i="10" s="1"/>
  <c r="EI217" i="10"/>
  <c r="ES215" i="10"/>
  <c r="ET215" i="10" s="1"/>
  <c r="EI215" i="10"/>
  <c r="ES157" i="10"/>
  <c r="ET157" i="10" s="1"/>
  <c r="EI157" i="10"/>
  <c r="ES363" i="10"/>
  <c r="ET363" i="10" s="1"/>
  <c r="EI363" i="10"/>
  <c r="ES286" i="10"/>
  <c r="ET286" i="10" s="1"/>
  <c r="EI286" i="10"/>
  <c r="ES209" i="10"/>
  <c r="ET209" i="10" s="1"/>
  <c r="EI209" i="10"/>
  <c r="ES16" i="10"/>
  <c r="ES204" i="10"/>
  <c r="ET204" i="10" s="1"/>
  <c r="EI204" i="10"/>
  <c r="EI320" i="10"/>
  <c r="ES320" i="10"/>
  <c r="ET320" i="10" s="1"/>
  <c r="ES127" i="10"/>
  <c r="ET127" i="10" s="1"/>
  <c r="EI127" i="10"/>
  <c r="ES152" i="10"/>
  <c r="ET152" i="10" s="1"/>
  <c r="EI152" i="10"/>
  <c r="ES226" i="10"/>
  <c r="ET226" i="10" s="1"/>
  <c r="EI226" i="10"/>
  <c r="ES105" i="10"/>
  <c r="EI105" i="10"/>
  <c r="ES315" i="10"/>
  <c r="ET315" i="10" s="1"/>
  <c r="ES154" i="10"/>
  <c r="ET154" i="10" s="1"/>
  <c r="EI154" i="10"/>
  <c r="ES131" i="10"/>
  <c r="ET131" i="10" s="1"/>
  <c r="EI131" i="10"/>
  <c r="EI133" i="10"/>
  <c r="EI80" i="10"/>
  <c r="ES291" i="10"/>
  <c r="ET291" i="10" s="1"/>
  <c r="EI291" i="10"/>
  <c r="ES81" i="10"/>
  <c r="EI81" i="10"/>
  <c r="ES302" i="10"/>
  <c r="ET302" i="10" s="1"/>
  <c r="EI302" i="10"/>
  <c r="ES234" i="10"/>
  <c r="ET234" i="10" s="1"/>
  <c r="EI234" i="10"/>
  <c r="ES138" i="10"/>
  <c r="ET138" i="10" s="1"/>
  <c r="EI138" i="10"/>
  <c r="ES179" i="10"/>
  <c r="ET179" i="10" s="1"/>
  <c r="EI39" i="10"/>
  <c r="ES39" i="10"/>
  <c r="ES145" i="10"/>
  <c r="ET145" i="10" s="1"/>
  <c r="EI145" i="10"/>
  <c r="ES216" i="10"/>
  <c r="ET216" i="10" s="1"/>
  <c r="EI216" i="10"/>
  <c r="EI337" i="10"/>
  <c r="ES337" i="10"/>
  <c r="ET337" i="10" s="1"/>
  <c r="ES203" i="10"/>
  <c r="ET203" i="10" s="1"/>
  <c r="EI203" i="10"/>
  <c r="ES343" i="10"/>
  <c r="ET343" i="10" s="1"/>
  <c r="EI343" i="10"/>
  <c r="EI220" i="10"/>
  <c r="ES220" i="10"/>
  <c r="ET220" i="10" s="1"/>
  <c r="ES200" i="10"/>
  <c r="ET200" i="10" s="1"/>
  <c r="EI200" i="10"/>
  <c r="ES296" i="10"/>
  <c r="ET296" i="10" s="1"/>
  <c r="EI296" i="10"/>
  <c r="EI37" i="10"/>
  <c r="EI364" i="10"/>
  <c r="ES364" i="10"/>
  <c r="ET364" i="10" s="1"/>
  <c r="ES196" i="10"/>
  <c r="ET196" i="10" s="1"/>
  <c r="EI196" i="10"/>
  <c r="EI242" i="10"/>
  <c r="ES242" i="10"/>
  <c r="ET242" i="10" s="1"/>
  <c r="ES141" i="10"/>
  <c r="ET141" i="10" s="1"/>
  <c r="EI141" i="10"/>
  <c r="ES267" i="10"/>
  <c r="ET267" i="10" s="1"/>
  <c r="EI267" i="10"/>
  <c r="EI355" i="10"/>
  <c r="ES355" i="10"/>
  <c r="ET355" i="10" s="1"/>
  <c r="ES109" i="10"/>
  <c r="EI109" i="10"/>
  <c r="EI197" i="10"/>
  <c r="ES197" i="10"/>
  <c r="ET197" i="10" s="1"/>
  <c r="ES361" i="10"/>
  <c r="ET361" i="10" s="1"/>
  <c r="EI361" i="10"/>
  <c r="ES231" i="10"/>
  <c r="ET231" i="10" s="1"/>
  <c r="EI231" i="10"/>
  <c r="ES162" i="10"/>
  <c r="ET162" i="10" s="1"/>
  <c r="EI162" i="10"/>
  <c r="EI306" i="10"/>
  <c r="ES306" i="10"/>
  <c r="ET306" i="10" s="1"/>
  <c r="ES133" i="10"/>
  <c r="ET133" i="10" s="1"/>
  <c r="ES80" i="10"/>
  <c r="ES153" i="10"/>
  <c r="ET153" i="10" s="1"/>
  <c r="EI153" i="10"/>
  <c r="ES259" i="10"/>
  <c r="ET259" i="10" s="1"/>
  <c r="EI259" i="10"/>
  <c r="EI225" i="10"/>
  <c r="ES225" i="10"/>
  <c r="ET225" i="10" s="1"/>
  <c r="ES323" i="10"/>
  <c r="ET323" i="10" s="1"/>
  <c r="EI323" i="10"/>
  <c r="ES222" i="10"/>
  <c r="ET222" i="10" s="1"/>
  <c r="EI222" i="10"/>
  <c r="ES146" i="10"/>
  <c r="ET146" i="10" s="1"/>
  <c r="EI146" i="10"/>
  <c r="ES38" i="10"/>
  <c r="EI38" i="10"/>
  <c r="EI49" i="10"/>
  <c r="ES339" i="10"/>
  <c r="ET339" i="10" s="1"/>
  <c r="EI339" i="10"/>
  <c r="ES206" i="10"/>
  <c r="ET206" i="10" s="1"/>
  <c r="EI206" i="10"/>
  <c r="EI36" i="10"/>
  <c r="ES36" i="10"/>
  <c r="ES144" i="10"/>
  <c r="ET144" i="10" s="1"/>
  <c r="EI144" i="10"/>
  <c r="ES305" i="10"/>
  <c r="ET305" i="10" s="1"/>
  <c r="EI305" i="10"/>
  <c r="ES303" i="10"/>
  <c r="ET303" i="10" s="1"/>
  <c r="EI303" i="10"/>
  <c r="ES175" i="10"/>
  <c r="ET175" i="10" s="1"/>
  <c r="EI175" i="10"/>
  <c r="ES159" i="10"/>
  <c r="ET159" i="10" s="1"/>
  <c r="EI159" i="10"/>
  <c r="EI26" i="10"/>
  <c r="ES180" i="10"/>
  <c r="ET180" i="10" s="1"/>
  <c r="EI76" i="10"/>
  <c r="ES76" i="10"/>
  <c r="EI266" i="10"/>
  <c r="ES266" i="10"/>
  <c r="ET266" i="10" s="1"/>
  <c r="ES351" i="10"/>
  <c r="ET351" i="10" s="1"/>
  <c r="EI351" i="10"/>
  <c r="ES317" i="10"/>
  <c r="ET317" i="10" s="1"/>
  <c r="EI317" i="10"/>
  <c r="EI15" i="10"/>
  <c r="EI263" i="10"/>
  <c r="ES263" i="10"/>
  <c r="ET263" i="10" s="1"/>
  <c r="ES128" i="10"/>
  <c r="ET128" i="10" s="1"/>
  <c r="EI128" i="10"/>
  <c r="ES119" i="10"/>
  <c r="EI119" i="10"/>
  <c r="ES277" i="10"/>
  <c r="ET277" i="10" s="1"/>
  <c r="EI277" i="10"/>
  <c r="ES282" i="10"/>
  <c r="ET282" i="10" s="1"/>
  <c r="EI282" i="10"/>
  <c r="ES341" i="10"/>
  <c r="ET341" i="10" s="1"/>
  <c r="EI341" i="10"/>
  <c r="ES49" i="10"/>
  <c r="ES288" i="10"/>
  <c r="ET288" i="10" s="1"/>
  <c r="EI288" i="10"/>
  <c r="ES357" i="10"/>
  <c r="ET357" i="10" s="1"/>
  <c r="EI357" i="10"/>
  <c r="ES104" i="10"/>
  <c r="EI104" i="10"/>
  <c r="ES292" i="10"/>
  <c r="ET292" i="10" s="1"/>
  <c r="EI292" i="10"/>
  <c r="ES264" i="10"/>
  <c r="ET264" i="10" s="1"/>
  <c r="EI264" i="10"/>
  <c r="ES75" i="10"/>
  <c r="EI75" i="10"/>
  <c r="ES289" i="10"/>
  <c r="ET289" i="10" s="1"/>
  <c r="EI289" i="10"/>
  <c r="ES26" i="10"/>
  <c r="EI180" i="10"/>
  <c r="ES170" i="10"/>
  <c r="ET170" i="10" s="1"/>
  <c r="EI170" i="10"/>
  <c r="ES340" i="10"/>
  <c r="ET340" i="10" s="1"/>
  <c r="EI340" i="10"/>
  <c r="ES15" i="10"/>
  <c r="ES195" i="10"/>
  <c r="ET195" i="10" s="1"/>
  <c r="EI195" i="10"/>
  <c r="ES360" i="10"/>
  <c r="ET360" i="10" s="1"/>
  <c r="EI360" i="10"/>
  <c r="ES332" i="10"/>
  <c r="ET332" i="10" s="1"/>
  <c r="EI332" i="10"/>
  <c r="ES176" i="10"/>
  <c r="ET176" i="10" s="1"/>
  <c r="ES314" i="10"/>
  <c r="ET314" i="10" s="1"/>
  <c r="EI314" i="10"/>
  <c r="ES151" i="10"/>
  <c r="ET151" i="10" s="1"/>
  <c r="EI151" i="10"/>
  <c r="ES290" i="10"/>
  <c r="ET290" i="10" s="1"/>
  <c r="EI290" i="10"/>
  <c r="ES228" i="10"/>
  <c r="ET228" i="10" s="1"/>
  <c r="EI228" i="10"/>
  <c r="ES247" i="10"/>
  <c r="ET247" i="10" s="1"/>
  <c r="EI247" i="10"/>
  <c r="ES166" i="10"/>
  <c r="ET166" i="10" s="1"/>
  <c r="EI166" i="10"/>
  <c r="EI16" i="10"/>
  <c r="ES258" i="10"/>
  <c r="ET258" i="10" s="1"/>
  <c r="EI258" i="10"/>
  <c r="ES310" i="10"/>
  <c r="ET310" i="10" s="1"/>
  <c r="EI310" i="10"/>
  <c r="EI255" i="10"/>
  <c r="ES255" i="10"/>
  <c r="ET255" i="10" s="1"/>
  <c r="ES46" i="10"/>
  <c r="EI212" i="10"/>
  <c r="ES212" i="10"/>
  <c r="ET212" i="10" s="1"/>
  <c r="ES173" i="10"/>
  <c r="ET173" i="10" s="1"/>
  <c r="EI173" i="10"/>
  <c r="ES256" i="10"/>
  <c r="ET256" i="10" s="1"/>
  <c r="EI256" i="10"/>
  <c r="EI35" i="10"/>
  <c r="ES35" i="10"/>
  <c r="EI160" i="10"/>
  <c r="ES160" i="10"/>
  <c r="ET160" i="10" s="1"/>
  <c r="EI150" i="10"/>
  <c r="ES150" i="10"/>
  <c r="ET150" i="10" s="1"/>
  <c r="ES185" i="10"/>
  <c r="ET185" i="10" s="1"/>
  <c r="EI185" i="10"/>
  <c r="EI214" i="10"/>
  <c r="ES214" i="10"/>
  <c r="ET214" i="10" s="1"/>
  <c r="ES24" i="10"/>
  <c r="ES329" i="10"/>
  <c r="ET329" i="10" s="1"/>
  <c r="EI329" i="10"/>
  <c r="ES313" i="10"/>
  <c r="ET313" i="10" s="1"/>
  <c r="EI313" i="10"/>
  <c r="ES366" i="10"/>
  <c r="ET366" i="10" s="1"/>
  <c r="EI366" i="10"/>
  <c r="EI94" i="10"/>
  <c r="ES94" i="10"/>
  <c r="ES164" i="10"/>
  <c r="ET164" i="10" s="1"/>
  <c r="EI164" i="10"/>
  <c r="EI304" i="10"/>
  <c r="ES304" i="10"/>
  <c r="ET304" i="10" s="1"/>
  <c r="EI46" i="10"/>
  <c r="ES73" i="10"/>
  <c r="EI73" i="10"/>
  <c r="ES308" i="10"/>
  <c r="ET308" i="10" s="1"/>
  <c r="EI308" i="10"/>
  <c r="ES219" i="10"/>
  <c r="ET219" i="10" s="1"/>
  <c r="EI219" i="10"/>
  <c r="ES331" i="10"/>
  <c r="ET331" i="10" s="1"/>
  <c r="EI331" i="10"/>
  <c r="ES285" i="10"/>
  <c r="ET285" i="10" s="1"/>
  <c r="EI285" i="10"/>
  <c r="ES67" i="10"/>
  <c r="EI67" i="10"/>
  <c r="ES235" i="10"/>
  <c r="ET235" i="10" s="1"/>
  <c r="EI235" i="10"/>
  <c r="ES257" i="10"/>
  <c r="ET257" i="10" s="1"/>
  <c r="EI257" i="10"/>
  <c r="ES272" i="10"/>
  <c r="ET272" i="10" s="1"/>
  <c r="EI272" i="10"/>
  <c r="EI353" i="10"/>
  <c r="ES353" i="10"/>
  <c r="ET353" i="10" s="1"/>
  <c r="ES367" i="10"/>
  <c r="ET367" i="10" s="1"/>
  <c r="EI367" i="10"/>
  <c r="EI24" i="10"/>
  <c r="V102" i="6"/>
  <c r="V103" i="6"/>
  <c r="T13" i="5"/>
  <c r="T11" i="5"/>
  <c r="T9" i="5"/>
  <c r="T7" i="5"/>
  <c r="T5" i="5"/>
  <c r="T3" i="5"/>
  <c r="U15" i="5"/>
  <c r="T12" i="5"/>
  <c r="T10" i="5"/>
  <c r="T8" i="5"/>
  <c r="T6" i="5"/>
  <c r="T4" i="5"/>
  <c r="T14" i="5" s="1"/>
  <c r="S18" i="5"/>
  <c r="X11" i="4"/>
  <c r="X13" i="4"/>
  <c r="X16" i="4"/>
  <c r="X18" i="4"/>
  <c r="X15" i="4"/>
  <c r="X19" i="4"/>
  <c r="X12" i="4"/>
  <c r="X6" i="4"/>
  <c r="Y17" i="4"/>
  <c r="X8" i="4"/>
  <c r="X10" i="4"/>
  <c r="X14" i="4"/>
  <c r="X5" i="4"/>
  <c r="X7" i="4"/>
  <c r="X9" i="4"/>
  <c r="V104" i="6" l="1"/>
  <c r="V105" i="6"/>
  <c r="U5" i="5"/>
  <c r="U3" i="5"/>
  <c r="U9" i="5"/>
  <c r="V15" i="5"/>
  <c r="U7" i="5"/>
  <c r="U11" i="5"/>
  <c r="U12" i="5"/>
  <c r="U10" i="5"/>
  <c r="U8" i="5"/>
  <c r="U6" i="5"/>
  <c r="U4" i="5"/>
  <c r="U14" i="5" s="1"/>
  <c r="U13" i="5"/>
  <c r="T18" i="5"/>
  <c r="Y11" i="4"/>
  <c r="Y13" i="4"/>
  <c r="Y15" i="4"/>
  <c r="Y12" i="4"/>
  <c r="Y14" i="4"/>
  <c r="Y5" i="4"/>
  <c r="Y18" i="4"/>
  <c r="Y7" i="4"/>
  <c r="Y19" i="4"/>
  <c r="Y6" i="4"/>
  <c r="Z17" i="4"/>
  <c r="Y8" i="4"/>
  <c r="Y10" i="4"/>
  <c r="Y16" i="4"/>
  <c r="Y9" i="4"/>
  <c r="V106" i="6" l="1"/>
  <c r="V9" i="5"/>
  <c r="V5" i="5"/>
  <c r="W15" i="5"/>
  <c r="V11" i="5"/>
  <c r="V3" i="5"/>
  <c r="V7" i="5"/>
  <c r="V12" i="5"/>
  <c r="V10" i="5"/>
  <c r="V8" i="5"/>
  <c r="V6" i="5"/>
  <c r="V4" i="5"/>
  <c r="V14" i="5" s="1"/>
  <c r="V13" i="5"/>
  <c r="U18" i="5"/>
  <c r="Z13" i="4"/>
  <c r="Z15" i="4"/>
  <c r="Z19" i="4"/>
  <c r="Z18" i="4"/>
  <c r="Z7" i="4"/>
  <c r="Z9" i="4"/>
  <c r="Z11" i="4"/>
  <c r="Z6" i="4"/>
  <c r="AA17" i="4"/>
  <c r="Z8" i="4"/>
  <c r="Z10" i="4"/>
  <c r="Z12" i="4"/>
  <c r="Z14" i="4"/>
  <c r="Z16" i="4"/>
  <c r="Z5" i="4"/>
  <c r="V107" i="6" l="1"/>
  <c r="V18" i="5"/>
  <c r="W9" i="5"/>
  <c r="W7" i="5"/>
  <c r="W3" i="5"/>
  <c r="X15" i="5"/>
  <c r="W11" i="5"/>
  <c r="W12" i="5"/>
  <c r="W10" i="5"/>
  <c r="W8" i="5"/>
  <c r="W6" i="5"/>
  <c r="W4" i="5"/>
  <c r="W14" i="5" s="1"/>
  <c r="W5" i="5"/>
  <c r="W13" i="5"/>
  <c r="AA13" i="4"/>
  <c r="AA15" i="4"/>
  <c r="AA19" i="4"/>
  <c r="AA6" i="4"/>
  <c r="AA16" i="4"/>
  <c r="AA11" i="4"/>
  <c r="AB17" i="4"/>
  <c r="AA14" i="4"/>
  <c r="AA8" i="4"/>
  <c r="AA10" i="4"/>
  <c r="AA12" i="4"/>
  <c r="AA5" i="4"/>
  <c r="AA18" i="4"/>
  <c r="AA7" i="4"/>
  <c r="AA9" i="4"/>
  <c r="V108" i="6" l="1"/>
  <c r="X11" i="5"/>
  <c r="X7" i="5"/>
  <c r="Y15" i="5"/>
  <c r="X9" i="5"/>
  <c r="X12" i="5"/>
  <c r="X10" i="5"/>
  <c r="X8" i="5"/>
  <c r="X6" i="5"/>
  <c r="X4" i="5"/>
  <c r="X5" i="5"/>
  <c r="X3" i="5"/>
  <c r="X13" i="5"/>
  <c r="W18" i="5"/>
  <c r="AB15" i="4"/>
  <c r="AB19" i="4"/>
  <c r="AB6" i="4"/>
  <c r="AC17" i="4"/>
  <c r="AB5" i="4"/>
  <c r="AB7" i="4"/>
  <c r="AB8" i="4"/>
  <c r="AB16" i="4"/>
  <c r="AB10" i="4"/>
  <c r="AB12" i="4"/>
  <c r="AB14" i="4"/>
  <c r="AB18" i="4"/>
  <c r="AB9" i="4"/>
  <c r="AB11" i="4"/>
  <c r="AB13" i="4"/>
  <c r="V109" i="6" l="1"/>
  <c r="X14" i="5"/>
  <c r="X18" i="5" s="1"/>
  <c r="Y11" i="5"/>
  <c r="Z15" i="5"/>
  <c r="Y5" i="5"/>
  <c r="Y12" i="5"/>
  <c r="Y10" i="5"/>
  <c r="Y8" i="5"/>
  <c r="Y6" i="5"/>
  <c r="Y4" i="5"/>
  <c r="Y9" i="5"/>
  <c r="Y7" i="5"/>
  <c r="Y3" i="5"/>
  <c r="Y13" i="5"/>
  <c r="AC15" i="4"/>
  <c r="AC19" i="4"/>
  <c r="AC6" i="4"/>
  <c r="AD17" i="4"/>
  <c r="AC8" i="4"/>
  <c r="AC18" i="4"/>
  <c r="AC7" i="4"/>
  <c r="AC9" i="4"/>
  <c r="AC11" i="4"/>
  <c r="AC10" i="4"/>
  <c r="AC5" i="4"/>
  <c r="AC12" i="4"/>
  <c r="AC14" i="4"/>
  <c r="AC16" i="4"/>
  <c r="AC13" i="4"/>
  <c r="V110" i="6" l="1"/>
  <c r="Y14" i="5"/>
  <c r="Y18" i="5" s="1"/>
  <c r="Z9" i="5"/>
  <c r="Z5" i="5"/>
  <c r="Z3" i="5"/>
  <c r="Z12" i="5"/>
  <c r="Z10" i="5"/>
  <c r="Z8" i="5"/>
  <c r="Z6" i="5"/>
  <c r="Z4" i="5"/>
  <c r="Z14" i="5" s="1"/>
  <c r="Z11" i="5"/>
  <c r="Z7" i="5"/>
  <c r="Z13" i="5"/>
  <c r="AD19" i="4"/>
  <c r="AD6" i="4"/>
  <c r="AE17" i="4"/>
  <c r="AD8" i="4"/>
  <c r="AD18" i="4"/>
  <c r="AD11" i="4"/>
  <c r="AD13" i="4"/>
  <c r="AD10" i="4"/>
  <c r="AD7" i="4"/>
  <c r="AD12" i="4"/>
  <c r="AD14" i="4"/>
  <c r="AD16" i="4"/>
  <c r="AD5" i="4"/>
  <c r="AD9" i="4"/>
  <c r="AD15" i="4"/>
  <c r="V111" i="6" l="1"/>
  <c r="Z18" i="5"/>
  <c r="AE6" i="4"/>
  <c r="AE15" i="4"/>
  <c r="AE8" i="4"/>
  <c r="AE10" i="4"/>
  <c r="AE9" i="4"/>
  <c r="AE19" i="4"/>
  <c r="AE12" i="4"/>
  <c r="AE18" i="4"/>
  <c r="AE14" i="4"/>
  <c r="AE16" i="4"/>
  <c r="AE5" i="4"/>
  <c r="AE7" i="4"/>
  <c r="AE11" i="4"/>
  <c r="AE13" i="4"/>
  <c r="V112" i="6" l="1"/>
  <c r="V113" i="6" l="1"/>
  <c r="V114" i="6" l="1"/>
  <c r="V115" i="6" l="1"/>
  <c r="V116" i="6" l="1"/>
  <c r="V117" i="6" l="1"/>
  <c r="V118" i="6" l="1"/>
  <c r="V119" i="6" l="1"/>
  <c r="V120" i="6" l="1"/>
  <c r="V121" i="6" l="1"/>
  <c r="V122" i="6" l="1"/>
  <c r="V123" i="6" l="1"/>
  <c r="V124" i="6" l="1"/>
  <c r="V125" i="6" l="1"/>
  <c r="V126" i="6" l="1"/>
  <c r="V127" i="6" l="1"/>
  <c r="V128" i="6" l="1"/>
  <c r="V129" i="6" l="1"/>
  <c r="V130" i="6" l="1"/>
  <c r="V131" i="6" l="1"/>
  <c r="V132" i="6" l="1"/>
  <c r="V133" i="6" l="1"/>
  <c r="V134" i="6" l="1"/>
  <c r="V135" i="6" l="1"/>
  <c r="V136" i="6" l="1"/>
  <c r="V137" i="6" l="1"/>
  <c r="V138" i="6" l="1"/>
  <c r="V139" i="6" l="1"/>
  <c r="V140" i="6" l="1"/>
  <c r="V141" i="6" l="1"/>
  <c r="V142" i="6" l="1"/>
  <c r="V143" i="6" l="1"/>
  <c r="V144" i="6" l="1"/>
  <c r="V145" i="6" l="1"/>
  <c r="V146" i="6" l="1"/>
  <c r="V147" i="6" l="1"/>
  <c r="V148" i="6" l="1"/>
  <c r="V149" i="6" l="1"/>
  <c r="V150" i="6" l="1"/>
  <c r="V151" i="6" l="1"/>
  <c r="V152" i="6" l="1"/>
  <c r="V153" i="6" l="1"/>
  <c r="V154" i="6" l="1"/>
  <c r="V155" i="6" l="1"/>
  <c r="V156" i="6" l="1"/>
  <c r="V157" i="6" l="1"/>
  <c r="V158" i="6" l="1"/>
  <c r="V159" i="6" l="1"/>
  <c r="V160" i="6" l="1"/>
  <c r="V161" i="6" l="1"/>
  <c r="V162" i="6" l="1"/>
  <c r="V163" i="6" l="1"/>
  <c r="V164" i="6" l="1"/>
  <c r="V165" i="6" l="1"/>
  <c r="V166" i="6" l="1"/>
  <c r="V167" i="6" l="1"/>
  <c r="V168" i="6" l="1"/>
  <c r="V169" i="6" l="1"/>
  <c r="V170" i="6" l="1"/>
  <c r="V171" i="6" l="1"/>
  <c r="V172" i="6" l="1"/>
  <c r="V173" i="6" l="1"/>
  <c r="V174" i="6" l="1"/>
  <c r="V175" i="6" l="1"/>
  <c r="V176" i="6" l="1"/>
  <c r="V177" i="6" l="1"/>
  <c r="V178" i="6" l="1"/>
  <c r="V179" i="6" l="1"/>
  <c r="V180" i="6" l="1"/>
  <c r="V181" i="6" l="1"/>
  <c r="V182" i="6" l="1"/>
  <c r="V183" i="6" l="1"/>
  <c r="V184" i="6" l="1"/>
  <c r="V185" i="6" l="1"/>
  <c r="V186" i="6" l="1"/>
  <c r="V187" i="6" l="1"/>
  <c r="V188" i="6" l="1"/>
  <c r="V189" i="6" l="1"/>
  <c r="V190" i="6" l="1"/>
  <c r="V191" i="6" l="1"/>
  <c r="V192" i="6" l="1"/>
  <c r="V193" i="6" l="1"/>
  <c r="V194" i="6" l="1"/>
  <c r="V195" i="6" l="1"/>
  <c r="V196" i="6" l="1"/>
  <c r="V197" i="6" l="1"/>
  <c r="V198" i="6" l="1"/>
  <c r="V199" i="6" l="1"/>
  <c r="V200" i="6" l="1"/>
  <c r="V201" i="6" l="1"/>
  <c r="V202" i="6" l="1"/>
  <c r="V203" i="6" l="1"/>
  <c r="V204" i="6" l="1"/>
  <c r="V205" i="6" l="1"/>
  <c r="V206" i="6" l="1"/>
  <c r="V207" i="6" l="1"/>
  <c r="V208" i="6" l="1"/>
  <c r="V209" i="6" l="1"/>
  <c r="V210" i="6" l="1"/>
  <c r="V211" i="6" l="1"/>
  <c r="V212" i="6" l="1"/>
  <c r="V213" i="6" l="1"/>
  <c r="V214" i="6" s="1"/>
  <c r="V215" i="6" s="1"/>
  <c r="V216" i="6" s="1"/>
  <c r="V217" i="6"/>
</calcChain>
</file>

<file path=xl/sharedStrings.xml><?xml version="1.0" encoding="utf-8"?>
<sst xmlns="http://schemas.openxmlformats.org/spreadsheetml/2006/main" count="1033" uniqueCount="412">
  <si>
    <t>BD sales 1000 m3</t>
  </si>
  <si>
    <t>https://www.gov.br/anp/pt-br/assuntos/distribuicao-e-revenda/leiloes-biodiesel/dados-de-aquisicoes-por-distribuidores</t>
  </si>
  <si>
    <t>SBO Sales</t>
  </si>
  <si>
    <t>Mandate</t>
  </si>
  <si>
    <t>5 year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</si>
  <si>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</si>
  <si>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</si>
  <si>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</si>
  <si>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</si>
  <si>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</si>
  <si>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</si>
  <si>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</si>
  <si>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</si>
  <si>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</si>
  <si>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</si>
  <si>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</si>
  <si>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</si>
  <si>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https://www.gov.br/anp/pt-br/centrais-de-conteudo/dados-abertos/producao-de-biocombustiveis</t>
  </si>
  <si>
    <t>Biodiesel Production (thousand m3)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</si>
  <si>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</si>
  <si>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</si>
  <si>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</si>
  <si>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</si>
  <si>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</si>
  <si>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</si>
  <si>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</si>
  <si>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</si>
  <si>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</si>
  <si>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</si>
  <si>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</si>
  <si>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</si>
  <si>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Blend Raete (%)</t>
  </si>
  <si>
    <t>BD/Diesel Sales</t>
  </si>
  <si>
    <t>1000m3</t>
  </si>
  <si>
    <t>B12</t>
  </si>
  <si>
    <t>https://www.gov.br/anp/pt-br/centrais-de-conteudo/dados-abertos/vendas-de-derivados-de-petroleo-e-biocombustiveis</t>
  </si>
  <si>
    <t>(1000 ton)</t>
  </si>
  <si>
    <t>Palm Oil Acid</t>
  </si>
  <si>
    <t>Soybean Oil Acid</t>
  </si>
  <si>
    <t xml:space="preserve">Tallow </t>
  </si>
  <si>
    <t>Poultry Fat</t>
  </si>
  <si>
    <t>Choice White Grease</t>
  </si>
  <si>
    <t>Cotton Oil</t>
  </si>
  <si>
    <t>Canola Oil</t>
  </si>
  <si>
    <t>UCO</t>
  </si>
  <si>
    <t>Sunflower Oil</t>
  </si>
  <si>
    <t>DCO</t>
  </si>
  <si>
    <t>Palm Oil</t>
  </si>
  <si>
    <t>CPKO</t>
  </si>
  <si>
    <t>Soybean Oil</t>
  </si>
  <si>
    <t>Yellow Grease</t>
  </si>
  <si>
    <t>VegOils</t>
  </si>
  <si>
    <t>Fats and Greases</t>
  </si>
  <si>
    <t>Total feedstock consumption</t>
  </si>
  <si>
    <t>yield</t>
  </si>
  <si>
    <t>mom change</t>
  </si>
  <si>
    <t>Feedstock mix</t>
  </si>
  <si>
    <t>https://www.gov.br/anp/pt-br/centrais-de-conteudo/paineis-dinamicos-da-anp/paineis-e-mapa-dinamicos-de-produtores-de-combustiveis-e-derivados/painel-dinamico-de-produtores-de-biodiesel</t>
  </si>
  <si>
    <t>m3</t>
  </si>
  <si>
    <t>Tallow</t>
  </si>
  <si>
    <t>Veg Oils</t>
  </si>
  <si>
    <t>Other VegOils (Ex. SBO)</t>
  </si>
  <si>
    <t>Other Greases (Ex. Tallow)</t>
  </si>
  <si>
    <t>Bahia</t>
  </si>
  <si>
    <t>Ceará</t>
  </si>
  <si>
    <t>Goiás</t>
  </si>
  <si>
    <t>Mato Grosso</t>
  </si>
  <si>
    <t>Mato Grosso do Sul</t>
  </si>
  <si>
    <t>Minas Gerais</t>
  </si>
  <si>
    <t>Pará</t>
  </si>
  <si>
    <t>Paraná</t>
  </si>
  <si>
    <t>Piauí</t>
  </si>
  <si>
    <t>Rio de Janeiro</t>
  </si>
  <si>
    <t>Rio Grande do Sul</t>
  </si>
  <si>
    <t>Rondônia</t>
  </si>
  <si>
    <t>Santa Catarina</t>
  </si>
  <si>
    <t>São Paulo</t>
  </si>
  <si>
    <t>Tocantins</t>
  </si>
  <si>
    <t>(blank)</t>
  </si>
  <si>
    <t>Grand Total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</si>
  <si>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</si>
  <si>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</si>
  <si>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</si>
  <si>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</si>
  <si>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</si>
  <si>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</si>
  <si>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</si>
  <si>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</si>
  <si>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</si>
  <si>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</si>
  <si>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</si>
  <si>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</si>
  <si>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</si>
  <si>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</si>
  <si>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</si>
  <si>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</si>
  <si>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</si>
  <si>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</si>
  <si>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</si>
  <si>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</si>
  <si>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</si>
  <si>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</si>
  <si>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</si>
  <si>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</si>
  <si>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</si>
  <si>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</si>
  <si>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</si>
  <si>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</si>
  <si>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</si>
  <si>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</si>
  <si>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</si>
  <si>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</si>
  <si>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</si>
  <si>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</si>
  <si>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</si>
  <si>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</si>
  <si>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</si>
  <si>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</si>
  <si>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</si>
  <si>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</si>
  <si>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</si>
  <si>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</si>
  <si>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</si>
  <si>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</si>
  <si>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</si>
  <si>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</si>
  <si>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</si>
  <si>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</si>
  <si>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</si>
  <si>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</si>
  <si>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</si>
  <si>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</si>
  <si>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</si>
  <si>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</si>
  <si>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</si>
  <si>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</si>
  <si>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</si>
  <si>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</si>
  <si>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</si>
  <si>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</si>
  <si>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</si>
  <si>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</si>
  <si>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</si>
  <si>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</si>
  <si>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</si>
  <si>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</si>
  <si>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</si>
  <si>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</si>
  <si>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</si>
  <si>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</si>
  <si>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</si>
  <si>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</si>
  <si>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</si>
  <si>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</si>
  <si>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</si>
  <si>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</si>
  <si>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</si>
  <si>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</si>
  <si>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</si>
  <si>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</si>
  <si>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</si>
  <si>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</si>
  <si>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</si>
  <si>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</si>
  <si>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</si>
  <si>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million litters</t>
  </si>
  <si>
    <t>Potencial - PR - Lapa</t>
  </si>
  <si>
    <t>Olfar GO - GO - Porangatu</t>
  </si>
  <si>
    <t>Granol GO - GO - Anápolis</t>
  </si>
  <si>
    <t>Be8 RS - RS - Passo Fundo</t>
  </si>
  <si>
    <t>Be8 PR - PR - Marialva</t>
  </si>
  <si>
    <t>ADM MT - MT - Rondonópolis</t>
  </si>
  <si>
    <t>Oleoplan BA - BA - Iraquara</t>
  </si>
  <si>
    <t>Oleoplan RS - RS - Veranópolis</t>
  </si>
  <si>
    <t>Olfar RS - RS - Erechim</t>
  </si>
  <si>
    <t>FRCB - MT - Várzea Grande</t>
  </si>
  <si>
    <t>3Tentos MT - MT - Vera</t>
  </si>
  <si>
    <t>Bianchini - RS - Canoas</t>
  </si>
  <si>
    <t>Cofco - MT - Rondonópolis</t>
  </si>
  <si>
    <t>Seara - SC - Mafra</t>
  </si>
  <si>
    <t>Amaggi MT - MT - Lucas do Rio Verde</t>
  </si>
  <si>
    <t>Binatural BA - BA - Simões Filho</t>
  </si>
  <si>
    <t>Delta MT - MT - Cuiaba</t>
  </si>
  <si>
    <t>Cargill - MS - Três Lagoas</t>
  </si>
  <si>
    <t>Granol RS - RS - Cachoeira do Sul</t>
  </si>
  <si>
    <t>3Tentos RS - RS - Ijuí</t>
  </si>
  <si>
    <t>Olfar RJ - RJ - Porto Real</t>
  </si>
  <si>
    <t>PBio BA - BA - Candeias</t>
  </si>
  <si>
    <t xml:space="preserve">Granol TO  - TO  - Porto Nacional </t>
  </si>
  <si>
    <t>Oleoplan PA - PA - Tomé-Açu</t>
  </si>
  <si>
    <t>JBS SP - SP - Lins</t>
  </si>
  <si>
    <t>Fênix - MT - Alta Araguaia</t>
  </si>
  <si>
    <t>Camera IJ - RS - Ijuí</t>
  </si>
  <si>
    <t>Binatural GO - GO - Formosa</t>
  </si>
  <si>
    <t>Caramuru IP - GO - Ipameri</t>
  </si>
  <si>
    <t>Caramuru SS - GO - São Simão</t>
  </si>
  <si>
    <t>Minerva - GO - Palmeiras de Goiás</t>
  </si>
  <si>
    <t>Delta MS - MS - Rio Brilhante</t>
  </si>
  <si>
    <t>Oleoplan - RO - Cacoal</t>
  </si>
  <si>
    <t>Cereal - GO - Rio Verde</t>
  </si>
  <si>
    <t>Fiagril - MT - Lucas do Rio Verde</t>
  </si>
  <si>
    <t>Pbio MG - MG - Montes Claros</t>
  </si>
  <si>
    <t>ADM SC - SC - Joaçaba</t>
  </si>
  <si>
    <t>Bocchi - RS - Muitos Capões</t>
  </si>
  <si>
    <t>Biofuga - RS - Camargo</t>
  </si>
  <si>
    <t>Bunge - MT - Nova Mutum</t>
  </si>
  <si>
    <t>JBS CV - MT - Campo Verde</t>
  </si>
  <si>
    <t>Lar - MS - Caarapó</t>
  </si>
  <si>
    <t>Brejeiro - SP - Orlândia</t>
  </si>
  <si>
    <t>Cocamar - PR - Maringá</t>
  </si>
  <si>
    <t>Aroma - SP - Piracicaba</t>
  </si>
  <si>
    <t>Amazonbio AM - AM - Manaus</t>
  </si>
  <si>
    <t>Biopar MT - MT - Nova Marilândia</t>
  </si>
  <si>
    <t>Caramuru MT - MT - Sorriso</t>
  </si>
  <si>
    <t>Biopar PA - PA - Santo Antonio do Tauá</t>
  </si>
  <si>
    <t>Caibiense - MT - Rondonópolis</t>
  </si>
  <si>
    <t>Unibras PI - PI - Floriano</t>
  </si>
  <si>
    <t>Bio Oeste - MT - Várzea Grande</t>
  </si>
  <si>
    <t>Prisma - SP - Sumaré</t>
  </si>
  <si>
    <t>Amazonbio RO - RO - Di-Paraná</t>
  </si>
  <si>
    <t>Binhardi - SP - Batatais</t>
  </si>
  <si>
    <t>Barralcool - MT - Barra dos Bugres</t>
  </si>
  <si>
    <t>Cesbra - RJ - Volta Redonda</t>
  </si>
  <si>
    <t>Biovida - MT - Várzea Grande</t>
  </si>
  <si>
    <t>Bio Óleo - MT - Cuiabá</t>
  </si>
  <si>
    <t>Tauá - MT - Nova Mutum</t>
  </si>
  <si>
    <t>Agropalma - PA - Belém</t>
  </si>
  <si>
    <t>Petrobio - PR - Umuarama</t>
  </si>
  <si>
    <t>Cooperfeliz - MT - Feliz Natal</t>
  </si>
  <si>
    <t>Bionorte - GO - São Miguel do Araguaia</t>
  </si>
  <si>
    <t>Aliança - MT - Rondonópolis</t>
  </si>
  <si>
    <t>Agropaulo - CE - Jaguaruana</t>
  </si>
  <si>
    <t>Jataí Ecodiesel - GO - Jataí</t>
  </si>
  <si>
    <t>Biobras - PR - Nova Esperança</t>
  </si>
  <si>
    <t>Feedstock Mix</t>
  </si>
  <si>
    <t>Start Date</t>
  </si>
  <si>
    <t>Name Plate Capacity (million litters)</t>
  </si>
  <si>
    <t>Pre-Treatment</t>
  </si>
  <si>
    <t>Pre-Treatment Tech</t>
  </si>
  <si>
    <t>Pre-Treatment Start Date</t>
  </si>
  <si>
    <t>Pre-Treatment Capacity</t>
  </si>
  <si>
    <t>SAF</t>
  </si>
  <si>
    <t>Probability</t>
  </si>
  <si>
    <t>(million pounds)</t>
  </si>
  <si>
    <t>Total Monthly Potential Demand</t>
  </si>
  <si>
    <t>Percent of Total</t>
  </si>
  <si>
    <t>RD Feedstock Usage (million pounds)</t>
  </si>
  <si>
    <t>Distillers' Corn Oil</t>
  </si>
  <si>
    <t>Used Cooking Oil</t>
  </si>
  <si>
    <t>SBO</t>
  </si>
  <si>
    <t>Tech Tallow</t>
  </si>
  <si>
    <t>Low CI Mix (Tallow)</t>
  </si>
  <si>
    <t>CWG</t>
  </si>
  <si>
    <t>Composition</t>
  </si>
  <si>
    <t>As needed</t>
  </si>
  <si>
    <t>Minimal</t>
  </si>
  <si>
    <t>As Needed</t>
  </si>
  <si>
    <t>Check</t>
  </si>
  <si>
    <t>Week Start</t>
  </si>
  <si>
    <t>Week End</t>
  </si>
  <si>
    <t>Norte</t>
  </si>
  <si>
    <t>Nordeste</t>
  </si>
  <si>
    <t>Centro-Oeste</t>
  </si>
  <si>
    <t>Sul</t>
  </si>
  <si>
    <t>Sudeste</t>
  </si>
  <si>
    <t>Brasil</t>
  </si>
  <si>
    <t>Biodiesel B-100 (R$/litro)</t>
  </si>
  <si>
    <t>Date</t>
  </si>
  <si>
    <t>Soyoil FOB Brazil R$/mt</t>
  </si>
  <si>
    <t>R$/kg</t>
  </si>
  <si>
    <t>2022-01-07</t>
  </si>
  <si>
    <t>2022-01-14</t>
  </si>
  <si>
    <t>2022-01-21</t>
  </si>
  <si>
    <t>2022-01-28</t>
  </si>
  <si>
    <t>2022-02-04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</si>
  <si>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</si>
  <si>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</si>
  <si>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</si>
  <si>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</si>
  <si>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</si>
  <si>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</si>
  <si>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</si>
  <si>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</si>
  <si>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</si>
  <si>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2022-04-14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</si>
  <si>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</si>
  <si>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</si>
  <si>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</si>
  <si>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</si>
  <si>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</si>
  <si>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</si>
  <si>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</si>
  <si>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</si>
  <si>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</si>
  <si>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</si>
  <si>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</si>
  <si>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</si>
  <si>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</si>
  <si>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</si>
  <si>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</si>
  <si>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</si>
  <si>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</si>
  <si>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</si>
  <si>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</si>
  <si>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</si>
  <si>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</si>
  <si>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</si>
  <si>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</si>
  <si>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</si>
  <si>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2022-10-07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</si>
  <si>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</si>
  <si>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</si>
  <si>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</si>
  <si>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</si>
  <si>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</si>
  <si>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</si>
  <si>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</si>
  <si>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</si>
  <si>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</si>
  <si>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</si>
  <si>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</si>
  <si>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2022-12-29</t>
  </si>
  <si>
    <t>2023-01-06</t>
  </si>
  <si>
    <t>2023-01-13</t>
  </si>
  <si>
    <t>2023-01-20</t>
  </si>
  <si>
    <t>2023-01-27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</si>
  <si>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</si>
  <si>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</si>
  <si>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</si>
  <si>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</si>
  <si>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</si>
  <si>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</si>
  <si>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</si>
  <si>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</si>
  <si>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</si>
  <si>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2023-04-06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</si>
  <si>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</si>
  <si>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</si>
  <si>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</si>
  <si>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</si>
  <si>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</si>
  <si>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</si>
  <si>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</si>
  <si>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</si>
  <si>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</si>
  <si>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</si>
  <si>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</si>
  <si>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</si>
  <si>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</si>
  <si>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</si>
  <si>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</si>
  <si>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</si>
  <si>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</si>
  <si>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</si>
  <si>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</si>
  <si>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</si>
  <si>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</si>
  <si>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</si>
  <si>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</si>
  <si>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</si>
  <si>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</si>
  <si>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</si>
  <si>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</si>
  <si>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</si>
  <si>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</si>
  <si>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</si>
  <si>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</si>
  <si>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</si>
  <si>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</si>
  <si>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</si>
  <si>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2023-12-06</t>
  </si>
  <si>
    <t>SBO (R$/lb)</t>
  </si>
  <si>
    <t>SBO (R$/kg)</t>
  </si>
  <si>
    <t>Biodiesel Prices (R$/liter)</t>
  </si>
  <si>
    <t>Biodiesel Prices (R$/gal)</t>
  </si>
  <si>
    <t>Ratio Fuel/Feedstocks</t>
  </si>
  <si>
    <t>Feedstock cost</t>
  </si>
  <si>
    <t xml:space="preserve">Profitability </t>
  </si>
  <si>
    <t>Profitability/lb</t>
  </si>
  <si>
    <t>Biodiesel (lbs/gal)</t>
  </si>
  <si>
    <t xml:space="preserve">  Canola Oil</t>
  </si>
  <si>
    <t>SBO density (kg/m3)</t>
  </si>
  <si>
    <t xml:space="preserve">  Corn Oil</t>
  </si>
  <si>
    <t xml:space="preserve">  Cottonseed Oil</t>
  </si>
  <si>
    <t>SBO density (lb/gal)</t>
  </si>
  <si>
    <t xml:space="preserve">  Palm Oil</t>
  </si>
  <si>
    <t xml:space="preserve">  Soybean Oil</t>
  </si>
  <si>
    <t xml:space="preserve">  Other (Sunflower Oil)</t>
  </si>
  <si>
    <t xml:space="preserve">  Poultry Fat</t>
  </si>
  <si>
    <t xml:space="preserve">  Tallow</t>
  </si>
  <si>
    <t xml:space="preserve">  White Grease</t>
  </si>
  <si>
    <t xml:space="preserve">  Other (Lard)</t>
  </si>
  <si>
    <t xml:space="preserve">  Yellow Grease</t>
  </si>
  <si>
    <t>lb/m3</t>
  </si>
  <si>
    <t xml:space="preserve">  Other Grease</t>
  </si>
  <si>
    <t>lb/gal</t>
  </si>
  <si>
    <t>Company</t>
  </si>
  <si>
    <t>Yearly Capacity (million liters)</t>
  </si>
  <si>
    <t>Starting date</t>
  </si>
  <si>
    <t>Feedstock</t>
  </si>
  <si>
    <t>Investment (millions of R$)</t>
  </si>
  <si>
    <t>Fuel</t>
  </si>
  <si>
    <t>Be8</t>
  </si>
  <si>
    <t>VO</t>
  </si>
  <si>
    <t>RD- own type BeVant. Superior to RD</t>
  </si>
  <si>
    <t>Brasil Biofuels</t>
  </si>
  <si>
    <t>PO</t>
  </si>
  <si>
    <t>RD,SAF</t>
  </si>
  <si>
    <t>Petrobrás</t>
  </si>
  <si>
    <t>Diesel R5 (5% RD blend)</t>
  </si>
  <si>
    <t>Acelen</t>
  </si>
  <si>
    <t>SBO at first then Macauba - will start planting 200k ha 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</si>
</sst>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#,##0_ ;\-#,##0\ "/>
    <numFmt numFmtId="165" formatCode="0.0%"/>
    <numFmt numFmtId="166" formatCode="0.0"/>
    <numFmt numFmtId="167" formatCode="#,##0.0_);[Red]\(#,##0.0\)"/>
    <numFmt numFmtId="168" formatCode="##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"/>
      <family val="2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rgb="FFFF000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2" fillId="0" borderId="0"/>
    <xf numFmtId="0" fontId="15" fillId="0" borderId="0"/>
  </cellStyleXfs>
  <cellXfs count="72">
    <xf numFmtId="0" fontId="0" fillId="0" borderId="0" xfId="0"/>
    <xf numFmtId="0" fontId="3" fillId="0" borderId="0" xfId="3"/>
    <xf numFmtId="17" fontId="0" fillId="0" borderId="0" xfId="0" applyNumberFormat="1"/>
    <xf numFmtId="38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164" fontId="4" fillId="0" borderId="0" xfId="0" applyNumberFormat="1" applyFont="1"/>
    <xf numFmtId="38" fontId="5" fillId="0" borderId="0" xfId="0" applyNumberFormat="1" applyFont="1"/>
    <xf numFmtId="3" fontId="4" fillId="0" borderId="0" xfId="0" applyNumberFormat="1" applyFont="1"/>
    <xf numFmtId="38" fontId="6" fillId="0" borderId="0" xfId="0" applyNumberFormat="1" applyFont="1"/>
    <xf numFmtId="3" fontId="4" fillId="0" borderId="2" xfId="0" applyNumberFormat="1" applyFont="1" applyBorder="1"/>
    <xf numFmtId="38" fontId="6" fillId="0" borderId="2" xfId="0" applyNumberFormat="1" applyFont="1" applyBorder="1"/>
    <xf numFmtId="9" fontId="0" fillId="0" borderId="0" xfId="2" applyFont="1"/>
    <xf numFmtId="165" fontId="0" fillId="0" borderId="0" xfId="2" applyNumberFormat="1" applyFont="1"/>
    <xf numFmtId="1" fontId="0" fillId="0" borderId="0" xfId="0" applyNumberFormat="1"/>
    <xf numFmtId="0" fontId="2" fillId="0" borderId="0" xfId="0" applyFont="1"/>
    <xf numFmtId="9" fontId="2" fillId="0" borderId="0" xfId="2" applyFont="1"/>
    <xf numFmtId="9" fontId="1" fillId="0" borderId="0" xfId="2" applyFont="1"/>
    <xf numFmtId="166" fontId="0" fillId="0" borderId="0" xfId="0" applyNumberFormat="1"/>
    <xf numFmtId="0" fontId="0" fillId="2" borderId="0" xfId="0" applyFill="1"/>
    <xf numFmtId="10" fontId="0" fillId="0" borderId="0" xfId="2" applyNumberFormat="1" applyFont="1"/>
    <xf numFmtId="10" fontId="1" fillId="0" borderId="0" xfId="2" applyNumberFormat="1" applyFont="1"/>
    <xf numFmtId="1" fontId="2" fillId="0" borderId="0" xfId="0" applyNumberFormat="1" applyFont="1"/>
    <xf numFmtId="10" fontId="2" fillId="0" borderId="0" xfId="2" applyNumberFormat="1" applyFont="1"/>
    <xf numFmtId="166" fontId="2" fillId="0" borderId="0" xfId="0" applyNumberFormat="1" applyFont="1"/>
    <xf numFmtId="0" fontId="3" fillId="2" borderId="0" xfId="3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1" fontId="0" fillId="2" borderId="0" xfId="0" applyNumberFormat="1" applyFill="1"/>
    <xf numFmtId="1" fontId="0" fillId="3" borderId="0" xfId="0" applyNumberFormat="1" applyFill="1"/>
    <xf numFmtId="9" fontId="0" fillId="0" borderId="0" xfId="2" applyFont="1" applyFill="1" applyAlignment="1">
      <alignment horizontal="center" vertical="center" wrapText="1"/>
    </xf>
    <xf numFmtId="1" fontId="0" fillId="4" borderId="0" xfId="0" applyNumberFormat="1" applyFill="1"/>
    <xf numFmtId="0" fontId="7" fillId="0" borderId="0" xfId="0" applyFont="1" applyAlignment="1">
      <alignment horizontal="center" vertical="center" wrapText="1"/>
    </xf>
    <xf numFmtId="40" fontId="0" fillId="0" borderId="0" xfId="0" applyNumberFormat="1"/>
    <xf numFmtId="0" fontId="6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4" fontId="7" fillId="0" borderId="0" xfId="0" applyNumberFormat="1" applyFont="1"/>
    <xf numFmtId="14" fontId="7" fillId="5" borderId="0" xfId="0" applyNumberFormat="1" applyFont="1" applyFill="1"/>
    <xf numFmtId="9" fontId="0" fillId="5" borderId="0" xfId="2" applyFont="1" applyFill="1" applyAlignment="1">
      <alignment horizontal="center" vertical="center" wrapText="1"/>
    </xf>
    <xf numFmtId="9" fontId="0" fillId="5" borderId="0" xfId="0" applyNumberFormat="1" applyFill="1" applyAlignment="1">
      <alignment horizontal="center" vertical="center" wrapText="1"/>
    </xf>
    <xf numFmtId="9" fontId="0" fillId="0" borderId="0" xfId="0" applyNumberFormat="1"/>
    <xf numFmtId="9" fontId="0" fillId="5" borderId="0" xfId="0" applyNumberFormat="1" applyFill="1"/>
    <xf numFmtId="38" fontId="9" fillId="0" borderId="0" xfId="0" applyNumberFormat="1" applyFont="1" applyAlignment="1">
      <alignment horizontal="center"/>
    </xf>
    <xf numFmtId="38" fontId="9" fillId="5" borderId="0" xfId="0" applyNumberFormat="1" applyFont="1" applyFill="1" applyAlignment="1">
      <alignment horizontal="center"/>
    </xf>
    <xf numFmtId="38" fontId="10" fillId="0" borderId="0" xfId="0" applyNumberFormat="1" applyFont="1" applyAlignment="1">
      <alignment horizontal="center"/>
    </xf>
    <xf numFmtId="38" fontId="10" fillId="5" borderId="0" xfId="0" applyNumberFormat="1" applyFont="1" applyFill="1" applyAlignment="1">
      <alignment horizontal="center"/>
    </xf>
    <xf numFmtId="0" fontId="0" fillId="5" borderId="0" xfId="0" applyFill="1"/>
    <xf numFmtId="38" fontId="11" fillId="0" borderId="0" xfId="0" applyNumberFormat="1" applyFont="1" applyAlignment="1">
      <alignment horizontal="center"/>
    </xf>
    <xf numFmtId="9" fontId="9" fillId="0" borderId="0" xfId="2" applyFont="1" applyAlignment="1">
      <alignment horizontal="center"/>
    </xf>
    <xf numFmtId="165" fontId="9" fillId="0" borderId="0" xfId="2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7" fillId="0" borderId="0" xfId="0" applyFont="1"/>
    <xf numFmtId="49" fontId="13" fillId="6" borderId="3" xfId="4" applyNumberFormat="1" applyFont="1" applyFill="1" applyBorder="1" applyAlignment="1">
      <alignment horizontal="center"/>
    </xf>
    <xf numFmtId="49" fontId="13" fillId="6" borderId="4" xfId="4" applyNumberFormat="1" applyFont="1" applyFill="1" applyBorder="1" applyAlignment="1">
      <alignment horizontal="center"/>
    </xf>
    <xf numFmtId="49" fontId="13" fillId="6" borderId="5" xfId="4" applyNumberFormat="1" applyFont="1" applyFill="1" applyBorder="1" applyAlignment="1">
      <alignment horizontal="center"/>
    </xf>
    <xf numFmtId="49" fontId="13" fillId="6" borderId="0" xfId="4" applyNumberFormat="1" applyFont="1" applyFill="1" applyAlignment="1">
      <alignment horizontal="center"/>
    </xf>
    <xf numFmtId="0" fontId="14" fillId="0" borderId="6" xfId="0" applyFont="1" applyBorder="1" applyAlignment="1">
      <alignment horizontal="center"/>
    </xf>
    <xf numFmtId="14" fontId="14" fillId="0" borderId="7" xfId="0" applyNumberFormat="1" applyFont="1" applyBorder="1" applyAlignment="1">
      <alignment horizontal="center"/>
    </xf>
    <xf numFmtId="14" fontId="14" fillId="0" borderId="8" xfId="0" applyNumberFormat="1" applyFont="1" applyBorder="1" applyAlignment="1">
      <alignment horizontal="center"/>
    </xf>
    <xf numFmtId="168" fontId="14" fillId="0" borderId="7" xfId="0" applyNumberFormat="1" applyFont="1" applyBorder="1" applyAlignment="1">
      <alignment horizontal="center"/>
    </xf>
    <xf numFmtId="168" fontId="14" fillId="0" borderId="9" xfId="0" applyNumberFormat="1" applyFont="1" applyBorder="1" applyAlignment="1">
      <alignment horizontal="center"/>
    </xf>
    <xf numFmtId="168" fontId="14" fillId="0" borderId="8" xfId="0" applyNumberFormat="1" applyFont="1" applyBorder="1" applyAlignment="1">
      <alignment horizontal="center"/>
    </xf>
    <xf numFmtId="168" fontId="14" fillId="0" borderId="10" xfId="0" applyNumberFormat="1" applyFont="1" applyBorder="1" applyAlignment="1">
      <alignment horizontal="center"/>
    </xf>
    <xf numFmtId="0" fontId="15" fillId="0" borderId="0" xfId="5"/>
    <xf numFmtId="2" fontId="0" fillId="0" borderId="0" xfId="0" applyNumberFormat="1"/>
    <xf numFmtId="44" fontId="0" fillId="0" borderId="0" xfId="1" applyFont="1"/>
    <xf numFmtId="44" fontId="0" fillId="0" borderId="0" xfId="0" applyNumberForma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6">
    <cellStyle name="Currency" xfId="1" builtinId="4"/>
    <cellStyle name="Hyperlink" xfId="3" builtinId="8"/>
    <cellStyle name="Normal" xfId="0" builtinId="0"/>
    <cellStyle name="Normal 2" xfId="4" xr:uid="{79DF4C63-E164-4C83-A6E6-AC6675231884}"/>
    <cellStyle name="Normal 6" xfId="5" xr:uid="{7AD1D583-C290-4584-A96F-133DF623B55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externalLink" Target="externalLinks/externalLink2.xml"/><Relationship Id="rId3" Type="http://schemas.openxmlformats.org/officeDocument/2006/relationships/chartsheet" Target="chartsheets/sheet2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9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3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Mandate</a:t>
            </a:r>
            <a:r>
              <a:rPr lang="en-US" sz="2400" baseline="0"/>
              <a:t> Increase led to record breaking </a:t>
            </a:r>
            <a:br>
              <a:rPr lang="en-US" sz="2400" baseline="0"/>
            </a:br>
            <a:r>
              <a:rPr lang="en-US" sz="2400" baseline="0"/>
              <a:t>sales of biodiesel and soybean oil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25572451912886"/>
          <c:y val="0.15180489164518152"/>
          <c:w val="0.79872977086700392"/>
          <c:h val="0.68245390565117414"/>
        </c:manualLayout>
      </c:layout>
      <c:areaChart>
        <c:grouping val="standard"/>
        <c:varyColors val="0"/>
        <c:ser>
          <c:idx val="0"/>
          <c:order val="0"/>
          <c:tx>
            <c:strRef>
              <c:f>BD_Sales!$B$2</c:f>
              <c:strCache>
                <c:ptCount val="1"/>
                <c:pt idx="0">
                  <c:v>SBO Sales</c:v>
                </c:pt>
              </c:strCache>
            </c:strRef>
          </c:tx>
          <c:spPr>
            <a:solidFill>
              <a:srgbClr val="6F0791"/>
            </a:solidFill>
            <a:ln w="15875">
              <a:noFill/>
            </a:ln>
            <a:effectLst/>
          </c:spPr>
          <c:cat>
            <c:numRef>
              <c:f>BD_Sales!$A$3:$A$59</c:f>
              <c:numCache>
                <c:formatCode>mmm\-yy</c:formatCode>
                <c:ptCount val="57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</c:numCache>
            </c:numRef>
          </c:cat>
          <c:val>
            <c:numRef>
              <c:f>BD_Sales!$B$3:$B$59</c:f>
              <c:numCache>
                <c:formatCode>#,##0_);[Red]\(#,##0\)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662.11633038677462</c:v>
                </c:pt>
                <c:pt idx="37">
                  <c:v>598.09368786276139</c:v>
                </c:pt>
                <c:pt idx="38">
                  <c:v>670.45212531225707</c:v>
                </c:pt>
                <c:pt idx="39">
                  <c:v>697.29183716926673</c:v>
                </c:pt>
                <c:pt idx="40">
                  <c:v>588.08384071936746</c:v>
                </c:pt>
                <c:pt idx="41">
                  <c:v>550.28051019932138</c:v>
                </c:pt>
                <c:pt idx="42">
                  <c:v>716.3720332673654</c:v>
                </c:pt>
                <c:pt idx="43">
                  <c:v>632.81481761300108</c:v>
                </c:pt>
                <c:pt idx="44">
                  <c:v>671.25343453253436</c:v>
                </c:pt>
                <c:pt idx="45">
                  <c:v>741.78570969712655</c:v>
                </c:pt>
                <c:pt idx="46">
                  <c:v>680.07585301988581</c:v>
                </c:pt>
                <c:pt idx="47">
                  <c:v>699.92627869681451</c:v>
                </c:pt>
                <c:pt idx="48">
                  <c:v>573.00332683372926</c:v>
                </c:pt>
                <c:pt idx="49">
                  <c:v>620.29302403197619</c:v>
                </c:pt>
                <c:pt idx="50">
                  <c:v>766.58123548754998</c:v>
                </c:pt>
                <c:pt idx="51">
                  <c:v>668.71528295118969</c:v>
                </c:pt>
                <c:pt idx="52">
                  <c:v>688.46132158060482</c:v>
                </c:pt>
                <c:pt idx="53">
                  <c:v>704.6410502849061</c:v>
                </c:pt>
                <c:pt idx="54">
                  <c:v>784.39321512282856</c:v>
                </c:pt>
                <c:pt idx="55">
                  <c:v>776.09944703842814</c:v>
                </c:pt>
                <c:pt idx="56">
                  <c:v>759.98151908317595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2-420B-8162-20B66E9408E4}"/>
            </c:ext>
          </c:extLst>
        </c:ser>
        <c:ser>
          <c:idx val="2"/>
          <c:order val="1"/>
          <c:tx>
            <c:strRef>
              <c:f>BD_Sales!$D$2</c:f>
              <c:strCache>
                <c:ptCount val="1"/>
                <c:pt idx="0">
                  <c:v>BD sales 1000 m3</c:v>
                </c:pt>
              </c:strCache>
            </c:strRef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numRef>
              <c:f>BD_Sales!$A$3:$A$59</c:f>
              <c:numCache>
                <c:formatCode>mmm\-yy</c:formatCode>
                <c:ptCount val="57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</c:numCache>
            </c:numRef>
          </c:cat>
          <c:val>
            <c:numRef>
              <c:f>BD_Sales!$D$3:$D$59</c:f>
              <c:numCache>
                <c:formatCode>#,##0</c:formatCode>
                <c:ptCount val="57"/>
                <c:pt idx="0">
                  <c:v>441.01886799999971</c:v>
                </c:pt>
                <c:pt idx="1">
                  <c:v>429.33543700000018</c:v>
                </c:pt>
                <c:pt idx="2">
                  <c:v>451.49697500000002</c:v>
                </c:pt>
                <c:pt idx="3">
                  <c:v>469.61132600000019</c:v>
                </c:pt>
                <c:pt idx="4">
                  <c:v>441.69862000000001</c:v>
                </c:pt>
                <c:pt idx="5">
                  <c:v>453.31060999999977</c:v>
                </c:pt>
                <c:pt idx="6">
                  <c:v>480.28392199999979</c:v>
                </c:pt>
                <c:pt idx="7">
                  <c:v>503.0871060000004</c:v>
                </c:pt>
                <c:pt idx="8">
                  <c:v>554.9168279999999</c:v>
                </c:pt>
                <c:pt idx="9">
                  <c:v>603.61058400000002</c:v>
                </c:pt>
                <c:pt idx="10">
                  <c:v>527.93824500000028</c:v>
                </c:pt>
                <c:pt idx="11">
                  <c:v>491.03321800000009</c:v>
                </c:pt>
                <c:pt idx="12">
                  <c:v>482.97002499999985</c:v>
                </c:pt>
                <c:pt idx="13">
                  <c:v>483.90427400000027</c:v>
                </c:pt>
                <c:pt idx="14">
                  <c:v>523.97606900000005</c:v>
                </c:pt>
                <c:pt idx="15">
                  <c:v>467.5357929999999</c:v>
                </c:pt>
                <c:pt idx="16">
                  <c:v>499.41171000000008</c:v>
                </c:pt>
                <c:pt idx="17">
                  <c:v>520.99211400000002</c:v>
                </c:pt>
                <c:pt idx="18">
                  <c:v>624.65513800000031</c:v>
                </c:pt>
                <c:pt idx="19">
                  <c:v>615.21859499999994</c:v>
                </c:pt>
                <c:pt idx="20">
                  <c:v>581.02134799999965</c:v>
                </c:pt>
                <c:pt idx="21">
                  <c:v>583.35535400000037</c:v>
                </c:pt>
                <c:pt idx="22">
                  <c:v>520.84735100000034</c:v>
                </c:pt>
                <c:pt idx="23">
                  <c:v>489.03422799999976</c:v>
                </c:pt>
                <c:pt idx="24">
                  <c:v>534.07067699999993</c:v>
                </c:pt>
                <c:pt idx="25">
                  <c:v>568.84573499999999</c:v>
                </c:pt>
                <c:pt idx="26">
                  <c:v>650.71251300000029</c:v>
                </c:pt>
                <c:pt idx="27">
                  <c:v>648.1613530000003</c:v>
                </c:pt>
                <c:pt idx="28">
                  <c:v>505.12481700000006</c:v>
                </c:pt>
                <c:pt idx="29">
                  <c:v>512.98949400000038</c:v>
                </c:pt>
                <c:pt idx="30">
                  <c:v>539.26003500000002</c:v>
                </c:pt>
                <c:pt idx="31">
                  <c:v>558.58613399999956</c:v>
                </c:pt>
                <c:pt idx="32">
                  <c:v>613.04013999999938</c:v>
                </c:pt>
                <c:pt idx="33">
                  <c:v>637.69429500000001</c:v>
                </c:pt>
                <c:pt idx="34">
                  <c:v>522.9785589999999</c:v>
                </c:pt>
                <c:pt idx="35">
                  <c:v>525.37547300000028</c:v>
                </c:pt>
                <c:pt idx="36">
                  <c:v>426.07238699999999</c:v>
                </c:pt>
                <c:pt idx="37">
                  <c:v>476.59420699999998</c:v>
                </c:pt>
                <c:pt idx="38">
                  <c:v>501.51706000000001</c:v>
                </c:pt>
                <c:pt idx="39">
                  <c:v>478.94074699999999</c:v>
                </c:pt>
                <c:pt idx="40">
                  <c:v>543.88261799999998</c:v>
                </c:pt>
                <c:pt idx="41">
                  <c:v>511.12819300000001</c:v>
                </c:pt>
                <c:pt idx="42">
                  <c:v>529.69709799999998</c:v>
                </c:pt>
                <c:pt idx="43">
                  <c:v>615.815383</c:v>
                </c:pt>
                <c:pt idx="44">
                  <c:v>550.05391599999996</c:v>
                </c:pt>
                <c:pt idx="45">
                  <c:v>540.69066899999996</c:v>
                </c:pt>
                <c:pt idx="46">
                  <c:v>538.46977000000004</c:v>
                </c:pt>
                <c:pt idx="47">
                  <c:v>480.99526300000002</c:v>
                </c:pt>
                <c:pt idx="48">
                  <c:v>461.59658000000002</c:v>
                </c:pt>
                <c:pt idx="49">
                  <c:v>463.95433600000001</c:v>
                </c:pt>
                <c:pt idx="50">
                  <c:v>572.24609299999997</c:v>
                </c:pt>
                <c:pt idx="51">
                  <c:v>574.80328099999997</c:v>
                </c:pt>
                <c:pt idx="52">
                  <c:v>622.51178900000002</c:v>
                </c:pt>
                <c:pt idx="53">
                  <c:v>644.08138899999994</c:v>
                </c:pt>
                <c:pt idx="54">
                  <c:v>683.00926900000002</c:v>
                </c:pt>
                <c:pt idx="55">
                  <c:v>725.01402700000006</c:v>
                </c:pt>
                <c:pt idx="56">
                  <c:v>652.21839599999998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32-420B-8162-20B66E94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411440"/>
        <c:axId val="1010411768"/>
      </c:areaChart>
      <c:lineChart>
        <c:grouping val="standard"/>
        <c:varyColors val="0"/>
        <c:ser>
          <c:idx val="1"/>
          <c:order val="2"/>
          <c:tx>
            <c:strRef>
              <c:f>BD_Sales!$C$2</c:f>
              <c:strCache>
                <c:ptCount val="1"/>
                <c:pt idx="0">
                  <c:v>Mandate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BD_Sales!$A$3:$A$59</c:f>
              <c:numCache>
                <c:formatCode>mmm\-yy</c:formatCode>
                <c:ptCount val="57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</c:numCache>
            </c:numRef>
          </c:cat>
          <c:val>
            <c:numRef>
              <c:f>BD_Sales!$C$3:$C$59</c:f>
              <c:numCache>
                <c:formatCode>General</c:formatCode>
                <c:ptCount val="57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0.13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0.12</c:v>
                </c:pt>
                <c:pt idx="33">
                  <c:v>0.12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2-420B-8162-20B66E94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561528"/>
        <c:axId val="1017565136"/>
      </c:lineChart>
      <c:dateAx>
        <c:axId val="10104114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0411768"/>
        <c:crosses val="autoZero"/>
        <c:auto val="1"/>
        <c:lblOffset val="100"/>
        <c:baseTimeUnit val="months"/>
      </c:dateAx>
      <c:valAx>
        <c:axId val="1010411768"/>
        <c:scaling>
          <c:orientation val="minMax"/>
          <c:min val="25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1000 m3</a:t>
                </a:r>
                <a:r>
                  <a:rPr lang="en-US" sz="1200" baseline="0"/>
                  <a:t>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0411440"/>
        <c:crosses val="autoZero"/>
        <c:crossBetween val="between"/>
      </c:valAx>
      <c:valAx>
        <c:axId val="1017565136"/>
        <c:scaling>
          <c:orientation val="minMax"/>
          <c:min val="8.0000000000000016E-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Biodiesel Mandate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7561528"/>
        <c:crosses val="max"/>
        <c:crossBetween val="between"/>
      </c:valAx>
      <c:dateAx>
        <c:axId val="10175615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17565136"/>
        <c:crosses val="autoZero"/>
        <c:auto val="1"/>
        <c:lblOffset val="100"/>
        <c:baseTimeUnit val="months"/>
      </c:date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13869359416897664"/>
          <c:y val="0.15506634469659922"/>
          <c:w val="0.67387539337331659"/>
          <c:h val="5.5126843657817108E-2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BD_Sales!$I$2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BD_Sales!$E$3:$E$14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BD_Sales!$I$3:$I$14</c:f>
              <c:numCache>
                <c:formatCode>#,##0</c:formatCode>
                <c:ptCount val="12"/>
                <c:pt idx="0">
                  <c:v>534.07067699999993</c:v>
                </c:pt>
                <c:pt idx="1">
                  <c:v>568.84573499999999</c:v>
                </c:pt>
                <c:pt idx="2">
                  <c:v>650.71251300000029</c:v>
                </c:pt>
                <c:pt idx="3">
                  <c:v>648.1613530000003</c:v>
                </c:pt>
                <c:pt idx="4">
                  <c:v>505.12481700000006</c:v>
                </c:pt>
                <c:pt idx="5">
                  <c:v>512.98949400000038</c:v>
                </c:pt>
                <c:pt idx="6">
                  <c:v>539.26003500000002</c:v>
                </c:pt>
                <c:pt idx="7">
                  <c:v>558.58613399999956</c:v>
                </c:pt>
                <c:pt idx="8">
                  <c:v>613.04013999999938</c:v>
                </c:pt>
                <c:pt idx="9">
                  <c:v>637.69429500000001</c:v>
                </c:pt>
                <c:pt idx="10">
                  <c:v>522.9785589999999</c:v>
                </c:pt>
                <c:pt idx="11">
                  <c:v>525.37547300000028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D-4D12-A1EB-6C5EA7AB6465}"/>
            </c:ext>
          </c:extLst>
        </c:ser>
        <c:ser>
          <c:idx val="4"/>
          <c:order val="1"/>
          <c:tx>
            <c:strRef>
              <c:f>BD_Sales!$J$2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BD_Sales!$E$3:$E$14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BD_Sales!$J$3:$J$14</c:f>
              <c:numCache>
                <c:formatCode>#,##0</c:formatCode>
                <c:ptCount val="12"/>
                <c:pt idx="0">
                  <c:v>426.07238699999999</c:v>
                </c:pt>
                <c:pt idx="1">
                  <c:v>476.59420699999998</c:v>
                </c:pt>
                <c:pt idx="2">
                  <c:v>501.51706000000001</c:v>
                </c:pt>
                <c:pt idx="3">
                  <c:v>478.94074699999999</c:v>
                </c:pt>
                <c:pt idx="4">
                  <c:v>543.88261799999998</c:v>
                </c:pt>
                <c:pt idx="5">
                  <c:v>511.12819300000001</c:v>
                </c:pt>
                <c:pt idx="6">
                  <c:v>529.69709799999998</c:v>
                </c:pt>
                <c:pt idx="7">
                  <c:v>615.815383</c:v>
                </c:pt>
                <c:pt idx="8">
                  <c:v>550.05391599999996</c:v>
                </c:pt>
                <c:pt idx="9">
                  <c:v>540.69066899999996</c:v>
                </c:pt>
                <c:pt idx="10">
                  <c:v>538.46977000000004</c:v>
                </c:pt>
                <c:pt idx="11">
                  <c:v>480.99526300000002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D-4D12-A1EB-6C5EA7AB6465}"/>
            </c:ext>
          </c:extLst>
        </c:ser>
        <c:ser>
          <c:idx val="5"/>
          <c:order val="2"/>
          <c:tx>
            <c:strRef>
              <c:f>BD_Sales!$K$2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BD_Sales!$E$3:$E$14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BD_Sales!$K$3:$K$12</c:f>
              <c:numCache>
                <c:formatCode>#,##0</c:formatCode>
                <c:ptCount val="10"/>
                <c:pt idx="0">
                  <c:v>461.59658000000002</c:v>
                </c:pt>
                <c:pt idx="1">
                  <c:v>463.95433600000001</c:v>
                </c:pt>
                <c:pt idx="2">
                  <c:v>572.24609299999997</c:v>
                </c:pt>
                <c:pt idx="3">
                  <c:v>574.80328099999997</c:v>
                </c:pt>
                <c:pt idx="4">
                  <c:v>622.51178900000002</c:v>
                </c:pt>
                <c:pt idx="5">
                  <c:v>644.08138899999994</c:v>
                </c:pt>
                <c:pt idx="6">
                  <c:v>683.00926900000002</c:v>
                </c:pt>
                <c:pt idx="7">
                  <c:v>725.01402700000006</c:v>
                </c:pt>
                <c:pt idx="8">
                  <c:v>652.21839599999998</c:v>
                </c:pt>
                <c:pt idx="9">
                  <c:v>691.93088799999998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6D-4D12-A1EB-6C5EA7AB6465}"/>
            </c:ext>
          </c:extLst>
        </c:ser>
        <c:ser>
          <c:idx val="6"/>
          <c:order val="3"/>
          <c:tx>
            <c:strRef>
              <c:f>BD_Sales!$N$2</c:f>
              <c:strCache>
                <c:ptCount val="1"/>
                <c:pt idx="0">
                  <c:v>5 year average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BD_Sales!$E$3:$E$14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BD_Sales!$N$3:$N$14</c:f>
              <c:numCache>
                <c:formatCode>#,##0</c:formatCode>
                <c:ptCount val="12"/>
                <c:pt idx="0">
                  <c:v>442.82230039999985</c:v>
                </c:pt>
                <c:pt idx="1">
                  <c:v>460.30309100000011</c:v>
                </c:pt>
                <c:pt idx="2">
                  <c:v>514.24904420000007</c:v>
                </c:pt>
                <c:pt idx="3">
                  <c:v>503.45855440000003</c:v>
                </c:pt>
                <c:pt idx="4">
                  <c:v>467.56959719999998</c:v>
                </c:pt>
                <c:pt idx="5">
                  <c:v>497.67742320000008</c:v>
                </c:pt>
                <c:pt idx="6">
                  <c:v>531.43677200000013</c:v>
                </c:pt>
                <c:pt idx="7">
                  <c:v>560.8658174000002</c:v>
                </c:pt>
                <c:pt idx="8">
                  <c:v>554.72358359999964</c:v>
                </c:pt>
                <c:pt idx="9">
                  <c:v>574.16244919999997</c:v>
                </c:pt>
                <c:pt idx="10">
                  <c:v>519.80077679999999</c:v>
                </c:pt>
                <c:pt idx="11">
                  <c:v>488.85716379999997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6D-4D12-A1EB-6C5EA7AB6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8032"/>
        <c:axId val="556470368"/>
      </c:lineChart>
      <c:catAx>
        <c:axId val="1227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470368"/>
        <c:crosses val="autoZero"/>
        <c:auto val="1"/>
        <c:lblAlgn val="ctr"/>
        <c:lblOffset val="100"/>
        <c:noMultiLvlLbl val="0"/>
      </c:catAx>
      <c:valAx>
        <c:axId val="55647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7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 b="1">
                <a:solidFill>
                  <a:sysClr val="windowText" lastClr="000000"/>
                </a:solidFill>
              </a:rPr>
              <a:t>Biodiesel</a:t>
            </a:r>
            <a:r>
              <a:rPr lang="en-US" sz="2800" b="1" baseline="0">
                <a:solidFill>
                  <a:sysClr val="windowText" lastClr="000000"/>
                </a:solidFill>
              </a:rPr>
              <a:t> </a:t>
            </a:r>
            <a:r>
              <a:rPr lang="en-US" sz="3200" b="1" baseline="0">
                <a:solidFill>
                  <a:sysClr val="windowText" lastClr="000000"/>
                </a:solidFill>
              </a:rPr>
              <a:t>production</a:t>
            </a:r>
            <a:r>
              <a:rPr lang="en-US" sz="2800" b="1" baseline="0">
                <a:solidFill>
                  <a:sysClr val="windowText" lastClr="000000"/>
                </a:solidFill>
              </a:rPr>
              <a:t> </a:t>
            </a:r>
            <a:r>
              <a:rPr lang="en-US" sz="3200" b="1" baseline="0">
                <a:solidFill>
                  <a:sysClr val="windowText" lastClr="000000"/>
                </a:solidFill>
              </a:rPr>
              <a:t>in</a:t>
            </a:r>
            <a:r>
              <a:rPr lang="en-US" sz="2800" b="1" baseline="0">
                <a:solidFill>
                  <a:sysClr val="windowText" lastClr="000000"/>
                </a:solidFill>
              </a:rPr>
              <a:t> </a:t>
            </a:r>
            <a:r>
              <a:rPr lang="en-US" sz="3200" b="1" baseline="0">
                <a:solidFill>
                  <a:sysClr val="windowText" lastClr="000000"/>
                </a:solidFill>
              </a:rPr>
              <a:t>Brazil</a:t>
            </a:r>
            <a:endParaRPr lang="en-US" sz="28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052142132695078"/>
          <c:y val="2.4164602753898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84165654355527E-2"/>
          <c:y val="0.14349908390520005"/>
          <c:w val="0.90459748239893989"/>
          <c:h val="0.74722702283579612"/>
        </c:manualLayout>
      </c:layout>
      <c:lineChart>
        <c:grouping val="standard"/>
        <c:varyColors val="0"/>
        <c:ser>
          <c:idx val="0"/>
          <c:order val="0"/>
          <c:tx>
            <c:v>2022</c:v>
          </c:tx>
          <c:spPr>
            <a:ln w="44450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Production!$S$5:$S$16</c:f>
              <c:numCache>
                <c:formatCode>#,##0_);[Red]\(#,##0\)</c:formatCode>
                <c:ptCount val="12"/>
                <c:pt idx="0">
                  <c:v>453891.47500000003</c:v>
                </c:pt>
                <c:pt idx="1">
                  <c:v>489514.39399999997</c:v>
                </c:pt>
                <c:pt idx="2">
                  <c:v>500195.66400000005</c:v>
                </c:pt>
                <c:pt idx="3">
                  <c:v>479670.36300000001</c:v>
                </c:pt>
                <c:pt idx="4">
                  <c:v>536096.9530000001</c:v>
                </c:pt>
                <c:pt idx="5">
                  <c:v>507868.46399999998</c:v>
                </c:pt>
                <c:pt idx="6">
                  <c:v>568759.53899999999</c:v>
                </c:pt>
                <c:pt idx="7">
                  <c:v>582853.1179999999</c:v>
                </c:pt>
                <c:pt idx="8">
                  <c:v>549842.54300000006</c:v>
                </c:pt>
                <c:pt idx="9">
                  <c:v>569334.14599999995</c:v>
                </c:pt>
                <c:pt idx="10">
                  <c:v>519208.52299999993</c:v>
                </c:pt>
                <c:pt idx="11">
                  <c:v>497475.08799999999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1-4C91-A00A-CC48BE8A520A}"/>
            </c:ext>
          </c:extLst>
        </c:ser>
        <c:ser>
          <c:idx val="2"/>
          <c:order val="1"/>
          <c:tx>
            <c:v>2023</c:v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44450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541-4C91-A00A-CC48BE8A520A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44450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541-4C91-A00A-CC48BE8A520A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44450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541-4C91-A00A-CC48BE8A520A}"/>
              </c:ext>
            </c:extLst>
          </c:dPt>
          <c:cat>
            <c:strRef>
              <c:f>Production!$A$5:$A$16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Production!$T$5:$T$16</c:f>
              <c:numCache>
                <c:formatCode>#,##0</c:formatCode>
                <c:ptCount val="12"/>
                <c:pt idx="0">
                  <c:v>454949.47700000001</c:v>
                </c:pt>
                <c:pt idx="1">
                  <c:v>455451.8820000001</c:v>
                </c:pt>
                <c:pt idx="2">
                  <c:v>552702.51100000006</c:v>
                </c:pt>
                <c:pt idx="3">
                  <c:v>578413.60300000012</c:v>
                </c:pt>
                <c:pt idx="4">
                  <c:v>648757.87700000009</c:v>
                </c:pt>
                <c:pt idx="5">
                  <c:v>657257.05999999994</c:v>
                </c:pt>
                <c:pt idx="6">
                  <c:v>717390.48299999989</c:v>
                </c:pt>
                <c:pt idx="7">
                  <c:v>707780.5839999998</c:v>
                </c:pt>
                <c:pt idx="8" formatCode="#,##0_);[Red]\(#,##0\)">
                  <c:v>672663.674</c:v>
                </c:pt>
                <c:pt idx="9" formatCode="#,##0_);[Red]\(#,##0\)">
                  <c:v>704201.30200000003</c:v>
                </c:pt>
                <c:pt idx="10" formatCode="#,##0_);[Red]\(#,##0\)">
                  <c:v>700224.08199999994</c:v>
                </c:pt>
                <c:pt idx="11" formatCode="#,##0_);[Red]\(#,##0\)">
                  <c:v>677866.13400000008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41-4C91-A00A-CC48BE8A520A}"/>
            </c:ext>
          </c:extLst>
        </c:ser>
        <c:ser>
          <c:idx val="1"/>
          <c:order val="2"/>
          <c:tx>
            <c:strRef>
              <c:f>Production!$U$4</c:f>
              <c:strCache>
                <c:ptCount val="1"/>
                <c:pt idx="0">
                  <c:v>2024</c:v>
                </c:pt>
              </c:strCache>
            </c:strRef>
          </c:tx>
          <c:spPr>
            <a:ln w="44450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9"/>
            <c:marker>
              <c:symbol val="circle"/>
              <c:size val="9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44450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41-4C91-A00A-CC48BE8A520A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44450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41-4C91-A00A-CC48BE8A520A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44450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541-4C91-A00A-CC48BE8A520A}"/>
              </c:ext>
            </c:extLst>
          </c:dPt>
          <c:val>
            <c:numRef>
              <c:f>Production!$U$5:$U$16</c:f>
              <c:numCache>
                <c:formatCode>#,##0_);[Red]\(#,##0\)</c:formatCode>
                <c:ptCount val="12"/>
                <c:pt idx="0">
                  <c:v>615733.19900000002</c:v>
                </c:pt>
                <c:pt idx="1">
                  <c:v>636556.54599999997</c:v>
                </c:pt>
                <c:pt idx="2">
                  <c:v>744617.56599999999</c:v>
                </c:pt>
                <c:pt idx="3">
                  <c:v>754333.83499999996</c:v>
                </c:pt>
                <c:pt idx="4">
                  <c:v>726908.83900000004</c:v>
                </c:pt>
                <c:pt idx="5">
                  <c:v>770378.08900000004</c:v>
                </c:pt>
                <c:pt idx="6">
                  <c:v>822084.62400000007</c:v>
                </c:pt>
                <c:pt idx="7">
                  <c:v>840448.72400000005</c:v>
                </c:pt>
                <c:pt idx="8">
                  <c:v>816106</c:v>
                </c:pt>
                <c:pt idx="9">
                  <c:v>845548.55099999998</c:v>
                </c:pt>
                <c:pt idx="10">
                  <c:v>815212.81599999999</c:v>
                </c:pt>
                <c:pt idx="11">
                  <c:v>695109.50899999996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41-4C91-A00A-CC48BE8A520A}"/>
            </c:ext>
          </c:extLst>
        </c:ser>
        <c:ser>
          <c:idx val="3"/>
          <c:order val="3"/>
          <c:tx>
            <c:strRef>
              <c:f>Production!$V$4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rgbClr val="D974F8"/>
              </a:solidFill>
              <a:prstDash val="sysDash"/>
              <a:round/>
            </a:ln>
            <a:effectLst/>
          </c:spPr>
          <c:marker>
            <c:symbol val="circle"/>
            <c:size val="9"/>
            <c:spPr>
              <a:solidFill>
                <a:srgbClr val="D974F8"/>
              </a:solidFill>
              <a:ln w="9525">
                <a:noFill/>
              </a:ln>
              <a:effectLst/>
            </c:spPr>
          </c:marker>
          <c:val>
            <c:numRef>
              <c:f>Production!$V$5:$V$16</c:f>
              <c:numCache>
                <c:formatCode>#,##0_);[Red]\(#,##0\)</c:formatCode>
                <c:ptCount val="12"/>
                <c:pt idx="0">
                  <c:v>626077.43099999998</c:v>
                </c:pt>
                <c:pt idx="1">
                  <c:v>688129.51887154451</c:v>
                </c:pt>
                <c:pt idx="2">
                  <c:v>785710.68567537202</c:v>
                </c:pt>
                <c:pt idx="3">
                  <c:v>752371.94777580514</c:v>
                </c:pt>
                <c:pt idx="4">
                  <c:v>770638.80333971698</c:v>
                </c:pt>
                <c:pt idx="5">
                  <c:v>779713.6769385332</c:v>
                </c:pt>
                <c:pt idx="6">
                  <c:v>854110.48406548169</c:v>
                </c:pt>
                <c:pt idx="7">
                  <c:v>867180.52464057377</c:v>
                </c:pt>
                <c:pt idx="8">
                  <c:v>855617.19479000941</c:v>
                </c:pt>
                <c:pt idx="9">
                  <c:v>888572.48858063377</c:v>
                </c:pt>
                <c:pt idx="10">
                  <c:v>824377.97941992828</c:v>
                </c:pt>
                <c:pt idx="11">
                  <c:v>794929.33126937284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541-4C91-A00A-CC48BE8A5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498431"/>
        <c:axId val="1701001487"/>
      </c:lineChart>
      <c:dateAx>
        <c:axId val="1411498431"/>
        <c:scaling>
          <c:orientation val="minMax"/>
        </c:scaling>
        <c:delete val="0"/>
        <c:axPos val="b"/>
        <c:numFmt formatCode="[$-409]mm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01001487"/>
        <c:crosses val="autoZero"/>
        <c:auto val="0"/>
        <c:lblOffset val="100"/>
        <c:baseTimeUnit val="days"/>
      </c:dateAx>
      <c:valAx>
        <c:axId val="1701001487"/>
        <c:scaling>
          <c:orientation val="minMax"/>
          <c:max val="1000000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1,000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11498431"/>
        <c:crosses val="autoZero"/>
        <c:crossBetween val="between"/>
        <c:dispUnits>
          <c:builtInUnit val="thousands"/>
        </c:dispUnits>
      </c:valAx>
      <c:spPr>
        <a:solidFill>
          <a:sysClr val="window" lastClr="FFFFFF"/>
        </a:solidFill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8368813978870762E-2"/>
          <c:y val="0.14854764565683526"/>
          <c:w val="0.38110107100726848"/>
          <c:h val="4.027801246393260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01709652025082"/>
          <c:y val="2.2821851905229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Diesel_Sales!$M$2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Diesel_Sales!$M$3:$M$14</c:f>
              <c:numCache>
                <c:formatCode>0</c:formatCode>
                <c:ptCount val="12"/>
                <c:pt idx="0">
                  <c:v>4523.8010000000004</c:v>
                </c:pt>
                <c:pt idx="1">
                  <c:v>4440.4319999999998</c:v>
                </c:pt>
                <c:pt idx="2">
                  <c:v>5496.5829999999996</c:v>
                </c:pt>
                <c:pt idx="3">
                  <c:v>5085.8370000000004</c:v>
                </c:pt>
                <c:pt idx="4">
                  <c:v>5022.1400000000003</c:v>
                </c:pt>
                <c:pt idx="5">
                  <c:v>5116.07</c:v>
                </c:pt>
                <c:pt idx="6">
                  <c:v>5617.4979999999996</c:v>
                </c:pt>
                <c:pt idx="7">
                  <c:v>5727.3119999999999</c:v>
                </c:pt>
                <c:pt idx="8">
                  <c:v>5417.7219999999998</c:v>
                </c:pt>
                <c:pt idx="9">
                  <c:v>5623.0559999999996</c:v>
                </c:pt>
                <c:pt idx="10">
                  <c:v>5106.4679999999998</c:v>
                </c:pt>
                <c:pt idx="11">
                  <c:v>4934.4930000000004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5-4429-B46E-181463203369}"/>
            </c:ext>
          </c:extLst>
        </c:ser>
        <c:ser>
          <c:idx val="1"/>
          <c:order val="1"/>
          <c:tx>
            <c:strRef>
              <c:f>Diesel_Sales!$N$2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Diesel_Sales!$N$3:$N$14</c:f>
              <c:numCache>
                <c:formatCode>0</c:formatCode>
                <c:ptCount val="12"/>
                <c:pt idx="0">
                  <c:v>4636.9489999999996</c:v>
                </c:pt>
                <c:pt idx="1">
                  <c:v>4929.3140000000003</c:v>
                </c:pt>
                <c:pt idx="2">
                  <c:v>5461.768</c:v>
                </c:pt>
                <c:pt idx="3">
                  <c:v>4989.82</c:v>
                </c:pt>
                <c:pt idx="4">
                  <c:v>5345.1289999999999</c:v>
                </c:pt>
                <c:pt idx="5">
                  <c:v>5139.3379999999997</c:v>
                </c:pt>
                <c:pt idx="6">
                  <c:v>5531.4830000000002</c:v>
                </c:pt>
                <c:pt idx="7">
                  <c:v>5811.1220000000003</c:v>
                </c:pt>
                <c:pt idx="8">
                  <c:v>5492.7079999999996</c:v>
                </c:pt>
                <c:pt idx="9">
                  <c:v>5616.152</c:v>
                </c:pt>
                <c:pt idx="10">
                  <c:v>5235.2299999999996</c:v>
                </c:pt>
                <c:pt idx="11">
                  <c:v>5037.7780000000002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5-4429-B46E-181463203369}"/>
            </c:ext>
          </c:extLst>
        </c:ser>
        <c:ser>
          <c:idx val="2"/>
          <c:order val="2"/>
          <c:tx>
            <c:strRef>
              <c:f>Diesel_Sales!$O$2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Diesel_Sales!$O$3:$O$12</c:f>
              <c:numCache>
                <c:formatCode>0</c:formatCode>
                <c:ptCount val="10"/>
                <c:pt idx="0">
                  <c:v>4542.37</c:v>
                </c:pt>
                <c:pt idx="1">
                  <c:v>4805.24</c:v>
                </c:pt>
                <c:pt idx="2">
                  <c:v>5848.3639999999996</c:v>
                </c:pt>
                <c:pt idx="3">
                  <c:v>4903.2610000000004</c:v>
                </c:pt>
                <c:pt idx="4">
                  <c:v>5644.8440000000001</c:v>
                </c:pt>
                <c:pt idx="5">
                  <c:v>5458.491</c:v>
                </c:pt>
                <c:pt idx="6">
                  <c:v>5717.4059999999999</c:v>
                </c:pt>
                <c:pt idx="7">
                  <c:v>6216.33</c:v>
                </c:pt>
                <c:pt idx="8">
                  <c:v>5761.8339999999998</c:v>
                </c:pt>
                <c:pt idx="9">
                  <c:v>5755.6030000000001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5-4429-B46E-181463203369}"/>
            </c:ext>
          </c:extLst>
        </c:ser>
        <c:ser>
          <c:idx val="3"/>
          <c:order val="3"/>
          <c:tx>
            <c:strRef>
              <c:f>Diesel_Sales!$AD$2</c:f>
              <c:strCache>
                <c:ptCount val="1"/>
                <c:pt idx="0">
                  <c:v>5 year average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Diesel_Sales!$AD$3:$AD$14</c:f>
              <c:numCache>
                <c:formatCode>0</c:formatCode>
                <c:ptCount val="12"/>
                <c:pt idx="0">
                  <c:v>4424.1848</c:v>
                </c:pt>
                <c:pt idx="1">
                  <c:v>4475.9282000000003</c:v>
                </c:pt>
                <c:pt idx="2">
                  <c:v>5009.8814000000002</c:v>
                </c:pt>
                <c:pt idx="3">
                  <c:v>4670.5118000000002</c:v>
                </c:pt>
                <c:pt idx="4">
                  <c:v>4659.38</c:v>
                </c:pt>
                <c:pt idx="5">
                  <c:v>4923.2749999999996</c:v>
                </c:pt>
                <c:pt idx="6">
                  <c:v>5309.8550000000005</c:v>
                </c:pt>
                <c:pt idx="7">
                  <c:v>5436.9103999999998</c:v>
                </c:pt>
                <c:pt idx="8">
                  <c:v>5159.6751999999997</c:v>
                </c:pt>
                <c:pt idx="9">
                  <c:v>5450.2455999999993</c:v>
                </c:pt>
                <c:pt idx="10">
                  <c:v>4957.9286000000002</c:v>
                </c:pt>
                <c:pt idx="11">
                  <c:v>4669.7649999999994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C5-4429-B46E-18146320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29984"/>
        <c:axId val="185654528"/>
      </c:lineChart>
      <c:catAx>
        <c:axId val="660829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54528"/>
        <c:crosses val="autoZero"/>
        <c:auto val="1"/>
        <c:lblAlgn val="ctr"/>
        <c:lblOffset val="100"/>
        <c:noMultiLvlLbl val="0"/>
      </c:catAx>
      <c:valAx>
        <c:axId val="185654528"/>
        <c:scaling>
          <c:orientation val="minMax"/>
          <c:max val="65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082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ysClr val="windowText" lastClr="000000"/>
                </a:solidFill>
              </a:rPr>
              <a:t>Biodiesel Feedstock Demand in Brazil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2718564026842962E-2"/>
          <c:y val="0.14349307574581902"/>
          <c:w val="0.90459748239893989"/>
          <c:h val="0.74722702283579612"/>
        </c:manualLayout>
      </c:layout>
      <c:barChart>
        <c:barDir val="col"/>
        <c:grouping val="stacked"/>
        <c:varyColors val="0"/>
        <c:ser>
          <c:idx val="9"/>
          <c:order val="3"/>
          <c:tx>
            <c:strRef>
              <c:f>Feedstocks!$A$365</c:f>
              <c:strCache>
                <c:ptCount val="1"/>
                <c:pt idx="0">
                  <c:v>VegOils</c:v>
                </c:pt>
              </c:strCache>
            </c:strRef>
          </c:tx>
          <c:spPr>
            <a:solidFill>
              <a:srgbClr val="6F0791">
                <a:alpha val="97000"/>
              </a:srgbClr>
            </a:solidFill>
            <a:ln w="25400"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pattFill prst="pct80">
                <a:fgClr>
                  <a:srgbClr val="6F0791"/>
                </a:fgClr>
                <a:bgClr>
                  <a:schemeClr val="bg1"/>
                </a:bgClr>
              </a:patt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C-42E3-B006-F6893E7693E9}"/>
              </c:ext>
            </c:extLst>
          </c:dPt>
          <c:dPt>
            <c:idx val="5"/>
            <c:invertIfNegative val="0"/>
            <c:bubble3D val="0"/>
            <c:spPr>
              <a:pattFill prst="pct80">
                <a:fgClr>
                  <a:srgbClr val="6F0791"/>
                </a:fgClr>
                <a:bgClr>
                  <a:schemeClr val="bg1"/>
                </a:bgClr>
              </a:patt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8C-42E3-B006-F6893E7693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Feedstocks!$B$365:$I$365</c15:sqref>
                  </c15:fullRef>
                </c:ext>
              </c:extLst>
              <c:f>Feedstocks!$D$365:$I$365</c:f>
              <c:numCache>
                <c:formatCode>0.0</c:formatCode>
                <c:ptCount val="6"/>
                <c:pt idx="0">
                  <c:v>4.572570824904</c:v>
                </c:pt>
                <c:pt idx="1">
                  <c:v>4.7768058224769998</c:v>
                </c:pt>
                <c:pt idx="2">
                  <c:v>4.0919424214819999</c:v>
                </c:pt>
                <c:pt idx="3">
                  <c:v>5.0980258058660004</c:v>
                </c:pt>
                <c:pt idx="4">
                  <c:v>6.7262566377919892</c:v>
                </c:pt>
                <c:pt idx="5">
                  <c:v>7.5659728260645656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C-42E3-B006-F6893E7693E9}"/>
            </c:ext>
          </c:extLst>
        </c:ser>
        <c:ser>
          <c:idx val="8"/>
          <c:order val="4"/>
          <c:tx>
            <c:strRef>
              <c:f>Feedstocks!$A$367</c:f>
              <c:strCache>
                <c:ptCount val="1"/>
                <c:pt idx="0">
                  <c:v>Fats and Greases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8C-42E3-B006-F6893E7693E9}"/>
              </c:ext>
            </c:extLst>
          </c:dPt>
          <c:dPt>
            <c:idx val="5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E8C-42E3-B006-F6893E7693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Feedstocks!$B$367:$I$367</c15:sqref>
                  </c15:fullRef>
                </c:ext>
              </c:extLst>
              <c:f>Feedstocks!$D$367:$I$367</c:f>
              <c:numCache>
                <c:formatCode>0.0</c:formatCode>
                <c:ptCount val="6"/>
                <c:pt idx="0">
                  <c:v>1.4065136770900002</c:v>
                </c:pt>
                <c:pt idx="1">
                  <c:v>1.4533320116100004</c:v>
                </c:pt>
                <c:pt idx="2">
                  <c:v>1.7710409887599998</c:v>
                </c:pt>
                <c:pt idx="3">
                  <c:v>1.79529112155</c:v>
                </c:pt>
                <c:pt idx="4">
                  <c:v>2.4615189943768163</c:v>
                </c:pt>
                <c:pt idx="5">
                  <c:v>2.2613081947588163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8C-42E3-B006-F6893E769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1498431"/>
        <c:axId val="1701001487"/>
        <c:extLst>
          <c:ext xmlns:c15="http://schemas.microsoft.com/office/drawing/2012/chart" uri="{02D57815-91ED-43cb-92C2-25804820EDAC}">
            <c15:filteredBa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Feedstocks!$A$359</c15:sqref>
                        </c15:formulaRef>
                      </c:ext>
                    </c:extLst>
                    <c:strCache>
                      <c:ptCount val="1"/>
                      <c:pt idx="0">
                        <c:v>Choice White Grease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Feedstocks!$B$356:$H$356</c15:sqref>
                        </c15:fullRef>
                        <c15:formulaRef>
                          <c15:sqref>Feedstocks!$D$356:$H$356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Feedstocks!$B$359:$I$359</c15:sqref>
                        </c15:fullRef>
                        <c15:formulaRef>
                          <c15:sqref>Feedstocks!$D$359:$I$359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0.10971312323999999</c:v>
                      </c:pt>
                      <c:pt idx="1">
                        <c:v>0.1120470918</c:v>
                      </c:pt>
                      <c:pt idx="2">
                        <c:v>0.16163388444000001</c:v>
                      </c:pt>
                      <c:pt idx="3">
                        <c:v>0.12265034544000003</c:v>
                      </c:pt>
                      <c:pt idx="4">
                        <c:v>0.16334823743999999</c:v>
                      </c:pt>
                      <c:pt idx="5">
                        <c:v>0.16761905117115825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9E8C-42E3-B006-F6893E7693E9}"/>
                  </c:ext>
                </c:extLst>
              </c15:ser>
            </c15:filteredBarSeries>
            <c15:filteredBarSeries>
              <c15:ser>
                <c:idx val="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Feedstocks!$A$366</c15:sqref>
                        </c15:formulaRef>
                      </c:ext>
                    </c:extLst>
                    <c:strCache>
                      <c:ptCount val="1"/>
                      <c:pt idx="0">
                        <c:v>Other Greases (Ex. Tallow)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Feedstocks!$B$356:$H$356</c15:sqref>
                        </c15:fullRef>
                        <c15:formulaRef>
                          <c15:sqref>Feedstocks!$D$356:$H$356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Feedstocks!$B$366:$H$366</c15:sqref>
                        </c15:fullRef>
                        <c15:formulaRef>
                          <c15:sqref>Feedstocks!$D$366:$H$366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0.21602863048000001</c:v>
                      </c:pt>
                      <c:pt idx="1">
                        <c:v>0.26509322540000002</c:v>
                      </c:pt>
                      <c:pt idx="2">
                        <c:v>0.36288884375000002</c:v>
                      </c:pt>
                      <c:pt idx="3">
                        <c:v>0.28288476171000004</c:v>
                      </c:pt>
                      <c:pt idx="4">
                        <c:v>0.28174119912999995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E8C-42E3-B006-F6893E7693E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7"/>
          <c:order val="0"/>
          <c:tx>
            <c:strRef>
              <c:f>Feedstocks!$A$368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3026882027760796E-2"/>
                  <c:y val="-1.6562167785476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8C-42E3-B006-F6893E7693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Feedstocks!$B$356:$I$356</c15:sqref>
                  </c15:fullRef>
                </c:ext>
              </c:extLst>
              <c:f>Feedstocks!$D$356:$I$356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Feedstocks!$B$368:$I$368</c15:sqref>
                  </c15:fullRef>
                </c:ext>
              </c:extLst>
              <c:f>Feedstocks!$D$368:$I$368</c:f>
              <c:numCache>
                <c:formatCode>0.0</c:formatCode>
                <c:ptCount val="6"/>
                <c:pt idx="0">
                  <c:v>5.9790845019940004</c:v>
                </c:pt>
                <c:pt idx="1">
                  <c:v>6.2301378340870004</c:v>
                </c:pt>
                <c:pt idx="2">
                  <c:v>5.8629834102420002</c:v>
                </c:pt>
                <c:pt idx="3">
                  <c:v>6.8933169274160004</c:v>
                </c:pt>
                <c:pt idx="4">
                  <c:v>9.1877756321688047</c:v>
                </c:pt>
                <c:pt idx="5">
                  <c:v>9.8272810208233814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8C-42E3-B006-F6893E7693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1498431"/>
        <c:axId val="1701001487"/>
      </c:lineChart>
      <c:catAx>
        <c:axId val="1411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01001487"/>
        <c:crosses val="autoZero"/>
        <c:auto val="1"/>
        <c:lblAlgn val="ctr"/>
        <c:lblOffset val="100"/>
        <c:noMultiLvlLbl val="0"/>
      </c:catAx>
      <c:valAx>
        <c:axId val="1701001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1,000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1149843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9.8368813978870762E-2"/>
          <c:y val="0.14854764565683526"/>
          <c:w val="0.27708314965115727"/>
          <c:h val="4.0398606270857014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D2D9F7-C598-4582-A82D-8F43B1316ACA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E9E1F1-DC36-4BA7-9ACB-ACC64F11D4D9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195295-C947-48B1-B148-66EDD5E995EA}">
  <sheetPr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836" cy="62891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2FCBA-154D-5C33-446E-862BC9A45D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0.96026</cdr:y>
    </cdr:from>
    <cdr:to>
      <cdr:x>0.72596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893700C-723F-45E0-AD09-1708E9ECC74B}"/>
            </a:ext>
          </a:extLst>
        </cdr:cNvPr>
        <cdr:cNvSpPr txBox="1"/>
      </cdr:nvSpPr>
      <cdr:spPr>
        <a:xfrm xmlns:a="http://schemas.openxmlformats.org/drawingml/2006/main">
          <a:off x="0" y="6037705"/>
          <a:ext cx="6287541" cy="249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National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Petroleum, Natural Gas and Biofuels Agency</a:t>
          </a:r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Abiove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493472</xdr:colOff>
      <xdr:row>2</xdr:row>
      <xdr:rowOff>141432</xdr:rowOff>
    </xdr:from>
    <xdr:to>
      <xdr:col>24</xdr:col>
      <xdr:colOff>186363</xdr:colOff>
      <xdr:row>17</xdr:row>
      <xdr:rowOff>121804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93477-AF45-48F8-A218-977BB1357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02FAF-E8DD-DA0A-8FB0-B4D754692D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0.9544</cdr:y>
    </cdr:from>
    <cdr:to>
      <cdr:x>0.77778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F84F7C-26DA-A726-3CE1-1796BD260CFE}"/>
            </a:ext>
          </a:extLst>
        </cdr:cNvPr>
        <cdr:cNvSpPr txBox="1"/>
      </cdr:nvSpPr>
      <cdr:spPr>
        <a:xfrm xmlns:a="http://schemas.openxmlformats.org/drawingml/2006/main">
          <a:off x="0" y="6001774"/>
          <a:ext cx="6739194" cy="286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National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Petroleum, Natural Gas and Biofuels Agency, Fasmarkets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59764</xdr:colOff>
      <xdr:row>34</xdr:row>
      <xdr:rowOff>159869</xdr:rowOff>
    </xdr:from>
    <xdr:to>
      <xdr:col>7</xdr:col>
      <xdr:colOff>367552</xdr:colOff>
      <xdr:row>49</xdr:row>
      <xdr:rowOff>140819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32476-5A29-4001-ABC0-89B371197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25B069-D22E-6F0A-3CB2-920918B927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0.96027</cdr:y>
    </cdr:from>
    <cdr:to>
      <cdr:x>0.72565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F84F7C-26DA-A726-3CE1-1796BD260CFE}"/>
            </a:ext>
          </a:extLst>
        </cdr:cNvPr>
        <cdr:cNvSpPr txBox="1"/>
      </cdr:nvSpPr>
      <cdr:spPr>
        <a:xfrm xmlns:a="http://schemas.openxmlformats.org/drawingml/2006/main">
          <a:off x="0" y="6038712"/>
          <a:ext cx="6287541" cy="249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National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Petroleum, Natural Gas and Biofuels Agency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World%20Soybean%20Balance%20Sheets.xlsx" TargetMode="External"/><Relationship Id="rId1" Type="http://schemas.openxmlformats.org/officeDocument/2006/relationships/externalLinkPath" Target="/Users/torem/Dropbox/RLC%20Documents/Models/Oilseeds/World%20Soybean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newable%20Diesel%20Feedstock%20Us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Soy Complex"/>
      <sheetName val="Brazil  yield by state"/>
      <sheetName val="La Nina and Yields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344">
          <cell r="CC344" t="str">
            <v>January</v>
          </cell>
          <cell r="CD344">
            <v>662.11633038677462</v>
          </cell>
          <cell r="CE344">
            <v>573.00332683372926</v>
          </cell>
        </row>
        <row r="345">
          <cell r="CC345" t="str">
            <v>February</v>
          </cell>
          <cell r="CD345">
            <v>598.09368786276139</v>
          </cell>
          <cell r="CE345">
            <v>620.29302403197619</v>
          </cell>
        </row>
        <row r="346">
          <cell r="CC346" t="str">
            <v>March</v>
          </cell>
          <cell r="CD346">
            <v>670.45212531225707</v>
          </cell>
          <cell r="CE346">
            <v>766.58123548754998</v>
          </cell>
        </row>
        <row r="347">
          <cell r="CC347" t="str">
            <v>April</v>
          </cell>
          <cell r="CD347">
            <v>697.29183716926673</v>
          </cell>
          <cell r="CE347">
            <v>668.71528295118969</v>
          </cell>
        </row>
        <row r="348">
          <cell r="CC348" t="str">
            <v>May</v>
          </cell>
          <cell r="CD348">
            <v>588.08384071936746</v>
          </cell>
          <cell r="CE348">
            <v>688.46132158060482</v>
          </cell>
        </row>
        <row r="349">
          <cell r="CC349" t="str">
            <v>June</v>
          </cell>
          <cell r="CD349">
            <v>550.28051019932138</v>
          </cell>
          <cell r="CE349">
            <v>704.6410502849061</v>
          </cell>
        </row>
        <row r="350">
          <cell r="CC350" t="str">
            <v>July</v>
          </cell>
          <cell r="CD350">
            <v>716.3720332673654</v>
          </cell>
          <cell r="CE350">
            <v>784.39321512282856</v>
          </cell>
        </row>
        <row r="351">
          <cell r="CC351" t="str">
            <v>August</v>
          </cell>
          <cell r="CD351">
            <v>632.81481761300108</v>
          </cell>
          <cell r="CE351">
            <v>776.09944703842814</v>
          </cell>
        </row>
        <row r="352">
          <cell r="CC352" t="str">
            <v>September</v>
          </cell>
          <cell r="CD352">
            <v>671.25343453253436</v>
          </cell>
          <cell r="CE352">
            <v>759.98151908317595</v>
          </cell>
        </row>
        <row r="353">
          <cell r="CC353" t="str">
            <v>October</v>
          </cell>
          <cell r="CD353">
            <v>741.78570969712655</v>
          </cell>
        </row>
        <row r="354">
          <cell r="CC354" t="str">
            <v>November</v>
          </cell>
          <cell r="CD354">
            <v>680.07585301988581</v>
          </cell>
        </row>
        <row r="355">
          <cell r="CC355" t="str">
            <v>December</v>
          </cell>
          <cell r="CD355">
            <v>699.92627869681451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</sheetNames>
    <sheetDataSet>
      <sheetData sheetId="0"/>
      <sheetData sheetId="1"/>
      <sheetData sheetId="2"/>
      <sheetData sheetId="3"/>
      <sheetData sheetId="4">
        <row r="21">
          <cell r="B21">
            <v>40</v>
          </cell>
          <cell r="BF21">
            <v>4.0095080000000003</v>
          </cell>
        </row>
        <row r="22">
          <cell r="B22">
            <v>40</v>
          </cell>
          <cell r="BF22">
            <v>5.7681040000000001</v>
          </cell>
        </row>
        <row r="23">
          <cell r="B23">
            <v>120</v>
          </cell>
          <cell r="BF23">
            <v>3.700399</v>
          </cell>
        </row>
        <row r="24">
          <cell r="B24">
            <v>120</v>
          </cell>
          <cell r="BF24">
            <v>5.5368820000000003</v>
          </cell>
        </row>
        <row r="25">
          <cell r="B25">
            <v>160</v>
          </cell>
          <cell r="BF25">
            <v>3.704631</v>
          </cell>
        </row>
        <row r="26">
          <cell r="B26">
            <v>160</v>
          </cell>
          <cell r="BF26">
            <v>1.4666030000000001</v>
          </cell>
        </row>
        <row r="27">
          <cell r="B27">
            <v>160</v>
          </cell>
          <cell r="BF27">
            <v>4.7045560000000002</v>
          </cell>
        </row>
        <row r="28">
          <cell r="B28">
            <v>160</v>
          </cell>
          <cell r="BF28">
            <v>3.1820459999999997</v>
          </cell>
        </row>
        <row r="29">
          <cell r="B29">
            <v>160</v>
          </cell>
          <cell r="BF29">
            <v>3.3577460000000001</v>
          </cell>
        </row>
        <row r="30">
          <cell r="B30">
            <v>160</v>
          </cell>
          <cell r="BF30">
            <v>3.0821939999999999</v>
          </cell>
        </row>
        <row r="31">
          <cell r="B31">
            <v>160</v>
          </cell>
          <cell r="BF31">
            <v>5.7242569999999997</v>
          </cell>
        </row>
        <row r="32">
          <cell r="B32">
            <v>160</v>
          </cell>
          <cell r="BF32">
            <v>4.2475529999999999</v>
          </cell>
        </row>
        <row r="33">
          <cell r="B33">
            <v>160</v>
          </cell>
          <cell r="BF33">
            <v>2.6987920000000001</v>
          </cell>
        </row>
        <row r="34">
          <cell r="B34">
            <v>160</v>
          </cell>
          <cell r="BF34">
            <v>2.7344140000000001</v>
          </cell>
        </row>
        <row r="35">
          <cell r="B35">
            <v>160</v>
          </cell>
          <cell r="BF35">
            <v>3.6755910000000003</v>
          </cell>
        </row>
        <row r="36">
          <cell r="B36">
            <v>160</v>
          </cell>
          <cell r="BF36">
            <v>1.6171009999999999</v>
          </cell>
        </row>
        <row r="37">
          <cell r="B37">
            <v>160</v>
          </cell>
          <cell r="BF37">
            <v>0.87497499999999995</v>
          </cell>
        </row>
        <row r="38">
          <cell r="B38">
            <v>160</v>
          </cell>
          <cell r="BF38">
            <v>0.70957000000000003</v>
          </cell>
        </row>
        <row r="39">
          <cell r="B39">
            <v>160</v>
          </cell>
          <cell r="BF39">
            <v>1.1800269999999999</v>
          </cell>
        </row>
        <row r="40">
          <cell r="B40">
            <v>160</v>
          </cell>
          <cell r="BF40">
            <v>1.023827</v>
          </cell>
        </row>
        <row r="41">
          <cell r="B41">
            <v>160</v>
          </cell>
          <cell r="BF41">
            <v>0.96673900000000001</v>
          </cell>
        </row>
        <row r="42">
          <cell r="B42">
            <v>160</v>
          </cell>
          <cell r="BF42">
            <v>1.5996589999999999</v>
          </cell>
        </row>
        <row r="43">
          <cell r="B43">
            <v>160</v>
          </cell>
          <cell r="BF43">
            <v>11.354803</v>
          </cell>
        </row>
        <row r="44">
          <cell r="B44">
            <v>160</v>
          </cell>
          <cell r="BF44">
            <v>8.8898189999999992</v>
          </cell>
        </row>
        <row r="45">
          <cell r="B45">
            <v>160</v>
          </cell>
          <cell r="BF45">
            <v>9.7679849999999995</v>
          </cell>
        </row>
        <row r="46">
          <cell r="B46">
            <v>160</v>
          </cell>
          <cell r="BF46">
            <v>11.053064000000001</v>
          </cell>
        </row>
        <row r="47">
          <cell r="B47">
            <v>160</v>
          </cell>
          <cell r="BF47">
            <v>11.258441999999999</v>
          </cell>
        </row>
        <row r="48">
          <cell r="B48">
            <v>160</v>
          </cell>
          <cell r="BF48">
            <v>13.328506000000001</v>
          </cell>
        </row>
        <row r="49">
          <cell r="B49">
            <v>160</v>
          </cell>
          <cell r="BF49">
            <v>10.094471</v>
          </cell>
        </row>
        <row r="50">
          <cell r="B50">
            <v>160</v>
          </cell>
          <cell r="BF50">
            <v>11.769916</v>
          </cell>
        </row>
        <row r="51">
          <cell r="B51">
            <v>160</v>
          </cell>
          <cell r="BF51">
            <v>14.21481</v>
          </cell>
        </row>
        <row r="52">
          <cell r="B52">
            <v>160</v>
          </cell>
          <cell r="BF52">
            <v>12.757417</v>
          </cell>
        </row>
        <row r="53">
          <cell r="B53">
            <v>160</v>
          </cell>
          <cell r="BF53">
            <v>15.457184</v>
          </cell>
        </row>
        <row r="54">
          <cell r="B54">
            <v>160</v>
          </cell>
          <cell r="BF54">
            <v>14.888020000000001</v>
          </cell>
        </row>
        <row r="55">
          <cell r="B55">
            <v>160</v>
          </cell>
          <cell r="BF55">
            <v>12.613289000000002</v>
          </cell>
        </row>
        <row r="56">
          <cell r="B56">
            <v>160</v>
          </cell>
          <cell r="BF56">
            <v>1.554513</v>
          </cell>
        </row>
        <row r="57">
          <cell r="B57">
            <v>160</v>
          </cell>
          <cell r="BF57">
            <v>5.3234200000000005</v>
          </cell>
        </row>
        <row r="58">
          <cell r="B58">
            <v>160</v>
          </cell>
          <cell r="BF58">
            <v>13.879279</v>
          </cell>
        </row>
        <row r="59">
          <cell r="B59">
            <v>160</v>
          </cell>
          <cell r="F59">
            <v>25</v>
          </cell>
          <cell r="BF59">
            <v>15.943396000000002</v>
          </cell>
        </row>
        <row r="60">
          <cell r="B60">
            <v>160</v>
          </cell>
          <cell r="F60">
            <v>50</v>
          </cell>
          <cell r="BF60">
            <v>22.040472999999999</v>
          </cell>
        </row>
        <row r="61">
          <cell r="B61">
            <v>160</v>
          </cell>
          <cell r="F61">
            <v>95</v>
          </cell>
          <cell r="BF61">
            <v>17.338629000000001</v>
          </cell>
        </row>
        <row r="62">
          <cell r="B62">
            <v>160</v>
          </cell>
          <cell r="F62">
            <v>95</v>
          </cell>
          <cell r="BF62">
            <v>13.090382999999999</v>
          </cell>
        </row>
        <row r="63">
          <cell r="B63">
            <v>160</v>
          </cell>
          <cell r="F63">
            <v>95</v>
          </cell>
          <cell r="BF63">
            <v>15.408481</v>
          </cell>
        </row>
        <row r="64">
          <cell r="B64">
            <v>160</v>
          </cell>
          <cell r="F64">
            <v>95</v>
          </cell>
          <cell r="BF64">
            <v>15.174583999999999</v>
          </cell>
        </row>
        <row r="65">
          <cell r="B65">
            <v>160</v>
          </cell>
          <cell r="F65">
            <v>95</v>
          </cell>
          <cell r="BF65">
            <v>15.400093</v>
          </cell>
        </row>
        <row r="66">
          <cell r="B66">
            <v>160</v>
          </cell>
          <cell r="F66">
            <v>95</v>
          </cell>
          <cell r="BF66">
            <v>13.875936000000001</v>
          </cell>
        </row>
        <row r="67">
          <cell r="B67">
            <v>160</v>
          </cell>
          <cell r="F67">
            <v>95</v>
          </cell>
          <cell r="BF67">
            <v>15.045067000000001</v>
          </cell>
        </row>
        <row r="68">
          <cell r="B68">
            <v>160</v>
          </cell>
          <cell r="F68">
            <v>95</v>
          </cell>
          <cell r="BF68">
            <v>14.655372</v>
          </cell>
        </row>
        <row r="69">
          <cell r="B69">
            <v>160</v>
          </cell>
          <cell r="F69">
            <v>95</v>
          </cell>
          <cell r="BF69">
            <v>13.475904</v>
          </cell>
        </row>
        <row r="70">
          <cell r="B70">
            <v>160</v>
          </cell>
          <cell r="F70">
            <v>95</v>
          </cell>
          <cell r="BF70">
            <v>13.037452999999999</v>
          </cell>
        </row>
        <row r="71">
          <cell r="B71">
            <v>160</v>
          </cell>
          <cell r="F71">
            <v>95</v>
          </cell>
          <cell r="BF71">
            <v>12.344252000000001</v>
          </cell>
        </row>
        <row r="72">
          <cell r="B72">
            <v>160</v>
          </cell>
          <cell r="F72">
            <v>95</v>
          </cell>
          <cell r="BF72">
            <v>13.021687</v>
          </cell>
        </row>
        <row r="73">
          <cell r="B73">
            <v>160</v>
          </cell>
          <cell r="D73">
            <v>1</v>
          </cell>
          <cell r="F73">
            <v>95</v>
          </cell>
          <cell r="H73">
            <v>10</v>
          </cell>
          <cell r="BF73">
            <v>11.522833</v>
          </cell>
        </row>
        <row r="74">
          <cell r="B74">
            <v>160</v>
          </cell>
          <cell r="D74">
            <v>2</v>
          </cell>
          <cell r="F74">
            <v>95</v>
          </cell>
          <cell r="H74">
            <v>20</v>
          </cell>
          <cell r="BF74">
            <v>7.0525789999999997</v>
          </cell>
        </row>
        <row r="75">
          <cell r="B75">
            <v>160</v>
          </cell>
          <cell r="D75">
            <v>3</v>
          </cell>
          <cell r="F75">
            <v>95</v>
          </cell>
          <cell r="H75">
            <v>50</v>
          </cell>
          <cell r="BF75">
            <v>17.471357999999999</v>
          </cell>
        </row>
        <row r="76">
          <cell r="B76">
            <v>160</v>
          </cell>
          <cell r="D76">
            <v>3</v>
          </cell>
          <cell r="F76">
            <v>95</v>
          </cell>
          <cell r="H76">
            <v>50</v>
          </cell>
          <cell r="J76">
            <v>25</v>
          </cell>
          <cell r="BF76">
            <v>20.862107000000002</v>
          </cell>
        </row>
        <row r="77">
          <cell r="B77">
            <v>160</v>
          </cell>
          <cell r="D77">
            <v>3</v>
          </cell>
          <cell r="F77">
            <v>95</v>
          </cell>
          <cell r="H77">
            <v>50</v>
          </cell>
          <cell r="J77">
            <v>50</v>
          </cell>
          <cell r="BF77">
            <v>21.624392</v>
          </cell>
        </row>
        <row r="78">
          <cell r="B78">
            <v>160</v>
          </cell>
          <cell r="D78">
            <v>3</v>
          </cell>
          <cell r="F78">
            <v>95</v>
          </cell>
          <cell r="H78">
            <v>50</v>
          </cell>
          <cell r="J78">
            <v>100</v>
          </cell>
          <cell r="BF78">
            <v>22.043210999999999</v>
          </cell>
        </row>
        <row r="79">
          <cell r="B79">
            <v>160</v>
          </cell>
          <cell r="D79">
            <v>3</v>
          </cell>
          <cell r="F79">
            <v>95</v>
          </cell>
          <cell r="H79">
            <v>50</v>
          </cell>
          <cell r="J79">
            <v>100</v>
          </cell>
          <cell r="BF79">
            <v>19.094815000000001</v>
          </cell>
        </row>
        <row r="80">
          <cell r="B80">
            <v>160</v>
          </cell>
          <cell r="D80">
            <v>3</v>
          </cell>
          <cell r="F80">
            <v>95</v>
          </cell>
          <cell r="H80">
            <v>50</v>
          </cell>
          <cell r="J80">
            <v>100</v>
          </cell>
          <cell r="BF80">
            <v>24.325149</v>
          </cell>
        </row>
        <row r="81">
          <cell r="B81">
            <v>160</v>
          </cell>
          <cell r="D81">
            <v>3</v>
          </cell>
          <cell r="F81">
            <v>95</v>
          </cell>
          <cell r="H81">
            <v>50</v>
          </cell>
          <cell r="J81">
            <v>100</v>
          </cell>
          <cell r="BF81">
            <v>19.091324</v>
          </cell>
        </row>
        <row r="82">
          <cell r="B82">
            <v>160</v>
          </cell>
          <cell r="D82">
            <v>3</v>
          </cell>
          <cell r="F82">
            <v>95</v>
          </cell>
          <cell r="H82">
            <v>50</v>
          </cell>
          <cell r="J82">
            <v>100</v>
          </cell>
          <cell r="BF82">
            <v>20.289638</v>
          </cell>
        </row>
        <row r="83">
          <cell r="B83">
            <v>160</v>
          </cell>
          <cell r="D83">
            <v>3</v>
          </cell>
          <cell r="F83">
            <v>95</v>
          </cell>
          <cell r="H83">
            <v>50</v>
          </cell>
          <cell r="J83">
            <v>100</v>
          </cell>
          <cell r="BF83">
            <v>27.170701999999999</v>
          </cell>
        </row>
        <row r="84">
          <cell r="B84">
            <v>160</v>
          </cell>
          <cell r="D84">
            <v>3</v>
          </cell>
          <cell r="F84">
            <v>95</v>
          </cell>
          <cell r="H84">
            <v>50</v>
          </cell>
          <cell r="J84">
            <v>100</v>
          </cell>
          <cell r="BF84">
            <v>27.056956999999997</v>
          </cell>
        </row>
        <row r="85">
          <cell r="B85">
            <v>160</v>
          </cell>
          <cell r="D85">
            <v>3</v>
          </cell>
          <cell r="F85">
            <v>95</v>
          </cell>
          <cell r="H85">
            <v>50</v>
          </cell>
          <cell r="J85">
            <v>100</v>
          </cell>
          <cell r="BF85">
            <v>18.321265</v>
          </cell>
        </row>
        <row r="86">
          <cell r="B86">
            <v>160</v>
          </cell>
          <cell r="D86">
            <v>3</v>
          </cell>
          <cell r="F86">
            <v>95</v>
          </cell>
          <cell r="H86">
            <v>50</v>
          </cell>
          <cell r="J86">
            <v>100</v>
          </cell>
          <cell r="BF86">
            <v>20.875747</v>
          </cell>
        </row>
        <row r="87">
          <cell r="B87">
            <v>160</v>
          </cell>
          <cell r="D87">
            <v>3</v>
          </cell>
          <cell r="F87">
            <v>95</v>
          </cell>
          <cell r="H87">
            <v>50</v>
          </cell>
          <cell r="J87">
            <v>100</v>
          </cell>
          <cell r="BF87">
            <v>15.583468</v>
          </cell>
        </row>
        <row r="88">
          <cell r="B88">
            <v>160</v>
          </cell>
          <cell r="D88">
            <v>3</v>
          </cell>
          <cell r="F88">
            <v>95</v>
          </cell>
          <cell r="H88">
            <v>50</v>
          </cell>
          <cell r="J88">
            <v>100</v>
          </cell>
          <cell r="BF88">
            <v>20.068138000000001</v>
          </cell>
        </row>
        <row r="89">
          <cell r="B89">
            <v>160</v>
          </cell>
          <cell r="D89">
            <v>3</v>
          </cell>
          <cell r="F89">
            <v>95</v>
          </cell>
          <cell r="H89">
            <v>50</v>
          </cell>
          <cell r="J89">
            <v>100</v>
          </cell>
          <cell r="BF89">
            <v>24.159893</v>
          </cell>
        </row>
        <row r="90">
          <cell r="B90">
            <v>160</v>
          </cell>
          <cell r="D90">
            <v>3</v>
          </cell>
          <cell r="F90">
            <v>95</v>
          </cell>
          <cell r="H90">
            <v>50</v>
          </cell>
          <cell r="J90">
            <v>100</v>
          </cell>
          <cell r="BF90">
            <v>17.502541999999998</v>
          </cell>
        </row>
        <row r="91">
          <cell r="B91">
            <v>160</v>
          </cell>
          <cell r="D91">
            <v>3</v>
          </cell>
          <cell r="F91">
            <v>95</v>
          </cell>
          <cell r="H91">
            <v>50</v>
          </cell>
          <cell r="J91">
            <v>100</v>
          </cell>
          <cell r="BF91">
            <v>19.256075999999997</v>
          </cell>
        </row>
        <row r="92">
          <cell r="B92">
            <v>160</v>
          </cell>
          <cell r="D92">
            <v>3</v>
          </cell>
          <cell r="F92">
            <v>95</v>
          </cell>
          <cell r="H92">
            <v>50</v>
          </cell>
          <cell r="J92">
            <v>100</v>
          </cell>
          <cell r="BF92">
            <v>24.406337000000001</v>
          </cell>
        </row>
        <row r="93">
          <cell r="B93">
            <v>160</v>
          </cell>
          <cell r="D93">
            <v>3</v>
          </cell>
          <cell r="F93">
            <v>95</v>
          </cell>
          <cell r="H93">
            <v>50</v>
          </cell>
          <cell r="J93">
            <v>100</v>
          </cell>
          <cell r="BF93">
            <v>21.721888</v>
          </cell>
        </row>
        <row r="94">
          <cell r="B94">
            <v>160</v>
          </cell>
          <cell r="D94">
            <v>3</v>
          </cell>
          <cell r="F94">
            <v>95</v>
          </cell>
          <cell r="H94">
            <v>50</v>
          </cell>
          <cell r="J94">
            <v>100</v>
          </cell>
          <cell r="BF94">
            <v>25.181951999999999</v>
          </cell>
        </row>
        <row r="95">
          <cell r="B95">
            <v>160</v>
          </cell>
          <cell r="D95">
            <v>3</v>
          </cell>
          <cell r="F95">
            <v>95</v>
          </cell>
          <cell r="H95">
            <v>50</v>
          </cell>
          <cell r="J95">
            <v>100</v>
          </cell>
          <cell r="BF95">
            <v>22.648261000000002</v>
          </cell>
        </row>
        <row r="96">
          <cell r="B96">
            <v>160</v>
          </cell>
          <cell r="D96">
            <v>3</v>
          </cell>
          <cell r="F96">
            <v>95</v>
          </cell>
          <cell r="H96">
            <v>50</v>
          </cell>
          <cell r="J96">
            <v>100</v>
          </cell>
          <cell r="BF96">
            <v>25.180337999999999</v>
          </cell>
        </row>
        <row r="97">
          <cell r="B97">
            <v>160</v>
          </cell>
          <cell r="D97">
            <v>3</v>
          </cell>
          <cell r="F97">
            <v>95</v>
          </cell>
          <cell r="H97">
            <v>50</v>
          </cell>
          <cell r="J97">
            <v>100</v>
          </cell>
          <cell r="BF97">
            <v>13.498593</v>
          </cell>
        </row>
        <row r="98">
          <cell r="B98">
            <v>160</v>
          </cell>
          <cell r="D98">
            <v>3</v>
          </cell>
          <cell r="F98">
            <v>95</v>
          </cell>
          <cell r="H98">
            <v>50</v>
          </cell>
          <cell r="J98">
            <v>100</v>
          </cell>
          <cell r="BF98">
            <v>20.402573</v>
          </cell>
        </row>
        <row r="99">
          <cell r="B99">
            <v>160</v>
          </cell>
          <cell r="D99">
            <v>3</v>
          </cell>
          <cell r="F99">
            <v>95</v>
          </cell>
          <cell r="H99">
            <v>50</v>
          </cell>
          <cell r="J99">
            <v>100</v>
          </cell>
          <cell r="BF99">
            <v>22.899792000000001</v>
          </cell>
        </row>
        <row r="100">
          <cell r="B100">
            <v>160</v>
          </cell>
          <cell r="D100">
            <v>3</v>
          </cell>
          <cell r="F100">
            <v>95</v>
          </cell>
          <cell r="H100">
            <v>50</v>
          </cell>
          <cell r="J100">
            <v>100</v>
          </cell>
          <cell r="BF100">
            <v>24.904876999999999</v>
          </cell>
        </row>
        <row r="101">
          <cell r="B101">
            <v>160</v>
          </cell>
          <cell r="D101">
            <v>3</v>
          </cell>
          <cell r="F101">
            <v>95</v>
          </cell>
          <cell r="H101">
            <v>50</v>
          </cell>
          <cell r="J101">
            <v>100</v>
          </cell>
          <cell r="W101">
            <v>10</v>
          </cell>
          <cell r="BF101">
            <v>21.142208</v>
          </cell>
        </row>
        <row r="102">
          <cell r="B102">
            <v>160</v>
          </cell>
          <cell r="D102">
            <v>3</v>
          </cell>
          <cell r="F102">
            <v>95</v>
          </cell>
          <cell r="H102">
            <v>50</v>
          </cell>
          <cell r="J102">
            <v>100</v>
          </cell>
          <cell r="W102">
            <v>20</v>
          </cell>
          <cell r="BF102">
            <v>11.593513</v>
          </cell>
        </row>
        <row r="103">
          <cell r="B103">
            <v>0</v>
          </cell>
          <cell r="D103">
            <v>3</v>
          </cell>
          <cell r="F103">
            <v>95</v>
          </cell>
          <cell r="H103">
            <v>50</v>
          </cell>
          <cell r="J103">
            <v>100</v>
          </cell>
          <cell r="W103">
            <v>20</v>
          </cell>
          <cell r="BF103">
            <v>8.1459250000000001</v>
          </cell>
        </row>
        <row r="104">
          <cell r="B104">
            <v>188.75</v>
          </cell>
          <cell r="D104">
            <v>3</v>
          </cell>
          <cell r="F104">
            <v>95</v>
          </cell>
          <cell r="H104">
            <v>50</v>
          </cell>
          <cell r="J104">
            <v>100</v>
          </cell>
          <cell r="W104">
            <v>20</v>
          </cell>
          <cell r="BF104">
            <v>13.956386</v>
          </cell>
        </row>
        <row r="105">
          <cell r="B105">
            <v>217.5</v>
          </cell>
          <cell r="D105">
            <v>3</v>
          </cell>
          <cell r="F105">
            <v>95</v>
          </cell>
          <cell r="H105">
            <v>50</v>
          </cell>
          <cell r="J105">
            <v>100</v>
          </cell>
          <cell r="W105">
            <v>20</v>
          </cell>
          <cell r="BF105">
            <v>28.769365000000001</v>
          </cell>
        </row>
        <row r="106">
          <cell r="B106">
            <v>246.3</v>
          </cell>
          <cell r="D106">
            <v>3</v>
          </cell>
          <cell r="F106">
            <v>95</v>
          </cell>
          <cell r="H106">
            <v>50</v>
          </cell>
          <cell r="J106">
            <v>100</v>
          </cell>
          <cell r="W106">
            <v>20</v>
          </cell>
          <cell r="BF106">
            <v>36.134855000000002</v>
          </cell>
        </row>
        <row r="107">
          <cell r="B107">
            <v>290</v>
          </cell>
          <cell r="D107">
            <v>3</v>
          </cell>
          <cell r="F107">
            <v>95</v>
          </cell>
          <cell r="H107">
            <v>50</v>
          </cell>
          <cell r="J107">
            <v>100</v>
          </cell>
          <cell r="W107">
            <v>20</v>
          </cell>
          <cell r="BF107">
            <v>37.024481000000002</v>
          </cell>
        </row>
        <row r="108">
          <cell r="B108">
            <v>290</v>
          </cell>
          <cell r="D108">
            <v>3</v>
          </cell>
          <cell r="F108">
            <v>95</v>
          </cell>
          <cell r="H108">
            <v>50</v>
          </cell>
          <cell r="J108">
            <v>100</v>
          </cell>
          <cell r="W108">
            <v>20</v>
          </cell>
          <cell r="BF108">
            <v>45.232171999999998</v>
          </cell>
        </row>
        <row r="109">
          <cell r="B109">
            <v>290</v>
          </cell>
          <cell r="D109">
            <v>3</v>
          </cell>
          <cell r="F109">
            <v>95</v>
          </cell>
          <cell r="H109">
            <v>50</v>
          </cell>
          <cell r="J109">
            <v>100</v>
          </cell>
          <cell r="W109">
            <v>20</v>
          </cell>
          <cell r="BF109">
            <v>33.700100999999997</v>
          </cell>
        </row>
        <row r="110">
          <cell r="B110">
            <v>290</v>
          </cell>
          <cell r="D110">
            <v>3</v>
          </cell>
          <cell r="F110">
            <v>95</v>
          </cell>
          <cell r="H110">
            <v>50</v>
          </cell>
          <cell r="J110">
            <v>100</v>
          </cell>
          <cell r="W110">
            <v>20</v>
          </cell>
          <cell r="BF110">
            <v>38.013218000000002</v>
          </cell>
        </row>
        <row r="111">
          <cell r="B111">
            <v>290</v>
          </cell>
          <cell r="D111">
            <v>3</v>
          </cell>
          <cell r="F111">
            <v>95</v>
          </cell>
          <cell r="H111">
            <v>50</v>
          </cell>
          <cell r="J111">
            <v>100</v>
          </cell>
          <cell r="W111">
            <v>20</v>
          </cell>
          <cell r="BF111">
            <v>33.048971000000002</v>
          </cell>
        </row>
        <row r="112">
          <cell r="B112">
            <v>290</v>
          </cell>
          <cell r="D112">
            <v>3</v>
          </cell>
          <cell r="F112">
            <v>95</v>
          </cell>
          <cell r="H112">
            <v>50</v>
          </cell>
          <cell r="J112">
            <v>100</v>
          </cell>
          <cell r="W112">
            <v>20</v>
          </cell>
          <cell r="BF112">
            <v>35.807735000000001</v>
          </cell>
        </row>
        <row r="113">
          <cell r="B113">
            <v>290</v>
          </cell>
          <cell r="D113">
            <v>3</v>
          </cell>
          <cell r="F113">
            <v>95</v>
          </cell>
          <cell r="H113">
            <v>50</v>
          </cell>
          <cell r="J113">
            <v>100</v>
          </cell>
          <cell r="W113">
            <v>20</v>
          </cell>
          <cell r="BF113">
            <v>37.168907000000004</v>
          </cell>
        </row>
        <row r="114">
          <cell r="B114">
            <v>290</v>
          </cell>
          <cell r="D114">
            <v>3</v>
          </cell>
          <cell r="F114">
            <v>95</v>
          </cell>
          <cell r="H114">
            <v>50</v>
          </cell>
          <cell r="J114">
            <v>100</v>
          </cell>
          <cell r="W114">
            <v>20</v>
          </cell>
          <cell r="BF114">
            <v>37.508544000000001</v>
          </cell>
        </row>
        <row r="115">
          <cell r="B115">
            <v>290</v>
          </cell>
          <cell r="D115">
            <v>3</v>
          </cell>
          <cell r="F115">
            <v>95</v>
          </cell>
          <cell r="H115">
            <v>50</v>
          </cell>
          <cell r="J115">
            <v>100</v>
          </cell>
          <cell r="W115">
            <v>20</v>
          </cell>
          <cell r="BF115">
            <v>43.325862000000001</v>
          </cell>
        </row>
        <row r="116">
          <cell r="B116">
            <v>290</v>
          </cell>
          <cell r="D116">
            <v>3</v>
          </cell>
          <cell r="F116">
            <v>95</v>
          </cell>
          <cell r="H116">
            <v>50</v>
          </cell>
          <cell r="J116">
            <v>100</v>
          </cell>
          <cell r="W116">
            <v>20</v>
          </cell>
          <cell r="BF116">
            <v>26.839086000000002</v>
          </cell>
        </row>
        <row r="117">
          <cell r="B117">
            <v>290</v>
          </cell>
          <cell r="D117">
            <v>3</v>
          </cell>
          <cell r="F117">
            <v>95</v>
          </cell>
          <cell r="H117">
            <v>50</v>
          </cell>
          <cell r="J117">
            <v>100</v>
          </cell>
          <cell r="W117">
            <v>20</v>
          </cell>
          <cell r="BF117">
            <v>37.928697999999997</v>
          </cell>
        </row>
        <row r="118">
          <cell r="B118">
            <v>290</v>
          </cell>
          <cell r="D118">
            <v>3</v>
          </cell>
          <cell r="F118">
            <v>95</v>
          </cell>
          <cell r="H118">
            <v>50</v>
          </cell>
          <cell r="J118">
            <v>100</v>
          </cell>
          <cell r="W118">
            <v>20</v>
          </cell>
          <cell r="BF118">
            <v>46.809003000000004</v>
          </cell>
        </row>
        <row r="119">
          <cell r="B119">
            <v>290</v>
          </cell>
          <cell r="D119">
            <v>3</v>
          </cell>
          <cell r="F119">
            <v>95</v>
          </cell>
          <cell r="H119">
            <v>50</v>
          </cell>
          <cell r="J119">
            <v>100</v>
          </cell>
          <cell r="W119">
            <v>20</v>
          </cell>
          <cell r="BF119">
            <v>40.211069000000002</v>
          </cell>
        </row>
        <row r="120">
          <cell r="B120">
            <v>290</v>
          </cell>
          <cell r="D120">
            <v>3</v>
          </cell>
          <cell r="F120">
            <v>95</v>
          </cell>
          <cell r="H120">
            <v>50</v>
          </cell>
          <cell r="J120">
            <v>100</v>
          </cell>
          <cell r="W120">
            <v>20</v>
          </cell>
          <cell r="BF120">
            <v>49.910888</v>
          </cell>
        </row>
        <row r="121">
          <cell r="B121">
            <v>290</v>
          </cell>
          <cell r="D121">
            <v>3</v>
          </cell>
          <cell r="F121">
            <v>95</v>
          </cell>
          <cell r="H121">
            <v>50</v>
          </cell>
          <cell r="J121">
            <v>100</v>
          </cell>
          <cell r="W121">
            <v>20</v>
          </cell>
          <cell r="BF121">
            <v>37.87379</v>
          </cell>
        </row>
        <row r="122">
          <cell r="B122">
            <v>290</v>
          </cell>
          <cell r="D122">
            <v>3</v>
          </cell>
          <cell r="F122">
            <v>95</v>
          </cell>
          <cell r="H122">
            <v>50</v>
          </cell>
          <cell r="J122">
            <v>100</v>
          </cell>
          <cell r="W122">
            <v>20</v>
          </cell>
          <cell r="BF122">
            <v>33.947856999999999</v>
          </cell>
        </row>
        <row r="123">
          <cell r="B123">
            <v>290</v>
          </cell>
          <cell r="D123">
            <v>3</v>
          </cell>
          <cell r="F123">
            <v>95</v>
          </cell>
          <cell r="H123">
            <v>50</v>
          </cell>
          <cell r="J123">
            <v>100</v>
          </cell>
          <cell r="W123">
            <v>20</v>
          </cell>
          <cell r="BF123">
            <v>41.944926000000002</v>
          </cell>
        </row>
        <row r="124">
          <cell r="B124">
            <v>290</v>
          </cell>
          <cell r="D124">
            <v>3</v>
          </cell>
          <cell r="F124">
            <v>95</v>
          </cell>
          <cell r="H124">
            <v>50</v>
          </cell>
          <cell r="J124">
            <v>100</v>
          </cell>
          <cell r="W124">
            <v>20</v>
          </cell>
          <cell r="BF124">
            <v>36.791063000000001</v>
          </cell>
        </row>
        <row r="125">
          <cell r="B125">
            <v>290</v>
          </cell>
          <cell r="D125">
            <v>3</v>
          </cell>
          <cell r="F125">
            <v>95</v>
          </cell>
          <cell r="H125">
            <v>50</v>
          </cell>
          <cell r="J125">
            <v>100</v>
          </cell>
          <cell r="W125">
            <v>20</v>
          </cell>
          <cell r="BF125">
            <v>42.165050000000001</v>
          </cell>
        </row>
        <row r="126">
          <cell r="B126">
            <v>290</v>
          </cell>
          <cell r="D126">
            <v>3</v>
          </cell>
          <cell r="F126">
            <v>95</v>
          </cell>
          <cell r="H126">
            <v>50</v>
          </cell>
          <cell r="J126">
            <v>100</v>
          </cell>
          <cell r="W126">
            <v>20</v>
          </cell>
          <cell r="BF126">
            <v>50.363393000000002</v>
          </cell>
        </row>
        <row r="127">
          <cell r="B127">
            <v>290</v>
          </cell>
          <cell r="D127">
            <v>3</v>
          </cell>
          <cell r="F127">
            <v>95</v>
          </cell>
          <cell r="H127">
            <v>50</v>
          </cell>
          <cell r="J127">
            <v>100</v>
          </cell>
          <cell r="N127">
            <v>60</v>
          </cell>
          <cell r="W127">
            <v>20</v>
          </cell>
          <cell r="BF127">
            <v>44.596484000000004</v>
          </cell>
        </row>
        <row r="128">
          <cell r="B128">
            <v>290</v>
          </cell>
          <cell r="D128">
            <v>3</v>
          </cell>
          <cell r="F128">
            <v>95</v>
          </cell>
          <cell r="H128">
            <v>50</v>
          </cell>
          <cell r="J128">
            <v>100</v>
          </cell>
          <cell r="N128">
            <v>120</v>
          </cell>
          <cell r="W128">
            <v>20</v>
          </cell>
          <cell r="BF128">
            <v>40.341842</v>
          </cell>
        </row>
        <row r="129">
          <cell r="B129">
            <v>290</v>
          </cell>
          <cell r="D129">
            <v>3</v>
          </cell>
          <cell r="F129">
            <v>95</v>
          </cell>
          <cell r="H129">
            <v>50</v>
          </cell>
          <cell r="J129">
            <v>100</v>
          </cell>
          <cell r="N129">
            <v>180</v>
          </cell>
          <cell r="W129">
            <v>20</v>
          </cell>
          <cell r="BF129">
            <v>45.202404999999999</v>
          </cell>
        </row>
        <row r="130">
          <cell r="B130">
            <v>290</v>
          </cell>
          <cell r="D130">
            <v>3</v>
          </cell>
          <cell r="F130">
            <v>95</v>
          </cell>
          <cell r="H130">
            <v>50</v>
          </cell>
          <cell r="J130">
            <v>100</v>
          </cell>
          <cell r="N130">
            <v>180</v>
          </cell>
          <cell r="W130">
            <v>20</v>
          </cell>
          <cell r="BF130">
            <v>21.077662</v>
          </cell>
        </row>
        <row r="131">
          <cell r="B131">
            <v>290</v>
          </cell>
          <cell r="D131">
            <v>3</v>
          </cell>
          <cell r="F131">
            <v>95</v>
          </cell>
          <cell r="H131">
            <v>50</v>
          </cell>
          <cell r="J131">
            <v>100</v>
          </cell>
          <cell r="N131">
            <v>180</v>
          </cell>
          <cell r="W131">
            <v>20</v>
          </cell>
          <cell r="BF131">
            <v>43.316411000000002</v>
          </cell>
        </row>
        <row r="132">
          <cell r="B132">
            <v>290</v>
          </cell>
          <cell r="D132">
            <v>3</v>
          </cell>
          <cell r="F132">
            <v>95</v>
          </cell>
          <cell r="H132">
            <v>50</v>
          </cell>
          <cell r="J132">
            <v>100</v>
          </cell>
          <cell r="N132">
            <v>180</v>
          </cell>
          <cell r="W132">
            <v>20</v>
          </cell>
          <cell r="BF132">
            <v>49.899191999999999</v>
          </cell>
        </row>
        <row r="133">
          <cell r="B133">
            <v>290</v>
          </cell>
          <cell r="D133">
            <v>3</v>
          </cell>
          <cell r="F133">
            <v>95</v>
          </cell>
          <cell r="H133">
            <v>50</v>
          </cell>
          <cell r="J133">
            <v>100</v>
          </cell>
          <cell r="N133">
            <v>180</v>
          </cell>
          <cell r="T133"/>
          <cell r="W133">
            <v>20</v>
          </cell>
          <cell r="BF133">
            <v>41.961106999999998</v>
          </cell>
        </row>
        <row r="134">
          <cell r="B134">
            <v>290</v>
          </cell>
          <cell r="D134">
            <v>3</v>
          </cell>
          <cell r="F134">
            <v>95</v>
          </cell>
          <cell r="H134">
            <v>50</v>
          </cell>
          <cell r="J134">
            <v>100</v>
          </cell>
          <cell r="N134">
            <v>180</v>
          </cell>
          <cell r="T134"/>
          <cell r="W134">
            <v>20</v>
          </cell>
          <cell r="BF134">
            <v>46.988512999999998</v>
          </cell>
        </row>
        <row r="135">
          <cell r="B135">
            <v>290</v>
          </cell>
          <cell r="D135">
            <v>3</v>
          </cell>
          <cell r="F135">
            <v>95</v>
          </cell>
          <cell r="H135">
            <v>50</v>
          </cell>
          <cell r="J135">
            <v>100</v>
          </cell>
          <cell r="N135">
            <v>180</v>
          </cell>
          <cell r="T135"/>
          <cell r="W135">
            <v>20</v>
          </cell>
          <cell r="BF135">
            <v>55.444846999999996</v>
          </cell>
        </row>
        <row r="136">
          <cell r="B136">
            <v>290</v>
          </cell>
          <cell r="D136">
            <v>3</v>
          </cell>
          <cell r="F136">
            <v>95</v>
          </cell>
          <cell r="H136">
            <v>50</v>
          </cell>
          <cell r="J136">
            <v>100</v>
          </cell>
          <cell r="N136">
            <v>0</v>
          </cell>
          <cell r="O136">
            <v>50.078000000000003</v>
          </cell>
          <cell r="T136"/>
          <cell r="W136">
            <v>20</v>
          </cell>
          <cell r="BF136">
            <v>47.871760000000002</v>
          </cell>
        </row>
        <row r="137">
          <cell r="B137">
            <v>290</v>
          </cell>
          <cell r="D137">
            <v>3</v>
          </cell>
          <cell r="F137">
            <v>95</v>
          </cell>
          <cell r="H137">
            <v>50</v>
          </cell>
          <cell r="J137">
            <v>100</v>
          </cell>
          <cell r="N137">
            <v>180</v>
          </cell>
          <cell r="O137">
            <v>50.078000000000003</v>
          </cell>
          <cell r="T137"/>
          <cell r="W137">
            <v>20</v>
          </cell>
          <cell r="BF137">
            <v>58.109828</v>
          </cell>
        </row>
        <row r="138">
          <cell r="B138">
            <v>290</v>
          </cell>
          <cell r="D138">
            <v>3</v>
          </cell>
          <cell r="F138">
            <v>95</v>
          </cell>
          <cell r="H138">
            <v>75</v>
          </cell>
          <cell r="J138">
            <v>100</v>
          </cell>
          <cell r="N138">
            <v>180</v>
          </cell>
          <cell r="O138">
            <v>50.078000000000003</v>
          </cell>
          <cell r="T138"/>
          <cell r="W138">
            <v>20</v>
          </cell>
          <cell r="BF138">
            <v>65.015321999999998</v>
          </cell>
        </row>
        <row r="139">
          <cell r="B139">
            <v>290</v>
          </cell>
          <cell r="D139">
            <v>3</v>
          </cell>
          <cell r="F139">
            <v>95</v>
          </cell>
          <cell r="H139">
            <v>75</v>
          </cell>
          <cell r="J139">
            <v>100</v>
          </cell>
          <cell r="N139">
            <v>180</v>
          </cell>
          <cell r="O139">
            <v>120</v>
          </cell>
          <cell r="T139"/>
          <cell r="W139">
            <v>20</v>
          </cell>
          <cell r="BF139">
            <v>65.349163000000004</v>
          </cell>
        </row>
        <row r="140">
          <cell r="B140">
            <v>290</v>
          </cell>
          <cell r="D140">
            <v>3</v>
          </cell>
          <cell r="F140">
            <v>95</v>
          </cell>
          <cell r="H140">
            <v>75</v>
          </cell>
          <cell r="J140">
            <v>100</v>
          </cell>
          <cell r="N140">
            <v>180</v>
          </cell>
          <cell r="O140">
            <v>120</v>
          </cell>
          <cell r="T140"/>
          <cell r="W140">
            <v>20</v>
          </cell>
          <cell r="BF140">
            <v>75.373880999999997</v>
          </cell>
        </row>
        <row r="141">
          <cell r="B141">
            <v>290</v>
          </cell>
          <cell r="D141">
            <v>3</v>
          </cell>
          <cell r="F141">
            <v>95</v>
          </cell>
          <cell r="H141">
            <v>75</v>
          </cell>
          <cell r="J141">
            <v>100</v>
          </cell>
          <cell r="N141">
            <v>180</v>
          </cell>
          <cell r="O141">
            <v>120</v>
          </cell>
          <cell r="T141"/>
          <cell r="W141">
            <v>20</v>
          </cell>
          <cell r="BF141">
            <v>50.222971000000001</v>
          </cell>
        </row>
        <row r="142">
          <cell r="B142">
            <v>490</v>
          </cell>
          <cell r="D142">
            <v>3</v>
          </cell>
          <cell r="F142">
            <v>95</v>
          </cell>
          <cell r="H142">
            <v>75</v>
          </cell>
          <cell r="J142">
            <v>100</v>
          </cell>
          <cell r="N142">
            <v>180</v>
          </cell>
          <cell r="O142">
            <v>120</v>
          </cell>
          <cell r="T142"/>
          <cell r="W142">
            <v>20</v>
          </cell>
          <cell r="BF142">
            <v>72.692228</v>
          </cell>
        </row>
        <row r="143">
          <cell r="B143">
            <v>690</v>
          </cell>
          <cell r="D143">
            <v>3</v>
          </cell>
          <cell r="F143">
            <v>95</v>
          </cell>
          <cell r="H143">
            <v>75</v>
          </cell>
          <cell r="J143">
            <v>100</v>
          </cell>
          <cell r="N143">
            <v>180</v>
          </cell>
          <cell r="O143">
            <v>120</v>
          </cell>
          <cell r="T143"/>
          <cell r="W143">
            <v>20</v>
          </cell>
          <cell r="BF143">
            <v>101.510868</v>
          </cell>
        </row>
        <row r="144">
          <cell r="B144">
            <v>690</v>
          </cell>
          <cell r="D144">
            <v>3</v>
          </cell>
          <cell r="F144">
            <v>95</v>
          </cell>
          <cell r="H144">
            <v>75</v>
          </cell>
          <cell r="J144">
            <v>100</v>
          </cell>
          <cell r="N144">
            <v>180</v>
          </cell>
          <cell r="O144">
            <v>120</v>
          </cell>
          <cell r="T144"/>
          <cell r="W144">
            <v>20</v>
          </cell>
          <cell r="BF144">
            <v>107.526235</v>
          </cell>
        </row>
        <row r="145">
          <cell r="B145">
            <v>690</v>
          </cell>
          <cell r="D145">
            <v>3</v>
          </cell>
          <cell r="F145">
            <v>95</v>
          </cell>
          <cell r="H145">
            <v>75</v>
          </cell>
          <cell r="J145">
            <v>153.30000000000001</v>
          </cell>
          <cell r="L145"/>
          <cell r="M145"/>
          <cell r="N145">
            <v>180</v>
          </cell>
          <cell r="O145">
            <v>120</v>
          </cell>
          <cell r="T145"/>
          <cell r="W145">
            <v>20</v>
          </cell>
          <cell r="BF145">
            <v>83.391809999999992</v>
          </cell>
        </row>
        <row r="146">
          <cell r="B146">
            <v>690</v>
          </cell>
          <cell r="D146">
            <v>3</v>
          </cell>
          <cell r="F146">
            <v>95</v>
          </cell>
          <cell r="H146">
            <v>75</v>
          </cell>
          <cell r="J146">
            <v>153.30000000000001</v>
          </cell>
          <cell r="L146"/>
          <cell r="M146"/>
          <cell r="N146">
            <v>180</v>
          </cell>
          <cell r="O146">
            <v>120</v>
          </cell>
          <cell r="T146"/>
          <cell r="W146">
            <v>20</v>
          </cell>
          <cell r="BF146">
            <v>97.79053900000001</v>
          </cell>
        </row>
        <row r="147">
          <cell r="B147">
            <v>690</v>
          </cell>
          <cell r="D147">
            <v>3</v>
          </cell>
          <cell r="F147">
            <v>95</v>
          </cell>
          <cell r="H147">
            <v>75</v>
          </cell>
          <cell r="J147">
            <v>153.30000000000001</v>
          </cell>
          <cell r="L147"/>
          <cell r="M147"/>
          <cell r="N147">
            <v>180</v>
          </cell>
          <cell r="O147">
            <v>120</v>
          </cell>
          <cell r="T147"/>
          <cell r="W147">
            <v>20</v>
          </cell>
          <cell r="BF147">
            <v>106.30383599999999</v>
          </cell>
        </row>
        <row r="148">
          <cell r="B148">
            <v>690</v>
          </cell>
          <cell r="D148">
            <v>3</v>
          </cell>
          <cell r="F148">
            <v>95</v>
          </cell>
          <cell r="H148">
            <v>75</v>
          </cell>
          <cell r="J148">
            <v>153.30000000000001</v>
          </cell>
          <cell r="L148">
            <v>20</v>
          </cell>
          <cell r="M148"/>
          <cell r="N148">
            <v>180</v>
          </cell>
          <cell r="O148">
            <v>120</v>
          </cell>
          <cell r="R148">
            <v>37.5</v>
          </cell>
          <cell r="T148"/>
          <cell r="W148">
            <v>20</v>
          </cell>
          <cell r="BF148">
            <v>101.597233</v>
          </cell>
        </row>
        <row r="149">
          <cell r="B149">
            <v>690</v>
          </cell>
          <cell r="D149">
            <v>3</v>
          </cell>
          <cell r="F149">
            <v>95</v>
          </cell>
          <cell r="H149">
            <v>75</v>
          </cell>
          <cell r="J149">
            <v>153.30000000000001</v>
          </cell>
          <cell r="L149">
            <v>45</v>
          </cell>
          <cell r="N149">
            <v>180</v>
          </cell>
          <cell r="O149">
            <v>120</v>
          </cell>
          <cell r="R149">
            <v>50</v>
          </cell>
          <cell r="T149"/>
          <cell r="W149">
            <v>20</v>
          </cell>
          <cell r="BF149">
            <v>127.59518300000001</v>
          </cell>
        </row>
        <row r="150">
          <cell r="B150">
            <v>690</v>
          </cell>
          <cell r="D150">
            <v>3</v>
          </cell>
          <cell r="F150">
            <v>95</v>
          </cell>
          <cell r="G150"/>
          <cell r="H150">
            <v>75</v>
          </cell>
          <cell r="J150">
            <v>153.30000000000001</v>
          </cell>
          <cell r="K150"/>
          <cell r="L150">
            <v>90</v>
          </cell>
          <cell r="N150">
            <v>180</v>
          </cell>
          <cell r="O150">
            <v>120</v>
          </cell>
          <cell r="R150">
            <v>75</v>
          </cell>
          <cell r="T150"/>
          <cell r="W150">
            <v>20</v>
          </cell>
          <cell r="AD150"/>
          <cell r="BF150">
            <v>112.47790400000001</v>
          </cell>
        </row>
        <row r="151">
          <cell r="B151">
            <v>690</v>
          </cell>
          <cell r="D151">
            <v>3</v>
          </cell>
          <cell r="E151">
            <v>5</v>
          </cell>
          <cell r="F151">
            <v>95</v>
          </cell>
          <cell r="G151"/>
          <cell r="H151">
            <v>75</v>
          </cell>
          <cell r="J151">
            <v>153.30000000000001</v>
          </cell>
          <cell r="K151"/>
          <cell r="L151">
            <v>125</v>
          </cell>
          <cell r="N151">
            <v>180</v>
          </cell>
          <cell r="O151">
            <v>120</v>
          </cell>
          <cell r="Q151"/>
          <cell r="R151">
            <v>100</v>
          </cell>
          <cell r="T151"/>
          <cell r="W151">
            <v>20</v>
          </cell>
          <cell r="AD151"/>
          <cell r="BF151">
            <v>105.32678</v>
          </cell>
        </row>
        <row r="152">
          <cell r="B152">
            <v>690</v>
          </cell>
          <cell r="D152">
            <v>3</v>
          </cell>
          <cell r="E152">
            <v>15</v>
          </cell>
          <cell r="F152">
            <v>95</v>
          </cell>
          <cell r="G152"/>
          <cell r="H152">
            <v>75</v>
          </cell>
          <cell r="J152">
            <v>153.30000000000001</v>
          </cell>
          <cell r="K152"/>
          <cell r="L152">
            <v>125</v>
          </cell>
          <cell r="N152">
            <v>180</v>
          </cell>
          <cell r="O152">
            <v>120</v>
          </cell>
          <cell r="Q152"/>
          <cell r="R152">
            <v>100</v>
          </cell>
          <cell r="T152"/>
          <cell r="W152">
            <v>20</v>
          </cell>
          <cell r="AD152"/>
          <cell r="BF152">
            <v>115.38978</v>
          </cell>
        </row>
        <row r="153">
          <cell r="B153">
            <v>690</v>
          </cell>
          <cell r="D153">
            <v>3</v>
          </cell>
          <cell r="E153">
            <v>15</v>
          </cell>
          <cell r="F153">
            <v>95</v>
          </cell>
          <cell r="G153"/>
          <cell r="H153">
            <v>75</v>
          </cell>
          <cell r="J153">
            <v>153.30000000000001</v>
          </cell>
          <cell r="K153">
            <v>25</v>
          </cell>
          <cell r="L153">
            <v>125</v>
          </cell>
          <cell r="N153">
            <v>180</v>
          </cell>
          <cell r="O153">
            <v>120</v>
          </cell>
          <cell r="Q153"/>
          <cell r="R153">
            <v>100</v>
          </cell>
          <cell r="T153"/>
          <cell r="W153">
            <v>20</v>
          </cell>
          <cell r="AD153"/>
          <cell r="AF153"/>
          <cell r="BF153">
            <v>119.11131899999999</v>
          </cell>
        </row>
        <row r="154">
          <cell r="B154">
            <v>690</v>
          </cell>
          <cell r="C154">
            <v>180</v>
          </cell>
          <cell r="D154">
            <v>3</v>
          </cell>
          <cell r="E154">
            <v>15</v>
          </cell>
          <cell r="F154">
            <v>95</v>
          </cell>
          <cell r="G154"/>
          <cell r="H154">
            <v>75</v>
          </cell>
          <cell r="J154">
            <v>153.30000000000001</v>
          </cell>
          <cell r="K154">
            <v>25</v>
          </cell>
          <cell r="L154">
            <v>125</v>
          </cell>
          <cell r="N154">
            <v>180</v>
          </cell>
          <cell r="O154">
            <v>120</v>
          </cell>
          <cell r="Q154"/>
          <cell r="R154">
            <v>100</v>
          </cell>
          <cell r="T154"/>
          <cell r="W154">
            <v>20</v>
          </cell>
          <cell r="Y154"/>
          <cell r="AD154"/>
          <cell r="AF154"/>
          <cell r="BF154">
            <v>109.75346399999999</v>
          </cell>
        </row>
        <row r="155">
          <cell r="B155">
            <v>690</v>
          </cell>
          <cell r="C155">
            <v>264</v>
          </cell>
          <cell r="D155">
            <v>3</v>
          </cell>
          <cell r="E155">
            <v>85</v>
          </cell>
          <cell r="F155">
            <v>95</v>
          </cell>
          <cell r="G155"/>
          <cell r="H155">
            <v>75</v>
          </cell>
          <cell r="J155">
            <v>153.30000000000001</v>
          </cell>
          <cell r="K155">
            <v>50</v>
          </cell>
          <cell r="L155">
            <v>125</v>
          </cell>
          <cell r="N155">
            <v>180</v>
          </cell>
          <cell r="O155">
            <v>120</v>
          </cell>
          <cell r="Q155"/>
          <cell r="R155">
            <v>100</v>
          </cell>
          <cell r="T155"/>
          <cell r="W155">
            <v>20</v>
          </cell>
          <cell r="Y155"/>
          <cell r="AD155"/>
          <cell r="AF155">
            <v>50</v>
          </cell>
          <cell r="AI155"/>
          <cell r="BF155">
            <v>163.83760599999999</v>
          </cell>
        </row>
        <row r="156">
          <cell r="B156">
            <v>690</v>
          </cell>
          <cell r="C156">
            <v>360</v>
          </cell>
          <cell r="D156">
            <v>3</v>
          </cell>
          <cell r="E156">
            <v>85</v>
          </cell>
          <cell r="F156">
            <v>95</v>
          </cell>
          <cell r="G156"/>
          <cell r="H156">
            <v>75</v>
          </cell>
          <cell r="J156">
            <v>153.30000000000001</v>
          </cell>
          <cell r="K156">
            <v>125</v>
          </cell>
          <cell r="L156">
            <v>125</v>
          </cell>
          <cell r="N156">
            <v>180</v>
          </cell>
          <cell r="O156">
            <v>120</v>
          </cell>
          <cell r="Q156"/>
          <cell r="R156">
            <v>100</v>
          </cell>
          <cell r="T156"/>
          <cell r="W156">
            <v>20</v>
          </cell>
          <cell r="Y156"/>
          <cell r="AD156"/>
          <cell r="AF156">
            <v>60</v>
          </cell>
          <cell r="AI156"/>
          <cell r="BF156">
            <v>144.68732500000002</v>
          </cell>
        </row>
        <row r="157">
          <cell r="B157">
            <v>690</v>
          </cell>
          <cell r="C157">
            <v>360</v>
          </cell>
          <cell r="D157">
            <v>3</v>
          </cell>
          <cell r="E157">
            <v>85</v>
          </cell>
          <cell r="F157">
            <v>95</v>
          </cell>
          <cell r="G157"/>
          <cell r="H157">
            <v>75</v>
          </cell>
          <cell r="J157">
            <v>153.30000000000001</v>
          </cell>
          <cell r="K157">
            <v>125</v>
          </cell>
          <cell r="L157">
            <v>125</v>
          </cell>
          <cell r="N157">
            <v>180</v>
          </cell>
          <cell r="O157">
            <v>120</v>
          </cell>
          <cell r="P157"/>
          <cell r="Q157"/>
          <cell r="R157">
            <v>100</v>
          </cell>
          <cell r="T157"/>
          <cell r="W157">
            <v>20</v>
          </cell>
          <cell r="Y157"/>
          <cell r="AD157"/>
          <cell r="AE157">
            <v>0.55000000000000004</v>
          </cell>
          <cell r="AF157">
            <v>72</v>
          </cell>
          <cell r="AI157"/>
          <cell r="BF157">
            <v>144.72083599999999</v>
          </cell>
        </row>
        <row r="158">
          <cell r="B158">
            <v>690</v>
          </cell>
          <cell r="C158">
            <v>470</v>
          </cell>
          <cell r="D158">
            <v>3</v>
          </cell>
          <cell r="E158">
            <v>85</v>
          </cell>
          <cell r="F158">
            <v>95</v>
          </cell>
          <cell r="G158"/>
          <cell r="H158">
            <v>75</v>
          </cell>
          <cell r="J158">
            <v>153.30000000000001</v>
          </cell>
          <cell r="K158">
            <v>125</v>
          </cell>
          <cell r="L158">
            <v>125</v>
          </cell>
          <cell r="M158">
            <v>50</v>
          </cell>
          <cell r="N158">
            <v>180</v>
          </cell>
          <cell r="O158">
            <v>120</v>
          </cell>
          <cell r="P158"/>
          <cell r="Q158"/>
          <cell r="R158">
            <v>100</v>
          </cell>
          <cell r="T158"/>
          <cell r="W158">
            <v>20</v>
          </cell>
          <cell r="Y158"/>
          <cell r="AD158"/>
          <cell r="AE158">
            <v>0.55000000000000004</v>
          </cell>
          <cell r="AF158">
            <v>90</v>
          </cell>
          <cell r="AI158"/>
          <cell r="BF158">
            <v>140.550375</v>
          </cell>
        </row>
        <row r="159">
          <cell r="B159">
            <v>690</v>
          </cell>
          <cell r="C159">
            <v>470</v>
          </cell>
          <cell r="D159">
            <v>3</v>
          </cell>
          <cell r="E159">
            <v>85</v>
          </cell>
          <cell r="F159">
            <v>95</v>
          </cell>
          <cell r="G159"/>
          <cell r="H159">
            <v>75</v>
          </cell>
          <cell r="J159">
            <v>153.30000000000001</v>
          </cell>
          <cell r="K159">
            <v>125</v>
          </cell>
          <cell r="L159">
            <v>125</v>
          </cell>
          <cell r="M159">
            <v>120</v>
          </cell>
          <cell r="N159">
            <v>180</v>
          </cell>
          <cell r="O159">
            <v>120</v>
          </cell>
          <cell r="P159"/>
          <cell r="Q159"/>
          <cell r="R159">
            <v>100</v>
          </cell>
          <cell r="T159"/>
          <cell r="W159">
            <v>20</v>
          </cell>
          <cell r="Y159"/>
          <cell r="AD159"/>
          <cell r="AE159">
            <v>0.55000000000000004</v>
          </cell>
          <cell r="AF159">
            <v>90</v>
          </cell>
          <cell r="AI159"/>
          <cell r="BF159">
            <v>175.18420100000003</v>
          </cell>
        </row>
        <row r="160">
          <cell r="B160">
            <v>690</v>
          </cell>
          <cell r="C160">
            <v>470</v>
          </cell>
          <cell r="D160">
            <v>3</v>
          </cell>
          <cell r="E160">
            <v>85</v>
          </cell>
          <cell r="F160">
            <v>95</v>
          </cell>
          <cell r="G160"/>
          <cell r="H160">
            <v>75</v>
          </cell>
          <cell r="J160">
            <v>153.30000000000001</v>
          </cell>
          <cell r="K160">
            <v>125</v>
          </cell>
          <cell r="L160">
            <v>125</v>
          </cell>
          <cell r="M160">
            <v>195</v>
          </cell>
          <cell r="N160">
            <v>180</v>
          </cell>
          <cell r="O160">
            <v>120</v>
          </cell>
          <cell r="P160"/>
          <cell r="Q160"/>
          <cell r="R160">
            <v>100</v>
          </cell>
          <cell r="T160">
            <v>18</v>
          </cell>
          <cell r="W160">
            <v>20</v>
          </cell>
          <cell r="Y160"/>
          <cell r="AA160">
            <v>76.5</v>
          </cell>
          <cell r="AB160"/>
          <cell r="AD160">
            <v>67.5</v>
          </cell>
          <cell r="AE160">
            <v>0.55000000000000004</v>
          </cell>
          <cell r="AF160">
            <v>90</v>
          </cell>
          <cell r="AI160"/>
          <cell r="BF160">
            <v>170.43425400000001</v>
          </cell>
        </row>
        <row r="161">
          <cell r="B161">
            <v>690</v>
          </cell>
          <cell r="C161">
            <v>470</v>
          </cell>
          <cell r="D161">
            <v>3</v>
          </cell>
          <cell r="E161">
            <v>85</v>
          </cell>
          <cell r="F161">
            <v>95</v>
          </cell>
          <cell r="G161"/>
          <cell r="H161">
            <v>75</v>
          </cell>
          <cell r="J161">
            <v>153.30000000000001</v>
          </cell>
          <cell r="K161">
            <v>125</v>
          </cell>
          <cell r="L161">
            <v>125</v>
          </cell>
          <cell r="M161">
            <v>260</v>
          </cell>
          <cell r="N161">
            <v>180</v>
          </cell>
          <cell r="O161">
            <v>120</v>
          </cell>
          <cell r="P161"/>
          <cell r="Q161"/>
          <cell r="R161">
            <v>100</v>
          </cell>
          <cell r="T161">
            <v>36</v>
          </cell>
          <cell r="W161">
            <v>20</v>
          </cell>
          <cell r="Y161">
            <v>0.875</v>
          </cell>
          <cell r="AA161">
            <v>153</v>
          </cell>
          <cell r="AB161"/>
          <cell r="AD161">
            <v>121</v>
          </cell>
          <cell r="AE161">
            <v>0.55000000000000004</v>
          </cell>
          <cell r="AF161">
            <v>90</v>
          </cell>
          <cell r="AI161"/>
          <cell r="BF161">
            <v>223.75111099999998</v>
          </cell>
        </row>
        <row r="162">
          <cell r="B162">
            <v>690</v>
          </cell>
          <cell r="C162">
            <v>470</v>
          </cell>
          <cell r="D162">
            <v>3</v>
          </cell>
          <cell r="E162">
            <v>85</v>
          </cell>
          <cell r="F162">
            <v>95</v>
          </cell>
          <cell r="G162"/>
          <cell r="H162">
            <v>75</v>
          </cell>
          <cell r="J162">
            <v>153.30000000000001</v>
          </cell>
          <cell r="K162">
            <v>125</v>
          </cell>
          <cell r="L162">
            <v>125</v>
          </cell>
          <cell r="M162">
            <v>260</v>
          </cell>
          <cell r="N162">
            <v>180</v>
          </cell>
          <cell r="O162">
            <v>120</v>
          </cell>
          <cell r="P162"/>
          <cell r="Q162"/>
          <cell r="R162">
            <v>100</v>
          </cell>
          <cell r="T162">
            <v>36</v>
          </cell>
          <cell r="W162">
            <v>20</v>
          </cell>
          <cell r="Y162">
            <v>1.75</v>
          </cell>
          <cell r="AA162">
            <v>306</v>
          </cell>
          <cell r="AB162"/>
          <cell r="AD162">
            <v>121</v>
          </cell>
          <cell r="AE162">
            <v>0.55000000000000004</v>
          </cell>
          <cell r="AF162">
            <v>90</v>
          </cell>
          <cell r="AI162"/>
          <cell r="AT162"/>
          <cell r="BF162">
            <v>193.81749600000001</v>
          </cell>
        </row>
        <row r="163">
          <cell r="B163">
            <v>690</v>
          </cell>
          <cell r="C163">
            <v>470</v>
          </cell>
          <cell r="D163">
            <v>3</v>
          </cell>
          <cell r="E163">
            <v>85</v>
          </cell>
          <cell r="F163">
            <v>95</v>
          </cell>
          <cell r="G163"/>
          <cell r="H163">
            <v>75</v>
          </cell>
          <cell r="J163">
            <v>153.30000000000001</v>
          </cell>
          <cell r="K163">
            <v>125</v>
          </cell>
          <cell r="L163">
            <v>125</v>
          </cell>
          <cell r="M163">
            <v>260</v>
          </cell>
          <cell r="N163">
            <v>180</v>
          </cell>
          <cell r="O163">
            <v>120</v>
          </cell>
          <cell r="P163"/>
          <cell r="Q163"/>
          <cell r="R163">
            <v>100</v>
          </cell>
          <cell r="T163">
            <v>36</v>
          </cell>
          <cell r="W163">
            <v>20</v>
          </cell>
          <cell r="Y163">
            <v>3.5</v>
          </cell>
          <cell r="AA163">
            <v>306</v>
          </cell>
          <cell r="AB163"/>
          <cell r="AD163">
            <v>121</v>
          </cell>
          <cell r="AE163">
            <v>0.55000000000000004</v>
          </cell>
          <cell r="AF163">
            <v>90</v>
          </cell>
          <cell r="AI163"/>
          <cell r="AT163"/>
          <cell r="BF163">
            <v>180.13053200000002</v>
          </cell>
        </row>
        <row r="164">
          <cell r="B164">
            <v>690</v>
          </cell>
          <cell r="C164">
            <v>470</v>
          </cell>
          <cell r="D164">
            <v>3</v>
          </cell>
          <cell r="E164">
            <v>85</v>
          </cell>
          <cell r="F164">
            <v>95</v>
          </cell>
          <cell r="G164"/>
          <cell r="H164">
            <v>75</v>
          </cell>
          <cell r="J164">
            <v>153.30000000000001</v>
          </cell>
          <cell r="K164">
            <v>125</v>
          </cell>
          <cell r="L164">
            <v>125</v>
          </cell>
          <cell r="M164">
            <v>260</v>
          </cell>
          <cell r="N164">
            <v>180</v>
          </cell>
          <cell r="O164">
            <v>120</v>
          </cell>
          <cell r="P164"/>
          <cell r="Q164"/>
          <cell r="R164">
            <v>100</v>
          </cell>
          <cell r="T164">
            <v>36</v>
          </cell>
          <cell r="W164">
            <v>20</v>
          </cell>
          <cell r="Y164">
            <v>3.5</v>
          </cell>
          <cell r="AA164">
            <v>306</v>
          </cell>
          <cell r="AB164"/>
          <cell r="AD164">
            <v>121</v>
          </cell>
          <cell r="AE164">
            <v>0.55000000000000004</v>
          </cell>
          <cell r="AF164">
            <v>90</v>
          </cell>
          <cell r="AI164">
            <v>10</v>
          </cell>
          <cell r="AT164"/>
          <cell r="BF164">
            <v>230.44136399999999</v>
          </cell>
        </row>
        <row r="165">
          <cell r="B165">
            <v>690</v>
          </cell>
          <cell r="C165">
            <v>470</v>
          </cell>
          <cell r="D165">
            <v>3</v>
          </cell>
          <cell r="E165">
            <v>85</v>
          </cell>
          <cell r="F165">
            <v>95</v>
          </cell>
          <cell r="G165"/>
          <cell r="H165">
            <v>75</v>
          </cell>
          <cell r="J165">
            <v>153.30000000000001</v>
          </cell>
          <cell r="K165">
            <v>125</v>
          </cell>
          <cell r="L165">
            <v>125</v>
          </cell>
          <cell r="M165">
            <v>260</v>
          </cell>
          <cell r="N165">
            <v>180</v>
          </cell>
          <cell r="O165">
            <v>120</v>
          </cell>
          <cell r="P165">
            <v>12.5</v>
          </cell>
          <cell r="Q165">
            <v>10</v>
          </cell>
          <cell r="R165">
            <v>100</v>
          </cell>
          <cell r="T165">
            <v>36</v>
          </cell>
          <cell r="W165">
            <v>20</v>
          </cell>
          <cell r="Y165">
            <v>3.5</v>
          </cell>
          <cell r="AA165">
            <v>306</v>
          </cell>
          <cell r="AB165"/>
          <cell r="AD165">
            <v>150</v>
          </cell>
          <cell r="AE165">
            <v>0.55000000000000004</v>
          </cell>
          <cell r="AF165">
            <v>90</v>
          </cell>
          <cell r="AI165">
            <v>22.5</v>
          </cell>
          <cell r="AT165"/>
          <cell r="BF165">
            <v>227.26531</v>
          </cell>
        </row>
        <row r="166">
          <cell r="B166">
            <v>690</v>
          </cell>
          <cell r="C166">
            <v>470</v>
          </cell>
          <cell r="D166">
            <v>3</v>
          </cell>
          <cell r="E166">
            <v>85</v>
          </cell>
          <cell r="F166">
            <v>95</v>
          </cell>
          <cell r="G166"/>
          <cell r="H166">
            <v>75</v>
          </cell>
          <cell r="J166">
            <v>153.30000000000001</v>
          </cell>
          <cell r="K166">
            <v>125</v>
          </cell>
          <cell r="L166">
            <v>125</v>
          </cell>
          <cell r="M166">
            <v>540</v>
          </cell>
          <cell r="N166">
            <v>180</v>
          </cell>
          <cell r="O166">
            <v>120</v>
          </cell>
          <cell r="P166">
            <v>50</v>
          </cell>
          <cell r="Q166">
            <v>21</v>
          </cell>
          <cell r="R166">
            <v>100</v>
          </cell>
          <cell r="T166">
            <v>36</v>
          </cell>
          <cell r="W166">
            <v>20</v>
          </cell>
          <cell r="Y166">
            <v>3.5</v>
          </cell>
          <cell r="AA166">
            <v>306</v>
          </cell>
          <cell r="AB166"/>
          <cell r="AD166">
            <v>135</v>
          </cell>
          <cell r="AE166">
            <v>0.55000000000000004</v>
          </cell>
          <cell r="AF166">
            <v>90</v>
          </cell>
          <cell r="AI166">
            <v>30</v>
          </cell>
          <cell r="AT166"/>
          <cell r="BF166">
            <v>208.59210000000002</v>
          </cell>
        </row>
        <row r="167">
          <cell r="B167">
            <v>690</v>
          </cell>
          <cell r="C167">
            <v>470</v>
          </cell>
          <cell r="D167">
            <v>3</v>
          </cell>
          <cell r="E167">
            <v>85</v>
          </cell>
          <cell r="F167">
            <v>95</v>
          </cell>
          <cell r="G167"/>
          <cell r="H167">
            <v>120</v>
          </cell>
          <cell r="J167">
            <v>153.30000000000001</v>
          </cell>
          <cell r="K167">
            <v>125</v>
          </cell>
          <cell r="L167">
            <v>125</v>
          </cell>
          <cell r="M167">
            <v>650</v>
          </cell>
          <cell r="N167">
            <v>180</v>
          </cell>
          <cell r="O167">
            <v>120</v>
          </cell>
          <cell r="P167">
            <v>50</v>
          </cell>
          <cell r="Q167">
            <v>21</v>
          </cell>
          <cell r="R167">
            <v>100</v>
          </cell>
          <cell r="T167">
            <v>36</v>
          </cell>
          <cell r="W167">
            <v>20</v>
          </cell>
          <cell r="Y167">
            <v>3.5</v>
          </cell>
          <cell r="AA167">
            <v>306</v>
          </cell>
          <cell r="AB167"/>
          <cell r="AD167">
            <v>75</v>
          </cell>
          <cell r="AE167">
            <v>0.55000000000000004</v>
          </cell>
          <cell r="AF167">
            <v>90</v>
          </cell>
          <cell r="AI167">
            <v>47</v>
          </cell>
          <cell r="AT167"/>
          <cell r="BF167">
            <v>201.01795000000001</v>
          </cell>
        </row>
        <row r="168">
          <cell r="B168">
            <v>690</v>
          </cell>
          <cell r="C168">
            <v>470</v>
          </cell>
          <cell r="D168">
            <v>3</v>
          </cell>
          <cell r="E168">
            <v>85</v>
          </cell>
          <cell r="F168">
            <v>95</v>
          </cell>
          <cell r="G168"/>
          <cell r="H168">
            <v>155</v>
          </cell>
          <cell r="J168">
            <v>153.30000000000001</v>
          </cell>
          <cell r="K168">
            <v>125</v>
          </cell>
          <cell r="L168">
            <v>125</v>
          </cell>
          <cell r="M168">
            <v>730</v>
          </cell>
          <cell r="N168">
            <v>180</v>
          </cell>
          <cell r="O168">
            <v>120</v>
          </cell>
          <cell r="P168">
            <v>50</v>
          </cell>
          <cell r="Q168">
            <v>21</v>
          </cell>
          <cell r="R168">
            <v>100</v>
          </cell>
          <cell r="T168">
            <v>36</v>
          </cell>
          <cell r="W168">
            <v>20</v>
          </cell>
          <cell r="Y168">
            <v>3.5</v>
          </cell>
          <cell r="AA168">
            <v>306</v>
          </cell>
          <cell r="AB168"/>
          <cell r="AD168">
            <v>180</v>
          </cell>
          <cell r="AE168">
            <v>0.55000000000000004</v>
          </cell>
          <cell r="AF168">
            <v>90</v>
          </cell>
          <cell r="AI168">
            <v>47</v>
          </cell>
          <cell r="AT168"/>
          <cell r="BF168">
            <v>271.36654500000003</v>
          </cell>
        </row>
        <row r="169">
          <cell r="B169">
            <v>690</v>
          </cell>
          <cell r="C169">
            <v>470</v>
          </cell>
          <cell r="D169">
            <v>3</v>
          </cell>
          <cell r="E169">
            <v>85</v>
          </cell>
          <cell r="F169">
            <v>95</v>
          </cell>
          <cell r="G169"/>
          <cell r="H169">
            <v>190</v>
          </cell>
          <cell r="J169">
            <v>153.30000000000001</v>
          </cell>
          <cell r="K169">
            <v>125</v>
          </cell>
          <cell r="L169">
            <v>125</v>
          </cell>
          <cell r="M169">
            <v>730</v>
          </cell>
          <cell r="N169">
            <v>180</v>
          </cell>
          <cell r="O169">
            <v>120</v>
          </cell>
          <cell r="P169">
            <v>50</v>
          </cell>
          <cell r="Q169">
            <v>21</v>
          </cell>
          <cell r="R169">
            <v>100</v>
          </cell>
          <cell r="T169">
            <v>36</v>
          </cell>
          <cell r="W169">
            <v>20</v>
          </cell>
          <cell r="Y169">
            <v>3.5</v>
          </cell>
          <cell r="AA169">
            <v>306</v>
          </cell>
          <cell r="AB169"/>
          <cell r="AD169">
            <v>180</v>
          </cell>
          <cell r="AE169">
            <v>0.55000000000000004</v>
          </cell>
          <cell r="AF169">
            <v>90</v>
          </cell>
          <cell r="AI169">
            <v>47</v>
          </cell>
          <cell r="AT169"/>
          <cell r="BF169">
            <v>225.84338299999999</v>
          </cell>
        </row>
        <row r="170">
          <cell r="B170">
            <v>690</v>
          </cell>
          <cell r="C170">
            <v>470</v>
          </cell>
          <cell r="D170">
            <v>3</v>
          </cell>
          <cell r="E170">
            <v>85</v>
          </cell>
          <cell r="F170">
            <v>95</v>
          </cell>
          <cell r="G170"/>
          <cell r="H170">
            <v>190</v>
          </cell>
          <cell r="J170">
            <v>153.30000000000001</v>
          </cell>
          <cell r="K170">
            <v>125</v>
          </cell>
          <cell r="L170">
            <v>125</v>
          </cell>
          <cell r="M170">
            <v>730</v>
          </cell>
          <cell r="N170">
            <v>180</v>
          </cell>
          <cell r="O170">
            <v>120</v>
          </cell>
          <cell r="P170">
            <v>50</v>
          </cell>
          <cell r="Q170">
            <v>21</v>
          </cell>
          <cell r="R170">
            <v>100</v>
          </cell>
          <cell r="T170">
            <v>36</v>
          </cell>
          <cell r="W170">
            <v>20</v>
          </cell>
          <cell r="Y170">
            <v>3.5</v>
          </cell>
          <cell r="AA170">
            <v>306</v>
          </cell>
          <cell r="AB170"/>
          <cell r="AD170">
            <v>180</v>
          </cell>
          <cell r="AE170">
            <v>0.55000000000000004</v>
          </cell>
          <cell r="AF170">
            <v>90</v>
          </cell>
          <cell r="AI170">
            <v>47</v>
          </cell>
          <cell r="AT170"/>
          <cell r="BF170">
            <v>227.393371</v>
          </cell>
        </row>
        <row r="171">
          <cell r="B171">
            <v>690</v>
          </cell>
          <cell r="C171">
            <v>470</v>
          </cell>
          <cell r="D171">
            <v>3</v>
          </cell>
          <cell r="E171">
            <v>85</v>
          </cell>
          <cell r="F171">
            <v>95</v>
          </cell>
          <cell r="G171"/>
          <cell r="H171">
            <v>190</v>
          </cell>
          <cell r="J171">
            <v>153.30000000000001</v>
          </cell>
          <cell r="K171">
            <v>125</v>
          </cell>
          <cell r="L171">
            <v>125</v>
          </cell>
          <cell r="M171">
            <v>730</v>
          </cell>
          <cell r="N171">
            <v>180</v>
          </cell>
          <cell r="O171">
            <v>120</v>
          </cell>
          <cell r="P171">
            <v>50</v>
          </cell>
          <cell r="Q171">
            <v>21</v>
          </cell>
          <cell r="R171">
            <v>100</v>
          </cell>
          <cell r="T171">
            <v>36</v>
          </cell>
          <cell r="W171">
            <v>20</v>
          </cell>
          <cell r="Y171">
            <v>3.5</v>
          </cell>
          <cell r="AA171">
            <v>306</v>
          </cell>
          <cell r="AB171"/>
          <cell r="AD171">
            <v>180</v>
          </cell>
          <cell r="AE171">
            <v>0.55000000000000004</v>
          </cell>
          <cell r="AF171">
            <v>90</v>
          </cell>
          <cell r="AI171">
            <v>47</v>
          </cell>
          <cell r="AT171"/>
          <cell r="BF171">
            <v>212.071597</v>
          </cell>
        </row>
        <row r="172">
          <cell r="B172">
            <v>690</v>
          </cell>
          <cell r="C172">
            <v>235</v>
          </cell>
          <cell r="D172">
            <v>3</v>
          </cell>
          <cell r="E172">
            <v>85</v>
          </cell>
          <cell r="F172">
            <v>95</v>
          </cell>
          <cell r="G172"/>
          <cell r="H172">
            <v>190</v>
          </cell>
          <cell r="J172">
            <v>153.30000000000001</v>
          </cell>
          <cell r="K172">
            <v>125</v>
          </cell>
          <cell r="L172">
            <v>125</v>
          </cell>
          <cell r="M172">
            <v>730</v>
          </cell>
          <cell r="N172">
            <v>180</v>
          </cell>
          <cell r="O172">
            <v>250</v>
          </cell>
          <cell r="P172">
            <v>50</v>
          </cell>
          <cell r="Q172">
            <v>21</v>
          </cell>
          <cell r="R172">
            <v>100</v>
          </cell>
          <cell r="T172">
            <v>36</v>
          </cell>
          <cell r="W172">
            <v>20</v>
          </cell>
          <cell r="Y172">
            <v>3.5</v>
          </cell>
          <cell r="AA172">
            <v>306</v>
          </cell>
          <cell r="AB172"/>
          <cell r="AD172">
            <v>180</v>
          </cell>
          <cell r="AE172">
            <v>0.55000000000000004</v>
          </cell>
          <cell r="AF172">
            <v>90</v>
          </cell>
          <cell r="AI172">
            <v>47</v>
          </cell>
          <cell r="AT172"/>
          <cell r="BF172">
            <v>281.86322999999999</v>
          </cell>
        </row>
        <row r="173">
          <cell r="B173">
            <v>690</v>
          </cell>
          <cell r="C173">
            <v>235</v>
          </cell>
          <cell r="D173">
            <v>3</v>
          </cell>
          <cell r="E173">
            <v>85</v>
          </cell>
          <cell r="F173">
            <v>95</v>
          </cell>
          <cell r="G173"/>
          <cell r="H173">
            <v>190</v>
          </cell>
          <cell r="J173">
            <v>153.30000000000001</v>
          </cell>
          <cell r="K173">
            <v>125</v>
          </cell>
          <cell r="L173">
            <v>125</v>
          </cell>
          <cell r="M173">
            <v>730</v>
          </cell>
          <cell r="N173">
            <v>180</v>
          </cell>
          <cell r="O173">
            <v>450</v>
          </cell>
          <cell r="P173">
            <v>50</v>
          </cell>
          <cell r="Q173">
            <v>21</v>
          </cell>
          <cell r="R173">
            <v>100</v>
          </cell>
          <cell r="T173">
            <v>36</v>
          </cell>
          <cell r="W173">
            <v>20</v>
          </cell>
          <cell r="Y173">
            <v>3.5</v>
          </cell>
          <cell r="AA173">
            <v>306</v>
          </cell>
          <cell r="AB173"/>
          <cell r="AD173">
            <v>180</v>
          </cell>
          <cell r="AE173">
            <v>0.55000000000000004</v>
          </cell>
          <cell r="AF173">
            <v>90</v>
          </cell>
          <cell r="AI173">
            <v>47</v>
          </cell>
          <cell r="AT173"/>
          <cell r="BF173">
            <v>222.24125000000001</v>
          </cell>
        </row>
        <row r="174">
          <cell r="B174">
            <v>690</v>
          </cell>
          <cell r="C174">
            <v>235</v>
          </cell>
          <cell r="D174">
            <v>3</v>
          </cell>
          <cell r="E174">
            <v>85</v>
          </cell>
          <cell r="F174">
            <v>95</v>
          </cell>
          <cell r="G174"/>
          <cell r="H174">
            <v>190</v>
          </cell>
          <cell r="J174">
            <v>153.30000000000001</v>
          </cell>
          <cell r="K174">
            <v>125</v>
          </cell>
          <cell r="L174">
            <v>125</v>
          </cell>
          <cell r="M174">
            <v>730</v>
          </cell>
          <cell r="N174">
            <v>180</v>
          </cell>
          <cell r="O174">
            <v>636</v>
          </cell>
          <cell r="P174">
            <v>50</v>
          </cell>
          <cell r="Q174">
            <v>21</v>
          </cell>
          <cell r="R174">
            <v>100</v>
          </cell>
          <cell r="S174">
            <v>60</v>
          </cell>
          <cell r="T174">
            <v>36</v>
          </cell>
          <cell r="W174">
            <v>20</v>
          </cell>
          <cell r="Y174">
            <v>3.5</v>
          </cell>
          <cell r="Z174">
            <v>18.75</v>
          </cell>
          <cell r="AA174">
            <v>306</v>
          </cell>
          <cell r="AB174"/>
          <cell r="AD174">
            <v>180</v>
          </cell>
          <cell r="AE174">
            <v>1.1000000000000001</v>
          </cell>
          <cell r="AF174">
            <v>90</v>
          </cell>
          <cell r="AI174">
            <v>47</v>
          </cell>
          <cell r="AT174"/>
          <cell r="BF174">
            <v>279.39835299999999</v>
          </cell>
        </row>
        <row r="175">
          <cell r="B175">
            <v>690</v>
          </cell>
          <cell r="C175">
            <v>235</v>
          </cell>
          <cell r="D175">
            <v>3</v>
          </cell>
          <cell r="E175">
            <v>85</v>
          </cell>
          <cell r="F175">
            <v>95</v>
          </cell>
          <cell r="G175">
            <v>25</v>
          </cell>
          <cell r="H175">
            <v>190</v>
          </cell>
          <cell r="J175">
            <v>153.30000000000001</v>
          </cell>
          <cell r="K175">
            <v>125</v>
          </cell>
          <cell r="L175">
            <v>125</v>
          </cell>
          <cell r="M175">
            <v>730</v>
          </cell>
          <cell r="N175">
            <v>180</v>
          </cell>
          <cell r="O175">
            <v>636</v>
          </cell>
          <cell r="P175">
            <v>50</v>
          </cell>
          <cell r="Q175">
            <v>21</v>
          </cell>
          <cell r="R175">
            <v>100</v>
          </cell>
          <cell r="S175">
            <v>60</v>
          </cell>
          <cell r="T175">
            <v>36</v>
          </cell>
          <cell r="W175">
            <v>20</v>
          </cell>
          <cell r="Y175">
            <v>3.5</v>
          </cell>
          <cell r="Z175">
            <v>57.5</v>
          </cell>
          <cell r="AA175">
            <v>306</v>
          </cell>
          <cell r="AB175">
            <v>30</v>
          </cell>
          <cell r="AD175">
            <v>180</v>
          </cell>
          <cell r="AE175">
            <v>1.1000000000000001</v>
          </cell>
          <cell r="AF175">
            <v>90</v>
          </cell>
          <cell r="AI175">
            <v>47</v>
          </cell>
          <cell r="AT175"/>
          <cell r="BF175">
            <v>288.95637299999999</v>
          </cell>
        </row>
        <row r="176">
          <cell r="B176">
            <v>690</v>
          </cell>
          <cell r="C176">
            <v>235</v>
          </cell>
          <cell r="D176">
            <v>3</v>
          </cell>
          <cell r="E176">
            <v>85</v>
          </cell>
          <cell r="F176">
            <v>95</v>
          </cell>
          <cell r="G176">
            <v>25</v>
          </cell>
          <cell r="H176">
            <v>190</v>
          </cell>
          <cell r="J176">
            <v>153.30000000000001</v>
          </cell>
          <cell r="K176">
            <v>125</v>
          </cell>
          <cell r="L176">
            <v>125</v>
          </cell>
          <cell r="M176">
            <v>730</v>
          </cell>
          <cell r="N176">
            <v>180</v>
          </cell>
          <cell r="O176">
            <v>636</v>
          </cell>
          <cell r="P176">
            <v>50</v>
          </cell>
          <cell r="Q176">
            <v>21</v>
          </cell>
          <cell r="R176">
            <v>100</v>
          </cell>
          <cell r="S176">
            <v>60</v>
          </cell>
          <cell r="T176">
            <v>36</v>
          </cell>
          <cell r="W176">
            <v>20</v>
          </cell>
          <cell r="Y176">
            <v>3.5</v>
          </cell>
          <cell r="Z176">
            <v>57.5</v>
          </cell>
          <cell r="AA176">
            <v>306</v>
          </cell>
          <cell r="AB176">
            <v>60</v>
          </cell>
          <cell r="AD176">
            <v>180</v>
          </cell>
          <cell r="AE176">
            <v>1.1000000000000001</v>
          </cell>
          <cell r="AF176">
            <v>90</v>
          </cell>
          <cell r="AI176">
            <v>47</v>
          </cell>
          <cell r="AT176"/>
          <cell r="BF176">
            <v>255.652916</v>
          </cell>
        </row>
        <row r="177">
          <cell r="B177">
            <v>690</v>
          </cell>
          <cell r="C177">
            <v>235</v>
          </cell>
          <cell r="D177">
            <v>3</v>
          </cell>
          <cell r="E177">
            <v>85</v>
          </cell>
          <cell r="F177">
            <v>95</v>
          </cell>
          <cell r="G177">
            <v>25</v>
          </cell>
          <cell r="H177">
            <v>190</v>
          </cell>
          <cell r="J177">
            <v>153.30000000000001</v>
          </cell>
          <cell r="K177">
            <v>125</v>
          </cell>
          <cell r="L177">
            <v>125</v>
          </cell>
          <cell r="M177">
            <v>730</v>
          </cell>
          <cell r="N177">
            <v>180</v>
          </cell>
          <cell r="O177">
            <v>636</v>
          </cell>
          <cell r="P177">
            <v>50</v>
          </cell>
          <cell r="Q177">
            <v>21</v>
          </cell>
          <cell r="R177">
            <v>100</v>
          </cell>
          <cell r="S177">
            <v>60</v>
          </cell>
          <cell r="T177">
            <v>36</v>
          </cell>
          <cell r="W177">
            <v>20</v>
          </cell>
          <cell r="Y177">
            <v>3.5</v>
          </cell>
          <cell r="Z177">
            <v>57.5</v>
          </cell>
          <cell r="AA177">
            <v>306</v>
          </cell>
          <cell r="AB177">
            <v>60</v>
          </cell>
          <cell r="AD177">
            <v>180</v>
          </cell>
          <cell r="AE177">
            <v>1.1000000000000001</v>
          </cell>
          <cell r="AF177">
            <v>170</v>
          </cell>
          <cell r="AI177">
            <v>47</v>
          </cell>
          <cell r="AT177"/>
          <cell r="BF177">
            <v>260.35562600000003</v>
          </cell>
        </row>
        <row r="178">
          <cell r="B178">
            <v>690</v>
          </cell>
          <cell r="C178">
            <v>47</v>
          </cell>
          <cell r="D178">
            <v>3</v>
          </cell>
          <cell r="E178">
            <v>85</v>
          </cell>
          <cell r="F178">
            <v>95</v>
          </cell>
          <cell r="G178">
            <v>25</v>
          </cell>
          <cell r="H178">
            <v>190</v>
          </cell>
          <cell r="J178">
            <v>153.30000000000001</v>
          </cell>
          <cell r="K178">
            <v>125</v>
          </cell>
          <cell r="L178">
            <v>125</v>
          </cell>
          <cell r="M178">
            <v>730</v>
          </cell>
          <cell r="N178">
            <v>180</v>
          </cell>
          <cell r="O178">
            <v>375</v>
          </cell>
          <cell r="P178">
            <v>50</v>
          </cell>
          <cell r="Q178">
            <v>21</v>
          </cell>
          <cell r="R178">
            <v>100</v>
          </cell>
          <cell r="S178">
            <v>60</v>
          </cell>
          <cell r="T178">
            <v>36</v>
          </cell>
          <cell r="W178">
            <v>20</v>
          </cell>
          <cell r="Y178">
            <v>3.5</v>
          </cell>
          <cell r="Z178">
            <v>57.5</v>
          </cell>
          <cell r="AA178">
            <v>306</v>
          </cell>
          <cell r="AB178">
            <v>60</v>
          </cell>
          <cell r="AD178">
            <v>180</v>
          </cell>
          <cell r="AE178">
            <v>1.1000000000000001</v>
          </cell>
          <cell r="AF178">
            <v>275</v>
          </cell>
          <cell r="AI178">
            <v>47</v>
          </cell>
          <cell r="AT178"/>
          <cell r="BF178">
            <v>288.83181999999999</v>
          </cell>
        </row>
        <row r="179">
          <cell r="B179">
            <v>690</v>
          </cell>
          <cell r="C179">
            <v>47</v>
          </cell>
          <cell r="D179">
            <v>3</v>
          </cell>
          <cell r="E179">
            <v>85</v>
          </cell>
          <cell r="F179">
            <v>95</v>
          </cell>
          <cell r="G179">
            <v>25</v>
          </cell>
          <cell r="H179">
            <v>190</v>
          </cell>
          <cell r="J179">
            <v>153.30000000000001</v>
          </cell>
          <cell r="K179">
            <v>125</v>
          </cell>
          <cell r="L179">
            <v>125</v>
          </cell>
          <cell r="M179">
            <v>730</v>
          </cell>
          <cell r="N179">
            <v>180</v>
          </cell>
          <cell r="O179">
            <v>375</v>
          </cell>
          <cell r="P179">
            <v>50</v>
          </cell>
          <cell r="Q179">
            <v>21</v>
          </cell>
          <cell r="R179">
            <v>100</v>
          </cell>
          <cell r="S179">
            <v>60</v>
          </cell>
          <cell r="T179">
            <v>36</v>
          </cell>
          <cell r="W179">
            <v>20</v>
          </cell>
          <cell r="Y179">
            <v>3.5</v>
          </cell>
          <cell r="Z179">
            <v>57.5</v>
          </cell>
          <cell r="AA179">
            <v>306</v>
          </cell>
          <cell r="AB179">
            <v>60</v>
          </cell>
          <cell r="AD179">
            <v>180</v>
          </cell>
          <cell r="AE179">
            <v>1.1000000000000001</v>
          </cell>
          <cell r="AF179">
            <v>275</v>
          </cell>
          <cell r="AI179">
            <v>47</v>
          </cell>
          <cell r="AT179"/>
          <cell r="BF179">
            <v>256.39279900000002</v>
          </cell>
        </row>
        <row r="180">
          <cell r="B180">
            <v>690</v>
          </cell>
          <cell r="C180">
            <v>47</v>
          </cell>
          <cell r="D180">
            <v>3</v>
          </cell>
          <cell r="E180">
            <v>85</v>
          </cell>
          <cell r="F180">
            <v>95</v>
          </cell>
          <cell r="G180">
            <v>25</v>
          </cell>
          <cell r="H180">
            <v>190</v>
          </cell>
          <cell r="J180">
            <v>153.30000000000001</v>
          </cell>
          <cell r="K180">
            <v>125</v>
          </cell>
          <cell r="L180">
            <v>125</v>
          </cell>
          <cell r="M180">
            <v>730</v>
          </cell>
          <cell r="N180">
            <v>180</v>
          </cell>
          <cell r="O180">
            <v>375</v>
          </cell>
          <cell r="P180">
            <v>50</v>
          </cell>
          <cell r="Q180">
            <v>21</v>
          </cell>
          <cell r="R180">
            <v>100</v>
          </cell>
          <cell r="S180">
            <v>60</v>
          </cell>
          <cell r="T180">
            <v>36</v>
          </cell>
          <cell r="W180">
            <v>20</v>
          </cell>
          <cell r="Y180">
            <v>3.5</v>
          </cell>
          <cell r="Z180">
            <v>57.5</v>
          </cell>
          <cell r="AA180">
            <v>306</v>
          </cell>
          <cell r="AB180">
            <v>60</v>
          </cell>
          <cell r="AD180">
            <v>180</v>
          </cell>
          <cell r="AE180">
            <v>1.1000000000000001</v>
          </cell>
          <cell r="AF180">
            <v>275</v>
          </cell>
          <cell r="AI180">
            <v>47</v>
          </cell>
          <cell r="AT180"/>
          <cell r="BF180">
            <v>309.851922</v>
          </cell>
        </row>
        <row r="181">
          <cell r="B181">
            <v>690</v>
          </cell>
          <cell r="C181">
            <v>47</v>
          </cell>
          <cell r="D181">
            <v>3</v>
          </cell>
          <cell r="E181">
            <v>85</v>
          </cell>
          <cell r="F181">
            <v>340</v>
          </cell>
          <cell r="G181">
            <v>25</v>
          </cell>
          <cell r="H181">
            <v>190</v>
          </cell>
          <cell r="J181">
            <v>153.30000000000001</v>
          </cell>
          <cell r="K181">
            <v>125</v>
          </cell>
          <cell r="L181">
            <v>125</v>
          </cell>
          <cell r="M181">
            <v>730</v>
          </cell>
          <cell r="N181">
            <v>180</v>
          </cell>
          <cell r="O181">
            <v>375</v>
          </cell>
          <cell r="P181">
            <v>50</v>
          </cell>
          <cell r="Q181">
            <v>21</v>
          </cell>
          <cell r="R181">
            <v>100</v>
          </cell>
          <cell r="S181">
            <v>60</v>
          </cell>
          <cell r="T181">
            <v>36</v>
          </cell>
          <cell r="W181">
            <v>20</v>
          </cell>
          <cell r="Y181">
            <v>3.5</v>
          </cell>
          <cell r="Z181">
            <v>57.5</v>
          </cell>
          <cell r="AA181">
            <v>306</v>
          </cell>
          <cell r="AB181">
            <v>60</v>
          </cell>
          <cell r="AD181">
            <v>180</v>
          </cell>
          <cell r="AE181">
            <v>1.1000000000000001</v>
          </cell>
          <cell r="AF181">
            <v>275</v>
          </cell>
          <cell r="AI181">
            <v>47</v>
          </cell>
          <cell r="AT181"/>
          <cell r="BF181">
            <v>220.42661099999998</v>
          </cell>
        </row>
        <row r="182">
          <cell r="B182">
            <v>690</v>
          </cell>
          <cell r="C182">
            <v>47</v>
          </cell>
          <cell r="D182">
            <v>3</v>
          </cell>
          <cell r="E182">
            <v>85</v>
          </cell>
          <cell r="F182">
            <v>340</v>
          </cell>
          <cell r="G182">
            <v>25</v>
          </cell>
          <cell r="H182">
            <v>190</v>
          </cell>
          <cell r="J182">
            <v>153.30000000000001</v>
          </cell>
          <cell r="K182">
            <v>125</v>
          </cell>
          <cell r="L182">
            <v>125</v>
          </cell>
          <cell r="M182">
            <v>730</v>
          </cell>
          <cell r="N182">
            <v>180</v>
          </cell>
          <cell r="O182">
            <v>375</v>
          </cell>
          <cell r="P182">
            <v>50</v>
          </cell>
          <cell r="Q182">
            <v>21</v>
          </cell>
          <cell r="R182">
            <v>100</v>
          </cell>
          <cell r="S182">
            <v>60</v>
          </cell>
          <cell r="T182">
            <v>36</v>
          </cell>
          <cell r="W182">
            <v>20</v>
          </cell>
          <cell r="Y182">
            <v>3.5</v>
          </cell>
          <cell r="Z182">
            <v>57.5</v>
          </cell>
          <cell r="AA182">
            <v>306</v>
          </cell>
          <cell r="AB182">
            <v>60</v>
          </cell>
          <cell r="AD182">
            <v>180</v>
          </cell>
          <cell r="AE182">
            <v>1.1000000000000001</v>
          </cell>
          <cell r="AF182">
            <v>275</v>
          </cell>
          <cell r="AI182">
            <v>47</v>
          </cell>
          <cell r="AT182"/>
          <cell r="BF182">
            <v>197.19524200000001</v>
          </cell>
        </row>
        <row r="183">
          <cell r="B183">
            <v>690</v>
          </cell>
          <cell r="C183">
            <v>47</v>
          </cell>
          <cell r="D183">
            <v>3</v>
          </cell>
          <cell r="E183">
            <v>85</v>
          </cell>
          <cell r="F183">
            <v>340</v>
          </cell>
          <cell r="G183">
            <v>25</v>
          </cell>
          <cell r="H183">
            <v>190</v>
          </cell>
          <cell r="J183">
            <v>153.30000000000001</v>
          </cell>
          <cell r="K183">
            <v>125</v>
          </cell>
          <cell r="L183">
            <v>125</v>
          </cell>
          <cell r="M183">
            <v>730</v>
          </cell>
          <cell r="N183">
            <v>180</v>
          </cell>
          <cell r="O183">
            <v>375</v>
          </cell>
          <cell r="P183">
            <v>50</v>
          </cell>
          <cell r="Q183">
            <v>21</v>
          </cell>
          <cell r="R183">
            <v>100</v>
          </cell>
          <cell r="S183">
            <v>60</v>
          </cell>
          <cell r="T183">
            <v>36</v>
          </cell>
          <cell r="W183">
            <v>20</v>
          </cell>
          <cell r="Y183">
            <v>3.5</v>
          </cell>
          <cell r="Z183">
            <v>57.5</v>
          </cell>
          <cell r="AA183">
            <v>306</v>
          </cell>
          <cell r="AB183">
            <v>60</v>
          </cell>
          <cell r="AD183">
            <v>180</v>
          </cell>
          <cell r="AE183">
            <v>1.1000000000000001</v>
          </cell>
          <cell r="AF183">
            <v>275</v>
          </cell>
          <cell r="AI183">
            <v>47</v>
          </cell>
          <cell r="AT183"/>
          <cell r="BF183">
            <v>226.67318399999999</v>
          </cell>
        </row>
        <row r="184">
          <cell r="B184">
            <v>690</v>
          </cell>
          <cell r="C184">
            <v>47</v>
          </cell>
          <cell r="D184">
            <v>3</v>
          </cell>
          <cell r="E184">
            <v>85</v>
          </cell>
          <cell r="F184">
            <v>340</v>
          </cell>
          <cell r="G184">
            <v>25</v>
          </cell>
          <cell r="H184">
            <v>190</v>
          </cell>
          <cell r="J184">
            <v>153.30000000000001</v>
          </cell>
          <cell r="K184">
            <v>125</v>
          </cell>
          <cell r="L184">
            <v>125</v>
          </cell>
          <cell r="M184">
            <v>730</v>
          </cell>
          <cell r="N184">
            <v>180</v>
          </cell>
          <cell r="O184">
            <v>375</v>
          </cell>
          <cell r="P184">
            <v>50</v>
          </cell>
          <cell r="Q184">
            <v>21</v>
          </cell>
          <cell r="R184">
            <v>100</v>
          </cell>
          <cell r="S184">
            <v>60</v>
          </cell>
          <cell r="T184">
            <v>36</v>
          </cell>
          <cell r="W184">
            <v>20</v>
          </cell>
          <cell r="Y184">
            <v>3.5</v>
          </cell>
          <cell r="Z184">
            <v>57.5</v>
          </cell>
          <cell r="AA184">
            <v>306</v>
          </cell>
          <cell r="AB184">
            <v>60</v>
          </cell>
          <cell r="AD184">
            <v>180</v>
          </cell>
          <cell r="AE184">
            <v>1.1000000000000001</v>
          </cell>
          <cell r="AF184">
            <v>275</v>
          </cell>
          <cell r="AI184">
            <v>47</v>
          </cell>
          <cell r="AT184"/>
          <cell r="BF184">
            <v>205.93128632325747</v>
          </cell>
        </row>
        <row r="185">
          <cell r="B185">
            <v>690</v>
          </cell>
          <cell r="C185">
            <v>47</v>
          </cell>
          <cell r="D185">
            <v>3</v>
          </cell>
          <cell r="E185">
            <v>85</v>
          </cell>
          <cell r="F185">
            <v>340</v>
          </cell>
          <cell r="G185">
            <v>25</v>
          </cell>
          <cell r="H185">
            <v>190</v>
          </cell>
          <cell r="J185">
            <v>153.30000000000001</v>
          </cell>
          <cell r="K185">
            <v>125</v>
          </cell>
          <cell r="L185">
            <v>125</v>
          </cell>
          <cell r="M185">
            <v>730</v>
          </cell>
          <cell r="N185">
            <v>180</v>
          </cell>
          <cell r="O185">
            <v>375</v>
          </cell>
          <cell r="P185">
            <v>50</v>
          </cell>
          <cell r="Q185">
            <v>21</v>
          </cell>
          <cell r="R185">
            <v>100</v>
          </cell>
          <cell r="S185">
            <v>60</v>
          </cell>
          <cell r="T185">
            <v>36</v>
          </cell>
          <cell r="W185">
            <v>20</v>
          </cell>
          <cell r="Y185">
            <v>3.5</v>
          </cell>
          <cell r="Z185">
            <v>57.5</v>
          </cell>
          <cell r="AA185">
            <v>306</v>
          </cell>
          <cell r="AB185">
            <v>60</v>
          </cell>
          <cell r="AD185">
            <v>180</v>
          </cell>
          <cell r="AE185">
            <v>1.1000000000000001</v>
          </cell>
          <cell r="AF185">
            <v>275</v>
          </cell>
          <cell r="AI185">
            <v>47</v>
          </cell>
          <cell r="AT185">
            <v>27.5</v>
          </cell>
          <cell r="BF185">
            <v>204.8511107883856</v>
          </cell>
        </row>
        <row r="186">
          <cell r="B186">
            <v>690</v>
          </cell>
          <cell r="C186">
            <v>47</v>
          </cell>
          <cell r="D186">
            <v>3</v>
          </cell>
          <cell r="E186">
            <v>85</v>
          </cell>
          <cell r="F186">
            <v>340</v>
          </cell>
          <cell r="G186">
            <v>25</v>
          </cell>
          <cell r="H186">
            <v>190</v>
          </cell>
          <cell r="J186">
            <v>153.30000000000001</v>
          </cell>
          <cell r="K186">
            <v>125</v>
          </cell>
          <cell r="L186">
            <v>125</v>
          </cell>
          <cell r="M186">
            <v>730</v>
          </cell>
          <cell r="N186">
            <v>180</v>
          </cell>
          <cell r="O186">
            <v>375</v>
          </cell>
          <cell r="P186">
            <v>50</v>
          </cell>
          <cell r="Q186">
            <v>21</v>
          </cell>
          <cell r="R186">
            <v>100</v>
          </cell>
          <cell r="S186">
            <v>60</v>
          </cell>
          <cell r="T186">
            <v>36</v>
          </cell>
          <cell r="W186">
            <v>20</v>
          </cell>
          <cell r="Y186">
            <v>3.5</v>
          </cell>
          <cell r="Z186">
            <v>57.5</v>
          </cell>
          <cell r="AA186">
            <v>306</v>
          </cell>
          <cell r="AB186">
            <v>60</v>
          </cell>
          <cell r="AD186">
            <v>180</v>
          </cell>
          <cell r="AE186">
            <v>1.1000000000000001</v>
          </cell>
          <cell r="AF186">
            <v>275</v>
          </cell>
          <cell r="AG186">
            <v>9</v>
          </cell>
          <cell r="AI186">
            <v>47</v>
          </cell>
          <cell r="AO186">
            <v>5</v>
          </cell>
          <cell r="AR186">
            <v>60</v>
          </cell>
          <cell r="AT186">
            <v>55</v>
          </cell>
          <cell r="BF186">
            <v>201.11246380080584</v>
          </cell>
        </row>
        <row r="187">
          <cell r="B187">
            <v>690</v>
          </cell>
          <cell r="C187">
            <v>47</v>
          </cell>
          <cell r="D187">
            <v>3</v>
          </cell>
          <cell r="E187">
            <v>85</v>
          </cell>
          <cell r="F187">
            <v>340</v>
          </cell>
          <cell r="G187">
            <v>25</v>
          </cell>
          <cell r="H187">
            <v>190</v>
          </cell>
          <cell r="J187">
            <v>153.30000000000001</v>
          </cell>
          <cell r="K187">
            <v>125</v>
          </cell>
          <cell r="L187">
            <v>125</v>
          </cell>
          <cell r="M187">
            <v>730</v>
          </cell>
          <cell r="N187">
            <v>180</v>
          </cell>
          <cell r="O187">
            <v>375</v>
          </cell>
          <cell r="P187">
            <v>50</v>
          </cell>
          <cell r="Q187">
            <v>21</v>
          </cell>
          <cell r="R187">
            <v>100</v>
          </cell>
          <cell r="S187">
            <v>60</v>
          </cell>
          <cell r="T187">
            <v>36</v>
          </cell>
          <cell r="W187">
            <v>20</v>
          </cell>
          <cell r="Y187">
            <v>3.5</v>
          </cell>
          <cell r="Z187">
            <v>57.5</v>
          </cell>
          <cell r="AA187">
            <v>306</v>
          </cell>
          <cell r="AB187">
            <v>60</v>
          </cell>
          <cell r="AD187">
            <v>180</v>
          </cell>
          <cell r="AE187">
            <v>1.1000000000000001</v>
          </cell>
          <cell r="AF187">
            <v>275</v>
          </cell>
          <cell r="AG187">
            <v>18</v>
          </cell>
          <cell r="AI187">
            <v>47</v>
          </cell>
          <cell r="AO187">
            <v>10</v>
          </cell>
          <cell r="AR187">
            <v>90</v>
          </cell>
          <cell r="AT187">
            <v>55</v>
          </cell>
          <cell r="BF187">
            <v>198.33196266093438</v>
          </cell>
        </row>
        <row r="188">
          <cell r="B188">
            <v>690</v>
          </cell>
          <cell r="C188">
            <v>47</v>
          </cell>
          <cell r="D188">
            <v>3</v>
          </cell>
          <cell r="E188">
            <v>85</v>
          </cell>
          <cell r="F188">
            <v>340</v>
          </cell>
          <cell r="G188">
            <v>25</v>
          </cell>
          <cell r="H188">
            <v>190</v>
          </cell>
          <cell r="J188">
            <v>153.30000000000001</v>
          </cell>
          <cell r="K188">
            <v>125</v>
          </cell>
          <cell r="L188">
            <v>125</v>
          </cell>
          <cell r="M188">
            <v>730</v>
          </cell>
          <cell r="N188">
            <v>180</v>
          </cell>
          <cell r="O188">
            <v>375</v>
          </cell>
          <cell r="P188">
            <v>50</v>
          </cell>
          <cell r="Q188">
            <v>21</v>
          </cell>
          <cell r="R188">
            <v>100</v>
          </cell>
          <cell r="S188">
            <v>60</v>
          </cell>
          <cell r="T188">
            <v>36</v>
          </cell>
          <cell r="W188">
            <v>20</v>
          </cell>
          <cell r="Y188">
            <v>3.5</v>
          </cell>
          <cell r="Z188">
            <v>57.5</v>
          </cell>
          <cell r="AA188">
            <v>306</v>
          </cell>
          <cell r="AB188">
            <v>60</v>
          </cell>
          <cell r="AD188">
            <v>180</v>
          </cell>
          <cell r="AE188">
            <v>1.1000000000000001</v>
          </cell>
          <cell r="AF188">
            <v>275</v>
          </cell>
          <cell r="AG188">
            <v>18</v>
          </cell>
          <cell r="AI188">
            <v>47</v>
          </cell>
          <cell r="AO188">
            <v>19</v>
          </cell>
          <cell r="AR188">
            <v>120</v>
          </cell>
          <cell r="AT188">
            <v>55</v>
          </cell>
          <cell r="BF188">
            <v>201.83626301401597</v>
          </cell>
        </row>
        <row r="189">
          <cell r="B189">
            <v>690</v>
          </cell>
          <cell r="C189">
            <v>47</v>
          </cell>
          <cell r="D189">
            <v>3</v>
          </cell>
          <cell r="E189">
            <v>85</v>
          </cell>
          <cell r="F189">
            <v>340</v>
          </cell>
          <cell r="G189">
            <v>25</v>
          </cell>
          <cell r="H189">
            <v>190</v>
          </cell>
          <cell r="J189">
            <v>153.30000000000001</v>
          </cell>
          <cell r="K189">
            <v>125</v>
          </cell>
          <cell r="L189">
            <v>125</v>
          </cell>
          <cell r="M189">
            <v>730</v>
          </cell>
          <cell r="N189">
            <v>180</v>
          </cell>
          <cell r="O189">
            <v>375</v>
          </cell>
          <cell r="P189">
            <v>50</v>
          </cell>
          <cell r="Q189">
            <v>21</v>
          </cell>
          <cell r="R189">
            <v>100</v>
          </cell>
          <cell r="S189">
            <v>60</v>
          </cell>
          <cell r="T189">
            <v>36</v>
          </cell>
          <cell r="W189">
            <v>20</v>
          </cell>
          <cell r="Y189">
            <v>3.5</v>
          </cell>
          <cell r="Z189">
            <v>57.5</v>
          </cell>
          <cell r="AA189">
            <v>306</v>
          </cell>
          <cell r="AB189">
            <v>60</v>
          </cell>
          <cell r="AD189">
            <v>180</v>
          </cell>
          <cell r="AE189">
            <v>1.1000000000000001</v>
          </cell>
          <cell r="AF189">
            <v>275</v>
          </cell>
          <cell r="AG189">
            <v>18</v>
          </cell>
          <cell r="AI189">
            <v>47</v>
          </cell>
          <cell r="AO189">
            <v>19</v>
          </cell>
          <cell r="AR189">
            <v>120</v>
          </cell>
          <cell r="AT189">
            <v>55</v>
          </cell>
          <cell r="BF189">
            <v>205.86467668103714</v>
          </cell>
        </row>
        <row r="190">
          <cell r="B190">
            <v>690</v>
          </cell>
          <cell r="C190">
            <v>47</v>
          </cell>
          <cell r="D190">
            <v>3</v>
          </cell>
          <cell r="E190">
            <v>85</v>
          </cell>
          <cell r="F190">
            <v>340</v>
          </cell>
          <cell r="G190">
            <v>25</v>
          </cell>
          <cell r="H190">
            <v>190</v>
          </cell>
          <cell r="J190">
            <v>153.30000000000001</v>
          </cell>
          <cell r="K190">
            <v>125</v>
          </cell>
          <cell r="L190">
            <v>125</v>
          </cell>
          <cell r="M190">
            <v>730</v>
          </cell>
          <cell r="N190">
            <v>180</v>
          </cell>
          <cell r="O190">
            <v>375</v>
          </cell>
          <cell r="P190">
            <v>50</v>
          </cell>
          <cell r="Q190">
            <v>21</v>
          </cell>
          <cell r="R190">
            <v>100</v>
          </cell>
          <cell r="S190">
            <v>60</v>
          </cell>
          <cell r="T190">
            <v>36</v>
          </cell>
          <cell r="W190">
            <v>20</v>
          </cell>
          <cell r="Y190">
            <v>3.5</v>
          </cell>
          <cell r="Z190">
            <v>57.5</v>
          </cell>
          <cell r="AA190">
            <v>306</v>
          </cell>
          <cell r="AB190">
            <v>60</v>
          </cell>
          <cell r="AD190">
            <v>180</v>
          </cell>
          <cell r="AE190">
            <v>1.1000000000000001</v>
          </cell>
          <cell r="AF190">
            <v>275</v>
          </cell>
          <cell r="AG190">
            <v>18</v>
          </cell>
          <cell r="AI190">
            <v>47</v>
          </cell>
          <cell r="AO190">
            <v>19</v>
          </cell>
          <cell r="AR190">
            <v>120</v>
          </cell>
          <cell r="AT190">
            <v>55</v>
          </cell>
          <cell r="BF190">
            <v>226.34921594393924</v>
          </cell>
        </row>
        <row r="191">
          <cell r="B191">
            <v>690</v>
          </cell>
          <cell r="C191">
            <v>47</v>
          </cell>
          <cell r="D191">
            <v>3</v>
          </cell>
          <cell r="E191">
            <v>85</v>
          </cell>
          <cell r="F191">
            <v>340</v>
          </cell>
          <cell r="G191">
            <v>25</v>
          </cell>
          <cell r="H191">
            <v>190</v>
          </cell>
          <cell r="J191">
            <v>153.30000000000001</v>
          </cell>
          <cell r="K191">
            <v>125</v>
          </cell>
          <cell r="L191">
            <v>125</v>
          </cell>
          <cell r="M191">
            <v>730</v>
          </cell>
          <cell r="N191">
            <v>180</v>
          </cell>
          <cell r="O191">
            <v>375</v>
          </cell>
          <cell r="P191">
            <v>50</v>
          </cell>
          <cell r="Q191">
            <v>21</v>
          </cell>
          <cell r="R191">
            <v>100</v>
          </cell>
          <cell r="S191">
            <v>60</v>
          </cell>
          <cell r="T191">
            <v>36</v>
          </cell>
          <cell r="W191">
            <v>20</v>
          </cell>
          <cell r="Y191">
            <v>3.5</v>
          </cell>
          <cell r="Z191">
            <v>57.5</v>
          </cell>
          <cell r="AA191">
            <v>306</v>
          </cell>
          <cell r="AB191">
            <v>60</v>
          </cell>
          <cell r="AD191">
            <v>180</v>
          </cell>
          <cell r="AE191">
            <v>1.1000000000000001</v>
          </cell>
          <cell r="AF191">
            <v>275</v>
          </cell>
          <cell r="AG191">
            <v>18</v>
          </cell>
          <cell r="AI191">
            <v>47</v>
          </cell>
          <cell r="AO191">
            <v>19</v>
          </cell>
          <cell r="AR191">
            <v>120</v>
          </cell>
          <cell r="AT191">
            <v>55</v>
          </cell>
          <cell r="BF191">
            <v>245.40289349991286</v>
          </cell>
        </row>
        <row r="192">
          <cell r="B192">
            <v>690</v>
          </cell>
          <cell r="C192">
            <v>47</v>
          </cell>
          <cell r="D192">
            <v>3</v>
          </cell>
          <cell r="E192">
            <v>85</v>
          </cell>
          <cell r="F192">
            <v>340</v>
          </cell>
          <cell r="G192">
            <v>25</v>
          </cell>
          <cell r="H192">
            <v>190</v>
          </cell>
          <cell r="J192">
            <v>153.30000000000001</v>
          </cell>
          <cell r="K192">
            <v>125</v>
          </cell>
          <cell r="L192">
            <v>125</v>
          </cell>
          <cell r="M192">
            <v>730</v>
          </cell>
          <cell r="N192">
            <v>180</v>
          </cell>
          <cell r="O192">
            <v>375</v>
          </cell>
          <cell r="P192">
            <v>50</v>
          </cell>
          <cell r="Q192">
            <v>21</v>
          </cell>
          <cell r="R192">
            <v>100</v>
          </cell>
          <cell r="S192">
            <v>60</v>
          </cell>
          <cell r="T192">
            <v>36</v>
          </cell>
          <cell r="W192">
            <v>20</v>
          </cell>
          <cell r="Y192">
            <v>3.5</v>
          </cell>
          <cell r="Z192">
            <v>57.5</v>
          </cell>
          <cell r="AA192">
            <v>306</v>
          </cell>
          <cell r="AB192">
            <v>60</v>
          </cell>
          <cell r="AD192">
            <v>180</v>
          </cell>
          <cell r="AE192">
            <v>1.1000000000000001</v>
          </cell>
          <cell r="AF192">
            <v>275</v>
          </cell>
          <cell r="AG192">
            <v>18</v>
          </cell>
          <cell r="AI192">
            <v>47</v>
          </cell>
          <cell r="AO192">
            <v>19</v>
          </cell>
          <cell r="AR192">
            <v>120</v>
          </cell>
          <cell r="AT192">
            <v>55</v>
          </cell>
          <cell r="BF192">
            <v>294.99482566110845</v>
          </cell>
        </row>
        <row r="193">
          <cell r="B193">
            <v>690</v>
          </cell>
          <cell r="C193">
            <v>47</v>
          </cell>
          <cell r="D193">
            <v>3</v>
          </cell>
          <cell r="E193">
            <v>85</v>
          </cell>
          <cell r="F193">
            <v>340</v>
          </cell>
          <cell r="G193">
            <v>25</v>
          </cell>
          <cell r="H193">
            <v>190</v>
          </cell>
          <cell r="J193">
            <v>153.30000000000001</v>
          </cell>
          <cell r="K193">
            <v>125</v>
          </cell>
          <cell r="L193">
            <v>125</v>
          </cell>
          <cell r="M193">
            <v>730</v>
          </cell>
          <cell r="N193">
            <v>180</v>
          </cell>
          <cell r="O193">
            <v>375</v>
          </cell>
          <cell r="P193">
            <v>50</v>
          </cell>
          <cell r="Q193">
            <v>21</v>
          </cell>
          <cell r="R193">
            <v>100</v>
          </cell>
          <cell r="S193">
            <v>60</v>
          </cell>
          <cell r="T193">
            <v>36</v>
          </cell>
          <cell r="W193">
            <v>20</v>
          </cell>
          <cell r="Y193">
            <v>3.5</v>
          </cell>
          <cell r="Z193">
            <v>57.5</v>
          </cell>
          <cell r="AA193">
            <v>306</v>
          </cell>
          <cell r="AB193">
            <v>60</v>
          </cell>
          <cell r="AD193">
            <v>180</v>
          </cell>
          <cell r="AE193">
            <v>1.1000000000000001</v>
          </cell>
          <cell r="AF193">
            <v>275</v>
          </cell>
          <cell r="AG193">
            <v>18</v>
          </cell>
          <cell r="AI193">
            <v>47</v>
          </cell>
          <cell r="AO193">
            <v>19</v>
          </cell>
          <cell r="AR193">
            <v>120</v>
          </cell>
          <cell r="AS193">
            <v>60</v>
          </cell>
          <cell r="AT193">
            <v>55</v>
          </cell>
          <cell r="BF193">
            <v>191.25663221530687</v>
          </cell>
        </row>
        <row r="194">
          <cell r="B194">
            <v>690</v>
          </cell>
          <cell r="C194">
            <v>47</v>
          </cell>
          <cell r="D194">
            <v>3</v>
          </cell>
          <cell r="E194">
            <v>85</v>
          </cell>
          <cell r="F194">
            <v>340</v>
          </cell>
          <cell r="G194">
            <v>25</v>
          </cell>
          <cell r="H194">
            <v>190</v>
          </cell>
          <cell r="J194">
            <v>153.30000000000001</v>
          </cell>
          <cell r="K194">
            <v>125</v>
          </cell>
          <cell r="L194">
            <v>125</v>
          </cell>
          <cell r="M194">
            <v>730</v>
          </cell>
          <cell r="N194">
            <v>180</v>
          </cell>
          <cell r="O194">
            <v>375</v>
          </cell>
          <cell r="P194">
            <v>50</v>
          </cell>
          <cell r="Q194">
            <v>21</v>
          </cell>
          <cell r="R194">
            <v>100</v>
          </cell>
          <cell r="S194">
            <v>60</v>
          </cell>
          <cell r="T194">
            <v>36</v>
          </cell>
          <cell r="W194">
            <v>20</v>
          </cell>
          <cell r="Y194">
            <v>3.5</v>
          </cell>
          <cell r="Z194">
            <v>76.25</v>
          </cell>
          <cell r="AA194">
            <v>306</v>
          </cell>
          <cell r="AB194">
            <v>60</v>
          </cell>
          <cell r="AD194">
            <v>180</v>
          </cell>
          <cell r="AE194">
            <v>1.1000000000000001</v>
          </cell>
          <cell r="AF194">
            <v>275</v>
          </cell>
          <cell r="AG194">
            <v>18</v>
          </cell>
          <cell r="AI194">
            <v>47</v>
          </cell>
          <cell r="AO194">
            <v>19</v>
          </cell>
          <cell r="AR194">
            <v>120</v>
          </cell>
          <cell r="AS194">
            <v>90</v>
          </cell>
          <cell r="AT194">
            <v>55</v>
          </cell>
          <cell r="BF194">
            <v>229.79663837291469</v>
          </cell>
        </row>
        <row r="195">
          <cell r="B195">
            <v>690</v>
          </cell>
          <cell r="C195">
            <v>47</v>
          </cell>
          <cell r="D195">
            <v>3</v>
          </cell>
          <cell r="E195">
            <v>85</v>
          </cell>
          <cell r="F195">
            <v>340</v>
          </cell>
          <cell r="G195">
            <v>25</v>
          </cell>
          <cell r="H195">
            <v>190</v>
          </cell>
          <cell r="J195">
            <v>153.30000000000001</v>
          </cell>
          <cell r="K195">
            <v>125</v>
          </cell>
          <cell r="L195">
            <v>125</v>
          </cell>
          <cell r="M195">
            <v>730</v>
          </cell>
          <cell r="N195">
            <v>180</v>
          </cell>
          <cell r="O195">
            <v>375</v>
          </cell>
          <cell r="P195">
            <v>50</v>
          </cell>
          <cell r="Q195">
            <v>21</v>
          </cell>
          <cell r="R195">
            <v>100</v>
          </cell>
          <cell r="S195">
            <v>60</v>
          </cell>
          <cell r="T195">
            <v>36</v>
          </cell>
          <cell r="W195">
            <v>20</v>
          </cell>
          <cell r="Y195">
            <v>3.5</v>
          </cell>
          <cell r="Z195">
            <v>115</v>
          </cell>
          <cell r="AA195">
            <v>306</v>
          </cell>
          <cell r="AB195">
            <v>60</v>
          </cell>
          <cell r="AD195">
            <v>180</v>
          </cell>
          <cell r="AE195">
            <v>1.1000000000000001</v>
          </cell>
          <cell r="AF195">
            <v>275</v>
          </cell>
          <cell r="AG195">
            <v>18</v>
          </cell>
          <cell r="AI195">
            <v>47</v>
          </cell>
          <cell r="AO195">
            <v>19</v>
          </cell>
          <cell r="AR195">
            <v>120</v>
          </cell>
          <cell r="AS195">
            <v>120</v>
          </cell>
          <cell r="AT195">
            <v>55</v>
          </cell>
          <cell r="BF195">
            <v>212.68460455912947</v>
          </cell>
        </row>
        <row r="196">
          <cell r="B196">
            <v>690</v>
          </cell>
          <cell r="C196">
            <v>47</v>
          </cell>
          <cell r="D196">
            <v>3</v>
          </cell>
          <cell r="E196">
            <v>85</v>
          </cell>
          <cell r="F196">
            <v>340</v>
          </cell>
          <cell r="G196">
            <v>25</v>
          </cell>
          <cell r="H196">
            <v>190</v>
          </cell>
          <cell r="J196">
            <v>153.30000000000001</v>
          </cell>
          <cell r="K196">
            <v>125</v>
          </cell>
          <cell r="L196">
            <v>125</v>
          </cell>
          <cell r="M196">
            <v>730</v>
          </cell>
          <cell r="N196">
            <v>180</v>
          </cell>
          <cell r="O196">
            <v>375</v>
          </cell>
          <cell r="P196">
            <v>50</v>
          </cell>
          <cell r="Q196">
            <v>21</v>
          </cell>
          <cell r="R196">
            <v>100</v>
          </cell>
          <cell r="S196">
            <v>60</v>
          </cell>
          <cell r="T196">
            <v>36</v>
          </cell>
          <cell r="W196">
            <v>20</v>
          </cell>
          <cell r="Y196">
            <v>3.5</v>
          </cell>
          <cell r="Z196">
            <v>115</v>
          </cell>
          <cell r="AA196">
            <v>306</v>
          </cell>
          <cell r="AB196">
            <v>60</v>
          </cell>
          <cell r="AD196">
            <v>180</v>
          </cell>
          <cell r="AE196">
            <v>1.1000000000000001</v>
          </cell>
          <cell r="AF196">
            <v>275</v>
          </cell>
          <cell r="AG196">
            <v>18</v>
          </cell>
          <cell r="AI196">
            <v>47</v>
          </cell>
          <cell r="AO196">
            <v>19</v>
          </cell>
          <cell r="AR196">
            <v>120</v>
          </cell>
          <cell r="AS196">
            <v>120</v>
          </cell>
          <cell r="AT196">
            <v>55</v>
          </cell>
          <cell r="BF196">
            <v>217.65831273987709</v>
          </cell>
        </row>
        <row r="197">
          <cell r="B197">
            <v>690</v>
          </cell>
          <cell r="C197">
            <v>47</v>
          </cell>
          <cell r="D197">
            <v>3</v>
          </cell>
          <cell r="E197">
            <v>85</v>
          </cell>
          <cell r="F197">
            <v>340</v>
          </cell>
          <cell r="G197">
            <v>25</v>
          </cell>
          <cell r="H197">
            <v>190</v>
          </cell>
          <cell r="J197">
            <v>153.30000000000001</v>
          </cell>
          <cell r="K197">
            <v>125</v>
          </cell>
          <cell r="L197">
            <v>125</v>
          </cell>
          <cell r="M197">
            <v>730</v>
          </cell>
          <cell r="N197">
            <v>180</v>
          </cell>
          <cell r="O197">
            <v>375</v>
          </cell>
          <cell r="P197">
            <v>50</v>
          </cell>
          <cell r="Q197">
            <v>21</v>
          </cell>
          <cell r="R197">
            <v>100</v>
          </cell>
          <cell r="S197">
            <v>60</v>
          </cell>
          <cell r="T197">
            <v>36</v>
          </cell>
          <cell r="W197">
            <v>20</v>
          </cell>
          <cell r="Y197">
            <v>3.5</v>
          </cell>
          <cell r="Z197">
            <v>115</v>
          </cell>
          <cell r="AA197">
            <v>306</v>
          </cell>
          <cell r="AB197">
            <v>60</v>
          </cell>
          <cell r="AD197">
            <v>180</v>
          </cell>
          <cell r="AE197">
            <v>1.1000000000000001</v>
          </cell>
          <cell r="AF197">
            <v>275</v>
          </cell>
          <cell r="AG197">
            <v>18</v>
          </cell>
          <cell r="AI197">
            <v>47</v>
          </cell>
          <cell r="AO197">
            <v>19</v>
          </cell>
          <cell r="AR197">
            <v>120</v>
          </cell>
          <cell r="AS197">
            <v>120</v>
          </cell>
          <cell r="AT197">
            <v>55</v>
          </cell>
          <cell r="BF197">
            <v>248.90744768100396</v>
          </cell>
        </row>
        <row r="198">
          <cell r="B198">
            <v>690</v>
          </cell>
          <cell r="C198">
            <v>47</v>
          </cell>
          <cell r="D198">
            <v>3</v>
          </cell>
          <cell r="E198">
            <v>85</v>
          </cell>
          <cell r="F198">
            <v>340</v>
          </cell>
          <cell r="G198">
            <v>25</v>
          </cell>
          <cell r="H198">
            <v>190</v>
          </cell>
          <cell r="J198">
            <v>153.30000000000001</v>
          </cell>
          <cell r="K198">
            <v>125</v>
          </cell>
          <cell r="L198">
            <v>125</v>
          </cell>
          <cell r="M198">
            <v>730</v>
          </cell>
          <cell r="N198">
            <v>180</v>
          </cell>
          <cell r="O198">
            <v>375</v>
          </cell>
          <cell r="P198">
            <v>50</v>
          </cell>
          <cell r="Q198">
            <v>21</v>
          </cell>
          <cell r="R198">
            <v>100</v>
          </cell>
          <cell r="S198">
            <v>60</v>
          </cell>
          <cell r="T198">
            <v>36</v>
          </cell>
          <cell r="W198">
            <v>20</v>
          </cell>
          <cell r="Y198">
            <v>3.5</v>
          </cell>
          <cell r="Z198">
            <v>115</v>
          </cell>
          <cell r="AA198">
            <v>306</v>
          </cell>
          <cell r="AB198">
            <v>60</v>
          </cell>
          <cell r="AD198">
            <v>180</v>
          </cell>
          <cell r="AE198">
            <v>1.1000000000000001</v>
          </cell>
          <cell r="AF198">
            <v>275</v>
          </cell>
          <cell r="AG198">
            <v>18</v>
          </cell>
          <cell r="AI198">
            <v>47</v>
          </cell>
          <cell r="AO198">
            <v>19</v>
          </cell>
          <cell r="AR198">
            <v>120</v>
          </cell>
          <cell r="AS198">
            <v>120</v>
          </cell>
          <cell r="AT198">
            <v>55</v>
          </cell>
          <cell r="BF198">
            <v>245.56047598792833</v>
          </cell>
        </row>
        <row r="199">
          <cell r="B199">
            <v>690</v>
          </cell>
          <cell r="C199">
            <v>47</v>
          </cell>
          <cell r="D199">
            <v>3</v>
          </cell>
          <cell r="E199">
            <v>85</v>
          </cell>
          <cell r="F199">
            <v>340</v>
          </cell>
          <cell r="G199">
            <v>25</v>
          </cell>
          <cell r="H199">
            <v>190</v>
          </cell>
          <cell r="J199">
            <v>153.30000000000001</v>
          </cell>
          <cell r="K199">
            <v>125</v>
          </cell>
          <cell r="L199">
            <v>125</v>
          </cell>
          <cell r="M199">
            <v>730</v>
          </cell>
          <cell r="N199">
            <v>180</v>
          </cell>
          <cell r="O199">
            <v>375</v>
          </cell>
          <cell r="P199">
            <v>50</v>
          </cell>
          <cell r="Q199">
            <v>21</v>
          </cell>
          <cell r="R199">
            <v>100</v>
          </cell>
          <cell r="S199">
            <v>60</v>
          </cell>
          <cell r="T199">
            <v>36</v>
          </cell>
          <cell r="W199">
            <v>20</v>
          </cell>
          <cell r="Y199">
            <v>3.5</v>
          </cell>
          <cell r="Z199">
            <v>115</v>
          </cell>
          <cell r="AA199">
            <v>306</v>
          </cell>
          <cell r="AB199">
            <v>60</v>
          </cell>
          <cell r="AD199">
            <v>180</v>
          </cell>
          <cell r="AE199">
            <v>1.1000000000000001</v>
          </cell>
          <cell r="AF199">
            <v>275</v>
          </cell>
          <cell r="AG199">
            <v>18</v>
          </cell>
          <cell r="AI199">
            <v>47</v>
          </cell>
          <cell r="AO199">
            <v>19</v>
          </cell>
          <cell r="AR199">
            <v>120</v>
          </cell>
          <cell r="AS199">
            <v>120</v>
          </cell>
          <cell r="AT199">
            <v>55</v>
          </cell>
          <cell r="BF199">
            <v>244.79345801243824</v>
          </cell>
        </row>
        <row r="200">
          <cell r="B200">
            <v>690</v>
          </cell>
          <cell r="C200">
            <v>47</v>
          </cell>
          <cell r="D200">
            <v>3</v>
          </cell>
          <cell r="E200">
            <v>85</v>
          </cell>
          <cell r="F200">
            <v>340</v>
          </cell>
          <cell r="G200">
            <v>25</v>
          </cell>
          <cell r="H200">
            <v>190</v>
          </cell>
          <cell r="J200">
            <v>153.30000000000001</v>
          </cell>
          <cell r="K200">
            <v>125</v>
          </cell>
          <cell r="L200">
            <v>125</v>
          </cell>
          <cell r="M200">
            <v>730</v>
          </cell>
          <cell r="N200">
            <v>180</v>
          </cell>
          <cell r="O200">
            <v>375</v>
          </cell>
          <cell r="P200">
            <v>50</v>
          </cell>
          <cell r="Q200">
            <v>21</v>
          </cell>
          <cell r="R200">
            <v>100</v>
          </cell>
          <cell r="S200">
            <v>60</v>
          </cell>
          <cell r="T200">
            <v>36</v>
          </cell>
          <cell r="W200">
            <v>20</v>
          </cell>
          <cell r="Y200">
            <v>3.5</v>
          </cell>
          <cell r="Z200">
            <v>115</v>
          </cell>
          <cell r="AA200">
            <v>306</v>
          </cell>
          <cell r="AB200">
            <v>60</v>
          </cell>
          <cell r="AD200">
            <v>180</v>
          </cell>
          <cell r="AE200">
            <v>1.1000000000000001</v>
          </cell>
          <cell r="AF200">
            <v>275</v>
          </cell>
          <cell r="AG200">
            <v>18</v>
          </cell>
          <cell r="AI200">
            <v>47</v>
          </cell>
          <cell r="AO200">
            <v>19</v>
          </cell>
          <cell r="AR200">
            <v>120</v>
          </cell>
          <cell r="AS200">
            <v>120</v>
          </cell>
          <cell r="AT200">
            <v>55</v>
          </cell>
          <cell r="BF200">
            <v>250.69301602226463</v>
          </cell>
        </row>
        <row r="201">
          <cell r="B201">
            <v>690</v>
          </cell>
          <cell r="C201">
            <v>47</v>
          </cell>
          <cell r="D201">
            <v>3</v>
          </cell>
          <cell r="E201">
            <v>85</v>
          </cell>
          <cell r="F201">
            <v>340</v>
          </cell>
          <cell r="G201">
            <v>37.5</v>
          </cell>
          <cell r="H201">
            <v>190</v>
          </cell>
          <cell r="J201">
            <v>153.30000000000001</v>
          </cell>
          <cell r="K201">
            <v>125</v>
          </cell>
          <cell r="L201">
            <v>125</v>
          </cell>
          <cell r="M201">
            <v>730</v>
          </cell>
          <cell r="N201">
            <v>180</v>
          </cell>
          <cell r="O201">
            <v>375</v>
          </cell>
          <cell r="P201">
            <v>50</v>
          </cell>
          <cell r="Q201">
            <v>21</v>
          </cell>
          <cell r="R201">
            <v>100</v>
          </cell>
          <cell r="S201">
            <v>60</v>
          </cell>
          <cell r="T201">
            <v>36</v>
          </cell>
          <cell r="W201">
            <v>20</v>
          </cell>
          <cell r="Y201">
            <v>3.5</v>
          </cell>
          <cell r="Z201">
            <v>115</v>
          </cell>
          <cell r="AA201">
            <v>306</v>
          </cell>
          <cell r="AB201">
            <v>60</v>
          </cell>
          <cell r="AD201">
            <v>180</v>
          </cell>
          <cell r="AE201">
            <v>1.1000000000000001</v>
          </cell>
          <cell r="AF201">
            <v>275</v>
          </cell>
          <cell r="AG201">
            <v>18</v>
          </cell>
          <cell r="AI201">
            <v>47</v>
          </cell>
          <cell r="AO201">
            <v>19</v>
          </cell>
          <cell r="AR201">
            <v>120</v>
          </cell>
          <cell r="AS201">
            <v>120</v>
          </cell>
          <cell r="AT201">
            <v>55</v>
          </cell>
          <cell r="BF201">
            <v>263.53064123057032</v>
          </cell>
        </row>
        <row r="202">
          <cell r="B202">
            <v>690</v>
          </cell>
          <cell r="C202">
            <v>47</v>
          </cell>
          <cell r="D202">
            <v>3</v>
          </cell>
          <cell r="E202">
            <v>85</v>
          </cell>
          <cell r="F202">
            <v>340</v>
          </cell>
          <cell r="G202">
            <v>37.5</v>
          </cell>
          <cell r="H202">
            <v>190</v>
          </cell>
          <cell r="J202">
            <v>153.30000000000001</v>
          </cell>
          <cell r="K202">
            <v>125</v>
          </cell>
          <cell r="L202">
            <v>125</v>
          </cell>
          <cell r="M202">
            <v>730</v>
          </cell>
          <cell r="N202">
            <v>180</v>
          </cell>
          <cell r="O202">
            <v>375</v>
          </cell>
          <cell r="P202">
            <v>50</v>
          </cell>
          <cell r="Q202">
            <v>21</v>
          </cell>
          <cell r="R202">
            <v>100</v>
          </cell>
          <cell r="S202">
            <v>60</v>
          </cell>
          <cell r="T202">
            <v>36</v>
          </cell>
          <cell r="W202">
            <v>20</v>
          </cell>
          <cell r="Y202">
            <v>3.5</v>
          </cell>
          <cell r="Z202">
            <v>115</v>
          </cell>
          <cell r="AA202">
            <v>306</v>
          </cell>
          <cell r="AB202">
            <v>60</v>
          </cell>
          <cell r="AD202">
            <v>180</v>
          </cell>
          <cell r="AE202">
            <v>1.1000000000000001</v>
          </cell>
          <cell r="AF202">
            <v>275</v>
          </cell>
          <cell r="AG202">
            <v>18</v>
          </cell>
          <cell r="AI202">
            <v>47</v>
          </cell>
          <cell r="AO202">
            <v>19</v>
          </cell>
          <cell r="AR202">
            <v>120</v>
          </cell>
          <cell r="AS202">
            <v>120</v>
          </cell>
          <cell r="AT202">
            <v>55</v>
          </cell>
          <cell r="BF202">
            <v>284.24692660426723</v>
          </cell>
        </row>
        <row r="203">
          <cell r="B203">
            <v>690</v>
          </cell>
          <cell r="C203">
            <v>47</v>
          </cell>
          <cell r="D203">
            <v>3</v>
          </cell>
          <cell r="E203">
            <v>85</v>
          </cell>
          <cell r="F203">
            <v>340</v>
          </cell>
          <cell r="G203">
            <v>37.5</v>
          </cell>
          <cell r="H203">
            <v>190</v>
          </cell>
          <cell r="J203">
            <v>153.30000000000001</v>
          </cell>
          <cell r="K203">
            <v>125</v>
          </cell>
          <cell r="L203">
            <v>125</v>
          </cell>
          <cell r="M203">
            <v>730</v>
          </cell>
          <cell r="N203">
            <v>180</v>
          </cell>
          <cell r="O203">
            <v>375</v>
          </cell>
          <cell r="P203">
            <v>50</v>
          </cell>
          <cell r="Q203">
            <v>21</v>
          </cell>
          <cell r="R203">
            <v>100</v>
          </cell>
          <cell r="S203">
            <v>60</v>
          </cell>
          <cell r="T203">
            <v>36</v>
          </cell>
          <cell r="W203">
            <v>20</v>
          </cell>
          <cell r="Y203">
            <v>3.5</v>
          </cell>
          <cell r="Z203">
            <v>115</v>
          </cell>
          <cell r="AA203">
            <v>306</v>
          </cell>
          <cell r="AB203">
            <v>60</v>
          </cell>
          <cell r="AD203">
            <v>180</v>
          </cell>
          <cell r="AE203">
            <v>1.1000000000000001</v>
          </cell>
          <cell r="AF203">
            <v>275</v>
          </cell>
          <cell r="AG203">
            <v>18</v>
          </cell>
          <cell r="AI203">
            <v>47</v>
          </cell>
          <cell r="AO203">
            <v>19</v>
          </cell>
          <cell r="AR203">
            <v>120</v>
          </cell>
          <cell r="AS203">
            <v>120</v>
          </cell>
          <cell r="AT203">
            <v>55</v>
          </cell>
          <cell r="BF203">
            <v>326.20505555239907</v>
          </cell>
        </row>
        <row r="204">
          <cell r="B204">
            <v>690</v>
          </cell>
          <cell r="C204">
            <v>47</v>
          </cell>
          <cell r="D204">
            <v>3</v>
          </cell>
          <cell r="E204">
            <v>85</v>
          </cell>
          <cell r="F204">
            <v>340</v>
          </cell>
          <cell r="G204">
            <v>37.5</v>
          </cell>
          <cell r="H204">
            <v>190</v>
          </cell>
          <cell r="J204">
            <v>153.30000000000001</v>
          </cell>
          <cell r="K204">
            <v>125</v>
          </cell>
          <cell r="L204">
            <v>125</v>
          </cell>
          <cell r="M204">
            <v>730</v>
          </cell>
          <cell r="N204">
            <v>180</v>
          </cell>
          <cell r="O204">
            <v>375</v>
          </cell>
          <cell r="P204">
            <v>50</v>
          </cell>
          <cell r="Q204">
            <v>21</v>
          </cell>
          <cell r="R204">
            <v>100</v>
          </cell>
          <cell r="S204">
            <v>60</v>
          </cell>
          <cell r="T204">
            <v>36</v>
          </cell>
          <cell r="W204">
            <v>20</v>
          </cell>
          <cell r="Y204">
            <v>3.5</v>
          </cell>
          <cell r="Z204">
            <v>115</v>
          </cell>
          <cell r="AA204">
            <v>306</v>
          </cell>
          <cell r="AB204">
            <v>60</v>
          </cell>
          <cell r="AD204">
            <v>180</v>
          </cell>
          <cell r="AE204">
            <v>1.1000000000000001</v>
          </cell>
          <cell r="AF204">
            <v>275</v>
          </cell>
          <cell r="AG204">
            <v>18</v>
          </cell>
          <cell r="AI204">
            <v>47</v>
          </cell>
          <cell r="AO204">
            <v>19</v>
          </cell>
          <cell r="AR204">
            <v>120</v>
          </cell>
          <cell r="AS204">
            <v>120</v>
          </cell>
          <cell r="AT204">
            <v>55</v>
          </cell>
          <cell r="BF204">
            <v>359.94848049094293</v>
          </cell>
        </row>
        <row r="205">
          <cell r="B205">
            <v>690</v>
          </cell>
          <cell r="C205">
            <v>47</v>
          </cell>
          <cell r="D205">
            <v>3</v>
          </cell>
          <cell r="E205">
            <v>85</v>
          </cell>
          <cell r="F205">
            <v>340</v>
          </cell>
          <cell r="G205">
            <v>37.5</v>
          </cell>
          <cell r="H205">
            <v>190</v>
          </cell>
          <cell r="J205">
            <v>153.30000000000001</v>
          </cell>
          <cell r="K205">
            <v>125</v>
          </cell>
          <cell r="L205">
            <v>125</v>
          </cell>
          <cell r="M205">
            <v>730</v>
          </cell>
          <cell r="N205">
            <v>180</v>
          </cell>
          <cell r="O205">
            <v>375</v>
          </cell>
          <cell r="P205">
            <v>50</v>
          </cell>
          <cell r="Q205">
            <v>21</v>
          </cell>
          <cell r="R205">
            <v>100</v>
          </cell>
          <cell r="S205">
            <v>60</v>
          </cell>
          <cell r="T205">
            <v>36</v>
          </cell>
          <cell r="W205">
            <v>20</v>
          </cell>
          <cell r="Y205">
            <v>3.5</v>
          </cell>
          <cell r="Z205">
            <v>115</v>
          </cell>
          <cell r="AA205">
            <v>306</v>
          </cell>
          <cell r="AB205">
            <v>60</v>
          </cell>
          <cell r="AD205">
            <v>180</v>
          </cell>
          <cell r="AE205">
            <v>1.1000000000000001</v>
          </cell>
          <cell r="AF205">
            <v>275</v>
          </cell>
          <cell r="AG205">
            <v>18</v>
          </cell>
          <cell r="AI205">
            <v>47</v>
          </cell>
          <cell r="AO205">
            <v>19</v>
          </cell>
          <cell r="AR205">
            <v>120</v>
          </cell>
          <cell r="AS205">
            <v>120</v>
          </cell>
          <cell r="AT205">
            <v>55</v>
          </cell>
          <cell r="BF205">
            <v>252.56418649107721</v>
          </cell>
        </row>
        <row r="206">
          <cell r="B206">
            <v>690</v>
          </cell>
          <cell r="C206">
            <v>47</v>
          </cell>
          <cell r="D206">
            <v>3</v>
          </cell>
          <cell r="E206">
            <v>85</v>
          </cell>
          <cell r="F206">
            <v>340</v>
          </cell>
          <cell r="G206">
            <v>37.5</v>
          </cell>
          <cell r="H206">
            <v>190</v>
          </cell>
          <cell r="J206">
            <v>153.30000000000001</v>
          </cell>
          <cell r="K206">
            <v>125</v>
          </cell>
          <cell r="L206">
            <v>125</v>
          </cell>
          <cell r="M206">
            <v>730</v>
          </cell>
          <cell r="N206">
            <v>180</v>
          </cell>
          <cell r="O206">
            <v>375</v>
          </cell>
          <cell r="P206">
            <v>50</v>
          </cell>
          <cell r="Q206">
            <v>21</v>
          </cell>
          <cell r="R206">
            <v>100</v>
          </cell>
          <cell r="S206">
            <v>60</v>
          </cell>
          <cell r="T206">
            <v>36</v>
          </cell>
          <cell r="W206">
            <v>20</v>
          </cell>
          <cell r="Y206">
            <v>3.5</v>
          </cell>
          <cell r="Z206">
            <v>115</v>
          </cell>
          <cell r="AA206">
            <v>306</v>
          </cell>
          <cell r="AB206">
            <v>60</v>
          </cell>
          <cell r="AD206">
            <v>180</v>
          </cell>
          <cell r="AE206">
            <v>1.1000000000000001</v>
          </cell>
          <cell r="AF206">
            <v>275</v>
          </cell>
          <cell r="AG206">
            <v>18</v>
          </cell>
          <cell r="AI206">
            <v>47</v>
          </cell>
          <cell r="AO206">
            <v>19</v>
          </cell>
          <cell r="AR206">
            <v>120</v>
          </cell>
          <cell r="AS206">
            <v>120</v>
          </cell>
          <cell r="AT206">
            <v>55</v>
          </cell>
          <cell r="BF206">
            <v>332.90748345601639</v>
          </cell>
        </row>
        <row r="207">
          <cell r="B207">
            <v>690</v>
          </cell>
          <cell r="C207">
            <v>47</v>
          </cell>
          <cell r="D207">
            <v>3</v>
          </cell>
          <cell r="E207">
            <v>85</v>
          </cell>
          <cell r="F207">
            <v>340</v>
          </cell>
          <cell r="G207">
            <v>37.5</v>
          </cell>
          <cell r="H207">
            <v>190</v>
          </cell>
          <cell r="J207">
            <v>153.30000000000001</v>
          </cell>
          <cell r="K207">
            <v>125</v>
          </cell>
          <cell r="L207">
            <v>125</v>
          </cell>
          <cell r="M207">
            <v>730</v>
          </cell>
          <cell r="N207">
            <v>180</v>
          </cell>
          <cell r="O207">
            <v>375</v>
          </cell>
          <cell r="P207">
            <v>50</v>
          </cell>
          <cell r="Q207">
            <v>21</v>
          </cell>
          <cell r="R207">
            <v>100</v>
          </cell>
          <cell r="S207">
            <v>60</v>
          </cell>
          <cell r="T207">
            <v>36</v>
          </cell>
          <cell r="W207">
            <v>20</v>
          </cell>
          <cell r="Y207">
            <v>3.5</v>
          </cell>
          <cell r="Z207">
            <v>115</v>
          </cell>
          <cell r="AA207">
            <v>306</v>
          </cell>
          <cell r="AB207">
            <v>60</v>
          </cell>
          <cell r="AD207">
            <v>180</v>
          </cell>
          <cell r="AE207">
            <v>1.1000000000000001</v>
          </cell>
          <cell r="AF207">
            <v>275</v>
          </cell>
          <cell r="AG207">
            <v>18</v>
          </cell>
          <cell r="AI207">
            <v>47</v>
          </cell>
          <cell r="AN207">
            <v>0.75</v>
          </cell>
          <cell r="AO207">
            <v>19</v>
          </cell>
          <cell r="AR207">
            <v>120</v>
          </cell>
          <cell r="AS207">
            <v>120</v>
          </cell>
          <cell r="AT207">
            <v>55</v>
          </cell>
          <cell r="BF207">
            <v>266.28099135641429</v>
          </cell>
        </row>
        <row r="208">
          <cell r="B208">
            <v>690</v>
          </cell>
          <cell r="C208">
            <v>47</v>
          </cell>
          <cell r="D208">
            <v>3</v>
          </cell>
          <cell r="E208">
            <v>85</v>
          </cell>
          <cell r="F208">
            <v>340</v>
          </cell>
          <cell r="G208">
            <v>37.5</v>
          </cell>
          <cell r="H208">
            <v>190</v>
          </cell>
          <cell r="J208">
            <v>153.30000000000001</v>
          </cell>
          <cell r="K208">
            <v>125</v>
          </cell>
          <cell r="L208">
            <v>125</v>
          </cell>
          <cell r="M208">
            <v>730</v>
          </cell>
          <cell r="N208">
            <v>180</v>
          </cell>
          <cell r="O208">
            <v>375</v>
          </cell>
          <cell r="P208">
            <v>50</v>
          </cell>
          <cell r="Q208">
            <v>21</v>
          </cell>
          <cell r="R208">
            <v>100</v>
          </cell>
          <cell r="S208">
            <v>60</v>
          </cell>
          <cell r="T208">
            <v>36</v>
          </cell>
          <cell r="W208">
            <v>20</v>
          </cell>
          <cell r="Y208">
            <v>3.5</v>
          </cell>
          <cell r="Z208">
            <v>115</v>
          </cell>
          <cell r="AA208">
            <v>306</v>
          </cell>
          <cell r="AB208">
            <v>60</v>
          </cell>
          <cell r="AD208">
            <v>180</v>
          </cell>
          <cell r="AE208">
            <v>1.1000000000000001</v>
          </cell>
          <cell r="AF208">
            <v>275</v>
          </cell>
          <cell r="AG208">
            <v>18</v>
          </cell>
          <cell r="AI208">
            <v>47</v>
          </cell>
          <cell r="AN208">
            <v>0.75</v>
          </cell>
          <cell r="AO208">
            <v>19</v>
          </cell>
          <cell r="AR208">
            <v>120</v>
          </cell>
          <cell r="AS208">
            <v>120</v>
          </cell>
          <cell r="AT208">
            <v>55</v>
          </cell>
          <cell r="BF208">
            <v>290.97860103059577</v>
          </cell>
        </row>
        <row r="209">
          <cell r="B209">
            <v>690</v>
          </cell>
          <cell r="C209">
            <v>47</v>
          </cell>
          <cell r="D209">
            <v>3</v>
          </cell>
          <cell r="E209">
            <v>85</v>
          </cell>
          <cell r="F209">
            <v>340</v>
          </cell>
          <cell r="G209">
            <v>37.5</v>
          </cell>
          <cell r="H209">
            <v>190</v>
          </cell>
          <cell r="J209">
            <v>153.30000000000001</v>
          </cell>
          <cell r="K209">
            <v>125</v>
          </cell>
          <cell r="L209">
            <v>125</v>
          </cell>
          <cell r="M209">
            <v>730</v>
          </cell>
          <cell r="N209">
            <v>180</v>
          </cell>
          <cell r="O209">
            <v>375</v>
          </cell>
          <cell r="P209">
            <v>50</v>
          </cell>
          <cell r="Q209">
            <v>21</v>
          </cell>
          <cell r="R209">
            <v>100</v>
          </cell>
          <cell r="S209">
            <v>60</v>
          </cell>
          <cell r="T209">
            <v>36</v>
          </cell>
          <cell r="W209">
            <v>20</v>
          </cell>
          <cell r="Y209">
            <v>3.5</v>
          </cell>
          <cell r="Z209">
            <v>115</v>
          </cell>
          <cell r="AA209">
            <v>306</v>
          </cell>
          <cell r="AB209">
            <v>60</v>
          </cell>
          <cell r="AD209">
            <v>180</v>
          </cell>
          <cell r="AE209">
            <v>1.1000000000000001</v>
          </cell>
          <cell r="AF209">
            <v>275</v>
          </cell>
          <cell r="AG209">
            <v>18</v>
          </cell>
          <cell r="AI209">
            <v>47</v>
          </cell>
          <cell r="AN209">
            <v>0.75</v>
          </cell>
          <cell r="AO209">
            <v>19</v>
          </cell>
          <cell r="AR209">
            <v>120</v>
          </cell>
          <cell r="AS209">
            <v>120</v>
          </cell>
          <cell r="AT209">
            <v>55</v>
          </cell>
          <cell r="BF209">
            <v>341.77124324923426</v>
          </cell>
        </row>
        <row r="210">
          <cell r="B210">
            <v>690</v>
          </cell>
          <cell r="C210">
            <v>47</v>
          </cell>
          <cell r="D210">
            <v>3</v>
          </cell>
          <cell r="E210">
            <v>85</v>
          </cell>
          <cell r="F210">
            <v>340</v>
          </cell>
          <cell r="G210">
            <v>37.5</v>
          </cell>
          <cell r="H210">
            <v>190</v>
          </cell>
          <cell r="J210">
            <v>153.30000000000001</v>
          </cell>
          <cell r="K210">
            <v>125</v>
          </cell>
          <cell r="L210">
            <v>125</v>
          </cell>
          <cell r="M210">
            <v>730</v>
          </cell>
          <cell r="N210">
            <v>180</v>
          </cell>
          <cell r="O210">
            <v>375</v>
          </cell>
          <cell r="P210">
            <v>50</v>
          </cell>
          <cell r="Q210">
            <v>21</v>
          </cell>
          <cell r="R210">
            <v>100</v>
          </cell>
          <cell r="S210">
            <v>60</v>
          </cell>
          <cell r="T210">
            <v>36</v>
          </cell>
          <cell r="W210">
            <v>20</v>
          </cell>
          <cell r="Y210">
            <v>3.5</v>
          </cell>
          <cell r="Z210">
            <v>115</v>
          </cell>
          <cell r="AA210">
            <v>306</v>
          </cell>
          <cell r="AB210">
            <v>60</v>
          </cell>
          <cell r="AD210">
            <v>180</v>
          </cell>
          <cell r="AE210">
            <v>1.1000000000000001</v>
          </cell>
          <cell r="AF210">
            <v>275</v>
          </cell>
          <cell r="AG210">
            <v>18</v>
          </cell>
          <cell r="AI210">
            <v>47</v>
          </cell>
          <cell r="AN210">
            <v>0.75</v>
          </cell>
          <cell r="AO210">
            <v>19</v>
          </cell>
          <cell r="AP210">
            <v>5</v>
          </cell>
          <cell r="AQ210">
            <v>2.5</v>
          </cell>
          <cell r="AR210">
            <v>120</v>
          </cell>
          <cell r="AS210">
            <v>120</v>
          </cell>
          <cell r="AT210">
            <v>55</v>
          </cell>
          <cell r="BF210">
            <v>334.71171404179995</v>
          </cell>
        </row>
        <row r="211">
          <cell r="B211">
            <v>690</v>
          </cell>
          <cell r="C211">
            <v>47</v>
          </cell>
          <cell r="D211">
            <v>3</v>
          </cell>
          <cell r="E211">
            <v>85</v>
          </cell>
          <cell r="F211">
            <v>340</v>
          </cell>
          <cell r="G211">
            <v>37.5</v>
          </cell>
          <cell r="H211">
            <v>190</v>
          </cell>
          <cell r="J211">
            <v>153.30000000000001</v>
          </cell>
          <cell r="K211">
            <v>125</v>
          </cell>
          <cell r="L211">
            <v>125</v>
          </cell>
          <cell r="M211">
            <v>730</v>
          </cell>
          <cell r="N211">
            <v>180</v>
          </cell>
          <cell r="O211">
            <v>375</v>
          </cell>
          <cell r="P211">
            <v>50</v>
          </cell>
          <cell r="Q211">
            <v>21</v>
          </cell>
          <cell r="R211">
            <v>100</v>
          </cell>
          <cell r="S211">
            <v>60</v>
          </cell>
          <cell r="T211">
            <v>36</v>
          </cell>
          <cell r="W211">
            <v>20</v>
          </cell>
          <cell r="Y211">
            <v>3.5</v>
          </cell>
          <cell r="Z211">
            <v>115</v>
          </cell>
          <cell r="AA211">
            <v>306</v>
          </cell>
          <cell r="AB211">
            <v>60</v>
          </cell>
          <cell r="AD211">
            <v>180</v>
          </cell>
          <cell r="AE211">
            <v>1.1000000000000001</v>
          </cell>
          <cell r="AF211">
            <v>275</v>
          </cell>
          <cell r="AG211">
            <v>18</v>
          </cell>
          <cell r="AI211">
            <v>47</v>
          </cell>
          <cell r="AN211">
            <v>0.75</v>
          </cell>
          <cell r="AO211">
            <v>19</v>
          </cell>
          <cell r="AP211">
            <v>7.5</v>
          </cell>
          <cell r="AQ211">
            <v>5</v>
          </cell>
          <cell r="AR211">
            <v>120</v>
          </cell>
          <cell r="AS211">
            <v>120</v>
          </cell>
          <cell r="AT211">
            <v>55</v>
          </cell>
          <cell r="BF211">
            <v>339.29278373728391</v>
          </cell>
        </row>
        <row r="212">
          <cell r="B212">
            <v>690</v>
          </cell>
          <cell r="C212">
            <v>47</v>
          </cell>
          <cell r="D212">
            <v>3</v>
          </cell>
          <cell r="E212">
            <v>85</v>
          </cell>
          <cell r="F212">
            <v>340</v>
          </cell>
          <cell r="G212">
            <v>37.5</v>
          </cell>
          <cell r="H212">
            <v>190</v>
          </cell>
          <cell r="J212">
            <v>153.30000000000001</v>
          </cell>
          <cell r="K212">
            <v>125</v>
          </cell>
          <cell r="L212">
            <v>125</v>
          </cell>
          <cell r="M212">
            <v>730</v>
          </cell>
          <cell r="N212">
            <v>180</v>
          </cell>
          <cell r="O212">
            <v>375</v>
          </cell>
          <cell r="P212">
            <v>50</v>
          </cell>
          <cell r="Q212">
            <v>21</v>
          </cell>
          <cell r="R212">
            <v>100</v>
          </cell>
          <cell r="S212">
            <v>60</v>
          </cell>
          <cell r="T212">
            <v>36</v>
          </cell>
          <cell r="W212">
            <v>20</v>
          </cell>
          <cell r="Y212">
            <v>3.5</v>
          </cell>
          <cell r="Z212">
            <v>115</v>
          </cell>
          <cell r="AA212">
            <v>306</v>
          </cell>
          <cell r="AB212">
            <v>60</v>
          </cell>
          <cell r="AD212">
            <v>180</v>
          </cell>
          <cell r="AE212">
            <v>1.1000000000000001</v>
          </cell>
          <cell r="AF212">
            <v>275</v>
          </cell>
          <cell r="AG212">
            <v>18</v>
          </cell>
          <cell r="AI212">
            <v>47</v>
          </cell>
          <cell r="AN212">
            <v>0.75</v>
          </cell>
          <cell r="AO212">
            <v>19</v>
          </cell>
          <cell r="AP212">
            <v>9.5</v>
          </cell>
          <cell r="AQ212">
            <v>5</v>
          </cell>
          <cell r="AR212">
            <v>120</v>
          </cell>
          <cell r="AS212">
            <v>120</v>
          </cell>
          <cell r="AT212">
            <v>55</v>
          </cell>
          <cell r="BF212">
            <v>352.90445526846872</v>
          </cell>
        </row>
        <row r="213">
          <cell r="B213">
            <v>690</v>
          </cell>
          <cell r="C213">
            <v>47</v>
          </cell>
          <cell r="D213">
            <v>3</v>
          </cell>
          <cell r="E213">
            <v>85</v>
          </cell>
          <cell r="F213">
            <v>340</v>
          </cell>
          <cell r="G213">
            <v>37.5</v>
          </cell>
          <cell r="H213">
            <v>190</v>
          </cell>
          <cell r="J213">
            <v>153.30000000000001</v>
          </cell>
          <cell r="K213">
            <v>125</v>
          </cell>
          <cell r="L213">
            <v>125</v>
          </cell>
          <cell r="M213">
            <v>730</v>
          </cell>
          <cell r="N213">
            <v>180</v>
          </cell>
          <cell r="O213">
            <v>375</v>
          </cell>
          <cell r="P213">
            <v>50</v>
          </cell>
          <cell r="Q213">
            <v>21</v>
          </cell>
          <cell r="R213">
            <v>100</v>
          </cell>
          <cell r="S213">
            <v>60</v>
          </cell>
          <cell r="T213">
            <v>36</v>
          </cell>
          <cell r="W213">
            <v>20</v>
          </cell>
          <cell r="Y213">
            <v>3.5</v>
          </cell>
          <cell r="Z213">
            <v>115</v>
          </cell>
          <cell r="AA213">
            <v>306</v>
          </cell>
          <cell r="AB213">
            <v>60</v>
          </cell>
          <cell r="AD213">
            <v>180</v>
          </cell>
          <cell r="AE213">
            <v>1.1000000000000001</v>
          </cell>
          <cell r="AF213">
            <v>275</v>
          </cell>
          <cell r="AG213">
            <v>18</v>
          </cell>
          <cell r="AI213">
            <v>47</v>
          </cell>
          <cell r="AN213">
            <v>0.75</v>
          </cell>
          <cell r="AO213">
            <v>19</v>
          </cell>
          <cell r="AP213">
            <v>19</v>
          </cell>
          <cell r="AQ213">
            <v>5</v>
          </cell>
          <cell r="AR213">
            <v>120</v>
          </cell>
          <cell r="AS213">
            <v>120</v>
          </cell>
          <cell r="AT213">
            <v>55</v>
          </cell>
          <cell r="BF213">
            <v>383.64028470080018</v>
          </cell>
        </row>
        <row r="214">
          <cell r="B214">
            <v>690</v>
          </cell>
          <cell r="C214">
            <v>47</v>
          </cell>
          <cell r="D214">
            <v>3</v>
          </cell>
          <cell r="E214">
            <v>85</v>
          </cell>
          <cell r="F214">
            <v>340</v>
          </cell>
          <cell r="G214">
            <v>37.5</v>
          </cell>
          <cell r="H214">
            <v>190</v>
          </cell>
          <cell r="J214">
            <v>153.30000000000001</v>
          </cell>
          <cell r="K214">
            <v>125</v>
          </cell>
          <cell r="L214">
            <v>125</v>
          </cell>
          <cell r="M214">
            <v>730</v>
          </cell>
          <cell r="N214">
            <v>180</v>
          </cell>
          <cell r="O214">
            <v>375</v>
          </cell>
          <cell r="P214">
            <v>50</v>
          </cell>
          <cell r="Q214">
            <v>21</v>
          </cell>
          <cell r="R214">
            <v>100</v>
          </cell>
          <cell r="S214">
            <v>60</v>
          </cell>
          <cell r="T214">
            <v>36</v>
          </cell>
          <cell r="W214">
            <v>20</v>
          </cell>
          <cell r="Y214">
            <v>3.5</v>
          </cell>
          <cell r="Z214">
            <v>115</v>
          </cell>
          <cell r="AA214">
            <v>306</v>
          </cell>
          <cell r="AB214">
            <v>60</v>
          </cell>
          <cell r="AD214">
            <v>180</v>
          </cell>
          <cell r="AE214">
            <v>1.1000000000000001</v>
          </cell>
          <cell r="AF214">
            <v>275</v>
          </cell>
          <cell r="AG214">
            <v>18</v>
          </cell>
          <cell r="AI214">
            <v>47</v>
          </cell>
          <cell r="AN214">
            <v>0.75</v>
          </cell>
          <cell r="AO214">
            <v>19</v>
          </cell>
          <cell r="AP214">
            <v>19</v>
          </cell>
          <cell r="AQ214">
            <v>5</v>
          </cell>
          <cell r="AR214">
            <v>120</v>
          </cell>
          <cell r="AS214">
            <v>120</v>
          </cell>
          <cell r="AT214">
            <v>55</v>
          </cell>
          <cell r="BF214">
            <v>402.69822146320587</v>
          </cell>
        </row>
        <row r="215">
          <cell r="B215">
            <v>690</v>
          </cell>
          <cell r="C215">
            <v>47</v>
          </cell>
          <cell r="D215">
            <v>3</v>
          </cell>
          <cell r="E215">
            <v>85</v>
          </cell>
          <cell r="F215">
            <v>340</v>
          </cell>
          <cell r="G215">
            <v>37.5</v>
          </cell>
          <cell r="H215">
            <v>190</v>
          </cell>
          <cell r="J215">
            <v>153.30000000000001</v>
          </cell>
          <cell r="K215">
            <v>125</v>
          </cell>
          <cell r="L215">
            <v>125</v>
          </cell>
          <cell r="M215">
            <v>730</v>
          </cell>
          <cell r="N215">
            <v>180</v>
          </cell>
          <cell r="O215">
            <v>375</v>
          </cell>
          <cell r="P215">
            <v>50</v>
          </cell>
          <cell r="Q215">
            <v>21</v>
          </cell>
          <cell r="R215">
            <v>100</v>
          </cell>
          <cell r="S215">
            <v>60</v>
          </cell>
          <cell r="T215">
            <v>36</v>
          </cell>
          <cell r="W215">
            <v>20</v>
          </cell>
          <cell r="Y215">
            <v>3.5</v>
          </cell>
          <cell r="Z215">
            <v>115</v>
          </cell>
          <cell r="AA215">
            <v>306</v>
          </cell>
          <cell r="AB215">
            <v>60</v>
          </cell>
          <cell r="AD215">
            <v>180</v>
          </cell>
          <cell r="AE215">
            <v>1.1000000000000001</v>
          </cell>
          <cell r="AF215">
            <v>275</v>
          </cell>
          <cell r="AG215">
            <v>18</v>
          </cell>
          <cell r="AI215">
            <v>47</v>
          </cell>
          <cell r="AN215">
            <v>0.75</v>
          </cell>
          <cell r="AO215">
            <v>19</v>
          </cell>
          <cell r="AP215">
            <v>19</v>
          </cell>
          <cell r="AQ215">
            <v>5</v>
          </cell>
          <cell r="AR215">
            <v>120</v>
          </cell>
          <cell r="AS215">
            <v>120</v>
          </cell>
          <cell r="AT215">
            <v>55</v>
          </cell>
          <cell r="BF215">
            <v>437.42482170770745</v>
          </cell>
        </row>
        <row r="216">
          <cell r="B216">
            <v>690</v>
          </cell>
          <cell r="C216">
            <v>47</v>
          </cell>
          <cell r="D216">
            <v>3</v>
          </cell>
          <cell r="E216">
            <v>85</v>
          </cell>
          <cell r="F216">
            <v>340</v>
          </cell>
          <cell r="G216">
            <v>37.5</v>
          </cell>
          <cell r="H216">
            <v>190</v>
          </cell>
          <cell r="J216">
            <v>153.30000000000001</v>
          </cell>
          <cell r="K216">
            <v>125</v>
          </cell>
          <cell r="L216">
            <v>125</v>
          </cell>
          <cell r="M216">
            <v>730</v>
          </cell>
          <cell r="N216">
            <v>180</v>
          </cell>
          <cell r="O216">
            <v>375</v>
          </cell>
          <cell r="P216">
            <v>50</v>
          </cell>
          <cell r="Q216">
            <v>21</v>
          </cell>
          <cell r="R216">
            <v>100</v>
          </cell>
          <cell r="S216">
            <v>60</v>
          </cell>
          <cell r="T216">
            <v>36</v>
          </cell>
          <cell r="W216">
            <v>20</v>
          </cell>
          <cell r="Y216">
            <v>3.5</v>
          </cell>
          <cell r="Z216">
            <v>115</v>
          </cell>
          <cell r="AA216">
            <v>306</v>
          </cell>
          <cell r="AB216">
            <v>60</v>
          </cell>
          <cell r="AD216">
            <v>180</v>
          </cell>
          <cell r="AE216">
            <v>1.1000000000000001</v>
          </cell>
          <cell r="AF216">
            <v>275</v>
          </cell>
          <cell r="AG216">
            <v>18</v>
          </cell>
          <cell r="AI216">
            <v>47</v>
          </cell>
          <cell r="AN216">
            <v>0.75</v>
          </cell>
          <cell r="AO216">
            <v>19</v>
          </cell>
          <cell r="AP216">
            <v>19</v>
          </cell>
          <cell r="AQ216">
            <v>5</v>
          </cell>
          <cell r="AR216">
            <v>120</v>
          </cell>
          <cell r="AS216">
            <v>120</v>
          </cell>
          <cell r="AT216">
            <v>55</v>
          </cell>
          <cell r="BF216">
            <v>465.89194033739113</v>
          </cell>
        </row>
        <row r="217">
          <cell r="B217">
            <v>690</v>
          </cell>
          <cell r="C217">
            <v>47</v>
          </cell>
          <cell r="D217">
            <v>3</v>
          </cell>
          <cell r="E217">
            <v>85</v>
          </cell>
          <cell r="F217">
            <v>340</v>
          </cell>
          <cell r="G217">
            <v>37.5</v>
          </cell>
          <cell r="H217">
            <v>190</v>
          </cell>
          <cell r="J217">
            <v>153.30000000000001</v>
          </cell>
          <cell r="K217">
            <v>125</v>
          </cell>
          <cell r="L217">
            <v>125</v>
          </cell>
          <cell r="M217">
            <v>730</v>
          </cell>
          <cell r="N217">
            <v>180</v>
          </cell>
          <cell r="O217">
            <v>375</v>
          </cell>
          <cell r="P217">
            <v>50</v>
          </cell>
          <cell r="Q217">
            <v>21</v>
          </cell>
          <cell r="R217">
            <v>100</v>
          </cell>
          <cell r="S217">
            <v>60</v>
          </cell>
          <cell r="T217">
            <v>36</v>
          </cell>
          <cell r="W217">
            <v>20</v>
          </cell>
          <cell r="Y217">
            <v>3.5</v>
          </cell>
          <cell r="Z217">
            <v>115</v>
          </cell>
          <cell r="AA217">
            <v>306</v>
          </cell>
          <cell r="AB217">
            <v>60</v>
          </cell>
          <cell r="AD217">
            <v>180</v>
          </cell>
          <cell r="AE217">
            <v>1.1000000000000001</v>
          </cell>
          <cell r="AF217">
            <v>275</v>
          </cell>
          <cell r="AG217">
            <v>18</v>
          </cell>
          <cell r="AI217">
            <v>47</v>
          </cell>
          <cell r="AN217">
            <v>0.75</v>
          </cell>
          <cell r="AO217">
            <v>19</v>
          </cell>
          <cell r="AP217">
            <v>19</v>
          </cell>
          <cell r="AQ217">
            <v>5</v>
          </cell>
          <cell r="AR217">
            <v>120</v>
          </cell>
          <cell r="AS217">
            <v>120</v>
          </cell>
          <cell r="AT217">
            <v>55</v>
          </cell>
          <cell r="BF217">
            <v>276.89098476996179</v>
          </cell>
        </row>
        <row r="218">
          <cell r="B218">
            <v>690</v>
          </cell>
          <cell r="C218">
            <v>47</v>
          </cell>
          <cell r="D218">
            <v>3</v>
          </cell>
          <cell r="E218">
            <v>85</v>
          </cell>
          <cell r="F218">
            <v>340</v>
          </cell>
          <cell r="G218">
            <v>37.5</v>
          </cell>
          <cell r="H218">
            <v>190</v>
          </cell>
          <cell r="J218">
            <v>153.30000000000001</v>
          </cell>
          <cell r="K218">
            <v>125</v>
          </cell>
          <cell r="L218">
            <v>125</v>
          </cell>
          <cell r="M218">
            <v>730</v>
          </cell>
          <cell r="N218">
            <v>180</v>
          </cell>
          <cell r="O218">
            <v>375</v>
          </cell>
          <cell r="P218">
            <v>50</v>
          </cell>
          <cell r="Q218">
            <v>21</v>
          </cell>
          <cell r="R218">
            <v>100</v>
          </cell>
          <cell r="S218">
            <v>60</v>
          </cell>
          <cell r="T218">
            <v>36</v>
          </cell>
          <cell r="W218">
            <v>20</v>
          </cell>
          <cell r="Y218">
            <v>3.5</v>
          </cell>
          <cell r="Z218">
            <v>133.75</v>
          </cell>
          <cell r="AA218">
            <v>306</v>
          </cell>
          <cell r="AB218">
            <v>60</v>
          </cell>
          <cell r="AD218">
            <v>180</v>
          </cell>
          <cell r="AE218">
            <v>1.1000000000000001</v>
          </cell>
          <cell r="AF218">
            <v>275</v>
          </cell>
          <cell r="AG218">
            <v>18</v>
          </cell>
          <cell r="AI218">
            <v>47</v>
          </cell>
          <cell r="AN218">
            <v>0.75</v>
          </cell>
          <cell r="AO218">
            <v>19</v>
          </cell>
          <cell r="AP218">
            <v>19</v>
          </cell>
          <cell r="AQ218">
            <v>5</v>
          </cell>
          <cell r="AR218">
            <v>120</v>
          </cell>
          <cell r="AS218">
            <v>120</v>
          </cell>
          <cell r="AT218">
            <v>55</v>
          </cell>
          <cell r="BF218">
            <v>376.91194922796217</v>
          </cell>
        </row>
        <row r="219">
          <cell r="B219">
            <v>690</v>
          </cell>
          <cell r="C219">
            <v>47</v>
          </cell>
          <cell r="D219">
            <v>3</v>
          </cell>
          <cell r="E219">
            <v>85</v>
          </cell>
          <cell r="F219">
            <v>340</v>
          </cell>
          <cell r="G219">
            <v>37.5</v>
          </cell>
          <cell r="H219">
            <v>190</v>
          </cell>
          <cell r="J219">
            <v>153.30000000000001</v>
          </cell>
          <cell r="K219">
            <v>125</v>
          </cell>
          <cell r="L219">
            <v>125</v>
          </cell>
          <cell r="M219">
            <v>730</v>
          </cell>
          <cell r="N219">
            <v>180</v>
          </cell>
          <cell r="O219">
            <v>375</v>
          </cell>
          <cell r="P219">
            <v>50</v>
          </cell>
          <cell r="Q219">
            <v>21</v>
          </cell>
          <cell r="R219">
            <v>100</v>
          </cell>
          <cell r="S219">
            <v>60</v>
          </cell>
          <cell r="T219">
            <v>36</v>
          </cell>
          <cell r="W219">
            <v>20</v>
          </cell>
          <cell r="Y219">
            <v>3.5</v>
          </cell>
          <cell r="Z219">
            <v>172.5</v>
          </cell>
          <cell r="AA219">
            <v>306</v>
          </cell>
          <cell r="AB219">
            <v>60</v>
          </cell>
          <cell r="AD219">
            <v>180</v>
          </cell>
          <cell r="AE219">
            <v>1.1000000000000001</v>
          </cell>
          <cell r="AF219">
            <v>275</v>
          </cell>
          <cell r="AG219">
            <v>18</v>
          </cell>
          <cell r="AI219">
            <v>47</v>
          </cell>
          <cell r="AN219">
            <v>0.75</v>
          </cell>
          <cell r="AO219">
            <v>19</v>
          </cell>
          <cell r="AP219">
            <v>19</v>
          </cell>
          <cell r="AQ219">
            <v>5</v>
          </cell>
          <cell r="AR219">
            <v>120</v>
          </cell>
          <cell r="AS219">
            <v>120</v>
          </cell>
          <cell r="AT219">
            <v>55</v>
          </cell>
          <cell r="BF219">
            <v>285.86309712616986</v>
          </cell>
        </row>
        <row r="220">
          <cell r="B220">
            <v>690</v>
          </cell>
          <cell r="C220">
            <v>47</v>
          </cell>
          <cell r="D220">
            <v>3</v>
          </cell>
          <cell r="E220">
            <v>85</v>
          </cell>
          <cell r="F220">
            <v>340</v>
          </cell>
          <cell r="G220">
            <v>37.5</v>
          </cell>
          <cell r="H220">
            <v>190</v>
          </cell>
          <cell r="J220">
            <v>153.30000000000001</v>
          </cell>
          <cell r="K220">
            <v>125</v>
          </cell>
          <cell r="L220">
            <v>125</v>
          </cell>
          <cell r="M220">
            <v>730</v>
          </cell>
          <cell r="N220">
            <v>180</v>
          </cell>
          <cell r="O220">
            <v>375</v>
          </cell>
          <cell r="P220">
            <v>50</v>
          </cell>
          <cell r="Q220">
            <v>21</v>
          </cell>
          <cell r="R220">
            <v>100</v>
          </cell>
          <cell r="S220">
            <v>60</v>
          </cell>
          <cell r="T220">
            <v>36</v>
          </cell>
          <cell r="W220">
            <v>20</v>
          </cell>
          <cell r="Y220">
            <v>3.5</v>
          </cell>
          <cell r="Z220">
            <v>172.5</v>
          </cell>
          <cell r="AA220">
            <v>306</v>
          </cell>
          <cell r="AB220">
            <v>60</v>
          </cell>
          <cell r="AD220">
            <v>180</v>
          </cell>
          <cell r="AE220">
            <v>1.1000000000000001</v>
          </cell>
          <cell r="AF220">
            <v>275</v>
          </cell>
          <cell r="AG220">
            <v>18</v>
          </cell>
          <cell r="AI220">
            <v>47</v>
          </cell>
          <cell r="AN220">
            <v>0.75</v>
          </cell>
          <cell r="AO220">
            <v>19</v>
          </cell>
          <cell r="AP220">
            <v>19</v>
          </cell>
          <cell r="AQ220">
            <v>5</v>
          </cell>
          <cell r="AR220">
            <v>120</v>
          </cell>
          <cell r="AS220">
            <v>120</v>
          </cell>
          <cell r="AT220">
            <v>55</v>
          </cell>
          <cell r="BF220">
            <v>320.67496808008985</v>
          </cell>
        </row>
        <row r="221">
          <cell r="B221">
            <v>690</v>
          </cell>
          <cell r="C221">
            <v>47</v>
          </cell>
          <cell r="D221">
            <v>3</v>
          </cell>
          <cell r="E221">
            <v>85</v>
          </cell>
          <cell r="F221">
            <v>340</v>
          </cell>
          <cell r="G221">
            <v>37.5</v>
          </cell>
          <cell r="H221">
            <v>190</v>
          </cell>
          <cell r="J221">
            <v>153.30000000000001</v>
          </cell>
          <cell r="K221">
            <v>125</v>
          </cell>
          <cell r="L221">
            <v>125</v>
          </cell>
          <cell r="M221">
            <v>730</v>
          </cell>
          <cell r="N221">
            <v>180</v>
          </cell>
          <cell r="O221">
            <v>375</v>
          </cell>
          <cell r="P221">
            <v>50</v>
          </cell>
          <cell r="Q221">
            <v>21</v>
          </cell>
          <cell r="R221">
            <v>100</v>
          </cell>
          <cell r="S221">
            <v>60</v>
          </cell>
          <cell r="T221">
            <v>36</v>
          </cell>
          <cell r="W221">
            <v>20</v>
          </cell>
          <cell r="Y221">
            <v>3.5</v>
          </cell>
          <cell r="Z221">
            <v>172.5</v>
          </cell>
          <cell r="AA221">
            <v>306</v>
          </cell>
          <cell r="AB221">
            <v>60</v>
          </cell>
          <cell r="AD221">
            <v>180</v>
          </cell>
          <cell r="AE221">
            <v>1.1000000000000001</v>
          </cell>
          <cell r="AF221">
            <v>275</v>
          </cell>
          <cell r="AG221">
            <v>18</v>
          </cell>
          <cell r="AI221">
            <v>47</v>
          </cell>
          <cell r="AN221">
            <v>0.75</v>
          </cell>
          <cell r="AO221">
            <v>19</v>
          </cell>
          <cell r="AP221">
            <v>19</v>
          </cell>
          <cell r="AQ221">
            <v>5</v>
          </cell>
          <cell r="AR221">
            <v>120</v>
          </cell>
          <cell r="AS221">
            <v>120</v>
          </cell>
          <cell r="AT221">
            <v>55</v>
          </cell>
          <cell r="BF221">
            <v>380.07950491241667</v>
          </cell>
        </row>
        <row r="222">
          <cell r="B222">
            <v>690</v>
          </cell>
          <cell r="C222">
            <v>47</v>
          </cell>
          <cell r="D222">
            <v>3</v>
          </cell>
          <cell r="E222">
            <v>85</v>
          </cell>
          <cell r="F222">
            <v>340</v>
          </cell>
          <cell r="G222">
            <v>37.5</v>
          </cell>
          <cell r="H222">
            <v>190</v>
          </cell>
          <cell r="J222">
            <v>153.30000000000001</v>
          </cell>
          <cell r="K222">
            <v>125</v>
          </cell>
          <cell r="L222">
            <v>125</v>
          </cell>
          <cell r="M222">
            <v>730</v>
          </cell>
          <cell r="N222">
            <v>180</v>
          </cell>
          <cell r="O222">
            <v>375</v>
          </cell>
          <cell r="P222">
            <v>50</v>
          </cell>
          <cell r="Q222">
            <v>21</v>
          </cell>
          <cell r="R222">
            <v>100</v>
          </cell>
          <cell r="S222">
            <v>60</v>
          </cell>
          <cell r="T222">
            <v>36</v>
          </cell>
          <cell r="W222">
            <v>20</v>
          </cell>
          <cell r="Y222">
            <v>3.5</v>
          </cell>
          <cell r="Z222">
            <v>172.5</v>
          </cell>
          <cell r="AA222">
            <v>306</v>
          </cell>
          <cell r="AB222">
            <v>60</v>
          </cell>
          <cell r="AD222">
            <v>180</v>
          </cell>
          <cell r="AE222">
            <v>1.1000000000000001</v>
          </cell>
          <cell r="AF222">
            <v>275</v>
          </cell>
          <cell r="AG222">
            <v>18</v>
          </cell>
          <cell r="AI222">
            <v>47</v>
          </cell>
          <cell r="AN222">
            <v>0.75</v>
          </cell>
          <cell r="AO222">
            <v>19</v>
          </cell>
          <cell r="AP222">
            <v>19</v>
          </cell>
          <cell r="AQ222">
            <v>5</v>
          </cell>
          <cell r="AR222">
            <v>120</v>
          </cell>
          <cell r="AS222">
            <v>120</v>
          </cell>
          <cell r="AT222">
            <v>55</v>
          </cell>
          <cell r="BF222">
            <v>371.35260664495746</v>
          </cell>
        </row>
        <row r="223">
          <cell r="B223">
            <v>690</v>
          </cell>
          <cell r="C223">
            <v>47</v>
          </cell>
          <cell r="D223">
            <v>3</v>
          </cell>
          <cell r="E223">
            <v>85</v>
          </cell>
          <cell r="F223">
            <v>340</v>
          </cell>
          <cell r="G223">
            <v>37.5</v>
          </cell>
          <cell r="H223">
            <v>190</v>
          </cell>
          <cell r="J223">
            <v>153.30000000000001</v>
          </cell>
          <cell r="K223">
            <v>125</v>
          </cell>
          <cell r="L223">
            <v>125</v>
          </cell>
          <cell r="M223">
            <v>730</v>
          </cell>
          <cell r="N223">
            <v>180</v>
          </cell>
          <cell r="O223">
            <v>375</v>
          </cell>
          <cell r="P223">
            <v>50</v>
          </cell>
          <cell r="Q223">
            <v>21</v>
          </cell>
          <cell r="R223">
            <v>100</v>
          </cell>
          <cell r="S223">
            <v>60</v>
          </cell>
          <cell r="T223">
            <v>36</v>
          </cell>
          <cell r="W223">
            <v>20</v>
          </cell>
          <cell r="Y223">
            <v>3.5</v>
          </cell>
          <cell r="Z223">
            <v>172.5</v>
          </cell>
          <cell r="AA223">
            <v>306</v>
          </cell>
          <cell r="AB223">
            <v>60</v>
          </cell>
          <cell r="AD223">
            <v>180</v>
          </cell>
          <cell r="AE223">
            <v>1.1000000000000001</v>
          </cell>
          <cell r="AF223">
            <v>275</v>
          </cell>
          <cell r="AG223">
            <v>18</v>
          </cell>
          <cell r="AI223">
            <v>47</v>
          </cell>
          <cell r="AN223">
            <v>0.75</v>
          </cell>
          <cell r="AO223">
            <v>19</v>
          </cell>
          <cell r="AP223">
            <v>19</v>
          </cell>
          <cell r="AQ223">
            <v>5</v>
          </cell>
          <cell r="AR223">
            <v>120</v>
          </cell>
          <cell r="AS223">
            <v>120</v>
          </cell>
          <cell r="AT223">
            <v>55</v>
          </cell>
          <cell r="BF223">
            <v>378.72906203664752</v>
          </cell>
        </row>
        <row r="224">
          <cell r="B224">
            <v>690</v>
          </cell>
          <cell r="C224">
            <v>47</v>
          </cell>
          <cell r="D224">
            <v>3</v>
          </cell>
          <cell r="E224">
            <v>85</v>
          </cell>
          <cell r="F224">
            <v>340</v>
          </cell>
          <cell r="G224">
            <v>37.5</v>
          </cell>
          <cell r="H224">
            <v>190</v>
          </cell>
          <cell r="J224">
            <v>153.30000000000001</v>
          </cell>
          <cell r="K224">
            <v>125</v>
          </cell>
          <cell r="L224">
            <v>125</v>
          </cell>
          <cell r="M224">
            <v>730</v>
          </cell>
          <cell r="N224">
            <v>180</v>
          </cell>
          <cell r="O224">
            <v>375</v>
          </cell>
          <cell r="P224">
            <v>50</v>
          </cell>
          <cell r="Q224">
            <v>21</v>
          </cell>
          <cell r="R224">
            <v>100</v>
          </cell>
          <cell r="S224">
            <v>60</v>
          </cell>
          <cell r="T224">
            <v>36</v>
          </cell>
          <cell r="W224">
            <v>20</v>
          </cell>
          <cell r="Y224">
            <v>3.5</v>
          </cell>
          <cell r="Z224">
            <v>172.5</v>
          </cell>
          <cell r="AA224">
            <v>306</v>
          </cell>
          <cell r="AB224">
            <v>60</v>
          </cell>
          <cell r="AD224">
            <v>180</v>
          </cell>
          <cell r="AE224">
            <v>1.1000000000000001</v>
          </cell>
          <cell r="AF224">
            <v>275</v>
          </cell>
          <cell r="AG224">
            <v>18</v>
          </cell>
          <cell r="AI224">
            <v>47</v>
          </cell>
          <cell r="AN224">
            <v>0.75</v>
          </cell>
          <cell r="AO224">
            <v>19</v>
          </cell>
          <cell r="AP224">
            <v>19</v>
          </cell>
          <cell r="AQ224">
            <v>5</v>
          </cell>
          <cell r="AR224">
            <v>120</v>
          </cell>
          <cell r="AS224">
            <v>120</v>
          </cell>
          <cell r="AT224">
            <v>55</v>
          </cell>
          <cell r="BF224">
            <v>395.39243651362887</v>
          </cell>
        </row>
        <row r="225">
          <cell r="B225">
            <v>690</v>
          </cell>
          <cell r="C225">
            <v>47</v>
          </cell>
          <cell r="D225">
            <v>3</v>
          </cell>
          <cell r="E225">
            <v>85</v>
          </cell>
          <cell r="F225">
            <v>340</v>
          </cell>
          <cell r="G225">
            <v>37.5</v>
          </cell>
          <cell r="H225">
            <v>190</v>
          </cell>
          <cell r="J225">
            <v>153.30000000000001</v>
          </cell>
          <cell r="K225">
            <v>125</v>
          </cell>
          <cell r="L225">
            <v>125</v>
          </cell>
          <cell r="M225">
            <v>730</v>
          </cell>
          <cell r="N225">
            <v>180</v>
          </cell>
          <cell r="O225">
            <v>375</v>
          </cell>
          <cell r="P225">
            <v>50</v>
          </cell>
          <cell r="Q225">
            <v>21</v>
          </cell>
          <cell r="R225">
            <v>100</v>
          </cell>
          <cell r="S225">
            <v>60</v>
          </cell>
          <cell r="T225">
            <v>36</v>
          </cell>
          <cell r="W225">
            <v>20</v>
          </cell>
          <cell r="Y225">
            <v>3.5</v>
          </cell>
          <cell r="Z225">
            <v>172.5</v>
          </cell>
          <cell r="AA225">
            <v>306</v>
          </cell>
          <cell r="AB225">
            <v>60</v>
          </cell>
          <cell r="AD225">
            <v>180</v>
          </cell>
          <cell r="AE225">
            <v>1.1000000000000001</v>
          </cell>
          <cell r="AF225">
            <v>275</v>
          </cell>
          <cell r="AG225">
            <v>18</v>
          </cell>
          <cell r="AI225">
            <v>47</v>
          </cell>
          <cell r="AN225">
            <v>0.75</v>
          </cell>
          <cell r="AO225">
            <v>19</v>
          </cell>
          <cell r="AP225">
            <v>19</v>
          </cell>
          <cell r="AQ225">
            <v>5</v>
          </cell>
          <cell r="AR225">
            <v>120</v>
          </cell>
          <cell r="AS225">
            <v>120</v>
          </cell>
          <cell r="AT225">
            <v>55</v>
          </cell>
          <cell r="BF225">
            <v>434.80542586940612</v>
          </cell>
        </row>
        <row r="226">
          <cell r="B226">
            <v>690</v>
          </cell>
          <cell r="C226">
            <v>47</v>
          </cell>
          <cell r="D226">
            <v>3</v>
          </cell>
          <cell r="E226">
            <v>85</v>
          </cell>
          <cell r="F226">
            <v>340</v>
          </cell>
          <cell r="G226">
            <v>37.5</v>
          </cell>
          <cell r="H226">
            <v>190</v>
          </cell>
          <cell r="J226">
            <v>153.30000000000001</v>
          </cell>
          <cell r="K226">
            <v>125</v>
          </cell>
          <cell r="L226">
            <v>125</v>
          </cell>
          <cell r="M226">
            <v>730</v>
          </cell>
          <cell r="N226">
            <v>180</v>
          </cell>
          <cell r="O226">
            <v>375</v>
          </cell>
          <cell r="P226">
            <v>50</v>
          </cell>
          <cell r="Q226">
            <v>21</v>
          </cell>
          <cell r="R226">
            <v>100</v>
          </cell>
          <cell r="S226">
            <v>60</v>
          </cell>
          <cell r="T226">
            <v>36</v>
          </cell>
          <cell r="W226">
            <v>20</v>
          </cell>
          <cell r="Y226">
            <v>3.5</v>
          </cell>
          <cell r="Z226">
            <v>172.5</v>
          </cell>
          <cell r="AA226">
            <v>306</v>
          </cell>
          <cell r="AB226">
            <v>60</v>
          </cell>
          <cell r="AD226">
            <v>180</v>
          </cell>
          <cell r="AE226">
            <v>1.1000000000000001</v>
          </cell>
          <cell r="AF226">
            <v>275</v>
          </cell>
          <cell r="AG226">
            <v>18</v>
          </cell>
          <cell r="AI226">
            <v>47</v>
          </cell>
          <cell r="AN226">
            <v>0.75</v>
          </cell>
          <cell r="AO226">
            <v>19</v>
          </cell>
          <cell r="AP226">
            <v>19</v>
          </cell>
          <cell r="AQ226">
            <v>5</v>
          </cell>
          <cell r="AR226">
            <v>120</v>
          </cell>
          <cell r="AS226">
            <v>120</v>
          </cell>
          <cell r="AT226">
            <v>55</v>
          </cell>
          <cell r="BF226">
            <v>453.19148305257352</v>
          </cell>
        </row>
        <row r="227">
          <cell r="B227">
            <v>690</v>
          </cell>
          <cell r="C227">
            <v>47</v>
          </cell>
          <cell r="D227">
            <v>3</v>
          </cell>
          <cell r="E227">
            <v>85</v>
          </cell>
          <cell r="F227">
            <v>340</v>
          </cell>
          <cell r="G227">
            <v>37.5</v>
          </cell>
          <cell r="H227">
            <v>190</v>
          </cell>
          <cell r="J227">
            <v>153.30000000000001</v>
          </cell>
          <cell r="K227">
            <v>125</v>
          </cell>
          <cell r="L227">
            <v>125</v>
          </cell>
          <cell r="M227">
            <v>730</v>
          </cell>
          <cell r="N227">
            <v>180</v>
          </cell>
          <cell r="O227">
            <v>375</v>
          </cell>
          <cell r="P227">
            <v>50</v>
          </cell>
          <cell r="Q227">
            <v>21</v>
          </cell>
          <cell r="R227">
            <v>100</v>
          </cell>
          <cell r="S227">
            <v>60</v>
          </cell>
          <cell r="T227">
            <v>36</v>
          </cell>
          <cell r="W227">
            <v>20</v>
          </cell>
          <cell r="Y227">
            <v>3.5</v>
          </cell>
          <cell r="Z227">
            <v>172.5</v>
          </cell>
          <cell r="AA227">
            <v>306</v>
          </cell>
          <cell r="AB227">
            <v>60</v>
          </cell>
          <cell r="AD227">
            <v>180</v>
          </cell>
          <cell r="AE227">
            <v>1.1000000000000001</v>
          </cell>
          <cell r="AF227">
            <v>275</v>
          </cell>
          <cell r="AG227">
            <v>18</v>
          </cell>
          <cell r="AI227">
            <v>47</v>
          </cell>
          <cell r="AN227">
            <v>0.75</v>
          </cell>
          <cell r="AO227">
            <v>19</v>
          </cell>
          <cell r="AP227">
            <v>19</v>
          </cell>
          <cell r="AQ227">
            <v>5</v>
          </cell>
          <cell r="AR227">
            <v>120</v>
          </cell>
          <cell r="AS227">
            <v>120</v>
          </cell>
          <cell r="AT227">
            <v>55</v>
          </cell>
          <cell r="BF227">
            <v>482.69200377156386</v>
          </cell>
        </row>
        <row r="228">
          <cell r="B228">
            <v>690</v>
          </cell>
          <cell r="C228">
            <v>47</v>
          </cell>
          <cell r="D228">
            <v>3</v>
          </cell>
          <cell r="E228">
            <v>85</v>
          </cell>
          <cell r="F228">
            <v>340</v>
          </cell>
          <cell r="G228">
            <v>37.5</v>
          </cell>
          <cell r="H228">
            <v>190</v>
          </cell>
          <cell r="J228">
            <v>153.30000000000001</v>
          </cell>
          <cell r="K228">
            <v>125</v>
          </cell>
          <cell r="L228">
            <v>125</v>
          </cell>
          <cell r="M228">
            <v>730</v>
          </cell>
          <cell r="N228">
            <v>180</v>
          </cell>
          <cell r="O228">
            <v>375</v>
          </cell>
          <cell r="P228">
            <v>50</v>
          </cell>
          <cell r="Q228">
            <v>21</v>
          </cell>
          <cell r="R228">
            <v>100</v>
          </cell>
          <cell r="S228">
            <v>60</v>
          </cell>
          <cell r="T228">
            <v>36</v>
          </cell>
          <cell r="W228">
            <v>20</v>
          </cell>
          <cell r="Y228">
            <v>3.5</v>
          </cell>
          <cell r="Z228">
            <v>172.5</v>
          </cell>
          <cell r="AA228">
            <v>306</v>
          </cell>
          <cell r="AB228">
            <v>60</v>
          </cell>
          <cell r="AD228">
            <v>180</v>
          </cell>
          <cell r="AE228">
            <v>1.1000000000000001</v>
          </cell>
          <cell r="AF228">
            <v>275</v>
          </cell>
          <cell r="AG228">
            <v>18</v>
          </cell>
          <cell r="AI228">
            <v>47</v>
          </cell>
          <cell r="AN228">
            <v>0.75</v>
          </cell>
          <cell r="AO228">
            <v>19</v>
          </cell>
          <cell r="AP228">
            <v>19</v>
          </cell>
          <cell r="AQ228">
            <v>5</v>
          </cell>
          <cell r="AR228">
            <v>120</v>
          </cell>
          <cell r="AS228">
            <v>120</v>
          </cell>
          <cell r="AT228">
            <v>55</v>
          </cell>
          <cell r="BF228">
            <v>508.5425270977845</v>
          </cell>
        </row>
        <row r="229">
          <cell r="B229">
            <v>690</v>
          </cell>
          <cell r="C229">
            <v>47</v>
          </cell>
          <cell r="D229">
            <v>3</v>
          </cell>
          <cell r="E229">
            <v>85</v>
          </cell>
          <cell r="F229">
            <v>340</v>
          </cell>
          <cell r="G229">
            <v>37.5</v>
          </cell>
          <cell r="H229">
            <v>190</v>
          </cell>
          <cell r="J229">
            <v>153.30000000000001</v>
          </cell>
          <cell r="K229">
            <v>125</v>
          </cell>
          <cell r="L229">
            <v>125</v>
          </cell>
          <cell r="M229">
            <v>730</v>
          </cell>
          <cell r="N229">
            <v>180</v>
          </cell>
          <cell r="O229">
            <v>375</v>
          </cell>
          <cell r="P229">
            <v>50</v>
          </cell>
          <cell r="Q229">
            <v>21</v>
          </cell>
          <cell r="R229">
            <v>100</v>
          </cell>
          <cell r="S229">
            <v>60</v>
          </cell>
          <cell r="T229">
            <v>36</v>
          </cell>
          <cell r="W229">
            <v>20</v>
          </cell>
          <cell r="Y229">
            <v>3.5</v>
          </cell>
          <cell r="Z229">
            <v>172.5</v>
          </cell>
          <cell r="AA229">
            <v>306</v>
          </cell>
          <cell r="AB229">
            <v>60</v>
          </cell>
          <cell r="AD229">
            <v>180</v>
          </cell>
          <cell r="AE229">
            <v>1.1000000000000001</v>
          </cell>
          <cell r="AF229">
            <v>275</v>
          </cell>
          <cell r="AG229">
            <v>18</v>
          </cell>
          <cell r="AI229">
            <v>47</v>
          </cell>
          <cell r="AN229">
            <v>0.75</v>
          </cell>
          <cell r="AO229">
            <v>19</v>
          </cell>
          <cell r="AP229">
            <v>19</v>
          </cell>
          <cell r="AQ229">
            <v>5</v>
          </cell>
          <cell r="AR229">
            <v>120</v>
          </cell>
          <cell r="AS229">
            <v>120</v>
          </cell>
          <cell r="AT229">
            <v>55</v>
          </cell>
          <cell r="BF229">
            <v>305.99493219555643</v>
          </cell>
        </row>
        <row r="230">
          <cell r="B230">
            <v>690</v>
          </cell>
          <cell r="C230">
            <v>47</v>
          </cell>
          <cell r="D230">
            <v>3</v>
          </cell>
          <cell r="E230">
            <v>85</v>
          </cell>
          <cell r="F230">
            <v>340</v>
          </cell>
          <cell r="G230">
            <v>37.5</v>
          </cell>
          <cell r="H230">
            <v>190</v>
          </cell>
          <cell r="J230">
            <v>153.30000000000001</v>
          </cell>
          <cell r="K230">
            <v>125</v>
          </cell>
          <cell r="L230">
            <v>125</v>
          </cell>
          <cell r="M230">
            <v>730</v>
          </cell>
          <cell r="N230">
            <v>180</v>
          </cell>
          <cell r="O230">
            <v>375</v>
          </cell>
          <cell r="P230">
            <v>50</v>
          </cell>
          <cell r="Q230">
            <v>21</v>
          </cell>
          <cell r="R230">
            <v>100</v>
          </cell>
          <cell r="S230">
            <v>60</v>
          </cell>
          <cell r="T230">
            <v>36</v>
          </cell>
          <cell r="W230">
            <v>20</v>
          </cell>
          <cell r="Y230">
            <v>3.5</v>
          </cell>
          <cell r="Z230">
            <v>172.5</v>
          </cell>
          <cell r="AA230">
            <v>306</v>
          </cell>
          <cell r="AB230">
            <v>60</v>
          </cell>
          <cell r="AD230">
            <v>180</v>
          </cell>
          <cell r="AE230">
            <v>1.1000000000000001</v>
          </cell>
          <cell r="AF230">
            <v>275</v>
          </cell>
          <cell r="AG230">
            <v>18</v>
          </cell>
          <cell r="AI230">
            <v>47</v>
          </cell>
          <cell r="AN230">
            <v>0.75</v>
          </cell>
          <cell r="AO230">
            <v>19</v>
          </cell>
          <cell r="AP230">
            <v>19</v>
          </cell>
          <cell r="AQ230">
            <v>5</v>
          </cell>
          <cell r="AR230">
            <v>120</v>
          </cell>
          <cell r="AS230">
            <v>120</v>
          </cell>
          <cell r="AT230">
            <v>55</v>
          </cell>
          <cell r="BF230">
            <v>430.57397627050284</v>
          </cell>
        </row>
        <row r="231">
          <cell r="B231">
            <v>690</v>
          </cell>
          <cell r="C231">
            <v>47</v>
          </cell>
          <cell r="D231">
            <v>3</v>
          </cell>
          <cell r="E231">
            <v>85</v>
          </cell>
          <cell r="F231">
            <v>340</v>
          </cell>
          <cell r="G231">
            <v>37.5</v>
          </cell>
          <cell r="H231">
            <v>190</v>
          </cell>
          <cell r="J231">
            <v>153.30000000000001</v>
          </cell>
          <cell r="K231">
            <v>125</v>
          </cell>
          <cell r="L231">
            <v>125</v>
          </cell>
          <cell r="M231">
            <v>730</v>
          </cell>
          <cell r="N231">
            <v>180</v>
          </cell>
          <cell r="O231">
            <v>375</v>
          </cell>
          <cell r="P231">
            <v>50</v>
          </cell>
          <cell r="Q231">
            <v>21</v>
          </cell>
          <cell r="R231">
            <v>100</v>
          </cell>
          <cell r="S231">
            <v>60</v>
          </cell>
          <cell r="T231">
            <v>36</v>
          </cell>
          <cell r="W231">
            <v>20</v>
          </cell>
          <cell r="Y231">
            <v>3.5</v>
          </cell>
          <cell r="Z231">
            <v>172.5</v>
          </cell>
          <cell r="AA231">
            <v>306</v>
          </cell>
          <cell r="AB231">
            <v>60</v>
          </cell>
          <cell r="AD231">
            <v>180</v>
          </cell>
          <cell r="AE231">
            <v>1.1000000000000001</v>
          </cell>
          <cell r="AF231">
            <v>275</v>
          </cell>
          <cell r="AG231">
            <v>18</v>
          </cell>
          <cell r="AI231">
            <v>47</v>
          </cell>
          <cell r="AN231">
            <v>0.75</v>
          </cell>
          <cell r="AO231">
            <v>19</v>
          </cell>
          <cell r="AP231">
            <v>19</v>
          </cell>
          <cell r="AQ231">
            <v>5</v>
          </cell>
          <cell r="AR231">
            <v>120</v>
          </cell>
          <cell r="AS231">
            <v>120</v>
          </cell>
          <cell r="AT231">
            <v>55</v>
          </cell>
          <cell r="BF231">
            <v>308.03275079133482</v>
          </cell>
        </row>
        <row r="232">
          <cell r="B232">
            <v>690</v>
          </cell>
          <cell r="C232">
            <v>47</v>
          </cell>
          <cell r="D232">
            <v>3</v>
          </cell>
          <cell r="E232">
            <v>85</v>
          </cell>
          <cell r="F232">
            <v>340</v>
          </cell>
          <cell r="G232">
            <v>37.5</v>
          </cell>
          <cell r="H232">
            <v>190</v>
          </cell>
          <cell r="J232">
            <v>153.30000000000001</v>
          </cell>
          <cell r="K232">
            <v>125</v>
          </cell>
          <cell r="L232">
            <v>125</v>
          </cell>
          <cell r="M232">
            <v>730</v>
          </cell>
          <cell r="N232">
            <v>180</v>
          </cell>
          <cell r="O232">
            <v>375</v>
          </cell>
          <cell r="P232">
            <v>50</v>
          </cell>
          <cell r="Q232">
            <v>21</v>
          </cell>
          <cell r="R232">
            <v>100</v>
          </cell>
          <cell r="S232">
            <v>60</v>
          </cell>
          <cell r="T232">
            <v>36</v>
          </cell>
          <cell r="W232">
            <v>20</v>
          </cell>
          <cell r="Y232">
            <v>3.5</v>
          </cell>
          <cell r="Z232">
            <v>172.5</v>
          </cell>
          <cell r="AA232">
            <v>306</v>
          </cell>
          <cell r="AB232">
            <v>60</v>
          </cell>
          <cell r="AD232">
            <v>180</v>
          </cell>
          <cell r="AE232">
            <v>1.1000000000000001</v>
          </cell>
          <cell r="AF232">
            <v>275</v>
          </cell>
          <cell r="AG232">
            <v>18</v>
          </cell>
          <cell r="AI232">
            <v>47</v>
          </cell>
          <cell r="AN232">
            <v>0.75</v>
          </cell>
          <cell r="AO232">
            <v>19</v>
          </cell>
          <cell r="AP232">
            <v>19</v>
          </cell>
          <cell r="AQ232">
            <v>5</v>
          </cell>
          <cell r="AR232">
            <v>120</v>
          </cell>
          <cell r="AS232">
            <v>120</v>
          </cell>
          <cell r="AT232">
            <v>55</v>
          </cell>
          <cell r="BF232">
            <v>355.64927907212257</v>
          </cell>
        </row>
        <row r="233">
          <cell r="B233">
            <v>690</v>
          </cell>
          <cell r="C233">
            <v>47</v>
          </cell>
          <cell r="D233">
            <v>3</v>
          </cell>
          <cell r="E233">
            <v>85</v>
          </cell>
          <cell r="F233">
            <v>340</v>
          </cell>
          <cell r="G233">
            <v>37.5</v>
          </cell>
          <cell r="H233">
            <v>190</v>
          </cell>
          <cell r="J233">
            <v>153.30000000000001</v>
          </cell>
          <cell r="K233">
            <v>125</v>
          </cell>
          <cell r="L233">
            <v>125</v>
          </cell>
          <cell r="M233">
            <v>730</v>
          </cell>
          <cell r="N233">
            <v>180</v>
          </cell>
          <cell r="O233">
            <v>375</v>
          </cell>
          <cell r="P233">
            <v>50</v>
          </cell>
          <cell r="Q233">
            <v>21</v>
          </cell>
          <cell r="R233">
            <v>100</v>
          </cell>
          <cell r="S233">
            <v>60</v>
          </cell>
          <cell r="T233">
            <v>36</v>
          </cell>
          <cell r="W233">
            <v>20</v>
          </cell>
          <cell r="Y233">
            <v>3.5</v>
          </cell>
          <cell r="Z233">
            <v>172.5</v>
          </cell>
          <cell r="AA233">
            <v>306</v>
          </cell>
          <cell r="AB233">
            <v>60</v>
          </cell>
          <cell r="AD233">
            <v>180</v>
          </cell>
          <cell r="AE233">
            <v>1.1000000000000001</v>
          </cell>
          <cell r="AF233">
            <v>275</v>
          </cell>
          <cell r="AG233">
            <v>18</v>
          </cell>
          <cell r="AI233">
            <v>47</v>
          </cell>
          <cell r="AN233">
            <v>0.75</v>
          </cell>
          <cell r="AO233">
            <v>19</v>
          </cell>
          <cell r="AP233">
            <v>19</v>
          </cell>
          <cell r="AQ233">
            <v>5</v>
          </cell>
          <cell r="AR233">
            <v>120</v>
          </cell>
          <cell r="AS233">
            <v>120</v>
          </cell>
          <cell r="AT233">
            <v>55</v>
          </cell>
          <cell r="BF233">
            <v>425.63710761368372</v>
          </cell>
        </row>
        <row r="234">
          <cell r="B234">
            <v>690</v>
          </cell>
          <cell r="C234">
            <v>47</v>
          </cell>
          <cell r="D234">
            <v>3</v>
          </cell>
          <cell r="E234">
            <v>85</v>
          </cell>
          <cell r="F234">
            <v>340</v>
          </cell>
          <cell r="G234">
            <v>37.5</v>
          </cell>
          <cell r="H234">
            <v>190</v>
          </cell>
          <cell r="J234">
            <v>153.30000000000001</v>
          </cell>
          <cell r="K234">
            <v>125</v>
          </cell>
          <cell r="L234">
            <v>125</v>
          </cell>
          <cell r="M234">
            <v>730</v>
          </cell>
          <cell r="N234">
            <v>180</v>
          </cell>
          <cell r="O234">
            <v>375</v>
          </cell>
          <cell r="P234">
            <v>50</v>
          </cell>
          <cell r="Q234">
            <v>21</v>
          </cell>
          <cell r="R234">
            <v>100</v>
          </cell>
          <cell r="S234">
            <v>60</v>
          </cell>
          <cell r="T234">
            <v>36</v>
          </cell>
          <cell r="W234">
            <v>20</v>
          </cell>
          <cell r="Y234">
            <v>3.5</v>
          </cell>
          <cell r="Z234">
            <v>172.5</v>
          </cell>
          <cell r="AA234">
            <v>306</v>
          </cell>
          <cell r="AB234">
            <v>60</v>
          </cell>
          <cell r="AD234">
            <v>180</v>
          </cell>
          <cell r="AE234">
            <v>1.1000000000000001</v>
          </cell>
          <cell r="AF234">
            <v>275</v>
          </cell>
          <cell r="AG234">
            <v>18</v>
          </cell>
          <cell r="AI234">
            <v>47</v>
          </cell>
          <cell r="AN234">
            <v>0.75</v>
          </cell>
          <cell r="AO234">
            <v>19</v>
          </cell>
          <cell r="AP234">
            <v>19</v>
          </cell>
          <cell r="AQ234">
            <v>5</v>
          </cell>
          <cell r="AR234">
            <v>120</v>
          </cell>
          <cell r="AS234">
            <v>120</v>
          </cell>
          <cell r="AT234">
            <v>55</v>
          </cell>
          <cell r="BF234">
            <v>415.07439851088242</v>
          </cell>
        </row>
        <row r="235">
          <cell r="B235">
            <v>690</v>
          </cell>
          <cell r="C235">
            <v>47</v>
          </cell>
          <cell r="D235">
            <v>3</v>
          </cell>
          <cell r="E235">
            <v>85</v>
          </cell>
          <cell r="F235">
            <v>340</v>
          </cell>
          <cell r="G235">
            <v>37.5</v>
          </cell>
          <cell r="H235">
            <v>190</v>
          </cell>
          <cell r="J235">
            <v>153.30000000000001</v>
          </cell>
          <cell r="K235">
            <v>125</v>
          </cell>
          <cell r="L235">
            <v>125</v>
          </cell>
          <cell r="M235">
            <v>730</v>
          </cell>
          <cell r="N235">
            <v>180</v>
          </cell>
          <cell r="O235">
            <v>375</v>
          </cell>
          <cell r="P235">
            <v>50</v>
          </cell>
          <cell r="Q235">
            <v>21</v>
          </cell>
          <cell r="R235">
            <v>100</v>
          </cell>
          <cell r="S235">
            <v>60</v>
          </cell>
          <cell r="T235">
            <v>36</v>
          </cell>
          <cell r="W235">
            <v>20</v>
          </cell>
          <cell r="Y235">
            <v>3.5</v>
          </cell>
          <cell r="Z235">
            <v>172.5</v>
          </cell>
          <cell r="AA235">
            <v>306</v>
          </cell>
          <cell r="AB235">
            <v>60</v>
          </cell>
          <cell r="AD235">
            <v>180</v>
          </cell>
          <cell r="AE235">
            <v>1.1000000000000001</v>
          </cell>
          <cell r="AF235">
            <v>275</v>
          </cell>
          <cell r="AG235">
            <v>18</v>
          </cell>
          <cell r="AI235">
            <v>47</v>
          </cell>
          <cell r="AN235">
            <v>0.75</v>
          </cell>
          <cell r="AO235">
            <v>19</v>
          </cell>
          <cell r="AP235">
            <v>19</v>
          </cell>
          <cell r="AQ235">
            <v>5</v>
          </cell>
          <cell r="AR235">
            <v>120</v>
          </cell>
          <cell r="AS235">
            <v>120</v>
          </cell>
          <cell r="AT235">
            <v>55</v>
          </cell>
          <cell r="BF235">
            <v>425.85075410292734</v>
          </cell>
        </row>
        <row r="236">
          <cell r="B236">
            <v>690</v>
          </cell>
          <cell r="C236">
            <v>47</v>
          </cell>
          <cell r="D236">
            <v>3</v>
          </cell>
          <cell r="E236">
            <v>85</v>
          </cell>
          <cell r="F236">
            <v>340</v>
          </cell>
          <cell r="G236">
            <v>37.5</v>
          </cell>
          <cell r="H236">
            <v>190</v>
          </cell>
          <cell r="J236">
            <v>153.30000000000001</v>
          </cell>
          <cell r="K236">
            <v>125</v>
          </cell>
          <cell r="L236">
            <v>125</v>
          </cell>
          <cell r="M236">
            <v>730</v>
          </cell>
          <cell r="N236">
            <v>180</v>
          </cell>
          <cell r="O236">
            <v>375</v>
          </cell>
          <cell r="P236">
            <v>50</v>
          </cell>
          <cell r="Q236">
            <v>21</v>
          </cell>
          <cell r="R236">
            <v>100</v>
          </cell>
          <cell r="S236">
            <v>60</v>
          </cell>
          <cell r="T236">
            <v>36</v>
          </cell>
          <cell r="W236">
            <v>20</v>
          </cell>
          <cell r="Y236">
            <v>3.5</v>
          </cell>
          <cell r="Z236">
            <v>172.5</v>
          </cell>
          <cell r="AA236">
            <v>306</v>
          </cell>
          <cell r="AB236">
            <v>60</v>
          </cell>
          <cell r="AD236">
            <v>180</v>
          </cell>
          <cell r="AE236">
            <v>1.1000000000000001</v>
          </cell>
          <cell r="AF236">
            <v>275</v>
          </cell>
          <cell r="AG236">
            <v>18</v>
          </cell>
          <cell r="AI236">
            <v>47</v>
          </cell>
          <cell r="AN236">
            <v>0.75</v>
          </cell>
          <cell r="AO236">
            <v>19</v>
          </cell>
          <cell r="AP236">
            <v>19</v>
          </cell>
          <cell r="AQ236">
            <v>5</v>
          </cell>
          <cell r="AR236">
            <v>120</v>
          </cell>
          <cell r="AS236">
            <v>120</v>
          </cell>
          <cell r="AT236">
            <v>55</v>
          </cell>
          <cell r="BF236">
            <v>446.56872766690356</v>
          </cell>
        </row>
        <row r="237">
          <cell r="B237">
            <v>690</v>
          </cell>
          <cell r="C237">
            <v>47</v>
          </cell>
          <cell r="D237">
            <v>3</v>
          </cell>
          <cell r="E237">
            <v>85</v>
          </cell>
          <cell r="F237">
            <v>340</v>
          </cell>
          <cell r="G237">
            <v>37.5</v>
          </cell>
          <cell r="H237">
            <v>190</v>
          </cell>
          <cell r="J237">
            <v>153.30000000000001</v>
          </cell>
          <cell r="K237">
            <v>125</v>
          </cell>
          <cell r="L237">
            <v>125</v>
          </cell>
          <cell r="M237">
            <v>730</v>
          </cell>
          <cell r="N237">
            <v>180</v>
          </cell>
          <cell r="O237">
            <v>375</v>
          </cell>
          <cell r="P237">
            <v>50</v>
          </cell>
          <cell r="Q237">
            <v>21</v>
          </cell>
          <cell r="R237">
            <v>100</v>
          </cell>
          <cell r="S237">
            <v>60</v>
          </cell>
          <cell r="T237">
            <v>36</v>
          </cell>
          <cell r="W237">
            <v>20</v>
          </cell>
          <cell r="Y237">
            <v>3.5</v>
          </cell>
          <cell r="Z237">
            <v>172.5</v>
          </cell>
          <cell r="AA237">
            <v>306</v>
          </cell>
          <cell r="AB237">
            <v>60</v>
          </cell>
          <cell r="AD237">
            <v>180</v>
          </cell>
          <cell r="AE237">
            <v>1.1000000000000001</v>
          </cell>
          <cell r="AF237">
            <v>275</v>
          </cell>
          <cell r="AG237">
            <v>18</v>
          </cell>
          <cell r="AI237">
            <v>47</v>
          </cell>
          <cell r="AN237">
            <v>0.75</v>
          </cell>
          <cell r="AO237">
            <v>19</v>
          </cell>
          <cell r="AP237">
            <v>19</v>
          </cell>
          <cell r="AQ237">
            <v>5</v>
          </cell>
          <cell r="AR237">
            <v>120</v>
          </cell>
          <cell r="AS237">
            <v>120</v>
          </cell>
          <cell r="AT237">
            <v>55</v>
          </cell>
          <cell r="BF237">
            <v>497.89482887842621</v>
          </cell>
        </row>
        <row r="238">
          <cell r="B238">
            <v>690</v>
          </cell>
          <cell r="C238">
            <v>47</v>
          </cell>
          <cell r="D238">
            <v>3</v>
          </cell>
          <cell r="E238">
            <v>85</v>
          </cell>
          <cell r="F238">
            <v>340</v>
          </cell>
          <cell r="G238">
            <v>37.5</v>
          </cell>
          <cell r="H238">
            <v>190</v>
          </cell>
          <cell r="J238">
            <v>153.30000000000001</v>
          </cell>
          <cell r="K238">
            <v>125</v>
          </cell>
          <cell r="L238">
            <v>125</v>
          </cell>
          <cell r="M238">
            <v>730</v>
          </cell>
          <cell r="N238">
            <v>180</v>
          </cell>
          <cell r="O238">
            <v>375</v>
          </cell>
          <cell r="P238">
            <v>50</v>
          </cell>
          <cell r="Q238">
            <v>21</v>
          </cell>
          <cell r="R238">
            <v>100</v>
          </cell>
          <cell r="S238">
            <v>60</v>
          </cell>
          <cell r="T238">
            <v>36</v>
          </cell>
          <cell r="W238">
            <v>20</v>
          </cell>
          <cell r="Y238">
            <v>3.5</v>
          </cell>
          <cell r="Z238">
            <v>172.5</v>
          </cell>
          <cell r="AA238">
            <v>306</v>
          </cell>
          <cell r="AB238">
            <v>60</v>
          </cell>
          <cell r="AD238">
            <v>180</v>
          </cell>
          <cell r="AE238">
            <v>1.1000000000000001</v>
          </cell>
          <cell r="AF238">
            <v>275</v>
          </cell>
          <cell r="AG238">
            <v>18</v>
          </cell>
          <cell r="AI238">
            <v>47</v>
          </cell>
          <cell r="AN238">
            <v>0.75</v>
          </cell>
          <cell r="AO238">
            <v>19</v>
          </cell>
          <cell r="AP238">
            <v>19</v>
          </cell>
          <cell r="AQ238">
            <v>5</v>
          </cell>
          <cell r="AR238">
            <v>120</v>
          </cell>
          <cell r="AS238">
            <v>120</v>
          </cell>
          <cell r="AT238">
            <v>55</v>
          </cell>
          <cell r="BF238">
            <v>514.34053650640612</v>
          </cell>
        </row>
        <row r="239">
          <cell r="B239">
            <v>690</v>
          </cell>
          <cell r="C239">
            <v>47</v>
          </cell>
          <cell r="D239">
            <v>3</v>
          </cell>
          <cell r="E239">
            <v>85</v>
          </cell>
          <cell r="F239">
            <v>340</v>
          </cell>
          <cell r="G239">
            <v>37.5</v>
          </cell>
          <cell r="H239">
            <v>190</v>
          </cell>
          <cell r="J239">
            <v>153.30000000000001</v>
          </cell>
          <cell r="K239">
            <v>125</v>
          </cell>
          <cell r="L239">
            <v>125</v>
          </cell>
          <cell r="M239">
            <v>730</v>
          </cell>
          <cell r="N239">
            <v>180</v>
          </cell>
          <cell r="O239">
            <v>375</v>
          </cell>
          <cell r="P239">
            <v>50</v>
          </cell>
          <cell r="Q239">
            <v>21</v>
          </cell>
          <cell r="R239">
            <v>100</v>
          </cell>
          <cell r="S239">
            <v>60</v>
          </cell>
          <cell r="T239">
            <v>36</v>
          </cell>
          <cell r="W239">
            <v>20</v>
          </cell>
          <cell r="Y239">
            <v>3.5</v>
          </cell>
          <cell r="Z239">
            <v>172.5</v>
          </cell>
          <cell r="AA239">
            <v>306</v>
          </cell>
          <cell r="AB239">
            <v>60</v>
          </cell>
          <cell r="AD239">
            <v>180</v>
          </cell>
          <cell r="AE239">
            <v>1.1000000000000001</v>
          </cell>
          <cell r="AF239">
            <v>275</v>
          </cell>
          <cell r="AG239">
            <v>18</v>
          </cell>
          <cell r="AI239">
            <v>47</v>
          </cell>
          <cell r="AN239">
            <v>0.75</v>
          </cell>
          <cell r="AO239">
            <v>19</v>
          </cell>
          <cell r="AP239">
            <v>19</v>
          </cell>
          <cell r="AQ239">
            <v>5</v>
          </cell>
          <cell r="AR239">
            <v>120</v>
          </cell>
          <cell r="AS239">
            <v>120</v>
          </cell>
          <cell r="AT239">
            <v>55</v>
          </cell>
          <cell r="BF239">
            <v>536.75824063451512</v>
          </cell>
        </row>
        <row r="240">
          <cell r="B240">
            <v>690</v>
          </cell>
          <cell r="C240">
            <v>47</v>
          </cell>
          <cell r="D240">
            <v>3</v>
          </cell>
          <cell r="E240">
            <v>85</v>
          </cell>
          <cell r="F240">
            <v>340</v>
          </cell>
          <cell r="G240">
            <v>37.5</v>
          </cell>
          <cell r="H240">
            <v>190</v>
          </cell>
          <cell r="J240">
            <v>153.30000000000001</v>
          </cell>
          <cell r="K240">
            <v>125</v>
          </cell>
          <cell r="L240">
            <v>125</v>
          </cell>
          <cell r="M240">
            <v>730</v>
          </cell>
          <cell r="N240">
            <v>180</v>
          </cell>
          <cell r="O240">
            <v>375</v>
          </cell>
          <cell r="P240">
            <v>50</v>
          </cell>
          <cell r="Q240">
            <v>21</v>
          </cell>
          <cell r="R240">
            <v>100</v>
          </cell>
          <cell r="S240">
            <v>60</v>
          </cell>
          <cell r="T240">
            <v>36</v>
          </cell>
          <cell r="W240">
            <v>20</v>
          </cell>
          <cell r="Y240">
            <v>3.5</v>
          </cell>
          <cell r="Z240">
            <v>172.5</v>
          </cell>
          <cell r="AA240">
            <v>306</v>
          </cell>
          <cell r="AB240">
            <v>60</v>
          </cell>
          <cell r="AD240">
            <v>180</v>
          </cell>
          <cell r="AE240">
            <v>1.1000000000000001</v>
          </cell>
          <cell r="AF240">
            <v>275</v>
          </cell>
          <cell r="AG240">
            <v>18</v>
          </cell>
          <cell r="AI240">
            <v>47</v>
          </cell>
          <cell r="AN240">
            <v>0.75</v>
          </cell>
          <cell r="AO240">
            <v>19</v>
          </cell>
          <cell r="AP240">
            <v>19</v>
          </cell>
          <cell r="AQ240">
            <v>5</v>
          </cell>
          <cell r="AR240">
            <v>120</v>
          </cell>
          <cell r="AS240">
            <v>120</v>
          </cell>
          <cell r="AT240">
            <v>55</v>
          </cell>
          <cell r="BF240">
            <v>557.52675078843379</v>
          </cell>
        </row>
        <row r="241">
          <cell r="B241">
            <v>690</v>
          </cell>
          <cell r="C241">
            <v>47</v>
          </cell>
          <cell r="D241">
            <v>3</v>
          </cell>
          <cell r="E241">
            <v>85</v>
          </cell>
          <cell r="F241">
            <v>340</v>
          </cell>
          <cell r="G241">
            <v>37.5</v>
          </cell>
          <cell r="H241">
            <v>190</v>
          </cell>
          <cell r="J241">
            <v>153.30000000000001</v>
          </cell>
          <cell r="K241">
            <v>125</v>
          </cell>
          <cell r="L241">
            <v>125</v>
          </cell>
          <cell r="M241">
            <v>730</v>
          </cell>
          <cell r="N241">
            <v>180</v>
          </cell>
          <cell r="O241">
            <v>375</v>
          </cell>
          <cell r="P241">
            <v>50</v>
          </cell>
          <cell r="Q241">
            <v>21</v>
          </cell>
          <cell r="R241">
            <v>100</v>
          </cell>
          <cell r="S241">
            <v>60</v>
          </cell>
          <cell r="T241">
            <v>36</v>
          </cell>
          <cell r="W241">
            <v>20</v>
          </cell>
          <cell r="Y241">
            <v>3.5</v>
          </cell>
          <cell r="Z241">
            <v>172.5</v>
          </cell>
          <cell r="AA241">
            <v>306</v>
          </cell>
          <cell r="AB241">
            <v>60</v>
          </cell>
          <cell r="AD241">
            <v>180</v>
          </cell>
          <cell r="AE241">
            <v>1.1000000000000001</v>
          </cell>
          <cell r="AF241">
            <v>275</v>
          </cell>
          <cell r="AG241">
            <v>18</v>
          </cell>
          <cell r="AI241">
            <v>47</v>
          </cell>
          <cell r="AN241">
            <v>0.75</v>
          </cell>
          <cell r="AO241">
            <v>19</v>
          </cell>
          <cell r="AP241">
            <v>19</v>
          </cell>
          <cell r="AQ241">
            <v>5</v>
          </cell>
          <cell r="AR241">
            <v>120</v>
          </cell>
          <cell r="AS241">
            <v>120</v>
          </cell>
          <cell r="AT241">
            <v>55</v>
          </cell>
          <cell r="BF241">
            <v>356.74752733018107</v>
          </cell>
        </row>
        <row r="242">
          <cell r="B242">
            <v>690</v>
          </cell>
          <cell r="C242">
            <v>47</v>
          </cell>
          <cell r="D242">
            <v>3</v>
          </cell>
          <cell r="E242">
            <v>85</v>
          </cell>
          <cell r="F242">
            <v>340</v>
          </cell>
          <cell r="G242">
            <v>37.5</v>
          </cell>
          <cell r="H242">
            <v>190</v>
          </cell>
          <cell r="J242">
            <v>153.30000000000001</v>
          </cell>
          <cell r="K242">
            <v>125</v>
          </cell>
          <cell r="L242">
            <v>125</v>
          </cell>
          <cell r="M242">
            <v>730</v>
          </cell>
          <cell r="N242">
            <v>180</v>
          </cell>
          <cell r="O242">
            <v>375</v>
          </cell>
          <cell r="P242">
            <v>50</v>
          </cell>
          <cell r="Q242">
            <v>21</v>
          </cell>
          <cell r="R242">
            <v>100</v>
          </cell>
          <cell r="S242">
            <v>60</v>
          </cell>
          <cell r="T242">
            <v>36</v>
          </cell>
          <cell r="W242">
            <v>20</v>
          </cell>
          <cell r="Y242">
            <v>3.5</v>
          </cell>
          <cell r="Z242">
            <v>172.5</v>
          </cell>
          <cell r="AA242">
            <v>306</v>
          </cell>
          <cell r="AB242">
            <v>60</v>
          </cell>
          <cell r="AD242">
            <v>180</v>
          </cell>
          <cell r="AE242">
            <v>1.1000000000000001</v>
          </cell>
          <cell r="AF242">
            <v>275</v>
          </cell>
          <cell r="AG242">
            <v>18</v>
          </cell>
          <cell r="AI242">
            <v>47</v>
          </cell>
          <cell r="AN242">
            <v>0.75</v>
          </cell>
          <cell r="AO242">
            <v>19</v>
          </cell>
          <cell r="AP242">
            <v>19</v>
          </cell>
          <cell r="AQ242">
            <v>5</v>
          </cell>
          <cell r="AR242">
            <v>120</v>
          </cell>
          <cell r="AS242">
            <v>120</v>
          </cell>
          <cell r="AT242">
            <v>55</v>
          </cell>
          <cell r="BF242">
            <v>519.93955861108964</v>
          </cell>
        </row>
        <row r="243">
          <cell r="B243">
            <v>690</v>
          </cell>
          <cell r="C243">
            <v>47</v>
          </cell>
          <cell r="D243">
            <v>3</v>
          </cell>
          <cell r="E243">
            <v>85</v>
          </cell>
          <cell r="F243">
            <v>340</v>
          </cell>
          <cell r="G243">
            <v>37.5</v>
          </cell>
          <cell r="H243">
            <v>190</v>
          </cell>
          <cell r="J243">
            <v>153.30000000000001</v>
          </cell>
          <cell r="K243">
            <v>125</v>
          </cell>
          <cell r="L243">
            <v>125</v>
          </cell>
          <cell r="M243">
            <v>730</v>
          </cell>
          <cell r="N243">
            <v>180</v>
          </cell>
          <cell r="O243">
            <v>375</v>
          </cell>
          <cell r="P243">
            <v>50</v>
          </cell>
          <cell r="Q243">
            <v>21</v>
          </cell>
          <cell r="R243">
            <v>100</v>
          </cell>
          <cell r="S243">
            <v>60</v>
          </cell>
          <cell r="T243">
            <v>36</v>
          </cell>
          <cell r="W243">
            <v>20</v>
          </cell>
          <cell r="Y243">
            <v>3.5</v>
          </cell>
          <cell r="Z243">
            <v>172.5</v>
          </cell>
          <cell r="AA243">
            <v>306</v>
          </cell>
          <cell r="AB243">
            <v>60</v>
          </cell>
          <cell r="AD243">
            <v>180</v>
          </cell>
          <cell r="AE243">
            <v>1.1000000000000001</v>
          </cell>
          <cell r="AF243">
            <v>275</v>
          </cell>
          <cell r="AG243">
            <v>18</v>
          </cell>
          <cell r="AI243">
            <v>47</v>
          </cell>
          <cell r="AN243">
            <v>0.75</v>
          </cell>
          <cell r="AO243">
            <v>19</v>
          </cell>
          <cell r="AP243">
            <v>19</v>
          </cell>
          <cell r="AQ243">
            <v>5</v>
          </cell>
          <cell r="AR243">
            <v>120</v>
          </cell>
          <cell r="AS243">
            <v>120</v>
          </cell>
          <cell r="AT243">
            <v>55</v>
          </cell>
          <cell r="BF243">
            <v>349.31334774621496</v>
          </cell>
        </row>
        <row r="244">
          <cell r="B244">
            <v>690</v>
          </cell>
          <cell r="C244">
            <v>47</v>
          </cell>
          <cell r="D244">
            <v>3</v>
          </cell>
          <cell r="E244">
            <v>85</v>
          </cell>
          <cell r="F244">
            <v>340</v>
          </cell>
          <cell r="G244">
            <v>37.5</v>
          </cell>
          <cell r="H244">
            <v>190</v>
          </cell>
          <cell r="J244">
            <v>153.30000000000001</v>
          </cell>
          <cell r="K244">
            <v>125</v>
          </cell>
          <cell r="L244">
            <v>125</v>
          </cell>
          <cell r="M244">
            <v>730</v>
          </cell>
          <cell r="N244">
            <v>180</v>
          </cell>
          <cell r="O244">
            <v>375</v>
          </cell>
          <cell r="P244">
            <v>50</v>
          </cell>
          <cell r="Q244">
            <v>21</v>
          </cell>
          <cell r="R244">
            <v>100</v>
          </cell>
          <cell r="S244">
            <v>60</v>
          </cell>
          <cell r="T244">
            <v>36</v>
          </cell>
          <cell r="W244">
            <v>20</v>
          </cell>
          <cell r="Y244">
            <v>3.5</v>
          </cell>
          <cell r="Z244">
            <v>172.5</v>
          </cell>
          <cell r="AA244">
            <v>306</v>
          </cell>
          <cell r="AB244">
            <v>60</v>
          </cell>
          <cell r="AD244">
            <v>180</v>
          </cell>
          <cell r="AE244">
            <v>1.1000000000000001</v>
          </cell>
          <cell r="AF244">
            <v>275</v>
          </cell>
          <cell r="AG244">
            <v>18</v>
          </cell>
          <cell r="AI244">
            <v>47</v>
          </cell>
          <cell r="AN244">
            <v>0.75</v>
          </cell>
          <cell r="AO244">
            <v>19</v>
          </cell>
          <cell r="AP244">
            <v>19</v>
          </cell>
          <cell r="AQ244">
            <v>5</v>
          </cell>
          <cell r="AR244">
            <v>120</v>
          </cell>
          <cell r="AS244">
            <v>120</v>
          </cell>
          <cell r="AT244">
            <v>55</v>
          </cell>
          <cell r="BF244">
            <v>415.76293440582833</v>
          </cell>
        </row>
        <row r="245">
          <cell r="B245">
            <v>690</v>
          </cell>
          <cell r="C245">
            <v>47</v>
          </cell>
          <cell r="D245">
            <v>3</v>
          </cell>
          <cell r="E245">
            <v>85</v>
          </cell>
          <cell r="F245">
            <v>340</v>
          </cell>
          <cell r="G245">
            <v>37.5</v>
          </cell>
          <cell r="H245">
            <v>190</v>
          </cell>
          <cell r="J245">
            <v>153.30000000000001</v>
          </cell>
          <cell r="K245">
            <v>125</v>
          </cell>
          <cell r="L245">
            <v>125</v>
          </cell>
          <cell r="M245">
            <v>730</v>
          </cell>
          <cell r="N245">
            <v>180</v>
          </cell>
          <cell r="O245">
            <v>375</v>
          </cell>
          <cell r="P245">
            <v>50</v>
          </cell>
          <cell r="Q245">
            <v>21</v>
          </cell>
          <cell r="R245">
            <v>100</v>
          </cell>
          <cell r="S245">
            <v>60</v>
          </cell>
          <cell r="T245">
            <v>36</v>
          </cell>
          <cell r="W245">
            <v>20</v>
          </cell>
          <cell r="Y245">
            <v>3.5</v>
          </cell>
          <cell r="Z245">
            <v>172.5</v>
          </cell>
          <cell r="AA245">
            <v>306</v>
          </cell>
          <cell r="AB245">
            <v>60</v>
          </cell>
          <cell r="AD245">
            <v>180</v>
          </cell>
          <cell r="AE245">
            <v>1.1000000000000001</v>
          </cell>
          <cell r="AF245">
            <v>275</v>
          </cell>
          <cell r="AG245">
            <v>18</v>
          </cell>
          <cell r="AI245">
            <v>47</v>
          </cell>
          <cell r="AN245">
            <v>0.75</v>
          </cell>
          <cell r="AO245">
            <v>19</v>
          </cell>
          <cell r="AP245">
            <v>19</v>
          </cell>
          <cell r="AQ245">
            <v>5</v>
          </cell>
          <cell r="AR245">
            <v>120</v>
          </cell>
          <cell r="AS245">
            <v>120</v>
          </cell>
          <cell r="AT245">
            <v>55</v>
          </cell>
          <cell r="BF245">
            <v>502.90066963300433</v>
          </cell>
        </row>
        <row r="246">
          <cell r="B246">
            <v>690</v>
          </cell>
          <cell r="C246">
            <v>47</v>
          </cell>
          <cell r="D246">
            <v>3</v>
          </cell>
          <cell r="E246">
            <v>85</v>
          </cell>
          <cell r="F246">
            <v>340</v>
          </cell>
          <cell r="G246">
            <v>37.5</v>
          </cell>
          <cell r="H246">
            <v>190</v>
          </cell>
          <cell r="J246">
            <v>153.30000000000001</v>
          </cell>
          <cell r="K246">
            <v>125</v>
          </cell>
          <cell r="L246">
            <v>125</v>
          </cell>
          <cell r="M246">
            <v>730</v>
          </cell>
          <cell r="N246">
            <v>180</v>
          </cell>
          <cell r="O246">
            <v>375</v>
          </cell>
          <cell r="P246">
            <v>50</v>
          </cell>
          <cell r="Q246">
            <v>21</v>
          </cell>
          <cell r="R246">
            <v>100</v>
          </cell>
          <cell r="S246">
            <v>60</v>
          </cell>
          <cell r="T246">
            <v>36</v>
          </cell>
          <cell r="W246">
            <v>20</v>
          </cell>
          <cell r="Y246">
            <v>3.5</v>
          </cell>
          <cell r="Z246">
            <v>172.5</v>
          </cell>
          <cell r="AA246">
            <v>306</v>
          </cell>
          <cell r="AB246">
            <v>60</v>
          </cell>
          <cell r="AD246">
            <v>180</v>
          </cell>
          <cell r="AE246">
            <v>1.1000000000000001</v>
          </cell>
          <cell r="AF246">
            <v>275</v>
          </cell>
          <cell r="AG246">
            <v>18</v>
          </cell>
          <cell r="AI246">
            <v>47</v>
          </cell>
          <cell r="AN246">
            <v>0.75</v>
          </cell>
          <cell r="AO246">
            <v>19</v>
          </cell>
          <cell r="AP246">
            <v>19</v>
          </cell>
          <cell r="AQ246">
            <v>5</v>
          </cell>
          <cell r="AR246">
            <v>120</v>
          </cell>
          <cell r="AS246">
            <v>120</v>
          </cell>
          <cell r="AT246">
            <v>55</v>
          </cell>
          <cell r="BF246">
            <v>489.27678512356437</v>
          </cell>
        </row>
        <row r="247">
          <cell r="B247">
            <v>690</v>
          </cell>
          <cell r="C247">
            <v>47</v>
          </cell>
          <cell r="D247">
            <v>3</v>
          </cell>
          <cell r="E247">
            <v>85</v>
          </cell>
          <cell r="F247">
            <v>340</v>
          </cell>
          <cell r="G247">
            <v>37.5</v>
          </cell>
          <cell r="H247">
            <v>190</v>
          </cell>
          <cell r="J247">
            <v>153.30000000000001</v>
          </cell>
          <cell r="K247">
            <v>125</v>
          </cell>
          <cell r="L247">
            <v>125</v>
          </cell>
          <cell r="M247">
            <v>730</v>
          </cell>
          <cell r="N247">
            <v>180</v>
          </cell>
          <cell r="O247">
            <v>375</v>
          </cell>
          <cell r="P247">
            <v>50</v>
          </cell>
          <cell r="Q247">
            <v>21</v>
          </cell>
          <cell r="R247">
            <v>100</v>
          </cell>
          <cell r="S247">
            <v>60</v>
          </cell>
          <cell r="T247">
            <v>36</v>
          </cell>
          <cell r="W247">
            <v>20</v>
          </cell>
          <cell r="Y247">
            <v>3.5</v>
          </cell>
          <cell r="Z247">
            <v>172.5</v>
          </cell>
          <cell r="AA247">
            <v>306</v>
          </cell>
          <cell r="AB247">
            <v>60</v>
          </cell>
          <cell r="AD247">
            <v>180</v>
          </cell>
          <cell r="AE247">
            <v>1.1000000000000001</v>
          </cell>
          <cell r="AF247">
            <v>275</v>
          </cell>
          <cell r="AG247">
            <v>18</v>
          </cell>
          <cell r="AI247">
            <v>47</v>
          </cell>
          <cell r="AN247">
            <v>0.75</v>
          </cell>
          <cell r="AO247">
            <v>19</v>
          </cell>
          <cell r="AP247">
            <v>19</v>
          </cell>
          <cell r="AQ247">
            <v>5</v>
          </cell>
          <cell r="AR247">
            <v>120</v>
          </cell>
          <cell r="AS247">
            <v>120</v>
          </cell>
          <cell r="AT247">
            <v>55</v>
          </cell>
          <cell r="BF247">
            <v>505.32122861548294</v>
          </cell>
        </row>
        <row r="248">
          <cell r="B248">
            <v>690</v>
          </cell>
          <cell r="C248">
            <v>47</v>
          </cell>
          <cell r="D248">
            <v>3</v>
          </cell>
          <cell r="E248">
            <v>85</v>
          </cell>
          <cell r="F248">
            <v>340</v>
          </cell>
          <cell r="G248">
            <v>37.5</v>
          </cell>
          <cell r="H248">
            <v>190</v>
          </cell>
          <cell r="J248">
            <v>153.30000000000001</v>
          </cell>
          <cell r="K248">
            <v>125</v>
          </cell>
          <cell r="L248">
            <v>125</v>
          </cell>
          <cell r="M248">
            <v>730</v>
          </cell>
          <cell r="N248">
            <v>180</v>
          </cell>
          <cell r="O248">
            <v>375</v>
          </cell>
          <cell r="P248">
            <v>50</v>
          </cell>
          <cell r="Q248">
            <v>21</v>
          </cell>
          <cell r="R248">
            <v>100</v>
          </cell>
          <cell r="S248">
            <v>60</v>
          </cell>
          <cell r="T248">
            <v>36</v>
          </cell>
          <cell r="W248">
            <v>20</v>
          </cell>
          <cell r="Y248">
            <v>3.5</v>
          </cell>
          <cell r="Z248">
            <v>172.5</v>
          </cell>
          <cell r="AA248">
            <v>306</v>
          </cell>
          <cell r="AB248">
            <v>60</v>
          </cell>
          <cell r="AD248">
            <v>180</v>
          </cell>
          <cell r="AE248">
            <v>1.1000000000000001</v>
          </cell>
          <cell r="AF248">
            <v>275</v>
          </cell>
          <cell r="AG248">
            <v>18</v>
          </cell>
          <cell r="AI248">
            <v>47</v>
          </cell>
          <cell r="AN248">
            <v>0.75</v>
          </cell>
          <cell r="AO248">
            <v>19</v>
          </cell>
          <cell r="AP248">
            <v>19</v>
          </cell>
          <cell r="AQ248">
            <v>5</v>
          </cell>
          <cell r="AR248">
            <v>120</v>
          </cell>
          <cell r="AS248">
            <v>120</v>
          </cell>
          <cell r="AT248">
            <v>55</v>
          </cell>
          <cell r="BF248">
            <v>532.07270319117833</v>
          </cell>
        </row>
        <row r="249">
          <cell r="B249">
            <v>690</v>
          </cell>
          <cell r="C249">
            <v>47</v>
          </cell>
          <cell r="D249">
            <v>3</v>
          </cell>
          <cell r="E249">
            <v>85</v>
          </cell>
          <cell r="F249">
            <v>340</v>
          </cell>
          <cell r="G249">
            <v>37.5</v>
          </cell>
          <cell r="H249">
            <v>190</v>
          </cell>
          <cell r="J249">
            <v>153.30000000000001</v>
          </cell>
          <cell r="K249">
            <v>125</v>
          </cell>
          <cell r="L249">
            <v>125</v>
          </cell>
          <cell r="M249">
            <v>730</v>
          </cell>
          <cell r="N249">
            <v>180</v>
          </cell>
          <cell r="O249">
            <v>375</v>
          </cell>
          <cell r="P249">
            <v>50</v>
          </cell>
          <cell r="Q249">
            <v>21</v>
          </cell>
          <cell r="R249">
            <v>100</v>
          </cell>
          <cell r="S249">
            <v>60</v>
          </cell>
          <cell r="T249">
            <v>36</v>
          </cell>
          <cell r="W249">
            <v>20</v>
          </cell>
          <cell r="Y249">
            <v>3.5</v>
          </cell>
          <cell r="Z249">
            <v>172.5</v>
          </cell>
          <cell r="AA249">
            <v>306</v>
          </cell>
          <cell r="AB249">
            <v>60</v>
          </cell>
          <cell r="AD249">
            <v>180</v>
          </cell>
          <cell r="AE249">
            <v>1.1000000000000001</v>
          </cell>
          <cell r="AF249">
            <v>275</v>
          </cell>
          <cell r="AG249">
            <v>18</v>
          </cell>
          <cell r="AI249">
            <v>47</v>
          </cell>
          <cell r="AN249">
            <v>0.75</v>
          </cell>
          <cell r="AO249">
            <v>19</v>
          </cell>
          <cell r="AP249">
            <v>19</v>
          </cell>
          <cell r="AQ249">
            <v>5</v>
          </cell>
          <cell r="AR249">
            <v>120</v>
          </cell>
          <cell r="AS249">
            <v>120</v>
          </cell>
          <cell r="AT249">
            <v>55</v>
          </cell>
          <cell r="BF249">
            <v>597.86207886886837</v>
          </cell>
        </row>
        <row r="250">
          <cell r="B250">
            <v>690</v>
          </cell>
          <cell r="C250">
            <v>47</v>
          </cell>
          <cell r="D250">
            <v>3</v>
          </cell>
          <cell r="E250">
            <v>85</v>
          </cell>
          <cell r="F250">
            <v>340</v>
          </cell>
          <cell r="G250">
            <v>37.5</v>
          </cell>
          <cell r="H250">
            <v>190</v>
          </cell>
          <cell r="J250">
            <v>153.30000000000001</v>
          </cell>
          <cell r="K250">
            <v>125</v>
          </cell>
          <cell r="L250">
            <v>125</v>
          </cell>
          <cell r="M250">
            <v>730</v>
          </cell>
          <cell r="N250">
            <v>180</v>
          </cell>
          <cell r="O250">
            <v>375</v>
          </cell>
          <cell r="P250">
            <v>50</v>
          </cell>
          <cell r="Q250">
            <v>21</v>
          </cell>
          <cell r="R250">
            <v>100</v>
          </cell>
          <cell r="S250">
            <v>60</v>
          </cell>
          <cell r="T250">
            <v>36</v>
          </cell>
          <cell r="W250">
            <v>20</v>
          </cell>
          <cell r="Y250">
            <v>3.5</v>
          </cell>
          <cell r="Z250">
            <v>172.5</v>
          </cell>
          <cell r="AA250">
            <v>306</v>
          </cell>
          <cell r="AB250">
            <v>60</v>
          </cell>
          <cell r="AD250">
            <v>180</v>
          </cell>
          <cell r="AE250">
            <v>1.1000000000000001</v>
          </cell>
          <cell r="AF250">
            <v>275</v>
          </cell>
          <cell r="AG250">
            <v>18</v>
          </cell>
          <cell r="AI250">
            <v>47</v>
          </cell>
          <cell r="AN250">
            <v>0.75</v>
          </cell>
          <cell r="AO250">
            <v>19</v>
          </cell>
          <cell r="AP250">
            <v>19</v>
          </cell>
          <cell r="AQ250">
            <v>5</v>
          </cell>
          <cell r="AR250">
            <v>120</v>
          </cell>
          <cell r="AS250">
            <v>120</v>
          </cell>
          <cell r="AT250">
            <v>55</v>
          </cell>
          <cell r="BF250">
            <v>615.36243326045098</v>
          </cell>
        </row>
        <row r="251">
          <cell r="B251">
            <v>690</v>
          </cell>
          <cell r="C251">
            <v>47</v>
          </cell>
          <cell r="D251">
            <v>3</v>
          </cell>
          <cell r="E251">
            <v>85</v>
          </cell>
          <cell r="F251">
            <v>340</v>
          </cell>
          <cell r="G251">
            <v>37.5</v>
          </cell>
          <cell r="H251">
            <v>190</v>
          </cell>
          <cell r="J251">
            <v>153.30000000000001</v>
          </cell>
          <cell r="K251">
            <v>125</v>
          </cell>
          <cell r="L251">
            <v>125</v>
          </cell>
          <cell r="M251">
            <v>730</v>
          </cell>
          <cell r="N251">
            <v>180</v>
          </cell>
          <cell r="O251">
            <v>375</v>
          </cell>
          <cell r="P251">
            <v>50</v>
          </cell>
          <cell r="Q251">
            <v>21</v>
          </cell>
          <cell r="R251">
            <v>100</v>
          </cell>
          <cell r="S251">
            <v>60</v>
          </cell>
          <cell r="T251">
            <v>36</v>
          </cell>
          <cell r="W251">
            <v>20</v>
          </cell>
          <cell r="Y251">
            <v>3.5</v>
          </cell>
          <cell r="Z251">
            <v>172.5</v>
          </cell>
          <cell r="AA251">
            <v>306</v>
          </cell>
          <cell r="AB251">
            <v>60</v>
          </cell>
          <cell r="AD251">
            <v>180</v>
          </cell>
          <cell r="AE251">
            <v>1.1000000000000001</v>
          </cell>
          <cell r="AF251">
            <v>275</v>
          </cell>
          <cell r="AG251">
            <v>18</v>
          </cell>
          <cell r="AI251">
            <v>47</v>
          </cell>
          <cell r="AN251">
            <v>0.75</v>
          </cell>
          <cell r="AO251">
            <v>19</v>
          </cell>
          <cell r="AP251">
            <v>19</v>
          </cell>
          <cell r="AQ251">
            <v>5</v>
          </cell>
          <cell r="AR251">
            <v>120</v>
          </cell>
          <cell r="AS251">
            <v>120</v>
          </cell>
          <cell r="AT251">
            <v>55</v>
          </cell>
          <cell r="BF251">
            <v>629.24887321524147</v>
          </cell>
        </row>
        <row r="252">
          <cell r="B252">
            <v>690</v>
          </cell>
          <cell r="C252">
            <v>47</v>
          </cell>
          <cell r="D252">
            <v>3</v>
          </cell>
          <cell r="E252">
            <v>85</v>
          </cell>
          <cell r="F252">
            <v>340</v>
          </cell>
          <cell r="G252">
            <v>37.5</v>
          </cell>
          <cell r="H252">
            <v>190</v>
          </cell>
          <cell r="J252">
            <v>153.30000000000001</v>
          </cell>
          <cell r="K252">
            <v>125</v>
          </cell>
          <cell r="L252">
            <v>125</v>
          </cell>
          <cell r="M252">
            <v>730</v>
          </cell>
          <cell r="N252">
            <v>180</v>
          </cell>
          <cell r="O252">
            <v>375</v>
          </cell>
          <cell r="P252">
            <v>50</v>
          </cell>
          <cell r="Q252">
            <v>21</v>
          </cell>
          <cell r="R252">
            <v>100</v>
          </cell>
          <cell r="S252">
            <v>60</v>
          </cell>
          <cell r="T252">
            <v>36</v>
          </cell>
          <cell r="W252">
            <v>20</v>
          </cell>
          <cell r="Y252">
            <v>3.5</v>
          </cell>
          <cell r="Z252">
            <v>172.5</v>
          </cell>
          <cell r="AA252">
            <v>306</v>
          </cell>
          <cell r="AB252">
            <v>60</v>
          </cell>
          <cell r="AD252">
            <v>180</v>
          </cell>
          <cell r="AE252">
            <v>1.1000000000000001</v>
          </cell>
          <cell r="AF252">
            <v>275</v>
          </cell>
          <cell r="AG252">
            <v>18</v>
          </cell>
          <cell r="AI252">
            <v>47</v>
          </cell>
          <cell r="AN252">
            <v>0.75</v>
          </cell>
          <cell r="AO252">
            <v>19</v>
          </cell>
          <cell r="AP252">
            <v>19</v>
          </cell>
          <cell r="AQ252">
            <v>5</v>
          </cell>
          <cell r="AR252">
            <v>120</v>
          </cell>
          <cell r="AS252">
            <v>120</v>
          </cell>
          <cell r="AT252">
            <v>55</v>
          </cell>
          <cell r="BF252">
            <v>644.18778308328535</v>
          </cell>
        </row>
        <row r="253">
          <cell r="B253">
            <v>690</v>
          </cell>
          <cell r="C253">
            <v>47</v>
          </cell>
          <cell r="D253">
            <v>3</v>
          </cell>
          <cell r="E253">
            <v>85</v>
          </cell>
          <cell r="F253">
            <v>340</v>
          </cell>
          <cell r="G253">
            <v>37.5</v>
          </cell>
          <cell r="H253">
            <v>190</v>
          </cell>
          <cell r="J253">
            <v>153.30000000000001</v>
          </cell>
          <cell r="K253">
            <v>125</v>
          </cell>
          <cell r="L253">
            <v>125</v>
          </cell>
          <cell r="M253">
            <v>730</v>
          </cell>
          <cell r="N253">
            <v>180</v>
          </cell>
          <cell r="O253">
            <v>375</v>
          </cell>
          <cell r="P253">
            <v>50</v>
          </cell>
          <cell r="Q253">
            <v>21</v>
          </cell>
          <cell r="R253">
            <v>100</v>
          </cell>
          <cell r="S253">
            <v>60</v>
          </cell>
          <cell r="T253">
            <v>36</v>
          </cell>
          <cell r="W253">
            <v>20</v>
          </cell>
          <cell r="Y253">
            <v>3.5</v>
          </cell>
          <cell r="Z253">
            <v>172.5</v>
          </cell>
          <cell r="AA253">
            <v>306</v>
          </cell>
          <cell r="AB253">
            <v>60</v>
          </cell>
          <cell r="AD253">
            <v>180</v>
          </cell>
          <cell r="AE253">
            <v>1.1000000000000001</v>
          </cell>
          <cell r="AF253">
            <v>275</v>
          </cell>
          <cell r="AG253">
            <v>18</v>
          </cell>
          <cell r="AI253">
            <v>47</v>
          </cell>
          <cell r="AN253">
            <v>0.75</v>
          </cell>
          <cell r="AO253">
            <v>19</v>
          </cell>
          <cell r="AP253">
            <v>19</v>
          </cell>
          <cell r="AQ253">
            <v>5</v>
          </cell>
          <cell r="AR253">
            <v>120</v>
          </cell>
          <cell r="AS253">
            <v>120</v>
          </cell>
          <cell r="AT253">
            <v>55</v>
          </cell>
          <cell r="BF253">
            <v>399.87553227401895</v>
          </cell>
        </row>
        <row r="254">
          <cell r="B254">
            <v>690</v>
          </cell>
          <cell r="C254">
            <v>47</v>
          </cell>
          <cell r="D254">
            <v>3</v>
          </cell>
          <cell r="E254">
            <v>85</v>
          </cell>
          <cell r="F254">
            <v>340</v>
          </cell>
          <cell r="G254">
            <v>37.5</v>
          </cell>
          <cell r="H254">
            <v>190</v>
          </cell>
          <cell r="J254">
            <v>153.30000000000001</v>
          </cell>
          <cell r="K254">
            <v>125</v>
          </cell>
          <cell r="L254">
            <v>125</v>
          </cell>
          <cell r="M254">
            <v>730</v>
          </cell>
          <cell r="N254">
            <v>180</v>
          </cell>
          <cell r="O254">
            <v>375</v>
          </cell>
          <cell r="P254">
            <v>50</v>
          </cell>
          <cell r="Q254">
            <v>21</v>
          </cell>
          <cell r="R254">
            <v>100</v>
          </cell>
          <cell r="S254">
            <v>60</v>
          </cell>
          <cell r="T254">
            <v>36</v>
          </cell>
          <cell r="W254">
            <v>20</v>
          </cell>
          <cell r="Y254">
            <v>3.5</v>
          </cell>
          <cell r="Z254">
            <v>191.25</v>
          </cell>
          <cell r="AA254">
            <v>306</v>
          </cell>
          <cell r="AB254">
            <v>60</v>
          </cell>
          <cell r="AD254">
            <v>180</v>
          </cell>
          <cell r="AE254">
            <v>1.1000000000000001</v>
          </cell>
          <cell r="AF254">
            <v>275</v>
          </cell>
          <cell r="AG254">
            <v>18</v>
          </cell>
          <cell r="AI254">
            <v>47</v>
          </cell>
          <cell r="AN254">
            <v>0.75</v>
          </cell>
          <cell r="AO254">
            <v>19</v>
          </cell>
          <cell r="AP254">
            <v>19</v>
          </cell>
          <cell r="AQ254">
            <v>5</v>
          </cell>
          <cell r="AR254">
            <v>120</v>
          </cell>
          <cell r="AS254">
            <v>120</v>
          </cell>
          <cell r="AT254">
            <v>55</v>
          </cell>
          <cell r="BF254">
            <v>588.46251754683317</v>
          </cell>
        </row>
        <row r="255">
          <cell r="B255">
            <v>690</v>
          </cell>
          <cell r="C255">
            <v>47</v>
          </cell>
          <cell r="D255">
            <v>3</v>
          </cell>
          <cell r="E255">
            <v>85</v>
          </cell>
          <cell r="F255">
            <v>340</v>
          </cell>
          <cell r="G255">
            <v>37.5</v>
          </cell>
          <cell r="H255">
            <v>190</v>
          </cell>
          <cell r="J255">
            <v>153.30000000000001</v>
          </cell>
          <cell r="K255">
            <v>125</v>
          </cell>
          <cell r="L255">
            <v>125</v>
          </cell>
          <cell r="M255">
            <v>730</v>
          </cell>
          <cell r="N255">
            <v>180</v>
          </cell>
          <cell r="O255">
            <v>375</v>
          </cell>
          <cell r="P255">
            <v>50</v>
          </cell>
          <cell r="Q255">
            <v>21</v>
          </cell>
          <cell r="R255">
            <v>100</v>
          </cell>
          <cell r="S255">
            <v>60</v>
          </cell>
          <cell r="T255">
            <v>36</v>
          </cell>
          <cell r="W255">
            <v>20</v>
          </cell>
          <cell r="Y255">
            <v>3.5</v>
          </cell>
          <cell r="Z255">
            <v>230</v>
          </cell>
          <cell r="AA255">
            <v>306</v>
          </cell>
          <cell r="AB255">
            <v>60</v>
          </cell>
          <cell r="AD255">
            <v>180</v>
          </cell>
          <cell r="AE255">
            <v>1.1000000000000001</v>
          </cell>
          <cell r="AF255">
            <v>275</v>
          </cell>
          <cell r="AG255">
            <v>18</v>
          </cell>
          <cell r="AI255">
            <v>47</v>
          </cell>
          <cell r="AN255">
            <v>0.75</v>
          </cell>
          <cell r="AO255">
            <v>19</v>
          </cell>
          <cell r="AP255">
            <v>19</v>
          </cell>
          <cell r="AQ255">
            <v>5</v>
          </cell>
          <cell r="AR255">
            <v>120</v>
          </cell>
          <cell r="AS255">
            <v>120</v>
          </cell>
          <cell r="AT255">
            <v>55</v>
          </cell>
          <cell r="BF255">
            <v>389.73146939019887</v>
          </cell>
        </row>
        <row r="256">
          <cell r="B256">
            <v>690</v>
          </cell>
          <cell r="C256">
            <v>47</v>
          </cell>
          <cell r="D256">
            <v>3</v>
          </cell>
          <cell r="E256">
            <v>85</v>
          </cell>
          <cell r="F256">
            <v>340</v>
          </cell>
          <cell r="G256">
            <v>37.5</v>
          </cell>
          <cell r="H256">
            <v>190</v>
          </cell>
          <cell r="J256">
            <v>153.30000000000001</v>
          </cell>
          <cell r="K256">
            <v>125</v>
          </cell>
          <cell r="L256">
            <v>125</v>
          </cell>
          <cell r="M256">
            <v>730</v>
          </cell>
          <cell r="N256">
            <v>180</v>
          </cell>
          <cell r="O256">
            <v>375</v>
          </cell>
          <cell r="P256">
            <v>50</v>
          </cell>
          <cell r="Q256">
            <v>21</v>
          </cell>
          <cell r="R256">
            <v>100</v>
          </cell>
          <cell r="S256">
            <v>60</v>
          </cell>
          <cell r="T256">
            <v>36</v>
          </cell>
          <cell r="W256">
            <v>20</v>
          </cell>
          <cell r="Y256">
            <v>3.5</v>
          </cell>
          <cell r="Z256">
            <v>230</v>
          </cell>
          <cell r="AA256">
            <v>306</v>
          </cell>
          <cell r="AB256">
            <v>60</v>
          </cell>
          <cell r="AD256">
            <v>180</v>
          </cell>
          <cell r="AE256">
            <v>1.1000000000000001</v>
          </cell>
          <cell r="AF256">
            <v>275</v>
          </cell>
          <cell r="AG256">
            <v>18</v>
          </cell>
          <cell r="AI256">
            <v>47</v>
          </cell>
          <cell r="AN256">
            <v>0.75</v>
          </cell>
          <cell r="AO256">
            <v>19</v>
          </cell>
          <cell r="AP256">
            <v>19</v>
          </cell>
          <cell r="AQ256">
            <v>5</v>
          </cell>
          <cell r="AR256">
            <v>120</v>
          </cell>
          <cell r="AS256">
            <v>120</v>
          </cell>
          <cell r="AT256">
            <v>55</v>
          </cell>
          <cell r="BF256">
            <v>467.36943690174979</v>
          </cell>
        </row>
        <row r="257">
          <cell r="B257">
            <v>690</v>
          </cell>
          <cell r="C257">
            <v>47</v>
          </cell>
          <cell r="D257">
            <v>3</v>
          </cell>
          <cell r="E257">
            <v>85</v>
          </cell>
          <cell r="F257">
            <v>340</v>
          </cell>
          <cell r="G257">
            <v>37.5</v>
          </cell>
          <cell r="H257">
            <v>190</v>
          </cell>
          <cell r="J257">
            <v>153.30000000000001</v>
          </cell>
          <cell r="K257">
            <v>125</v>
          </cell>
          <cell r="L257">
            <v>125</v>
          </cell>
          <cell r="M257">
            <v>730</v>
          </cell>
          <cell r="N257">
            <v>180</v>
          </cell>
          <cell r="O257">
            <v>375</v>
          </cell>
          <cell r="P257">
            <v>50</v>
          </cell>
          <cell r="Q257">
            <v>21</v>
          </cell>
          <cell r="R257">
            <v>100</v>
          </cell>
          <cell r="S257">
            <v>60</v>
          </cell>
          <cell r="T257">
            <v>36</v>
          </cell>
          <cell r="W257">
            <v>20</v>
          </cell>
          <cell r="Y257">
            <v>3.5</v>
          </cell>
          <cell r="Z257">
            <v>230</v>
          </cell>
          <cell r="AA257">
            <v>306</v>
          </cell>
          <cell r="AB257">
            <v>60</v>
          </cell>
          <cell r="AD257">
            <v>180</v>
          </cell>
          <cell r="AE257">
            <v>1.1000000000000001</v>
          </cell>
          <cell r="AF257">
            <v>275</v>
          </cell>
          <cell r="AG257">
            <v>18</v>
          </cell>
          <cell r="AI257">
            <v>47</v>
          </cell>
          <cell r="AN257">
            <v>0.75</v>
          </cell>
          <cell r="AO257">
            <v>19</v>
          </cell>
          <cell r="AP257">
            <v>19</v>
          </cell>
          <cell r="AQ257">
            <v>5</v>
          </cell>
          <cell r="AR257">
            <v>120</v>
          </cell>
          <cell r="AS257">
            <v>120</v>
          </cell>
          <cell r="AT257">
            <v>55</v>
          </cell>
          <cell r="BF257">
            <v>567.06288172239249</v>
          </cell>
        </row>
        <row r="258">
          <cell r="B258">
            <v>690</v>
          </cell>
          <cell r="C258">
            <v>47</v>
          </cell>
          <cell r="D258">
            <v>3</v>
          </cell>
          <cell r="E258">
            <v>85</v>
          </cell>
          <cell r="F258">
            <v>340</v>
          </cell>
          <cell r="G258">
            <v>37.5</v>
          </cell>
          <cell r="H258">
            <v>190</v>
          </cell>
          <cell r="J258">
            <v>153.30000000000001</v>
          </cell>
          <cell r="K258">
            <v>125</v>
          </cell>
          <cell r="L258">
            <v>125</v>
          </cell>
          <cell r="M258">
            <v>730</v>
          </cell>
          <cell r="N258">
            <v>180</v>
          </cell>
          <cell r="O258">
            <v>375</v>
          </cell>
          <cell r="P258">
            <v>50</v>
          </cell>
          <cell r="Q258">
            <v>21</v>
          </cell>
          <cell r="R258">
            <v>100</v>
          </cell>
          <cell r="S258">
            <v>60</v>
          </cell>
          <cell r="T258">
            <v>36</v>
          </cell>
          <cell r="W258">
            <v>20</v>
          </cell>
          <cell r="Y258">
            <v>3.5</v>
          </cell>
          <cell r="Z258">
            <v>230</v>
          </cell>
          <cell r="AA258">
            <v>306</v>
          </cell>
          <cell r="AB258">
            <v>60</v>
          </cell>
          <cell r="AD258">
            <v>180</v>
          </cell>
          <cell r="AE258">
            <v>1.1000000000000001</v>
          </cell>
          <cell r="AF258">
            <v>275</v>
          </cell>
          <cell r="AG258">
            <v>18</v>
          </cell>
          <cell r="AI258">
            <v>47</v>
          </cell>
          <cell r="AN258">
            <v>0.75</v>
          </cell>
          <cell r="AO258">
            <v>19</v>
          </cell>
          <cell r="AP258">
            <v>19</v>
          </cell>
          <cell r="AQ258">
            <v>5</v>
          </cell>
          <cell r="AR258">
            <v>120</v>
          </cell>
          <cell r="AS258">
            <v>120</v>
          </cell>
          <cell r="AT258">
            <v>55</v>
          </cell>
          <cell r="BF258">
            <v>551.17790684204056</v>
          </cell>
        </row>
        <row r="259">
          <cell r="B259">
            <v>690</v>
          </cell>
          <cell r="C259">
            <v>47</v>
          </cell>
          <cell r="D259">
            <v>3</v>
          </cell>
          <cell r="E259">
            <v>85</v>
          </cell>
          <cell r="F259">
            <v>340</v>
          </cell>
          <cell r="G259">
            <v>37.5</v>
          </cell>
          <cell r="H259">
            <v>190</v>
          </cell>
          <cell r="J259">
            <v>153.30000000000001</v>
          </cell>
          <cell r="K259">
            <v>125</v>
          </cell>
          <cell r="L259">
            <v>125</v>
          </cell>
          <cell r="M259">
            <v>730</v>
          </cell>
          <cell r="N259">
            <v>180</v>
          </cell>
          <cell r="O259">
            <v>375</v>
          </cell>
          <cell r="P259">
            <v>50</v>
          </cell>
          <cell r="Q259">
            <v>21</v>
          </cell>
          <cell r="R259">
            <v>100</v>
          </cell>
          <cell r="S259">
            <v>60</v>
          </cell>
          <cell r="T259">
            <v>36</v>
          </cell>
          <cell r="W259">
            <v>20</v>
          </cell>
          <cell r="Y259">
            <v>3.5</v>
          </cell>
          <cell r="Z259">
            <v>230</v>
          </cell>
          <cell r="AA259">
            <v>306</v>
          </cell>
          <cell r="AB259">
            <v>60</v>
          </cell>
          <cell r="AD259">
            <v>180</v>
          </cell>
          <cell r="AE259">
            <v>1.1000000000000001</v>
          </cell>
          <cell r="AF259">
            <v>275</v>
          </cell>
          <cell r="AG259">
            <v>18</v>
          </cell>
          <cell r="AI259">
            <v>47</v>
          </cell>
          <cell r="AN259">
            <v>0.75</v>
          </cell>
          <cell r="AO259">
            <v>19</v>
          </cell>
          <cell r="AP259">
            <v>19</v>
          </cell>
          <cell r="AQ259">
            <v>5</v>
          </cell>
          <cell r="AR259">
            <v>120</v>
          </cell>
          <cell r="AS259">
            <v>120</v>
          </cell>
          <cell r="AT259">
            <v>55</v>
          </cell>
          <cell r="BF259">
            <v>570.66384355714899</v>
          </cell>
        </row>
        <row r="260">
          <cell r="B260">
            <v>690</v>
          </cell>
          <cell r="C260">
            <v>47</v>
          </cell>
          <cell r="D260">
            <v>3</v>
          </cell>
          <cell r="E260">
            <v>85</v>
          </cell>
          <cell r="F260">
            <v>340</v>
          </cell>
          <cell r="G260">
            <v>37.5</v>
          </cell>
          <cell r="H260">
            <v>190</v>
          </cell>
          <cell r="J260">
            <v>153.30000000000001</v>
          </cell>
          <cell r="K260">
            <v>125</v>
          </cell>
          <cell r="L260">
            <v>125</v>
          </cell>
          <cell r="M260">
            <v>730</v>
          </cell>
          <cell r="N260">
            <v>180</v>
          </cell>
          <cell r="O260">
            <v>375</v>
          </cell>
          <cell r="P260">
            <v>50</v>
          </cell>
          <cell r="Q260">
            <v>21</v>
          </cell>
          <cell r="R260">
            <v>100</v>
          </cell>
          <cell r="S260">
            <v>60</v>
          </cell>
          <cell r="T260">
            <v>36</v>
          </cell>
          <cell r="W260">
            <v>20</v>
          </cell>
          <cell r="Y260">
            <v>3.5</v>
          </cell>
          <cell r="Z260">
            <v>230</v>
          </cell>
          <cell r="AA260">
            <v>306</v>
          </cell>
          <cell r="AB260">
            <v>60</v>
          </cell>
          <cell r="AD260">
            <v>180</v>
          </cell>
          <cell r="AE260">
            <v>1.1000000000000001</v>
          </cell>
          <cell r="AF260">
            <v>275</v>
          </cell>
          <cell r="AG260">
            <v>18</v>
          </cell>
          <cell r="AI260">
            <v>47</v>
          </cell>
          <cell r="AN260">
            <v>0.75</v>
          </cell>
          <cell r="AO260">
            <v>19</v>
          </cell>
          <cell r="AP260">
            <v>19</v>
          </cell>
          <cell r="AQ260">
            <v>5</v>
          </cell>
          <cell r="AR260">
            <v>120</v>
          </cell>
          <cell r="AS260">
            <v>120</v>
          </cell>
          <cell r="AT260">
            <v>55</v>
          </cell>
          <cell r="BF260">
            <v>601.70724709906335</v>
          </cell>
        </row>
        <row r="261">
          <cell r="B261">
            <v>690</v>
          </cell>
          <cell r="C261">
            <v>47</v>
          </cell>
          <cell r="D261">
            <v>3</v>
          </cell>
          <cell r="E261">
            <v>85</v>
          </cell>
          <cell r="F261">
            <v>340</v>
          </cell>
          <cell r="G261">
            <v>37.5</v>
          </cell>
          <cell r="H261">
            <v>190</v>
          </cell>
          <cell r="J261">
            <v>153.30000000000001</v>
          </cell>
          <cell r="K261">
            <v>125</v>
          </cell>
          <cell r="L261">
            <v>125</v>
          </cell>
          <cell r="M261">
            <v>730</v>
          </cell>
          <cell r="N261">
            <v>180</v>
          </cell>
          <cell r="O261">
            <v>375</v>
          </cell>
          <cell r="P261">
            <v>50</v>
          </cell>
          <cell r="Q261">
            <v>21</v>
          </cell>
          <cell r="R261">
            <v>100</v>
          </cell>
          <cell r="S261">
            <v>60</v>
          </cell>
          <cell r="T261">
            <v>36</v>
          </cell>
          <cell r="W261">
            <v>20</v>
          </cell>
          <cell r="Y261">
            <v>3.5</v>
          </cell>
          <cell r="Z261">
            <v>230</v>
          </cell>
          <cell r="AA261">
            <v>306</v>
          </cell>
          <cell r="AB261">
            <v>60</v>
          </cell>
          <cell r="AD261">
            <v>180</v>
          </cell>
          <cell r="AE261">
            <v>1.1000000000000001</v>
          </cell>
          <cell r="AF261">
            <v>275</v>
          </cell>
          <cell r="AG261">
            <v>18</v>
          </cell>
          <cell r="AI261">
            <v>47</v>
          </cell>
          <cell r="AN261">
            <v>0.75</v>
          </cell>
          <cell r="AO261">
            <v>19</v>
          </cell>
          <cell r="AP261">
            <v>19</v>
          </cell>
          <cell r="AQ261">
            <v>5</v>
          </cell>
          <cell r="AR261">
            <v>120</v>
          </cell>
          <cell r="AS261">
            <v>120</v>
          </cell>
          <cell r="AT261">
            <v>55</v>
          </cell>
          <cell r="BF261">
            <v>679.05398397392128</v>
          </cell>
        </row>
        <row r="262">
          <cell r="B262">
            <v>690</v>
          </cell>
          <cell r="C262">
            <v>47</v>
          </cell>
          <cell r="D262">
            <v>3</v>
          </cell>
          <cell r="E262">
            <v>85</v>
          </cell>
          <cell r="F262">
            <v>340</v>
          </cell>
          <cell r="G262">
            <v>37.5</v>
          </cell>
          <cell r="H262">
            <v>190</v>
          </cell>
          <cell r="J262">
            <v>153.30000000000001</v>
          </cell>
          <cell r="K262">
            <v>125</v>
          </cell>
          <cell r="L262">
            <v>125</v>
          </cell>
          <cell r="M262">
            <v>730</v>
          </cell>
          <cell r="N262">
            <v>180</v>
          </cell>
          <cell r="O262">
            <v>375</v>
          </cell>
          <cell r="P262">
            <v>50</v>
          </cell>
          <cell r="Q262">
            <v>21</v>
          </cell>
          <cell r="R262">
            <v>100</v>
          </cell>
          <cell r="S262">
            <v>60</v>
          </cell>
          <cell r="T262">
            <v>36</v>
          </cell>
          <cell r="W262">
            <v>20</v>
          </cell>
          <cell r="Y262">
            <v>3.5</v>
          </cell>
          <cell r="Z262">
            <v>230</v>
          </cell>
          <cell r="AA262">
            <v>306</v>
          </cell>
          <cell r="AB262">
            <v>60</v>
          </cell>
          <cell r="AD262">
            <v>180</v>
          </cell>
          <cell r="AE262">
            <v>1.1000000000000001</v>
          </cell>
          <cell r="AF262">
            <v>275</v>
          </cell>
          <cell r="AG262">
            <v>18</v>
          </cell>
          <cell r="AI262">
            <v>47</v>
          </cell>
          <cell r="AN262">
            <v>0.75</v>
          </cell>
          <cell r="AO262">
            <v>19</v>
          </cell>
          <cell r="AP262">
            <v>19</v>
          </cell>
          <cell r="AQ262">
            <v>5</v>
          </cell>
          <cell r="AR262">
            <v>120</v>
          </cell>
          <cell r="AS262">
            <v>120</v>
          </cell>
          <cell r="AT262">
            <v>55</v>
          </cell>
          <cell r="BF262">
            <v>696.34165416719168</v>
          </cell>
        </row>
        <row r="263">
          <cell r="B263">
            <v>690</v>
          </cell>
          <cell r="C263">
            <v>47</v>
          </cell>
          <cell r="D263">
            <v>3</v>
          </cell>
          <cell r="E263">
            <v>85</v>
          </cell>
          <cell r="F263">
            <v>340</v>
          </cell>
          <cell r="G263">
            <v>37.5</v>
          </cell>
          <cell r="H263">
            <v>190</v>
          </cell>
          <cell r="J263">
            <v>153.30000000000001</v>
          </cell>
          <cell r="K263">
            <v>125</v>
          </cell>
          <cell r="L263">
            <v>125</v>
          </cell>
          <cell r="M263">
            <v>730</v>
          </cell>
          <cell r="N263">
            <v>180</v>
          </cell>
          <cell r="O263">
            <v>375</v>
          </cell>
          <cell r="P263">
            <v>50</v>
          </cell>
          <cell r="Q263">
            <v>21</v>
          </cell>
          <cell r="R263">
            <v>100</v>
          </cell>
          <cell r="S263">
            <v>60</v>
          </cell>
          <cell r="T263">
            <v>36</v>
          </cell>
          <cell r="W263">
            <v>20</v>
          </cell>
          <cell r="Y263">
            <v>3.5</v>
          </cell>
          <cell r="Z263">
            <v>230</v>
          </cell>
          <cell r="AA263">
            <v>306</v>
          </cell>
          <cell r="AB263">
            <v>60</v>
          </cell>
          <cell r="AD263">
            <v>180</v>
          </cell>
          <cell r="AE263">
            <v>1.1000000000000001</v>
          </cell>
          <cell r="AF263">
            <v>275</v>
          </cell>
          <cell r="AG263">
            <v>18</v>
          </cell>
          <cell r="AI263">
            <v>47</v>
          </cell>
          <cell r="AN263">
            <v>0.75</v>
          </cell>
          <cell r="AO263">
            <v>19</v>
          </cell>
          <cell r="AP263">
            <v>19</v>
          </cell>
          <cell r="AQ263">
            <v>5</v>
          </cell>
          <cell r="AR263">
            <v>120</v>
          </cell>
          <cell r="AS263">
            <v>120</v>
          </cell>
          <cell r="AT263">
            <v>55</v>
          </cell>
          <cell r="BF263">
            <v>706.25538171812968</v>
          </cell>
        </row>
        <row r="264">
          <cell r="B264">
            <v>690</v>
          </cell>
          <cell r="C264">
            <v>47</v>
          </cell>
          <cell r="D264">
            <v>3</v>
          </cell>
          <cell r="E264">
            <v>85</v>
          </cell>
          <cell r="F264">
            <v>340</v>
          </cell>
          <cell r="G264">
            <v>37.5</v>
          </cell>
          <cell r="H264">
            <v>190</v>
          </cell>
          <cell r="J264">
            <v>153.30000000000001</v>
          </cell>
          <cell r="K264">
            <v>125</v>
          </cell>
          <cell r="L264">
            <v>125</v>
          </cell>
          <cell r="M264">
            <v>730</v>
          </cell>
          <cell r="N264">
            <v>180</v>
          </cell>
          <cell r="O264">
            <v>375</v>
          </cell>
          <cell r="P264">
            <v>50</v>
          </cell>
          <cell r="Q264">
            <v>21</v>
          </cell>
          <cell r="R264">
            <v>100</v>
          </cell>
          <cell r="S264">
            <v>60</v>
          </cell>
          <cell r="T264">
            <v>36</v>
          </cell>
          <cell r="W264">
            <v>20</v>
          </cell>
          <cell r="Y264">
            <v>3.5</v>
          </cell>
          <cell r="Z264">
            <v>230</v>
          </cell>
          <cell r="AA264">
            <v>306</v>
          </cell>
          <cell r="AB264">
            <v>60</v>
          </cell>
          <cell r="AD264">
            <v>180</v>
          </cell>
          <cell r="AE264">
            <v>1.1000000000000001</v>
          </cell>
          <cell r="AF264">
            <v>275</v>
          </cell>
          <cell r="AG264">
            <v>18</v>
          </cell>
          <cell r="AI264">
            <v>47</v>
          </cell>
          <cell r="AN264">
            <v>0.75</v>
          </cell>
          <cell r="AO264">
            <v>19</v>
          </cell>
          <cell r="AP264">
            <v>19</v>
          </cell>
          <cell r="AQ264">
            <v>5</v>
          </cell>
          <cell r="AR264">
            <v>120</v>
          </cell>
          <cell r="AS264">
            <v>120</v>
          </cell>
          <cell r="AT264">
            <v>55</v>
          </cell>
          <cell r="BF264">
            <v>719.99880332780413</v>
          </cell>
        </row>
        <row r="265">
          <cell r="B265">
            <v>690</v>
          </cell>
          <cell r="C265">
            <v>47</v>
          </cell>
          <cell r="D265">
            <v>3</v>
          </cell>
          <cell r="E265">
            <v>85</v>
          </cell>
          <cell r="F265">
            <v>340</v>
          </cell>
          <cell r="G265">
            <v>37.5</v>
          </cell>
          <cell r="H265">
            <v>190</v>
          </cell>
          <cell r="J265">
            <v>153.30000000000001</v>
          </cell>
          <cell r="K265">
            <v>125</v>
          </cell>
          <cell r="L265">
            <v>125</v>
          </cell>
          <cell r="M265">
            <v>730</v>
          </cell>
          <cell r="N265">
            <v>180</v>
          </cell>
          <cell r="O265">
            <v>375</v>
          </cell>
          <cell r="P265">
            <v>50</v>
          </cell>
          <cell r="Q265">
            <v>21</v>
          </cell>
          <cell r="R265">
            <v>100</v>
          </cell>
          <cell r="S265">
            <v>60</v>
          </cell>
          <cell r="T265">
            <v>36</v>
          </cell>
          <cell r="W265">
            <v>20</v>
          </cell>
          <cell r="Y265">
            <v>3.5</v>
          </cell>
          <cell r="Z265">
            <v>230</v>
          </cell>
          <cell r="AA265">
            <v>306</v>
          </cell>
          <cell r="AB265">
            <v>60</v>
          </cell>
          <cell r="AD265">
            <v>180</v>
          </cell>
          <cell r="AE265">
            <v>1.1000000000000001</v>
          </cell>
          <cell r="AF265">
            <v>275</v>
          </cell>
          <cell r="AG265">
            <v>18</v>
          </cell>
          <cell r="AI265">
            <v>47</v>
          </cell>
          <cell r="AN265">
            <v>0.75</v>
          </cell>
          <cell r="AO265">
            <v>19</v>
          </cell>
          <cell r="AP265">
            <v>19</v>
          </cell>
          <cell r="AQ265">
            <v>5</v>
          </cell>
          <cell r="AR265">
            <v>120</v>
          </cell>
          <cell r="AS265">
            <v>120</v>
          </cell>
          <cell r="AT265">
            <v>55</v>
          </cell>
          <cell r="BF265">
            <v>489.24665503041274</v>
          </cell>
        </row>
        <row r="266">
          <cell r="B266">
            <v>690</v>
          </cell>
          <cell r="C266">
            <v>47</v>
          </cell>
          <cell r="D266">
            <v>3</v>
          </cell>
          <cell r="E266">
            <v>85</v>
          </cell>
          <cell r="F266">
            <v>340</v>
          </cell>
          <cell r="G266">
            <v>37.5</v>
          </cell>
          <cell r="H266">
            <v>190</v>
          </cell>
          <cell r="J266">
            <v>153.30000000000001</v>
          </cell>
          <cell r="K266">
            <v>125</v>
          </cell>
          <cell r="L266">
            <v>125</v>
          </cell>
          <cell r="M266">
            <v>730</v>
          </cell>
          <cell r="N266">
            <v>180</v>
          </cell>
          <cell r="O266">
            <v>375</v>
          </cell>
          <cell r="P266">
            <v>50</v>
          </cell>
          <cell r="Q266">
            <v>21</v>
          </cell>
          <cell r="R266">
            <v>100</v>
          </cell>
          <cell r="S266">
            <v>60</v>
          </cell>
          <cell r="T266">
            <v>36</v>
          </cell>
          <cell r="W266">
            <v>20</v>
          </cell>
          <cell r="Y266">
            <v>3.5</v>
          </cell>
          <cell r="Z266">
            <v>230</v>
          </cell>
          <cell r="AA266">
            <v>306</v>
          </cell>
          <cell r="AB266">
            <v>60</v>
          </cell>
          <cell r="AD266">
            <v>180</v>
          </cell>
          <cell r="AE266">
            <v>1.1000000000000001</v>
          </cell>
          <cell r="AF266">
            <v>275</v>
          </cell>
          <cell r="AG266">
            <v>18</v>
          </cell>
          <cell r="AI266">
            <v>47</v>
          </cell>
          <cell r="AN266">
            <v>0.75</v>
          </cell>
          <cell r="AO266">
            <v>19</v>
          </cell>
          <cell r="AP266">
            <v>19</v>
          </cell>
          <cell r="AQ266">
            <v>5</v>
          </cell>
          <cell r="AR266">
            <v>120</v>
          </cell>
          <cell r="AS266">
            <v>120</v>
          </cell>
          <cell r="AT266">
            <v>55</v>
          </cell>
          <cell r="BF266">
            <v>726.12324853358166</v>
          </cell>
        </row>
        <row r="267">
          <cell r="B267">
            <v>690</v>
          </cell>
          <cell r="C267">
            <v>47</v>
          </cell>
          <cell r="D267">
            <v>3</v>
          </cell>
          <cell r="E267">
            <v>85</v>
          </cell>
          <cell r="F267">
            <v>340</v>
          </cell>
          <cell r="G267">
            <v>37.5</v>
          </cell>
          <cell r="H267">
            <v>190</v>
          </cell>
          <cell r="J267">
            <v>153.30000000000001</v>
          </cell>
          <cell r="K267">
            <v>125</v>
          </cell>
          <cell r="L267">
            <v>125</v>
          </cell>
          <cell r="M267">
            <v>730</v>
          </cell>
          <cell r="N267">
            <v>180</v>
          </cell>
          <cell r="O267">
            <v>375</v>
          </cell>
          <cell r="P267">
            <v>50</v>
          </cell>
          <cell r="Q267">
            <v>21</v>
          </cell>
          <cell r="R267">
            <v>100</v>
          </cell>
          <cell r="S267">
            <v>60</v>
          </cell>
          <cell r="T267">
            <v>36</v>
          </cell>
          <cell r="W267">
            <v>20</v>
          </cell>
          <cell r="Y267">
            <v>3.5</v>
          </cell>
          <cell r="Z267">
            <v>230</v>
          </cell>
          <cell r="AA267">
            <v>306</v>
          </cell>
          <cell r="AB267">
            <v>60</v>
          </cell>
          <cell r="AD267">
            <v>180</v>
          </cell>
          <cell r="AE267">
            <v>1.1000000000000001</v>
          </cell>
          <cell r="AF267">
            <v>275</v>
          </cell>
          <cell r="AG267">
            <v>18</v>
          </cell>
          <cell r="AI267">
            <v>47</v>
          </cell>
          <cell r="AN267">
            <v>0.75</v>
          </cell>
          <cell r="AO267">
            <v>19</v>
          </cell>
          <cell r="AP267">
            <v>19</v>
          </cell>
          <cell r="AQ267">
            <v>5</v>
          </cell>
          <cell r="AR267">
            <v>120</v>
          </cell>
          <cell r="AS267">
            <v>120</v>
          </cell>
          <cell r="AT267">
            <v>55</v>
          </cell>
          <cell r="BF267">
            <v>473.67974632866276</v>
          </cell>
        </row>
        <row r="268">
          <cell r="B268">
            <v>690</v>
          </cell>
          <cell r="C268">
            <v>47</v>
          </cell>
          <cell r="D268">
            <v>3</v>
          </cell>
          <cell r="E268">
            <v>85</v>
          </cell>
          <cell r="F268">
            <v>340</v>
          </cell>
          <cell r="G268">
            <v>37.5</v>
          </cell>
          <cell r="H268">
            <v>190</v>
          </cell>
          <cell r="J268">
            <v>153.30000000000001</v>
          </cell>
          <cell r="K268">
            <v>125</v>
          </cell>
          <cell r="L268">
            <v>125</v>
          </cell>
          <cell r="M268">
            <v>730</v>
          </cell>
          <cell r="N268">
            <v>180</v>
          </cell>
          <cell r="O268">
            <v>375</v>
          </cell>
          <cell r="P268">
            <v>50</v>
          </cell>
          <cell r="Q268">
            <v>21</v>
          </cell>
          <cell r="R268">
            <v>100</v>
          </cell>
          <cell r="S268">
            <v>60</v>
          </cell>
          <cell r="T268">
            <v>36</v>
          </cell>
          <cell r="W268">
            <v>20</v>
          </cell>
          <cell r="Y268">
            <v>3.5</v>
          </cell>
          <cell r="Z268">
            <v>230</v>
          </cell>
          <cell r="AA268">
            <v>306</v>
          </cell>
          <cell r="AB268">
            <v>60</v>
          </cell>
          <cell r="AD268">
            <v>180</v>
          </cell>
          <cell r="AE268">
            <v>1.1000000000000001</v>
          </cell>
          <cell r="AF268">
            <v>275</v>
          </cell>
          <cell r="AG268">
            <v>18</v>
          </cell>
          <cell r="AI268">
            <v>47</v>
          </cell>
          <cell r="AN268">
            <v>0.75</v>
          </cell>
          <cell r="AO268">
            <v>19</v>
          </cell>
          <cell r="AP268">
            <v>19</v>
          </cell>
          <cell r="AQ268">
            <v>5</v>
          </cell>
          <cell r="AR268">
            <v>120</v>
          </cell>
          <cell r="AS268">
            <v>120</v>
          </cell>
          <cell r="AT268">
            <v>55</v>
          </cell>
          <cell r="BF268">
            <v>572.55676112604374</v>
          </cell>
        </row>
        <row r="269">
          <cell r="B269">
            <v>690</v>
          </cell>
          <cell r="C269">
            <v>47</v>
          </cell>
          <cell r="D269">
            <v>3</v>
          </cell>
          <cell r="E269">
            <v>85</v>
          </cell>
          <cell r="F269">
            <v>340</v>
          </cell>
          <cell r="G269">
            <v>37.5</v>
          </cell>
          <cell r="H269">
            <v>190</v>
          </cell>
          <cell r="J269">
            <v>153.30000000000001</v>
          </cell>
          <cell r="K269">
            <v>125</v>
          </cell>
          <cell r="L269">
            <v>125</v>
          </cell>
          <cell r="M269">
            <v>730</v>
          </cell>
          <cell r="N269">
            <v>180</v>
          </cell>
          <cell r="O269">
            <v>375</v>
          </cell>
          <cell r="P269">
            <v>50</v>
          </cell>
          <cell r="Q269">
            <v>21</v>
          </cell>
          <cell r="R269">
            <v>100</v>
          </cell>
          <cell r="S269">
            <v>60</v>
          </cell>
          <cell r="T269">
            <v>36</v>
          </cell>
          <cell r="W269">
            <v>20</v>
          </cell>
          <cell r="Y269">
            <v>3.5</v>
          </cell>
          <cell r="Z269">
            <v>230</v>
          </cell>
          <cell r="AA269">
            <v>306</v>
          </cell>
          <cell r="AB269">
            <v>60</v>
          </cell>
          <cell r="AD269">
            <v>180</v>
          </cell>
          <cell r="AE269">
            <v>1.1000000000000001</v>
          </cell>
          <cell r="AF269">
            <v>275</v>
          </cell>
          <cell r="AG269">
            <v>18</v>
          </cell>
          <cell r="AI269">
            <v>47</v>
          </cell>
          <cell r="AN269">
            <v>0.75</v>
          </cell>
          <cell r="AO269">
            <v>19</v>
          </cell>
          <cell r="AP269">
            <v>19</v>
          </cell>
          <cell r="AQ269">
            <v>5</v>
          </cell>
          <cell r="AR269">
            <v>120</v>
          </cell>
          <cell r="AS269">
            <v>120</v>
          </cell>
          <cell r="AT269">
            <v>55</v>
          </cell>
          <cell r="BF269">
            <v>696.48817590118983</v>
          </cell>
        </row>
        <row r="270">
          <cell r="B270">
            <v>690</v>
          </cell>
          <cell r="C270">
            <v>47</v>
          </cell>
          <cell r="D270">
            <v>3</v>
          </cell>
          <cell r="E270">
            <v>85</v>
          </cell>
          <cell r="F270">
            <v>340</v>
          </cell>
          <cell r="G270">
            <v>37.5</v>
          </cell>
          <cell r="H270">
            <v>190</v>
          </cell>
          <cell r="J270">
            <v>153.30000000000001</v>
          </cell>
          <cell r="K270">
            <v>125</v>
          </cell>
          <cell r="L270">
            <v>125</v>
          </cell>
          <cell r="M270">
            <v>730</v>
          </cell>
          <cell r="N270">
            <v>180</v>
          </cell>
          <cell r="O270">
            <v>375</v>
          </cell>
          <cell r="P270">
            <v>50</v>
          </cell>
          <cell r="Q270">
            <v>21</v>
          </cell>
          <cell r="R270">
            <v>100</v>
          </cell>
          <cell r="S270">
            <v>60</v>
          </cell>
          <cell r="T270">
            <v>36</v>
          </cell>
          <cell r="W270">
            <v>20</v>
          </cell>
          <cell r="Y270">
            <v>3.5</v>
          </cell>
          <cell r="Z270">
            <v>230</v>
          </cell>
          <cell r="AA270">
            <v>306</v>
          </cell>
          <cell r="AB270">
            <v>60</v>
          </cell>
          <cell r="AD270">
            <v>180</v>
          </cell>
          <cell r="AE270">
            <v>1.1000000000000001</v>
          </cell>
          <cell r="AF270">
            <v>275</v>
          </cell>
          <cell r="AG270">
            <v>18</v>
          </cell>
          <cell r="AI270">
            <v>47</v>
          </cell>
          <cell r="AN270">
            <v>0.75</v>
          </cell>
          <cell r="AO270">
            <v>19</v>
          </cell>
          <cell r="AP270">
            <v>19</v>
          </cell>
          <cell r="AQ270">
            <v>5</v>
          </cell>
          <cell r="AR270">
            <v>120</v>
          </cell>
          <cell r="AS270">
            <v>120</v>
          </cell>
          <cell r="AT270">
            <v>55</v>
          </cell>
          <cell r="BF270">
            <v>676.51475577651593</v>
          </cell>
        </row>
        <row r="271">
          <cell r="B271">
            <v>690</v>
          </cell>
          <cell r="C271">
            <v>47</v>
          </cell>
          <cell r="D271">
            <v>3</v>
          </cell>
          <cell r="E271">
            <v>85</v>
          </cell>
          <cell r="F271">
            <v>340</v>
          </cell>
          <cell r="G271">
            <v>37.5</v>
          </cell>
          <cell r="H271">
            <v>190</v>
          </cell>
          <cell r="J271">
            <v>153.30000000000001</v>
          </cell>
          <cell r="K271">
            <v>125</v>
          </cell>
          <cell r="L271">
            <v>125</v>
          </cell>
          <cell r="M271">
            <v>730</v>
          </cell>
          <cell r="N271">
            <v>180</v>
          </cell>
          <cell r="O271">
            <v>375</v>
          </cell>
          <cell r="P271">
            <v>50</v>
          </cell>
          <cell r="Q271">
            <v>21</v>
          </cell>
          <cell r="R271">
            <v>100</v>
          </cell>
          <cell r="S271">
            <v>60</v>
          </cell>
          <cell r="T271">
            <v>36</v>
          </cell>
          <cell r="W271">
            <v>20</v>
          </cell>
          <cell r="Y271">
            <v>3.5</v>
          </cell>
          <cell r="Z271">
            <v>230</v>
          </cell>
          <cell r="AA271">
            <v>306</v>
          </cell>
          <cell r="AB271">
            <v>60</v>
          </cell>
          <cell r="AD271">
            <v>180</v>
          </cell>
          <cell r="AE271">
            <v>1.1000000000000001</v>
          </cell>
          <cell r="AF271">
            <v>275</v>
          </cell>
          <cell r="AG271">
            <v>18</v>
          </cell>
          <cell r="AI271">
            <v>47</v>
          </cell>
          <cell r="AN271">
            <v>0.75</v>
          </cell>
          <cell r="AO271">
            <v>19</v>
          </cell>
          <cell r="AP271">
            <v>19</v>
          </cell>
          <cell r="AQ271">
            <v>5</v>
          </cell>
          <cell r="AR271">
            <v>120</v>
          </cell>
          <cell r="AS271">
            <v>120</v>
          </cell>
          <cell r="AT271">
            <v>55</v>
          </cell>
          <cell r="BF271">
            <v>701.46843506276582</v>
          </cell>
        </row>
        <row r="272">
          <cell r="B272">
            <v>690</v>
          </cell>
          <cell r="C272">
            <v>47</v>
          </cell>
          <cell r="D272">
            <v>3</v>
          </cell>
          <cell r="E272">
            <v>85</v>
          </cell>
          <cell r="F272">
            <v>340</v>
          </cell>
          <cell r="G272">
            <v>37.5</v>
          </cell>
          <cell r="H272">
            <v>190</v>
          </cell>
          <cell r="J272">
            <v>153.30000000000001</v>
          </cell>
          <cell r="K272">
            <v>125</v>
          </cell>
          <cell r="L272">
            <v>125</v>
          </cell>
          <cell r="M272">
            <v>730</v>
          </cell>
          <cell r="N272">
            <v>180</v>
          </cell>
          <cell r="O272">
            <v>375</v>
          </cell>
          <cell r="P272">
            <v>50</v>
          </cell>
          <cell r="Q272">
            <v>21</v>
          </cell>
          <cell r="R272">
            <v>100</v>
          </cell>
          <cell r="S272">
            <v>60</v>
          </cell>
          <cell r="T272">
            <v>36</v>
          </cell>
          <cell r="W272">
            <v>20</v>
          </cell>
          <cell r="Y272">
            <v>3.5</v>
          </cell>
          <cell r="Z272">
            <v>230</v>
          </cell>
          <cell r="AA272">
            <v>306</v>
          </cell>
          <cell r="AB272">
            <v>60</v>
          </cell>
          <cell r="AD272">
            <v>180</v>
          </cell>
          <cell r="AE272">
            <v>1.1000000000000001</v>
          </cell>
          <cell r="AF272">
            <v>275</v>
          </cell>
          <cell r="AG272">
            <v>18</v>
          </cell>
          <cell r="AI272">
            <v>47</v>
          </cell>
          <cell r="AN272">
            <v>0.75</v>
          </cell>
          <cell r="AO272">
            <v>19</v>
          </cell>
          <cell r="AP272">
            <v>19</v>
          </cell>
          <cell r="AQ272">
            <v>5</v>
          </cell>
          <cell r="AR272">
            <v>120</v>
          </cell>
          <cell r="AS272">
            <v>120</v>
          </cell>
          <cell r="AT272">
            <v>55</v>
          </cell>
          <cell r="BF272">
            <v>740.65109355173399</v>
          </cell>
        </row>
        <row r="273">
          <cell r="B273">
            <v>690</v>
          </cell>
          <cell r="C273">
            <v>47</v>
          </cell>
          <cell r="D273">
            <v>3</v>
          </cell>
          <cell r="E273">
            <v>85</v>
          </cell>
          <cell r="F273">
            <v>340</v>
          </cell>
          <cell r="G273">
            <v>37.5</v>
          </cell>
          <cell r="H273">
            <v>190</v>
          </cell>
          <cell r="J273">
            <v>153.30000000000001</v>
          </cell>
          <cell r="K273">
            <v>125</v>
          </cell>
          <cell r="L273">
            <v>125</v>
          </cell>
          <cell r="M273">
            <v>730</v>
          </cell>
          <cell r="N273">
            <v>180</v>
          </cell>
          <cell r="O273">
            <v>375</v>
          </cell>
          <cell r="P273">
            <v>50</v>
          </cell>
          <cell r="Q273">
            <v>21</v>
          </cell>
          <cell r="R273">
            <v>100</v>
          </cell>
          <cell r="S273">
            <v>60</v>
          </cell>
          <cell r="T273">
            <v>36</v>
          </cell>
          <cell r="W273">
            <v>20</v>
          </cell>
          <cell r="Y273">
            <v>3.5</v>
          </cell>
          <cell r="Z273">
            <v>230</v>
          </cell>
          <cell r="AA273">
            <v>306</v>
          </cell>
          <cell r="AB273">
            <v>60</v>
          </cell>
          <cell r="AD273">
            <v>180</v>
          </cell>
          <cell r="AE273">
            <v>1.1000000000000001</v>
          </cell>
          <cell r="AF273">
            <v>275</v>
          </cell>
          <cell r="AG273">
            <v>18</v>
          </cell>
          <cell r="AI273">
            <v>47</v>
          </cell>
          <cell r="AN273">
            <v>0.75</v>
          </cell>
          <cell r="AO273">
            <v>19</v>
          </cell>
          <cell r="AP273">
            <v>19</v>
          </cell>
          <cell r="AQ273">
            <v>5</v>
          </cell>
          <cell r="AR273">
            <v>120</v>
          </cell>
          <cell r="AS273">
            <v>120</v>
          </cell>
          <cell r="AT273">
            <v>55</v>
          </cell>
          <cell r="BF273">
            <v>838.21815217443952</v>
          </cell>
        </row>
        <row r="274">
          <cell r="B274">
            <v>690</v>
          </cell>
          <cell r="C274">
            <v>47</v>
          </cell>
          <cell r="D274">
            <v>3</v>
          </cell>
          <cell r="E274">
            <v>85</v>
          </cell>
          <cell r="F274">
            <v>340</v>
          </cell>
          <cell r="G274">
            <v>37.5</v>
          </cell>
          <cell r="H274">
            <v>190</v>
          </cell>
          <cell r="J274">
            <v>153.30000000000001</v>
          </cell>
          <cell r="K274">
            <v>125</v>
          </cell>
          <cell r="L274">
            <v>125</v>
          </cell>
          <cell r="M274">
            <v>730</v>
          </cell>
          <cell r="N274">
            <v>180</v>
          </cell>
          <cell r="O274">
            <v>375</v>
          </cell>
          <cell r="P274">
            <v>50</v>
          </cell>
          <cell r="Q274">
            <v>21</v>
          </cell>
          <cell r="R274">
            <v>100</v>
          </cell>
          <cell r="S274">
            <v>60</v>
          </cell>
          <cell r="T274">
            <v>36</v>
          </cell>
          <cell r="W274">
            <v>20</v>
          </cell>
          <cell r="Y274">
            <v>3.5</v>
          </cell>
          <cell r="Z274">
            <v>230</v>
          </cell>
          <cell r="AA274">
            <v>306</v>
          </cell>
          <cell r="AB274">
            <v>60</v>
          </cell>
          <cell r="AD274">
            <v>180</v>
          </cell>
          <cell r="AE274">
            <v>1.1000000000000001</v>
          </cell>
          <cell r="AF274">
            <v>275</v>
          </cell>
          <cell r="AG274">
            <v>18</v>
          </cell>
          <cell r="AI274">
            <v>47</v>
          </cell>
          <cell r="AN274">
            <v>0.75</v>
          </cell>
          <cell r="AO274">
            <v>19</v>
          </cell>
          <cell r="AP274">
            <v>19</v>
          </cell>
          <cell r="AQ274">
            <v>5</v>
          </cell>
          <cell r="AR274">
            <v>120</v>
          </cell>
          <cell r="AS274">
            <v>120</v>
          </cell>
          <cell r="AT274">
            <v>55</v>
          </cell>
          <cell r="BF274">
            <v>857.62948601812536</v>
          </cell>
        </row>
        <row r="275">
          <cell r="B275">
            <v>690</v>
          </cell>
          <cell r="C275">
            <v>47</v>
          </cell>
          <cell r="D275">
            <v>3</v>
          </cell>
          <cell r="E275">
            <v>85</v>
          </cell>
          <cell r="F275">
            <v>340</v>
          </cell>
          <cell r="G275">
            <v>37.5</v>
          </cell>
          <cell r="H275">
            <v>190</v>
          </cell>
          <cell r="J275">
            <v>153.30000000000001</v>
          </cell>
          <cell r="K275">
            <v>125</v>
          </cell>
          <cell r="L275">
            <v>125</v>
          </cell>
          <cell r="M275">
            <v>730</v>
          </cell>
          <cell r="N275">
            <v>180</v>
          </cell>
          <cell r="O275">
            <v>375</v>
          </cell>
          <cell r="P275">
            <v>50</v>
          </cell>
          <cell r="Q275">
            <v>21</v>
          </cell>
          <cell r="R275">
            <v>100</v>
          </cell>
          <cell r="S275">
            <v>60</v>
          </cell>
          <cell r="T275">
            <v>36</v>
          </cell>
          <cell r="W275">
            <v>20</v>
          </cell>
          <cell r="Y275">
            <v>3.5</v>
          </cell>
          <cell r="Z275">
            <v>230</v>
          </cell>
          <cell r="AA275">
            <v>306</v>
          </cell>
          <cell r="AB275">
            <v>60</v>
          </cell>
          <cell r="AD275">
            <v>180</v>
          </cell>
          <cell r="AE275">
            <v>1.1000000000000001</v>
          </cell>
          <cell r="AF275">
            <v>275</v>
          </cell>
          <cell r="AG275">
            <v>18</v>
          </cell>
          <cell r="AI275">
            <v>47</v>
          </cell>
          <cell r="AN275">
            <v>0.75</v>
          </cell>
          <cell r="AO275">
            <v>19</v>
          </cell>
          <cell r="AP275">
            <v>19</v>
          </cell>
          <cell r="AQ275">
            <v>5</v>
          </cell>
          <cell r="AR275">
            <v>120</v>
          </cell>
          <cell r="AS275">
            <v>120</v>
          </cell>
          <cell r="AT275">
            <v>55</v>
          </cell>
          <cell r="BF275">
            <v>865.62608954877123</v>
          </cell>
        </row>
        <row r="276">
          <cell r="B276">
            <v>690</v>
          </cell>
          <cell r="C276">
            <v>47</v>
          </cell>
          <cell r="D276">
            <v>3</v>
          </cell>
          <cell r="E276">
            <v>85</v>
          </cell>
          <cell r="F276">
            <v>340</v>
          </cell>
          <cell r="G276">
            <v>37.5</v>
          </cell>
          <cell r="H276">
            <v>190</v>
          </cell>
          <cell r="J276">
            <v>153.30000000000001</v>
          </cell>
          <cell r="K276">
            <v>125</v>
          </cell>
          <cell r="L276">
            <v>125</v>
          </cell>
          <cell r="M276">
            <v>730</v>
          </cell>
          <cell r="N276">
            <v>180</v>
          </cell>
          <cell r="O276">
            <v>375</v>
          </cell>
          <cell r="P276">
            <v>50</v>
          </cell>
          <cell r="Q276">
            <v>21</v>
          </cell>
          <cell r="R276">
            <v>100</v>
          </cell>
          <cell r="S276">
            <v>60</v>
          </cell>
          <cell r="T276">
            <v>36</v>
          </cell>
          <cell r="W276">
            <v>20</v>
          </cell>
          <cell r="Y276">
            <v>3.5</v>
          </cell>
          <cell r="Z276">
            <v>230</v>
          </cell>
          <cell r="AA276">
            <v>306</v>
          </cell>
          <cell r="AB276">
            <v>60</v>
          </cell>
          <cell r="AD276">
            <v>180</v>
          </cell>
          <cell r="AE276">
            <v>1.1000000000000001</v>
          </cell>
          <cell r="AF276">
            <v>275</v>
          </cell>
          <cell r="AG276">
            <v>18</v>
          </cell>
          <cell r="AI276">
            <v>47</v>
          </cell>
          <cell r="AN276">
            <v>0.75</v>
          </cell>
          <cell r="AO276">
            <v>19</v>
          </cell>
          <cell r="AP276">
            <v>19</v>
          </cell>
          <cell r="AQ276">
            <v>5</v>
          </cell>
          <cell r="AR276">
            <v>120</v>
          </cell>
          <cell r="AS276">
            <v>120</v>
          </cell>
          <cell r="AT276">
            <v>55</v>
          </cell>
          <cell r="BF276">
            <v>879.16966596938278</v>
          </cell>
        </row>
        <row r="277">
          <cell r="B277">
            <v>690</v>
          </cell>
          <cell r="C277">
            <v>47</v>
          </cell>
          <cell r="D277">
            <v>3</v>
          </cell>
          <cell r="E277">
            <v>85</v>
          </cell>
          <cell r="F277">
            <v>340</v>
          </cell>
          <cell r="G277">
            <v>37.5</v>
          </cell>
          <cell r="H277">
            <v>190</v>
          </cell>
          <cell r="J277">
            <v>153.30000000000001</v>
          </cell>
          <cell r="K277">
            <v>125</v>
          </cell>
          <cell r="L277">
            <v>125</v>
          </cell>
          <cell r="M277">
            <v>730</v>
          </cell>
          <cell r="N277">
            <v>180</v>
          </cell>
          <cell r="O277">
            <v>375</v>
          </cell>
          <cell r="P277">
            <v>50</v>
          </cell>
          <cell r="Q277">
            <v>21</v>
          </cell>
          <cell r="R277">
            <v>100</v>
          </cell>
          <cell r="S277">
            <v>60</v>
          </cell>
          <cell r="T277">
            <v>36</v>
          </cell>
          <cell r="W277">
            <v>20</v>
          </cell>
          <cell r="Y277">
            <v>3.5</v>
          </cell>
          <cell r="Z277">
            <v>230</v>
          </cell>
          <cell r="AA277">
            <v>306</v>
          </cell>
          <cell r="AB277">
            <v>60</v>
          </cell>
          <cell r="AD277">
            <v>180</v>
          </cell>
          <cell r="AE277">
            <v>1.1000000000000001</v>
          </cell>
          <cell r="AF277">
            <v>275</v>
          </cell>
          <cell r="AG277">
            <v>18</v>
          </cell>
          <cell r="AI277">
            <v>47</v>
          </cell>
          <cell r="AN277">
            <v>0.75</v>
          </cell>
          <cell r="AO277">
            <v>19</v>
          </cell>
          <cell r="AP277">
            <v>19</v>
          </cell>
          <cell r="AQ277">
            <v>5</v>
          </cell>
          <cell r="AR277">
            <v>120</v>
          </cell>
          <cell r="AS277">
            <v>120</v>
          </cell>
          <cell r="AT277">
            <v>55</v>
          </cell>
          <cell r="BF277">
            <v>498.15232033900099</v>
          </cell>
        </row>
        <row r="278">
          <cell r="B278">
            <v>690</v>
          </cell>
          <cell r="C278">
            <v>47</v>
          </cell>
          <cell r="D278">
            <v>3</v>
          </cell>
          <cell r="E278">
            <v>85</v>
          </cell>
          <cell r="F278">
            <v>340</v>
          </cell>
          <cell r="G278">
            <v>37.5</v>
          </cell>
          <cell r="H278">
            <v>190</v>
          </cell>
          <cell r="J278">
            <v>153.30000000000001</v>
          </cell>
          <cell r="K278">
            <v>125</v>
          </cell>
          <cell r="L278">
            <v>125</v>
          </cell>
          <cell r="M278">
            <v>730</v>
          </cell>
          <cell r="N278">
            <v>180</v>
          </cell>
          <cell r="O278">
            <v>375</v>
          </cell>
          <cell r="P278">
            <v>50</v>
          </cell>
          <cell r="Q278">
            <v>21</v>
          </cell>
          <cell r="R278">
            <v>100</v>
          </cell>
          <cell r="S278">
            <v>60</v>
          </cell>
          <cell r="T278">
            <v>36</v>
          </cell>
          <cell r="W278">
            <v>20</v>
          </cell>
          <cell r="Y278">
            <v>3.5</v>
          </cell>
          <cell r="Z278">
            <v>230</v>
          </cell>
          <cell r="AA278">
            <v>306</v>
          </cell>
          <cell r="AB278">
            <v>60</v>
          </cell>
          <cell r="AD278">
            <v>180</v>
          </cell>
          <cell r="AE278">
            <v>1.1000000000000001</v>
          </cell>
          <cell r="AF278">
            <v>275</v>
          </cell>
          <cell r="AG278">
            <v>18</v>
          </cell>
          <cell r="AI278">
            <v>47</v>
          </cell>
          <cell r="AN278">
            <v>0.75</v>
          </cell>
          <cell r="AO278">
            <v>19</v>
          </cell>
          <cell r="AP278">
            <v>19</v>
          </cell>
          <cell r="AQ278">
            <v>5</v>
          </cell>
          <cell r="AR278">
            <v>120</v>
          </cell>
          <cell r="AS278">
            <v>120</v>
          </cell>
          <cell r="AT278">
            <v>55</v>
          </cell>
          <cell r="BF278">
            <v>744.25407214246161</v>
          </cell>
        </row>
        <row r="279">
          <cell r="B279">
            <v>690</v>
          </cell>
          <cell r="C279">
            <v>47</v>
          </cell>
          <cell r="D279">
            <v>3</v>
          </cell>
          <cell r="E279">
            <v>85</v>
          </cell>
          <cell r="F279">
            <v>340</v>
          </cell>
          <cell r="G279">
            <v>37.5</v>
          </cell>
          <cell r="H279">
            <v>190</v>
          </cell>
          <cell r="J279">
            <v>153.30000000000001</v>
          </cell>
          <cell r="K279">
            <v>125</v>
          </cell>
          <cell r="L279">
            <v>125</v>
          </cell>
          <cell r="M279">
            <v>730</v>
          </cell>
          <cell r="N279">
            <v>180</v>
          </cell>
          <cell r="O279">
            <v>375</v>
          </cell>
          <cell r="P279">
            <v>50</v>
          </cell>
          <cell r="Q279">
            <v>21</v>
          </cell>
          <cell r="R279">
            <v>100</v>
          </cell>
          <cell r="S279">
            <v>60</v>
          </cell>
          <cell r="T279">
            <v>36</v>
          </cell>
          <cell r="W279">
            <v>20</v>
          </cell>
          <cell r="Y279">
            <v>3.5</v>
          </cell>
          <cell r="Z279">
            <v>230</v>
          </cell>
          <cell r="AA279">
            <v>306</v>
          </cell>
          <cell r="AB279">
            <v>60</v>
          </cell>
          <cell r="AD279">
            <v>180</v>
          </cell>
          <cell r="AE279">
            <v>1.1000000000000001</v>
          </cell>
          <cell r="AF279">
            <v>275</v>
          </cell>
          <cell r="AG279">
            <v>18</v>
          </cell>
          <cell r="AI279">
            <v>47</v>
          </cell>
          <cell r="AN279">
            <v>0.75</v>
          </cell>
          <cell r="AO279">
            <v>19</v>
          </cell>
          <cell r="AP279">
            <v>19</v>
          </cell>
          <cell r="AQ279">
            <v>5</v>
          </cell>
          <cell r="AR279">
            <v>120</v>
          </cell>
          <cell r="AS279">
            <v>120</v>
          </cell>
          <cell r="AT279">
            <v>55</v>
          </cell>
          <cell r="BF279">
            <v>479.65511825537374</v>
          </cell>
        </row>
        <row r="280">
          <cell r="B280">
            <v>690</v>
          </cell>
          <cell r="C280">
            <v>47</v>
          </cell>
          <cell r="D280">
            <v>3</v>
          </cell>
          <cell r="E280">
            <v>85</v>
          </cell>
          <cell r="F280">
            <v>340</v>
          </cell>
          <cell r="G280">
            <v>37.5</v>
          </cell>
          <cell r="H280">
            <v>190</v>
          </cell>
          <cell r="J280">
            <v>153.30000000000001</v>
          </cell>
          <cell r="K280">
            <v>125</v>
          </cell>
          <cell r="L280">
            <v>125</v>
          </cell>
          <cell r="M280">
            <v>730</v>
          </cell>
          <cell r="N280">
            <v>180</v>
          </cell>
          <cell r="O280">
            <v>375</v>
          </cell>
          <cell r="P280">
            <v>50</v>
          </cell>
          <cell r="Q280">
            <v>21</v>
          </cell>
          <cell r="R280">
            <v>100</v>
          </cell>
          <cell r="S280">
            <v>60</v>
          </cell>
          <cell r="T280">
            <v>36</v>
          </cell>
          <cell r="W280">
            <v>20</v>
          </cell>
          <cell r="Y280">
            <v>3.5</v>
          </cell>
          <cell r="Z280">
            <v>230</v>
          </cell>
          <cell r="AA280">
            <v>306</v>
          </cell>
          <cell r="AB280">
            <v>60</v>
          </cell>
          <cell r="AD280">
            <v>180</v>
          </cell>
          <cell r="AE280">
            <v>1.1000000000000001</v>
          </cell>
          <cell r="AF280">
            <v>275</v>
          </cell>
          <cell r="AG280">
            <v>18</v>
          </cell>
          <cell r="AI280">
            <v>47</v>
          </cell>
          <cell r="AN280">
            <v>0.75</v>
          </cell>
          <cell r="AO280">
            <v>19</v>
          </cell>
          <cell r="AP280">
            <v>19</v>
          </cell>
          <cell r="AQ280">
            <v>5</v>
          </cell>
          <cell r="AR280">
            <v>120</v>
          </cell>
          <cell r="AS280">
            <v>120</v>
          </cell>
          <cell r="AT280">
            <v>55</v>
          </cell>
          <cell r="BF280">
            <v>583.49949716307856</v>
          </cell>
        </row>
        <row r="281">
          <cell r="B281">
            <v>690</v>
          </cell>
          <cell r="C281">
            <v>47</v>
          </cell>
          <cell r="D281">
            <v>3</v>
          </cell>
          <cell r="E281">
            <v>85</v>
          </cell>
          <cell r="F281">
            <v>340</v>
          </cell>
          <cell r="G281">
            <v>37.5</v>
          </cell>
          <cell r="H281">
            <v>190</v>
          </cell>
          <cell r="J281">
            <v>153.30000000000001</v>
          </cell>
          <cell r="K281">
            <v>125</v>
          </cell>
          <cell r="L281">
            <v>125</v>
          </cell>
          <cell r="M281">
            <v>730</v>
          </cell>
          <cell r="N281">
            <v>180</v>
          </cell>
          <cell r="O281">
            <v>375</v>
          </cell>
          <cell r="P281">
            <v>50</v>
          </cell>
          <cell r="Q281">
            <v>21</v>
          </cell>
          <cell r="R281">
            <v>100</v>
          </cell>
          <cell r="S281">
            <v>60</v>
          </cell>
          <cell r="T281">
            <v>36</v>
          </cell>
          <cell r="W281">
            <v>20</v>
          </cell>
          <cell r="Y281">
            <v>3.5</v>
          </cell>
          <cell r="Z281">
            <v>230</v>
          </cell>
          <cell r="AA281">
            <v>306</v>
          </cell>
          <cell r="AB281">
            <v>60</v>
          </cell>
          <cell r="AD281">
            <v>180</v>
          </cell>
          <cell r="AE281">
            <v>1.1000000000000001</v>
          </cell>
          <cell r="AF281">
            <v>275</v>
          </cell>
          <cell r="AG281">
            <v>18</v>
          </cell>
          <cell r="AI281">
            <v>47</v>
          </cell>
          <cell r="AN281">
            <v>0.75</v>
          </cell>
          <cell r="AO281">
            <v>19</v>
          </cell>
          <cell r="AP281">
            <v>19</v>
          </cell>
          <cell r="AQ281">
            <v>5</v>
          </cell>
          <cell r="AR281">
            <v>120</v>
          </cell>
          <cell r="AS281">
            <v>120</v>
          </cell>
          <cell r="AT281">
            <v>55</v>
          </cell>
          <cell r="BF281">
            <v>711.20269385492838</v>
          </cell>
        </row>
        <row r="282">
          <cell r="B282">
            <v>690</v>
          </cell>
          <cell r="C282">
            <v>47</v>
          </cell>
          <cell r="D282">
            <v>3</v>
          </cell>
          <cell r="E282">
            <v>85</v>
          </cell>
          <cell r="F282">
            <v>340</v>
          </cell>
          <cell r="G282">
            <v>37.5</v>
          </cell>
          <cell r="H282">
            <v>190</v>
          </cell>
          <cell r="J282">
            <v>153.30000000000001</v>
          </cell>
          <cell r="K282">
            <v>125</v>
          </cell>
          <cell r="L282">
            <v>125</v>
          </cell>
          <cell r="M282">
            <v>730</v>
          </cell>
          <cell r="N282">
            <v>180</v>
          </cell>
          <cell r="O282">
            <v>375</v>
          </cell>
          <cell r="P282">
            <v>50</v>
          </cell>
          <cell r="Q282">
            <v>21</v>
          </cell>
          <cell r="R282">
            <v>100</v>
          </cell>
          <cell r="S282">
            <v>60</v>
          </cell>
          <cell r="T282">
            <v>36</v>
          </cell>
          <cell r="W282">
            <v>20</v>
          </cell>
          <cell r="Y282">
            <v>3.5</v>
          </cell>
          <cell r="Z282">
            <v>230</v>
          </cell>
          <cell r="AA282">
            <v>306</v>
          </cell>
          <cell r="AB282">
            <v>60</v>
          </cell>
          <cell r="AD282">
            <v>180</v>
          </cell>
          <cell r="AE282">
            <v>1.1000000000000001</v>
          </cell>
          <cell r="AF282">
            <v>275</v>
          </cell>
          <cell r="AG282">
            <v>18</v>
          </cell>
          <cell r="AI282">
            <v>47</v>
          </cell>
          <cell r="AN282">
            <v>0.75</v>
          </cell>
          <cell r="AO282">
            <v>19</v>
          </cell>
          <cell r="AP282">
            <v>19</v>
          </cell>
          <cell r="AQ282">
            <v>5</v>
          </cell>
          <cell r="AR282">
            <v>120</v>
          </cell>
          <cell r="AS282">
            <v>120</v>
          </cell>
          <cell r="AT282">
            <v>55</v>
          </cell>
          <cell r="BF282">
            <v>690.50568539416008</v>
          </cell>
        </row>
        <row r="283">
          <cell r="B283">
            <v>690</v>
          </cell>
          <cell r="C283">
            <v>47</v>
          </cell>
          <cell r="D283">
            <v>3</v>
          </cell>
          <cell r="E283">
            <v>85</v>
          </cell>
          <cell r="F283">
            <v>340</v>
          </cell>
          <cell r="G283">
            <v>37.5</v>
          </cell>
          <cell r="H283">
            <v>190</v>
          </cell>
          <cell r="J283">
            <v>153.30000000000001</v>
          </cell>
          <cell r="K283">
            <v>125</v>
          </cell>
          <cell r="L283">
            <v>125</v>
          </cell>
          <cell r="M283">
            <v>730</v>
          </cell>
          <cell r="N283">
            <v>180</v>
          </cell>
          <cell r="O283">
            <v>375</v>
          </cell>
          <cell r="P283">
            <v>50</v>
          </cell>
          <cell r="Q283">
            <v>21</v>
          </cell>
          <cell r="R283">
            <v>100</v>
          </cell>
          <cell r="S283">
            <v>60</v>
          </cell>
          <cell r="T283">
            <v>36</v>
          </cell>
          <cell r="W283">
            <v>20</v>
          </cell>
          <cell r="Y283">
            <v>3.5</v>
          </cell>
          <cell r="Z283">
            <v>230</v>
          </cell>
          <cell r="AA283">
            <v>306</v>
          </cell>
          <cell r="AB283">
            <v>60</v>
          </cell>
          <cell r="AD283">
            <v>180</v>
          </cell>
          <cell r="AE283">
            <v>1.1000000000000001</v>
          </cell>
          <cell r="AF283">
            <v>275</v>
          </cell>
          <cell r="AG283">
            <v>18</v>
          </cell>
          <cell r="AI283">
            <v>47</v>
          </cell>
          <cell r="AN283">
            <v>0.75</v>
          </cell>
          <cell r="AO283">
            <v>19</v>
          </cell>
          <cell r="AP283">
            <v>19</v>
          </cell>
          <cell r="AQ283">
            <v>5</v>
          </cell>
          <cell r="AR283">
            <v>120</v>
          </cell>
          <cell r="AS283">
            <v>120</v>
          </cell>
          <cell r="AT283">
            <v>55</v>
          </cell>
          <cell r="BF283">
            <v>716.860713580641</v>
          </cell>
        </row>
        <row r="284">
          <cell r="B284">
            <v>690</v>
          </cell>
          <cell r="C284">
            <v>47</v>
          </cell>
          <cell r="D284">
            <v>3</v>
          </cell>
          <cell r="E284">
            <v>85</v>
          </cell>
          <cell r="F284">
            <v>340</v>
          </cell>
          <cell r="G284">
            <v>37.5</v>
          </cell>
          <cell r="H284">
            <v>190</v>
          </cell>
          <cell r="J284">
            <v>153.30000000000001</v>
          </cell>
          <cell r="K284">
            <v>125</v>
          </cell>
          <cell r="L284">
            <v>125</v>
          </cell>
          <cell r="M284">
            <v>730</v>
          </cell>
          <cell r="N284">
            <v>180</v>
          </cell>
          <cell r="O284">
            <v>375</v>
          </cell>
          <cell r="P284">
            <v>50</v>
          </cell>
          <cell r="Q284">
            <v>21</v>
          </cell>
          <cell r="R284">
            <v>100</v>
          </cell>
          <cell r="S284">
            <v>60</v>
          </cell>
          <cell r="T284">
            <v>36</v>
          </cell>
          <cell r="W284">
            <v>20</v>
          </cell>
          <cell r="Y284">
            <v>3.5</v>
          </cell>
          <cell r="Z284">
            <v>230</v>
          </cell>
          <cell r="AA284">
            <v>306</v>
          </cell>
          <cell r="AB284">
            <v>60</v>
          </cell>
          <cell r="AD284">
            <v>180</v>
          </cell>
          <cell r="AE284">
            <v>1.1000000000000001</v>
          </cell>
          <cell r="AF284">
            <v>275</v>
          </cell>
          <cell r="AG284">
            <v>18</v>
          </cell>
          <cell r="AI284">
            <v>47</v>
          </cell>
          <cell r="AN284">
            <v>0.75</v>
          </cell>
          <cell r="AO284">
            <v>19</v>
          </cell>
          <cell r="AP284">
            <v>19</v>
          </cell>
          <cell r="AQ284">
            <v>5</v>
          </cell>
          <cell r="AR284">
            <v>120</v>
          </cell>
          <cell r="AS284">
            <v>120</v>
          </cell>
          <cell r="AT284">
            <v>55</v>
          </cell>
          <cell r="BF284">
            <v>757.48026877663096</v>
          </cell>
        </row>
        <row r="285">
          <cell r="B285">
            <v>690</v>
          </cell>
          <cell r="C285">
            <v>47</v>
          </cell>
          <cell r="D285">
            <v>3</v>
          </cell>
          <cell r="E285">
            <v>85</v>
          </cell>
          <cell r="F285">
            <v>340</v>
          </cell>
          <cell r="G285">
            <v>37.5</v>
          </cell>
          <cell r="H285">
            <v>190</v>
          </cell>
          <cell r="J285">
            <v>153.30000000000001</v>
          </cell>
          <cell r="K285">
            <v>125</v>
          </cell>
          <cell r="L285">
            <v>125</v>
          </cell>
          <cell r="M285">
            <v>730</v>
          </cell>
          <cell r="N285">
            <v>180</v>
          </cell>
          <cell r="O285">
            <v>375</v>
          </cell>
          <cell r="P285">
            <v>50</v>
          </cell>
          <cell r="Q285">
            <v>21</v>
          </cell>
          <cell r="R285">
            <v>100</v>
          </cell>
          <cell r="S285">
            <v>60</v>
          </cell>
          <cell r="T285">
            <v>36</v>
          </cell>
          <cell r="W285">
            <v>20</v>
          </cell>
          <cell r="Y285">
            <v>3.5</v>
          </cell>
          <cell r="Z285">
            <v>230</v>
          </cell>
          <cell r="AA285">
            <v>306</v>
          </cell>
          <cell r="AB285">
            <v>60</v>
          </cell>
          <cell r="AD285">
            <v>180</v>
          </cell>
          <cell r="AE285">
            <v>1.1000000000000001</v>
          </cell>
          <cell r="AF285">
            <v>275</v>
          </cell>
          <cell r="AG285">
            <v>18</v>
          </cell>
          <cell r="AI285">
            <v>47</v>
          </cell>
          <cell r="AN285">
            <v>0.75</v>
          </cell>
          <cell r="AO285">
            <v>19</v>
          </cell>
          <cell r="AP285">
            <v>19</v>
          </cell>
          <cell r="AQ285">
            <v>5</v>
          </cell>
          <cell r="AR285">
            <v>120</v>
          </cell>
          <cell r="AS285">
            <v>120</v>
          </cell>
          <cell r="AT285">
            <v>55</v>
          </cell>
          <cell r="BF285">
            <v>859.16077300820314</v>
          </cell>
        </row>
        <row r="286">
          <cell r="B286">
            <v>690</v>
          </cell>
          <cell r="C286">
            <v>47</v>
          </cell>
          <cell r="D286">
            <v>3</v>
          </cell>
          <cell r="E286">
            <v>85</v>
          </cell>
          <cell r="F286">
            <v>340</v>
          </cell>
          <cell r="G286">
            <v>37.5</v>
          </cell>
          <cell r="H286">
            <v>190</v>
          </cell>
          <cell r="J286">
            <v>153.30000000000001</v>
          </cell>
          <cell r="K286">
            <v>125</v>
          </cell>
          <cell r="L286">
            <v>125</v>
          </cell>
          <cell r="M286">
            <v>730</v>
          </cell>
          <cell r="N286">
            <v>180</v>
          </cell>
          <cell r="O286">
            <v>375</v>
          </cell>
          <cell r="P286">
            <v>50</v>
          </cell>
          <cell r="Q286">
            <v>21</v>
          </cell>
          <cell r="R286">
            <v>100</v>
          </cell>
          <cell r="S286">
            <v>60</v>
          </cell>
          <cell r="T286">
            <v>36</v>
          </cell>
          <cell r="W286">
            <v>20</v>
          </cell>
          <cell r="Y286">
            <v>3.5</v>
          </cell>
          <cell r="Z286">
            <v>230</v>
          </cell>
          <cell r="AA286">
            <v>306</v>
          </cell>
          <cell r="AB286">
            <v>60</v>
          </cell>
          <cell r="AD286">
            <v>180</v>
          </cell>
          <cell r="AE286">
            <v>1.1000000000000001</v>
          </cell>
          <cell r="AF286">
            <v>275</v>
          </cell>
          <cell r="AG286">
            <v>18</v>
          </cell>
          <cell r="AI286">
            <v>47</v>
          </cell>
          <cell r="AN286">
            <v>0.75</v>
          </cell>
          <cell r="AO286">
            <v>19</v>
          </cell>
          <cell r="AP286">
            <v>19</v>
          </cell>
          <cell r="AQ286">
            <v>5</v>
          </cell>
          <cell r="AR286">
            <v>120</v>
          </cell>
          <cell r="AS286">
            <v>120</v>
          </cell>
          <cell r="AT286">
            <v>55</v>
          </cell>
          <cell r="BF286">
            <v>877.93272242917374</v>
          </cell>
        </row>
        <row r="287">
          <cell r="B287">
            <v>690</v>
          </cell>
          <cell r="C287">
            <v>47</v>
          </cell>
          <cell r="D287">
            <v>3</v>
          </cell>
          <cell r="E287">
            <v>85</v>
          </cell>
          <cell r="F287">
            <v>340</v>
          </cell>
          <cell r="G287">
            <v>37.5</v>
          </cell>
          <cell r="H287">
            <v>190</v>
          </cell>
          <cell r="J287">
            <v>153.30000000000001</v>
          </cell>
          <cell r="K287">
            <v>125</v>
          </cell>
          <cell r="L287">
            <v>125</v>
          </cell>
          <cell r="M287">
            <v>730</v>
          </cell>
          <cell r="N287">
            <v>180</v>
          </cell>
          <cell r="O287">
            <v>375</v>
          </cell>
          <cell r="P287">
            <v>50</v>
          </cell>
          <cell r="Q287">
            <v>21</v>
          </cell>
          <cell r="R287">
            <v>100</v>
          </cell>
          <cell r="S287">
            <v>60</v>
          </cell>
          <cell r="T287">
            <v>36</v>
          </cell>
          <cell r="W287">
            <v>20</v>
          </cell>
          <cell r="Y287">
            <v>3.5</v>
          </cell>
          <cell r="Z287">
            <v>230</v>
          </cell>
          <cell r="AA287">
            <v>306</v>
          </cell>
          <cell r="AB287">
            <v>60</v>
          </cell>
          <cell r="AD287">
            <v>180</v>
          </cell>
          <cell r="AE287">
            <v>1.1000000000000001</v>
          </cell>
          <cell r="AF287">
            <v>275</v>
          </cell>
          <cell r="AG287">
            <v>18</v>
          </cell>
          <cell r="AI287">
            <v>47</v>
          </cell>
          <cell r="AN287">
            <v>0.75</v>
          </cell>
          <cell r="AO287">
            <v>19</v>
          </cell>
          <cell r="AP287">
            <v>19</v>
          </cell>
          <cell r="AQ287">
            <v>5</v>
          </cell>
          <cell r="AR287">
            <v>120</v>
          </cell>
          <cell r="AS287">
            <v>120</v>
          </cell>
          <cell r="AT287">
            <v>55</v>
          </cell>
          <cell r="BF287">
            <v>882.57411040928423</v>
          </cell>
        </row>
        <row r="288">
          <cell r="B288">
            <v>690</v>
          </cell>
          <cell r="C288">
            <v>47</v>
          </cell>
          <cell r="D288">
            <v>3</v>
          </cell>
          <cell r="E288">
            <v>85</v>
          </cell>
          <cell r="F288">
            <v>340</v>
          </cell>
          <cell r="G288">
            <v>37.5</v>
          </cell>
          <cell r="H288">
            <v>190</v>
          </cell>
          <cell r="J288">
            <v>153.30000000000001</v>
          </cell>
          <cell r="K288">
            <v>125</v>
          </cell>
          <cell r="L288">
            <v>125</v>
          </cell>
          <cell r="M288">
            <v>730</v>
          </cell>
          <cell r="N288">
            <v>180</v>
          </cell>
          <cell r="O288">
            <v>375</v>
          </cell>
          <cell r="P288">
            <v>50</v>
          </cell>
          <cell r="Q288">
            <v>21</v>
          </cell>
          <cell r="R288">
            <v>100</v>
          </cell>
          <cell r="S288">
            <v>60</v>
          </cell>
          <cell r="T288">
            <v>36</v>
          </cell>
          <cell r="W288">
            <v>20</v>
          </cell>
          <cell r="Y288">
            <v>3.5</v>
          </cell>
          <cell r="Z288">
            <v>230</v>
          </cell>
          <cell r="AA288">
            <v>306</v>
          </cell>
          <cell r="AB288">
            <v>60</v>
          </cell>
          <cell r="AD288">
            <v>180</v>
          </cell>
          <cell r="AE288">
            <v>1.1000000000000001</v>
          </cell>
          <cell r="AF288">
            <v>275</v>
          </cell>
          <cell r="AG288">
            <v>18</v>
          </cell>
          <cell r="AI288">
            <v>47</v>
          </cell>
          <cell r="AN288">
            <v>0.75</v>
          </cell>
          <cell r="AO288">
            <v>19</v>
          </cell>
          <cell r="AP288">
            <v>19</v>
          </cell>
          <cell r="AQ288">
            <v>5</v>
          </cell>
          <cell r="AR288">
            <v>120</v>
          </cell>
          <cell r="AS288">
            <v>120</v>
          </cell>
          <cell r="AT288">
            <v>55</v>
          </cell>
          <cell r="BF288">
            <v>893.9389349687815</v>
          </cell>
        </row>
        <row r="289">
          <cell r="B289">
            <v>690</v>
          </cell>
          <cell r="C289">
            <v>47</v>
          </cell>
          <cell r="D289">
            <v>3</v>
          </cell>
          <cell r="E289">
            <v>85</v>
          </cell>
          <cell r="F289">
            <v>340</v>
          </cell>
          <cell r="G289">
            <v>37.5</v>
          </cell>
          <cell r="H289">
            <v>190</v>
          </cell>
          <cell r="J289">
            <v>153.30000000000001</v>
          </cell>
          <cell r="K289">
            <v>125</v>
          </cell>
          <cell r="L289">
            <v>125</v>
          </cell>
          <cell r="M289">
            <v>730</v>
          </cell>
          <cell r="N289">
            <v>180</v>
          </cell>
          <cell r="O289">
            <v>375</v>
          </cell>
          <cell r="P289">
            <v>50</v>
          </cell>
          <cell r="Q289">
            <v>21</v>
          </cell>
          <cell r="R289">
            <v>100</v>
          </cell>
          <cell r="S289">
            <v>60</v>
          </cell>
          <cell r="T289">
            <v>36</v>
          </cell>
          <cell r="W289">
            <v>20</v>
          </cell>
          <cell r="Y289">
            <v>3.5</v>
          </cell>
          <cell r="Z289">
            <v>230</v>
          </cell>
          <cell r="AA289">
            <v>306</v>
          </cell>
          <cell r="AB289">
            <v>60</v>
          </cell>
          <cell r="AD289">
            <v>180</v>
          </cell>
          <cell r="AE289">
            <v>1.1000000000000001</v>
          </cell>
          <cell r="AF289">
            <v>275</v>
          </cell>
          <cell r="AG289">
            <v>18</v>
          </cell>
          <cell r="AI289">
            <v>47</v>
          </cell>
          <cell r="AN289">
            <v>0.75</v>
          </cell>
          <cell r="AO289">
            <v>19</v>
          </cell>
          <cell r="AP289">
            <v>19</v>
          </cell>
          <cell r="AQ289">
            <v>5</v>
          </cell>
          <cell r="AR289">
            <v>120</v>
          </cell>
          <cell r="AS289">
            <v>120</v>
          </cell>
          <cell r="AT289">
            <v>55</v>
          </cell>
          <cell r="BF289">
            <v>511.91754592879295</v>
          </cell>
        </row>
        <row r="290">
          <cell r="B290">
            <v>690</v>
          </cell>
          <cell r="C290">
            <v>47</v>
          </cell>
          <cell r="D290">
            <v>3</v>
          </cell>
          <cell r="E290">
            <v>85</v>
          </cell>
          <cell r="F290">
            <v>340</v>
          </cell>
          <cell r="G290">
            <v>37.5</v>
          </cell>
          <cell r="H290">
            <v>190</v>
          </cell>
          <cell r="J290">
            <v>153.30000000000001</v>
          </cell>
          <cell r="K290">
            <v>125</v>
          </cell>
          <cell r="L290">
            <v>125</v>
          </cell>
          <cell r="M290">
            <v>730</v>
          </cell>
          <cell r="N290">
            <v>180</v>
          </cell>
          <cell r="O290">
            <v>375</v>
          </cell>
          <cell r="P290">
            <v>50</v>
          </cell>
          <cell r="Q290">
            <v>21</v>
          </cell>
          <cell r="R290">
            <v>100</v>
          </cell>
          <cell r="S290">
            <v>60</v>
          </cell>
          <cell r="T290">
            <v>36</v>
          </cell>
          <cell r="W290">
            <v>20</v>
          </cell>
          <cell r="Y290">
            <v>3.5</v>
          </cell>
          <cell r="Z290">
            <v>230</v>
          </cell>
          <cell r="AA290">
            <v>306</v>
          </cell>
          <cell r="AB290">
            <v>60</v>
          </cell>
          <cell r="AD290">
            <v>180</v>
          </cell>
          <cell r="AE290">
            <v>1.1000000000000001</v>
          </cell>
          <cell r="AF290">
            <v>275</v>
          </cell>
          <cell r="AG290">
            <v>18</v>
          </cell>
          <cell r="AI290">
            <v>47</v>
          </cell>
          <cell r="AN290">
            <v>0.75</v>
          </cell>
          <cell r="AO290">
            <v>19</v>
          </cell>
          <cell r="AP290">
            <v>19</v>
          </cell>
          <cell r="AQ290">
            <v>5</v>
          </cell>
          <cell r="AR290">
            <v>120</v>
          </cell>
          <cell r="AS290">
            <v>120</v>
          </cell>
          <cell r="AT290">
            <v>55</v>
          </cell>
          <cell r="BF290">
            <v>776.32710902149006</v>
          </cell>
        </row>
        <row r="291">
          <cell r="B291">
            <v>690</v>
          </cell>
          <cell r="C291">
            <v>47</v>
          </cell>
          <cell r="D291">
            <v>3</v>
          </cell>
          <cell r="E291">
            <v>85</v>
          </cell>
          <cell r="F291">
            <v>340</v>
          </cell>
          <cell r="G291">
            <v>37.5</v>
          </cell>
          <cell r="H291">
            <v>190</v>
          </cell>
          <cell r="J291">
            <v>153.30000000000001</v>
          </cell>
          <cell r="K291">
            <v>125</v>
          </cell>
          <cell r="L291">
            <v>125</v>
          </cell>
          <cell r="M291">
            <v>730</v>
          </cell>
          <cell r="N291">
            <v>180</v>
          </cell>
          <cell r="O291">
            <v>375</v>
          </cell>
          <cell r="P291">
            <v>50</v>
          </cell>
          <cell r="Q291">
            <v>21</v>
          </cell>
          <cell r="R291">
            <v>100</v>
          </cell>
          <cell r="S291">
            <v>60</v>
          </cell>
          <cell r="T291">
            <v>36</v>
          </cell>
          <cell r="W291">
            <v>20</v>
          </cell>
          <cell r="Y291">
            <v>3.5</v>
          </cell>
          <cell r="Z291">
            <v>230</v>
          </cell>
          <cell r="AA291">
            <v>306</v>
          </cell>
          <cell r="AB291">
            <v>60</v>
          </cell>
          <cell r="AD291">
            <v>180</v>
          </cell>
          <cell r="AE291">
            <v>1.1000000000000001</v>
          </cell>
          <cell r="AF291">
            <v>275</v>
          </cell>
          <cell r="AG291">
            <v>18</v>
          </cell>
          <cell r="AI291">
            <v>47</v>
          </cell>
          <cell r="AN291">
            <v>0.75</v>
          </cell>
          <cell r="AO291">
            <v>19</v>
          </cell>
          <cell r="AP291">
            <v>19</v>
          </cell>
          <cell r="AQ291">
            <v>5</v>
          </cell>
          <cell r="AR291">
            <v>120</v>
          </cell>
          <cell r="AS291">
            <v>120</v>
          </cell>
          <cell r="AT291">
            <v>55</v>
          </cell>
          <cell r="BF291">
            <v>486.9018135221404</v>
          </cell>
        </row>
        <row r="292">
          <cell r="B292">
            <v>690</v>
          </cell>
          <cell r="C292">
            <v>47</v>
          </cell>
          <cell r="D292">
            <v>3</v>
          </cell>
          <cell r="E292">
            <v>85</v>
          </cell>
          <cell r="F292">
            <v>340</v>
          </cell>
          <cell r="G292">
            <v>37.5</v>
          </cell>
          <cell r="H292">
            <v>190</v>
          </cell>
          <cell r="J292">
            <v>153.30000000000001</v>
          </cell>
          <cell r="K292">
            <v>125</v>
          </cell>
          <cell r="L292">
            <v>125</v>
          </cell>
          <cell r="M292">
            <v>730</v>
          </cell>
          <cell r="N292">
            <v>180</v>
          </cell>
          <cell r="O292">
            <v>375</v>
          </cell>
          <cell r="P292">
            <v>50</v>
          </cell>
          <cell r="Q292">
            <v>21</v>
          </cell>
          <cell r="R292">
            <v>100</v>
          </cell>
          <cell r="S292">
            <v>60</v>
          </cell>
          <cell r="T292">
            <v>36</v>
          </cell>
          <cell r="W292">
            <v>20</v>
          </cell>
          <cell r="Y292">
            <v>3.5</v>
          </cell>
          <cell r="Z292">
            <v>230</v>
          </cell>
          <cell r="AA292">
            <v>306</v>
          </cell>
          <cell r="AB292">
            <v>60</v>
          </cell>
          <cell r="AD292">
            <v>180</v>
          </cell>
          <cell r="AE292">
            <v>1.1000000000000001</v>
          </cell>
          <cell r="AF292">
            <v>275</v>
          </cell>
          <cell r="AG292">
            <v>18</v>
          </cell>
          <cell r="AI292">
            <v>47</v>
          </cell>
          <cell r="AN292">
            <v>0.75</v>
          </cell>
          <cell r="AO292">
            <v>19</v>
          </cell>
          <cell r="AP292">
            <v>19</v>
          </cell>
          <cell r="AQ292">
            <v>5</v>
          </cell>
          <cell r="AR292">
            <v>120</v>
          </cell>
          <cell r="AS292">
            <v>120</v>
          </cell>
          <cell r="AT292">
            <v>55</v>
          </cell>
          <cell r="BF292">
            <v>600.7802913490043</v>
          </cell>
        </row>
        <row r="293">
          <cell r="B293">
            <v>690</v>
          </cell>
          <cell r="C293">
            <v>47</v>
          </cell>
          <cell r="D293">
            <v>3</v>
          </cell>
          <cell r="E293">
            <v>85</v>
          </cell>
          <cell r="F293">
            <v>340</v>
          </cell>
          <cell r="G293">
            <v>37.5</v>
          </cell>
          <cell r="H293">
            <v>190</v>
          </cell>
          <cell r="J293">
            <v>153.30000000000001</v>
          </cell>
          <cell r="K293">
            <v>125</v>
          </cell>
          <cell r="L293">
            <v>125</v>
          </cell>
          <cell r="M293">
            <v>730</v>
          </cell>
          <cell r="N293">
            <v>180</v>
          </cell>
          <cell r="O293">
            <v>375</v>
          </cell>
          <cell r="P293">
            <v>50</v>
          </cell>
          <cell r="Q293">
            <v>21</v>
          </cell>
          <cell r="R293">
            <v>100</v>
          </cell>
          <cell r="S293">
            <v>60</v>
          </cell>
          <cell r="T293">
            <v>36</v>
          </cell>
          <cell r="W293">
            <v>20</v>
          </cell>
          <cell r="Y293">
            <v>3.5</v>
          </cell>
          <cell r="Z293">
            <v>230</v>
          </cell>
          <cell r="AA293">
            <v>306</v>
          </cell>
          <cell r="AB293">
            <v>60</v>
          </cell>
          <cell r="AD293">
            <v>180</v>
          </cell>
          <cell r="AE293">
            <v>1.1000000000000001</v>
          </cell>
          <cell r="AF293">
            <v>275</v>
          </cell>
          <cell r="AG293">
            <v>18</v>
          </cell>
          <cell r="AI293">
            <v>47</v>
          </cell>
          <cell r="AN293">
            <v>0.75</v>
          </cell>
          <cell r="AO293">
            <v>19</v>
          </cell>
          <cell r="AP293">
            <v>19</v>
          </cell>
          <cell r="AQ293">
            <v>5</v>
          </cell>
          <cell r="AR293">
            <v>120</v>
          </cell>
          <cell r="AS293">
            <v>120</v>
          </cell>
          <cell r="AT293">
            <v>55</v>
          </cell>
          <cell r="BF293">
            <v>735.63847363578782</v>
          </cell>
        </row>
        <row r="294">
          <cell r="B294">
            <v>690</v>
          </cell>
          <cell r="C294">
            <v>47</v>
          </cell>
          <cell r="D294">
            <v>3</v>
          </cell>
          <cell r="E294">
            <v>85</v>
          </cell>
          <cell r="F294">
            <v>340</v>
          </cell>
          <cell r="G294">
            <v>37.5</v>
          </cell>
          <cell r="H294">
            <v>190</v>
          </cell>
          <cell r="J294">
            <v>153.30000000000001</v>
          </cell>
          <cell r="K294">
            <v>125</v>
          </cell>
          <cell r="L294">
            <v>125</v>
          </cell>
          <cell r="M294">
            <v>730</v>
          </cell>
          <cell r="N294">
            <v>180</v>
          </cell>
          <cell r="O294">
            <v>375</v>
          </cell>
          <cell r="P294">
            <v>50</v>
          </cell>
          <cell r="Q294">
            <v>21</v>
          </cell>
          <cell r="R294">
            <v>100</v>
          </cell>
          <cell r="S294">
            <v>60</v>
          </cell>
          <cell r="T294">
            <v>36</v>
          </cell>
          <cell r="W294">
            <v>20</v>
          </cell>
          <cell r="Y294">
            <v>3.5</v>
          </cell>
          <cell r="Z294">
            <v>230</v>
          </cell>
          <cell r="AA294">
            <v>306</v>
          </cell>
          <cell r="AB294">
            <v>60</v>
          </cell>
          <cell r="AD294">
            <v>180</v>
          </cell>
          <cell r="AE294">
            <v>1.1000000000000001</v>
          </cell>
          <cell r="AF294">
            <v>275</v>
          </cell>
          <cell r="AG294">
            <v>18</v>
          </cell>
          <cell r="AI294">
            <v>47</v>
          </cell>
          <cell r="AN294">
            <v>0.75</v>
          </cell>
          <cell r="AO294">
            <v>19</v>
          </cell>
          <cell r="AP294">
            <v>19</v>
          </cell>
          <cell r="AQ294">
            <v>5</v>
          </cell>
          <cell r="AR294">
            <v>120</v>
          </cell>
          <cell r="AS294">
            <v>120</v>
          </cell>
          <cell r="AT294">
            <v>55</v>
          </cell>
          <cell r="BF294">
            <v>713.49558284843874</v>
          </cell>
        </row>
        <row r="295">
          <cell r="B295">
            <v>690</v>
          </cell>
          <cell r="C295">
            <v>47</v>
          </cell>
          <cell r="D295">
            <v>3</v>
          </cell>
          <cell r="E295">
            <v>85</v>
          </cell>
          <cell r="F295">
            <v>340</v>
          </cell>
          <cell r="G295">
            <v>37.5</v>
          </cell>
          <cell r="H295">
            <v>190</v>
          </cell>
          <cell r="J295">
            <v>153.30000000000001</v>
          </cell>
          <cell r="K295">
            <v>125</v>
          </cell>
          <cell r="L295">
            <v>125</v>
          </cell>
          <cell r="M295">
            <v>730</v>
          </cell>
          <cell r="N295">
            <v>180</v>
          </cell>
          <cell r="O295">
            <v>375</v>
          </cell>
          <cell r="P295">
            <v>50</v>
          </cell>
          <cell r="Q295">
            <v>21</v>
          </cell>
          <cell r="R295">
            <v>100</v>
          </cell>
          <cell r="S295">
            <v>60</v>
          </cell>
          <cell r="T295">
            <v>36</v>
          </cell>
          <cell r="W295">
            <v>20</v>
          </cell>
          <cell r="Y295">
            <v>3.5</v>
          </cell>
          <cell r="Z295">
            <v>230</v>
          </cell>
          <cell r="AA295">
            <v>306</v>
          </cell>
          <cell r="AB295">
            <v>60</v>
          </cell>
          <cell r="AD295">
            <v>180</v>
          </cell>
          <cell r="AE295">
            <v>1.1000000000000001</v>
          </cell>
          <cell r="AF295">
            <v>275</v>
          </cell>
          <cell r="AG295">
            <v>18</v>
          </cell>
          <cell r="AI295">
            <v>47</v>
          </cell>
          <cell r="AN295">
            <v>0.75</v>
          </cell>
          <cell r="AO295">
            <v>19</v>
          </cell>
          <cell r="AP295">
            <v>19</v>
          </cell>
          <cell r="AQ295">
            <v>5</v>
          </cell>
          <cell r="AR295">
            <v>120</v>
          </cell>
          <cell r="AS295">
            <v>120</v>
          </cell>
          <cell r="AT295">
            <v>55</v>
          </cell>
          <cell r="BF295">
            <v>742.85815728132411</v>
          </cell>
        </row>
        <row r="296">
          <cell r="B296">
            <v>690</v>
          </cell>
          <cell r="C296">
            <v>47</v>
          </cell>
          <cell r="D296">
            <v>3</v>
          </cell>
          <cell r="E296">
            <v>85</v>
          </cell>
          <cell r="F296">
            <v>340</v>
          </cell>
          <cell r="G296">
            <v>37.5</v>
          </cell>
          <cell r="H296">
            <v>190</v>
          </cell>
          <cell r="J296">
            <v>153.30000000000001</v>
          </cell>
          <cell r="K296">
            <v>125</v>
          </cell>
          <cell r="L296">
            <v>125</v>
          </cell>
          <cell r="M296">
            <v>730</v>
          </cell>
          <cell r="N296">
            <v>180</v>
          </cell>
          <cell r="O296">
            <v>375</v>
          </cell>
          <cell r="P296">
            <v>50</v>
          </cell>
          <cell r="Q296">
            <v>21</v>
          </cell>
          <cell r="R296">
            <v>100</v>
          </cell>
          <cell r="S296">
            <v>60</v>
          </cell>
          <cell r="T296">
            <v>36</v>
          </cell>
          <cell r="W296">
            <v>20</v>
          </cell>
          <cell r="Y296">
            <v>3.5</v>
          </cell>
          <cell r="Z296">
            <v>230</v>
          </cell>
          <cell r="AA296">
            <v>306</v>
          </cell>
          <cell r="AB296">
            <v>60</v>
          </cell>
          <cell r="AD296">
            <v>180</v>
          </cell>
          <cell r="AE296">
            <v>1.1000000000000001</v>
          </cell>
          <cell r="AF296">
            <v>275</v>
          </cell>
          <cell r="AG296">
            <v>18</v>
          </cell>
          <cell r="AI296">
            <v>47</v>
          </cell>
          <cell r="AN296">
            <v>0.75</v>
          </cell>
          <cell r="AO296">
            <v>19</v>
          </cell>
          <cell r="AP296">
            <v>19</v>
          </cell>
          <cell r="AQ296">
            <v>5</v>
          </cell>
          <cell r="AR296">
            <v>120</v>
          </cell>
          <cell r="AS296">
            <v>120</v>
          </cell>
          <cell r="AT296">
            <v>55</v>
          </cell>
          <cell r="BF296">
            <v>786.45409237124431</v>
          </cell>
        </row>
        <row r="297">
          <cell r="B297">
            <v>690</v>
          </cell>
          <cell r="C297">
            <v>47</v>
          </cell>
          <cell r="D297">
            <v>3</v>
          </cell>
          <cell r="E297">
            <v>85</v>
          </cell>
          <cell r="F297">
            <v>340</v>
          </cell>
          <cell r="G297">
            <v>37.5</v>
          </cell>
          <cell r="H297">
            <v>190</v>
          </cell>
          <cell r="J297">
            <v>153.30000000000001</v>
          </cell>
          <cell r="K297">
            <v>125</v>
          </cell>
          <cell r="L297">
            <v>125</v>
          </cell>
          <cell r="M297">
            <v>730</v>
          </cell>
          <cell r="N297">
            <v>180</v>
          </cell>
          <cell r="O297">
            <v>375</v>
          </cell>
          <cell r="P297">
            <v>50</v>
          </cell>
          <cell r="Q297">
            <v>21</v>
          </cell>
          <cell r="R297">
            <v>100</v>
          </cell>
          <cell r="S297">
            <v>60</v>
          </cell>
          <cell r="T297">
            <v>36</v>
          </cell>
          <cell r="W297">
            <v>20</v>
          </cell>
          <cell r="Y297">
            <v>3.5</v>
          </cell>
          <cell r="Z297">
            <v>230</v>
          </cell>
          <cell r="AA297">
            <v>306</v>
          </cell>
          <cell r="AB297">
            <v>60</v>
          </cell>
          <cell r="AD297">
            <v>180</v>
          </cell>
          <cell r="AE297">
            <v>1.1000000000000001</v>
          </cell>
          <cell r="AF297">
            <v>275</v>
          </cell>
          <cell r="AG297">
            <v>18</v>
          </cell>
          <cell r="AI297">
            <v>47</v>
          </cell>
          <cell r="AN297">
            <v>0.75</v>
          </cell>
          <cell r="AO297">
            <v>19</v>
          </cell>
          <cell r="AP297">
            <v>19</v>
          </cell>
          <cell r="AQ297">
            <v>5</v>
          </cell>
          <cell r="AR297">
            <v>120</v>
          </cell>
          <cell r="AS297">
            <v>120</v>
          </cell>
          <cell r="AT297">
            <v>55</v>
          </cell>
          <cell r="BF297">
            <v>896.29559845264339</v>
          </cell>
        </row>
        <row r="298">
          <cell r="B298">
            <v>690</v>
          </cell>
          <cell r="C298">
            <v>47</v>
          </cell>
          <cell r="D298">
            <v>3</v>
          </cell>
          <cell r="E298">
            <v>85</v>
          </cell>
          <cell r="F298">
            <v>340</v>
          </cell>
          <cell r="G298">
            <v>37.5</v>
          </cell>
          <cell r="H298">
            <v>190</v>
          </cell>
          <cell r="J298">
            <v>153.30000000000001</v>
          </cell>
          <cell r="K298">
            <v>125</v>
          </cell>
          <cell r="L298">
            <v>125</v>
          </cell>
          <cell r="M298">
            <v>730</v>
          </cell>
          <cell r="N298">
            <v>180</v>
          </cell>
          <cell r="O298">
            <v>375</v>
          </cell>
          <cell r="P298">
            <v>50</v>
          </cell>
          <cell r="Q298">
            <v>21</v>
          </cell>
          <cell r="R298">
            <v>100</v>
          </cell>
          <cell r="S298">
            <v>60</v>
          </cell>
          <cell r="T298">
            <v>36</v>
          </cell>
          <cell r="W298">
            <v>20</v>
          </cell>
          <cell r="Y298">
            <v>3.5</v>
          </cell>
          <cell r="Z298">
            <v>230</v>
          </cell>
          <cell r="AA298">
            <v>306</v>
          </cell>
          <cell r="AB298">
            <v>60</v>
          </cell>
          <cell r="AD298">
            <v>180</v>
          </cell>
          <cell r="AE298">
            <v>1.1000000000000001</v>
          </cell>
          <cell r="AF298">
            <v>275</v>
          </cell>
          <cell r="AG298">
            <v>18</v>
          </cell>
          <cell r="AI298">
            <v>47</v>
          </cell>
          <cell r="AN298">
            <v>0.75</v>
          </cell>
          <cell r="AO298">
            <v>19</v>
          </cell>
          <cell r="AP298">
            <v>19</v>
          </cell>
          <cell r="AQ298">
            <v>5</v>
          </cell>
          <cell r="AR298">
            <v>120</v>
          </cell>
          <cell r="AS298">
            <v>120</v>
          </cell>
          <cell r="AT298">
            <v>55</v>
          </cell>
          <cell r="BF298">
            <v>913.09026035287957</v>
          </cell>
        </row>
        <row r="299">
          <cell r="B299">
            <v>690</v>
          </cell>
          <cell r="C299">
            <v>47</v>
          </cell>
          <cell r="D299">
            <v>3</v>
          </cell>
          <cell r="E299">
            <v>85</v>
          </cell>
          <cell r="F299">
            <v>340</v>
          </cell>
          <cell r="G299">
            <v>37.5</v>
          </cell>
          <cell r="H299">
            <v>190</v>
          </cell>
          <cell r="J299">
            <v>153.30000000000001</v>
          </cell>
          <cell r="K299">
            <v>125</v>
          </cell>
          <cell r="L299">
            <v>125</v>
          </cell>
          <cell r="M299">
            <v>730</v>
          </cell>
          <cell r="N299">
            <v>180</v>
          </cell>
          <cell r="O299">
            <v>375</v>
          </cell>
          <cell r="P299">
            <v>50</v>
          </cell>
          <cell r="Q299">
            <v>21</v>
          </cell>
          <cell r="R299">
            <v>100</v>
          </cell>
          <cell r="S299">
            <v>60</v>
          </cell>
          <cell r="T299">
            <v>36</v>
          </cell>
          <cell r="W299">
            <v>20</v>
          </cell>
          <cell r="Y299">
            <v>3.5</v>
          </cell>
          <cell r="Z299">
            <v>230</v>
          </cell>
          <cell r="AA299">
            <v>306</v>
          </cell>
          <cell r="AB299">
            <v>60</v>
          </cell>
          <cell r="AD299">
            <v>180</v>
          </cell>
          <cell r="AE299">
            <v>1.1000000000000001</v>
          </cell>
          <cell r="AF299">
            <v>275</v>
          </cell>
          <cell r="AG299">
            <v>18</v>
          </cell>
          <cell r="AI299">
            <v>47</v>
          </cell>
          <cell r="AN299">
            <v>0.75</v>
          </cell>
          <cell r="AO299">
            <v>19</v>
          </cell>
          <cell r="AP299">
            <v>19</v>
          </cell>
          <cell r="AQ299">
            <v>5</v>
          </cell>
          <cell r="AR299">
            <v>120</v>
          </cell>
          <cell r="AS299">
            <v>120</v>
          </cell>
          <cell r="AT299">
            <v>55</v>
          </cell>
          <cell r="BF299">
            <v>909.42739640995796</v>
          </cell>
        </row>
        <row r="300">
          <cell r="B300">
            <v>690</v>
          </cell>
          <cell r="C300">
            <v>47</v>
          </cell>
          <cell r="D300">
            <v>3</v>
          </cell>
          <cell r="E300">
            <v>85</v>
          </cell>
          <cell r="F300">
            <v>340</v>
          </cell>
          <cell r="G300">
            <v>37.5</v>
          </cell>
          <cell r="H300">
            <v>190</v>
          </cell>
          <cell r="J300">
            <v>153.30000000000001</v>
          </cell>
          <cell r="K300">
            <v>125</v>
          </cell>
          <cell r="L300">
            <v>125</v>
          </cell>
          <cell r="M300">
            <v>730</v>
          </cell>
          <cell r="N300">
            <v>180</v>
          </cell>
          <cell r="O300">
            <v>375</v>
          </cell>
          <cell r="P300">
            <v>50</v>
          </cell>
          <cell r="Q300">
            <v>21</v>
          </cell>
          <cell r="R300">
            <v>100</v>
          </cell>
          <cell r="S300">
            <v>60</v>
          </cell>
          <cell r="T300">
            <v>36</v>
          </cell>
          <cell r="W300">
            <v>20</v>
          </cell>
          <cell r="Y300">
            <v>3.5</v>
          </cell>
          <cell r="Z300">
            <v>230</v>
          </cell>
          <cell r="AA300">
            <v>306</v>
          </cell>
          <cell r="AB300">
            <v>60</v>
          </cell>
          <cell r="AD300">
            <v>180</v>
          </cell>
          <cell r="AE300">
            <v>1.1000000000000001</v>
          </cell>
          <cell r="AF300">
            <v>275</v>
          </cell>
          <cell r="AG300">
            <v>18</v>
          </cell>
          <cell r="AI300">
            <v>47</v>
          </cell>
          <cell r="AN300">
            <v>0.75</v>
          </cell>
          <cell r="AO300">
            <v>19</v>
          </cell>
          <cell r="AP300">
            <v>19</v>
          </cell>
          <cell r="AQ300">
            <v>5</v>
          </cell>
          <cell r="AR300">
            <v>120</v>
          </cell>
          <cell r="AS300">
            <v>120</v>
          </cell>
          <cell r="AT300">
            <v>55</v>
          </cell>
          <cell r="BF300">
            <v>915.00304874036976</v>
          </cell>
        </row>
        <row r="301">
          <cell r="B301">
            <v>690</v>
          </cell>
          <cell r="C301">
            <v>47</v>
          </cell>
          <cell r="D301">
            <v>3</v>
          </cell>
          <cell r="E301">
            <v>85</v>
          </cell>
          <cell r="F301">
            <v>340</v>
          </cell>
          <cell r="G301">
            <v>37.5</v>
          </cell>
          <cell r="H301">
            <v>190</v>
          </cell>
          <cell r="J301">
            <v>153.30000000000001</v>
          </cell>
          <cell r="K301">
            <v>125</v>
          </cell>
          <cell r="L301">
            <v>125</v>
          </cell>
          <cell r="M301">
            <v>730</v>
          </cell>
          <cell r="N301">
            <v>180</v>
          </cell>
          <cell r="O301">
            <v>375</v>
          </cell>
          <cell r="P301">
            <v>50</v>
          </cell>
          <cell r="Q301">
            <v>21</v>
          </cell>
          <cell r="R301">
            <v>100</v>
          </cell>
          <cell r="S301">
            <v>60</v>
          </cell>
          <cell r="T301">
            <v>36</v>
          </cell>
          <cell r="W301">
            <v>20</v>
          </cell>
          <cell r="Y301">
            <v>3.5</v>
          </cell>
          <cell r="Z301">
            <v>230</v>
          </cell>
          <cell r="AA301">
            <v>306</v>
          </cell>
          <cell r="AB301">
            <v>60</v>
          </cell>
          <cell r="AD301">
            <v>180</v>
          </cell>
          <cell r="AE301">
            <v>1.1000000000000001</v>
          </cell>
          <cell r="AF301">
            <v>275</v>
          </cell>
          <cell r="AG301">
            <v>18</v>
          </cell>
          <cell r="AI301">
            <v>47</v>
          </cell>
          <cell r="AN301">
            <v>0.75</v>
          </cell>
          <cell r="AO301">
            <v>19</v>
          </cell>
          <cell r="AP301">
            <v>19</v>
          </cell>
          <cell r="AQ301">
            <v>5</v>
          </cell>
          <cell r="AR301">
            <v>120</v>
          </cell>
          <cell r="AS301">
            <v>120</v>
          </cell>
          <cell r="AT301">
            <v>55</v>
          </cell>
          <cell r="BF301">
            <v>538.45315215842982</v>
          </cell>
        </row>
        <row r="302">
          <cell r="B302">
            <v>690</v>
          </cell>
          <cell r="C302">
            <v>47</v>
          </cell>
          <cell r="D302">
            <v>3</v>
          </cell>
          <cell r="E302">
            <v>85</v>
          </cell>
          <cell r="F302">
            <v>340</v>
          </cell>
          <cell r="G302">
            <v>37.5</v>
          </cell>
          <cell r="H302">
            <v>190</v>
          </cell>
          <cell r="J302">
            <v>153.30000000000001</v>
          </cell>
          <cell r="K302">
            <v>125</v>
          </cell>
          <cell r="L302">
            <v>125</v>
          </cell>
          <cell r="M302">
            <v>730</v>
          </cell>
          <cell r="N302">
            <v>180</v>
          </cell>
          <cell r="O302">
            <v>375</v>
          </cell>
          <cell r="P302">
            <v>50</v>
          </cell>
          <cell r="Q302">
            <v>21</v>
          </cell>
          <cell r="R302">
            <v>100</v>
          </cell>
          <cell r="S302">
            <v>60</v>
          </cell>
          <cell r="T302">
            <v>36</v>
          </cell>
          <cell r="W302">
            <v>20</v>
          </cell>
          <cell r="Y302">
            <v>3.5</v>
          </cell>
          <cell r="Z302">
            <v>230</v>
          </cell>
          <cell r="AA302">
            <v>306</v>
          </cell>
          <cell r="AB302">
            <v>60</v>
          </cell>
          <cell r="AD302">
            <v>180</v>
          </cell>
          <cell r="AE302">
            <v>1.1000000000000001</v>
          </cell>
          <cell r="AF302">
            <v>275</v>
          </cell>
          <cell r="AG302">
            <v>18</v>
          </cell>
          <cell r="AI302">
            <v>47</v>
          </cell>
          <cell r="AN302">
            <v>0.75</v>
          </cell>
          <cell r="AO302">
            <v>19</v>
          </cell>
          <cell r="AP302">
            <v>19</v>
          </cell>
          <cell r="AQ302">
            <v>5</v>
          </cell>
          <cell r="AR302">
            <v>120</v>
          </cell>
          <cell r="AS302">
            <v>120</v>
          </cell>
          <cell r="AT302">
            <v>55</v>
          </cell>
          <cell r="BF302">
            <v>815.13497833270708</v>
          </cell>
        </row>
        <row r="303">
          <cell r="B303">
            <v>690</v>
          </cell>
          <cell r="C303">
            <v>47</v>
          </cell>
          <cell r="D303">
            <v>3</v>
          </cell>
          <cell r="E303">
            <v>85</v>
          </cell>
          <cell r="F303">
            <v>340</v>
          </cell>
          <cell r="G303">
            <v>37.5</v>
          </cell>
          <cell r="H303">
            <v>190</v>
          </cell>
          <cell r="J303">
            <v>153.30000000000001</v>
          </cell>
          <cell r="K303">
            <v>125</v>
          </cell>
          <cell r="L303">
            <v>125</v>
          </cell>
          <cell r="M303">
            <v>730</v>
          </cell>
          <cell r="N303">
            <v>180</v>
          </cell>
          <cell r="O303">
            <v>375</v>
          </cell>
          <cell r="P303">
            <v>50</v>
          </cell>
          <cell r="Q303">
            <v>21</v>
          </cell>
          <cell r="R303">
            <v>100</v>
          </cell>
          <cell r="S303">
            <v>60</v>
          </cell>
          <cell r="T303">
            <v>36</v>
          </cell>
          <cell r="W303">
            <v>20</v>
          </cell>
          <cell r="Y303">
            <v>3.5</v>
          </cell>
          <cell r="Z303">
            <v>230</v>
          </cell>
          <cell r="AA303">
            <v>306</v>
          </cell>
          <cell r="AB303">
            <v>60</v>
          </cell>
          <cell r="AD303">
            <v>180</v>
          </cell>
          <cell r="AE303">
            <v>1.1000000000000001</v>
          </cell>
          <cell r="AF303">
            <v>275</v>
          </cell>
          <cell r="AG303">
            <v>18</v>
          </cell>
          <cell r="AI303">
            <v>47</v>
          </cell>
          <cell r="AN303">
            <v>0.75</v>
          </cell>
          <cell r="AO303">
            <v>19</v>
          </cell>
          <cell r="AP303">
            <v>19</v>
          </cell>
          <cell r="AQ303">
            <v>5</v>
          </cell>
          <cell r="AR303">
            <v>120</v>
          </cell>
          <cell r="AS303">
            <v>120</v>
          </cell>
          <cell r="AT303">
            <v>55</v>
          </cell>
          <cell r="BF303">
            <v>512.87401071917748</v>
          </cell>
        </row>
        <row r="304">
          <cell r="B304">
            <v>690</v>
          </cell>
          <cell r="C304">
            <v>47</v>
          </cell>
          <cell r="D304">
            <v>3</v>
          </cell>
          <cell r="E304">
            <v>85</v>
          </cell>
          <cell r="F304">
            <v>340</v>
          </cell>
          <cell r="G304">
            <v>37.5</v>
          </cell>
          <cell r="H304">
            <v>190</v>
          </cell>
          <cell r="J304">
            <v>153.30000000000001</v>
          </cell>
          <cell r="K304">
            <v>125</v>
          </cell>
          <cell r="L304">
            <v>125</v>
          </cell>
          <cell r="M304">
            <v>730</v>
          </cell>
          <cell r="N304">
            <v>180</v>
          </cell>
          <cell r="O304">
            <v>375</v>
          </cell>
          <cell r="P304">
            <v>50</v>
          </cell>
          <cell r="Q304">
            <v>21</v>
          </cell>
          <cell r="R304">
            <v>100</v>
          </cell>
          <cell r="S304">
            <v>60</v>
          </cell>
          <cell r="T304">
            <v>36</v>
          </cell>
          <cell r="W304">
            <v>20</v>
          </cell>
          <cell r="Y304">
            <v>3.5</v>
          </cell>
          <cell r="Z304">
            <v>230</v>
          </cell>
          <cell r="AA304">
            <v>306</v>
          </cell>
          <cell r="AB304">
            <v>60</v>
          </cell>
          <cell r="AD304">
            <v>180</v>
          </cell>
          <cell r="AE304">
            <v>1.1000000000000001</v>
          </cell>
          <cell r="AF304">
            <v>275</v>
          </cell>
          <cell r="AG304">
            <v>18</v>
          </cell>
          <cell r="AI304">
            <v>47</v>
          </cell>
          <cell r="AN304">
            <v>0.75</v>
          </cell>
          <cell r="AO304">
            <v>19</v>
          </cell>
          <cell r="AP304">
            <v>19</v>
          </cell>
          <cell r="AQ304">
            <v>5</v>
          </cell>
          <cell r="AR304">
            <v>120</v>
          </cell>
          <cell r="AS304">
            <v>120</v>
          </cell>
          <cell r="AT304">
            <v>55</v>
          </cell>
          <cell r="BF304">
            <v>631.69947271019919</v>
          </cell>
        </row>
        <row r="305">
          <cell r="B305">
            <v>690</v>
          </cell>
          <cell r="C305">
            <v>47</v>
          </cell>
          <cell r="D305">
            <v>3</v>
          </cell>
          <cell r="E305">
            <v>85</v>
          </cell>
          <cell r="F305">
            <v>340</v>
          </cell>
          <cell r="G305">
            <v>37.5</v>
          </cell>
          <cell r="H305">
            <v>190</v>
          </cell>
          <cell r="J305">
            <v>153.30000000000001</v>
          </cell>
          <cell r="K305">
            <v>125</v>
          </cell>
          <cell r="L305">
            <v>125</v>
          </cell>
          <cell r="M305">
            <v>730</v>
          </cell>
          <cell r="N305">
            <v>180</v>
          </cell>
          <cell r="O305">
            <v>375</v>
          </cell>
          <cell r="P305">
            <v>50</v>
          </cell>
          <cell r="Q305">
            <v>21</v>
          </cell>
          <cell r="R305">
            <v>100</v>
          </cell>
          <cell r="S305">
            <v>60</v>
          </cell>
          <cell r="T305">
            <v>36</v>
          </cell>
          <cell r="W305">
            <v>20</v>
          </cell>
          <cell r="Y305">
            <v>3.5</v>
          </cell>
          <cell r="Z305">
            <v>230</v>
          </cell>
          <cell r="AA305">
            <v>306</v>
          </cell>
          <cell r="AB305">
            <v>60</v>
          </cell>
          <cell r="AD305">
            <v>180</v>
          </cell>
          <cell r="AE305">
            <v>1.1000000000000001</v>
          </cell>
          <cell r="AF305">
            <v>275</v>
          </cell>
          <cell r="AG305">
            <v>18</v>
          </cell>
          <cell r="AI305">
            <v>47</v>
          </cell>
          <cell r="AN305">
            <v>0.75</v>
          </cell>
          <cell r="AO305">
            <v>19</v>
          </cell>
          <cell r="AP305">
            <v>19</v>
          </cell>
          <cell r="AQ305">
            <v>5</v>
          </cell>
          <cell r="AR305">
            <v>120</v>
          </cell>
          <cell r="AS305">
            <v>120</v>
          </cell>
          <cell r="AT305">
            <v>55</v>
          </cell>
          <cell r="BF305">
            <v>773.09176827942019</v>
          </cell>
        </row>
        <row r="306">
          <cell r="B306">
            <v>690</v>
          </cell>
          <cell r="C306">
            <v>47</v>
          </cell>
          <cell r="D306">
            <v>3</v>
          </cell>
          <cell r="E306">
            <v>85</v>
          </cell>
          <cell r="F306">
            <v>340</v>
          </cell>
          <cell r="G306">
            <v>37.5</v>
          </cell>
          <cell r="H306">
            <v>190</v>
          </cell>
          <cell r="J306">
            <v>153.30000000000001</v>
          </cell>
          <cell r="K306">
            <v>125</v>
          </cell>
          <cell r="L306">
            <v>125</v>
          </cell>
          <cell r="M306">
            <v>730</v>
          </cell>
          <cell r="N306">
            <v>180</v>
          </cell>
          <cell r="O306">
            <v>375</v>
          </cell>
          <cell r="P306">
            <v>50</v>
          </cell>
          <cell r="Q306">
            <v>21</v>
          </cell>
          <cell r="R306">
            <v>100</v>
          </cell>
          <cell r="S306">
            <v>60</v>
          </cell>
          <cell r="T306">
            <v>36</v>
          </cell>
          <cell r="W306">
            <v>20</v>
          </cell>
          <cell r="Y306">
            <v>3.5</v>
          </cell>
          <cell r="Z306">
            <v>230</v>
          </cell>
          <cell r="AA306">
            <v>306</v>
          </cell>
          <cell r="AB306">
            <v>60</v>
          </cell>
          <cell r="AD306">
            <v>180</v>
          </cell>
          <cell r="AE306">
            <v>1.1000000000000001</v>
          </cell>
          <cell r="AF306">
            <v>275</v>
          </cell>
          <cell r="AG306">
            <v>18</v>
          </cell>
          <cell r="AI306">
            <v>47</v>
          </cell>
          <cell r="AN306">
            <v>0.75</v>
          </cell>
          <cell r="AO306">
            <v>19</v>
          </cell>
          <cell r="AP306">
            <v>19</v>
          </cell>
          <cell r="AQ306">
            <v>5</v>
          </cell>
          <cell r="AR306">
            <v>120</v>
          </cell>
          <cell r="AS306">
            <v>120</v>
          </cell>
          <cell r="AT306">
            <v>55</v>
          </cell>
          <cell r="BF306">
            <v>749.91392110100401</v>
          </cell>
        </row>
        <row r="307">
          <cell r="B307">
            <v>690</v>
          </cell>
          <cell r="C307">
            <v>47</v>
          </cell>
          <cell r="D307">
            <v>3</v>
          </cell>
          <cell r="E307">
            <v>85</v>
          </cell>
          <cell r="F307">
            <v>340</v>
          </cell>
          <cell r="G307">
            <v>37.5</v>
          </cell>
          <cell r="H307">
            <v>190</v>
          </cell>
          <cell r="J307">
            <v>153.30000000000001</v>
          </cell>
          <cell r="K307">
            <v>125</v>
          </cell>
          <cell r="L307">
            <v>125</v>
          </cell>
          <cell r="M307">
            <v>730</v>
          </cell>
          <cell r="N307">
            <v>180</v>
          </cell>
          <cell r="O307">
            <v>375</v>
          </cell>
          <cell r="P307">
            <v>50</v>
          </cell>
          <cell r="Q307">
            <v>21</v>
          </cell>
          <cell r="R307">
            <v>100</v>
          </cell>
          <cell r="S307">
            <v>60</v>
          </cell>
          <cell r="T307">
            <v>36</v>
          </cell>
          <cell r="W307">
            <v>20</v>
          </cell>
          <cell r="Y307">
            <v>3.5</v>
          </cell>
          <cell r="Z307">
            <v>230</v>
          </cell>
          <cell r="AA307">
            <v>306</v>
          </cell>
          <cell r="AB307">
            <v>60</v>
          </cell>
          <cell r="AD307">
            <v>180</v>
          </cell>
          <cell r="AE307">
            <v>1.1000000000000001</v>
          </cell>
          <cell r="AF307">
            <v>275</v>
          </cell>
          <cell r="AG307">
            <v>18</v>
          </cell>
          <cell r="AI307">
            <v>47</v>
          </cell>
          <cell r="AN307">
            <v>0.75</v>
          </cell>
          <cell r="AO307">
            <v>19</v>
          </cell>
          <cell r="AP307">
            <v>19</v>
          </cell>
          <cell r="AQ307">
            <v>5</v>
          </cell>
          <cell r="AR307">
            <v>120</v>
          </cell>
          <cell r="AS307">
            <v>120</v>
          </cell>
          <cell r="AT307">
            <v>55</v>
          </cell>
          <cell r="BF307">
            <v>780.52578091014379</v>
          </cell>
        </row>
        <row r="308">
          <cell r="B308">
            <v>690</v>
          </cell>
          <cell r="C308">
            <v>47</v>
          </cell>
          <cell r="D308">
            <v>3</v>
          </cell>
          <cell r="E308">
            <v>85</v>
          </cell>
          <cell r="F308">
            <v>340</v>
          </cell>
          <cell r="G308">
            <v>37.5</v>
          </cell>
          <cell r="H308">
            <v>190</v>
          </cell>
          <cell r="J308">
            <v>153.30000000000001</v>
          </cell>
          <cell r="K308">
            <v>125</v>
          </cell>
          <cell r="L308">
            <v>125</v>
          </cell>
          <cell r="M308">
            <v>730</v>
          </cell>
          <cell r="N308">
            <v>180</v>
          </cell>
          <cell r="O308">
            <v>375</v>
          </cell>
          <cell r="P308">
            <v>50</v>
          </cell>
          <cell r="Q308">
            <v>21</v>
          </cell>
          <cell r="R308">
            <v>100</v>
          </cell>
          <cell r="S308">
            <v>60</v>
          </cell>
          <cell r="T308">
            <v>36</v>
          </cell>
          <cell r="W308">
            <v>20</v>
          </cell>
          <cell r="Y308">
            <v>3.5</v>
          </cell>
          <cell r="Z308">
            <v>230</v>
          </cell>
          <cell r="AA308">
            <v>306</v>
          </cell>
          <cell r="AB308">
            <v>60</v>
          </cell>
          <cell r="AD308">
            <v>180</v>
          </cell>
          <cell r="AE308">
            <v>1.1000000000000001</v>
          </cell>
          <cell r="AF308">
            <v>275</v>
          </cell>
          <cell r="AG308">
            <v>18</v>
          </cell>
          <cell r="AI308">
            <v>47</v>
          </cell>
          <cell r="AN308">
            <v>0.75</v>
          </cell>
          <cell r="AO308">
            <v>19</v>
          </cell>
          <cell r="AP308">
            <v>19</v>
          </cell>
          <cell r="AQ308">
            <v>5</v>
          </cell>
          <cell r="AR308">
            <v>120</v>
          </cell>
          <cell r="AS308">
            <v>120</v>
          </cell>
          <cell r="AT308">
            <v>55</v>
          </cell>
          <cell r="BF308">
            <v>826.11388308040546</v>
          </cell>
        </row>
        <row r="309">
          <cell r="B309">
            <v>690</v>
          </cell>
          <cell r="C309">
            <v>47</v>
          </cell>
          <cell r="D309">
            <v>3</v>
          </cell>
          <cell r="E309">
            <v>85</v>
          </cell>
          <cell r="F309">
            <v>340</v>
          </cell>
          <cell r="G309">
            <v>37.5</v>
          </cell>
          <cell r="H309">
            <v>190</v>
          </cell>
          <cell r="J309">
            <v>153.30000000000001</v>
          </cell>
          <cell r="K309">
            <v>125</v>
          </cell>
          <cell r="L309">
            <v>125</v>
          </cell>
          <cell r="M309">
            <v>730</v>
          </cell>
          <cell r="N309">
            <v>180</v>
          </cell>
          <cell r="O309">
            <v>375</v>
          </cell>
          <cell r="P309">
            <v>50</v>
          </cell>
          <cell r="Q309">
            <v>21</v>
          </cell>
          <cell r="R309">
            <v>100</v>
          </cell>
          <cell r="S309">
            <v>60</v>
          </cell>
          <cell r="T309">
            <v>36</v>
          </cell>
          <cell r="W309">
            <v>20</v>
          </cell>
          <cell r="Y309">
            <v>3.5</v>
          </cell>
          <cell r="Z309">
            <v>230</v>
          </cell>
          <cell r="AA309">
            <v>306</v>
          </cell>
          <cell r="AB309">
            <v>60</v>
          </cell>
          <cell r="AD309">
            <v>180</v>
          </cell>
          <cell r="AE309">
            <v>1.1000000000000001</v>
          </cell>
          <cell r="AF309">
            <v>275</v>
          </cell>
          <cell r="AG309">
            <v>18</v>
          </cell>
          <cell r="AI309">
            <v>47</v>
          </cell>
          <cell r="AN309">
            <v>0.75</v>
          </cell>
          <cell r="AO309">
            <v>19</v>
          </cell>
          <cell r="AP309">
            <v>19</v>
          </cell>
          <cell r="AQ309">
            <v>5</v>
          </cell>
          <cell r="AR309">
            <v>120</v>
          </cell>
          <cell r="AS309">
            <v>120</v>
          </cell>
          <cell r="AT309">
            <v>55</v>
          </cell>
          <cell r="BF309">
            <v>940.6793620963075</v>
          </cell>
        </row>
        <row r="310">
          <cell r="B310">
            <v>690</v>
          </cell>
          <cell r="C310">
            <v>47</v>
          </cell>
          <cell r="D310">
            <v>3</v>
          </cell>
          <cell r="E310">
            <v>85</v>
          </cell>
          <cell r="F310">
            <v>340</v>
          </cell>
          <cell r="G310">
            <v>37.5</v>
          </cell>
          <cell r="H310">
            <v>190</v>
          </cell>
          <cell r="J310">
            <v>153.30000000000001</v>
          </cell>
          <cell r="K310">
            <v>125</v>
          </cell>
          <cell r="L310">
            <v>125</v>
          </cell>
          <cell r="M310">
            <v>730</v>
          </cell>
          <cell r="N310">
            <v>180</v>
          </cell>
          <cell r="O310">
            <v>375</v>
          </cell>
          <cell r="P310">
            <v>50</v>
          </cell>
          <cell r="Q310">
            <v>21</v>
          </cell>
          <cell r="R310">
            <v>100</v>
          </cell>
          <cell r="S310">
            <v>60</v>
          </cell>
          <cell r="T310">
            <v>36</v>
          </cell>
          <cell r="W310">
            <v>20</v>
          </cell>
          <cell r="Y310">
            <v>3.5</v>
          </cell>
          <cell r="Z310">
            <v>230</v>
          </cell>
          <cell r="AA310">
            <v>306</v>
          </cell>
          <cell r="AB310">
            <v>60</v>
          </cell>
          <cell r="AD310">
            <v>180</v>
          </cell>
          <cell r="AE310">
            <v>1.1000000000000001</v>
          </cell>
          <cell r="AF310">
            <v>275</v>
          </cell>
          <cell r="AG310">
            <v>18</v>
          </cell>
          <cell r="AI310">
            <v>47</v>
          </cell>
          <cell r="AN310">
            <v>0.75</v>
          </cell>
          <cell r="AO310">
            <v>19</v>
          </cell>
          <cell r="AP310">
            <v>19</v>
          </cell>
          <cell r="AQ310">
            <v>5</v>
          </cell>
          <cell r="AR310">
            <v>120</v>
          </cell>
          <cell r="AS310">
            <v>120</v>
          </cell>
          <cell r="AT310">
            <v>55</v>
          </cell>
          <cell r="BF310">
            <v>958.93098152465882</v>
          </cell>
        </row>
        <row r="311">
          <cell r="B311">
            <v>690</v>
          </cell>
          <cell r="C311">
            <v>47</v>
          </cell>
          <cell r="D311">
            <v>3</v>
          </cell>
          <cell r="E311">
            <v>85</v>
          </cell>
          <cell r="F311">
            <v>340</v>
          </cell>
          <cell r="G311">
            <v>37.5</v>
          </cell>
          <cell r="H311">
            <v>190</v>
          </cell>
          <cell r="J311">
            <v>153.30000000000001</v>
          </cell>
          <cell r="K311">
            <v>125</v>
          </cell>
          <cell r="L311">
            <v>125</v>
          </cell>
          <cell r="M311">
            <v>730</v>
          </cell>
          <cell r="N311">
            <v>180</v>
          </cell>
          <cell r="O311">
            <v>375</v>
          </cell>
          <cell r="P311">
            <v>50</v>
          </cell>
          <cell r="Q311">
            <v>21</v>
          </cell>
          <cell r="R311">
            <v>100</v>
          </cell>
          <cell r="S311">
            <v>60</v>
          </cell>
          <cell r="T311">
            <v>36</v>
          </cell>
          <cell r="W311">
            <v>20</v>
          </cell>
          <cell r="Y311">
            <v>3.5</v>
          </cell>
          <cell r="Z311">
            <v>230</v>
          </cell>
          <cell r="AA311">
            <v>306</v>
          </cell>
          <cell r="AB311">
            <v>60</v>
          </cell>
          <cell r="AD311">
            <v>180</v>
          </cell>
          <cell r="AE311">
            <v>1.1000000000000001</v>
          </cell>
          <cell r="AF311">
            <v>275</v>
          </cell>
          <cell r="AG311">
            <v>18</v>
          </cell>
          <cell r="AI311">
            <v>47</v>
          </cell>
          <cell r="AN311">
            <v>0.75</v>
          </cell>
          <cell r="AO311">
            <v>19</v>
          </cell>
          <cell r="AP311">
            <v>19</v>
          </cell>
          <cell r="AQ311">
            <v>5</v>
          </cell>
          <cell r="AR311">
            <v>120</v>
          </cell>
          <cell r="AS311">
            <v>120</v>
          </cell>
          <cell r="AT311">
            <v>55</v>
          </cell>
          <cell r="BF311">
            <v>956.16842091477713</v>
          </cell>
        </row>
        <row r="312">
          <cell r="B312">
            <v>690</v>
          </cell>
          <cell r="C312">
            <v>47</v>
          </cell>
          <cell r="D312">
            <v>3</v>
          </cell>
          <cell r="E312">
            <v>85</v>
          </cell>
          <cell r="F312">
            <v>340</v>
          </cell>
          <cell r="G312">
            <v>37.5</v>
          </cell>
          <cell r="H312">
            <v>190</v>
          </cell>
          <cell r="J312">
            <v>153.30000000000001</v>
          </cell>
          <cell r="K312">
            <v>125</v>
          </cell>
          <cell r="L312">
            <v>125</v>
          </cell>
          <cell r="M312">
            <v>730</v>
          </cell>
          <cell r="N312">
            <v>180</v>
          </cell>
          <cell r="O312">
            <v>375</v>
          </cell>
          <cell r="P312">
            <v>50</v>
          </cell>
          <cell r="Q312">
            <v>21</v>
          </cell>
          <cell r="R312">
            <v>100</v>
          </cell>
          <cell r="S312">
            <v>60</v>
          </cell>
          <cell r="T312">
            <v>36</v>
          </cell>
          <cell r="W312">
            <v>20</v>
          </cell>
          <cell r="Y312">
            <v>3.5</v>
          </cell>
          <cell r="Z312">
            <v>230</v>
          </cell>
          <cell r="AA312">
            <v>306</v>
          </cell>
          <cell r="AB312">
            <v>60</v>
          </cell>
          <cell r="AD312">
            <v>180</v>
          </cell>
          <cell r="AE312">
            <v>1.1000000000000001</v>
          </cell>
          <cell r="AF312">
            <v>275</v>
          </cell>
          <cell r="AG312">
            <v>18</v>
          </cell>
          <cell r="AI312">
            <v>47</v>
          </cell>
          <cell r="AN312">
            <v>0.75</v>
          </cell>
          <cell r="AO312">
            <v>19</v>
          </cell>
          <cell r="AP312">
            <v>19</v>
          </cell>
          <cell r="AQ312">
            <v>5</v>
          </cell>
          <cell r="AR312">
            <v>120</v>
          </cell>
          <cell r="AS312">
            <v>120</v>
          </cell>
          <cell r="AT312">
            <v>55</v>
          </cell>
          <cell r="BF312">
            <v>962.79899430159332</v>
          </cell>
        </row>
        <row r="313">
          <cell r="B313">
            <v>690</v>
          </cell>
          <cell r="C313">
            <v>47</v>
          </cell>
          <cell r="D313">
            <v>3</v>
          </cell>
          <cell r="E313">
            <v>85</v>
          </cell>
          <cell r="F313">
            <v>340</v>
          </cell>
          <cell r="G313">
            <v>37.5</v>
          </cell>
          <cell r="H313">
            <v>190</v>
          </cell>
          <cell r="J313">
            <v>153.30000000000001</v>
          </cell>
          <cell r="K313">
            <v>125</v>
          </cell>
          <cell r="L313">
            <v>125</v>
          </cell>
          <cell r="M313">
            <v>730</v>
          </cell>
          <cell r="N313">
            <v>180</v>
          </cell>
          <cell r="O313">
            <v>375</v>
          </cell>
          <cell r="P313">
            <v>50</v>
          </cell>
          <cell r="Q313">
            <v>21</v>
          </cell>
          <cell r="R313">
            <v>100</v>
          </cell>
          <cell r="S313">
            <v>60</v>
          </cell>
          <cell r="T313">
            <v>36</v>
          </cell>
          <cell r="W313">
            <v>20</v>
          </cell>
          <cell r="Y313">
            <v>3.5</v>
          </cell>
          <cell r="Z313">
            <v>230</v>
          </cell>
          <cell r="AA313">
            <v>306</v>
          </cell>
          <cell r="AB313">
            <v>60</v>
          </cell>
          <cell r="AD313">
            <v>180</v>
          </cell>
          <cell r="AE313">
            <v>1.1000000000000001</v>
          </cell>
          <cell r="AF313">
            <v>275</v>
          </cell>
          <cell r="AG313">
            <v>18</v>
          </cell>
          <cell r="AI313">
            <v>47</v>
          </cell>
          <cell r="AN313">
            <v>0.75</v>
          </cell>
          <cell r="AO313">
            <v>19</v>
          </cell>
          <cell r="AP313">
            <v>19</v>
          </cell>
          <cell r="AQ313">
            <v>5</v>
          </cell>
          <cell r="AR313">
            <v>120</v>
          </cell>
          <cell r="AS313">
            <v>120</v>
          </cell>
          <cell r="AT313">
            <v>55</v>
          </cell>
          <cell r="BF313">
            <v>496.0625116035734</v>
          </cell>
        </row>
        <row r="314">
          <cell r="B314">
            <v>690</v>
          </cell>
          <cell r="C314">
            <v>47</v>
          </cell>
          <cell r="D314">
            <v>3</v>
          </cell>
          <cell r="E314">
            <v>85</v>
          </cell>
          <cell r="F314">
            <v>340</v>
          </cell>
          <cell r="G314">
            <v>37.5</v>
          </cell>
          <cell r="H314">
            <v>190</v>
          </cell>
          <cell r="J314">
            <v>153.30000000000001</v>
          </cell>
          <cell r="K314">
            <v>125</v>
          </cell>
          <cell r="L314">
            <v>125</v>
          </cell>
          <cell r="M314">
            <v>730</v>
          </cell>
          <cell r="N314">
            <v>180</v>
          </cell>
          <cell r="O314">
            <v>375</v>
          </cell>
          <cell r="P314">
            <v>50</v>
          </cell>
          <cell r="Q314">
            <v>21</v>
          </cell>
          <cell r="R314">
            <v>100</v>
          </cell>
          <cell r="S314">
            <v>60</v>
          </cell>
          <cell r="T314">
            <v>36</v>
          </cell>
          <cell r="W314">
            <v>20</v>
          </cell>
          <cell r="Y314">
            <v>3.5</v>
          </cell>
          <cell r="Z314">
            <v>230</v>
          </cell>
          <cell r="AA314">
            <v>306</v>
          </cell>
          <cell r="AB314">
            <v>60</v>
          </cell>
          <cell r="AD314">
            <v>180</v>
          </cell>
          <cell r="AE314">
            <v>1.1000000000000001</v>
          </cell>
          <cell r="AF314">
            <v>275</v>
          </cell>
          <cell r="AG314">
            <v>18</v>
          </cell>
          <cell r="AI314">
            <v>47</v>
          </cell>
          <cell r="AN314">
            <v>0.75</v>
          </cell>
          <cell r="AO314">
            <v>19</v>
          </cell>
          <cell r="AP314">
            <v>19</v>
          </cell>
          <cell r="AQ314">
            <v>5</v>
          </cell>
          <cell r="AR314">
            <v>120</v>
          </cell>
          <cell r="AS314">
            <v>120</v>
          </cell>
          <cell r="AT314">
            <v>55</v>
          </cell>
          <cell r="BF314">
            <v>717.3027704543008</v>
          </cell>
        </row>
        <row r="315">
          <cell r="B315">
            <v>690</v>
          </cell>
          <cell r="C315">
            <v>47</v>
          </cell>
          <cell r="D315">
            <v>3</v>
          </cell>
          <cell r="E315">
            <v>85</v>
          </cell>
          <cell r="F315">
            <v>340</v>
          </cell>
          <cell r="G315">
            <v>37.5</v>
          </cell>
          <cell r="H315">
            <v>190</v>
          </cell>
          <cell r="J315">
            <v>153.30000000000001</v>
          </cell>
          <cell r="K315">
            <v>125</v>
          </cell>
          <cell r="L315">
            <v>125</v>
          </cell>
          <cell r="M315">
            <v>730</v>
          </cell>
          <cell r="N315">
            <v>180</v>
          </cell>
          <cell r="O315">
            <v>375</v>
          </cell>
          <cell r="P315">
            <v>50</v>
          </cell>
          <cell r="Q315">
            <v>21</v>
          </cell>
          <cell r="R315">
            <v>100</v>
          </cell>
          <cell r="S315">
            <v>60</v>
          </cell>
          <cell r="T315">
            <v>36</v>
          </cell>
          <cell r="W315">
            <v>20</v>
          </cell>
          <cell r="Y315">
            <v>3.5</v>
          </cell>
          <cell r="Z315">
            <v>230</v>
          </cell>
          <cell r="AA315">
            <v>306</v>
          </cell>
          <cell r="AB315">
            <v>60</v>
          </cell>
          <cell r="AD315">
            <v>180</v>
          </cell>
          <cell r="AE315">
            <v>1.1000000000000001</v>
          </cell>
          <cell r="AF315">
            <v>275</v>
          </cell>
          <cell r="AG315">
            <v>18</v>
          </cell>
          <cell r="AI315">
            <v>47</v>
          </cell>
          <cell r="AN315">
            <v>0.75</v>
          </cell>
          <cell r="AO315">
            <v>19</v>
          </cell>
          <cell r="AP315">
            <v>19</v>
          </cell>
          <cell r="AQ315">
            <v>5</v>
          </cell>
          <cell r="AR315">
            <v>120</v>
          </cell>
          <cell r="AS315">
            <v>120</v>
          </cell>
          <cell r="AT315">
            <v>55</v>
          </cell>
          <cell r="BF315">
            <v>489.72811399716068</v>
          </cell>
        </row>
        <row r="316">
          <cell r="B316">
            <v>690</v>
          </cell>
          <cell r="C316">
            <v>47</v>
          </cell>
          <cell r="D316">
            <v>3</v>
          </cell>
          <cell r="E316">
            <v>85</v>
          </cell>
          <cell r="F316">
            <v>340</v>
          </cell>
          <cell r="G316">
            <v>37.5</v>
          </cell>
          <cell r="H316">
            <v>190</v>
          </cell>
          <cell r="J316">
            <v>153.30000000000001</v>
          </cell>
          <cell r="K316">
            <v>125</v>
          </cell>
          <cell r="L316">
            <v>125</v>
          </cell>
          <cell r="M316">
            <v>730</v>
          </cell>
          <cell r="N316">
            <v>180</v>
          </cell>
          <cell r="O316">
            <v>375</v>
          </cell>
          <cell r="P316">
            <v>50</v>
          </cell>
          <cell r="Q316">
            <v>21</v>
          </cell>
          <cell r="R316">
            <v>100</v>
          </cell>
          <cell r="S316">
            <v>60</v>
          </cell>
          <cell r="T316">
            <v>36</v>
          </cell>
          <cell r="W316">
            <v>20</v>
          </cell>
          <cell r="Y316">
            <v>3.5</v>
          </cell>
          <cell r="Z316">
            <v>230</v>
          </cell>
          <cell r="AA316">
            <v>306</v>
          </cell>
          <cell r="AB316">
            <v>60</v>
          </cell>
          <cell r="AD316">
            <v>180</v>
          </cell>
          <cell r="AE316">
            <v>1.1000000000000001</v>
          </cell>
          <cell r="AF316">
            <v>275</v>
          </cell>
          <cell r="AG316">
            <v>18</v>
          </cell>
          <cell r="AI316">
            <v>47</v>
          </cell>
          <cell r="AN316">
            <v>0.75</v>
          </cell>
          <cell r="AO316">
            <v>19</v>
          </cell>
          <cell r="AP316">
            <v>19</v>
          </cell>
          <cell r="AQ316">
            <v>5</v>
          </cell>
          <cell r="AR316">
            <v>120</v>
          </cell>
          <cell r="AS316">
            <v>120</v>
          </cell>
          <cell r="AT316">
            <v>55</v>
          </cell>
          <cell r="BF316">
            <v>578.33952451304958</v>
          </cell>
        </row>
        <row r="317">
          <cell r="B317">
            <v>690</v>
          </cell>
          <cell r="C317">
            <v>47</v>
          </cell>
          <cell r="D317">
            <v>3</v>
          </cell>
          <cell r="E317">
            <v>85</v>
          </cell>
          <cell r="F317">
            <v>340</v>
          </cell>
          <cell r="G317">
            <v>37.5</v>
          </cell>
          <cell r="H317">
            <v>190</v>
          </cell>
          <cell r="J317">
            <v>153.30000000000001</v>
          </cell>
          <cell r="K317">
            <v>125</v>
          </cell>
          <cell r="L317">
            <v>125</v>
          </cell>
          <cell r="M317">
            <v>730</v>
          </cell>
          <cell r="N317">
            <v>180</v>
          </cell>
          <cell r="O317">
            <v>375</v>
          </cell>
          <cell r="P317">
            <v>50</v>
          </cell>
          <cell r="Q317">
            <v>21</v>
          </cell>
          <cell r="R317">
            <v>100</v>
          </cell>
          <cell r="S317">
            <v>60</v>
          </cell>
          <cell r="T317">
            <v>36</v>
          </cell>
          <cell r="W317">
            <v>20</v>
          </cell>
          <cell r="Y317">
            <v>3.5</v>
          </cell>
          <cell r="Z317">
            <v>230</v>
          </cell>
          <cell r="AA317">
            <v>306</v>
          </cell>
          <cell r="AB317">
            <v>60</v>
          </cell>
          <cell r="AD317">
            <v>180</v>
          </cell>
          <cell r="AE317">
            <v>1.1000000000000001</v>
          </cell>
          <cell r="AF317">
            <v>275</v>
          </cell>
          <cell r="AG317">
            <v>18</v>
          </cell>
          <cell r="AI317">
            <v>47</v>
          </cell>
          <cell r="AN317">
            <v>0.75</v>
          </cell>
          <cell r="AO317">
            <v>19</v>
          </cell>
          <cell r="AP317">
            <v>19</v>
          </cell>
          <cell r="AQ317">
            <v>5</v>
          </cell>
          <cell r="AR317">
            <v>120</v>
          </cell>
          <cell r="AS317">
            <v>120</v>
          </cell>
          <cell r="AT317">
            <v>55</v>
          </cell>
          <cell r="BF317">
            <v>697.94012410943299</v>
          </cell>
        </row>
        <row r="318">
          <cell r="B318">
            <v>690</v>
          </cell>
          <cell r="C318">
            <v>47</v>
          </cell>
          <cell r="D318">
            <v>3</v>
          </cell>
          <cell r="E318">
            <v>85</v>
          </cell>
          <cell r="F318">
            <v>340</v>
          </cell>
          <cell r="G318">
            <v>37.5</v>
          </cell>
          <cell r="H318">
            <v>190</v>
          </cell>
          <cell r="J318">
            <v>153.30000000000001</v>
          </cell>
          <cell r="K318">
            <v>125</v>
          </cell>
          <cell r="L318">
            <v>125</v>
          </cell>
          <cell r="M318">
            <v>730</v>
          </cell>
          <cell r="N318">
            <v>180</v>
          </cell>
          <cell r="O318">
            <v>375</v>
          </cell>
          <cell r="P318">
            <v>50</v>
          </cell>
          <cell r="Q318">
            <v>21</v>
          </cell>
          <cell r="R318">
            <v>100</v>
          </cell>
          <cell r="S318">
            <v>60</v>
          </cell>
          <cell r="T318">
            <v>36</v>
          </cell>
          <cell r="W318">
            <v>20</v>
          </cell>
          <cell r="Y318">
            <v>3.5</v>
          </cell>
          <cell r="Z318">
            <v>230</v>
          </cell>
          <cell r="AA318">
            <v>306</v>
          </cell>
          <cell r="AB318">
            <v>60</v>
          </cell>
          <cell r="AD318">
            <v>180</v>
          </cell>
          <cell r="AE318">
            <v>1.1000000000000001</v>
          </cell>
          <cell r="AF318">
            <v>275</v>
          </cell>
          <cell r="AG318">
            <v>18</v>
          </cell>
          <cell r="AI318">
            <v>47</v>
          </cell>
          <cell r="AN318">
            <v>0.75</v>
          </cell>
          <cell r="AO318">
            <v>19</v>
          </cell>
          <cell r="AP318">
            <v>19</v>
          </cell>
          <cell r="AQ318">
            <v>5</v>
          </cell>
          <cell r="AR318">
            <v>120</v>
          </cell>
          <cell r="AS318">
            <v>120</v>
          </cell>
          <cell r="AT318">
            <v>55</v>
          </cell>
          <cell r="BF318">
            <v>679.24702504347169</v>
          </cell>
        </row>
        <row r="319">
          <cell r="B319">
            <v>690</v>
          </cell>
          <cell r="C319">
            <v>47</v>
          </cell>
          <cell r="D319">
            <v>3</v>
          </cell>
          <cell r="E319">
            <v>85</v>
          </cell>
          <cell r="F319">
            <v>340</v>
          </cell>
          <cell r="G319">
            <v>37.5</v>
          </cell>
          <cell r="H319">
            <v>190</v>
          </cell>
          <cell r="J319">
            <v>153.30000000000001</v>
          </cell>
          <cell r="K319">
            <v>125</v>
          </cell>
          <cell r="L319">
            <v>125</v>
          </cell>
          <cell r="M319">
            <v>730</v>
          </cell>
          <cell r="N319">
            <v>180</v>
          </cell>
          <cell r="O319">
            <v>375</v>
          </cell>
          <cell r="P319">
            <v>50</v>
          </cell>
          <cell r="Q319">
            <v>21</v>
          </cell>
          <cell r="R319">
            <v>100</v>
          </cell>
          <cell r="S319">
            <v>60</v>
          </cell>
          <cell r="T319">
            <v>36</v>
          </cell>
          <cell r="W319">
            <v>20</v>
          </cell>
          <cell r="Y319">
            <v>3.5</v>
          </cell>
          <cell r="Z319">
            <v>230</v>
          </cell>
          <cell r="AA319">
            <v>306</v>
          </cell>
          <cell r="AB319">
            <v>60</v>
          </cell>
          <cell r="AD319">
            <v>180</v>
          </cell>
          <cell r="AE319">
            <v>1.1000000000000001</v>
          </cell>
          <cell r="AF319">
            <v>275</v>
          </cell>
          <cell r="AG319">
            <v>18</v>
          </cell>
          <cell r="AI319">
            <v>47</v>
          </cell>
          <cell r="AN319">
            <v>0.75</v>
          </cell>
          <cell r="AO319">
            <v>19</v>
          </cell>
          <cell r="AP319">
            <v>19</v>
          </cell>
          <cell r="AQ319">
            <v>5</v>
          </cell>
          <cell r="AR319">
            <v>120</v>
          </cell>
          <cell r="AS319">
            <v>120</v>
          </cell>
          <cell r="AT319">
            <v>55</v>
          </cell>
          <cell r="BF319">
            <v>700.72729026681532</v>
          </cell>
        </row>
        <row r="320">
          <cell r="B320">
            <v>690</v>
          </cell>
          <cell r="C320">
            <v>47</v>
          </cell>
          <cell r="D320">
            <v>3</v>
          </cell>
          <cell r="E320">
            <v>85</v>
          </cell>
          <cell r="F320">
            <v>340</v>
          </cell>
          <cell r="G320">
            <v>37.5</v>
          </cell>
          <cell r="H320">
            <v>190</v>
          </cell>
          <cell r="J320">
            <v>153.30000000000001</v>
          </cell>
          <cell r="K320">
            <v>125</v>
          </cell>
          <cell r="L320">
            <v>125</v>
          </cell>
          <cell r="M320">
            <v>730</v>
          </cell>
          <cell r="N320">
            <v>180</v>
          </cell>
          <cell r="O320">
            <v>375</v>
          </cell>
          <cell r="P320">
            <v>50</v>
          </cell>
          <cell r="Q320">
            <v>21</v>
          </cell>
          <cell r="R320">
            <v>100</v>
          </cell>
          <cell r="S320">
            <v>60</v>
          </cell>
          <cell r="T320">
            <v>36</v>
          </cell>
          <cell r="W320">
            <v>20</v>
          </cell>
          <cell r="Y320">
            <v>3.5</v>
          </cell>
          <cell r="Z320">
            <v>230</v>
          </cell>
          <cell r="AA320">
            <v>306</v>
          </cell>
          <cell r="AB320">
            <v>60</v>
          </cell>
          <cell r="AD320">
            <v>180</v>
          </cell>
          <cell r="AE320">
            <v>1.1000000000000001</v>
          </cell>
          <cell r="AF320">
            <v>275</v>
          </cell>
          <cell r="AG320">
            <v>18</v>
          </cell>
          <cell r="AI320">
            <v>47</v>
          </cell>
          <cell r="AN320">
            <v>0.75</v>
          </cell>
          <cell r="AO320">
            <v>19</v>
          </cell>
          <cell r="AP320">
            <v>19</v>
          </cell>
          <cell r="AQ320">
            <v>5</v>
          </cell>
          <cell r="AR320">
            <v>120</v>
          </cell>
          <cell r="AS320">
            <v>120</v>
          </cell>
          <cell r="AT320">
            <v>55</v>
          </cell>
          <cell r="BF320">
            <v>737.25823653615134</v>
          </cell>
        </row>
        <row r="321">
          <cell r="B321">
            <v>690</v>
          </cell>
          <cell r="C321">
            <v>47</v>
          </cell>
          <cell r="D321">
            <v>3</v>
          </cell>
          <cell r="E321">
            <v>85</v>
          </cell>
          <cell r="F321">
            <v>340</v>
          </cell>
          <cell r="G321">
            <v>37.5</v>
          </cell>
          <cell r="H321">
            <v>190</v>
          </cell>
          <cell r="J321">
            <v>153.30000000000001</v>
          </cell>
          <cell r="K321">
            <v>125</v>
          </cell>
          <cell r="L321">
            <v>125</v>
          </cell>
          <cell r="M321">
            <v>730</v>
          </cell>
          <cell r="N321">
            <v>180</v>
          </cell>
          <cell r="O321">
            <v>375</v>
          </cell>
          <cell r="P321">
            <v>50</v>
          </cell>
          <cell r="Q321">
            <v>21</v>
          </cell>
          <cell r="R321">
            <v>100</v>
          </cell>
          <cell r="S321">
            <v>60</v>
          </cell>
          <cell r="T321">
            <v>36</v>
          </cell>
          <cell r="W321">
            <v>20</v>
          </cell>
          <cell r="Y321">
            <v>3.5</v>
          </cell>
          <cell r="Z321">
            <v>230</v>
          </cell>
          <cell r="AA321">
            <v>306</v>
          </cell>
          <cell r="AB321">
            <v>60</v>
          </cell>
          <cell r="AD321">
            <v>180</v>
          </cell>
          <cell r="AE321">
            <v>1.1000000000000001</v>
          </cell>
          <cell r="AF321">
            <v>275</v>
          </cell>
          <cell r="AG321">
            <v>18</v>
          </cell>
          <cell r="AI321">
            <v>47</v>
          </cell>
          <cell r="AN321">
            <v>0.75</v>
          </cell>
          <cell r="AO321">
            <v>19</v>
          </cell>
          <cell r="AP321">
            <v>19</v>
          </cell>
          <cell r="AQ321">
            <v>5</v>
          </cell>
          <cell r="AR321">
            <v>120</v>
          </cell>
          <cell r="AS321">
            <v>120</v>
          </cell>
          <cell r="AT321">
            <v>55</v>
          </cell>
          <cell r="BF321">
            <v>827.38098083025523</v>
          </cell>
        </row>
        <row r="322">
          <cell r="B322">
            <v>690</v>
          </cell>
          <cell r="C322">
            <v>47</v>
          </cell>
          <cell r="D322">
            <v>3</v>
          </cell>
          <cell r="E322">
            <v>85</v>
          </cell>
          <cell r="F322">
            <v>340</v>
          </cell>
          <cell r="G322">
            <v>37.5</v>
          </cell>
          <cell r="H322">
            <v>190</v>
          </cell>
          <cell r="J322">
            <v>153.30000000000001</v>
          </cell>
          <cell r="K322">
            <v>125</v>
          </cell>
          <cell r="L322">
            <v>125</v>
          </cell>
          <cell r="M322">
            <v>730</v>
          </cell>
          <cell r="N322">
            <v>180</v>
          </cell>
          <cell r="O322">
            <v>375</v>
          </cell>
          <cell r="P322">
            <v>50</v>
          </cell>
          <cell r="Q322">
            <v>21</v>
          </cell>
          <cell r="R322">
            <v>100</v>
          </cell>
          <cell r="S322">
            <v>60</v>
          </cell>
          <cell r="T322">
            <v>36</v>
          </cell>
          <cell r="W322">
            <v>20</v>
          </cell>
          <cell r="Y322">
            <v>3.5</v>
          </cell>
          <cell r="Z322">
            <v>230</v>
          </cell>
          <cell r="AA322">
            <v>306</v>
          </cell>
          <cell r="AB322">
            <v>60</v>
          </cell>
          <cell r="AD322">
            <v>180</v>
          </cell>
          <cell r="AE322">
            <v>1.1000000000000001</v>
          </cell>
          <cell r="AF322">
            <v>275</v>
          </cell>
          <cell r="AG322">
            <v>18</v>
          </cell>
          <cell r="AI322">
            <v>47</v>
          </cell>
          <cell r="AN322">
            <v>0.75</v>
          </cell>
          <cell r="AO322">
            <v>19</v>
          </cell>
          <cell r="AP322">
            <v>19</v>
          </cell>
          <cell r="AQ322">
            <v>5</v>
          </cell>
          <cell r="AR322">
            <v>120</v>
          </cell>
          <cell r="AS322">
            <v>120</v>
          </cell>
          <cell r="AT322">
            <v>55</v>
          </cell>
          <cell r="BF322">
            <v>851.48255133498765</v>
          </cell>
        </row>
        <row r="323">
          <cell r="B323">
            <v>690</v>
          </cell>
          <cell r="C323">
            <v>47</v>
          </cell>
          <cell r="D323">
            <v>3</v>
          </cell>
          <cell r="E323">
            <v>85</v>
          </cell>
          <cell r="F323">
            <v>340</v>
          </cell>
          <cell r="G323">
            <v>37.5</v>
          </cell>
          <cell r="H323">
            <v>190</v>
          </cell>
          <cell r="J323">
            <v>153.30000000000001</v>
          </cell>
          <cell r="K323">
            <v>125</v>
          </cell>
          <cell r="L323">
            <v>125</v>
          </cell>
          <cell r="M323">
            <v>730</v>
          </cell>
          <cell r="N323">
            <v>180</v>
          </cell>
          <cell r="O323">
            <v>375</v>
          </cell>
          <cell r="P323">
            <v>50</v>
          </cell>
          <cell r="Q323">
            <v>21</v>
          </cell>
          <cell r="R323">
            <v>100</v>
          </cell>
          <cell r="S323">
            <v>60</v>
          </cell>
          <cell r="T323">
            <v>36</v>
          </cell>
          <cell r="W323">
            <v>20</v>
          </cell>
          <cell r="Y323">
            <v>3.5</v>
          </cell>
          <cell r="Z323">
            <v>230</v>
          </cell>
          <cell r="AA323">
            <v>306</v>
          </cell>
          <cell r="AB323">
            <v>60</v>
          </cell>
          <cell r="AD323">
            <v>180</v>
          </cell>
          <cell r="AE323">
            <v>1.1000000000000001</v>
          </cell>
          <cell r="AF323">
            <v>275</v>
          </cell>
          <cell r="AG323">
            <v>18</v>
          </cell>
          <cell r="AI323">
            <v>47</v>
          </cell>
          <cell r="AN323">
            <v>0.75</v>
          </cell>
          <cell r="AO323">
            <v>19</v>
          </cell>
          <cell r="AP323">
            <v>19</v>
          </cell>
          <cell r="AQ323">
            <v>5</v>
          </cell>
          <cell r="AR323">
            <v>120</v>
          </cell>
          <cell r="AS323">
            <v>120</v>
          </cell>
          <cell r="AT323">
            <v>55</v>
          </cell>
          <cell r="BF323">
            <v>873.6503236321596</v>
          </cell>
        </row>
        <row r="324">
          <cell r="B324">
            <v>690</v>
          </cell>
          <cell r="C324">
            <v>47</v>
          </cell>
          <cell r="D324">
            <v>3</v>
          </cell>
          <cell r="E324">
            <v>85</v>
          </cell>
          <cell r="F324">
            <v>340</v>
          </cell>
          <cell r="G324">
            <v>37.5</v>
          </cell>
          <cell r="H324">
            <v>190</v>
          </cell>
          <cell r="J324">
            <v>153.30000000000001</v>
          </cell>
          <cell r="K324">
            <v>125</v>
          </cell>
          <cell r="L324">
            <v>125</v>
          </cell>
          <cell r="M324">
            <v>730</v>
          </cell>
          <cell r="N324">
            <v>180</v>
          </cell>
          <cell r="O324">
            <v>375</v>
          </cell>
          <cell r="P324">
            <v>50</v>
          </cell>
          <cell r="Q324">
            <v>21</v>
          </cell>
          <cell r="R324">
            <v>100</v>
          </cell>
          <cell r="S324">
            <v>60</v>
          </cell>
          <cell r="T324">
            <v>36</v>
          </cell>
          <cell r="W324">
            <v>20</v>
          </cell>
          <cell r="Y324">
            <v>3.5</v>
          </cell>
          <cell r="Z324">
            <v>230</v>
          </cell>
          <cell r="AA324">
            <v>306</v>
          </cell>
          <cell r="AB324">
            <v>60</v>
          </cell>
          <cell r="AD324">
            <v>180</v>
          </cell>
          <cell r="AE324">
            <v>1.1000000000000001</v>
          </cell>
          <cell r="AF324">
            <v>275</v>
          </cell>
          <cell r="AG324">
            <v>18</v>
          </cell>
          <cell r="AI324">
            <v>47</v>
          </cell>
          <cell r="AN324">
            <v>0.75</v>
          </cell>
          <cell r="AO324">
            <v>19</v>
          </cell>
          <cell r="AP324">
            <v>19</v>
          </cell>
          <cell r="AQ324">
            <v>5</v>
          </cell>
          <cell r="AR324">
            <v>120</v>
          </cell>
          <cell r="AS324">
            <v>120</v>
          </cell>
          <cell r="AT324">
            <v>55</v>
          </cell>
          <cell r="BF324">
            <v>897.35047192634295</v>
          </cell>
        </row>
        <row r="325">
          <cell r="B325">
            <v>690</v>
          </cell>
          <cell r="C325">
            <v>47</v>
          </cell>
          <cell r="D325">
            <v>3</v>
          </cell>
          <cell r="E325">
            <v>85</v>
          </cell>
          <cell r="F325">
            <v>340</v>
          </cell>
          <cell r="G325">
            <v>37.5</v>
          </cell>
          <cell r="H325">
            <v>190</v>
          </cell>
          <cell r="J325">
            <v>153.30000000000001</v>
          </cell>
          <cell r="K325">
            <v>125</v>
          </cell>
          <cell r="L325">
            <v>125</v>
          </cell>
          <cell r="M325">
            <v>730</v>
          </cell>
          <cell r="N325">
            <v>180</v>
          </cell>
          <cell r="O325">
            <v>375</v>
          </cell>
          <cell r="P325">
            <v>50</v>
          </cell>
          <cell r="Q325">
            <v>21</v>
          </cell>
          <cell r="R325">
            <v>100</v>
          </cell>
          <cell r="S325">
            <v>60</v>
          </cell>
          <cell r="T325">
            <v>36</v>
          </cell>
          <cell r="W325">
            <v>20</v>
          </cell>
          <cell r="Y325">
            <v>3.5</v>
          </cell>
          <cell r="Z325">
            <v>230</v>
          </cell>
          <cell r="AA325">
            <v>306</v>
          </cell>
          <cell r="AB325">
            <v>60</v>
          </cell>
          <cell r="AD325">
            <v>180</v>
          </cell>
          <cell r="AE325">
            <v>1.1000000000000001</v>
          </cell>
          <cell r="AF325">
            <v>275</v>
          </cell>
          <cell r="AG325">
            <v>18</v>
          </cell>
          <cell r="AI325">
            <v>47</v>
          </cell>
          <cell r="AN325">
            <v>0.75</v>
          </cell>
          <cell r="AO325">
            <v>19</v>
          </cell>
          <cell r="AP325">
            <v>19</v>
          </cell>
          <cell r="AQ325">
            <v>5</v>
          </cell>
          <cell r="AR325">
            <v>120</v>
          </cell>
          <cell r="AS325">
            <v>120</v>
          </cell>
          <cell r="AT325">
            <v>55</v>
          </cell>
          <cell r="BF325">
            <v>555.07557469988899</v>
          </cell>
        </row>
        <row r="326">
          <cell r="B326">
            <v>690</v>
          </cell>
          <cell r="C326">
            <v>47</v>
          </cell>
          <cell r="D326">
            <v>3</v>
          </cell>
          <cell r="E326">
            <v>85</v>
          </cell>
          <cell r="F326">
            <v>340</v>
          </cell>
          <cell r="G326">
            <v>37.5</v>
          </cell>
          <cell r="H326">
            <v>190</v>
          </cell>
          <cell r="J326">
            <v>153.30000000000001</v>
          </cell>
          <cell r="K326">
            <v>125</v>
          </cell>
          <cell r="L326">
            <v>125</v>
          </cell>
          <cell r="M326">
            <v>730</v>
          </cell>
          <cell r="N326">
            <v>180</v>
          </cell>
          <cell r="O326">
            <v>375</v>
          </cell>
          <cell r="P326">
            <v>50</v>
          </cell>
          <cell r="Q326">
            <v>21</v>
          </cell>
          <cell r="R326">
            <v>100</v>
          </cell>
          <cell r="S326">
            <v>60</v>
          </cell>
          <cell r="T326">
            <v>36</v>
          </cell>
          <cell r="W326">
            <v>20</v>
          </cell>
          <cell r="Y326">
            <v>3.5</v>
          </cell>
          <cell r="Z326">
            <v>230</v>
          </cell>
          <cell r="AA326">
            <v>306</v>
          </cell>
          <cell r="AB326">
            <v>60</v>
          </cell>
          <cell r="AD326">
            <v>180</v>
          </cell>
          <cell r="AE326">
            <v>1.1000000000000001</v>
          </cell>
          <cell r="AF326">
            <v>275</v>
          </cell>
          <cell r="AG326">
            <v>18</v>
          </cell>
          <cell r="AI326">
            <v>47</v>
          </cell>
          <cell r="AN326">
            <v>0.75</v>
          </cell>
          <cell r="AO326">
            <v>19</v>
          </cell>
          <cell r="AP326">
            <v>19</v>
          </cell>
          <cell r="AQ326">
            <v>5</v>
          </cell>
          <cell r="AR326">
            <v>120</v>
          </cell>
          <cell r="AS326">
            <v>120</v>
          </cell>
          <cell r="AT326">
            <v>55</v>
          </cell>
          <cell r="BF326">
            <v>797.98282714860181</v>
          </cell>
        </row>
        <row r="327">
          <cell r="B327">
            <v>690</v>
          </cell>
          <cell r="C327">
            <v>47</v>
          </cell>
          <cell r="D327">
            <v>3</v>
          </cell>
          <cell r="E327">
            <v>85</v>
          </cell>
          <cell r="F327">
            <v>340</v>
          </cell>
          <cell r="G327">
            <v>37.5</v>
          </cell>
          <cell r="H327">
            <v>190</v>
          </cell>
          <cell r="J327">
            <v>153.30000000000001</v>
          </cell>
          <cell r="K327">
            <v>125</v>
          </cell>
          <cell r="L327">
            <v>125</v>
          </cell>
          <cell r="M327">
            <v>730</v>
          </cell>
          <cell r="N327">
            <v>180</v>
          </cell>
          <cell r="O327">
            <v>375</v>
          </cell>
          <cell r="P327">
            <v>50</v>
          </cell>
          <cell r="Q327">
            <v>21</v>
          </cell>
          <cell r="R327">
            <v>100</v>
          </cell>
          <cell r="S327">
            <v>60</v>
          </cell>
          <cell r="T327">
            <v>36</v>
          </cell>
          <cell r="W327">
            <v>20</v>
          </cell>
          <cell r="Y327">
            <v>3.5</v>
          </cell>
          <cell r="Z327">
            <v>230</v>
          </cell>
          <cell r="AA327">
            <v>306</v>
          </cell>
          <cell r="AB327">
            <v>60</v>
          </cell>
          <cell r="AD327">
            <v>180</v>
          </cell>
          <cell r="AE327">
            <v>1.1000000000000001</v>
          </cell>
          <cell r="AF327">
            <v>275</v>
          </cell>
          <cell r="AG327">
            <v>18</v>
          </cell>
          <cell r="AI327">
            <v>47</v>
          </cell>
          <cell r="AN327">
            <v>0.75</v>
          </cell>
          <cell r="AO327">
            <v>19</v>
          </cell>
          <cell r="AP327">
            <v>19</v>
          </cell>
          <cell r="AQ327">
            <v>5</v>
          </cell>
          <cell r="AR327">
            <v>120</v>
          </cell>
          <cell r="AS327">
            <v>120</v>
          </cell>
          <cell r="AT327">
            <v>55</v>
          </cell>
          <cell r="BF327">
            <v>550.31804358675345</v>
          </cell>
        </row>
        <row r="328">
          <cell r="B328">
            <v>690</v>
          </cell>
          <cell r="C328">
            <v>47</v>
          </cell>
          <cell r="D328">
            <v>3</v>
          </cell>
          <cell r="E328">
            <v>85</v>
          </cell>
          <cell r="F328">
            <v>340</v>
          </cell>
          <cell r="G328">
            <v>37.5</v>
          </cell>
          <cell r="H328">
            <v>190</v>
          </cell>
          <cell r="J328">
            <v>153.30000000000001</v>
          </cell>
          <cell r="K328">
            <v>125</v>
          </cell>
          <cell r="L328">
            <v>125</v>
          </cell>
          <cell r="M328">
            <v>730</v>
          </cell>
          <cell r="N328">
            <v>180</v>
          </cell>
          <cell r="O328">
            <v>375</v>
          </cell>
          <cell r="P328">
            <v>50</v>
          </cell>
          <cell r="Q328">
            <v>21</v>
          </cell>
          <cell r="R328">
            <v>100</v>
          </cell>
          <cell r="S328">
            <v>60</v>
          </cell>
          <cell r="T328">
            <v>36</v>
          </cell>
          <cell r="W328">
            <v>20</v>
          </cell>
          <cell r="Y328">
            <v>3.5</v>
          </cell>
          <cell r="Z328">
            <v>230</v>
          </cell>
          <cell r="AA328">
            <v>306</v>
          </cell>
          <cell r="AB328">
            <v>60</v>
          </cell>
          <cell r="AD328">
            <v>180</v>
          </cell>
          <cell r="AE328">
            <v>1.1000000000000001</v>
          </cell>
          <cell r="AF328">
            <v>275</v>
          </cell>
          <cell r="AG328">
            <v>18</v>
          </cell>
          <cell r="AI328">
            <v>47</v>
          </cell>
          <cell r="AN328">
            <v>0.75</v>
          </cell>
          <cell r="AO328">
            <v>19</v>
          </cell>
          <cell r="AP328">
            <v>19</v>
          </cell>
          <cell r="AQ328">
            <v>5</v>
          </cell>
          <cell r="AR328">
            <v>120</v>
          </cell>
          <cell r="AS328">
            <v>120</v>
          </cell>
          <cell r="AT328">
            <v>55</v>
          </cell>
          <cell r="BF328">
            <v>646.61731238915843</v>
          </cell>
        </row>
        <row r="329">
          <cell r="B329">
            <v>690</v>
          </cell>
          <cell r="C329">
            <v>47</v>
          </cell>
          <cell r="D329">
            <v>3</v>
          </cell>
          <cell r="E329">
            <v>85</v>
          </cell>
          <cell r="F329">
            <v>340</v>
          </cell>
          <cell r="G329">
            <v>37.5</v>
          </cell>
          <cell r="H329">
            <v>190</v>
          </cell>
          <cell r="J329">
            <v>153.30000000000001</v>
          </cell>
          <cell r="K329">
            <v>125</v>
          </cell>
          <cell r="L329">
            <v>125</v>
          </cell>
          <cell r="M329">
            <v>730</v>
          </cell>
          <cell r="N329">
            <v>180</v>
          </cell>
          <cell r="O329">
            <v>375</v>
          </cell>
          <cell r="P329">
            <v>50</v>
          </cell>
          <cell r="Q329">
            <v>21</v>
          </cell>
          <cell r="R329">
            <v>100</v>
          </cell>
          <cell r="S329">
            <v>60</v>
          </cell>
          <cell r="T329">
            <v>36</v>
          </cell>
          <cell r="W329">
            <v>20</v>
          </cell>
          <cell r="Y329">
            <v>3.5</v>
          </cell>
          <cell r="Z329">
            <v>230</v>
          </cell>
          <cell r="AA329">
            <v>306</v>
          </cell>
          <cell r="AB329">
            <v>60</v>
          </cell>
          <cell r="AD329">
            <v>180</v>
          </cell>
          <cell r="AE329">
            <v>1.1000000000000001</v>
          </cell>
          <cell r="AF329">
            <v>275</v>
          </cell>
          <cell r="AG329">
            <v>18</v>
          </cell>
          <cell r="AI329">
            <v>47</v>
          </cell>
          <cell r="AN329">
            <v>0.75</v>
          </cell>
          <cell r="AO329">
            <v>19</v>
          </cell>
          <cell r="AP329">
            <v>19</v>
          </cell>
          <cell r="AQ329">
            <v>5</v>
          </cell>
          <cell r="AR329">
            <v>120</v>
          </cell>
          <cell r="AS329">
            <v>120</v>
          </cell>
          <cell r="AT329">
            <v>55</v>
          </cell>
          <cell r="BF329">
            <v>778.96258241509508</v>
          </cell>
        </row>
        <row r="330">
          <cell r="B330">
            <v>690</v>
          </cell>
          <cell r="C330">
            <v>47</v>
          </cell>
          <cell r="D330">
            <v>3</v>
          </cell>
          <cell r="E330">
            <v>85</v>
          </cell>
          <cell r="F330">
            <v>340</v>
          </cell>
          <cell r="G330">
            <v>37.5</v>
          </cell>
          <cell r="H330">
            <v>190</v>
          </cell>
          <cell r="J330">
            <v>153.30000000000001</v>
          </cell>
          <cell r="K330">
            <v>125</v>
          </cell>
          <cell r="L330">
            <v>125</v>
          </cell>
          <cell r="M330">
            <v>730</v>
          </cell>
          <cell r="N330">
            <v>180</v>
          </cell>
          <cell r="O330">
            <v>375</v>
          </cell>
          <cell r="P330">
            <v>50</v>
          </cell>
          <cell r="Q330">
            <v>21</v>
          </cell>
          <cell r="R330">
            <v>100</v>
          </cell>
          <cell r="S330">
            <v>60</v>
          </cell>
          <cell r="T330">
            <v>36</v>
          </cell>
          <cell r="W330">
            <v>20</v>
          </cell>
          <cell r="Y330">
            <v>3.5</v>
          </cell>
          <cell r="Z330">
            <v>230</v>
          </cell>
          <cell r="AA330">
            <v>306</v>
          </cell>
          <cell r="AB330">
            <v>60</v>
          </cell>
          <cell r="AD330">
            <v>180</v>
          </cell>
          <cell r="AE330">
            <v>1.1000000000000001</v>
          </cell>
          <cell r="AF330">
            <v>275</v>
          </cell>
          <cell r="AG330">
            <v>18</v>
          </cell>
          <cell r="AI330">
            <v>47</v>
          </cell>
          <cell r="AN330">
            <v>0.75</v>
          </cell>
          <cell r="AO330">
            <v>19</v>
          </cell>
          <cell r="AP330">
            <v>19</v>
          </cell>
          <cell r="AQ330">
            <v>5</v>
          </cell>
          <cell r="AR330">
            <v>120</v>
          </cell>
          <cell r="AS330">
            <v>120</v>
          </cell>
          <cell r="AT330">
            <v>55</v>
          </cell>
          <cell r="BF330">
            <v>758.41685510584648</v>
          </cell>
        </row>
        <row r="331">
          <cell r="B331">
            <v>690</v>
          </cell>
          <cell r="C331">
            <v>47</v>
          </cell>
          <cell r="D331">
            <v>3</v>
          </cell>
          <cell r="E331">
            <v>85</v>
          </cell>
          <cell r="F331">
            <v>340</v>
          </cell>
          <cell r="G331">
            <v>37.5</v>
          </cell>
          <cell r="H331">
            <v>190</v>
          </cell>
          <cell r="J331">
            <v>153.30000000000001</v>
          </cell>
          <cell r="K331">
            <v>125</v>
          </cell>
          <cell r="L331">
            <v>125</v>
          </cell>
          <cell r="M331">
            <v>730</v>
          </cell>
          <cell r="N331">
            <v>180</v>
          </cell>
          <cell r="O331">
            <v>375</v>
          </cell>
          <cell r="P331">
            <v>50</v>
          </cell>
          <cell r="Q331">
            <v>21</v>
          </cell>
          <cell r="R331">
            <v>100</v>
          </cell>
          <cell r="S331">
            <v>60</v>
          </cell>
          <cell r="T331">
            <v>36</v>
          </cell>
          <cell r="W331">
            <v>20</v>
          </cell>
          <cell r="Y331">
            <v>3.5</v>
          </cell>
          <cell r="Z331">
            <v>230</v>
          </cell>
          <cell r="AA331">
            <v>306</v>
          </cell>
          <cell r="AB331">
            <v>60</v>
          </cell>
          <cell r="AD331">
            <v>180</v>
          </cell>
          <cell r="AE331">
            <v>1.1000000000000001</v>
          </cell>
          <cell r="AF331">
            <v>275</v>
          </cell>
          <cell r="AG331">
            <v>18</v>
          </cell>
          <cell r="AI331">
            <v>47</v>
          </cell>
          <cell r="AN331">
            <v>0.75</v>
          </cell>
          <cell r="AO331">
            <v>19</v>
          </cell>
          <cell r="AP331">
            <v>19</v>
          </cell>
          <cell r="AQ331">
            <v>5</v>
          </cell>
          <cell r="AR331">
            <v>120</v>
          </cell>
          <cell r="AS331">
            <v>120</v>
          </cell>
          <cell r="AT331">
            <v>55</v>
          </cell>
          <cell r="BF331">
            <v>781.49647749396775</v>
          </cell>
        </row>
        <row r="332">
          <cell r="B332">
            <v>690</v>
          </cell>
          <cell r="C332">
            <v>47</v>
          </cell>
          <cell r="D332">
            <v>3</v>
          </cell>
          <cell r="E332">
            <v>85</v>
          </cell>
          <cell r="F332">
            <v>340</v>
          </cell>
          <cell r="G332">
            <v>37.5</v>
          </cell>
          <cell r="H332">
            <v>190</v>
          </cell>
          <cell r="J332">
            <v>153.30000000000001</v>
          </cell>
          <cell r="K332">
            <v>125</v>
          </cell>
          <cell r="L332">
            <v>125</v>
          </cell>
          <cell r="M332">
            <v>730</v>
          </cell>
          <cell r="N332">
            <v>180</v>
          </cell>
          <cell r="O332">
            <v>375</v>
          </cell>
          <cell r="P332">
            <v>50</v>
          </cell>
          <cell r="Q332">
            <v>21</v>
          </cell>
          <cell r="R332">
            <v>100</v>
          </cell>
          <cell r="S332">
            <v>60</v>
          </cell>
          <cell r="T332">
            <v>36</v>
          </cell>
          <cell r="W332">
            <v>20</v>
          </cell>
          <cell r="Y332">
            <v>3.5</v>
          </cell>
          <cell r="Z332">
            <v>230</v>
          </cell>
          <cell r="AA332">
            <v>306</v>
          </cell>
          <cell r="AB332">
            <v>60</v>
          </cell>
          <cell r="AD332">
            <v>180</v>
          </cell>
          <cell r="AE332">
            <v>1.1000000000000001</v>
          </cell>
          <cell r="AF332">
            <v>275</v>
          </cell>
          <cell r="AG332">
            <v>18</v>
          </cell>
          <cell r="AI332">
            <v>47</v>
          </cell>
          <cell r="AN332">
            <v>0.75</v>
          </cell>
          <cell r="AO332">
            <v>19</v>
          </cell>
          <cell r="AP332">
            <v>19</v>
          </cell>
          <cell r="AQ332">
            <v>5</v>
          </cell>
          <cell r="AR332">
            <v>120</v>
          </cell>
          <cell r="AS332">
            <v>120</v>
          </cell>
          <cell r="AT332">
            <v>55</v>
          </cell>
          <cell r="BF332">
            <v>821.62754181520154</v>
          </cell>
        </row>
        <row r="333">
          <cell r="B333">
            <v>690</v>
          </cell>
          <cell r="C333">
            <v>47</v>
          </cell>
          <cell r="D333">
            <v>3</v>
          </cell>
          <cell r="E333">
            <v>85</v>
          </cell>
          <cell r="F333">
            <v>340</v>
          </cell>
          <cell r="G333">
            <v>37.5</v>
          </cell>
          <cell r="H333">
            <v>190</v>
          </cell>
          <cell r="J333">
            <v>153.30000000000001</v>
          </cell>
          <cell r="K333">
            <v>125</v>
          </cell>
          <cell r="L333">
            <v>125</v>
          </cell>
          <cell r="M333">
            <v>730</v>
          </cell>
          <cell r="N333">
            <v>180</v>
          </cell>
          <cell r="O333">
            <v>375</v>
          </cell>
          <cell r="P333">
            <v>50</v>
          </cell>
          <cell r="Q333">
            <v>21</v>
          </cell>
          <cell r="R333">
            <v>100</v>
          </cell>
          <cell r="S333">
            <v>60</v>
          </cell>
          <cell r="T333">
            <v>36</v>
          </cell>
          <cell r="W333">
            <v>20</v>
          </cell>
          <cell r="Y333">
            <v>3.5</v>
          </cell>
          <cell r="Z333">
            <v>230</v>
          </cell>
          <cell r="AA333">
            <v>306</v>
          </cell>
          <cell r="AB333">
            <v>60</v>
          </cell>
          <cell r="AD333">
            <v>180</v>
          </cell>
          <cell r="AE333">
            <v>1.1000000000000001</v>
          </cell>
          <cell r="AF333">
            <v>275</v>
          </cell>
          <cell r="AG333">
            <v>18</v>
          </cell>
          <cell r="AI333">
            <v>47</v>
          </cell>
          <cell r="AN333">
            <v>0.75</v>
          </cell>
          <cell r="AO333">
            <v>19</v>
          </cell>
          <cell r="AP333">
            <v>19</v>
          </cell>
          <cell r="AQ333">
            <v>5</v>
          </cell>
          <cell r="AR333">
            <v>120</v>
          </cell>
          <cell r="AS333">
            <v>120</v>
          </cell>
          <cell r="AT333">
            <v>55</v>
          </cell>
          <cell r="BF333">
            <v>920.32507605776982</v>
          </cell>
        </row>
        <row r="334">
          <cell r="B334">
            <v>690</v>
          </cell>
          <cell r="C334">
            <v>47</v>
          </cell>
          <cell r="D334">
            <v>3</v>
          </cell>
          <cell r="E334">
            <v>85</v>
          </cell>
          <cell r="F334">
            <v>340</v>
          </cell>
          <cell r="G334">
            <v>37.5</v>
          </cell>
          <cell r="H334">
            <v>190</v>
          </cell>
          <cell r="J334">
            <v>153.30000000000001</v>
          </cell>
          <cell r="K334">
            <v>125</v>
          </cell>
          <cell r="L334">
            <v>125</v>
          </cell>
          <cell r="M334">
            <v>730</v>
          </cell>
          <cell r="N334">
            <v>180</v>
          </cell>
          <cell r="O334">
            <v>375</v>
          </cell>
          <cell r="P334">
            <v>50</v>
          </cell>
          <cell r="Q334">
            <v>21</v>
          </cell>
          <cell r="R334">
            <v>100</v>
          </cell>
          <cell r="S334">
            <v>60</v>
          </cell>
          <cell r="T334">
            <v>36</v>
          </cell>
          <cell r="W334">
            <v>20</v>
          </cell>
          <cell r="Y334">
            <v>3.5</v>
          </cell>
          <cell r="Z334">
            <v>230</v>
          </cell>
          <cell r="AA334">
            <v>306</v>
          </cell>
          <cell r="AB334">
            <v>60</v>
          </cell>
          <cell r="AD334">
            <v>180</v>
          </cell>
          <cell r="AE334">
            <v>1.1000000000000001</v>
          </cell>
          <cell r="AF334">
            <v>275</v>
          </cell>
          <cell r="AG334">
            <v>18</v>
          </cell>
          <cell r="AI334">
            <v>47</v>
          </cell>
          <cell r="AN334">
            <v>0.75</v>
          </cell>
          <cell r="AO334">
            <v>19</v>
          </cell>
          <cell r="AP334">
            <v>19</v>
          </cell>
          <cell r="AQ334">
            <v>5</v>
          </cell>
          <cell r="AR334">
            <v>120</v>
          </cell>
          <cell r="AS334">
            <v>120</v>
          </cell>
          <cell r="AT334">
            <v>55</v>
          </cell>
          <cell r="BF334">
            <v>948.3027045618536</v>
          </cell>
        </row>
        <row r="335">
          <cell r="B335">
            <v>690</v>
          </cell>
          <cell r="C335">
            <v>47</v>
          </cell>
          <cell r="D335">
            <v>3</v>
          </cell>
          <cell r="E335">
            <v>85</v>
          </cell>
          <cell r="F335">
            <v>340</v>
          </cell>
          <cell r="G335">
            <v>37.5</v>
          </cell>
          <cell r="H335">
            <v>190</v>
          </cell>
          <cell r="J335">
            <v>153.30000000000001</v>
          </cell>
          <cell r="K335">
            <v>125</v>
          </cell>
          <cell r="L335">
            <v>125</v>
          </cell>
          <cell r="M335">
            <v>730</v>
          </cell>
          <cell r="N335">
            <v>180</v>
          </cell>
          <cell r="O335">
            <v>375</v>
          </cell>
          <cell r="P335">
            <v>50</v>
          </cell>
          <cell r="Q335">
            <v>21</v>
          </cell>
          <cell r="R335">
            <v>100</v>
          </cell>
          <cell r="S335">
            <v>60</v>
          </cell>
          <cell r="T335">
            <v>36</v>
          </cell>
          <cell r="W335">
            <v>20</v>
          </cell>
          <cell r="Y335">
            <v>3.5</v>
          </cell>
          <cell r="Z335">
            <v>230</v>
          </cell>
          <cell r="AA335">
            <v>306</v>
          </cell>
          <cell r="AB335">
            <v>60</v>
          </cell>
          <cell r="AD335">
            <v>180</v>
          </cell>
          <cell r="AE335">
            <v>1.1000000000000001</v>
          </cell>
          <cell r="AF335">
            <v>275</v>
          </cell>
          <cell r="AG335">
            <v>18</v>
          </cell>
          <cell r="AI335">
            <v>47</v>
          </cell>
          <cell r="AN335">
            <v>0.75</v>
          </cell>
          <cell r="AO335">
            <v>19</v>
          </cell>
          <cell r="AP335">
            <v>19</v>
          </cell>
          <cell r="AQ335">
            <v>5</v>
          </cell>
          <cell r="AR335">
            <v>120</v>
          </cell>
          <cell r="AS335">
            <v>120</v>
          </cell>
          <cell r="AT335">
            <v>55</v>
          </cell>
          <cell r="BF335">
            <v>976.61984840710909</v>
          </cell>
        </row>
        <row r="336">
          <cell r="B336">
            <v>690</v>
          </cell>
          <cell r="C336">
            <v>47</v>
          </cell>
          <cell r="D336">
            <v>3</v>
          </cell>
          <cell r="E336">
            <v>85</v>
          </cell>
          <cell r="F336">
            <v>340</v>
          </cell>
          <cell r="G336">
            <v>37.5</v>
          </cell>
          <cell r="H336">
            <v>190</v>
          </cell>
          <cell r="J336">
            <v>153.30000000000001</v>
          </cell>
          <cell r="K336">
            <v>125</v>
          </cell>
          <cell r="L336">
            <v>125</v>
          </cell>
          <cell r="M336">
            <v>730</v>
          </cell>
          <cell r="N336">
            <v>180</v>
          </cell>
          <cell r="O336">
            <v>375</v>
          </cell>
          <cell r="P336">
            <v>50</v>
          </cell>
          <cell r="Q336">
            <v>21</v>
          </cell>
          <cell r="R336">
            <v>100</v>
          </cell>
          <cell r="S336">
            <v>60</v>
          </cell>
          <cell r="T336">
            <v>36</v>
          </cell>
          <cell r="W336">
            <v>20</v>
          </cell>
          <cell r="Y336">
            <v>3.5</v>
          </cell>
          <cell r="Z336">
            <v>230</v>
          </cell>
          <cell r="AA336">
            <v>306</v>
          </cell>
          <cell r="AB336">
            <v>60</v>
          </cell>
          <cell r="AD336">
            <v>180</v>
          </cell>
          <cell r="AE336">
            <v>1.1000000000000001</v>
          </cell>
          <cell r="AF336">
            <v>275</v>
          </cell>
          <cell r="AG336">
            <v>18</v>
          </cell>
          <cell r="AI336">
            <v>47</v>
          </cell>
          <cell r="AN336">
            <v>0.75</v>
          </cell>
          <cell r="AO336">
            <v>19</v>
          </cell>
          <cell r="AP336">
            <v>19</v>
          </cell>
          <cell r="AQ336">
            <v>5</v>
          </cell>
          <cell r="AR336">
            <v>120</v>
          </cell>
          <cell r="AS336">
            <v>120</v>
          </cell>
          <cell r="AT336">
            <v>55</v>
          </cell>
          <cell r="BF336">
            <v>1005.5726612755556</v>
          </cell>
        </row>
        <row r="337">
          <cell r="B337">
            <v>690</v>
          </cell>
          <cell r="C337">
            <v>47</v>
          </cell>
          <cell r="D337">
            <v>3</v>
          </cell>
          <cell r="E337">
            <v>85</v>
          </cell>
          <cell r="F337">
            <v>340</v>
          </cell>
          <cell r="G337">
            <v>37.5</v>
          </cell>
          <cell r="H337">
            <v>190</v>
          </cell>
          <cell r="J337">
            <v>153.30000000000001</v>
          </cell>
          <cell r="K337">
            <v>125</v>
          </cell>
          <cell r="L337">
            <v>125</v>
          </cell>
          <cell r="M337">
            <v>730</v>
          </cell>
          <cell r="N337">
            <v>180</v>
          </cell>
          <cell r="O337">
            <v>375</v>
          </cell>
          <cell r="P337">
            <v>50</v>
          </cell>
          <cell r="Q337">
            <v>21</v>
          </cell>
          <cell r="R337">
            <v>100</v>
          </cell>
          <cell r="S337">
            <v>60</v>
          </cell>
          <cell r="T337">
            <v>36</v>
          </cell>
          <cell r="W337">
            <v>20</v>
          </cell>
          <cell r="Y337">
            <v>3.5</v>
          </cell>
          <cell r="Z337">
            <v>230</v>
          </cell>
          <cell r="AA337">
            <v>306</v>
          </cell>
          <cell r="AB337">
            <v>60</v>
          </cell>
          <cell r="AD337">
            <v>180</v>
          </cell>
          <cell r="AE337">
            <v>1.1000000000000001</v>
          </cell>
          <cell r="AF337">
            <v>275</v>
          </cell>
          <cell r="AG337">
            <v>18</v>
          </cell>
          <cell r="AI337">
            <v>47</v>
          </cell>
          <cell r="AN337">
            <v>0.75</v>
          </cell>
          <cell r="AO337">
            <v>19</v>
          </cell>
          <cell r="AP337">
            <v>19</v>
          </cell>
          <cell r="AQ337">
            <v>5</v>
          </cell>
          <cell r="AR337">
            <v>120</v>
          </cell>
          <cell r="AS337">
            <v>120</v>
          </cell>
          <cell r="AT337">
            <v>55</v>
          </cell>
          <cell r="BF337">
            <v>617.68069220226675</v>
          </cell>
        </row>
        <row r="338">
          <cell r="B338">
            <v>690</v>
          </cell>
          <cell r="C338">
            <v>47</v>
          </cell>
          <cell r="D338">
            <v>3</v>
          </cell>
          <cell r="E338">
            <v>85</v>
          </cell>
          <cell r="F338">
            <v>340</v>
          </cell>
          <cell r="G338">
            <v>37.5</v>
          </cell>
          <cell r="H338">
            <v>190</v>
          </cell>
          <cell r="J338">
            <v>153.30000000000001</v>
          </cell>
          <cell r="K338">
            <v>125</v>
          </cell>
          <cell r="L338">
            <v>125</v>
          </cell>
          <cell r="M338">
            <v>730</v>
          </cell>
          <cell r="N338">
            <v>180</v>
          </cell>
          <cell r="O338">
            <v>375</v>
          </cell>
          <cell r="P338">
            <v>50</v>
          </cell>
          <cell r="Q338">
            <v>21</v>
          </cell>
          <cell r="R338">
            <v>100</v>
          </cell>
          <cell r="S338">
            <v>60</v>
          </cell>
          <cell r="T338">
            <v>36</v>
          </cell>
          <cell r="W338">
            <v>20</v>
          </cell>
          <cell r="Y338">
            <v>3.5</v>
          </cell>
          <cell r="Z338">
            <v>230</v>
          </cell>
          <cell r="AA338">
            <v>306</v>
          </cell>
          <cell r="AB338">
            <v>60</v>
          </cell>
          <cell r="AD338">
            <v>180</v>
          </cell>
          <cell r="AE338">
            <v>1.1000000000000001</v>
          </cell>
          <cell r="AF338">
            <v>275</v>
          </cell>
          <cell r="AG338">
            <v>18</v>
          </cell>
          <cell r="AI338">
            <v>47</v>
          </cell>
          <cell r="AN338">
            <v>0.75</v>
          </cell>
          <cell r="AO338">
            <v>19</v>
          </cell>
          <cell r="AP338">
            <v>19</v>
          </cell>
          <cell r="AQ338">
            <v>5</v>
          </cell>
          <cell r="AR338">
            <v>120</v>
          </cell>
          <cell r="AS338">
            <v>120</v>
          </cell>
          <cell r="AT338">
            <v>55</v>
          </cell>
          <cell r="BF338">
            <v>890.44610003959474</v>
          </cell>
        </row>
        <row r="339">
          <cell r="B339">
            <v>690</v>
          </cell>
          <cell r="C339">
            <v>47</v>
          </cell>
          <cell r="D339">
            <v>3</v>
          </cell>
          <cell r="E339">
            <v>85</v>
          </cell>
          <cell r="F339">
            <v>340</v>
          </cell>
          <cell r="G339">
            <v>37.5</v>
          </cell>
          <cell r="H339">
            <v>190</v>
          </cell>
          <cell r="J339">
            <v>153.30000000000001</v>
          </cell>
          <cell r="K339">
            <v>125</v>
          </cell>
          <cell r="L339">
            <v>125</v>
          </cell>
          <cell r="M339">
            <v>730</v>
          </cell>
          <cell r="N339">
            <v>180</v>
          </cell>
          <cell r="O339">
            <v>375</v>
          </cell>
          <cell r="P339">
            <v>50</v>
          </cell>
          <cell r="Q339">
            <v>21</v>
          </cell>
          <cell r="R339">
            <v>100</v>
          </cell>
          <cell r="S339">
            <v>60</v>
          </cell>
          <cell r="T339">
            <v>36</v>
          </cell>
          <cell r="W339">
            <v>20</v>
          </cell>
          <cell r="Y339">
            <v>3.5</v>
          </cell>
          <cell r="Z339">
            <v>230</v>
          </cell>
          <cell r="AA339">
            <v>306</v>
          </cell>
          <cell r="AB339">
            <v>60</v>
          </cell>
          <cell r="AD339">
            <v>180</v>
          </cell>
          <cell r="AE339">
            <v>1.1000000000000001</v>
          </cell>
          <cell r="AF339">
            <v>275</v>
          </cell>
          <cell r="AG339">
            <v>18</v>
          </cell>
          <cell r="AI339">
            <v>47</v>
          </cell>
          <cell r="AN339">
            <v>0.75</v>
          </cell>
          <cell r="AO339">
            <v>19</v>
          </cell>
          <cell r="AP339">
            <v>19</v>
          </cell>
          <cell r="AQ339">
            <v>5</v>
          </cell>
          <cell r="AR339">
            <v>120</v>
          </cell>
          <cell r="AS339">
            <v>120</v>
          </cell>
          <cell r="AT339">
            <v>55</v>
          </cell>
          <cell r="BF339">
            <v>611.09715745657581</v>
          </cell>
        </row>
        <row r="340">
          <cell r="B340">
            <v>690</v>
          </cell>
          <cell r="C340">
            <v>47</v>
          </cell>
          <cell r="D340">
            <v>3</v>
          </cell>
          <cell r="E340">
            <v>85</v>
          </cell>
          <cell r="F340">
            <v>340</v>
          </cell>
          <cell r="G340">
            <v>37.5</v>
          </cell>
          <cell r="H340">
            <v>190</v>
          </cell>
          <cell r="J340">
            <v>153.30000000000001</v>
          </cell>
          <cell r="K340">
            <v>125</v>
          </cell>
          <cell r="L340">
            <v>125</v>
          </cell>
          <cell r="M340">
            <v>730</v>
          </cell>
          <cell r="N340">
            <v>180</v>
          </cell>
          <cell r="O340">
            <v>375</v>
          </cell>
          <cell r="P340">
            <v>50</v>
          </cell>
          <cell r="Q340">
            <v>21</v>
          </cell>
          <cell r="R340">
            <v>100</v>
          </cell>
          <cell r="S340">
            <v>60</v>
          </cell>
          <cell r="T340">
            <v>36</v>
          </cell>
          <cell r="W340">
            <v>20</v>
          </cell>
          <cell r="Y340">
            <v>3.5</v>
          </cell>
          <cell r="Z340">
            <v>230</v>
          </cell>
          <cell r="AA340">
            <v>306</v>
          </cell>
          <cell r="AB340">
            <v>60</v>
          </cell>
          <cell r="AD340">
            <v>180</v>
          </cell>
          <cell r="AE340">
            <v>1.1000000000000001</v>
          </cell>
          <cell r="AF340">
            <v>275</v>
          </cell>
          <cell r="AG340">
            <v>18</v>
          </cell>
          <cell r="AI340">
            <v>47</v>
          </cell>
          <cell r="AN340">
            <v>0.75</v>
          </cell>
          <cell r="AO340">
            <v>19</v>
          </cell>
          <cell r="AP340">
            <v>19</v>
          </cell>
          <cell r="AQ340">
            <v>5</v>
          </cell>
          <cell r="AR340">
            <v>120</v>
          </cell>
          <cell r="AS340">
            <v>120</v>
          </cell>
          <cell r="AT340">
            <v>55</v>
          </cell>
          <cell r="BF340">
            <v>719.80093675078683</v>
          </cell>
        </row>
        <row r="341">
          <cell r="B341">
            <v>690</v>
          </cell>
          <cell r="C341">
            <v>47</v>
          </cell>
          <cell r="D341">
            <v>3</v>
          </cell>
          <cell r="E341">
            <v>85</v>
          </cell>
          <cell r="F341">
            <v>340</v>
          </cell>
          <cell r="G341">
            <v>37.5</v>
          </cell>
          <cell r="H341">
            <v>190</v>
          </cell>
          <cell r="J341">
            <v>153.30000000000001</v>
          </cell>
          <cell r="K341">
            <v>125</v>
          </cell>
          <cell r="L341">
            <v>125</v>
          </cell>
          <cell r="M341">
            <v>730</v>
          </cell>
          <cell r="N341">
            <v>180</v>
          </cell>
          <cell r="O341">
            <v>375</v>
          </cell>
          <cell r="P341">
            <v>50</v>
          </cell>
          <cell r="Q341">
            <v>21</v>
          </cell>
          <cell r="R341">
            <v>100</v>
          </cell>
          <cell r="S341">
            <v>60</v>
          </cell>
          <cell r="T341">
            <v>36</v>
          </cell>
          <cell r="W341">
            <v>20</v>
          </cell>
          <cell r="Y341">
            <v>3.5</v>
          </cell>
          <cell r="Z341">
            <v>230</v>
          </cell>
          <cell r="AA341">
            <v>306</v>
          </cell>
          <cell r="AB341">
            <v>60</v>
          </cell>
          <cell r="AD341">
            <v>180</v>
          </cell>
          <cell r="AE341">
            <v>1.1000000000000001</v>
          </cell>
          <cell r="AF341">
            <v>275</v>
          </cell>
          <cell r="AG341">
            <v>18</v>
          </cell>
          <cell r="AI341">
            <v>47</v>
          </cell>
          <cell r="AN341">
            <v>0.75</v>
          </cell>
          <cell r="AO341">
            <v>19</v>
          </cell>
          <cell r="AP341">
            <v>19</v>
          </cell>
          <cell r="AQ341">
            <v>5</v>
          </cell>
          <cell r="AR341">
            <v>120</v>
          </cell>
          <cell r="AS341">
            <v>120</v>
          </cell>
          <cell r="AT341">
            <v>55</v>
          </cell>
          <cell r="BF341">
            <v>867.84490340193292</v>
          </cell>
        </row>
        <row r="342">
          <cell r="B342">
            <v>690</v>
          </cell>
          <cell r="C342">
            <v>47</v>
          </cell>
          <cell r="D342">
            <v>3</v>
          </cell>
          <cell r="E342">
            <v>85</v>
          </cell>
          <cell r="F342">
            <v>340</v>
          </cell>
          <cell r="G342">
            <v>37.5</v>
          </cell>
          <cell r="H342">
            <v>190</v>
          </cell>
          <cell r="J342">
            <v>153.30000000000001</v>
          </cell>
          <cell r="K342">
            <v>125</v>
          </cell>
          <cell r="L342">
            <v>125</v>
          </cell>
          <cell r="M342">
            <v>730</v>
          </cell>
          <cell r="N342">
            <v>180</v>
          </cell>
          <cell r="O342">
            <v>375</v>
          </cell>
          <cell r="P342">
            <v>50</v>
          </cell>
          <cell r="Q342">
            <v>21</v>
          </cell>
          <cell r="R342">
            <v>100</v>
          </cell>
          <cell r="S342">
            <v>60</v>
          </cell>
          <cell r="T342">
            <v>36</v>
          </cell>
          <cell r="W342">
            <v>20</v>
          </cell>
          <cell r="Y342">
            <v>3.5</v>
          </cell>
          <cell r="Z342">
            <v>230</v>
          </cell>
          <cell r="AA342">
            <v>306</v>
          </cell>
          <cell r="AB342">
            <v>60</v>
          </cell>
          <cell r="AD342">
            <v>180</v>
          </cell>
          <cell r="AE342">
            <v>1.1000000000000001</v>
          </cell>
          <cell r="AF342">
            <v>275</v>
          </cell>
          <cell r="AG342">
            <v>18</v>
          </cell>
          <cell r="AI342">
            <v>47</v>
          </cell>
          <cell r="AN342">
            <v>0.75</v>
          </cell>
          <cell r="AO342">
            <v>19</v>
          </cell>
          <cell r="AP342">
            <v>19</v>
          </cell>
          <cell r="AQ342">
            <v>5</v>
          </cell>
          <cell r="AR342">
            <v>120</v>
          </cell>
          <cell r="AS342">
            <v>120</v>
          </cell>
          <cell r="AT342">
            <v>55</v>
          </cell>
          <cell r="BF342">
            <v>844.79511168553881</v>
          </cell>
        </row>
        <row r="343">
          <cell r="B343">
            <v>690</v>
          </cell>
          <cell r="C343">
            <v>47</v>
          </cell>
          <cell r="D343">
            <v>3</v>
          </cell>
          <cell r="E343">
            <v>85</v>
          </cell>
          <cell r="F343">
            <v>340</v>
          </cell>
          <cell r="G343">
            <v>37.5</v>
          </cell>
          <cell r="H343">
            <v>190</v>
          </cell>
          <cell r="J343">
            <v>153.30000000000001</v>
          </cell>
          <cell r="K343">
            <v>125</v>
          </cell>
          <cell r="L343">
            <v>125</v>
          </cell>
          <cell r="M343">
            <v>730</v>
          </cell>
          <cell r="N343">
            <v>180</v>
          </cell>
          <cell r="O343">
            <v>375</v>
          </cell>
          <cell r="P343">
            <v>50</v>
          </cell>
          <cell r="Q343">
            <v>21</v>
          </cell>
          <cell r="R343">
            <v>100</v>
          </cell>
          <cell r="S343">
            <v>60</v>
          </cell>
          <cell r="T343">
            <v>36</v>
          </cell>
          <cell r="W343">
            <v>20</v>
          </cell>
          <cell r="Y343">
            <v>3.5</v>
          </cell>
          <cell r="Z343">
            <v>230</v>
          </cell>
          <cell r="AA343">
            <v>306</v>
          </cell>
          <cell r="AB343">
            <v>60</v>
          </cell>
          <cell r="AD343">
            <v>180</v>
          </cell>
          <cell r="AE343">
            <v>1.1000000000000001</v>
          </cell>
          <cell r="AF343">
            <v>275</v>
          </cell>
          <cell r="AG343">
            <v>18</v>
          </cell>
          <cell r="AI343">
            <v>47</v>
          </cell>
          <cell r="AN343">
            <v>0.75</v>
          </cell>
          <cell r="AO343">
            <v>19</v>
          </cell>
          <cell r="AP343">
            <v>19</v>
          </cell>
          <cell r="AQ343">
            <v>5</v>
          </cell>
          <cell r="AR343">
            <v>120</v>
          </cell>
          <cell r="AS343">
            <v>120</v>
          </cell>
          <cell r="AT343">
            <v>55</v>
          </cell>
          <cell r="BF343">
            <v>870.96429073613808</v>
          </cell>
        </row>
        <row r="344">
          <cell r="B344">
            <v>690</v>
          </cell>
          <cell r="C344">
            <v>47</v>
          </cell>
          <cell r="D344">
            <v>3</v>
          </cell>
          <cell r="E344">
            <v>85</v>
          </cell>
          <cell r="F344">
            <v>340</v>
          </cell>
          <cell r="G344">
            <v>37.5</v>
          </cell>
          <cell r="H344">
            <v>190</v>
          </cell>
          <cell r="J344">
            <v>153.30000000000001</v>
          </cell>
          <cell r="K344">
            <v>125</v>
          </cell>
          <cell r="L344">
            <v>125</v>
          </cell>
          <cell r="M344">
            <v>730</v>
          </cell>
          <cell r="N344">
            <v>180</v>
          </cell>
          <cell r="O344">
            <v>375</v>
          </cell>
          <cell r="P344">
            <v>50</v>
          </cell>
          <cell r="Q344">
            <v>21</v>
          </cell>
          <cell r="R344">
            <v>100</v>
          </cell>
          <cell r="S344">
            <v>60</v>
          </cell>
          <cell r="T344">
            <v>36</v>
          </cell>
          <cell r="W344">
            <v>20</v>
          </cell>
          <cell r="Y344">
            <v>3.5</v>
          </cell>
          <cell r="Z344">
            <v>230</v>
          </cell>
          <cell r="AA344">
            <v>306</v>
          </cell>
          <cell r="AB344">
            <v>60</v>
          </cell>
          <cell r="AD344">
            <v>180</v>
          </cell>
          <cell r="AE344">
            <v>1.1000000000000001</v>
          </cell>
          <cell r="AF344">
            <v>275</v>
          </cell>
          <cell r="AG344">
            <v>18</v>
          </cell>
          <cell r="AI344">
            <v>47</v>
          </cell>
          <cell r="AN344">
            <v>0.75</v>
          </cell>
          <cell r="AO344">
            <v>19</v>
          </cell>
          <cell r="AP344">
            <v>19</v>
          </cell>
          <cell r="AQ344">
            <v>5</v>
          </cell>
          <cell r="AR344">
            <v>120</v>
          </cell>
          <cell r="AS344">
            <v>120</v>
          </cell>
          <cell r="AT344">
            <v>55</v>
          </cell>
          <cell r="BF344">
            <v>916.00617380231904</v>
          </cell>
        </row>
        <row r="345">
          <cell r="B345">
            <v>690</v>
          </cell>
          <cell r="C345">
            <v>47</v>
          </cell>
          <cell r="D345">
            <v>3</v>
          </cell>
          <cell r="E345">
            <v>85</v>
          </cell>
          <cell r="F345">
            <v>340</v>
          </cell>
          <cell r="G345">
            <v>37.5</v>
          </cell>
          <cell r="H345">
            <v>190</v>
          </cell>
          <cell r="J345">
            <v>153.30000000000001</v>
          </cell>
          <cell r="K345">
            <v>125</v>
          </cell>
          <cell r="L345">
            <v>125</v>
          </cell>
          <cell r="M345">
            <v>730</v>
          </cell>
          <cell r="N345">
            <v>180</v>
          </cell>
          <cell r="O345">
            <v>375</v>
          </cell>
          <cell r="P345">
            <v>50</v>
          </cell>
          <cell r="Q345">
            <v>21</v>
          </cell>
          <cell r="R345">
            <v>100</v>
          </cell>
          <cell r="S345">
            <v>60</v>
          </cell>
          <cell r="T345">
            <v>36</v>
          </cell>
          <cell r="W345">
            <v>20</v>
          </cell>
          <cell r="Y345">
            <v>3.5</v>
          </cell>
          <cell r="Z345">
            <v>230</v>
          </cell>
          <cell r="AA345">
            <v>306</v>
          </cell>
          <cell r="AB345">
            <v>60</v>
          </cell>
          <cell r="AD345">
            <v>180</v>
          </cell>
          <cell r="AE345">
            <v>1.1000000000000001</v>
          </cell>
          <cell r="AF345">
            <v>275</v>
          </cell>
          <cell r="AG345">
            <v>18</v>
          </cell>
          <cell r="AI345">
            <v>47</v>
          </cell>
          <cell r="AN345">
            <v>0.75</v>
          </cell>
          <cell r="AO345">
            <v>19</v>
          </cell>
          <cell r="AP345">
            <v>19</v>
          </cell>
          <cell r="AQ345">
            <v>5</v>
          </cell>
          <cell r="AR345">
            <v>120</v>
          </cell>
          <cell r="AS345">
            <v>120</v>
          </cell>
          <cell r="AT345">
            <v>55</v>
          </cell>
          <cell r="BF345">
            <v>1026.9716643624463</v>
          </cell>
        </row>
        <row r="346">
          <cell r="B346">
            <v>690</v>
          </cell>
          <cell r="C346">
            <v>47</v>
          </cell>
          <cell r="D346">
            <v>3</v>
          </cell>
          <cell r="E346">
            <v>85</v>
          </cell>
          <cell r="F346">
            <v>340</v>
          </cell>
          <cell r="G346">
            <v>37.5</v>
          </cell>
          <cell r="H346">
            <v>190</v>
          </cell>
          <cell r="J346">
            <v>153.30000000000001</v>
          </cell>
          <cell r="K346">
            <v>125</v>
          </cell>
          <cell r="L346">
            <v>125</v>
          </cell>
          <cell r="M346">
            <v>730</v>
          </cell>
          <cell r="N346">
            <v>180</v>
          </cell>
          <cell r="O346">
            <v>375</v>
          </cell>
          <cell r="P346">
            <v>50</v>
          </cell>
          <cell r="Q346">
            <v>21</v>
          </cell>
          <cell r="R346">
            <v>100</v>
          </cell>
          <cell r="S346">
            <v>60</v>
          </cell>
          <cell r="T346">
            <v>36</v>
          </cell>
          <cell r="W346">
            <v>20</v>
          </cell>
          <cell r="Y346">
            <v>3.5</v>
          </cell>
          <cell r="Z346">
            <v>230</v>
          </cell>
          <cell r="AA346">
            <v>306</v>
          </cell>
          <cell r="AB346">
            <v>60</v>
          </cell>
          <cell r="AD346">
            <v>180</v>
          </cell>
          <cell r="AE346">
            <v>1.1000000000000001</v>
          </cell>
          <cell r="AF346">
            <v>275</v>
          </cell>
          <cell r="AG346">
            <v>18</v>
          </cell>
          <cell r="AI346">
            <v>47</v>
          </cell>
          <cell r="AN346">
            <v>0.75</v>
          </cell>
          <cell r="AO346">
            <v>19</v>
          </cell>
          <cell r="AP346">
            <v>19</v>
          </cell>
          <cell r="AQ346">
            <v>5</v>
          </cell>
          <cell r="AR346">
            <v>120</v>
          </cell>
          <cell r="AS346">
            <v>120</v>
          </cell>
          <cell r="AT346">
            <v>55</v>
          </cell>
          <cell r="BF346">
            <v>1057.5946293660975</v>
          </cell>
        </row>
        <row r="347">
          <cell r="B347">
            <v>690</v>
          </cell>
          <cell r="C347">
            <v>47</v>
          </cell>
          <cell r="D347">
            <v>3</v>
          </cell>
          <cell r="E347">
            <v>85</v>
          </cell>
          <cell r="F347">
            <v>340</v>
          </cell>
          <cell r="G347">
            <v>37.5</v>
          </cell>
          <cell r="H347">
            <v>190</v>
          </cell>
          <cell r="J347">
            <v>153.30000000000001</v>
          </cell>
          <cell r="K347">
            <v>125</v>
          </cell>
          <cell r="L347">
            <v>125</v>
          </cell>
          <cell r="M347">
            <v>730</v>
          </cell>
          <cell r="N347">
            <v>180</v>
          </cell>
          <cell r="O347">
            <v>375</v>
          </cell>
          <cell r="P347">
            <v>50</v>
          </cell>
          <cell r="Q347">
            <v>21</v>
          </cell>
          <cell r="R347">
            <v>100</v>
          </cell>
          <cell r="S347">
            <v>60</v>
          </cell>
          <cell r="T347">
            <v>36</v>
          </cell>
          <cell r="W347">
            <v>20</v>
          </cell>
          <cell r="Y347">
            <v>3.5</v>
          </cell>
          <cell r="Z347">
            <v>230</v>
          </cell>
          <cell r="AA347">
            <v>306</v>
          </cell>
          <cell r="AB347">
            <v>60</v>
          </cell>
          <cell r="AD347">
            <v>180</v>
          </cell>
          <cell r="AE347">
            <v>1.1000000000000001</v>
          </cell>
          <cell r="AF347">
            <v>275</v>
          </cell>
          <cell r="AG347">
            <v>18</v>
          </cell>
          <cell r="AI347">
            <v>47</v>
          </cell>
          <cell r="AN347">
            <v>0.75</v>
          </cell>
          <cell r="AO347">
            <v>19</v>
          </cell>
          <cell r="AP347">
            <v>19</v>
          </cell>
          <cell r="AQ347">
            <v>5</v>
          </cell>
          <cell r="AR347">
            <v>120</v>
          </cell>
          <cell r="AS347">
            <v>120</v>
          </cell>
          <cell r="AT347">
            <v>55</v>
          </cell>
          <cell r="BF347">
            <v>1087.312820671159</v>
          </cell>
        </row>
        <row r="348">
          <cell r="B348">
            <v>690</v>
          </cell>
          <cell r="C348">
            <v>47</v>
          </cell>
          <cell r="D348">
            <v>3</v>
          </cell>
          <cell r="E348">
            <v>85</v>
          </cell>
          <cell r="F348">
            <v>340</v>
          </cell>
          <cell r="G348">
            <v>37.5</v>
          </cell>
          <cell r="H348">
            <v>190</v>
          </cell>
          <cell r="J348">
            <v>153.30000000000001</v>
          </cell>
          <cell r="K348">
            <v>125</v>
          </cell>
          <cell r="L348">
            <v>125</v>
          </cell>
          <cell r="M348">
            <v>730</v>
          </cell>
          <cell r="N348">
            <v>180</v>
          </cell>
          <cell r="O348">
            <v>375</v>
          </cell>
          <cell r="P348">
            <v>50</v>
          </cell>
          <cell r="Q348">
            <v>21</v>
          </cell>
          <cell r="R348">
            <v>100</v>
          </cell>
          <cell r="S348">
            <v>60</v>
          </cell>
          <cell r="T348">
            <v>36</v>
          </cell>
          <cell r="W348">
            <v>20</v>
          </cell>
          <cell r="Y348">
            <v>3.5</v>
          </cell>
          <cell r="Z348">
            <v>230</v>
          </cell>
          <cell r="AA348">
            <v>306</v>
          </cell>
          <cell r="AB348">
            <v>60</v>
          </cell>
          <cell r="AD348">
            <v>180</v>
          </cell>
          <cell r="AE348">
            <v>1.1000000000000001</v>
          </cell>
          <cell r="AF348">
            <v>275</v>
          </cell>
          <cell r="AG348">
            <v>18</v>
          </cell>
          <cell r="AI348">
            <v>47</v>
          </cell>
          <cell r="AN348">
            <v>0.75</v>
          </cell>
          <cell r="AO348">
            <v>19</v>
          </cell>
          <cell r="AP348">
            <v>19</v>
          </cell>
          <cell r="AQ348">
            <v>5</v>
          </cell>
          <cell r="AR348">
            <v>120</v>
          </cell>
          <cell r="AS348">
            <v>120</v>
          </cell>
          <cell r="AT348">
            <v>55</v>
          </cell>
          <cell r="BF348">
            <v>1118.2586995784131</v>
          </cell>
        </row>
        <row r="349">
          <cell r="B349">
            <v>690</v>
          </cell>
          <cell r="C349">
            <v>47</v>
          </cell>
          <cell r="D349">
            <v>3</v>
          </cell>
          <cell r="E349">
            <v>85</v>
          </cell>
          <cell r="F349">
            <v>340</v>
          </cell>
          <cell r="G349">
            <v>37.5</v>
          </cell>
          <cell r="H349">
            <v>190</v>
          </cell>
          <cell r="J349">
            <v>153.30000000000001</v>
          </cell>
          <cell r="K349">
            <v>125</v>
          </cell>
          <cell r="L349">
            <v>125</v>
          </cell>
          <cell r="M349">
            <v>730</v>
          </cell>
          <cell r="N349">
            <v>180</v>
          </cell>
          <cell r="O349">
            <v>375</v>
          </cell>
          <cell r="P349">
            <v>50</v>
          </cell>
          <cell r="Q349">
            <v>21</v>
          </cell>
          <cell r="R349">
            <v>100</v>
          </cell>
          <cell r="S349">
            <v>60</v>
          </cell>
          <cell r="T349">
            <v>36</v>
          </cell>
          <cell r="W349">
            <v>20</v>
          </cell>
          <cell r="Y349">
            <v>3.5</v>
          </cell>
          <cell r="Z349">
            <v>230</v>
          </cell>
          <cell r="AA349">
            <v>306</v>
          </cell>
          <cell r="AB349">
            <v>60</v>
          </cell>
          <cell r="AD349">
            <v>180</v>
          </cell>
          <cell r="AE349">
            <v>1.1000000000000001</v>
          </cell>
          <cell r="AF349">
            <v>275</v>
          </cell>
          <cell r="AG349">
            <v>18</v>
          </cell>
          <cell r="AI349">
            <v>47</v>
          </cell>
          <cell r="AN349">
            <v>0.75</v>
          </cell>
          <cell r="AO349">
            <v>19</v>
          </cell>
          <cell r="AP349">
            <v>19</v>
          </cell>
          <cell r="AQ349">
            <v>5</v>
          </cell>
          <cell r="AR349">
            <v>120</v>
          </cell>
          <cell r="AS349">
            <v>120</v>
          </cell>
          <cell r="AT349">
            <v>55</v>
          </cell>
          <cell r="BF349">
            <v>617.82915332859011</v>
          </cell>
        </row>
        <row r="350">
          <cell r="B350">
            <v>690</v>
          </cell>
          <cell r="C350">
            <v>47</v>
          </cell>
          <cell r="D350">
            <v>3</v>
          </cell>
          <cell r="E350">
            <v>85</v>
          </cell>
          <cell r="F350">
            <v>340</v>
          </cell>
          <cell r="G350">
            <v>37.5</v>
          </cell>
          <cell r="H350">
            <v>190</v>
          </cell>
          <cell r="J350">
            <v>153.30000000000001</v>
          </cell>
          <cell r="K350">
            <v>125</v>
          </cell>
          <cell r="L350">
            <v>125</v>
          </cell>
          <cell r="M350">
            <v>730</v>
          </cell>
          <cell r="N350">
            <v>180</v>
          </cell>
          <cell r="O350">
            <v>375</v>
          </cell>
          <cell r="P350">
            <v>50</v>
          </cell>
          <cell r="Q350">
            <v>21</v>
          </cell>
          <cell r="R350">
            <v>100</v>
          </cell>
          <cell r="S350">
            <v>60</v>
          </cell>
          <cell r="T350">
            <v>36</v>
          </cell>
          <cell r="W350">
            <v>20</v>
          </cell>
          <cell r="Y350">
            <v>3.5</v>
          </cell>
          <cell r="Z350">
            <v>230</v>
          </cell>
          <cell r="AA350">
            <v>306</v>
          </cell>
          <cell r="AB350">
            <v>60</v>
          </cell>
          <cell r="AD350">
            <v>180</v>
          </cell>
          <cell r="AE350">
            <v>1.1000000000000001</v>
          </cell>
          <cell r="AF350">
            <v>275</v>
          </cell>
          <cell r="AG350">
            <v>18</v>
          </cell>
          <cell r="AI350">
            <v>47</v>
          </cell>
          <cell r="AN350">
            <v>0.75</v>
          </cell>
          <cell r="AO350">
            <v>19</v>
          </cell>
          <cell r="AP350">
            <v>19</v>
          </cell>
          <cell r="AQ350">
            <v>5</v>
          </cell>
          <cell r="AR350">
            <v>120</v>
          </cell>
          <cell r="AS350">
            <v>120</v>
          </cell>
          <cell r="AT350">
            <v>55</v>
          </cell>
          <cell r="BF350">
            <v>890.53248962451357</v>
          </cell>
        </row>
        <row r="351">
          <cell r="B351">
            <v>690</v>
          </cell>
          <cell r="C351">
            <v>47</v>
          </cell>
          <cell r="D351">
            <v>3</v>
          </cell>
          <cell r="E351">
            <v>85</v>
          </cell>
          <cell r="F351">
            <v>340</v>
          </cell>
          <cell r="G351">
            <v>37.5</v>
          </cell>
          <cell r="H351">
            <v>190</v>
          </cell>
          <cell r="J351">
            <v>153.30000000000001</v>
          </cell>
          <cell r="K351">
            <v>125</v>
          </cell>
          <cell r="L351">
            <v>125</v>
          </cell>
          <cell r="M351">
            <v>730</v>
          </cell>
          <cell r="N351">
            <v>180</v>
          </cell>
          <cell r="O351">
            <v>375</v>
          </cell>
          <cell r="P351">
            <v>50</v>
          </cell>
          <cell r="Q351">
            <v>21</v>
          </cell>
          <cell r="R351">
            <v>100</v>
          </cell>
          <cell r="S351">
            <v>60</v>
          </cell>
          <cell r="T351">
            <v>36</v>
          </cell>
          <cell r="W351">
            <v>20</v>
          </cell>
          <cell r="Y351">
            <v>3.5</v>
          </cell>
          <cell r="Z351">
            <v>230</v>
          </cell>
          <cell r="AA351">
            <v>306</v>
          </cell>
          <cell r="AB351">
            <v>60</v>
          </cell>
          <cell r="AD351">
            <v>180</v>
          </cell>
          <cell r="AE351">
            <v>1.1000000000000001</v>
          </cell>
          <cell r="AF351">
            <v>275</v>
          </cell>
          <cell r="AG351">
            <v>18</v>
          </cell>
          <cell r="AI351">
            <v>47</v>
          </cell>
          <cell r="AN351">
            <v>0.75</v>
          </cell>
          <cell r="AO351">
            <v>19</v>
          </cell>
          <cell r="AP351">
            <v>19</v>
          </cell>
          <cell r="AQ351">
            <v>5</v>
          </cell>
          <cell r="AR351">
            <v>120</v>
          </cell>
          <cell r="AS351">
            <v>120</v>
          </cell>
          <cell r="AT351">
            <v>55</v>
          </cell>
          <cell r="BF351">
            <v>611.29298282133675</v>
          </cell>
        </row>
        <row r="352">
          <cell r="B352">
            <v>690</v>
          </cell>
          <cell r="C352">
            <v>47</v>
          </cell>
          <cell r="D352">
            <v>3</v>
          </cell>
          <cell r="E352">
            <v>85</v>
          </cell>
          <cell r="F352">
            <v>340</v>
          </cell>
          <cell r="G352">
            <v>37.5</v>
          </cell>
          <cell r="H352">
            <v>190</v>
          </cell>
          <cell r="J352">
            <v>153.30000000000001</v>
          </cell>
          <cell r="K352">
            <v>125</v>
          </cell>
          <cell r="L352">
            <v>125</v>
          </cell>
          <cell r="M352">
            <v>730</v>
          </cell>
          <cell r="N352">
            <v>180</v>
          </cell>
          <cell r="O352">
            <v>375</v>
          </cell>
          <cell r="P352">
            <v>50</v>
          </cell>
          <cell r="Q352">
            <v>21</v>
          </cell>
          <cell r="R352">
            <v>100</v>
          </cell>
          <cell r="S352">
            <v>60</v>
          </cell>
          <cell r="T352">
            <v>36</v>
          </cell>
          <cell r="W352">
            <v>20</v>
          </cell>
          <cell r="Y352">
            <v>3.5</v>
          </cell>
          <cell r="Z352">
            <v>230</v>
          </cell>
          <cell r="AA352">
            <v>306</v>
          </cell>
          <cell r="AB352">
            <v>60</v>
          </cell>
          <cell r="AD352">
            <v>180</v>
          </cell>
          <cell r="AE352">
            <v>1.1000000000000001</v>
          </cell>
          <cell r="AF352">
            <v>275</v>
          </cell>
          <cell r="AG352">
            <v>18</v>
          </cell>
          <cell r="AI352">
            <v>47</v>
          </cell>
          <cell r="AN352">
            <v>0.75</v>
          </cell>
          <cell r="AO352">
            <v>19</v>
          </cell>
          <cell r="AP352">
            <v>19</v>
          </cell>
          <cell r="AQ352">
            <v>5</v>
          </cell>
          <cell r="AR352">
            <v>120</v>
          </cell>
          <cell r="AS352">
            <v>120</v>
          </cell>
          <cell r="AT352">
            <v>55</v>
          </cell>
          <cell r="BF352">
            <v>719.94141944908642</v>
          </cell>
        </row>
        <row r="353">
          <cell r="B353">
            <v>690</v>
          </cell>
          <cell r="C353">
            <v>47</v>
          </cell>
          <cell r="D353">
            <v>3</v>
          </cell>
          <cell r="E353">
            <v>85</v>
          </cell>
          <cell r="F353">
            <v>340</v>
          </cell>
          <cell r="G353">
            <v>37.5</v>
          </cell>
          <cell r="H353">
            <v>190</v>
          </cell>
          <cell r="J353">
            <v>153.30000000000001</v>
          </cell>
          <cell r="K353">
            <v>125</v>
          </cell>
          <cell r="L353">
            <v>125</v>
          </cell>
          <cell r="M353">
            <v>730</v>
          </cell>
          <cell r="N353">
            <v>180</v>
          </cell>
          <cell r="O353">
            <v>375</v>
          </cell>
          <cell r="P353">
            <v>50</v>
          </cell>
          <cell r="Q353">
            <v>21</v>
          </cell>
          <cell r="R353">
            <v>100</v>
          </cell>
          <cell r="S353">
            <v>60</v>
          </cell>
          <cell r="T353">
            <v>36</v>
          </cell>
          <cell r="W353">
            <v>20</v>
          </cell>
          <cell r="Y353">
            <v>3.5</v>
          </cell>
          <cell r="Z353">
            <v>230</v>
          </cell>
          <cell r="AA353">
            <v>306</v>
          </cell>
          <cell r="AB353">
            <v>60</v>
          </cell>
          <cell r="AD353">
            <v>180</v>
          </cell>
          <cell r="AE353">
            <v>1.1000000000000001</v>
          </cell>
          <cell r="AF353">
            <v>275</v>
          </cell>
          <cell r="AG353">
            <v>18</v>
          </cell>
          <cell r="AI353">
            <v>47</v>
          </cell>
          <cell r="AN353">
            <v>0.75</v>
          </cell>
          <cell r="AO353">
            <v>19</v>
          </cell>
          <cell r="AP353">
            <v>19</v>
          </cell>
          <cell r="AQ353">
            <v>5</v>
          </cell>
          <cell r="AR353">
            <v>120</v>
          </cell>
          <cell r="AS353">
            <v>120</v>
          </cell>
          <cell r="AT353">
            <v>55</v>
          </cell>
          <cell r="BF353">
            <v>867.97790620301214</v>
          </cell>
        </row>
        <row r="354">
          <cell r="B354">
            <v>690</v>
          </cell>
          <cell r="C354">
            <v>47</v>
          </cell>
          <cell r="D354">
            <v>3</v>
          </cell>
          <cell r="E354">
            <v>85</v>
          </cell>
          <cell r="F354">
            <v>340</v>
          </cell>
          <cell r="G354">
            <v>37.5</v>
          </cell>
          <cell r="H354">
            <v>190</v>
          </cell>
          <cell r="J354">
            <v>153.30000000000001</v>
          </cell>
          <cell r="K354">
            <v>125</v>
          </cell>
          <cell r="L354">
            <v>125</v>
          </cell>
          <cell r="M354">
            <v>730</v>
          </cell>
          <cell r="N354">
            <v>180</v>
          </cell>
          <cell r="O354">
            <v>375</v>
          </cell>
          <cell r="P354">
            <v>50</v>
          </cell>
          <cell r="Q354">
            <v>21</v>
          </cell>
          <cell r="R354">
            <v>100</v>
          </cell>
          <cell r="S354">
            <v>60</v>
          </cell>
          <cell r="T354">
            <v>36</v>
          </cell>
          <cell r="W354">
            <v>20</v>
          </cell>
          <cell r="Y354">
            <v>3.5</v>
          </cell>
          <cell r="Z354">
            <v>230</v>
          </cell>
          <cell r="AA354">
            <v>306</v>
          </cell>
          <cell r="AB354">
            <v>60</v>
          </cell>
          <cell r="AD354">
            <v>180</v>
          </cell>
          <cell r="AE354">
            <v>1.1000000000000001</v>
          </cell>
          <cell r="AF354">
            <v>275</v>
          </cell>
          <cell r="AG354">
            <v>18</v>
          </cell>
          <cell r="AI354">
            <v>47</v>
          </cell>
          <cell r="AN354">
            <v>0.75</v>
          </cell>
          <cell r="AO354">
            <v>19</v>
          </cell>
          <cell r="AP354">
            <v>19</v>
          </cell>
          <cell r="AQ354">
            <v>5</v>
          </cell>
          <cell r="AR354">
            <v>120</v>
          </cell>
          <cell r="AS354">
            <v>120</v>
          </cell>
          <cell r="AT354">
            <v>55</v>
          </cell>
          <cell r="BF354">
            <v>844.93767200079674</v>
          </cell>
        </row>
        <row r="355">
          <cell r="B355">
            <v>690</v>
          </cell>
          <cell r="C355">
            <v>47</v>
          </cell>
          <cell r="D355">
            <v>3</v>
          </cell>
          <cell r="E355">
            <v>85</v>
          </cell>
          <cell r="F355">
            <v>340</v>
          </cell>
          <cell r="G355">
            <v>37.5</v>
          </cell>
          <cell r="H355">
            <v>190</v>
          </cell>
          <cell r="J355">
            <v>153.30000000000001</v>
          </cell>
          <cell r="K355">
            <v>125</v>
          </cell>
          <cell r="L355">
            <v>125</v>
          </cell>
          <cell r="M355">
            <v>730</v>
          </cell>
          <cell r="N355">
            <v>180</v>
          </cell>
          <cell r="O355">
            <v>375</v>
          </cell>
          <cell r="P355">
            <v>50</v>
          </cell>
          <cell r="Q355">
            <v>21</v>
          </cell>
          <cell r="R355">
            <v>100</v>
          </cell>
          <cell r="S355">
            <v>60</v>
          </cell>
          <cell r="T355">
            <v>36</v>
          </cell>
          <cell r="W355">
            <v>20</v>
          </cell>
          <cell r="Y355">
            <v>3.5</v>
          </cell>
          <cell r="Z355">
            <v>230</v>
          </cell>
          <cell r="AA355">
            <v>306</v>
          </cell>
          <cell r="AB355">
            <v>60</v>
          </cell>
          <cell r="AD355">
            <v>180</v>
          </cell>
          <cell r="AE355">
            <v>1.1000000000000001</v>
          </cell>
          <cell r="AF355">
            <v>275</v>
          </cell>
          <cell r="AG355">
            <v>18</v>
          </cell>
          <cell r="AI355">
            <v>47</v>
          </cell>
          <cell r="AN355">
            <v>0.75</v>
          </cell>
          <cell r="AO355">
            <v>19</v>
          </cell>
          <cell r="AP355">
            <v>19</v>
          </cell>
          <cell r="AQ355">
            <v>5</v>
          </cell>
          <cell r="AR355">
            <v>120</v>
          </cell>
          <cell r="AS355">
            <v>120</v>
          </cell>
          <cell r="AT355">
            <v>55</v>
          </cell>
          <cell r="BF355">
            <v>871.08640780567043</v>
          </cell>
        </row>
        <row r="356">
          <cell r="B356">
            <v>690</v>
          </cell>
          <cell r="C356">
            <v>47</v>
          </cell>
          <cell r="D356">
            <v>3</v>
          </cell>
          <cell r="E356">
            <v>85</v>
          </cell>
          <cell r="F356">
            <v>340</v>
          </cell>
          <cell r="G356">
            <v>37.5</v>
          </cell>
          <cell r="H356">
            <v>190</v>
          </cell>
          <cell r="J356">
            <v>153.30000000000001</v>
          </cell>
          <cell r="K356">
            <v>125</v>
          </cell>
          <cell r="L356">
            <v>125</v>
          </cell>
          <cell r="M356">
            <v>730</v>
          </cell>
          <cell r="N356">
            <v>180</v>
          </cell>
          <cell r="O356">
            <v>375</v>
          </cell>
          <cell r="P356">
            <v>50</v>
          </cell>
          <cell r="Q356">
            <v>21</v>
          </cell>
          <cell r="R356">
            <v>100</v>
          </cell>
          <cell r="S356">
            <v>60</v>
          </cell>
          <cell r="T356">
            <v>36</v>
          </cell>
          <cell r="W356">
            <v>20</v>
          </cell>
          <cell r="Y356">
            <v>3.5</v>
          </cell>
          <cell r="Z356">
            <v>230</v>
          </cell>
          <cell r="AA356">
            <v>306</v>
          </cell>
          <cell r="AB356">
            <v>60</v>
          </cell>
          <cell r="AD356">
            <v>180</v>
          </cell>
          <cell r="AE356">
            <v>1.1000000000000001</v>
          </cell>
          <cell r="AF356">
            <v>275</v>
          </cell>
          <cell r="AG356">
            <v>18</v>
          </cell>
          <cell r="AI356">
            <v>47</v>
          </cell>
          <cell r="AN356">
            <v>0.75</v>
          </cell>
          <cell r="AO356">
            <v>19</v>
          </cell>
          <cell r="AP356">
            <v>19</v>
          </cell>
          <cell r="AQ356">
            <v>5</v>
          </cell>
          <cell r="AR356">
            <v>120</v>
          </cell>
          <cell r="AS356">
            <v>120</v>
          </cell>
          <cell r="AT356">
            <v>55</v>
          </cell>
          <cell r="BF356">
            <v>916.11335951197111</v>
          </cell>
        </row>
        <row r="357">
          <cell r="B357">
            <v>690</v>
          </cell>
          <cell r="C357">
            <v>47</v>
          </cell>
          <cell r="D357">
            <v>3</v>
          </cell>
          <cell r="E357">
            <v>85</v>
          </cell>
          <cell r="F357">
            <v>340</v>
          </cell>
          <cell r="G357">
            <v>37.5</v>
          </cell>
          <cell r="H357">
            <v>190</v>
          </cell>
          <cell r="J357">
            <v>153.30000000000001</v>
          </cell>
          <cell r="K357">
            <v>125</v>
          </cell>
          <cell r="L357">
            <v>125</v>
          </cell>
          <cell r="M357">
            <v>730</v>
          </cell>
          <cell r="N357">
            <v>180</v>
          </cell>
          <cell r="O357">
            <v>375</v>
          </cell>
          <cell r="P357">
            <v>50</v>
          </cell>
          <cell r="Q357">
            <v>21</v>
          </cell>
          <cell r="R357">
            <v>100</v>
          </cell>
          <cell r="S357">
            <v>60</v>
          </cell>
          <cell r="T357">
            <v>36</v>
          </cell>
          <cell r="W357">
            <v>20</v>
          </cell>
          <cell r="Y357">
            <v>3.5</v>
          </cell>
          <cell r="Z357">
            <v>230</v>
          </cell>
          <cell r="AA357">
            <v>306</v>
          </cell>
          <cell r="AB357">
            <v>60</v>
          </cell>
          <cell r="AD357">
            <v>180</v>
          </cell>
          <cell r="AE357">
            <v>1.1000000000000001</v>
          </cell>
          <cell r="AF357">
            <v>275</v>
          </cell>
          <cell r="AG357">
            <v>18</v>
          </cell>
          <cell r="AI357">
            <v>47</v>
          </cell>
          <cell r="AN357">
            <v>0.75</v>
          </cell>
          <cell r="AO357">
            <v>19</v>
          </cell>
          <cell r="AP357">
            <v>19</v>
          </cell>
          <cell r="AQ357">
            <v>5</v>
          </cell>
          <cell r="AR357">
            <v>120</v>
          </cell>
          <cell r="AS357">
            <v>120</v>
          </cell>
          <cell r="AT357">
            <v>55</v>
          </cell>
          <cell r="BF357">
            <v>1027.0284203729464</v>
          </cell>
        </row>
        <row r="358">
          <cell r="B358">
            <v>690</v>
          </cell>
          <cell r="C358">
            <v>47</v>
          </cell>
          <cell r="D358">
            <v>3</v>
          </cell>
          <cell r="E358">
            <v>85</v>
          </cell>
          <cell r="F358">
            <v>340</v>
          </cell>
          <cell r="G358">
            <v>37.5</v>
          </cell>
          <cell r="H358">
            <v>190</v>
          </cell>
          <cell r="J358">
            <v>153.30000000000001</v>
          </cell>
          <cell r="K358">
            <v>125</v>
          </cell>
          <cell r="L358">
            <v>125</v>
          </cell>
          <cell r="M358">
            <v>730</v>
          </cell>
          <cell r="N358">
            <v>180</v>
          </cell>
          <cell r="O358">
            <v>375</v>
          </cell>
          <cell r="P358">
            <v>50</v>
          </cell>
          <cell r="Q358">
            <v>21</v>
          </cell>
          <cell r="R358">
            <v>100</v>
          </cell>
          <cell r="S358">
            <v>60</v>
          </cell>
          <cell r="T358">
            <v>36</v>
          </cell>
          <cell r="W358">
            <v>20</v>
          </cell>
          <cell r="Y358">
            <v>3.5</v>
          </cell>
          <cell r="Z358">
            <v>230</v>
          </cell>
          <cell r="AA358">
            <v>306</v>
          </cell>
          <cell r="AB358">
            <v>60</v>
          </cell>
          <cell r="AD358">
            <v>180</v>
          </cell>
          <cell r="AE358">
            <v>1.1000000000000001</v>
          </cell>
          <cell r="AF358">
            <v>275</v>
          </cell>
          <cell r="AG358">
            <v>18</v>
          </cell>
          <cell r="AI358">
            <v>47</v>
          </cell>
          <cell r="AN358">
            <v>0.75</v>
          </cell>
          <cell r="AO358">
            <v>19</v>
          </cell>
          <cell r="AP358">
            <v>19</v>
          </cell>
          <cell r="AQ358">
            <v>5</v>
          </cell>
          <cell r="AR358">
            <v>120</v>
          </cell>
          <cell r="AS358">
            <v>120</v>
          </cell>
          <cell r="AT358">
            <v>55</v>
          </cell>
          <cell r="BF358">
            <v>1057.7112542778436</v>
          </cell>
        </row>
        <row r="359">
          <cell r="B359">
            <v>690</v>
          </cell>
          <cell r="C359">
            <v>47</v>
          </cell>
          <cell r="D359">
            <v>3</v>
          </cell>
          <cell r="E359">
            <v>85</v>
          </cell>
          <cell r="F359">
            <v>340</v>
          </cell>
          <cell r="G359">
            <v>37.5</v>
          </cell>
          <cell r="H359">
            <v>190</v>
          </cell>
          <cell r="J359">
            <v>153.30000000000001</v>
          </cell>
          <cell r="K359">
            <v>125</v>
          </cell>
          <cell r="L359">
            <v>125</v>
          </cell>
          <cell r="M359">
            <v>730</v>
          </cell>
          <cell r="N359">
            <v>180</v>
          </cell>
          <cell r="O359">
            <v>375</v>
          </cell>
          <cell r="P359">
            <v>50</v>
          </cell>
          <cell r="Q359">
            <v>21</v>
          </cell>
          <cell r="R359">
            <v>100</v>
          </cell>
          <cell r="S359">
            <v>60</v>
          </cell>
          <cell r="T359">
            <v>36</v>
          </cell>
          <cell r="W359">
            <v>20</v>
          </cell>
          <cell r="Y359">
            <v>3.5</v>
          </cell>
          <cell r="Z359">
            <v>230</v>
          </cell>
          <cell r="AA359">
            <v>306</v>
          </cell>
          <cell r="AB359">
            <v>60</v>
          </cell>
          <cell r="AD359">
            <v>180</v>
          </cell>
          <cell r="AE359">
            <v>1.1000000000000001</v>
          </cell>
          <cell r="AF359">
            <v>275</v>
          </cell>
          <cell r="AG359">
            <v>18</v>
          </cell>
          <cell r="AI359">
            <v>47</v>
          </cell>
          <cell r="AN359">
            <v>0.75</v>
          </cell>
          <cell r="AO359">
            <v>19</v>
          </cell>
          <cell r="AP359">
            <v>19</v>
          </cell>
          <cell r="AQ359">
            <v>5</v>
          </cell>
          <cell r="AR359">
            <v>120</v>
          </cell>
          <cell r="AS359">
            <v>120</v>
          </cell>
          <cell r="AT359">
            <v>55</v>
          </cell>
          <cell r="BF359">
            <v>1087.5354939496851</v>
          </cell>
        </row>
        <row r="360">
          <cell r="B360">
            <v>690</v>
          </cell>
          <cell r="C360">
            <v>47</v>
          </cell>
          <cell r="D360">
            <v>3</v>
          </cell>
          <cell r="E360">
            <v>85</v>
          </cell>
          <cell r="F360">
            <v>340</v>
          </cell>
          <cell r="G360">
            <v>37.5</v>
          </cell>
          <cell r="H360">
            <v>190</v>
          </cell>
          <cell r="J360">
            <v>153.30000000000001</v>
          </cell>
          <cell r="K360">
            <v>125</v>
          </cell>
          <cell r="L360">
            <v>125</v>
          </cell>
          <cell r="M360">
            <v>730</v>
          </cell>
          <cell r="N360">
            <v>180</v>
          </cell>
          <cell r="O360">
            <v>375</v>
          </cell>
          <cell r="P360">
            <v>50</v>
          </cell>
          <cell r="Q360">
            <v>21</v>
          </cell>
          <cell r="R360">
            <v>100</v>
          </cell>
          <cell r="S360">
            <v>60</v>
          </cell>
          <cell r="T360">
            <v>36</v>
          </cell>
          <cell r="W360">
            <v>20</v>
          </cell>
          <cell r="Y360">
            <v>3.5</v>
          </cell>
          <cell r="Z360">
            <v>230</v>
          </cell>
          <cell r="AA360">
            <v>306</v>
          </cell>
          <cell r="AB360">
            <v>60</v>
          </cell>
          <cell r="AD360">
            <v>180</v>
          </cell>
          <cell r="AE360">
            <v>1.1000000000000001</v>
          </cell>
          <cell r="AF360">
            <v>275</v>
          </cell>
          <cell r="AG360">
            <v>18</v>
          </cell>
          <cell r="AI360">
            <v>47</v>
          </cell>
          <cell r="AN360">
            <v>0.75</v>
          </cell>
          <cell r="AO360">
            <v>19</v>
          </cell>
          <cell r="AP360">
            <v>19</v>
          </cell>
          <cell r="AQ360">
            <v>5</v>
          </cell>
          <cell r="AR360">
            <v>120</v>
          </cell>
          <cell r="AS360">
            <v>120</v>
          </cell>
          <cell r="AT360">
            <v>55</v>
          </cell>
          <cell r="BF360">
            <v>1118.5427695303945</v>
          </cell>
        </row>
        <row r="361">
          <cell r="B361">
            <v>690</v>
          </cell>
          <cell r="C361">
            <v>47</v>
          </cell>
          <cell r="D361">
            <v>3</v>
          </cell>
          <cell r="E361">
            <v>85</v>
          </cell>
          <cell r="F361">
            <v>340</v>
          </cell>
          <cell r="G361">
            <v>37.5</v>
          </cell>
          <cell r="H361">
            <v>190</v>
          </cell>
          <cell r="J361">
            <v>153.30000000000001</v>
          </cell>
          <cell r="K361">
            <v>125</v>
          </cell>
          <cell r="L361">
            <v>125</v>
          </cell>
          <cell r="M361">
            <v>730</v>
          </cell>
          <cell r="N361">
            <v>180</v>
          </cell>
          <cell r="O361">
            <v>375</v>
          </cell>
          <cell r="P361">
            <v>50</v>
          </cell>
          <cell r="Q361">
            <v>21</v>
          </cell>
          <cell r="R361">
            <v>100</v>
          </cell>
          <cell r="S361">
            <v>60</v>
          </cell>
          <cell r="T361">
            <v>36</v>
          </cell>
          <cell r="W361">
            <v>20</v>
          </cell>
          <cell r="Y361">
            <v>3.5</v>
          </cell>
          <cell r="Z361">
            <v>230</v>
          </cell>
          <cell r="AA361">
            <v>306</v>
          </cell>
          <cell r="AB361">
            <v>60</v>
          </cell>
          <cell r="AD361">
            <v>180</v>
          </cell>
          <cell r="AE361">
            <v>1.1000000000000001</v>
          </cell>
          <cell r="AF361">
            <v>275</v>
          </cell>
          <cell r="AG361">
            <v>18</v>
          </cell>
          <cell r="AI361">
            <v>47</v>
          </cell>
          <cell r="AN361">
            <v>0.75</v>
          </cell>
          <cell r="AO361">
            <v>19</v>
          </cell>
          <cell r="AP361">
            <v>19</v>
          </cell>
          <cell r="AQ361">
            <v>5</v>
          </cell>
          <cell r="AR361">
            <v>120</v>
          </cell>
          <cell r="AS361">
            <v>120</v>
          </cell>
          <cell r="AT361">
            <v>55</v>
          </cell>
          <cell r="BF361">
            <v>572.15294637681404</v>
          </cell>
        </row>
        <row r="362">
          <cell r="B362">
            <v>690</v>
          </cell>
          <cell r="C362">
            <v>47</v>
          </cell>
          <cell r="D362">
            <v>3</v>
          </cell>
          <cell r="E362">
            <v>85</v>
          </cell>
          <cell r="F362">
            <v>340</v>
          </cell>
          <cell r="G362">
            <v>37.5</v>
          </cell>
          <cell r="H362">
            <v>190</v>
          </cell>
          <cell r="J362">
            <v>153.30000000000001</v>
          </cell>
          <cell r="K362">
            <v>125</v>
          </cell>
          <cell r="L362">
            <v>125</v>
          </cell>
          <cell r="M362">
            <v>730</v>
          </cell>
          <cell r="N362">
            <v>180</v>
          </cell>
          <cell r="O362">
            <v>375</v>
          </cell>
          <cell r="P362">
            <v>50</v>
          </cell>
          <cell r="Q362">
            <v>21</v>
          </cell>
          <cell r="R362">
            <v>100</v>
          </cell>
          <cell r="S362">
            <v>60</v>
          </cell>
          <cell r="T362">
            <v>36</v>
          </cell>
          <cell r="W362">
            <v>20</v>
          </cell>
          <cell r="Y362">
            <v>3.5</v>
          </cell>
          <cell r="Z362">
            <v>230</v>
          </cell>
          <cell r="AA362">
            <v>306</v>
          </cell>
          <cell r="AB362">
            <v>60</v>
          </cell>
          <cell r="AD362">
            <v>180</v>
          </cell>
          <cell r="AE362">
            <v>1.1000000000000001</v>
          </cell>
          <cell r="AF362">
            <v>275</v>
          </cell>
          <cell r="AG362">
            <v>18</v>
          </cell>
          <cell r="AI362">
            <v>47</v>
          </cell>
          <cell r="AN362">
            <v>0.75</v>
          </cell>
          <cell r="AO362">
            <v>19</v>
          </cell>
          <cell r="AP362">
            <v>19</v>
          </cell>
          <cell r="AQ362">
            <v>5</v>
          </cell>
          <cell r="AR362">
            <v>120</v>
          </cell>
          <cell r="AS362">
            <v>120</v>
          </cell>
          <cell r="AT362">
            <v>55</v>
          </cell>
          <cell r="BF362">
            <v>839.02317429869254</v>
          </cell>
        </row>
        <row r="363">
          <cell r="B363">
            <v>690</v>
          </cell>
          <cell r="C363">
            <v>47</v>
          </cell>
          <cell r="D363">
            <v>3</v>
          </cell>
          <cell r="E363">
            <v>85</v>
          </cell>
          <cell r="F363">
            <v>340</v>
          </cell>
          <cell r="G363">
            <v>37.5</v>
          </cell>
          <cell r="H363">
            <v>190</v>
          </cell>
          <cell r="J363">
            <v>153.30000000000001</v>
          </cell>
          <cell r="K363">
            <v>125</v>
          </cell>
          <cell r="L363">
            <v>125</v>
          </cell>
          <cell r="M363">
            <v>730</v>
          </cell>
          <cell r="N363">
            <v>180</v>
          </cell>
          <cell r="O363">
            <v>375</v>
          </cell>
          <cell r="P363">
            <v>50</v>
          </cell>
          <cell r="Q363">
            <v>21</v>
          </cell>
          <cell r="R363">
            <v>100</v>
          </cell>
          <cell r="S363">
            <v>60</v>
          </cell>
          <cell r="T363">
            <v>36</v>
          </cell>
          <cell r="W363">
            <v>20</v>
          </cell>
          <cell r="Y363">
            <v>3.5</v>
          </cell>
          <cell r="Z363">
            <v>230</v>
          </cell>
          <cell r="AA363">
            <v>306</v>
          </cell>
          <cell r="AB363">
            <v>60</v>
          </cell>
          <cell r="AD363">
            <v>180</v>
          </cell>
          <cell r="AE363">
            <v>1.1000000000000001</v>
          </cell>
          <cell r="AF363">
            <v>275</v>
          </cell>
          <cell r="AG363">
            <v>18</v>
          </cell>
          <cell r="AI363">
            <v>47</v>
          </cell>
          <cell r="AN363">
            <v>0.75</v>
          </cell>
          <cell r="AO363">
            <v>19</v>
          </cell>
          <cell r="AP363">
            <v>19</v>
          </cell>
          <cell r="AQ363">
            <v>5</v>
          </cell>
          <cell r="AR363">
            <v>120</v>
          </cell>
          <cell r="AS363">
            <v>120</v>
          </cell>
          <cell r="AT363">
            <v>55</v>
          </cell>
          <cell r="BF363">
            <v>558.83795278528225</v>
          </cell>
        </row>
        <row r="364">
          <cell r="B364">
            <v>690</v>
          </cell>
          <cell r="C364">
            <v>47</v>
          </cell>
          <cell r="D364">
            <v>3</v>
          </cell>
          <cell r="E364">
            <v>85</v>
          </cell>
          <cell r="F364">
            <v>340</v>
          </cell>
          <cell r="G364">
            <v>37.5</v>
          </cell>
          <cell r="H364">
            <v>190</v>
          </cell>
          <cell r="J364">
            <v>153.30000000000001</v>
          </cell>
          <cell r="K364">
            <v>125</v>
          </cell>
          <cell r="L364">
            <v>125</v>
          </cell>
          <cell r="M364">
            <v>730</v>
          </cell>
          <cell r="N364">
            <v>180</v>
          </cell>
          <cell r="O364">
            <v>375</v>
          </cell>
          <cell r="P364">
            <v>50</v>
          </cell>
          <cell r="Q364">
            <v>21</v>
          </cell>
          <cell r="R364">
            <v>100</v>
          </cell>
          <cell r="S364">
            <v>60</v>
          </cell>
          <cell r="T364">
            <v>36</v>
          </cell>
          <cell r="W364">
            <v>20</v>
          </cell>
          <cell r="Y364">
            <v>3.5</v>
          </cell>
          <cell r="Z364">
            <v>230</v>
          </cell>
          <cell r="AA364">
            <v>306</v>
          </cell>
          <cell r="AB364">
            <v>60</v>
          </cell>
          <cell r="AD364">
            <v>180</v>
          </cell>
          <cell r="AE364">
            <v>1.1000000000000001</v>
          </cell>
          <cell r="AF364">
            <v>275</v>
          </cell>
          <cell r="AG364">
            <v>18</v>
          </cell>
          <cell r="AI364">
            <v>47</v>
          </cell>
          <cell r="AN364">
            <v>0.75</v>
          </cell>
          <cell r="AO364">
            <v>19</v>
          </cell>
          <cell r="AP364">
            <v>19</v>
          </cell>
          <cell r="AQ364">
            <v>5</v>
          </cell>
          <cell r="AR364">
            <v>120</v>
          </cell>
          <cell r="AS364">
            <v>120</v>
          </cell>
          <cell r="AT364">
            <v>55</v>
          </cell>
          <cell r="BF364">
            <v>668.30856675052848</v>
          </cell>
        </row>
        <row r="365">
          <cell r="B365">
            <v>690</v>
          </cell>
          <cell r="C365">
            <v>47</v>
          </cell>
          <cell r="D365">
            <v>3</v>
          </cell>
          <cell r="E365">
            <v>85</v>
          </cell>
          <cell r="F365">
            <v>340</v>
          </cell>
          <cell r="G365">
            <v>37.5</v>
          </cell>
          <cell r="H365">
            <v>190</v>
          </cell>
          <cell r="J365">
            <v>153.30000000000001</v>
          </cell>
          <cell r="K365">
            <v>125</v>
          </cell>
          <cell r="L365">
            <v>125</v>
          </cell>
          <cell r="M365">
            <v>730</v>
          </cell>
          <cell r="N365">
            <v>180</v>
          </cell>
          <cell r="O365">
            <v>375</v>
          </cell>
          <cell r="P365">
            <v>50</v>
          </cell>
          <cell r="Q365">
            <v>21</v>
          </cell>
          <cell r="R365">
            <v>100</v>
          </cell>
          <cell r="S365">
            <v>60</v>
          </cell>
          <cell r="T365">
            <v>36</v>
          </cell>
          <cell r="W365">
            <v>20</v>
          </cell>
          <cell r="Y365">
            <v>3.5</v>
          </cell>
          <cell r="Z365">
            <v>230</v>
          </cell>
          <cell r="AA365">
            <v>306</v>
          </cell>
          <cell r="AB365">
            <v>60</v>
          </cell>
          <cell r="AD365">
            <v>180</v>
          </cell>
          <cell r="AE365">
            <v>1.1000000000000001</v>
          </cell>
          <cell r="AF365">
            <v>275</v>
          </cell>
          <cell r="AG365">
            <v>18</v>
          </cell>
          <cell r="AI365">
            <v>47</v>
          </cell>
          <cell r="AN365">
            <v>0.75</v>
          </cell>
          <cell r="AO365">
            <v>19</v>
          </cell>
          <cell r="AP365">
            <v>19</v>
          </cell>
          <cell r="AQ365">
            <v>5</v>
          </cell>
          <cell r="AR365">
            <v>120</v>
          </cell>
          <cell r="AS365">
            <v>120</v>
          </cell>
          <cell r="AT365">
            <v>55</v>
          </cell>
          <cell r="BF365">
            <v>809.95376448320212</v>
          </cell>
        </row>
        <row r="366">
          <cell r="B366">
            <v>690</v>
          </cell>
          <cell r="C366">
            <v>47</v>
          </cell>
          <cell r="D366">
            <v>3</v>
          </cell>
          <cell r="E366">
            <v>85</v>
          </cell>
          <cell r="F366">
            <v>340</v>
          </cell>
          <cell r="G366">
            <v>37.5</v>
          </cell>
          <cell r="H366">
            <v>190</v>
          </cell>
          <cell r="J366">
            <v>153.30000000000001</v>
          </cell>
          <cell r="K366">
            <v>125</v>
          </cell>
          <cell r="L366">
            <v>125</v>
          </cell>
          <cell r="M366">
            <v>730</v>
          </cell>
          <cell r="N366">
            <v>180</v>
          </cell>
          <cell r="O366">
            <v>375</v>
          </cell>
          <cell r="P366">
            <v>50</v>
          </cell>
          <cell r="Q366">
            <v>21</v>
          </cell>
          <cell r="R366">
            <v>100</v>
          </cell>
          <cell r="S366">
            <v>60</v>
          </cell>
          <cell r="T366">
            <v>36</v>
          </cell>
          <cell r="W366">
            <v>20</v>
          </cell>
          <cell r="Y366">
            <v>3.5</v>
          </cell>
          <cell r="Z366">
            <v>230</v>
          </cell>
          <cell r="AA366">
            <v>306</v>
          </cell>
          <cell r="AB366">
            <v>60</v>
          </cell>
          <cell r="AD366">
            <v>180</v>
          </cell>
          <cell r="AE366">
            <v>1.1000000000000001</v>
          </cell>
          <cell r="AF366">
            <v>275</v>
          </cell>
          <cell r="AG366">
            <v>18</v>
          </cell>
          <cell r="AI366">
            <v>47</v>
          </cell>
          <cell r="AN366">
            <v>0.75</v>
          </cell>
          <cell r="AO366">
            <v>19</v>
          </cell>
          <cell r="AP366">
            <v>19</v>
          </cell>
          <cell r="AQ366">
            <v>5</v>
          </cell>
          <cell r="AR366">
            <v>120</v>
          </cell>
          <cell r="AS366">
            <v>120</v>
          </cell>
          <cell r="AT366">
            <v>55</v>
          </cell>
          <cell r="BF366">
            <v>787.47079825456115</v>
          </cell>
        </row>
        <row r="367">
          <cell r="B367">
            <v>690</v>
          </cell>
          <cell r="C367">
            <v>47</v>
          </cell>
          <cell r="D367">
            <v>3</v>
          </cell>
          <cell r="E367">
            <v>85</v>
          </cell>
          <cell r="F367">
            <v>340</v>
          </cell>
          <cell r="G367">
            <v>37.5</v>
          </cell>
          <cell r="H367">
            <v>190</v>
          </cell>
          <cell r="J367">
            <v>153.30000000000001</v>
          </cell>
          <cell r="K367">
            <v>125</v>
          </cell>
          <cell r="L367">
            <v>125</v>
          </cell>
          <cell r="M367">
            <v>730</v>
          </cell>
          <cell r="N367">
            <v>180</v>
          </cell>
          <cell r="O367">
            <v>375</v>
          </cell>
          <cell r="P367">
            <v>50</v>
          </cell>
          <cell r="Q367">
            <v>21</v>
          </cell>
          <cell r="R367">
            <v>100</v>
          </cell>
          <cell r="S367">
            <v>60</v>
          </cell>
          <cell r="T367">
            <v>36</v>
          </cell>
          <cell r="W367">
            <v>20</v>
          </cell>
          <cell r="Y367">
            <v>3.5</v>
          </cell>
          <cell r="Z367">
            <v>230</v>
          </cell>
          <cell r="AA367">
            <v>306</v>
          </cell>
          <cell r="AB367">
            <v>60</v>
          </cell>
          <cell r="AD367">
            <v>180</v>
          </cell>
          <cell r="AE367">
            <v>1.1000000000000001</v>
          </cell>
          <cell r="AF367">
            <v>275</v>
          </cell>
          <cell r="AG367">
            <v>18</v>
          </cell>
          <cell r="AI367">
            <v>47</v>
          </cell>
          <cell r="AN367">
            <v>0.75</v>
          </cell>
          <cell r="AO367">
            <v>19</v>
          </cell>
          <cell r="AP367">
            <v>19</v>
          </cell>
          <cell r="AQ367">
            <v>5</v>
          </cell>
          <cell r="AR367">
            <v>120</v>
          </cell>
          <cell r="AS367">
            <v>120</v>
          </cell>
          <cell r="AT367">
            <v>55</v>
          </cell>
          <cell r="BF367">
            <v>814.56837834233545</v>
          </cell>
        </row>
        <row r="368">
          <cell r="B368">
            <v>690</v>
          </cell>
          <cell r="C368">
            <v>47</v>
          </cell>
          <cell r="D368">
            <v>3</v>
          </cell>
          <cell r="E368">
            <v>85</v>
          </cell>
          <cell r="F368">
            <v>340</v>
          </cell>
          <cell r="G368">
            <v>37.5</v>
          </cell>
          <cell r="H368">
            <v>190</v>
          </cell>
          <cell r="J368">
            <v>153.30000000000001</v>
          </cell>
          <cell r="K368">
            <v>125</v>
          </cell>
          <cell r="L368">
            <v>125</v>
          </cell>
          <cell r="M368">
            <v>730</v>
          </cell>
          <cell r="N368">
            <v>180</v>
          </cell>
          <cell r="O368">
            <v>375</v>
          </cell>
          <cell r="P368">
            <v>50</v>
          </cell>
          <cell r="Q368">
            <v>21</v>
          </cell>
          <cell r="R368">
            <v>100</v>
          </cell>
          <cell r="S368">
            <v>60</v>
          </cell>
          <cell r="T368">
            <v>36</v>
          </cell>
          <cell r="W368">
            <v>20</v>
          </cell>
          <cell r="Y368">
            <v>3.5</v>
          </cell>
          <cell r="Z368">
            <v>230</v>
          </cell>
          <cell r="AA368">
            <v>306</v>
          </cell>
          <cell r="AB368">
            <v>60</v>
          </cell>
          <cell r="AD368">
            <v>180</v>
          </cell>
          <cell r="AE368">
            <v>1.1000000000000001</v>
          </cell>
          <cell r="AF368">
            <v>275</v>
          </cell>
          <cell r="AG368">
            <v>18</v>
          </cell>
          <cell r="AI368">
            <v>47</v>
          </cell>
          <cell r="AN368">
            <v>0.75</v>
          </cell>
          <cell r="AO368">
            <v>19</v>
          </cell>
          <cell r="AP368">
            <v>19</v>
          </cell>
          <cell r="AQ368">
            <v>5</v>
          </cell>
          <cell r="AR368">
            <v>120</v>
          </cell>
          <cell r="AS368">
            <v>120</v>
          </cell>
          <cell r="AT368">
            <v>55</v>
          </cell>
          <cell r="BF368">
            <v>858.60839370174904</v>
          </cell>
        </row>
        <row r="369">
          <cell r="B369">
            <v>690</v>
          </cell>
          <cell r="C369">
            <v>47</v>
          </cell>
          <cell r="D369">
            <v>3</v>
          </cell>
          <cell r="E369">
            <v>85</v>
          </cell>
          <cell r="F369">
            <v>340</v>
          </cell>
          <cell r="G369">
            <v>37.5</v>
          </cell>
          <cell r="H369">
            <v>190</v>
          </cell>
          <cell r="J369">
            <v>153.30000000000001</v>
          </cell>
          <cell r="K369">
            <v>125</v>
          </cell>
          <cell r="L369">
            <v>125</v>
          </cell>
          <cell r="M369">
            <v>730</v>
          </cell>
          <cell r="N369">
            <v>180</v>
          </cell>
          <cell r="O369">
            <v>375</v>
          </cell>
          <cell r="P369">
            <v>50</v>
          </cell>
          <cell r="Q369">
            <v>21</v>
          </cell>
          <cell r="R369">
            <v>100</v>
          </cell>
          <cell r="S369">
            <v>60</v>
          </cell>
          <cell r="T369">
            <v>36</v>
          </cell>
          <cell r="W369">
            <v>20</v>
          </cell>
          <cell r="Y369">
            <v>3.5</v>
          </cell>
          <cell r="Z369">
            <v>230</v>
          </cell>
          <cell r="AA369">
            <v>306</v>
          </cell>
          <cell r="AB369">
            <v>60</v>
          </cell>
          <cell r="AD369">
            <v>180</v>
          </cell>
          <cell r="AE369">
            <v>1.1000000000000001</v>
          </cell>
          <cell r="AF369">
            <v>275</v>
          </cell>
          <cell r="AG369">
            <v>18</v>
          </cell>
          <cell r="AI369">
            <v>47</v>
          </cell>
          <cell r="AN369">
            <v>0.75</v>
          </cell>
          <cell r="AO369">
            <v>19</v>
          </cell>
          <cell r="AP369">
            <v>19</v>
          </cell>
          <cell r="AQ369">
            <v>5</v>
          </cell>
          <cell r="AR369">
            <v>120</v>
          </cell>
          <cell r="AS369">
            <v>120</v>
          </cell>
          <cell r="AT369">
            <v>55</v>
          </cell>
          <cell r="BF369">
            <v>967.93474787584864</v>
          </cell>
        </row>
        <row r="370">
          <cell r="B370">
            <v>690</v>
          </cell>
          <cell r="C370">
            <v>47</v>
          </cell>
          <cell r="D370">
            <v>3</v>
          </cell>
          <cell r="E370">
            <v>85</v>
          </cell>
          <cell r="F370">
            <v>340</v>
          </cell>
          <cell r="G370">
            <v>37.5</v>
          </cell>
          <cell r="H370">
            <v>190</v>
          </cell>
          <cell r="J370">
            <v>153.30000000000001</v>
          </cell>
          <cell r="K370">
            <v>125</v>
          </cell>
          <cell r="L370">
            <v>125</v>
          </cell>
          <cell r="M370">
            <v>730</v>
          </cell>
          <cell r="N370">
            <v>180</v>
          </cell>
          <cell r="O370">
            <v>375</v>
          </cell>
          <cell r="P370">
            <v>50</v>
          </cell>
          <cell r="Q370">
            <v>21</v>
          </cell>
          <cell r="R370">
            <v>100</v>
          </cell>
          <cell r="S370">
            <v>60</v>
          </cell>
          <cell r="T370">
            <v>36</v>
          </cell>
          <cell r="W370">
            <v>20</v>
          </cell>
          <cell r="Y370">
            <v>3.5</v>
          </cell>
          <cell r="Z370">
            <v>230</v>
          </cell>
          <cell r="AA370">
            <v>306</v>
          </cell>
          <cell r="AB370">
            <v>60</v>
          </cell>
          <cell r="AD370">
            <v>180</v>
          </cell>
          <cell r="AE370">
            <v>1.1000000000000001</v>
          </cell>
          <cell r="AF370">
            <v>275</v>
          </cell>
          <cell r="AG370">
            <v>18</v>
          </cell>
          <cell r="AI370">
            <v>47</v>
          </cell>
          <cell r="AN370">
            <v>0.75</v>
          </cell>
          <cell r="AO370">
            <v>19</v>
          </cell>
          <cell r="AP370">
            <v>19</v>
          </cell>
          <cell r="AQ370">
            <v>5</v>
          </cell>
          <cell r="AR370">
            <v>120</v>
          </cell>
          <cell r="AS370">
            <v>120</v>
          </cell>
          <cell r="AT370">
            <v>55</v>
          </cell>
          <cell r="BF370">
            <v>993.18028578233464</v>
          </cell>
        </row>
        <row r="371">
          <cell r="B371">
            <v>690</v>
          </cell>
          <cell r="C371">
            <v>47</v>
          </cell>
          <cell r="D371">
            <v>3</v>
          </cell>
          <cell r="E371">
            <v>85</v>
          </cell>
          <cell r="F371">
            <v>340</v>
          </cell>
          <cell r="G371">
            <v>37.5</v>
          </cell>
          <cell r="H371">
            <v>190</v>
          </cell>
          <cell r="J371">
            <v>153.30000000000001</v>
          </cell>
          <cell r="K371">
            <v>125</v>
          </cell>
          <cell r="L371">
            <v>125</v>
          </cell>
          <cell r="M371">
            <v>730</v>
          </cell>
          <cell r="N371">
            <v>180</v>
          </cell>
          <cell r="O371">
            <v>375</v>
          </cell>
          <cell r="P371">
            <v>50</v>
          </cell>
          <cell r="Q371">
            <v>21</v>
          </cell>
          <cell r="R371">
            <v>100</v>
          </cell>
          <cell r="S371">
            <v>60</v>
          </cell>
          <cell r="T371">
            <v>36</v>
          </cell>
          <cell r="W371">
            <v>20</v>
          </cell>
          <cell r="Y371">
            <v>3.5</v>
          </cell>
          <cell r="Z371">
            <v>230</v>
          </cell>
          <cell r="AA371">
            <v>306</v>
          </cell>
          <cell r="AB371">
            <v>60</v>
          </cell>
          <cell r="AD371">
            <v>180</v>
          </cell>
          <cell r="AE371">
            <v>1.1000000000000001</v>
          </cell>
          <cell r="AF371">
            <v>275</v>
          </cell>
          <cell r="AG371">
            <v>18</v>
          </cell>
          <cell r="AI371">
            <v>47</v>
          </cell>
          <cell r="AN371">
            <v>0.75</v>
          </cell>
          <cell r="AO371">
            <v>19</v>
          </cell>
          <cell r="AP371">
            <v>19</v>
          </cell>
          <cell r="AQ371">
            <v>5</v>
          </cell>
          <cell r="AR371">
            <v>120</v>
          </cell>
          <cell r="AS371">
            <v>120</v>
          </cell>
          <cell r="AT371">
            <v>55</v>
          </cell>
          <cell r="BF371">
            <v>1010.2012259648234</v>
          </cell>
        </row>
        <row r="372">
          <cell r="B372">
            <v>690</v>
          </cell>
          <cell r="C372">
            <v>47</v>
          </cell>
          <cell r="D372">
            <v>3</v>
          </cell>
          <cell r="E372">
            <v>85</v>
          </cell>
          <cell r="F372">
            <v>340</v>
          </cell>
          <cell r="G372">
            <v>37.5</v>
          </cell>
          <cell r="H372">
            <v>190</v>
          </cell>
          <cell r="J372">
            <v>153.30000000000001</v>
          </cell>
          <cell r="K372">
            <v>125</v>
          </cell>
          <cell r="L372">
            <v>125</v>
          </cell>
          <cell r="M372">
            <v>730</v>
          </cell>
          <cell r="N372">
            <v>180</v>
          </cell>
          <cell r="O372">
            <v>375</v>
          </cell>
          <cell r="P372">
            <v>50</v>
          </cell>
          <cell r="Q372">
            <v>21</v>
          </cell>
          <cell r="R372">
            <v>100</v>
          </cell>
          <cell r="S372">
            <v>60</v>
          </cell>
          <cell r="T372">
            <v>36</v>
          </cell>
          <cell r="W372">
            <v>20</v>
          </cell>
          <cell r="Y372">
            <v>3.5</v>
          </cell>
          <cell r="Z372">
            <v>230</v>
          </cell>
          <cell r="AA372">
            <v>306</v>
          </cell>
          <cell r="AB372">
            <v>60</v>
          </cell>
          <cell r="AD372">
            <v>180</v>
          </cell>
          <cell r="AE372">
            <v>1.1000000000000001</v>
          </cell>
          <cell r="AF372">
            <v>275</v>
          </cell>
          <cell r="AG372">
            <v>18</v>
          </cell>
          <cell r="AI372">
            <v>47</v>
          </cell>
          <cell r="AN372">
            <v>0.75</v>
          </cell>
          <cell r="AO372">
            <v>19</v>
          </cell>
          <cell r="AP372">
            <v>19</v>
          </cell>
          <cell r="AQ372">
            <v>5</v>
          </cell>
          <cell r="AR372">
            <v>120</v>
          </cell>
          <cell r="AS372">
            <v>120</v>
          </cell>
          <cell r="AT372">
            <v>55</v>
          </cell>
          <cell r="BF372">
            <v>1031.4282021187887</v>
          </cell>
        </row>
        <row r="373">
          <cell r="B373">
            <v>690</v>
          </cell>
          <cell r="C373">
            <v>47</v>
          </cell>
          <cell r="D373">
            <v>3</v>
          </cell>
          <cell r="E373">
            <v>85</v>
          </cell>
          <cell r="F373">
            <v>340</v>
          </cell>
          <cell r="G373">
            <v>37.5</v>
          </cell>
          <cell r="H373">
            <v>190</v>
          </cell>
          <cell r="J373">
            <v>153.30000000000001</v>
          </cell>
          <cell r="K373">
            <v>125</v>
          </cell>
          <cell r="L373">
            <v>125</v>
          </cell>
          <cell r="M373">
            <v>730</v>
          </cell>
          <cell r="N373">
            <v>180</v>
          </cell>
          <cell r="O373">
            <v>375</v>
          </cell>
          <cell r="P373">
            <v>50</v>
          </cell>
          <cell r="Q373">
            <v>21</v>
          </cell>
          <cell r="R373">
            <v>100</v>
          </cell>
          <cell r="S373">
            <v>60</v>
          </cell>
          <cell r="T373">
            <v>36</v>
          </cell>
          <cell r="W373">
            <v>20</v>
          </cell>
          <cell r="Y373">
            <v>3.5</v>
          </cell>
          <cell r="Z373">
            <v>230</v>
          </cell>
          <cell r="AA373">
            <v>306</v>
          </cell>
          <cell r="AB373">
            <v>60</v>
          </cell>
          <cell r="AD373">
            <v>180</v>
          </cell>
          <cell r="AE373">
            <v>1.1000000000000001</v>
          </cell>
          <cell r="AF373">
            <v>275</v>
          </cell>
          <cell r="AG373">
            <v>18</v>
          </cell>
          <cell r="AI373">
            <v>47</v>
          </cell>
          <cell r="AN373">
            <v>0.75</v>
          </cell>
          <cell r="AO373">
            <v>19</v>
          </cell>
          <cell r="AP373">
            <v>19</v>
          </cell>
          <cell r="AQ373">
            <v>5</v>
          </cell>
          <cell r="AR373">
            <v>120</v>
          </cell>
          <cell r="AS373">
            <v>120</v>
          </cell>
          <cell r="AT373">
            <v>55</v>
          </cell>
          <cell r="BF373">
            <v>602.10778038577007</v>
          </cell>
        </row>
        <row r="374">
          <cell r="B374">
            <v>690</v>
          </cell>
          <cell r="C374">
            <v>47</v>
          </cell>
          <cell r="D374">
            <v>3</v>
          </cell>
          <cell r="E374">
            <v>85</v>
          </cell>
          <cell r="F374">
            <v>340</v>
          </cell>
          <cell r="G374">
            <v>37.5</v>
          </cell>
          <cell r="H374">
            <v>190</v>
          </cell>
          <cell r="J374">
            <v>153.30000000000001</v>
          </cell>
          <cell r="K374">
            <v>125</v>
          </cell>
          <cell r="L374">
            <v>125</v>
          </cell>
          <cell r="M374">
            <v>730</v>
          </cell>
          <cell r="N374">
            <v>180</v>
          </cell>
          <cell r="O374">
            <v>375</v>
          </cell>
          <cell r="P374">
            <v>50</v>
          </cell>
          <cell r="Q374">
            <v>21</v>
          </cell>
          <cell r="R374">
            <v>100</v>
          </cell>
          <cell r="S374">
            <v>60</v>
          </cell>
          <cell r="T374">
            <v>36</v>
          </cell>
          <cell r="W374">
            <v>20</v>
          </cell>
          <cell r="Y374">
            <v>3.5</v>
          </cell>
          <cell r="Z374">
            <v>230</v>
          </cell>
          <cell r="AA374">
            <v>306</v>
          </cell>
          <cell r="AB374">
            <v>60</v>
          </cell>
          <cell r="AD374">
            <v>180</v>
          </cell>
          <cell r="AE374">
            <v>1.1000000000000001</v>
          </cell>
          <cell r="AF374">
            <v>275</v>
          </cell>
          <cell r="AG374">
            <v>18</v>
          </cell>
          <cell r="AI374">
            <v>47</v>
          </cell>
          <cell r="AN374">
            <v>0.75</v>
          </cell>
          <cell r="AO374">
            <v>19</v>
          </cell>
          <cell r="AP374">
            <v>19</v>
          </cell>
          <cell r="AQ374">
            <v>5</v>
          </cell>
          <cell r="AR374">
            <v>120</v>
          </cell>
          <cell r="AS374">
            <v>120</v>
          </cell>
          <cell r="AT374">
            <v>55</v>
          </cell>
          <cell r="BF374">
            <v>881.09697390693168</v>
          </cell>
        </row>
        <row r="375">
          <cell r="B375">
            <v>690</v>
          </cell>
          <cell r="C375">
            <v>47</v>
          </cell>
          <cell r="D375">
            <v>3</v>
          </cell>
          <cell r="E375">
            <v>85</v>
          </cell>
          <cell r="F375">
            <v>340</v>
          </cell>
          <cell r="G375">
            <v>37.5</v>
          </cell>
          <cell r="H375">
            <v>190</v>
          </cell>
          <cell r="J375">
            <v>153.30000000000001</v>
          </cell>
          <cell r="K375">
            <v>125</v>
          </cell>
          <cell r="L375">
            <v>125</v>
          </cell>
          <cell r="M375">
            <v>730</v>
          </cell>
          <cell r="N375">
            <v>180</v>
          </cell>
          <cell r="O375">
            <v>375</v>
          </cell>
          <cell r="P375">
            <v>50</v>
          </cell>
          <cell r="Q375">
            <v>21</v>
          </cell>
          <cell r="R375">
            <v>100</v>
          </cell>
          <cell r="S375">
            <v>60</v>
          </cell>
          <cell r="T375">
            <v>36</v>
          </cell>
          <cell r="W375">
            <v>20</v>
          </cell>
          <cell r="Y375">
            <v>3.5</v>
          </cell>
          <cell r="Z375">
            <v>230</v>
          </cell>
          <cell r="AA375">
            <v>306</v>
          </cell>
          <cell r="AB375">
            <v>60</v>
          </cell>
          <cell r="AD375">
            <v>180</v>
          </cell>
          <cell r="AE375">
            <v>1.1000000000000001</v>
          </cell>
          <cell r="AF375">
            <v>275</v>
          </cell>
          <cell r="AG375">
            <v>18</v>
          </cell>
          <cell r="AI375">
            <v>47</v>
          </cell>
          <cell r="AN375">
            <v>0.75</v>
          </cell>
          <cell r="AO375">
            <v>19</v>
          </cell>
          <cell r="AP375">
            <v>19</v>
          </cell>
          <cell r="AQ375">
            <v>5</v>
          </cell>
          <cell r="AR375">
            <v>120</v>
          </cell>
          <cell r="AS375">
            <v>120</v>
          </cell>
          <cell r="AT375">
            <v>55</v>
          </cell>
          <cell r="BF375">
            <v>589.05518955362641</v>
          </cell>
        </row>
        <row r="376">
          <cell r="B376">
            <v>690</v>
          </cell>
          <cell r="C376">
            <v>47</v>
          </cell>
          <cell r="D376">
            <v>3</v>
          </cell>
          <cell r="E376">
            <v>85</v>
          </cell>
          <cell r="F376">
            <v>340</v>
          </cell>
          <cell r="G376">
            <v>37.5</v>
          </cell>
          <cell r="H376">
            <v>190</v>
          </cell>
          <cell r="J376">
            <v>153.30000000000001</v>
          </cell>
          <cell r="K376">
            <v>125</v>
          </cell>
          <cell r="L376">
            <v>125</v>
          </cell>
          <cell r="M376">
            <v>730</v>
          </cell>
          <cell r="N376">
            <v>180</v>
          </cell>
          <cell r="O376">
            <v>375</v>
          </cell>
          <cell r="P376">
            <v>50</v>
          </cell>
          <cell r="Q376">
            <v>21</v>
          </cell>
          <cell r="R376">
            <v>100</v>
          </cell>
          <cell r="S376">
            <v>60</v>
          </cell>
          <cell r="T376">
            <v>36</v>
          </cell>
          <cell r="W376">
            <v>20</v>
          </cell>
          <cell r="Y376">
            <v>3.5</v>
          </cell>
          <cell r="Z376">
            <v>230</v>
          </cell>
          <cell r="AA376">
            <v>306</v>
          </cell>
          <cell r="AB376">
            <v>60</v>
          </cell>
          <cell r="AD376">
            <v>180</v>
          </cell>
          <cell r="AE376">
            <v>1.1000000000000001</v>
          </cell>
          <cell r="AF376">
            <v>275</v>
          </cell>
          <cell r="AG376">
            <v>18</v>
          </cell>
          <cell r="AI376">
            <v>47</v>
          </cell>
          <cell r="AN376">
            <v>0.75</v>
          </cell>
          <cell r="AO376">
            <v>19</v>
          </cell>
          <cell r="AP376">
            <v>19</v>
          </cell>
          <cell r="AQ376">
            <v>5</v>
          </cell>
          <cell r="AR376">
            <v>120</v>
          </cell>
          <cell r="AS376">
            <v>120</v>
          </cell>
          <cell r="AT376">
            <v>55</v>
          </cell>
          <cell r="BF376">
            <v>703.10943629327755</v>
          </cell>
        </row>
        <row r="377">
          <cell r="B377">
            <v>690</v>
          </cell>
          <cell r="C377">
            <v>47</v>
          </cell>
          <cell r="D377">
            <v>3</v>
          </cell>
          <cell r="E377">
            <v>85</v>
          </cell>
          <cell r="F377">
            <v>340</v>
          </cell>
          <cell r="G377">
            <v>37.5</v>
          </cell>
          <cell r="H377">
            <v>190</v>
          </cell>
          <cell r="J377">
            <v>153.30000000000001</v>
          </cell>
          <cell r="K377">
            <v>125</v>
          </cell>
          <cell r="L377">
            <v>125</v>
          </cell>
          <cell r="M377">
            <v>730</v>
          </cell>
          <cell r="N377">
            <v>180</v>
          </cell>
          <cell r="O377">
            <v>375</v>
          </cell>
          <cell r="P377">
            <v>50</v>
          </cell>
          <cell r="Q377">
            <v>21</v>
          </cell>
          <cell r="R377">
            <v>100</v>
          </cell>
          <cell r="S377">
            <v>60</v>
          </cell>
          <cell r="T377">
            <v>36</v>
          </cell>
          <cell r="W377">
            <v>20</v>
          </cell>
          <cell r="Y377">
            <v>3.5</v>
          </cell>
          <cell r="Z377">
            <v>230</v>
          </cell>
          <cell r="AA377">
            <v>306</v>
          </cell>
          <cell r="AB377">
            <v>60</v>
          </cell>
          <cell r="AD377">
            <v>180</v>
          </cell>
          <cell r="AE377">
            <v>1.1000000000000001</v>
          </cell>
          <cell r="AF377">
            <v>275</v>
          </cell>
          <cell r="AG377">
            <v>18</v>
          </cell>
          <cell r="AI377">
            <v>47</v>
          </cell>
          <cell r="AN377">
            <v>0.75</v>
          </cell>
          <cell r="AO377">
            <v>19</v>
          </cell>
          <cell r="AP377">
            <v>19</v>
          </cell>
          <cell r="AQ377">
            <v>5</v>
          </cell>
          <cell r="AR377">
            <v>120</v>
          </cell>
          <cell r="AS377">
            <v>120</v>
          </cell>
          <cell r="AT377">
            <v>55</v>
          </cell>
          <cell r="BF377">
            <v>851.58596818474427</v>
          </cell>
        </row>
        <row r="378">
          <cell r="B378">
            <v>690</v>
          </cell>
          <cell r="C378">
            <v>47</v>
          </cell>
          <cell r="D378">
            <v>3</v>
          </cell>
          <cell r="E378">
            <v>85</v>
          </cell>
          <cell r="F378">
            <v>340</v>
          </cell>
          <cell r="G378">
            <v>37.5</v>
          </cell>
          <cell r="H378">
            <v>190</v>
          </cell>
          <cell r="J378">
            <v>153.30000000000001</v>
          </cell>
          <cell r="K378">
            <v>125</v>
          </cell>
          <cell r="L378">
            <v>125</v>
          </cell>
          <cell r="M378">
            <v>730</v>
          </cell>
          <cell r="N378">
            <v>180</v>
          </cell>
          <cell r="O378">
            <v>375</v>
          </cell>
          <cell r="P378">
            <v>50</v>
          </cell>
          <cell r="Q378">
            <v>21</v>
          </cell>
          <cell r="R378">
            <v>100</v>
          </cell>
          <cell r="S378">
            <v>60</v>
          </cell>
          <cell r="T378">
            <v>36</v>
          </cell>
          <cell r="W378">
            <v>20</v>
          </cell>
          <cell r="Y378">
            <v>3.5</v>
          </cell>
          <cell r="Z378">
            <v>230</v>
          </cell>
          <cell r="AA378">
            <v>306</v>
          </cell>
          <cell r="AB378">
            <v>60</v>
          </cell>
          <cell r="AD378">
            <v>180</v>
          </cell>
          <cell r="AE378">
            <v>1.1000000000000001</v>
          </cell>
          <cell r="AF378">
            <v>275</v>
          </cell>
          <cell r="AG378">
            <v>18</v>
          </cell>
          <cell r="AI378">
            <v>47</v>
          </cell>
          <cell r="AN378">
            <v>0.75</v>
          </cell>
          <cell r="AO378">
            <v>19</v>
          </cell>
          <cell r="AP378">
            <v>19</v>
          </cell>
          <cell r="AQ378">
            <v>5</v>
          </cell>
          <cell r="AR378">
            <v>120</v>
          </cell>
          <cell r="AS378">
            <v>120</v>
          </cell>
          <cell r="AT378">
            <v>55</v>
          </cell>
          <cell r="BF378">
            <v>828.06981719218811</v>
          </cell>
        </row>
        <row r="379">
          <cell r="B379">
            <v>690</v>
          </cell>
          <cell r="C379">
            <v>47</v>
          </cell>
          <cell r="D379">
            <v>3</v>
          </cell>
          <cell r="E379">
            <v>85</v>
          </cell>
          <cell r="F379">
            <v>340</v>
          </cell>
          <cell r="G379">
            <v>37.5</v>
          </cell>
          <cell r="H379">
            <v>190</v>
          </cell>
          <cell r="J379">
            <v>153.30000000000001</v>
          </cell>
          <cell r="K379">
            <v>125</v>
          </cell>
          <cell r="L379">
            <v>125</v>
          </cell>
          <cell r="M379">
            <v>730</v>
          </cell>
          <cell r="N379">
            <v>180</v>
          </cell>
          <cell r="O379">
            <v>375</v>
          </cell>
          <cell r="P379">
            <v>50</v>
          </cell>
          <cell r="Q379">
            <v>21</v>
          </cell>
          <cell r="R379">
            <v>100</v>
          </cell>
          <cell r="S379">
            <v>60</v>
          </cell>
          <cell r="T379">
            <v>36</v>
          </cell>
          <cell r="W379">
            <v>20</v>
          </cell>
          <cell r="Y379">
            <v>3.5</v>
          </cell>
          <cell r="Z379">
            <v>230</v>
          </cell>
          <cell r="AA379">
            <v>306</v>
          </cell>
          <cell r="AB379">
            <v>60</v>
          </cell>
          <cell r="AD379">
            <v>180</v>
          </cell>
          <cell r="AE379">
            <v>1.1000000000000001</v>
          </cell>
          <cell r="AF379">
            <v>275</v>
          </cell>
          <cell r="AG379">
            <v>18</v>
          </cell>
          <cell r="AI379">
            <v>47</v>
          </cell>
          <cell r="AN379">
            <v>0.75</v>
          </cell>
          <cell r="AO379">
            <v>19</v>
          </cell>
          <cell r="AP379">
            <v>19</v>
          </cell>
          <cell r="AQ379">
            <v>5</v>
          </cell>
          <cell r="AR379">
            <v>120</v>
          </cell>
          <cell r="AS379">
            <v>120</v>
          </cell>
          <cell r="AT379">
            <v>55</v>
          </cell>
          <cell r="BF379">
            <v>856.21762605580466</v>
          </cell>
        </row>
        <row r="380">
          <cell r="B380">
            <v>690</v>
          </cell>
          <cell r="C380">
            <v>47</v>
          </cell>
          <cell r="D380">
            <v>3</v>
          </cell>
          <cell r="E380">
            <v>85</v>
          </cell>
          <cell r="F380">
            <v>340</v>
          </cell>
          <cell r="G380">
            <v>37.5</v>
          </cell>
          <cell r="H380">
            <v>190</v>
          </cell>
          <cell r="J380">
            <v>153.30000000000001</v>
          </cell>
          <cell r="K380">
            <v>125</v>
          </cell>
          <cell r="L380">
            <v>125</v>
          </cell>
          <cell r="M380">
            <v>730</v>
          </cell>
          <cell r="N380">
            <v>180</v>
          </cell>
          <cell r="O380">
            <v>375</v>
          </cell>
          <cell r="P380">
            <v>50</v>
          </cell>
          <cell r="Q380">
            <v>21</v>
          </cell>
          <cell r="R380">
            <v>100</v>
          </cell>
          <cell r="S380">
            <v>60</v>
          </cell>
          <cell r="T380">
            <v>36</v>
          </cell>
          <cell r="W380">
            <v>20</v>
          </cell>
          <cell r="Y380">
            <v>3.5</v>
          </cell>
          <cell r="Z380">
            <v>230</v>
          </cell>
          <cell r="AA380">
            <v>306</v>
          </cell>
          <cell r="AB380">
            <v>60</v>
          </cell>
          <cell r="AD380">
            <v>180</v>
          </cell>
          <cell r="AE380">
            <v>1.1000000000000001</v>
          </cell>
          <cell r="AF380">
            <v>275</v>
          </cell>
          <cell r="AG380">
            <v>18</v>
          </cell>
          <cell r="AI380">
            <v>47</v>
          </cell>
          <cell r="AN380">
            <v>0.75</v>
          </cell>
          <cell r="AO380">
            <v>19</v>
          </cell>
          <cell r="AP380">
            <v>19</v>
          </cell>
          <cell r="AQ380">
            <v>5</v>
          </cell>
          <cell r="AR380">
            <v>120</v>
          </cell>
          <cell r="AS380">
            <v>120</v>
          </cell>
          <cell r="AT380">
            <v>55</v>
          </cell>
          <cell r="BF380">
            <v>902.26738199583019</v>
          </cell>
        </row>
        <row r="381">
          <cell r="B381">
            <v>690</v>
          </cell>
          <cell r="C381">
            <v>47</v>
          </cell>
          <cell r="D381">
            <v>3</v>
          </cell>
          <cell r="E381">
            <v>85</v>
          </cell>
          <cell r="F381">
            <v>340</v>
          </cell>
          <cell r="G381">
            <v>37.5</v>
          </cell>
          <cell r="H381">
            <v>190</v>
          </cell>
          <cell r="J381">
            <v>153.30000000000001</v>
          </cell>
          <cell r="K381">
            <v>125</v>
          </cell>
          <cell r="L381">
            <v>125</v>
          </cell>
          <cell r="M381">
            <v>730</v>
          </cell>
          <cell r="N381">
            <v>180</v>
          </cell>
          <cell r="O381">
            <v>375</v>
          </cell>
          <cell r="P381">
            <v>50</v>
          </cell>
          <cell r="Q381">
            <v>21</v>
          </cell>
          <cell r="R381">
            <v>100</v>
          </cell>
          <cell r="S381">
            <v>60</v>
          </cell>
          <cell r="T381">
            <v>36</v>
          </cell>
          <cell r="W381">
            <v>20</v>
          </cell>
          <cell r="Y381">
            <v>3.5</v>
          </cell>
          <cell r="Z381">
            <v>230</v>
          </cell>
          <cell r="AA381">
            <v>306</v>
          </cell>
          <cell r="AB381">
            <v>60</v>
          </cell>
          <cell r="AD381">
            <v>180</v>
          </cell>
          <cell r="AE381">
            <v>1.1000000000000001</v>
          </cell>
          <cell r="AF381">
            <v>275</v>
          </cell>
          <cell r="AG381">
            <v>18</v>
          </cell>
          <cell r="AI381">
            <v>47</v>
          </cell>
          <cell r="AN381">
            <v>0.75</v>
          </cell>
          <cell r="AO381">
            <v>19</v>
          </cell>
          <cell r="AP381">
            <v>19</v>
          </cell>
          <cell r="AQ381">
            <v>5</v>
          </cell>
          <cell r="AR381">
            <v>120</v>
          </cell>
          <cell r="AS381">
            <v>120</v>
          </cell>
          <cell r="AT381">
            <v>55</v>
          </cell>
          <cell r="BF381">
            <v>1016.4914611995686</v>
          </cell>
        </row>
        <row r="382">
          <cell r="B382">
            <v>690</v>
          </cell>
          <cell r="C382">
            <v>47</v>
          </cell>
          <cell r="D382">
            <v>3</v>
          </cell>
          <cell r="E382">
            <v>85</v>
          </cell>
          <cell r="F382">
            <v>340</v>
          </cell>
          <cell r="G382">
            <v>37.5</v>
          </cell>
          <cell r="H382">
            <v>190</v>
          </cell>
          <cell r="J382">
            <v>153.30000000000001</v>
          </cell>
          <cell r="K382">
            <v>125</v>
          </cell>
          <cell r="L382">
            <v>125</v>
          </cell>
          <cell r="M382">
            <v>730</v>
          </cell>
          <cell r="N382">
            <v>180</v>
          </cell>
          <cell r="O382">
            <v>375</v>
          </cell>
          <cell r="P382">
            <v>50</v>
          </cell>
          <cell r="Q382">
            <v>21</v>
          </cell>
          <cell r="R382">
            <v>100</v>
          </cell>
          <cell r="S382">
            <v>60</v>
          </cell>
          <cell r="T382">
            <v>36</v>
          </cell>
          <cell r="W382">
            <v>20</v>
          </cell>
          <cell r="Y382">
            <v>3.5</v>
          </cell>
          <cell r="Z382">
            <v>230</v>
          </cell>
          <cell r="AA382">
            <v>306</v>
          </cell>
          <cell r="AB382">
            <v>60</v>
          </cell>
          <cell r="AD382">
            <v>180</v>
          </cell>
          <cell r="AE382">
            <v>1.1000000000000001</v>
          </cell>
          <cell r="AF382">
            <v>275</v>
          </cell>
          <cell r="AG382">
            <v>18</v>
          </cell>
          <cell r="AI382">
            <v>47</v>
          </cell>
          <cell r="AN382">
            <v>0.75</v>
          </cell>
          <cell r="AO382">
            <v>19</v>
          </cell>
          <cell r="AP382">
            <v>19</v>
          </cell>
          <cell r="AQ382">
            <v>5</v>
          </cell>
          <cell r="AR382">
            <v>120</v>
          </cell>
          <cell r="AS382">
            <v>120</v>
          </cell>
          <cell r="AT382">
            <v>55</v>
          </cell>
          <cell r="BF382">
            <v>1043.4336265399415</v>
          </cell>
        </row>
        <row r="383">
          <cell r="B383">
            <v>690</v>
          </cell>
          <cell r="C383">
            <v>47</v>
          </cell>
          <cell r="D383">
            <v>3</v>
          </cell>
          <cell r="E383">
            <v>85</v>
          </cell>
          <cell r="F383">
            <v>340</v>
          </cell>
          <cell r="G383">
            <v>37.5</v>
          </cell>
          <cell r="H383">
            <v>190</v>
          </cell>
          <cell r="J383">
            <v>153.30000000000001</v>
          </cell>
          <cell r="K383">
            <v>125</v>
          </cell>
          <cell r="L383">
            <v>125</v>
          </cell>
          <cell r="M383">
            <v>730</v>
          </cell>
          <cell r="N383">
            <v>180</v>
          </cell>
          <cell r="O383">
            <v>375</v>
          </cell>
          <cell r="P383">
            <v>50</v>
          </cell>
          <cell r="Q383">
            <v>21</v>
          </cell>
          <cell r="R383">
            <v>100</v>
          </cell>
          <cell r="S383">
            <v>60</v>
          </cell>
          <cell r="T383">
            <v>36</v>
          </cell>
          <cell r="W383">
            <v>20</v>
          </cell>
          <cell r="Y383">
            <v>3.5</v>
          </cell>
          <cell r="Z383">
            <v>230</v>
          </cell>
          <cell r="AA383">
            <v>306</v>
          </cell>
          <cell r="AB383">
            <v>60</v>
          </cell>
          <cell r="AD383">
            <v>180</v>
          </cell>
          <cell r="AE383">
            <v>1.1000000000000001</v>
          </cell>
          <cell r="AF383">
            <v>275</v>
          </cell>
          <cell r="AG383">
            <v>18</v>
          </cell>
          <cell r="AI383">
            <v>47</v>
          </cell>
          <cell r="AN383">
            <v>0.75</v>
          </cell>
          <cell r="AO383">
            <v>19</v>
          </cell>
          <cell r="AP383">
            <v>19</v>
          </cell>
          <cell r="AQ383">
            <v>5</v>
          </cell>
          <cell r="AR383">
            <v>120</v>
          </cell>
          <cell r="AS383">
            <v>120</v>
          </cell>
          <cell r="AT383">
            <v>55</v>
          </cell>
          <cell r="BF383">
            <v>1062.6956788960103</v>
          </cell>
        </row>
        <row r="384">
          <cell r="B384">
            <v>690</v>
          </cell>
          <cell r="C384">
            <v>47</v>
          </cell>
          <cell r="D384">
            <v>3</v>
          </cell>
          <cell r="E384">
            <v>85</v>
          </cell>
          <cell r="F384">
            <v>340</v>
          </cell>
          <cell r="G384">
            <v>37.5</v>
          </cell>
          <cell r="H384">
            <v>190</v>
          </cell>
          <cell r="J384">
            <v>153.30000000000001</v>
          </cell>
          <cell r="K384">
            <v>125</v>
          </cell>
          <cell r="L384">
            <v>125</v>
          </cell>
          <cell r="M384">
            <v>730</v>
          </cell>
          <cell r="N384">
            <v>180</v>
          </cell>
          <cell r="O384">
            <v>375</v>
          </cell>
          <cell r="P384">
            <v>50</v>
          </cell>
          <cell r="Q384">
            <v>21</v>
          </cell>
          <cell r="R384">
            <v>100</v>
          </cell>
          <cell r="S384">
            <v>60</v>
          </cell>
          <cell r="T384">
            <v>36</v>
          </cell>
          <cell r="W384">
            <v>20</v>
          </cell>
          <cell r="Y384">
            <v>3.5</v>
          </cell>
          <cell r="Z384">
            <v>230</v>
          </cell>
          <cell r="AA384">
            <v>306</v>
          </cell>
          <cell r="AB384">
            <v>60</v>
          </cell>
          <cell r="AD384">
            <v>180</v>
          </cell>
          <cell r="AE384">
            <v>1.1000000000000001</v>
          </cell>
          <cell r="AF384">
            <v>275</v>
          </cell>
          <cell r="AG384">
            <v>18</v>
          </cell>
          <cell r="AI384">
            <v>47</v>
          </cell>
          <cell r="AN384">
            <v>0.75</v>
          </cell>
          <cell r="AO384">
            <v>19</v>
          </cell>
          <cell r="AP384">
            <v>19</v>
          </cell>
          <cell r="AQ384">
            <v>5</v>
          </cell>
          <cell r="AR384">
            <v>120</v>
          </cell>
          <cell r="AS384">
            <v>120</v>
          </cell>
          <cell r="AT384">
            <v>55</v>
          </cell>
          <cell r="BF384">
            <v>1086.0025239728031</v>
          </cell>
        </row>
      </sheetData>
      <sheetData sheetId="5">
        <row r="3">
          <cell r="F3">
            <v>0.1</v>
          </cell>
          <cell r="G3">
            <v>0.33300000000000002</v>
          </cell>
          <cell r="H3">
            <v>0.38300000000000001</v>
          </cell>
          <cell r="M3">
            <v>0.23400000000000001</v>
          </cell>
          <cell r="N3">
            <v>0.1</v>
          </cell>
          <cell r="O3">
            <v>0.33300000000000002</v>
          </cell>
          <cell r="P3">
            <v>0.33300000000000002</v>
          </cell>
          <cell r="R3">
            <v>1</v>
          </cell>
          <cell r="V3">
            <v>0.66600000000000004</v>
          </cell>
          <cell r="W3">
            <v>0.33400000000000002</v>
          </cell>
          <cell r="Z3">
            <v>0.6</v>
          </cell>
          <cell r="AA3">
            <v>0.4</v>
          </cell>
          <cell r="AC3">
            <v>0.5</v>
          </cell>
          <cell r="AD3">
            <v>0.25</v>
          </cell>
          <cell r="AE3">
            <v>0.25</v>
          </cell>
          <cell r="AI3">
            <v>1</v>
          </cell>
          <cell r="AK3">
            <v>1</v>
          </cell>
          <cell r="AM3">
            <v>0.75</v>
          </cell>
          <cell r="AN3">
            <v>0.25</v>
          </cell>
          <cell r="AP3">
            <v>0.75</v>
          </cell>
          <cell r="AQ3">
            <v>0.25</v>
          </cell>
          <cell r="AS3">
            <v>1</v>
          </cell>
          <cell r="AT3">
            <v>0</v>
          </cell>
          <cell r="AV3">
            <v>0.7</v>
          </cell>
          <cell r="AW3">
            <v>0.3</v>
          </cell>
          <cell r="AY3">
            <v>0.9</v>
          </cell>
          <cell r="AZ3">
            <v>0.1</v>
          </cell>
          <cell r="BB3">
            <v>0.85</v>
          </cell>
          <cell r="BC3">
            <v>0.1</v>
          </cell>
          <cell r="BD3">
            <v>0.05</v>
          </cell>
          <cell r="BF3">
            <v>1</v>
          </cell>
          <cell r="BH3">
            <v>1</v>
          </cell>
          <cell r="BJ3">
            <v>0.6</v>
          </cell>
          <cell r="BK3">
            <v>0.1</v>
          </cell>
          <cell r="BL3">
            <v>0.2</v>
          </cell>
          <cell r="BM3">
            <v>0.1</v>
          </cell>
          <cell r="BQ3">
            <v>0.75</v>
          </cell>
          <cell r="BR3">
            <v>0.25</v>
          </cell>
          <cell r="BW3">
            <v>0.5</v>
          </cell>
          <cell r="BX3">
            <v>0.05</v>
          </cell>
          <cell r="BY3">
            <v>0.35</v>
          </cell>
          <cell r="BZ3">
            <v>0.1</v>
          </cell>
          <cell r="CD3">
            <v>0.7</v>
          </cell>
          <cell r="CE3">
            <v>0.3</v>
          </cell>
          <cell r="CI3">
            <v>0.5</v>
          </cell>
          <cell r="CJ3">
            <v>0.5</v>
          </cell>
          <cell r="CP3">
            <v>0.5</v>
          </cell>
          <cell r="CQ3">
            <v>0.25</v>
          </cell>
          <cell r="CR3">
            <v>0.25</v>
          </cell>
          <cell r="CT3">
            <v>1</v>
          </cell>
          <cell r="CV3">
            <v>1</v>
          </cell>
          <cell r="CX3">
            <v>0.5</v>
          </cell>
          <cell r="CY3">
            <v>0.5</v>
          </cell>
          <cell r="DA3">
            <v>0.5</v>
          </cell>
          <cell r="DB3">
            <v>0.5</v>
          </cell>
          <cell r="DK3">
            <v>0.5</v>
          </cell>
          <cell r="DL3">
            <v>0.25</v>
          </cell>
          <cell r="DM3">
            <v>0.25</v>
          </cell>
        </row>
      </sheetData>
      <sheetData sheetId="6"/>
      <sheetData sheetId="7"/>
      <sheetData sheetId="8">
        <row r="2">
          <cell r="B2">
            <v>8.5</v>
          </cell>
        </row>
        <row r="3">
          <cell r="B3">
            <v>8.01</v>
          </cell>
        </row>
        <row r="4">
          <cell r="B4">
            <v>7.5</v>
          </cell>
        </row>
        <row r="5">
          <cell r="B5">
            <v>7.55</v>
          </cell>
        </row>
        <row r="6">
          <cell r="B6">
            <v>9.3800000000000008</v>
          </cell>
        </row>
        <row r="7">
          <cell r="B7">
            <v>9.1999999999999993</v>
          </cell>
        </row>
        <row r="8">
          <cell r="B8">
            <v>9.375</v>
          </cell>
        </row>
        <row r="9">
          <cell r="B9">
            <v>9.25</v>
          </cell>
        </row>
        <row r="14">
          <cell r="B14">
            <v>7.45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gov.br/anp/pt-br/assuntos/distribuicao-e-revenda/leiloes-biodiesel/dados-de-aquisicoes-por-distribuidor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anp/pt-br/centrais-de-conteudo/dados-abertos/producao-de-biocombustivei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anp/pt-br/centrais-de-conteudo/paineis-dinamicos-da-anp/paineis-e-mapa-dinamicos-de-produtores-de-combustiveis-e-derivados/painel-dinamico-de-produtores-de-biodiese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anp/pt-br/centrais-de-conteudo/paineis-dinamicos-da-anp/paineis-e-mapa-dinamicos-de-produtores-de-combustiveis-e-derivados/painel-dinamico-de-produtores-de-biodies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3609-ED90-43A3-B7B2-33E529F5211A}">
  <dimension ref="A1:N59"/>
  <sheetViews>
    <sheetView zoomScale="90" zoomScaleNormal="90" workbookViewId="0">
      <selection activeCell="C7" sqref="C7"/>
    </sheetView>
  </sheetViews>
  <sheetFormatPr defaultRowHeight="15" x14ac:dyDescent="0.25"/>
  <cols>
    <col min="5" max="5" width="11.42578125" bestFit="1" customWidth="1"/>
    <col min="6" max="9" width="11.42578125" customWidth="1"/>
    <col min="10" max="10" width="10.85546875" bestFit="1" customWidth="1"/>
    <col min="11" max="11" width="9.85546875" bestFit="1" customWidth="1"/>
    <col min="12" max="13" width="9.85546875" customWidth="1"/>
  </cols>
  <sheetData>
    <row r="1" spans="1:14" x14ac:dyDescent="0.25">
      <c r="E1" t="s">
        <v>0</v>
      </c>
      <c r="F1" s="1" t="s">
        <v>1</v>
      </c>
    </row>
    <row r="2" spans="1:14" x14ac:dyDescent="0.25">
      <c r="B2" t="s">
        <v>2</v>
      </c>
      <c r="C2" t="s">
        <v>3</v>
      </c>
      <c r="D2" t="s">
        <v>0</v>
      </c>
      <c r="F2">
        <v>2018</v>
      </c>
      <c r="G2">
        <v>2019</v>
      </c>
      <c r="H2">
        <v>2020</v>
      </c>
      <c r="I2">
        <v>2021</v>
      </c>
      <c r="J2">
        <v>2022</v>
      </c>
      <c r="K2">
        <v>2023</v>
      </c>
      <c r="L2">
        <v>2024</v>
      </c>
      <c r="M2">
        <v>2025</v>
      </c>
      <c r="N2" t="s">
        <v>4</v>
      </c>
    </row>
    <row r="3" spans="1:14" x14ac:dyDescent="0.25">
      <c r="A3" s="2">
        <v>43466</v>
      </c>
      <c r="B3" s="3">
        <f>'[1]Brazil Soy Complex'!CA344</f>
        <v>0</v>
      </c>
      <c r="C3">
        <v>0.11</v>
      </c>
      <c r="D3" s="4">
        <f t="shared" ref="D3:D14" si="0">G3</f>
        <v>441.01886799999971</v>
      </c>
      <c r="E3" s="5" t="s">
        <v>5</v>
      </c>
      <c r="F3" s="4">
        <v>329.97954499999992</v>
      </c>
      <c r="G3" s="4">
        <v>441.01886799999971</v>
      </c>
      <c r="H3" s="4">
        <v>482.97002499999985</v>
      </c>
      <c r="I3" s="4">
        <v>534.07067699999993</v>
      </c>
      <c r="J3" s="4">
        <v>426.07238699999999</v>
      </c>
      <c r="K3" s="4">
        <v>461.59658000000002</v>
      </c>
      <c r="L3" s="4">
        <v>610.60124199999996</v>
      </c>
      <c r="M3">
        <v>679.14378299999998</v>
      </c>
      <c r="N3" s="4">
        <f t="shared" ref="N3:N14" si="1">AVERAGE(F3:J3)</f>
        <v>442.82230039999985</v>
      </c>
    </row>
    <row r="4" spans="1:14" x14ac:dyDescent="0.25">
      <c r="A4" s="2">
        <v>43497</v>
      </c>
      <c r="B4" s="3">
        <f>'[1]Brazil Soy Complex'!CA345</f>
        <v>0</v>
      </c>
      <c r="C4">
        <v>0.11</v>
      </c>
      <c r="D4" s="4">
        <f t="shared" si="0"/>
        <v>429.33543700000018</v>
      </c>
      <c r="E4" s="5" t="s">
        <v>6</v>
      </c>
      <c r="F4" s="4">
        <v>342.83580199999994</v>
      </c>
      <c r="G4" s="4">
        <v>429.33543700000018</v>
      </c>
      <c r="H4" s="4">
        <v>483.90427400000027</v>
      </c>
      <c r="I4" s="4">
        <v>568.84573499999999</v>
      </c>
      <c r="J4" s="4">
        <v>476.59420699999998</v>
      </c>
      <c r="K4" s="4">
        <v>463.95433600000001</v>
      </c>
      <c r="L4" s="4">
        <v>638.04677300000003</v>
      </c>
      <c r="N4" s="4">
        <f t="shared" si="1"/>
        <v>460.30309100000011</v>
      </c>
    </row>
    <row r="5" spans="1:14" x14ac:dyDescent="0.25">
      <c r="A5" s="2">
        <v>43525</v>
      </c>
      <c r="B5" s="3">
        <f>'[1]Brazil Soy Complex'!CA346</f>
        <v>0</v>
      </c>
      <c r="C5">
        <v>0.11</v>
      </c>
      <c r="D5" s="4">
        <f t="shared" si="0"/>
        <v>451.49697500000002</v>
      </c>
      <c r="E5" s="5" t="s">
        <v>7</v>
      </c>
      <c r="F5" s="4">
        <v>443.54260399999998</v>
      </c>
      <c r="G5" s="4">
        <v>451.49697500000002</v>
      </c>
      <c r="H5" s="4">
        <v>523.97606900000005</v>
      </c>
      <c r="I5" s="4">
        <v>650.71251300000029</v>
      </c>
      <c r="J5" s="4">
        <v>501.51706000000001</v>
      </c>
      <c r="K5" s="4">
        <v>572.24609299999997</v>
      </c>
      <c r="L5" s="4">
        <v>723.37590799999998</v>
      </c>
      <c r="N5" s="4">
        <f t="shared" si="1"/>
        <v>514.24904420000007</v>
      </c>
    </row>
    <row r="6" spans="1:14" x14ac:dyDescent="0.25">
      <c r="A6" s="2">
        <v>43556</v>
      </c>
      <c r="B6" s="3">
        <f>'[1]Brazil Soy Complex'!CA347</f>
        <v>0</v>
      </c>
      <c r="C6">
        <v>0.11</v>
      </c>
      <c r="D6" s="4">
        <f t="shared" si="0"/>
        <v>469.61132600000019</v>
      </c>
      <c r="E6" s="5" t="s">
        <v>8</v>
      </c>
      <c r="F6" s="4">
        <v>453.04355299999986</v>
      </c>
      <c r="G6" s="4">
        <v>469.61132600000019</v>
      </c>
      <c r="H6" s="4">
        <v>467.5357929999999</v>
      </c>
      <c r="I6" s="4">
        <v>648.1613530000003</v>
      </c>
      <c r="J6" s="4">
        <v>478.94074699999999</v>
      </c>
      <c r="K6" s="4">
        <v>574.80328099999997</v>
      </c>
      <c r="L6" s="4">
        <v>790.09308899999996</v>
      </c>
      <c r="N6" s="4">
        <f t="shared" si="1"/>
        <v>503.45855440000003</v>
      </c>
    </row>
    <row r="7" spans="1:14" x14ac:dyDescent="0.25">
      <c r="A7" s="2">
        <v>43586</v>
      </c>
      <c r="B7" s="3">
        <f>'[1]Brazil Soy Complex'!CA348</f>
        <v>0</v>
      </c>
      <c r="C7">
        <v>0.11</v>
      </c>
      <c r="D7" s="4">
        <f t="shared" si="0"/>
        <v>441.69862000000001</v>
      </c>
      <c r="E7" s="5" t="s">
        <v>9</v>
      </c>
      <c r="F7" s="4">
        <v>347.7302209999998</v>
      </c>
      <c r="G7" s="4">
        <v>441.69862000000001</v>
      </c>
      <c r="H7" s="4">
        <v>499.41171000000008</v>
      </c>
      <c r="I7" s="4">
        <v>505.12481700000006</v>
      </c>
      <c r="J7" s="4">
        <v>543.88261799999998</v>
      </c>
      <c r="K7" s="4">
        <v>622.51178900000002</v>
      </c>
      <c r="L7" s="4">
        <v>714.62889299999995</v>
      </c>
      <c r="N7" s="4">
        <f t="shared" si="1"/>
        <v>467.56959719999998</v>
      </c>
    </row>
    <row r="8" spans="1:14" x14ac:dyDescent="0.25">
      <c r="A8" s="2">
        <v>43617</v>
      </c>
      <c r="B8" s="3">
        <f>'[1]Brazil Soy Complex'!CA349</f>
        <v>0</v>
      </c>
      <c r="C8">
        <v>0.11</v>
      </c>
      <c r="D8" s="4">
        <f t="shared" si="0"/>
        <v>453.31060999999977</v>
      </c>
      <c r="E8" s="5" t="s">
        <v>10</v>
      </c>
      <c r="F8" s="4">
        <v>489.96670499999999</v>
      </c>
      <c r="G8" s="4">
        <v>453.31060999999977</v>
      </c>
      <c r="H8" s="4">
        <v>520.99211400000002</v>
      </c>
      <c r="I8" s="4">
        <v>512.98949400000038</v>
      </c>
      <c r="J8" s="4">
        <v>511.12819300000001</v>
      </c>
      <c r="K8" s="4">
        <v>644.08138899999994</v>
      </c>
      <c r="L8" s="4">
        <v>758.13494600000001</v>
      </c>
      <c r="N8" s="4">
        <f t="shared" si="1"/>
        <v>497.67742320000008</v>
      </c>
    </row>
    <row r="9" spans="1:14" x14ac:dyDescent="0.25">
      <c r="A9" s="2">
        <v>43647</v>
      </c>
      <c r="B9" s="3">
        <f>'[1]Brazil Soy Complex'!CA350</f>
        <v>0</v>
      </c>
      <c r="C9">
        <v>0.11</v>
      </c>
      <c r="D9" s="4">
        <f t="shared" si="0"/>
        <v>480.28392199999979</v>
      </c>
      <c r="E9" s="5" t="s">
        <v>11</v>
      </c>
      <c r="F9" s="4">
        <v>483.28766700000017</v>
      </c>
      <c r="G9" s="4">
        <v>480.28392199999979</v>
      </c>
      <c r="H9" s="4">
        <v>624.65513800000031</v>
      </c>
      <c r="I9" s="4">
        <v>539.26003500000002</v>
      </c>
      <c r="J9" s="4">
        <v>529.69709799999998</v>
      </c>
      <c r="K9" s="4">
        <v>683.00926900000002</v>
      </c>
      <c r="L9" s="4">
        <v>843.78540899999996</v>
      </c>
      <c r="N9" s="4">
        <f t="shared" si="1"/>
        <v>531.43677200000013</v>
      </c>
    </row>
    <row r="10" spans="1:14" x14ac:dyDescent="0.25">
      <c r="A10" s="2">
        <v>43678</v>
      </c>
      <c r="B10" s="3">
        <f>'[1]Brazil Soy Complex'!CA351</f>
        <v>0</v>
      </c>
      <c r="C10">
        <v>0.11</v>
      </c>
      <c r="D10" s="4">
        <f t="shared" si="0"/>
        <v>503.0871060000004</v>
      </c>
      <c r="E10" s="5" t="s">
        <v>12</v>
      </c>
      <c r="F10" s="4">
        <v>511.62186900000074</v>
      </c>
      <c r="G10" s="4">
        <v>503.0871060000004</v>
      </c>
      <c r="H10" s="4">
        <v>615.21859499999994</v>
      </c>
      <c r="I10" s="4">
        <v>558.58613399999956</v>
      </c>
      <c r="J10" s="4">
        <v>615.815383</v>
      </c>
      <c r="K10" s="4">
        <v>725.01402700000006</v>
      </c>
      <c r="L10" s="4">
        <v>843.87142400000005</v>
      </c>
      <c r="N10" s="4">
        <f t="shared" si="1"/>
        <v>560.8658174000002</v>
      </c>
    </row>
    <row r="11" spans="1:14" x14ac:dyDescent="0.25">
      <c r="A11" s="2">
        <v>43709</v>
      </c>
      <c r="B11" s="3">
        <f>'[1]Brazil Soy Complex'!CA352</f>
        <v>0</v>
      </c>
      <c r="C11">
        <v>0.11</v>
      </c>
      <c r="D11" s="4">
        <f t="shared" si="0"/>
        <v>554.9168279999999</v>
      </c>
      <c r="E11" s="5" t="s">
        <v>13</v>
      </c>
      <c r="F11" s="4">
        <v>474.58568599999933</v>
      </c>
      <c r="G11" s="4">
        <v>554.9168279999999</v>
      </c>
      <c r="H11" s="4">
        <v>581.02134799999965</v>
      </c>
      <c r="I11" s="4">
        <v>613.04013999999938</v>
      </c>
      <c r="J11" s="4">
        <v>550.05391599999996</v>
      </c>
      <c r="K11" s="4">
        <v>652.21839599999998</v>
      </c>
      <c r="L11" s="4">
        <v>791.572675</v>
      </c>
      <c r="N11" s="4">
        <f t="shared" si="1"/>
        <v>554.72358359999964</v>
      </c>
    </row>
    <row r="12" spans="1:14" x14ac:dyDescent="0.25">
      <c r="A12" s="2">
        <v>43739</v>
      </c>
      <c r="B12" s="3">
        <f>'[1]Brazil Soy Complex'!CA353</f>
        <v>0</v>
      </c>
      <c r="C12">
        <v>0.11</v>
      </c>
      <c r="D12" s="4">
        <f t="shared" si="0"/>
        <v>603.61058400000002</v>
      </c>
      <c r="E12" s="5" t="s">
        <v>14</v>
      </c>
      <c r="F12" s="4">
        <v>505.46134399999983</v>
      </c>
      <c r="G12" s="4">
        <v>603.61058400000002</v>
      </c>
      <c r="H12" s="4">
        <v>583.35535400000037</v>
      </c>
      <c r="I12" s="4">
        <v>637.69429500000001</v>
      </c>
      <c r="J12" s="4">
        <v>540.69066899999996</v>
      </c>
      <c r="K12" s="4">
        <v>691.93088799999998</v>
      </c>
      <c r="L12" s="4">
        <v>883.14745100000005</v>
      </c>
      <c r="N12" s="4">
        <f t="shared" si="1"/>
        <v>574.16244919999997</v>
      </c>
    </row>
    <row r="13" spans="1:14" x14ac:dyDescent="0.25">
      <c r="A13" s="2">
        <v>43770</v>
      </c>
      <c r="B13" s="3">
        <f>'[1]Brazil Soy Complex'!CA354</f>
        <v>0</v>
      </c>
      <c r="C13">
        <v>0.11</v>
      </c>
      <c r="D13" s="4">
        <f t="shared" si="0"/>
        <v>527.93824500000028</v>
      </c>
      <c r="E13" s="5" t="s">
        <v>15</v>
      </c>
      <c r="F13" s="4">
        <v>488.7699589999998</v>
      </c>
      <c r="G13" s="4">
        <v>527.93824500000028</v>
      </c>
      <c r="H13" s="4">
        <v>520.84735100000034</v>
      </c>
      <c r="I13" s="4">
        <v>522.9785589999999</v>
      </c>
      <c r="J13" s="4">
        <v>538.46977000000004</v>
      </c>
      <c r="K13" s="4">
        <v>666.75299399999994</v>
      </c>
      <c r="L13" s="4">
        <v>778.60569999999996</v>
      </c>
      <c r="N13" s="4">
        <f t="shared" si="1"/>
        <v>519.80077679999999</v>
      </c>
    </row>
    <row r="14" spans="1:14" x14ac:dyDescent="0.25">
      <c r="A14" s="2">
        <v>43800</v>
      </c>
      <c r="B14" s="3">
        <f>'[1]Brazil Soy Complex'!CA355</f>
        <v>0</v>
      </c>
      <c r="C14">
        <v>0.11</v>
      </c>
      <c r="D14" s="4">
        <f t="shared" si="0"/>
        <v>491.03321800000009</v>
      </c>
      <c r="E14" s="5" t="s">
        <v>16</v>
      </c>
      <c r="F14" s="4">
        <v>457.84763699999962</v>
      </c>
      <c r="G14" s="4">
        <v>491.03321800000009</v>
      </c>
      <c r="H14" s="4">
        <v>489.03422799999976</v>
      </c>
      <c r="I14" s="4">
        <v>525.37547300000028</v>
      </c>
      <c r="J14" s="4">
        <v>480.99526300000002</v>
      </c>
      <c r="K14" s="4">
        <v>645.31690900000001</v>
      </c>
      <c r="L14" s="4">
        <v>655.15653899999995</v>
      </c>
      <c r="N14" s="4">
        <f t="shared" si="1"/>
        <v>488.85716379999997</v>
      </c>
    </row>
    <row r="15" spans="1:14" x14ac:dyDescent="0.25">
      <c r="A15" s="2">
        <v>43831</v>
      </c>
      <c r="B15" s="3">
        <f>'[1]Brazil Soy Complex'!CB344</f>
        <v>0</v>
      </c>
      <c r="C15">
        <v>0.11</v>
      </c>
      <c r="D15" s="4">
        <f t="shared" ref="D15:D26" si="2">H3</f>
        <v>482.97002499999985</v>
      </c>
      <c r="F15" s="4">
        <f t="shared" ref="F15:L15" si="3">SUM(F3:F14)</f>
        <v>5328.672591999999</v>
      </c>
      <c r="G15" s="4">
        <f t="shared" si="3"/>
        <v>5847.3417390000004</v>
      </c>
      <c r="H15" s="4">
        <f t="shared" si="3"/>
        <v>6392.9219990000001</v>
      </c>
      <c r="I15" s="4">
        <f t="shared" si="3"/>
        <v>6816.8392249999997</v>
      </c>
      <c r="J15" s="4">
        <f t="shared" si="3"/>
        <v>6193.8573109999998</v>
      </c>
      <c r="K15" s="4">
        <f t="shared" si="3"/>
        <v>7403.4359510000004</v>
      </c>
      <c r="L15" s="4">
        <f t="shared" si="3"/>
        <v>9031.0200489999988</v>
      </c>
    </row>
    <row r="16" spans="1:14" x14ac:dyDescent="0.25">
      <c r="A16" s="2">
        <v>43862</v>
      </c>
      <c r="B16" s="3">
        <f>'[1]Brazil Soy Complex'!CB345</f>
        <v>0</v>
      </c>
      <c r="C16">
        <v>0.11</v>
      </c>
      <c r="D16" s="4">
        <f t="shared" si="2"/>
        <v>483.90427400000027</v>
      </c>
      <c r="K16">
        <f>(K15/J15)-1</f>
        <v>0.19528681066834497</v>
      </c>
    </row>
    <row r="17" spans="1:6" x14ac:dyDescent="0.25">
      <c r="A17" s="2">
        <v>43891</v>
      </c>
      <c r="B17" s="3">
        <f>'[1]Brazil Soy Complex'!CB346</f>
        <v>0</v>
      </c>
      <c r="C17">
        <v>0.12</v>
      </c>
      <c r="D17" s="4">
        <f t="shared" si="2"/>
        <v>523.97606900000005</v>
      </c>
      <c r="F17" s="4">
        <v>1000</v>
      </c>
    </row>
    <row r="18" spans="1:6" x14ac:dyDescent="0.25">
      <c r="A18" s="2">
        <v>43922</v>
      </c>
      <c r="B18" s="3">
        <f>'[1]Brazil Soy Complex'!CB347</f>
        <v>0</v>
      </c>
      <c r="C18">
        <v>0.12</v>
      </c>
      <c r="D18" s="4">
        <f t="shared" si="2"/>
        <v>467.5357929999999</v>
      </c>
    </row>
    <row r="19" spans="1:6" x14ac:dyDescent="0.25">
      <c r="A19" s="2">
        <v>43952</v>
      </c>
      <c r="B19" s="3">
        <f>'[1]Brazil Soy Complex'!CB348</f>
        <v>0</v>
      </c>
      <c r="C19">
        <v>0.12</v>
      </c>
      <c r="D19" s="4">
        <f t="shared" si="2"/>
        <v>499.41171000000008</v>
      </c>
    </row>
    <row r="20" spans="1:6" x14ac:dyDescent="0.25">
      <c r="A20" s="2">
        <v>43983</v>
      </c>
      <c r="B20" s="3">
        <f>'[1]Brazil Soy Complex'!CB349</f>
        <v>0</v>
      </c>
      <c r="C20">
        <v>0.12</v>
      </c>
      <c r="D20" s="4">
        <f t="shared" si="2"/>
        <v>520.99211400000002</v>
      </c>
    </row>
    <row r="21" spans="1:6" x14ac:dyDescent="0.25">
      <c r="A21" s="2">
        <v>44013</v>
      </c>
      <c r="B21" s="3">
        <f>'[1]Brazil Soy Complex'!CB350</f>
        <v>0</v>
      </c>
      <c r="C21">
        <v>0.12</v>
      </c>
      <c r="D21" s="4">
        <f t="shared" si="2"/>
        <v>624.65513800000031</v>
      </c>
    </row>
    <row r="22" spans="1:6" x14ac:dyDescent="0.25">
      <c r="A22" s="2">
        <v>44044</v>
      </c>
      <c r="B22" s="3">
        <f>'[1]Brazil Soy Complex'!CB351</f>
        <v>0</v>
      </c>
      <c r="C22">
        <v>0.12</v>
      </c>
      <c r="D22" s="4">
        <f t="shared" si="2"/>
        <v>615.21859499999994</v>
      </c>
    </row>
    <row r="23" spans="1:6" x14ac:dyDescent="0.25">
      <c r="A23" s="2">
        <v>44075</v>
      </c>
      <c r="B23" s="3">
        <f>'[1]Brazil Soy Complex'!CB352</f>
        <v>0</v>
      </c>
      <c r="C23">
        <v>0.12</v>
      </c>
      <c r="D23" s="4">
        <f t="shared" si="2"/>
        <v>581.02134799999965</v>
      </c>
    </row>
    <row r="24" spans="1:6" x14ac:dyDescent="0.25">
      <c r="A24" s="2">
        <v>44105</v>
      </c>
      <c r="B24" s="3">
        <f>'[1]Brazil Soy Complex'!CB353</f>
        <v>0</v>
      </c>
      <c r="C24">
        <v>0.12</v>
      </c>
      <c r="D24" s="4">
        <f t="shared" si="2"/>
        <v>583.35535400000037</v>
      </c>
    </row>
    <row r="25" spans="1:6" x14ac:dyDescent="0.25">
      <c r="A25" s="2">
        <v>44136</v>
      </c>
      <c r="B25" s="3">
        <f>'[1]Brazil Soy Complex'!CB354</f>
        <v>0</v>
      </c>
      <c r="C25">
        <v>0.12</v>
      </c>
      <c r="D25" s="4">
        <f t="shared" si="2"/>
        <v>520.84735100000034</v>
      </c>
    </row>
    <row r="26" spans="1:6" x14ac:dyDescent="0.25">
      <c r="A26" s="2">
        <v>44166</v>
      </c>
      <c r="B26" s="3">
        <f>'[1]Brazil Soy Complex'!CB355</f>
        <v>0</v>
      </c>
      <c r="C26">
        <v>0.12</v>
      </c>
      <c r="D26" s="4">
        <f t="shared" si="2"/>
        <v>489.03422799999976</v>
      </c>
    </row>
    <row r="27" spans="1:6" x14ac:dyDescent="0.25">
      <c r="A27" s="2">
        <v>44197</v>
      </c>
      <c r="B27" s="3" t="str">
        <f>'[1]Brazil Soy Complex'!CC344</f>
        <v>January</v>
      </c>
      <c r="C27">
        <v>0.12</v>
      </c>
      <c r="D27" s="4">
        <f t="shared" ref="D27:D38" si="4">I3</f>
        <v>534.07067699999993</v>
      </c>
    </row>
    <row r="28" spans="1:6" x14ac:dyDescent="0.25">
      <c r="A28" s="2">
        <v>44228</v>
      </c>
      <c r="B28" s="3" t="str">
        <f>'[1]Brazil Soy Complex'!CC345</f>
        <v>February</v>
      </c>
      <c r="C28">
        <v>0.12</v>
      </c>
      <c r="D28" s="4">
        <f t="shared" si="4"/>
        <v>568.84573499999999</v>
      </c>
    </row>
    <row r="29" spans="1:6" x14ac:dyDescent="0.25">
      <c r="A29" s="2">
        <v>44256</v>
      </c>
      <c r="B29" s="3" t="str">
        <f>'[1]Brazil Soy Complex'!CC346</f>
        <v>March</v>
      </c>
      <c r="C29">
        <v>0.13</v>
      </c>
      <c r="D29" s="4">
        <f t="shared" si="4"/>
        <v>650.71251300000029</v>
      </c>
    </row>
    <row r="30" spans="1:6" x14ac:dyDescent="0.25">
      <c r="A30" s="2">
        <v>44287</v>
      </c>
      <c r="B30" s="3" t="str">
        <f>'[1]Brazil Soy Complex'!CC347</f>
        <v>April</v>
      </c>
      <c r="C30">
        <v>0.13</v>
      </c>
      <c r="D30" s="4">
        <f t="shared" si="4"/>
        <v>648.1613530000003</v>
      </c>
    </row>
    <row r="31" spans="1:6" x14ac:dyDescent="0.25">
      <c r="A31" s="2">
        <v>44317</v>
      </c>
      <c r="B31" s="3" t="str">
        <f>'[1]Brazil Soy Complex'!CC348</f>
        <v>May</v>
      </c>
      <c r="C31">
        <v>0.1</v>
      </c>
      <c r="D31" s="4">
        <f t="shared" si="4"/>
        <v>505.12481700000006</v>
      </c>
    </row>
    <row r="32" spans="1:6" x14ac:dyDescent="0.25">
      <c r="A32" s="2">
        <v>44348</v>
      </c>
      <c r="B32" s="3" t="str">
        <f>'[1]Brazil Soy Complex'!CC349</f>
        <v>June</v>
      </c>
      <c r="C32">
        <v>0.1</v>
      </c>
      <c r="D32" s="4">
        <f t="shared" si="4"/>
        <v>512.98949400000038</v>
      </c>
    </row>
    <row r="33" spans="1:4" x14ac:dyDescent="0.25">
      <c r="A33" s="2">
        <v>44378</v>
      </c>
      <c r="B33" s="3" t="str">
        <f>'[1]Brazil Soy Complex'!CC350</f>
        <v>July</v>
      </c>
      <c r="C33">
        <v>0.1</v>
      </c>
      <c r="D33" s="4">
        <f t="shared" si="4"/>
        <v>539.26003500000002</v>
      </c>
    </row>
    <row r="34" spans="1:4" x14ac:dyDescent="0.25">
      <c r="A34" s="2">
        <v>44409</v>
      </c>
      <c r="B34" s="3" t="str">
        <f>'[1]Brazil Soy Complex'!CC351</f>
        <v>August</v>
      </c>
      <c r="C34">
        <v>0.1</v>
      </c>
      <c r="D34" s="4">
        <f t="shared" si="4"/>
        <v>558.58613399999956</v>
      </c>
    </row>
    <row r="35" spans="1:4" x14ac:dyDescent="0.25">
      <c r="A35" s="2">
        <v>44440</v>
      </c>
      <c r="B35" s="3" t="str">
        <f>'[1]Brazil Soy Complex'!CC352</f>
        <v>September</v>
      </c>
      <c r="C35">
        <v>0.12</v>
      </c>
      <c r="D35" s="4">
        <f t="shared" si="4"/>
        <v>613.04013999999938</v>
      </c>
    </row>
    <row r="36" spans="1:4" x14ac:dyDescent="0.25">
      <c r="A36" s="2">
        <v>44470</v>
      </c>
      <c r="B36" s="3" t="str">
        <f>'[1]Brazil Soy Complex'!CC353</f>
        <v>October</v>
      </c>
      <c r="C36">
        <v>0.12</v>
      </c>
      <c r="D36" s="4">
        <f t="shared" si="4"/>
        <v>637.69429500000001</v>
      </c>
    </row>
    <row r="37" spans="1:4" x14ac:dyDescent="0.25">
      <c r="A37" s="2">
        <v>44501</v>
      </c>
      <c r="B37" s="3" t="str">
        <f>'[1]Brazil Soy Complex'!CC354</f>
        <v>November</v>
      </c>
      <c r="C37">
        <v>0.1</v>
      </c>
      <c r="D37" s="4">
        <f t="shared" si="4"/>
        <v>522.9785589999999</v>
      </c>
    </row>
    <row r="38" spans="1:4" x14ac:dyDescent="0.25">
      <c r="A38" s="2">
        <v>44531</v>
      </c>
      <c r="B38" s="3" t="str">
        <f>'[1]Brazil Soy Complex'!CC355</f>
        <v>December</v>
      </c>
      <c r="C38">
        <v>0.1</v>
      </c>
      <c r="D38" s="4">
        <f t="shared" si="4"/>
        <v>525.37547300000028</v>
      </c>
    </row>
    <row r="39" spans="1:4" x14ac:dyDescent="0.25">
      <c r="A39" s="2">
        <v>44562</v>
      </c>
      <c r="B39" s="3">
        <f>'[1]Brazil Soy Complex'!CD344</f>
        <v>662.11633038677462</v>
      </c>
      <c r="C39">
        <v>0.1</v>
      </c>
      <c r="D39" s="4">
        <f t="shared" ref="D39:D50" si="5">J3</f>
        <v>426.07238699999999</v>
      </c>
    </row>
    <row r="40" spans="1:4" x14ac:dyDescent="0.25">
      <c r="A40" s="2">
        <v>44593</v>
      </c>
      <c r="B40" s="3">
        <f>'[1]Brazil Soy Complex'!CD345</f>
        <v>598.09368786276139</v>
      </c>
      <c r="C40">
        <v>0.1</v>
      </c>
      <c r="D40" s="4">
        <f t="shared" si="5"/>
        <v>476.59420699999998</v>
      </c>
    </row>
    <row r="41" spans="1:4" x14ac:dyDescent="0.25">
      <c r="A41" s="2">
        <v>44621</v>
      </c>
      <c r="B41" s="3">
        <f>'[1]Brazil Soy Complex'!CD346</f>
        <v>670.45212531225707</v>
      </c>
      <c r="C41">
        <v>0.1</v>
      </c>
      <c r="D41" s="4">
        <f t="shared" si="5"/>
        <v>501.51706000000001</v>
      </c>
    </row>
    <row r="42" spans="1:4" x14ac:dyDescent="0.25">
      <c r="A42" s="2">
        <v>44652</v>
      </c>
      <c r="B42" s="3">
        <f>'[1]Brazil Soy Complex'!CD347</f>
        <v>697.29183716926673</v>
      </c>
      <c r="C42">
        <v>0.1</v>
      </c>
      <c r="D42" s="4">
        <f t="shared" si="5"/>
        <v>478.94074699999999</v>
      </c>
    </row>
    <row r="43" spans="1:4" x14ac:dyDescent="0.25">
      <c r="A43" s="2">
        <v>44682</v>
      </c>
      <c r="B43" s="3">
        <f>'[1]Brazil Soy Complex'!CD348</f>
        <v>588.08384071936746</v>
      </c>
      <c r="C43">
        <v>0.1</v>
      </c>
      <c r="D43" s="4">
        <f t="shared" si="5"/>
        <v>543.88261799999998</v>
      </c>
    </row>
    <row r="44" spans="1:4" x14ac:dyDescent="0.25">
      <c r="A44" s="2">
        <v>44713</v>
      </c>
      <c r="B44" s="3">
        <f>'[1]Brazil Soy Complex'!CD349</f>
        <v>550.28051019932138</v>
      </c>
      <c r="C44">
        <v>0.1</v>
      </c>
      <c r="D44" s="4">
        <f t="shared" si="5"/>
        <v>511.12819300000001</v>
      </c>
    </row>
    <row r="45" spans="1:4" x14ac:dyDescent="0.25">
      <c r="A45" s="2">
        <v>44743</v>
      </c>
      <c r="B45" s="3">
        <f>'[1]Brazil Soy Complex'!CD350</f>
        <v>716.3720332673654</v>
      </c>
      <c r="C45">
        <v>0.1</v>
      </c>
      <c r="D45" s="4">
        <f t="shared" si="5"/>
        <v>529.69709799999998</v>
      </c>
    </row>
    <row r="46" spans="1:4" x14ac:dyDescent="0.25">
      <c r="A46" s="2">
        <v>44774</v>
      </c>
      <c r="B46" s="3">
        <f>'[1]Brazil Soy Complex'!CD351</f>
        <v>632.81481761300108</v>
      </c>
      <c r="C46">
        <v>0.1</v>
      </c>
      <c r="D46" s="4">
        <f t="shared" si="5"/>
        <v>615.815383</v>
      </c>
    </row>
    <row r="47" spans="1:4" x14ac:dyDescent="0.25">
      <c r="A47" s="2">
        <v>44805</v>
      </c>
      <c r="B47" s="3">
        <f>'[1]Brazil Soy Complex'!CD352</f>
        <v>671.25343453253436</v>
      </c>
      <c r="C47">
        <v>0.1</v>
      </c>
      <c r="D47" s="4">
        <f t="shared" si="5"/>
        <v>550.05391599999996</v>
      </c>
    </row>
    <row r="48" spans="1:4" x14ac:dyDescent="0.25">
      <c r="A48" s="2">
        <v>44835</v>
      </c>
      <c r="B48" s="3">
        <f>'[1]Brazil Soy Complex'!CD353</f>
        <v>741.78570969712655</v>
      </c>
      <c r="C48">
        <v>0.1</v>
      </c>
      <c r="D48" s="4">
        <f t="shared" si="5"/>
        <v>540.69066899999996</v>
      </c>
    </row>
    <row r="49" spans="1:4" x14ac:dyDescent="0.25">
      <c r="A49" s="2">
        <v>44866</v>
      </c>
      <c r="B49" s="3">
        <f>'[1]Brazil Soy Complex'!CD354</f>
        <v>680.07585301988581</v>
      </c>
      <c r="C49">
        <v>0.1</v>
      </c>
      <c r="D49" s="4">
        <f t="shared" si="5"/>
        <v>538.46977000000004</v>
      </c>
    </row>
    <row r="50" spans="1:4" x14ac:dyDescent="0.25">
      <c r="A50" s="2">
        <v>44896</v>
      </c>
      <c r="B50" s="3">
        <f>'[1]Brazil Soy Complex'!CD355</f>
        <v>699.92627869681451</v>
      </c>
      <c r="C50">
        <v>0.1</v>
      </c>
      <c r="D50" s="4">
        <f t="shared" si="5"/>
        <v>480.99526300000002</v>
      </c>
    </row>
    <row r="51" spans="1:4" x14ac:dyDescent="0.25">
      <c r="A51" s="2">
        <v>44927</v>
      </c>
      <c r="B51" s="3">
        <f>'[1]Brazil Soy Complex'!CE344</f>
        <v>573.00332683372926</v>
      </c>
      <c r="C51">
        <v>0.1</v>
      </c>
      <c r="D51" s="4">
        <f t="shared" ref="D51:D59" si="6">K3</f>
        <v>461.59658000000002</v>
      </c>
    </row>
    <row r="52" spans="1:4" x14ac:dyDescent="0.25">
      <c r="A52" s="2">
        <v>44958</v>
      </c>
      <c r="B52" s="3">
        <f>'[1]Brazil Soy Complex'!CE345</f>
        <v>620.29302403197619</v>
      </c>
      <c r="C52">
        <v>0.1</v>
      </c>
      <c r="D52" s="4">
        <f t="shared" si="6"/>
        <v>463.95433600000001</v>
      </c>
    </row>
    <row r="53" spans="1:4" x14ac:dyDescent="0.25">
      <c r="A53" s="2">
        <v>44986</v>
      </c>
      <c r="B53" s="3">
        <f>'[1]Brazil Soy Complex'!CE346</f>
        <v>766.58123548754998</v>
      </c>
      <c r="C53">
        <v>0.12</v>
      </c>
      <c r="D53" s="4">
        <f t="shared" si="6"/>
        <v>572.24609299999997</v>
      </c>
    </row>
    <row r="54" spans="1:4" x14ac:dyDescent="0.25">
      <c r="A54" s="2">
        <v>45017</v>
      </c>
      <c r="B54" s="3">
        <f>'[1]Brazil Soy Complex'!CE347</f>
        <v>668.71528295118969</v>
      </c>
      <c r="C54">
        <v>0.12</v>
      </c>
      <c r="D54" s="4">
        <f t="shared" si="6"/>
        <v>574.80328099999997</v>
      </c>
    </row>
    <row r="55" spans="1:4" x14ac:dyDescent="0.25">
      <c r="A55" s="2">
        <v>45047</v>
      </c>
      <c r="B55" s="3">
        <f>'[1]Brazil Soy Complex'!CE348</f>
        <v>688.46132158060482</v>
      </c>
      <c r="C55">
        <v>0.12</v>
      </c>
      <c r="D55" s="4">
        <f t="shared" si="6"/>
        <v>622.51178900000002</v>
      </c>
    </row>
    <row r="56" spans="1:4" x14ac:dyDescent="0.25">
      <c r="A56" s="2">
        <v>45078</v>
      </c>
      <c r="B56" s="3">
        <f>'[1]Brazil Soy Complex'!CE349</f>
        <v>704.6410502849061</v>
      </c>
      <c r="C56">
        <v>0.12</v>
      </c>
      <c r="D56" s="4">
        <f t="shared" si="6"/>
        <v>644.08138899999994</v>
      </c>
    </row>
    <row r="57" spans="1:4" x14ac:dyDescent="0.25">
      <c r="A57" s="2">
        <v>45108</v>
      </c>
      <c r="B57" s="3">
        <f>'[1]Brazil Soy Complex'!CE350</f>
        <v>784.39321512282856</v>
      </c>
      <c r="C57">
        <v>0.12</v>
      </c>
      <c r="D57" s="4">
        <f t="shared" si="6"/>
        <v>683.00926900000002</v>
      </c>
    </row>
    <row r="58" spans="1:4" x14ac:dyDescent="0.25">
      <c r="A58" s="2">
        <v>45139</v>
      </c>
      <c r="B58" s="3">
        <f>'[1]Brazil Soy Complex'!CE351</f>
        <v>776.09944703842814</v>
      </c>
      <c r="C58">
        <v>0.12</v>
      </c>
      <c r="D58" s="4">
        <f t="shared" si="6"/>
        <v>725.01402700000006</v>
      </c>
    </row>
    <row r="59" spans="1:4" x14ac:dyDescent="0.25">
      <c r="A59" s="2">
        <v>45170</v>
      </c>
      <c r="B59" s="3">
        <f>'[1]Brazil Soy Complex'!CE352</f>
        <v>759.98151908317595</v>
      </c>
      <c r="C59">
        <v>0.12</v>
      </c>
      <c r="D59" s="4">
        <f t="shared" si="6"/>
        <v>652.21839599999998</v>
      </c>
    </row>
  </sheetData>
  <hyperlinks>
    <hyperlink ref="F1" r:id="rId1" xr:uid="{254AD27E-8CAF-4A1E-8F7A-91A94C14978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5A5C-7E09-414B-9E64-CF2957DB4EA6}">
  <dimension ref="A1:AE35"/>
  <sheetViews>
    <sheetView topLeftCell="L1" zoomScale="90" zoomScaleNormal="90" workbookViewId="0">
      <selection activeCell="W5" sqref="W5"/>
    </sheetView>
  </sheetViews>
  <sheetFormatPr defaultRowHeight="15" x14ac:dyDescent="0.25"/>
  <cols>
    <col min="2" max="2" width="6" bestFit="1" customWidth="1"/>
    <col min="3" max="3" width="12.140625" bestFit="1" customWidth="1"/>
    <col min="4" max="4" width="8.28515625" bestFit="1" customWidth="1"/>
    <col min="5" max="17" width="9.5703125" bestFit="1" customWidth="1"/>
    <col min="18" max="18" width="13.42578125" bestFit="1" customWidth="1"/>
    <col min="19" max="19" width="12.85546875" bestFit="1" customWidth="1"/>
    <col min="20" max="20" width="11.85546875" bestFit="1" customWidth="1"/>
    <col min="21" max="23" width="14.140625" bestFit="1" customWidth="1"/>
    <col min="24" max="24" width="11.85546875" bestFit="1" customWidth="1"/>
  </cols>
  <sheetData>
    <row r="1" spans="1:31" x14ac:dyDescent="0.25">
      <c r="A1" s="1" t="s">
        <v>17</v>
      </c>
    </row>
    <row r="3" spans="1:31" ht="15.75" thickBot="1" x14ac:dyDescent="0.3">
      <c r="A3" t="s">
        <v>18</v>
      </c>
    </row>
    <row r="4" spans="1:31" s="7" customFormat="1" ht="15.75" thickBot="1" x14ac:dyDescent="0.3">
      <c r="A4" s="6"/>
      <c r="B4" s="7">
        <v>2005</v>
      </c>
      <c r="C4" s="7">
        <v>2006</v>
      </c>
      <c r="D4" s="7">
        <v>2007</v>
      </c>
      <c r="E4" s="7">
        <v>2008</v>
      </c>
      <c r="F4" s="7">
        <v>2009</v>
      </c>
      <c r="G4" s="7">
        <v>2010</v>
      </c>
      <c r="H4" s="7">
        <v>2011</v>
      </c>
      <c r="I4" s="7">
        <v>2012</v>
      </c>
      <c r="J4" s="7">
        <v>2013</v>
      </c>
      <c r="K4" s="7">
        <v>2014</v>
      </c>
      <c r="L4" s="7">
        <v>2015</v>
      </c>
      <c r="M4" s="7">
        <v>2016</v>
      </c>
      <c r="N4" s="7">
        <v>2017</v>
      </c>
      <c r="O4" s="7">
        <v>2018</v>
      </c>
      <c r="P4" s="7">
        <v>2019</v>
      </c>
      <c r="Q4" s="7">
        <v>2020</v>
      </c>
      <c r="R4" s="7">
        <v>2021</v>
      </c>
      <c r="S4" s="7">
        <v>2022</v>
      </c>
      <c r="T4" s="7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E4" s="8">
        <v>2034</v>
      </c>
    </row>
    <row r="5" spans="1:31" x14ac:dyDescent="0.25">
      <c r="A5" t="s">
        <v>19</v>
      </c>
      <c r="B5" s="9">
        <v>0</v>
      </c>
      <c r="C5" s="9">
        <v>1075.3000000000002</v>
      </c>
      <c r="D5" s="9">
        <v>17108.738999999998</v>
      </c>
      <c r="E5" s="9">
        <v>76784.442999999999</v>
      </c>
      <c r="F5" s="9">
        <v>90352.388999999996</v>
      </c>
      <c r="G5" s="9">
        <v>147434.67499999999</v>
      </c>
      <c r="H5" s="9">
        <v>186327.40099999998</v>
      </c>
      <c r="I5" s="9">
        <v>193006.36300000004</v>
      </c>
      <c r="J5" s="9">
        <v>226505.27300000004</v>
      </c>
      <c r="K5" s="9">
        <v>245215.44399999996</v>
      </c>
      <c r="L5" s="9">
        <v>319546.49499999994</v>
      </c>
      <c r="M5" s="9">
        <v>271387.902</v>
      </c>
      <c r="N5" s="9">
        <v>255360.69299999994</v>
      </c>
      <c r="O5" s="9">
        <v>337255.95700000005</v>
      </c>
      <c r="P5" s="9">
        <v>446507.77200000006</v>
      </c>
      <c r="Q5" s="9">
        <v>467595.51100000006</v>
      </c>
      <c r="R5" s="9">
        <v>506705.18400000001</v>
      </c>
      <c r="S5" s="10">
        <v>453891.47500000003</v>
      </c>
      <c r="T5" s="11">
        <v>454949.47700000001</v>
      </c>
      <c r="U5" s="10">
        <v>615733.19900000002</v>
      </c>
      <c r="V5" s="10">
        <v>626077.43099999998</v>
      </c>
      <c r="W5" s="12">
        <f t="shared" ref="W5:AE16" si="0">(SUM(Q5:U5)/SUM(Q$17:U$17))*W$17</f>
        <v>713860.89553946769</v>
      </c>
      <c r="X5" s="12">
        <f t="shared" si="0"/>
        <v>761845.68717348855</v>
      </c>
      <c r="Y5" s="12">
        <f t="shared" si="0"/>
        <v>828434.40413608879</v>
      </c>
      <c r="Z5" s="12">
        <f t="shared" si="0"/>
        <v>908092.12243913685</v>
      </c>
      <c r="AA5" s="12">
        <f t="shared" si="0"/>
        <v>986288.2258463708</v>
      </c>
      <c r="AB5" s="12">
        <f t="shared" si="0"/>
        <v>1001866.3561878224</v>
      </c>
      <c r="AC5" s="12">
        <f t="shared" si="0"/>
        <v>1026678.0183214655</v>
      </c>
      <c r="AD5" s="12">
        <f t="shared" si="0"/>
        <v>1041998.4015084915</v>
      </c>
      <c r="AE5" s="12">
        <f t="shared" si="0"/>
        <v>1062443.0237964892</v>
      </c>
    </row>
    <row r="6" spans="1:31" x14ac:dyDescent="0.25">
      <c r="A6" t="s">
        <v>20</v>
      </c>
      <c r="B6" s="9">
        <v>0</v>
      </c>
      <c r="C6" s="9">
        <v>1043.21</v>
      </c>
      <c r="D6" s="9">
        <v>16932.740999999998</v>
      </c>
      <c r="E6" s="9">
        <v>77085.038</v>
      </c>
      <c r="F6" s="9">
        <v>80224.338000000003</v>
      </c>
      <c r="G6" s="9">
        <v>178049.48799999998</v>
      </c>
      <c r="H6" s="9">
        <v>176783.19200000001</v>
      </c>
      <c r="I6" s="9">
        <v>214606.97699999998</v>
      </c>
      <c r="J6" s="9">
        <v>205738.13500000001</v>
      </c>
      <c r="K6" s="9">
        <v>240528.54799999998</v>
      </c>
      <c r="L6" s="9">
        <v>303594.386</v>
      </c>
      <c r="M6" s="9">
        <v>300065.39299999998</v>
      </c>
      <c r="N6" s="9">
        <v>259812.09399999998</v>
      </c>
      <c r="O6" s="9">
        <v>338321.04799999995</v>
      </c>
      <c r="P6" s="9">
        <v>415248.7950000001</v>
      </c>
      <c r="Q6" s="9">
        <v>483199.41499999986</v>
      </c>
      <c r="R6" s="9">
        <v>528605.93299999996</v>
      </c>
      <c r="S6" s="10">
        <v>489514.39399999997</v>
      </c>
      <c r="T6" s="11">
        <v>455451.8820000001</v>
      </c>
      <c r="U6" s="10">
        <v>636556.54599999997</v>
      </c>
      <c r="V6" s="12">
        <f t="shared" ref="V6:V16" si="1">(SUM(P6:T6)/SUM(P$17:T$17))*V$17</f>
        <v>688129.51887154451</v>
      </c>
      <c r="W6" s="12">
        <f t="shared" si="0"/>
        <v>740843.65322549199</v>
      </c>
      <c r="X6" s="12">
        <f t="shared" si="0"/>
        <v>802241.16867662128</v>
      </c>
      <c r="Y6" s="12">
        <f t="shared" si="0"/>
        <v>870653.72365427157</v>
      </c>
      <c r="Z6" s="12">
        <f t="shared" si="0"/>
        <v>951244.79233122698</v>
      </c>
      <c r="AA6" s="12">
        <f t="shared" si="0"/>
        <v>1039823.6002316948</v>
      </c>
      <c r="AB6" s="12">
        <f t="shared" si="0"/>
        <v>1057933.5273675993</v>
      </c>
      <c r="AC6" s="12">
        <f t="shared" si="0"/>
        <v>1077121.7048423174</v>
      </c>
      <c r="AD6" s="12">
        <f t="shared" si="0"/>
        <v>1096663.2217797441</v>
      </c>
      <c r="AE6" s="12">
        <f t="shared" si="0"/>
        <v>1117320.5589134004</v>
      </c>
    </row>
    <row r="7" spans="1:31" x14ac:dyDescent="0.25">
      <c r="A7" t="s">
        <v>21</v>
      </c>
      <c r="B7" s="9">
        <v>7.8</v>
      </c>
      <c r="C7" s="9">
        <v>1724.84</v>
      </c>
      <c r="D7" s="9">
        <v>22636.872000000003</v>
      </c>
      <c r="E7" s="9">
        <v>63679.682000000001</v>
      </c>
      <c r="F7" s="9">
        <v>131991.43599999999</v>
      </c>
      <c r="G7" s="9">
        <v>214149.878</v>
      </c>
      <c r="H7" s="9">
        <v>233464.679</v>
      </c>
      <c r="I7" s="9">
        <v>220871.81700000007</v>
      </c>
      <c r="J7" s="9">
        <v>230752.36199999999</v>
      </c>
      <c r="K7" s="9">
        <v>271838.87799999997</v>
      </c>
      <c r="L7" s="9">
        <v>322692.02500000002</v>
      </c>
      <c r="M7" s="9">
        <v>323157.66199999995</v>
      </c>
      <c r="N7" s="9">
        <v>335069.06199999992</v>
      </c>
      <c r="O7" s="9">
        <v>455038.97499999998</v>
      </c>
      <c r="P7" s="9">
        <v>462133.90500000009</v>
      </c>
      <c r="Q7" s="9">
        <v>550297.80300000007</v>
      </c>
      <c r="R7" s="9">
        <v>643058.20200000005</v>
      </c>
      <c r="S7" s="10">
        <v>500195.66400000005</v>
      </c>
      <c r="T7" s="11">
        <v>552702.51100000006</v>
      </c>
      <c r="U7" s="10">
        <v>744617.56599999999</v>
      </c>
      <c r="V7" s="12">
        <f t="shared" si="1"/>
        <v>785710.68567537202</v>
      </c>
      <c r="W7" s="12">
        <f t="shared" si="0"/>
        <v>854411.09083990182</v>
      </c>
      <c r="X7" s="12">
        <f t="shared" si="0"/>
        <v>924953.34514313866</v>
      </c>
      <c r="Y7" s="12">
        <f t="shared" si="0"/>
        <v>994185.64617489662</v>
      </c>
      <c r="Z7" s="12">
        <f t="shared" si="0"/>
        <v>1105578.4021378641</v>
      </c>
      <c r="AA7" s="12">
        <f t="shared" si="0"/>
        <v>1197101.6485292888</v>
      </c>
      <c r="AB7" s="12">
        <f t="shared" si="0"/>
        <v>1217604.8218001546</v>
      </c>
      <c r="AC7" s="12">
        <f t="shared" si="0"/>
        <v>1241306.9929405397</v>
      </c>
      <c r="AD7" s="12">
        <f t="shared" si="0"/>
        <v>1263309.2878257101</v>
      </c>
      <c r="AE7" s="12">
        <f t="shared" si="0"/>
        <v>1287039.2450540515</v>
      </c>
    </row>
    <row r="8" spans="1:31" x14ac:dyDescent="0.25">
      <c r="A8" t="s">
        <v>22</v>
      </c>
      <c r="B8" s="9">
        <v>13.1</v>
      </c>
      <c r="C8" s="9">
        <v>1785.51</v>
      </c>
      <c r="D8" s="9">
        <v>18772.794000000002</v>
      </c>
      <c r="E8" s="9">
        <v>64349.825000000004</v>
      </c>
      <c r="F8" s="9">
        <v>105457.97500000001</v>
      </c>
      <c r="G8" s="9">
        <v>184896.777</v>
      </c>
      <c r="H8" s="9">
        <v>200381.09099999996</v>
      </c>
      <c r="I8" s="9">
        <v>182372.24399999998</v>
      </c>
      <c r="J8" s="9">
        <v>253591.02099999998</v>
      </c>
      <c r="K8" s="9">
        <v>253224.47099999996</v>
      </c>
      <c r="L8" s="9">
        <v>324526.23000000004</v>
      </c>
      <c r="M8" s="9">
        <v>348485.1179999999</v>
      </c>
      <c r="N8" s="9">
        <v>347603.109</v>
      </c>
      <c r="O8" s="9">
        <v>448705.7350000001</v>
      </c>
      <c r="P8" s="9">
        <v>464901.55699999991</v>
      </c>
      <c r="Q8" s="9">
        <v>439526.83100000006</v>
      </c>
      <c r="R8" s="9">
        <v>630955.2620000001</v>
      </c>
      <c r="S8" s="10">
        <v>479670.36300000001</v>
      </c>
      <c r="T8" s="11">
        <v>578413.60300000012</v>
      </c>
      <c r="U8" s="10">
        <v>754333.83499999996</v>
      </c>
      <c r="V8" s="12">
        <f t="shared" si="1"/>
        <v>752371.94777580514</v>
      </c>
      <c r="W8" s="12">
        <f t="shared" si="0"/>
        <v>823566.45566933556</v>
      </c>
      <c r="X8" s="12">
        <f t="shared" si="0"/>
        <v>916197.84927506465</v>
      </c>
      <c r="Y8" s="12">
        <f t="shared" si="0"/>
        <v>979933.19115910679</v>
      </c>
      <c r="Z8" s="12">
        <f t="shared" si="0"/>
        <v>1094841.0459443524</v>
      </c>
      <c r="AA8" s="12">
        <f t="shared" si="0"/>
        <v>1175552.3600012551</v>
      </c>
      <c r="AB8" s="12">
        <f t="shared" si="0"/>
        <v>1192043.7190921123</v>
      </c>
      <c r="AC8" s="12">
        <f t="shared" si="0"/>
        <v>1220243.0878907444</v>
      </c>
      <c r="AD8" s="12">
        <f t="shared" si="0"/>
        <v>1244530.505879136</v>
      </c>
      <c r="AE8" s="12">
        <f t="shared" si="0"/>
        <v>1266206.9834985228</v>
      </c>
    </row>
    <row r="9" spans="1:31" x14ac:dyDescent="0.25">
      <c r="A9" t="s">
        <v>9</v>
      </c>
      <c r="B9" s="9">
        <v>25.75</v>
      </c>
      <c r="C9" s="9">
        <v>2577.6</v>
      </c>
      <c r="D9" s="9">
        <v>26004.665999999997</v>
      </c>
      <c r="E9" s="9">
        <v>75998.890000000014</v>
      </c>
      <c r="F9" s="9">
        <v>103662.636</v>
      </c>
      <c r="G9" s="9">
        <v>202728.61799999999</v>
      </c>
      <c r="H9" s="9">
        <v>220483.97500000003</v>
      </c>
      <c r="I9" s="9">
        <v>213020.86099999995</v>
      </c>
      <c r="J9" s="9">
        <v>245933.92699999994</v>
      </c>
      <c r="K9" s="9">
        <v>242525.60499999995</v>
      </c>
      <c r="L9" s="9">
        <v>338850.55400000006</v>
      </c>
      <c r="M9" s="9">
        <v>328814.3029999999</v>
      </c>
      <c r="N9" s="9">
        <v>369315.73</v>
      </c>
      <c r="O9" s="9">
        <v>382497.495</v>
      </c>
      <c r="P9" s="9">
        <v>448352.25899999996</v>
      </c>
      <c r="Q9" s="9">
        <v>481494.36499999987</v>
      </c>
      <c r="R9" s="9">
        <v>541733.02100000018</v>
      </c>
      <c r="S9" s="10">
        <v>536096.9530000001</v>
      </c>
      <c r="T9" s="11">
        <v>648757.87700000009</v>
      </c>
      <c r="U9" s="10">
        <v>726908.83900000004</v>
      </c>
      <c r="V9" s="12">
        <f t="shared" si="1"/>
        <v>770638.80333971698</v>
      </c>
      <c r="W9" s="12">
        <f t="shared" si="0"/>
        <v>838447.49018800084</v>
      </c>
      <c r="X9" s="12">
        <f t="shared" si="0"/>
        <v>924337.20300235797</v>
      </c>
      <c r="Y9" s="12">
        <f t="shared" si="0"/>
        <v>1018251.1906056212</v>
      </c>
      <c r="Z9" s="12">
        <f t="shared" si="0"/>
        <v>1118944.460287991</v>
      </c>
      <c r="AA9" s="12">
        <f t="shared" si="0"/>
        <v>1190066.0277135228</v>
      </c>
      <c r="AB9" s="12">
        <f t="shared" si="0"/>
        <v>1219113.4972677636</v>
      </c>
      <c r="AC9" s="12">
        <f t="shared" si="0"/>
        <v>1244685.522598146</v>
      </c>
      <c r="AD9" s="12">
        <f t="shared" si="0"/>
        <v>1270576.0632614421</v>
      </c>
      <c r="AE9" s="12">
        <f t="shared" si="0"/>
        <v>1294928.8561668871</v>
      </c>
    </row>
    <row r="10" spans="1:31" x14ac:dyDescent="0.25">
      <c r="A10" t="s">
        <v>23</v>
      </c>
      <c r="B10" s="9">
        <v>22.812000000000001</v>
      </c>
      <c r="C10" s="9">
        <v>6490.31</v>
      </c>
      <c r="D10" s="9">
        <v>27157.918000000001</v>
      </c>
      <c r="E10" s="9">
        <v>102766.71799999999</v>
      </c>
      <c r="F10" s="9">
        <v>141138.84099999996</v>
      </c>
      <c r="G10" s="9">
        <v>204939.78000000003</v>
      </c>
      <c r="H10" s="9">
        <v>231572.69799999995</v>
      </c>
      <c r="I10" s="9">
        <v>214897.81500000003</v>
      </c>
      <c r="J10" s="9">
        <v>236440.98500000004</v>
      </c>
      <c r="K10" s="9">
        <v>251517.28900000005</v>
      </c>
      <c r="L10" s="9">
        <v>322185.27000000019</v>
      </c>
      <c r="M10" s="9">
        <v>292772.39200000005</v>
      </c>
      <c r="N10" s="9">
        <v>359235.99400000001</v>
      </c>
      <c r="O10" s="9">
        <v>466891.51</v>
      </c>
      <c r="P10" s="9">
        <v>461613.40999999992</v>
      </c>
      <c r="Q10" s="9">
        <v>533311.3409999999</v>
      </c>
      <c r="R10" s="9">
        <v>527665.78999999992</v>
      </c>
      <c r="S10" s="10">
        <v>507868.46399999998</v>
      </c>
      <c r="T10" s="11">
        <v>657257.05999999994</v>
      </c>
      <c r="U10" s="10">
        <v>770378.08900000004</v>
      </c>
      <c r="V10" s="12">
        <f t="shared" si="1"/>
        <v>779713.6769385332</v>
      </c>
      <c r="W10" s="12">
        <f t="shared" si="0"/>
        <v>856013.4297252479</v>
      </c>
      <c r="X10" s="12">
        <f t="shared" si="0"/>
        <v>929712.00557985273</v>
      </c>
      <c r="Y10" s="12">
        <f t="shared" si="0"/>
        <v>1032821.6115219896</v>
      </c>
      <c r="Z10" s="12">
        <f t="shared" si="0"/>
        <v>1142984.1935638753</v>
      </c>
      <c r="AA10" s="12">
        <f t="shared" si="0"/>
        <v>1215114.4430546327</v>
      </c>
      <c r="AB10" s="12">
        <f t="shared" si="0"/>
        <v>1237548.0616433655</v>
      </c>
      <c r="AC10" s="12">
        <f t="shared" si="0"/>
        <v>1265861.9327135014</v>
      </c>
      <c r="AD10" s="12">
        <f t="shared" si="0"/>
        <v>1290890.5412865831</v>
      </c>
      <c r="AE10" s="12">
        <f t="shared" si="0"/>
        <v>1318020.776539186</v>
      </c>
    </row>
    <row r="11" spans="1:31" x14ac:dyDescent="0.25">
      <c r="A11" t="s">
        <v>24</v>
      </c>
      <c r="B11" s="9">
        <v>7.1779999999999999</v>
      </c>
      <c r="C11" s="9">
        <v>3330.8</v>
      </c>
      <c r="D11" s="9">
        <v>26718.323000000004</v>
      </c>
      <c r="E11" s="9">
        <v>107786.269</v>
      </c>
      <c r="F11" s="9">
        <v>154556.54300000001</v>
      </c>
      <c r="G11" s="9">
        <v>207433.576</v>
      </c>
      <c r="H11" s="9">
        <v>249897.0970000001</v>
      </c>
      <c r="I11" s="9">
        <v>230340.285</v>
      </c>
      <c r="J11" s="9">
        <v>260670.64199999999</v>
      </c>
      <c r="K11" s="9">
        <v>302971.28500000003</v>
      </c>
      <c r="L11" s="9">
        <v>341093.84399999998</v>
      </c>
      <c r="M11" s="9">
        <v>337435.20300000004</v>
      </c>
      <c r="N11" s="9">
        <v>387236.4329999999</v>
      </c>
      <c r="O11" s="9">
        <v>489079.30099999998</v>
      </c>
      <c r="P11" s="9">
        <v>495344.17300000018</v>
      </c>
      <c r="Q11" s="9">
        <v>602029.29600000009</v>
      </c>
      <c r="R11" s="9">
        <v>560642.473</v>
      </c>
      <c r="S11" s="10">
        <v>568759.53899999999</v>
      </c>
      <c r="T11" s="11">
        <v>717390.48299999989</v>
      </c>
      <c r="U11" s="10">
        <v>822084.62400000007</v>
      </c>
      <c r="V11" s="12">
        <f t="shared" si="1"/>
        <v>854110.48406548169</v>
      </c>
      <c r="W11" s="12">
        <f t="shared" si="0"/>
        <v>934409.414851379</v>
      </c>
      <c r="X11" s="12">
        <f t="shared" si="0"/>
        <v>1010016.0225761358</v>
      </c>
      <c r="Y11" s="12">
        <f t="shared" si="0"/>
        <v>1126965.0786285731</v>
      </c>
      <c r="Z11" s="12">
        <f t="shared" si="0"/>
        <v>1241719.4654248732</v>
      </c>
      <c r="AA11" s="12">
        <f t="shared" si="0"/>
        <v>1320516.5518951684</v>
      </c>
      <c r="AB11" s="12">
        <f t="shared" si="0"/>
        <v>1348735.1492533165</v>
      </c>
      <c r="AC11" s="12">
        <f t="shared" si="0"/>
        <v>1377608.9398065356</v>
      </c>
      <c r="AD11" s="12">
        <f t="shared" si="0"/>
        <v>1404640.3559537192</v>
      </c>
      <c r="AE11" s="12">
        <f t="shared" si="0"/>
        <v>1434568.7294040136</v>
      </c>
    </row>
    <row r="12" spans="1:31" x14ac:dyDescent="0.25">
      <c r="A12" t="s">
        <v>25</v>
      </c>
      <c r="B12" s="9">
        <v>57.120000000000005</v>
      </c>
      <c r="C12" s="9">
        <v>5101.6000000000004</v>
      </c>
      <c r="D12" s="9">
        <v>43958.85</v>
      </c>
      <c r="E12" s="9">
        <v>109534.48699999999</v>
      </c>
      <c r="F12" s="9">
        <v>167086.06900000002</v>
      </c>
      <c r="G12" s="9">
        <v>231159.51500000001</v>
      </c>
      <c r="H12" s="9">
        <v>247934.28699999998</v>
      </c>
      <c r="I12" s="9">
        <v>254426.05199999994</v>
      </c>
      <c r="J12" s="9">
        <v>247610.47099999999</v>
      </c>
      <c r="K12" s="9">
        <v>314532.07900000009</v>
      </c>
      <c r="L12" s="9">
        <v>344037.79600000009</v>
      </c>
      <c r="M12" s="9">
        <v>327183.08100000006</v>
      </c>
      <c r="N12" s="9">
        <v>399996.84200000006</v>
      </c>
      <c r="O12" s="9">
        <v>485842.69599999988</v>
      </c>
      <c r="P12" s="9">
        <v>503145.54799999995</v>
      </c>
      <c r="Q12" s="9">
        <v>623117.82099999988</v>
      </c>
      <c r="R12" s="9">
        <v>572322.04400000011</v>
      </c>
      <c r="S12" s="10">
        <v>582853.1179999999</v>
      </c>
      <c r="T12" s="11">
        <v>707780.5839999998</v>
      </c>
      <c r="U12" s="10">
        <v>840448.72400000005</v>
      </c>
      <c r="V12" s="12">
        <f t="shared" si="1"/>
        <v>867180.52464057377</v>
      </c>
      <c r="W12" s="12">
        <f t="shared" si="0"/>
        <v>950297.36502668436</v>
      </c>
      <c r="X12" s="12">
        <f t="shared" si="0"/>
        <v>1023661.8634192436</v>
      </c>
      <c r="Y12" s="12">
        <f t="shared" si="0"/>
        <v>1141947.6221360399</v>
      </c>
      <c r="Z12" s="12">
        <f t="shared" si="0"/>
        <v>1256420.2737811473</v>
      </c>
      <c r="AA12" s="12">
        <f t="shared" si="0"/>
        <v>1341641.7863692055</v>
      </c>
      <c r="AB12" s="12">
        <f t="shared" si="0"/>
        <v>1367603.3716989015</v>
      </c>
      <c r="AC12" s="12">
        <f t="shared" si="0"/>
        <v>1397255.3215174067</v>
      </c>
      <c r="AD12" s="12">
        <f t="shared" si="0"/>
        <v>1423992.0887466324</v>
      </c>
      <c r="AE12" s="12">
        <f t="shared" si="0"/>
        <v>1454542.1302917602</v>
      </c>
    </row>
    <row r="13" spans="1:31" x14ac:dyDescent="0.25">
      <c r="A13" t="s">
        <v>26</v>
      </c>
      <c r="B13" s="9">
        <v>2</v>
      </c>
      <c r="C13" s="9">
        <v>6735.3440000000001</v>
      </c>
      <c r="D13" s="9">
        <v>46013.394</v>
      </c>
      <c r="E13" s="9">
        <v>132258.42600000001</v>
      </c>
      <c r="F13" s="9">
        <v>160537.954</v>
      </c>
      <c r="G13" s="9">
        <v>219987.59800000003</v>
      </c>
      <c r="H13" s="9">
        <v>233971.40399999995</v>
      </c>
      <c r="I13" s="9">
        <v>252242.54299999998</v>
      </c>
      <c r="J13" s="9">
        <v>252713.66200000001</v>
      </c>
      <c r="K13" s="9">
        <v>312664.81599999999</v>
      </c>
      <c r="L13" s="9">
        <v>330388.283</v>
      </c>
      <c r="M13" s="9">
        <v>313309.16499999992</v>
      </c>
      <c r="N13" s="9">
        <v>398707.42600000004</v>
      </c>
      <c r="O13" s="9">
        <v>479744.61</v>
      </c>
      <c r="P13" s="9">
        <v>558226.37400000007</v>
      </c>
      <c r="Q13" s="9">
        <v>594001.50399999996</v>
      </c>
      <c r="R13" s="9">
        <v>574625.58400000003</v>
      </c>
      <c r="S13" s="10">
        <v>549842.54300000006</v>
      </c>
      <c r="T13" s="10">
        <v>672663.674</v>
      </c>
      <c r="U13" s="10">
        <v>816106</v>
      </c>
      <c r="V13" s="12">
        <f t="shared" si="1"/>
        <v>855617.19479000941</v>
      </c>
      <c r="W13" s="12">
        <f t="shared" si="0"/>
        <v>916221.44508019905</v>
      </c>
      <c r="X13" s="12">
        <f t="shared" si="0"/>
        <v>994496.5808828203</v>
      </c>
      <c r="Y13" s="12">
        <f t="shared" si="0"/>
        <v>1102005.5279398332</v>
      </c>
      <c r="Z13" s="12">
        <f t="shared" si="0"/>
        <v>1217988.2763172698</v>
      </c>
      <c r="AA13" s="12">
        <f t="shared" si="0"/>
        <v>1302954.7980537973</v>
      </c>
      <c r="AB13" s="12">
        <f t="shared" si="0"/>
        <v>1327621.064833557</v>
      </c>
      <c r="AC13" s="12">
        <f t="shared" si="0"/>
        <v>1353165.420507699</v>
      </c>
      <c r="AD13" s="12">
        <f t="shared" si="0"/>
        <v>1380745.0193163317</v>
      </c>
      <c r="AE13" s="12">
        <f t="shared" si="0"/>
        <v>1409567.0709831838</v>
      </c>
    </row>
    <row r="14" spans="1:31" x14ac:dyDescent="0.25">
      <c r="A14" t="s">
        <v>27</v>
      </c>
      <c r="B14" s="9">
        <v>33.93</v>
      </c>
      <c r="C14" s="9">
        <v>8581.4409999999989</v>
      </c>
      <c r="D14" s="9">
        <v>53608.53</v>
      </c>
      <c r="E14" s="9">
        <v>126817.25299999997</v>
      </c>
      <c r="F14" s="9">
        <v>156810.59600000005</v>
      </c>
      <c r="G14" s="9">
        <v>199894.90499999997</v>
      </c>
      <c r="H14" s="9">
        <v>237885.14300000001</v>
      </c>
      <c r="I14" s="9">
        <v>251416.17899999995</v>
      </c>
      <c r="J14" s="9">
        <v>277992.005</v>
      </c>
      <c r="K14" s="9">
        <v>321602.67600000004</v>
      </c>
      <c r="L14" s="9">
        <v>359165.717</v>
      </c>
      <c r="M14" s="9">
        <v>341024.12200000003</v>
      </c>
      <c r="N14" s="9">
        <v>409343.99399999995</v>
      </c>
      <c r="O14" s="9">
        <v>500375.913</v>
      </c>
      <c r="P14" s="9">
        <v>583724.58900000004</v>
      </c>
      <c r="Q14" s="9">
        <v>587707.62299999979</v>
      </c>
      <c r="R14" s="9">
        <v>617990.7350000001</v>
      </c>
      <c r="S14" s="10">
        <v>569334.14599999995</v>
      </c>
      <c r="T14" s="10">
        <v>704201.30200000003</v>
      </c>
      <c r="U14" s="10">
        <v>845548.55099999998</v>
      </c>
      <c r="V14" s="12">
        <f t="shared" si="1"/>
        <v>888572.48858063377</v>
      </c>
      <c r="W14" s="12">
        <f t="shared" si="0"/>
        <v>949800.31298527936</v>
      </c>
      <c r="X14" s="12">
        <f t="shared" si="0"/>
        <v>1039447.8208860849</v>
      </c>
      <c r="Y14" s="12">
        <f t="shared" si="0"/>
        <v>1144520.5395953676</v>
      </c>
      <c r="Z14" s="12">
        <f t="shared" si="0"/>
        <v>1267355.109933668</v>
      </c>
      <c r="AA14" s="12">
        <f t="shared" si="0"/>
        <v>1353978.5161997247</v>
      </c>
      <c r="AB14" s="12">
        <f t="shared" si="0"/>
        <v>1380703.4823586873</v>
      </c>
      <c r="AC14" s="12">
        <f t="shared" si="0"/>
        <v>1407313.8023011633</v>
      </c>
      <c r="AD14" s="12">
        <f t="shared" si="0"/>
        <v>1436703.2904945358</v>
      </c>
      <c r="AE14" s="12">
        <f t="shared" si="0"/>
        <v>1465499.6213309064</v>
      </c>
    </row>
    <row r="15" spans="1:31" x14ac:dyDescent="0.25">
      <c r="A15" t="s">
        <v>28</v>
      </c>
      <c r="B15" s="9">
        <v>281.3</v>
      </c>
      <c r="C15" s="9">
        <v>16024.924999999997</v>
      </c>
      <c r="D15" s="9">
        <v>56400.565000000002</v>
      </c>
      <c r="E15" s="9">
        <v>118014.43899999998</v>
      </c>
      <c r="F15" s="9">
        <v>166192.14900000006</v>
      </c>
      <c r="G15" s="9">
        <v>207867.64699999991</v>
      </c>
      <c r="H15" s="9">
        <v>237188.91500000004</v>
      </c>
      <c r="I15" s="9">
        <v>245320.59200000006</v>
      </c>
      <c r="J15" s="9">
        <v>265175.51400000002</v>
      </c>
      <c r="K15" s="9">
        <v>316626.56600000011</v>
      </c>
      <c r="L15" s="9">
        <v>324662.14599999995</v>
      </c>
      <c r="M15" s="9">
        <v>321559.97399999999</v>
      </c>
      <c r="N15" s="9">
        <v>386930.46100000007</v>
      </c>
      <c r="O15" s="9">
        <v>479104.56199999998</v>
      </c>
      <c r="P15" s="9">
        <v>539819.53099999996</v>
      </c>
      <c r="Q15" s="9">
        <v>554070.91599999997</v>
      </c>
      <c r="R15" s="9">
        <v>528353.3280000001</v>
      </c>
      <c r="S15" s="10">
        <v>519208.52299999993</v>
      </c>
      <c r="T15" s="10">
        <v>700224.08199999994</v>
      </c>
      <c r="U15" s="10">
        <v>815212.81599999999</v>
      </c>
      <c r="V15" s="12">
        <f t="shared" si="1"/>
        <v>824377.97941992828</v>
      </c>
      <c r="W15" s="12">
        <f t="shared" si="0"/>
        <v>890462.41994778498</v>
      </c>
      <c r="X15" s="12">
        <f t="shared" si="0"/>
        <v>971137.32879123825</v>
      </c>
      <c r="Y15" s="12">
        <f t="shared" si="0"/>
        <v>1084374.0691544055</v>
      </c>
      <c r="Z15" s="12">
        <f t="shared" si="0"/>
        <v>1202619.8848633834</v>
      </c>
      <c r="AA15" s="12">
        <f t="shared" si="0"/>
        <v>1275451.2400785715</v>
      </c>
      <c r="AB15" s="12">
        <f t="shared" si="0"/>
        <v>1298032.8106213023</v>
      </c>
      <c r="AC15" s="12">
        <f t="shared" si="0"/>
        <v>1326359.2747750876</v>
      </c>
      <c r="AD15" s="12">
        <f t="shared" si="0"/>
        <v>1354395.9798569125</v>
      </c>
      <c r="AE15" s="12">
        <f t="shared" si="0"/>
        <v>1383427.7585342245</v>
      </c>
    </row>
    <row r="16" spans="1:31" ht="15.75" thickBot="1" x14ac:dyDescent="0.3">
      <c r="A16" t="s">
        <v>29</v>
      </c>
      <c r="B16" s="9">
        <v>285.16956520000002</v>
      </c>
      <c r="C16" s="9">
        <v>14531.100999999999</v>
      </c>
      <c r="D16" s="9">
        <v>49015.748000000007</v>
      </c>
      <c r="E16" s="9">
        <v>112052.94499999999</v>
      </c>
      <c r="F16" s="9">
        <v>150437.49100000001</v>
      </c>
      <c r="G16" s="9">
        <v>187856.06100000002</v>
      </c>
      <c r="H16" s="9">
        <v>216870.03599999999</v>
      </c>
      <c r="I16" s="9">
        <v>244961.76100000006</v>
      </c>
      <c r="J16" s="9">
        <v>214364.272</v>
      </c>
      <c r="K16" s="9">
        <v>348962.23999999993</v>
      </c>
      <c r="L16" s="9">
        <v>306525.78799999994</v>
      </c>
      <c r="M16" s="9">
        <v>296144.6829999999</v>
      </c>
      <c r="N16" s="9">
        <v>381227.85000000003</v>
      </c>
      <c r="O16" s="9">
        <v>473670.87500000006</v>
      </c>
      <c r="P16" s="9">
        <v>523443.18800000008</v>
      </c>
      <c r="Q16" s="9">
        <v>515656.03899999976</v>
      </c>
      <c r="R16" s="9">
        <v>525724.81599999999</v>
      </c>
      <c r="S16" s="10">
        <v>497475.08799999999</v>
      </c>
      <c r="T16" s="10">
        <v>677866.13400000008</v>
      </c>
      <c r="U16" s="10">
        <v>695109.50899999996</v>
      </c>
      <c r="V16" s="12">
        <f t="shared" si="1"/>
        <v>794929.33126937284</v>
      </c>
      <c r="W16" s="12">
        <f t="shared" si="0"/>
        <v>831831.45685322897</v>
      </c>
      <c r="X16" s="12">
        <f t="shared" si="0"/>
        <v>914867.55558504572</v>
      </c>
      <c r="Y16" s="12">
        <f t="shared" si="0"/>
        <v>1011414.809221155</v>
      </c>
      <c r="Z16" s="12">
        <f t="shared" si="0"/>
        <v>1120522.7321455954</v>
      </c>
      <c r="AA16" s="12">
        <f t="shared" si="0"/>
        <v>1181601.8391648193</v>
      </c>
      <c r="AB16" s="12">
        <f t="shared" si="0"/>
        <v>1219882.6474659485</v>
      </c>
      <c r="AC16" s="12">
        <f t="shared" si="0"/>
        <v>1237396.4810070405</v>
      </c>
      <c r="AD16" s="12">
        <f t="shared" si="0"/>
        <v>1265368.3562939093</v>
      </c>
      <c r="AE16" s="12">
        <f t="shared" si="0"/>
        <v>1290402.5359261667</v>
      </c>
    </row>
    <row r="17" spans="1:31" s="7" customFormat="1" ht="15.75" thickBot="1" x14ac:dyDescent="0.3">
      <c r="A17" s="6" t="s">
        <v>30</v>
      </c>
      <c r="B17" s="13">
        <f>SUM(B5:B16)</f>
        <v>736.15956520000009</v>
      </c>
      <c r="C17" s="13">
        <f t="shared" ref="C17:U17" si="2">SUM(C5:C16)</f>
        <v>69001.981</v>
      </c>
      <c r="D17" s="13">
        <f t="shared" si="2"/>
        <v>404329.14000000007</v>
      </c>
      <c r="E17" s="13">
        <f t="shared" si="2"/>
        <v>1167128.415</v>
      </c>
      <c r="F17" s="13">
        <f t="shared" si="2"/>
        <v>1608448.4170000001</v>
      </c>
      <c r="G17" s="13">
        <f t="shared" si="2"/>
        <v>2386398.5180000002</v>
      </c>
      <c r="H17" s="13">
        <f t="shared" si="2"/>
        <v>2672759.9179999996</v>
      </c>
      <c r="I17" s="13">
        <f t="shared" si="2"/>
        <v>2717483.4890000001</v>
      </c>
      <c r="J17" s="13">
        <f t="shared" si="2"/>
        <v>2917488.2689999999</v>
      </c>
      <c r="K17" s="13">
        <f t="shared" si="2"/>
        <v>3422209.8969999999</v>
      </c>
      <c r="L17" s="13">
        <f t="shared" si="2"/>
        <v>3937268.534</v>
      </c>
      <c r="M17" s="13">
        <f t="shared" si="2"/>
        <v>3801338.9979999997</v>
      </c>
      <c r="N17" s="13">
        <f t="shared" si="2"/>
        <v>4289839.6880000001</v>
      </c>
      <c r="O17" s="13">
        <f t="shared" si="2"/>
        <v>5336528.6769999992</v>
      </c>
      <c r="P17" s="13">
        <f t="shared" si="2"/>
        <v>5902461.1010000007</v>
      </c>
      <c r="Q17" s="13">
        <f t="shared" si="2"/>
        <v>6432008.4649999999</v>
      </c>
      <c r="R17" s="13">
        <f t="shared" si="2"/>
        <v>6758382.3719999995</v>
      </c>
      <c r="S17" s="13">
        <f t="shared" si="2"/>
        <v>6254710.2699999996</v>
      </c>
      <c r="T17" s="13">
        <f t="shared" si="2"/>
        <v>7527658.6689999998</v>
      </c>
      <c r="U17" s="13">
        <f t="shared" si="2"/>
        <v>9083038.2980000004</v>
      </c>
      <c r="V17" s="14">
        <f>U17*1.05</f>
        <v>9537190.2129000016</v>
      </c>
      <c r="W17" s="14">
        <f>V17*1.08</f>
        <v>10300165.429932002</v>
      </c>
      <c r="X17" s="14">
        <f>W17*1.09</f>
        <v>11227180.318625882</v>
      </c>
      <c r="Y17" s="14">
        <f>X17*1.1</f>
        <v>12349898.350488471</v>
      </c>
      <c r="Z17" s="14">
        <f>Y17*1.105</f>
        <v>13646637.67728976</v>
      </c>
      <c r="AA17" s="14">
        <f>Z17*1.07</f>
        <v>14601902.314700045</v>
      </c>
      <c r="AB17" s="14">
        <f t="shared" ref="AB17:AE17" si="3">AA17*1.02</f>
        <v>14893940.360994047</v>
      </c>
      <c r="AC17" s="14">
        <f t="shared" si="3"/>
        <v>15191819.168213928</v>
      </c>
      <c r="AD17" s="14">
        <f t="shared" si="3"/>
        <v>15495655.551578207</v>
      </c>
      <c r="AE17" s="14">
        <f t="shared" si="3"/>
        <v>15805568.662609771</v>
      </c>
    </row>
    <row r="18" spans="1:31" x14ac:dyDescent="0.25">
      <c r="T18">
        <f>(T17/S17)-1</f>
        <v>0.20351836360919084</v>
      </c>
      <c r="U18">
        <f>(U17/T17)-1</f>
        <v>0.20662196539347377</v>
      </c>
      <c r="V18">
        <f t="shared" ref="V18:AE18" si="4">(V17/U17)-1</f>
        <v>5.0000000000000044E-2</v>
      </c>
      <c r="W18">
        <f t="shared" si="4"/>
        <v>8.0000000000000071E-2</v>
      </c>
      <c r="X18">
        <f t="shared" si="4"/>
        <v>9.000000000000008E-2</v>
      </c>
      <c r="Y18">
        <f t="shared" si="4"/>
        <v>0.10000000000000009</v>
      </c>
      <c r="Z18">
        <f t="shared" si="4"/>
        <v>0.10499999999999998</v>
      </c>
      <c r="AA18">
        <f t="shared" si="4"/>
        <v>7.0000000000000062E-2</v>
      </c>
      <c r="AB18">
        <f t="shared" si="4"/>
        <v>2.0000000000000018E-2</v>
      </c>
      <c r="AC18">
        <f t="shared" si="4"/>
        <v>2.0000000000000018E-2</v>
      </c>
      <c r="AD18">
        <f t="shared" si="4"/>
        <v>2.0000000000000018E-2</v>
      </c>
      <c r="AE18">
        <f t="shared" si="4"/>
        <v>2.0000000000000018E-2</v>
      </c>
    </row>
    <row r="19" spans="1:31" x14ac:dyDescent="0.25">
      <c r="A19" t="s">
        <v>31</v>
      </c>
      <c r="S19" s="15">
        <f>(S17/1000)/Diesel_Sales!N15</f>
        <v>9.8924999530657809E-2</v>
      </c>
      <c r="T19" s="15">
        <f>(T17/1000)/Diesel_Sales!O$15</f>
        <v>0.11490768903916099</v>
      </c>
      <c r="U19" s="16">
        <f>(U17/1000)/Diesel_Sales!P15</f>
        <v>0.13597685971935983</v>
      </c>
      <c r="V19" s="16">
        <f>(V17/1000)/Diesel_Sales!Q15</f>
        <v>0.13997617912287039</v>
      </c>
      <c r="W19" s="16">
        <f>(W17/1000)/Diesel_Sales!R15</f>
        <v>0.14821007201245101</v>
      </c>
      <c r="X19" s="16">
        <f>(X17/1000)/Diesel_Sales!S15</f>
        <v>0.15838135146428589</v>
      </c>
      <c r="Y19" s="16">
        <f>(Y17/1000)/Diesel_Sales!T15</f>
        <v>0.17080341824579853</v>
      </c>
      <c r="Z19" s="16">
        <f>(Z17/1000)/Diesel_Sales!U15</f>
        <v>0.18503703643294839</v>
      </c>
      <c r="AA19" s="16">
        <f>(AA17/1000)/Diesel_Sales!V15</f>
        <v>0.19410747939534781</v>
      </c>
      <c r="AB19" s="16">
        <f>(AB17/1000)/Diesel_Sales!W15</f>
        <v>0.19410747939534784</v>
      </c>
      <c r="AC19" s="15">
        <f>(AC17/1000)/Diesel_Sales!X15</f>
        <v>0.19410747939534784</v>
      </c>
      <c r="AD19" s="15">
        <f>(AD17/1000)/Diesel_Sales!Y15</f>
        <v>0.19410747939534786</v>
      </c>
      <c r="AE19" s="15">
        <f>(AE17/1000)/Diesel_Sales!Z15</f>
        <v>0.19410747939534786</v>
      </c>
    </row>
    <row r="20" spans="1:31" x14ac:dyDescent="0.25">
      <c r="O20" s="16"/>
      <c r="S20" s="17"/>
      <c r="V20">
        <f>500*0.98</f>
        <v>490</v>
      </c>
    </row>
    <row r="21" spans="1:31" x14ac:dyDescent="0.25">
      <c r="S21" s="3"/>
      <c r="T21" s="15"/>
    </row>
    <row r="22" spans="1:31" x14ac:dyDescent="0.25">
      <c r="A22" t="s">
        <v>32</v>
      </c>
      <c r="G22">
        <f t="shared" ref="G22:AE22" si="5">G4</f>
        <v>2010</v>
      </c>
      <c r="H22">
        <f t="shared" si="5"/>
        <v>2011</v>
      </c>
      <c r="I22">
        <f t="shared" si="5"/>
        <v>2012</v>
      </c>
      <c r="J22">
        <f t="shared" si="5"/>
        <v>2013</v>
      </c>
      <c r="K22">
        <f t="shared" si="5"/>
        <v>2014</v>
      </c>
      <c r="L22">
        <f t="shared" si="5"/>
        <v>2015</v>
      </c>
      <c r="M22">
        <f t="shared" si="5"/>
        <v>2016</v>
      </c>
      <c r="N22">
        <f t="shared" si="5"/>
        <v>2017</v>
      </c>
      <c r="O22">
        <f t="shared" si="5"/>
        <v>2018</v>
      </c>
      <c r="P22">
        <f t="shared" si="5"/>
        <v>2019</v>
      </c>
      <c r="Q22">
        <f t="shared" si="5"/>
        <v>2020</v>
      </c>
      <c r="R22">
        <f t="shared" si="5"/>
        <v>2021</v>
      </c>
      <c r="S22">
        <f t="shared" si="5"/>
        <v>2022</v>
      </c>
      <c r="T22">
        <f t="shared" si="5"/>
        <v>2023</v>
      </c>
      <c r="U22" s="18">
        <f t="shared" si="5"/>
        <v>2024</v>
      </c>
      <c r="V22" s="18">
        <f t="shared" si="5"/>
        <v>2025</v>
      </c>
      <c r="W22" s="18">
        <f t="shared" si="5"/>
        <v>2026</v>
      </c>
      <c r="X22" s="18">
        <f t="shared" si="5"/>
        <v>2027</v>
      </c>
      <c r="Y22" s="18">
        <f t="shared" si="5"/>
        <v>2028</v>
      </c>
      <c r="Z22" s="18">
        <f t="shared" si="5"/>
        <v>2029</v>
      </c>
      <c r="AA22" s="18">
        <f t="shared" si="5"/>
        <v>2030</v>
      </c>
      <c r="AB22" s="18">
        <f t="shared" si="5"/>
        <v>2031</v>
      </c>
      <c r="AC22" s="18">
        <f t="shared" si="5"/>
        <v>2032</v>
      </c>
      <c r="AD22" s="18">
        <f t="shared" si="5"/>
        <v>2033</v>
      </c>
      <c r="AE22" s="18">
        <f t="shared" si="5"/>
        <v>2034</v>
      </c>
    </row>
    <row r="23" spans="1:31" x14ac:dyDescent="0.25">
      <c r="A23" s="5" t="s">
        <v>5</v>
      </c>
      <c r="G23" s="15">
        <f>(Production!G5/1000)/Diesel_Sales!B3</f>
        <v>4.4018050620198035E-2</v>
      </c>
      <c r="H23" s="15">
        <f>(Production!H5/1000)/Diesel_Sales!C3</f>
        <v>5.2389015445035887E-2</v>
      </c>
      <c r="I23" s="15">
        <f>(Production!I5/1000)/Diesel_Sales!D3</f>
        <v>4.9139279550255488E-2</v>
      </c>
      <c r="J23" s="15">
        <f>(Production!J5/1000)/Diesel_Sales!E3</f>
        <v>5.0823757186121254E-2</v>
      </c>
      <c r="K23" s="15">
        <f>(Production!K5/1000)/Diesel_Sales!F3</f>
        <v>5.3701030241499248E-2</v>
      </c>
      <c r="L23" s="15">
        <f>(Production!L5/1000)/Diesel_Sales!G3</f>
        <v>6.7514734346519709E-2</v>
      </c>
      <c r="M23" s="15">
        <f>(Production!M5/1000)/Diesel_Sales!H3</f>
        <v>6.8830267493850267E-2</v>
      </c>
      <c r="N23" s="15">
        <f>(Production!N5/1000)/Diesel_Sales!I3</f>
        <v>6.4498802774532127E-2</v>
      </c>
      <c r="O23" s="15">
        <f>(Production!O5/1000)/Diesel_Sales!J3</f>
        <v>8.1546958249420251E-2</v>
      </c>
      <c r="P23" s="15">
        <f>(Production!P5/1000)/Diesel_Sales!K3</f>
        <v>0.1016757122698019</v>
      </c>
      <c r="Q23" s="15">
        <f>(Production!Q5/1000)/Diesel_Sales!L3</f>
        <v>0.10548160190103315</v>
      </c>
      <c r="R23" s="15">
        <f>(Production!R5/1000)/Diesel_Sales!M3</f>
        <v>0.11200872540591418</v>
      </c>
      <c r="S23" s="15">
        <f>(Production!S5/1000)/Diesel_Sales!N3</f>
        <v>9.7885802712085052E-2</v>
      </c>
      <c r="T23" s="15">
        <f>(Production!T5/1000)/Diesel_Sales!O3</f>
        <v>0.10015685137934603</v>
      </c>
      <c r="U23" s="15">
        <f>(Production!U5/1000)/Diesel_Sales!P3</f>
        <v>0.12077346536036197</v>
      </c>
      <c r="V23" s="19">
        <f>(Production!V5/1000)/Diesel_Sales!Q3</f>
        <v>0.12466014725421848</v>
      </c>
      <c r="W23" s="19">
        <f>(Production!W5/1000)/Diesel_Sales!R3</f>
        <v>0.1393129889288898</v>
      </c>
      <c r="X23" s="19">
        <f>(Production!X5/1000)/Diesel_Sales!S3</f>
        <v>0.14696657736932589</v>
      </c>
      <c r="Y23" s="19">
        <f>(Production!Y5/1000)/Diesel_Sales!T3</f>
        <v>0.15629201032118439</v>
      </c>
      <c r="Z23" s="19">
        <f>(Production!Z5/1000)/Diesel_Sales!U3</f>
        <v>0.1680598919678869</v>
      </c>
      <c r="AA23" s="19">
        <f>(Production!AA5/1000)/Diesel_Sales!V3</f>
        <v>0.17714137284708129</v>
      </c>
      <c r="AB23" s="19">
        <f>(Production!AB5/1000)/Diesel_Sales!W3</f>
        <v>0.1778302798557562</v>
      </c>
      <c r="AC23" s="19">
        <f>(Production!AC5/1000)/Diesel_Sales!X3</f>
        <v>0.17849410006839092</v>
      </c>
      <c r="AD23" s="19">
        <f>(Production!AD5/1000)/Diesel_Sales!Y3</f>
        <v>0.17774918557751879</v>
      </c>
      <c r="AE23" s="19">
        <f>(Production!AE5/1000)/Diesel_Sales!Z3</f>
        <v>0.17751411996102429</v>
      </c>
    </row>
    <row r="24" spans="1:31" x14ac:dyDescent="0.25">
      <c r="A24" s="5" t="s">
        <v>6</v>
      </c>
      <c r="G24" s="15">
        <f>(Production!G6/1000)/Diesel_Sales!B4</f>
        <v>5.0238747743764439E-2</v>
      </c>
      <c r="H24" s="15">
        <f>(Production!H6/1000)/Diesel_Sales!C4</f>
        <v>4.6036702135832122E-2</v>
      </c>
      <c r="I24" s="15">
        <f>(Production!I6/1000)/Diesel_Sales!D4</f>
        <v>5.1348273536232961E-2</v>
      </c>
      <c r="J24" s="15">
        <f>(Production!J6/1000)/Diesel_Sales!E4</f>
        <v>4.8114534631366453E-2</v>
      </c>
      <c r="K24" s="15">
        <f>(Production!K6/1000)/Diesel_Sales!F4</f>
        <v>5.1399689544257457E-2</v>
      </c>
      <c r="L24" s="15">
        <f>(Production!L6/1000)/Diesel_Sales!G4</f>
        <v>7.456375613762424E-2</v>
      </c>
      <c r="M24" s="15">
        <f>(Production!M6/1000)/Diesel_Sales!H4</f>
        <v>7.0034186272743312E-2</v>
      </c>
      <c r="N24" s="15">
        <f>(Production!N6/1000)/Diesel_Sales!I4</f>
        <v>6.4390699521082395E-2</v>
      </c>
      <c r="O24" s="15">
        <f>(Production!O6/1000)/Diesel_Sales!J4</f>
        <v>8.2107412529981411E-2</v>
      </c>
      <c r="P24" s="15">
        <f>(Production!P6/1000)/Diesel_Sales!K4</f>
        <v>9.4909476324445324E-2</v>
      </c>
      <c r="Q24" s="15">
        <f>(Production!Q6/1000)/Diesel_Sales!L4</f>
        <v>0.10703947439832864</v>
      </c>
      <c r="R24" s="15">
        <f>(Production!R6/1000)/Diesel_Sales!M4</f>
        <v>0.1190438076745686</v>
      </c>
      <c r="S24" s="15">
        <f>(Production!S6/1000)/Diesel_Sales!N4</f>
        <v>9.9306798877085115E-2</v>
      </c>
      <c r="T24" s="15">
        <f>(Production!T6/1000)/Diesel_Sales!O4</f>
        <v>9.4782338030982877E-2</v>
      </c>
      <c r="U24" s="15">
        <f>(Production!U6/1000)/Diesel_Sales!P4</f>
        <v>0.12555615964433187</v>
      </c>
      <c r="V24" s="19">
        <f>(Production!V6/1000)/Diesel_Sales!Q4</f>
        <v>0.1338263638636405</v>
      </c>
      <c r="W24" s="19">
        <f>(Production!W6/1000)/Diesel_Sales!R4</f>
        <v>0.14138545396812482</v>
      </c>
      <c r="X24" s="19">
        <f>(Production!X6/1000)/Diesel_Sales!S4</f>
        <v>0.15118516508579727</v>
      </c>
      <c r="Y24" s="19">
        <f>(Production!Y6/1000)/Diesel_Sales!T4</f>
        <v>0.15928561162786309</v>
      </c>
      <c r="Z24" s="19">
        <f>(Production!Z6/1000)/Diesel_Sales!U4</f>
        <v>0.17196590978674883</v>
      </c>
      <c r="AA24" s="19">
        <f>(Production!AA6/1000)/Diesel_Sales!V4</f>
        <v>0.18323104000373386</v>
      </c>
      <c r="AB24" s="19">
        <f>(Production!AB6/1000)/Diesel_Sales!W4</f>
        <v>0.18319693725639491</v>
      </c>
      <c r="AC24" s="19">
        <f>(Production!AC6/1000)/Diesel_Sales!X4</f>
        <v>0.18286739110504802</v>
      </c>
      <c r="AD24" s="19">
        <f>(Production!AD6/1000)/Diesel_Sales!Y4</f>
        <v>0.18259628959685045</v>
      </c>
      <c r="AE24" s="19">
        <f>(Production!AE6/1000)/Diesel_Sales!Z4</f>
        <v>0.18220292536269347</v>
      </c>
    </row>
    <row r="25" spans="1:31" x14ac:dyDescent="0.25">
      <c r="A25" s="5" t="s">
        <v>7</v>
      </c>
      <c r="G25" s="15">
        <f>(Production!G7/1000)/Diesel_Sales!B5</f>
        <v>5.0085021330875432E-2</v>
      </c>
      <c r="H25" s="15">
        <f>(Production!H7/1000)/Diesel_Sales!C5</f>
        <v>5.432459633743307E-2</v>
      </c>
      <c r="I25" s="15">
        <f>(Production!I7/1000)/Diesel_Sales!D5</f>
        <v>4.6491900978348946E-2</v>
      </c>
      <c r="J25" s="15">
        <f>(Production!J7/1000)/Diesel_Sales!E5</f>
        <v>4.9130314403114841E-2</v>
      </c>
      <c r="K25" s="15">
        <f>(Production!K7/1000)/Diesel_Sales!F5</f>
        <v>5.645559378720074E-2</v>
      </c>
      <c r="L25" s="15">
        <f>(Production!L7/1000)/Diesel_Sales!G5</f>
        <v>6.4360936154647178E-2</v>
      </c>
      <c r="M25" s="15">
        <f>(Production!M7/1000)/Diesel_Sales!H5</f>
        <v>6.8013933317828942E-2</v>
      </c>
      <c r="N25" s="15">
        <f>(Production!N7/1000)/Diesel_Sales!I5</f>
        <v>6.9056731499289772E-2</v>
      </c>
      <c r="O25" s="15">
        <f>(Production!O7/1000)/Diesel_Sales!J5</f>
        <v>9.42936847499556E-2</v>
      </c>
      <c r="P25" s="15">
        <f>(Production!P7/1000)/Diesel_Sales!K5</f>
        <v>0.10146219213390888</v>
      </c>
      <c r="Q25" s="15">
        <f>(Production!Q7/1000)/Diesel_Sales!L5</f>
        <v>0.11682233550922791</v>
      </c>
      <c r="R25" s="15">
        <f>(Production!R7/1000)/Diesel_Sales!M5</f>
        <v>0.11699235725176899</v>
      </c>
      <c r="S25" s="15">
        <f>(Production!S7/1000)/Diesel_Sales!N5</f>
        <v>9.1581272584262102E-2</v>
      </c>
      <c r="T25" s="15">
        <f>(Production!T7/1000)/Diesel_Sales!O5</f>
        <v>9.4505490937294614E-2</v>
      </c>
      <c r="U25" s="20">
        <f>(Production!U7/1000)/Diesel_Sales!P5</f>
        <v>0.13797196118643451</v>
      </c>
      <c r="V25" s="19">
        <f>(Production!V7/1000)/Diesel_Sales!Q5</f>
        <v>0.13517676720691818</v>
      </c>
      <c r="W25" s="19">
        <f>(Production!W7/1000)/Diesel_Sales!R5</f>
        <v>0.14394428284680849</v>
      </c>
      <c r="X25" s="19">
        <f>(Production!X7/1000)/Diesel_Sales!S5</f>
        <v>0.15173037096036382</v>
      </c>
      <c r="Y25" s="19">
        <f>(Production!Y7/1000)/Diesel_Sales!T5</f>
        <v>0.16099093863467029</v>
      </c>
      <c r="Z25" s="19">
        <f>(Production!Z7/1000)/Diesel_Sales!U5</f>
        <v>0.1756392237376587</v>
      </c>
      <c r="AA25" s="19">
        <f>(Production!AA7/1000)/Diesel_Sales!V5</f>
        <v>0.18805274074455763</v>
      </c>
      <c r="AB25" s="19">
        <f>(Production!AB7/1000)/Diesel_Sales!W5</f>
        <v>0.18560922659180315</v>
      </c>
      <c r="AC25" s="19">
        <f>(Production!AC7/1000)/Diesel_Sales!X5</f>
        <v>0.1858304826562977</v>
      </c>
      <c r="AD25" s="19">
        <f>(Production!AD7/1000)/Diesel_Sales!Y5</f>
        <v>0.18537488839978056</v>
      </c>
      <c r="AE25" s="19">
        <f>(Production!AE7/1000)/Diesel_Sales!Z5</f>
        <v>0.18541993076586977</v>
      </c>
    </row>
    <row r="26" spans="1:31" x14ac:dyDescent="0.25">
      <c r="A26" s="5" t="s">
        <v>8</v>
      </c>
      <c r="G26" s="15">
        <f>(Production!G8/1000)/Diesel_Sales!B6</f>
        <v>4.6612252908526712E-2</v>
      </c>
      <c r="H26" s="15">
        <f>(Production!H8/1000)/Diesel_Sales!C6</f>
        <v>4.898002213597491E-2</v>
      </c>
      <c r="I26" s="15">
        <f>(Production!I8/1000)/Diesel_Sales!D6</f>
        <v>4.2284333078754031E-2</v>
      </c>
      <c r="J26" s="15">
        <f>(Production!J8/1000)/Diesel_Sales!E6</f>
        <v>5.1301554172495441E-2</v>
      </c>
      <c r="K26" s="15">
        <f>(Production!K8/1000)/Diesel_Sales!F6</f>
        <v>5.1835769160697862E-2</v>
      </c>
      <c r="L26" s="15">
        <f>(Production!L8/1000)/Diesel_Sales!G6</f>
        <v>6.8481182702101823E-2</v>
      </c>
      <c r="M26" s="15">
        <f>(Production!M8/1000)/Diesel_Sales!H6</f>
        <v>7.6206073960005061E-2</v>
      </c>
      <c r="N26" s="15">
        <f>(Production!N8/1000)/Diesel_Sales!I6</f>
        <v>8.382826188139228E-2</v>
      </c>
      <c r="O26" s="15">
        <f>(Production!O8/1000)/Diesel_Sales!J6</f>
        <v>9.7154922554204284E-2</v>
      </c>
      <c r="P26" s="15">
        <f>(Production!P8/1000)/Diesel_Sales!K6</f>
        <v>9.99005632791342E-2</v>
      </c>
      <c r="Q26" s="15">
        <f>(Production!Q8/1000)/Diesel_Sales!L6</f>
        <v>0.10974992552692357</v>
      </c>
      <c r="R26" s="15">
        <f>(Production!R8/1000)/Diesel_Sales!M6</f>
        <v>0.12406124340988514</v>
      </c>
      <c r="S26" s="15">
        <f>(Production!S8/1000)/Diesel_Sales!N6</f>
        <v>9.6129792858259427E-2</v>
      </c>
      <c r="T26" s="15">
        <f>(Production!T8/1000)/Diesel_Sales!O6</f>
        <v>0.11796508548086672</v>
      </c>
      <c r="U26" s="20">
        <f>(Production!U8/1000)/Diesel_Sales!P6</f>
        <v>0.13379721292845601</v>
      </c>
      <c r="V26" s="19">
        <f>(Production!V8/1000)/Diesel_Sales!Q6</f>
        <v>0.14277344160116404</v>
      </c>
      <c r="W26" s="19">
        <f>(Production!W8/1000)/Diesel_Sales!R6</f>
        <v>0.15166672752400731</v>
      </c>
      <c r="X26" s="19">
        <f>(Production!X8/1000)/Diesel_Sales!S6</f>
        <v>0.1626581035309187</v>
      </c>
      <c r="Y26" s="19">
        <f>(Production!Y8/1000)/Diesel_Sales!T6</f>
        <v>0.1721396052396712</v>
      </c>
      <c r="Z26" s="19">
        <f>(Production!Z8/1000)/Diesel_Sales!U6</f>
        <v>0.18827495143266829</v>
      </c>
      <c r="AA26" s="19">
        <f>(Production!AA8/1000)/Diesel_Sales!V6</f>
        <v>0.19637315416503032</v>
      </c>
      <c r="AB26" s="19">
        <f>(Production!AB8/1000)/Diesel_Sales!W6</f>
        <v>0.19786036128427223</v>
      </c>
      <c r="AC26" s="19">
        <f>(Production!AC8/1000)/Diesel_Sales!X6</f>
        <v>0.19745829068152909</v>
      </c>
      <c r="AD26" s="19">
        <f>(Production!AD8/1000)/Diesel_Sales!Y6</f>
        <v>0.19728098330900395</v>
      </c>
      <c r="AE26" s="19">
        <f>(Production!AE8/1000)/Diesel_Sales!Z6</f>
        <v>0.19701959798705995</v>
      </c>
    </row>
    <row r="27" spans="1:31" x14ac:dyDescent="0.25">
      <c r="A27" s="5" t="s">
        <v>9</v>
      </c>
      <c r="G27" s="15">
        <f>(Production!G9/1000)/Diesel_Sales!B7</f>
        <v>4.959552886152617E-2</v>
      </c>
      <c r="H27" s="15">
        <f>(Production!H9/1000)/Diesel_Sales!C7</f>
        <v>4.972782468370919E-2</v>
      </c>
      <c r="I27" s="15">
        <f>(Production!I9/1000)/Diesel_Sales!D7</f>
        <v>4.5623723597855749E-2</v>
      </c>
      <c r="J27" s="15">
        <f>(Production!J9/1000)/Diesel_Sales!E7</f>
        <v>4.9902010962318506E-2</v>
      </c>
      <c r="K27" s="15">
        <f>(Production!K9/1000)/Diesel_Sales!F7</f>
        <v>4.7258388014121841E-2</v>
      </c>
      <c r="L27" s="15">
        <f>(Production!L9/1000)/Diesel_Sales!G7</f>
        <v>7.3082570552549492E-2</v>
      </c>
      <c r="M27" s="15">
        <f>(Production!M9/1000)/Diesel_Sales!H7</f>
        <v>7.3074391962166502E-2</v>
      </c>
      <c r="N27" s="15">
        <f>(Production!N9/1000)/Diesel_Sales!I7</f>
        <v>8.0030747574096797E-2</v>
      </c>
      <c r="O27" s="15">
        <f>(Production!O9/1000)/Diesel_Sales!J7</f>
        <v>0.10138854039571213</v>
      </c>
      <c r="P27" s="15">
        <f>(Production!P9/1000)/Diesel_Sales!K7</f>
        <v>9.3470903979065614E-2</v>
      </c>
      <c r="Q27" s="15">
        <f>(Production!Q9/1000)/Diesel_Sales!L7</f>
        <v>0.11042597749347755</v>
      </c>
      <c r="R27" s="15">
        <f>(Production!R9/1000)/Diesel_Sales!M7</f>
        <v>0.10786896044315773</v>
      </c>
      <c r="S27" s="15">
        <f>(Production!S9/1000)/Diesel_Sales!N7</f>
        <v>0.10029635449397013</v>
      </c>
      <c r="T27" s="15">
        <f>(Production!T9/1000)/Diesel_Sales!O7</f>
        <v>0.11492928360819185</v>
      </c>
      <c r="U27" s="20">
        <f>(Production!U9/1000)/Diesel_Sales!P7</f>
        <v>0.12873250917666212</v>
      </c>
      <c r="V27" s="19">
        <f>(Production!V9/1000)/Diesel_Sales!Q7</f>
        <v>0.13733971732448361</v>
      </c>
      <c r="W27" s="19">
        <f>(Production!W9/1000)/Diesel_Sales!R7</f>
        <v>0.14611390466681085</v>
      </c>
      <c r="X27" s="19">
        <f>(Production!X9/1000)/Diesel_Sales!S7</f>
        <v>0.15577783421474325</v>
      </c>
      <c r="Y27" s="19">
        <f>(Production!Y9/1000)/Diesel_Sales!T7</f>
        <v>0.16765145848614907</v>
      </c>
      <c r="Z27" s="19">
        <f>(Production!Z9/1000)/Diesel_Sales!U7</f>
        <v>0.18096491314999208</v>
      </c>
      <c r="AA27" s="19">
        <f>(Production!AA9/1000)/Diesel_Sales!V7</f>
        <v>0.18960976475826674</v>
      </c>
      <c r="AB27" s="19">
        <f>(Production!AB9/1000)/Diesel_Sales!W7</f>
        <v>0.19070976847149612</v>
      </c>
      <c r="AC27" s="19">
        <f>(Production!AC9/1000)/Diesel_Sales!X7</f>
        <v>0.19042198256846193</v>
      </c>
      <c r="AD27" s="19">
        <f>(Production!AD9/1000)/Diesel_Sales!Y7</f>
        <v>0.19026217819058205</v>
      </c>
      <c r="AE27" s="19">
        <f>(Production!AE9/1000)/Diesel_Sales!Z7</f>
        <v>0.19019386772802796</v>
      </c>
    </row>
    <row r="28" spans="1:31" x14ac:dyDescent="0.25">
      <c r="A28" s="5" t="s">
        <v>10</v>
      </c>
      <c r="G28" s="15">
        <f>(Production!G10/1000)/Diesel_Sales!B8</f>
        <v>4.9644448567893969E-2</v>
      </c>
      <c r="H28" s="15">
        <f>(Production!H10/1000)/Diesel_Sales!C8</f>
        <v>5.2807616230359553E-2</v>
      </c>
      <c r="I28" s="15">
        <f>(Production!I10/1000)/Diesel_Sales!D8</f>
        <v>4.7090580057100935E-2</v>
      </c>
      <c r="J28" s="15">
        <f>(Production!J10/1000)/Diesel_Sales!E8</f>
        <v>5.0214070457412524E-2</v>
      </c>
      <c r="K28" s="15">
        <f>(Production!K10/1000)/Diesel_Sales!F8</f>
        <v>5.3426651630346128E-2</v>
      </c>
      <c r="L28" s="15">
        <f>(Production!L10/1000)/Diesel_Sales!G8</f>
        <v>6.6248309274899497E-2</v>
      </c>
      <c r="M28" s="15">
        <f>(Production!M10/1000)/Diesel_Sales!H8</f>
        <v>6.3418925619351363E-2</v>
      </c>
      <c r="N28" s="15">
        <f>(Production!N10/1000)/Diesel_Sales!I8</f>
        <v>7.6801822620531188E-2</v>
      </c>
      <c r="O28" s="15">
        <f>(Production!O10/1000)/Diesel_Sales!J8</f>
        <v>9.3159581933536448E-2</v>
      </c>
      <c r="P28" s="15">
        <f>(Production!P10/1000)/Diesel_Sales!K8</f>
        <v>9.9203496005004707E-2</v>
      </c>
      <c r="Q28" s="15">
        <f>(Production!Q10/1000)/Diesel_Sales!L8</f>
        <v>0.11356640128653321</v>
      </c>
      <c r="R28" s="15">
        <f>(Production!R10/1000)/Diesel_Sales!M8</f>
        <v>0.10313889176653172</v>
      </c>
      <c r="S28" s="15">
        <f>(Production!S10/1000)/Diesel_Sales!N8</f>
        <v>9.8819821541217948E-2</v>
      </c>
      <c r="T28" s="15">
        <f>(Production!T10/1000)/Diesel_Sales!O8</f>
        <v>0.12041002907213733</v>
      </c>
      <c r="U28" s="20">
        <f>(Production!U10/1000)/Diesel_Sales!P8</f>
        <v>0.13600052272715638</v>
      </c>
      <c r="V28" s="19">
        <f>(Production!V10/1000)/Diesel_Sales!Q8</f>
        <v>0.13954483758282887</v>
      </c>
      <c r="W28" s="19">
        <f>(Production!W10/1000)/Diesel_Sales!R8</f>
        <v>0.14885844799860962</v>
      </c>
      <c r="X28" s="19">
        <f>(Production!X10/1000)/Diesel_Sales!S8</f>
        <v>0.15844995153798111</v>
      </c>
      <c r="Y28" s="19">
        <f>(Production!Y10/1000)/Diesel_Sales!T8</f>
        <v>0.17242686903162346</v>
      </c>
      <c r="Z28" s="19">
        <f>(Production!Z10/1000)/Diesel_Sales!U8</f>
        <v>0.1864584852415696</v>
      </c>
      <c r="AA28" s="19">
        <f>(Production!AA10/1000)/Diesel_Sales!V8</f>
        <v>0.19456277912096648</v>
      </c>
      <c r="AB28" s="19">
        <f>(Production!AB10/1000)/Diesel_Sales!W8</f>
        <v>0.19500978673987104</v>
      </c>
      <c r="AC28" s="19">
        <f>(Production!AC10/1000)/Diesel_Sales!X8</f>
        <v>0.19509517261910828</v>
      </c>
      <c r="AD28" s="19">
        <f>(Production!AD10/1000)/Diesel_Sales!Y8</f>
        <v>0.19507773787223762</v>
      </c>
      <c r="AE28" s="19">
        <f>(Production!AE10/1000)/Diesel_Sales!Z8</f>
        <v>0.19521389920875945</v>
      </c>
    </row>
    <row r="29" spans="1:31" x14ac:dyDescent="0.25">
      <c r="A29" s="5" t="s">
        <v>11</v>
      </c>
      <c r="G29" s="15">
        <f>(Production!G11/1000)/Diesel_Sales!B9</f>
        <v>4.7913274841171492E-2</v>
      </c>
      <c r="H29" s="15">
        <f>(Production!H11/1000)/Diesel_Sales!C9</f>
        <v>5.5296229257864662E-2</v>
      </c>
      <c r="I29" s="15">
        <f>(Production!I11/1000)/Diesel_Sales!D9</f>
        <v>4.8189614412430117E-2</v>
      </c>
      <c r="J29" s="15">
        <f>(Production!J11/1000)/Diesel_Sales!E9</f>
        <v>5.0917236986367992E-2</v>
      </c>
      <c r="K29" s="15">
        <f>(Production!K11/1000)/Diesel_Sales!F9</f>
        <v>5.8414361538961353E-2</v>
      </c>
      <c r="L29" s="15">
        <f>(Production!L11/1000)/Diesel_Sales!G9</f>
        <v>6.8721978616219398E-2</v>
      </c>
      <c r="M29" s="15">
        <f>(Production!M11/1000)/Diesel_Sales!H9</f>
        <v>7.1839937347803154E-2</v>
      </c>
      <c r="N29" s="15">
        <f>(Production!N11/1000)/Diesel_Sales!I9</f>
        <v>8.0315331007200924E-2</v>
      </c>
      <c r="O29" s="15">
        <f>(Production!O11/1000)/Diesel_Sales!J9</f>
        <v>9.8166491273530804E-2</v>
      </c>
      <c r="P29" s="15">
        <f>(Production!P11/1000)/Diesel_Sales!K9</f>
        <v>9.5496869686255328E-2</v>
      </c>
      <c r="Q29" s="15">
        <f>(Production!Q11/1000)/Diesel_Sales!L9</f>
        <v>0.11508583245732809</v>
      </c>
      <c r="R29" s="15">
        <f>(Production!R11/1000)/Diesel_Sales!M9</f>
        <v>9.9802878968537248E-2</v>
      </c>
      <c r="S29" s="15">
        <f>(Production!S11/1000)/Diesel_Sales!N9</f>
        <v>0.10282225200728268</v>
      </c>
      <c r="T29" s="15">
        <f>(Production!T11/1000)/Diesel_Sales!O9</f>
        <v>0.12547481900008498</v>
      </c>
      <c r="U29" s="19">
        <f>(Production!U11/1000)/Diesel_Sales!P9</f>
        <v>0.13544102422414864</v>
      </c>
      <c r="V29" s="19">
        <f>(Production!V11/1000)/Diesel_Sales!Q9</f>
        <v>0.14041428524773322</v>
      </c>
      <c r="W29" s="19">
        <f>(Production!W11/1000)/Diesel_Sales!R9</f>
        <v>0.15041859752664641</v>
      </c>
      <c r="X29" s="19">
        <f>(Production!X11/1000)/Diesel_Sales!S9</f>
        <v>0.15995860617634008</v>
      </c>
      <c r="Y29" s="19">
        <f>(Production!Y11/1000)/Diesel_Sales!T9</f>
        <v>0.17535459264130152</v>
      </c>
      <c r="Z29" s="19">
        <f>(Production!Z11/1000)/Diesel_Sales!U9</f>
        <v>0.18878695626545869</v>
      </c>
      <c r="AA29" s="19">
        <f>(Production!AA11/1000)/Diesel_Sales!V9</f>
        <v>0.1961758734100198</v>
      </c>
      <c r="AB29" s="19">
        <f>(Production!AB11/1000)/Diesel_Sales!W9</f>
        <v>0.19715035050374463</v>
      </c>
      <c r="AC29" s="19">
        <f>(Production!AC11/1000)/Diesel_Sales!X9</f>
        <v>0.1973231518588682</v>
      </c>
      <c r="AD29" s="19">
        <f>(Production!AD11/1000)/Diesel_Sales!Y9</f>
        <v>0.19734684393949248</v>
      </c>
      <c r="AE29" s="19">
        <f>(Production!AE11/1000)/Diesel_Sales!Z9</f>
        <v>0.19754411161031105</v>
      </c>
    </row>
    <row r="30" spans="1:31" x14ac:dyDescent="0.25">
      <c r="A30" s="5" t="s">
        <v>12</v>
      </c>
      <c r="G30" s="15">
        <f>(Production!G12/1000)/Diesel_Sales!B10</f>
        <v>5.2212877697695483E-2</v>
      </c>
      <c r="H30" s="15">
        <f>(Production!H12/1000)/Diesel_Sales!C10</f>
        <v>5.0980605991068628E-2</v>
      </c>
      <c r="I30" s="15">
        <f>(Production!I12/1000)/Diesel_Sales!D10</f>
        <v>4.8753427768097705E-2</v>
      </c>
      <c r="J30" s="15">
        <f>(Production!J12/1000)/Diesel_Sales!E10</f>
        <v>4.611548777916756E-2</v>
      </c>
      <c r="K30" s="15">
        <f>(Production!K12/1000)/Diesel_Sales!F10</f>
        <v>5.8780341485494055E-2</v>
      </c>
      <c r="L30" s="15">
        <f>(Production!L12/1000)/Diesel_Sales!G10</f>
        <v>6.8566247149781073E-2</v>
      </c>
      <c r="M30" s="15">
        <f>(Production!M12/1000)/Diesel_Sales!H10</f>
        <v>6.6726152477550663E-2</v>
      </c>
      <c r="N30" s="15">
        <f>(Production!N12/1000)/Diesel_Sales!I10</f>
        <v>7.9974256483464207E-2</v>
      </c>
      <c r="O30" s="15">
        <f>(Production!O12/1000)/Diesel_Sales!J10</f>
        <v>9.347372836012656E-2</v>
      </c>
      <c r="P30" s="15">
        <f>(Production!P12/1000)/Diesel_Sales!K10</f>
        <v>9.5219355239183137E-2</v>
      </c>
      <c r="Q30" s="15">
        <f>(Production!Q12/1000)/Diesel_Sales!L10</f>
        <v>0.12065612535485652</v>
      </c>
      <c r="R30" s="15">
        <f>(Production!R12/1000)/Diesel_Sales!M10</f>
        <v>9.9928560553362578E-2</v>
      </c>
      <c r="S30" s="15">
        <f>(Production!S12/1000)/Diesel_Sales!N10</f>
        <v>0.100299583798103</v>
      </c>
      <c r="T30" s="15">
        <f>(Production!T12/1000)/Diesel_Sales!O10</f>
        <v>0.1138582707160012</v>
      </c>
      <c r="U30" s="19">
        <f>(Production!U12/1000)/Diesel_Sales!P10</f>
        <v>0.13776018659817305</v>
      </c>
      <c r="V30" s="19">
        <f>(Production!V12/1000)/Diesel_Sales!Q10</f>
        <v>0.13791907748175075</v>
      </c>
      <c r="W30" s="19">
        <f>(Production!W12/1000)/Diesel_Sales!R10</f>
        <v>0.14848085384517334</v>
      </c>
      <c r="X30" s="19">
        <f>(Production!X12/1000)/Diesel_Sales!S10</f>
        <v>0.15607280267023496</v>
      </c>
      <c r="Y30" s="19">
        <f>(Production!Y12/1000)/Diesel_Sales!T10</f>
        <v>0.17075178551126768</v>
      </c>
      <c r="Z30" s="19">
        <f>(Production!Z12/1000)/Diesel_Sales!U10</f>
        <v>0.18395591726224547</v>
      </c>
      <c r="AA30" s="19">
        <f>(Production!AA12/1000)/Diesel_Sales!V10</f>
        <v>0.19353028535048677</v>
      </c>
      <c r="AB30" s="19">
        <f>(Production!AB12/1000)/Diesel_Sales!W10</f>
        <v>0.19288469752368084</v>
      </c>
      <c r="AC30" s="19">
        <f>(Production!AC12/1000)/Diesel_Sales!X10</f>
        <v>0.19326300918517952</v>
      </c>
      <c r="AD30" s="19">
        <f>(Production!AD12/1000)/Diesel_Sales!Y10</f>
        <v>0.19297488356913767</v>
      </c>
      <c r="AE30" s="19">
        <f>(Production!AE12/1000)/Diesel_Sales!Z10</f>
        <v>0.19331133911144641</v>
      </c>
    </row>
    <row r="31" spans="1:31" x14ac:dyDescent="0.25">
      <c r="A31" s="5" t="s">
        <v>13</v>
      </c>
      <c r="G31" s="15">
        <f>(Production!G13/1000)/Diesel_Sales!B11</f>
        <v>5.0825815424887337E-2</v>
      </c>
      <c r="H31" s="15">
        <f>(Production!H13/1000)/Diesel_Sales!C11</f>
        <v>4.8803959527811948E-2</v>
      </c>
      <c r="I31" s="15">
        <f>(Production!I13/1000)/Diesel_Sales!D11</f>
        <v>5.3273371756062622E-2</v>
      </c>
      <c r="J31" s="15">
        <f>(Production!J13/1000)/Diesel_Sales!E11</f>
        <v>5.0243182545662755E-2</v>
      </c>
      <c r="K31" s="15">
        <f>(Production!K13/1000)/Diesel_Sales!F11</f>
        <v>5.838022594028041E-2</v>
      </c>
      <c r="L31" s="15">
        <f>(Production!L13/1000)/Diesel_Sales!G11</f>
        <v>6.6987806529758526E-2</v>
      </c>
      <c r="M31" s="15">
        <f>(Production!M13/1000)/Diesel_Sales!H11</f>
        <v>6.560644716825266E-2</v>
      </c>
      <c r="N31" s="15">
        <f>(Production!N13/1000)/Diesel_Sales!I11</f>
        <v>8.2096522462668603E-2</v>
      </c>
      <c r="O31" s="15">
        <f>(Production!O13/1000)/Diesel_Sales!J11</f>
        <v>0.10079331056853108</v>
      </c>
      <c r="P31" s="15">
        <f>(Production!P13/1000)/Diesel_Sales!K11</f>
        <v>0.11413116572055952</v>
      </c>
      <c r="Q31" s="15">
        <f>(Production!Q13/1000)/Diesel_Sales!L11</f>
        <v>0.11342045122130985</v>
      </c>
      <c r="R31" s="15">
        <f>(Production!R13/1000)/Diesel_Sales!M11</f>
        <v>0.10606405865786396</v>
      </c>
      <c r="S31" s="15">
        <f>(Production!S13/1000)/Diesel_Sales!N11</f>
        <v>0.10010409127883735</v>
      </c>
      <c r="T31" s="15">
        <f>(Production!T13/1000)/Diesel_Sales!O11</f>
        <v>0.11674471600535524</v>
      </c>
      <c r="U31" s="19">
        <f>(Production!U13/1000)/Diesel_Sales!P11</f>
        <v>0.14370750305779004</v>
      </c>
      <c r="V31" s="19">
        <f>(Production!V13/1000)/Diesel_Sales!Q11</f>
        <v>0.14320233901044194</v>
      </c>
      <c r="W31" s="19">
        <f>(Production!W13/1000)/Diesel_Sales!R11</f>
        <v>0.15058530350896329</v>
      </c>
      <c r="X31" s="19">
        <f>(Production!X13/1000)/Diesel_Sales!S11</f>
        <v>0.16135279197359437</v>
      </c>
      <c r="Y31" s="19">
        <f>(Production!Y13/1000)/Diesel_Sales!T11</f>
        <v>0.17514166784885796</v>
      </c>
      <c r="Z31" s="19">
        <f>(Production!Z13/1000)/Diesel_Sales!U11</f>
        <v>0.18975248107130935</v>
      </c>
      <c r="AA31" s="19">
        <f>(Production!AA13/1000)/Diesel_Sales!V11</f>
        <v>0.19941198654133005</v>
      </c>
      <c r="AB31" s="19">
        <f>(Production!AB13/1000)/Diesel_Sales!W11</f>
        <v>0.19832712107208875</v>
      </c>
      <c r="AC31" s="19">
        <f>(Production!AC13/1000)/Diesel_Sales!X11</f>
        <v>0.1985543623566394</v>
      </c>
      <c r="AD31" s="19">
        <f>(Production!AD13/1000)/Diesel_Sales!Y11</f>
        <v>0.19875336917153591</v>
      </c>
      <c r="AE31" s="19">
        <f>(Production!AE13/1000)/Diesel_Sales!Z11</f>
        <v>0.19886574823998462</v>
      </c>
    </row>
    <row r="32" spans="1:31" x14ac:dyDescent="0.25">
      <c r="A32" s="5" t="s">
        <v>14</v>
      </c>
      <c r="G32" s="15">
        <f>(Production!G14/1000)/Diesel_Sales!B12</f>
        <v>4.529238463572461E-2</v>
      </c>
      <c r="H32" s="15">
        <f>(Production!H14/1000)/Diesel_Sales!C12</f>
        <v>5.1126254057687948E-2</v>
      </c>
      <c r="I32" s="15">
        <f>(Production!I14/1000)/Diesel_Sales!D12</f>
        <v>4.7799851856611938E-2</v>
      </c>
      <c r="J32" s="15">
        <f>(Production!J14/1000)/Diesel_Sales!E12</f>
        <v>5.0697605435814981E-2</v>
      </c>
      <c r="K32" s="15">
        <f>(Production!K14/1000)/Diesel_Sales!F12</f>
        <v>5.6099461983423936E-2</v>
      </c>
      <c r="L32" s="15">
        <f>(Production!L14/1000)/Diesel_Sales!G12</f>
        <v>6.9317620804527857E-2</v>
      </c>
      <c r="M32" s="15">
        <f>(Production!M14/1000)/Diesel_Sales!H12</f>
        <v>7.363211506352535E-2</v>
      </c>
      <c r="N32" s="15">
        <f>(Production!N14/1000)/Diesel_Sales!I12</f>
        <v>8.3271693677727396E-2</v>
      </c>
      <c r="O32" s="15">
        <f>(Production!O14/1000)/Diesel_Sales!J12</f>
        <v>9.8911860427144283E-2</v>
      </c>
      <c r="P32" s="15">
        <f>(Production!P14/1000)/Diesel_Sales!K12</f>
        <v>0.10778260055515765</v>
      </c>
      <c r="Q32" s="15">
        <f>(Production!Q14/1000)/Diesel_Sales!L12</f>
        <v>0.10613316460359494</v>
      </c>
      <c r="R32" s="15">
        <f>(Production!R14/1000)/Diesel_Sales!M12</f>
        <v>0.10990300203305821</v>
      </c>
      <c r="S32" s="15">
        <f>(Production!S14/1000)/Diesel_Sales!N12</f>
        <v>0.10137441899720662</v>
      </c>
      <c r="T32" s="15">
        <f>(Production!T14/1000)/Diesel_Sales!O12</f>
        <v>0.12235056900206634</v>
      </c>
      <c r="U32" s="19">
        <f>(Production!U14/1000)/Diesel_Sales!P12</f>
        <v>0.13848347940276839</v>
      </c>
      <c r="V32" s="19">
        <f>(Production!V14/1000)/Diesel_Sales!Q12</f>
        <v>0.14261185100490592</v>
      </c>
      <c r="W32" s="19">
        <f>(Production!W14/1000)/Diesel_Sales!R12</f>
        <v>0.1503824521563468</v>
      </c>
      <c r="X32" s="19">
        <f>(Production!X14/1000)/Diesel_Sales!S12</f>
        <v>0.16286632185543157</v>
      </c>
      <c r="Y32" s="19">
        <f>(Production!Y14/1000)/Diesel_Sales!T12</f>
        <v>0.17565012871793148</v>
      </c>
      <c r="Z32" s="19">
        <f>(Production!Z14/1000)/Diesel_Sales!U12</f>
        <v>0.19021875901321975</v>
      </c>
      <c r="AA32" s="19">
        <f>(Production!AA14/1000)/Diesel_Sales!V12</f>
        <v>0.19831022798059636</v>
      </c>
      <c r="AB32" s="19">
        <f>(Production!AB14/1000)/Diesel_Sales!W12</f>
        <v>0.1987172580595985</v>
      </c>
      <c r="AC32" s="19">
        <f>(Production!AC14/1000)/Diesel_Sales!X12</f>
        <v>0.19885052977865544</v>
      </c>
      <c r="AD32" s="19">
        <f>(Production!AD14/1000)/Diesel_Sales!Y12</f>
        <v>0.19915351007152077</v>
      </c>
      <c r="AE32" s="19">
        <f>(Production!AE14/1000)/Diesel_Sales!Z12</f>
        <v>0.19899634173569289</v>
      </c>
    </row>
    <row r="33" spans="1:31" x14ac:dyDescent="0.25">
      <c r="A33" s="5" t="s">
        <v>15</v>
      </c>
      <c r="G33" s="15">
        <f>(Production!G15/1000)/Diesel_Sales!B13</f>
        <v>4.8373960053971293E-2</v>
      </c>
      <c r="H33" s="15">
        <f>(Production!H15/1000)/Diesel_Sales!C13</f>
        <v>5.2213558813111863E-2</v>
      </c>
      <c r="I33" s="15">
        <f>(Production!I15/1000)/Diesel_Sales!D13</f>
        <v>4.9060144528293222E-2</v>
      </c>
      <c r="J33" s="15">
        <f>(Production!J15/1000)/Diesel_Sales!E13</f>
        <v>5.2080958802357302E-2</v>
      </c>
      <c r="K33" s="15">
        <f>(Production!K15/1000)/Diesel_Sales!F13</f>
        <v>6.4483383175118605E-2</v>
      </c>
      <c r="L33" s="15">
        <f>(Production!L15/1000)/Diesel_Sales!G13</f>
        <v>7.1228767315632643E-2</v>
      </c>
      <c r="M33" s="15">
        <f>(Production!M15/1000)/Diesel_Sales!H13</f>
        <v>7.3081264163246049E-2</v>
      </c>
      <c r="N33" s="15">
        <f>(Production!N15/1000)/Diesel_Sales!I13</f>
        <v>8.3378164010404557E-2</v>
      </c>
      <c r="O33" s="15">
        <f>(Production!O15/1000)/Diesel_Sales!J13</f>
        <v>0.10111447776273</v>
      </c>
      <c r="P33" s="15">
        <f>(Production!P15/1000)/Diesel_Sales!K13</f>
        <v>0.11225725216333816</v>
      </c>
      <c r="Q33" s="15">
        <f>(Production!Q15/1000)/Diesel_Sales!L13</f>
        <v>0.11305414763798084</v>
      </c>
      <c r="R33" s="15">
        <f>(Production!R15/1000)/Diesel_Sales!M13</f>
        <v>0.10346747066661344</v>
      </c>
      <c r="S33" s="15">
        <f>(Production!S15/1000)/Diesel_Sales!N13</f>
        <v>9.9175876322530235E-2</v>
      </c>
      <c r="T33" s="15">
        <f>(Production!T15/1000)/Diesel_Sales!O13</f>
        <v>0.12695446530928087</v>
      </c>
      <c r="U33" s="19">
        <f>(Production!U15/1000)/Diesel_Sales!P13</f>
        <v>0.15004329247822271</v>
      </c>
      <c r="V33" s="19">
        <f>(Production!V15/1000)/Diesel_Sales!Q13</f>
        <v>0.14463094323807457</v>
      </c>
      <c r="W33" s="19">
        <f>(Production!W15/1000)/Diesel_Sales!R13</f>
        <v>0.15415780267820234</v>
      </c>
      <c r="X33" s="19">
        <f>(Production!X15/1000)/Diesel_Sales!S13</f>
        <v>0.16536079522436142</v>
      </c>
      <c r="Y33" s="19">
        <f>(Production!Y15/1000)/Diesel_Sales!T13</f>
        <v>0.18064253293748453</v>
      </c>
      <c r="Z33" s="19">
        <f>(Production!Z15/1000)/Diesel_Sales!U13</f>
        <v>0.19640108022487884</v>
      </c>
      <c r="AA33" s="19">
        <f>(Production!AA15/1000)/Diesel_Sales!V13</f>
        <v>0.2047557647604199</v>
      </c>
      <c r="AB33" s="19">
        <f>(Production!AB15/1000)/Diesel_Sales!W13</f>
        <v>0.20350210138899311</v>
      </c>
      <c r="AC33" s="19">
        <f>(Production!AC15/1000)/Diesel_Sales!X13</f>
        <v>0.20427504637457911</v>
      </c>
      <c r="AD33" s="19">
        <f>(Production!AD15/1000)/Diesel_Sales!Y13</f>
        <v>0.20448907089186646</v>
      </c>
      <c r="AE33" s="19">
        <f>(Production!AE15/1000)/Diesel_Sales!Z13</f>
        <v>0.20472410730783366</v>
      </c>
    </row>
    <row r="34" spans="1:31" x14ac:dyDescent="0.25">
      <c r="A34" s="5" t="s">
        <v>16</v>
      </c>
      <c r="G34" s="15">
        <f>(Production!G16/1000)/Diesel_Sales!B14</f>
        <v>4.5910518069488961E-2</v>
      </c>
      <c r="H34" s="15">
        <f>(Production!H16/1000)/Diesel_Sales!C14</f>
        <v>5.0585920476063181E-2</v>
      </c>
      <c r="I34" s="15">
        <f>(Production!I16/1000)/Diesel_Sales!D14</f>
        <v>5.4398073741104259E-2</v>
      </c>
      <c r="J34" s="15">
        <f>(Production!J16/1000)/Diesel_Sales!E14</f>
        <v>4.7965033390927815E-2</v>
      </c>
      <c r="K34" s="15">
        <f>(Production!K16/1000)/Diesel_Sales!F14</f>
        <v>7.4096144736258168E-2</v>
      </c>
      <c r="L34" s="15">
        <f>(Production!L16/1000)/Diesel_Sales!G14</f>
        <v>6.8100754866128266E-2</v>
      </c>
      <c r="M34" s="15">
        <f>(Production!M16/1000)/Diesel_Sales!H14</f>
        <v>7.0459807091550614E-2</v>
      </c>
      <c r="N34" s="15">
        <f>(Production!N16/1000)/Diesel_Sales!I14</f>
        <v>8.9675076266467965E-2</v>
      </c>
      <c r="O34" s="15">
        <f>(Production!O16/1000)/Diesel_Sales!J14</f>
        <v>0.10745587618107781</v>
      </c>
      <c r="P34" s="15">
        <f>(Production!P16/1000)/Diesel_Sales!K14</f>
        <v>0.12211162143574998</v>
      </c>
      <c r="Q34" s="15">
        <f>(Production!Q16/1000)/Diesel_Sales!L14</f>
        <v>0.11013801189600472</v>
      </c>
      <c r="R34" s="15">
        <f>(Production!R16/1000)/Diesel_Sales!M14</f>
        <v>0.10654079679513173</v>
      </c>
      <c r="S34" s="15">
        <f>(Production!S16/1000)/Diesel_Sales!N14</f>
        <v>9.8748910333087317E-2</v>
      </c>
      <c r="T34" s="15">
        <f>(Production!T16/1000)/Diesel_Sales!O14</f>
        <v>0.12691291773688679</v>
      </c>
      <c r="U34" s="19">
        <f>(Production!U16/1000)/Diesel_Sales!P14</f>
        <v>0.1419770693114768</v>
      </c>
      <c r="V34" s="19">
        <f>(Production!V16/1000)/Diesel_Sales!Q14</f>
        <v>0.14684479329276864</v>
      </c>
      <c r="W34" s="19">
        <f>(Production!W16/1000)/Diesel_Sales!R14</f>
        <v>0.15152905347232729</v>
      </c>
      <c r="X34" s="19">
        <f>(Production!X16/1000)/Diesel_Sales!S14</f>
        <v>0.1640935769897475</v>
      </c>
      <c r="Y34" s="19">
        <f>(Production!Y16/1000)/Diesel_Sales!T14</f>
        <v>0.17802876709956156</v>
      </c>
      <c r="Z34" s="19">
        <f>(Production!Z16/1000)/Diesel_Sales!U14</f>
        <v>0.19383257052214695</v>
      </c>
      <c r="AA34" s="19">
        <f>(Production!AA16/1000)/Diesel_Sales!V14</f>
        <v>0.20181673495545402</v>
      </c>
      <c r="AB34" s="19">
        <f>(Production!AB16/1000)/Diesel_Sales!W14</f>
        <v>0.20175585796437301</v>
      </c>
      <c r="AC34" s="19">
        <f>(Production!AC16/1000)/Diesel_Sales!X14</f>
        <v>0.2014694583155231</v>
      </c>
      <c r="AD34" s="19">
        <f>(Production!AD16/1000)/Diesel_Sales!Y14</f>
        <v>0.20206007764916811</v>
      </c>
      <c r="AE34" s="19">
        <f>(Production!AE16/1000)/Diesel_Sales!Z14</f>
        <v>0.20210079409334802</v>
      </c>
    </row>
    <row r="35" spans="1:31" x14ac:dyDescent="0.25">
      <c r="G35" s="15">
        <f t="shared" ref="G35:AE35" si="6">AVERAGE(G23:G34)</f>
        <v>4.8393573396310334E-2</v>
      </c>
      <c r="H35" s="15">
        <f t="shared" si="6"/>
        <v>5.1106025424329411E-2</v>
      </c>
      <c r="I35" s="15">
        <f t="shared" si="6"/>
        <v>4.8621047905095673E-2</v>
      </c>
      <c r="J35" s="15">
        <f t="shared" si="6"/>
        <v>4.9792145562760619E-2</v>
      </c>
      <c r="K35" s="15">
        <f t="shared" si="6"/>
        <v>5.7027586769804982E-2</v>
      </c>
      <c r="L35" s="15">
        <f t="shared" si="6"/>
        <v>6.8931222037532477E-2</v>
      </c>
      <c r="M35" s="15">
        <f t="shared" si="6"/>
        <v>7.007695849482283E-2</v>
      </c>
      <c r="N35" s="15">
        <f t="shared" si="6"/>
        <v>7.8109842481571518E-2</v>
      </c>
      <c r="O35" s="15">
        <f t="shared" si="6"/>
        <v>9.5797237082162548E-2</v>
      </c>
      <c r="P35" s="15">
        <f t="shared" si="6"/>
        <v>0.10313510073263371</v>
      </c>
      <c r="Q35" s="15">
        <f t="shared" si="6"/>
        <v>0.11179778744054993</v>
      </c>
      <c r="R35" s="15">
        <f t="shared" si="6"/>
        <v>0.10906839613553278</v>
      </c>
      <c r="S35" s="15">
        <f t="shared" si="6"/>
        <v>9.8878747983660586E-2</v>
      </c>
      <c r="T35" s="15">
        <f t="shared" si="6"/>
        <v>0.11458706968987457</v>
      </c>
      <c r="U35" s="19">
        <f t="shared" si="6"/>
        <v>0.13585369884133189</v>
      </c>
      <c r="V35" s="19">
        <f t="shared" si="6"/>
        <v>0.13907871367574406</v>
      </c>
      <c r="W35" s="19">
        <f t="shared" si="6"/>
        <v>0.14806965576007586</v>
      </c>
      <c r="X35" s="19">
        <f t="shared" si="6"/>
        <v>0.15803940813240333</v>
      </c>
      <c r="Y35" s="19">
        <f t="shared" si="6"/>
        <v>0.17036299734146387</v>
      </c>
      <c r="Z35" s="19">
        <f t="shared" si="6"/>
        <v>0.18452592830631528</v>
      </c>
      <c r="AA35" s="19">
        <f t="shared" si="6"/>
        <v>0.19358097705316193</v>
      </c>
      <c r="AB35" s="19">
        <f t="shared" si="6"/>
        <v>0.19354614555933938</v>
      </c>
      <c r="AC35" s="19">
        <f t="shared" si="6"/>
        <v>0.1936585814640234</v>
      </c>
      <c r="AD35" s="19">
        <f t="shared" si="6"/>
        <v>0.19359325151989126</v>
      </c>
      <c r="AE35" s="19">
        <f t="shared" si="6"/>
        <v>0.1935922319260043</v>
      </c>
    </row>
  </sheetData>
  <hyperlinks>
    <hyperlink ref="A1" r:id="rId1" xr:uid="{7C8ACF29-8283-431C-A3EE-F88B28F8EA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8E18-84AA-41D6-8E12-85AE639A2ACA}">
  <dimension ref="A1:AD20"/>
  <sheetViews>
    <sheetView zoomScale="85" zoomScaleNormal="85" workbookViewId="0">
      <selection activeCell="C7" sqref="C7"/>
    </sheetView>
  </sheetViews>
  <sheetFormatPr defaultRowHeight="15" x14ac:dyDescent="0.25"/>
  <sheetData>
    <row r="1" spans="1:30" x14ac:dyDescent="0.25">
      <c r="A1" t="s">
        <v>33</v>
      </c>
      <c r="B1">
        <v>1000</v>
      </c>
    </row>
    <row r="2" spans="1:30" x14ac:dyDescent="0.25"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D2" t="s">
        <v>4</v>
      </c>
    </row>
    <row r="3" spans="1:30" x14ac:dyDescent="0.25">
      <c r="A3" s="5" t="s">
        <v>5</v>
      </c>
      <c r="B3" s="17">
        <v>3349.4140000000002</v>
      </c>
      <c r="C3" s="17">
        <v>3556.6120000000001</v>
      </c>
      <c r="D3" s="17">
        <v>3927.741</v>
      </c>
      <c r="E3" s="17">
        <v>4456.6809999999996</v>
      </c>
      <c r="F3" s="17">
        <v>4566.308</v>
      </c>
      <c r="G3" s="17">
        <v>4732.9889999999996</v>
      </c>
      <c r="H3" s="17">
        <v>3942.857</v>
      </c>
      <c r="I3" s="17">
        <v>3959.154</v>
      </c>
      <c r="J3" s="17">
        <v>4135.7269999999999</v>
      </c>
      <c r="K3" s="17">
        <v>4391.4889999999996</v>
      </c>
      <c r="L3" s="17">
        <v>4432.9579999999996</v>
      </c>
      <c r="M3" s="17">
        <v>4523.8010000000004</v>
      </c>
      <c r="N3" s="17">
        <v>4636.9489999999996</v>
      </c>
      <c r="O3" s="17">
        <v>4542.37</v>
      </c>
      <c r="P3" s="17">
        <v>5098.2489999999998</v>
      </c>
      <c r="Q3" s="12">
        <f>(SUM(K3:O3)/SUM(K$15:O$15))*Q$15</f>
        <v>5022.2741171903563</v>
      </c>
      <c r="R3" s="12">
        <f t="shared" ref="R3:Z4" si="0">(SUM(L3:P3)/SUM(L$15:P$15))*R$15</f>
        <v>5124.1517465672005</v>
      </c>
      <c r="S3" s="12">
        <f t="shared" si="0"/>
        <v>5183.8023366290699</v>
      </c>
      <c r="T3" s="12">
        <f t="shared" si="0"/>
        <v>5300.5550471430579</v>
      </c>
      <c r="U3" s="12">
        <f t="shared" si="0"/>
        <v>5403.3839472695618</v>
      </c>
      <c r="V3" s="12">
        <f t="shared" si="0"/>
        <v>5567.8027667641036</v>
      </c>
      <c r="W3" s="12">
        <f t="shared" si="0"/>
        <v>5633.8344459698765</v>
      </c>
      <c r="X3" s="12">
        <f t="shared" si="0"/>
        <v>5751.8876978459712</v>
      </c>
      <c r="Y3" s="12">
        <f t="shared" si="0"/>
        <v>5862.1838301141588</v>
      </c>
      <c r="Z3" s="12">
        <f t="shared" si="0"/>
        <v>5985.1183896231105</v>
      </c>
      <c r="AD3" s="17">
        <f t="shared" ref="AD3:AD14" si="1">AVERAGE(J3:N3)</f>
        <v>4424.1848</v>
      </c>
    </row>
    <row r="4" spans="1:30" x14ac:dyDescent="0.25">
      <c r="A4" s="5" t="s">
        <v>6</v>
      </c>
      <c r="B4" s="17">
        <v>3544.067</v>
      </c>
      <c r="C4" s="17">
        <v>3840.049</v>
      </c>
      <c r="D4" s="17">
        <v>4179.4390000000003</v>
      </c>
      <c r="E4" s="17">
        <v>4276.0079999999998</v>
      </c>
      <c r="F4" s="17">
        <v>4679.5720000000001</v>
      </c>
      <c r="G4" s="17">
        <v>4071.6080000000002</v>
      </c>
      <c r="H4" s="17">
        <v>4284.5559999999996</v>
      </c>
      <c r="I4" s="17">
        <v>4034.9319999999998</v>
      </c>
      <c r="J4" s="17">
        <v>4120.4690000000001</v>
      </c>
      <c r="K4" s="17">
        <v>4375.2089999999998</v>
      </c>
      <c r="L4" s="17">
        <v>4514.2169999999996</v>
      </c>
      <c r="M4" s="17">
        <v>4440.4319999999998</v>
      </c>
      <c r="N4" s="17">
        <v>4929.3140000000003</v>
      </c>
      <c r="O4" s="17">
        <v>4805.24</v>
      </c>
      <c r="P4" s="17">
        <v>5069.8950000000004</v>
      </c>
      <c r="Q4" s="12">
        <f>(SUM(K4:O4)/SUM(K$15:O$15))*Q$15</f>
        <v>5141.9578250866871</v>
      </c>
      <c r="R4" s="12">
        <f t="shared" si="0"/>
        <v>5239.8859460642552</v>
      </c>
      <c r="S4" s="12">
        <f t="shared" si="0"/>
        <v>5306.3484649525708</v>
      </c>
      <c r="T4" s="12">
        <f t="shared" si="0"/>
        <v>5465.9910255319764</v>
      </c>
      <c r="U4" s="12">
        <f t="shared" si="0"/>
        <v>5531.5893336699401</v>
      </c>
      <c r="V4" s="12">
        <f t="shared" si="0"/>
        <v>5674.9314974717463</v>
      </c>
      <c r="W4" s="12">
        <f t="shared" si="0"/>
        <v>5774.8428724381947</v>
      </c>
      <c r="X4" s="12">
        <f t="shared" si="0"/>
        <v>5890.1792076399543</v>
      </c>
      <c r="Y4" s="12">
        <f t="shared" si="0"/>
        <v>6005.9447221027222</v>
      </c>
      <c r="Z4" s="12">
        <f t="shared" si="0"/>
        <v>6132.2866067559571</v>
      </c>
      <c r="AD4" s="17">
        <f t="shared" si="1"/>
        <v>4475.9282000000003</v>
      </c>
    </row>
    <row r="5" spans="1:30" x14ac:dyDescent="0.25">
      <c r="A5" s="5" t="s">
        <v>7</v>
      </c>
      <c r="B5" s="17">
        <v>4275.7269999999999</v>
      </c>
      <c r="C5" s="17">
        <v>4297.5870000000004</v>
      </c>
      <c r="D5" s="17">
        <v>4750.759</v>
      </c>
      <c r="E5" s="17">
        <v>4696.741</v>
      </c>
      <c r="F5" s="17">
        <v>4815.0919999999996</v>
      </c>
      <c r="G5" s="17">
        <v>5013.7870000000003</v>
      </c>
      <c r="H5" s="17">
        <v>4751.3450000000003</v>
      </c>
      <c r="I5" s="17">
        <v>4852.0839999999998</v>
      </c>
      <c r="J5" s="17">
        <v>4825.7629999999999</v>
      </c>
      <c r="K5" s="17">
        <v>4554.74</v>
      </c>
      <c r="L5" s="17">
        <v>4710.5529999999999</v>
      </c>
      <c r="M5" s="17">
        <v>5496.5829999999996</v>
      </c>
      <c r="N5" s="17">
        <v>5461.768</v>
      </c>
      <c r="O5" s="17">
        <v>5848.3639999999996</v>
      </c>
      <c r="P5" s="17">
        <v>5396.8760000000002</v>
      </c>
      <c r="Q5" s="12">
        <f t="shared" ref="Q5:Z13" si="2">(SUM(K5:O5)/SUM(K$15:O$15))*Q$15</f>
        <v>5812.46838425028</v>
      </c>
      <c r="R5" s="12">
        <f t="shared" si="2"/>
        <v>5935.7070245658988</v>
      </c>
      <c r="S5" s="12">
        <f t="shared" si="2"/>
        <v>6096.0329780302336</v>
      </c>
      <c r="T5" s="12">
        <f t="shared" si="2"/>
        <v>6175.4136885365879</v>
      </c>
      <c r="U5" s="12">
        <f t="shared" si="2"/>
        <v>6294.5985447373505</v>
      </c>
      <c r="V5" s="12">
        <f t="shared" si="2"/>
        <v>6365.7761316830674</v>
      </c>
      <c r="W5" s="12">
        <f t="shared" si="2"/>
        <v>6560.0446925946426</v>
      </c>
      <c r="X5" s="12">
        <f t="shared" si="2"/>
        <v>6679.781353398279</v>
      </c>
      <c r="Y5" s="12">
        <f t="shared" si="2"/>
        <v>6814.8889999666508</v>
      </c>
      <c r="Z5" s="12">
        <f t="shared" si="2"/>
        <v>6941.2130602033249</v>
      </c>
      <c r="AD5" s="17">
        <f t="shared" si="1"/>
        <v>5009.8814000000002</v>
      </c>
    </row>
    <row r="6" spans="1:30" x14ac:dyDescent="0.25">
      <c r="A6" s="5" t="s">
        <v>8</v>
      </c>
      <c r="B6" s="17">
        <v>3966.6990000000001</v>
      </c>
      <c r="C6" s="17">
        <v>4091.078</v>
      </c>
      <c r="D6" s="17">
        <v>4312.9979999999996</v>
      </c>
      <c r="E6" s="17">
        <v>4943.1450000000004</v>
      </c>
      <c r="F6" s="17">
        <v>4885.13</v>
      </c>
      <c r="G6" s="17">
        <v>4738.9110000000001</v>
      </c>
      <c r="H6" s="17">
        <v>4572.9309999999996</v>
      </c>
      <c r="I6" s="17">
        <v>4146.6099999999997</v>
      </c>
      <c r="J6" s="17">
        <v>4618.4560000000001</v>
      </c>
      <c r="K6" s="17">
        <v>4653.643</v>
      </c>
      <c r="L6" s="17">
        <v>4004.8029999999999</v>
      </c>
      <c r="M6" s="17">
        <v>5085.8370000000004</v>
      </c>
      <c r="N6" s="17">
        <v>4989.82</v>
      </c>
      <c r="O6" s="17">
        <v>4903.2610000000004</v>
      </c>
      <c r="P6" s="17">
        <v>5637.8890000000001</v>
      </c>
      <c r="Q6" s="12">
        <f t="shared" si="2"/>
        <v>5269.6911928308591</v>
      </c>
      <c r="R6" s="12">
        <f t="shared" si="2"/>
        <v>5430.1063200494873</v>
      </c>
      <c r="S6" s="12">
        <f t="shared" si="2"/>
        <v>5632.6603433004502</v>
      </c>
      <c r="T6" s="12">
        <f t="shared" si="2"/>
        <v>5692.6654955130098</v>
      </c>
      <c r="U6" s="12">
        <f t="shared" si="2"/>
        <v>5815.1179305224478</v>
      </c>
      <c r="V6" s="12">
        <f t="shared" si="2"/>
        <v>5986.3190821558574</v>
      </c>
      <c r="W6" s="12">
        <f t="shared" si="2"/>
        <v>6024.6716995500956</v>
      </c>
      <c r="X6" s="12">
        <f t="shared" si="2"/>
        <v>6179.7510941630471</v>
      </c>
      <c r="Y6" s="12">
        <f t="shared" si="2"/>
        <v>6308.4159709900196</v>
      </c>
      <c r="Z6" s="12">
        <f t="shared" si="2"/>
        <v>6426.807264025003</v>
      </c>
      <c r="AD6" s="17">
        <f t="shared" si="1"/>
        <v>4670.5118000000002</v>
      </c>
    </row>
    <row r="7" spans="1:30" x14ac:dyDescent="0.25">
      <c r="A7" s="5" t="s">
        <v>9</v>
      </c>
      <c r="B7" s="17">
        <v>4087.6390000000001</v>
      </c>
      <c r="C7" s="17">
        <v>4433.8149999999996</v>
      </c>
      <c r="D7" s="17">
        <v>4669.0810000000001</v>
      </c>
      <c r="E7" s="17">
        <v>4928.3370000000004</v>
      </c>
      <c r="F7" s="17">
        <v>5131.9059999999999</v>
      </c>
      <c r="G7" s="17">
        <v>4636.5439999999999</v>
      </c>
      <c r="H7" s="17">
        <v>4499.72</v>
      </c>
      <c r="I7" s="17">
        <v>4614.6729999999998</v>
      </c>
      <c r="J7" s="17">
        <v>3772.5909999999999</v>
      </c>
      <c r="K7" s="17">
        <v>4796.7039999999997</v>
      </c>
      <c r="L7" s="17">
        <v>4360.3360000000002</v>
      </c>
      <c r="M7" s="17">
        <v>5022.1400000000003</v>
      </c>
      <c r="N7" s="17">
        <v>5345.1289999999999</v>
      </c>
      <c r="O7" s="17">
        <v>5644.8440000000001</v>
      </c>
      <c r="P7" s="17">
        <v>5646.6610000000001</v>
      </c>
      <c r="Q7" s="12">
        <f t="shared" si="2"/>
        <v>5611.1867590274624</v>
      </c>
      <c r="R7" s="12">
        <f t="shared" si="2"/>
        <v>5738.3141741365744</v>
      </c>
      <c r="S7" s="12">
        <f t="shared" si="2"/>
        <v>5933.6888823870686</v>
      </c>
      <c r="T7" s="12">
        <f t="shared" si="2"/>
        <v>6073.6196380286574</v>
      </c>
      <c r="U7" s="12">
        <f t="shared" si="2"/>
        <v>6183.2122084382081</v>
      </c>
      <c r="V7" s="12">
        <f t="shared" si="2"/>
        <v>6276.3963091813148</v>
      </c>
      <c r="W7" s="12">
        <f t="shared" si="2"/>
        <v>6392.5068287730364</v>
      </c>
      <c r="X7" s="12">
        <f t="shared" si="2"/>
        <v>6536.4592144746066</v>
      </c>
      <c r="Y7" s="12">
        <f t="shared" si="2"/>
        <v>6678.0275267779707</v>
      </c>
      <c r="Z7" s="12">
        <f t="shared" si="2"/>
        <v>6808.4679681607822</v>
      </c>
      <c r="AD7" s="17">
        <f t="shared" si="1"/>
        <v>4659.38</v>
      </c>
    </row>
    <row r="8" spans="1:30" x14ac:dyDescent="0.25">
      <c r="A8" s="5" t="s">
        <v>10</v>
      </c>
      <c r="B8" s="17">
        <v>4128.1509999999998</v>
      </c>
      <c r="C8" s="17">
        <v>4385.2139999999999</v>
      </c>
      <c r="D8" s="17">
        <v>4563.4989999999998</v>
      </c>
      <c r="E8" s="17">
        <v>4708.66</v>
      </c>
      <c r="F8" s="17">
        <v>4707.7120000000004</v>
      </c>
      <c r="G8" s="17">
        <v>4863.2979999999998</v>
      </c>
      <c r="H8" s="17">
        <v>4616.4830000000002</v>
      </c>
      <c r="I8" s="17">
        <v>4677.4409999999998</v>
      </c>
      <c r="J8" s="17">
        <v>5011.7389999999996</v>
      </c>
      <c r="K8" s="17">
        <v>4653.1970000000001</v>
      </c>
      <c r="L8" s="17">
        <v>4696.0309999999999</v>
      </c>
      <c r="M8" s="17">
        <v>5116.07</v>
      </c>
      <c r="N8" s="17">
        <v>5139.3379999999997</v>
      </c>
      <c r="O8" s="17">
        <v>5458.491</v>
      </c>
      <c r="P8" s="17">
        <v>5664.5230000000001</v>
      </c>
      <c r="Q8" s="12">
        <f t="shared" si="2"/>
        <v>5587.5494245763321</v>
      </c>
      <c r="R8" s="12">
        <f t="shared" si="2"/>
        <v>5750.5196462430085</v>
      </c>
      <c r="S8" s="12">
        <f t="shared" si="2"/>
        <v>5867.543641103588</v>
      </c>
      <c r="T8" s="12">
        <f t="shared" si="2"/>
        <v>5989.9110696753869</v>
      </c>
      <c r="U8" s="12">
        <f t="shared" si="2"/>
        <v>6129.9660998696945</v>
      </c>
      <c r="V8" s="12">
        <f t="shared" si="2"/>
        <v>6245.3592025387024</v>
      </c>
      <c r="W8" s="12">
        <f t="shared" si="2"/>
        <v>6346.0818163662998</v>
      </c>
      <c r="X8" s="12">
        <f t="shared" si="2"/>
        <v>6488.4328798072911</v>
      </c>
      <c r="Y8" s="12">
        <f t="shared" si="2"/>
        <v>6617.313463681985</v>
      </c>
      <c r="Z8" s="12">
        <f t="shared" si="2"/>
        <v>6751.6748647580171</v>
      </c>
      <c r="AD8" s="17">
        <f t="shared" si="1"/>
        <v>4923.2749999999996</v>
      </c>
    </row>
    <row r="9" spans="1:30" x14ac:dyDescent="0.25">
      <c r="A9" s="5" t="s">
        <v>11</v>
      </c>
      <c r="B9" s="17">
        <v>4329.3549999999996</v>
      </c>
      <c r="C9" s="17">
        <v>4519.2430000000004</v>
      </c>
      <c r="D9" s="17">
        <v>4779.8739999999998</v>
      </c>
      <c r="E9" s="17">
        <v>5119.4970000000003</v>
      </c>
      <c r="F9" s="17">
        <v>5186.5889999999999</v>
      </c>
      <c r="G9" s="17">
        <v>4963.3879999999999</v>
      </c>
      <c r="H9" s="17">
        <v>4697.0420000000004</v>
      </c>
      <c r="I9" s="17">
        <v>4821.451</v>
      </c>
      <c r="J9" s="17">
        <v>4982.1409999999996</v>
      </c>
      <c r="K9" s="17">
        <v>5187.0200000000004</v>
      </c>
      <c r="L9" s="17">
        <v>5231.1329999999998</v>
      </c>
      <c r="M9" s="17">
        <v>5617.4979999999996</v>
      </c>
      <c r="N9" s="17">
        <v>5531.4830000000002</v>
      </c>
      <c r="O9" s="17">
        <v>5717.4059999999999</v>
      </c>
      <c r="P9" s="10">
        <v>6069.6869999999999</v>
      </c>
      <c r="Q9" s="12">
        <f t="shared" si="2"/>
        <v>6082.7891019676008</v>
      </c>
      <c r="R9" s="12">
        <f t="shared" si="2"/>
        <v>6212.0604115182623</v>
      </c>
      <c r="S9" s="12">
        <f t="shared" si="2"/>
        <v>6314.2337053292604</v>
      </c>
      <c r="T9" s="12">
        <f t="shared" si="2"/>
        <v>6426.7782306326517</v>
      </c>
      <c r="U9" s="12">
        <f t="shared" si="2"/>
        <v>6577.3583619773826</v>
      </c>
      <c r="V9" s="12">
        <f t="shared" si="2"/>
        <v>6731.2892709044118</v>
      </c>
      <c r="W9" s="12">
        <f t="shared" si="2"/>
        <v>6841.1501466120844</v>
      </c>
      <c r="X9" s="12">
        <f t="shared" si="2"/>
        <v>6981.4865961184587</v>
      </c>
      <c r="Y9" s="12">
        <f t="shared" si="2"/>
        <v>7117.6225974223789</v>
      </c>
      <c r="Z9" s="12">
        <f t="shared" si="2"/>
        <v>7262.0171652291083</v>
      </c>
      <c r="AD9" s="17">
        <f t="shared" si="1"/>
        <v>5309.8550000000005</v>
      </c>
    </row>
    <row r="10" spans="1:30" x14ac:dyDescent="0.25">
      <c r="A10" s="5" t="s">
        <v>12</v>
      </c>
      <c r="B10" s="17">
        <v>4427.2510000000002</v>
      </c>
      <c r="C10" s="17">
        <v>4863.3059999999996</v>
      </c>
      <c r="D10" s="17">
        <v>5218.6289999999999</v>
      </c>
      <c r="E10" s="17">
        <v>5369.3559999999998</v>
      </c>
      <c r="F10" s="17">
        <v>5350.9740000000002</v>
      </c>
      <c r="G10" s="17">
        <v>5017.5969999999998</v>
      </c>
      <c r="H10" s="17">
        <v>4903.3710000000001</v>
      </c>
      <c r="I10" s="17">
        <v>5001.57</v>
      </c>
      <c r="J10" s="17">
        <v>5197.6390000000001</v>
      </c>
      <c r="K10" s="17">
        <v>5284.0680000000002</v>
      </c>
      <c r="L10" s="17">
        <v>5164.4110000000001</v>
      </c>
      <c r="M10" s="17">
        <v>5727.3119999999999</v>
      </c>
      <c r="N10" s="17">
        <v>5811.1220000000003</v>
      </c>
      <c r="O10" s="17">
        <v>6216.33</v>
      </c>
      <c r="P10" s="10">
        <v>6100.81</v>
      </c>
      <c r="Q10" s="12">
        <f t="shared" si="2"/>
        <v>6287.6038650658593</v>
      </c>
      <c r="R10" s="12">
        <f t="shared" si="2"/>
        <v>6400.1340268260828</v>
      </c>
      <c r="S10" s="12">
        <f t="shared" si="2"/>
        <v>6558.8741017365528</v>
      </c>
      <c r="T10" s="12">
        <f t="shared" si="2"/>
        <v>6687.7638714980476</v>
      </c>
      <c r="U10" s="12">
        <f t="shared" si="2"/>
        <v>6830.007386987224</v>
      </c>
      <c r="V10" s="12">
        <f t="shared" si="2"/>
        <v>6932.4642597383063</v>
      </c>
      <c r="W10" s="12">
        <f t="shared" si="2"/>
        <v>7090.2637132787486</v>
      </c>
      <c r="X10" s="12">
        <f t="shared" si="2"/>
        <v>7229.8125099490371</v>
      </c>
      <c r="Y10" s="12">
        <f t="shared" si="2"/>
        <v>7379.1576520705848</v>
      </c>
      <c r="Z10" s="12">
        <f t="shared" si="2"/>
        <v>7524.3497716044403</v>
      </c>
      <c r="AD10" s="17">
        <f t="shared" si="1"/>
        <v>5436.9103999999998</v>
      </c>
    </row>
    <row r="11" spans="1:30" x14ac:dyDescent="0.25">
      <c r="A11" s="5" t="s">
        <v>13</v>
      </c>
      <c r="B11" s="17">
        <v>4328.2650000000003</v>
      </c>
      <c r="C11" s="17">
        <v>4794.107</v>
      </c>
      <c r="D11" s="17">
        <v>4734.8710000000001</v>
      </c>
      <c r="E11" s="17">
        <v>5029.8100000000004</v>
      </c>
      <c r="F11" s="17">
        <v>5355.6629999999996</v>
      </c>
      <c r="G11" s="17">
        <v>4932.0659999999998</v>
      </c>
      <c r="H11" s="17">
        <v>4775.585</v>
      </c>
      <c r="I11" s="17">
        <v>4856.5690000000004</v>
      </c>
      <c r="J11" s="17">
        <v>4759.6869999999999</v>
      </c>
      <c r="K11" s="17">
        <v>4891.0950000000003</v>
      </c>
      <c r="L11" s="17">
        <v>5237.1639999999998</v>
      </c>
      <c r="M11" s="17">
        <v>5417.7219999999998</v>
      </c>
      <c r="N11" s="17">
        <v>5492.7079999999996</v>
      </c>
      <c r="O11" s="17">
        <v>5761.8339999999998</v>
      </c>
      <c r="P11" s="10">
        <v>5678.9380000000001</v>
      </c>
      <c r="Q11" s="12">
        <f t="shared" si="2"/>
        <v>5974.8828175747885</v>
      </c>
      <c r="R11" s="12">
        <f t="shared" si="2"/>
        <v>6084.4014902534145</v>
      </c>
      <c r="S11" s="12">
        <f t="shared" si="2"/>
        <v>6163.4916180785467</v>
      </c>
      <c r="T11" s="12">
        <f t="shared" si="2"/>
        <v>6292.0808136350006</v>
      </c>
      <c r="U11" s="12">
        <f t="shared" si="2"/>
        <v>6418.8266179220464</v>
      </c>
      <c r="V11" s="12">
        <f t="shared" si="2"/>
        <v>6533.9843439338456</v>
      </c>
      <c r="W11" s="12">
        <f t="shared" si="2"/>
        <v>6694.0973965481398</v>
      </c>
      <c r="X11" s="12">
        <f t="shared" si="2"/>
        <v>6815.0878401612263</v>
      </c>
      <c r="Y11" s="12">
        <f t="shared" si="2"/>
        <v>6947.0269866201215</v>
      </c>
      <c r="Z11" s="12">
        <f t="shared" si="2"/>
        <v>7088.0334268632569</v>
      </c>
      <c r="AD11" s="17">
        <f t="shared" si="1"/>
        <v>5159.6751999999997</v>
      </c>
    </row>
    <row r="12" spans="1:30" x14ac:dyDescent="0.25">
      <c r="A12" s="5" t="s">
        <v>14</v>
      </c>
      <c r="B12" s="17">
        <v>4413.433</v>
      </c>
      <c r="C12" s="17">
        <v>4652.8959999999997</v>
      </c>
      <c r="D12" s="17">
        <v>5259.7690000000002</v>
      </c>
      <c r="E12" s="17">
        <v>5483.3360000000002</v>
      </c>
      <c r="F12" s="17">
        <v>5732.723</v>
      </c>
      <c r="G12" s="17">
        <v>5181.4489999999996</v>
      </c>
      <c r="H12" s="17">
        <v>4631.4589999999998</v>
      </c>
      <c r="I12" s="17">
        <v>4915.7640000000001</v>
      </c>
      <c r="J12" s="17">
        <v>5058.8059999999996</v>
      </c>
      <c r="K12" s="17">
        <v>5415.759</v>
      </c>
      <c r="L12" s="17">
        <v>5537.4549999999999</v>
      </c>
      <c r="M12" s="17">
        <v>5623.0559999999996</v>
      </c>
      <c r="N12" s="17">
        <v>5616.152</v>
      </c>
      <c r="O12" s="17">
        <v>5755.6030000000001</v>
      </c>
      <c r="P12" s="10">
        <v>6105.7719999999999</v>
      </c>
      <c r="Q12" s="12">
        <f t="shared" si="2"/>
        <v>6230.7058096459768</v>
      </c>
      <c r="R12" s="12">
        <f t="shared" si="2"/>
        <v>6315.8985597455803</v>
      </c>
      <c r="S12" s="12">
        <f t="shared" si="2"/>
        <v>6382.2146226692075</v>
      </c>
      <c r="T12" s="12">
        <f t="shared" si="2"/>
        <v>6515.9106227203565</v>
      </c>
      <c r="U12" s="12">
        <f t="shared" si="2"/>
        <v>6662.6189578157737</v>
      </c>
      <c r="V12" s="12">
        <f t="shared" si="2"/>
        <v>6827.5778308933441</v>
      </c>
      <c r="W12" s="12">
        <f t="shared" si="2"/>
        <v>6948.0803823520564</v>
      </c>
      <c r="X12" s="12">
        <f t="shared" si="2"/>
        <v>7077.244420055973</v>
      </c>
      <c r="Y12" s="12">
        <f t="shared" si="2"/>
        <v>7214.049553927428</v>
      </c>
      <c r="Z12" s="12">
        <f t="shared" si="2"/>
        <v>7364.4550877090205</v>
      </c>
      <c r="AD12" s="17">
        <f t="shared" si="1"/>
        <v>5450.2455999999993</v>
      </c>
    </row>
    <row r="13" spans="1:30" x14ac:dyDescent="0.25">
      <c r="A13" s="5" t="s">
        <v>15</v>
      </c>
      <c r="B13" s="17">
        <v>4297.098</v>
      </c>
      <c r="C13" s="17">
        <v>4542.6689999999999</v>
      </c>
      <c r="D13" s="17">
        <v>5000.4049999999997</v>
      </c>
      <c r="E13" s="17">
        <v>5091.6019999999999</v>
      </c>
      <c r="F13" s="17">
        <v>4910.2039999999997</v>
      </c>
      <c r="G13" s="17">
        <v>4558.0200000000004</v>
      </c>
      <c r="H13" s="17">
        <v>4400.0330000000004</v>
      </c>
      <c r="I13" s="17">
        <v>4640.6689999999999</v>
      </c>
      <c r="J13" s="17">
        <v>4738.2389999999996</v>
      </c>
      <c r="K13" s="17">
        <v>4808.7719999999999</v>
      </c>
      <c r="L13" s="17">
        <v>4900.9340000000002</v>
      </c>
      <c r="M13" s="17">
        <v>5106.4679999999998</v>
      </c>
      <c r="N13" s="17">
        <v>5235.2299999999996</v>
      </c>
      <c r="O13" s="17">
        <v>5515.5529999999999</v>
      </c>
      <c r="P13" s="10">
        <v>5433.1840000000002</v>
      </c>
      <c r="Q13" s="12">
        <f t="shared" si="2"/>
        <v>5699.8728001305599</v>
      </c>
      <c r="R13" s="12">
        <f t="shared" si="2"/>
        <v>5776.3045689395703</v>
      </c>
      <c r="S13" s="12">
        <f t="shared" si="2"/>
        <v>5872.8390092319023</v>
      </c>
      <c r="T13" s="12">
        <f t="shared" si="2"/>
        <v>6002.8723663306801</v>
      </c>
      <c r="U13" s="12">
        <f t="shared" si="2"/>
        <v>6123.2854905196345</v>
      </c>
      <c r="V13" s="12">
        <f t="shared" si="2"/>
        <v>6229.1347038309195</v>
      </c>
      <c r="W13" s="12">
        <f t="shared" si="2"/>
        <v>6378.4737443085169</v>
      </c>
      <c r="X13" s="12">
        <f t="shared" si="2"/>
        <v>6493.0068469691741</v>
      </c>
      <c r="Y13" s="12">
        <f t="shared" si="2"/>
        <v>6623.3171970990825</v>
      </c>
      <c r="Z13" s="12">
        <f t="shared" si="2"/>
        <v>6757.5224858791626</v>
      </c>
      <c r="AD13" s="17">
        <f t="shared" si="1"/>
        <v>4957.9286000000002</v>
      </c>
    </row>
    <row r="14" spans="1:30" x14ac:dyDescent="0.25">
      <c r="A14" s="5" t="s">
        <v>16</v>
      </c>
      <c r="B14" s="17">
        <v>4091.7869999999998</v>
      </c>
      <c r="C14" s="17">
        <v>4287.1620000000003</v>
      </c>
      <c r="D14" s="17">
        <v>4503.1329999999998</v>
      </c>
      <c r="E14" s="17">
        <v>4469.1779999999999</v>
      </c>
      <c r="F14" s="17">
        <v>4709.5870000000004</v>
      </c>
      <c r="G14" s="17">
        <v>4501.0630000000001</v>
      </c>
      <c r="H14" s="17">
        <v>4203.03</v>
      </c>
      <c r="I14" s="17">
        <v>4251.2129999999997</v>
      </c>
      <c r="J14" s="17">
        <v>4408.05</v>
      </c>
      <c r="K14" s="17">
        <v>4286.5959999999995</v>
      </c>
      <c r="L14" s="17">
        <v>4681.9080000000004</v>
      </c>
      <c r="M14" s="17">
        <v>4934.4930000000004</v>
      </c>
      <c r="N14" s="17">
        <v>5037.7780000000002</v>
      </c>
      <c r="O14" s="17">
        <v>5341.1909999999998</v>
      </c>
      <c r="P14" s="10">
        <v>4895.9279999999999</v>
      </c>
      <c r="Q14" s="12">
        <f t="shared" ref="Q14:Z14" si="3">Q15-SUM(Q3:Q13)</f>
        <v>5413.3981426532409</v>
      </c>
      <c r="R14" s="12">
        <f t="shared" si="3"/>
        <v>5489.5839298906503</v>
      </c>
      <c r="S14" s="12">
        <f t="shared" si="3"/>
        <v>5575.2794982475534</v>
      </c>
      <c r="T14" s="12">
        <f t="shared" si="3"/>
        <v>5681.1875164844969</v>
      </c>
      <c r="U14" s="12">
        <f t="shared" si="3"/>
        <v>5780.8794937152561</v>
      </c>
      <c r="V14" s="12">
        <f t="shared" si="3"/>
        <v>5854.8258618177933</v>
      </c>
      <c r="W14" s="12">
        <f t="shared" si="3"/>
        <v>6046.3307473399909</v>
      </c>
      <c r="X14" s="12">
        <f t="shared" si="3"/>
        <v>6141.8563952713012</v>
      </c>
      <c r="Y14" s="12">
        <f t="shared" si="3"/>
        <v>6262.3372761983046</v>
      </c>
      <c r="Z14" s="12">
        <f t="shared" si="3"/>
        <v>6384.9454016996315</v>
      </c>
      <c r="AD14" s="17">
        <f t="shared" si="1"/>
        <v>4669.7649999999994</v>
      </c>
    </row>
    <row r="15" spans="1:30" x14ac:dyDescent="0.25">
      <c r="B15" s="4">
        <f t="shared" ref="B15:P15" si="4">SUM(B3:B14)</f>
        <v>49238.885999999991</v>
      </c>
      <c r="C15" s="4">
        <f t="shared" si="4"/>
        <v>52263.737999999998</v>
      </c>
      <c r="D15" s="4">
        <f t="shared" si="4"/>
        <v>55900.197999999997</v>
      </c>
      <c r="E15" s="4">
        <f t="shared" si="4"/>
        <v>58572.350999999995</v>
      </c>
      <c r="F15" s="4">
        <f t="shared" si="4"/>
        <v>60031.46</v>
      </c>
      <c r="G15" s="4">
        <f t="shared" si="4"/>
        <v>57210.720000000008</v>
      </c>
      <c r="H15" s="4">
        <f t="shared" si="4"/>
        <v>54278.412000000011</v>
      </c>
      <c r="I15" s="4">
        <f t="shared" si="4"/>
        <v>54772.130000000005</v>
      </c>
      <c r="J15" s="4">
        <f t="shared" si="4"/>
        <v>55629.307000000001</v>
      </c>
      <c r="K15" s="4">
        <f t="shared" si="4"/>
        <v>57298.291999999994</v>
      </c>
      <c r="L15" s="4">
        <f t="shared" si="4"/>
        <v>57471.902999999998</v>
      </c>
      <c r="M15" s="4">
        <f t="shared" si="4"/>
        <v>62111.411999999997</v>
      </c>
      <c r="N15" s="4">
        <f t="shared" si="4"/>
        <v>63226.791000000005</v>
      </c>
      <c r="O15" s="4">
        <f t="shared" si="4"/>
        <v>65510.487000000008</v>
      </c>
      <c r="P15" s="4">
        <f t="shared" si="4"/>
        <v>66798.411999999997</v>
      </c>
      <c r="Q15" s="12">
        <f t="shared" ref="Q15:Z15" si="5">P15*1.02</f>
        <v>68134.380239999999</v>
      </c>
      <c r="R15" s="12">
        <f t="shared" si="5"/>
        <v>69497.067844799996</v>
      </c>
      <c r="S15" s="12">
        <f t="shared" si="5"/>
        <v>70887.009201695997</v>
      </c>
      <c r="T15" s="12">
        <f t="shared" si="5"/>
        <v>72304.749385729912</v>
      </c>
      <c r="U15" s="12">
        <f t="shared" si="5"/>
        <v>73750.844373444517</v>
      </c>
      <c r="V15" s="12">
        <f t="shared" si="5"/>
        <v>75225.861260913414</v>
      </c>
      <c r="W15" s="12">
        <f t="shared" si="5"/>
        <v>76730.378486131682</v>
      </c>
      <c r="X15" s="12">
        <f t="shared" si="5"/>
        <v>78264.986055854315</v>
      </c>
      <c r="Y15" s="12">
        <f t="shared" si="5"/>
        <v>79830.285776971403</v>
      </c>
      <c r="Z15" s="12">
        <f t="shared" si="5"/>
        <v>81426.891492510826</v>
      </c>
    </row>
    <row r="16" spans="1:30" x14ac:dyDescent="0.25">
      <c r="F16" s="15">
        <f t="shared" ref="F16:N16" si="6">(F15/E15)-1</f>
        <v>2.4911224751760441E-2</v>
      </c>
      <c r="G16" s="15">
        <f t="shared" si="6"/>
        <v>-4.698769611800202E-2</v>
      </c>
      <c r="H16" s="15">
        <f t="shared" si="6"/>
        <v>-5.1254520131891357E-2</v>
      </c>
      <c r="I16" s="15">
        <f t="shared" si="6"/>
        <v>9.0960288226560326E-3</v>
      </c>
      <c r="J16" s="15">
        <f t="shared" si="6"/>
        <v>1.56498752193861E-2</v>
      </c>
      <c r="K16" s="15">
        <f t="shared" si="6"/>
        <v>3.0001901695449806E-2</v>
      </c>
      <c r="L16" s="15">
        <f t="shared" si="6"/>
        <v>3.0299507007993665E-3</v>
      </c>
      <c r="M16" s="15">
        <f t="shared" si="6"/>
        <v>8.0726559550325039E-2</v>
      </c>
      <c r="N16" s="15">
        <f t="shared" si="6"/>
        <v>1.7957714437405015E-2</v>
      </c>
      <c r="O16" s="15">
        <f>(O15/N15)-1</f>
        <v>3.6119119187940418E-2</v>
      </c>
      <c r="P16" s="15">
        <f>(P15/O15)-1</f>
        <v>1.9659829425477948E-2</v>
      </c>
    </row>
    <row r="18" spans="1:26" x14ac:dyDescent="0.25">
      <c r="N18" t="s">
        <v>34</v>
      </c>
      <c r="O18" s="21">
        <f>SUM(O3:O4)*0.1+SUM(O5:O14)*0.12</f>
        <v>7674.3062399999999</v>
      </c>
      <c r="P18" s="21">
        <f>SUM(P3:P5)*0.12+SUM(P6:P14)*0.14</f>
        <v>9040.477280000001</v>
      </c>
      <c r="Q18" s="21">
        <f>SUM(Q3:Q5)*0.14+SUM(Q6:Q14)*0.15</f>
        <v>10060.390032734727</v>
      </c>
      <c r="R18" s="21">
        <f>SUM(R3:R5)*0.15+SUM(R6:R14)*0.16</f>
        <v>10956.533407996025</v>
      </c>
      <c r="S18" s="21">
        <f>SUM(S3:S5)*0.16+SUM(S6:S14)*0.17</f>
        <v>11884.929726492202</v>
      </c>
      <c r="T18" s="21">
        <f>SUM(T3:T5)*0.17+SUM(T6:T14)*0.18</f>
        <v>12845.435291819267</v>
      </c>
      <c r="U18" s="21">
        <f>SUM(U3:U5)*0.18+SUM(U6:U14)*0.19</f>
        <v>13840.36471269769</v>
      </c>
      <c r="V18" s="21">
        <f>SUM(V3:V5)*0.19+SUM(V6:V14)*0.2</f>
        <v>14869.087148223492</v>
      </c>
      <c r="W18" s="21">
        <f t="shared" ref="W18" si="7">SUM(W3:W5)*0.16+SUM(W6:W14)*0.17</f>
        <v>12864.47712253236</v>
      </c>
      <c r="X18" s="21">
        <f t="shared" ref="X18:Z18" si="8">SUM(X3:X5)*0.12+SUM(X6:X14)*0.14</f>
        <v>10590.66108264192</v>
      </c>
      <c r="Y18" s="21">
        <f t="shared" si="8"/>
        <v>10802.579657732327</v>
      </c>
      <c r="Z18" s="21">
        <f t="shared" si="8"/>
        <v>11018.592447819867</v>
      </c>
    </row>
    <row r="20" spans="1:26" x14ac:dyDescent="0.25">
      <c r="A20" s="22" t="s">
        <v>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8A39-C9C3-4B13-A990-6F7D67B51CB9}">
  <dimension ref="A1:AM378"/>
  <sheetViews>
    <sheetView tabSelected="1" zoomScale="55" zoomScaleNormal="55" workbookViewId="0">
      <pane ySplit="1" topLeftCell="A92" activePane="bottomLeft" state="frozen"/>
      <selection activeCell="C7" sqref="C7"/>
      <selection pane="bottomLeft" activeCell="S110" sqref="S110:S121"/>
    </sheetView>
  </sheetViews>
  <sheetFormatPr defaultRowHeight="15" x14ac:dyDescent="0.25"/>
  <cols>
    <col min="3" max="14" width="16.140625" customWidth="1"/>
    <col min="15" max="15" width="12.28515625" bestFit="1" customWidth="1"/>
    <col min="16" max="16" width="14.140625" bestFit="1" customWidth="1"/>
    <col min="17" max="17" width="8.28515625" customWidth="1"/>
    <col min="18" max="18" width="17.28515625" bestFit="1" customWidth="1"/>
    <col min="19" max="19" width="27.85546875" bestFit="1" customWidth="1"/>
    <col min="22" max="22" width="11.42578125" bestFit="1" customWidth="1"/>
    <col min="23" max="23" width="11.85546875" bestFit="1" customWidth="1"/>
    <col min="24" max="24" width="21.7109375" bestFit="1" customWidth="1"/>
    <col min="25" max="25" width="8.28515625" bestFit="1" customWidth="1"/>
    <col min="26" max="26" width="9.42578125" bestFit="1" customWidth="1"/>
    <col min="27" max="27" width="18.7109375" bestFit="1" customWidth="1"/>
    <col min="28" max="28" width="12.5703125" bestFit="1" customWidth="1"/>
    <col min="29" max="29" width="14.85546875" bestFit="1" customWidth="1"/>
    <col min="30" max="30" width="9.42578125" bestFit="1" customWidth="1"/>
    <col min="31" max="31" width="18.28515625" bestFit="1" customWidth="1"/>
    <col min="32" max="32" width="9.42578125" bestFit="1" customWidth="1"/>
  </cols>
  <sheetData>
    <row r="1" spans="1:39" x14ac:dyDescent="0.25">
      <c r="A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U1" t="s">
        <v>54</v>
      </c>
    </row>
    <row r="2" spans="1:39" x14ac:dyDescent="0.25">
      <c r="A2">
        <v>2017</v>
      </c>
      <c r="B2" t="s">
        <v>19</v>
      </c>
      <c r="C2" s="17"/>
      <c r="D2" s="17"/>
      <c r="E2" s="17">
        <v>35.751663680000007</v>
      </c>
      <c r="F2" s="17">
        <v>1.13735535</v>
      </c>
      <c r="G2" s="17">
        <v>7.8450615600000004</v>
      </c>
      <c r="H2" s="17">
        <v>1.0213280069999999</v>
      </c>
      <c r="I2" s="17">
        <v>2.04471012</v>
      </c>
      <c r="J2" s="17">
        <v>1.8142133100000002</v>
      </c>
      <c r="K2" s="17">
        <v>0</v>
      </c>
      <c r="L2" s="17">
        <v>0</v>
      </c>
      <c r="M2" s="17">
        <v>5.6986655499999994</v>
      </c>
      <c r="N2" s="17">
        <v>0</v>
      </c>
      <c r="O2" s="17">
        <v>139.526515555</v>
      </c>
      <c r="P2" s="17">
        <v>24.22263207</v>
      </c>
      <c r="Q2" s="17">
        <f>C2+D2+H2+I2+K2+L2+M2+N2+O2</f>
        <v>148.291219232</v>
      </c>
      <c r="R2" s="17">
        <f t="shared" ref="R2:R65" si="0">S2-Q2</f>
        <v>70.770925970000008</v>
      </c>
      <c r="S2" s="17">
        <f t="shared" ref="S2:S33" si="1">SUM(C2:P2)</f>
        <v>219.06214520200001</v>
      </c>
      <c r="V2" s="23">
        <f>Feedstocks!S2/Production!N5*100</f>
        <v>8.5785381700072397E-2</v>
      </c>
      <c r="AJ2">
        <f>P2*(P2/$S2)/Production!$N5</f>
        <v>1.0488690742510719E-5</v>
      </c>
      <c r="AK2">
        <f>Q2*(Q2/$S2)/Production!$N5</f>
        <v>3.9310583233685898E-4</v>
      </c>
      <c r="AL2">
        <f>R2*(R2/$S2)/Production!$N5</f>
        <v>8.9534079177495439E-5</v>
      </c>
      <c r="AM2">
        <f>S2*(S2/$S2)/Production!$N5</f>
        <v>8.5785381700072402E-4</v>
      </c>
    </row>
    <row r="3" spans="1:39" x14ac:dyDescent="0.25">
      <c r="A3">
        <v>2017</v>
      </c>
      <c r="B3" t="s">
        <v>20</v>
      </c>
      <c r="C3" s="17"/>
      <c r="D3" s="17"/>
      <c r="E3" s="17">
        <v>35.796087719999996</v>
      </c>
      <c r="F3" s="17">
        <v>2.1295485899999997</v>
      </c>
      <c r="G3" s="17">
        <v>7.2070782000000007</v>
      </c>
      <c r="H3" s="17">
        <v>4.6994416000000011E-2</v>
      </c>
      <c r="I3" s="17">
        <v>1.1531335200000001</v>
      </c>
      <c r="J3" s="17">
        <v>1.9126844099999998</v>
      </c>
      <c r="K3" s="17">
        <v>0</v>
      </c>
      <c r="L3" s="17">
        <v>0</v>
      </c>
      <c r="M3" s="17">
        <v>3.93649848</v>
      </c>
      <c r="N3" s="17">
        <v>0</v>
      </c>
      <c r="O3" s="17">
        <v>145.68293443899998</v>
      </c>
      <c r="P3" s="17">
        <v>25.229077510000003</v>
      </c>
      <c r="Q3" s="17">
        <f t="shared" ref="Q3:Q66" si="2">C3+D3+H3+I3+K3+L3+M3+N3+O3</f>
        <v>150.81956085499999</v>
      </c>
      <c r="R3" s="17">
        <f t="shared" si="0"/>
        <v>72.274476429999964</v>
      </c>
      <c r="S3" s="17">
        <f t="shared" si="1"/>
        <v>223.09403728499996</v>
      </c>
      <c r="V3" s="23">
        <f>Feedstocks!S3/Production!N6*100</f>
        <v>8.586745668775525E-2</v>
      </c>
    </row>
    <row r="4" spans="1:39" x14ac:dyDescent="0.25">
      <c r="A4">
        <v>2017</v>
      </c>
      <c r="B4" t="s">
        <v>21</v>
      </c>
      <c r="C4" s="17"/>
      <c r="D4" s="17"/>
      <c r="E4" s="17">
        <v>28.360328479999996</v>
      </c>
      <c r="F4" s="17">
        <v>3.7347960299999996</v>
      </c>
      <c r="G4" s="17">
        <v>4.6509800400000003</v>
      </c>
      <c r="H4" s="17">
        <v>0.72368172799999997</v>
      </c>
      <c r="I4" s="17">
        <v>0.58893340000000005</v>
      </c>
      <c r="J4" s="17">
        <v>0.89576669000000009</v>
      </c>
      <c r="K4" s="17">
        <v>0</v>
      </c>
      <c r="L4" s="17">
        <v>0</v>
      </c>
      <c r="M4" s="17">
        <v>1.0005086299999999</v>
      </c>
      <c r="N4" s="17">
        <v>0</v>
      </c>
      <c r="O4" s="17">
        <v>210.72135109200002</v>
      </c>
      <c r="P4" s="17">
        <v>34.86657993</v>
      </c>
      <c r="Q4" s="17">
        <f t="shared" si="2"/>
        <v>213.03447485000001</v>
      </c>
      <c r="R4" s="17">
        <f t="shared" si="0"/>
        <v>72.508451170000029</v>
      </c>
      <c r="S4" s="17">
        <f t="shared" si="1"/>
        <v>285.54292602000004</v>
      </c>
      <c r="V4" s="23">
        <f>Feedstocks!S4/Production!N7*100</f>
        <v>8.5219125966335893E-2</v>
      </c>
    </row>
    <row r="5" spans="1:39" x14ac:dyDescent="0.25">
      <c r="A5">
        <v>2017</v>
      </c>
      <c r="B5" t="s">
        <v>22</v>
      </c>
      <c r="C5" s="17"/>
      <c r="D5" s="17"/>
      <c r="E5" s="17">
        <v>34.758844760000002</v>
      </c>
      <c r="F5" s="17">
        <v>2.1126775499999999</v>
      </c>
      <c r="G5" s="17">
        <v>6.2724883200000008</v>
      </c>
      <c r="H5" s="17">
        <v>0</v>
      </c>
      <c r="I5" s="17">
        <v>0.71148752000000004</v>
      </c>
      <c r="J5" s="17">
        <v>3.59339253</v>
      </c>
      <c r="K5" s="17">
        <v>0</v>
      </c>
      <c r="L5" s="17">
        <v>0</v>
      </c>
      <c r="M5" s="17">
        <v>0.23145963</v>
      </c>
      <c r="N5" s="17">
        <v>0</v>
      </c>
      <c r="O5" s="17">
        <v>216.95733439799997</v>
      </c>
      <c r="P5" s="17">
        <v>34.250445319999997</v>
      </c>
      <c r="Q5" s="17">
        <f t="shared" si="2"/>
        <v>217.90028154799998</v>
      </c>
      <c r="R5" s="17">
        <f t="shared" si="0"/>
        <v>80.987848479999997</v>
      </c>
      <c r="S5" s="17">
        <f t="shared" si="1"/>
        <v>298.88813002799998</v>
      </c>
      <c r="V5" s="23">
        <f>Feedstocks!S5/Production!N8*100</f>
        <v>8.5985459361354558E-2</v>
      </c>
    </row>
    <row r="6" spans="1:39" x14ac:dyDescent="0.25">
      <c r="A6">
        <v>2017</v>
      </c>
      <c r="B6" t="s">
        <v>9</v>
      </c>
      <c r="C6" s="17"/>
      <c r="D6" s="17"/>
      <c r="E6" s="17">
        <v>40.336297840000007</v>
      </c>
      <c r="F6" s="17">
        <v>3.5047758600000001</v>
      </c>
      <c r="G6" s="17">
        <v>5.3843386799999999</v>
      </c>
      <c r="H6" s="17">
        <v>2.4181290000000001E-2</v>
      </c>
      <c r="I6" s="17">
        <v>0.52360236000000004</v>
      </c>
      <c r="J6" s="17">
        <v>6.0933681900000005</v>
      </c>
      <c r="K6" s="17">
        <v>0</v>
      </c>
      <c r="L6" s="17">
        <v>0</v>
      </c>
      <c r="M6" s="17">
        <v>0.32326758</v>
      </c>
      <c r="N6" s="17">
        <v>0</v>
      </c>
      <c r="O6" s="17">
        <v>220.17981453300001</v>
      </c>
      <c r="P6" s="17">
        <v>38.624583269999995</v>
      </c>
      <c r="Q6" s="17">
        <f t="shared" si="2"/>
        <v>221.05086576300002</v>
      </c>
      <c r="R6" s="17">
        <f t="shared" si="0"/>
        <v>93.943363839999989</v>
      </c>
      <c r="S6" s="17">
        <f t="shared" si="1"/>
        <v>314.99422960300001</v>
      </c>
      <c r="V6" s="23">
        <f>Feedstocks!S6/Production!N9*100</f>
        <v>8.5291311475685055E-2</v>
      </c>
    </row>
    <row r="7" spans="1:39" x14ac:dyDescent="0.25">
      <c r="A7">
        <v>2017</v>
      </c>
      <c r="B7" t="s">
        <v>23</v>
      </c>
      <c r="C7" s="17"/>
      <c r="D7" s="17"/>
      <c r="E7" s="17">
        <v>44.515722600000004</v>
      </c>
      <c r="F7" s="17">
        <v>3.4465424100000002</v>
      </c>
      <c r="G7" s="17">
        <v>4.6150305600000001</v>
      </c>
      <c r="H7" s="17">
        <v>0.42023358999999999</v>
      </c>
      <c r="I7" s="17">
        <v>0.48044332000000001</v>
      </c>
      <c r="J7" s="17">
        <v>8.0065248900000014</v>
      </c>
      <c r="K7" s="17">
        <v>0</v>
      </c>
      <c r="L7" s="17">
        <v>0</v>
      </c>
      <c r="M7" s="17">
        <v>2.2059442100000002</v>
      </c>
      <c r="N7" s="17">
        <v>0</v>
      </c>
      <c r="O7" s="17">
        <v>208.29775952300002</v>
      </c>
      <c r="P7" s="17">
        <v>38.374779170000004</v>
      </c>
      <c r="Q7" s="17">
        <f t="shared" si="2"/>
        <v>211.40438064300002</v>
      </c>
      <c r="R7" s="17">
        <f t="shared" si="0"/>
        <v>98.958599630000037</v>
      </c>
      <c r="S7" s="17">
        <f t="shared" si="1"/>
        <v>310.36298027300006</v>
      </c>
      <c r="V7" s="23">
        <f>Feedstocks!S7/Production!N10*100</f>
        <v>8.6395290409846864E-2</v>
      </c>
    </row>
    <row r="8" spans="1:39" x14ac:dyDescent="0.25">
      <c r="A8">
        <v>2017</v>
      </c>
      <c r="B8" t="s">
        <v>24</v>
      </c>
      <c r="C8" s="17"/>
      <c r="D8" s="17"/>
      <c r="E8" s="17">
        <v>44.566312480000001</v>
      </c>
      <c r="F8" s="17">
        <v>4.8478053000000001</v>
      </c>
      <c r="G8" s="17">
        <v>4.8088177200000004</v>
      </c>
      <c r="H8" s="17">
        <v>0.6788789420000001</v>
      </c>
      <c r="I8" s="17">
        <v>0</v>
      </c>
      <c r="J8" s="17">
        <v>4.7247982600000009</v>
      </c>
      <c r="K8" s="17">
        <v>0</v>
      </c>
      <c r="L8" s="17">
        <v>0</v>
      </c>
      <c r="M8" s="17">
        <v>3.3431862100000003</v>
      </c>
      <c r="N8" s="17">
        <v>0</v>
      </c>
      <c r="O8" s="17">
        <v>234.725802227</v>
      </c>
      <c r="P8" s="17">
        <v>26.532266670000006</v>
      </c>
      <c r="Q8" s="17">
        <f t="shared" si="2"/>
        <v>238.74786737900001</v>
      </c>
      <c r="R8" s="17">
        <f t="shared" si="0"/>
        <v>85.480000430000018</v>
      </c>
      <c r="S8" s="17">
        <f t="shared" si="1"/>
        <v>324.22786780900003</v>
      </c>
      <c r="V8" s="23">
        <f>Feedstocks!S8/Production!N11*100</f>
        <v>8.3728657785926905E-2</v>
      </c>
    </row>
    <row r="9" spans="1:39" x14ac:dyDescent="0.25">
      <c r="A9">
        <v>2017</v>
      </c>
      <c r="B9" t="s">
        <v>25</v>
      </c>
      <c r="C9" s="17"/>
      <c r="D9" s="17"/>
      <c r="E9" s="17">
        <v>54.465451759999993</v>
      </c>
      <c r="F9" s="17">
        <v>4.5637772700000001</v>
      </c>
      <c r="G9" s="17">
        <v>5.1589288800000004</v>
      </c>
      <c r="H9" s="17">
        <v>0.29706765200000002</v>
      </c>
      <c r="I9" s="17">
        <v>0</v>
      </c>
      <c r="J9" s="17">
        <v>2.8349357399999997</v>
      </c>
      <c r="K9" s="17">
        <v>0</v>
      </c>
      <c r="L9" s="17">
        <v>0</v>
      </c>
      <c r="M9" s="17">
        <v>0.55017841999999995</v>
      </c>
      <c r="N9" s="17">
        <v>0</v>
      </c>
      <c r="O9" s="17">
        <v>247.60325248400005</v>
      </c>
      <c r="P9" s="17">
        <v>30.733864980000003</v>
      </c>
      <c r="Q9" s="17">
        <f t="shared" si="2"/>
        <v>248.45049855600004</v>
      </c>
      <c r="R9" s="17">
        <f t="shared" si="0"/>
        <v>97.756958630000014</v>
      </c>
      <c r="S9" s="17">
        <f t="shared" si="1"/>
        <v>346.20745718600006</v>
      </c>
      <c r="V9" s="23">
        <f>Feedstocks!S9/Production!N12*100</f>
        <v>8.6552547628863524E-2</v>
      </c>
    </row>
    <row r="10" spans="1:39" x14ac:dyDescent="0.25">
      <c r="A10">
        <v>2017</v>
      </c>
      <c r="B10" t="s">
        <v>26</v>
      </c>
      <c r="C10" s="17"/>
      <c r="D10" s="17"/>
      <c r="E10" s="17">
        <v>51.517619960000005</v>
      </c>
      <c r="F10" s="17">
        <v>3.6775952700000003</v>
      </c>
      <c r="G10" s="17">
        <v>6.9066437999999994</v>
      </c>
      <c r="H10" s="17">
        <v>0.89656740600000007</v>
      </c>
      <c r="I10" s="17">
        <v>0</v>
      </c>
      <c r="J10" s="17">
        <v>4.9263304999999997</v>
      </c>
      <c r="K10" s="17">
        <v>0</v>
      </c>
      <c r="L10" s="17">
        <v>0</v>
      </c>
      <c r="M10" s="17">
        <v>3.6037435000000002</v>
      </c>
      <c r="N10" s="17">
        <v>0</v>
      </c>
      <c r="O10" s="17">
        <v>236.80492366300001</v>
      </c>
      <c r="P10" s="17">
        <v>34.907721029999998</v>
      </c>
      <c r="Q10" s="17">
        <f t="shared" si="2"/>
        <v>241.30523456900002</v>
      </c>
      <c r="R10" s="17">
        <f t="shared" si="0"/>
        <v>101.93591056</v>
      </c>
      <c r="S10" s="17">
        <f t="shared" si="1"/>
        <v>343.24114512900002</v>
      </c>
      <c r="V10" s="23">
        <f>Feedstocks!S10/Production!N13*100</f>
        <v>8.6088475595385572E-2</v>
      </c>
    </row>
    <row r="11" spans="1:39" x14ac:dyDescent="0.25">
      <c r="A11">
        <v>2017</v>
      </c>
      <c r="B11" t="s">
        <v>27</v>
      </c>
      <c r="C11" s="17"/>
      <c r="D11" s="17"/>
      <c r="E11" s="17">
        <v>61.507740800000008</v>
      </c>
      <c r="F11" s="17">
        <v>3.8816572500000004</v>
      </c>
      <c r="G11" s="17">
        <v>6.8281357199999997</v>
      </c>
      <c r="H11" s="17">
        <v>2.2753126690000003</v>
      </c>
      <c r="I11" s="17">
        <v>0</v>
      </c>
      <c r="J11" s="17">
        <v>5.7586838399999998</v>
      </c>
      <c r="K11" s="17">
        <v>0</v>
      </c>
      <c r="L11" s="17">
        <v>0</v>
      </c>
      <c r="M11" s="17">
        <v>0.13224687999999998</v>
      </c>
      <c r="N11" s="17">
        <v>0</v>
      </c>
      <c r="O11" s="17">
        <v>241.66651837300003</v>
      </c>
      <c r="P11" s="17">
        <v>38.03004387</v>
      </c>
      <c r="Q11" s="17">
        <f t="shared" si="2"/>
        <v>244.07407792200004</v>
      </c>
      <c r="R11" s="17">
        <f t="shared" si="0"/>
        <v>116.00626148000001</v>
      </c>
      <c r="S11" s="17">
        <f t="shared" si="1"/>
        <v>360.08033940200005</v>
      </c>
      <c r="V11" s="23">
        <f>Feedstocks!S11/Production!N14*100</f>
        <v>8.7965218662033218E-2</v>
      </c>
    </row>
    <row r="12" spans="1:39" x14ac:dyDescent="0.25">
      <c r="A12">
        <v>2017</v>
      </c>
      <c r="B12" t="s">
        <v>28</v>
      </c>
      <c r="C12" s="17"/>
      <c r="D12" s="17">
        <v>4.8759900000000002E-2</v>
      </c>
      <c r="E12" s="17">
        <v>49.16113472</v>
      </c>
      <c r="F12" s="17">
        <v>3.7487282100000008</v>
      </c>
      <c r="G12" s="17">
        <v>8.7742065599999997</v>
      </c>
      <c r="H12" s="17">
        <v>3.051872285</v>
      </c>
      <c r="I12" s="17">
        <v>0.50722635999999999</v>
      </c>
      <c r="J12" s="17">
        <v>6.0175515399999995</v>
      </c>
      <c r="K12" s="17">
        <v>0</v>
      </c>
      <c r="L12" s="17">
        <v>0</v>
      </c>
      <c r="M12" s="17">
        <v>6.0033330199999995</v>
      </c>
      <c r="N12" s="17">
        <v>0</v>
      </c>
      <c r="O12" s="17">
        <v>220.54683369599999</v>
      </c>
      <c r="P12" s="17">
        <v>35.344632960000006</v>
      </c>
      <c r="Q12" s="17">
        <f t="shared" si="2"/>
        <v>230.15802526099998</v>
      </c>
      <c r="R12" s="17">
        <f t="shared" si="0"/>
        <v>103.04625399000003</v>
      </c>
      <c r="S12" s="17">
        <f t="shared" si="1"/>
        <v>333.204279251</v>
      </c>
      <c r="V12" s="23">
        <f>Feedstocks!S12/Production!N15*100</f>
        <v>8.6114770698035054E-2</v>
      </c>
    </row>
    <row r="13" spans="1:39" x14ac:dyDescent="0.25">
      <c r="A13">
        <v>2017</v>
      </c>
      <c r="B13" t="s">
        <v>29</v>
      </c>
      <c r="C13" s="17"/>
      <c r="D13" s="17">
        <v>0.10695</v>
      </c>
      <c r="E13" s="17">
        <v>50.152181720000002</v>
      </c>
      <c r="F13" s="17">
        <v>3.0675460500000002</v>
      </c>
      <c r="G13" s="17">
        <v>9.1738172399999982</v>
      </c>
      <c r="H13" s="17">
        <v>2.223969839</v>
      </c>
      <c r="I13" s="17">
        <v>0.63110988000000012</v>
      </c>
      <c r="J13" s="17">
        <v>6.6683862700000001</v>
      </c>
      <c r="K13" s="17">
        <v>0</v>
      </c>
      <c r="L13" s="17">
        <v>0</v>
      </c>
      <c r="M13" s="17">
        <v>3.6206045499999999</v>
      </c>
      <c r="N13" s="17">
        <v>0</v>
      </c>
      <c r="O13" s="17">
        <v>218.90830141599997</v>
      </c>
      <c r="P13" s="17">
        <v>29.001647220000002</v>
      </c>
      <c r="Q13" s="17">
        <f t="shared" si="2"/>
        <v>225.49093568499998</v>
      </c>
      <c r="R13" s="17">
        <f t="shared" si="0"/>
        <v>98.063578499999977</v>
      </c>
      <c r="S13" s="17">
        <f t="shared" si="1"/>
        <v>323.55451418499996</v>
      </c>
      <c r="V13" s="23">
        <f>Feedstocks!S13/Production!N16*100</f>
        <v>8.4871688724997382E-2</v>
      </c>
    </row>
    <row r="14" spans="1:39" x14ac:dyDescent="0.25">
      <c r="A14">
        <v>2018</v>
      </c>
      <c r="B14" t="s">
        <v>19</v>
      </c>
      <c r="C14" s="17"/>
      <c r="D14" s="17">
        <v>0.16461000000000001</v>
      </c>
      <c r="E14" s="17">
        <v>56.623923560000001</v>
      </c>
      <c r="F14" s="17">
        <v>2.7627615600000004</v>
      </c>
      <c r="G14" s="17">
        <v>7.2273835200000001</v>
      </c>
      <c r="H14" s="17">
        <v>1.5975515500000002</v>
      </c>
      <c r="I14" s="17">
        <v>0.23613363999999998</v>
      </c>
      <c r="J14" s="17">
        <v>3.7265610200000001</v>
      </c>
      <c r="K14" s="17">
        <v>0</v>
      </c>
      <c r="L14" s="17">
        <v>0.33435284000000004</v>
      </c>
      <c r="M14" s="17">
        <v>3.9630756600000003</v>
      </c>
      <c r="N14" s="17">
        <v>0</v>
      </c>
      <c r="O14" s="17">
        <v>195.72768674900001</v>
      </c>
      <c r="P14" s="17">
        <v>28.422730699999995</v>
      </c>
      <c r="Q14" s="17">
        <f t="shared" si="2"/>
        <v>202.023410439</v>
      </c>
      <c r="R14" s="17">
        <f t="shared" si="0"/>
        <v>98.763360360000007</v>
      </c>
      <c r="S14" s="17">
        <f t="shared" si="1"/>
        <v>300.78677079900001</v>
      </c>
      <c r="V14" s="23">
        <f>Feedstocks!S14/Production!O5*100</f>
        <v>8.9186496059134091E-2</v>
      </c>
    </row>
    <row r="15" spans="1:39" x14ac:dyDescent="0.25">
      <c r="A15">
        <v>2018</v>
      </c>
      <c r="B15" t="s">
        <v>20</v>
      </c>
      <c r="C15" s="17"/>
      <c r="D15" s="17">
        <v>0.1361985</v>
      </c>
      <c r="E15" s="17">
        <v>43.792283360000006</v>
      </c>
      <c r="F15" s="17">
        <v>3.8155624800000005</v>
      </c>
      <c r="G15" s="17">
        <v>6.7707200399999996</v>
      </c>
      <c r="H15" s="17">
        <v>0.50922752299999996</v>
      </c>
      <c r="I15" s="17">
        <v>5.4831999999999999E-2</v>
      </c>
      <c r="J15" s="17">
        <v>5.5712884499999999</v>
      </c>
      <c r="K15" s="17">
        <v>0</v>
      </c>
      <c r="L15" s="17">
        <v>0.63196640000000004</v>
      </c>
      <c r="M15" s="17">
        <v>4.3260416900000003</v>
      </c>
      <c r="N15" s="17">
        <v>0</v>
      </c>
      <c r="O15" s="17">
        <v>195.765612952</v>
      </c>
      <c r="P15" s="17">
        <v>32.141482100000005</v>
      </c>
      <c r="Q15" s="17">
        <f t="shared" si="2"/>
        <v>201.42387906499999</v>
      </c>
      <c r="R15" s="17">
        <f t="shared" si="0"/>
        <v>92.091336430000013</v>
      </c>
      <c r="S15" s="17">
        <f t="shared" si="1"/>
        <v>293.51521549500001</v>
      </c>
      <c r="V15" s="23">
        <f>Feedstocks!S15/Production!O6*100</f>
        <v>8.6756415904398615E-2</v>
      </c>
    </row>
    <row r="16" spans="1:39" x14ac:dyDescent="0.25">
      <c r="A16">
        <v>2018</v>
      </c>
      <c r="B16" t="s">
        <v>21</v>
      </c>
      <c r="C16" s="17"/>
      <c r="D16" s="17">
        <v>0.14647499999999999</v>
      </c>
      <c r="E16" s="17">
        <v>60.003391760000014</v>
      </c>
      <c r="F16" s="17">
        <v>4.8856459499999989</v>
      </c>
      <c r="G16" s="17">
        <v>7.8947920799999993</v>
      </c>
      <c r="H16" s="17">
        <v>5.5424397000000007E-2</v>
      </c>
      <c r="I16" s="17">
        <v>0</v>
      </c>
      <c r="J16" s="17">
        <v>7.5181442700000005</v>
      </c>
      <c r="K16" s="17">
        <v>0</v>
      </c>
      <c r="L16" s="17">
        <v>0.44178952000000005</v>
      </c>
      <c r="M16" s="17">
        <v>3.4273437199999996</v>
      </c>
      <c r="N16" s="17">
        <v>0</v>
      </c>
      <c r="O16" s="17">
        <v>275.05744753200003</v>
      </c>
      <c r="P16" s="17">
        <v>36.936882710000006</v>
      </c>
      <c r="Q16" s="17">
        <f t="shared" si="2"/>
        <v>279.128480169</v>
      </c>
      <c r="R16" s="17">
        <f t="shared" si="0"/>
        <v>117.23885677000004</v>
      </c>
      <c r="S16" s="17">
        <f t="shared" si="1"/>
        <v>396.36733693900004</v>
      </c>
      <c r="V16" s="23">
        <f>Feedstocks!S16/Production!O7*100</f>
        <v>8.7106238963156959E-2</v>
      </c>
    </row>
    <row r="17" spans="1:22" x14ac:dyDescent="0.25">
      <c r="A17">
        <v>2018</v>
      </c>
      <c r="B17" t="s">
        <v>22</v>
      </c>
      <c r="C17" s="17"/>
      <c r="D17" s="17">
        <v>0.34354479000000004</v>
      </c>
      <c r="E17" s="17">
        <v>53.034117600000009</v>
      </c>
      <c r="F17" s="17">
        <v>5.3110898699999991</v>
      </c>
      <c r="G17" s="17">
        <v>7.9393574399999975</v>
      </c>
      <c r="H17" s="17">
        <v>3.1654840000000004E-2</v>
      </c>
      <c r="I17" s="17">
        <v>0</v>
      </c>
      <c r="J17" s="17">
        <v>7.6960893100000005</v>
      </c>
      <c r="K17" s="17">
        <v>0</v>
      </c>
      <c r="L17" s="17">
        <v>0.85415927999999997</v>
      </c>
      <c r="M17" s="17">
        <v>4.6635377000000009</v>
      </c>
      <c r="N17" s="17">
        <v>0</v>
      </c>
      <c r="O17" s="17">
        <v>285.31288484300001</v>
      </c>
      <c r="P17" s="17">
        <v>39.435306820000008</v>
      </c>
      <c r="Q17" s="17">
        <f t="shared" si="2"/>
        <v>291.20578145299999</v>
      </c>
      <c r="R17" s="17">
        <f t="shared" si="0"/>
        <v>113.41596104000001</v>
      </c>
      <c r="S17" s="17">
        <f t="shared" si="1"/>
        <v>404.621742493</v>
      </c>
      <c r="V17" s="23">
        <f>Feedstocks!S17/Production!O8*100</f>
        <v>9.0175299964240466E-2</v>
      </c>
    </row>
    <row r="18" spans="1:22" x14ac:dyDescent="0.25">
      <c r="A18">
        <v>2018</v>
      </c>
      <c r="B18" t="s">
        <v>9</v>
      </c>
      <c r="C18" s="17"/>
      <c r="D18" s="17">
        <v>0.19344</v>
      </c>
      <c r="E18" s="17">
        <v>43.658055359999999</v>
      </c>
      <c r="F18" s="17">
        <v>3.0329139600000001</v>
      </c>
      <c r="G18" s="17">
        <v>5.8803821999999997</v>
      </c>
      <c r="H18" s="17">
        <v>3.2164692000000002E-2</v>
      </c>
      <c r="I18" s="17">
        <v>0</v>
      </c>
      <c r="J18" s="17">
        <v>6.3920074400000004</v>
      </c>
      <c r="K18" s="17">
        <v>0</v>
      </c>
      <c r="L18" s="17">
        <v>0.34373959999999998</v>
      </c>
      <c r="M18" s="17">
        <v>3.2698288500000001</v>
      </c>
      <c r="N18" s="17">
        <v>0</v>
      </c>
      <c r="O18" s="17">
        <v>266.81045479900001</v>
      </c>
      <c r="P18" s="17">
        <v>29.559874890000007</v>
      </c>
      <c r="Q18" s="17">
        <f t="shared" si="2"/>
        <v>270.64962794100001</v>
      </c>
      <c r="R18" s="17">
        <f t="shared" si="0"/>
        <v>88.523233849999997</v>
      </c>
      <c r="S18" s="17">
        <f t="shared" si="1"/>
        <v>359.172861791</v>
      </c>
      <c r="V18" s="23">
        <f>Feedstocks!S18/Production!O9*100</f>
        <v>9.3902016741573696E-2</v>
      </c>
    </row>
    <row r="19" spans="1:22" x14ac:dyDescent="0.25">
      <c r="A19">
        <v>2018</v>
      </c>
      <c r="B19" t="s">
        <v>23</v>
      </c>
      <c r="C19" s="17"/>
      <c r="D19" s="17">
        <v>0.40501500000000007</v>
      </c>
      <c r="E19" s="17">
        <v>54.292932440000001</v>
      </c>
      <c r="F19" s="17">
        <v>4.1439361499999992</v>
      </c>
      <c r="G19" s="17">
        <v>9.4037386799999982</v>
      </c>
      <c r="H19" s="17">
        <v>0.27991883499999998</v>
      </c>
      <c r="I19" s="17">
        <v>0</v>
      </c>
      <c r="J19" s="17">
        <v>7.2948393700000018</v>
      </c>
      <c r="K19" s="17">
        <v>0</v>
      </c>
      <c r="L19" s="17">
        <v>0.42943208000000005</v>
      </c>
      <c r="M19" s="17">
        <v>2.1517352000000001</v>
      </c>
      <c r="N19" s="17">
        <v>0</v>
      </c>
      <c r="O19" s="17">
        <v>312.653221503</v>
      </c>
      <c r="P19" s="17">
        <v>35.430886400000006</v>
      </c>
      <c r="Q19" s="17">
        <f t="shared" si="2"/>
        <v>315.91932261800002</v>
      </c>
      <c r="R19" s="17">
        <f t="shared" si="0"/>
        <v>110.56633304000002</v>
      </c>
      <c r="S19" s="17">
        <f t="shared" si="1"/>
        <v>426.48565565800004</v>
      </c>
      <c r="V19" s="23">
        <f>Feedstocks!S19/Production!O10*100</f>
        <v>9.1345772309717105E-2</v>
      </c>
    </row>
    <row r="20" spans="1:22" x14ac:dyDescent="0.25">
      <c r="A20">
        <v>2018</v>
      </c>
      <c r="B20" t="s">
        <v>24</v>
      </c>
      <c r="C20" s="17"/>
      <c r="D20" s="17">
        <v>0.90111512999999999</v>
      </c>
      <c r="E20" s="17">
        <v>54.170514480000008</v>
      </c>
      <c r="F20" s="17">
        <v>5.0037197400000002</v>
      </c>
      <c r="G20" s="17">
        <v>9.3669466799999999</v>
      </c>
      <c r="H20" s="17">
        <v>4.1540604349999999</v>
      </c>
      <c r="I20" s="17">
        <v>0</v>
      </c>
      <c r="J20" s="17">
        <v>8.5913263799999999</v>
      </c>
      <c r="K20" s="17">
        <v>0</v>
      </c>
      <c r="L20" s="17">
        <v>0.69289524000000002</v>
      </c>
      <c r="M20" s="17">
        <v>5.2545795799999997</v>
      </c>
      <c r="N20" s="17">
        <v>0</v>
      </c>
      <c r="O20" s="17">
        <v>320.943763483</v>
      </c>
      <c r="P20" s="17">
        <v>39.559189670000009</v>
      </c>
      <c r="Q20" s="17">
        <f t="shared" si="2"/>
        <v>331.94641386799998</v>
      </c>
      <c r="R20" s="17">
        <f t="shared" si="0"/>
        <v>116.69169695000005</v>
      </c>
      <c r="S20" s="17">
        <f t="shared" si="1"/>
        <v>448.63811081800003</v>
      </c>
      <c r="V20" s="23">
        <f>Feedstocks!S20/Production!O11*100</f>
        <v>9.1731158914451799E-2</v>
      </c>
    </row>
    <row r="21" spans="1:22" x14ac:dyDescent="0.25">
      <c r="A21">
        <v>2018</v>
      </c>
      <c r="B21" t="s">
        <v>25</v>
      </c>
      <c r="C21" s="17"/>
      <c r="D21" s="17">
        <v>0.75599606999999991</v>
      </c>
      <c r="E21" s="17">
        <v>54.525734760000006</v>
      </c>
      <c r="F21" s="17">
        <v>2.7940406700000002</v>
      </c>
      <c r="G21" s="17">
        <v>9.0052132799999995</v>
      </c>
      <c r="H21" s="17">
        <v>6.6052335299999996</v>
      </c>
      <c r="I21" s="17">
        <v>0</v>
      </c>
      <c r="J21" s="17">
        <v>7.9253874700000004</v>
      </c>
      <c r="K21" s="17">
        <v>0</v>
      </c>
      <c r="L21" s="17">
        <v>0.95220276000000004</v>
      </c>
      <c r="M21" s="17">
        <v>2.8465911299999997</v>
      </c>
      <c r="N21" s="17">
        <v>0</v>
      </c>
      <c r="O21" s="17">
        <v>316.49982100800003</v>
      </c>
      <c r="P21" s="17">
        <v>32.732877449999997</v>
      </c>
      <c r="Q21" s="17">
        <f t="shared" si="2"/>
        <v>327.65984449800004</v>
      </c>
      <c r="R21" s="17">
        <f t="shared" si="0"/>
        <v>106.98325362999998</v>
      </c>
      <c r="S21" s="17">
        <f t="shared" si="1"/>
        <v>434.64309812800002</v>
      </c>
      <c r="V21" s="23">
        <f>Feedstocks!S21/Production!O12*100</f>
        <v>8.9461692376250138E-2</v>
      </c>
    </row>
    <row r="22" spans="1:22" x14ac:dyDescent="0.25">
      <c r="A22">
        <v>2018</v>
      </c>
      <c r="B22" t="s">
        <v>26</v>
      </c>
      <c r="C22" s="17"/>
      <c r="D22" s="17">
        <v>0.44453256000000002</v>
      </c>
      <c r="E22" s="17">
        <v>58.419285160000008</v>
      </c>
      <c r="F22" s="17">
        <v>1.3502382600000002</v>
      </c>
      <c r="G22" s="17">
        <v>8.3495529599999987</v>
      </c>
      <c r="H22" s="17">
        <v>8.8060876329999989</v>
      </c>
      <c r="I22" s="17">
        <v>0.31300423999999999</v>
      </c>
      <c r="J22" s="17">
        <v>6.64393002</v>
      </c>
      <c r="K22" s="17">
        <v>0</v>
      </c>
      <c r="L22" s="17">
        <v>0.15950040000000001</v>
      </c>
      <c r="M22" s="17">
        <v>4.3067144500000003</v>
      </c>
      <c r="N22" s="17">
        <v>0</v>
      </c>
      <c r="O22" s="17">
        <v>307.45350321700005</v>
      </c>
      <c r="P22" s="17">
        <v>44.723104790000001</v>
      </c>
      <c r="Q22" s="17">
        <f t="shared" si="2"/>
        <v>321.48334250000005</v>
      </c>
      <c r="R22" s="17">
        <f t="shared" si="0"/>
        <v>119.48611118999997</v>
      </c>
      <c r="S22" s="17">
        <f t="shared" si="1"/>
        <v>440.96945369000002</v>
      </c>
      <c r="V22" s="23">
        <f>Feedstocks!S22/Production!O13*100</f>
        <v>9.191754206264037E-2</v>
      </c>
    </row>
    <row r="23" spans="1:22" x14ac:dyDescent="0.25">
      <c r="A23">
        <v>2018</v>
      </c>
      <c r="B23" t="s">
        <v>27</v>
      </c>
      <c r="C23" s="17"/>
      <c r="D23" s="17">
        <v>0.6744620400000001</v>
      </c>
      <c r="E23" s="17">
        <v>58.776934239999996</v>
      </c>
      <c r="F23" s="17">
        <v>1.52343264</v>
      </c>
      <c r="G23" s="17">
        <v>6.1752465600000006</v>
      </c>
      <c r="H23" s="17">
        <v>9.4932406660000002</v>
      </c>
      <c r="I23" s="17">
        <v>1.8696442400000002</v>
      </c>
      <c r="J23" s="17">
        <v>6.1798272900000004</v>
      </c>
      <c r="K23" s="17">
        <v>0</v>
      </c>
      <c r="L23" s="17">
        <v>0.28618164000000001</v>
      </c>
      <c r="M23" s="17">
        <v>5.1096074799999993</v>
      </c>
      <c r="N23" s="17">
        <v>0</v>
      </c>
      <c r="O23" s="17">
        <v>314.47067882300007</v>
      </c>
      <c r="P23" s="17">
        <v>53.288433380000001</v>
      </c>
      <c r="Q23" s="17">
        <f t="shared" si="2"/>
        <v>331.90381488900005</v>
      </c>
      <c r="R23" s="17">
        <f t="shared" si="0"/>
        <v>125.94387411000002</v>
      </c>
      <c r="S23" s="17">
        <f t="shared" si="1"/>
        <v>457.84768899900007</v>
      </c>
      <c r="V23" s="23">
        <f>Feedstocks!S23/Production!O14*100</f>
        <v>9.1500745160568928E-2</v>
      </c>
    </row>
    <row r="24" spans="1:22" x14ac:dyDescent="0.25">
      <c r="A24">
        <v>2018</v>
      </c>
      <c r="B24" t="s">
        <v>28</v>
      </c>
      <c r="C24" s="17"/>
      <c r="D24" s="17">
        <v>0.30762911999999998</v>
      </c>
      <c r="E24" s="17">
        <v>55.160329599999997</v>
      </c>
      <c r="F24" s="17">
        <v>1.4381952599999999</v>
      </c>
      <c r="G24" s="17">
        <v>7.7636781599999996</v>
      </c>
      <c r="H24" s="17">
        <v>7.7347363589999993</v>
      </c>
      <c r="I24" s="17">
        <v>0.89843335999999996</v>
      </c>
      <c r="J24" s="17">
        <v>5.6457837799999995</v>
      </c>
      <c r="K24" s="17">
        <v>0</v>
      </c>
      <c r="L24" s="17">
        <v>3.3639800000000004E-2</v>
      </c>
      <c r="M24" s="17">
        <v>10.2631418</v>
      </c>
      <c r="N24" s="17">
        <v>0</v>
      </c>
      <c r="O24" s="17">
        <v>293.61906075599995</v>
      </c>
      <c r="P24" s="17">
        <v>51.833106780000008</v>
      </c>
      <c r="Q24" s="17">
        <f t="shared" si="2"/>
        <v>312.85664119499995</v>
      </c>
      <c r="R24" s="17">
        <f t="shared" si="0"/>
        <v>121.84109358000001</v>
      </c>
      <c r="S24" s="17">
        <f t="shared" si="1"/>
        <v>434.69773477499996</v>
      </c>
      <c r="V24" s="23">
        <f>Feedstocks!S24/Production!O15*100</f>
        <v>9.0731286915819429E-2</v>
      </c>
    </row>
    <row r="25" spans="1:22" x14ac:dyDescent="0.25">
      <c r="A25">
        <v>2018</v>
      </c>
      <c r="B25" t="s">
        <v>29</v>
      </c>
      <c r="C25" s="17"/>
      <c r="D25" s="17">
        <v>0.37483650000000007</v>
      </c>
      <c r="E25" s="17">
        <v>54.008755480000005</v>
      </c>
      <c r="F25" s="17">
        <v>1.7200300199999998</v>
      </c>
      <c r="G25" s="17">
        <v>7.6526914799999997</v>
      </c>
      <c r="H25" s="17">
        <v>5.1630263650000003</v>
      </c>
      <c r="I25" s="17">
        <v>0.36258212000000001</v>
      </c>
      <c r="J25" s="17">
        <v>5.4561770899999988</v>
      </c>
      <c r="K25" s="17">
        <v>0</v>
      </c>
      <c r="L25" s="17">
        <v>0</v>
      </c>
      <c r="M25" s="17">
        <v>13.343328560000002</v>
      </c>
      <c r="N25" s="17">
        <v>0</v>
      </c>
      <c r="O25" s="17">
        <v>294.30193139900001</v>
      </c>
      <c r="P25" s="17">
        <v>49.468381690000001</v>
      </c>
      <c r="Q25" s="17">
        <f t="shared" si="2"/>
        <v>313.54570494400002</v>
      </c>
      <c r="R25" s="17">
        <f t="shared" si="0"/>
        <v>118.30603575999999</v>
      </c>
      <c r="S25" s="17">
        <f t="shared" si="1"/>
        <v>431.85174070400001</v>
      </c>
      <c r="V25" s="23">
        <f>Feedstocks!S25/Production!O16*100</f>
        <v>9.1171267539723641E-2</v>
      </c>
    </row>
    <row r="26" spans="1:22" x14ac:dyDescent="0.25">
      <c r="A26">
        <v>2019</v>
      </c>
      <c r="B26" t="s">
        <v>19</v>
      </c>
      <c r="C26" s="17"/>
      <c r="D26" s="17">
        <v>0.72540000000000004</v>
      </c>
      <c r="E26" s="17">
        <v>50.68301988000001</v>
      </c>
      <c r="F26" s="17">
        <v>1.3990496100000001</v>
      </c>
      <c r="G26" s="17">
        <v>7.4206078799999986</v>
      </c>
      <c r="H26" s="17">
        <v>2.2396560410000004</v>
      </c>
      <c r="I26" s="17">
        <v>0</v>
      </c>
      <c r="J26" s="17">
        <v>7.5627615700000002</v>
      </c>
      <c r="K26" s="17">
        <v>0</v>
      </c>
      <c r="L26" s="17">
        <v>0.23260360000000002</v>
      </c>
      <c r="M26" s="17">
        <v>11.892099009999999</v>
      </c>
      <c r="N26" s="17">
        <v>0</v>
      </c>
      <c r="O26" s="17">
        <v>272.72244274799999</v>
      </c>
      <c r="P26" s="17">
        <v>50.181472249999999</v>
      </c>
      <c r="Q26" s="17">
        <f t="shared" si="2"/>
        <v>287.812201399</v>
      </c>
      <c r="R26" s="17">
        <f t="shared" si="0"/>
        <v>117.24691118999999</v>
      </c>
      <c r="S26" s="17">
        <f t="shared" si="1"/>
        <v>405.05911258899999</v>
      </c>
      <c r="V26" s="23">
        <f>Feedstocks!S26/Production!P5*100</f>
        <v>9.0717147156175348E-2</v>
      </c>
    </row>
    <row r="27" spans="1:22" x14ac:dyDescent="0.25">
      <c r="A27">
        <v>2019</v>
      </c>
      <c r="B27" t="s">
        <v>20</v>
      </c>
      <c r="C27" s="17"/>
      <c r="D27" s="17">
        <v>0.35193060000000004</v>
      </c>
      <c r="E27" s="17">
        <v>50.689763480000011</v>
      </c>
      <c r="F27" s="17">
        <v>1.9651177200000003</v>
      </c>
      <c r="G27" s="17">
        <v>6.9238881599999997</v>
      </c>
      <c r="H27" s="17">
        <v>2.1172713870000002</v>
      </c>
      <c r="I27" s="17">
        <v>0</v>
      </c>
      <c r="J27" s="17">
        <v>7.4156409599999993</v>
      </c>
      <c r="K27" s="17">
        <v>0</v>
      </c>
      <c r="L27" s="17">
        <v>3.4108079999999999E-2</v>
      </c>
      <c r="M27" s="17">
        <v>6.1141184400000004</v>
      </c>
      <c r="N27" s="17">
        <v>0</v>
      </c>
      <c r="O27" s="17">
        <v>250.82995265300005</v>
      </c>
      <c r="P27" s="17">
        <v>46.591442170000001</v>
      </c>
      <c r="Q27" s="17">
        <f t="shared" si="2"/>
        <v>259.44738116000008</v>
      </c>
      <c r="R27" s="17">
        <f t="shared" si="0"/>
        <v>113.58585248999998</v>
      </c>
      <c r="S27" s="17">
        <f t="shared" si="1"/>
        <v>373.03323365000006</v>
      </c>
      <c r="V27" s="23">
        <f>Feedstocks!S27/Production!P6*100</f>
        <v>8.9833670354178857E-2</v>
      </c>
    </row>
    <row r="28" spans="1:22" x14ac:dyDescent="0.25">
      <c r="A28">
        <v>2019</v>
      </c>
      <c r="B28" t="s">
        <v>21</v>
      </c>
      <c r="C28" s="17"/>
      <c r="D28" s="17">
        <v>0.38594070000000003</v>
      </c>
      <c r="E28" s="17">
        <v>53.446899520000002</v>
      </c>
      <c r="F28" s="17">
        <v>1.7420949600000002</v>
      </c>
      <c r="G28" s="17">
        <v>7.7002136399999985</v>
      </c>
      <c r="H28" s="17">
        <v>2.5304468280000001</v>
      </c>
      <c r="I28" s="17">
        <v>0</v>
      </c>
      <c r="J28" s="17">
        <v>5.8829880200000009</v>
      </c>
      <c r="K28" s="17">
        <v>0</v>
      </c>
      <c r="L28" s="17">
        <v>0.22360784000000003</v>
      </c>
      <c r="M28" s="17">
        <v>5.2142910599999999</v>
      </c>
      <c r="N28" s="17">
        <v>0</v>
      </c>
      <c r="O28" s="17">
        <v>282.86747417600003</v>
      </c>
      <c r="P28" s="17">
        <v>51.61179842</v>
      </c>
      <c r="Q28" s="17">
        <f t="shared" si="2"/>
        <v>291.22176060400005</v>
      </c>
      <c r="R28" s="17">
        <f t="shared" si="0"/>
        <v>120.38399455999996</v>
      </c>
      <c r="S28" s="17">
        <f t="shared" si="1"/>
        <v>411.60575516400002</v>
      </c>
      <c r="V28" s="23">
        <f>Feedstocks!S28/Production!P7*100</f>
        <v>8.90663400176189E-2</v>
      </c>
    </row>
    <row r="29" spans="1:22" x14ac:dyDescent="0.25">
      <c r="A29">
        <v>2019</v>
      </c>
      <c r="B29" t="s">
        <v>22</v>
      </c>
      <c r="C29" s="17"/>
      <c r="D29" s="17">
        <v>0.43535811000000002</v>
      </c>
      <c r="E29" s="17">
        <v>49.392806359999994</v>
      </c>
      <c r="F29" s="17">
        <v>1.99705803</v>
      </c>
      <c r="G29" s="17">
        <v>8.3464147199999985</v>
      </c>
      <c r="H29" s="17">
        <v>1.4071612590000002</v>
      </c>
      <c r="I29" s="17">
        <v>0</v>
      </c>
      <c r="J29" s="17">
        <v>8.0211358500000021</v>
      </c>
      <c r="K29" s="17">
        <v>0</v>
      </c>
      <c r="L29" s="17">
        <v>5.6791600000000005E-2</v>
      </c>
      <c r="M29" s="17">
        <v>5.3145869399999999</v>
      </c>
      <c r="N29" s="17">
        <v>0</v>
      </c>
      <c r="O29" s="17">
        <v>293.49728407300006</v>
      </c>
      <c r="P29" s="17">
        <v>48.556649960000001</v>
      </c>
      <c r="Q29" s="17">
        <f t="shared" si="2"/>
        <v>300.71118198200008</v>
      </c>
      <c r="R29" s="17">
        <f t="shared" si="0"/>
        <v>116.31406491999996</v>
      </c>
      <c r="S29" s="17">
        <f t="shared" si="1"/>
        <v>417.02524690200005</v>
      </c>
      <c r="V29" s="23">
        <f>Feedstocks!S29/Production!P8*100</f>
        <v>8.970183915774671E-2</v>
      </c>
    </row>
    <row r="30" spans="1:22" x14ac:dyDescent="0.25">
      <c r="A30">
        <v>2019</v>
      </c>
      <c r="B30" t="s">
        <v>9</v>
      </c>
      <c r="C30" s="17"/>
      <c r="D30" s="17">
        <v>0.36259862999999998</v>
      </c>
      <c r="E30" s="17">
        <v>43.472103119999993</v>
      </c>
      <c r="F30" s="17">
        <v>1.5766531500000001</v>
      </c>
      <c r="G30" s="17">
        <v>5.6252968799999996</v>
      </c>
      <c r="H30" s="17">
        <v>1.8095087639999998</v>
      </c>
      <c r="I30" s="17">
        <v>0</v>
      </c>
      <c r="J30" s="17">
        <v>3.8179222899999994</v>
      </c>
      <c r="K30" s="17">
        <v>0</v>
      </c>
      <c r="L30" s="17">
        <v>0</v>
      </c>
      <c r="M30" s="17">
        <v>8.3432720699999994</v>
      </c>
      <c r="N30" s="17">
        <v>0</v>
      </c>
      <c r="O30" s="17">
        <v>299.809094109</v>
      </c>
      <c r="P30" s="17">
        <v>41.793927630000006</v>
      </c>
      <c r="Q30" s="17">
        <f t="shared" si="2"/>
        <v>310.32447357299998</v>
      </c>
      <c r="R30" s="17">
        <f t="shared" si="0"/>
        <v>96.285903070000018</v>
      </c>
      <c r="S30" s="17">
        <f t="shared" si="1"/>
        <v>406.610376643</v>
      </c>
      <c r="V30" s="23">
        <f>Feedstocks!S30/Production!P9*100</f>
        <v>9.0689935977996267E-2</v>
      </c>
    </row>
    <row r="31" spans="1:22" x14ac:dyDescent="0.25">
      <c r="A31">
        <v>2019</v>
      </c>
      <c r="B31" t="s">
        <v>23</v>
      </c>
      <c r="C31" s="17"/>
      <c r="D31" s="17">
        <v>0.63797999999999999</v>
      </c>
      <c r="E31" s="17">
        <v>49.344530280000008</v>
      </c>
      <c r="F31" s="17">
        <v>1.7452974299999999</v>
      </c>
      <c r="G31" s="17">
        <v>6.9087353999999994</v>
      </c>
      <c r="H31" s="17">
        <v>1.5286756800000001</v>
      </c>
      <c r="I31" s="17">
        <v>0</v>
      </c>
      <c r="J31" s="17">
        <v>7.0336566299999994</v>
      </c>
      <c r="K31" s="17">
        <v>0</v>
      </c>
      <c r="L31" s="17">
        <v>3.6260880000000002E-2</v>
      </c>
      <c r="M31" s="17">
        <v>8.9320061800000001</v>
      </c>
      <c r="N31" s="17">
        <v>0</v>
      </c>
      <c r="O31" s="17">
        <v>303.03044266600006</v>
      </c>
      <c r="P31" s="17">
        <v>44.347856280000002</v>
      </c>
      <c r="Q31" s="17">
        <f t="shared" si="2"/>
        <v>314.16536540600003</v>
      </c>
      <c r="R31" s="17">
        <f t="shared" si="0"/>
        <v>109.38007601999999</v>
      </c>
      <c r="S31" s="17">
        <f t="shared" si="1"/>
        <v>423.54544142600002</v>
      </c>
      <c r="V31" s="23">
        <f>Feedstocks!S31/Production!P10*100</f>
        <v>9.1753279313527766E-2</v>
      </c>
    </row>
    <row r="32" spans="1:22" x14ac:dyDescent="0.25">
      <c r="A32">
        <v>2019</v>
      </c>
      <c r="B32" t="s">
        <v>24</v>
      </c>
      <c r="C32" s="17"/>
      <c r="D32" s="17">
        <v>1.2290508</v>
      </c>
      <c r="E32" s="17">
        <v>36.719646279999999</v>
      </c>
      <c r="F32" s="17">
        <v>3.4515501300000002</v>
      </c>
      <c r="G32" s="17">
        <v>8.4384972000000005</v>
      </c>
      <c r="H32" s="17">
        <v>2.4641807400000002</v>
      </c>
      <c r="I32" s="17">
        <v>0</v>
      </c>
      <c r="J32" s="17">
        <v>6.6545642799999998</v>
      </c>
      <c r="K32" s="17">
        <v>0</v>
      </c>
      <c r="L32" s="17">
        <v>0.34286652000000006</v>
      </c>
      <c r="M32" s="17">
        <v>7.8886315900000001</v>
      </c>
      <c r="N32" s="17">
        <v>0</v>
      </c>
      <c r="O32" s="17">
        <v>332.50353976000002</v>
      </c>
      <c r="P32" s="17">
        <v>52.350853100000009</v>
      </c>
      <c r="Q32" s="17">
        <f t="shared" si="2"/>
        <v>344.42826941000004</v>
      </c>
      <c r="R32" s="17">
        <f t="shared" si="0"/>
        <v>107.61511099000001</v>
      </c>
      <c r="S32" s="17">
        <f t="shared" si="1"/>
        <v>452.04338040000005</v>
      </c>
      <c r="V32" s="23">
        <f>Feedstocks!S32/Production!P11*100</f>
        <v>9.1258443126977062E-2</v>
      </c>
    </row>
    <row r="33" spans="1:22" x14ac:dyDescent="0.25">
      <c r="A33">
        <v>2019</v>
      </c>
      <c r="B33" t="s">
        <v>25</v>
      </c>
      <c r="C33" s="17"/>
      <c r="D33" s="17">
        <v>0.24678480000000003</v>
      </c>
      <c r="E33" s="17">
        <v>47.139098920000002</v>
      </c>
      <c r="F33" s="17">
        <v>3.8010091199999998</v>
      </c>
      <c r="G33" s="17">
        <v>9.4676962799999984</v>
      </c>
      <c r="H33" s="17">
        <v>5.2953155360000004</v>
      </c>
      <c r="I33" s="17">
        <v>0</v>
      </c>
      <c r="J33" s="17">
        <v>8.8064421900000003</v>
      </c>
      <c r="K33" s="17">
        <v>0</v>
      </c>
      <c r="L33" s="17">
        <v>0</v>
      </c>
      <c r="M33" s="17">
        <v>8.9504505400000003</v>
      </c>
      <c r="N33" s="17">
        <v>0</v>
      </c>
      <c r="O33" s="17">
        <v>329.06346102700002</v>
      </c>
      <c r="P33" s="17">
        <v>51.010790739999997</v>
      </c>
      <c r="Q33" s="17">
        <f t="shared" si="2"/>
        <v>343.55601190300001</v>
      </c>
      <c r="R33" s="17">
        <f t="shared" si="0"/>
        <v>120.22503725000001</v>
      </c>
      <c r="S33" s="17">
        <f t="shared" si="1"/>
        <v>463.78104915300003</v>
      </c>
      <c r="V33" s="23">
        <f>Feedstocks!S33/Production!P12*100</f>
        <v>9.2176319754100275E-2</v>
      </c>
    </row>
    <row r="34" spans="1:22" x14ac:dyDescent="0.25">
      <c r="A34">
        <v>2019</v>
      </c>
      <c r="B34" t="s">
        <v>26</v>
      </c>
      <c r="C34" s="17"/>
      <c r="D34" s="17">
        <v>0.28535654999999999</v>
      </c>
      <c r="E34" s="17">
        <v>62.600245399999999</v>
      </c>
      <c r="F34" s="17">
        <v>3.0927421200000005</v>
      </c>
      <c r="G34" s="17">
        <v>9.1135657199999986</v>
      </c>
      <c r="H34" s="17">
        <v>11.312200948999998</v>
      </c>
      <c r="I34" s="17">
        <v>0.52266212000000001</v>
      </c>
      <c r="J34" s="17">
        <v>7.4968211500000015</v>
      </c>
      <c r="K34" s="17">
        <v>0</v>
      </c>
      <c r="L34" s="17">
        <v>0.16216104000000001</v>
      </c>
      <c r="M34" s="17">
        <v>11.44463015</v>
      </c>
      <c r="N34" s="17">
        <v>0</v>
      </c>
      <c r="O34" s="17">
        <v>346.12277057400007</v>
      </c>
      <c r="P34" s="17">
        <v>62.299180579999991</v>
      </c>
      <c r="Q34" s="17">
        <f t="shared" si="2"/>
        <v>369.84978138300005</v>
      </c>
      <c r="R34" s="17">
        <f t="shared" si="0"/>
        <v>144.60255497000003</v>
      </c>
      <c r="S34" s="17">
        <f t="shared" ref="S34:S65" si="3">SUM(C34:P34)</f>
        <v>514.45233635300008</v>
      </c>
      <c r="V34" s="23">
        <f>Feedstocks!S34/Production!P13*100</f>
        <v>9.2158371641716808E-2</v>
      </c>
    </row>
    <row r="35" spans="1:22" x14ac:dyDescent="0.25">
      <c r="A35">
        <v>2019</v>
      </c>
      <c r="B35" t="s">
        <v>27</v>
      </c>
      <c r="C35" s="17"/>
      <c r="D35" s="17">
        <v>0.57296463000000009</v>
      </c>
      <c r="E35" s="17">
        <v>73.763541959999998</v>
      </c>
      <c r="F35" s="17">
        <v>2.8659696599999998</v>
      </c>
      <c r="G35" s="17">
        <v>9.0358707600000017</v>
      </c>
      <c r="H35" s="17">
        <v>11.79074932</v>
      </c>
      <c r="I35" s="17">
        <v>0.24658576000000001</v>
      </c>
      <c r="J35" s="17">
        <v>7.6739435499999988</v>
      </c>
      <c r="K35" s="17">
        <v>0</v>
      </c>
      <c r="L35" s="17">
        <v>2.4366430000000001</v>
      </c>
      <c r="M35" s="17">
        <v>8.4386827400000008</v>
      </c>
      <c r="N35" s="17">
        <v>0</v>
      </c>
      <c r="O35" s="17">
        <v>361.45122061300003</v>
      </c>
      <c r="P35" s="17">
        <v>66.124263659999997</v>
      </c>
      <c r="Q35" s="17">
        <f t="shared" si="2"/>
        <v>384.93684606300002</v>
      </c>
      <c r="R35" s="17">
        <f t="shared" si="0"/>
        <v>159.46358959000003</v>
      </c>
      <c r="S35" s="17">
        <f t="shared" si="3"/>
        <v>544.40043565300005</v>
      </c>
      <c r="V35" s="23">
        <f>Feedstocks!S35/Production!P14*100</f>
        <v>9.3263235079000584E-2</v>
      </c>
    </row>
    <row r="36" spans="1:22" x14ac:dyDescent="0.25">
      <c r="A36">
        <v>2019</v>
      </c>
      <c r="B36" t="s">
        <v>28</v>
      </c>
      <c r="C36" s="17"/>
      <c r="D36" s="17">
        <v>0.27043005000000003</v>
      </c>
      <c r="E36" s="17">
        <v>56.645124039999999</v>
      </c>
      <c r="F36" s="17">
        <v>3.1034187599999994</v>
      </c>
      <c r="G36" s="17">
        <v>8.708259</v>
      </c>
      <c r="H36" s="17">
        <v>9.6607692300000014</v>
      </c>
      <c r="I36" s="17">
        <v>2.1147699600000003</v>
      </c>
      <c r="J36" s="17">
        <v>6.8933246200000005</v>
      </c>
      <c r="K36" s="17">
        <v>0</v>
      </c>
      <c r="L36" s="17">
        <v>140.44672620000003</v>
      </c>
      <c r="M36" s="17">
        <v>12.39025337</v>
      </c>
      <c r="N36" s="17">
        <v>0</v>
      </c>
      <c r="O36" s="17">
        <v>342.93378203000009</v>
      </c>
      <c r="P36" s="17">
        <v>50.815665809999999</v>
      </c>
      <c r="Q36" s="17">
        <f t="shared" si="2"/>
        <v>507.8167308400001</v>
      </c>
      <c r="R36" s="17">
        <f t="shared" si="0"/>
        <v>126.16579223000008</v>
      </c>
      <c r="S36" s="17">
        <f t="shared" si="3"/>
        <v>633.98252307000018</v>
      </c>
      <c r="V36" s="23">
        <f>Feedstocks!S36/Production!P15*100</f>
        <v>0.11744342074759058</v>
      </c>
    </row>
    <row r="37" spans="1:22" x14ac:dyDescent="0.25">
      <c r="A37">
        <v>2019</v>
      </c>
      <c r="B37" t="s">
        <v>29</v>
      </c>
      <c r="C37" s="17"/>
      <c r="D37" s="17">
        <v>0.32076723000000001</v>
      </c>
      <c r="E37" s="17">
        <v>53.417001360000015</v>
      </c>
      <c r="F37" s="17">
        <v>3.1317459600000004</v>
      </c>
      <c r="G37" s="17">
        <v>9.2750993999999984</v>
      </c>
      <c r="H37" s="17">
        <v>9.261347872</v>
      </c>
      <c r="I37" s="17">
        <v>0</v>
      </c>
      <c r="J37" s="17">
        <v>6.76589186</v>
      </c>
      <c r="K37" s="17">
        <v>0</v>
      </c>
      <c r="L37" s="17">
        <v>1.7435462800000003</v>
      </c>
      <c r="M37" s="17">
        <v>13.385904379999999</v>
      </c>
      <c r="N37" s="17">
        <v>0</v>
      </c>
      <c r="O37" s="17">
        <v>333.97066456600004</v>
      </c>
      <c r="P37" s="17">
        <v>41.813301530000004</v>
      </c>
      <c r="Q37" s="17">
        <f t="shared" si="2"/>
        <v>358.68223032800006</v>
      </c>
      <c r="R37" s="17">
        <f t="shared" si="0"/>
        <v>114.40304011000001</v>
      </c>
      <c r="S37" s="17">
        <f t="shared" si="3"/>
        <v>473.08527043800007</v>
      </c>
      <c r="V37" s="23">
        <f>Feedstocks!S37/Production!P16*100</f>
        <v>9.037948745604843E-2</v>
      </c>
    </row>
    <row r="38" spans="1:22" x14ac:dyDescent="0.25">
      <c r="A38">
        <v>2020</v>
      </c>
      <c r="B38" t="s">
        <v>19</v>
      </c>
      <c r="C38" s="17"/>
      <c r="D38" s="17">
        <v>1.1651467799999999</v>
      </c>
      <c r="E38" s="17">
        <v>54.139740480000007</v>
      </c>
      <c r="F38" s="17">
        <v>3.7474101599999994</v>
      </c>
      <c r="G38" s="17">
        <v>7.4336606399999994</v>
      </c>
      <c r="H38" s="17">
        <v>7.987668800999999</v>
      </c>
      <c r="I38" s="17">
        <v>1.0684880000000001</v>
      </c>
      <c r="J38" s="17">
        <v>6.6490305699999999</v>
      </c>
      <c r="K38" s="17">
        <v>0</v>
      </c>
      <c r="L38" s="17">
        <v>2.02196036</v>
      </c>
      <c r="M38" s="17">
        <v>11.05394774</v>
      </c>
      <c r="N38" s="17">
        <v>0</v>
      </c>
      <c r="O38" s="17">
        <v>284.05003370800006</v>
      </c>
      <c r="P38" s="17">
        <v>48.206120690000006</v>
      </c>
      <c r="Q38" s="17">
        <f t="shared" si="2"/>
        <v>307.34724538900008</v>
      </c>
      <c r="R38" s="17">
        <f t="shared" si="0"/>
        <v>120.17596253999994</v>
      </c>
      <c r="S38" s="17">
        <f t="shared" si="3"/>
        <v>427.52320792900002</v>
      </c>
      <c r="V38" s="23">
        <f>Feedstocks!S38/Production!Q5*100</f>
        <v>9.1430135206965218E-2</v>
      </c>
    </row>
    <row r="39" spans="1:22" x14ac:dyDescent="0.25">
      <c r="A39">
        <v>2020</v>
      </c>
      <c r="B39" t="s">
        <v>20</v>
      </c>
      <c r="C39" s="17">
        <v>6.954188E-2</v>
      </c>
      <c r="D39" s="17">
        <v>0.70484420999999997</v>
      </c>
      <c r="E39" s="17">
        <v>48.462146320000002</v>
      </c>
      <c r="F39" s="17">
        <v>2.8804186200000004</v>
      </c>
      <c r="G39" s="17">
        <v>8.5819473600000009</v>
      </c>
      <c r="H39" s="17">
        <v>7.6979408170000001</v>
      </c>
      <c r="I39" s="17">
        <v>0</v>
      </c>
      <c r="J39" s="17">
        <v>7.8983759400000002</v>
      </c>
      <c r="K39" s="17">
        <v>0</v>
      </c>
      <c r="L39" s="17">
        <v>1.1965179600000002</v>
      </c>
      <c r="M39" s="17">
        <v>7.5930786099999992</v>
      </c>
      <c r="N39" s="17">
        <v>0</v>
      </c>
      <c r="O39" s="17">
        <v>305.94182779999994</v>
      </c>
      <c r="P39" s="17">
        <v>50.810671730000003</v>
      </c>
      <c r="Q39" s="17">
        <f t="shared" si="2"/>
        <v>323.20375127699992</v>
      </c>
      <c r="R39" s="17">
        <f t="shared" si="0"/>
        <v>118.63355997000002</v>
      </c>
      <c r="S39" s="17">
        <f t="shared" si="3"/>
        <v>441.83731124699995</v>
      </c>
      <c r="V39" s="23">
        <f>Feedstocks!S39/Production!Q6*100</f>
        <v>9.143995160817818E-2</v>
      </c>
    </row>
    <row r="40" spans="1:22" x14ac:dyDescent="0.25">
      <c r="A40">
        <v>2020</v>
      </c>
      <c r="B40" t="s">
        <v>21</v>
      </c>
      <c r="C40" s="17">
        <v>3.9969400000000002E-2</v>
      </c>
      <c r="D40" s="17">
        <v>0.93717216000000003</v>
      </c>
      <c r="E40" s="17">
        <v>41.220543879999994</v>
      </c>
      <c r="F40" s="17">
        <v>4.9520600099999994</v>
      </c>
      <c r="G40" s="17">
        <v>7.6837362000000002</v>
      </c>
      <c r="H40" s="17">
        <v>4.7852214480000006</v>
      </c>
      <c r="I40" s="17">
        <v>0</v>
      </c>
      <c r="J40" s="17">
        <v>8.539459110000001</v>
      </c>
      <c r="K40" s="17">
        <v>0</v>
      </c>
      <c r="L40" s="17">
        <v>2.0874165200000001</v>
      </c>
      <c r="M40" s="17">
        <v>9.5866225400000005</v>
      </c>
      <c r="N40" s="17">
        <v>0</v>
      </c>
      <c r="O40" s="17">
        <v>359.20271552200001</v>
      </c>
      <c r="P40" s="17">
        <v>56.432459720000004</v>
      </c>
      <c r="Q40" s="17">
        <f t="shared" si="2"/>
        <v>376.63911759000001</v>
      </c>
      <c r="R40" s="17">
        <f t="shared" si="0"/>
        <v>118.82825892</v>
      </c>
      <c r="S40" s="17">
        <f t="shared" si="3"/>
        <v>495.46737651000001</v>
      </c>
      <c r="V40" s="23">
        <f>Feedstocks!S40/Production!Q7*100</f>
        <v>9.0036226532054675E-2</v>
      </c>
    </row>
    <row r="41" spans="1:22" x14ac:dyDescent="0.25">
      <c r="A41">
        <v>2020</v>
      </c>
      <c r="B41" t="s">
        <v>22</v>
      </c>
      <c r="C41" s="17">
        <v>0</v>
      </c>
      <c r="D41" s="17">
        <v>0.79803114000000008</v>
      </c>
      <c r="E41" s="17">
        <v>35.10697368000001</v>
      </c>
      <c r="F41" s="17">
        <v>2.35370583</v>
      </c>
      <c r="G41" s="17">
        <v>9.4793479200000021</v>
      </c>
      <c r="H41" s="17">
        <v>2.4062217550000007</v>
      </c>
      <c r="I41" s="17">
        <v>0</v>
      </c>
      <c r="J41" s="17">
        <v>4.0969674200000004</v>
      </c>
      <c r="K41" s="17">
        <v>0</v>
      </c>
      <c r="L41" s="17">
        <v>1.9926206399999999</v>
      </c>
      <c r="M41" s="17">
        <v>4.4123138399999995</v>
      </c>
      <c r="N41" s="17">
        <v>0</v>
      </c>
      <c r="O41" s="17">
        <v>306.49934729399996</v>
      </c>
      <c r="P41" s="17">
        <v>39.190214699999999</v>
      </c>
      <c r="Q41" s="17">
        <f t="shared" si="2"/>
        <v>316.10853466899994</v>
      </c>
      <c r="R41" s="17">
        <f t="shared" si="0"/>
        <v>90.227209550000055</v>
      </c>
      <c r="S41" s="17">
        <f t="shared" si="3"/>
        <v>406.33574421899999</v>
      </c>
      <c r="V41" s="23">
        <f>Feedstocks!S41/Production!Q8*100</f>
        <v>9.2448450369802329E-2</v>
      </c>
    </row>
    <row r="42" spans="1:22" x14ac:dyDescent="0.25">
      <c r="A42">
        <v>2020</v>
      </c>
      <c r="B42" t="s">
        <v>9</v>
      </c>
      <c r="C42" s="17">
        <v>0.15472743999999999</v>
      </c>
      <c r="D42" s="17">
        <v>0.45821006999999997</v>
      </c>
      <c r="E42" s="17">
        <v>34.723719160000002</v>
      </c>
      <c r="F42" s="17">
        <v>2.9325873000000002</v>
      </c>
      <c r="G42" s="17">
        <v>10.725660959999999</v>
      </c>
      <c r="H42" s="17">
        <v>4.2697546569999991</v>
      </c>
      <c r="I42" s="17">
        <v>0</v>
      </c>
      <c r="J42" s="17">
        <v>4.2378317800000005</v>
      </c>
      <c r="K42" s="17">
        <v>0</v>
      </c>
      <c r="L42" s="17">
        <v>0.91641291999999996</v>
      </c>
      <c r="M42" s="17">
        <v>9.3598683399999985</v>
      </c>
      <c r="N42" s="17">
        <v>0</v>
      </c>
      <c r="O42" s="17">
        <v>345.337029954</v>
      </c>
      <c r="P42" s="17">
        <v>42.1852795</v>
      </c>
      <c r="Q42" s="17">
        <f t="shared" si="2"/>
        <v>360.49600338099998</v>
      </c>
      <c r="R42" s="17">
        <f t="shared" si="0"/>
        <v>94.805078700000024</v>
      </c>
      <c r="S42" s="17">
        <f t="shared" si="3"/>
        <v>455.301082081</v>
      </c>
      <c r="V42" s="23">
        <f>Feedstocks!S42/Production!Q9*100</f>
        <v>9.4560002188395303E-2</v>
      </c>
    </row>
    <row r="43" spans="1:22" x14ac:dyDescent="0.25">
      <c r="A43">
        <v>2020</v>
      </c>
      <c r="B43" t="s">
        <v>23</v>
      </c>
      <c r="C43" s="17">
        <v>5.4786920000000003E-2</v>
      </c>
      <c r="D43" s="17">
        <v>1.0385142600000001</v>
      </c>
      <c r="E43" s="17">
        <v>47.582883000000002</v>
      </c>
      <c r="F43" s="17">
        <v>2.9082116400000002</v>
      </c>
      <c r="G43" s="17">
        <v>12.631444559999998</v>
      </c>
      <c r="H43" s="17">
        <v>4.1829578559999998</v>
      </c>
      <c r="I43" s="17">
        <v>0</v>
      </c>
      <c r="J43" s="17">
        <v>5.1541863100000009</v>
      </c>
      <c r="K43" s="17">
        <v>0</v>
      </c>
      <c r="L43" s="17">
        <v>0.68535584000000016</v>
      </c>
      <c r="M43" s="17">
        <v>16.265132699999999</v>
      </c>
      <c r="N43" s="17">
        <v>0</v>
      </c>
      <c r="O43" s="17">
        <v>350.43127765100002</v>
      </c>
      <c r="P43" s="17">
        <v>61.065079529999998</v>
      </c>
      <c r="Q43" s="17">
        <f t="shared" si="2"/>
        <v>372.658025227</v>
      </c>
      <c r="R43" s="17">
        <f t="shared" si="0"/>
        <v>129.34180504</v>
      </c>
      <c r="S43" s="17">
        <f t="shared" si="3"/>
        <v>501.99983026699999</v>
      </c>
      <c r="V43" s="23">
        <f>Feedstocks!S43/Production!Q10*100</f>
        <v>9.4128849637007822E-2</v>
      </c>
    </row>
    <row r="44" spans="1:22" x14ac:dyDescent="0.25">
      <c r="A44">
        <v>2020</v>
      </c>
      <c r="B44" t="s">
        <v>24</v>
      </c>
      <c r="C44" s="17">
        <v>2.074968E-2</v>
      </c>
      <c r="D44" s="17">
        <v>1.32202383</v>
      </c>
      <c r="E44" s="17">
        <v>41.989854320000006</v>
      </c>
      <c r="F44" s="17">
        <v>3.2286439499999999</v>
      </c>
      <c r="G44" s="17">
        <v>12.47888796</v>
      </c>
      <c r="H44" s="17">
        <v>7.6137877270000009</v>
      </c>
      <c r="I44" s="17">
        <v>0</v>
      </c>
      <c r="J44" s="17">
        <v>4.8892989600000014</v>
      </c>
      <c r="K44" s="17">
        <v>0</v>
      </c>
      <c r="L44" s="17">
        <v>0.93576972000000003</v>
      </c>
      <c r="M44" s="17">
        <v>20.56982507</v>
      </c>
      <c r="N44" s="17">
        <v>0</v>
      </c>
      <c r="O44" s="17">
        <v>401.325094933</v>
      </c>
      <c r="P44" s="17">
        <v>58.687157619999994</v>
      </c>
      <c r="Q44" s="17">
        <f t="shared" si="2"/>
        <v>431.78725095999999</v>
      </c>
      <c r="R44" s="17">
        <f t="shared" si="0"/>
        <v>121.27384281000008</v>
      </c>
      <c r="S44" s="17">
        <f t="shared" si="3"/>
        <v>553.06109377000007</v>
      </c>
      <c r="V44" s="23">
        <f>Feedstocks!S44/Production!Q11*100</f>
        <v>9.1866142967567482E-2</v>
      </c>
    </row>
    <row r="45" spans="1:22" x14ac:dyDescent="0.25">
      <c r="A45">
        <v>2020</v>
      </c>
      <c r="B45" t="s">
        <v>25</v>
      </c>
      <c r="C45" s="17">
        <v>2.4363992000000003</v>
      </c>
      <c r="D45" s="17">
        <v>0.93048545999999999</v>
      </c>
      <c r="E45" s="17">
        <v>40.069243920000005</v>
      </c>
      <c r="F45" s="17">
        <v>4.705165319999999</v>
      </c>
      <c r="G45" s="17">
        <v>9.6795661199999987</v>
      </c>
      <c r="H45" s="17">
        <v>12.981376618000001</v>
      </c>
      <c r="I45" s="17">
        <v>0</v>
      </c>
      <c r="J45" s="17">
        <v>5.2624308099999997</v>
      </c>
      <c r="K45" s="17">
        <v>0</v>
      </c>
      <c r="L45" s="17">
        <v>0.78293196000000009</v>
      </c>
      <c r="M45" s="17">
        <v>14.629784399999998</v>
      </c>
      <c r="N45" s="17">
        <v>9.7416000000000003E-2</v>
      </c>
      <c r="O45" s="17">
        <v>419.82487209599986</v>
      </c>
      <c r="P45" s="17">
        <v>67.717401569999993</v>
      </c>
      <c r="Q45" s="17">
        <f t="shared" si="2"/>
        <v>451.68326573399986</v>
      </c>
      <c r="R45" s="17">
        <f t="shared" si="0"/>
        <v>127.43380774000002</v>
      </c>
      <c r="S45" s="17">
        <f t="shared" si="3"/>
        <v>579.11707347399988</v>
      </c>
      <c r="V45" s="23">
        <f>Feedstocks!S45/Production!Q12*100</f>
        <v>9.2938615131342869E-2</v>
      </c>
    </row>
    <row r="46" spans="1:22" x14ac:dyDescent="0.25">
      <c r="A46">
        <v>2020</v>
      </c>
      <c r="B46" t="s">
        <v>26</v>
      </c>
      <c r="C46" s="17">
        <v>0</v>
      </c>
      <c r="D46" s="17">
        <v>1.6233345300000004</v>
      </c>
      <c r="E46" s="17">
        <v>42.510904600000003</v>
      </c>
      <c r="F46" s="17">
        <v>3.27963987</v>
      </c>
      <c r="G46" s="17">
        <v>8.4111392399999989</v>
      </c>
      <c r="H46" s="17">
        <v>13.473823958000001</v>
      </c>
      <c r="I46" s="17">
        <v>0.43923284000000001</v>
      </c>
      <c r="J46" s="17">
        <v>6.7639945099999998</v>
      </c>
      <c r="K46" s="17">
        <v>1.2966070679999999</v>
      </c>
      <c r="L46" s="17">
        <v>1.1487258</v>
      </c>
      <c r="M46" s="17">
        <v>10.478233439999999</v>
      </c>
      <c r="N46" s="17">
        <v>0.2065545</v>
      </c>
      <c r="O46" s="17">
        <v>396.74454696800001</v>
      </c>
      <c r="P46" s="17">
        <v>62.047872250000005</v>
      </c>
      <c r="Q46" s="17">
        <f t="shared" si="2"/>
        <v>425.411059104</v>
      </c>
      <c r="R46" s="17">
        <f t="shared" si="0"/>
        <v>123.01355046999998</v>
      </c>
      <c r="S46" s="17">
        <f t="shared" si="3"/>
        <v>548.42460957399999</v>
      </c>
      <c r="V46" s="23">
        <f>Feedstocks!S46/Production!Q13*100</f>
        <v>9.2327141578079239E-2</v>
      </c>
    </row>
    <row r="47" spans="1:22" x14ac:dyDescent="0.25">
      <c r="A47">
        <v>2020</v>
      </c>
      <c r="B47" t="s">
        <v>27</v>
      </c>
      <c r="C47" s="17">
        <v>0</v>
      </c>
      <c r="D47" s="17">
        <v>1.8271849500000004</v>
      </c>
      <c r="E47" s="17">
        <v>41.725082</v>
      </c>
      <c r="F47" s="17">
        <v>1.5913865999999999</v>
      </c>
      <c r="G47" s="17">
        <v>7.2371594399999992</v>
      </c>
      <c r="H47" s="17">
        <v>13.234362246</v>
      </c>
      <c r="I47" s="17">
        <v>0.69840420000000003</v>
      </c>
      <c r="J47" s="17">
        <v>6.0260527600000007</v>
      </c>
      <c r="K47" s="17">
        <v>0</v>
      </c>
      <c r="L47" s="17">
        <v>1.0716417599999999</v>
      </c>
      <c r="M47" s="17">
        <v>12.28916806</v>
      </c>
      <c r="N47" s="17">
        <v>0</v>
      </c>
      <c r="O47" s="17">
        <v>405.70907661199999</v>
      </c>
      <c r="P47" s="17">
        <v>67.008487909999999</v>
      </c>
      <c r="Q47" s="17">
        <f t="shared" si="2"/>
        <v>434.829837828</v>
      </c>
      <c r="R47" s="17">
        <f t="shared" si="0"/>
        <v>123.58816870999999</v>
      </c>
      <c r="S47" s="17">
        <f t="shared" si="3"/>
        <v>558.41800653799999</v>
      </c>
      <c r="V47" s="23">
        <f>Feedstocks!S47/Production!Q14*100</f>
        <v>9.5016294613895144E-2</v>
      </c>
    </row>
    <row r="48" spans="1:22" x14ac:dyDescent="0.25">
      <c r="A48">
        <v>2020</v>
      </c>
      <c r="B48" t="s">
        <v>28</v>
      </c>
      <c r="C48" s="17">
        <v>0</v>
      </c>
      <c r="D48" s="17">
        <v>0.50908107000000002</v>
      </c>
      <c r="E48" s="17">
        <v>39.725442680000008</v>
      </c>
      <c r="F48" s="17">
        <v>1.2384702299999999</v>
      </c>
      <c r="G48" s="17">
        <v>6.2031664800000001</v>
      </c>
      <c r="H48" s="17">
        <v>11.225138218</v>
      </c>
      <c r="I48" s="17">
        <v>0.65741360000000004</v>
      </c>
      <c r="J48" s="17">
        <v>5.6961759399999998</v>
      </c>
      <c r="K48" s="17">
        <v>0</v>
      </c>
      <c r="L48" s="17">
        <v>0.43563104000000002</v>
      </c>
      <c r="M48" s="17">
        <v>14.20571898</v>
      </c>
      <c r="N48" s="17">
        <v>0</v>
      </c>
      <c r="O48" s="17">
        <v>380.21778058600006</v>
      </c>
      <c r="P48" s="17">
        <v>62.477966460000005</v>
      </c>
      <c r="Q48" s="17">
        <f t="shared" si="2"/>
        <v>407.25076349400007</v>
      </c>
      <c r="R48" s="17">
        <f t="shared" si="0"/>
        <v>115.34122179000002</v>
      </c>
      <c r="S48" s="17">
        <f t="shared" si="3"/>
        <v>522.59198528400009</v>
      </c>
      <c r="V48" s="23">
        <f>Feedstocks!S48/Production!Q15*100</f>
        <v>9.43186098012046E-2</v>
      </c>
    </row>
    <row r="49" spans="1:22" x14ac:dyDescent="0.25">
      <c r="A49">
        <v>2020</v>
      </c>
      <c r="B49" t="s">
        <v>29</v>
      </c>
      <c r="C49" s="17">
        <v>0.14725244000000001</v>
      </c>
      <c r="D49" s="17">
        <v>1.0059345000000002</v>
      </c>
      <c r="E49" s="17">
        <v>53.759560600000022</v>
      </c>
      <c r="F49" s="17">
        <v>1.76613306</v>
      </c>
      <c r="G49" s="17">
        <v>9.1674063599999993</v>
      </c>
      <c r="H49" s="17">
        <v>11.316718091</v>
      </c>
      <c r="I49" s="17">
        <v>0.60199280000000011</v>
      </c>
      <c r="J49" s="17">
        <v>5.5178705399999997</v>
      </c>
      <c r="K49" s="17">
        <v>0</v>
      </c>
      <c r="L49" s="17">
        <v>0.40177872000000003</v>
      </c>
      <c r="M49" s="17">
        <v>17.676992210000002</v>
      </c>
      <c r="N49" s="17">
        <v>0</v>
      </c>
      <c r="O49" s="17">
        <v>334.00530148999997</v>
      </c>
      <c r="P49" s="17">
        <v>53.640240290000001</v>
      </c>
      <c r="Q49" s="17">
        <f t="shared" si="2"/>
        <v>365.15597025099999</v>
      </c>
      <c r="R49" s="17">
        <f t="shared" si="0"/>
        <v>123.85121084999997</v>
      </c>
      <c r="S49" s="17">
        <f t="shared" si="3"/>
        <v>489.00718110099996</v>
      </c>
      <c r="V49" s="23">
        <f>Feedstocks!S49/Production!Q16*100</f>
        <v>9.483204774432985E-2</v>
      </c>
    </row>
    <row r="50" spans="1:22" x14ac:dyDescent="0.25">
      <c r="A50">
        <v>2021</v>
      </c>
      <c r="B50" t="s">
        <v>19</v>
      </c>
      <c r="C50" s="17">
        <v>0</v>
      </c>
      <c r="D50" s="17">
        <v>0.97543608000000004</v>
      </c>
      <c r="E50" s="17">
        <v>56.175509120000001</v>
      </c>
      <c r="F50" s="17">
        <v>3.0299576999999998</v>
      </c>
      <c r="G50" s="17">
        <v>9.10601664</v>
      </c>
      <c r="H50" s="17">
        <v>11.631196822000001</v>
      </c>
      <c r="I50" s="17">
        <v>0.26852039999999999</v>
      </c>
      <c r="J50" s="17">
        <v>5.3926063100000015</v>
      </c>
      <c r="K50" s="17">
        <v>0</v>
      </c>
      <c r="L50" s="17">
        <v>0.24747908000000005</v>
      </c>
      <c r="M50" s="17">
        <v>14.0138599</v>
      </c>
      <c r="N50" s="17">
        <v>0</v>
      </c>
      <c r="O50" s="17">
        <v>326.95941186300001</v>
      </c>
      <c r="P50" s="17">
        <v>49.221006379999999</v>
      </c>
      <c r="Q50" s="17">
        <f t="shared" si="2"/>
        <v>354.09590414500002</v>
      </c>
      <c r="R50" s="17">
        <f t="shared" si="0"/>
        <v>122.92509615</v>
      </c>
      <c r="S50" s="17">
        <f t="shared" si="3"/>
        <v>477.02100029500002</v>
      </c>
      <c r="V50" s="23">
        <f>Feedstocks!S50/Production!R5*100</f>
        <v>9.4141724884148806E-2</v>
      </c>
    </row>
    <row r="51" spans="1:22" x14ac:dyDescent="0.25">
      <c r="A51">
        <v>2021</v>
      </c>
      <c r="B51" t="s">
        <v>20</v>
      </c>
      <c r="C51" s="17">
        <v>0</v>
      </c>
      <c r="D51" s="17">
        <v>0.84165186000000003</v>
      </c>
      <c r="E51" s="17">
        <v>42.515733679999997</v>
      </c>
      <c r="F51" s="17">
        <v>0.77868914999999994</v>
      </c>
      <c r="G51" s="17">
        <v>9.3353660400000003</v>
      </c>
      <c r="H51" s="17">
        <v>10.374940751</v>
      </c>
      <c r="I51" s="17">
        <v>0.22766320000000001</v>
      </c>
      <c r="J51" s="17">
        <v>8.3206177600000011</v>
      </c>
      <c r="K51" s="17">
        <v>0</v>
      </c>
      <c r="L51" s="17">
        <v>0.34777104000000003</v>
      </c>
      <c r="M51" s="17">
        <v>14.821274129999997</v>
      </c>
      <c r="N51" s="17">
        <v>0</v>
      </c>
      <c r="O51" s="17">
        <v>338.84940075700001</v>
      </c>
      <c r="P51" s="17">
        <v>52.797119829999993</v>
      </c>
      <c r="Q51" s="17">
        <f t="shared" si="2"/>
        <v>365.46270173800002</v>
      </c>
      <c r="R51" s="17">
        <f t="shared" si="0"/>
        <v>113.74752645999996</v>
      </c>
      <c r="S51" s="17">
        <f t="shared" si="3"/>
        <v>479.21022819799998</v>
      </c>
      <c r="V51" s="23">
        <f>Feedstocks!S51/Production!R6*100</f>
        <v>9.0655476656937184E-2</v>
      </c>
    </row>
    <row r="52" spans="1:22" x14ac:dyDescent="0.25">
      <c r="A52">
        <v>2021</v>
      </c>
      <c r="B52" t="s">
        <v>21</v>
      </c>
      <c r="C52" s="17">
        <v>0</v>
      </c>
      <c r="D52" s="17">
        <v>1.1033780399999999</v>
      </c>
      <c r="E52" s="17">
        <v>48.831055280000008</v>
      </c>
      <c r="F52" s="17">
        <v>4.1445242700000007</v>
      </c>
      <c r="G52" s="17">
        <v>6.9902061600000005</v>
      </c>
      <c r="H52" s="17">
        <v>10.315233047</v>
      </c>
      <c r="I52" s="17">
        <v>3.7882840000000001E-2</v>
      </c>
      <c r="J52" s="17">
        <v>8.1849758900000005</v>
      </c>
      <c r="K52" s="17">
        <v>0</v>
      </c>
      <c r="L52" s="17">
        <v>0.26245483999999997</v>
      </c>
      <c r="M52" s="17">
        <v>13.86688886</v>
      </c>
      <c r="N52" s="17">
        <v>0</v>
      </c>
      <c r="O52" s="17">
        <v>419.706129766</v>
      </c>
      <c r="P52" s="17">
        <v>65.386742330000004</v>
      </c>
      <c r="Q52" s="17">
        <f t="shared" si="2"/>
        <v>445.29196739299999</v>
      </c>
      <c r="R52" s="17">
        <f t="shared" si="0"/>
        <v>133.53750393000001</v>
      </c>
      <c r="S52" s="17">
        <f t="shared" si="3"/>
        <v>578.82947132300001</v>
      </c>
      <c r="V52" s="23">
        <f>Feedstocks!S52/Production!R7*100</f>
        <v>9.0011987954241188E-2</v>
      </c>
    </row>
    <row r="53" spans="1:22" x14ac:dyDescent="0.25">
      <c r="A53">
        <v>2021</v>
      </c>
      <c r="B53" t="s">
        <v>22</v>
      </c>
      <c r="C53" s="17">
        <v>0</v>
      </c>
      <c r="D53" s="17">
        <v>2.1159992400000003</v>
      </c>
      <c r="E53" s="17">
        <v>42.32627991999999</v>
      </c>
      <c r="F53" s="17">
        <v>4.0234689900000014</v>
      </c>
      <c r="G53" s="17">
        <v>6.3767491200000004</v>
      </c>
      <c r="H53" s="17">
        <v>3.0375579149999998</v>
      </c>
      <c r="I53" s="17">
        <v>0</v>
      </c>
      <c r="J53" s="17">
        <v>9.4665580100000017</v>
      </c>
      <c r="K53" s="17">
        <v>0</v>
      </c>
      <c r="L53" s="17">
        <v>0.97180703999999996</v>
      </c>
      <c r="M53" s="17">
        <v>14.90344694</v>
      </c>
      <c r="N53" s="17">
        <v>0.1227258</v>
      </c>
      <c r="O53" s="17">
        <v>430.84061611499999</v>
      </c>
      <c r="P53" s="17">
        <v>64.082787860000025</v>
      </c>
      <c r="Q53" s="17">
        <f t="shared" si="2"/>
        <v>451.99215305000001</v>
      </c>
      <c r="R53" s="17">
        <f t="shared" si="0"/>
        <v>126.27584389999998</v>
      </c>
      <c r="S53" s="17">
        <f t="shared" si="3"/>
        <v>578.26799695</v>
      </c>
      <c r="V53" s="23">
        <f>Feedstocks!S53/Production!R8*100</f>
        <v>9.1649603668730456E-2</v>
      </c>
    </row>
    <row r="54" spans="1:22" x14ac:dyDescent="0.25">
      <c r="A54">
        <v>2021</v>
      </c>
      <c r="B54" t="s">
        <v>9</v>
      </c>
      <c r="C54" s="17">
        <v>0</v>
      </c>
      <c r="D54" s="17">
        <v>1.0829068799999999</v>
      </c>
      <c r="E54" s="17">
        <v>35.153716119999999</v>
      </c>
      <c r="F54" s="17">
        <v>1.6408026000000002</v>
      </c>
      <c r="G54" s="17">
        <v>10.166490599999999</v>
      </c>
      <c r="H54" s="17">
        <v>3.6143050650000004</v>
      </c>
      <c r="I54" s="17">
        <v>0</v>
      </c>
      <c r="J54" s="17">
        <v>8.2474974400000036</v>
      </c>
      <c r="K54" s="17">
        <v>0</v>
      </c>
      <c r="L54" s="17">
        <v>0.25383996000000003</v>
      </c>
      <c r="M54" s="17">
        <v>14.836740550000002</v>
      </c>
      <c r="N54" s="17">
        <v>0</v>
      </c>
      <c r="O54" s="17">
        <v>357.31997055300008</v>
      </c>
      <c r="P54" s="17">
        <v>64.942300150000008</v>
      </c>
      <c r="Q54" s="17">
        <f t="shared" si="2"/>
        <v>377.10776300800006</v>
      </c>
      <c r="R54" s="17">
        <f t="shared" si="0"/>
        <v>120.15080691000003</v>
      </c>
      <c r="S54" s="17">
        <f t="shared" si="3"/>
        <v>497.25856991800009</v>
      </c>
      <c r="V54" s="23">
        <f>Feedstocks!S54/Production!R9*100</f>
        <v>9.1790337794084714E-2</v>
      </c>
    </row>
    <row r="55" spans="1:22" x14ac:dyDescent="0.25">
      <c r="A55">
        <v>2021</v>
      </c>
      <c r="B55" t="s">
        <v>23</v>
      </c>
      <c r="C55" s="17">
        <v>0</v>
      </c>
      <c r="D55" s="17">
        <v>1.2607107900000001</v>
      </c>
      <c r="E55" s="17">
        <v>31.646140680000002</v>
      </c>
      <c r="F55" s="17">
        <v>1.9130760599999996</v>
      </c>
      <c r="G55" s="17">
        <v>7.5322581599999996</v>
      </c>
      <c r="H55" s="17">
        <v>5.0948428299999993</v>
      </c>
      <c r="I55" s="17">
        <v>0</v>
      </c>
      <c r="J55" s="17">
        <v>6.7971540000000008</v>
      </c>
      <c r="K55" s="17">
        <v>0</v>
      </c>
      <c r="L55" s="17">
        <v>0.65729860000000007</v>
      </c>
      <c r="M55" s="17">
        <v>9.3976630800000009</v>
      </c>
      <c r="N55" s="17">
        <v>0</v>
      </c>
      <c r="O55" s="17">
        <v>359.79322592500006</v>
      </c>
      <c r="P55" s="17">
        <v>55.321967610000002</v>
      </c>
      <c r="Q55" s="17">
        <f t="shared" si="2"/>
        <v>376.20374122500004</v>
      </c>
      <c r="R55" s="17">
        <f t="shared" si="0"/>
        <v>103.21059651000002</v>
      </c>
      <c r="S55" s="17">
        <f t="shared" si="3"/>
        <v>479.41433773500006</v>
      </c>
      <c r="V55" s="23">
        <f>Feedstocks!S55/Production!R10*100</f>
        <v>9.0855679261488631E-2</v>
      </c>
    </row>
    <row r="56" spans="1:22" x14ac:dyDescent="0.25">
      <c r="A56">
        <v>2021</v>
      </c>
      <c r="B56" t="s">
        <v>24</v>
      </c>
      <c r="C56" s="17">
        <v>0</v>
      </c>
      <c r="D56" s="17">
        <v>0.77082863999999995</v>
      </c>
      <c r="E56" s="17">
        <v>30.432300960000003</v>
      </c>
      <c r="F56" s="17">
        <v>2.8290642600000004</v>
      </c>
      <c r="G56" s="17">
        <v>13.353028079999998</v>
      </c>
      <c r="H56" s="17">
        <v>5.5904492350000003</v>
      </c>
      <c r="I56" s="17">
        <v>0</v>
      </c>
      <c r="J56" s="17">
        <v>8.5324184400000007</v>
      </c>
      <c r="K56" s="17">
        <v>0</v>
      </c>
      <c r="L56" s="17">
        <v>0.32804348000000005</v>
      </c>
      <c r="M56" s="17">
        <v>8.3809902699999999</v>
      </c>
      <c r="N56" s="17">
        <v>0</v>
      </c>
      <c r="O56" s="17">
        <v>397.91063993100005</v>
      </c>
      <c r="P56" s="17">
        <v>55.461215809999999</v>
      </c>
      <c r="Q56" s="17">
        <f t="shared" si="2"/>
        <v>412.98095155600004</v>
      </c>
      <c r="R56" s="17">
        <f t="shared" si="0"/>
        <v>110.60802755000009</v>
      </c>
      <c r="S56" s="17">
        <f t="shared" si="3"/>
        <v>523.58897910600012</v>
      </c>
      <c r="V56" s="23">
        <f>Feedstocks!S56/Production!R11*100</f>
        <v>9.3390887119963198E-2</v>
      </c>
    </row>
    <row r="57" spans="1:22" x14ac:dyDescent="0.25">
      <c r="A57">
        <v>2021</v>
      </c>
      <c r="B57" t="s">
        <v>25</v>
      </c>
      <c r="C57" s="17">
        <v>0</v>
      </c>
      <c r="D57" s="17">
        <v>0.83849730000000011</v>
      </c>
      <c r="E57" s="17">
        <v>29.575442399999996</v>
      </c>
      <c r="F57" s="17">
        <v>4.6935804000000001</v>
      </c>
      <c r="G57" s="17">
        <v>12.52022184</v>
      </c>
      <c r="H57" s="17">
        <v>5.4032326809999995</v>
      </c>
      <c r="I57" s="17">
        <v>0</v>
      </c>
      <c r="J57" s="17">
        <v>8.0618001100000001</v>
      </c>
      <c r="K57" s="17">
        <v>0</v>
      </c>
      <c r="L57" s="17">
        <v>0.50608372000000001</v>
      </c>
      <c r="M57" s="17">
        <v>8.9514117399999993</v>
      </c>
      <c r="N57" s="17">
        <v>0</v>
      </c>
      <c r="O57" s="17">
        <v>399.99276362499995</v>
      </c>
      <c r="P57" s="17">
        <v>60.674853330000005</v>
      </c>
      <c r="Q57" s="17">
        <f t="shared" si="2"/>
        <v>415.69198906599996</v>
      </c>
      <c r="R57" s="17">
        <f t="shared" si="0"/>
        <v>115.52589807999999</v>
      </c>
      <c r="S57" s="17">
        <f t="shared" si="3"/>
        <v>531.21788714599995</v>
      </c>
      <c r="V57" s="23">
        <f>Feedstocks!S57/Production!R12*100</f>
        <v>9.2818002157191035E-2</v>
      </c>
    </row>
    <row r="58" spans="1:22" x14ac:dyDescent="0.25">
      <c r="A58">
        <v>2021</v>
      </c>
      <c r="B58" t="s">
        <v>26</v>
      </c>
      <c r="C58" s="17">
        <v>0.14451360000000002</v>
      </c>
      <c r="D58" s="17">
        <v>0.73244567999999999</v>
      </c>
      <c r="E58" s="17">
        <v>39.675058879999995</v>
      </c>
      <c r="F58" s="17">
        <v>6.4324259100000001</v>
      </c>
      <c r="G58" s="17">
        <v>11.90647248</v>
      </c>
      <c r="H58" s="17">
        <v>9.1651188089999991</v>
      </c>
      <c r="I58" s="17">
        <v>0</v>
      </c>
      <c r="J58" s="17">
        <v>10.320361870000001</v>
      </c>
      <c r="K58" s="17">
        <v>0</v>
      </c>
      <c r="L58" s="17">
        <v>0</v>
      </c>
      <c r="M58" s="17">
        <v>10.690396089999998</v>
      </c>
      <c r="N58" s="17">
        <v>0</v>
      </c>
      <c r="O58" s="17">
        <v>370.523279511</v>
      </c>
      <c r="P58" s="17">
        <v>63.728743259999995</v>
      </c>
      <c r="Q58" s="17">
        <f t="shared" si="2"/>
        <v>391.25575369000001</v>
      </c>
      <c r="R58" s="17">
        <f t="shared" si="0"/>
        <v>132.06306240000004</v>
      </c>
      <c r="S58" s="17">
        <f t="shared" si="3"/>
        <v>523.31881609000004</v>
      </c>
      <c r="V58" s="23">
        <f>Feedstocks!S58/Production!R13*100</f>
        <v>9.1071269825326817E-2</v>
      </c>
    </row>
    <row r="59" spans="1:22" x14ac:dyDescent="0.25">
      <c r="A59">
        <v>2021</v>
      </c>
      <c r="B59" t="s">
        <v>27</v>
      </c>
      <c r="C59" s="17">
        <v>0</v>
      </c>
      <c r="D59" s="17">
        <v>0.69926420999999994</v>
      </c>
      <c r="E59" s="17">
        <v>40.29387572000001</v>
      </c>
      <c r="F59" s="17">
        <v>7.0934545199999999</v>
      </c>
      <c r="G59" s="17">
        <v>10.014246480000001</v>
      </c>
      <c r="H59" s="17">
        <v>10.486384678</v>
      </c>
      <c r="I59" s="17">
        <v>1.1145809200000001</v>
      </c>
      <c r="J59" s="17">
        <v>11.155840150000001</v>
      </c>
      <c r="K59" s="17">
        <v>0</v>
      </c>
      <c r="L59" s="17">
        <v>6.878012E-2</v>
      </c>
      <c r="M59" s="17">
        <v>13.3178354</v>
      </c>
      <c r="N59" s="17">
        <v>0</v>
      </c>
      <c r="O59" s="17">
        <v>404.94928342400004</v>
      </c>
      <c r="P59" s="17">
        <v>67.794494949999986</v>
      </c>
      <c r="Q59" s="17">
        <f t="shared" si="2"/>
        <v>430.63612875200005</v>
      </c>
      <c r="R59" s="17">
        <f t="shared" si="0"/>
        <v>136.35191182</v>
      </c>
      <c r="S59" s="17">
        <f t="shared" si="3"/>
        <v>566.98804057200005</v>
      </c>
      <c r="V59" s="23">
        <f>Feedstocks!S59/Production!R14*100</f>
        <v>9.1747013095916388E-2</v>
      </c>
    </row>
    <row r="60" spans="1:22" x14ac:dyDescent="0.25">
      <c r="A60">
        <v>2021</v>
      </c>
      <c r="B60" t="s">
        <v>28</v>
      </c>
      <c r="C60" s="17">
        <v>0.15472743999999999</v>
      </c>
      <c r="D60" s="17">
        <v>0.78258756000000007</v>
      </c>
      <c r="E60" s="17">
        <v>41.571649920000006</v>
      </c>
      <c r="F60" s="17">
        <v>7.2703507499999986</v>
      </c>
      <c r="G60" s="17">
        <v>7.7947195199999992</v>
      </c>
      <c r="H60" s="17">
        <v>9.2229319909999994</v>
      </c>
      <c r="I60" s="17">
        <v>1.4299035600000001</v>
      </c>
      <c r="J60" s="17">
        <v>9.323618849999999</v>
      </c>
      <c r="K60" s="17">
        <v>0</v>
      </c>
      <c r="L60" s="17">
        <v>0.6214020400000001</v>
      </c>
      <c r="M60" s="17">
        <v>13.94448262</v>
      </c>
      <c r="N60" s="17">
        <v>0</v>
      </c>
      <c r="O60" s="17">
        <v>349.47802589000003</v>
      </c>
      <c r="P60" s="17">
        <v>60.959255630000001</v>
      </c>
      <c r="Q60" s="17">
        <f t="shared" si="2"/>
        <v>375.63406110100004</v>
      </c>
      <c r="R60" s="17">
        <f t="shared" si="0"/>
        <v>126.91959467000004</v>
      </c>
      <c r="S60" s="17">
        <f t="shared" si="3"/>
        <v>502.55365577100008</v>
      </c>
      <c r="V60" s="23">
        <f>Feedstocks!S60/Production!R15*100</f>
        <v>9.5116966078994766E-2</v>
      </c>
    </row>
    <row r="61" spans="1:22" x14ac:dyDescent="0.25">
      <c r="A61">
        <v>2021</v>
      </c>
      <c r="B61" t="s">
        <v>29</v>
      </c>
      <c r="C61" s="17">
        <v>0.20909116</v>
      </c>
      <c r="D61" s="17">
        <v>1.0044613800000002</v>
      </c>
      <c r="E61" s="17">
        <v>44.022393760000007</v>
      </c>
      <c r="F61" s="17">
        <v>5.4810287100000004</v>
      </c>
      <c r="G61" s="17">
        <v>6.9513166799999997</v>
      </c>
      <c r="H61" s="17">
        <v>10.133039819000002</v>
      </c>
      <c r="I61" s="17">
        <v>0.41946480000000003</v>
      </c>
      <c r="J61" s="17">
        <v>9.9122614500000026</v>
      </c>
      <c r="K61" s="17">
        <v>0</v>
      </c>
      <c r="L61" s="17">
        <v>0.37407936000000003</v>
      </c>
      <c r="M61" s="17">
        <v>13.415880470000001</v>
      </c>
      <c r="N61" s="17">
        <v>0</v>
      </c>
      <c r="O61" s="17">
        <v>354.89669076400008</v>
      </c>
      <c r="P61" s="17">
        <v>45.649142629999993</v>
      </c>
      <c r="Q61" s="17">
        <f t="shared" si="2"/>
        <v>380.45270775300008</v>
      </c>
      <c r="R61" s="17">
        <f t="shared" si="0"/>
        <v>112.01614323000001</v>
      </c>
      <c r="S61" s="17">
        <f t="shared" si="3"/>
        <v>492.4688509830001</v>
      </c>
      <c r="V61" s="23">
        <f>Feedstocks!S61/Production!R16*100</f>
        <v>9.3674263796404103E-2</v>
      </c>
    </row>
    <row r="62" spans="1:22" x14ac:dyDescent="0.25">
      <c r="A62">
        <v>2022</v>
      </c>
      <c r="B62" t="s">
        <v>19</v>
      </c>
      <c r="C62" s="17">
        <v>0.13590884</v>
      </c>
      <c r="D62" s="17">
        <v>0.38120421000000004</v>
      </c>
      <c r="E62" s="17">
        <v>40.737573320000003</v>
      </c>
      <c r="F62" s="17">
        <v>5.6400029400000005</v>
      </c>
      <c r="G62" s="17">
        <v>10.76986176</v>
      </c>
      <c r="H62" s="17">
        <v>5.7648708880000017</v>
      </c>
      <c r="I62" s="17">
        <v>0.27044688</v>
      </c>
      <c r="J62" s="17">
        <v>11.210521139999997</v>
      </c>
      <c r="K62" s="17">
        <v>0</v>
      </c>
      <c r="L62" s="17">
        <v>0.25487219999999999</v>
      </c>
      <c r="M62" s="17">
        <v>12.205716320000001</v>
      </c>
      <c r="N62" s="17">
        <v>0</v>
      </c>
      <c r="O62" s="17">
        <v>281.43780973700001</v>
      </c>
      <c r="P62" s="17">
        <v>65.227448649999999</v>
      </c>
      <c r="Q62" s="17">
        <f t="shared" si="2"/>
        <v>300.450829075</v>
      </c>
      <c r="R62" s="17">
        <f t="shared" si="0"/>
        <v>133.58540780999999</v>
      </c>
      <c r="S62" s="17">
        <f t="shared" si="3"/>
        <v>434.03623688499999</v>
      </c>
      <c r="V62" s="23">
        <f>Feedstocks!S62/Production!S5*100</f>
        <v>9.5625553858441598E-2</v>
      </c>
    </row>
    <row r="63" spans="1:22" x14ac:dyDescent="0.25">
      <c r="A63">
        <v>2022</v>
      </c>
      <c r="B63" t="s">
        <v>20</v>
      </c>
      <c r="C63" s="17">
        <v>8.5569200000000012E-2</v>
      </c>
      <c r="D63" s="17">
        <v>0.36343749000000003</v>
      </c>
      <c r="E63" s="17">
        <v>39.95747312000001</v>
      </c>
      <c r="F63" s="17">
        <v>5.7742395900000005</v>
      </c>
      <c r="G63" s="17">
        <v>9.0589321199999997</v>
      </c>
      <c r="H63" s="17">
        <v>8.8869386059999993</v>
      </c>
      <c r="I63" s="17">
        <v>5.7173400000000006E-2</v>
      </c>
      <c r="J63" s="17">
        <v>9.9957967199999977</v>
      </c>
      <c r="K63" s="17">
        <v>0</v>
      </c>
      <c r="L63" s="17">
        <v>0.35109592000000001</v>
      </c>
      <c r="M63" s="17">
        <v>8.4086772800000009</v>
      </c>
      <c r="N63" s="17">
        <v>0</v>
      </c>
      <c r="O63" s="17">
        <v>308.27332414199998</v>
      </c>
      <c r="P63" s="17">
        <v>63.075121199999991</v>
      </c>
      <c r="Q63" s="17">
        <f t="shared" si="2"/>
        <v>326.42621603800001</v>
      </c>
      <c r="R63" s="17">
        <f t="shared" si="0"/>
        <v>127.86156275000002</v>
      </c>
      <c r="S63" s="17">
        <f t="shared" si="3"/>
        <v>454.28777878800003</v>
      </c>
      <c r="V63" s="23">
        <f>Feedstocks!S63/Production!S6*100</f>
        <v>9.2803763148995383E-2</v>
      </c>
    </row>
    <row r="64" spans="1:22" x14ac:dyDescent="0.25">
      <c r="A64">
        <v>2022</v>
      </c>
      <c r="B64" t="s">
        <v>21</v>
      </c>
      <c r="C64" s="17">
        <v>0</v>
      </c>
      <c r="D64" s="17">
        <v>1.0989996000000002</v>
      </c>
      <c r="E64" s="17">
        <v>35.211615399999999</v>
      </c>
      <c r="F64" s="17">
        <v>8.180358570000001</v>
      </c>
      <c r="G64" s="17">
        <v>13.65285516</v>
      </c>
      <c r="H64" s="17">
        <v>6.1295425310000011</v>
      </c>
      <c r="I64" s="17">
        <v>0.46904268000000005</v>
      </c>
      <c r="J64" s="17">
        <v>8.5184817899999992</v>
      </c>
      <c r="K64" s="17">
        <v>0</v>
      </c>
      <c r="L64" s="17">
        <v>0.89636888000000015</v>
      </c>
      <c r="M64" s="17">
        <v>12.834634820000002</v>
      </c>
      <c r="N64" s="17">
        <v>0</v>
      </c>
      <c r="O64" s="17">
        <v>301.72246687799992</v>
      </c>
      <c r="P64" s="17">
        <v>76.538814169999995</v>
      </c>
      <c r="Q64" s="17">
        <f t="shared" si="2"/>
        <v>323.15105538899991</v>
      </c>
      <c r="R64" s="17">
        <f t="shared" si="0"/>
        <v>142.10212509000007</v>
      </c>
      <c r="S64" s="17">
        <f t="shared" si="3"/>
        <v>465.25318047899998</v>
      </c>
      <c r="V64" s="23">
        <f>Feedstocks!S64/Production!S7*100</f>
        <v>9.3014237020455248E-2</v>
      </c>
    </row>
    <row r="65" spans="1:24" x14ac:dyDescent="0.25">
      <c r="A65">
        <v>2022</v>
      </c>
      <c r="B65" t="s">
        <v>22</v>
      </c>
      <c r="C65" s="17">
        <v>0</v>
      </c>
      <c r="D65" s="17">
        <v>0.49784853000000007</v>
      </c>
      <c r="E65" s="17">
        <v>31.37457508</v>
      </c>
      <c r="F65" s="17">
        <v>7.1351005499999989</v>
      </c>
      <c r="G65" s="17">
        <v>12.12866928</v>
      </c>
      <c r="H65" s="17">
        <v>3.4170941279999996</v>
      </c>
      <c r="I65" s="17">
        <v>2.9927600000000002E-2</v>
      </c>
      <c r="J65" s="17">
        <v>8.022295190000003</v>
      </c>
      <c r="K65" s="17">
        <v>0</v>
      </c>
      <c r="L65" s="17">
        <v>0.34701388</v>
      </c>
      <c r="M65" s="17">
        <v>12.58249337</v>
      </c>
      <c r="N65" s="17">
        <v>0</v>
      </c>
      <c r="O65" s="17">
        <v>300.01168325100002</v>
      </c>
      <c r="P65" s="17">
        <v>76.503480690000018</v>
      </c>
      <c r="Q65" s="17">
        <f t="shared" si="2"/>
        <v>316.88606075900003</v>
      </c>
      <c r="R65" s="17">
        <f t="shared" si="0"/>
        <v>135.16412078999997</v>
      </c>
      <c r="S65" s="17">
        <f t="shared" si="3"/>
        <v>452.050181549</v>
      </c>
      <c r="V65" s="23">
        <f>Feedstocks!S65/Production!S8*100</f>
        <v>9.4241841151440908E-2</v>
      </c>
    </row>
    <row r="66" spans="1:24" x14ac:dyDescent="0.25">
      <c r="A66">
        <v>2022</v>
      </c>
      <c r="B66" t="s">
        <v>9</v>
      </c>
      <c r="C66" s="17">
        <v>3.1646160000000007E-2</v>
      </c>
      <c r="D66" s="17">
        <v>0.45550191000000001</v>
      </c>
      <c r="E66" s="17">
        <v>36.447756840000004</v>
      </c>
      <c r="F66" s="17">
        <v>4.5042423000000005</v>
      </c>
      <c r="G66" s="17">
        <v>10.196596199999997</v>
      </c>
      <c r="H66" s="17">
        <v>1.5162915950000002</v>
      </c>
      <c r="I66" s="17">
        <v>0</v>
      </c>
      <c r="J66" s="17">
        <v>10.908595879999998</v>
      </c>
      <c r="K66" s="17">
        <v>0</v>
      </c>
      <c r="L66" s="17">
        <v>0.38850036000000004</v>
      </c>
      <c r="M66" s="17">
        <v>8.2950581000000003</v>
      </c>
      <c r="N66" s="17">
        <v>0</v>
      </c>
      <c r="O66" s="17">
        <v>349.12505333300004</v>
      </c>
      <c r="P66" s="17">
        <v>87.729146049999997</v>
      </c>
      <c r="Q66" s="17">
        <f t="shared" si="2"/>
        <v>359.81205145800004</v>
      </c>
      <c r="R66" s="17">
        <f t="shared" ref="R66:R129" si="4">S66-Q66</f>
        <v>149.78633726999999</v>
      </c>
      <c r="S66" s="17">
        <f t="shared" ref="S66:S81" si="5">SUM(C66:P66)</f>
        <v>509.59838872800003</v>
      </c>
      <c r="V66" s="23">
        <f>Feedstocks!S66/Production!S9*100</f>
        <v>9.5057132087076043E-2</v>
      </c>
    </row>
    <row r="67" spans="1:24" x14ac:dyDescent="0.25">
      <c r="A67">
        <v>2022</v>
      </c>
      <c r="B67" t="s">
        <v>23</v>
      </c>
      <c r="C67" s="17">
        <v>7.2219999999999993E-2</v>
      </c>
      <c r="D67" s="17">
        <v>0.46923150000000002</v>
      </c>
      <c r="E67" s="17">
        <v>35.679916559999995</v>
      </c>
      <c r="F67" s="17">
        <v>3.8650193700000006</v>
      </c>
      <c r="G67" s="17">
        <v>9.5212807199999983</v>
      </c>
      <c r="H67" s="17">
        <v>1.9628660100000002</v>
      </c>
      <c r="I67" s="17">
        <v>0</v>
      </c>
      <c r="J67" s="17">
        <v>9.6146878100000031</v>
      </c>
      <c r="K67" s="17">
        <v>0</v>
      </c>
      <c r="L67" s="17">
        <v>0.80796884000000013</v>
      </c>
      <c r="M67" s="17">
        <v>8.236238890000001</v>
      </c>
      <c r="N67" s="17">
        <v>0</v>
      </c>
      <c r="O67" s="17">
        <v>332.27652999100002</v>
      </c>
      <c r="P67" s="17">
        <v>81.080434890000006</v>
      </c>
      <c r="Q67" s="17">
        <f t="shared" ref="Q67:Q87" si="6">C67+D67+H67+I67+K67+L67+M67+N67+O67</f>
        <v>343.82505523100002</v>
      </c>
      <c r="R67" s="17">
        <f t="shared" si="4"/>
        <v>139.76133935000001</v>
      </c>
      <c r="S67" s="17">
        <f t="shared" si="5"/>
        <v>483.58639458100004</v>
      </c>
      <c r="V67" s="23">
        <f>Feedstocks!S67/Production!S10*100</f>
        <v>9.5218827090039607E-2</v>
      </c>
    </row>
    <row r="68" spans="1:24" x14ac:dyDescent="0.25">
      <c r="A68">
        <v>2022</v>
      </c>
      <c r="B68" t="s">
        <v>24</v>
      </c>
      <c r="C68" s="17">
        <v>3.4259879999999993E-2</v>
      </c>
      <c r="D68" s="17">
        <v>0.43355484</v>
      </c>
      <c r="E68" s="17">
        <v>41.938036240000002</v>
      </c>
      <c r="F68" s="17">
        <v>3.33915483</v>
      </c>
      <c r="G68" s="17">
        <v>11.740133159999999</v>
      </c>
      <c r="H68" s="17">
        <v>3.2410851480000002</v>
      </c>
      <c r="I68" s="17">
        <v>0</v>
      </c>
      <c r="J68" s="17">
        <v>13.639644200000001</v>
      </c>
      <c r="K68" s="17">
        <v>0</v>
      </c>
      <c r="L68" s="17">
        <v>0.20612324000000004</v>
      </c>
      <c r="M68" s="17">
        <v>12.280587570000002</v>
      </c>
      <c r="N68" s="17">
        <v>0</v>
      </c>
      <c r="O68" s="17">
        <v>356.90801105399999</v>
      </c>
      <c r="P68" s="17">
        <v>88.478866840000009</v>
      </c>
      <c r="Q68" s="17">
        <f t="shared" si="6"/>
        <v>373.10362173199997</v>
      </c>
      <c r="R68" s="17">
        <f t="shared" si="4"/>
        <v>159.13583527000003</v>
      </c>
      <c r="S68" s="17">
        <f t="shared" si="5"/>
        <v>532.23945700199999</v>
      </c>
      <c r="V68" s="23">
        <f>Feedstocks!S68/Production!S11*100</f>
        <v>9.3578994373929969E-2</v>
      </c>
    </row>
    <row r="69" spans="1:24" x14ac:dyDescent="0.25">
      <c r="A69">
        <v>2022</v>
      </c>
      <c r="B69" t="s">
        <v>25</v>
      </c>
      <c r="C69" s="17"/>
      <c r="D69" s="17">
        <v>0.89333847000000011</v>
      </c>
      <c r="E69" s="17">
        <v>37.860451800000007</v>
      </c>
      <c r="F69" s="17">
        <v>4.3859031599999998</v>
      </c>
      <c r="G69" s="17">
        <v>14.725263839999998</v>
      </c>
      <c r="H69" s="17">
        <v>4.6522289380000004</v>
      </c>
      <c r="I69" s="17">
        <v>0</v>
      </c>
      <c r="J69" s="17">
        <v>11.914355179999999</v>
      </c>
      <c r="K69" s="17">
        <v>0</v>
      </c>
      <c r="L69" s="17">
        <v>0.36823551999999998</v>
      </c>
      <c r="M69" s="17">
        <v>14.292434349999999</v>
      </c>
      <c r="N69" s="17">
        <v>0</v>
      </c>
      <c r="O69" s="17">
        <v>362.84431967699999</v>
      </c>
      <c r="P69" s="17">
        <v>90.104426230000016</v>
      </c>
      <c r="Q69" s="17">
        <f t="shared" si="6"/>
        <v>383.05055695499999</v>
      </c>
      <c r="R69" s="17">
        <f t="shared" si="4"/>
        <v>158.99040021000002</v>
      </c>
      <c r="S69" s="17">
        <f t="shared" si="5"/>
        <v>542.04095716500001</v>
      </c>
      <c r="V69" s="23">
        <f>Feedstocks!S69/Production!S12*100</f>
        <v>9.299786522974389E-2</v>
      </c>
    </row>
    <row r="70" spans="1:24" x14ac:dyDescent="0.25">
      <c r="A70">
        <v>2022</v>
      </c>
      <c r="B70" t="s">
        <v>26</v>
      </c>
      <c r="C70" s="17"/>
      <c r="D70" s="17">
        <v>1.2738916800000002</v>
      </c>
      <c r="E70" s="17">
        <v>35.483427560000003</v>
      </c>
      <c r="F70" s="17">
        <v>4.9083929699999995</v>
      </c>
      <c r="G70" s="17">
        <v>17.635534559999996</v>
      </c>
      <c r="H70" s="17">
        <v>7.2304789760000014</v>
      </c>
      <c r="I70" s="17">
        <v>0</v>
      </c>
      <c r="J70" s="17">
        <v>14.541992010000001</v>
      </c>
      <c r="K70" s="17">
        <v>0</v>
      </c>
      <c r="L70" s="17">
        <v>0.48761380000000004</v>
      </c>
      <c r="M70" s="17">
        <v>11.048636220000001</v>
      </c>
      <c r="N70" s="17">
        <v>0</v>
      </c>
      <c r="O70" s="17">
        <v>340.86756461800002</v>
      </c>
      <c r="P70" s="17">
        <v>85.86906328000002</v>
      </c>
      <c r="Q70" s="17">
        <f t="shared" si="6"/>
        <v>360.90818529400002</v>
      </c>
      <c r="R70" s="17">
        <f t="shared" si="4"/>
        <v>158.43841037999999</v>
      </c>
      <c r="S70" s="17">
        <f t="shared" si="5"/>
        <v>519.34659567400001</v>
      </c>
      <c r="V70" s="23">
        <f>Feedstocks!S70/Production!S13*100</f>
        <v>9.4453694477766137E-2</v>
      </c>
    </row>
    <row r="71" spans="1:24" x14ac:dyDescent="0.25">
      <c r="A71">
        <v>2022</v>
      </c>
      <c r="B71" t="s">
        <v>27</v>
      </c>
      <c r="C71" s="17"/>
      <c r="D71" s="17">
        <v>1.09847136</v>
      </c>
      <c r="E71" s="17">
        <v>38.650677520000002</v>
      </c>
      <c r="F71" s="17">
        <v>4.5582423299999988</v>
      </c>
      <c r="G71" s="17">
        <v>14.55121668</v>
      </c>
      <c r="H71" s="17">
        <v>9.5241545700000003</v>
      </c>
      <c r="I71" s="17">
        <v>0.23426511999999999</v>
      </c>
      <c r="J71" s="17">
        <v>9.1833059499999958</v>
      </c>
      <c r="K71" s="17">
        <v>0</v>
      </c>
      <c r="L71" s="17">
        <v>0.57392268000000002</v>
      </c>
      <c r="M71" s="17">
        <v>6.5117731100000009</v>
      </c>
      <c r="N71" s="17">
        <v>0</v>
      </c>
      <c r="O71" s="17">
        <v>360.58511869799997</v>
      </c>
      <c r="P71" s="17">
        <v>79.707708080000018</v>
      </c>
      <c r="Q71" s="17">
        <f t="shared" si="6"/>
        <v>378.52770553799996</v>
      </c>
      <c r="R71" s="17">
        <f t="shared" si="4"/>
        <v>146.65115056000002</v>
      </c>
      <c r="S71" s="17">
        <f t="shared" si="5"/>
        <v>525.17885609799998</v>
      </c>
      <c r="V71" s="23">
        <f>Feedstocks!S71/Production!S14*100</f>
        <v>9.2244398089904839E-2</v>
      </c>
    </row>
    <row r="72" spans="1:24" x14ac:dyDescent="0.25">
      <c r="A72">
        <v>2022</v>
      </c>
      <c r="B72" t="s">
        <v>28</v>
      </c>
      <c r="C72" s="17"/>
      <c r="D72" s="17">
        <v>1.03130955</v>
      </c>
      <c r="E72" s="17">
        <v>48.953533960000001</v>
      </c>
      <c r="F72" s="17">
        <v>7.5930781199999995</v>
      </c>
      <c r="G72" s="17">
        <v>20.93686224</v>
      </c>
      <c r="H72" s="17">
        <v>9.8998036200000001</v>
      </c>
      <c r="I72" s="17">
        <v>0.8308225600000001</v>
      </c>
      <c r="J72" s="17">
        <v>12.378072980000002</v>
      </c>
      <c r="K72" s="17">
        <v>0</v>
      </c>
      <c r="L72" s="17">
        <v>2.0221406800000001</v>
      </c>
      <c r="M72" s="17">
        <v>5.9377204399999997</v>
      </c>
      <c r="N72" s="17">
        <v>0</v>
      </c>
      <c r="O72" s="17">
        <v>300.47120570600003</v>
      </c>
      <c r="P72" s="17">
        <v>73.248549010000005</v>
      </c>
      <c r="Q72" s="17">
        <f t="shared" si="6"/>
        <v>320.19300255600001</v>
      </c>
      <c r="R72" s="17">
        <f t="shared" si="4"/>
        <v>163.11009631000002</v>
      </c>
      <c r="S72" s="17">
        <f t="shared" si="5"/>
        <v>483.30309886600003</v>
      </c>
      <c r="V72" s="23">
        <f>Feedstocks!S72/Production!S15*100</f>
        <v>9.3084584989757593E-2</v>
      </c>
    </row>
    <row r="73" spans="1:24" x14ac:dyDescent="0.25">
      <c r="A73">
        <v>2022</v>
      </c>
      <c r="B73" t="s">
        <v>29</v>
      </c>
      <c r="C73" s="17"/>
      <c r="D73" s="17">
        <v>0.86474004000000004</v>
      </c>
      <c r="E73" s="17">
        <v>46.797463360000002</v>
      </c>
      <c r="F73" s="17">
        <v>6.2760425399999997</v>
      </c>
      <c r="G73" s="17">
        <v>16.716678720000001</v>
      </c>
      <c r="H73" s="17">
        <v>9.1031589529999994</v>
      </c>
      <c r="I73" s="17">
        <v>0.94057580000000007</v>
      </c>
      <c r="J73" s="17">
        <v>15.167433190000001</v>
      </c>
      <c r="K73" s="17">
        <v>0</v>
      </c>
      <c r="L73" s="17">
        <v>4.8499354800000001</v>
      </c>
      <c r="M73" s="17">
        <v>9.7963581600000005</v>
      </c>
      <c r="N73" s="17">
        <v>0.50799780000000005</v>
      </c>
      <c r="O73" s="17">
        <v>279.54531522400003</v>
      </c>
      <c r="P73" s="17">
        <v>71.496585160000009</v>
      </c>
      <c r="Q73" s="17">
        <f t="shared" si="6"/>
        <v>305.60808145700003</v>
      </c>
      <c r="R73" s="17">
        <f t="shared" si="4"/>
        <v>156.45420296999998</v>
      </c>
      <c r="S73" s="17">
        <f t="shared" si="5"/>
        <v>462.06228442700001</v>
      </c>
      <c r="V73" s="23">
        <f>Feedstocks!S73/Production!S16*100</f>
        <v>9.2881492073227198E-2</v>
      </c>
    </row>
    <row r="74" spans="1:24" x14ac:dyDescent="0.25">
      <c r="A74">
        <v>2023</v>
      </c>
      <c r="B74" t="s">
        <v>19</v>
      </c>
      <c r="C74" s="17"/>
      <c r="D74" s="17">
        <v>0.66244923000000011</v>
      </c>
      <c r="E74" s="17">
        <v>43.432702280000008</v>
      </c>
      <c r="F74" s="17">
        <v>5.9864378099999991</v>
      </c>
      <c r="G74" s="17">
        <v>18.574599120000002</v>
      </c>
      <c r="H74" s="17">
        <v>7.5885032859999999</v>
      </c>
      <c r="I74" s="17">
        <v>1.08121252</v>
      </c>
      <c r="J74" s="17">
        <v>13.11723868</v>
      </c>
      <c r="K74" s="17">
        <v>0</v>
      </c>
      <c r="L74" s="17">
        <v>0.41671032000000002</v>
      </c>
      <c r="M74" s="17">
        <v>12.927684320000003</v>
      </c>
      <c r="N74" s="17">
        <v>0</v>
      </c>
      <c r="O74" s="17">
        <v>258.75439338699999</v>
      </c>
      <c r="P74" s="17">
        <v>58.981325130000002</v>
      </c>
      <c r="Q74" s="17">
        <f t="shared" si="6"/>
        <v>281.430953063</v>
      </c>
      <c r="R74" s="17">
        <f t="shared" si="4"/>
        <v>140.09230302000003</v>
      </c>
      <c r="S74" s="17">
        <f t="shared" si="5"/>
        <v>421.52325608300004</v>
      </c>
      <c r="V74" s="23">
        <f>Feedstocks!S74/Production!T5*100</f>
        <v>9.2652761986360091E-2</v>
      </c>
      <c r="X74" s="15">
        <f>J74/S74</f>
        <v>3.1118659506219865E-2</v>
      </c>
    </row>
    <row r="75" spans="1:24" x14ac:dyDescent="0.25">
      <c r="A75">
        <v>2023</v>
      </c>
      <c r="B75" t="s">
        <v>20</v>
      </c>
      <c r="C75" s="17"/>
      <c r="D75" s="17">
        <v>0.37825239000000005</v>
      </c>
      <c r="E75" s="17">
        <v>41.380766479999998</v>
      </c>
      <c r="F75" s="17">
        <v>6.8807238599999998</v>
      </c>
      <c r="G75" s="17">
        <v>12.890194800000002</v>
      </c>
      <c r="H75" s="17">
        <v>5.6326147290000002</v>
      </c>
      <c r="I75" s="17">
        <v>1.52209952</v>
      </c>
      <c r="J75" s="17">
        <v>12.52205955</v>
      </c>
      <c r="K75" s="17">
        <v>0</v>
      </c>
      <c r="L75" s="17">
        <v>0.69481712000000007</v>
      </c>
      <c r="M75" s="17">
        <v>7.5783179600000006</v>
      </c>
      <c r="N75" s="17">
        <v>0</v>
      </c>
      <c r="O75" s="17">
        <v>274.86626128500001</v>
      </c>
      <c r="P75" s="17">
        <v>62.555678640000004</v>
      </c>
      <c r="Q75" s="17">
        <f t="shared" si="6"/>
        <v>290.67236300400003</v>
      </c>
      <c r="R75" s="17">
        <f t="shared" si="4"/>
        <v>136.22942332999997</v>
      </c>
      <c r="S75" s="17">
        <f t="shared" si="5"/>
        <v>426.90178633400001</v>
      </c>
      <c r="V75" s="23">
        <f>Feedstocks!S75/Production!T6*100</f>
        <v>9.3731479263928025E-2</v>
      </c>
    </row>
    <row r="76" spans="1:24" x14ac:dyDescent="0.25">
      <c r="A76">
        <v>2023</v>
      </c>
      <c r="B76" t="s">
        <v>21</v>
      </c>
      <c r="C76" s="17"/>
      <c r="D76" s="17">
        <v>0.47205126000000003</v>
      </c>
      <c r="E76" s="17">
        <v>28.700266639999999</v>
      </c>
      <c r="F76" s="17">
        <v>4.1854212300000002</v>
      </c>
      <c r="G76" s="17">
        <v>11.349623879999999</v>
      </c>
      <c r="H76" s="17">
        <v>6.2499638880000008</v>
      </c>
      <c r="I76" s="17">
        <v>0</v>
      </c>
      <c r="J76" s="17">
        <v>13.668934370000001</v>
      </c>
      <c r="K76" s="17">
        <v>0</v>
      </c>
      <c r="L76" s="17">
        <v>0.64111763999999993</v>
      </c>
      <c r="M76" s="17">
        <v>15.677738039999998</v>
      </c>
      <c r="N76" s="17">
        <v>0.47782080000000005</v>
      </c>
      <c r="O76" s="17">
        <v>342.04720075400002</v>
      </c>
      <c r="P76" s="17">
        <v>90.738905529999997</v>
      </c>
      <c r="Q76" s="17">
        <f t="shared" si="6"/>
        <v>365.56589238200002</v>
      </c>
      <c r="R76" s="17">
        <f t="shared" si="4"/>
        <v>148.64315164999994</v>
      </c>
      <c r="S76" s="17">
        <f t="shared" si="5"/>
        <v>514.20904403199995</v>
      </c>
      <c r="V76" s="23">
        <f>Feedstocks!S76/Production!T7*100</f>
        <v>9.3035409428780386E-2</v>
      </c>
    </row>
    <row r="77" spans="1:24" x14ac:dyDescent="0.25">
      <c r="A77">
        <v>2023</v>
      </c>
      <c r="B77" t="s">
        <v>22</v>
      </c>
      <c r="C77" s="17"/>
      <c r="D77" s="17">
        <v>0.68581269</v>
      </c>
      <c r="E77" s="17">
        <v>23.799234360000003</v>
      </c>
      <c r="F77" s="17">
        <v>7.7535791999999999</v>
      </c>
      <c r="G77" s="17">
        <v>13.027818720000001</v>
      </c>
      <c r="H77" s="17">
        <v>6.3376428429999994</v>
      </c>
      <c r="I77" s="17">
        <v>0.50162723999999992</v>
      </c>
      <c r="J77" s="17">
        <v>11.232341120000001</v>
      </c>
      <c r="K77" s="17">
        <v>0</v>
      </c>
      <c r="L77" s="17">
        <v>0.49324788000000003</v>
      </c>
      <c r="M77" s="17">
        <v>11.340919340000001</v>
      </c>
      <c r="N77" s="17">
        <v>0</v>
      </c>
      <c r="O77" s="17">
        <v>382.00076512499999</v>
      </c>
      <c r="P77" s="17">
        <v>85.70135483</v>
      </c>
      <c r="Q77" s="17">
        <f t="shared" si="6"/>
        <v>401.36001511799998</v>
      </c>
      <c r="R77" s="17">
        <f t="shared" si="4"/>
        <v>141.51432823000005</v>
      </c>
      <c r="S77" s="17">
        <f t="shared" si="5"/>
        <v>542.87434334800002</v>
      </c>
      <c r="V77" s="23">
        <f>Feedstocks!S77/Production!T8*100</f>
        <v>9.3855735849282904E-2</v>
      </c>
    </row>
    <row r="78" spans="1:24" x14ac:dyDescent="0.25">
      <c r="A78">
        <v>2023</v>
      </c>
      <c r="B78" t="s">
        <v>9</v>
      </c>
      <c r="C78" s="17"/>
      <c r="D78" s="17">
        <v>0.97753416000000015</v>
      </c>
      <c r="E78" s="17">
        <v>36.427836079999999</v>
      </c>
      <c r="F78" s="17">
        <v>4.9542698099999996</v>
      </c>
      <c r="G78" s="17">
        <v>11.80892244</v>
      </c>
      <c r="H78" s="17">
        <v>4.4490336590000004</v>
      </c>
      <c r="I78" s="17">
        <v>0</v>
      </c>
      <c r="J78" s="17">
        <v>9.5878255200000009</v>
      </c>
      <c r="K78" s="17">
        <v>0</v>
      </c>
      <c r="L78" s="17">
        <v>1.3078940800000001</v>
      </c>
      <c r="M78" s="17">
        <v>8.4092789200000002</v>
      </c>
      <c r="N78" s="17">
        <v>0</v>
      </c>
      <c r="O78" s="17">
        <v>447.20014278799994</v>
      </c>
      <c r="P78" s="17">
        <v>77.879258729999989</v>
      </c>
      <c r="Q78" s="17">
        <f t="shared" si="6"/>
        <v>462.34388360699995</v>
      </c>
      <c r="R78" s="17">
        <f t="shared" si="4"/>
        <v>140.65811257999997</v>
      </c>
      <c r="S78" s="17">
        <f t="shared" si="5"/>
        <v>603.00199618699992</v>
      </c>
      <c r="V78" s="23">
        <f>Feedstocks!S78/Production!T9*100</f>
        <v>9.294715602921301E-2</v>
      </c>
    </row>
    <row r="79" spans="1:24" x14ac:dyDescent="0.25">
      <c r="A79">
        <v>2023</v>
      </c>
      <c r="B79" t="s">
        <v>23</v>
      </c>
      <c r="C79" s="17"/>
      <c r="D79" s="17">
        <v>1.09340937</v>
      </c>
      <c r="E79" s="17">
        <v>38.358795560000004</v>
      </c>
      <c r="F79" s="17">
        <v>3.3767475300000003</v>
      </c>
      <c r="G79" s="17">
        <v>10.462111800000001</v>
      </c>
      <c r="H79" s="17">
        <v>1.1846732170000001</v>
      </c>
      <c r="I79" s="17">
        <v>0</v>
      </c>
      <c r="J79" s="17">
        <v>10.531491880000001</v>
      </c>
      <c r="K79" s="17">
        <v>0</v>
      </c>
      <c r="L79" s="17">
        <v>1.48164344</v>
      </c>
      <c r="M79" s="17">
        <v>14.22037016</v>
      </c>
      <c r="N79" s="17">
        <v>2.0136599999999998E-2</v>
      </c>
      <c r="O79" s="17">
        <v>415.87001248799999</v>
      </c>
      <c r="P79" s="17">
        <v>85.069630100000012</v>
      </c>
      <c r="Q79" s="17">
        <f t="shared" si="6"/>
        <v>433.870245275</v>
      </c>
      <c r="R79" s="17">
        <f t="shared" si="4"/>
        <v>147.79877686999998</v>
      </c>
      <c r="S79" s="17">
        <f t="shared" si="5"/>
        <v>581.66902214499999</v>
      </c>
      <c r="V79" s="23">
        <f>Feedstocks!S79/Production!T10*100</f>
        <v>8.8499471142234679E-2</v>
      </c>
    </row>
    <row r="80" spans="1:24" x14ac:dyDescent="0.25">
      <c r="A80">
        <v>2023</v>
      </c>
      <c r="B80" t="s">
        <v>24</v>
      </c>
      <c r="C80" s="17"/>
      <c r="D80" s="17">
        <v>1.8902649900000001</v>
      </c>
      <c r="E80" s="17">
        <v>33.802568239999999</v>
      </c>
      <c r="F80" s="17">
        <v>1.9489165800000001</v>
      </c>
      <c r="G80" s="17">
        <v>11.747885520000001</v>
      </c>
      <c r="H80" s="17">
        <v>3.1592722420000001</v>
      </c>
      <c r="I80" s="17">
        <v>0.16692112000000001</v>
      </c>
      <c r="J80" s="17">
        <v>6.8915819699999998</v>
      </c>
      <c r="K80" s="17">
        <v>0</v>
      </c>
      <c r="L80" s="17">
        <v>1.5932688800000001</v>
      </c>
      <c r="M80" s="17">
        <v>16.852489980000001</v>
      </c>
      <c r="N80" s="17">
        <v>1.0958400000000002E-2</v>
      </c>
      <c r="O80" s="17">
        <v>452.06023545200003</v>
      </c>
      <c r="P80" s="17">
        <v>97.785092860000006</v>
      </c>
      <c r="Q80" s="17">
        <f t="shared" si="6"/>
        <v>475.73341106400005</v>
      </c>
      <c r="R80" s="17">
        <f t="shared" si="4"/>
        <v>152.17604516999995</v>
      </c>
      <c r="S80" s="17">
        <f t="shared" si="5"/>
        <v>627.909456234</v>
      </c>
      <c r="V80" s="23">
        <f>Feedstocks!S80/Production!T11*100</f>
        <v>8.7526872897476127E-2</v>
      </c>
    </row>
    <row r="81" spans="1:23" x14ac:dyDescent="0.25">
      <c r="A81">
        <v>2023</v>
      </c>
      <c r="B81" t="s">
        <v>25</v>
      </c>
      <c r="C81" s="17"/>
      <c r="D81" s="17">
        <v>1.9727699399999998</v>
      </c>
      <c r="E81" s="17">
        <v>33.282818840000004</v>
      </c>
      <c r="F81" s="17">
        <v>3.9152818799999993</v>
      </c>
      <c r="G81" s="17">
        <v>8.8933798800000012</v>
      </c>
      <c r="H81" s="17">
        <v>7.5306598429999996</v>
      </c>
      <c r="I81" s="17">
        <v>0.18764964000000003</v>
      </c>
      <c r="J81" s="17">
        <v>7.2780680699999998</v>
      </c>
      <c r="K81" s="17">
        <v>0</v>
      </c>
      <c r="L81" s="17">
        <v>2.0126665200000002</v>
      </c>
      <c r="M81" s="17">
        <v>17.828568110000003</v>
      </c>
      <c r="N81" s="17"/>
      <c r="O81" s="17">
        <v>459.66419660700001</v>
      </c>
      <c r="P81" s="17">
        <v>107.32144241</v>
      </c>
      <c r="Q81" s="17">
        <f t="shared" si="6"/>
        <v>489.19651066</v>
      </c>
      <c r="R81" s="17">
        <f t="shared" si="4"/>
        <v>160.69099108000006</v>
      </c>
      <c r="S81" s="17">
        <f t="shared" si="5"/>
        <v>649.88750174000006</v>
      </c>
      <c r="V81" s="23">
        <f>Feedstocks!S81/Production!T12*100</f>
        <v>9.1820476067198842E-2</v>
      </c>
    </row>
    <row r="82" spans="1:23" x14ac:dyDescent="0.25">
      <c r="A82">
        <v>2023</v>
      </c>
      <c r="B82" t="s">
        <v>26</v>
      </c>
      <c r="C82" s="17"/>
      <c r="D82" s="17">
        <v>1.5493455900000002</v>
      </c>
      <c r="E82" s="17">
        <v>27.45590408</v>
      </c>
      <c r="F82" s="17">
        <v>9.3861689999999998E-2</v>
      </c>
      <c r="G82" s="17">
        <v>2.8834302000000003</v>
      </c>
      <c r="H82" s="17">
        <v>13.203437338000001</v>
      </c>
      <c r="I82" s="17">
        <v>0.60418424000000004</v>
      </c>
      <c r="J82" s="17">
        <v>5.9382195600000012</v>
      </c>
      <c r="K82" s="17">
        <v>0</v>
      </c>
      <c r="L82" s="17">
        <v>2.2606516000000005</v>
      </c>
      <c r="M82" s="17">
        <v>15.691090709999999</v>
      </c>
      <c r="N82" s="17"/>
      <c r="O82" s="17">
        <v>444.32552843700006</v>
      </c>
      <c r="P82" s="17">
        <v>114.79892424000001</v>
      </c>
      <c r="Q82" s="17">
        <f t="shared" si="6"/>
        <v>477.63423791500009</v>
      </c>
      <c r="R82" s="17">
        <f t="shared" si="4"/>
        <v>151.17033976999994</v>
      </c>
      <c r="S82" s="17">
        <f t="shared" ref="S82:S91" si="7">SUM(C82:P82)</f>
        <v>628.80457768500003</v>
      </c>
      <c r="V82" s="23">
        <f>Feedstocks!S82/Production!T13*100</f>
        <v>9.3479788189810897E-2</v>
      </c>
    </row>
    <row r="83" spans="1:23" x14ac:dyDescent="0.25">
      <c r="A83">
        <v>2023</v>
      </c>
      <c r="B83" t="s">
        <v>27</v>
      </c>
      <c r="C83" s="17"/>
      <c r="D83" s="17">
        <v>2.0802342299999999</v>
      </c>
      <c r="E83" s="17">
        <v>29.948883279999997</v>
      </c>
      <c r="F83" s="17">
        <v>3.3085960799999996</v>
      </c>
      <c r="G83" s="17">
        <v>5.5000192800000001</v>
      </c>
      <c r="H83" s="17">
        <v>14.093805824000002</v>
      </c>
      <c r="I83" s="17">
        <v>0.15208428000000002</v>
      </c>
      <c r="J83" s="17">
        <v>8.3635824999999997</v>
      </c>
      <c r="K83" s="17">
        <v>0</v>
      </c>
      <c r="L83" s="17">
        <v>3.3887859599999999</v>
      </c>
      <c r="M83" s="17">
        <v>16.836691589999997</v>
      </c>
      <c r="N83" s="17"/>
      <c r="O83" s="17">
        <v>458.45174929399997</v>
      </c>
      <c r="P83" s="17">
        <v>107.67195803</v>
      </c>
      <c r="Q83" s="17">
        <f t="shared" si="6"/>
        <v>495.00335117799995</v>
      </c>
      <c r="R83" s="17">
        <f t="shared" si="4"/>
        <v>154.7930391700001</v>
      </c>
      <c r="S83" s="17">
        <f t="shared" si="7"/>
        <v>649.79639034800005</v>
      </c>
      <c r="V83" s="23">
        <f>Feedstocks!S83/Production!T14*100</f>
        <v>9.2274238701705785E-2</v>
      </c>
    </row>
    <row r="84" spans="1:23" x14ac:dyDescent="0.25">
      <c r="A84">
        <v>2023</v>
      </c>
      <c r="B84" t="s">
        <v>28</v>
      </c>
      <c r="C84" s="17"/>
      <c r="D84" s="17">
        <v>1.4981909400000002</v>
      </c>
      <c r="E84" s="17">
        <v>35.595966560000001</v>
      </c>
      <c r="F84" s="17">
        <v>0.75559673999999999</v>
      </c>
      <c r="G84" s="17">
        <v>8.2083590399999995</v>
      </c>
      <c r="H84" s="17">
        <v>16.485511469000002</v>
      </c>
      <c r="I84" s="17">
        <v>1.3715636</v>
      </c>
      <c r="J84" s="17">
        <v>8.3041303800000001</v>
      </c>
      <c r="K84" s="17">
        <v>0</v>
      </c>
      <c r="L84" s="17">
        <v>2.8244018400000002</v>
      </c>
      <c r="M84" s="17">
        <v>12.868420999999998</v>
      </c>
      <c r="N84" s="17"/>
      <c r="O84" s="17">
        <v>445.95730884599999</v>
      </c>
      <c r="P84" s="17">
        <v>109.23735914</v>
      </c>
      <c r="Q84" s="17">
        <f t="shared" si="6"/>
        <v>481.005397695</v>
      </c>
      <c r="R84" s="17">
        <f t="shared" si="4"/>
        <v>162.10141185999993</v>
      </c>
      <c r="S84" s="17">
        <f t="shared" si="7"/>
        <v>643.10680955499993</v>
      </c>
      <c r="V84" s="23">
        <f>Feedstocks!S84/Production!T15*100</f>
        <v>9.1843000845977768E-2</v>
      </c>
    </row>
    <row r="85" spans="1:23" x14ac:dyDescent="0.25">
      <c r="A85">
        <v>2023</v>
      </c>
      <c r="B85" t="s">
        <v>29</v>
      </c>
      <c r="C85" s="17"/>
      <c r="D85" s="17">
        <v>1.8436468800000001</v>
      </c>
      <c r="E85" s="17">
        <v>33.816809839999998</v>
      </c>
      <c r="F85" s="17">
        <v>1.6181869499999999</v>
      </c>
      <c r="G85" s="17">
        <v>7.304000760000001</v>
      </c>
      <c r="H85" s="17">
        <v>16.386252638000002</v>
      </c>
      <c r="I85" s="17">
        <v>1.3689241200000002</v>
      </c>
      <c r="J85" s="17">
        <v>8.0213233100000014</v>
      </c>
      <c r="K85" s="17">
        <v>0</v>
      </c>
      <c r="L85" s="17">
        <v>4.8119670799999996</v>
      </c>
      <c r="M85" s="17">
        <v>16.096408279999999</v>
      </c>
      <c r="N85" s="17"/>
      <c r="O85" s="17">
        <v>403.70234590699999</v>
      </c>
      <c r="P85" s="17">
        <v>108.66287796</v>
      </c>
      <c r="Q85" s="17">
        <f t="shared" si="6"/>
        <v>444.20954490499997</v>
      </c>
      <c r="R85" s="17">
        <f t="shared" si="4"/>
        <v>159.42319881999998</v>
      </c>
      <c r="S85" s="17">
        <f t="shared" si="7"/>
        <v>603.63274372499995</v>
      </c>
      <c r="V85" s="23">
        <f>Feedstocks!S85/Production!T16*100</f>
        <v>8.9048960177880776E-2</v>
      </c>
    </row>
    <row r="86" spans="1:23" x14ac:dyDescent="0.25">
      <c r="A86">
        <v>2024</v>
      </c>
      <c r="B86" t="s">
        <v>19</v>
      </c>
      <c r="C86" s="17"/>
      <c r="D86" s="17">
        <v>2.3751762900000002</v>
      </c>
      <c r="E86" s="17">
        <v>37.688958280000001</v>
      </c>
      <c r="F86" s="17">
        <v>1.0074469499999998</v>
      </c>
      <c r="G86" s="17">
        <v>4.6467472800000005</v>
      </c>
      <c r="H86" s="17">
        <v>8.5018270330000014</v>
      </c>
      <c r="I86" s="17">
        <v>2.2395946400000004</v>
      </c>
      <c r="J86" s="17">
        <v>7.991997650000001</v>
      </c>
      <c r="K86" s="17">
        <v>0.39609680400000002</v>
      </c>
      <c r="L86" s="17">
        <v>0.76731680000000002</v>
      </c>
      <c r="M86" s="17">
        <v>12.55107726</v>
      </c>
      <c r="N86" s="17"/>
      <c r="O86" s="17">
        <v>384.31847804000006</v>
      </c>
      <c r="P86" s="17">
        <v>96.602168389999989</v>
      </c>
      <c r="Q86" s="17">
        <f t="shared" si="6"/>
        <v>411.14956686700009</v>
      </c>
      <c r="R86" s="17">
        <f t="shared" si="4"/>
        <v>147.93731854999999</v>
      </c>
      <c r="S86" s="17">
        <f t="shared" si="7"/>
        <v>559.08688541700008</v>
      </c>
      <c r="V86" s="23">
        <f>Feedstocks!S86/Production!U5*100</f>
        <v>9.0800185262870647E-2</v>
      </c>
    </row>
    <row r="87" spans="1:23" x14ac:dyDescent="0.25">
      <c r="A87">
        <v>2024</v>
      </c>
      <c r="B87" t="s">
        <v>20</v>
      </c>
      <c r="C87" s="17"/>
      <c r="D87" s="17">
        <v>2.7318703500000003</v>
      </c>
      <c r="E87" s="17">
        <v>41.668469800000004</v>
      </c>
      <c r="F87" s="17">
        <v>0.88981425000000014</v>
      </c>
      <c r="G87" s="17">
        <v>7.8353721599999995</v>
      </c>
      <c r="H87" s="17">
        <v>8.484586516000002</v>
      </c>
      <c r="I87" s="17">
        <v>2.2001625200000001</v>
      </c>
      <c r="J87" s="17">
        <v>8.2472608400000009</v>
      </c>
      <c r="K87" s="17">
        <v>9.6468947999999999E-2</v>
      </c>
      <c r="L87" s="17">
        <v>1.9034864399999998</v>
      </c>
      <c r="M87" s="17">
        <v>7.1259149399999995</v>
      </c>
      <c r="N87" s="17"/>
      <c r="O87" s="17">
        <v>397.25037792299997</v>
      </c>
      <c r="P87" s="17">
        <v>85.657936910000018</v>
      </c>
      <c r="Q87" s="17">
        <f t="shared" si="6"/>
        <v>419.79286763699997</v>
      </c>
      <c r="R87" s="17">
        <f t="shared" si="4"/>
        <v>144.29885395999997</v>
      </c>
      <c r="S87" s="17">
        <f t="shared" si="7"/>
        <v>564.09172159699995</v>
      </c>
      <c r="V87" s="23">
        <f>Feedstocks!S87/Production!U6*100</f>
        <v>8.8616121402198253E-2</v>
      </c>
    </row>
    <row r="88" spans="1:23" x14ac:dyDescent="0.25">
      <c r="A88">
        <v>2024</v>
      </c>
      <c r="B88" t="s">
        <v>21</v>
      </c>
      <c r="C88" s="17">
        <v>3.4259879999999993E-2</v>
      </c>
      <c r="D88" s="17">
        <v>1.483244</v>
      </c>
      <c r="E88" s="17">
        <v>42.306784999999998</v>
      </c>
      <c r="F88" s="17">
        <v>3.4559089999999997</v>
      </c>
      <c r="G88" s="17">
        <v>9.7561300000000006</v>
      </c>
      <c r="H88" s="17">
        <v>7.3848349999999998</v>
      </c>
      <c r="I88" s="17">
        <v>4.2115179999999999</v>
      </c>
      <c r="J88" s="17">
        <v>9.8943110000000001</v>
      </c>
      <c r="K88" s="17">
        <v>0</v>
      </c>
      <c r="L88" s="17">
        <v>2.8904390000000002</v>
      </c>
      <c r="M88" s="17">
        <v>10.060822</v>
      </c>
      <c r="N88" s="17">
        <v>0</v>
      </c>
      <c r="O88" s="17">
        <v>546.38560699999994</v>
      </c>
      <c r="P88" s="17">
        <v>114.15900799999999</v>
      </c>
      <c r="Q88" s="17">
        <v>572.45072487999994</v>
      </c>
      <c r="R88" s="17">
        <f t="shared" si="4"/>
        <v>179.57214299999998</v>
      </c>
      <c r="S88" s="17">
        <f t="shared" si="7"/>
        <v>752.02286787999992</v>
      </c>
      <c r="V88" s="24">
        <f>Feedstocks!S88/Production!U7*100</f>
        <v>0.10099451076876688</v>
      </c>
    </row>
    <row r="89" spans="1:23" x14ac:dyDescent="0.25">
      <c r="A89">
        <v>2024</v>
      </c>
      <c r="B89" t="s">
        <v>22</v>
      </c>
      <c r="C89" s="17">
        <v>4.4117617944392194E-2</v>
      </c>
      <c r="D89" s="17">
        <v>1.339539</v>
      </c>
      <c r="E89" s="17">
        <v>39.529781</v>
      </c>
      <c r="F89" s="17">
        <v>3.5267339999999998</v>
      </c>
      <c r="G89" s="17">
        <v>11.609371000000001</v>
      </c>
      <c r="H89" s="17">
        <v>5.8712740000000005</v>
      </c>
      <c r="I89" s="17">
        <v>1.6601030000000001</v>
      </c>
      <c r="J89" s="17">
        <v>8.2161069999999974</v>
      </c>
      <c r="K89" s="17">
        <v>2.7480300324496647E-2</v>
      </c>
      <c r="L89" s="17">
        <v>2.3945259999999999</v>
      </c>
      <c r="M89" s="17">
        <v>6.1277949999999999</v>
      </c>
      <c r="N89" s="17">
        <v>6.7237198463308667E-2</v>
      </c>
      <c r="O89" s="17">
        <v>583.44592399999988</v>
      </c>
      <c r="P89" s="17">
        <v>90.189689000000001</v>
      </c>
      <c r="Q89" s="17">
        <v>600.97799611673213</v>
      </c>
      <c r="R89" s="17">
        <f t="shared" si="4"/>
        <v>153.07168200000001</v>
      </c>
      <c r="S89" s="17">
        <f t="shared" si="7"/>
        <v>754.04967811673214</v>
      </c>
      <c r="V89" s="24">
        <f>Feedstocks!S89/Production!U8*100</f>
        <v>9.996233008913516E-2</v>
      </c>
      <c r="W89" t="s">
        <v>55</v>
      </c>
    </row>
    <row r="90" spans="1:23" x14ac:dyDescent="0.25">
      <c r="A90">
        <v>2024</v>
      </c>
      <c r="B90" t="s">
        <v>9</v>
      </c>
      <c r="C90" s="17">
        <v>4.150030655834084E-2</v>
      </c>
      <c r="D90" s="17">
        <v>1.6384369999999999</v>
      </c>
      <c r="E90" s="17">
        <v>44.740532000000002</v>
      </c>
      <c r="F90" s="17">
        <v>0.96465000000000001</v>
      </c>
      <c r="G90" s="17">
        <v>17.348230999999998</v>
      </c>
      <c r="H90" s="17">
        <v>7.3998960000000009</v>
      </c>
      <c r="I90" s="17">
        <v>0.404615</v>
      </c>
      <c r="J90" s="17">
        <v>8.0336159999999985</v>
      </c>
      <c r="K90" s="17">
        <v>2.5850010515512112E-2</v>
      </c>
      <c r="L90" s="17">
        <v>2.0674070000000002</v>
      </c>
      <c r="M90" s="17">
        <v>1.5258910000000001</v>
      </c>
      <c r="N90" s="17">
        <v>6.3248300301897806E-2</v>
      </c>
      <c r="O90" s="17">
        <v>542.87116399999991</v>
      </c>
      <c r="P90" s="17">
        <v>99.510747000000009</v>
      </c>
      <c r="Q90" s="17">
        <v>556.03800861737568</v>
      </c>
      <c r="R90" s="17">
        <f t="shared" si="4"/>
        <v>170.59777600000007</v>
      </c>
      <c r="S90" s="17">
        <f t="shared" si="7"/>
        <v>726.63578461737575</v>
      </c>
      <c r="V90" s="24">
        <f>Feedstocks!S90/Production!U9*100</f>
        <v>9.9962436227491749E-2</v>
      </c>
    </row>
    <row r="91" spans="1:23" x14ac:dyDescent="0.25">
      <c r="A91">
        <v>2024</v>
      </c>
      <c r="B91" t="s">
        <v>23</v>
      </c>
      <c r="C91" s="17">
        <v>4.0158380359165247E-2</v>
      </c>
      <c r="D91" s="17">
        <v>1.414895</v>
      </c>
      <c r="E91" s="17">
        <v>55.029263999999998</v>
      </c>
      <c r="F91" s="17">
        <v>1.258599</v>
      </c>
      <c r="G91" s="17">
        <v>15.992580999999998</v>
      </c>
      <c r="H91" s="17">
        <v>12.405861000000002</v>
      </c>
      <c r="I91" s="17">
        <v>0.78671400000000002</v>
      </c>
      <c r="J91" s="17">
        <v>4.921619999999999</v>
      </c>
      <c r="K91" s="17">
        <v>2.5014141837988852E-2</v>
      </c>
      <c r="L91" s="17">
        <v>2.360214</v>
      </c>
      <c r="M91" s="17">
        <v>3.8423240000000001</v>
      </c>
      <c r="N91" s="17">
        <v>6.1203145500230836E-2</v>
      </c>
      <c r="O91" s="17">
        <v>574.18468400000017</v>
      </c>
      <c r="P91" s="17">
        <v>109.02743900000002</v>
      </c>
      <c r="Q91" s="17">
        <v>595.12106766769762</v>
      </c>
      <c r="R91" s="17">
        <f t="shared" si="4"/>
        <v>186.22950300000002</v>
      </c>
      <c r="S91" s="17">
        <f t="shared" si="7"/>
        <v>781.35057066769764</v>
      </c>
      <c r="V91" s="24">
        <f>Feedstocks!S91/Production!U10*100</f>
        <v>0.10142429825359396</v>
      </c>
    </row>
    <row r="92" spans="1:23" x14ac:dyDescent="0.25">
      <c r="A92">
        <v>2024</v>
      </c>
      <c r="B92" t="s">
        <v>24</v>
      </c>
      <c r="D92" s="17">
        <v>1.622503</v>
      </c>
      <c r="E92" s="17">
        <v>51.613700999999999</v>
      </c>
      <c r="F92" s="17">
        <v>0.23187799999999997</v>
      </c>
      <c r="G92" s="17">
        <v>16.686188999999999</v>
      </c>
      <c r="H92" s="17">
        <v>10.920022000000001</v>
      </c>
      <c r="I92" s="17">
        <v>0</v>
      </c>
      <c r="J92" s="17">
        <v>10.629332</v>
      </c>
      <c r="K92" s="17">
        <v>0</v>
      </c>
      <c r="L92" s="17">
        <v>4.6969599999999998</v>
      </c>
      <c r="M92" s="17">
        <v>4.2597629999999995</v>
      </c>
      <c r="N92" s="17">
        <v>6.1203145500230836E-2</v>
      </c>
      <c r="O92" s="17">
        <v>529.51670100000001</v>
      </c>
      <c r="P92" s="17">
        <v>112.893542</v>
      </c>
      <c r="Q92" s="17">
        <v>595.12106766769762</v>
      </c>
      <c r="R92" s="17">
        <f t="shared" si="4"/>
        <v>148.01072647780268</v>
      </c>
      <c r="S92" s="17">
        <f>SUM(D92:P92)</f>
        <v>743.13179414550029</v>
      </c>
      <c r="V92" s="24">
        <f>Feedstocks!S92/Production!U11*100</f>
        <v>9.0396021583478758E-2</v>
      </c>
    </row>
    <row r="93" spans="1:23" x14ac:dyDescent="0.25">
      <c r="A93">
        <v>2024</v>
      </c>
      <c r="B93" t="s">
        <v>25</v>
      </c>
      <c r="C93" s="25"/>
      <c r="D93" s="17">
        <v>1.64828</v>
      </c>
      <c r="E93" s="17">
        <v>55.831122000000001</v>
      </c>
      <c r="F93" s="17">
        <v>1.7856700000000001</v>
      </c>
      <c r="G93" s="17">
        <v>17.257035999999999</v>
      </c>
      <c r="H93" s="17">
        <v>18.901980999999999</v>
      </c>
      <c r="I93" s="25">
        <v>0</v>
      </c>
      <c r="J93" s="17">
        <v>8.9091140000000006</v>
      </c>
      <c r="K93" s="25">
        <v>0</v>
      </c>
      <c r="L93" s="17">
        <v>7.7359739999999997</v>
      </c>
      <c r="M93" s="17">
        <v>2.0879479999999999</v>
      </c>
      <c r="N93" s="17">
        <v>6.1203145500230836E-2</v>
      </c>
      <c r="O93" s="17">
        <v>519.45455800000002</v>
      </c>
      <c r="P93" s="17">
        <v>119.166551</v>
      </c>
      <c r="Q93" s="17">
        <v>595.12106766769762</v>
      </c>
      <c r="R93" s="17">
        <f t="shared" si="4"/>
        <v>157.71836947780264</v>
      </c>
      <c r="S93" s="17">
        <f t="shared" ref="S93:S97" si="8">SUM(C93:P93)</f>
        <v>752.83943714550026</v>
      </c>
      <c r="T93">
        <f>J93/S93</f>
        <v>1.1834016073573664E-2</v>
      </c>
      <c r="V93" s="24">
        <f>Feedstocks!S93/Production!U12*100</f>
        <v>8.9575891502632621E-2</v>
      </c>
    </row>
    <row r="94" spans="1:23" x14ac:dyDescent="0.25">
      <c r="A94" s="18">
        <v>2024</v>
      </c>
      <c r="B94" s="18" t="s">
        <v>26</v>
      </c>
      <c r="C94" s="25"/>
      <c r="D94" s="17">
        <v>1.6331830000000001</v>
      </c>
      <c r="E94" s="17">
        <v>55.504837999999999</v>
      </c>
      <c r="F94" s="17">
        <v>0.66369400000000001</v>
      </c>
      <c r="G94" s="17">
        <v>16.160613000000001</v>
      </c>
      <c r="H94" s="17">
        <v>20.887073999999998</v>
      </c>
      <c r="I94" s="17">
        <v>0</v>
      </c>
      <c r="J94" s="17">
        <v>7.7651139999999996</v>
      </c>
      <c r="K94" s="17">
        <v>0</v>
      </c>
      <c r="L94" s="17">
        <v>6.4114310000000003</v>
      </c>
      <c r="M94" s="17">
        <v>1.7038359999999999</v>
      </c>
      <c r="N94" s="17">
        <v>6.1203145500230836E-2</v>
      </c>
      <c r="O94" s="17">
        <v>700.42477099999996</v>
      </c>
      <c r="P94" s="17">
        <v>115.153485</v>
      </c>
      <c r="Q94" s="17">
        <v>595.12106766769762</v>
      </c>
      <c r="R94" s="17">
        <f t="shared" si="4"/>
        <v>331.24817447780265</v>
      </c>
      <c r="S94" s="17">
        <f t="shared" si="8"/>
        <v>926.36924214550027</v>
      </c>
      <c r="V94" s="24">
        <f>Feedstocks!S94/Production!U13*100</f>
        <v>0.11351089713168391</v>
      </c>
    </row>
    <row r="95" spans="1:23" x14ac:dyDescent="0.25">
      <c r="A95" s="18">
        <v>2024</v>
      </c>
      <c r="B95" s="18" t="s">
        <v>27</v>
      </c>
      <c r="C95" s="25"/>
      <c r="D95" s="17">
        <v>1.9142440000000001</v>
      </c>
      <c r="E95" s="17">
        <v>57.138115999999997</v>
      </c>
      <c r="F95" s="17">
        <v>0.92348200000000003</v>
      </c>
      <c r="G95" s="17">
        <v>17.198253999999999</v>
      </c>
      <c r="H95" s="17">
        <v>16.435314000000002</v>
      </c>
      <c r="I95" s="17">
        <v>2.4169010000000002</v>
      </c>
      <c r="J95" s="17">
        <v>8.937913</v>
      </c>
      <c r="K95" s="17">
        <v>0</v>
      </c>
      <c r="L95" s="17">
        <v>9.4115020000000005</v>
      </c>
      <c r="M95" s="17">
        <v>4.5728059999999999</v>
      </c>
      <c r="N95" s="17">
        <v>6.1203145500230836E-2</v>
      </c>
      <c r="O95" s="17">
        <v>739.73086699999999</v>
      </c>
      <c r="P95" s="17">
        <v>129.32475299999999</v>
      </c>
      <c r="Q95" s="17">
        <v>595.12106766769762</v>
      </c>
      <c r="R95" s="17">
        <f t="shared" si="4"/>
        <v>392.94428747780262</v>
      </c>
      <c r="S95" s="17">
        <f t="shared" si="8"/>
        <v>988.06535514550023</v>
      </c>
      <c r="V95" s="24">
        <f>Feedstocks!S95/Production!U14*100</f>
        <v>0.11685495220551805</v>
      </c>
    </row>
    <row r="96" spans="1:23" x14ac:dyDescent="0.25">
      <c r="A96" s="18">
        <v>2024</v>
      </c>
      <c r="B96" s="18" t="s">
        <v>28</v>
      </c>
      <c r="C96" s="25"/>
      <c r="D96" s="17">
        <v>1.998181</v>
      </c>
      <c r="E96" s="17">
        <v>59.375174000000001</v>
      </c>
      <c r="F96" s="17">
        <v>1.547838</v>
      </c>
      <c r="G96" s="17">
        <v>15.728016999999999</v>
      </c>
      <c r="H96" s="17">
        <v>22.731119</v>
      </c>
      <c r="I96" s="17">
        <v>2.3680029999999999</v>
      </c>
      <c r="J96" s="17">
        <v>9.2060089999999999</v>
      </c>
      <c r="K96" s="17">
        <v>0</v>
      </c>
      <c r="L96" s="17">
        <v>9.2777290000000008</v>
      </c>
      <c r="M96" s="17">
        <v>5.6262809999999996</v>
      </c>
      <c r="N96" s="17">
        <v>6.1203145500230836E-2</v>
      </c>
      <c r="O96" s="17">
        <v>634.60810400000003</v>
      </c>
      <c r="P96" s="17">
        <v>119.031402</v>
      </c>
      <c r="Q96" s="17">
        <v>595.12106766769762</v>
      </c>
      <c r="R96" s="17">
        <f t="shared" si="4"/>
        <v>286.4379924778026</v>
      </c>
      <c r="S96" s="17">
        <f t="shared" si="8"/>
        <v>881.55906014550021</v>
      </c>
      <c r="V96" s="24">
        <f>Feedstocks!S96/Production!U15*100</f>
        <v>0.1081385182915844</v>
      </c>
    </row>
    <row r="97" spans="1:22" x14ac:dyDescent="0.25">
      <c r="A97" s="18">
        <v>2024</v>
      </c>
      <c r="B97" s="18" t="s">
        <v>29</v>
      </c>
      <c r="C97" s="25"/>
      <c r="D97" s="17">
        <v>2.015552</v>
      </c>
      <c r="E97" s="17">
        <v>41.978428000000001</v>
      </c>
      <c r="F97" s="17">
        <v>1.8706510000000001</v>
      </c>
      <c r="G97" s="17">
        <v>13.129695999999999</v>
      </c>
      <c r="H97" s="17">
        <v>14.981023</v>
      </c>
      <c r="I97" s="17">
        <v>1.463581</v>
      </c>
      <c r="J97" s="17">
        <v>7.5142009999999999</v>
      </c>
      <c r="K97" s="17">
        <v>0</v>
      </c>
      <c r="L97" s="17">
        <v>4.4936720000000001</v>
      </c>
      <c r="M97" s="17">
        <v>5.6860759999999999</v>
      </c>
      <c r="N97" s="17">
        <v>6.1203145500230836E-2</v>
      </c>
      <c r="O97" s="17">
        <v>563.94586500000003</v>
      </c>
      <c r="P97" s="17">
        <v>101.43328700000001</v>
      </c>
      <c r="Q97" s="17">
        <v>595.12106766769762</v>
      </c>
      <c r="R97" s="17">
        <f t="shared" si="4"/>
        <v>163.45216747780273</v>
      </c>
      <c r="S97" s="17">
        <f t="shared" si="8"/>
        <v>758.57323514550035</v>
      </c>
      <c r="V97" s="24">
        <f>Feedstocks!S97/Production!U16*100</f>
        <v>0.10913003279681796</v>
      </c>
    </row>
    <row r="98" spans="1:22" x14ac:dyDescent="0.25">
      <c r="A98" s="18">
        <v>2025</v>
      </c>
      <c r="B98" s="18" t="s">
        <v>19</v>
      </c>
      <c r="C98" s="25"/>
      <c r="D98" s="25">
        <f t="shared" ref="D98:P117" si="9">$S98*D$318</f>
        <v>1.6520910044078385</v>
      </c>
      <c r="E98" s="25">
        <f t="shared" si="9"/>
        <v>34.40853090269173</v>
      </c>
      <c r="F98" s="25">
        <f t="shared" si="9"/>
        <v>1.5333197503644298</v>
      </c>
      <c r="G98" s="25">
        <f t="shared" si="9"/>
        <v>10.762040697639939</v>
      </c>
      <c r="H98" s="25">
        <f t="shared" si="9"/>
        <v>12.279521111401207</v>
      </c>
      <c r="I98" s="25">
        <f t="shared" si="9"/>
        <v>1.1996559772817712</v>
      </c>
      <c r="J98" s="25">
        <f t="shared" si="9"/>
        <v>6.1591781692620096</v>
      </c>
      <c r="K98" s="25">
        <f t="shared" si="9"/>
        <v>0</v>
      </c>
      <c r="L98" s="25">
        <f t="shared" si="9"/>
        <v>3.6833359238359415</v>
      </c>
      <c r="M98" s="25">
        <f t="shared" si="9"/>
        <v>4.6607157790914373</v>
      </c>
      <c r="N98" s="25">
        <f t="shared" si="9"/>
        <v>5.0166488447033579E-2</v>
      </c>
      <c r="O98" s="25">
        <f t="shared" si="9"/>
        <v>462.25048549454306</v>
      </c>
      <c r="P98" s="25">
        <f t="shared" si="9"/>
        <v>83.141998321163911</v>
      </c>
      <c r="Q98" s="25">
        <f t="shared" ref="Q98:Q161" si="10">C98+D98+H98+I98+K98+L98+M98+N98+O98</f>
        <v>485.77597177900827</v>
      </c>
      <c r="R98" s="25">
        <f t="shared" si="4"/>
        <v>145.1880955766236</v>
      </c>
      <c r="S98" s="25">
        <f>Production!V5*Feedstocks!V98/100</f>
        <v>630.96406735563187</v>
      </c>
      <c r="V98" s="26">
        <f t="shared" ref="V98:V161" si="11">AVERAGE(V86:V97)</f>
        <v>0.10078051629298101</v>
      </c>
    </row>
    <row r="99" spans="1:22" x14ac:dyDescent="0.25">
      <c r="A99" s="18">
        <v>2025</v>
      </c>
      <c r="B99" s="18" t="s">
        <v>20</v>
      </c>
      <c r="C99" s="25"/>
      <c r="D99" s="25">
        <f t="shared" si="9"/>
        <v>1.8308190673153053</v>
      </c>
      <c r="E99" s="25">
        <f t="shared" si="9"/>
        <v>38.130946955634336</v>
      </c>
      <c r="F99" s="25">
        <f t="shared" si="9"/>
        <v>1.6991987897570706</v>
      </c>
      <c r="G99" s="25">
        <f t="shared" si="9"/>
        <v>11.926309906593078</v>
      </c>
      <c r="H99" s="25">
        <f t="shared" si="9"/>
        <v>13.607955813736949</v>
      </c>
      <c r="I99" s="25">
        <f t="shared" si="9"/>
        <v>1.3294382885484481</v>
      </c>
      <c r="J99" s="25">
        <f t="shared" si="9"/>
        <v>6.8254961749633516</v>
      </c>
      <c r="K99" s="25">
        <f t="shared" si="9"/>
        <v>0</v>
      </c>
      <c r="L99" s="25">
        <f t="shared" si="9"/>
        <v>4.0818100350975328</v>
      </c>
      <c r="M99" s="25">
        <f t="shared" si="9"/>
        <v>5.1649257171256018</v>
      </c>
      <c r="N99" s="25">
        <f t="shared" si="9"/>
        <v>5.5593646684131956E-2</v>
      </c>
      <c r="O99" s="25">
        <f t="shared" si="9"/>
        <v>512.25810228444766</v>
      </c>
      <c r="P99" s="25">
        <f t="shared" si="9"/>
        <v>92.136544182469962</v>
      </c>
      <c r="Q99" s="25">
        <f t="shared" si="10"/>
        <v>538.32864485295568</v>
      </c>
      <c r="R99" s="25">
        <f t="shared" si="4"/>
        <v>160.89497068846708</v>
      </c>
      <c r="S99" s="25">
        <f>Production!V6*Feedstocks!V99/100</f>
        <v>699.22361554142276</v>
      </c>
      <c r="V99" s="26">
        <f t="shared" si="11"/>
        <v>0.10161221054549023</v>
      </c>
    </row>
    <row r="100" spans="1:22" x14ac:dyDescent="0.25">
      <c r="A100" s="18">
        <v>2025</v>
      </c>
      <c r="B100" s="18" t="s">
        <v>21</v>
      </c>
      <c r="C100" s="25"/>
      <c r="D100" s="25">
        <f t="shared" si="9"/>
        <v>2.1127213434445316</v>
      </c>
      <c r="E100" s="25">
        <f t="shared" si="9"/>
        <v>44.002199298182106</v>
      </c>
      <c r="F100" s="25">
        <f t="shared" si="9"/>
        <v>1.960834696319349</v>
      </c>
      <c r="G100" s="25">
        <f t="shared" si="9"/>
        <v>13.762675918129768</v>
      </c>
      <c r="H100" s="25">
        <f t="shared" si="9"/>
        <v>15.70325500842123</v>
      </c>
      <c r="I100" s="25">
        <f t="shared" si="9"/>
        <v>1.5341399361365478</v>
      </c>
      <c r="J100" s="25">
        <f t="shared" si="9"/>
        <v>7.8764590700871233</v>
      </c>
      <c r="K100" s="25">
        <f t="shared" si="9"/>
        <v>0</v>
      </c>
      <c r="L100" s="25">
        <f t="shared" si="9"/>
        <v>4.7103109941291885</v>
      </c>
      <c r="M100" s="25">
        <f t="shared" si="9"/>
        <v>5.9602005433983889</v>
      </c>
      <c r="N100" s="25">
        <f t="shared" si="9"/>
        <v>6.4153736437600625E-2</v>
      </c>
      <c r="O100" s="25">
        <f t="shared" si="9"/>
        <v>591.13357806337353</v>
      </c>
      <c r="P100" s="25">
        <f t="shared" si="9"/>
        <v>106.32336470636072</v>
      </c>
      <c r="Q100" s="25">
        <f t="shared" si="10"/>
        <v>621.21835962534101</v>
      </c>
      <c r="R100" s="25">
        <f t="shared" si="4"/>
        <v>185.66894167476153</v>
      </c>
      <c r="S100" s="25">
        <f>Production!V7*Feedstocks!V100/100</f>
        <v>806.88730130010254</v>
      </c>
      <c r="V100" s="26">
        <f t="shared" si="11"/>
        <v>0.1026952179740979</v>
      </c>
    </row>
    <row r="101" spans="1:22" x14ac:dyDescent="0.25">
      <c r="A101" s="18">
        <v>2025</v>
      </c>
      <c r="B101" s="18" t="s">
        <v>22</v>
      </c>
      <c r="C101" s="25"/>
      <c r="D101" s="25">
        <f t="shared" si="9"/>
        <v>2.0258677645481997</v>
      </c>
      <c r="E101" s="25">
        <f t="shared" si="9"/>
        <v>42.193277122896141</v>
      </c>
      <c r="F101" s="25">
        <f t="shared" si="9"/>
        <v>1.8802251490509077</v>
      </c>
      <c r="G101" s="25">
        <f t="shared" si="9"/>
        <v>13.196894887711871</v>
      </c>
      <c r="H101" s="25">
        <f t="shared" si="9"/>
        <v>15.057697134906549</v>
      </c>
      <c r="I101" s="25">
        <f t="shared" si="9"/>
        <v>1.4710717305756531</v>
      </c>
      <c r="J101" s="25">
        <f t="shared" si="9"/>
        <v>7.5526593123054369</v>
      </c>
      <c r="K101" s="25">
        <f t="shared" si="9"/>
        <v>0</v>
      </c>
      <c r="L101" s="25">
        <f t="shared" si="9"/>
        <v>4.5166709910004004</v>
      </c>
      <c r="M101" s="25">
        <f t="shared" si="9"/>
        <v>5.7151778148969461</v>
      </c>
      <c r="N101" s="25">
        <f t="shared" si="9"/>
        <v>6.1516388343178866E-2</v>
      </c>
      <c r="O101" s="25">
        <f t="shared" si="9"/>
        <v>566.83218733813419</v>
      </c>
      <c r="P101" s="25">
        <f t="shared" si="9"/>
        <v>101.95243108858814</v>
      </c>
      <c r="Q101" s="25">
        <f t="shared" si="10"/>
        <v>595.6801891624051</v>
      </c>
      <c r="R101" s="25">
        <f t="shared" si="4"/>
        <v>178.03612624248319</v>
      </c>
      <c r="S101" s="25">
        <f>Production!V8*Feedstocks!V101/100</f>
        <v>773.71631540488829</v>
      </c>
      <c r="V101" s="26">
        <f t="shared" si="11"/>
        <v>0.10283694357454214</v>
      </c>
    </row>
    <row r="102" spans="1:22" x14ac:dyDescent="0.25">
      <c r="A102" s="18">
        <v>2025</v>
      </c>
      <c r="B102" s="18" t="s">
        <v>9</v>
      </c>
      <c r="C102" s="25"/>
      <c r="D102" s="25">
        <f t="shared" si="9"/>
        <v>2.0798875397816783</v>
      </c>
      <c r="E102" s="25">
        <f t="shared" si="9"/>
        <v>43.318361092555449</v>
      </c>
      <c r="F102" s="25">
        <f t="shared" si="9"/>
        <v>1.9303613631303664</v>
      </c>
      <c r="G102" s="25">
        <f t="shared" si="9"/>
        <v>13.548790163449684</v>
      </c>
      <c r="H102" s="25">
        <f t="shared" si="9"/>
        <v>15.459210712937566</v>
      </c>
      <c r="I102" s="25">
        <f t="shared" si="9"/>
        <v>1.5102978664709263</v>
      </c>
      <c r="J102" s="25">
        <f t="shared" si="9"/>
        <v>7.7540510149651443</v>
      </c>
      <c r="K102" s="25">
        <f t="shared" si="9"/>
        <v>0</v>
      </c>
      <c r="L102" s="25">
        <f t="shared" si="9"/>
        <v>4.6371080481504885</v>
      </c>
      <c r="M102" s="25">
        <f t="shared" si="9"/>
        <v>5.8675730631864855</v>
      </c>
      <c r="N102" s="25">
        <f t="shared" si="9"/>
        <v>6.3156723181230348E-2</v>
      </c>
      <c r="O102" s="25">
        <f t="shared" si="9"/>
        <v>581.9467707729201</v>
      </c>
      <c r="P102" s="25">
        <f t="shared" si="9"/>
        <v>104.67099323182876</v>
      </c>
      <c r="Q102" s="25">
        <f t="shared" si="10"/>
        <v>611.56400472662847</v>
      </c>
      <c r="R102" s="25">
        <f t="shared" si="4"/>
        <v>182.7834605410784</v>
      </c>
      <c r="S102" s="25">
        <f>Production!V9*Feedstocks!V102/100</f>
        <v>794.34746526770687</v>
      </c>
      <c r="V102" s="26">
        <f t="shared" si="11"/>
        <v>0.10307649469832607</v>
      </c>
    </row>
    <row r="103" spans="1:22" x14ac:dyDescent="0.25">
      <c r="A103" s="18">
        <v>2025</v>
      </c>
      <c r="B103" s="18" t="s">
        <v>23</v>
      </c>
      <c r="C103" s="25"/>
      <c r="D103" s="25">
        <f t="shared" si="9"/>
        <v>2.10967781573253</v>
      </c>
      <c r="E103" s="25">
        <f t="shared" si="9"/>
        <v>43.938810951503747</v>
      </c>
      <c r="F103" s="25">
        <f t="shared" si="9"/>
        <v>1.9580099722943756</v>
      </c>
      <c r="G103" s="25">
        <f t="shared" si="9"/>
        <v>13.742849789294512</v>
      </c>
      <c r="H103" s="25">
        <f t="shared" si="9"/>
        <v>15.680633335224691</v>
      </c>
      <c r="I103" s="25">
        <f t="shared" si="9"/>
        <v>1.5319298967367907</v>
      </c>
      <c r="J103" s="25">
        <f t="shared" si="9"/>
        <v>7.8651124618244497</v>
      </c>
      <c r="K103" s="25">
        <f t="shared" si="9"/>
        <v>0</v>
      </c>
      <c r="L103" s="25">
        <f t="shared" si="9"/>
        <v>4.7035254508831477</v>
      </c>
      <c r="M103" s="25">
        <f t="shared" si="9"/>
        <v>5.9516144439682837</v>
      </c>
      <c r="N103" s="25">
        <f t="shared" si="9"/>
        <v>6.4061318345985219E-2</v>
      </c>
      <c r="O103" s="25">
        <f t="shared" si="9"/>
        <v>590.28200744242395</v>
      </c>
      <c r="P103" s="25">
        <f t="shared" si="9"/>
        <v>106.17019821901438</v>
      </c>
      <c r="Q103" s="25">
        <f t="shared" si="10"/>
        <v>620.32344970331542</v>
      </c>
      <c r="R103" s="25">
        <f t="shared" si="4"/>
        <v>185.40147215210129</v>
      </c>
      <c r="S103" s="25">
        <f>Production!V10*Feedstocks!V103/100</f>
        <v>805.72492185541671</v>
      </c>
      <c r="V103" s="26">
        <f t="shared" si="11"/>
        <v>0.10333599957089558</v>
      </c>
    </row>
    <row r="104" spans="1:22" x14ac:dyDescent="0.25">
      <c r="A104" s="18">
        <v>2025</v>
      </c>
      <c r="B104" s="18" t="s">
        <v>24</v>
      </c>
      <c r="C104" s="25"/>
      <c r="D104" s="25">
        <f t="shared" si="9"/>
        <v>2.314536602937237</v>
      </c>
      <c r="E104" s="25">
        <f t="shared" si="9"/>
        <v>48.205458425168587</v>
      </c>
      <c r="F104" s="25">
        <f t="shared" si="9"/>
        <v>2.1481411597523383</v>
      </c>
      <c r="G104" s="25">
        <f t="shared" si="9"/>
        <v>15.077339596020654</v>
      </c>
      <c r="H104" s="25">
        <f t="shared" si="9"/>
        <v>17.20329025643824</v>
      </c>
      <c r="I104" s="25">
        <f t="shared" si="9"/>
        <v>1.6806868767779168</v>
      </c>
      <c r="J104" s="25">
        <f t="shared" si="9"/>
        <v>8.6288487006674028</v>
      </c>
      <c r="K104" s="25">
        <f t="shared" si="9"/>
        <v>0</v>
      </c>
      <c r="L104" s="25">
        <f t="shared" si="9"/>
        <v>5.1602579966154076</v>
      </c>
      <c r="M104" s="25">
        <f t="shared" si="9"/>
        <v>6.5295417975239296</v>
      </c>
      <c r="N104" s="25">
        <f t="shared" si="9"/>
        <v>7.0281947811407341E-2</v>
      </c>
      <c r="O104" s="25">
        <f t="shared" si="9"/>
        <v>647.60092848887132</v>
      </c>
      <c r="P104" s="25">
        <f t="shared" si="9"/>
        <v>116.47978098195324</v>
      </c>
      <c r="Q104" s="25">
        <f t="shared" si="10"/>
        <v>680.55952396697546</v>
      </c>
      <c r="R104" s="25">
        <f t="shared" si="4"/>
        <v>203.40475229649576</v>
      </c>
      <c r="S104" s="25">
        <f>Production!V11*Feedstocks!V104/100</f>
        <v>883.96427626347122</v>
      </c>
      <c r="V104" s="26">
        <f t="shared" si="11"/>
        <v>0.10349530801400404</v>
      </c>
    </row>
    <row r="105" spans="1:22" x14ac:dyDescent="0.25">
      <c r="A105" s="18">
        <v>2025</v>
      </c>
      <c r="B105" s="18" t="s">
        <v>25</v>
      </c>
      <c r="C105" s="25"/>
      <c r="D105" s="25">
        <f t="shared" si="9"/>
        <v>2.3747407712926547</v>
      </c>
      <c r="E105" s="25">
        <f t="shared" si="9"/>
        <v>49.459346365845768</v>
      </c>
      <c r="F105" s="25">
        <f t="shared" si="9"/>
        <v>2.2040171618293032</v>
      </c>
      <c r="G105" s="25">
        <f t="shared" si="9"/>
        <v>15.469521206040865</v>
      </c>
      <c r="H105" s="25">
        <f t="shared" si="9"/>
        <v>17.650770664201666</v>
      </c>
      <c r="I105" s="25">
        <f t="shared" si="9"/>
        <v>1.7244037726584454</v>
      </c>
      <c r="J105" s="25">
        <f t="shared" si="9"/>
        <v>8.8532965055667301</v>
      </c>
      <c r="K105" s="25">
        <f t="shared" si="9"/>
        <v>0</v>
      </c>
      <c r="L105" s="25">
        <f t="shared" si="9"/>
        <v>5.2944831545979492</v>
      </c>
      <c r="M105" s="25">
        <f t="shared" si="9"/>
        <v>6.6993838441621216</v>
      </c>
      <c r="N105" s="25">
        <f t="shared" si="9"/>
        <v>7.2110074535787078E-2</v>
      </c>
      <c r="O105" s="25">
        <f t="shared" si="9"/>
        <v>664.44588798374014</v>
      </c>
      <c r="P105" s="25">
        <f t="shared" si="9"/>
        <v>119.50957465008554</v>
      </c>
      <c r="Q105" s="25">
        <f t="shared" si="10"/>
        <v>698.2617802651888</v>
      </c>
      <c r="R105" s="25">
        <f t="shared" si="4"/>
        <v>208.69557981506239</v>
      </c>
      <c r="S105" s="25">
        <f>Production!V12*Feedstocks!V105/100</f>
        <v>906.95736008025119</v>
      </c>
      <c r="V105" s="26">
        <f t="shared" si="11"/>
        <v>0.1045869152165478</v>
      </c>
    </row>
    <row r="106" spans="1:22" x14ac:dyDescent="0.25">
      <c r="A106" s="18">
        <v>2025</v>
      </c>
      <c r="B106" s="18" t="s">
        <v>26</v>
      </c>
      <c r="C106" s="25"/>
      <c r="D106" s="25">
        <f t="shared" si="9"/>
        <v>2.3710995360595528</v>
      </c>
      <c r="E106" s="25">
        <f t="shared" si="9"/>
        <v>49.38350940849422</v>
      </c>
      <c r="F106" s="25">
        <f t="shared" si="9"/>
        <v>2.2006377003566957</v>
      </c>
      <c r="G106" s="25">
        <f t="shared" si="9"/>
        <v>15.445801494678857</v>
      </c>
      <c r="H106" s="25">
        <f t="shared" si="9"/>
        <v>17.623706401520518</v>
      </c>
      <c r="I106" s="25">
        <f t="shared" si="9"/>
        <v>1.7217597115259622</v>
      </c>
      <c r="J106" s="25">
        <f t="shared" si="9"/>
        <v>8.8397215774925311</v>
      </c>
      <c r="K106" s="25">
        <f t="shared" si="9"/>
        <v>0</v>
      </c>
      <c r="L106" s="25">
        <f t="shared" si="9"/>
        <v>5.286365022784727</v>
      </c>
      <c r="M106" s="25">
        <f t="shared" si="9"/>
        <v>6.6891115513761772</v>
      </c>
      <c r="N106" s="25">
        <f t="shared" si="9"/>
        <v>7.1999506785725503E-2</v>
      </c>
      <c r="O106" s="25">
        <f t="shared" si="9"/>
        <v>663.42708045448751</v>
      </c>
      <c r="P106" s="25">
        <f t="shared" si="9"/>
        <v>119.32632834414368</v>
      </c>
      <c r="Q106" s="25">
        <f t="shared" si="10"/>
        <v>697.19112218454018</v>
      </c>
      <c r="R106" s="25">
        <f t="shared" si="4"/>
        <v>208.37558290954689</v>
      </c>
      <c r="S106" s="25">
        <f>Production!V13*Feedstocks!V106/100</f>
        <v>905.56670509408707</v>
      </c>
      <c r="V106" s="26">
        <f t="shared" si="11"/>
        <v>0.10583783385937406</v>
      </c>
    </row>
    <row r="107" spans="1:22" x14ac:dyDescent="0.25">
      <c r="A107" s="18">
        <v>2025</v>
      </c>
      <c r="B107" s="18" t="s">
        <v>27</v>
      </c>
      <c r="C107" s="25"/>
      <c r="D107" s="25">
        <f t="shared" si="9"/>
        <v>2.447548946095417</v>
      </c>
      <c r="E107" s="25">
        <f t="shared" si="9"/>
        <v>50.975741241179755</v>
      </c>
      <c r="F107" s="25">
        <f t="shared" si="9"/>
        <v>2.2715910497780945</v>
      </c>
      <c r="G107" s="25">
        <f t="shared" si="9"/>
        <v>15.943807754577012</v>
      </c>
      <c r="H107" s="25">
        <f t="shared" si="9"/>
        <v>18.191933056096396</v>
      </c>
      <c r="I107" s="25">
        <f t="shared" si="9"/>
        <v>1.7772729922499029</v>
      </c>
      <c r="J107" s="25">
        <f t="shared" si="9"/>
        <v>9.1247334419053079</v>
      </c>
      <c r="K107" s="25">
        <f t="shared" si="9"/>
        <v>0</v>
      </c>
      <c r="L107" s="25">
        <f t="shared" si="9"/>
        <v>5.4568089375508464</v>
      </c>
      <c r="M107" s="25">
        <f t="shared" si="9"/>
        <v>6.9047830674765249</v>
      </c>
      <c r="N107" s="25">
        <f t="shared" si="9"/>
        <v>7.432092760038661E-2</v>
      </c>
      <c r="O107" s="25">
        <f t="shared" si="9"/>
        <v>684.81741355996689</v>
      </c>
      <c r="P107" s="25">
        <f t="shared" si="9"/>
        <v>123.17366889856673</v>
      </c>
      <c r="Q107" s="25">
        <f t="shared" si="10"/>
        <v>719.67008148703633</v>
      </c>
      <c r="R107" s="25">
        <f t="shared" si="4"/>
        <v>215.09406525794634</v>
      </c>
      <c r="S107" s="25">
        <f>Production!V14*Feedstocks!V107/100</f>
        <v>934.76414674498267</v>
      </c>
      <c r="V107" s="26">
        <f t="shared" si="11"/>
        <v>0.10519841192001493</v>
      </c>
    </row>
    <row r="108" spans="1:22" x14ac:dyDescent="0.25">
      <c r="A108" s="18">
        <v>2025</v>
      </c>
      <c r="B108" s="18" t="s">
        <v>28</v>
      </c>
      <c r="C108" s="25"/>
      <c r="D108" s="25">
        <f t="shared" si="9"/>
        <v>2.2497595236269134</v>
      </c>
      <c r="E108" s="25">
        <f t="shared" si="9"/>
        <v>46.856329273512515</v>
      </c>
      <c r="F108" s="25">
        <f t="shared" si="9"/>
        <v>2.0880210000199497</v>
      </c>
      <c r="G108" s="25">
        <f t="shared" si="9"/>
        <v>14.655369158585929</v>
      </c>
      <c r="H108" s="25">
        <f t="shared" si="9"/>
        <v>16.721820706150886</v>
      </c>
      <c r="I108" s="25">
        <f t="shared" si="9"/>
        <v>1.6336493890256374</v>
      </c>
      <c r="J108" s="25">
        <f t="shared" si="9"/>
        <v>8.3873525774561397</v>
      </c>
      <c r="K108" s="25">
        <f t="shared" si="9"/>
        <v>0</v>
      </c>
      <c r="L108" s="25">
        <f t="shared" si="9"/>
        <v>5.0158375363451793</v>
      </c>
      <c r="M108" s="25">
        <f t="shared" si="9"/>
        <v>6.3467991066796721</v>
      </c>
      <c r="N108" s="25">
        <f t="shared" si="9"/>
        <v>6.8314962583484823E-2</v>
      </c>
      <c r="O108" s="25">
        <f t="shared" si="9"/>
        <v>629.47648117923416</v>
      </c>
      <c r="P108" s="25">
        <f t="shared" si="9"/>
        <v>113.21985413476409</v>
      </c>
      <c r="Q108" s="25">
        <f t="shared" si="10"/>
        <v>661.51266240364589</v>
      </c>
      <c r="R108" s="25">
        <f t="shared" si="4"/>
        <v>197.71205089143439</v>
      </c>
      <c r="S108" s="25">
        <f>Production!V15*Feedstocks!V108/100</f>
        <v>859.22471329508028</v>
      </c>
      <c r="V108" s="26">
        <f t="shared" si="11"/>
        <v>0.10422703356288966</v>
      </c>
    </row>
    <row r="109" spans="1:22" x14ac:dyDescent="0.25">
      <c r="A109" s="18">
        <v>2025</v>
      </c>
      <c r="B109" s="18" t="s">
        <v>29</v>
      </c>
      <c r="C109" s="25"/>
      <c r="D109" s="25">
        <f t="shared" si="9"/>
        <v>2.1626085127164449</v>
      </c>
      <c r="E109" s="25">
        <f t="shared" si="9"/>
        <v>45.041212403973887</v>
      </c>
      <c r="F109" s="25">
        <f t="shared" si="9"/>
        <v>2.0071354035626623</v>
      </c>
      <c r="G109" s="25">
        <f t="shared" si="9"/>
        <v>14.087650598436088</v>
      </c>
      <c r="H109" s="25">
        <f t="shared" si="9"/>
        <v>16.074052105329386</v>
      </c>
      <c r="I109" s="25">
        <f t="shared" si="9"/>
        <v>1.5703652049910135</v>
      </c>
      <c r="J109" s="25">
        <f t="shared" si="9"/>
        <v>8.0624439601967222</v>
      </c>
      <c r="K109" s="25">
        <f t="shared" si="9"/>
        <v>0</v>
      </c>
      <c r="L109" s="25">
        <f t="shared" si="9"/>
        <v>4.8215344087155936</v>
      </c>
      <c r="M109" s="25">
        <f t="shared" si="9"/>
        <v>6.1009372923907064</v>
      </c>
      <c r="N109" s="25">
        <f t="shared" si="9"/>
        <v>6.5668582831811026E-2</v>
      </c>
      <c r="O109" s="25">
        <f t="shared" si="9"/>
        <v>605.09186980055051</v>
      </c>
      <c r="P109" s="25">
        <f t="shared" si="9"/>
        <v>108.83395215752823</v>
      </c>
      <c r="Q109" s="25">
        <f t="shared" si="10"/>
        <v>635.8870359075255</v>
      </c>
      <c r="R109" s="25">
        <f t="shared" si="4"/>
        <v>190.0530967128152</v>
      </c>
      <c r="S109" s="25">
        <f>Production!V16*Feedstocks!V109/100</f>
        <v>825.94013262034071</v>
      </c>
      <c r="V109" s="26">
        <f t="shared" si="11"/>
        <v>0.10390107650216512</v>
      </c>
    </row>
    <row r="110" spans="1:22" x14ac:dyDescent="0.25">
      <c r="A110" s="18">
        <v>2026</v>
      </c>
      <c r="B110" s="18" t="s">
        <v>19</v>
      </c>
      <c r="C110" s="25"/>
      <c r="D110" s="25">
        <f t="shared" si="9"/>
        <v>1.9339167700358348</v>
      </c>
      <c r="E110" s="25">
        <f t="shared" si="9"/>
        <v>40.278189741044564</v>
      </c>
      <c r="F110" s="25">
        <f t="shared" si="9"/>
        <v>1.7948846468780286</v>
      </c>
      <c r="G110" s="25">
        <f t="shared" si="9"/>
        <v>12.597908304956864</v>
      </c>
      <c r="H110" s="25">
        <f t="shared" si="9"/>
        <v>14.374251625357495</v>
      </c>
      <c r="I110" s="25">
        <f t="shared" si="9"/>
        <v>1.4043020672281423</v>
      </c>
      <c r="J110" s="25">
        <f t="shared" si="9"/>
        <v>7.2098558247666338</v>
      </c>
      <c r="K110" s="25">
        <f t="shared" si="9"/>
        <v>0</v>
      </c>
      <c r="L110" s="25">
        <f t="shared" si="9"/>
        <v>4.3116663027500506</v>
      </c>
      <c r="M110" s="25">
        <f t="shared" si="9"/>
        <v>5.4557747615036867</v>
      </c>
      <c r="N110" s="25">
        <f t="shared" si="9"/>
        <v>5.8724254924625928E-2</v>
      </c>
      <c r="O110" s="25">
        <f t="shared" si="9"/>
        <v>541.10455384721649</v>
      </c>
      <c r="P110" s="25">
        <f t="shared" si="9"/>
        <v>97.324968430066718</v>
      </c>
      <c r="Q110" s="25">
        <f t="shared" si="10"/>
        <v>568.64318962901632</v>
      </c>
      <c r="R110" s="25">
        <f t="shared" si="4"/>
        <v>169.95534271178906</v>
      </c>
      <c r="S110" s="25">
        <f>Production!W5*Feedstocks!V110/100</f>
        <v>738.59853234080538</v>
      </c>
      <c r="V110" s="26">
        <f t="shared" si="11"/>
        <v>0.10346533014427739</v>
      </c>
    </row>
    <row r="111" spans="1:22" x14ac:dyDescent="0.25">
      <c r="A111" s="18">
        <v>2026</v>
      </c>
      <c r="B111" s="18" t="s">
        <v>20</v>
      </c>
      <c r="C111" s="25"/>
      <c r="D111" s="25">
        <f t="shared" si="9"/>
        <v>2.01135560701224</v>
      </c>
      <c r="E111" s="25">
        <f t="shared" si="9"/>
        <v>41.891028627075663</v>
      </c>
      <c r="F111" s="25">
        <f t="shared" si="9"/>
        <v>1.8667562918808613</v>
      </c>
      <c r="G111" s="25">
        <f t="shared" si="9"/>
        <v>13.102359883528768</v>
      </c>
      <c r="H111" s="25">
        <f t="shared" si="9"/>
        <v>14.949832408109206</v>
      </c>
      <c r="I111" s="25">
        <f t="shared" si="9"/>
        <v>1.4605338143925739</v>
      </c>
      <c r="J111" s="25">
        <f t="shared" si="9"/>
        <v>7.4985563823543027</v>
      </c>
      <c r="K111" s="25">
        <f t="shared" si="9"/>
        <v>0</v>
      </c>
      <c r="L111" s="25">
        <f t="shared" si="9"/>
        <v>4.4843161442988846</v>
      </c>
      <c r="M111" s="25">
        <f t="shared" si="9"/>
        <v>5.6742375510518848</v>
      </c>
      <c r="N111" s="25">
        <f t="shared" si="9"/>
        <v>6.1075720134571188E-2</v>
      </c>
      <c r="O111" s="25">
        <f t="shared" si="9"/>
        <v>562.77172586919994</v>
      </c>
      <c r="P111" s="25">
        <f t="shared" si="9"/>
        <v>101.22210220581347</v>
      </c>
      <c r="Q111" s="25">
        <f t="shared" si="10"/>
        <v>591.41307711419927</v>
      </c>
      <c r="R111" s="25">
        <f t="shared" si="4"/>
        <v>176.76077730000225</v>
      </c>
      <c r="S111" s="25">
        <f>Production!W6*Feedstocks!V111/100</f>
        <v>768.17385441420151</v>
      </c>
      <c r="V111" s="26">
        <f t="shared" si="11"/>
        <v>0.10368906463188542</v>
      </c>
    </row>
    <row r="112" spans="1:22" x14ac:dyDescent="0.25">
      <c r="A112" s="18">
        <v>2026</v>
      </c>
      <c r="B112" s="18" t="s">
        <v>21</v>
      </c>
      <c r="C112" s="25"/>
      <c r="D112" s="25">
        <f t="shared" si="9"/>
        <v>2.3235577200658106</v>
      </c>
      <c r="E112" s="25">
        <f t="shared" si="9"/>
        <v>48.39334358807254</v>
      </c>
      <c r="F112" s="25">
        <f t="shared" si="9"/>
        <v>2.156513735492227</v>
      </c>
      <c r="G112" s="25">
        <f t="shared" si="9"/>
        <v>15.136104899758076</v>
      </c>
      <c r="H112" s="25">
        <f t="shared" si="9"/>
        <v>17.270341646424139</v>
      </c>
      <c r="I112" s="25">
        <f t="shared" si="9"/>
        <v>1.6872375068922256</v>
      </c>
      <c r="J112" s="25">
        <f t="shared" si="9"/>
        <v>8.6624804240606217</v>
      </c>
      <c r="K112" s="25">
        <f t="shared" si="9"/>
        <v>0</v>
      </c>
      <c r="L112" s="25">
        <f t="shared" si="9"/>
        <v>5.1803705719542688</v>
      </c>
      <c r="M112" s="25">
        <f t="shared" si="9"/>
        <v>6.5549912811383306</v>
      </c>
      <c r="N112" s="25">
        <f t="shared" si="9"/>
        <v>7.0555878101568409E-2</v>
      </c>
      <c r="O112" s="25">
        <f t="shared" si="9"/>
        <v>650.12501206614445</v>
      </c>
      <c r="P112" s="25">
        <f t="shared" si="9"/>
        <v>116.93377153281138</v>
      </c>
      <c r="Q112" s="25">
        <f t="shared" si="10"/>
        <v>683.21206667072079</v>
      </c>
      <c r="R112" s="25">
        <f t="shared" si="4"/>
        <v>204.19754083682233</v>
      </c>
      <c r="S112" s="25">
        <f>Production!W7*Feedstocks!V112/100</f>
        <v>887.40960750754311</v>
      </c>
      <c r="V112" s="26">
        <f t="shared" si="11"/>
        <v>0.10386213580575167</v>
      </c>
    </row>
    <row r="113" spans="1:28" x14ac:dyDescent="0.25">
      <c r="A113" s="18">
        <v>2026</v>
      </c>
      <c r="B113" s="18" t="s">
        <v>22</v>
      </c>
      <c r="C113" s="25"/>
      <c r="D113" s="25">
        <f t="shared" si="9"/>
        <v>2.2417731576411621</v>
      </c>
      <c r="E113" s="25">
        <f t="shared" si="9"/>
        <v>46.689995142954473</v>
      </c>
      <c r="F113" s="25">
        <f t="shared" si="9"/>
        <v>2.0806087856401607</v>
      </c>
      <c r="G113" s="25">
        <f t="shared" si="9"/>
        <v>14.603344424152057</v>
      </c>
      <c r="H113" s="25">
        <f t="shared" si="9"/>
        <v>16.66246032620586</v>
      </c>
      <c r="I113" s="25">
        <f t="shared" si="9"/>
        <v>1.6278501372495522</v>
      </c>
      <c r="J113" s="25">
        <f t="shared" si="9"/>
        <v>8.3575785208818107</v>
      </c>
      <c r="K113" s="25">
        <f t="shared" si="9"/>
        <v>0</v>
      </c>
      <c r="L113" s="25">
        <f t="shared" si="9"/>
        <v>4.9980319380713949</v>
      </c>
      <c r="M113" s="25">
        <f t="shared" si="9"/>
        <v>6.3242687606708374</v>
      </c>
      <c r="N113" s="25">
        <f t="shared" si="9"/>
        <v>6.8072452978451534E-2</v>
      </c>
      <c r="O113" s="25">
        <f t="shared" si="9"/>
        <v>627.2419181046813</v>
      </c>
      <c r="P113" s="25">
        <f t="shared" si="9"/>
        <v>112.81793775993486</v>
      </c>
      <c r="Q113" s="25">
        <f t="shared" si="10"/>
        <v>659.16437487749852</v>
      </c>
      <c r="R113" s="25">
        <f t="shared" si="4"/>
        <v>197.01019774596261</v>
      </c>
      <c r="S113" s="25">
        <f>Production!W8*Feedstocks!V113/100</f>
        <v>856.17457262346113</v>
      </c>
      <c r="V113" s="26">
        <f t="shared" si="11"/>
        <v>0.10395937895838947</v>
      </c>
    </row>
    <row r="114" spans="1:28" x14ac:dyDescent="0.25">
      <c r="A114" s="18">
        <v>2026</v>
      </c>
      <c r="B114" s="18" t="s">
        <v>9</v>
      </c>
      <c r="C114" s="25"/>
      <c r="D114" s="25">
        <f t="shared" si="9"/>
        <v>2.2843332456925896</v>
      </c>
      <c r="E114" s="25">
        <f t="shared" si="9"/>
        <v>47.576405214210638</v>
      </c>
      <c r="F114" s="25">
        <f t="shared" si="9"/>
        <v>2.120109166316765</v>
      </c>
      <c r="G114" s="25">
        <f t="shared" si="9"/>
        <v>14.880589078642975</v>
      </c>
      <c r="H114" s="25">
        <f t="shared" si="9"/>
        <v>16.978797318742128</v>
      </c>
      <c r="I114" s="25">
        <f t="shared" si="9"/>
        <v>1.6587548900073061</v>
      </c>
      <c r="J114" s="25">
        <f t="shared" si="9"/>
        <v>8.5162472410121399</v>
      </c>
      <c r="K114" s="25">
        <f t="shared" si="9"/>
        <v>0</v>
      </c>
      <c r="L114" s="25">
        <f t="shared" si="9"/>
        <v>5.0929196293808889</v>
      </c>
      <c r="M114" s="25">
        <f t="shared" si="9"/>
        <v>6.4443350726425006</v>
      </c>
      <c r="N114" s="25">
        <f t="shared" si="9"/>
        <v>6.936480924686543E-2</v>
      </c>
      <c r="O114" s="25">
        <f t="shared" si="9"/>
        <v>639.15011281791044</v>
      </c>
      <c r="P114" s="25">
        <f t="shared" si="9"/>
        <v>114.9597875490079</v>
      </c>
      <c r="Q114" s="25">
        <f t="shared" si="10"/>
        <v>671.67861778362271</v>
      </c>
      <c r="R114" s="25">
        <f t="shared" si="4"/>
        <v>200.75043851676389</v>
      </c>
      <c r="S114" s="25">
        <f>Production!W9*Feedstocks!V114/100</f>
        <v>872.42905630038661</v>
      </c>
      <c r="V114" s="26">
        <f t="shared" si="11"/>
        <v>0.10405291524037674</v>
      </c>
    </row>
    <row r="115" spans="1:28" x14ac:dyDescent="0.25">
      <c r="A115" s="18">
        <v>2026</v>
      </c>
      <c r="B115" s="18" t="s">
        <v>23</v>
      </c>
      <c r="C115" s="25"/>
      <c r="D115" s="25">
        <f t="shared" si="9"/>
        <v>2.3340150441821153</v>
      </c>
      <c r="E115" s="25">
        <f t="shared" si="9"/>
        <v>48.611141009071339</v>
      </c>
      <c r="F115" s="25">
        <f t="shared" si="9"/>
        <v>2.1662192671855247</v>
      </c>
      <c r="G115" s="25">
        <f t="shared" si="9"/>
        <v>15.204225933906809</v>
      </c>
      <c r="H115" s="25">
        <f t="shared" si="9"/>
        <v>17.348067953214944</v>
      </c>
      <c r="I115" s="25">
        <f t="shared" si="9"/>
        <v>1.6948310300994986</v>
      </c>
      <c r="J115" s="25">
        <f t="shared" si="9"/>
        <v>8.7014664861081705</v>
      </c>
      <c r="K115" s="25">
        <f t="shared" si="9"/>
        <v>0</v>
      </c>
      <c r="L115" s="25">
        <f t="shared" si="9"/>
        <v>5.203685169928602</v>
      </c>
      <c r="M115" s="25">
        <f t="shared" si="9"/>
        <v>6.58449244989108</v>
      </c>
      <c r="N115" s="25">
        <f t="shared" si="9"/>
        <v>7.0873419464645759E-2</v>
      </c>
      <c r="O115" s="25">
        <f t="shared" si="9"/>
        <v>653.05094237920741</v>
      </c>
      <c r="P115" s="25">
        <f t="shared" si="9"/>
        <v>117.46003965109419</v>
      </c>
      <c r="Q115" s="25">
        <f t="shared" si="10"/>
        <v>686.28690744598828</v>
      </c>
      <c r="R115" s="25">
        <f t="shared" si="4"/>
        <v>205.11654527981193</v>
      </c>
      <c r="S115" s="25">
        <f>Production!W10*Feedstocks!V115/100</f>
        <v>891.40345272580021</v>
      </c>
      <c r="V115" s="26">
        <f t="shared" si="11"/>
        <v>0.104134283618881</v>
      </c>
    </row>
    <row r="116" spans="1:28" x14ac:dyDescent="0.25">
      <c r="A116" s="18">
        <v>2026</v>
      </c>
      <c r="B116" s="18" t="s">
        <v>24</v>
      </c>
      <c r="C116" s="25"/>
      <c r="D116" s="25">
        <f t="shared" si="9"/>
        <v>2.5493979271169915</v>
      </c>
      <c r="E116" s="25">
        <f t="shared" si="9"/>
        <v>53.096976573578793</v>
      </c>
      <c r="F116" s="25">
        <f t="shared" si="9"/>
        <v>2.3661179576410469</v>
      </c>
      <c r="G116" s="25">
        <f t="shared" si="9"/>
        <v>16.607271738003412</v>
      </c>
      <c r="H116" s="25">
        <f t="shared" si="9"/>
        <v>18.948947475575906</v>
      </c>
      <c r="I116" s="25">
        <f t="shared" si="9"/>
        <v>1.8512300191549578</v>
      </c>
      <c r="J116" s="25">
        <f t="shared" si="9"/>
        <v>9.5044377189675195</v>
      </c>
      <c r="K116" s="25">
        <f t="shared" si="9"/>
        <v>0</v>
      </c>
      <c r="L116" s="25">
        <f t="shared" si="9"/>
        <v>5.6838811809090837</v>
      </c>
      <c r="M116" s="25">
        <f t="shared" si="9"/>
        <v>7.192109341673981</v>
      </c>
      <c r="N116" s="25">
        <f t="shared" si="9"/>
        <v>7.7413617843314436E-2</v>
      </c>
      <c r="O116" s="25">
        <f t="shared" si="9"/>
        <v>713.31447625126953</v>
      </c>
      <c r="P116" s="25">
        <f t="shared" si="9"/>
        <v>128.29925083474052</v>
      </c>
      <c r="Q116" s="25">
        <f t="shared" si="10"/>
        <v>749.61745581354376</v>
      </c>
      <c r="R116" s="25">
        <f t="shared" si="4"/>
        <v>224.04469785112019</v>
      </c>
      <c r="S116" s="25">
        <f>Production!W11*Feedstocks!V116/100</f>
        <v>973.66215366466395</v>
      </c>
      <c r="V116" s="26">
        <f t="shared" si="11"/>
        <v>0.10420080728954643</v>
      </c>
    </row>
    <row r="117" spans="1:28" x14ac:dyDescent="0.25">
      <c r="A117" s="18">
        <v>2026</v>
      </c>
      <c r="B117" s="18" t="s">
        <v>25</v>
      </c>
      <c r="C117" s="25"/>
      <c r="D117" s="25">
        <f t="shared" si="9"/>
        <v>2.5942087147871646</v>
      </c>
      <c r="E117" s="25">
        <f t="shared" si="9"/>
        <v>54.030262553715076</v>
      </c>
      <c r="F117" s="25">
        <f t="shared" si="9"/>
        <v>2.4077072318279682</v>
      </c>
      <c r="G117" s="25">
        <f t="shared" si="9"/>
        <v>16.899177885614549</v>
      </c>
      <c r="H117" s="25">
        <f t="shared" si="9"/>
        <v>19.282013276277144</v>
      </c>
      <c r="I117" s="25">
        <f t="shared" si="9"/>
        <v>1.8837691039461713</v>
      </c>
      <c r="J117" s="25">
        <f t="shared" si="9"/>
        <v>9.6714972964539871</v>
      </c>
      <c r="K117" s="25">
        <f t="shared" si="9"/>
        <v>0</v>
      </c>
      <c r="L117" s="25">
        <f t="shared" ref="L117:P117" si="12">$S117*L$318</f>
        <v>5.7837868056964385</v>
      </c>
      <c r="M117" s="25">
        <f t="shared" si="12"/>
        <v>7.3185251048557136</v>
      </c>
      <c r="N117" s="25">
        <f t="shared" si="12"/>
        <v>7.877431762072408E-2</v>
      </c>
      <c r="O117" s="25">
        <f t="shared" si="12"/>
        <v>725.85241048168734</v>
      </c>
      <c r="P117" s="25">
        <f t="shared" si="12"/>
        <v>130.55436778853021</v>
      </c>
      <c r="Q117" s="25">
        <f t="shared" si="10"/>
        <v>762.79348780487067</v>
      </c>
      <c r="R117" s="25">
        <f t="shared" si="4"/>
        <v>227.98273328970242</v>
      </c>
      <c r="S117" s="25">
        <f>Production!W12*Feedstocks!V117/100</f>
        <v>990.77622109457309</v>
      </c>
      <c r="V117" s="26">
        <f t="shared" si="11"/>
        <v>0.10425959889584163</v>
      </c>
    </row>
    <row r="118" spans="1:28" x14ac:dyDescent="0.25">
      <c r="A118" s="18">
        <v>2026</v>
      </c>
      <c r="B118" s="18" t="s">
        <v>26</v>
      </c>
      <c r="C118" s="25"/>
      <c r="D118" s="25">
        <f t="shared" ref="D118:P137" si="13">$S118*D$318</f>
        <v>2.5005307908233472</v>
      </c>
      <c r="E118" s="25">
        <f t="shared" si="13"/>
        <v>52.079207961075149</v>
      </c>
      <c r="F118" s="25">
        <f t="shared" si="13"/>
        <v>2.3207639517037939</v>
      </c>
      <c r="G118" s="25">
        <f t="shared" si="13"/>
        <v>16.288941750026858</v>
      </c>
      <c r="H118" s="25">
        <f t="shared" si="13"/>
        <v>18.585731992790436</v>
      </c>
      <c r="I118" s="25">
        <f t="shared" si="13"/>
        <v>1.8157454411317719</v>
      </c>
      <c r="J118" s="25">
        <f t="shared" si="13"/>
        <v>9.3222556247298929</v>
      </c>
      <c r="K118" s="25">
        <f t="shared" si="13"/>
        <v>0</v>
      </c>
      <c r="L118" s="25">
        <f t="shared" si="13"/>
        <v>5.5749319292485291</v>
      </c>
      <c r="M118" s="25">
        <f t="shared" si="13"/>
        <v>7.0542502088567574</v>
      </c>
      <c r="N118" s="25">
        <f t="shared" si="13"/>
        <v>7.5929745210527227E-2</v>
      </c>
      <c r="O118" s="25">
        <f t="shared" si="13"/>
        <v>699.64158691515115</v>
      </c>
      <c r="P118" s="25">
        <f t="shared" si="13"/>
        <v>125.83999686335136</v>
      </c>
      <c r="Q118" s="25">
        <f t="shared" si="10"/>
        <v>735.24870702321255</v>
      </c>
      <c r="R118" s="25">
        <f t="shared" si="4"/>
        <v>219.75018475479067</v>
      </c>
      <c r="S118" s="25">
        <f>Production!W13*Feedstocks!V118/100</f>
        <v>954.99889177800321</v>
      </c>
      <c r="V118" s="26">
        <f t="shared" si="11"/>
        <v>0.1042323225357828</v>
      </c>
    </row>
    <row r="119" spans="1:28" x14ac:dyDescent="0.25">
      <c r="A119" s="18">
        <v>2026</v>
      </c>
      <c r="B119" s="18" t="s">
        <v>27</v>
      </c>
      <c r="C119" s="25"/>
      <c r="D119" s="25">
        <f t="shared" si="13"/>
        <v>2.5888461617437546</v>
      </c>
      <c r="E119" s="25">
        <f t="shared" si="13"/>
        <v>53.918575260691142</v>
      </c>
      <c r="F119" s="25">
        <f t="shared" si="13"/>
        <v>2.4027302006160678</v>
      </c>
      <c r="G119" s="25">
        <f t="shared" si="13"/>
        <v>16.864245176736855</v>
      </c>
      <c r="H119" s="25">
        <f t="shared" si="13"/>
        <v>19.242154949386027</v>
      </c>
      <c r="I119" s="25">
        <f t="shared" si="13"/>
        <v>1.8798751182063702</v>
      </c>
      <c r="J119" s="25">
        <f t="shared" si="13"/>
        <v>9.6515051050139515</v>
      </c>
      <c r="K119" s="25">
        <f t="shared" si="13"/>
        <v>0</v>
      </c>
      <c r="L119" s="25">
        <f t="shared" si="13"/>
        <v>5.7718309968362913</v>
      </c>
      <c r="M119" s="25">
        <f t="shared" si="13"/>
        <v>7.3033968004711767</v>
      </c>
      <c r="N119" s="25">
        <f t="shared" si="13"/>
        <v>7.8611481279032808E-2</v>
      </c>
      <c r="O119" s="25">
        <f t="shared" si="13"/>
        <v>724.35198299845979</v>
      </c>
      <c r="P119" s="25">
        <f t="shared" si="13"/>
        <v>130.28449562353276</v>
      </c>
      <c r="Q119" s="25">
        <f t="shared" si="10"/>
        <v>761.2166985063825</v>
      </c>
      <c r="R119" s="25">
        <f t="shared" si="4"/>
        <v>227.51146453893489</v>
      </c>
      <c r="S119" s="25">
        <f>Production!W14*Feedstocks!V119/100</f>
        <v>988.72816304531739</v>
      </c>
      <c r="V119" s="26">
        <f t="shared" si="11"/>
        <v>0.10409852992548353</v>
      </c>
    </row>
    <row r="120" spans="1:28" x14ac:dyDescent="0.25">
      <c r="A120" s="18">
        <v>2026</v>
      </c>
      <c r="B120" s="18" t="s">
        <v>28</v>
      </c>
      <c r="C120" s="25"/>
      <c r="D120" s="25">
        <f t="shared" si="13"/>
        <v>2.4249733746364863</v>
      </c>
      <c r="E120" s="25">
        <f t="shared" si="13"/>
        <v>50.505553917286562</v>
      </c>
      <c r="F120" s="25">
        <f t="shared" si="13"/>
        <v>2.2506384693806547</v>
      </c>
      <c r="G120" s="25">
        <f t="shared" si="13"/>
        <v>15.796746110778173</v>
      </c>
      <c r="H120" s="25">
        <f t="shared" si="13"/>
        <v>18.024135274017645</v>
      </c>
      <c r="I120" s="25">
        <f t="shared" si="13"/>
        <v>1.7608798763930888</v>
      </c>
      <c r="J120" s="25">
        <f t="shared" si="13"/>
        <v>9.0405692121398289</v>
      </c>
      <c r="K120" s="25">
        <f t="shared" si="13"/>
        <v>0</v>
      </c>
      <c r="L120" s="25">
        <f t="shared" si="13"/>
        <v>5.4064767142447767</v>
      </c>
      <c r="M120" s="25">
        <f t="shared" si="13"/>
        <v>6.8410950976008227</v>
      </c>
      <c r="N120" s="25">
        <f t="shared" si="13"/>
        <v>7.3635410191383116E-2</v>
      </c>
      <c r="O120" s="25">
        <f t="shared" si="13"/>
        <v>678.5008312171268</v>
      </c>
      <c r="P120" s="25">
        <f t="shared" si="13"/>
        <v>122.03754617934007</v>
      </c>
      <c r="Q120" s="25">
        <f t="shared" si="10"/>
        <v>713.03202696421101</v>
      </c>
      <c r="R120" s="25">
        <f t="shared" si="4"/>
        <v>213.11009208822918</v>
      </c>
      <c r="S120" s="25">
        <f>Production!W15*Feedstocks!V120/100</f>
        <v>926.14211905244019</v>
      </c>
      <c r="V120" s="26">
        <f t="shared" si="11"/>
        <v>0.10400687309260591</v>
      </c>
    </row>
    <row r="121" spans="1:28" x14ac:dyDescent="0.25">
      <c r="A121" s="18">
        <v>2026</v>
      </c>
      <c r="B121" s="18" t="s">
        <v>29</v>
      </c>
      <c r="C121" s="25"/>
      <c r="D121" s="25">
        <f t="shared" si="13"/>
        <v>2.2649055853515039</v>
      </c>
      <c r="E121" s="25">
        <f t="shared" si="13"/>
        <v>47.171780257456007</v>
      </c>
      <c r="F121" s="25">
        <f t="shared" si="13"/>
        <v>2.102078189073453</v>
      </c>
      <c r="G121" s="25">
        <f t="shared" si="13"/>
        <v>14.75403353739685</v>
      </c>
      <c r="H121" s="25">
        <f t="shared" si="13"/>
        <v>16.834397061936055</v>
      </c>
      <c r="I121" s="25">
        <f t="shared" si="13"/>
        <v>1.6446476109345427</v>
      </c>
      <c r="J121" s="25">
        <f t="shared" si="13"/>
        <v>8.4438187724027234</v>
      </c>
      <c r="K121" s="25">
        <f t="shared" si="13"/>
        <v>0</v>
      </c>
      <c r="L121" s="25">
        <f t="shared" si="13"/>
        <v>5.0496056720628708</v>
      </c>
      <c r="M121" s="25">
        <f t="shared" si="13"/>
        <v>6.3895276783397987</v>
      </c>
      <c r="N121" s="25">
        <f t="shared" si="13"/>
        <v>6.8774879578673023E-2</v>
      </c>
      <c r="O121" s="25">
        <f t="shared" si="13"/>
        <v>633.71430728375424</v>
      </c>
      <c r="P121" s="25">
        <f t="shared" si="13"/>
        <v>113.98208444478838</v>
      </c>
      <c r="Q121" s="25">
        <f t="shared" si="10"/>
        <v>665.96616577195766</v>
      </c>
      <c r="R121" s="25">
        <f t="shared" si="4"/>
        <v>199.04310823114031</v>
      </c>
      <c r="S121" s="25">
        <f>Production!W16*Feedstocks!V121/100</f>
        <v>865.00927400309797</v>
      </c>
      <c r="V121" s="26">
        <f t="shared" si="11"/>
        <v>0.10398852638674892</v>
      </c>
    </row>
    <row r="122" spans="1:28" x14ac:dyDescent="0.25">
      <c r="A122" s="18">
        <v>2027</v>
      </c>
      <c r="B122" s="18" t="s">
        <v>19</v>
      </c>
      <c r="C122" s="25"/>
      <c r="D122" s="25">
        <f t="shared" si="13"/>
        <v>2.0744941310569858</v>
      </c>
      <c r="E122" s="25">
        <f t="shared" si="13"/>
        <v>43.206031160197426</v>
      </c>
      <c r="F122" s="25">
        <f t="shared" si="13"/>
        <v>1.9253556944975281</v>
      </c>
      <c r="G122" s="25">
        <f t="shared" si="13"/>
        <v>13.513656454689523</v>
      </c>
      <c r="H122" s="25">
        <f t="shared" si="13"/>
        <v>15.419123044570281</v>
      </c>
      <c r="I122" s="25">
        <f t="shared" si="13"/>
        <v>1.5063814750631659</v>
      </c>
      <c r="J122" s="25">
        <f t="shared" si="13"/>
        <v>7.7339437901292216</v>
      </c>
      <c r="K122" s="25">
        <f t="shared" si="13"/>
        <v>0</v>
      </c>
      <c r="L122" s="25">
        <f t="shared" si="13"/>
        <v>4.6250834465670483</v>
      </c>
      <c r="M122" s="25">
        <f t="shared" si="13"/>
        <v>5.852357711804995</v>
      </c>
      <c r="N122" s="25">
        <f t="shared" si="13"/>
        <v>6.299294989286093E-2</v>
      </c>
      <c r="O122" s="25">
        <f t="shared" si="13"/>
        <v>580.43770995556315</v>
      </c>
      <c r="P122" s="25">
        <f t="shared" si="13"/>
        <v>104.39956824498643</v>
      </c>
      <c r="Q122" s="25">
        <f t="shared" si="10"/>
        <v>609.97814271451853</v>
      </c>
      <c r="R122" s="25">
        <f t="shared" si="4"/>
        <v>182.30948014937167</v>
      </c>
      <c r="S122" s="25">
        <f>Production!X5*Feedstocks!V122/100</f>
        <v>792.28762286389019</v>
      </c>
      <c r="V122" s="26">
        <f t="shared" si="11"/>
        <v>0.1039958138771309</v>
      </c>
    </row>
    <row r="123" spans="1:28" x14ac:dyDescent="0.25">
      <c r="A123" s="18">
        <v>2027</v>
      </c>
      <c r="B123" s="18" t="s">
        <v>20</v>
      </c>
      <c r="C123" s="25"/>
      <c r="D123" s="25">
        <f t="shared" si="13"/>
        <v>2.185419000504004</v>
      </c>
      <c r="E123" s="25">
        <f t="shared" si="13"/>
        <v>45.516292391607507</v>
      </c>
      <c r="F123" s="25">
        <f t="shared" si="13"/>
        <v>2.028306011808088</v>
      </c>
      <c r="G123" s="25">
        <f t="shared" si="13"/>
        <v>14.236242532686536</v>
      </c>
      <c r="H123" s="25">
        <f t="shared" si="13"/>
        <v>16.243595953459643</v>
      </c>
      <c r="I123" s="25">
        <f t="shared" si="13"/>
        <v>1.586928903931355</v>
      </c>
      <c r="J123" s="25">
        <f t="shared" si="13"/>
        <v>8.1474839840431734</v>
      </c>
      <c r="K123" s="25">
        <f t="shared" si="13"/>
        <v>0</v>
      </c>
      <c r="L123" s="25">
        <f t="shared" si="13"/>
        <v>4.8723903778383431</v>
      </c>
      <c r="M123" s="25">
        <f t="shared" si="13"/>
        <v>6.165287984983669</v>
      </c>
      <c r="N123" s="25">
        <f t="shared" si="13"/>
        <v>6.63612335810813E-2</v>
      </c>
      <c r="O123" s="25">
        <f t="shared" si="13"/>
        <v>611.47418108124521</v>
      </c>
      <c r="P123" s="25">
        <f t="shared" si="13"/>
        <v>109.98189711472381</v>
      </c>
      <c r="Q123" s="25">
        <f t="shared" si="10"/>
        <v>642.59416453554331</v>
      </c>
      <c r="R123" s="25">
        <f t="shared" si="4"/>
        <v>192.05771466195574</v>
      </c>
      <c r="S123" s="25">
        <f>Production!X6*Feedstocks!V123/100</f>
        <v>834.65187919749906</v>
      </c>
      <c r="V123" s="26">
        <f t="shared" si="11"/>
        <v>0.10404002085486869</v>
      </c>
    </row>
    <row r="124" spans="1:28" x14ac:dyDescent="0.25">
      <c r="A124" s="18">
        <v>2027</v>
      </c>
      <c r="B124" s="18" t="s">
        <v>21</v>
      </c>
      <c r="C124" s="25"/>
      <c r="D124" s="25">
        <f t="shared" si="13"/>
        <v>2.5204127214702878</v>
      </c>
      <c r="E124" s="25">
        <f t="shared" si="13"/>
        <v>52.493294124152861</v>
      </c>
      <c r="F124" s="25">
        <f t="shared" si="13"/>
        <v>2.3392165410920263</v>
      </c>
      <c r="G124" s="25">
        <f t="shared" si="13"/>
        <v>16.418456496005835</v>
      </c>
      <c r="H124" s="25">
        <f t="shared" si="13"/>
        <v>18.733508711181344</v>
      </c>
      <c r="I124" s="25">
        <f t="shared" si="13"/>
        <v>1.8301825858634286</v>
      </c>
      <c r="J124" s="25">
        <f t="shared" si="13"/>
        <v>9.3963776633323075</v>
      </c>
      <c r="K124" s="25">
        <f t="shared" si="13"/>
        <v>0</v>
      </c>
      <c r="L124" s="25">
        <f t="shared" si="13"/>
        <v>5.6192586819465991</v>
      </c>
      <c r="M124" s="25">
        <f t="shared" si="13"/>
        <v>7.1103391456270488</v>
      </c>
      <c r="N124" s="25">
        <f t="shared" si="13"/>
        <v>7.6533469001434248E-2</v>
      </c>
      <c r="O124" s="25">
        <f t="shared" si="13"/>
        <v>705.20449602221413</v>
      </c>
      <c r="P124" s="25">
        <f t="shared" si="13"/>
        <v>126.84056126329006</v>
      </c>
      <c r="Q124" s="25">
        <f t="shared" si="10"/>
        <v>741.09473133730432</v>
      </c>
      <c r="R124" s="25">
        <f t="shared" si="4"/>
        <v>221.49743695779534</v>
      </c>
      <c r="S124" s="25">
        <f>Production!X7*Feedstocks!V124/100</f>
        <v>962.59216829509967</v>
      </c>
      <c r="V124" s="26">
        <f t="shared" si="11"/>
        <v>0.10406926720678396</v>
      </c>
    </row>
    <row r="125" spans="1:28" x14ac:dyDescent="0.25">
      <c r="A125" s="18">
        <v>2027</v>
      </c>
      <c r="B125" s="18" t="s">
        <v>22</v>
      </c>
      <c r="C125" s="25"/>
      <c r="D125" s="25">
        <f t="shared" si="13"/>
        <v>2.4969688802863068</v>
      </c>
      <c r="E125" s="25">
        <f t="shared" si="13"/>
        <v>52.005023119889415</v>
      </c>
      <c r="F125" s="25">
        <f t="shared" si="13"/>
        <v>2.3174581121580888</v>
      </c>
      <c r="G125" s="25">
        <f t="shared" si="13"/>
        <v>16.265738775094661</v>
      </c>
      <c r="H125" s="25">
        <f t="shared" si="13"/>
        <v>18.559257327944604</v>
      </c>
      <c r="I125" s="25">
        <f t="shared" si="13"/>
        <v>1.8131589811517206</v>
      </c>
      <c r="J125" s="25">
        <f t="shared" si="13"/>
        <v>9.3089764279047351</v>
      </c>
      <c r="K125" s="25">
        <f t="shared" si="13"/>
        <v>0</v>
      </c>
      <c r="L125" s="25">
        <f t="shared" si="13"/>
        <v>5.5669906517985783</v>
      </c>
      <c r="M125" s="25">
        <f t="shared" si="13"/>
        <v>7.044201699059534</v>
      </c>
      <c r="N125" s="25">
        <f t="shared" si="13"/>
        <v>7.5821586190637252E-2</v>
      </c>
      <c r="O125" s="25">
        <f t="shared" si="13"/>
        <v>698.64497421606723</v>
      </c>
      <c r="P125" s="25">
        <f t="shared" si="13"/>
        <v>125.66074259763559</v>
      </c>
      <c r="Q125" s="25">
        <f t="shared" si="10"/>
        <v>734.20137334249864</v>
      </c>
      <c r="R125" s="25">
        <f t="shared" si="4"/>
        <v>219.43715901582868</v>
      </c>
      <c r="S125" s="25">
        <f>Production!X8*Feedstocks!V125/100</f>
        <v>953.63853235832732</v>
      </c>
      <c r="V125" s="26">
        <f t="shared" si="11"/>
        <v>0.10408652815686999</v>
      </c>
    </row>
    <row r="126" spans="1:28" x14ac:dyDescent="0.25">
      <c r="A126" s="18">
        <v>2027</v>
      </c>
      <c r="B126" s="18" t="s">
        <v>9</v>
      </c>
      <c r="C126" s="25"/>
      <c r="D126" s="25">
        <f t="shared" si="13"/>
        <v>2.519407992329084</v>
      </c>
      <c r="E126" s="25">
        <f t="shared" si="13"/>
        <v>52.472368367876896</v>
      </c>
      <c r="F126" s="25">
        <f t="shared" si="13"/>
        <v>2.3382840434076591</v>
      </c>
      <c r="G126" s="25">
        <f t="shared" si="13"/>
        <v>16.411911495833994</v>
      </c>
      <c r="H126" s="25">
        <f t="shared" si="13"/>
        <v>18.726040846113538</v>
      </c>
      <c r="I126" s="25">
        <f t="shared" si="13"/>
        <v>1.8294530078216753</v>
      </c>
      <c r="J126" s="25">
        <f t="shared" si="13"/>
        <v>9.3926319218592198</v>
      </c>
      <c r="K126" s="25">
        <f t="shared" si="13"/>
        <v>0</v>
      </c>
      <c r="L126" s="25">
        <f t="shared" si="13"/>
        <v>5.6170186389164947</v>
      </c>
      <c r="M126" s="25">
        <f t="shared" si="13"/>
        <v>7.1075047031238041</v>
      </c>
      <c r="N126" s="25">
        <f t="shared" si="13"/>
        <v>7.6502959947925622E-2</v>
      </c>
      <c r="O126" s="25">
        <f t="shared" si="13"/>
        <v>704.92337559236319</v>
      </c>
      <c r="P126" s="25">
        <f t="shared" si="13"/>
        <v>126.78999795391526</v>
      </c>
      <c r="Q126" s="25">
        <f t="shared" si="10"/>
        <v>740.79930374061576</v>
      </c>
      <c r="R126" s="25">
        <f t="shared" si="4"/>
        <v>221.40913993893105</v>
      </c>
      <c r="S126" s="25">
        <f>Production!X9*Feedstocks!V126/100</f>
        <v>962.2084436795468</v>
      </c>
      <c r="V126" s="26">
        <f t="shared" si="11"/>
        <v>0.10409712392341003</v>
      </c>
      <c r="Z126">
        <v>2016</v>
      </c>
      <c r="AA126" s="17">
        <f>SUMIF($A$2:$A$217,Z126,$O$2:$O$217)</f>
        <v>0</v>
      </c>
    </row>
    <row r="127" spans="1:28" x14ac:dyDescent="0.25">
      <c r="A127" s="18">
        <v>2027</v>
      </c>
      <c r="B127" s="18" t="s">
        <v>23</v>
      </c>
      <c r="C127" s="25"/>
      <c r="D127" s="25">
        <f t="shared" si="13"/>
        <v>2.5341474366697505</v>
      </c>
      <c r="E127" s="25">
        <f t="shared" si="13"/>
        <v>52.779350625350119</v>
      </c>
      <c r="F127" s="25">
        <f t="shared" si="13"/>
        <v>2.3519638473994746</v>
      </c>
      <c r="G127" s="25">
        <f t="shared" si="13"/>
        <v>16.507927090272577</v>
      </c>
      <c r="H127" s="25">
        <f t="shared" si="13"/>
        <v>18.835594930887705</v>
      </c>
      <c r="I127" s="25">
        <f t="shared" si="13"/>
        <v>1.8401559669552312</v>
      </c>
      <c r="J127" s="25">
        <f t="shared" si="13"/>
        <v>9.4475822021814739</v>
      </c>
      <c r="K127" s="25">
        <f t="shared" si="13"/>
        <v>0</v>
      </c>
      <c r="L127" s="25">
        <f t="shared" si="13"/>
        <v>5.6498802214155877</v>
      </c>
      <c r="M127" s="25">
        <f t="shared" si="13"/>
        <v>7.1490861660276632</v>
      </c>
      <c r="N127" s="25">
        <f t="shared" si="13"/>
        <v>7.6950529822865266E-2</v>
      </c>
      <c r="O127" s="25">
        <f t="shared" si="13"/>
        <v>709.04743127949826</v>
      </c>
      <c r="P127" s="25">
        <f t="shared" si="13"/>
        <v>127.53176511647288</v>
      </c>
      <c r="Q127" s="25">
        <f t="shared" si="10"/>
        <v>745.13324653127711</v>
      </c>
      <c r="R127" s="25">
        <f t="shared" si="4"/>
        <v>222.70446316747564</v>
      </c>
      <c r="S127" s="25">
        <f>Production!X10*Feedstocks!V127/100</f>
        <v>967.83770969875275</v>
      </c>
      <c r="V127" s="26">
        <f t="shared" si="11"/>
        <v>0.10410080798032949</v>
      </c>
      <c r="Z127">
        <v>2017</v>
      </c>
      <c r="AA127" s="17">
        <f t="shared" ref="AA127:AA138" si="14">SUMIF($A$2:$A$217,Z127,$O$2:$O$217)</f>
        <v>2541.6213413989999</v>
      </c>
      <c r="AB127" s="17">
        <v>2541.6213413989999</v>
      </c>
    </row>
    <row r="128" spans="1:28" x14ac:dyDescent="0.25">
      <c r="A128" s="18">
        <v>2027</v>
      </c>
      <c r="B128" s="18" t="s">
        <v>24</v>
      </c>
      <c r="C128" s="25"/>
      <c r="D128" s="25">
        <f t="shared" si="13"/>
        <v>2.7529610356463055</v>
      </c>
      <c r="E128" s="25">
        <f t="shared" si="13"/>
        <v>57.336638609018209</v>
      </c>
      <c r="F128" s="25">
        <f t="shared" si="13"/>
        <v>2.5550466146707191</v>
      </c>
      <c r="G128" s="25">
        <f t="shared" si="13"/>
        <v>17.933321242955351</v>
      </c>
      <c r="H128" s="25">
        <f t="shared" si="13"/>
        <v>20.461973986838899</v>
      </c>
      <c r="I128" s="25">
        <f t="shared" si="13"/>
        <v>1.9990461498945475</v>
      </c>
      <c r="J128" s="25">
        <f t="shared" si="13"/>
        <v>10.263343524262584</v>
      </c>
      <c r="K128" s="25">
        <f t="shared" si="13"/>
        <v>0</v>
      </c>
      <c r="L128" s="25">
        <f t="shared" si="13"/>
        <v>6.1377250117956788</v>
      </c>
      <c r="M128" s="25">
        <f t="shared" si="13"/>
        <v>7.7663814546702845</v>
      </c>
      <c r="N128" s="25">
        <f t="shared" si="13"/>
        <v>8.3594903441403134E-2</v>
      </c>
      <c r="O128" s="25">
        <f t="shared" si="13"/>
        <v>770.27086999434971</v>
      </c>
      <c r="P128" s="25">
        <f t="shared" si="13"/>
        <v>138.54362816167927</v>
      </c>
      <c r="Q128" s="25">
        <f t="shared" si="10"/>
        <v>809.47255253663684</v>
      </c>
      <c r="R128" s="25">
        <f t="shared" si="4"/>
        <v>241.93411191982159</v>
      </c>
      <c r="S128" s="25">
        <f>Production!X11*Feedstocks!V128/100</f>
        <v>1051.4066644564584</v>
      </c>
      <c r="V128" s="26">
        <f t="shared" si="11"/>
        <v>0.10409801834378352</v>
      </c>
      <c r="Z128">
        <v>2018</v>
      </c>
      <c r="AA128" s="17">
        <f t="shared" si="14"/>
        <v>3378.6160670640002</v>
      </c>
      <c r="AB128" s="17">
        <v>3378.6160670640002</v>
      </c>
    </row>
    <row r="129" spans="1:28" x14ac:dyDescent="0.25">
      <c r="A129" s="18">
        <v>2027</v>
      </c>
      <c r="B129" s="18" t="s">
        <v>25</v>
      </c>
      <c r="C129" s="25"/>
      <c r="D129" s="25">
        <f t="shared" si="13"/>
        <v>2.7899253795399024</v>
      </c>
      <c r="E129" s="25">
        <f t="shared" si="13"/>
        <v>58.106504654996975</v>
      </c>
      <c r="F129" s="25">
        <f t="shared" si="13"/>
        <v>2.5893535374734555</v>
      </c>
      <c r="G129" s="25">
        <f t="shared" si="13"/>
        <v>18.174114136496371</v>
      </c>
      <c r="H129" s="25">
        <f t="shared" si="13"/>
        <v>20.73671940945756</v>
      </c>
      <c r="I129" s="25">
        <f t="shared" si="13"/>
        <v>2.0258875865829258</v>
      </c>
      <c r="J129" s="25">
        <f t="shared" si="13"/>
        <v>10.401150690661472</v>
      </c>
      <c r="K129" s="25">
        <f t="shared" si="13"/>
        <v>0</v>
      </c>
      <c r="L129" s="25">
        <f t="shared" si="13"/>
        <v>6.2201369947924094</v>
      </c>
      <c r="M129" s="25">
        <f t="shared" si="13"/>
        <v>7.8706616065438793</v>
      </c>
      <c r="N129" s="25">
        <f t="shared" si="13"/>
        <v>8.4717342414766458E-2</v>
      </c>
      <c r="O129" s="25">
        <f t="shared" si="13"/>
        <v>780.61339099665179</v>
      </c>
      <c r="P129" s="25">
        <f t="shared" si="13"/>
        <v>140.4038703697324</v>
      </c>
      <c r="Q129" s="25">
        <f t="shared" si="10"/>
        <v>820.34143931598328</v>
      </c>
      <c r="R129" s="25">
        <f t="shared" si="4"/>
        <v>245.18259077469816</v>
      </c>
      <c r="S129" s="25">
        <f>Production!X12*Feedstocks!V129/100</f>
        <v>1065.5240300906814</v>
      </c>
      <c r="V129" s="26">
        <f t="shared" si="11"/>
        <v>0.10408945259830327</v>
      </c>
      <c r="Z129">
        <v>2019</v>
      </c>
      <c r="AA129" s="17">
        <f t="shared" si="14"/>
        <v>3748.8021289950007</v>
      </c>
      <c r="AB129" s="17">
        <v>3748.8021289950007</v>
      </c>
    </row>
    <row r="130" spans="1:28" x14ac:dyDescent="0.25">
      <c r="A130" s="18">
        <v>2027</v>
      </c>
      <c r="B130" s="18" t="s">
        <v>26</v>
      </c>
      <c r="C130" s="25"/>
      <c r="D130" s="25">
        <f t="shared" si="13"/>
        <v>2.7100680443725547</v>
      </c>
      <c r="E130" s="25">
        <f t="shared" si="13"/>
        <v>56.443295075390807</v>
      </c>
      <c r="F130" s="25">
        <f t="shared" si="13"/>
        <v>2.5152372636744493</v>
      </c>
      <c r="G130" s="25">
        <f t="shared" si="13"/>
        <v>17.653907992414062</v>
      </c>
      <c r="H130" s="25">
        <f t="shared" si="13"/>
        <v>20.143162619624924</v>
      </c>
      <c r="I130" s="25">
        <f t="shared" si="13"/>
        <v>1.9678996614579169</v>
      </c>
      <c r="J130" s="25">
        <f t="shared" si="13"/>
        <v>10.103433704063349</v>
      </c>
      <c r="K130" s="25">
        <f t="shared" si="13"/>
        <v>0</v>
      </c>
      <c r="L130" s="25">
        <f t="shared" si="13"/>
        <v>6.042095112947572</v>
      </c>
      <c r="M130" s="25">
        <f t="shared" si="13"/>
        <v>7.6453759890460367</v>
      </c>
      <c r="N130" s="25">
        <f t="shared" si="13"/>
        <v>8.2292438416503008E-2</v>
      </c>
      <c r="O130" s="25">
        <f t="shared" si="13"/>
        <v>758.2695298819076</v>
      </c>
      <c r="P130" s="25">
        <f t="shared" si="13"/>
        <v>136.38502491345798</v>
      </c>
      <c r="Q130" s="25">
        <f t="shared" si="10"/>
        <v>796.8604237477731</v>
      </c>
      <c r="R130" s="25">
        <f t="shared" ref="R130:R193" si="15">S130-Q130</f>
        <v>238.16461514270384</v>
      </c>
      <c r="S130" s="25">
        <f>Production!X13*Feedstocks!V130/100</f>
        <v>1035.0250388904769</v>
      </c>
      <c r="V130" s="26">
        <f t="shared" si="11"/>
        <v>0.10407527374017507</v>
      </c>
      <c r="Z130">
        <v>2020</v>
      </c>
      <c r="AA130" s="17">
        <f t="shared" si="14"/>
        <v>4289.2889046140008</v>
      </c>
      <c r="AB130" s="17">
        <v>4289.2889046140008</v>
      </c>
    </row>
    <row r="131" spans="1:28" x14ac:dyDescent="0.25">
      <c r="A131" s="18">
        <v>2027</v>
      </c>
      <c r="B131" s="18" t="s">
        <v>27</v>
      </c>
      <c r="C131" s="25"/>
      <c r="D131" s="25">
        <f t="shared" si="13"/>
        <v>2.8322069121062738</v>
      </c>
      <c r="E131" s="25">
        <f t="shared" si="13"/>
        <v>58.987113178402517</v>
      </c>
      <c r="F131" s="25">
        <f t="shared" si="13"/>
        <v>2.6285953884288342</v>
      </c>
      <c r="G131" s="25">
        <f t="shared" si="13"/>
        <v>18.449544226620841</v>
      </c>
      <c r="H131" s="25">
        <f t="shared" si="13"/>
        <v>21.050985978542386</v>
      </c>
      <c r="I131" s="25">
        <f t="shared" si="13"/>
        <v>2.056590067945363</v>
      </c>
      <c r="J131" s="25">
        <f t="shared" si="13"/>
        <v>10.558780925104326</v>
      </c>
      <c r="K131" s="25">
        <f t="shared" si="13"/>
        <v>0</v>
      </c>
      <c r="L131" s="25">
        <f t="shared" si="13"/>
        <v>6.3144036468116047</v>
      </c>
      <c r="M131" s="25">
        <f t="shared" si="13"/>
        <v>7.9899420853253069</v>
      </c>
      <c r="N131" s="25">
        <f t="shared" si="13"/>
        <v>8.600124022024723E-2</v>
      </c>
      <c r="O131" s="25">
        <f t="shared" si="13"/>
        <v>792.44364665697117</v>
      </c>
      <c r="P131" s="25">
        <f t="shared" si="13"/>
        <v>142.5317017665927</v>
      </c>
      <c r="Q131" s="25">
        <f t="shared" si="10"/>
        <v>832.77377658792238</v>
      </c>
      <c r="R131" s="25">
        <f t="shared" si="15"/>
        <v>248.89835169524918</v>
      </c>
      <c r="S131" s="25">
        <f>Production!X14*Feedstocks!V131/100</f>
        <v>1081.6721282831716</v>
      </c>
      <c r="V131" s="26">
        <f t="shared" si="11"/>
        <v>0.10406218634054111</v>
      </c>
      <c r="Z131">
        <v>2021</v>
      </c>
      <c r="AA131" s="17">
        <f t="shared" si="14"/>
        <v>4511.2194381239997</v>
      </c>
      <c r="AB131" s="17">
        <v>4511.2194381239997</v>
      </c>
    </row>
    <row r="132" spans="1:28" x14ac:dyDescent="0.25">
      <c r="A132" s="18">
        <v>2027</v>
      </c>
      <c r="B132" s="18" t="s">
        <v>28</v>
      </c>
      <c r="C132" s="25"/>
      <c r="D132" s="25">
        <f t="shared" si="13"/>
        <v>2.6460027625595357</v>
      </c>
      <c r="E132" s="25">
        <f t="shared" si="13"/>
        <v>55.108990716144547</v>
      </c>
      <c r="F132" s="25">
        <f t="shared" si="13"/>
        <v>2.4557777292695788</v>
      </c>
      <c r="G132" s="25">
        <f t="shared" si="13"/>
        <v>17.236574341702362</v>
      </c>
      <c r="H132" s="25">
        <f t="shared" si="13"/>
        <v>19.66698365706662</v>
      </c>
      <c r="I132" s="25">
        <f t="shared" si="13"/>
        <v>1.9213790411905263</v>
      </c>
      <c r="J132" s="25">
        <f t="shared" si="13"/>
        <v>9.8645912407259271</v>
      </c>
      <c r="K132" s="25">
        <f t="shared" si="13"/>
        <v>0</v>
      </c>
      <c r="L132" s="25">
        <f t="shared" si="13"/>
        <v>5.8992616047794515</v>
      </c>
      <c r="M132" s="25">
        <f t="shared" si="13"/>
        <v>7.4646413509170069</v>
      </c>
      <c r="N132" s="25">
        <f t="shared" si="13"/>
        <v>8.0347067240609027E-2</v>
      </c>
      <c r="O132" s="25">
        <f t="shared" si="13"/>
        <v>740.34424153980001</v>
      </c>
      <c r="P132" s="25">
        <f t="shared" si="13"/>
        <v>133.16091949872504</v>
      </c>
      <c r="Q132" s="25">
        <f t="shared" si="10"/>
        <v>778.0228570235538</v>
      </c>
      <c r="R132" s="25">
        <f t="shared" si="15"/>
        <v>232.53446750907153</v>
      </c>
      <c r="S132" s="25">
        <f>Production!X15*Feedstocks!V132/100</f>
        <v>1010.5573245326253</v>
      </c>
      <c r="V132" s="26">
        <f t="shared" si="11"/>
        <v>0.10405915770846258</v>
      </c>
      <c r="Z132">
        <v>2022</v>
      </c>
      <c r="AA132" s="17">
        <f t="shared" si="14"/>
        <v>3874.0684023090002</v>
      </c>
      <c r="AB132" s="17">
        <v>3874.0684023090002</v>
      </c>
    </row>
    <row r="133" spans="1:28" x14ac:dyDescent="0.25">
      <c r="A133" s="18">
        <v>2027</v>
      </c>
      <c r="B133" s="18" t="s">
        <v>29</v>
      </c>
      <c r="C133" s="25"/>
      <c r="D133" s="25">
        <f t="shared" si="13"/>
        <v>2.4927920762081537</v>
      </c>
      <c r="E133" s="25">
        <f t="shared" si="13"/>
        <v>51.918031730302417</v>
      </c>
      <c r="F133" s="25">
        <f t="shared" si="13"/>
        <v>2.3135815846730123</v>
      </c>
      <c r="G133" s="25">
        <f t="shared" si="13"/>
        <v>16.238530264573619</v>
      </c>
      <c r="H133" s="25">
        <f t="shared" si="13"/>
        <v>18.52821233483041</v>
      </c>
      <c r="I133" s="25">
        <f t="shared" si="13"/>
        <v>1.8101260199135549</v>
      </c>
      <c r="J133" s="25">
        <f t="shared" si="13"/>
        <v>9.2934048398827631</v>
      </c>
      <c r="K133" s="25">
        <f t="shared" si="13"/>
        <v>0</v>
      </c>
      <c r="L133" s="25">
        <f t="shared" si="13"/>
        <v>5.5576784695599253</v>
      </c>
      <c r="M133" s="25">
        <f t="shared" si="13"/>
        <v>7.0324185124062062</v>
      </c>
      <c r="N133" s="25">
        <f t="shared" si="13"/>
        <v>7.5694755651052478E-2</v>
      </c>
      <c r="O133" s="25">
        <f t="shared" si="13"/>
        <v>697.47631600789919</v>
      </c>
      <c r="P133" s="25">
        <f t="shared" si="13"/>
        <v>125.4505436214732</v>
      </c>
      <c r="Q133" s="25">
        <f t="shared" si="10"/>
        <v>732.9732381764685</v>
      </c>
      <c r="R133" s="25">
        <f t="shared" si="15"/>
        <v>219.07009556225034</v>
      </c>
      <c r="S133" s="25">
        <f>Production!X16*Feedstocks!V133/100</f>
        <v>952.04333373871884</v>
      </c>
      <c r="V133" s="26">
        <f t="shared" si="11"/>
        <v>0.10406351475978397</v>
      </c>
      <c r="Z133">
        <v>2023</v>
      </c>
      <c r="AA133" s="17">
        <f t="shared" si="14"/>
        <v>4784.9001403700004</v>
      </c>
      <c r="AB133" s="17">
        <v>4784.9001403700004</v>
      </c>
    </row>
    <row r="134" spans="1:28" x14ac:dyDescent="0.25">
      <c r="A134" s="18">
        <v>2028</v>
      </c>
      <c r="B134" s="18" t="s">
        <v>19</v>
      </c>
      <c r="C134" s="25"/>
      <c r="D134" s="25">
        <f t="shared" si="13"/>
        <v>2.2574182636137552</v>
      </c>
      <c r="E134" s="25">
        <f t="shared" si="13"/>
        <v>47.015839851809844</v>
      </c>
      <c r="F134" s="25">
        <f t="shared" si="13"/>
        <v>2.0951291419161273</v>
      </c>
      <c r="G134" s="25">
        <f t="shared" si="13"/>
        <v>14.705259673824569</v>
      </c>
      <c r="H134" s="25">
        <f t="shared" si="13"/>
        <v>16.778745935514305</v>
      </c>
      <c r="I134" s="25">
        <f t="shared" si="13"/>
        <v>1.6392107371469866</v>
      </c>
      <c r="J134" s="25">
        <f t="shared" si="13"/>
        <v>8.4159052080346921</v>
      </c>
      <c r="K134" s="25">
        <f t="shared" si="13"/>
        <v>0</v>
      </c>
      <c r="L134" s="25">
        <f t="shared" si="13"/>
        <v>5.0329126926468524</v>
      </c>
      <c r="M134" s="25">
        <f t="shared" si="13"/>
        <v>6.3684051866167906</v>
      </c>
      <c r="N134" s="25">
        <f t="shared" si="13"/>
        <v>6.8547523677300853E-2</v>
      </c>
      <c r="O134" s="25">
        <f t="shared" si="13"/>
        <v>631.61937540706322</v>
      </c>
      <c r="P134" s="25">
        <f t="shared" si="13"/>
        <v>113.60528262836964</v>
      </c>
      <c r="Q134" s="25">
        <f t="shared" si="10"/>
        <v>663.76461574627922</v>
      </c>
      <c r="R134" s="25">
        <f t="shared" si="15"/>
        <v>198.38511180045168</v>
      </c>
      <c r="S134" s="25">
        <f>Production!Y5*Feedstocks!V134/100</f>
        <v>862.1497275467309</v>
      </c>
      <c r="V134" s="26">
        <f t="shared" si="11"/>
        <v>0.10406976379087023</v>
      </c>
      <c r="X134" s="17">
        <f>SUM(O134:O145)</f>
        <v>9405.3999234180646</v>
      </c>
      <c r="Z134">
        <v>2024</v>
      </c>
      <c r="AA134" s="17">
        <f t="shared" si="14"/>
        <v>6716.1371009629993</v>
      </c>
      <c r="AB134" s="17">
        <v>5509.776288737381</v>
      </c>
    </row>
    <row r="135" spans="1:28" x14ac:dyDescent="0.25">
      <c r="A135" s="18">
        <v>2028</v>
      </c>
      <c r="B135" s="18" t="s">
        <v>20</v>
      </c>
      <c r="C135" s="25"/>
      <c r="D135" s="25">
        <f t="shared" si="13"/>
        <v>2.372603057278861</v>
      </c>
      <c r="E135" s="25">
        <f t="shared" si="13"/>
        <v>49.414823637673727</v>
      </c>
      <c r="F135" s="25">
        <f t="shared" si="13"/>
        <v>2.2020331312224934</v>
      </c>
      <c r="G135" s="25">
        <f t="shared" si="13"/>
        <v>15.455595723028743</v>
      </c>
      <c r="H135" s="25">
        <f t="shared" si="13"/>
        <v>17.63488164580469</v>
      </c>
      <c r="I135" s="25">
        <f t="shared" si="13"/>
        <v>1.7228514844445852</v>
      </c>
      <c r="J135" s="25">
        <f t="shared" si="13"/>
        <v>8.8453268710546169</v>
      </c>
      <c r="K135" s="25">
        <f t="shared" si="13"/>
        <v>0</v>
      </c>
      <c r="L135" s="25">
        <f t="shared" si="13"/>
        <v>5.2897171224599582</v>
      </c>
      <c r="M135" s="25">
        <f t="shared" si="13"/>
        <v>6.6933531367684669</v>
      </c>
      <c r="N135" s="25">
        <f t="shared" si="13"/>
        <v>7.204516188564257E-2</v>
      </c>
      <c r="O135" s="25">
        <f t="shared" si="13"/>
        <v>663.84776152576171</v>
      </c>
      <c r="P135" s="25">
        <f t="shared" si="13"/>
        <v>119.40199352139969</v>
      </c>
      <c r="Q135" s="25">
        <f t="shared" si="10"/>
        <v>697.63321313440395</v>
      </c>
      <c r="R135" s="25">
        <f t="shared" si="15"/>
        <v>208.50771448214664</v>
      </c>
      <c r="S135" s="25">
        <f>Production!Y6*Feedstocks!V135/100</f>
        <v>906.14092761655058</v>
      </c>
      <c r="V135" s="26">
        <f t="shared" si="11"/>
        <v>0.10407592628368183</v>
      </c>
      <c r="Z135">
        <v>2025</v>
      </c>
      <c r="AA135" s="17">
        <f t="shared" si="14"/>
        <v>7199.5627928626927</v>
      </c>
      <c r="AB135" s="17">
        <v>6034.1367373925987</v>
      </c>
    </row>
    <row r="136" spans="1:28" x14ac:dyDescent="0.25">
      <c r="A136" s="18">
        <v>2028</v>
      </c>
      <c r="B136" s="18" t="s">
        <v>21</v>
      </c>
      <c r="C136" s="25"/>
      <c r="D136" s="25">
        <f t="shared" si="13"/>
        <v>2.7093156025310492</v>
      </c>
      <c r="E136" s="25">
        <f t="shared" si="13"/>
        <v>56.42762377260734</v>
      </c>
      <c r="F136" s="25">
        <f t="shared" si="13"/>
        <v>2.5145389159844598</v>
      </c>
      <c r="G136" s="25">
        <f t="shared" si="13"/>
        <v>17.649006440562932</v>
      </c>
      <c r="H136" s="25">
        <f t="shared" si="13"/>
        <v>20.13756993408084</v>
      </c>
      <c r="I136" s="25">
        <f t="shared" si="13"/>
        <v>1.9673532803261813</v>
      </c>
      <c r="J136" s="25">
        <f t="shared" si="13"/>
        <v>10.100628517574545</v>
      </c>
      <c r="K136" s="25">
        <f t="shared" si="13"/>
        <v>0</v>
      </c>
      <c r="L136" s="25">
        <f t="shared" si="13"/>
        <v>6.0404175443039447</v>
      </c>
      <c r="M136" s="25">
        <f t="shared" si="13"/>
        <v>7.6432532745259554</v>
      </c>
      <c r="N136" s="25">
        <f t="shared" si="13"/>
        <v>8.2269590180632096E-2</v>
      </c>
      <c r="O136" s="25">
        <f t="shared" si="13"/>
        <v>758.05899873948624</v>
      </c>
      <c r="P136" s="25">
        <f t="shared" si="13"/>
        <v>136.34715804162326</v>
      </c>
      <c r="Q136" s="25">
        <f t="shared" si="10"/>
        <v>796.6391779654349</v>
      </c>
      <c r="R136" s="25">
        <f t="shared" si="15"/>
        <v>238.09848948878459</v>
      </c>
      <c r="S136" s="25">
        <f>Production!Y7*Feedstocks!V136/100</f>
        <v>1034.7376674542195</v>
      </c>
      <c r="V136" s="26">
        <f t="shared" si="11"/>
        <v>0.10407891840274959</v>
      </c>
      <c r="Z136">
        <v>2026</v>
      </c>
      <c r="AA136" s="17">
        <f t="shared" si="14"/>
        <v>7848.819860231808</v>
      </c>
      <c r="AB136" s="17">
        <v>6330.6695732112312</v>
      </c>
    </row>
    <row r="137" spans="1:28" x14ac:dyDescent="0.25">
      <c r="A137" s="18">
        <v>2028</v>
      </c>
      <c r="B137" s="18" t="s">
        <v>22</v>
      </c>
      <c r="C137" s="25"/>
      <c r="D137" s="25">
        <f t="shared" si="13"/>
        <v>2.6704960089532817</v>
      </c>
      <c r="E137" s="25">
        <f t="shared" si="13"/>
        <v>55.619117956834003</v>
      </c>
      <c r="F137" s="25">
        <f t="shared" si="13"/>
        <v>2.4785101201281163</v>
      </c>
      <c r="G137" s="25">
        <f t="shared" si="13"/>
        <v>17.396128091346618</v>
      </c>
      <c r="H137" s="25">
        <f t="shared" si="13"/>
        <v>19.849034969843157</v>
      </c>
      <c r="I137" s="25">
        <f t="shared" si="13"/>
        <v>1.9391646652033054</v>
      </c>
      <c r="J137" s="25">
        <f t="shared" si="13"/>
        <v>9.9559047749563181</v>
      </c>
      <c r="K137" s="25">
        <f t="shared" si="13"/>
        <v>0</v>
      </c>
      <c r="L137" s="25">
        <f t="shared" ref="L137:P137" si="16">$S137*L$318</f>
        <v>5.9538692832261884</v>
      </c>
      <c r="M137" s="25">
        <f t="shared" si="16"/>
        <v>7.5337392756947175</v>
      </c>
      <c r="N137" s="25">
        <f t="shared" si="16"/>
        <v>8.1090815713885545E-2</v>
      </c>
      <c r="O137" s="25">
        <f t="shared" si="16"/>
        <v>747.19738401599477</v>
      </c>
      <c r="P137" s="25">
        <f t="shared" si="16"/>
        <v>134.39354981092663</v>
      </c>
      <c r="Q137" s="25">
        <f t="shared" si="10"/>
        <v>785.22477903462925</v>
      </c>
      <c r="R137" s="25">
        <f t="shared" si="15"/>
        <v>234.68696866603511</v>
      </c>
      <c r="S137" s="25">
        <f>Production!Y8*Feedstocks!V137/100</f>
        <v>1019.9117477006644</v>
      </c>
      <c r="V137" s="26">
        <f t="shared" si="11"/>
        <v>0.10407972266908005</v>
      </c>
      <c r="Z137">
        <v>2027</v>
      </c>
      <c r="AA137" s="17">
        <f t="shared" si="14"/>
        <v>8549.1501632245308</v>
      </c>
      <c r="AB137" s="17">
        <v>6583.8196069382957</v>
      </c>
    </row>
    <row r="138" spans="1:28" x14ac:dyDescent="0.25">
      <c r="A138" s="18">
        <v>2028</v>
      </c>
      <c r="B138" s="18" t="s">
        <v>9</v>
      </c>
      <c r="C138" s="25"/>
      <c r="D138" s="25">
        <f t="shared" ref="D138:P157" si="17">$S138*D$318</f>
        <v>2.7749043998195173</v>
      </c>
      <c r="E138" s="25">
        <f t="shared" si="17"/>
        <v>57.793658786628583</v>
      </c>
      <c r="F138" s="25">
        <f t="shared" si="17"/>
        <v>2.5754124380947649</v>
      </c>
      <c r="G138" s="25">
        <f t="shared" si="17"/>
        <v>18.076264566080514</v>
      </c>
      <c r="H138" s="25">
        <f t="shared" si="17"/>
        <v>20.625072752525057</v>
      </c>
      <c r="I138" s="25">
        <f t="shared" si="17"/>
        <v>2.0149801922214108</v>
      </c>
      <c r="J138" s="25">
        <f t="shared" si="17"/>
        <v>10.345150815274533</v>
      </c>
      <c r="K138" s="25">
        <f t="shared" si="17"/>
        <v>0</v>
      </c>
      <c r="L138" s="25">
        <f t="shared" si="17"/>
        <v>6.1866477293296178</v>
      </c>
      <c r="M138" s="25">
        <f t="shared" si="17"/>
        <v>7.8282859038656216</v>
      </c>
      <c r="N138" s="25">
        <f t="shared" si="17"/>
        <v>8.4261223591048318E-2</v>
      </c>
      <c r="O138" s="25">
        <f t="shared" si="17"/>
        <v>776.41056249033693</v>
      </c>
      <c r="P138" s="25">
        <f t="shared" si="17"/>
        <v>139.64793485082788</v>
      </c>
      <c r="Q138" s="25">
        <f t="shared" si="10"/>
        <v>815.92471469168925</v>
      </c>
      <c r="R138" s="25">
        <f t="shared" si="15"/>
        <v>243.86252581854308</v>
      </c>
      <c r="S138" s="25">
        <f>Production!Y9*Feedstocks!V138/100</f>
        <v>1059.7872405102323</v>
      </c>
      <c r="V138" s="26">
        <f t="shared" si="11"/>
        <v>0.10407915554509754</v>
      </c>
      <c r="Z138">
        <v>2028</v>
      </c>
      <c r="AA138" s="17">
        <f t="shared" si="14"/>
        <v>9405.3999234180646</v>
      </c>
      <c r="AB138" s="17">
        <v>6748.3568388438152</v>
      </c>
    </row>
    <row r="139" spans="1:28" x14ac:dyDescent="0.25">
      <c r="A139" s="18">
        <v>2028</v>
      </c>
      <c r="B139" s="18" t="s">
        <v>23</v>
      </c>
      <c r="C139" s="25"/>
      <c r="D139" s="25">
        <f t="shared" si="17"/>
        <v>2.814570734819315</v>
      </c>
      <c r="E139" s="25">
        <f t="shared" si="17"/>
        <v>58.619799907181608</v>
      </c>
      <c r="F139" s="25">
        <f t="shared" si="17"/>
        <v>2.6122271018859777</v>
      </c>
      <c r="G139" s="25">
        <f t="shared" si="17"/>
        <v>18.334658752874752</v>
      </c>
      <c r="H139" s="25">
        <f t="shared" si="17"/>
        <v>20.919901304186176</v>
      </c>
      <c r="I139" s="25">
        <f t="shared" si="17"/>
        <v>2.0437836635510211</v>
      </c>
      <c r="J139" s="25">
        <f t="shared" si="17"/>
        <v>10.493031303657771</v>
      </c>
      <c r="K139" s="25">
        <f t="shared" si="17"/>
        <v>0</v>
      </c>
      <c r="L139" s="25">
        <f t="shared" si="17"/>
        <v>6.2750837999103863</v>
      </c>
      <c r="M139" s="25">
        <f t="shared" si="17"/>
        <v>7.9401886458689583</v>
      </c>
      <c r="N139" s="25">
        <f t="shared" si="17"/>
        <v>8.5465709742957821E-2</v>
      </c>
      <c r="O139" s="25">
        <f t="shared" si="17"/>
        <v>787.5090931175996</v>
      </c>
      <c r="P139" s="25">
        <f t="shared" si="17"/>
        <v>141.64415560934597</v>
      </c>
      <c r="Q139" s="25">
        <f t="shared" si="10"/>
        <v>827.58808697567838</v>
      </c>
      <c r="R139" s="25">
        <f t="shared" si="15"/>
        <v>247.34845947580516</v>
      </c>
      <c r="S139" s="25">
        <f>Production!Y10*Feedstocks!V139/100</f>
        <v>1074.9365464514835</v>
      </c>
      <c r="V139" s="26">
        <f t="shared" si="11"/>
        <v>0.10407765818023816</v>
      </c>
    </row>
    <row r="140" spans="1:28" x14ac:dyDescent="0.25">
      <c r="A140" s="18">
        <v>2028</v>
      </c>
      <c r="B140" s="18" t="s">
        <v>24</v>
      </c>
      <c r="C140" s="25"/>
      <c r="D140" s="25">
        <f t="shared" si="17"/>
        <v>3.0710667750780858</v>
      </c>
      <c r="E140" s="25">
        <f t="shared" si="17"/>
        <v>63.961909938720318</v>
      </c>
      <c r="F140" s="25">
        <f t="shared" si="17"/>
        <v>2.850283264270332</v>
      </c>
      <c r="G140" s="25">
        <f t="shared" si="17"/>
        <v>20.005523624533446</v>
      </c>
      <c r="H140" s="25">
        <f t="shared" si="17"/>
        <v>22.82636319577993</v>
      </c>
      <c r="I140" s="25">
        <f t="shared" si="17"/>
        <v>2.2300367252919098</v>
      </c>
      <c r="J140" s="25">
        <f t="shared" si="17"/>
        <v>11.449276938703902</v>
      </c>
      <c r="K140" s="25">
        <f t="shared" si="17"/>
        <v>0</v>
      </c>
      <c r="L140" s="25">
        <f t="shared" si="17"/>
        <v>6.8469415709933017</v>
      </c>
      <c r="M140" s="25">
        <f t="shared" si="17"/>
        <v>8.6637899117308308</v>
      </c>
      <c r="N140" s="25">
        <f t="shared" si="17"/>
        <v>9.325432768592859E-2</v>
      </c>
      <c r="O140" s="25">
        <f t="shared" si="17"/>
        <v>859.27597449441726</v>
      </c>
      <c r="P140" s="25">
        <f t="shared" si="17"/>
        <v>154.55239933906935</v>
      </c>
      <c r="Q140" s="25">
        <f t="shared" si="10"/>
        <v>903.00742700097726</v>
      </c>
      <c r="R140" s="25">
        <f t="shared" si="15"/>
        <v>269.88969449782121</v>
      </c>
      <c r="S140" s="25">
        <f>Production!Y11*Feedstocks!V140/100</f>
        <v>1172.8971214987985</v>
      </c>
      <c r="V140" s="26">
        <f t="shared" si="11"/>
        <v>0.10407572903023056</v>
      </c>
    </row>
    <row r="141" spans="1:28" x14ac:dyDescent="0.25">
      <c r="A141" s="18">
        <v>2028</v>
      </c>
      <c r="B141" s="18" t="s">
        <v>25</v>
      </c>
      <c r="C141" s="25"/>
      <c r="D141" s="25">
        <f t="shared" si="17"/>
        <v>3.1118398238183245</v>
      </c>
      <c r="E141" s="25">
        <f t="shared" si="17"/>
        <v>64.811100875437717</v>
      </c>
      <c r="F141" s="25">
        <f t="shared" si="17"/>
        <v>2.8881250785221977</v>
      </c>
      <c r="G141" s="25">
        <f t="shared" si="17"/>
        <v>20.271127158926266</v>
      </c>
      <c r="H141" s="25">
        <f t="shared" si="17"/>
        <v>23.129417634939841</v>
      </c>
      <c r="I141" s="25">
        <f t="shared" si="17"/>
        <v>2.2596438301685331</v>
      </c>
      <c r="J141" s="25">
        <f t="shared" si="17"/>
        <v>11.601283378437012</v>
      </c>
      <c r="K141" s="25">
        <f t="shared" si="17"/>
        <v>0</v>
      </c>
      <c r="L141" s="25">
        <f t="shared" si="17"/>
        <v>6.9378450592082652</v>
      </c>
      <c r="M141" s="25">
        <f t="shared" si="17"/>
        <v>8.7788148051043109</v>
      </c>
      <c r="N141" s="25">
        <f t="shared" si="17"/>
        <v>9.4492419699697947E-2</v>
      </c>
      <c r="O141" s="25">
        <f t="shared" si="17"/>
        <v>870.68416055982323</v>
      </c>
      <c r="P141" s="25">
        <f t="shared" si="17"/>
        <v>156.60431581392768</v>
      </c>
      <c r="Q141" s="25">
        <f t="shared" si="10"/>
        <v>914.99621413276225</v>
      </c>
      <c r="R141" s="25">
        <f t="shared" si="15"/>
        <v>273.47288772486138</v>
      </c>
      <c r="S141" s="25">
        <f>Production!Y12*Feedstocks!V141/100</f>
        <v>1188.4691018576236</v>
      </c>
      <c r="V141" s="26">
        <f t="shared" si="11"/>
        <v>0.10407387158743447</v>
      </c>
    </row>
    <row r="142" spans="1:28" x14ac:dyDescent="0.25">
      <c r="A142" s="18">
        <v>2028</v>
      </c>
      <c r="B142" s="18" t="s">
        <v>26</v>
      </c>
      <c r="C142" s="25"/>
      <c r="D142" s="25">
        <f t="shared" si="17"/>
        <v>3.0029590133526951</v>
      </c>
      <c r="E142" s="25">
        <f t="shared" si="17"/>
        <v>62.543411794375508</v>
      </c>
      <c r="F142" s="25">
        <f t="shared" si="17"/>
        <v>2.7870718697841745</v>
      </c>
      <c r="G142" s="25">
        <f t="shared" si="17"/>
        <v>19.561856476925833</v>
      </c>
      <c r="H142" s="25">
        <f t="shared" si="17"/>
        <v>22.320137633310392</v>
      </c>
      <c r="I142" s="25">
        <f t="shared" si="17"/>
        <v>2.1805806824739578</v>
      </c>
      <c r="J142" s="25">
        <f t="shared" si="17"/>
        <v>11.195363662705716</v>
      </c>
      <c r="K142" s="25">
        <f t="shared" si="17"/>
        <v>0</v>
      </c>
      <c r="L142" s="25">
        <f t="shared" si="17"/>
        <v>6.69509535623523</v>
      </c>
      <c r="M142" s="25">
        <f t="shared" si="17"/>
        <v>8.4716510290026932</v>
      </c>
      <c r="N142" s="25">
        <f t="shared" si="17"/>
        <v>9.118620478432439E-2</v>
      </c>
      <c r="O142" s="25">
        <f t="shared" si="17"/>
        <v>840.21961147354773</v>
      </c>
      <c r="P142" s="25">
        <f t="shared" si="17"/>
        <v>151.12485485397585</v>
      </c>
      <c r="Q142" s="25">
        <f t="shared" si="10"/>
        <v>882.98122139270697</v>
      </c>
      <c r="R142" s="25">
        <f t="shared" si="15"/>
        <v>263.90428800840084</v>
      </c>
      <c r="S142" s="25">
        <f>Production!Y13*Feedstocks!V142/100</f>
        <v>1146.8855094011078</v>
      </c>
      <c r="V142" s="26">
        <f t="shared" si="11"/>
        <v>0.10407257316986208</v>
      </c>
    </row>
    <row r="143" spans="1:28" x14ac:dyDescent="0.25">
      <c r="A143" s="18">
        <v>2028</v>
      </c>
      <c r="B143" s="18" t="s">
        <v>27</v>
      </c>
      <c r="C143" s="25"/>
      <c r="D143" s="25">
        <f t="shared" si="17"/>
        <v>3.1188054425468246</v>
      </c>
      <c r="E143" s="25">
        <f t="shared" si="17"/>
        <v>64.956175636232658</v>
      </c>
      <c r="F143" s="25">
        <f t="shared" si="17"/>
        <v>2.8945899286675116</v>
      </c>
      <c r="G143" s="25">
        <f t="shared" si="17"/>
        <v>20.316502548078773</v>
      </c>
      <c r="H143" s="25">
        <f t="shared" si="17"/>
        <v>23.181191091730284</v>
      </c>
      <c r="I143" s="25">
        <f t="shared" si="17"/>
        <v>2.2647018724439381</v>
      </c>
      <c r="J143" s="25">
        <f t="shared" si="17"/>
        <v>11.627251976228244</v>
      </c>
      <c r="K143" s="25">
        <f t="shared" si="17"/>
        <v>0</v>
      </c>
      <c r="L143" s="25">
        <f t="shared" si="17"/>
        <v>6.9533749020716282</v>
      </c>
      <c r="M143" s="25">
        <f t="shared" si="17"/>
        <v>8.7984655198848145</v>
      </c>
      <c r="N143" s="25">
        <f t="shared" si="17"/>
        <v>9.470393385390459E-2</v>
      </c>
      <c r="O143" s="25">
        <f t="shared" si="17"/>
        <v>872.63312138003732</v>
      </c>
      <c r="P143" s="25">
        <f t="shared" si="17"/>
        <v>156.95486276266456</v>
      </c>
      <c r="Q143" s="25">
        <f t="shared" si="10"/>
        <v>917.04436414256872</v>
      </c>
      <c r="R143" s="25">
        <f t="shared" si="15"/>
        <v>274.08503615676102</v>
      </c>
      <c r="S143" s="25">
        <f>Production!Y14*Feedstocks!V143/100</f>
        <v>1191.1294002993297</v>
      </c>
      <c r="V143" s="26">
        <f t="shared" si="11"/>
        <v>0.10407234812233603</v>
      </c>
    </row>
    <row r="144" spans="1:28" x14ac:dyDescent="0.25">
      <c r="A144" s="18">
        <v>2028</v>
      </c>
      <c r="B144" s="18" t="s">
        <v>28</v>
      </c>
      <c r="C144" s="25"/>
      <c r="D144" s="25">
        <f t="shared" si="17"/>
        <v>2.9549310386969974</v>
      </c>
      <c r="E144" s="25">
        <f t="shared" si="17"/>
        <v>61.543120620508482</v>
      </c>
      <c r="F144" s="25">
        <f t="shared" si="17"/>
        <v>2.7424966969195421</v>
      </c>
      <c r="G144" s="25">
        <f t="shared" si="17"/>
        <v>19.248992950346011</v>
      </c>
      <c r="H144" s="25">
        <f t="shared" si="17"/>
        <v>21.963159399575702</v>
      </c>
      <c r="I144" s="25">
        <f t="shared" si="17"/>
        <v>2.1457054566427409</v>
      </c>
      <c r="J144" s="25">
        <f t="shared" si="17"/>
        <v>11.01631005595887</v>
      </c>
      <c r="K144" s="25">
        <f t="shared" si="17"/>
        <v>0</v>
      </c>
      <c r="L144" s="25">
        <f t="shared" si="17"/>
        <v>6.588017014953528</v>
      </c>
      <c r="M144" s="25">
        <f t="shared" si="17"/>
        <v>8.3361592560202205</v>
      </c>
      <c r="N144" s="25">
        <f t="shared" si="17"/>
        <v>8.9727813673137952E-2</v>
      </c>
      <c r="O144" s="25">
        <f t="shared" si="17"/>
        <v>826.78151723861583</v>
      </c>
      <c r="P144" s="25">
        <f t="shared" si="17"/>
        <v>148.70783195539516</v>
      </c>
      <c r="Q144" s="25">
        <f t="shared" si="10"/>
        <v>868.85921721817817</v>
      </c>
      <c r="R144" s="25">
        <f t="shared" si="15"/>
        <v>259.68352162443125</v>
      </c>
      <c r="S144" s="25">
        <f>Production!Y15*Feedstocks!V144/100</f>
        <v>1128.5427388426094</v>
      </c>
      <c r="V144" s="26">
        <f t="shared" si="11"/>
        <v>0.10407319493748561</v>
      </c>
    </row>
    <row r="145" spans="1:22" x14ac:dyDescent="0.25">
      <c r="A145" s="18">
        <v>2028</v>
      </c>
      <c r="B145" s="18" t="s">
        <v>29</v>
      </c>
      <c r="C145" s="25"/>
      <c r="D145" s="25">
        <f t="shared" si="17"/>
        <v>2.7561472465442356</v>
      </c>
      <c r="E145" s="25">
        <f t="shared" si="17"/>
        <v>57.402998655681145</v>
      </c>
      <c r="F145" s="25">
        <f t="shared" si="17"/>
        <v>2.5580037641773674</v>
      </c>
      <c r="G145" s="25">
        <f t="shared" si="17"/>
        <v>17.954076837691538</v>
      </c>
      <c r="H145" s="25">
        <f t="shared" si="17"/>
        <v>20.48565618345042</v>
      </c>
      <c r="I145" s="25">
        <f t="shared" si="17"/>
        <v>2.0013597978342701</v>
      </c>
      <c r="J145" s="25">
        <f t="shared" si="17"/>
        <v>10.275222071239016</v>
      </c>
      <c r="K145" s="25">
        <f t="shared" si="17"/>
        <v>0</v>
      </c>
      <c r="L145" s="25">
        <f t="shared" si="17"/>
        <v>6.1448286671209313</v>
      </c>
      <c r="M145" s="25">
        <f t="shared" si="17"/>
        <v>7.7753700777956913</v>
      </c>
      <c r="N145" s="25">
        <f t="shared" si="17"/>
        <v>8.3691654172309837E-2</v>
      </c>
      <c r="O145" s="25">
        <f t="shared" si="17"/>
        <v>771.16236297538205</v>
      </c>
      <c r="P145" s="25">
        <f t="shared" si="17"/>
        <v>138.70397522513991</v>
      </c>
      <c r="Q145" s="25">
        <f t="shared" si="10"/>
        <v>810.40941660229987</v>
      </c>
      <c r="R145" s="25">
        <f t="shared" si="15"/>
        <v>242.21412064279252</v>
      </c>
      <c r="S145" s="25">
        <f>Production!Y16*Feedstocks!V145/100</f>
        <v>1052.6235372450924</v>
      </c>
      <c r="V145" s="26">
        <f t="shared" si="11"/>
        <v>0.10407436470657083</v>
      </c>
    </row>
    <row r="146" spans="1:22" x14ac:dyDescent="0.25">
      <c r="A146" s="18">
        <v>2029</v>
      </c>
      <c r="B146" s="18" t="s">
        <v>19</v>
      </c>
      <c r="C146" s="25"/>
      <c r="D146" s="25">
        <f t="shared" si="17"/>
        <v>2.4746101439528005</v>
      </c>
      <c r="E146" s="25">
        <f t="shared" si="17"/>
        <v>51.53935187779441</v>
      </c>
      <c r="F146" s="25">
        <f t="shared" si="17"/>
        <v>2.2967067782897441</v>
      </c>
      <c r="G146" s="25">
        <f t="shared" si="17"/>
        <v>16.120089637288697</v>
      </c>
      <c r="H146" s="25">
        <f t="shared" si="17"/>
        <v>18.393071219492334</v>
      </c>
      <c r="I146" s="25">
        <f t="shared" si="17"/>
        <v>1.7969233188211386</v>
      </c>
      <c r="J146" s="25">
        <f t="shared" si="17"/>
        <v>9.2256205834928977</v>
      </c>
      <c r="K146" s="25">
        <f t="shared" si="17"/>
        <v>0</v>
      </c>
      <c r="L146" s="25">
        <f t="shared" si="17"/>
        <v>5.517141862277267</v>
      </c>
      <c r="M146" s="25">
        <f t="shared" si="17"/>
        <v>6.9811254429985263</v>
      </c>
      <c r="N146" s="25">
        <f t="shared" si="17"/>
        <v>7.5142653078010602E-2</v>
      </c>
      <c r="O146" s="25">
        <f t="shared" si="17"/>
        <v>692.38906174052408</v>
      </c>
      <c r="P146" s="25">
        <f t="shared" si="17"/>
        <v>124.53553217415168</v>
      </c>
      <c r="Q146" s="25">
        <f t="shared" si="10"/>
        <v>727.62707638114421</v>
      </c>
      <c r="R146" s="25">
        <f t="shared" si="15"/>
        <v>217.47224162380815</v>
      </c>
      <c r="S146" s="25">
        <f>Production!Z5*Feedstocks!V146/100</f>
        <v>945.09931800495235</v>
      </c>
      <c r="V146" s="26">
        <f t="shared" si="11"/>
        <v>0.1040752688688031</v>
      </c>
    </row>
    <row r="147" spans="1:22" x14ac:dyDescent="0.25">
      <c r="A147" s="18">
        <v>2029</v>
      </c>
      <c r="B147" s="18" t="s">
        <v>20</v>
      </c>
      <c r="C147" s="25"/>
      <c r="D147" s="25">
        <f t="shared" si="17"/>
        <v>2.5922154045926469</v>
      </c>
      <c r="E147" s="25">
        <f t="shared" si="17"/>
        <v>53.988747361607793</v>
      </c>
      <c r="F147" s="25">
        <f t="shared" si="17"/>
        <v>2.4058572236373164</v>
      </c>
      <c r="G147" s="25">
        <f t="shared" si="17"/>
        <v>16.886193077042147</v>
      </c>
      <c r="H147" s="25">
        <f t="shared" si="17"/>
        <v>19.267197570271939</v>
      </c>
      <c r="I147" s="25">
        <f t="shared" si="17"/>
        <v>1.8823216736998651</v>
      </c>
      <c r="J147" s="25">
        <f t="shared" si="17"/>
        <v>9.66406601536724</v>
      </c>
      <c r="K147" s="25">
        <f t="shared" si="17"/>
        <v>0</v>
      </c>
      <c r="L147" s="25">
        <f t="shared" si="17"/>
        <v>5.7793427217886952</v>
      </c>
      <c r="M147" s="25">
        <f t="shared" si="17"/>
        <v>7.3129017752380188</v>
      </c>
      <c r="N147" s="25">
        <f t="shared" si="17"/>
        <v>7.8713789857678448E-2</v>
      </c>
      <c r="O147" s="25">
        <f t="shared" si="17"/>
        <v>725.29468781223477</v>
      </c>
      <c r="P147" s="25">
        <f t="shared" si="17"/>
        <v>130.45405382737192</v>
      </c>
      <c r="Q147" s="25">
        <f t="shared" si="10"/>
        <v>762.2073807476836</v>
      </c>
      <c r="R147" s="25">
        <f t="shared" si="15"/>
        <v>227.80755836879098</v>
      </c>
      <c r="S147" s="25">
        <f>Production!Z6*Feedstocks!V147/100</f>
        <v>990.01493911647458</v>
      </c>
      <c r="V147" s="26">
        <f t="shared" si="11"/>
        <v>0.10407572762529749</v>
      </c>
    </row>
    <row r="148" spans="1:22" x14ac:dyDescent="0.25">
      <c r="A148" s="18">
        <v>2029</v>
      </c>
      <c r="B148" s="18" t="s">
        <v>21</v>
      </c>
      <c r="C148" s="25"/>
      <c r="D148" s="25">
        <f t="shared" si="17"/>
        <v>3.0127859119392371</v>
      </c>
      <c r="E148" s="25">
        <f t="shared" si="17"/>
        <v>62.748079178188213</v>
      </c>
      <c r="F148" s="25">
        <f t="shared" si="17"/>
        <v>2.7961922981669765</v>
      </c>
      <c r="G148" s="25">
        <f t="shared" si="17"/>
        <v>19.625870797104191</v>
      </c>
      <c r="H148" s="25">
        <f t="shared" si="17"/>
        <v>22.39317816699231</v>
      </c>
      <c r="I148" s="25">
        <f t="shared" si="17"/>
        <v>2.1877164259626842</v>
      </c>
      <c r="J148" s="25">
        <f t="shared" si="17"/>
        <v>11.231999428583199</v>
      </c>
      <c r="K148" s="25">
        <f t="shared" si="17"/>
        <v>0</v>
      </c>
      <c r="L148" s="25">
        <f t="shared" si="17"/>
        <v>6.71700442086129</v>
      </c>
      <c r="M148" s="25">
        <f t="shared" si="17"/>
        <v>8.4993737035887982</v>
      </c>
      <c r="N148" s="25">
        <f t="shared" si="17"/>
        <v>9.1484602991866629E-2</v>
      </c>
      <c r="O148" s="25">
        <f t="shared" si="17"/>
        <v>842.96915047013772</v>
      </c>
      <c r="P148" s="25">
        <f t="shared" si="17"/>
        <v>151.61939660960837</v>
      </c>
      <c r="Q148" s="25">
        <f t="shared" si="10"/>
        <v>885.87069370247389</v>
      </c>
      <c r="R148" s="25">
        <f t="shared" si="15"/>
        <v>264.7678897636298</v>
      </c>
      <c r="S148" s="25">
        <f>Production!Z7*Feedstocks!V148/100</f>
        <v>1150.6385834661037</v>
      </c>
      <c r="V148" s="26">
        <f t="shared" si="11"/>
        <v>0.10407571107043212</v>
      </c>
    </row>
    <row r="149" spans="1:22" x14ac:dyDescent="0.25">
      <c r="A149" s="18">
        <v>2029</v>
      </c>
      <c r="B149" s="18" t="s">
        <v>22</v>
      </c>
      <c r="C149" s="25"/>
      <c r="D149" s="25">
        <f t="shared" si="17"/>
        <v>2.9835181310478225</v>
      </c>
      <c r="E149" s="25">
        <f t="shared" si="17"/>
        <v>62.13851146032728</v>
      </c>
      <c r="F149" s="25">
        <f t="shared" si="17"/>
        <v>2.7690286211235136</v>
      </c>
      <c r="G149" s="25">
        <f t="shared" si="17"/>
        <v>19.435214805247426</v>
      </c>
      <c r="H149" s="25">
        <f t="shared" si="17"/>
        <v>22.175639101419581</v>
      </c>
      <c r="I149" s="25">
        <f t="shared" si="17"/>
        <v>2.1664638023514664</v>
      </c>
      <c r="J149" s="25">
        <f t="shared" si="17"/>
        <v>11.122885901151484</v>
      </c>
      <c r="K149" s="25">
        <f t="shared" si="17"/>
        <v>0</v>
      </c>
      <c r="L149" s="25">
        <f t="shared" si="17"/>
        <v>6.6517519205567153</v>
      </c>
      <c r="M149" s="25">
        <f t="shared" si="17"/>
        <v>8.4168063342031747</v>
      </c>
      <c r="N149" s="25">
        <f t="shared" si="17"/>
        <v>9.0595873625238452E-2</v>
      </c>
      <c r="O149" s="25">
        <f t="shared" si="17"/>
        <v>834.78010647055874</v>
      </c>
      <c r="P149" s="25">
        <f t="shared" si="17"/>
        <v>150.14648635027893</v>
      </c>
      <c r="Q149" s="25">
        <f t="shared" si="10"/>
        <v>877.26488163376268</v>
      </c>
      <c r="R149" s="25">
        <f t="shared" si="15"/>
        <v>262.19579575788737</v>
      </c>
      <c r="S149" s="25">
        <f>Production!Z8*Feedstocks!V149/100</f>
        <v>1139.4606773916501</v>
      </c>
      <c r="V149" s="26">
        <f t="shared" si="11"/>
        <v>0.10407544379273899</v>
      </c>
    </row>
    <row r="150" spans="1:22" x14ac:dyDescent="0.25">
      <c r="A150" s="18">
        <v>2029</v>
      </c>
      <c r="B150" s="18" t="s">
        <v>9</v>
      </c>
      <c r="C150" s="25"/>
      <c r="D150" s="25">
        <f t="shared" si="17"/>
        <v>3.0491911676171304</v>
      </c>
      <c r="E150" s="25">
        <f t="shared" si="17"/>
        <v>63.506300947855301</v>
      </c>
      <c r="F150" s="25">
        <f t="shared" si="17"/>
        <v>2.8299803264287666</v>
      </c>
      <c r="G150" s="25">
        <f t="shared" si="17"/>
        <v>19.863021681751679</v>
      </c>
      <c r="H150" s="25">
        <f t="shared" si="17"/>
        <v>22.663768046405693</v>
      </c>
      <c r="I150" s="25">
        <f t="shared" si="17"/>
        <v>2.214151884095398</v>
      </c>
      <c r="J150" s="25">
        <f t="shared" si="17"/>
        <v>11.367722252216668</v>
      </c>
      <c r="K150" s="25">
        <f t="shared" si="17"/>
        <v>0</v>
      </c>
      <c r="L150" s="25">
        <f t="shared" si="17"/>
        <v>6.7981699170095364</v>
      </c>
      <c r="M150" s="25">
        <f t="shared" si="17"/>
        <v>8.6020766110721745</v>
      </c>
      <c r="N150" s="25">
        <f t="shared" si="17"/>
        <v>9.2590064999409583E-2</v>
      </c>
      <c r="O150" s="25">
        <f t="shared" si="17"/>
        <v>853.15524013878223</v>
      </c>
      <c r="P150" s="25">
        <f t="shared" si="17"/>
        <v>153.45150252773112</v>
      </c>
      <c r="Q150" s="25">
        <f t="shared" si="10"/>
        <v>896.57518782998159</v>
      </c>
      <c r="R150" s="25">
        <f t="shared" si="15"/>
        <v>267.96723515486497</v>
      </c>
      <c r="S150" s="25">
        <f>Production!Z9*Feedstocks!V150/100</f>
        <v>1164.5424229848466</v>
      </c>
      <c r="V150" s="26">
        <f t="shared" si="11"/>
        <v>0.10407508721971059</v>
      </c>
    </row>
    <row r="151" spans="1:22" x14ac:dyDescent="0.25">
      <c r="A151" s="18">
        <v>2029</v>
      </c>
      <c r="B151" s="18" t="s">
        <v>23</v>
      </c>
      <c r="C151" s="25"/>
      <c r="D151" s="25">
        <f t="shared" si="17"/>
        <v>3.1146907450567483</v>
      </c>
      <c r="E151" s="25">
        <f t="shared" si="17"/>
        <v>64.870477756778826</v>
      </c>
      <c r="F151" s="25">
        <f t="shared" si="17"/>
        <v>2.8907710428364792</v>
      </c>
      <c r="G151" s="25">
        <f t="shared" si="17"/>
        <v>20.289698611898181</v>
      </c>
      <c r="H151" s="25">
        <f t="shared" si="17"/>
        <v>23.150607719166899</v>
      </c>
      <c r="I151" s="25">
        <f t="shared" si="17"/>
        <v>2.2617140095323269</v>
      </c>
      <c r="J151" s="25">
        <f t="shared" si="17"/>
        <v>11.611911928442511</v>
      </c>
      <c r="K151" s="25">
        <f t="shared" si="17"/>
        <v>0</v>
      </c>
      <c r="L151" s="25">
        <f t="shared" si="17"/>
        <v>6.9442011864346087</v>
      </c>
      <c r="M151" s="25">
        <f t="shared" si="17"/>
        <v>8.7868575421965271</v>
      </c>
      <c r="N151" s="25">
        <f t="shared" si="17"/>
        <v>9.4578989208877043E-2</v>
      </c>
      <c r="O151" s="25">
        <f t="shared" si="17"/>
        <v>871.48184042313096</v>
      </c>
      <c r="P151" s="25">
        <f t="shared" si="17"/>
        <v>156.74778932003989</v>
      </c>
      <c r="Q151" s="25">
        <f t="shared" si="10"/>
        <v>915.83449061472697</v>
      </c>
      <c r="R151" s="25">
        <f t="shared" si="15"/>
        <v>273.7234307180388</v>
      </c>
      <c r="S151" s="25">
        <f>Production!Z10*Feedstocks!V151/100</f>
        <v>1189.5579213327658</v>
      </c>
      <c r="V151" s="26">
        <f t="shared" si="11"/>
        <v>0.10407474819259499</v>
      </c>
    </row>
    <row r="152" spans="1:22" x14ac:dyDescent="0.25">
      <c r="A152" s="18">
        <v>2029</v>
      </c>
      <c r="B152" s="18" t="s">
        <v>24</v>
      </c>
      <c r="C152" s="25"/>
      <c r="D152" s="25">
        <f t="shared" si="17"/>
        <v>3.3837415574704872</v>
      </c>
      <c r="E152" s="25">
        <f t="shared" si="17"/>
        <v>70.474069307506184</v>
      </c>
      <c r="F152" s="25">
        <f t="shared" si="17"/>
        <v>3.1404793963260307</v>
      </c>
      <c r="G152" s="25">
        <f t="shared" si="17"/>
        <v>22.042347700359016</v>
      </c>
      <c r="H152" s="25">
        <f t="shared" si="17"/>
        <v>25.15038565044275</v>
      </c>
      <c r="I152" s="25">
        <f t="shared" si="17"/>
        <v>2.4570836437979335</v>
      </c>
      <c r="J152" s="25">
        <f t="shared" si="17"/>
        <v>12.614963144035126</v>
      </c>
      <c r="K152" s="25">
        <f t="shared" si="17"/>
        <v>0</v>
      </c>
      <c r="L152" s="25">
        <f t="shared" si="17"/>
        <v>7.5440498146619479</v>
      </c>
      <c r="M152" s="25">
        <f t="shared" si="17"/>
        <v>9.5458770898173579</v>
      </c>
      <c r="N152" s="25">
        <f t="shared" si="17"/>
        <v>0.10274883847057475</v>
      </c>
      <c r="O152" s="25">
        <f t="shared" si="17"/>
        <v>946.76151226271566</v>
      </c>
      <c r="P152" s="25">
        <f t="shared" si="17"/>
        <v>170.28785589889566</v>
      </c>
      <c r="Q152" s="25">
        <f t="shared" si="10"/>
        <v>994.94539885737674</v>
      </c>
      <c r="R152" s="25">
        <f t="shared" si="15"/>
        <v>297.36799688507961</v>
      </c>
      <c r="S152" s="25">
        <f>Production!Z11*Feedstocks!V152/100</f>
        <v>1292.3133957424564</v>
      </c>
      <c r="V152" s="26">
        <f t="shared" si="11"/>
        <v>0.10407450569362474</v>
      </c>
    </row>
    <row r="153" spans="1:22" x14ac:dyDescent="0.25">
      <c r="A153" s="18">
        <v>2029</v>
      </c>
      <c r="B153" s="18" t="s">
        <v>25</v>
      </c>
      <c r="C153" s="25"/>
      <c r="D153" s="25">
        <f t="shared" si="17"/>
        <v>3.4237985696604527</v>
      </c>
      <c r="E153" s="25">
        <f t="shared" si="17"/>
        <v>71.308347163950273</v>
      </c>
      <c r="F153" s="25">
        <f t="shared" si="17"/>
        <v>3.1776566509491668</v>
      </c>
      <c r="G153" s="25">
        <f t="shared" si="17"/>
        <v>22.303286834016962</v>
      </c>
      <c r="H153" s="25">
        <f t="shared" si="17"/>
        <v>25.448117994202253</v>
      </c>
      <c r="I153" s="25">
        <f t="shared" si="17"/>
        <v>2.4861708030267713</v>
      </c>
      <c r="J153" s="25">
        <f t="shared" si="17"/>
        <v>12.764300120235617</v>
      </c>
      <c r="K153" s="25">
        <f t="shared" si="17"/>
        <v>0</v>
      </c>
      <c r="L153" s="25">
        <f t="shared" si="17"/>
        <v>7.6333568998086996</v>
      </c>
      <c r="M153" s="25">
        <f t="shared" si="17"/>
        <v>9.6588819716785412</v>
      </c>
      <c r="N153" s="25">
        <f t="shared" si="17"/>
        <v>0.10396518771156034</v>
      </c>
      <c r="O153" s="25">
        <f t="shared" si="17"/>
        <v>957.96935328531674</v>
      </c>
      <c r="P153" s="25">
        <f t="shared" si="17"/>
        <v>172.30373760962664</v>
      </c>
      <c r="Q153" s="25">
        <f t="shared" si="10"/>
        <v>1006.723644711405</v>
      </c>
      <c r="R153" s="25">
        <f t="shared" si="15"/>
        <v>300.88826380671651</v>
      </c>
      <c r="S153" s="25">
        <f>Production!Z12*Feedstocks!V153/100</f>
        <v>1307.6119085181215</v>
      </c>
      <c r="V153" s="26">
        <f t="shared" si="11"/>
        <v>0.1040744037489076</v>
      </c>
    </row>
    <row r="154" spans="1:22" x14ac:dyDescent="0.25">
      <c r="A154" s="18">
        <v>2029</v>
      </c>
      <c r="B154" s="18" t="s">
        <v>26</v>
      </c>
      <c r="C154" s="25"/>
      <c r="D154" s="25">
        <f t="shared" si="17"/>
        <v>3.3190711597603322</v>
      </c>
      <c r="E154" s="25">
        <f t="shared" si="17"/>
        <v>69.127162041403849</v>
      </c>
      <c r="F154" s="25">
        <f t="shared" si="17"/>
        <v>3.0804582486965484</v>
      </c>
      <c r="G154" s="25">
        <f t="shared" si="17"/>
        <v>21.62107220752458</v>
      </c>
      <c r="H154" s="25">
        <f t="shared" si="17"/>
        <v>24.669709034054296</v>
      </c>
      <c r="I154" s="25">
        <f t="shared" si="17"/>
        <v>2.4101236222499773</v>
      </c>
      <c r="J154" s="25">
        <f t="shared" si="17"/>
        <v>12.373864741640128</v>
      </c>
      <c r="K154" s="25">
        <f t="shared" si="17"/>
        <v>0</v>
      </c>
      <c r="L154" s="25">
        <f t="shared" si="17"/>
        <v>7.3998672009566269</v>
      </c>
      <c r="M154" s="25">
        <f t="shared" si="17"/>
        <v>9.3634353585545753</v>
      </c>
      <c r="N154" s="25">
        <f t="shared" si="17"/>
        <v>0.10078509267755507</v>
      </c>
      <c r="O154" s="25">
        <f t="shared" si="17"/>
        <v>928.66691416921708</v>
      </c>
      <c r="P154" s="25">
        <f t="shared" si="17"/>
        <v>167.03329783671799</v>
      </c>
      <c r="Q154" s="25">
        <f t="shared" si="10"/>
        <v>975.92990563747048</v>
      </c>
      <c r="R154" s="25">
        <f t="shared" si="15"/>
        <v>291.68467081002132</v>
      </c>
      <c r="S154" s="25">
        <f>Production!Z13*Feedstocks!V154/100</f>
        <v>1267.6145764474918</v>
      </c>
      <c r="V154" s="26">
        <f t="shared" si="11"/>
        <v>0.10407444809569703</v>
      </c>
    </row>
    <row r="155" spans="1:22" x14ac:dyDescent="0.25">
      <c r="A155" s="18">
        <v>2029</v>
      </c>
      <c r="B155" s="18" t="s">
        <v>27</v>
      </c>
      <c r="C155" s="25"/>
      <c r="D155" s="25">
        <f t="shared" si="17"/>
        <v>3.4536031186426426</v>
      </c>
      <c r="E155" s="25">
        <f t="shared" si="17"/>
        <v>71.929094291050603</v>
      </c>
      <c r="F155" s="25">
        <f t="shared" si="17"/>
        <v>3.2053185070352828</v>
      </c>
      <c r="G155" s="25">
        <f t="shared" si="17"/>
        <v>22.49743943715162</v>
      </c>
      <c r="H155" s="25">
        <f t="shared" si="17"/>
        <v>25.669646703859367</v>
      </c>
      <c r="I155" s="25">
        <f t="shared" si="17"/>
        <v>2.5078131975687636</v>
      </c>
      <c r="J155" s="25">
        <f t="shared" si="17"/>
        <v>12.875414778535935</v>
      </c>
      <c r="K155" s="25">
        <f t="shared" si="17"/>
        <v>0</v>
      </c>
      <c r="L155" s="25">
        <f t="shared" si="17"/>
        <v>7.6998061242563427</v>
      </c>
      <c r="M155" s="25">
        <f t="shared" si="17"/>
        <v>9.7429636181250014</v>
      </c>
      <c r="N155" s="25">
        <f t="shared" si="17"/>
        <v>0.10487021628334899</v>
      </c>
      <c r="O155" s="25">
        <f t="shared" si="17"/>
        <v>966.30858350944197</v>
      </c>
      <c r="P155" s="25">
        <f t="shared" si="17"/>
        <v>173.80366089159409</v>
      </c>
      <c r="Q155" s="25">
        <f t="shared" si="10"/>
        <v>1015.4872864881775</v>
      </c>
      <c r="R155" s="25">
        <f t="shared" si="15"/>
        <v>303.50752975193313</v>
      </c>
      <c r="S155" s="25">
        <f>Production!Z14*Feedstocks!V155/100</f>
        <v>1318.9948162401106</v>
      </c>
      <c r="V155" s="26">
        <f t="shared" si="11"/>
        <v>0.1040746043395166</v>
      </c>
    </row>
    <row r="156" spans="1:22" x14ac:dyDescent="0.25">
      <c r="A156" s="18">
        <v>2029</v>
      </c>
      <c r="B156" s="18" t="s">
        <v>28</v>
      </c>
      <c r="C156" s="25"/>
      <c r="D156" s="25">
        <f t="shared" si="17"/>
        <v>3.2772024633898376</v>
      </c>
      <c r="E156" s="25">
        <f t="shared" si="17"/>
        <v>68.255151765289568</v>
      </c>
      <c r="F156" s="25">
        <f t="shared" si="17"/>
        <v>3.0415995545352654</v>
      </c>
      <c r="G156" s="25">
        <f t="shared" si="17"/>
        <v>21.348331412317663</v>
      </c>
      <c r="H156" s="25">
        <f t="shared" si="17"/>
        <v>24.358510958635556</v>
      </c>
      <c r="I156" s="25">
        <f t="shared" si="17"/>
        <v>2.3797209194159028</v>
      </c>
      <c r="J156" s="25">
        <f t="shared" si="17"/>
        <v>12.217773606241058</v>
      </c>
      <c r="K156" s="25">
        <f t="shared" si="17"/>
        <v>0</v>
      </c>
      <c r="L156" s="25">
        <f t="shared" si="17"/>
        <v>7.3065209669936264</v>
      </c>
      <c r="M156" s="25">
        <f t="shared" si="17"/>
        <v>9.2453195324267661</v>
      </c>
      <c r="N156" s="25">
        <f t="shared" si="17"/>
        <v>9.9513730829352512E-2</v>
      </c>
      <c r="O156" s="25">
        <f t="shared" si="17"/>
        <v>916.95216893263625</v>
      </c>
      <c r="P156" s="25">
        <f t="shared" si="17"/>
        <v>164.92624255098772</v>
      </c>
      <c r="Q156" s="25">
        <f t="shared" si="10"/>
        <v>963.61895750432734</v>
      </c>
      <c r="R156" s="25">
        <f t="shared" si="15"/>
        <v>288.00519051862727</v>
      </c>
      <c r="S156" s="25">
        <f>Production!Z15*Feedstocks!V156/100</f>
        <v>1251.6241480229546</v>
      </c>
      <c r="V156" s="26">
        <f t="shared" si="11"/>
        <v>0.10407479235761498</v>
      </c>
    </row>
    <row r="157" spans="1:22" x14ac:dyDescent="0.25">
      <c r="A157" s="18">
        <v>2029</v>
      </c>
      <c r="B157" s="18" t="s">
        <v>29</v>
      </c>
      <c r="C157" s="25"/>
      <c r="D157" s="25">
        <f t="shared" si="17"/>
        <v>3.0534873082053808</v>
      </c>
      <c r="E157" s="25">
        <f t="shared" si="17"/>
        <v>63.595777790110795</v>
      </c>
      <c r="F157" s="25">
        <f t="shared" si="17"/>
        <v>2.8339676111465764</v>
      </c>
      <c r="G157" s="25">
        <f t="shared" si="17"/>
        <v>19.891007573406664</v>
      </c>
      <c r="H157" s="25">
        <f t="shared" si="17"/>
        <v>22.69570003375398</v>
      </c>
      <c r="I157" s="25">
        <f t="shared" si="17"/>
        <v>2.2172715008248556</v>
      </c>
      <c r="J157" s="25">
        <f t="shared" si="17"/>
        <v>11.38373873996016</v>
      </c>
      <c r="K157" s="25">
        <f t="shared" si="17"/>
        <v>0</v>
      </c>
      <c r="L157" s="25">
        <f t="shared" ref="L157:P157" si="18">$S157*L$318</f>
        <v>6.8077481599273497</v>
      </c>
      <c r="M157" s="25">
        <f t="shared" si="18"/>
        <v>8.6141964580875214</v>
      </c>
      <c r="N157" s="25">
        <f t="shared" si="18"/>
        <v>9.2720519245944585E-2</v>
      </c>
      <c r="O157" s="25">
        <f t="shared" si="18"/>
        <v>854.3572883718233</v>
      </c>
      <c r="P157" s="25">
        <f t="shared" si="18"/>
        <v>153.66770715121908</v>
      </c>
      <c r="Q157" s="25">
        <f t="shared" si="10"/>
        <v>897.83841235186833</v>
      </c>
      <c r="R157" s="25">
        <f t="shared" si="15"/>
        <v>268.34478606984089</v>
      </c>
      <c r="S157" s="25">
        <f>Production!Z16*Feedstocks!V157/100</f>
        <v>1166.1831984217092</v>
      </c>
      <c r="V157" s="26">
        <f t="shared" si="11"/>
        <v>0.1040749254759591</v>
      </c>
    </row>
    <row r="158" spans="1:22" x14ac:dyDescent="0.25">
      <c r="A158" s="18">
        <v>2030</v>
      </c>
      <c r="B158" s="18" t="s">
        <v>19</v>
      </c>
      <c r="C158" s="25"/>
      <c r="D158" s="25">
        <f t="shared" ref="D158:P177" si="19">$S158*D$318</f>
        <v>2.6876919545731575</v>
      </c>
      <c r="E158" s="25">
        <f t="shared" si="19"/>
        <v>55.977262408128674</v>
      </c>
      <c r="F158" s="25">
        <f t="shared" si="19"/>
        <v>2.4944698239064196</v>
      </c>
      <c r="G158" s="25">
        <f t="shared" si="19"/>
        <v>17.508145810771126</v>
      </c>
      <c r="H158" s="25">
        <f t="shared" si="19"/>
        <v>19.976847527811451</v>
      </c>
      <c r="I158" s="25">
        <f t="shared" si="19"/>
        <v>1.9516513980121257</v>
      </c>
      <c r="J158" s="25">
        <f t="shared" si="19"/>
        <v>10.020013164009448</v>
      </c>
      <c r="K158" s="25">
        <f t="shared" si="19"/>
        <v>0</v>
      </c>
      <c r="L158" s="25">
        <f t="shared" si="19"/>
        <v>5.9922076338842505</v>
      </c>
      <c r="M158" s="25">
        <f t="shared" si="19"/>
        <v>7.5822507771030079</v>
      </c>
      <c r="N158" s="25">
        <f t="shared" si="19"/>
        <v>8.1612978358058114E-2</v>
      </c>
      <c r="O158" s="25">
        <f t="shared" si="19"/>
        <v>752.00876195469039</v>
      </c>
      <c r="P158" s="25">
        <f t="shared" si="19"/>
        <v>135.25894117135655</v>
      </c>
      <c r="Q158" s="25">
        <f t="shared" si="10"/>
        <v>790.28102422443249</v>
      </c>
      <c r="R158" s="25">
        <f t="shared" si="15"/>
        <v>236.19817270354133</v>
      </c>
      <c r="S158" s="25">
        <f>Production!AA5*Feedstocks!V158/100</f>
        <v>1026.4791969279738</v>
      </c>
      <c r="V158" s="26">
        <f t="shared" si="11"/>
        <v>0.10407497220674146</v>
      </c>
    </row>
    <row r="159" spans="1:22" x14ac:dyDescent="0.25">
      <c r="A159" s="18">
        <v>2030</v>
      </c>
      <c r="B159" s="18" t="s">
        <v>20</v>
      </c>
      <c r="C159" s="25"/>
      <c r="D159" s="25">
        <f t="shared" si="19"/>
        <v>2.8335782456129035</v>
      </c>
      <c r="E159" s="25">
        <f t="shared" si="19"/>
        <v>59.015674299560416</v>
      </c>
      <c r="F159" s="25">
        <f t="shared" si="19"/>
        <v>2.6298681347511867</v>
      </c>
      <c r="G159" s="25">
        <f t="shared" si="19"/>
        <v>18.458477358614786</v>
      </c>
      <c r="H159" s="25">
        <f t="shared" si="19"/>
        <v>21.061178709269996</v>
      </c>
      <c r="I159" s="25">
        <f t="shared" si="19"/>
        <v>2.0575858535489924</v>
      </c>
      <c r="J159" s="25">
        <f t="shared" si="19"/>
        <v>10.563893408238897</v>
      </c>
      <c r="K159" s="25">
        <f t="shared" si="19"/>
        <v>0</v>
      </c>
      <c r="L159" s="25">
        <f t="shared" si="19"/>
        <v>6.31746103405907</v>
      </c>
      <c r="M159" s="25">
        <f t="shared" si="19"/>
        <v>7.9938107558136116</v>
      </c>
      <c r="N159" s="25">
        <f t="shared" si="19"/>
        <v>8.6042881380651734E-2</v>
      </c>
      <c r="O159" s="25">
        <f t="shared" si="19"/>
        <v>792.82734197249761</v>
      </c>
      <c r="P159" s="25">
        <f t="shared" si="19"/>
        <v>142.6007145557198</v>
      </c>
      <c r="Q159" s="25">
        <f t="shared" si="10"/>
        <v>833.17699945218283</v>
      </c>
      <c r="R159" s="25">
        <f t="shared" si="15"/>
        <v>249.01886642458112</v>
      </c>
      <c r="S159" s="25">
        <f>Production!AA6*Feedstocks!V159/100</f>
        <v>1082.1958658767639</v>
      </c>
      <c r="V159" s="26">
        <f t="shared" si="11"/>
        <v>0.10407494748490299</v>
      </c>
    </row>
    <row r="160" spans="1:22" x14ac:dyDescent="0.25">
      <c r="A160" s="18">
        <v>2030</v>
      </c>
      <c r="B160" s="18" t="s">
        <v>21</v>
      </c>
      <c r="C160" s="25"/>
      <c r="D160" s="25">
        <f t="shared" si="19"/>
        <v>3.2621678036531958</v>
      </c>
      <c r="E160" s="25">
        <f t="shared" si="19"/>
        <v>67.942020979649158</v>
      </c>
      <c r="F160" s="25">
        <f t="shared" si="19"/>
        <v>3.0276457586168228</v>
      </c>
      <c r="G160" s="25">
        <f t="shared" si="19"/>
        <v>21.250392727627045</v>
      </c>
      <c r="H160" s="25">
        <f t="shared" si="19"/>
        <v>24.246762622044983</v>
      </c>
      <c r="I160" s="25">
        <f t="shared" si="19"/>
        <v>2.3688035913926049</v>
      </c>
      <c r="J160" s="25">
        <f t="shared" si="19"/>
        <v>12.161722730238985</v>
      </c>
      <c r="K160" s="25">
        <f t="shared" si="19"/>
        <v>0</v>
      </c>
      <c r="L160" s="25">
        <f t="shared" si="19"/>
        <v>7.273001201942626</v>
      </c>
      <c r="M160" s="25">
        <f t="shared" si="19"/>
        <v>9.2029052370393565</v>
      </c>
      <c r="N160" s="25">
        <f t="shared" si="19"/>
        <v>9.9057196605771017E-2</v>
      </c>
      <c r="O160" s="25">
        <f t="shared" si="19"/>
        <v>912.74551279567675</v>
      </c>
      <c r="P160" s="25">
        <f t="shared" si="19"/>
        <v>164.1696185809715</v>
      </c>
      <c r="Q160" s="25">
        <f t="shared" si="10"/>
        <v>959.19821044835533</v>
      </c>
      <c r="R160" s="25">
        <f t="shared" si="15"/>
        <v>286.68392334328303</v>
      </c>
      <c r="S160" s="25">
        <f>Production!AA7*Feedstocks!V160/100</f>
        <v>1245.8821337916384</v>
      </c>
      <c r="V160" s="26">
        <f t="shared" si="11"/>
        <v>0.10407488247320344</v>
      </c>
    </row>
    <row r="161" spans="1:22" x14ac:dyDescent="0.25">
      <c r="A161" s="18">
        <v>2030</v>
      </c>
      <c r="B161" s="18" t="s">
        <v>22</v>
      </c>
      <c r="C161" s="25"/>
      <c r="D161" s="25">
        <f t="shared" si="19"/>
        <v>3.2034426823635949</v>
      </c>
      <c r="E161" s="25">
        <f t="shared" si="19"/>
        <v>66.718937538563637</v>
      </c>
      <c r="F161" s="25">
        <f t="shared" si="19"/>
        <v>2.9731424727350824</v>
      </c>
      <c r="G161" s="25">
        <f t="shared" si="19"/>
        <v>20.867845916581935</v>
      </c>
      <c r="H161" s="25">
        <f t="shared" si="19"/>
        <v>23.810275549165045</v>
      </c>
      <c r="I161" s="25">
        <f t="shared" si="19"/>
        <v>2.326160696670883</v>
      </c>
      <c r="J161" s="25">
        <f t="shared" si="19"/>
        <v>11.942788976547964</v>
      </c>
      <c r="K161" s="25">
        <f t="shared" si="19"/>
        <v>0</v>
      </c>
      <c r="L161" s="25">
        <f t="shared" si="19"/>
        <v>7.1420735785244824</v>
      </c>
      <c r="M161" s="25">
        <f t="shared" si="19"/>
        <v>9.037235731731684</v>
      </c>
      <c r="N161" s="25">
        <f t="shared" si="19"/>
        <v>9.7273981812599636E-2</v>
      </c>
      <c r="O161" s="25">
        <f t="shared" si="19"/>
        <v>896.31438657174692</v>
      </c>
      <c r="P161" s="25">
        <f t="shared" si="19"/>
        <v>161.21425842063928</v>
      </c>
      <c r="Q161" s="25">
        <f t="shared" si="10"/>
        <v>941.93084879201524</v>
      </c>
      <c r="R161" s="25">
        <f t="shared" si="15"/>
        <v>281.5230765740705</v>
      </c>
      <c r="S161" s="25">
        <f>Production!AA8*Feedstocks!V161/100</f>
        <v>1223.4539253660857</v>
      </c>
      <c r="V161" s="26">
        <f t="shared" si="11"/>
        <v>0.10407481342343437</v>
      </c>
    </row>
    <row r="162" spans="1:22" x14ac:dyDescent="0.25">
      <c r="A162" s="18">
        <v>2030</v>
      </c>
      <c r="B162" s="18" t="s">
        <v>9</v>
      </c>
      <c r="C162" s="25"/>
      <c r="D162" s="25">
        <f t="shared" si="19"/>
        <v>3.2429915616671043</v>
      </c>
      <c r="E162" s="25">
        <f t="shared" si="19"/>
        <v>67.542632378648676</v>
      </c>
      <c r="F162" s="25">
        <f t="shared" si="19"/>
        <v>3.0098481248928981</v>
      </c>
      <c r="G162" s="25">
        <f t="shared" si="19"/>
        <v>21.125474974227568</v>
      </c>
      <c r="H162" s="25">
        <f t="shared" si="19"/>
        <v>24.104231086144541</v>
      </c>
      <c r="I162" s="25">
        <f t="shared" si="19"/>
        <v>2.3548788782508723</v>
      </c>
      <c r="J162" s="25">
        <f t="shared" si="19"/>
        <v>12.090231577091791</v>
      </c>
      <c r="K162" s="25">
        <f t="shared" si="19"/>
        <v>0</v>
      </c>
      <c r="L162" s="25">
        <f t="shared" si="19"/>
        <v>7.2302477816993749</v>
      </c>
      <c r="M162" s="25">
        <f t="shared" si="19"/>
        <v>9.148807119338942</v>
      </c>
      <c r="N162" s="25">
        <f t="shared" si="19"/>
        <v>9.8474901369318468E-2</v>
      </c>
      <c r="O162" s="25">
        <f t="shared" si="19"/>
        <v>907.38005342062922</v>
      </c>
      <c r="P162" s="25">
        <f t="shared" si="19"/>
        <v>163.20456818437708</v>
      </c>
      <c r="Q162" s="25">
        <f t="shared" ref="Q162:Q217" si="20">C162+D162+H162+I162+K162+L162+M162+N162+O162</f>
        <v>953.55968474909935</v>
      </c>
      <c r="R162" s="25">
        <f t="shared" si="15"/>
        <v>284.9986880585144</v>
      </c>
      <c r="S162" s="25">
        <f>Production!AA9*Feedstocks!V162/100</f>
        <v>1238.5583728076138</v>
      </c>
      <c r="V162" s="26">
        <f t="shared" ref="V162:V217" si="21">AVERAGE(V150:V161)</f>
        <v>0.10407476089265899</v>
      </c>
    </row>
    <row r="163" spans="1:22" x14ac:dyDescent="0.25">
      <c r="A163" s="18">
        <v>2030</v>
      </c>
      <c r="B163" s="18" t="s">
        <v>23</v>
      </c>
      <c r="C163" s="25"/>
      <c r="D163" s="25">
        <f t="shared" si="19"/>
        <v>3.3112489255807067</v>
      </c>
      <c r="E163" s="25">
        <f t="shared" si="19"/>
        <v>68.964246326845966</v>
      </c>
      <c r="F163" s="25">
        <f t="shared" si="19"/>
        <v>3.0731983664457552</v>
      </c>
      <c r="G163" s="25">
        <f t="shared" si="19"/>
        <v>21.570116659456712</v>
      </c>
      <c r="H163" s="25">
        <f t="shared" si="19"/>
        <v>24.61156859899911</v>
      </c>
      <c r="I163" s="25">
        <f t="shared" si="19"/>
        <v>2.4044435538008129</v>
      </c>
      <c r="J163" s="25">
        <f t="shared" si="19"/>
        <v>12.344702586610254</v>
      </c>
      <c r="K163" s="25">
        <f t="shared" si="19"/>
        <v>0</v>
      </c>
      <c r="L163" s="25">
        <f t="shared" si="19"/>
        <v>7.3824275344481833</v>
      </c>
      <c r="M163" s="25">
        <f t="shared" si="19"/>
        <v>9.3413680449674548</v>
      </c>
      <c r="N163" s="25">
        <f t="shared" si="19"/>
        <v>0.10054756700883877</v>
      </c>
      <c r="O163" s="25">
        <f t="shared" si="19"/>
        <v>926.47827471924927</v>
      </c>
      <c r="P163" s="25">
        <f t="shared" si="19"/>
        <v>166.63964144654639</v>
      </c>
      <c r="Q163" s="25">
        <f t="shared" si="20"/>
        <v>973.62987894405433</v>
      </c>
      <c r="R163" s="25">
        <f t="shared" si="15"/>
        <v>290.99724179995837</v>
      </c>
      <c r="S163" s="25">
        <f>Production!AA10*Feedstocks!V163/100</f>
        <v>1264.6271207440127</v>
      </c>
      <c r="V163" s="26">
        <f t="shared" si="21"/>
        <v>0.10407473369873803</v>
      </c>
    </row>
    <row r="164" spans="1:22" x14ac:dyDescent="0.25">
      <c r="A164" s="18">
        <v>2030</v>
      </c>
      <c r="B164" s="18" t="s">
        <v>24</v>
      </c>
      <c r="C164" s="25"/>
      <c r="D164" s="25">
        <f t="shared" si="19"/>
        <v>3.598475014367712</v>
      </c>
      <c r="E164" s="25">
        <f t="shared" si="19"/>
        <v>74.9463791062865</v>
      </c>
      <c r="F164" s="25">
        <f t="shared" si="19"/>
        <v>3.339775348937648</v>
      </c>
      <c r="G164" s="25">
        <f t="shared" si="19"/>
        <v>23.441163017497779</v>
      </c>
      <c r="H164" s="25">
        <f t="shared" si="19"/>
        <v>26.746438174340337</v>
      </c>
      <c r="I164" s="25">
        <f t="shared" si="19"/>
        <v>2.6130110560299658</v>
      </c>
      <c r="J164" s="25">
        <f t="shared" si="19"/>
        <v>13.415513244727435</v>
      </c>
      <c r="K164" s="25">
        <f t="shared" si="19"/>
        <v>0</v>
      </c>
      <c r="L164" s="25">
        <f t="shared" si="19"/>
        <v>8.0227979306729793</v>
      </c>
      <c r="M164" s="25">
        <f t="shared" si="19"/>
        <v>10.151661885079571</v>
      </c>
      <c r="N164" s="25">
        <f t="shared" si="19"/>
        <v>0.10926931673471699</v>
      </c>
      <c r="O164" s="25">
        <f t="shared" si="19"/>
        <v>1006.8433385288431</v>
      </c>
      <c r="P164" s="25">
        <f t="shared" si="19"/>
        <v>181.09438451336868</v>
      </c>
      <c r="Q164" s="25">
        <f t="shared" si="20"/>
        <v>1058.0849919060684</v>
      </c>
      <c r="R164" s="25">
        <f t="shared" si="15"/>
        <v>316.23907697710388</v>
      </c>
      <c r="S164" s="25">
        <f>Production!AA11*Feedstocks!V164/100</f>
        <v>1374.3240688831722</v>
      </c>
      <c r="V164" s="26">
        <f t="shared" si="21"/>
        <v>0.10407473249091659</v>
      </c>
    </row>
    <row r="165" spans="1:22" x14ac:dyDescent="0.25">
      <c r="A165" s="18">
        <v>2030</v>
      </c>
      <c r="B165" s="18" t="s">
        <v>25</v>
      </c>
      <c r="C165" s="25"/>
      <c r="D165" s="25">
        <f t="shared" si="19"/>
        <v>3.65604302065239</v>
      </c>
      <c r="E165" s="25">
        <f t="shared" si="19"/>
        <v>76.145363010906621</v>
      </c>
      <c r="F165" s="25">
        <f t="shared" si="19"/>
        <v>3.3932047065153439</v>
      </c>
      <c r="G165" s="25">
        <f t="shared" si="19"/>
        <v>23.816172157348259</v>
      </c>
      <c r="H165" s="25">
        <f t="shared" si="19"/>
        <v>27.174324741501547</v>
      </c>
      <c r="I165" s="25">
        <f t="shared" si="19"/>
        <v>2.6548137186286662</v>
      </c>
      <c r="J165" s="25">
        <f t="shared" si="19"/>
        <v>13.630133145574616</v>
      </c>
      <c r="K165" s="25">
        <f t="shared" si="19"/>
        <v>0</v>
      </c>
      <c r="L165" s="25">
        <f t="shared" si="19"/>
        <v>8.1511457668673728</v>
      </c>
      <c r="M165" s="25">
        <f t="shared" si="19"/>
        <v>10.31406705195354</v>
      </c>
      <c r="N165" s="25">
        <f t="shared" si="19"/>
        <v>0.11101739520890141</v>
      </c>
      <c r="O165" s="25">
        <f t="shared" si="19"/>
        <v>1022.9507071804771</v>
      </c>
      <c r="P165" s="25">
        <f t="shared" si="19"/>
        <v>183.99151249790668</v>
      </c>
      <c r="Q165" s="25">
        <f t="shared" si="20"/>
        <v>1075.0121188752896</v>
      </c>
      <c r="R165" s="25">
        <f t="shared" si="15"/>
        <v>321.29823484208555</v>
      </c>
      <c r="S165" s="25">
        <f>Production!AA12*Feedstocks!V165/100</f>
        <v>1396.3103537173752</v>
      </c>
      <c r="V165" s="26">
        <f t="shared" si="21"/>
        <v>0.10407475139069093</v>
      </c>
    </row>
    <row r="166" spans="1:22" x14ac:dyDescent="0.25">
      <c r="A166" s="18">
        <v>2030</v>
      </c>
      <c r="B166" s="18" t="s">
        <v>26</v>
      </c>
      <c r="C166" s="25"/>
      <c r="D166" s="25">
        <f t="shared" si="19"/>
        <v>3.5506199717804146</v>
      </c>
      <c r="E166" s="25">
        <f t="shared" si="19"/>
        <v>73.949689633780807</v>
      </c>
      <c r="F166" s="25">
        <f t="shared" si="19"/>
        <v>3.2953606758004779</v>
      </c>
      <c r="G166" s="25">
        <f t="shared" si="19"/>
        <v>23.129426003896409</v>
      </c>
      <c r="H166" s="25">
        <f t="shared" si="19"/>
        <v>26.390745295334352</v>
      </c>
      <c r="I166" s="25">
        <f t="shared" si="19"/>
        <v>2.578261403783356</v>
      </c>
      <c r="J166" s="25">
        <f t="shared" si="19"/>
        <v>13.237104347877089</v>
      </c>
      <c r="K166" s="25">
        <f t="shared" si="19"/>
        <v>0</v>
      </c>
      <c r="L166" s="25">
        <f t="shared" si="19"/>
        <v>7.9161051413361889</v>
      </c>
      <c r="M166" s="25">
        <f t="shared" si="19"/>
        <v>10.01665797094855</v>
      </c>
      <c r="N166" s="25">
        <f t="shared" si="19"/>
        <v>0.10781617678378043</v>
      </c>
      <c r="O166" s="25">
        <f t="shared" si="19"/>
        <v>993.45363020749733</v>
      </c>
      <c r="P166" s="25">
        <f t="shared" si="19"/>
        <v>178.6860644754066</v>
      </c>
      <c r="Q166" s="25">
        <f t="shared" si="20"/>
        <v>1044.013836167464</v>
      </c>
      <c r="R166" s="25">
        <f t="shared" si="15"/>
        <v>312.03350810804614</v>
      </c>
      <c r="S166" s="25">
        <f>Production!AA13*Feedstocks!V166/100</f>
        <v>1356.0473442755101</v>
      </c>
      <c r="V166" s="26">
        <f t="shared" si="21"/>
        <v>0.10407478036083954</v>
      </c>
    </row>
    <row r="167" spans="1:22" x14ac:dyDescent="0.25">
      <c r="A167" s="18">
        <v>2030</v>
      </c>
      <c r="B167" s="18" t="s">
        <v>27</v>
      </c>
      <c r="C167" s="25"/>
      <c r="D167" s="25">
        <f t="shared" si="19"/>
        <v>3.6896632539911267</v>
      </c>
      <c r="E167" s="25">
        <f t="shared" si="19"/>
        <v>76.845580392821532</v>
      </c>
      <c r="F167" s="25">
        <f t="shared" si="19"/>
        <v>3.4244079317932536</v>
      </c>
      <c r="G167" s="25">
        <f t="shared" si="19"/>
        <v>24.035180867213683</v>
      </c>
      <c r="H167" s="25">
        <f t="shared" si="19"/>
        <v>27.424214344405854</v>
      </c>
      <c r="I167" s="25">
        <f t="shared" si="19"/>
        <v>2.6792268494881735</v>
      </c>
      <c r="J167" s="25">
        <f t="shared" si="19"/>
        <v>13.755473097594791</v>
      </c>
      <c r="K167" s="25">
        <f t="shared" si="19"/>
        <v>0</v>
      </c>
      <c r="L167" s="25">
        <f t="shared" si="19"/>
        <v>8.2261020573464805</v>
      </c>
      <c r="M167" s="25">
        <f t="shared" si="19"/>
        <v>10.408913129803077</v>
      </c>
      <c r="N167" s="25">
        <f t="shared" si="19"/>
        <v>0.11203828875706212</v>
      </c>
      <c r="O167" s="25">
        <f t="shared" si="19"/>
        <v>1032.3575553152391</v>
      </c>
      <c r="P167" s="25">
        <f t="shared" si="19"/>
        <v>185.68346129270586</v>
      </c>
      <c r="Q167" s="25">
        <f t="shared" si="20"/>
        <v>1084.897713239031</v>
      </c>
      <c r="R167" s="25">
        <f t="shared" si="15"/>
        <v>324.25282852867394</v>
      </c>
      <c r="S167" s="25">
        <f>Production!AA14*Feedstocks!V167/100</f>
        <v>1409.1505417677049</v>
      </c>
      <c r="V167" s="26">
        <f t="shared" si="21"/>
        <v>0.10407480804960141</v>
      </c>
    </row>
    <row r="168" spans="1:22" x14ac:dyDescent="0.25">
      <c r="A168" s="18">
        <v>2030</v>
      </c>
      <c r="B168" s="18" t="s">
        <v>28</v>
      </c>
      <c r="C168" s="25"/>
      <c r="D168" s="25">
        <f t="shared" si="19"/>
        <v>3.4756728294228139</v>
      </c>
      <c r="E168" s="25">
        <f t="shared" si="19"/>
        <v>72.388745922447981</v>
      </c>
      <c r="F168" s="25">
        <f t="shared" si="19"/>
        <v>3.2258015938227427</v>
      </c>
      <c r="G168" s="25">
        <f t="shared" si="19"/>
        <v>22.641205806539048</v>
      </c>
      <c r="H168" s="25">
        <f t="shared" si="19"/>
        <v>25.833684567829682</v>
      </c>
      <c r="I168" s="25">
        <f t="shared" si="19"/>
        <v>2.5238389857267247</v>
      </c>
      <c r="J168" s="25">
        <f t="shared" si="19"/>
        <v>12.9576931036866</v>
      </c>
      <c r="K168" s="25">
        <f t="shared" si="19"/>
        <v>0</v>
      </c>
      <c r="L168" s="25">
        <f t="shared" si="19"/>
        <v>7.7490105314762774</v>
      </c>
      <c r="M168" s="25">
        <f t="shared" si="19"/>
        <v>9.8052245038744505</v>
      </c>
      <c r="N168" s="25">
        <f t="shared" si="19"/>
        <v>0.10554037300469719</v>
      </c>
      <c r="O168" s="25">
        <f t="shared" si="19"/>
        <v>972.48362743598102</v>
      </c>
      <c r="P168" s="25">
        <f t="shared" si="19"/>
        <v>174.91432601339304</v>
      </c>
      <c r="Q168" s="25">
        <f t="shared" si="20"/>
        <v>1021.9765992273157</v>
      </c>
      <c r="R168" s="25">
        <f t="shared" si="15"/>
        <v>305.44704716928538</v>
      </c>
      <c r="S168" s="25">
        <f>Production!AA15*Feedstocks!V168/100</f>
        <v>1327.423646396601</v>
      </c>
      <c r="V168" s="26">
        <f t="shared" si="21"/>
        <v>0.10407482502544181</v>
      </c>
    </row>
    <row r="169" spans="1:22" x14ac:dyDescent="0.25">
      <c r="A169" s="18">
        <v>2030</v>
      </c>
      <c r="B169" s="18" t="s">
        <v>29</v>
      </c>
      <c r="C169" s="25"/>
      <c r="D169" s="25">
        <f t="shared" si="19"/>
        <v>3.2199282778953573</v>
      </c>
      <c r="E169" s="25">
        <f t="shared" si="19"/>
        <v>67.062287343017815</v>
      </c>
      <c r="F169" s="25">
        <f t="shared" si="19"/>
        <v>2.9884428945386814</v>
      </c>
      <c r="G169" s="25">
        <f t="shared" si="19"/>
        <v>20.97523627798715</v>
      </c>
      <c r="H169" s="25">
        <f t="shared" si="19"/>
        <v>23.932808277583877</v>
      </c>
      <c r="I169" s="25">
        <f t="shared" si="19"/>
        <v>2.3381316130223206</v>
      </c>
      <c r="J169" s="25">
        <f t="shared" si="19"/>
        <v>12.004249101828963</v>
      </c>
      <c r="K169" s="25">
        <f t="shared" si="19"/>
        <v>0</v>
      </c>
      <c r="L169" s="25">
        <f t="shared" si="19"/>
        <v>7.1788282040783793</v>
      </c>
      <c r="M169" s="25">
        <f t="shared" si="19"/>
        <v>9.0837432637124333</v>
      </c>
      <c r="N169" s="25">
        <f t="shared" si="19"/>
        <v>9.7774574355976543E-2</v>
      </c>
      <c r="O169" s="25">
        <f t="shared" si="19"/>
        <v>900.92701052399434</v>
      </c>
      <c r="P169" s="25">
        <f t="shared" si="19"/>
        <v>162.04390118993484</v>
      </c>
      <c r="Q169" s="25">
        <f t="shared" si="20"/>
        <v>946.77822473464266</v>
      </c>
      <c r="R169" s="25">
        <f t="shared" si="15"/>
        <v>282.97185404051584</v>
      </c>
      <c r="S169" s="25">
        <f>Production!AA16*Feedstocks!V169/100</f>
        <v>1229.7500787751585</v>
      </c>
      <c r="V169" s="26">
        <f t="shared" si="21"/>
        <v>0.10407482774776072</v>
      </c>
    </row>
    <row r="170" spans="1:22" x14ac:dyDescent="0.25">
      <c r="A170" s="18">
        <v>2031</v>
      </c>
      <c r="B170" s="18" t="s">
        <v>19</v>
      </c>
      <c r="C170" s="25"/>
      <c r="D170" s="25">
        <f t="shared" si="19"/>
        <v>2.7301392496195489</v>
      </c>
      <c r="E170" s="25">
        <f t="shared" si="19"/>
        <v>56.861323310005524</v>
      </c>
      <c r="F170" s="25">
        <f t="shared" si="19"/>
        <v>2.5338655204331411</v>
      </c>
      <c r="G170" s="25">
        <f t="shared" si="19"/>
        <v>17.784655709787089</v>
      </c>
      <c r="H170" s="25">
        <f t="shared" si="19"/>
        <v>20.292346162119955</v>
      </c>
      <c r="I170" s="25">
        <f t="shared" si="19"/>
        <v>1.9824742468055543</v>
      </c>
      <c r="J170" s="25">
        <f t="shared" si="19"/>
        <v>10.178261379329564</v>
      </c>
      <c r="K170" s="25">
        <f t="shared" si="19"/>
        <v>0</v>
      </c>
      <c r="L170" s="25">
        <f t="shared" si="19"/>
        <v>6.0868438532552753</v>
      </c>
      <c r="M170" s="25">
        <f t="shared" si="19"/>
        <v>7.7019988886020929</v>
      </c>
      <c r="N170" s="25">
        <f t="shared" si="19"/>
        <v>8.2901909616004077E-2</v>
      </c>
      <c r="O170" s="25">
        <f t="shared" si="19"/>
        <v>763.88539749763208</v>
      </c>
      <c r="P170" s="25">
        <f t="shared" si="19"/>
        <v>137.39511461704998</v>
      </c>
      <c r="Q170" s="25">
        <f t="shared" si="20"/>
        <v>802.76210180765054</v>
      </c>
      <c r="R170" s="25">
        <f t="shared" si="15"/>
        <v>239.92850106543062</v>
      </c>
      <c r="S170" s="25">
        <f>Production!AB5*Feedstocks!V170/100</f>
        <v>1042.6906028730812</v>
      </c>
      <c r="V170" s="26">
        <f t="shared" si="21"/>
        <v>0.10407481960374416</v>
      </c>
    </row>
    <row r="171" spans="1:22" x14ac:dyDescent="0.25">
      <c r="A171" s="18">
        <v>2031</v>
      </c>
      <c r="B171" s="18" t="s">
        <v>20</v>
      </c>
      <c r="C171" s="25"/>
      <c r="D171" s="25">
        <f t="shared" si="19"/>
        <v>2.8829249288522636</v>
      </c>
      <c r="E171" s="25">
        <f t="shared" si="19"/>
        <v>60.043430561568179</v>
      </c>
      <c r="F171" s="25">
        <f t="shared" si="19"/>
        <v>2.6756672122983756</v>
      </c>
      <c r="G171" s="25">
        <f t="shared" si="19"/>
        <v>18.779931208250563</v>
      </c>
      <c r="H171" s="25">
        <f t="shared" si="19"/>
        <v>21.427958527693217</v>
      </c>
      <c r="I171" s="25">
        <f t="shared" si="19"/>
        <v>2.0934186517115534</v>
      </c>
      <c r="J171" s="25">
        <f t="shared" si="19"/>
        <v>10.747863306581326</v>
      </c>
      <c r="K171" s="25">
        <f t="shared" si="19"/>
        <v>0</v>
      </c>
      <c r="L171" s="25">
        <f t="shared" si="19"/>
        <v>6.4274794353533959</v>
      </c>
      <c r="M171" s="25">
        <f t="shared" si="19"/>
        <v>8.1330227390553862</v>
      </c>
      <c r="N171" s="25">
        <f t="shared" si="19"/>
        <v>8.7541315672722761E-2</v>
      </c>
      <c r="O171" s="25">
        <f t="shared" si="19"/>
        <v>806.63440721532027</v>
      </c>
      <c r="P171" s="25">
        <f t="shared" si="19"/>
        <v>145.08410187766242</v>
      </c>
      <c r="Q171" s="25">
        <f t="shared" si="20"/>
        <v>847.68675281365881</v>
      </c>
      <c r="R171" s="25">
        <f t="shared" si="15"/>
        <v>253.35552278517525</v>
      </c>
      <c r="S171" s="25">
        <f>Production!AB6*Feedstocks!V171/100</f>
        <v>1101.0422755988341</v>
      </c>
      <c r="V171" s="26">
        <f t="shared" si="21"/>
        <v>0.10407480688682776</v>
      </c>
    </row>
    <row r="172" spans="1:22" x14ac:dyDescent="0.25">
      <c r="A172" s="18">
        <v>2031</v>
      </c>
      <c r="B172" s="18" t="s">
        <v>21</v>
      </c>
      <c r="C172" s="25"/>
      <c r="D172" s="25">
        <f t="shared" si="19"/>
        <v>3.3180372946637666</v>
      </c>
      <c r="E172" s="25">
        <f t="shared" si="19"/>
        <v>69.105629462974761</v>
      </c>
      <c r="F172" s="25">
        <f t="shared" si="19"/>
        <v>3.0794987096835356</v>
      </c>
      <c r="G172" s="25">
        <f t="shared" si="19"/>
        <v>21.614337410097914</v>
      </c>
      <c r="H172" s="25">
        <f t="shared" si="19"/>
        <v>24.662024609742474</v>
      </c>
      <c r="I172" s="25">
        <f t="shared" si="19"/>
        <v>2.4093728873089306</v>
      </c>
      <c r="J172" s="25">
        <f t="shared" si="19"/>
        <v>12.37001037809978</v>
      </c>
      <c r="K172" s="25">
        <f t="shared" si="19"/>
        <v>0</v>
      </c>
      <c r="L172" s="25">
        <f t="shared" si="19"/>
        <v>7.3975621993311593</v>
      </c>
      <c r="M172" s="25">
        <f t="shared" si="19"/>
        <v>9.3605187205750937</v>
      </c>
      <c r="N172" s="25">
        <f t="shared" si="19"/>
        <v>0.10075369889762148</v>
      </c>
      <c r="O172" s="25">
        <f t="shared" si="19"/>
        <v>928.37764157978449</v>
      </c>
      <c r="P172" s="25">
        <f t="shared" si="19"/>
        <v>166.98126825124501</v>
      </c>
      <c r="Q172" s="25">
        <f t="shared" si="20"/>
        <v>975.62591099030351</v>
      </c>
      <c r="R172" s="25">
        <f t="shared" si="15"/>
        <v>291.59381328216546</v>
      </c>
      <c r="S172" s="25">
        <f>Production!AB7*Feedstocks!V172/100</f>
        <v>1267.219724272469</v>
      </c>
      <c r="V172" s="26">
        <f t="shared" si="21"/>
        <v>0.10407479517032149</v>
      </c>
    </row>
    <row r="173" spans="1:22" x14ac:dyDescent="0.25">
      <c r="A173" s="18">
        <v>2031</v>
      </c>
      <c r="B173" s="18" t="s">
        <v>22</v>
      </c>
      <c r="C173" s="25"/>
      <c r="D173" s="25">
        <f t="shared" si="19"/>
        <v>3.2483817159022248</v>
      </c>
      <c r="E173" s="25">
        <f t="shared" si="19"/>
        <v>67.654894528902261</v>
      </c>
      <c r="F173" s="25">
        <f t="shared" si="19"/>
        <v>3.0148507730062102</v>
      </c>
      <c r="G173" s="25">
        <f t="shared" si="19"/>
        <v>21.160587482612488</v>
      </c>
      <c r="H173" s="25">
        <f t="shared" si="19"/>
        <v>24.144294564819312</v>
      </c>
      <c r="I173" s="25">
        <f t="shared" si="19"/>
        <v>2.3587929064305428</v>
      </c>
      <c r="J173" s="25">
        <f t="shared" si="19"/>
        <v>12.110326668830281</v>
      </c>
      <c r="K173" s="25">
        <f t="shared" si="19"/>
        <v>0</v>
      </c>
      <c r="L173" s="25">
        <f t="shared" si="19"/>
        <v>7.242265127400227</v>
      </c>
      <c r="M173" s="25">
        <f t="shared" si="19"/>
        <v>9.1640132894762623</v>
      </c>
      <c r="N173" s="25">
        <f t="shared" si="19"/>
        <v>9.8638575833644257E-2</v>
      </c>
      <c r="O173" s="25">
        <f t="shared" si="19"/>
        <v>908.88820364082119</v>
      </c>
      <c r="P173" s="25">
        <f t="shared" si="19"/>
        <v>163.47582938801025</v>
      </c>
      <c r="Q173" s="25">
        <f t="shared" si="20"/>
        <v>955.14458982068345</v>
      </c>
      <c r="R173" s="25">
        <f t="shared" si="15"/>
        <v>285.47238244107166</v>
      </c>
      <c r="S173" s="25">
        <f>Production!AB8*Feedstocks!V173/100</f>
        <v>1240.6169722617551</v>
      </c>
      <c r="V173" s="26">
        <f t="shared" si="21"/>
        <v>0.10407478789508134</v>
      </c>
    </row>
    <row r="174" spans="1:22" x14ac:dyDescent="0.25">
      <c r="A174" s="18">
        <v>2031</v>
      </c>
      <c r="B174" s="18" t="s">
        <v>9</v>
      </c>
      <c r="C174" s="25"/>
      <c r="D174" s="25">
        <f t="shared" si="19"/>
        <v>3.3221482146662833</v>
      </c>
      <c r="E174" s="25">
        <f t="shared" si="19"/>
        <v>69.191248667708464</v>
      </c>
      <c r="F174" s="25">
        <f t="shared" si="19"/>
        <v>3.0833140895961493</v>
      </c>
      <c r="G174" s="25">
        <f t="shared" si="19"/>
        <v>21.641116738993105</v>
      </c>
      <c r="H174" s="25">
        <f t="shared" si="19"/>
        <v>24.692579905318507</v>
      </c>
      <c r="I174" s="25">
        <f t="shared" si="19"/>
        <v>2.4123580072205995</v>
      </c>
      <c r="J174" s="25">
        <f t="shared" si="19"/>
        <v>12.38533634299368</v>
      </c>
      <c r="K174" s="25">
        <f t="shared" si="19"/>
        <v>0</v>
      </c>
      <c r="L174" s="25">
        <f t="shared" si="19"/>
        <v>7.4067274930618838</v>
      </c>
      <c r="M174" s="25">
        <f t="shared" si="19"/>
        <v>9.3721160415890044</v>
      </c>
      <c r="N174" s="25">
        <f t="shared" si="19"/>
        <v>0.10087852883753563</v>
      </c>
      <c r="O174" s="25">
        <f t="shared" si="19"/>
        <v>929.52786560613811</v>
      </c>
      <c r="P174" s="25">
        <f t="shared" si="19"/>
        <v>167.18815159062271</v>
      </c>
      <c r="Q174" s="25">
        <f t="shared" si="20"/>
        <v>976.83467379683191</v>
      </c>
      <c r="R174" s="25">
        <f t="shared" si="15"/>
        <v>291.95508674993505</v>
      </c>
      <c r="S174" s="25">
        <f>Production!AB9*Feedstocks!V174/100</f>
        <v>1268.789760546767</v>
      </c>
      <c r="V174" s="26">
        <f t="shared" si="21"/>
        <v>0.1040747857677186</v>
      </c>
    </row>
    <row r="175" spans="1:22" x14ac:dyDescent="0.25">
      <c r="A175" s="18">
        <v>2031</v>
      </c>
      <c r="B175" s="18" t="s">
        <v>23</v>
      </c>
      <c r="C175" s="25"/>
      <c r="D175" s="25">
        <f t="shared" si="19"/>
        <v>3.3723834365332106</v>
      </c>
      <c r="E175" s="25">
        <f t="shared" si="19"/>
        <v>70.237510755813759</v>
      </c>
      <c r="F175" s="25">
        <f t="shared" si="19"/>
        <v>3.1299378274211169</v>
      </c>
      <c r="G175" s="25">
        <f t="shared" si="19"/>
        <v>21.968358701296886</v>
      </c>
      <c r="H175" s="25">
        <f t="shared" si="19"/>
        <v>25.065963977869618</v>
      </c>
      <c r="I175" s="25">
        <f t="shared" si="19"/>
        <v>2.4488360123800885</v>
      </c>
      <c r="J175" s="25">
        <f t="shared" si="19"/>
        <v>12.572618811710779</v>
      </c>
      <c r="K175" s="25">
        <f t="shared" si="19"/>
        <v>0</v>
      </c>
      <c r="L175" s="25">
        <f t="shared" si="19"/>
        <v>7.5187268907044142</v>
      </c>
      <c r="M175" s="25">
        <f t="shared" si="19"/>
        <v>9.5138346821461379</v>
      </c>
      <c r="N175" s="25">
        <f t="shared" si="19"/>
        <v>0.10240394400576643</v>
      </c>
      <c r="O175" s="25">
        <f t="shared" si="19"/>
        <v>943.58354149503168</v>
      </c>
      <c r="P175" s="25">
        <f t="shared" si="19"/>
        <v>169.71625489787385</v>
      </c>
      <c r="Q175" s="25">
        <f t="shared" si="20"/>
        <v>991.60569043867088</v>
      </c>
      <c r="R175" s="25">
        <f t="shared" si="15"/>
        <v>296.36982914261728</v>
      </c>
      <c r="S175" s="25">
        <f>Production!AB10*Feedstocks!V175/100</f>
        <v>1287.9755195812882</v>
      </c>
      <c r="V175" s="26">
        <f t="shared" si="21"/>
        <v>0.10407478784064023</v>
      </c>
    </row>
    <row r="176" spans="1:22" x14ac:dyDescent="0.25">
      <c r="A176" s="18">
        <v>2031</v>
      </c>
      <c r="B176" s="18" t="s">
        <v>24</v>
      </c>
      <c r="C176" s="25"/>
      <c r="D176" s="25">
        <f t="shared" si="19"/>
        <v>3.6753742466821446</v>
      </c>
      <c r="E176" s="25">
        <f t="shared" si="19"/>
        <v>76.547979505068909</v>
      </c>
      <c r="F176" s="25">
        <f t="shared" si="19"/>
        <v>3.4111461822519096</v>
      </c>
      <c r="G176" s="25">
        <f t="shared" si="19"/>
        <v>23.942099506817765</v>
      </c>
      <c r="H176" s="25">
        <f t="shared" si="19"/>
        <v>27.318008229583199</v>
      </c>
      <c r="I176" s="25">
        <f t="shared" si="19"/>
        <v>2.6688509725044551</v>
      </c>
      <c r="J176" s="25">
        <f t="shared" si="19"/>
        <v>13.702202096395039</v>
      </c>
      <c r="K176" s="25">
        <f t="shared" si="19"/>
        <v>0</v>
      </c>
      <c r="L176" s="25">
        <f t="shared" si="19"/>
        <v>8.1942447239449265</v>
      </c>
      <c r="M176" s="25">
        <f t="shared" si="19"/>
        <v>10.36860239531276</v>
      </c>
      <c r="N176" s="25">
        <f t="shared" si="19"/>
        <v>0.11160439660573807</v>
      </c>
      <c r="O176" s="25">
        <f t="shared" si="19"/>
        <v>1028.3595306615189</v>
      </c>
      <c r="P176" s="25">
        <f t="shared" si="19"/>
        <v>184.96436251514166</v>
      </c>
      <c r="Q176" s="25">
        <f t="shared" si="20"/>
        <v>1080.696215626152</v>
      </c>
      <c r="R176" s="25">
        <f t="shared" si="15"/>
        <v>322.99709034395141</v>
      </c>
      <c r="S176" s="25">
        <f>Production!AB11*Feedstocks!V176/100</f>
        <v>1403.6933059701034</v>
      </c>
      <c r="V176" s="26">
        <f t="shared" si="21"/>
        <v>0.1040747923524654</v>
      </c>
    </row>
    <row r="177" spans="1:22" x14ac:dyDescent="0.25">
      <c r="A177" s="18">
        <v>2031</v>
      </c>
      <c r="B177" s="18" t="s">
        <v>25</v>
      </c>
      <c r="C177" s="25"/>
      <c r="D177" s="25">
        <f t="shared" si="19"/>
        <v>3.7267913242463551</v>
      </c>
      <c r="E177" s="25">
        <f t="shared" si="19"/>
        <v>77.618856410502076</v>
      </c>
      <c r="F177" s="25">
        <f t="shared" si="19"/>
        <v>3.4588668104284923</v>
      </c>
      <c r="G177" s="25">
        <f t="shared" si="19"/>
        <v>24.277040305976755</v>
      </c>
      <c r="H177" s="25">
        <f t="shared" si="19"/>
        <v>27.700176698361094</v>
      </c>
      <c r="I177" s="25">
        <f t="shared" si="19"/>
        <v>2.706187175092384</v>
      </c>
      <c r="J177" s="25">
        <f t="shared" si="19"/>
        <v>13.893890653996168</v>
      </c>
      <c r="K177" s="25">
        <f t="shared" si="19"/>
        <v>0</v>
      </c>
      <c r="L177" s="25">
        <f t="shared" ref="L177:P177" si="22">$S177*L$318</f>
        <v>8.3088790681702918</v>
      </c>
      <c r="M177" s="25">
        <f t="shared" si="22"/>
        <v>10.513655170298469</v>
      </c>
      <c r="N177" s="25">
        <f t="shared" si="22"/>
        <v>0.11316569935523747</v>
      </c>
      <c r="O177" s="25">
        <f t="shared" si="22"/>
        <v>1042.74588649988</v>
      </c>
      <c r="P177" s="25">
        <f t="shared" si="22"/>
        <v>187.55194308129515</v>
      </c>
      <c r="Q177" s="25">
        <f t="shared" si="20"/>
        <v>1095.8147416354038</v>
      </c>
      <c r="R177" s="25">
        <f t="shared" si="15"/>
        <v>327.51569588792336</v>
      </c>
      <c r="S177" s="25">
        <f>Production!AB12*Feedstocks!V177/100</f>
        <v>1423.3304375233272</v>
      </c>
      <c r="V177" s="26">
        <f t="shared" si="21"/>
        <v>0.1040747973409278</v>
      </c>
    </row>
    <row r="178" spans="1:22" x14ac:dyDescent="0.25">
      <c r="A178" s="18">
        <v>2031</v>
      </c>
      <c r="B178" s="18" t="s">
        <v>26</v>
      </c>
      <c r="C178" s="25"/>
      <c r="D178" s="25">
        <f t="shared" ref="D178:P197" si="23">$S178*D$318</f>
        <v>3.6178375622191163</v>
      </c>
      <c r="E178" s="25">
        <f t="shared" si="23"/>
        <v>75.349647948210063</v>
      </c>
      <c r="F178" s="25">
        <f t="shared" si="23"/>
        <v>3.357745894724002</v>
      </c>
      <c r="G178" s="25">
        <f t="shared" si="23"/>
        <v>23.567294403378366</v>
      </c>
      <c r="H178" s="25">
        <f t="shared" si="23"/>
        <v>26.890354468586523</v>
      </c>
      <c r="I178" s="25">
        <f t="shared" si="23"/>
        <v>2.6270710540587472</v>
      </c>
      <c r="J178" s="25">
        <f t="shared" si="23"/>
        <v>13.487698966766644</v>
      </c>
      <c r="K178" s="25">
        <f t="shared" si="23"/>
        <v>0</v>
      </c>
      <c r="L178" s="25">
        <f t="shared" si="23"/>
        <v>8.0659667197335025</v>
      </c>
      <c r="M178" s="25">
        <f t="shared" si="23"/>
        <v>10.206285590464857</v>
      </c>
      <c r="N178" s="25">
        <f t="shared" si="23"/>
        <v>0.10985726923279428</v>
      </c>
      <c r="O178" s="25">
        <f t="shared" si="23"/>
        <v>1012.2609257687973</v>
      </c>
      <c r="P178" s="25">
        <f t="shared" si="23"/>
        <v>182.06881081110882</v>
      </c>
      <c r="Q178" s="25">
        <f t="shared" si="20"/>
        <v>1063.7782984330929</v>
      </c>
      <c r="R178" s="25">
        <f t="shared" si="15"/>
        <v>317.94068508498412</v>
      </c>
      <c r="S178" s="25">
        <f>Production!AB13*Feedstocks!V178/100</f>
        <v>1381.718983518077</v>
      </c>
      <c r="V178" s="26">
        <f t="shared" si="21"/>
        <v>0.10407480117011418</v>
      </c>
    </row>
    <row r="179" spans="1:22" x14ac:dyDescent="0.25">
      <c r="A179" s="18">
        <v>2031</v>
      </c>
      <c r="B179" s="18" t="s">
        <v>27</v>
      </c>
      <c r="C179" s="25"/>
      <c r="D179" s="25">
        <f t="shared" si="23"/>
        <v>3.7624900179029468</v>
      </c>
      <c r="E179" s="25">
        <f t="shared" si="23"/>
        <v>78.362362428385651</v>
      </c>
      <c r="F179" s="25">
        <f t="shared" si="23"/>
        <v>3.4919990724526904</v>
      </c>
      <c r="G179" s="25">
        <f t="shared" si="23"/>
        <v>24.509588508805646</v>
      </c>
      <c r="H179" s="25">
        <f t="shared" si="23"/>
        <v>27.965514903844927</v>
      </c>
      <c r="I179" s="25">
        <f t="shared" si="23"/>
        <v>2.7321095674497173</v>
      </c>
      <c r="J179" s="25">
        <f t="shared" si="23"/>
        <v>14.026979336189955</v>
      </c>
      <c r="K179" s="25">
        <f t="shared" si="23"/>
        <v>0</v>
      </c>
      <c r="L179" s="25">
        <f t="shared" si="23"/>
        <v>8.388469284707103</v>
      </c>
      <c r="M179" s="25">
        <f t="shared" si="23"/>
        <v>10.614364794873818</v>
      </c>
      <c r="N179" s="25">
        <f t="shared" si="23"/>
        <v>0.11424970628834193</v>
      </c>
      <c r="O179" s="25">
        <f t="shared" si="23"/>
        <v>1052.7342820726744</v>
      </c>
      <c r="P179" s="25">
        <f t="shared" si="23"/>
        <v>189.34849104393476</v>
      </c>
      <c r="Q179" s="25">
        <f t="shared" si="20"/>
        <v>1106.3114803477413</v>
      </c>
      <c r="R179" s="25">
        <f t="shared" si="15"/>
        <v>330.65294760876986</v>
      </c>
      <c r="S179" s="25">
        <f>Production!AB14*Feedstocks!V179/100</f>
        <v>1436.9644279565111</v>
      </c>
      <c r="V179" s="26">
        <f t="shared" si="21"/>
        <v>0.1040748029042204</v>
      </c>
    </row>
    <row r="180" spans="1:22" x14ac:dyDescent="0.25">
      <c r="A180" s="18">
        <v>2031</v>
      </c>
      <c r="B180" s="18" t="s">
        <v>28</v>
      </c>
      <c r="C180" s="25"/>
      <c r="D180" s="25">
        <f t="shared" si="23"/>
        <v>3.537208050209947</v>
      </c>
      <c r="E180" s="25">
        <f t="shared" si="23"/>
        <v>73.670356039813726</v>
      </c>
      <c r="F180" s="25">
        <f t="shared" si="23"/>
        <v>3.2829129570129116</v>
      </c>
      <c r="G180" s="25">
        <f t="shared" si="23"/>
        <v>23.042058149831576</v>
      </c>
      <c r="H180" s="25">
        <f t="shared" si="23"/>
        <v>26.291058308582645</v>
      </c>
      <c r="I180" s="25">
        <f t="shared" si="23"/>
        <v>2.5685224173498495</v>
      </c>
      <c r="J180" s="25">
        <f t="shared" si="23"/>
        <v>13.187103219413656</v>
      </c>
      <c r="K180" s="25">
        <f t="shared" si="23"/>
        <v>0</v>
      </c>
      <c r="L180" s="25">
        <f t="shared" si="23"/>
        <v>7.886203270073425</v>
      </c>
      <c r="M180" s="25">
        <f t="shared" si="23"/>
        <v>9.978821584015483</v>
      </c>
      <c r="N180" s="25">
        <f t="shared" si="23"/>
        <v>0.10740891773647476</v>
      </c>
      <c r="O180" s="25">
        <f t="shared" si="23"/>
        <v>989.70101171322403</v>
      </c>
      <c r="P180" s="25">
        <f t="shared" si="23"/>
        <v>178.01110531291476</v>
      </c>
      <c r="Q180" s="25">
        <f t="shared" si="20"/>
        <v>1040.0702342611919</v>
      </c>
      <c r="R180" s="25">
        <f t="shared" si="15"/>
        <v>310.85484945931307</v>
      </c>
      <c r="S180" s="25">
        <f>Production!AB15*Feedstocks!V180/100</f>
        <v>1350.925083720505</v>
      </c>
      <c r="V180" s="26">
        <f t="shared" si="21"/>
        <v>0.10407480247543865</v>
      </c>
    </row>
    <row r="181" spans="1:22" x14ac:dyDescent="0.25">
      <c r="A181" s="18">
        <v>2031</v>
      </c>
      <c r="B181" s="18" t="s">
        <v>29</v>
      </c>
      <c r="C181" s="25"/>
      <c r="D181" s="25">
        <f t="shared" si="23"/>
        <v>3.3242446629308842</v>
      </c>
      <c r="E181" s="25">
        <f t="shared" si="23"/>
        <v>69.234911943342766</v>
      </c>
      <c r="F181" s="25">
        <f t="shared" si="23"/>
        <v>3.0852598211092155</v>
      </c>
      <c r="G181" s="25">
        <f t="shared" si="23"/>
        <v>21.654773408924687</v>
      </c>
      <c r="H181" s="25">
        <f t="shared" si="23"/>
        <v>24.708162207174421</v>
      </c>
      <c r="I181" s="25">
        <f t="shared" si="23"/>
        <v>2.4138803305581034</v>
      </c>
      <c r="J181" s="25">
        <f t="shared" si="23"/>
        <v>12.393152134224229</v>
      </c>
      <c r="K181" s="25">
        <f t="shared" si="23"/>
        <v>0</v>
      </c>
      <c r="L181" s="25">
        <f t="shared" si="23"/>
        <v>7.4114015232362904</v>
      </c>
      <c r="M181" s="25">
        <f t="shared" si="23"/>
        <v>9.3780303341314895</v>
      </c>
      <c r="N181" s="25">
        <f t="shared" si="23"/>
        <v>0.10094218843459495</v>
      </c>
      <c r="O181" s="25">
        <f t="shared" si="23"/>
        <v>930.11444602182985</v>
      </c>
      <c r="P181" s="25">
        <f t="shared" si="23"/>
        <v>167.2936560075288</v>
      </c>
      <c r="Q181" s="25">
        <f t="shared" si="20"/>
        <v>977.45110726829557</v>
      </c>
      <c r="R181" s="25">
        <f t="shared" si="15"/>
        <v>292.13932559041064</v>
      </c>
      <c r="S181" s="25">
        <f>Production!AB16*Feedstocks!V181/100</f>
        <v>1269.5904328587062</v>
      </c>
      <c r="V181" s="26">
        <f t="shared" si="21"/>
        <v>0.10407480059627172</v>
      </c>
    </row>
    <row r="182" spans="1:22" x14ac:dyDescent="0.25">
      <c r="A182" s="18">
        <v>2032</v>
      </c>
      <c r="B182" s="18" t="s">
        <v>19</v>
      </c>
      <c r="C182" s="25"/>
      <c r="D182" s="25">
        <f t="shared" si="23"/>
        <v>2.7977517803412622</v>
      </c>
      <c r="E182" s="25">
        <f t="shared" si="23"/>
        <v>58.269507148874105</v>
      </c>
      <c r="F182" s="25">
        <f t="shared" si="23"/>
        <v>2.5966172868014135</v>
      </c>
      <c r="G182" s="25">
        <f t="shared" si="23"/>
        <v>18.225096826745002</v>
      </c>
      <c r="H182" s="25">
        <f t="shared" si="23"/>
        <v>20.794890813823407</v>
      </c>
      <c r="I182" s="25">
        <f t="shared" si="23"/>
        <v>2.0315706805994811</v>
      </c>
      <c r="J182" s="25">
        <f t="shared" si="23"/>
        <v>10.430328379318466</v>
      </c>
      <c r="K182" s="25">
        <f t="shared" si="23"/>
        <v>0</v>
      </c>
      <c r="L182" s="25">
        <f t="shared" si="23"/>
        <v>6.237585950781563</v>
      </c>
      <c r="M182" s="25">
        <f t="shared" si="23"/>
        <v>7.8927406745922326</v>
      </c>
      <c r="N182" s="25">
        <f t="shared" si="23"/>
        <v>8.49549946048309E-2</v>
      </c>
      <c r="O182" s="25">
        <f t="shared" si="23"/>
        <v>782.80319625583627</v>
      </c>
      <c r="P182" s="25">
        <f t="shared" si="23"/>
        <v>140.79773644645053</v>
      </c>
      <c r="Q182" s="25">
        <f t="shared" si="20"/>
        <v>822.64269115057903</v>
      </c>
      <c r="R182" s="25">
        <f t="shared" si="15"/>
        <v>245.87038595337606</v>
      </c>
      <c r="S182" s="25">
        <f>Production!AC5*Feedstocks!V182/100</f>
        <v>1068.5130771039551</v>
      </c>
      <c r="V182" s="26">
        <f t="shared" si="21"/>
        <v>0.10407479833364763</v>
      </c>
    </row>
    <row r="183" spans="1:22" x14ac:dyDescent="0.25">
      <c r="A183" s="18">
        <v>2032</v>
      </c>
      <c r="B183" s="18" t="s">
        <v>20</v>
      </c>
      <c r="C183" s="25"/>
      <c r="D183" s="25">
        <f t="shared" si="23"/>
        <v>2.9352134381625579</v>
      </c>
      <c r="E183" s="25">
        <f t="shared" si="23"/>
        <v>61.13245700360963</v>
      </c>
      <c r="F183" s="25">
        <f t="shared" si="23"/>
        <v>2.7241966237101436</v>
      </c>
      <c r="G183" s="25">
        <f t="shared" si="23"/>
        <v>19.120548682539166</v>
      </c>
      <c r="H183" s="25">
        <f t="shared" si="23"/>
        <v>21.816604100029352</v>
      </c>
      <c r="I183" s="25">
        <f t="shared" si="23"/>
        <v>2.1313876392369906</v>
      </c>
      <c r="J183" s="25">
        <f t="shared" si="23"/>
        <v>10.94280065820903</v>
      </c>
      <c r="K183" s="25">
        <f t="shared" si="23"/>
        <v>0</v>
      </c>
      <c r="L183" s="25">
        <f t="shared" si="23"/>
        <v>6.544056636144747</v>
      </c>
      <c r="M183" s="25">
        <f t="shared" si="23"/>
        <v>8.2805339111139808</v>
      </c>
      <c r="N183" s="25">
        <f t="shared" si="23"/>
        <v>8.9129079840210443E-2</v>
      </c>
      <c r="O183" s="25">
        <f t="shared" si="23"/>
        <v>821.26458724171243</v>
      </c>
      <c r="P183" s="25">
        <f t="shared" si="23"/>
        <v>147.71553751994466</v>
      </c>
      <c r="Q183" s="25">
        <f t="shared" si="20"/>
        <v>863.0615120462403</v>
      </c>
      <c r="R183" s="25">
        <f t="shared" si="15"/>
        <v>257.95071098428002</v>
      </c>
      <c r="S183" s="25">
        <f>Production!AC6*Feedstocks!V183/100</f>
        <v>1121.0122230305203</v>
      </c>
      <c r="V183" s="26">
        <f t="shared" si="21"/>
        <v>0.1040747965611396</v>
      </c>
    </row>
    <row r="184" spans="1:22" x14ac:dyDescent="0.25">
      <c r="A184" s="18">
        <v>2032</v>
      </c>
      <c r="B184" s="18" t="s">
        <v>21</v>
      </c>
      <c r="C184" s="25"/>
      <c r="D184" s="25">
        <f t="shared" si="23"/>
        <v>3.3826269771192825</v>
      </c>
      <c r="E184" s="25">
        <f t="shared" si="23"/>
        <v>70.450855651384558</v>
      </c>
      <c r="F184" s="25">
        <f t="shared" si="23"/>
        <v>3.1394449447968413</v>
      </c>
      <c r="G184" s="25">
        <f t="shared" si="23"/>
        <v>22.035087108134707</v>
      </c>
      <c r="H184" s="25">
        <f t="shared" si="23"/>
        <v>25.142101292670414</v>
      </c>
      <c r="I184" s="25">
        <f t="shared" si="23"/>
        <v>2.4562742979586814</v>
      </c>
      <c r="J184" s="25">
        <f t="shared" si="23"/>
        <v>12.610807865089408</v>
      </c>
      <c r="K184" s="25">
        <f t="shared" si="23"/>
        <v>0</v>
      </c>
      <c r="L184" s="25">
        <f t="shared" si="23"/>
        <v>7.5415648584236772</v>
      </c>
      <c r="M184" s="25">
        <f t="shared" si="23"/>
        <v>9.5427327459427982</v>
      </c>
      <c r="N184" s="25">
        <f t="shared" si="23"/>
        <v>0.10271499373553122</v>
      </c>
      <c r="O184" s="25">
        <f t="shared" si="23"/>
        <v>946.4496557686773</v>
      </c>
      <c r="P184" s="25">
        <f t="shared" si="23"/>
        <v>170.23176429289973</v>
      </c>
      <c r="Q184" s="25">
        <f t="shared" si="20"/>
        <v>994.61767093452772</v>
      </c>
      <c r="R184" s="25">
        <f t="shared" si="15"/>
        <v>297.27004598641429</v>
      </c>
      <c r="S184" s="25">
        <f>Production!AC7*Feedstocks!V184/100</f>
        <v>1291.887716920942</v>
      </c>
      <c r="V184" s="26">
        <f t="shared" si="21"/>
        <v>0.10407479570066558</v>
      </c>
    </row>
    <row r="185" spans="1:22" x14ac:dyDescent="0.25">
      <c r="A185" s="18">
        <v>2032</v>
      </c>
      <c r="B185" s="18" t="s">
        <v>22</v>
      </c>
      <c r="C185" s="25"/>
      <c r="D185" s="25">
        <f t="shared" si="23"/>
        <v>3.3252267271268674</v>
      </c>
      <c r="E185" s="25">
        <f t="shared" si="23"/>
        <v>69.255365650884144</v>
      </c>
      <c r="F185" s="25">
        <f t="shared" si="23"/>
        <v>3.0861712832646351</v>
      </c>
      <c r="G185" s="25">
        <f t="shared" si="23"/>
        <v>21.661170765254735</v>
      </c>
      <c r="H185" s="25">
        <f t="shared" si="23"/>
        <v>24.715461610170475</v>
      </c>
      <c r="I185" s="25">
        <f t="shared" si="23"/>
        <v>2.4145934505857789</v>
      </c>
      <c r="J185" s="25">
        <f t="shared" si="23"/>
        <v>12.39681337827227</v>
      </c>
      <c r="K185" s="25">
        <f t="shared" si="23"/>
        <v>0</v>
      </c>
      <c r="L185" s="25">
        <f t="shared" si="23"/>
        <v>7.4135910347843383</v>
      </c>
      <c r="M185" s="25">
        <f t="shared" si="23"/>
        <v>9.3808008365324387</v>
      </c>
      <c r="N185" s="25">
        <f t="shared" si="23"/>
        <v>0.10097200925681998</v>
      </c>
      <c r="O185" s="25">
        <f t="shared" si="23"/>
        <v>930.38922486280694</v>
      </c>
      <c r="P185" s="25">
        <f t="shared" si="23"/>
        <v>167.34307869642174</v>
      </c>
      <c r="Q185" s="25">
        <f t="shared" si="20"/>
        <v>977.7398705312637</v>
      </c>
      <c r="R185" s="25">
        <f t="shared" si="15"/>
        <v>292.22563078181247</v>
      </c>
      <c r="S185" s="25">
        <f>Production!AC8*Feedstocks!V185/100</f>
        <v>1269.9655013130762</v>
      </c>
      <c r="V185" s="26">
        <f t="shared" si="21"/>
        <v>0.10407479574486093</v>
      </c>
    </row>
    <row r="186" spans="1:22" x14ac:dyDescent="0.25">
      <c r="A186" s="18">
        <v>2032</v>
      </c>
      <c r="B186" s="18" t="s">
        <v>9</v>
      </c>
      <c r="C186" s="25"/>
      <c r="D186" s="25">
        <f t="shared" si="23"/>
        <v>3.3918336712562209</v>
      </c>
      <c r="E186" s="25">
        <f t="shared" si="23"/>
        <v>70.642605875117567</v>
      </c>
      <c r="F186" s="25">
        <f t="shared" si="23"/>
        <v>3.1479897561408099</v>
      </c>
      <c r="G186" s="25">
        <f t="shared" si="23"/>
        <v>22.095061296437954</v>
      </c>
      <c r="H186" s="25">
        <f t="shared" si="23"/>
        <v>25.210532023616302</v>
      </c>
      <c r="I186" s="25">
        <f t="shared" si="23"/>
        <v>2.4629596837049359</v>
      </c>
      <c r="J186" s="25">
        <f t="shared" si="23"/>
        <v>12.645131440115247</v>
      </c>
      <c r="K186" s="25">
        <f t="shared" si="23"/>
        <v>0</v>
      </c>
      <c r="L186" s="25">
        <f t="shared" si="23"/>
        <v>7.5620911775936737</v>
      </c>
      <c r="M186" s="25">
        <f t="shared" si="23"/>
        <v>9.5687057610629189</v>
      </c>
      <c r="N186" s="25">
        <f t="shared" si="23"/>
        <v>0.10299455915524711</v>
      </c>
      <c r="O186" s="25">
        <f t="shared" si="23"/>
        <v>949.0256632787025</v>
      </c>
      <c r="P186" s="25">
        <f t="shared" si="23"/>
        <v>170.69509406494893</v>
      </c>
      <c r="Q186" s="25">
        <f t="shared" si="20"/>
        <v>997.32478015509184</v>
      </c>
      <c r="R186" s="25">
        <f t="shared" si="15"/>
        <v>298.07914329687253</v>
      </c>
      <c r="S186" s="25">
        <f>Production!AC9*Feedstocks!V186/100</f>
        <v>1295.4039234519644</v>
      </c>
      <c r="V186" s="26">
        <f t="shared" si="21"/>
        <v>0.10407479639900923</v>
      </c>
    </row>
    <row r="187" spans="1:22" x14ac:dyDescent="0.25">
      <c r="A187" s="18">
        <v>2032</v>
      </c>
      <c r="B187" s="18" t="s">
        <v>23</v>
      </c>
      <c r="C187" s="25"/>
      <c r="D187" s="25">
        <f t="shared" si="23"/>
        <v>3.4495405346453336</v>
      </c>
      <c r="E187" s="25">
        <f t="shared" si="23"/>
        <v>71.844481792923546</v>
      </c>
      <c r="F187" s="25">
        <f t="shared" si="23"/>
        <v>3.201547988181316</v>
      </c>
      <c r="G187" s="25">
        <f t="shared" si="23"/>
        <v>22.470974978353667</v>
      </c>
      <c r="H187" s="25">
        <f t="shared" si="23"/>
        <v>25.639450676020282</v>
      </c>
      <c r="I187" s="25">
        <f t="shared" si="23"/>
        <v>2.5048631765574649</v>
      </c>
      <c r="J187" s="25">
        <f t="shared" si="23"/>
        <v>12.860269015620782</v>
      </c>
      <c r="K187" s="25">
        <f t="shared" si="23"/>
        <v>0</v>
      </c>
      <c r="L187" s="25">
        <f t="shared" si="23"/>
        <v>7.6907485956208346</v>
      </c>
      <c r="M187" s="25">
        <f t="shared" si="23"/>
        <v>9.7315026578694077</v>
      </c>
      <c r="N187" s="25">
        <f t="shared" si="23"/>
        <v>0.10474685408803265</v>
      </c>
      <c r="O187" s="25">
        <f t="shared" si="23"/>
        <v>965.17188376341824</v>
      </c>
      <c r="P187" s="25">
        <f t="shared" si="23"/>
        <v>173.5992100768492</v>
      </c>
      <c r="Q187" s="25">
        <f t="shared" si="20"/>
        <v>1014.2927362582196</v>
      </c>
      <c r="R187" s="25">
        <f t="shared" si="15"/>
        <v>303.15050412070843</v>
      </c>
      <c r="S187" s="25">
        <f>Production!AC10*Feedstocks!V187/100</f>
        <v>1317.4432403789281</v>
      </c>
      <c r="V187" s="26">
        <f t="shared" si="21"/>
        <v>0.1040747972849501</v>
      </c>
    </row>
    <row r="188" spans="1:22" x14ac:dyDescent="0.25">
      <c r="A188" s="18">
        <v>2032</v>
      </c>
      <c r="B188" s="18" t="s">
        <v>24</v>
      </c>
      <c r="C188" s="25"/>
      <c r="D188" s="25">
        <f t="shared" si="23"/>
        <v>3.7540570514683718</v>
      </c>
      <c r="E188" s="25">
        <f t="shared" si="23"/>
        <v>78.18672683362044</v>
      </c>
      <c r="F188" s="25">
        <f t="shared" si="23"/>
        <v>3.4841723643877018</v>
      </c>
      <c r="G188" s="25">
        <f t="shared" si="23"/>
        <v>24.454654532572746</v>
      </c>
      <c r="H188" s="25">
        <f t="shared" si="23"/>
        <v>27.902835070174255</v>
      </c>
      <c r="I188" s="25">
        <f t="shared" si="23"/>
        <v>2.7259860194354357</v>
      </c>
      <c r="J188" s="25">
        <f t="shared" si="23"/>
        <v>13.995540303698782</v>
      </c>
      <c r="K188" s="25">
        <f t="shared" si="23"/>
        <v>0</v>
      </c>
      <c r="L188" s="25">
        <f t="shared" si="23"/>
        <v>8.3696679909950138</v>
      </c>
      <c r="M188" s="25">
        <f t="shared" si="23"/>
        <v>10.59057454383964</v>
      </c>
      <c r="N188" s="25">
        <f t="shared" si="23"/>
        <v>0.11399363545926193</v>
      </c>
      <c r="O188" s="25">
        <f t="shared" si="23"/>
        <v>1050.3747614299609</v>
      </c>
      <c r="P188" s="25">
        <f t="shared" si="23"/>
        <v>188.92409936134874</v>
      </c>
      <c r="Q188" s="25">
        <f t="shared" si="20"/>
        <v>1103.8318757413329</v>
      </c>
      <c r="R188" s="25">
        <f t="shared" si="15"/>
        <v>329.9118465838078</v>
      </c>
      <c r="S188" s="25">
        <f>Production!AC11*Feedstocks!V188/100</f>
        <v>1433.7437223251407</v>
      </c>
      <c r="V188" s="26">
        <f t="shared" si="21"/>
        <v>0.10407479807197594</v>
      </c>
    </row>
    <row r="189" spans="1:22" x14ac:dyDescent="0.25">
      <c r="A189" s="18">
        <v>2032</v>
      </c>
      <c r="B189" s="18" t="s">
        <v>25</v>
      </c>
      <c r="C189" s="25"/>
      <c r="D189" s="25">
        <f t="shared" si="23"/>
        <v>3.8075944957229546</v>
      </c>
      <c r="E189" s="25">
        <f t="shared" si="23"/>
        <v>79.301765169989338</v>
      </c>
      <c r="F189" s="25">
        <f t="shared" si="23"/>
        <v>3.5338609229722877</v>
      </c>
      <c r="G189" s="25">
        <f t="shared" si="23"/>
        <v>24.803407810920127</v>
      </c>
      <c r="H189" s="25">
        <f t="shared" si="23"/>
        <v>28.300763619643146</v>
      </c>
      <c r="I189" s="25">
        <f t="shared" si="23"/>
        <v>2.7648619135823322</v>
      </c>
      <c r="J189" s="25">
        <f t="shared" si="23"/>
        <v>14.195133823069767</v>
      </c>
      <c r="K189" s="25">
        <f t="shared" si="23"/>
        <v>0</v>
      </c>
      <c r="L189" s="25">
        <f t="shared" si="23"/>
        <v>8.4890296915109893</v>
      </c>
      <c r="M189" s="25">
        <f t="shared" si="23"/>
        <v>10.741609087665509</v>
      </c>
      <c r="N189" s="25">
        <f t="shared" si="23"/>
        <v>0.11561932409960647</v>
      </c>
      <c r="O189" s="25">
        <f t="shared" si="23"/>
        <v>1065.3543899932724</v>
      </c>
      <c r="P189" s="25">
        <f t="shared" si="23"/>
        <v>191.61838804669227</v>
      </c>
      <c r="Q189" s="25">
        <f t="shared" si="20"/>
        <v>1119.573868125497</v>
      </c>
      <c r="R189" s="25">
        <f t="shared" si="15"/>
        <v>334.61679295336239</v>
      </c>
      <c r="S189" s="25">
        <f>Production!AC12*Feedstocks!V189/100</f>
        <v>1454.1906610788594</v>
      </c>
      <c r="V189" s="26">
        <f t="shared" si="21"/>
        <v>0.1040747985486018</v>
      </c>
    </row>
    <row r="190" spans="1:22" x14ac:dyDescent="0.25">
      <c r="A190" s="18">
        <v>2032</v>
      </c>
      <c r="B190" s="18" t="s">
        <v>26</v>
      </c>
      <c r="C190" s="25"/>
      <c r="D190" s="25">
        <f t="shared" si="23"/>
        <v>3.6874471920526539</v>
      </c>
      <c r="E190" s="25">
        <f t="shared" si="23"/>
        <v>76.799425891956403</v>
      </c>
      <c r="F190" s="25">
        <f t="shared" si="23"/>
        <v>3.4223511858093909</v>
      </c>
      <c r="G190" s="25">
        <f t="shared" si="23"/>
        <v>24.020745010649666</v>
      </c>
      <c r="H190" s="25">
        <f t="shared" si="23"/>
        <v>27.407742988236585</v>
      </c>
      <c r="I190" s="25">
        <f t="shared" si="23"/>
        <v>2.6776176693985643</v>
      </c>
      <c r="J190" s="25">
        <f t="shared" si="23"/>
        <v>13.747211373345486</v>
      </c>
      <c r="K190" s="25">
        <f t="shared" si="23"/>
        <v>0</v>
      </c>
      <c r="L190" s="25">
        <f t="shared" si="23"/>
        <v>8.221161348556441</v>
      </c>
      <c r="M190" s="25">
        <f t="shared" si="23"/>
        <v>10.402661394991538</v>
      </c>
      <c r="N190" s="25">
        <f t="shared" si="23"/>
        <v>0.11197099703684955</v>
      </c>
      <c r="O190" s="25">
        <f t="shared" si="23"/>
        <v>1031.7375073250182</v>
      </c>
      <c r="P190" s="25">
        <f t="shared" si="23"/>
        <v>185.5719372801203</v>
      </c>
      <c r="Q190" s="25">
        <f t="shared" si="20"/>
        <v>1084.2461089152907</v>
      </c>
      <c r="R190" s="25">
        <f t="shared" si="15"/>
        <v>324.05807786925629</v>
      </c>
      <c r="S190" s="25">
        <f>Production!AC13*Feedstocks!V190/100</f>
        <v>1408.304186784547</v>
      </c>
      <c r="V190" s="26">
        <f t="shared" si="21"/>
        <v>0.1040747986492413</v>
      </c>
    </row>
    <row r="191" spans="1:22" x14ac:dyDescent="0.25">
      <c r="A191" s="18">
        <v>2032</v>
      </c>
      <c r="B191" s="18" t="s">
        <v>27</v>
      </c>
      <c r="C191" s="25"/>
      <c r="D191" s="25">
        <f t="shared" si="23"/>
        <v>3.8350043826945104</v>
      </c>
      <c r="E191" s="25">
        <f t="shared" si="23"/>
        <v>79.8726380458683</v>
      </c>
      <c r="F191" s="25">
        <f t="shared" si="23"/>
        <v>3.5593002728244514</v>
      </c>
      <c r="G191" s="25">
        <f t="shared" si="23"/>
        <v>24.981961122038317</v>
      </c>
      <c r="H191" s="25">
        <f t="shared" si="23"/>
        <v>28.504493489747354</v>
      </c>
      <c r="I191" s="25">
        <f t="shared" si="23"/>
        <v>2.784765438663162</v>
      </c>
      <c r="J191" s="25">
        <f t="shared" si="23"/>
        <v>14.297320916278752</v>
      </c>
      <c r="K191" s="25">
        <f t="shared" si="23"/>
        <v>0</v>
      </c>
      <c r="L191" s="25">
        <f t="shared" si="23"/>
        <v>8.5501400184126251</v>
      </c>
      <c r="M191" s="25">
        <f t="shared" si="23"/>
        <v>10.818935150437236</v>
      </c>
      <c r="N191" s="25">
        <f t="shared" si="23"/>
        <v>0.11645163767944217</v>
      </c>
      <c r="O191" s="25">
        <f t="shared" si="23"/>
        <v>1073.0236004218432</v>
      </c>
      <c r="P191" s="25">
        <f t="shared" si="23"/>
        <v>192.9977992113873</v>
      </c>
      <c r="Q191" s="25">
        <f t="shared" si="20"/>
        <v>1127.6333905394774</v>
      </c>
      <c r="R191" s="25">
        <f t="shared" si="15"/>
        <v>337.02561261205733</v>
      </c>
      <c r="S191" s="25">
        <f>Production!AC14*Feedstocks!V191/100</f>
        <v>1464.6590031515348</v>
      </c>
      <c r="V191" s="26">
        <f t="shared" si="21"/>
        <v>0.10407479843916856</v>
      </c>
    </row>
    <row r="192" spans="1:22" x14ac:dyDescent="0.25">
      <c r="A192" s="18">
        <v>2032</v>
      </c>
      <c r="B192" s="18" t="s">
        <v>28</v>
      </c>
      <c r="C192" s="25"/>
      <c r="D192" s="25">
        <f t="shared" si="23"/>
        <v>3.6143990098633934</v>
      </c>
      <c r="E192" s="25">
        <f t="shared" si="23"/>
        <v>75.278032320089849</v>
      </c>
      <c r="F192" s="25">
        <f t="shared" si="23"/>
        <v>3.3545545449583871</v>
      </c>
      <c r="G192" s="25">
        <f t="shared" si="23"/>
        <v>23.54489500752516</v>
      </c>
      <c r="H192" s="25">
        <f t="shared" si="23"/>
        <v>26.864796689909621</v>
      </c>
      <c r="I192" s="25">
        <f t="shared" si="23"/>
        <v>2.6245741698824316</v>
      </c>
      <c r="J192" s="25">
        <f t="shared" si="23"/>
        <v>13.474879662898559</v>
      </c>
      <c r="K192" s="25">
        <f t="shared" si="23"/>
        <v>0</v>
      </c>
      <c r="L192" s="25">
        <f t="shared" si="23"/>
        <v>8.0583004692763343</v>
      </c>
      <c r="M192" s="25">
        <f t="shared" si="23"/>
        <v>10.196585086570828</v>
      </c>
      <c r="N192" s="25">
        <f t="shared" si="23"/>
        <v>0.10975285603971494</v>
      </c>
      <c r="O192" s="25">
        <f t="shared" si="23"/>
        <v>1011.2988283470509</v>
      </c>
      <c r="P192" s="25">
        <f t="shared" si="23"/>
        <v>181.89576458458498</v>
      </c>
      <c r="Q192" s="25">
        <f t="shared" si="20"/>
        <v>1062.7672366285931</v>
      </c>
      <c r="R192" s="25">
        <f t="shared" si="15"/>
        <v>317.63850023757823</v>
      </c>
      <c r="S192" s="25">
        <f>Production!AC15*Feedstocks!V192/100</f>
        <v>1380.4057368661713</v>
      </c>
      <c r="V192" s="26">
        <f t="shared" si="21"/>
        <v>0.10407479806708092</v>
      </c>
    </row>
    <row r="193" spans="1:22" x14ac:dyDescent="0.25">
      <c r="A193" s="18">
        <v>2032</v>
      </c>
      <c r="B193" s="18" t="s">
        <v>29</v>
      </c>
      <c r="C193" s="25"/>
      <c r="D193" s="25">
        <f t="shared" si="23"/>
        <v>3.3719706907706888</v>
      </c>
      <c r="E193" s="25">
        <f t="shared" si="23"/>
        <v>70.228914392001613</v>
      </c>
      <c r="F193" s="25">
        <f t="shared" si="23"/>
        <v>3.1295547545589892</v>
      </c>
      <c r="G193" s="25">
        <f t="shared" si="23"/>
        <v>21.965669995479722</v>
      </c>
      <c r="H193" s="25">
        <f t="shared" si="23"/>
        <v>25.062896156368861</v>
      </c>
      <c r="I193" s="25">
        <f t="shared" si="23"/>
        <v>2.4485362995193651</v>
      </c>
      <c r="J193" s="25">
        <f t="shared" si="23"/>
        <v>12.571080049812556</v>
      </c>
      <c r="K193" s="25">
        <f t="shared" si="23"/>
        <v>0</v>
      </c>
      <c r="L193" s="25">
        <f t="shared" si="23"/>
        <v>7.517806674269333</v>
      </c>
      <c r="M193" s="25">
        <f t="shared" si="23"/>
        <v>9.512670284614158</v>
      </c>
      <c r="N193" s="25">
        <f t="shared" si="23"/>
        <v>0.10239141079453784</v>
      </c>
      <c r="O193" s="25">
        <f t="shared" si="23"/>
        <v>943.46805637429532</v>
      </c>
      <c r="P193" s="25">
        <f t="shared" si="23"/>
        <v>169.69548333783081</v>
      </c>
      <c r="Q193" s="25">
        <f t="shared" si="20"/>
        <v>991.48432789063224</v>
      </c>
      <c r="R193" s="25">
        <f t="shared" si="15"/>
        <v>296.33355646087159</v>
      </c>
      <c r="S193" s="25">
        <f>Production!AC16*Feedstocks!V193/100</f>
        <v>1287.8178843515038</v>
      </c>
      <c r="V193" s="26">
        <f t="shared" si="21"/>
        <v>0.10407479769971777</v>
      </c>
    </row>
    <row r="194" spans="1:22" x14ac:dyDescent="0.25">
      <c r="A194" s="18">
        <v>2033</v>
      </c>
      <c r="B194" s="18" t="s">
        <v>19</v>
      </c>
      <c r="C194" s="25"/>
      <c r="D194" s="25">
        <f t="shared" si="23"/>
        <v>2.8395006091402699</v>
      </c>
      <c r="E194" s="25">
        <f t="shared" si="23"/>
        <v>59.139020911765591</v>
      </c>
      <c r="F194" s="25">
        <f t="shared" si="23"/>
        <v>2.6353647308473587</v>
      </c>
      <c r="G194" s="25">
        <f t="shared" si="23"/>
        <v>18.497056781381257</v>
      </c>
      <c r="H194" s="25">
        <f t="shared" si="23"/>
        <v>21.105197947780258</v>
      </c>
      <c r="I194" s="25">
        <f t="shared" si="23"/>
        <v>2.0618863423152196</v>
      </c>
      <c r="J194" s="25">
        <f t="shared" si="23"/>
        <v>10.58597263514036</v>
      </c>
      <c r="K194" s="25">
        <f t="shared" si="23"/>
        <v>0</v>
      </c>
      <c r="L194" s="25">
        <f t="shared" si="23"/>
        <v>6.3306649400643469</v>
      </c>
      <c r="M194" s="25">
        <f t="shared" si="23"/>
        <v>8.0105183421801414</v>
      </c>
      <c r="N194" s="25">
        <f t="shared" si="23"/>
        <v>8.6222716620164605E-2</v>
      </c>
      <c r="O194" s="25">
        <f t="shared" si="23"/>
        <v>794.48440287803862</v>
      </c>
      <c r="P194" s="25">
        <f t="shared" si="23"/>
        <v>142.89875935902415</v>
      </c>
      <c r="Q194" s="25">
        <f t="shared" si="20"/>
        <v>834.91839377613906</v>
      </c>
      <c r="R194" s="25">
        <f t="shared" ref="R194:R217" si="24">S194-Q194</f>
        <v>249.53933211294611</v>
      </c>
      <c r="S194" s="25">
        <f>Production!AD5*Feedstocks!V194/100</f>
        <v>1084.4577258890852</v>
      </c>
      <c r="V194" s="26">
        <f t="shared" si="21"/>
        <v>0.10407479745833829</v>
      </c>
    </row>
    <row r="195" spans="1:22" x14ac:dyDescent="0.25">
      <c r="A195" s="18">
        <v>2033</v>
      </c>
      <c r="B195" s="18" t="s">
        <v>20</v>
      </c>
      <c r="C195" s="25"/>
      <c r="D195" s="25">
        <f t="shared" si="23"/>
        <v>2.9884651258339372</v>
      </c>
      <c r="E195" s="25">
        <f t="shared" si="23"/>
        <v>62.241543812975742</v>
      </c>
      <c r="F195" s="25">
        <f t="shared" si="23"/>
        <v>2.773619969172902</v>
      </c>
      <c r="G195" s="25">
        <f t="shared" si="23"/>
        <v>19.467440487172414</v>
      </c>
      <c r="H195" s="25">
        <f t="shared" si="23"/>
        <v>22.212408702338667</v>
      </c>
      <c r="I195" s="25">
        <f t="shared" si="23"/>
        <v>2.170056032954327</v>
      </c>
      <c r="J195" s="25">
        <f t="shared" si="23"/>
        <v>11.141328845401407</v>
      </c>
      <c r="K195" s="25">
        <f t="shared" si="23"/>
        <v>0</v>
      </c>
      <c r="L195" s="25">
        <f t="shared" si="23"/>
        <v>6.6627812425263357</v>
      </c>
      <c r="M195" s="25">
        <f t="shared" si="23"/>
        <v>8.4307623067235831</v>
      </c>
      <c r="N195" s="25">
        <f t="shared" si="23"/>
        <v>9.0746091353028899E-2</v>
      </c>
      <c r="O195" s="25">
        <f t="shared" si="23"/>
        <v>836.16426190480513</v>
      </c>
      <c r="P195" s="25">
        <f t="shared" si="23"/>
        <v>150.39544541555114</v>
      </c>
      <c r="Q195" s="25">
        <f t="shared" si="20"/>
        <v>878.71948140653501</v>
      </c>
      <c r="R195" s="25">
        <f t="shared" si="24"/>
        <v>262.63054466088795</v>
      </c>
      <c r="S195" s="25">
        <f>Production!AD6*Feedstocks!V195/100</f>
        <v>1141.350026067423</v>
      </c>
      <c r="V195" s="26">
        <f t="shared" si="21"/>
        <v>0.10407479738539584</v>
      </c>
    </row>
    <row r="196" spans="1:22" x14ac:dyDescent="0.25">
      <c r="A196" s="18">
        <v>2033</v>
      </c>
      <c r="B196" s="18" t="s">
        <v>21</v>
      </c>
      <c r="C196" s="25"/>
      <c r="D196" s="25">
        <f t="shared" si="23"/>
        <v>3.4425844482812229</v>
      </c>
      <c r="E196" s="25">
        <f t="shared" si="23"/>
        <v>71.699605565171751</v>
      </c>
      <c r="F196" s="25">
        <f t="shared" si="23"/>
        <v>3.1950919851046851</v>
      </c>
      <c r="G196" s="25">
        <f t="shared" si="23"/>
        <v>22.425661684868547</v>
      </c>
      <c r="H196" s="25">
        <f t="shared" si="23"/>
        <v>25.587748070574865</v>
      </c>
      <c r="I196" s="25">
        <f t="shared" si="23"/>
        <v>2.4998120561513075</v>
      </c>
      <c r="J196" s="25">
        <f t="shared" si="23"/>
        <v>12.834335955539332</v>
      </c>
      <c r="K196" s="25">
        <f t="shared" si="23"/>
        <v>0</v>
      </c>
      <c r="L196" s="25">
        <f t="shared" si="23"/>
        <v>7.6752400051582788</v>
      </c>
      <c r="M196" s="25">
        <f t="shared" si="23"/>
        <v>9.7118788348527367</v>
      </c>
      <c r="N196" s="25">
        <f t="shared" si="23"/>
        <v>0.10453562938836981</v>
      </c>
      <c r="O196" s="25">
        <f t="shared" si="23"/>
        <v>963.2255900723485</v>
      </c>
      <c r="P196" s="25">
        <f t="shared" si="23"/>
        <v>173.24914284734206</v>
      </c>
      <c r="Q196" s="25">
        <f t="shared" si="20"/>
        <v>1012.2473891167552</v>
      </c>
      <c r="R196" s="25">
        <f t="shared" si="24"/>
        <v>302.53919340648201</v>
      </c>
      <c r="S196" s="25">
        <f>Production!AD7*Feedstocks!V196/100</f>
        <v>1314.7865825232373</v>
      </c>
      <c r="V196" s="26">
        <f t="shared" si="21"/>
        <v>0.10407479745408386</v>
      </c>
    </row>
    <row r="197" spans="1:22" x14ac:dyDescent="0.25">
      <c r="A197" s="18">
        <v>2033</v>
      </c>
      <c r="B197" s="18" t="s">
        <v>22</v>
      </c>
      <c r="C197" s="25"/>
      <c r="D197" s="25">
        <f t="shared" si="23"/>
        <v>3.3914112816665591</v>
      </c>
      <c r="E197" s="25">
        <f t="shared" si="23"/>
        <v>70.633808656798422</v>
      </c>
      <c r="F197" s="25">
        <f t="shared" si="23"/>
        <v>3.1475977327604698</v>
      </c>
      <c r="G197" s="25">
        <f t="shared" si="23"/>
        <v>22.092309768863458</v>
      </c>
      <c r="H197" s="25">
        <f t="shared" si="23"/>
        <v>25.207392522299696</v>
      </c>
      <c r="I197" s="25">
        <f t="shared" si="23"/>
        <v>2.4626529680369567</v>
      </c>
      <c r="J197" s="25">
        <f t="shared" si="23"/>
        <v>12.643556724961766</v>
      </c>
      <c r="K197" s="25">
        <f t="shared" si="23"/>
        <v>0</v>
      </c>
      <c r="L197" s="25">
        <f t="shared" ref="L197:P197" si="25">$S197*L$318</f>
        <v>7.5611494602516478</v>
      </c>
      <c r="M197" s="25">
        <f t="shared" si="25"/>
        <v>9.5675141573194153</v>
      </c>
      <c r="N197" s="25">
        <f t="shared" si="25"/>
        <v>0.10298173310485799</v>
      </c>
      <c r="O197" s="25">
        <f t="shared" si="25"/>
        <v>948.90747984185293</v>
      </c>
      <c r="P197" s="25">
        <f t="shared" si="25"/>
        <v>170.67383717627823</v>
      </c>
      <c r="Q197" s="25">
        <f t="shared" si="20"/>
        <v>997.20058196453203</v>
      </c>
      <c r="R197" s="25">
        <f t="shared" si="24"/>
        <v>298.04202310194944</v>
      </c>
      <c r="S197" s="25">
        <f>Production!AD8*Feedstocks!V197/100</f>
        <v>1295.2426050664815</v>
      </c>
      <c r="V197" s="26">
        <f t="shared" si="21"/>
        <v>0.10407479760020205</v>
      </c>
    </row>
    <row r="198" spans="1:22" x14ac:dyDescent="0.25">
      <c r="A198" s="18">
        <v>2033</v>
      </c>
      <c r="B198" s="18" t="s">
        <v>9</v>
      </c>
      <c r="C198" s="25"/>
      <c r="D198" s="25">
        <f t="shared" ref="D198:P217" si="26">$S198*D$318</f>
        <v>3.4623868046672546</v>
      </c>
      <c r="E198" s="25">
        <f t="shared" si="26"/>
        <v>72.112034414331362</v>
      </c>
      <c r="F198" s="25">
        <f t="shared" si="26"/>
        <v>3.2134707209427513</v>
      </c>
      <c r="G198" s="25">
        <f t="shared" si="26"/>
        <v>22.554658068703972</v>
      </c>
      <c r="H198" s="25">
        <f t="shared" si="26"/>
        <v>25.734933336186138</v>
      </c>
      <c r="I198" s="25">
        <f t="shared" si="26"/>
        <v>2.5141914185105145</v>
      </c>
      <c r="J198" s="25">
        <f t="shared" si="26"/>
        <v>12.908161332487323</v>
      </c>
      <c r="K198" s="25">
        <f t="shared" si="26"/>
        <v>0</v>
      </c>
      <c r="L198" s="25">
        <f t="shared" si="26"/>
        <v>7.7193893470883959</v>
      </c>
      <c r="M198" s="25">
        <f t="shared" si="26"/>
        <v>9.7677432845866363</v>
      </c>
      <c r="N198" s="25">
        <f t="shared" si="26"/>
        <v>0.10513693687095609</v>
      </c>
      <c r="O198" s="25">
        <f t="shared" si="26"/>
        <v>968.76623452168985</v>
      </c>
      <c r="P198" s="25">
        <f t="shared" si="26"/>
        <v>174.24570264762536</v>
      </c>
      <c r="Q198" s="25">
        <f t="shared" si="20"/>
        <v>1018.0700156495998</v>
      </c>
      <c r="R198" s="25">
        <f t="shared" si="24"/>
        <v>304.2794525108211</v>
      </c>
      <c r="S198" s="25">
        <f>Production!AD9*Feedstocks!V198/100</f>
        <v>1322.3494681604209</v>
      </c>
      <c r="V198" s="26">
        <f t="shared" si="21"/>
        <v>0.10407479775481381</v>
      </c>
    </row>
    <row r="199" spans="1:22" x14ac:dyDescent="0.25">
      <c r="A199" s="18">
        <v>2033</v>
      </c>
      <c r="B199" s="18" t="s">
        <v>23</v>
      </c>
      <c r="C199" s="25"/>
      <c r="D199" s="25">
        <f t="shared" si="26"/>
        <v>3.5177448328435181</v>
      </c>
      <c r="E199" s="25">
        <f t="shared" si="26"/>
        <v>73.264990527604184</v>
      </c>
      <c r="F199" s="25">
        <f t="shared" si="26"/>
        <v>3.2648489789911448</v>
      </c>
      <c r="G199" s="25">
        <f t="shared" si="26"/>
        <v>22.915270983237445</v>
      </c>
      <c r="H199" s="25">
        <f t="shared" si="26"/>
        <v>26.146393766551245</v>
      </c>
      <c r="I199" s="25">
        <f t="shared" si="26"/>
        <v>2.5543893187563254</v>
      </c>
      <c r="J199" s="25">
        <f t="shared" si="26"/>
        <v>13.114542190277202</v>
      </c>
      <c r="K199" s="25">
        <f t="shared" si="26"/>
        <v>0</v>
      </c>
      <c r="L199" s="25">
        <f t="shared" si="26"/>
        <v>7.8428100383882908</v>
      </c>
      <c r="M199" s="25">
        <f t="shared" si="26"/>
        <v>9.9239138797488433</v>
      </c>
      <c r="N199" s="25">
        <f t="shared" si="26"/>
        <v>0.10681790836317148</v>
      </c>
      <c r="O199" s="25">
        <f t="shared" si="26"/>
        <v>984.25525742189643</v>
      </c>
      <c r="P199" s="25">
        <f t="shared" si="26"/>
        <v>177.03161279023493</v>
      </c>
      <c r="Q199" s="25">
        <f t="shared" si="20"/>
        <v>1034.3473271665478</v>
      </c>
      <c r="R199" s="25">
        <f t="shared" si="24"/>
        <v>309.14439437198075</v>
      </c>
      <c r="S199" s="25">
        <f>Production!AD10*Feedstocks!V199/100</f>
        <v>1343.4917215385285</v>
      </c>
      <c r="V199" s="26">
        <f t="shared" si="21"/>
        <v>0.10407479786779751</v>
      </c>
    </row>
    <row r="200" spans="1:22" x14ac:dyDescent="0.25">
      <c r="A200" s="18">
        <v>2033</v>
      </c>
      <c r="B200" s="18" t="s">
        <v>24</v>
      </c>
      <c r="C200" s="25"/>
      <c r="D200" s="25">
        <f t="shared" si="26"/>
        <v>3.8277190810779271</v>
      </c>
      <c r="E200" s="25">
        <f t="shared" si="26"/>
        <v>79.72090516605671</v>
      </c>
      <c r="F200" s="25">
        <f t="shared" si="26"/>
        <v>3.5525387222644245</v>
      </c>
      <c r="G200" s="25">
        <f t="shared" si="26"/>
        <v>24.934503256652533</v>
      </c>
      <c r="H200" s="25">
        <f t="shared" si="26"/>
        <v>28.450343921251989</v>
      </c>
      <c r="I200" s="25">
        <f t="shared" si="26"/>
        <v>2.7794752605753228</v>
      </c>
      <c r="J200" s="25">
        <f t="shared" si="26"/>
        <v>14.270160505288297</v>
      </c>
      <c r="K200" s="25">
        <f t="shared" si="26"/>
        <v>0</v>
      </c>
      <c r="L200" s="25">
        <f t="shared" si="26"/>
        <v>8.5338974427380734</v>
      </c>
      <c r="M200" s="25">
        <f t="shared" si="26"/>
        <v>10.798382577903848</v>
      </c>
      <c r="N200" s="25">
        <f t="shared" si="26"/>
        <v>0.11623041621016089</v>
      </c>
      <c r="O200" s="25">
        <f t="shared" si="26"/>
        <v>1070.9851932153063</v>
      </c>
      <c r="P200" s="25">
        <f t="shared" si="26"/>
        <v>192.63116412097216</v>
      </c>
      <c r="Q200" s="25">
        <f t="shared" si="20"/>
        <v>1125.4912419150635</v>
      </c>
      <c r="R200" s="25">
        <f t="shared" si="24"/>
        <v>336.38536999552412</v>
      </c>
      <c r="S200" s="25">
        <f>Production!AD11*Feedstocks!V200/100</f>
        <v>1461.8766119105876</v>
      </c>
      <c r="V200" s="26">
        <f t="shared" si="21"/>
        <v>0.10407479791636814</v>
      </c>
    </row>
    <row r="201" spans="1:22" x14ac:dyDescent="0.25">
      <c r="A201" s="18">
        <v>2033</v>
      </c>
      <c r="B201" s="18" t="s">
        <v>25</v>
      </c>
      <c r="C201" s="25"/>
      <c r="D201" s="25">
        <f t="shared" si="26"/>
        <v>3.8804535734839432</v>
      </c>
      <c r="E201" s="25">
        <f t="shared" si="26"/>
        <v>80.819220214531015</v>
      </c>
      <c r="F201" s="25">
        <f t="shared" si="26"/>
        <v>3.6014820543907136</v>
      </c>
      <c r="G201" s="25">
        <f t="shared" si="26"/>
        <v>25.278025951182517</v>
      </c>
      <c r="H201" s="25">
        <f t="shared" si="26"/>
        <v>28.842304358704286</v>
      </c>
      <c r="I201" s="25">
        <f t="shared" si="26"/>
        <v>2.8177680960517031</v>
      </c>
      <c r="J201" s="25">
        <f t="shared" si="26"/>
        <v>14.466760531272136</v>
      </c>
      <c r="K201" s="25">
        <f t="shared" si="26"/>
        <v>0</v>
      </c>
      <c r="L201" s="25">
        <f t="shared" si="26"/>
        <v>8.6514689625793508</v>
      </c>
      <c r="M201" s="25">
        <f t="shared" si="26"/>
        <v>10.947151913372259</v>
      </c>
      <c r="N201" s="25">
        <f t="shared" si="26"/>
        <v>0.11783172285548993</v>
      </c>
      <c r="O201" s="25">
        <f t="shared" si="26"/>
        <v>1085.7401580761714</v>
      </c>
      <c r="P201" s="25">
        <f t="shared" si="26"/>
        <v>195.2850440025226</v>
      </c>
      <c r="Q201" s="25">
        <f t="shared" si="20"/>
        <v>1140.9971367032185</v>
      </c>
      <c r="R201" s="25">
        <f t="shared" si="24"/>
        <v>341.01975182025512</v>
      </c>
      <c r="S201" s="25">
        <f>Production!AD12*Feedstocks!V201/100</f>
        <v>1482.0168885234737</v>
      </c>
      <c r="V201" s="26">
        <f t="shared" si="21"/>
        <v>0.10407479790340081</v>
      </c>
    </row>
    <row r="202" spans="1:22" x14ac:dyDescent="0.25">
      <c r="A202" s="18">
        <v>2033</v>
      </c>
      <c r="B202" s="18" t="s">
        <v>26</v>
      </c>
      <c r="C202" s="25"/>
      <c r="D202" s="25">
        <f t="shared" si="26"/>
        <v>3.7626030255716887</v>
      </c>
      <c r="E202" s="25">
        <f t="shared" si="26"/>
        <v>78.364716068622045</v>
      </c>
      <c r="F202" s="25">
        <f t="shared" si="26"/>
        <v>3.4921039558337892</v>
      </c>
      <c r="G202" s="25">
        <f t="shared" si="26"/>
        <v>24.510324662641544</v>
      </c>
      <c r="H202" s="25">
        <f t="shared" si="26"/>
        <v>27.966354857606778</v>
      </c>
      <c r="I202" s="25">
        <f t="shared" si="26"/>
        <v>2.7321916272908053</v>
      </c>
      <c r="J202" s="25">
        <f t="shared" si="26"/>
        <v>14.02740064129023</v>
      </c>
      <c r="K202" s="25">
        <f t="shared" si="26"/>
        <v>0</v>
      </c>
      <c r="L202" s="25">
        <f t="shared" si="26"/>
        <v>8.3887212352381777</v>
      </c>
      <c r="M202" s="25">
        <f t="shared" si="26"/>
        <v>10.614683600934416</v>
      </c>
      <c r="N202" s="25">
        <f t="shared" si="26"/>
        <v>0.11425313781717009</v>
      </c>
      <c r="O202" s="25">
        <f t="shared" si="26"/>
        <v>1052.7659013052719</v>
      </c>
      <c r="P202" s="25">
        <f t="shared" si="26"/>
        <v>189.3541781903327</v>
      </c>
      <c r="Q202" s="25">
        <f t="shared" si="20"/>
        <v>1106.3447087897309</v>
      </c>
      <c r="R202" s="25">
        <f t="shared" si="24"/>
        <v>330.66287888263219</v>
      </c>
      <c r="S202" s="25">
        <f>Production!AD13*Feedstocks!V202/100</f>
        <v>1437.0075876723631</v>
      </c>
      <c r="V202" s="26">
        <f t="shared" si="21"/>
        <v>0.10407479784963408</v>
      </c>
    </row>
    <row r="203" spans="1:22" x14ac:dyDescent="0.25">
      <c r="A203" s="18">
        <v>2033</v>
      </c>
      <c r="B203" s="18" t="s">
        <v>27</v>
      </c>
      <c r="C203" s="25"/>
      <c r="D203" s="25">
        <f t="shared" si="26"/>
        <v>3.9150922643770509</v>
      </c>
      <c r="E203" s="25">
        <f t="shared" si="26"/>
        <v>81.54064927796901</v>
      </c>
      <c r="F203" s="25">
        <f t="shared" si="26"/>
        <v>3.6336305188103286</v>
      </c>
      <c r="G203" s="25">
        <f t="shared" si="26"/>
        <v>25.503669090761388</v>
      </c>
      <c r="H203" s="25">
        <f t="shared" si="26"/>
        <v>29.099763866054897</v>
      </c>
      <c r="I203" s="25">
        <f t="shared" si="26"/>
        <v>2.8429207737578732</v>
      </c>
      <c r="J203" s="25">
        <f t="shared" si="26"/>
        <v>14.595897405809573</v>
      </c>
      <c r="K203" s="25">
        <f t="shared" si="26"/>
        <v>0</v>
      </c>
      <c r="L203" s="25">
        <f t="shared" si="26"/>
        <v>8.7286959035776555</v>
      </c>
      <c r="M203" s="25">
        <f t="shared" si="26"/>
        <v>11.044871162966773</v>
      </c>
      <c r="N203" s="25">
        <f t="shared" si="26"/>
        <v>0.11888354232661665</v>
      </c>
      <c r="O203" s="25">
        <f t="shared" si="26"/>
        <v>1095.4319678127504</v>
      </c>
      <c r="P203" s="25">
        <f t="shared" si="26"/>
        <v>197.028246993398</v>
      </c>
      <c r="Q203" s="25">
        <f t="shared" si="20"/>
        <v>1151.1821953258113</v>
      </c>
      <c r="R203" s="25">
        <f t="shared" si="24"/>
        <v>344.06384899808609</v>
      </c>
      <c r="S203" s="25">
        <f>Production!AD14*Feedstocks!V203/100</f>
        <v>1495.2460443238974</v>
      </c>
      <c r="V203" s="26">
        <f t="shared" si="21"/>
        <v>0.10407479778300016</v>
      </c>
    </row>
    <row r="204" spans="1:22" x14ac:dyDescent="0.25">
      <c r="A204" s="18">
        <v>2033</v>
      </c>
      <c r="B204" s="18" t="s">
        <v>28</v>
      </c>
      <c r="C204" s="25"/>
      <c r="D204" s="25">
        <f t="shared" si="26"/>
        <v>3.6908004985705665</v>
      </c>
      <c r="E204" s="25">
        <f t="shared" si="26"/>
        <v>76.869266082744886</v>
      </c>
      <c r="F204" s="25">
        <f t="shared" si="26"/>
        <v>3.4254634181859505</v>
      </c>
      <c r="G204" s="25">
        <f t="shared" si="26"/>
        <v>24.042589098609195</v>
      </c>
      <c r="H204" s="25">
        <f t="shared" si="26"/>
        <v>27.43266715892079</v>
      </c>
      <c r="I204" s="25">
        <f t="shared" si="26"/>
        <v>2.6800526528208688</v>
      </c>
      <c r="J204" s="25">
        <f t="shared" si="26"/>
        <v>13.759712871292551</v>
      </c>
      <c r="K204" s="25">
        <f t="shared" si="26"/>
        <v>0</v>
      </c>
      <c r="L204" s="25">
        <f t="shared" si="26"/>
        <v>8.2286375434682881</v>
      </c>
      <c r="M204" s="25">
        <f t="shared" si="26"/>
        <v>10.412121411757241</v>
      </c>
      <c r="N204" s="25">
        <f t="shared" si="26"/>
        <v>0.11207282170161766</v>
      </c>
      <c r="O204" s="25">
        <f t="shared" si="26"/>
        <v>1032.6757531975406</v>
      </c>
      <c r="P204" s="25">
        <f t="shared" si="26"/>
        <v>185.7406934831011</v>
      </c>
      <c r="Q204" s="25">
        <f t="shared" si="20"/>
        <v>1085.2321052847801</v>
      </c>
      <c r="R204" s="25">
        <f t="shared" si="24"/>
        <v>324.35277119179182</v>
      </c>
      <c r="S204" s="25">
        <f>Production!AD15*Feedstocks!V204/100</f>
        <v>1409.5848764765719</v>
      </c>
      <c r="V204" s="26">
        <f t="shared" si="21"/>
        <v>0.10407479772831944</v>
      </c>
    </row>
    <row r="205" spans="1:22" x14ac:dyDescent="0.25">
      <c r="A205" s="18">
        <v>2033</v>
      </c>
      <c r="B205" s="18" t="s">
        <v>29</v>
      </c>
      <c r="C205" s="25"/>
      <c r="D205" s="25">
        <f t="shared" si="26"/>
        <v>3.4481955266225617</v>
      </c>
      <c r="E205" s="25">
        <f t="shared" si="26"/>
        <v>71.816468959494614</v>
      </c>
      <c r="F205" s="25">
        <f t="shared" si="26"/>
        <v>3.2002996747650378</v>
      </c>
      <c r="G205" s="25">
        <f t="shared" si="26"/>
        <v>22.462213335658983</v>
      </c>
      <c r="H205" s="25">
        <f t="shared" si="26"/>
        <v>25.629453615103806</v>
      </c>
      <c r="I205" s="25">
        <f t="shared" si="26"/>
        <v>2.5038865070460972</v>
      </c>
      <c r="J205" s="25">
        <f t="shared" si="26"/>
        <v>12.855254676804556</v>
      </c>
      <c r="K205" s="25">
        <f t="shared" si="26"/>
        <v>0</v>
      </c>
      <c r="L205" s="25">
        <f t="shared" si="26"/>
        <v>7.6877499010241657</v>
      </c>
      <c r="M205" s="25">
        <f t="shared" si="26"/>
        <v>9.727708254233038</v>
      </c>
      <c r="N205" s="25">
        <f t="shared" si="26"/>
        <v>0.10470601231281838</v>
      </c>
      <c r="O205" s="25">
        <f t="shared" si="26"/>
        <v>964.79555424533385</v>
      </c>
      <c r="P205" s="25">
        <f t="shared" si="26"/>
        <v>173.53152212595978</v>
      </c>
      <c r="Q205" s="25">
        <f t="shared" si="20"/>
        <v>1013.8972540616763</v>
      </c>
      <c r="R205" s="25">
        <f t="shared" si="24"/>
        <v>303.03230291215493</v>
      </c>
      <c r="S205" s="25">
        <f>Production!AD16*Feedstocks!V205/100</f>
        <v>1316.9295569738313</v>
      </c>
      <c r="V205" s="26">
        <f t="shared" si="21"/>
        <v>0.1040747977000893</v>
      </c>
    </row>
    <row r="206" spans="1:22" x14ac:dyDescent="0.25">
      <c r="A206" s="18">
        <v>2034</v>
      </c>
      <c r="B206" s="18" t="s">
        <v>19</v>
      </c>
      <c r="C206" s="25"/>
      <c r="D206" s="25">
        <f t="shared" si="26"/>
        <v>2.8952132900473457</v>
      </c>
      <c r="E206" s="25">
        <f t="shared" si="26"/>
        <v>60.299363470104282</v>
      </c>
      <c r="F206" s="25">
        <f t="shared" si="26"/>
        <v>2.6870721451197279</v>
      </c>
      <c r="G206" s="25">
        <f t="shared" si="26"/>
        <v>18.859979972474768</v>
      </c>
      <c r="H206" s="25">
        <f t="shared" si="26"/>
        <v>21.51929441071476</v>
      </c>
      <c r="I206" s="25">
        <f t="shared" si="26"/>
        <v>2.1023417715150905</v>
      </c>
      <c r="J206" s="25">
        <f t="shared" si="26"/>
        <v>10.793675677574706</v>
      </c>
      <c r="K206" s="25">
        <f t="shared" si="26"/>
        <v>0</v>
      </c>
      <c r="L206" s="25">
        <f t="shared" si="26"/>
        <v>6.4548763294192533</v>
      </c>
      <c r="M206" s="25">
        <f t="shared" si="26"/>
        <v>8.1676894485576419</v>
      </c>
      <c r="N206" s="25">
        <f t="shared" si="26"/>
        <v>8.7914457302500609E-2</v>
      </c>
      <c r="O206" s="25">
        <f t="shared" si="26"/>
        <v>810.07265662967086</v>
      </c>
      <c r="P206" s="25">
        <f t="shared" si="26"/>
        <v>145.70251751162297</v>
      </c>
      <c r="Q206" s="25">
        <f t="shared" si="20"/>
        <v>851.29998633722744</v>
      </c>
      <c r="R206" s="25">
        <f t="shared" si="24"/>
        <v>254.43544135800903</v>
      </c>
      <c r="S206" s="25">
        <f>Production!AE5*Feedstocks!V206/100</f>
        <v>1105.7354276952365</v>
      </c>
      <c r="V206" s="26">
        <f t="shared" si="21"/>
        <v>0.10407479770012025</v>
      </c>
    </row>
    <row r="207" spans="1:22" x14ac:dyDescent="0.25">
      <c r="A207" s="18">
        <v>2034</v>
      </c>
      <c r="B207" s="18" t="s">
        <v>20</v>
      </c>
      <c r="C207" s="25"/>
      <c r="D207" s="25">
        <f t="shared" si="26"/>
        <v>3.0447574689474428</v>
      </c>
      <c r="E207" s="25">
        <f t="shared" si="26"/>
        <v>63.413959147505231</v>
      </c>
      <c r="F207" s="25">
        <f t="shared" si="26"/>
        <v>2.8258653728824674</v>
      </c>
      <c r="G207" s="25">
        <f t="shared" si="26"/>
        <v>19.834139710118794</v>
      </c>
      <c r="H207" s="25">
        <f t="shared" si="26"/>
        <v>22.63081362908197</v>
      </c>
      <c r="I207" s="25">
        <f t="shared" si="26"/>
        <v>2.2109323803898722</v>
      </c>
      <c r="J207" s="25">
        <f t="shared" si="26"/>
        <v>11.351192932716369</v>
      </c>
      <c r="K207" s="25">
        <f t="shared" si="26"/>
        <v>0</v>
      </c>
      <c r="L207" s="25">
        <f t="shared" si="26"/>
        <v>6.7882849884299654</v>
      </c>
      <c r="M207" s="25">
        <f t="shared" si="26"/>
        <v>8.5895686987995354</v>
      </c>
      <c r="N207" s="25">
        <f t="shared" si="26"/>
        <v>9.2455433739692602E-2</v>
      </c>
      <c r="O207" s="25">
        <f t="shared" si="26"/>
        <v>851.91470353569468</v>
      </c>
      <c r="P207" s="25">
        <f t="shared" si="26"/>
        <v>153.22837525062096</v>
      </c>
      <c r="Q207" s="25">
        <f t="shared" si="20"/>
        <v>895.27151613508317</v>
      </c>
      <c r="R207" s="25">
        <f t="shared" si="24"/>
        <v>267.57759544101441</v>
      </c>
      <c r="S207" s="25">
        <f>Production!AE6*Feedstocks!V207/100</f>
        <v>1162.8491115760976</v>
      </c>
      <c r="V207" s="26">
        <f t="shared" si="21"/>
        <v>0.10407479772026874</v>
      </c>
    </row>
    <row r="208" spans="1:22" x14ac:dyDescent="0.25">
      <c r="A208" s="18">
        <v>2034</v>
      </c>
      <c r="B208" s="18" t="s">
        <v>21</v>
      </c>
      <c r="C208" s="25"/>
      <c r="D208" s="25">
        <f t="shared" si="26"/>
        <v>3.5072498433829278</v>
      </c>
      <c r="E208" s="25">
        <f t="shared" si="26"/>
        <v>73.046408640641133</v>
      </c>
      <c r="F208" s="25">
        <f t="shared" si="26"/>
        <v>3.2551084897706022</v>
      </c>
      <c r="G208" s="25">
        <f t="shared" si="26"/>
        <v>22.846904589742881</v>
      </c>
      <c r="H208" s="25">
        <f t="shared" si="26"/>
        <v>26.068387504001898</v>
      </c>
      <c r="I208" s="25">
        <f t="shared" si="26"/>
        <v>2.546768445085132</v>
      </c>
      <c r="J208" s="25">
        <f t="shared" si="26"/>
        <v>13.075415707656184</v>
      </c>
      <c r="K208" s="25">
        <f t="shared" si="26"/>
        <v>0</v>
      </c>
      <c r="L208" s="25">
        <f t="shared" si="26"/>
        <v>7.8194114655509983</v>
      </c>
      <c r="M208" s="25">
        <f t="shared" si="26"/>
        <v>9.8943064532512306</v>
      </c>
      <c r="N208" s="25">
        <f t="shared" si="26"/>
        <v>0.10649922327492771</v>
      </c>
      <c r="O208" s="25">
        <f t="shared" si="26"/>
        <v>981.31878844986375</v>
      </c>
      <c r="P208" s="25">
        <f t="shared" si="26"/>
        <v>176.50344915167932</v>
      </c>
      <c r="Q208" s="25">
        <f t="shared" si="20"/>
        <v>1031.2614113844108</v>
      </c>
      <c r="R208" s="25">
        <f t="shared" si="24"/>
        <v>308.2220798452297</v>
      </c>
      <c r="S208" s="25">
        <f>Production!AE7*Feedstocks!V208/100</f>
        <v>1339.4834912296405</v>
      </c>
      <c r="V208" s="26">
        <f t="shared" si="21"/>
        <v>0.10407479774817484</v>
      </c>
    </row>
    <row r="209" spans="1:22" x14ac:dyDescent="0.25">
      <c r="A209" s="18">
        <v>2034</v>
      </c>
      <c r="B209" s="18" t="s">
        <v>22</v>
      </c>
      <c r="C209" s="25"/>
      <c r="D209" s="25">
        <f t="shared" si="26"/>
        <v>3.450480832404458</v>
      </c>
      <c r="E209" s="25">
        <f t="shared" si="26"/>
        <v>71.864065619974383</v>
      </c>
      <c r="F209" s="25">
        <f t="shared" si="26"/>
        <v>3.2024206865504992</v>
      </c>
      <c r="G209" s="25">
        <f t="shared" si="26"/>
        <v>22.47710026002677</v>
      </c>
      <c r="H209" s="25">
        <f t="shared" si="26"/>
        <v>25.646439641006694</v>
      </c>
      <c r="I209" s="25">
        <f t="shared" si="26"/>
        <v>2.5055459681374379</v>
      </c>
      <c r="J209" s="25">
        <f t="shared" si="26"/>
        <v>12.863774549768207</v>
      </c>
      <c r="K209" s="25">
        <f t="shared" si="26"/>
        <v>0</v>
      </c>
      <c r="L209" s="25">
        <f t="shared" si="26"/>
        <v>7.6928449889224417</v>
      </c>
      <c r="M209" s="25">
        <f t="shared" si="26"/>
        <v>9.734155332928653</v>
      </c>
      <c r="N209" s="25">
        <f t="shared" si="26"/>
        <v>0.10477540665356569</v>
      </c>
      <c r="O209" s="25">
        <f t="shared" si="26"/>
        <v>965.43497647108688</v>
      </c>
      <c r="P209" s="25">
        <f t="shared" si="26"/>
        <v>173.64653085669846</v>
      </c>
      <c r="Q209" s="25">
        <f t="shared" si="20"/>
        <v>1014.5692186411401</v>
      </c>
      <c r="R209" s="25">
        <f t="shared" si="24"/>
        <v>303.23313881852971</v>
      </c>
      <c r="S209" s="25">
        <f>Production!AE8*Feedstocks!V209/100</f>
        <v>1317.8023574596698</v>
      </c>
      <c r="V209" s="26">
        <f t="shared" si="21"/>
        <v>0.10407479777268241</v>
      </c>
    </row>
    <row r="210" spans="1:22" x14ac:dyDescent="0.25">
      <c r="A210" s="18">
        <v>2034</v>
      </c>
      <c r="B210" s="18" t="s">
        <v>9</v>
      </c>
      <c r="C210" s="25"/>
      <c r="D210" s="25">
        <f t="shared" si="26"/>
        <v>3.5287494512176352</v>
      </c>
      <c r="E210" s="25">
        <f t="shared" si="26"/>
        <v>73.494186589072868</v>
      </c>
      <c r="F210" s="25">
        <f t="shared" si="26"/>
        <v>3.2750624591524904</v>
      </c>
      <c r="G210" s="25">
        <f t="shared" si="26"/>
        <v>22.986957198154336</v>
      </c>
      <c r="H210" s="25">
        <f t="shared" si="26"/>
        <v>26.228187955423014</v>
      </c>
      <c r="I210" s="25">
        <f t="shared" si="26"/>
        <v>2.562380256407454</v>
      </c>
      <c r="J210" s="25">
        <f t="shared" si="26"/>
        <v>13.15556862590943</v>
      </c>
      <c r="K210" s="25">
        <f t="shared" si="26"/>
        <v>0</v>
      </c>
      <c r="L210" s="25">
        <f t="shared" si="26"/>
        <v>7.8673448285889185</v>
      </c>
      <c r="M210" s="25">
        <f t="shared" si="26"/>
        <v>9.9549590209440222</v>
      </c>
      <c r="N210" s="25">
        <f t="shared" si="26"/>
        <v>0.10715206856321871</v>
      </c>
      <c r="O210" s="25">
        <f t="shared" si="26"/>
        <v>987.33431915187725</v>
      </c>
      <c r="P210" s="25">
        <f t="shared" si="26"/>
        <v>177.58542366381562</v>
      </c>
      <c r="Q210" s="25">
        <f t="shared" si="20"/>
        <v>1037.5830927330214</v>
      </c>
      <c r="R210" s="25">
        <f t="shared" si="24"/>
        <v>310.11149580890083</v>
      </c>
      <c r="S210" s="25">
        <f>Production!AE9*Feedstocks!V210/100</f>
        <v>1347.6945885419223</v>
      </c>
      <c r="V210" s="26">
        <f t="shared" si="21"/>
        <v>0.10407479778705579</v>
      </c>
    </row>
    <row r="211" spans="1:22" x14ac:dyDescent="0.25">
      <c r="A211" s="18">
        <v>2034</v>
      </c>
      <c r="B211" s="18" t="s">
        <v>23</v>
      </c>
      <c r="C211" s="25"/>
      <c r="D211" s="25">
        <f t="shared" si="26"/>
        <v>3.5916761526138692</v>
      </c>
      <c r="E211" s="25">
        <f t="shared" si="26"/>
        <v>74.804777436562446</v>
      </c>
      <c r="F211" s="25">
        <f t="shared" si="26"/>
        <v>3.3334652673626319</v>
      </c>
      <c r="G211" s="25">
        <f t="shared" si="26"/>
        <v>23.396873915567397</v>
      </c>
      <c r="H211" s="25">
        <f t="shared" si="26"/>
        <v>26.695904174568497</v>
      </c>
      <c r="I211" s="25">
        <f t="shared" si="26"/>
        <v>2.6080741033318708</v>
      </c>
      <c r="J211" s="25">
        <f t="shared" si="26"/>
        <v>13.390166335399575</v>
      </c>
      <c r="K211" s="25">
        <f t="shared" si="26"/>
        <v>0</v>
      </c>
      <c r="L211" s="25">
        <f t="shared" si="26"/>
        <v>8.0076398723866564</v>
      </c>
      <c r="M211" s="25">
        <f t="shared" si="26"/>
        <v>10.132481608586659</v>
      </c>
      <c r="N211" s="25">
        <f t="shared" si="26"/>
        <v>0.10906286623125372</v>
      </c>
      <c r="O211" s="25">
        <f t="shared" si="26"/>
        <v>1004.9410358480955</v>
      </c>
      <c r="P211" s="25">
        <f t="shared" si="26"/>
        <v>180.75222966171967</v>
      </c>
      <c r="Q211" s="25">
        <f t="shared" si="20"/>
        <v>1056.0858746258143</v>
      </c>
      <c r="R211" s="25">
        <f t="shared" si="24"/>
        <v>315.64158338413858</v>
      </c>
      <c r="S211" s="25">
        <f>Production!AE10*Feedstocks!V211/100</f>
        <v>1371.7274580099529</v>
      </c>
      <c r="V211" s="26">
        <f t="shared" si="21"/>
        <v>0.1040747977897426</v>
      </c>
    </row>
    <row r="212" spans="1:22" x14ac:dyDescent="0.25">
      <c r="A212" s="18">
        <v>2034</v>
      </c>
      <c r="B212" s="18" t="s">
        <v>24</v>
      </c>
      <c r="C212" s="25"/>
      <c r="D212" s="25">
        <f t="shared" si="26"/>
        <v>3.9092754727988619</v>
      </c>
      <c r="E212" s="25">
        <f t="shared" si="26"/>
        <v>81.419501440326513</v>
      </c>
      <c r="F212" s="25">
        <f t="shared" si="26"/>
        <v>3.6282319049405145</v>
      </c>
      <c r="G212" s="25">
        <f t="shared" si="26"/>
        <v>25.465777384113789</v>
      </c>
      <c r="H212" s="25">
        <f t="shared" si="26"/>
        <v>29.05652931372429</v>
      </c>
      <c r="I212" s="25">
        <f t="shared" si="26"/>
        <v>2.8386969454295552</v>
      </c>
      <c r="J212" s="25">
        <f t="shared" si="26"/>
        <v>14.57421176282263</v>
      </c>
      <c r="K212" s="25">
        <f t="shared" si="26"/>
        <v>0</v>
      </c>
      <c r="L212" s="25">
        <f t="shared" si="26"/>
        <v>8.715727370171054</v>
      </c>
      <c r="M212" s="25">
        <f t="shared" si="26"/>
        <v>11.028461405744064</v>
      </c>
      <c r="N212" s="25">
        <f t="shared" si="26"/>
        <v>0.11870691282695382</v>
      </c>
      <c r="O212" s="25">
        <f t="shared" si="26"/>
        <v>1093.8044456460752</v>
      </c>
      <c r="P212" s="25">
        <f t="shared" si="26"/>
        <v>196.73551513157074</v>
      </c>
      <c r="Q212" s="25">
        <f t="shared" si="20"/>
        <v>1149.4718430667699</v>
      </c>
      <c r="R212" s="25">
        <f t="shared" si="24"/>
        <v>343.5526611220248</v>
      </c>
      <c r="S212" s="25">
        <f>Production!AE11*Feedstocks!V212/100</f>
        <v>1493.0245041887947</v>
      </c>
      <c r="V212" s="26">
        <f t="shared" si="21"/>
        <v>0.10407479778323807</v>
      </c>
    </row>
    <row r="213" spans="1:22" x14ac:dyDescent="0.25">
      <c r="A213" s="18">
        <v>2034</v>
      </c>
      <c r="B213" s="18" t="s">
        <v>25</v>
      </c>
      <c r="C213" s="25"/>
      <c r="D213" s="25">
        <f t="shared" si="26"/>
        <v>3.9637040435548596</v>
      </c>
      <c r="E213" s="25">
        <f t="shared" si="26"/>
        <v>82.553099501117586</v>
      </c>
      <c r="F213" s="25">
        <f t="shared" si="26"/>
        <v>3.678747525630667</v>
      </c>
      <c r="G213" s="25">
        <f t="shared" si="26"/>
        <v>25.820335633040504</v>
      </c>
      <c r="H213" s="25">
        <f t="shared" si="26"/>
        <v>29.461081352249085</v>
      </c>
      <c r="I213" s="25">
        <f t="shared" si="26"/>
        <v>2.8782199257424592</v>
      </c>
      <c r="J213" s="25">
        <f t="shared" si="26"/>
        <v>14.777127500448495</v>
      </c>
      <c r="K213" s="25">
        <f t="shared" si="26"/>
        <v>0</v>
      </c>
      <c r="L213" s="25">
        <f t="shared" si="26"/>
        <v>8.8370758366984585</v>
      </c>
      <c r="M213" s="25">
        <f t="shared" si="26"/>
        <v>11.182009907539097</v>
      </c>
      <c r="N213" s="25">
        <f t="shared" si="26"/>
        <v>0.12035966092541465</v>
      </c>
      <c r="O213" s="25">
        <f t="shared" si="26"/>
        <v>1109.0334089353898</v>
      </c>
      <c r="P213" s="25">
        <f t="shared" si="26"/>
        <v>199.47465003778646</v>
      </c>
      <c r="Q213" s="25">
        <f t="shared" si="20"/>
        <v>1165.4758596620993</v>
      </c>
      <c r="R213" s="25">
        <f t="shared" si="24"/>
        <v>348.33592094968367</v>
      </c>
      <c r="S213" s="25">
        <f>Production!AE12*Feedstocks!V213/100</f>
        <v>1513.811780611783</v>
      </c>
      <c r="V213" s="26">
        <f t="shared" si="21"/>
        <v>0.10407479777214389</v>
      </c>
    </row>
    <row r="214" spans="1:22" x14ac:dyDescent="0.25">
      <c r="A214" s="18">
        <v>2034</v>
      </c>
      <c r="B214" s="18" t="s">
        <v>26</v>
      </c>
      <c r="C214" s="25"/>
      <c r="D214" s="25">
        <f t="shared" si="26"/>
        <v>3.8411446337480357</v>
      </c>
      <c r="E214" s="25">
        <f t="shared" si="26"/>
        <v>80.000522658496678</v>
      </c>
      <c r="F214" s="25">
        <f t="shared" si="26"/>
        <v>3.5649990921918149</v>
      </c>
      <c r="G214" s="25">
        <f t="shared" si="26"/>
        <v>25.021959906339823</v>
      </c>
      <c r="H214" s="25">
        <f t="shared" si="26"/>
        <v>28.550132224078514</v>
      </c>
      <c r="I214" s="25">
        <f t="shared" si="26"/>
        <v>2.7892241451501048</v>
      </c>
      <c r="J214" s="25">
        <f t="shared" si="26"/>
        <v>14.320212452000307</v>
      </c>
      <c r="K214" s="25">
        <f t="shared" si="26"/>
        <v>0</v>
      </c>
      <c r="L214" s="25">
        <f t="shared" si="26"/>
        <v>8.5638297045294802</v>
      </c>
      <c r="M214" s="25">
        <f t="shared" si="26"/>
        <v>10.836257419547348</v>
      </c>
      <c r="N214" s="25">
        <f t="shared" si="26"/>
        <v>0.11663808917195483</v>
      </c>
      <c r="O214" s="25">
        <f t="shared" si="26"/>
        <v>1074.7416256534907</v>
      </c>
      <c r="P214" s="25">
        <f t="shared" si="26"/>
        <v>193.30680927283169</v>
      </c>
      <c r="Q214" s="25">
        <f t="shared" si="20"/>
        <v>1129.4388518697162</v>
      </c>
      <c r="R214" s="25">
        <f t="shared" si="24"/>
        <v>337.56522656458469</v>
      </c>
      <c r="S214" s="25">
        <f>Production!AE13*Feedstocks!V214/100</f>
        <v>1467.0040784343009</v>
      </c>
      <c r="V214" s="26">
        <f t="shared" si="21"/>
        <v>0.1040747977612058</v>
      </c>
    </row>
    <row r="215" spans="1:22" x14ac:dyDescent="0.25">
      <c r="A215" s="18">
        <v>2034</v>
      </c>
      <c r="B215" s="18" t="s">
        <v>27</v>
      </c>
      <c r="C215" s="25"/>
      <c r="D215" s="25">
        <f t="shared" si="26"/>
        <v>3.9935637840276765</v>
      </c>
      <c r="E215" s="25">
        <f t="shared" si="26"/>
        <v>83.174996115810146</v>
      </c>
      <c r="F215" s="25">
        <f t="shared" si="26"/>
        <v>3.7064606054099114</v>
      </c>
      <c r="G215" s="25">
        <f t="shared" si="26"/>
        <v>26.014847764231853</v>
      </c>
      <c r="H215" s="25">
        <f t="shared" si="26"/>
        <v>29.683020284510473</v>
      </c>
      <c r="I215" s="25">
        <f t="shared" si="26"/>
        <v>2.8999023972544546</v>
      </c>
      <c r="J215" s="25">
        <f t="shared" si="26"/>
        <v>14.888447918736182</v>
      </c>
      <c r="K215" s="25">
        <f t="shared" si="26"/>
        <v>0</v>
      </c>
      <c r="L215" s="25">
        <f t="shared" si="26"/>
        <v>8.9036481105420329</v>
      </c>
      <c r="M215" s="25">
        <f t="shared" si="26"/>
        <v>11.266247254761453</v>
      </c>
      <c r="N215" s="25">
        <f t="shared" si="26"/>
        <v>0.12126636541170771</v>
      </c>
      <c r="O215" s="25">
        <f t="shared" si="26"/>
        <v>1117.3880815856705</v>
      </c>
      <c r="P215" s="25">
        <f t="shared" si="26"/>
        <v>200.97735084884209</v>
      </c>
      <c r="Q215" s="25">
        <f t="shared" si="20"/>
        <v>1174.2557297821784</v>
      </c>
      <c r="R215" s="25">
        <f t="shared" si="24"/>
        <v>350.96003720120598</v>
      </c>
      <c r="S215" s="25">
        <f>Production!AE14*Feedstocks!V215/100</f>
        <v>1525.2157669833844</v>
      </c>
      <c r="V215" s="26">
        <f t="shared" si="21"/>
        <v>0.10407479775383677</v>
      </c>
    </row>
    <row r="216" spans="1:22" x14ac:dyDescent="0.25">
      <c r="A216" s="18">
        <v>2034</v>
      </c>
      <c r="B216" s="18" t="s">
        <v>28</v>
      </c>
      <c r="C216" s="25"/>
      <c r="D216" s="25">
        <f t="shared" si="26"/>
        <v>3.769913627923323</v>
      </c>
      <c r="E216" s="25">
        <f t="shared" si="26"/>
        <v>78.51697589345153</v>
      </c>
      <c r="F216" s="25">
        <f t="shared" si="26"/>
        <v>3.4988889882217835</v>
      </c>
      <c r="G216" s="25">
        <f t="shared" si="26"/>
        <v>24.557947341914442</v>
      </c>
      <c r="H216" s="25">
        <f t="shared" si="26"/>
        <v>28.020692479247742</v>
      </c>
      <c r="I216" s="25">
        <f t="shared" si="26"/>
        <v>2.7375001773557046</v>
      </c>
      <c r="J216" s="25">
        <f t="shared" si="26"/>
        <v>14.054655376222028</v>
      </c>
      <c r="K216" s="25">
        <f t="shared" si="26"/>
        <v>0</v>
      </c>
      <c r="L216" s="25">
        <f t="shared" si="26"/>
        <v>8.4050202188866638</v>
      </c>
      <c r="M216" s="25">
        <f t="shared" si="26"/>
        <v>10.635307549399736</v>
      </c>
      <c r="N216" s="25">
        <f t="shared" si="26"/>
        <v>0.11447512755468191</v>
      </c>
      <c r="O216" s="25">
        <f t="shared" si="26"/>
        <v>1054.8113875873739</v>
      </c>
      <c r="P216" s="25">
        <f t="shared" si="26"/>
        <v>189.72208654818019</v>
      </c>
      <c r="Q216" s="25">
        <f t="shared" si="20"/>
        <v>1108.4942967677418</v>
      </c>
      <c r="R216" s="25">
        <f t="shared" si="24"/>
        <v>331.30534496356836</v>
      </c>
      <c r="S216" s="25">
        <f>Production!AE15*Feedstocks!V216/100</f>
        <v>1439.7996417313102</v>
      </c>
      <c r="V216" s="26">
        <f t="shared" si="21"/>
        <v>0.10407479775140649</v>
      </c>
    </row>
    <row r="217" spans="1:22" x14ac:dyDescent="0.25">
      <c r="A217" s="18">
        <v>2034</v>
      </c>
      <c r="B217" s="18" t="s">
        <v>29</v>
      </c>
      <c r="C217" s="25"/>
      <c r="D217" s="25">
        <f t="shared" si="26"/>
        <v>3.5164149886215053</v>
      </c>
      <c r="E217" s="25">
        <f t="shared" si="26"/>
        <v>73.237293514614692</v>
      </c>
      <c r="F217" s="25">
        <f t="shared" si="26"/>
        <v>3.2636147392276698</v>
      </c>
      <c r="G217" s="25">
        <f t="shared" si="26"/>
        <v>22.906608120477078</v>
      </c>
      <c r="H217" s="25">
        <f t="shared" si="26"/>
        <v>26.136509413839736</v>
      </c>
      <c r="I217" s="25">
        <f t="shared" si="26"/>
        <v>2.5534236603479599</v>
      </c>
      <c r="J217" s="25">
        <f t="shared" si="26"/>
        <v>13.109584383789008</v>
      </c>
      <c r="K217" s="25">
        <f t="shared" si="26"/>
        <v>0</v>
      </c>
      <c r="L217" s="25">
        <f t="shared" ref="L217:P217" si="27">$S217*L$318</f>
        <v>7.8398451514765073</v>
      </c>
      <c r="M217" s="25">
        <f t="shared" si="27"/>
        <v>9.9201622547277442</v>
      </c>
      <c r="N217" s="25">
        <f t="shared" si="27"/>
        <v>0.10677752704360619</v>
      </c>
      <c r="O217" s="25">
        <f t="shared" si="27"/>
        <v>983.88317069324933</v>
      </c>
      <c r="P217" s="25">
        <f t="shared" si="27"/>
        <v>176.96468796237801</v>
      </c>
      <c r="Q217" s="25">
        <f t="shared" si="20"/>
        <v>1033.9563036893064</v>
      </c>
      <c r="R217" s="25">
        <f t="shared" si="24"/>
        <v>309.02752577969818</v>
      </c>
      <c r="S217" s="25">
        <f>Production!AE16*Feedstocks!V217/100</f>
        <v>1342.9838294690046</v>
      </c>
      <c r="V217" s="26">
        <f t="shared" si="21"/>
        <v>0.10407479775333041</v>
      </c>
    </row>
    <row r="218" spans="1:22" x14ac:dyDescent="0.25">
      <c r="S218" s="27"/>
      <c r="V218" s="26"/>
    </row>
    <row r="219" spans="1:22" x14ac:dyDescent="0.25">
      <c r="V219" s="26"/>
    </row>
    <row r="220" spans="1:22" x14ac:dyDescent="0.25">
      <c r="A220" t="s">
        <v>56</v>
      </c>
      <c r="C220" s="1" t="s">
        <v>57</v>
      </c>
      <c r="V220" s="26"/>
    </row>
    <row r="221" spans="1:22" x14ac:dyDescent="0.25">
      <c r="A221" t="s">
        <v>58</v>
      </c>
      <c r="C221" t="s">
        <v>37</v>
      </c>
      <c r="D221" t="s">
        <v>38</v>
      </c>
      <c r="E221" t="s">
        <v>59</v>
      </c>
      <c r="F221" t="s">
        <v>40</v>
      </c>
      <c r="G221" t="s">
        <v>41</v>
      </c>
      <c r="H221" t="s">
        <v>42</v>
      </c>
      <c r="I221" t="s">
        <v>43</v>
      </c>
      <c r="J221" t="s">
        <v>44</v>
      </c>
      <c r="K221" t="s">
        <v>45</v>
      </c>
      <c r="L221" t="s">
        <v>46</v>
      </c>
      <c r="M221" t="s">
        <v>47</v>
      </c>
      <c r="N221" t="s">
        <v>48</v>
      </c>
      <c r="O221" t="s">
        <v>49</v>
      </c>
      <c r="P221" t="s">
        <v>50</v>
      </c>
      <c r="Q221" t="s">
        <v>60</v>
      </c>
      <c r="R221" t="s">
        <v>52</v>
      </c>
      <c r="V221" s="26"/>
    </row>
    <row r="222" spans="1:22" x14ac:dyDescent="0.25">
      <c r="A222">
        <f>A2</f>
        <v>2017</v>
      </c>
      <c r="B222" t="str">
        <f>B2</f>
        <v>Jan</v>
      </c>
      <c r="C222" s="15">
        <f t="shared" ref="C222:R237" si="28">C2/$S2</f>
        <v>0</v>
      </c>
      <c r="D222" s="15">
        <f t="shared" si="28"/>
        <v>0</v>
      </c>
      <c r="E222" s="15">
        <f t="shared" si="28"/>
        <v>0.16320329396497482</v>
      </c>
      <c r="F222" s="15">
        <f t="shared" si="28"/>
        <v>5.1919301207939417E-3</v>
      </c>
      <c r="G222" s="15">
        <f t="shared" si="28"/>
        <v>3.5812036592474561E-2</v>
      </c>
      <c r="H222" s="15">
        <f t="shared" si="28"/>
        <v>4.6622752007573938E-3</v>
      </c>
      <c r="I222" s="15">
        <f t="shared" si="28"/>
        <v>9.3339272201253508E-3</v>
      </c>
      <c r="J222" s="15">
        <f t="shared" si="28"/>
        <v>8.2817289510567459E-3</v>
      </c>
      <c r="K222" s="15">
        <f t="shared" si="28"/>
        <v>0</v>
      </c>
      <c r="L222" s="15">
        <f t="shared" si="28"/>
        <v>0</v>
      </c>
      <c r="M222" s="15">
        <f t="shared" si="28"/>
        <v>2.6013921961483517E-2</v>
      </c>
      <c r="N222" s="15">
        <f t="shared" si="28"/>
        <v>0</v>
      </c>
      <c r="O222" s="15">
        <f t="shared" si="28"/>
        <v>0.63692663753630652</v>
      </c>
      <c r="P222" s="15">
        <f t="shared" si="28"/>
        <v>0.11057424845202717</v>
      </c>
      <c r="Q222" s="15">
        <f t="shared" si="28"/>
        <v>0.6769367619186728</v>
      </c>
      <c r="R222" s="15">
        <f t="shared" si="28"/>
        <v>0.32306323808132725</v>
      </c>
      <c r="V222" s="26"/>
    </row>
    <row r="223" spans="1:22" x14ac:dyDescent="0.25">
      <c r="A223">
        <f t="shared" ref="A223:B238" si="29">A3</f>
        <v>2017</v>
      </c>
      <c r="B223" t="str">
        <f t="shared" si="29"/>
        <v>Feb</v>
      </c>
      <c r="C223" s="15">
        <f t="shared" si="28"/>
        <v>0</v>
      </c>
      <c r="D223" s="15">
        <f t="shared" si="28"/>
        <v>0</v>
      </c>
      <c r="E223" s="15">
        <f t="shared" si="28"/>
        <v>0.16045291104876516</v>
      </c>
      <c r="F223" s="15">
        <f t="shared" si="28"/>
        <v>9.545519978552932E-3</v>
      </c>
      <c r="G223" s="15">
        <f t="shared" si="28"/>
        <v>3.2305113519430571E-2</v>
      </c>
      <c r="H223" s="15">
        <f t="shared" si="28"/>
        <v>2.1064846273755497E-4</v>
      </c>
      <c r="I223" s="15">
        <f t="shared" si="28"/>
        <v>5.1688226813829449E-3</v>
      </c>
      <c r="J223" s="15">
        <f t="shared" si="28"/>
        <v>8.5734447826436907E-3</v>
      </c>
      <c r="K223" s="15">
        <f t="shared" si="28"/>
        <v>0</v>
      </c>
      <c r="L223" s="15">
        <f t="shared" si="28"/>
        <v>0</v>
      </c>
      <c r="M223" s="15">
        <f t="shared" si="28"/>
        <v>1.7645018790758492E-2</v>
      </c>
      <c r="N223" s="15">
        <f t="shared" si="28"/>
        <v>0</v>
      </c>
      <c r="O223" s="15">
        <f t="shared" si="28"/>
        <v>0.65301133195636141</v>
      </c>
      <c r="P223" s="15">
        <f t="shared" si="28"/>
        <v>0.11308718877936733</v>
      </c>
      <c r="Q223" s="15">
        <f t="shared" si="28"/>
        <v>0.67603582189124045</v>
      </c>
      <c r="R223" s="15">
        <f t="shared" si="28"/>
        <v>0.32396417810875955</v>
      </c>
      <c r="V223" s="26"/>
    </row>
    <row r="224" spans="1:22" x14ac:dyDescent="0.25">
      <c r="A224">
        <f t="shared" si="29"/>
        <v>2017</v>
      </c>
      <c r="B224" t="str">
        <f t="shared" si="29"/>
        <v>Mar</v>
      </c>
      <c r="C224" s="15">
        <f t="shared" si="28"/>
        <v>0</v>
      </c>
      <c r="D224" s="15">
        <f t="shared" si="28"/>
        <v>0</v>
      </c>
      <c r="E224" s="15">
        <f t="shared" si="28"/>
        <v>9.9320718167655031E-2</v>
      </c>
      <c r="F224" s="15">
        <f t="shared" si="28"/>
        <v>1.3079630730331616E-2</v>
      </c>
      <c r="G224" s="15">
        <f t="shared" si="28"/>
        <v>1.6288199132883565E-2</v>
      </c>
      <c r="H224" s="15">
        <f t="shared" si="28"/>
        <v>2.534406080679133E-3</v>
      </c>
      <c r="I224" s="15">
        <f t="shared" si="28"/>
        <v>2.0625039051352647E-3</v>
      </c>
      <c r="J224" s="15">
        <f t="shared" si="28"/>
        <v>3.1370648976863768E-3</v>
      </c>
      <c r="K224" s="15">
        <f t="shared" si="28"/>
        <v>0</v>
      </c>
      <c r="L224" s="15">
        <f t="shared" si="28"/>
        <v>0</v>
      </c>
      <c r="M224" s="15">
        <f t="shared" si="28"/>
        <v>3.5038816893328399E-3</v>
      </c>
      <c r="N224" s="15">
        <f t="shared" si="28"/>
        <v>0</v>
      </c>
      <c r="O224" s="15">
        <f t="shared" si="28"/>
        <v>0.73796733131900683</v>
      </c>
      <c r="P224" s="15">
        <f t="shared" si="28"/>
        <v>0.12210626407728928</v>
      </c>
      <c r="Q224" s="15">
        <f t="shared" si="28"/>
        <v>0.74606812299415404</v>
      </c>
      <c r="R224" s="15">
        <f t="shared" si="28"/>
        <v>0.25393187700584596</v>
      </c>
    </row>
    <row r="225" spans="1:18" x14ac:dyDescent="0.25">
      <c r="A225">
        <f t="shared" si="29"/>
        <v>2017</v>
      </c>
      <c r="B225" t="str">
        <f t="shared" si="29"/>
        <v>Apr</v>
      </c>
      <c r="C225" s="15">
        <f t="shared" si="28"/>
        <v>0</v>
      </c>
      <c r="D225" s="15">
        <f t="shared" si="28"/>
        <v>0</v>
      </c>
      <c r="E225" s="15">
        <f t="shared" si="28"/>
        <v>0.11629382791730063</v>
      </c>
      <c r="F225" s="15">
        <f t="shared" si="28"/>
        <v>7.0684558460119623E-3</v>
      </c>
      <c r="G225" s="15">
        <f t="shared" si="28"/>
        <v>2.098607368386423E-2</v>
      </c>
      <c r="H225" s="15">
        <f t="shared" si="28"/>
        <v>0</v>
      </c>
      <c r="I225" s="15">
        <f t="shared" si="28"/>
        <v>2.380447560541623E-3</v>
      </c>
      <c r="J225" s="15">
        <f t="shared" si="28"/>
        <v>1.2022533412964139E-2</v>
      </c>
      <c r="K225" s="15">
        <f t="shared" si="28"/>
        <v>0</v>
      </c>
      <c r="L225" s="15">
        <f t="shared" si="28"/>
        <v>0</v>
      </c>
      <c r="M225" s="15">
        <f t="shared" si="28"/>
        <v>7.7440221523121966E-4</v>
      </c>
      <c r="N225" s="15">
        <f t="shared" si="28"/>
        <v>0</v>
      </c>
      <c r="O225" s="15">
        <f t="shared" si="28"/>
        <v>0.72588140043458838</v>
      </c>
      <c r="P225" s="15">
        <f t="shared" si="28"/>
        <v>0.1145928589294978</v>
      </c>
      <c r="Q225" s="15">
        <f t="shared" si="28"/>
        <v>0.72903625021036123</v>
      </c>
      <c r="R225" s="15">
        <f t="shared" si="28"/>
        <v>0.27096374978963872</v>
      </c>
    </row>
    <row r="226" spans="1:18" x14ac:dyDescent="0.25">
      <c r="A226">
        <f t="shared" si="29"/>
        <v>2017</v>
      </c>
      <c r="B226" t="str">
        <f t="shared" si="29"/>
        <v>May</v>
      </c>
      <c r="C226" s="15">
        <f t="shared" si="28"/>
        <v>0</v>
      </c>
      <c r="D226" s="15">
        <f t="shared" si="28"/>
        <v>0</v>
      </c>
      <c r="E226" s="15">
        <f t="shared" si="28"/>
        <v>0.12805408496161177</v>
      </c>
      <c r="F226" s="15">
        <f t="shared" si="28"/>
        <v>1.1126476394241289E-2</v>
      </c>
      <c r="G226" s="15">
        <f t="shared" si="28"/>
        <v>1.7093451796834819E-2</v>
      </c>
      <c r="H226" s="15">
        <f t="shared" si="28"/>
        <v>7.6767406280669527E-5</v>
      </c>
      <c r="I226" s="15">
        <f t="shared" si="28"/>
        <v>1.6622601647652952E-3</v>
      </c>
      <c r="J226" s="15">
        <f t="shared" si="28"/>
        <v>1.9344380364299751E-2</v>
      </c>
      <c r="K226" s="15">
        <f t="shared" si="28"/>
        <v>0</v>
      </c>
      <c r="L226" s="15">
        <f t="shared" si="28"/>
        <v>0</v>
      </c>
      <c r="M226" s="15">
        <f t="shared" si="28"/>
        <v>1.0262650855776857E-3</v>
      </c>
      <c r="N226" s="15">
        <f t="shared" si="28"/>
        <v>0</v>
      </c>
      <c r="O226" s="15">
        <f t="shared" si="28"/>
        <v>0.69899634291873081</v>
      </c>
      <c r="P226" s="15">
        <f t="shared" si="28"/>
        <v>0.12261997090765797</v>
      </c>
      <c r="Q226" s="15">
        <f t="shared" si="28"/>
        <v>0.70176163557535443</v>
      </c>
      <c r="R226" s="15">
        <f t="shared" si="28"/>
        <v>0.29823836442464557</v>
      </c>
    </row>
    <row r="227" spans="1:18" x14ac:dyDescent="0.25">
      <c r="A227">
        <f t="shared" si="29"/>
        <v>2017</v>
      </c>
      <c r="B227" t="str">
        <f t="shared" si="29"/>
        <v>Jun</v>
      </c>
      <c r="C227" s="15">
        <f t="shared" si="28"/>
        <v>0</v>
      </c>
      <c r="D227" s="15">
        <f t="shared" si="28"/>
        <v>0</v>
      </c>
      <c r="E227" s="15">
        <f t="shared" si="28"/>
        <v>0.14343116102585202</v>
      </c>
      <c r="F227" s="15">
        <f t="shared" si="28"/>
        <v>1.1104875997028925E-2</v>
      </c>
      <c r="G227" s="15">
        <f t="shared" si="28"/>
        <v>1.4869784263382663E-2</v>
      </c>
      <c r="H227" s="15">
        <f t="shared" si="28"/>
        <v>1.3540068136681637E-3</v>
      </c>
      <c r="I227" s="15">
        <f t="shared" si="28"/>
        <v>1.5480045963516481E-3</v>
      </c>
      <c r="J227" s="15">
        <f t="shared" si="28"/>
        <v>2.5797293488280526E-2</v>
      </c>
      <c r="K227" s="15">
        <f t="shared" si="28"/>
        <v>0</v>
      </c>
      <c r="L227" s="15">
        <f t="shared" si="28"/>
        <v>0</v>
      </c>
      <c r="M227" s="15">
        <f t="shared" si="28"/>
        <v>7.1076267152081658E-3</v>
      </c>
      <c r="N227" s="15">
        <f t="shared" si="28"/>
        <v>0</v>
      </c>
      <c r="O227" s="15">
        <f t="shared" si="28"/>
        <v>0.67114241311827239</v>
      </c>
      <c r="P227" s="15">
        <f t="shared" si="28"/>
        <v>0.12364483398195544</v>
      </c>
      <c r="Q227" s="15">
        <f t="shared" si="28"/>
        <v>0.68115205124350031</v>
      </c>
      <c r="R227" s="15">
        <f t="shared" si="28"/>
        <v>0.31884794875649963</v>
      </c>
    </row>
    <row r="228" spans="1:18" x14ac:dyDescent="0.25">
      <c r="A228">
        <f t="shared" si="29"/>
        <v>2017</v>
      </c>
      <c r="B228" t="str">
        <f t="shared" si="29"/>
        <v>Jul</v>
      </c>
      <c r="C228" s="15">
        <f t="shared" si="28"/>
        <v>0</v>
      </c>
      <c r="D228" s="15">
        <f t="shared" si="28"/>
        <v>0</v>
      </c>
      <c r="E228" s="15">
        <f t="shared" si="28"/>
        <v>0.13745367657987267</v>
      </c>
      <c r="F228" s="15">
        <f t="shared" si="28"/>
        <v>1.4951846467607782E-2</v>
      </c>
      <c r="G228" s="15">
        <f t="shared" si="28"/>
        <v>1.4831599000098398E-2</v>
      </c>
      <c r="H228" s="15">
        <f t="shared" si="28"/>
        <v>2.0938327929292066E-3</v>
      </c>
      <c r="I228" s="15">
        <f t="shared" si="28"/>
        <v>0</v>
      </c>
      <c r="J228" s="15">
        <f t="shared" si="28"/>
        <v>1.4572461929100248E-2</v>
      </c>
      <c r="K228" s="15">
        <f t="shared" si="28"/>
        <v>0</v>
      </c>
      <c r="L228" s="15">
        <f t="shared" si="28"/>
        <v>0</v>
      </c>
      <c r="M228" s="15">
        <f t="shared" si="28"/>
        <v>1.0311224117136791E-2</v>
      </c>
      <c r="N228" s="15">
        <f t="shared" si="28"/>
        <v>0</v>
      </c>
      <c r="O228" s="15">
        <f t="shared" si="28"/>
        <v>0.72395319937543134</v>
      </c>
      <c r="P228" s="15">
        <f t="shared" si="28"/>
        <v>8.1832159737823484E-2</v>
      </c>
      <c r="Q228" s="15">
        <f t="shared" si="28"/>
        <v>0.73635825628549734</v>
      </c>
      <c r="R228" s="15">
        <f t="shared" si="28"/>
        <v>0.26364174371450261</v>
      </c>
    </row>
    <row r="229" spans="1:18" x14ac:dyDescent="0.25">
      <c r="A229">
        <f t="shared" si="29"/>
        <v>2017</v>
      </c>
      <c r="B229" t="str">
        <f t="shared" si="29"/>
        <v>Aug</v>
      </c>
      <c r="C229" s="15">
        <f t="shared" si="28"/>
        <v>0</v>
      </c>
      <c r="D229" s="15">
        <f t="shared" si="28"/>
        <v>0</v>
      </c>
      <c r="E229" s="15">
        <f t="shared" si="28"/>
        <v>0.15732027323356704</v>
      </c>
      <c r="F229" s="15">
        <f t="shared" si="28"/>
        <v>1.3182203835511577E-2</v>
      </c>
      <c r="G229" s="15">
        <f t="shared" si="28"/>
        <v>1.4901264467068843E-2</v>
      </c>
      <c r="H229" s="15">
        <f t="shared" si="28"/>
        <v>8.5806254554592195E-4</v>
      </c>
      <c r="I229" s="15">
        <f t="shared" si="28"/>
        <v>0</v>
      </c>
      <c r="J229" s="15">
        <f t="shared" si="28"/>
        <v>8.1885461481464548E-3</v>
      </c>
      <c r="K229" s="15">
        <f t="shared" si="28"/>
        <v>0</v>
      </c>
      <c r="L229" s="15">
        <f t="shared" si="28"/>
        <v>0</v>
      </c>
      <c r="M229" s="15">
        <f t="shared" si="28"/>
        <v>1.5891582014780706E-3</v>
      </c>
      <c r="N229" s="15">
        <f t="shared" si="28"/>
        <v>0</v>
      </c>
      <c r="O229" s="15">
        <f t="shared" si="28"/>
        <v>0.71518751934616798</v>
      </c>
      <c r="P229" s="15">
        <f t="shared" si="28"/>
        <v>8.8772972222514041E-2</v>
      </c>
      <c r="Q229" s="15">
        <f t="shared" si="28"/>
        <v>0.71763474009319195</v>
      </c>
      <c r="R229" s="15">
        <f t="shared" si="28"/>
        <v>0.282365259906808</v>
      </c>
    </row>
    <row r="230" spans="1:18" x14ac:dyDescent="0.25">
      <c r="A230">
        <f t="shared" si="29"/>
        <v>2017</v>
      </c>
      <c r="B230" t="str">
        <f t="shared" si="29"/>
        <v>Sep</v>
      </c>
      <c r="C230" s="15">
        <f t="shared" si="28"/>
        <v>0</v>
      </c>
      <c r="D230" s="15">
        <f t="shared" si="28"/>
        <v>0</v>
      </c>
      <c r="E230" s="15">
        <f t="shared" si="28"/>
        <v>0.15009162127296302</v>
      </c>
      <c r="F230" s="15">
        <f t="shared" si="28"/>
        <v>1.0714319428744047E-2</v>
      </c>
      <c r="G230" s="15">
        <f t="shared" si="28"/>
        <v>2.0121841154574525E-2</v>
      </c>
      <c r="H230" s="15">
        <f t="shared" si="28"/>
        <v>2.6120627399231055E-3</v>
      </c>
      <c r="I230" s="15">
        <f t="shared" si="28"/>
        <v>0</v>
      </c>
      <c r="J230" s="15">
        <f t="shared" si="28"/>
        <v>1.4352389187340992E-2</v>
      </c>
      <c r="K230" s="15">
        <f t="shared" si="28"/>
        <v>0</v>
      </c>
      <c r="L230" s="15">
        <f t="shared" si="28"/>
        <v>0</v>
      </c>
      <c r="M230" s="15">
        <f t="shared" si="28"/>
        <v>1.0499159413553432E-2</v>
      </c>
      <c r="N230" s="15">
        <f t="shared" si="28"/>
        <v>0</v>
      </c>
      <c r="O230" s="15">
        <f t="shared" si="28"/>
        <v>0.68990832545440273</v>
      </c>
      <c r="P230" s="15">
        <f t="shared" si="28"/>
        <v>0.10170028134849818</v>
      </c>
      <c r="Q230" s="15">
        <f t="shared" si="28"/>
        <v>0.70301954760787921</v>
      </c>
      <c r="R230" s="15">
        <f t="shared" si="28"/>
        <v>0.29698045239212073</v>
      </c>
    </row>
    <row r="231" spans="1:18" x14ac:dyDescent="0.25">
      <c r="A231">
        <f t="shared" si="29"/>
        <v>2017</v>
      </c>
      <c r="B231" t="str">
        <f t="shared" si="29"/>
        <v>Oct</v>
      </c>
      <c r="C231" s="15">
        <f t="shared" si="28"/>
        <v>0</v>
      </c>
      <c r="D231" s="15">
        <f t="shared" si="28"/>
        <v>0</v>
      </c>
      <c r="E231" s="15">
        <f t="shared" si="28"/>
        <v>0.17081671524234951</v>
      </c>
      <c r="F231" s="15">
        <f t="shared" si="28"/>
        <v>1.0779975536699463E-2</v>
      </c>
      <c r="G231" s="15">
        <f t="shared" si="28"/>
        <v>1.8962811830659124E-2</v>
      </c>
      <c r="H231" s="15">
        <f t="shared" si="28"/>
        <v>6.3189028114634194E-3</v>
      </c>
      <c r="I231" s="15">
        <f t="shared" si="28"/>
        <v>0</v>
      </c>
      <c r="J231" s="15">
        <f t="shared" si="28"/>
        <v>1.5992774972284459E-2</v>
      </c>
      <c r="K231" s="15">
        <f t="shared" si="28"/>
        <v>0</v>
      </c>
      <c r="L231" s="15">
        <f t="shared" si="28"/>
        <v>0</v>
      </c>
      <c r="M231" s="15">
        <f t="shared" si="28"/>
        <v>3.6727048252517124E-4</v>
      </c>
      <c r="N231" s="15">
        <f t="shared" si="28"/>
        <v>0</v>
      </c>
      <c r="O231" s="15">
        <f t="shared" si="28"/>
        <v>0.67114610804451413</v>
      </c>
      <c r="P231" s="15">
        <f t="shared" si="28"/>
        <v>0.10561544107950473</v>
      </c>
      <c r="Q231" s="15">
        <f t="shared" si="28"/>
        <v>0.67783228133850271</v>
      </c>
      <c r="R231" s="15">
        <f t="shared" si="28"/>
        <v>0.32216771866149729</v>
      </c>
    </row>
    <row r="232" spans="1:18" x14ac:dyDescent="0.25">
      <c r="A232">
        <f t="shared" si="29"/>
        <v>2017</v>
      </c>
      <c r="B232" t="str">
        <f t="shared" si="29"/>
        <v>Nov</v>
      </c>
      <c r="C232" s="15">
        <f t="shared" si="28"/>
        <v>0</v>
      </c>
      <c r="D232" s="15">
        <f t="shared" si="28"/>
        <v>1.4633635591237282E-4</v>
      </c>
      <c r="E232" s="15">
        <f t="shared" si="28"/>
        <v>0.14754052628167877</v>
      </c>
      <c r="F232" s="15">
        <f t="shared" si="28"/>
        <v>1.1250540414506847E-2</v>
      </c>
      <c r="G232" s="15">
        <f t="shared" si="28"/>
        <v>2.6332814751729113E-2</v>
      </c>
      <c r="H232" s="15">
        <f t="shared" si="28"/>
        <v>9.1591629371033673E-3</v>
      </c>
      <c r="I232" s="15">
        <f t="shared" si="28"/>
        <v>1.5222684448716536E-3</v>
      </c>
      <c r="J232" s="15">
        <f t="shared" si="28"/>
        <v>1.8059646633370601E-2</v>
      </c>
      <c r="K232" s="15">
        <f t="shared" si="28"/>
        <v>0</v>
      </c>
      <c r="L232" s="15">
        <f t="shared" si="28"/>
        <v>0</v>
      </c>
      <c r="M232" s="15">
        <f t="shared" si="28"/>
        <v>1.8016974552351829E-2</v>
      </c>
      <c r="N232" s="15">
        <f t="shared" si="28"/>
        <v>0</v>
      </c>
      <c r="O232" s="15">
        <f t="shared" si="28"/>
        <v>0.66189676252586149</v>
      </c>
      <c r="P232" s="15">
        <f t="shared" si="28"/>
        <v>0.10607496710261391</v>
      </c>
      <c r="Q232" s="15">
        <f t="shared" si="28"/>
        <v>0.69074150481610064</v>
      </c>
      <c r="R232" s="15">
        <f t="shared" si="28"/>
        <v>0.30925849518389931</v>
      </c>
    </row>
    <row r="233" spans="1:18" x14ac:dyDescent="0.25">
      <c r="A233">
        <f t="shared" si="29"/>
        <v>2017</v>
      </c>
      <c r="B233" t="str">
        <f t="shared" si="29"/>
        <v>Dec</v>
      </c>
      <c r="C233" s="15">
        <f t="shared" si="28"/>
        <v>0</v>
      </c>
      <c r="D233" s="15">
        <f t="shared" si="28"/>
        <v>3.3054708035644594E-4</v>
      </c>
      <c r="E233" s="15">
        <f t="shared" si="28"/>
        <v>0.15500380777047143</v>
      </c>
      <c r="F233" s="15">
        <f t="shared" si="28"/>
        <v>9.4807703663997035E-3</v>
      </c>
      <c r="G233" s="15">
        <f t="shared" si="28"/>
        <v>2.8353235197808586E-2</v>
      </c>
      <c r="H233" s="15">
        <f t="shared" si="28"/>
        <v>6.8735552789363731E-3</v>
      </c>
      <c r="I233" s="15">
        <f t="shared" si="28"/>
        <v>1.9505519234979615E-3</v>
      </c>
      <c r="J233" s="15">
        <f t="shared" si="28"/>
        <v>2.0609776645512022E-2</v>
      </c>
      <c r="K233" s="15">
        <f t="shared" si="28"/>
        <v>0</v>
      </c>
      <c r="L233" s="15">
        <f t="shared" si="28"/>
        <v>0</v>
      </c>
      <c r="M233" s="15">
        <f t="shared" si="28"/>
        <v>1.119009128684211E-2</v>
      </c>
      <c r="N233" s="15">
        <f t="shared" si="28"/>
        <v>0</v>
      </c>
      <c r="O233" s="15">
        <f t="shared" si="28"/>
        <v>0.67657316408459678</v>
      </c>
      <c r="P233" s="15">
        <f t="shared" si="28"/>
        <v>8.9634500365578657E-2</v>
      </c>
      <c r="Q233" s="15">
        <f t="shared" si="28"/>
        <v>0.69691790965422973</v>
      </c>
      <c r="R233" s="15">
        <f t="shared" si="28"/>
        <v>0.30308209034577033</v>
      </c>
    </row>
    <row r="234" spans="1:18" x14ac:dyDescent="0.25">
      <c r="A234">
        <f t="shared" si="29"/>
        <v>2018</v>
      </c>
      <c r="B234" t="str">
        <f t="shared" si="29"/>
        <v>Jan</v>
      </c>
      <c r="C234" s="15">
        <f t="shared" si="28"/>
        <v>0</v>
      </c>
      <c r="D234" s="15">
        <f t="shared" si="28"/>
        <v>5.4726476022444557E-4</v>
      </c>
      <c r="E234" s="15">
        <f t="shared" si="28"/>
        <v>0.18825270609337666</v>
      </c>
      <c r="F234" s="15">
        <f t="shared" si="28"/>
        <v>9.1851165949256748E-3</v>
      </c>
      <c r="G234" s="15">
        <f t="shared" si="28"/>
        <v>2.4028262615411636E-2</v>
      </c>
      <c r="H234" s="15">
        <f t="shared" si="28"/>
        <v>5.3112427310427158E-3</v>
      </c>
      <c r="I234" s="15">
        <f t="shared" si="28"/>
        <v>7.8505327668747661E-4</v>
      </c>
      <c r="J234" s="15">
        <f t="shared" si="28"/>
        <v>1.238937806373893E-2</v>
      </c>
      <c r="K234" s="15">
        <f t="shared" si="28"/>
        <v>0</v>
      </c>
      <c r="L234" s="15">
        <f t="shared" si="28"/>
        <v>1.1115942337219028E-3</v>
      </c>
      <c r="M234" s="15">
        <f t="shared" si="28"/>
        <v>1.3175698018475405E-2</v>
      </c>
      <c r="N234" s="15">
        <f t="shared" si="28"/>
        <v>0</v>
      </c>
      <c r="O234" s="15">
        <f t="shared" si="28"/>
        <v>0.65071906663007639</v>
      </c>
      <c r="P234" s="15">
        <f t="shared" si="28"/>
        <v>9.4494616982318716E-2</v>
      </c>
      <c r="Q234" s="15">
        <f t="shared" si="28"/>
        <v>0.67164991965022836</v>
      </c>
      <c r="R234" s="15">
        <f t="shared" si="28"/>
        <v>0.32835008034977164</v>
      </c>
    </row>
    <row r="235" spans="1:18" x14ac:dyDescent="0.25">
      <c r="A235">
        <f t="shared" si="29"/>
        <v>2018</v>
      </c>
      <c r="B235" t="str">
        <f t="shared" si="29"/>
        <v>Feb</v>
      </c>
      <c r="C235" s="15">
        <f t="shared" si="28"/>
        <v>0</v>
      </c>
      <c r="D235" s="15">
        <f t="shared" si="28"/>
        <v>4.6402534795447471E-4</v>
      </c>
      <c r="E235" s="15">
        <f t="shared" si="28"/>
        <v>0.14919936360418767</v>
      </c>
      <c r="F235" s="15">
        <f t="shared" si="28"/>
        <v>1.299953896279356E-2</v>
      </c>
      <c r="G235" s="15">
        <f t="shared" si="28"/>
        <v>2.3067696945732404E-2</v>
      </c>
      <c r="H235" s="15">
        <f t="shared" si="28"/>
        <v>1.7349271728254734E-3</v>
      </c>
      <c r="I235" s="15">
        <f t="shared" si="28"/>
        <v>1.8681143976651546E-4</v>
      </c>
      <c r="J235" s="15">
        <f t="shared" si="28"/>
        <v>1.8981259423312268E-2</v>
      </c>
      <c r="K235" s="15">
        <f t="shared" si="28"/>
        <v>0</v>
      </c>
      <c r="L235" s="15">
        <f t="shared" si="28"/>
        <v>2.1530958759130004E-3</v>
      </c>
      <c r="M235" s="15">
        <f t="shared" si="28"/>
        <v>1.4738730606194737E-2</v>
      </c>
      <c r="N235" s="15">
        <f t="shared" si="28"/>
        <v>0</v>
      </c>
      <c r="O235" s="15">
        <f t="shared" si="28"/>
        <v>0.666969215281907</v>
      </c>
      <c r="P235" s="15">
        <f t="shared" si="28"/>
        <v>0.10950533533941285</v>
      </c>
      <c r="Q235" s="15">
        <f t="shared" si="28"/>
        <v>0.6862468057245612</v>
      </c>
      <c r="R235" s="15">
        <f t="shared" si="28"/>
        <v>0.3137531942754388</v>
      </c>
    </row>
    <row r="236" spans="1:18" x14ac:dyDescent="0.25">
      <c r="A236">
        <f t="shared" si="29"/>
        <v>2018</v>
      </c>
      <c r="B236" t="str">
        <f t="shared" si="29"/>
        <v>Mar</v>
      </c>
      <c r="C236" s="15">
        <f t="shared" si="28"/>
        <v>0</v>
      </c>
      <c r="D236" s="15">
        <f t="shared" si="28"/>
        <v>3.6954356817383807E-4</v>
      </c>
      <c r="E236" s="15">
        <f t="shared" si="28"/>
        <v>0.1513832906197172</v>
      </c>
      <c r="F236" s="15">
        <f t="shared" si="28"/>
        <v>1.2326055894842536E-2</v>
      </c>
      <c r="G236" s="15">
        <f t="shared" si="28"/>
        <v>1.9917867453379461E-2</v>
      </c>
      <c r="H236" s="15">
        <f t="shared" si="28"/>
        <v>1.3983088876097196E-4</v>
      </c>
      <c r="I236" s="15">
        <f t="shared" si="28"/>
        <v>0</v>
      </c>
      <c r="J236" s="15">
        <f t="shared" si="28"/>
        <v>1.8967618088967367E-2</v>
      </c>
      <c r="K236" s="15">
        <f t="shared" si="28"/>
        <v>0</v>
      </c>
      <c r="L236" s="15">
        <f t="shared" si="28"/>
        <v>1.114596180936045E-3</v>
      </c>
      <c r="M236" s="15">
        <f t="shared" si="28"/>
        <v>8.6468873708618922E-3</v>
      </c>
      <c r="N236" s="15">
        <f t="shared" si="28"/>
        <v>0</v>
      </c>
      <c r="O236" s="15">
        <f t="shared" si="28"/>
        <v>0.69394579698763292</v>
      </c>
      <c r="P236" s="15">
        <f t="shared" si="28"/>
        <v>9.3188512946727753E-2</v>
      </c>
      <c r="Q236" s="15">
        <f t="shared" si="28"/>
        <v>0.70421665499636565</v>
      </c>
      <c r="R236" s="15">
        <f t="shared" si="28"/>
        <v>0.2957833450036344</v>
      </c>
    </row>
    <row r="237" spans="1:18" x14ac:dyDescent="0.25">
      <c r="A237">
        <f t="shared" si="29"/>
        <v>2018</v>
      </c>
      <c r="B237" t="str">
        <f t="shared" si="29"/>
        <v>Apr</v>
      </c>
      <c r="C237" s="15">
        <f t="shared" si="28"/>
        <v>0</v>
      </c>
      <c r="D237" s="15">
        <f t="shared" si="28"/>
        <v>8.4905172886487533E-4</v>
      </c>
      <c r="E237" s="15">
        <f t="shared" si="28"/>
        <v>0.13107085465363372</v>
      </c>
      <c r="F237" s="15">
        <f t="shared" si="28"/>
        <v>1.3126061484676349E-2</v>
      </c>
      <c r="G237" s="15">
        <f t="shared" si="28"/>
        <v>1.9621677745449751E-2</v>
      </c>
      <c r="H237" s="15">
        <f t="shared" si="28"/>
        <v>7.8233166129345206E-5</v>
      </c>
      <c r="I237" s="15">
        <f t="shared" si="28"/>
        <v>0</v>
      </c>
      <c r="J237" s="15">
        <f t="shared" si="28"/>
        <v>1.902045417179514E-2</v>
      </c>
      <c r="K237" s="15">
        <f t="shared" si="28"/>
        <v>0</v>
      </c>
      <c r="L237" s="15">
        <f t="shared" si="28"/>
        <v>2.1110068745620533E-3</v>
      </c>
      <c r="M237" s="15">
        <f t="shared" si="28"/>
        <v>1.1525672523840413E-2</v>
      </c>
      <c r="N237" s="15">
        <f t="shared" si="28"/>
        <v>0</v>
      </c>
      <c r="O237" s="15">
        <f t="shared" si="28"/>
        <v>0.70513483305444458</v>
      </c>
      <c r="P237" s="15">
        <f t="shared" si="28"/>
        <v>9.7462154596603873E-2</v>
      </c>
      <c r="Q237" s="15">
        <f t="shared" si="28"/>
        <v>0.71969879734784115</v>
      </c>
      <c r="R237" s="15">
        <f t="shared" ref="R237" si="30">R17/$S17</f>
        <v>0.2803012026521588</v>
      </c>
    </row>
    <row r="238" spans="1:18" x14ac:dyDescent="0.25">
      <c r="A238">
        <f t="shared" si="29"/>
        <v>2018</v>
      </c>
      <c r="B238" t="str">
        <f t="shared" si="29"/>
        <v>May</v>
      </c>
      <c r="C238" s="15">
        <f t="shared" ref="C238:R253" si="31">C18/$S18</f>
        <v>0</v>
      </c>
      <c r="D238" s="15">
        <f t="shared" si="31"/>
        <v>5.3857075680890747E-4</v>
      </c>
      <c r="E238" s="15">
        <f t="shared" si="31"/>
        <v>0.12155165382568434</v>
      </c>
      <c r="F238" s="15">
        <f t="shared" si="31"/>
        <v>8.4441623592509344E-3</v>
      </c>
      <c r="G238" s="15">
        <f t="shared" si="31"/>
        <v>1.6372011433931081E-2</v>
      </c>
      <c r="H238" s="15">
        <f t="shared" si="31"/>
        <v>8.9552122172070989E-5</v>
      </c>
      <c r="I238" s="15">
        <f t="shared" si="31"/>
        <v>0</v>
      </c>
      <c r="J238" s="15">
        <f t="shared" si="31"/>
        <v>1.7796465490534364E-2</v>
      </c>
      <c r="K238" s="15">
        <f t="shared" si="31"/>
        <v>0</v>
      </c>
      <c r="L238" s="15">
        <f t="shared" si="31"/>
        <v>9.570311027563644E-4</v>
      </c>
      <c r="M238" s="15">
        <f t="shared" si="31"/>
        <v>9.1037748055216063E-3</v>
      </c>
      <c r="N238" s="15">
        <f t="shared" si="31"/>
        <v>0</v>
      </c>
      <c r="O238" s="15">
        <f t="shared" si="31"/>
        <v>0.74284692186531343</v>
      </c>
      <c r="P238" s="15">
        <f t="shared" si="31"/>
        <v>8.2299856238026908E-2</v>
      </c>
      <c r="Q238" s="15">
        <f t="shared" si="31"/>
        <v>0.75353585065257245</v>
      </c>
      <c r="R238" s="15">
        <f t="shared" si="31"/>
        <v>0.24646414934742761</v>
      </c>
    </row>
    <row r="239" spans="1:18" x14ac:dyDescent="0.25">
      <c r="A239">
        <f t="shared" ref="A239:B254" si="32">A19</f>
        <v>2018</v>
      </c>
      <c r="B239" t="str">
        <f t="shared" si="32"/>
        <v>Jun</v>
      </c>
      <c r="C239" s="15">
        <f t="shared" si="31"/>
        <v>0</v>
      </c>
      <c r="D239" s="15">
        <f t="shared" si="31"/>
        <v>9.4965679297027202E-4</v>
      </c>
      <c r="E239" s="15">
        <f t="shared" si="31"/>
        <v>0.12730306803926283</v>
      </c>
      <c r="F239" s="15">
        <f t="shared" si="31"/>
        <v>9.7164725120861568E-3</v>
      </c>
      <c r="G239" s="15">
        <f t="shared" si="31"/>
        <v>2.2049366855003631E-2</v>
      </c>
      <c r="H239" s="15">
        <f t="shared" si="31"/>
        <v>6.5633821744398276E-4</v>
      </c>
      <c r="I239" s="15">
        <f t="shared" si="31"/>
        <v>0</v>
      </c>
      <c r="J239" s="15">
        <f t="shared" si="31"/>
        <v>1.7104536279761193E-2</v>
      </c>
      <c r="K239" s="15">
        <f t="shared" si="31"/>
        <v>0</v>
      </c>
      <c r="L239" s="15">
        <f t="shared" si="31"/>
        <v>1.0069086129929836E-3</v>
      </c>
      <c r="M239" s="15">
        <f t="shared" si="31"/>
        <v>5.0452698032251806E-3</v>
      </c>
      <c r="N239" s="15">
        <f t="shared" si="31"/>
        <v>0</v>
      </c>
      <c r="O239" s="15">
        <f t="shared" si="31"/>
        <v>0.73309199818367965</v>
      </c>
      <c r="P239" s="15">
        <f t="shared" si="31"/>
        <v>8.3076384703574008E-2</v>
      </c>
      <c r="Q239" s="15">
        <f t="shared" si="31"/>
        <v>0.74075017161031209</v>
      </c>
      <c r="R239" s="15">
        <f t="shared" si="31"/>
        <v>0.25924982838968785</v>
      </c>
    </row>
    <row r="240" spans="1:18" x14ac:dyDescent="0.25">
      <c r="A240">
        <f t="shared" si="32"/>
        <v>2018</v>
      </c>
      <c r="B240" t="str">
        <f t="shared" si="32"/>
        <v>Jul</v>
      </c>
      <c r="C240" s="15">
        <f t="shared" si="31"/>
        <v>0</v>
      </c>
      <c r="D240" s="15">
        <f t="shared" si="31"/>
        <v>2.0085568039616619E-3</v>
      </c>
      <c r="E240" s="15">
        <f t="shared" si="31"/>
        <v>0.12074434421371633</v>
      </c>
      <c r="F240" s="15">
        <f t="shared" si="31"/>
        <v>1.115313126403091E-2</v>
      </c>
      <c r="G240" s="15">
        <f t="shared" si="31"/>
        <v>2.0878624562058013E-2</v>
      </c>
      <c r="H240" s="15">
        <f t="shared" si="31"/>
        <v>9.2592678482572924E-3</v>
      </c>
      <c r="I240" s="15">
        <f t="shared" si="31"/>
        <v>0</v>
      </c>
      <c r="J240" s="15">
        <f t="shared" si="31"/>
        <v>1.914979172040349E-2</v>
      </c>
      <c r="K240" s="15">
        <f t="shared" si="31"/>
        <v>0</v>
      </c>
      <c r="L240" s="15">
        <f t="shared" si="31"/>
        <v>1.5444413287507986E-3</v>
      </c>
      <c r="M240" s="15">
        <f t="shared" si="31"/>
        <v>1.1712289824017282E-2</v>
      </c>
      <c r="N240" s="15">
        <f t="shared" si="31"/>
        <v>0</v>
      </c>
      <c r="O240" s="15">
        <f t="shared" si="31"/>
        <v>0.71537338390139116</v>
      </c>
      <c r="P240" s="15">
        <f t="shared" si="31"/>
        <v>8.8176168533413049E-2</v>
      </c>
      <c r="Q240" s="15">
        <f t="shared" si="31"/>
        <v>0.73989793970637818</v>
      </c>
      <c r="R240" s="15">
        <f t="shared" si="31"/>
        <v>0.26010206029362187</v>
      </c>
    </row>
    <row r="241" spans="1:18" x14ac:dyDescent="0.25">
      <c r="A241">
        <f t="shared" si="32"/>
        <v>2018</v>
      </c>
      <c r="B241" t="str">
        <f t="shared" si="32"/>
        <v>Aug</v>
      </c>
      <c r="C241" s="15">
        <f t="shared" si="31"/>
        <v>0</v>
      </c>
      <c r="D241" s="15">
        <f t="shared" si="31"/>
        <v>1.7393490734261313E-3</v>
      </c>
      <c r="E241" s="15">
        <f t="shared" si="31"/>
        <v>0.12544944345105527</v>
      </c>
      <c r="F241" s="15">
        <f t="shared" si="31"/>
        <v>6.4283562353431656E-3</v>
      </c>
      <c r="G241" s="15">
        <f t="shared" si="31"/>
        <v>2.071863862278106E-2</v>
      </c>
      <c r="H241" s="15">
        <f t="shared" si="31"/>
        <v>1.5196913418040275E-2</v>
      </c>
      <c r="I241" s="15">
        <f t="shared" si="31"/>
        <v>0</v>
      </c>
      <c r="J241" s="15">
        <f t="shared" si="31"/>
        <v>1.8234242080765808E-2</v>
      </c>
      <c r="K241" s="15">
        <f t="shared" si="31"/>
        <v>0</v>
      </c>
      <c r="L241" s="15">
        <f t="shared" si="31"/>
        <v>2.1907693095809416E-3</v>
      </c>
      <c r="M241" s="15">
        <f t="shared" si="31"/>
        <v>6.5492610886039981E-3</v>
      </c>
      <c r="N241" s="15">
        <f t="shared" si="31"/>
        <v>0</v>
      </c>
      <c r="O241" s="15">
        <f t="shared" si="31"/>
        <v>0.72818324361104325</v>
      </c>
      <c r="P241" s="15">
        <f t="shared" si="31"/>
        <v>7.5309783109360096E-2</v>
      </c>
      <c r="Q241" s="15">
        <f t="shared" si="31"/>
        <v>0.7538595365006947</v>
      </c>
      <c r="R241" s="15">
        <f t="shared" si="31"/>
        <v>0.24614046349930535</v>
      </c>
    </row>
    <row r="242" spans="1:18" x14ac:dyDescent="0.25">
      <c r="A242">
        <f t="shared" si="32"/>
        <v>2018</v>
      </c>
      <c r="B242" t="str">
        <f t="shared" si="32"/>
        <v>Sep</v>
      </c>
      <c r="C242" s="15">
        <f t="shared" si="31"/>
        <v>0</v>
      </c>
      <c r="D242" s="15">
        <f t="shared" si="31"/>
        <v>1.008080165825964E-3</v>
      </c>
      <c r="E242" s="15">
        <f t="shared" si="31"/>
        <v>0.13247921068262603</v>
      </c>
      <c r="F242" s="15">
        <f t="shared" si="31"/>
        <v>3.061976852821223E-3</v>
      </c>
      <c r="G242" s="15">
        <f t="shared" si="31"/>
        <v>1.8934538186560435E-2</v>
      </c>
      <c r="H242" s="15">
        <f t="shared" si="31"/>
        <v>1.9969835913375186E-2</v>
      </c>
      <c r="I242" s="15">
        <f t="shared" si="31"/>
        <v>7.098093470665677E-4</v>
      </c>
      <c r="J242" s="15">
        <f t="shared" si="31"/>
        <v>1.5066644558719615E-2</v>
      </c>
      <c r="K242" s="15">
        <f t="shared" si="31"/>
        <v>0</v>
      </c>
      <c r="L242" s="15">
        <f t="shared" si="31"/>
        <v>3.617039653547709E-4</v>
      </c>
      <c r="M242" s="15">
        <f t="shared" si="31"/>
        <v>9.766468887950696E-3</v>
      </c>
      <c r="N242" s="15">
        <f t="shared" si="31"/>
        <v>0</v>
      </c>
      <c r="O242" s="15">
        <f t="shared" si="31"/>
        <v>0.69722177045201594</v>
      </c>
      <c r="P242" s="15">
        <f t="shared" si="31"/>
        <v>0.10141996098768372</v>
      </c>
      <c r="Q242" s="15">
        <f t="shared" si="31"/>
        <v>0.72903766873158904</v>
      </c>
      <c r="R242" s="15">
        <f t="shared" si="31"/>
        <v>0.27096233126841091</v>
      </c>
    </row>
    <row r="243" spans="1:18" x14ac:dyDescent="0.25">
      <c r="A243">
        <f t="shared" si="32"/>
        <v>2018</v>
      </c>
      <c r="B243" t="str">
        <f t="shared" si="32"/>
        <v>Oct</v>
      </c>
      <c r="C243" s="15">
        <f t="shared" si="31"/>
        <v>0</v>
      </c>
      <c r="D243" s="15">
        <f t="shared" si="31"/>
        <v>1.4731144356643746E-3</v>
      </c>
      <c r="E243" s="15">
        <f t="shared" si="31"/>
        <v>0.12837661006546736</v>
      </c>
      <c r="F243" s="15">
        <f t="shared" si="31"/>
        <v>3.3273786820475293E-3</v>
      </c>
      <c r="G243" s="15">
        <f t="shared" si="31"/>
        <v>1.34875564699279E-2</v>
      </c>
      <c r="H243" s="15">
        <f t="shared" si="31"/>
        <v>2.0734495104158389E-2</v>
      </c>
      <c r="I243" s="15">
        <f t="shared" si="31"/>
        <v>4.0835506761814919E-3</v>
      </c>
      <c r="J243" s="15">
        <f t="shared" si="31"/>
        <v>1.3497561391018612E-2</v>
      </c>
      <c r="K243" s="15">
        <f t="shared" si="31"/>
        <v>0</v>
      </c>
      <c r="L243" s="15">
        <f t="shared" si="31"/>
        <v>6.2505860983088865E-4</v>
      </c>
      <c r="M243" s="15">
        <f t="shared" si="31"/>
        <v>1.116005956297654E-2</v>
      </c>
      <c r="N243" s="15">
        <f t="shared" si="31"/>
        <v>0</v>
      </c>
      <c r="O243" s="15">
        <f t="shared" si="31"/>
        <v>0.68684561783097009</v>
      </c>
      <c r="P243" s="15">
        <f t="shared" si="31"/>
        <v>0.11638899717175678</v>
      </c>
      <c r="Q243" s="15">
        <f t="shared" si="31"/>
        <v>0.72492189621978176</v>
      </c>
      <c r="R243" s="15">
        <f t="shared" si="31"/>
        <v>0.27507810378021824</v>
      </c>
    </row>
    <row r="244" spans="1:18" x14ac:dyDescent="0.25">
      <c r="A244">
        <f t="shared" si="32"/>
        <v>2018</v>
      </c>
      <c r="B244" t="str">
        <f t="shared" si="32"/>
        <v>Nov</v>
      </c>
      <c r="C244" s="15">
        <f t="shared" si="31"/>
        <v>0</v>
      </c>
      <c r="D244" s="15">
        <f t="shared" si="31"/>
        <v>7.0768512322528935E-4</v>
      </c>
      <c r="E244" s="15">
        <f t="shared" si="31"/>
        <v>0.12689352896801048</v>
      </c>
      <c r="F244" s="15">
        <f t="shared" si="31"/>
        <v>3.3084949493569628E-3</v>
      </c>
      <c r="G244" s="15">
        <f t="shared" si="31"/>
        <v>1.7859946208411893E-2</v>
      </c>
      <c r="H244" s="15">
        <f t="shared" si="31"/>
        <v>1.7793367069196962E-2</v>
      </c>
      <c r="I244" s="15">
        <f t="shared" si="31"/>
        <v>2.0668001881008883E-3</v>
      </c>
      <c r="J244" s="15">
        <f t="shared" si="31"/>
        <v>1.2987838050093046E-2</v>
      </c>
      <c r="K244" s="15">
        <f t="shared" si="31"/>
        <v>0</v>
      </c>
      <c r="L244" s="15">
        <f t="shared" si="31"/>
        <v>7.738664664864657E-5</v>
      </c>
      <c r="M244" s="15">
        <f t="shared" si="31"/>
        <v>2.3609835016306705E-2</v>
      </c>
      <c r="N244" s="15">
        <f t="shared" si="31"/>
        <v>0</v>
      </c>
      <c r="O244" s="15">
        <f t="shared" si="31"/>
        <v>0.67545569545693063</v>
      </c>
      <c r="P244" s="15">
        <f t="shared" si="31"/>
        <v>0.11923942232371854</v>
      </c>
      <c r="Q244" s="15">
        <f t="shared" si="31"/>
        <v>0.71971076950040902</v>
      </c>
      <c r="R244" s="15">
        <f t="shared" si="31"/>
        <v>0.28028923049959092</v>
      </c>
    </row>
    <row r="245" spans="1:18" x14ac:dyDescent="0.25">
      <c r="A245">
        <f t="shared" si="32"/>
        <v>2018</v>
      </c>
      <c r="B245" t="str">
        <f t="shared" si="32"/>
        <v>Dec</v>
      </c>
      <c r="C245" s="15">
        <f t="shared" si="31"/>
        <v>0</v>
      </c>
      <c r="D245" s="15">
        <f t="shared" si="31"/>
        <v>8.6797496610513988E-4</v>
      </c>
      <c r="E245" s="15">
        <f t="shared" si="31"/>
        <v>0.12506318810236938</v>
      </c>
      <c r="F245" s="15">
        <f t="shared" si="31"/>
        <v>3.9829178810209852E-3</v>
      </c>
      <c r="G245" s="15">
        <f t="shared" si="31"/>
        <v>1.7720645209220797E-2</v>
      </c>
      <c r="H245" s="15">
        <f t="shared" si="31"/>
        <v>1.1955552978860966E-2</v>
      </c>
      <c r="I245" s="15">
        <f t="shared" si="31"/>
        <v>8.3959860717227306E-4</v>
      </c>
      <c r="J245" s="15">
        <f t="shared" si="31"/>
        <v>1.2634375587106349E-2</v>
      </c>
      <c r="K245" s="15">
        <f t="shared" si="31"/>
        <v>0</v>
      </c>
      <c r="L245" s="15">
        <f t="shared" si="31"/>
        <v>0</v>
      </c>
      <c r="M245" s="15">
        <f t="shared" si="31"/>
        <v>3.0897938580142927E-2</v>
      </c>
      <c r="N245" s="15">
        <f t="shared" si="31"/>
        <v>0</v>
      </c>
      <c r="O245" s="15">
        <f t="shared" si="31"/>
        <v>0.68148835273705788</v>
      </c>
      <c r="P245" s="15">
        <f t="shared" si="31"/>
        <v>0.11454945535094332</v>
      </c>
      <c r="Q245" s="15">
        <f t="shared" si="31"/>
        <v>0.72604941786933919</v>
      </c>
      <c r="R245" s="15">
        <f t="shared" si="31"/>
        <v>0.27395058213066081</v>
      </c>
    </row>
    <row r="246" spans="1:18" x14ac:dyDescent="0.25">
      <c r="A246">
        <f t="shared" si="32"/>
        <v>2019</v>
      </c>
      <c r="B246" t="str">
        <f t="shared" si="32"/>
        <v>Jan</v>
      </c>
      <c r="C246" s="15">
        <f t="shared" si="31"/>
        <v>0</v>
      </c>
      <c r="D246" s="15">
        <f t="shared" si="31"/>
        <v>1.7908497240402522E-3</v>
      </c>
      <c r="E246" s="15">
        <f t="shared" si="31"/>
        <v>0.1251249960926725</v>
      </c>
      <c r="F246" s="15">
        <f t="shared" si="31"/>
        <v>3.453939354820957E-3</v>
      </c>
      <c r="G246" s="15">
        <f t="shared" si="31"/>
        <v>1.8319814687219351E-2</v>
      </c>
      <c r="H246" s="15">
        <f t="shared" si="31"/>
        <v>5.5292078893988614E-3</v>
      </c>
      <c r="I246" s="15">
        <f t="shared" si="31"/>
        <v>0</v>
      </c>
      <c r="J246" s="15">
        <f t="shared" si="31"/>
        <v>1.8670760229689446E-2</v>
      </c>
      <c r="K246" s="15">
        <f t="shared" si="31"/>
        <v>0</v>
      </c>
      <c r="L246" s="15">
        <f t="shared" si="31"/>
        <v>5.7424606130516845E-4</v>
      </c>
      <c r="M246" s="15">
        <f t="shared" si="31"/>
        <v>2.9358922291587885E-2</v>
      </c>
      <c r="N246" s="15">
        <f t="shared" si="31"/>
        <v>0</v>
      </c>
      <c r="O246" s="15">
        <f t="shared" si="31"/>
        <v>0.67329047606126169</v>
      </c>
      <c r="P246" s="15">
        <f t="shared" si="31"/>
        <v>0.12388678760800394</v>
      </c>
      <c r="Q246" s="15">
        <f t="shared" si="31"/>
        <v>0.71054370202759387</v>
      </c>
      <c r="R246" s="15">
        <f t="shared" si="31"/>
        <v>0.28945629797240613</v>
      </c>
    </row>
    <row r="247" spans="1:18" x14ac:dyDescent="0.25">
      <c r="A247">
        <f t="shared" si="32"/>
        <v>2019</v>
      </c>
      <c r="B247" t="str">
        <f t="shared" si="32"/>
        <v>Feb</v>
      </c>
      <c r="C247" s="15">
        <f t="shared" si="31"/>
        <v>0</v>
      </c>
      <c r="D247" s="15">
        <f t="shared" si="31"/>
        <v>9.434296149876028E-4</v>
      </c>
      <c r="E247" s="15">
        <f t="shared" si="31"/>
        <v>0.13588538207177511</v>
      </c>
      <c r="F247" s="15">
        <f t="shared" si="31"/>
        <v>5.2679427534431961E-3</v>
      </c>
      <c r="G247" s="15">
        <f t="shared" si="31"/>
        <v>1.8561049084694598E-2</v>
      </c>
      <c r="H247" s="15">
        <f t="shared" si="31"/>
        <v>5.6758250901219661E-3</v>
      </c>
      <c r="I247" s="15">
        <f t="shared" si="31"/>
        <v>0</v>
      </c>
      <c r="J247" s="15">
        <f t="shared" si="31"/>
        <v>1.9879303748463747E-2</v>
      </c>
      <c r="K247" s="15">
        <f t="shared" si="31"/>
        <v>0</v>
      </c>
      <c r="L247" s="15">
        <f t="shared" si="31"/>
        <v>9.1434427078424985E-5</v>
      </c>
      <c r="M247" s="15">
        <f t="shared" si="31"/>
        <v>1.6390278099823664E-2</v>
      </c>
      <c r="N247" s="15">
        <f t="shared" si="31"/>
        <v>0</v>
      </c>
      <c r="O247" s="15">
        <f t="shared" si="31"/>
        <v>0.67240645075699146</v>
      </c>
      <c r="P247" s="15">
        <f t="shared" si="31"/>
        <v>0.12489890435262026</v>
      </c>
      <c r="Q247" s="15">
        <f t="shared" si="31"/>
        <v>0.69550741798900317</v>
      </c>
      <c r="R247" s="15">
        <f t="shared" si="31"/>
        <v>0.30449258201099683</v>
      </c>
    </row>
    <row r="248" spans="1:18" x14ac:dyDescent="0.25">
      <c r="A248">
        <f t="shared" si="32"/>
        <v>2019</v>
      </c>
      <c r="B248" t="str">
        <f t="shared" si="32"/>
        <v>Mar</v>
      </c>
      <c r="C248" s="15">
        <f t="shared" si="31"/>
        <v>0</v>
      </c>
      <c r="D248" s="15">
        <f t="shared" si="31"/>
        <v>9.376465104240974E-4</v>
      </c>
      <c r="E248" s="15">
        <f t="shared" si="31"/>
        <v>0.12984973812794393</v>
      </c>
      <c r="F248" s="15">
        <f t="shared" si="31"/>
        <v>4.2324358640366449E-3</v>
      </c>
      <c r="G248" s="15">
        <f t="shared" si="31"/>
        <v>1.8707740461335214E-2</v>
      </c>
      <c r="H248" s="15">
        <f t="shared" si="31"/>
        <v>6.1477440396618607E-3</v>
      </c>
      <c r="I248" s="15">
        <f t="shared" si="31"/>
        <v>0</v>
      </c>
      <c r="J248" s="15">
        <f t="shared" si="31"/>
        <v>1.429277396195781E-2</v>
      </c>
      <c r="K248" s="15">
        <f t="shared" si="31"/>
        <v>0</v>
      </c>
      <c r="L248" s="15">
        <f t="shared" si="31"/>
        <v>5.4325732134358966E-4</v>
      </c>
      <c r="M248" s="15">
        <f t="shared" si="31"/>
        <v>1.2668168495171842E-2</v>
      </c>
      <c r="N248" s="15">
        <f t="shared" si="31"/>
        <v>0</v>
      </c>
      <c r="O248" s="15">
        <f t="shared" si="31"/>
        <v>0.6872291522340217</v>
      </c>
      <c r="P248" s="15">
        <f t="shared" si="31"/>
        <v>0.12539134298410337</v>
      </c>
      <c r="Q248" s="15">
        <f t="shared" si="31"/>
        <v>0.70752596860062311</v>
      </c>
      <c r="R248" s="15">
        <f t="shared" si="31"/>
        <v>0.29247403139937683</v>
      </c>
    </row>
    <row r="249" spans="1:18" x14ac:dyDescent="0.25">
      <c r="A249">
        <f t="shared" si="32"/>
        <v>2019</v>
      </c>
      <c r="B249" t="str">
        <f t="shared" si="32"/>
        <v>Apr</v>
      </c>
      <c r="C249" s="15">
        <f t="shared" si="31"/>
        <v>0</v>
      </c>
      <c r="D249" s="15">
        <f t="shared" si="31"/>
        <v>1.0439610388919885E-3</v>
      </c>
      <c r="E249" s="15">
        <f t="shared" si="31"/>
        <v>0.11844080598699865</v>
      </c>
      <c r="F249" s="15">
        <f t="shared" si="31"/>
        <v>4.7888180507913089E-3</v>
      </c>
      <c r="G249" s="15">
        <f t="shared" si="31"/>
        <v>2.0014171281004928E-2</v>
      </c>
      <c r="H249" s="15">
        <f t="shared" si="31"/>
        <v>3.3742831386193743E-3</v>
      </c>
      <c r="I249" s="15">
        <f t="shared" si="31"/>
        <v>0</v>
      </c>
      <c r="J249" s="15">
        <f t="shared" si="31"/>
        <v>1.9234173253507958E-2</v>
      </c>
      <c r="K249" s="15">
        <f t="shared" si="31"/>
        <v>0</v>
      </c>
      <c r="L249" s="15">
        <f t="shared" si="31"/>
        <v>1.3618264223064149E-4</v>
      </c>
      <c r="M249" s="15">
        <f t="shared" si="31"/>
        <v>1.2744041228872925E-2</v>
      </c>
      <c r="N249" s="15">
        <f t="shared" si="31"/>
        <v>0</v>
      </c>
      <c r="O249" s="15">
        <f t="shared" si="31"/>
        <v>0.70378780722110867</v>
      </c>
      <c r="P249" s="15">
        <f t="shared" si="31"/>
        <v>0.11643575615797357</v>
      </c>
      <c r="Q249" s="15">
        <f t="shared" si="31"/>
        <v>0.72108627526972369</v>
      </c>
      <c r="R249" s="15">
        <f t="shared" si="31"/>
        <v>0.27891372473027631</v>
      </c>
    </row>
    <row r="250" spans="1:18" x14ac:dyDescent="0.25">
      <c r="A250">
        <f t="shared" si="32"/>
        <v>2019</v>
      </c>
      <c r="B250" t="str">
        <f t="shared" si="32"/>
        <v>May</v>
      </c>
      <c r="C250" s="15">
        <f t="shared" si="31"/>
        <v>0</v>
      </c>
      <c r="D250" s="15">
        <f t="shared" si="31"/>
        <v>8.9175941104512957E-4</v>
      </c>
      <c r="E250" s="15">
        <f t="shared" si="31"/>
        <v>0.10691341298003341</v>
      </c>
      <c r="F250" s="15">
        <f t="shared" si="31"/>
        <v>3.8775526660606756E-3</v>
      </c>
      <c r="G250" s="15">
        <f t="shared" si="31"/>
        <v>1.3834612206512763E-2</v>
      </c>
      <c r="H250" s="15">
        <f t="shared" si="31"/>
        <v>4.4502277067777129E-3</v>
      </c>
      <c r="I250" s="15">
        <f t="shared" si="31"/>
        <v>0</v>
      </c>
      <c r="J250" s="15">
        <f t="shared" si="31"/>
        <v>9.3896331951019013E-3</v>
      </c>
      <c r="K250" s="15">
        <f t="shared" si="31"/>
        <v>0</v>
      </c>
      <c r="L250" s="15">
        <f t="shared" si="31"/>
        <v>0</v>
      </c>
      <c r="M250" s="15">
        <f t="shared" si="31"/>
        <v>2.0519083007380583E-2</v>
      </c>
      <c r="N250" s="15">
        <f t="shared" si="31"/>
        <v>0</v>
      </c>
      <c r="O250" s="15">
        <f t="shared" si="31"/>
        <v>0.73733753817165737</v>
      </c>
      <c r="P250" s="15">
        <f t="shared" si="31"/>
        <v>0.10278618065543042</v>
      </c>
      <c r="Q250" s="15">
        <f t="shared" si="31"/>
        <v>0.76319860829686081</v>
      </c>
      <c r="R250" s="15">
        <f t="shared" si="31"/>
        <v>0.23680139170313924</v>
      </c>
    </row>
    <row r="251" spans="1:18" x14ac:dyDescent="0.25">
      <c r="A251">
        <f t="shared" si="32"/>
        <v>2019</v>
      </c>
      <c r="B251" t="str">
        <f t="shared" si="32"/>
        <v>Jun</v>
      </c>
      <c r="C251" s="15">
        <f t="shared" si="31"/>
        <v>0</v>
      </c>
      <c r="D251" s="15">
        <f t="shared" si="31"/>
        <v>1.5062846570890671E-3</v>
      </c>
      <c r="E251" s="15">
        <f t="shared" si="31"/>
        <v>0.11650350931382003</v>
      </c>
      <c r="F251" s="15">
        <f t="shared" si="31"/>
        <v>4.1206851952506037E-3</v>
      </c>
      <c r="G251" s="15">
        <f t="shared" si="31"/>
        <v>1.6311674555484653E-2</v>
      </c>
      <c r="H251" s="15">
        <f t="shared" si="31"/>
        <v>3.6092365316298261E-3</v>
      </c>
      <c r="I251" s="15">
        <f t="shared" si="31"/>
        <v>0</v>
      </c>
      <c r="J251" s="15">
        <f t="shared" si="31"/>
        <v>1.6606616296751923E-2</v>
      </c>
      <c r="K251" s="15">
        <f t="shared" si="31"/>
        <v>0</v>
      </c>
      <c r="L251" s="15">
        <f t="shared" si="31"/>
        <v>8.5612726412344928E-5</v>
      </c>
      <c r="M251" s="15">
        <f t="shared" si="31"/>
        <v>2.1088660876451813E-2</v>
      </c>
      <c r="N251" s="15">
        <f t="shared" si="31"/>
        <v>0</v>
      </c>
      <c r="O251" s="15">
        <f t="shared" si="31"/>
        <v>0.71546146653296983</v>
      </c>
      <c r="P251" s="15">
        <f t="shared" si="31"/>
        <v>0.10470625331413999</v>
      </c>
      <c r="Q251" s="15">
        <f t="shared" si="31"/>
        <v>0.74175126132455282</v>
      </c>
      <c r="R251" s="15">
        <f t="shared" si="31"/>
        <v>0.25824873867544718</v>
      </c>
    </row>
    <row r="252" spans="1:18" x14ac:dyDescent="0.25">
      <c r="A252">
        <f t="shared" si="32"/>
        <v>2019</v>
      </c>
      <c r="B252" t="str">
        <f t="shared" si="32"/>
        <v>Jul</v>
      </c>
      <c r="C252" s="15">
        <f t="shared" si="31"/>
        <v>0</v>
      </c>
      <c r="D252" s="15">
        <f t="shared" si="31"/>
        <v>2.7188779955420401E-3</v>
      </c>
      <c r="E252" s="15">
        <f t="shared" si="31"/>
        <v>8.1230359456890736E-2</v>
      </c>
      <c r="F252" s="15">
        <f t="shared" si="31"/>
        <v>7.6354400476914934E-3</v>
      </c>
      <c r="G252" s="15">
        <f t="shared" si="31"/>
        <v>1.8667449996796811E-2</v>
      </c>
      <c r="H252" s="15">
        <f t="shared" si="31"/>
        <v>5.4512041251870962E-3</v>
      </c>
      <c r="I252" s="15">
        <f t="shared" si="31"/>
        <v>0</v>
      </c>
      <c r="J252" s="15">
        <f t="shared" si="31"/>
        <v>1.4721074499778249E-2</v>
      </c>
      <c r="K252" s="15">
        <f t="shared" si="31"/>
        <v>0</v>
      </c>
      <c r="L252" s="15">
        <f t="shared" si="31"/>
        <v>7.5848145303357266E-4</v>
      </c>
      <c r="M252" s="15">
        <f t="shared" si="31"/>
        <v>1.7451049903705215E-2</v>
      </c>
      <c r="N252" s="15">
        <f t="shared" si="31"/>
        <v>0</v>
      </c>
      <c r="O252" s="15">
        <f t="shared" si="31"/>
        <v>0.73555670578734567</v>
      </c>
      <c r="P252" s="15">
        <f t="shared" si="31"/>
        <v>0.11580935673402906</v>
      </c>
      <c r="Q252" s="15">
        <f t="shared" si="31"/>
        <v>0.76193631926481364</v>
      </c>
      <c r="R252" s="15">
        <f t="shared" si="31"/>
        <v>0.23806368073518636</v>
      </c>
    </row>
    <row r="253" spans="1:18" x14ac:dyDescent="0.25">
      <c r="A253">
        <f t="shared" si="32"/>
        <v>2019</v>
      </c>
      <c r="B253" t="str">
        <f t="shared" si="32"/>
        <v>Aug</v>
      </c>
      <c r="C253" s="15">
        <f t="shared" si="31"/>
        <v>0</v>
      </c>
      <c r="D253" s="15">
        <f t="shared" si="31"/>
        <v>5.3211488578651779E-4</v>
      </c>
      <c r="E253" s="15">
        <f t="shared" si="31"/>
        <v>0.10164084756393087</v>
      </c>
      <c r="F253" s="15">
        <f t="shared" si="31"/>
        <v>8.1956973596522646E-3</v>
      </c>
      <c r="G253" s="15">
        <f t="shared" si="31"/>
        <v>2.0414150809505441E-2</v>
      </c>
      <c r="H253" s="15">
        <f t="shared" si="31"/>
        <v>1.1417705716244328E-2</v>
      </c>
      <c r="I253" s="15">
        <f t="shared" si="31"/>
        <v>0</v>
      </c>
      <c r="J253" s="15">
        <f t="shared" si="31"/>
        <v>1.8988361439267822E-2</v>
      </c>
      <c r="K253" s="15">
        <f t="shared" si="31"/>
        <v>0</v>
      </c>
      <c r="L253" s="15">
        <f t="shared" si="31"/>
        <v>0</v>
      </c>
      <c r="M253" s="15">
        <f t="shared" si="31"/>
        <v>1.9298870784707878E-2</v>
      </c>
      <c r="N253" s="15">
        <f t="shared" si="31"/>
        <v>0</v>
      </c>
      <c r="O253" s="15">
        <f t="shared" si="31"/>
        <v>0.70952330119560991</v>
      </c>
      <c r="P253" s="15">
        <f t="shared" si="31"/>
        <v>0.10998895024529493</v>
      </c>
      <c r="Q253" s="15">
        <f t="shared" si="31"/>
        <v>0.7407719925823486</v>
      </c>
      <c r="R253" s="15">
        <f t="shared" ref="R253" si="33">R33/$S33</f>
        <v>0.25922800741765134</v>
      </c>
    </row>
    <row r="254" spans="1:18" x14ac:dyDescent="0.25">
      <c r="A254">
        <f t="shared" si="32"/>
        <v>2019</v>
      </c>
      <c r="B254" t="str">
        <f t="shared" si="32"/>
        <v>Sep</v>
      </c>
      <c r="C254" s="15">
        <f t="shared" ref="C254:R269" si="34">C34/$S34</f>
        <v>0</v>
      </c>
      <c r="D254" s="15">
        <f t="shared" si="34"/>
        <v>5.5468024894768451E-4</v>
      </c>
      <c r="E254" s="15">
        <f t="shared" si="34"/>
        <v>0.12168327554653342</v>
      </c>
      <c r="F254" s="15">
        <f t="shared" si="34"/>
        <v>6.0117175128890149E-3</v>
      </c>
      <c r="G254" s="15">
        <f t="shared" si="34"/>
        <v>1.7715082770557337E-2</v>
      </c>
      <c r="H254" s="15">
        <f t="shared" si="34"/>
        <v>2.1988822189424252E-2</v>
      </c>
      <c r="I254" s="15">
        <f t="shared" si="34"/>
        <v>1.0159582979157988E-3</v>
      </c>
      <c r="J254" s="15">
        <f t="shared" si="34"/>
        <v>1.4572430952779136E-2</v>
      </c>
      <c r="K254" s="15">
        <f t="shared" si="34"/>
        <v>0</v>
      </c>
      <c r="L254" s="15">
        <f t="shared" si="34"/>
        <v>3.152110089528887E-4</v>
      </c>
      <c r="M254" s="15">
        <f t="shared" si="34"/>
        <v>2.2246240013471481E-2</v>
      </c>
      <c r="N254" s="15">
        <f t="shared" si="34"/>
        <v>0</v>
      </c>
      <c r="O254" s="15">
        <f t="shared" si="34"/>
        <v>0.67279852012665786</v>
      </c>
      <c r="P254" s="15">
        <f t="shared" si="34"/>
        <v>0.12109806133187112</v>
      </c>
      <c r="Q254" s="15">
        <f t="shared" si="34"/>
        <v>0.71891943188536989</v>
      </c>
      <c r="R254" s="15">
        <f t="shared" si="34"/>
        <v>0.28108056811463011</v>
      </c>
    </row>
    <row r="255" spans="1:18" x14ac:dyDescent="0.25">
      <c r="A255">
        <f t="shared" ref="A255:B270" si="35">A35</f>
        <v>2019</v>
      </c>
      <c r="B255" t="str">
        <f t="shared" si="35"/>
        <v>Oct</v>
      </c>
      <c r="C255" s="15">
        <f t="shared" si="34"/>
        <v>0</v>
      </c>
      <c r="D255" s="15">
        <f t="shared" si="34"/>
        <v>1.052469087965989E-3</v>
      </c>
      <c r="E255" s="15">
        <f t="shared" si="34"/>
        <v>0.13549500905803236</v>
      </c>
      <c r="F255" s="15">
        <f t="shared" si="34"/>
        <v>5.2644514447574104E-3</v>
      </c>
      <c r="G255" s="15">
        <f t="shared" si="34"/>
        <v>1.6597838958673155E-2</v>
      </c>
      <c r="H255" s="15">
        <f t="shared" si="34"/>
        <v>2.1658229031093951E-2</v>
      </c>
      <c r="I255" s="15">
        <f t="shared" si="34"/>
        <v>4.5294923341533357E-4</v>
      </c>
      <c r="J255" s="15">
        <f t="shared" si="34"/>
        <v>1.4096137782834837E-2</v>
      </c>
      <c r="K255" s="15">
        <f t="shared" si="34"/>
        <v>0</v>
      </c>
      <c r="L255" s="15">
        <f t="shared" si="34"/>
        <v>4.4758285269872787E-3</v>
      </c>
      <c r="M255" s="15">
        <f t="shared" si="34"/>
        <v>1.5500874333206455E-2</v>
      </c>
      <c r="N255" s="15">
        <f t="shared" si="34"/>
        <v>0</v>
      </c>
      <c r="O255" s="15">
        <f t="shared" si="34"/>
        <v>0.66394366525339898</v>
      </c>
      <c r="P255" s="15">
        <f t="shared" si="34"/>
        <v>0.12146254728963424</v>
      </c>
      <c r="Q255" s="15">
        <f t="shared" si="34"/>
        <v>0.70708401546606792</v>
      </c>
      <c r="R255" s="15">
        <f t="shared" si="34"/>
        <v>0.29291598453393203</v>
      </c>
    </row>
    <row r="256" spans="1:18" x14ac:dyDescent="0.25">
      <c r="A256">
        <f t="shared" si="35"/>
        <v>2019</v>
      </c>
      <c r="B256" t="str">
        <f t="shared" si="35"/>
        <v>Nov</v>
      </c>
      <c r="C256" s="15">
        <f t="shared" si="34"/>
        <v>0</v>
      </c>
      <c r="D256" s="15">
        <f t="shared" si="34"/>
        <v>4.2655757873335084E-4</v>
      </c>
      <c r="E256" s="15">
        <f t="shared" si="34"/>
        <v>8.9348084495612531E-2</v>
      </c>
      <c r="F256" s="15">
        <f t="shared" si="34"/>
        <v>4.8951172107584116E-3</v>
      </c>
      <c r="G256" s="15">
        <f t="shared" si="34"/>
        <v>1.373580293322769E-2</v>
      </c>
      <c r="H256" s="15">
        <f t="shared" si="34"/>
        <v>1.5238226415483259E-2</v>
      </c>
      <c r="I256" s="15">
        <f t="shared" si="34"/>
        <v>3.3356912581113869E-3</v>
      </c>
      <c r="J256" s="15">
        <f t="shared" si="34"/>
        <v>1.0873051494573904E-2</v>
      </c>
      <c r="K256" s="15">
        <f t="shared" si="34"/>
        <v>0</v>
      </c>
      <c r="L256" s="15">
        <f t="shared" si="34"/>
        <v>0.22153091148301707</v>
      </c>
      <c r="M256" s="15">
        <f t="shared" si="34"/>
        <v>1.9543525127477292E-2</v>
      </c>
      <c r="N256" s="15">
        <f t="shared" si="34"/>
        <v>0</v>
      </c>
      <c r="O256" s="15">
        <f t="shared" si="34"/>
        <v>0.54091993004692906</v>
      </c>
      <c r="P256" s="15">
        <f t="shared" si="34"/>
        <v>8.0153101956075945E-2</v>
      </c>
      <c r="Q256" s="15">
        <f t="shared" si="34"/>
        <v>0.80099484190975134</v>
      </c>
      <c r="R256" s="15">
        <f t="shared" si="34"/>
        <v>0.19900515809024863</v>
      </c>
    </row>
    <row r="257" spans="1:18" x14ac:dyDescent="0.25">
      <c r="A257">
        <f t="shared" si="35"/>
        <v>2019</v>
      </c>
      <c r="B257" t="str">
        <f t="shared" si="35"/>
        <v>Dec</v>
      </c>
      <c r="C257" s="15">
        <f t="shared" si="34"/>
        <v>0</v>
      </c>
      <c r="D257" s="15">
        <f t="shared" si="34"/>
        <v>6.7803258745092977E-4</v>
      </c>
      <c r="E257" s="15">
        <f t="shared" si="34"/>
        <v>0.11291199430188252</v>
      </c>
      <c r="F257" s="15">
        <f t="shared" si="34"/>
        <v>6.6198340039217724E-3</v>
      </c>
      <c r="G257" s="15">
        <f t="shared" si="34"/>
        <v>1.9605555234076012E-2</v>
      </c>
      <c r="H257" s="15">
        <f t="shared" si="34"/>
        <v>1.9576487476402504E-2</v>
      </c>
      <c r="I257" s="15">
        <f t="shared" si="34"/>
        <v>0</v>
      </c>
      <c r="J257" s="15">
        <f t="shared" si="34"/>
        <v>1.4301632882663803E-2</v>
      </c>
      <c r="K257" s="15">
        <f t="shared" si="34"/>
        <v>0</v>
      </c>
      <c r="L257" s="15">
        <f t="shared" si="34"/>
        <v>3.6854799524528841E-3</v>
      </c>
      <c r="M257" s="15">
        <f t="shared" si="34"/>
        <v>2.829490837372051E-2</v>
      </c>
      <c r="N257" s="15">
        <f t="shared" si="34"/>
        <v>0</v>
      </c>
      <c r="O257" s="15">
        <f t="shared" si="34"/>
        <v>0.70594179408037261</v>
      </c>
      <c r="P257" s="15">
        <f t="shared" si="34"/>
        <v>8.8384281107056414E-2</v>
      </c>
      <c r="Q257" s="15">
        <f t="shared" si="34"/>
        <v>0.75817670247039948</v>
      </c>
      <c r="R257" s="15">
        <f t="shared" si="34"/>
        <v>0.24182329752960049</v>
      </c>
    </row>
    <row r="258" spans="1:18" x14ac:dyDescent="0.25">
      <c r="A258">
        <f t="shared" si="35"/>
        <v>2020</v>
      </c>
      <c r="B258" t="str">
        <f t="shared" si="35"/>
        <v>Jan</v>
      </c>
      <c r="C258" s="15">
        <f t="shared" si="34"/>
        <v>0</v>
      </c>
      <c r="D258" s="15">
        <f t="shared" si="34"/>
        <v>2.7253415917329548E-3</v>
      </c>
      <c r="E258" s="15">
        <f t="shared" si="34"/>
        <v>0.12663579304211983</v>
      </c>
      <c r="F258" s="15">
        <f t="shared" si="34"/>
        <v>8.7653958674036286E-3</v>
      </c>
      <c r="G258" s="15">
        <f t="shared" si="34"/>
        <v>1.7387735922009942E-2</v>
      </c>
      <c r="H258" s="15">
        <f t="shared" si="34"/>
        <v>1.8683591096010241E-2</v>
      </c>
      <c r="I258" s="15">
        <f t="shared" si="34"/>
        <v>2.4992514562564914E-3</v>
      </c>
      <c r="J258" s="15">
        <f t="shared" si="34"/>
        <v>1.5552443578932498E-2</v>
      </c>
      <c r="K258" s="15">
        <f t="shared" si="34"/>
        <v>0</v>
      </c>
      <c r="L258" s="15">
        <f t="shared" si="34"/>
        <v>4.7294750846269672E-3</v>
      </c>
      <c r="M258" s="15">
        <f t="shared" si="34"/>
        <v>2.5855784048653938E-2</v>
      </c>
      <c r="N258" s="15">
        <f t="shared" si="34"/>
        <v>0</v>
      </c>
      <c r="O258" s="15">
        <f t="shared" si="34"/>
        <v>0.66440845418425343</v>
      </c>
      <c r="P258" s="15">
        <f t="shared" si="34"/>
        <v>0.11275673412800021</v>
      </c>
      <c r="Q258" s="15">
        <f t="shared" si="34"/>
        <v>0.7189018974615341</v>
      </c>
      <c r="R258" s="15">
        <f t="shared" si="34"/>
        <v>0.28109810253846595</v>
      </c>
    </row>
    <row r="259" spans="1:18" x14ac:dyDescent="0.25">
      <c r="A259">
        <f t="shared" si="35"/>
        <v>2020</v>
      </c>
      <c r="B259" t="str">
        <f t="shared" si="35"/>
        <v>Feb</v>
      </c>
      <c r="C259" s="15">
        <f t="shared" si="34"/>
        <v>1.5739250223964011E-4</v>
      </c>
      <c r="D259" s="15">
        <f t="shared" si="34"/>
        <v>1.5952573312804077E-3</v>
      </c>
      <c r="E259" s="15">
        <f t="shared" si="34"/>
        <v>0.10968323653614724</v>
      </c>
      <c r="F259" s="15">
        <f t="shared" si="34"/>
        <v>6.5191837508484255E-3</v>
      </c>
      <c r="G259" s="15">
        <f t="shared" si="34"/>
        <v>1.9423319718697186E-2</v>
      </c>
      <c r="H259" s="15">
        <f t="shared" si="34"/>
        <v>1.7422568490818618E-2</v>
      </c>
      <c r="I259" s="15">
        <f t="shared" si="34"/>
        <v>0</v>
      </c>
      <c r="J259" s="15">
        <f t="shared" si="34"/>
        <v>1.7876208592951033E-2</v>
      </c>
      <c r="K259" s="15">
        <f t="shared" si="34"/>
        <v>0</v>
      </c>
      <c r="L259" s="15">
        <f t="shared" si="34"/>
        <v>2.7080509715738149E-3</v>
      </c>
      <c r="M259" s="15">
        <f t="shared" si="34"/>
        <v>1.718523632277684E-2</v>
      </c>
      <c r="N259" s="15">
        <f t="shared" si="34"/>
        <v>0</v>
      </c>
      <c r="O259" s="15">
        <f t="shared" si="34"/>
        <v>0.69243094689431861</v>
      </c>
      <c r="P259" s="15">
        <f t="shared" si="34"/>
        <v>0.11499859888834819</v>
      </c>
      <c r="Q259" s="15">
        <f t="shared" si="34"/>
        <v>0.73149945251300785</v>
      </c>
      <c r="R259" s="15">
        <f t="shared" si="34"/>
        <v>0.26850054748699209</v>
      </c>
    </row>
    <row r="260" spans="1:18" x14ac:dyDescent="0.25">
      <c r="A260">
        <f t="shared" si="35"/>
        <v>2020</v>
      </c>
      <c r="B260" t="str">
        <f t="shared" si="35"/>
        <v>Mar</v>
      </c>
      <c r="C260" s="15">
        <f t="shared" si="34"/>
        <v>8.067009432899222E-5</v>
      </c>
      <c r="D260" s="15">
        <f t="shared" si="34"/>
        <v>1.8914911544758086E-3</v>
      </c>
      <c r="E260" s="15">
        <f t="shared" si="34"/>
        <v>8.3195273461497091E-2</v>
      </c>
      <c r="F260" s="15">
        <f t="shared" si="34"/>
        <v>9.9947246676089715E-3</v>
      </c>
      <c r="G260" s="15">
        <f t="shared" si="34"/>
        <v>1.5508056764752341E-2</v>
      </c>
      <c r="H260" s="15">
        <f t="shared" si="34"/>
        <v>9.6579950060615549E-3</v>
      </c>
      <c r="I260" s="15">
        <f t="shared" si="34"/>
        <v>0</v>
      </c>
      <c r="J260" s="15">
        <f t="shared" si="34"/>
        <v>1.7235159194840852E-2</v>
      </c>
      <c r="K260" s="15">
        <f t="shared" si="34"/>
        <v>0</v>
      </c>
      <c r="L260" s="15">
        <f t="shared" si="34"/>
        <v>4.2130251535498825E-3</v>
      </c>
      <c r="M260" s="15">
        <f t="shared" si="34"/>
        <v>1.9348645328632477E-2</v>
      </c>
      <c r="N260" s="15">
        <f t="shared" si="34"/>
        <v>0</v>
      </c>
      <c r="O260" s="15">
        <f t="shared" si="34"/>
        <v>0.72497753142128463</v>
      </c>
      <c r="P260" s="15">
        <f t="shared" si="34"/>
        <v>0.11389742775296736</v>
      </c>
      <c r="Q260" s="15">
        <f t="shared" si="34"/>
        <v>0.76016935815833342</v>
      </c>
      <c r="R260" s="15">
        <f t="shared" si="34"/>
        <v>0.23983064184166661</v>
      </c>
    </row>
    <row r="261" spans="1:18" x14ac:dyDescent="0.25">
      <c r="A261">
        <f t="shared" si="35"/>
        <v>2020</v>
      </c>
      <c r="B261" t="str">
        <f t="shared" si="35"/>
        <v>Apr</v>
      </c>
      <c r="C261" s="15">
        <f t="shared" si="34"/>
        <v>0</v>
      </c>
      <c r="D261" s="15">
        <f t="shared" si="34"/>
        <v>1.9639698238555423E-3</v>
      </c>
      <c r="E261" s="15">
        <f t="shared" si="34"/>
        <v>8.6398930390624573E-2</v>
      </c>
      <c r="F261" s="15">
        <f t="shared" si="34"/>
        <v>5.7925148439105555E-3</v>
      </c>
      <c r="G261" s="15">
        <f t="shared" si="34"/>
        <v>2.3328855644289524E-2</v>
      </c>
      <c r="H261" s="15">
        <f t="shared" si="34"/>
        <v>5.9217575348309397E-3</v>
      </c>
      <c r="I261" s="15">
        <f t="shared" si="34"/>
        <v>0</v>
      </c>
      <c r="J261" s="15">
        <f t="shared" si="34"/>
        <v>1.0082714795063379E-2</v>
      </c>
      <c r="K261" s="15">
        <f t="shared" si="34"/>
        <v>0</v>
      </c>
      <c r="L261" s="15">
        <f t="shared" si="34"/>
        <v>4.9038773190626592E-3</v>
      </c>
      <c r="M261" s="15">
        <f t="shared" si="34"/>
        <v>1.0858788336430291E-2</v>
      </c>
      <c r="N261" s="15">
        <f t="shared" si="34"/>
        <v>0</v>
      </c>
      <c r="O261" s="15">
        <f t="shared" si="34"/>
        <v>0.75430072705788864</v>
      </c>
      <c r="P261" s="15">
        <f t="shared" si="34"/>
        <v>9.6447864254043864E-2</v>
      </c>
      <c r="Q261" s="15">
        <f t="shared" si="34"/>
        <v>0.77794912007206796</v>
      </c>
      <c r="R261" s="15">
        <f t="shared" si="34"/>
        <v>0.22205087992793199</v>
      </c>
    </row>
    <row r="262" spans="1:18" x14ac:dyDescent="0.25">
      <c r="A262">
        <f t="shared" si="35"/>
        <v>2020</v>
      </c>
      <c r="B262" t="str">
        <f t="shared" si="35"/>
        <v>May</v>
      </c>
      <c r="C262" s="15">
        <f t="shared" si="34"/>
        <v>3.3983543217776344E-4</v>
      </c>
      <c r="D262" s="15">
        <f t="shared" si="34"/>
        <v>1.0063891522192395E-3</v>
      </c>
      <c r="E262" s="15">
        <f t="shared" si="34"/>
        <v>7.6265400032197825E-2</v>
      </c>
      <c r="F262" s="15">
        <f t="shared" si="34"/>
        <v>6.4409846921432978E-3</v>
      </c>
      <c r="G262" s="15">
        <f t="shared" si="34"/>
        <v>2.3557292925765236E-2</v>
      </c>
      <c r="H262" s="15">
        <f t="shared" si="34"/>
        <v>9.3778706553576605E-3</v>
      </c>
      <c r="I262" s="15">
        <f t="shared" si="34"/>
        <v>0</v>
      </c>
      <c r="J262" s="15">
        <f t="shared" si="34"/>
        <v>9.3077568817332007E-3</v>
      </c>
      <c r="K262" s="15">
        <f t="shared" si="34"/>
        <v>0</v>
      </c>
      <c r="L262" s="15">
        <f t="shared" si="34"/>
        <v>2.0127624467999095E-3</v>
      </c>
      <c r="M262" s="15">
        <f t="shared" si="34"/>
        <v>2.0557535899584877E-2</v>
      </c>
      <c r="N262" s="15">
        <f t="shared" si="34"/>
        <v>0</v>
      </c>
      <c r="O262" s="15">
        <f t="shared" si="34"/>
        <v>0.75848058250949435</v>
      </c>
      <c r="P262" s="15">
        <f t="shared" si="34"/>
        <v>9.2653589372526587E-2</v>
      </c>
      <c r="Q262" s="15">
        <f t="shared" si="34"/>
        <v>0.79177497609563385</v>
      </c>
      <c r="R262" s="15">
        <f t="shared" si="34"/>
        <v>0.2082250239043662</v>
      </c>
    </row>
    <row r="263" spans="1:18" x14ac:dyDescent="0.25">
      <c r="A263">
        <f t="shared" si="35"/>
        <v>2020</v>
      </c>
      <c r="B263" t="str">
        <f t="shared" si="35"/>
        <v>Jun</v>
      </c>
      <c r="C263" s="15">
        <f t="shared" si="34"/>
        <v>1.0913732773746226E-4</v>
      </c>
      <c r="D263" s="15">
        <f t="shared" si="34"/>
        <v>2.0687542054499157E-3</v>
      </c>
      <c r="E263" s="15">
        <f t="shared" si="34"/>
        <v>9.4786651570563221E-2</v>
      </c>
      <c r="F263" s="15">
        <f t="shared" si="34"/>
        <v>5.7932522376615185E-3</v>
      </c>
      <c r="G263" s="15">
        <f t="shared" si="34"/>
        <v>2.5162248667059666E-2</v>
      </c>
      <c r="H263" s="15">
        <f t="shared" si="34"/>
        <v>8.3325881878788654E-3</v>
      </c>
      <c r="I263" s="15">
        <f t="shared" si="34"/>
        <v>0</v>
      </c>
      <c r="J263" s="15">
        <f t="shared" si="34"/>
        <v>1.0267306877890039E-2</v>
      </c>
      <c r="K263" s="15">
        <f t="shared" si="34"/>
        <v>0</v>
      </c>
      <c r="L263" s="15">
        <f t="shared" si="34"/>
        <v>1.3652511389007406E-3</v>
      </c>
      <c r="M263" s="15">
        <f t="shared" si="34"/>
        <v>3.2400673704110657E-2</v>
      </c>
      <c r="N263" s="15">
        <f t="shared" si="34"/>
        <v>0</v>
      </c>
      <c r="O263" s="15">
        <f t="shared" si="34"/>
        <v>0.69807051023227473</v>
      </c>
      <c r="P263" s="15">
        <f t="shared" si="34"/>
        <v>0.1216436258504732</v>
      </c>
      <c r="Q263" s="15">
        <f t="shared" si="34"/>
        <v>0.7423469147963524</v>
      </c>
      <c r="R263" s="15">
        <f t="shared" si="34"/>
        <v>0.2576530852036476</v>
      </c>
    </row>
    <row r="264" spans="1:18" x14ac:dyDescent="0.25">
      <c r="A264">
        <f t="shared" si="35"/>
        <v>2020</v>
      </c>
      <c r="B264" t="str">
        <f t="shared" si="35"/>
        <v>Jul</v>
      </c>
      <c r="C264" s="15">
        <f t="shared" si="34"/>
        <v>3.7517880454323022E-5</v>
      </c>
      <c r="D264" s="15">
        <f t="shared" si="34"/>
        <v>2.3903757557565356E-3</v>
      </c>
      <c r="E264" s="15">
        <f t="shared" si="34"/>
        <v>7.5922632766972767E-2</v>
      </c>
      <c r="F264" s="15">
        <f t="shared" si="34"/>
        <v>5.8377708834870361E-3</v>
      </c>
      <c r="G264" s="15">
        <f t="shared" si="34"/>
        <v>2.2563308286497476E-2</v>
      </c>
      <c r="H264" s="15">
        <f t="shared" si="34"/>
        <v>1.3766630509298354E-2</v>
      </c>
      <c r="I264" s="15">
        <f t="shared" si="34"/>
        <v>0</v>
      </c>
      <c r="J264" s="15">
        <f t="shared" si="34"/>
        <v>8.8404319433709796E-3</v>
      </c>
      <c r="K264" s="15">
        <f t="shared" si="34"/>
        <v>0</v>
      </c>
      <c r="L264" s="15">
        <f t="shared" si="34"/>
        <v>1.6919825504651317E-3</v>
      </c>
      <c r="M264" s="15">
        <f t="shared" si="34"/>
        <v>3.7192681426537505E-2</v>
      </c>
      <c r="N264" s="15">
        <f t="shared" si="34"/>
        <v>0</v>
      </c>
      <c r="O264" s="15">
        <f t="shared" si="34"/>
        <v>0.72564333209071818</v>
      </c>
      <c r="P264" s="15">
        <f t="shared" si="34"/>
        <v>0.10611333590644156</v>
      </c>
      <c r="Q264" s="15">
        <f t="shared" si="34"/>
        <v>0.78072252021323008</v>
      </c>
      <c r="R264" s="15">
        <f t="shared" si="34"/>
        <v>0.21927747978676995</v>
      </c>
    </row>
    <row r="265" spans="1:18" x14ac:dyDescent="0.25">
      <c r="A265">
        <f t="shared" si="35"/>
        <v>2020</v>
      </c>
      <c r="B265" t="str">
        <f t="shared" si="35"/>
        <v>Aug</v>
      </c>
      <c r="C265" s="15">
        <f t="shared" si="34"/>
        <v>4.2070926788335917E-3</v>
      </c>
      <c r="D265" s="15">
        <f t="shared" si="34"/>
        <v>1.6067311820358119E-3</v>
      </c>
      <c r="E265" s="15">
        <f t="shared" si="34"/>
        <v>6.919023070695042E-2</v>
      </c>
      <c r="F265" s="15">
        <f t="shared" si="34"/>
        <v>8.1247221598470844E-3</v>
      </c>
      <c r="G265" s="15">
        <f t="shared" si="34"/>
        <v>1.6714351144811436E-2</v>
      </c>
      <c r="H265" s="15">
        <f t="shared" si="34"/>
        <v>2.2415807118459641E-2</v>
      </c>
      <c r="I265" s="15">
        <f t="shared" si="34"/>
        <v>0</v>
      </c>
      <c r="J265" s="15">
        <f t="shared" si="34"/>
        <v>9.0869895761003881E-3</v>
      </c>
      <c r="K265" s="15">
        <f t="shared" si="34"/>
        <v>0</v>
      </c>
      <c r="L265" s="15">
        <f t="shared" si="34"/>
        <v>1.3519407316095141E-3</v>
      </c>
      <c r="M265" s="15">
        <f t="shared" si="34"/>
        <v>2.526222256276963E-2</v>
      </c>
      <c r="N265" s="15">
        <f t="shared" si="34"/>
        <v>1.6821469174725274E-4</v>
      </c>
      <c r="O265" s="15">
        <f t="shared" si="34"/>
        <v>0.7249395525114809</v>
      </c>
      <c r="P265" s="15">
        <f t="shared" si="34"/>
        <v>0.11693214493535432</v>
      </c>
      <c r="Q265" s="15">
        <f t="shared" si="34"/>
        <v>0.77995156147693634</v>
      </c>
      <c r="R265" s="15">
        <f t="shared" si="34"/>
        <v>0.22004843852306369</v>
      </c>
    </row>
    <row r="266" spans="1:18" x14ac:dyDescent="0.25">
      <c r="A266">
        <f t="shared" si="35"/>
        <v>2020</v>
      </c>
      <c r="B266" t="str">
        <f t="shared" si="35"/>
        <v>Sep</v>
      </c>
      <c r="C266" s="15">
        <f t="shared" si="34"/>
        <v>0</v>
      </c>
      <c r="D266" s="15">
        <f t="shared" si="34"/>
        <v>2.9599957800233632E-3</v>
      </c>
      <c r="E266" s="15">
        <f t="shared" si="34"/>
        <v>7.7514582420036213E-2</v>
      </c>
      <c r="F266" s="15">
        <f t="shared" si="34"/>
        <v>5.9801106893206842E-3</v>
      </c>
      <c r="G266" s="15">
        <f t="shared" si="34"/>
        <v>1.5336910658574426E-2</v>
      </c>
      <c r="H266" s="15">
        <f t="shared" si="34"/>
        <v>2.4568233669284224E-2</v>
      </c>
      <c r="I266" s="15">
        <f t="shared" si="34"/>
        <v>8.0089921628641553E-4</v>
      </c>
      <c r="J266" s="15">
        <f t="shared" si="34"/>
        <v>1.2333499248427365E-2</v>
      </c>
      <c r="K266" s="15">
        <f t="shared" si="34"/>
        <v>2.3642393965638523E-3</v>
      </c>
      <c r="L266" s="15">
        <f t="shared" si="34"/>
        <v>2.0945920003340042E-3</v>
      </c>
      <c r="M266" s="15">
        <f t="shared" si="34"/>
        <v>1.9106059897894042E-2</v>
      </c>
      <c r="N266" s="15">
        <f t="shared" si="34"/>
        <v>3.7663244207885823E-4</v>
      </c>
      <c r="O266" s="15">
        <f t="shared" si="34"/>
        <v>0.72342586390530406</v>
      </c>
      <c r="P266" s="15">
        <f t="shared" si="34"/>
        <v>0.11313838067587258</v>
      </c>
      <c r="Q266" s="15">
        <f t="shared" si="34"/>
        <v>0.77569651630776881</v>
      </c>
      <c r="R266" s="15">
        <f t="shared" si="34"/>
        <v>0.22430348369223121</v>
      </c>
    </row>
    <row r="267" spans="1:18" x14ac:dyDescent="0.25">
      <c r="A267">
        <f t="shared" si="35"/>
        <v>2020</v>
      </c>
      <c r="B267" t="str">
        <f t="shared" si="35"/>
        <v>Oct</v>
      </c>
      <c r="C267" s="15">
        <f t="shared" si="34"/>
        <v>0</v>
      </c>
      <c r="D267" s="15">
        <f t="shared" si="34"/>
        <v>3.2720738382487342E-3</v>
      </c>
      <c r="E267" s="15">
        <f t="shared" si="34"/>
        <v>7.472015857561827E-2</v>
      </c>
      <c r="F267" s="15">
        <f t="shared" si="34"/>
        <v>2.8498124726780406E-3</v>
      </c>
      <c r="G267" s="15">
        <f t="shared" si="34"/>
        <v>1.2960111162725401E-2</v>
      </c>
      <c r="H267" s="15">
        <f t="shared" si="34"/>
        <v>2.3699741217244236E-2</v>
      </c>
      <c r="I267" s="15">
        <f t="shared" si="34"/>
        <v>1.2506835234950004E-3</v>
      </c>
      <c r="J267" s="15">
        <f t="shared" si="34"/>
        <v>1.0791293778937144E-2</v>
      </c>
      <c r="K267" s="15">
        <f t="shared" si="34"/>
        <v>0</v>
      </c>
      <c r="L267" s="15">
        <f t="shared" si="34"/>
        <v>1.9190673428384072E-3</v>
      </c>
      <c r="M267" s="15">
        <f t="shared" si="34"/>
        <v>2.2007112801015541E-2</v>
      </c>
      <c r="N267" s="15">
        <f t="shared" si="34"/>
        <v>0</v>
      </c>
      <c r="O267" s="15">
        <f t="shared" si="34"/>
        <v>0.72653294102612676</v>
      </c>
      <c r="P267" s="15">
        <f t="shared" si="34"/>
        <v>0.1199970042610725</v>
      </c>
      <c r="Q267" s="15">
        <f t="shared" si="34"/>
        <v>0.77868161974896866</v>
      </c>
      <c r="R267" s="15">
        <f t="shared" si="34"/>
        <v>0.22131838025103134</v>
      </c>
    </row>
    <row r="268" spans="1:18" x14ac:dyDescent="0.25">
      <c r="A268">
        <f t="shared" si="35"/>
        <v>2020</v>
      </c>
      <c r="B268" t="str">
        <f t="shared" si="35"/>
        <v>Nov</v>
      </c>
      <c r="C268" s="15">
        <f t="shared" si="34"/>
        <v>0</v>
      </c>
      <c r="D268" s="15">
        <f t="shared" si="34"/>
        <v>9.7414634042529826E-4</v>
      </c>
      <c r="E268" s="15">
        <f t="shared" si="34"/>
        <v>7.6016172843545254E-2</v>
      </c>
      <c r="F268" s="15">
        <f t="shared" si="34"/>
        <v>2.3698607419839384E-3</v>
      </c>
      <c r="G268" s="15">
        <f t="shared" si="34"/>
        <v>1.1869999262673191E-2</v>
      </c>
      <c r="H268" s="15">
        <f t="shared" si="34"/>
        <v>2.1479736647510489E-2</v>
      </c>
      <c r="I268" s="15">
        <f t="shared" si="34"/>
        <v>1.2579863804124969E-3</v>
      </c>
      <c r="J268" s="15">
        <f t="shared" si="34"/>
        <v>1.0899853232353804E-2</v>
      </c>
      <c r="K268" s="15">
        <f t="shared" si="34"/>
        <v>0</v>
      </c>
      <c r="L268" s="15">
        <f t="shared" si="34"/>
        <v>8.3359686383873343E-4</v>
      </c>
      <c r="M268" s="15">
        <f t="shared" si="34"/>
        <v>2.7183193351654582E-2</v>
      </c>
      <c r="N268" s="15">
        <f t="shared" si="34"/>
        <v>0</v>
      </c>
      <c r="O268" s="15">
        <f t="shared" si="34"/>
        <v>0.72756144620046659</v>
      </c>
      <c r="P268" s="15">
        <f t="shared" si="34"/>
        <v>0.11955400813513559</v>
      </c>
      <c r="Q268" s="15">
        <f t="shared" si="34"/>
        <v>0.77929010578430824</v>
      </c>
      <c r="R268" s="15">
        <f t="shared" si="34"/>
        <v>0.22070989421569179</v>
      </c>
    </row>
    <row r="269" spans="1:18" x14ac:dyDescent="0.25">
      <c r="A269">
        <f t="shared" si="35"/>
        <v>2020</v>
      </c>
      <c r="B269" t="str">
        <f t="shared" si="35"/>
        <v>Dec</v>
      </c>
      <c r="C269" s="15">
        <f t="shared" si="34"/>
        <v>3.011253120423734E-4</v>
      </c>
      <c r="D269" s="15">
        <f t="shared" si="34"/>
        <v>2.0570955578507826E-3</v>
      </c>
      <c r="E269" s="15">
        <f t="shared" si="34"/>
        <v>0.10993613729548989</v>
      </c>
      <c r="F269" s="15">
        <f t="shared" si="34"/>
        <v>3.6116710106864902E-3</v>
      </c>
      <c r="G269" s="15">
        <f t="shared" si="34"/>
        <v>1.8746976965368031E-2</v>
      </c>
      <c r="H269" s="15">
        <f t="shared" si="34"/>
        <v>2.3142232933104179E-2</v>
      </c>
      <c r="I269" s="15">
        <f t="shared" si="34"/>
        <v>1.2310510423274622E-3</v>
      </c>
      <c r="J269" s="15">
        <f t="shared" si="34"/>
        <v>1.1283823128274948E-2</v>
      </c>
      <c r="K269" s="15">
        <f t="shared" si="34"/>
        <v>0</v>
      </c>
      <c r="L269" s="15">
        <f t="shared" si="34"/>
        <v>8.2162130849570557E-4</v>
      </c>
      <c r="M269" s="15">
        <f t="shared" si="34"/>
        <v>3.6148737468845026E-2</v>
      </c>
      <c r="N269" s="15">
        <f t="shared" si="34"/>
        <v>0</v>
      </c>
      <c r="O269" s="15">
        <f t="shared" si="34"/>
        <v>0.68302739591264661</v>
      </c>
      <c r="P269" s="15">
        <f t="shared" si="34"/>
        <v>0.10969213206486859</v>
      </c>
      <c r="Q269" s="15">
        <f t="shared" si="34"/>
        <v>0.74672925953531211</v>
      </c>
      <c r="R269" s="15">
        <f t="shared" ref="R269" si="36">R49/$S49</f>
        <v>0.25327074046468784</v>
      </c>
    </row>
    <row r="270" spans="1:18" x14ac:dyDescent="0.25">
      <c r="A270">
        <f t="shared" si="35"/>
        <v>2021</v>
      </c>
      <c r="B270" t="str">
        <f t="shared" si="35"/>
        <v>Jan</v>
      </c>
      <c r="C270" s="15">
        <f t="shared" ref="C270:R285" si="37">C50/$S50</f>
        <v>0</v>
      </c>
      <c r="D270" s="15">
        <f t="shared" si="37"/>
        <v>2.0448493449906177E-3</v>
      </c>
      <c r="E270" s="15">
        <f t="shared" si="37"/>
        <v>0.11776317831973825</v>
      </c>
      <c r="F270" s="15">
        <f t="shared" si="37"/>
        <v>6.3518329342444231E-3</v>
      </c>
      <c r="G270" s="15">
        <f t="shared" si="37"/>
        <v>1.9089341212166013E-2</v>
      </c>
      <c r="H270" s="15">
        <f t="shared" si="37"/>
        <v>2.4382986943566467E-2</v>
      </c>
      <c r="I270" s="15">
        <f t="shared" si="37"/>
        <v>5.6291106646026321E-4</v>
      </c>
      <c r="J270" s="15">
        <f t="shared" si="37"/>
        <v>1.1304756617979288E-2</v>
      </c>
      <c r="K270" s="15">
        <f t="shared" si="37"/>
        <v>0</v>
      </c>
      <c r="L270" s="15">
        <f t="shared" si="37"/>
        <v>5.1880122645953466E-4</v>
      </c>
      <c r="M270" s="15">
        <f t="shared" si="37"/>
        <v>2.9377867832513723E-2</v>
      </c>
      <c r="N270" s="15">
        <f t="shared" si="37"/>
        <v>0</v>
      </c>
      <c r="O270" s="15">
        <f t="shared" si="37"/>
        <v>0.68541932464357191</v>
      </c>
      <c r="P270" s="15">
        <f t="shared" si="37"/>
        <v>0.10318414985830954</v>
      </c>
      <c r="Q270" s="15">
        <f t="shared" si="37"/>
        <v>0.74230674105756245</v>
      </c>
      <c r="R270" s="15">
        <f t="shared" si="37"/>
        <v>0.2576932589424375</v>
      </c>
    </row>
    <row r="271" spans="1:18" x14ac:dyDescent="0.25">
      <c r="A271">
        <f t="shared" ref="A271:B286" si="38">A51</f>
        <v>2021</v>
      </c>
      <c r="B271" t="str">
        <f t="shared" si="38"/>
        <v>Feb</v>
      </c>
      <c r="C271" s="15">
        <f t="shared" si="37"/>
        <v>0</v>
      </c>
      <c r="D271" s="15">
        <f t="shared" si="37"/>
        <v>1.7563311683995327E-3</v>
      </c>
      <c r="E271" s="15">
        <f t="shared" si="37"/>
        <v>8.872042201576999E-2</v>
      </c>
      <c r="F271" s="15">
        <f t="shared" si="37"/>
        <v>1.6249426748008837E-3</v>
      </c>
      <c r="G271" s="15">
        <f t="shared" si="37"/>
        <v>1.9480732026743837E-2</v>
      </c>
      <c r="H271" s="15">
        <f t="shared" si="37"/>
        <v>2.1650082031874504E-2</v>
      </c>
      <c r="I271" s="15">
        <f t="shared" si="37"/>
        <v>4.7508000999080133E-4</v>
      </c>
      <c r="J271" s="15">
        <f t="shared" si="37"/>
        <v>1.7363188993875334E-2</v>
      </c>
      <c r="K271" s="15">
        <f t="shared" si="37"/>
        <v>0</v>
      </c>
      <c r="L271" s="15">
        <f t="shared" si="37"/>
        <v>7.2571706432006302E-4</v>
      </c>
      <c r="M271" s="15">
        <f t="shared" si="37"/>
        <v>3.0928542960640119E-2</v>
      </c>
      <c r="N271" s="15">
        <f t="shared" si="37"/>
        <v>0</v>
      </c>
      <c r="O271" s="15">
        <f t="shared" si="37"/>
        <v>0.70709968364238307</v>
      </c>
      <c r="P271" s="15">
        <f t="shared" si="37"/>
        <v>0.11017527741120185</v>
      </c>
      <c r="Q271" s="15">
        <f t="shared" si="37"/>
        <v>0.76263543687760815</v>
      </c>
      <c r="R271" s="15">
        <f t="shared" si="37"/>
        <v>0.23736456312239182</v>
      </c>
    </row>
    <row r="272" spans="1:18" x14ac:dyDescent="0.25">
      <c r="A272">
        <f t="shared" si="38"/>
        <v>2021</v>
      </c>
      <c r="B272" t="str">
        <f t="shared" si="38"/>
        <v>Mar</v>
      </c>
      <c r="C272" s="15">
        <f t="shared" si="37"/>
        <v>0</v>
      </c>
      <c r="D272" s="15">
        <f t="shared" si="37"/>
        <v>1.9062229804540998E-3</v>
      </c>
      <c r="E272" s="15">
        <f t="shared" si="37"/>
        <v>8.4361729488979617E-2</v>
      </c>
      <c r="F272" s="15">
        <f t="shared" si="37"/>
        <v>7.1601818416866022E-3</v>
      </c>
      <c r="G272" s="15">
        <f t="shared" si="37"/>
        <v>1.2076451712147371E-2</v>
      </c>
      <c r="H272" s="15">
        <f t="shared" si="37"/>
        <v>1.782084976326968E-2</v>
      </c>
      <c r="I272" s="15">
        <f t="shared" si="37"/>
        <v>6.5447324085646827E-5</v>
      </c>
      <c r="J272" s="15">
        <f t="shared" si="37"/>
        <v>1.4140565219134458E-2</v>
      </c>
      <c r="K272" s="15">
        <f t="shared" si="37"/>
        <v>0</v>
      </c>
      <c r="L272" s="15">
        <f t="shared" si="37"/>
        <v>4.5342342261896369E-4</v>
      </c>
      <c r="M272" s="15">
        <f t="shared" si="37"/>
        <v>2.3956777508762957E-2</v>
      </c>
      <c r="N272" s="15">
        <f t="shared" si="37"/>
        <v>0</v>
      </c>
      <c r="O272" s="15">
        <f t="shared" si="37"/>
        <v>0.72509461000093833</v>
      </c>
      <c r="P272" s="15">
        <f t="shared" si="37"/>
        <v>0.1129637407379223</v>
      </c>
      <c r="Q272" s="15">
        <f t="shared" si="37"/>
        <v>0.76929733100012965</v>
      </c>
      <c r="R272" s="15">
        <f t="shared" si="37"/>
        <v>0.23070266899987035</v>
      </c>
    </row>
    <row r="273" spans="1:18" x14ac:dyDescent="0.25">
      <c r="A273">
        <f t="shared" si="38"/>
        <v>2021</v>
      </c>
      <c r="B273" t="str">
        <f t="shared" si="38"/>
        <v>Apr</v>
      </c>
      <c r="C273" s="15">
        <f t="shared" si="37"/>
        <v>0</v>
      </c>
      <c r="D273" s="15">
        <f t="shared" si="37"/>
        <v>3.6592017043318419E-3</v>
      </c>
      <c r="E273" s="15">
        <f t="shared" si="37"/>
        <v>7.3194920250203188E-2</v>
      </c>
      <c r="F273" s="15">
        <f t="shared" si="37"/>
        <v>6.9577929458681268E-3</v>
      </c>
      <c r="G273" s="15">
        <f t="shared" si="37"/>
        <v>1.1027324966336269E-2</v>
      </c>
      <c r="H273" s="15">
        <f t="shared" si="37"/>
        <v>5.2528549582913243E-3</v>
      </c>
      <c r="I273" s="15">
        <f t="shared" si="37"/>
        <v>0</v>
      </c>
      <c r="J273" s="15">
        <f t="shared" si="37"/>
        <v>1.6370537639866189E-2</v>
      </c>
      <c r="K273" s="15">
        <f t="shared" si="37"/>
        <v>0</v>
      </c>
      <c r="L273" s="15">
        <f t="shared" si="37"/>
        <v>1.6805478517325373E-3</v>
      </c>
      <c r="M273" s="15">
        <f t="shared" si="37"/>
        <v>2.5772560505866328E-2</v>
      </c>
      <c r="N273" s="15">
        <f t="shared" si="37"/>
        <v>2.1222997061449259E-4</v>
      </c>
      <c r="O273" s="15">
        <f t="shared" si="37"/>
        <v>0.74505353640079219</v>
      </c>
      <c r="P273" s="15">
        <f t="shared" si="37"/>
        <v>0.11081849280609757</v>
      </c>
      <c r="Q273" s="15">
        <f t="shared" si="37"/>
        <v>0.78163093139162876</v>
      </c>
      <c r="R273" s="15">
        <f t="shared" si="37"/>
        <v>0.21836906860837127</v>
      </c>
    </row>
    <row r="274" spans="1:18" x14ac:dyDescent="0.25">
      <c r="A274">
        <f t="shared" si="38"/>
        <v>2021</v>
      </c>
      <c r="B274" t="str">
        <f t="shared" si="38"/>
        <v>May</v>
      </c>
      <c r="C274" s="15">
        <f t="shared" si="37"/>
        <v>0</v>
      </c>
      <c r="D274" s="15">
        <f t="shared" si="37"/>
        <v>2.1777540810982415E-3</v>
      </c>
      <c r="E274" s="15">
        <f t="shared" si="37"/>
        <v>7.0695043276573361E-2</v>
      </c>
      <c r="F274" s="15">
        <f t="shared" si="37"/>
        <v>3.2996969771090625E-3</v>
      </c>
      <c r="G274" s="15">
        <f t="shared" si="37"/>
        <v>2.0445078707595717E-2</v>
      </c>
      <c r="H274" s="15">
        <f t="shared" si="37"/>
        <v>7.2684620912536781E-3</v>
      </c>
      <c r="I274" s="15">
        <f t="shared" si="37"/>
        <v>0</v>
      </c>
      <c r="J274" s="15">
        <f t="shared" si="37"/>
        <v>1.6585933232603812E-2</v>
      </c>
      <c r="K274" s="15">
        <f t="shared" si="37"/>
        <v>0</v>
      </c>
      <c r="L274" s="15">
        <f t="shared" si="37"/>
        <v>5.1047880389846123E-4</v>
      </c>
      <c r="M274" s="15">
        <f t="shared" si="37"/>
        <v>2.9837073602264189E-2</v>
      </c>
      <c r="N274" s="15">
        <f t="shared" si="37"/>
        <v>0</v>
      </c>
      <c r="O274" s="15">
        <f t="shared" si="37"/>
        <v>0.71857981374141733</v>
      </c>
      <c r="P274" s="15">
        <f t="shared" si="37"/>
        <v>0.1306006654861861</v>
      </c>
      <c r="Q274" s="15">
        <f t="shared" si="37"/>
        <v>0.7583735823199319</v>
      </c>
      <c r="R274" s="15">
        <f t="shared" si="37"/>
        <v>0.2416264176800681</v>
      </c>
    </row>
    <row r="275" spans="1:18" x14ac:dyDescent="0.25">
      <c r="A275">
        <f t="shared" si="38"/>
        <v>2021</v>
      </c>
      <c r="B275" t="str">
        <f t="shared" si="38"/>
        <v>Jun</v>
      </c>
      <c r="C275" s="15">
        <f t="shared" si="37"/>
        <v>0</v>
      </c>
      <c r="D275" s="15">
        <f t="shared" si="37"/>
        <v>2.6296893746571002E-3</v>
      </c>
      <c r="E275" s="15">
        <f t="shared" si="37"/>
        <v>6.6010000513361047E-2</v>
      </c>
      <c r="F275" s="15">
        <f t="shared" si="37"/>
        <v>3.9904439842962458E-3</v>
      </c>
      <c r="G275" s="15">
        <f t="shared" si="37"/>
        <v>1.571137441484596E-2</v>
      </c>
      <c r="H275" s="15">
        <f t="shared" si="37"/>
        <v>1.0627222485816042E-2</v>
      </c>
      <c r="I275" s="15">
        <f t="shared" si="37"/>
        <v>0</v>
      </c>
      <c r="J275" s="15">
        <f t="shared" si="37"/>
        <v>1.4178036543740542E-2</v>
      </c>
      <c r="K275" s="15">
        <f t="shared" si="37"/>
        <v>0</v>
      </c>
      <c r="L275" s="15">
        <f t="shared" si="37"/>
        <v>1.3710449360054952E-3</v>
      </c>
      <c r="M275" s="15">
        <f t="shared" si="37"/>
        <v>1.9602382199079393E-2</v>
      </c>
      <c r="N275" s="15">
        <f t="shared" si="37"/>
        <v>0</v>
      </c>
      <c r="O275" s="15">
        <f t="shared" si="37"/>
        <v>0.75048490961878267</v>
      </c>
      <c r="P275" s="15">
        <f t="shared" si="37"/>
        <v>0.11539489592941553</v>
      </c>
      <c r="Q275" s="15">
        <f t="shared" si="37"/>
        <v>0.78471524861434061</v>
      </c>
      <c r="R275" s="15">
        <f t="shared" si="37"/>
        <v>0.21528475138565936</v>
      </c>
    </row>
    <row r="276" spans="1:18" x14ac:dyDescent="0.25">
      <c r="A276">
        <f t="shared" si="38"/>
        <v>2021</v>
      </c>
      <c r="B276" t="str">
        <f t="shared" si="38"/>
        <v>Jul</v>
      </c>
      <c r="C276" s="15">
        <f t="shared" si="37"/>
        <v>0</v>
      </c>
      <c r="D276" s="15">
        <f t="shared" si="37"/>
        <v>1.4722018047747074E-3</v>
      </c>
      <c r="E276" s="15">
        <f t="shared" si="37"/>
        <v>5.8122500996796209E-2</v>
      </c>
      <c r="F276" s="15">
        <f t="shared" si="37"/>
        <v>5.4032158293905929E-3</v>
      </c>
      <c r="G276" s="15">
        <f t="shared" si="37"/>
        <v>2.5502882247062517E-2</v>
      </c>
      <c r="H276" s="15">
        <f t="shared" si="37"/>
        <v>1.0677171327298353E-2</v>
      </c>
      <c r="I276" s="15">
        <f t="shared" si="37"/>
        <v>0</v>
      </c>
      <c r="J276" s="15">
        <f t="shared" si="37"/>
        <v>1.6296023752388072E-2</v>
      </c>
      <c r="K276" s="15">
        <f t="shared" si="37"/>
        <v>0</v>
      </c>
      <c r="L276" s="15">
        <f t="shared" si="37"/>
        <v>6.2652861899445736E-4</v>
      </c>
      <c r="M276" s="15">
        <f t="shared" si="37"/>
        <v>1.6006811839909402E-2</v>
      </c>
      <c r="N276" s="15">
        <f t="shared" si="37"/>
        <v>0</v>
      </c>
      <c r="O276" s="15">
        <f t="shared" si="37"/>
        <v>0.75996756198041249</v>
      </c>
      <c r="P276" s="15">
        <f t="shared" si="37"/>
        <v>0.10592510160297305</v>
      </c>
      <c r="Q276" s="15">
        <f t="shared" si="37"/>
        <v>0.78875027557138944</v>
      </c>
      <c r="R276" s="15">
        <f t="shared" si="37"/>
        <v>0.21124972442861062</v>
      </c>
    </row>
    <row r="277" spans="1:18" x14ac:dyDescent="0.25">
      <c r="A277">
        <f t="shared" si="38"/>
        <v>2021</v>
      </c>
      <c r="B277" t="str">
        <f t="shared" si="38"/>
        <v>Aug</v>
      </c>
      <c r="C277" s="15">
        <f t="shared" si="37"/>
        <v>0</v>
      </c>
      <c r="D277" s="15">
        <f t="shared" si="37"/>
        <v>1.57844327212865E-3</v>
      </c>
      <c r="E277" s="15">
        <f t="shared" si="37"/>
        <v>5.5674786402423002E-2</v>
      </c>
      <c r="F277" s="15">
        <f t="shared" si="37"/>
        <v>8.8355089570054633E-3</v>
      </c>
      <c r="G277" s="15">
        <f t="shared" si="37"/>
        <v>2.3568901091161755E-2</v>
      </c>
      <c r="H277" s="15">
        <f t="shared" si="37"/>
        <v>1.0171405767281656E-2</v>
      </c>
      <c r="I277" s="15">
        <f t="shared" si="37"/>
        <v>0</v>
      </c>
      <c r="J277" s="15">
        <f t="shared" si="37"/>
        <v>1.5176070507174571E-2</v>
      </c>
      <c r="K277" s="15">
        <f t="shared" si="37"/>
        <v>0</v>
      </c>
      <c r="L277" s="15">
        <f t="shared" si="37"/>
        <v>9.5268576651092308E-4</v>
      </c>
      <c r="M277" s="15">
        <f t="shared" si="37"/>
        <v>1.6850734805057107E-2</v>
      </c>
      <c r="N277" s="15">
        <f t="shared" si="37"/>
        <v>0</v>
      </c>
      <c r="O277" s="15">
        <f t="shared" si="37"/>
        <v>0.75297307056805851</v>
      </c>
      <c r="P277" s="15">
        <f t="shared" si="37"/>
        <v>0.11421839286319838</v>
      </c>
      <c r="Q277" s="15">
        <f t="shared" si="37"/>
        <v>0.78252634017903688</v>
      </c>
      <c r="R277" s="15">
        <f t="shared" si="37"/>
        <v>0.21747365982096314</v>
      </c>
    </row>
    <row r="278" spans="1:18" x14ac:dyDescent="0.25">
      <c r="A278">
        <f t="shared" si="38"/>
        <v>2021</v>
      </c>
      <c r="B278" t="str">
        <f t="shared" si="38"/>
        <v>Sep</v>
      </c>
      <c r="C278" s="15">
        <f t="shared" si="37"/>
        <v>2.7614829728412948E-4</v>
      </c>
      <c r="D278" s="15">
        <f t="shared" si="37"/>
        <v>1.399616557784986E-3</v>
      </c>
      <c r="E278" s="15">
        <f t="shared" si="37"/>
        <v>7.5814317506169515E-2</v>
      </c>
      <c r="F278" s="15">
        <f t="shared" si="37"/>
        <v>1.2291600669091469E-2</v>
      </c>
      <c r="G278" s="15">
        <f t="shared" si="37"/>
        <v>2.2751852434735181E-2</v>
      </c>
      <c r="H278" s="15">
        <f t="shared" si="37"/>
        <v>1.751345169943935E-2</v>
      </c>
      <c r="I278" s="15">
        <f t="shared" si="37"/>
        <v>0</v>
      </c>
      <c r="J278" s="15">
        <f t="shared" si="37"/>
        <v>1.9720983753477559E-2</v>
      </c>
      <c r="K278" s="15">
        <f t="shared" si="37"/>
        <v>0</v>
      </c>
      <c r="L278" s="15">
        <f t="shared" si="37"/>
        <v>0</v>
      </c>
      <c r="M278" s="15">
        <f t="shared" si="37"/>
        <v>2.0428075126122488E-2</v>
      </c>
      <c r="N278" s="15">
        <f t="shared" si="37"/>
        <v>0</v>
      </c>
      <c r="O278" s="15">
        <f t="shared" si="37"/>
        <v>0.70802590718862601</v>
      </c>
      <c r="P278" s="15">
        <f t="shared" si="37"/>
        <v>0.12177804676726924</v>
      </c>
      <c r="Q278" s="15">
        <f t="shared" si="37"/>
        <v>0.7476431988692569</v>
      </c>
      <c r="R278" s="15">
        <f t="shared" si="37"/>
        <v>0.25235680113074305</v>
      </c>
    </row>
    <row r="279" spans="1:18" x14ac:dyDescent="0.25">
      <c r="A279">
        <f t="shared" si="38"/>
        <v>2021</v>
      </c>
      <c r="B279" t="str">
        <f t="shared" si="38"/>
        <v>Oct</v>
      </c>
      <c r="C279" s="15">
        <f t="shared" si="37"/>
        <v>0</v>
      </c>
      <c r="D279" s="15">
        <f t="shared" si="37"/>
        <v>1.2332962248984202E-3</v>
      </c>
      <c r="E279" s="15">
        <f t="shared" si="37"/>
        <v>7.1066535511666085E-2</v>
      </c>
      <c r="F279" s="15">
        <f t="shared" si="37"/>
        <v>1.2510765681836677E-2</v>
      </c>
      <c r="G279" s="15">
        <f t="shared" si="37"/>
        <v>1.7662182909355957E-2</v>
      </c>
      <c r="H279" s="15">
        <f t="shared" si="37"/>
        <v>1.8494895707889921E-2</v>
      </c>
      <c r="I279" s="15">
        <f t="shared" si="37"/>
        <v>1.9657926450716077E-3</v>
      </c>
      <c r="J279" s="15">
        <f t="shared" si="37"/>
        <v>1.967561809371772E-2</v>
      </c>
      <c r="K279" s="15">
        <f t="shared" si="37"/>
        <v>0</v>
      </c>
      <c r="L279" s="15">
        <f t="shared" si="37"/>
        <v>1.2130788496105119E-4</v>
      </c>
      <c r="M279" s="15">
        <f t="shared" si="37"/>
        <v>2.3488741290847048E-2</v>
      </c>
      <c r="N279" s="15">
        <f t="shared" si="37"/>
        <v>0</v>
      </c>
      <c r="O279" s="15">
        <f t="shared" si="37"/>
        <v>0.71421133153967609</v>
      </c>
      <c r="P279" s="15">
        <f t="shared" si="37"/>
        <v>0.11956953251007942</v>
      </c>
      <c r="Q279" s="15">
        <f t="shared" si="37"/>
        <v>0.75951536529334418</v>
      </c>
      <c r="R279" s="15">
        <f t="shared" si="37"/>
        <v>0.24048463470665585</v>
      </c>
    </row>
    <row r="280" spans="1:18" x14ac:dyDescent="0.25">
      <c r="A280">
        <f t="shared" si="38"/>
        <v>2021</v>
      </c>
      <c r="B280" t="str">
        <f t="shared" si="38"/>
        <v>Nov</v>
      </c>
      <c r="C280" s="15">
        <f t="shared" si="37"/>
        <v>3.078824285192446E-4</v>
      </c>
      <c r="D280" s="15">
        <f t="shared" si="37"/>
        <v>1.5572219026033784E-3</v>
      </c>
      <c r="E280" s="15">
        <f t="shared" si="37"/>
        <v>8.2720818847138319E-2</v>
      </c>
      <c r="F280" s="15">
        <f t="shared" si="37"/>
        <v>1.4466814968933183E-2</v>
      </c>
      <c r="G280" s="15">
        <f t="shared" si="37"/>
        <v>1.5510223496517234E-2</v>
      </c>
      <c r="H280" s="15">
        <f t="shared" si="37"/>
        <v>1.8352133916627277E-2</v>
      </c>
      <c r="I280" s="15">
        <f t="shared" si="37"/>
        <v>2.8452754120478789E-3</v>
      </c>
      <c r="J280" s="15">
        <f t="shared" si="37"/>
        <v>1.8552484382381086E-2</v>
      </c>
      <c r="K280" s="15">
        <f t="shared" si="37"/>
        <v>0</v>
      </c>
      <c r="L280" s="15">
        <f t="shared" si="37"/>
        <v>1.2364889457358876E-3</v>
      </c>
      <c r="M280" s="15">
        <f t="shared" si="37"/>
        <v>2.7747251382754082E-2</v>
      </c>
      <c r="N280" s="15">
        <f t="shared" si="37"/>
        <v>0</v>
      </c>
      <c r="O280" s="15">
        <f t="shared" si="37"/>
        <v>0.6954044048368192</v>
      </c>
      <c r="P280" s="15">
        <f t="shared" si="37"/>
        <v>0.12129899947992312</v>
      </c>
      <c r="Q280" s="15">
        <f t="shared" si="37"/>
        <v>0.74745065882510697</v>
      </c>
      <c r="R280" s="15">
        <f t="shared" si="37"/>
        <v>0.25254934117489303</v>
      </c>
    </row>
    <row r="281" spans="1:18" x14ac:dyDescent="0.25">
      <c r="A281">
        <f t="shared" si="38"/>
        <v>2021</v>
      </c>
      <c r="B281" t="str">
        <f t="shared" si="38"/>
        <v>Dec</v>
      </c>
      <c r="C281" s="15">
        <f t="shared" si="37"/>
        <v>4.2457743181653081E-4</v>
      </c>
      <c r="D281" s="15">
        <f t="shared" si="37"/>
        <v>2.0396444932405965E-3</v>
      </c>
      <c r="E281" s="15">
        <f t="shared" si="37"/>
        <v>8.9391224789402257E-2</v>
      </c>
      <c r="F281" s="15">
        <f t="shared" si="37"/>
        <v>1.1129696221516362E-2</v>
      </c>
      <c r="G281" s="15">
        <f t="shared" si="37"/>
        <v>1.4115241331760814E-2</v>
      </c>
      <c r="H281" s="15">
        <f t="shared" si="37"/>
        <v>2.0576001505016595E-2</v>
      </c>
      <c r="I281" s="15">
        <f t="shared" si="37"/>
        <v>8.5175904864382953E-4</v>
      </c>
      <c r="J281" s="15">
        <f t="shared" si="37"/>
        <v>2.0127692198632419E-2</v>
      </c>
      <c r="K281" s="15">
        <f t="shared" si="37"/>
        <v>0</v>
      </c>
      <c r="L281" s="15">
        <f t="shared" si="37"/>
        <v>7.5960004222259568E-4</v>
      </c>
      <c r="M281" s="15">
        <f t="shared" si="37"/>
        <v>2.7242089409758658E-2</v>
      </c>
      <c r="N281" s="15">
        <f t="shared" si="37"/>
        <v>0</v>
      </c>
      <c r="O281" s="15">
        <f t="shared" si="37"/>
        <v>0.72064799642780053</v>
      </c>
      <c r="P281" s="15">
        <f t="shared" si="37"/>
        <v>9.2694477100188799E-2</v>
      </c>
      <c r="Q281" s="15">
        <f t="shared" si="37"/>
        <v>0.77254166835849936</v>
      </c>
      <c r="R281" s="15">
        <f t="shared" si="37"/>
        <v>0.22745833164150067</v>
      </c>
    </row>
    <row r="282" spans="1:18" x14ac:dyDescent="0.25">
      <c r="A282">
        <f t="shared" si="38"/>
        <v>2022</v>
      </c>
      <c r="B282" t="str">
        <f t="shared" si="38"/>
        <v>Jan</v>
      </c>
      <c r="C282" s="15">
        <f t="shared" si="37"/>
        <v>3.1312786456585582E-4</v>
      </c>
      <c r="D282" s="15">
        <f t="shared" si="37"/>
        <v>8.7827738240436816E-4</v>
      </c>
      <c r="E282" s="15">
        <f t="shared" si="37"/>
        <v>9.3857539666195242E-2</v>
      </c>
      <c r="F282" s="15">
        <f t="shared" si="37"/>
        <v>1.2994313517408793E-2</v>
      </c>
      <c r="G282" s="15">
        <f t="shared" si="37"/>
        <v>2.4813277889637417E-2</v>
      </c>
      <c r="H282" s="15">
        <f t="shared" si="37"/>
        <v>1.3282003662582285E-2</v>
      </c>
      <c r="I282" s="15">
        <f t="shared" si="37"/>
        <v>6.2309746748554591E-4</v>
      </c>
      <c r="J282" s="15">
        <f t="shared" si="37"/>
        <v>2.5828537313971504E-2</v>
      </c>
      <c r="K282" s="15">
        <f t="shared" si="37"/>
        <v>0</v>
      </c>
      <c r="L282" s="15">
        <f t="shared" si="37"/>
        <v>5.8721410412451258E-4</v>
      </c>
      <c r="M282" s="15">
        <f t="shared" si="37"/>
        <v>2.8121422320860193E-2</v>
      </c>
      <c r="N282" s="15">
        <f t="shared" si="37"/>
        <v>0</v>
      </c>
      <c r="O282" s="15">
        <f t="shared" si="37"/>
        <v>0.64842007606744667</v>
      </c>
      <c r="P282" s="15">
        <f t="shared" si="37"/>
        <v>0.15028111274331762</v>
      </c>
      <c r="Q282" s="15">
        <f t="shared" si="37"/>
        <v>0.69222521886946942</v>
      </c>
      <c r="R282" s="15">
        <f t="shared" si="37"/>
        <v>0.30777478113053058</v>
      </c>
    </row>
    <row r="283" spans="1:18" x14ac:dyDescent="0.25">
      <c r="A283">
        <f t="shared" si="38"/>
        <v>2022</v>
      </c>
      <c r="B283" t="str">
        <f t="shared" si="38"/>
        <v>Feb</v>
      </c>
      <c r="C283" s="15">
        <f t="shared" si="37"/>
        <v>1.8835901821592281E-4</v>
      </c>
      <c r="D283" s="15">
        <f t="shared" si="37"/>
        <v>8.0001599640126657E-4</v>
      </c>
      <c r="E283" s="15">
        <f t="shared" si="37"/>
        <v>8.7956302118897073E-2</v>
      </c>
      <c r="F283" s="15">
        <f t="shared" si="37"/>
        <v>1.2710532529413768E-2</v>
      </c>
      <c r="G283" s="15">
        <f t="shared" si="37"/>
        <v>1.9940954925462526E-2</v>
      </c>
      <c r="H283" s="15">
        <f t="shared" si="37"/>
        <v>1.9562354571169782E-2</v>
      </c>
      <c r="I283" s="15">
        <f t="shared" si="37"/>
        <v>1.2585282428801767E-4</v>
      </c>
      <c r="J283" s="15">
        <f t="shared" si="37"/>
        <v>2.2003226119504924E-2</v>
      </c>
      <c r="K283" s="15">
        <f t="shared" si="37"/>
        <v>0</v>
      </c>
      <c r="L283" s="15">
        <f t="shared" si="37"/>
        <v>7.7284914187366683E-4</v>
      </c>
      <c r="M283" s="15">
        <f t="shared" si="37"/>
        <v>1.8509582851719268E-2</v>
      </c>
      <c r="N283" s="15">
        <f t="shared" si="37"/>
        <v>0</v>
      </c>
      <c r="O283" s="15">
        <f t="shared" si="37"/>
        <v>0.67858599446466772</v>
      </c>
      <c r="P283" s="15">
        <f t="shared" si="37"/>
        <v>0.13884397543838597</v>
      </c>
      <c r="Q283" s="15">
        <f t="shared" si="37"/>
        <v>0.71854500886833572</v>
      </c>
      <c r="R283" s="15">
        <f t="shared" si="37"/>
        <v>0.28145499113166428</v>
      </c>
    </row>
    <row r="284" spans="1:18" x14ac:dyDescent="0.25">
      <c r="A284">
        <f t="shared" si="38"/>
        <v>2022</v>
      </c>
      <c r="B284" t="str">
        <f t="shared" si="38"/>
        <v>Mar</v>
      </c>
      <c r="C284" s="15">
        <f t="shared" si="37"/>
        <v>0</v>
      </c>
      <c r="D284" s="15">
        <f t="shared" si="37"/>
        <v>2.3621538682842072E-3</v>
      </c>
      <c r="E284" s="15">
        <f t="shared" si="37"/>
        <v>7.5682696814125996E-2</v>
      </c>
      <c r="F284" s="15">
        <f t="shared" si="37"/>
        <v>1.7582595698922333E-2</v>
      </c>
      <c r="G284" s="15">
        <f t="shared" si="37"/>
        <v>2.9345001244147854E-2</v>
      </c>
      <c r="H284" s="15">
        <f t="shared" si="37"/>
        <v>1.3174638644467405E-2</v>
      </c>
      <c r="I284" s="15">
        <f t="shared" si="37"/>
        <v>1.0081450265790738E-3</v>
      </c>
      <c r="J284" s="15">
        <f t="shared" si="37"/>
        <v>1.8309346711461106E-2</v>
      </c>
      <c r="K284" s="15">
        <f t="shared" si="37"/>
        <v>0</v>
      </c>
      <c r="L284" s="15">
        <f t="shared" si="37"/>
        <v>1.926626012695166E-3</v>
      </c>
      <c r="M284" s="15">
        <f t="shared" si="37"/>
        <v>2.7586345152517049E-2</v>
      </c>
      <c r="N284" s="15">
        <f t="shared" si="37"/>
        <v>0</v>
      </c>
      <c r="O284" s="15">
        <f t="shared" si="37"/>
        <v>0.64851242191909897</v>
      </c>
      <c r="P284" s="15">
        <f t="shared" si="37"/>
        <v>0.16451002890770075</v>
      </c>
      <c r="Q284" s="15">
        <f t="shared" si="37"/>
        <v>0.69457033062364182</v>
      </c>
      <c r="R284" s="15">
        <f t="shared" si="37"/>
        <v>0.30542966937635818</v>
      </c>
    </row>
    <row r="285" spans="1:18" x14ac:dyDescent="0.25">
      <c r="A285">
        <f t="shared" si="38"/>
        <v>2022</v>
      </c>
      <c r="B285" t="str">
        <f t="shared" si="38"/>
        <v>Apr</v>
      </c>
      <c r="C285" s="15">
        <f t="shared" si="37"/>
        <v>0</v>
      </c>
      <c r="D285" s="15">
        <f t="shared" si="37"/>
        <v>1.1013125319274664E-3</v>
      </c>
      <c r="E285" s="15">
        <f t="shared" si="37"/>
        <v>6.94050712964909E-2</v>
      </c>
      <c r="F285" s="15">
        <f t="shared" si="37"/>
        <v>1.5783868343002952E-2</v>
      </c>
      <c r="G285" s="15">
        <f t="shared" si="37"/>
        <v>2.6830360378221223E-2</v>
      </c>
      <c r="H285" s="15">
        <f t="shared" si="37"/>
        <v>7.5591035408744851E-3</v>
      </c>
      <c r="I285" s="15">
        <f t="shared" si="37"/>
        <v>6.6204154365008248E-5</v>
      </c>
      <c r="J285" s="15">
        <f t="shared" si="37"/>
        <v>1.7746470452706643E-2</v>
      </c>
      <c r="K285" s="15">
        <f t="shared" si="37"/>
        <v>0</v>
      </c>
      <c r="L285" s="15">
        <f t="shared" si="37"/>
        <v>7.6764459824110352E-4</v>
      </c>
      <c r="M285" s="15">
        <f t="shared" si="37"/>
        <v>2.7834284518777744E-2</v>
      </c>
      <c r="N285" s="15">
        <f t="shared" si="37"/>
        <v>0</v>
      </c>
      <c r="O285" s="15">
        <f t="shared" si="37"/>
        <v>0.66366898078212633</v>
      </c>
      <c r="P285" s="15">
        <f t="shared" si="37"/>
        <v>0.16923669940326619</v>
      </c>
      <c r="Q285" s="15">
        <f t="shared" si="37"/>
        <v>0.70099753012631216</v>
      </c>
      <c r="R285" s="15">
        <f t="shared" ref="R285" si="39">R65/$S65</f>
        <v>0.29900246987368778</v>
      </c>
    </row>
    <row r="286" spans="1:18" x14ac:dyDescent="0.25">
      <c r="A286">
        <f t="shared" si="38"/>
        <v>2022</v>
      </c>
      <c r="B286" t="str">
        <f t="shared" si="38"/>
        <v>May</v>
      </c>
      <c r="C286" s="15">
        <f t="shared" ref="C286:R301" si="40">C66/$S66</f>
        <v>6.2100196350682057E-5</v>
      </c>
      <c r="D286" s="15">
        <f t="shared" si="40"/>
        <v>8.938448787818397E-4</v>
      </c>
      <c r="E286" s="15">
        <f t="shared" si="40"/>
        <v>7.152251193528425E-2</v>
      </c>
      <c r="F286" s="15">
        <f t="shared" si="40"/>
        <v>8.8388079704156131E-3</v>
      </c>
      <c r="G286" s="15">
        <f t="shared" si="40"/>
        <v>2.0009082496221287E-2</v>
      </c>
      <c r="H286" s="15">
        <f t="shared" si="40"/>
        <v>2.9754638722166884E-3</v>
      </c>
      <c r="I286" s="15">
        <f t="shared" si="40"/>
        <v>0</v>
      </c>
      <c r="J286" s="15">
        <f t="shared" si="40"/>
        <v>2.140626054024378E-2</v>
      </c>
      <c r="K286" s="15">
        <f t="shared" si="40"/>
        <v>0</v>
      </c>
      <c r="L286" s="15">
        <f t="shared" si="40"/>
        <v>7.6236575427510525E-4</v>
      </c>
      <c r="M286" s="15">
        <f t="shared" si="40"/>
        <v>1.6277638005695337E-2</v>
      </c>
      <c r="N286" s="15">
        <f t="shared" si="40"/>
        <v>0</v>
      </c>
      <c r="O286" s="15">
        <f t="shared" si="40"/>
        <v>0.68509842467211335</v>
      </c>
      <c r="P286" s="15">
        <f t="shared" si="40"/>
        <v>0.17215349967840213</v>
      </c>
      <c r="Q286" s="15">
        <f t="shared" si="40"/>
        <v>0.70606983737943296</v>
      </c>
      <c r="R286" s="15">
        <f t="shared" si="40"/>
        <v>0.29393016262056704</v>
      </c>
    </row>
    <row r="287" spans="1:18" x14ac:dyDescent="0.25">
      <c r="A287">
        <f t="shared" ref="A287:B302" si="41">A67</f>
        <v>2022</v>
      </c>
      <c r="B287" t="str">
        <f t="shared" si="41"/>
        <v>Jun</v>
      </c>
      <c r="C287" s="15">
        <f t="shared" si="40"/>
        <v>1.4934249765768224E-4</v>
      </c>
      <c r="D287" s="15">
        <f t="shared" si="40"/>
        <v>9.703157600340727E-4</v>
      </c>
      <c r="E287" s="15">
        <f t="shared" si="40"/>
        <v>7.3781886669732719E-2</v>
      </c>
      <c r="F287" s="15">
        <f t="shared" si="40"/>
        <v>7.9924071754516983E-3</v>
      </c>
      <c r="G287" s="15">
        <f t="shared" si="40"/>
        <v>1.9688892877661797E-2</v>
      </c>
      <c r="H287" s="15">
        <f t="shared" si="40"/>
        <v>4.058976910838675E-3</v>
      </c>
      <c r="I287" s="15">
        <f t="shared" si="40"/>
        <v>0</v>
      </c>
      <c r="J287" s="15">
        <f t="shared" si="40"/>
        <v>1.9882047794852833E-2</v>
      </c>
      <c r="K287" s="15">
        <f t="shared" si="40"/>
        <v>0</v>
      </c>
      <c r="L287" s="15">
        <f t="shared" si="40"/>
        <v>1.670784887775966E-3</v>
      </c>
      <c r="M287" s="15">
        <f t="shared" si="40"/>
        <v>1.7031576947354424E-2</v>
      </c>
      <c r="N287" s="15">
        <f t="shared" si="40"/>
        <v>0</v>
      </c>
      <c r="O287" s="15">
        <f t="shared" si="40"/>
        <v>0.687108929685457</v>
      </c>
      <c r="P287" s="15">
        <f t="shared" si="40"/>
        <v>0.16766483879318311</v>
      </c>
      <c r="Q287" s="15">
        <f t="shared" si="40"/>
        <v>0.71098992668911787</v>
      </c>
      <c r="R287" s="15">
        <f t="shared" si="40"/>
        <v>0.28901007331088219</v>
      </c>
    </row>
    <row r="288" spans="1:18" x14ac:dyDescent="0.25">
      <c r="A288">
        <f t="shared" si="41"/>
        <v>2022</v>
      </c>
      <c r="B288" t="str">
        <f t="shared" si="41"/>
        <v>Jul</v>
      </c>
      <c r="C288" s="15">
        <f t="shared" si="40"/>
        <v>6.4369297595821148E-5</v>
      </c>
      <c r="D288" s="15">
        <f t="shared" si="40"/>
        <v>8.1458605576168483E-4</v>
      </c>
      <c r="E288" s="15">
        <f t="shared" si="40"/>
        <v>7.8795428802345274E-2</v>
      </c>
      <c r="F288" s="15">
        <f t="shared" si="40"/>
        <v>6.2737829487667096E-3</v>
      </c>
      <c r="G288" s="15">
        <f t="shared" si="40"/>
        <v>2.2057991014288673E-2</v>
      </c>
      <c r="H288" s="15">
        <f t="shared" si="40"/>
        <v>6.0895243773477345E-3</v>
      </c>
      <c r="I288" s="15">
        <f t="shared" si="40"/>
        <v>0</v>
      </c>
      <c r="J288" s="15">
        <f t="shared" si="40"/>
        <v>2.5626894099188793E-2</v>
      </c>
      <c r="K288" s="15">
        <f t="shared" si="40"/>
        <v>0</v>
      </c>
      <c r="L288" s="15">
        <f t="shared" si="40"/>
        <v>3.8727538383014976E-4</v>
      </c>
      <c r="M288" s="15">
        <f t="shared" si="40"/>
        <v>2.307342570799642E-2</v>
      </c>
      <c r="N288" s="15">
        <f t="shared" si="40"/>
        <v>0</v>
      </c>
      <c r="O288" s="15">
        <f t="shared" si="40"/>
        <v>0.67057788812650698</v>
      </c>
      <c r="P288" s="15">
        <f t="shared" si="40"/>
        <v>0.16623883418637175</v>
      </c>
      <c r="Q288" s="15">
        <f t="shared" si="40"/>
        <v>0.70100706894903875</v>
      </c>
      <c r="R288" s="15">
        <f t="shared" si="40"/>
        <v>0.29899293105096125</v>
      </c>
    </row>
    <row r="289" spans="1:18" x14ac:dyDescent="0.25">
      <c r="A289">
        <f t="shared" si="41"/>
        <v>2022</v>
      </c>
      <c r="B289" t="str">
        <f t="shared" si="41"/>
        <v>Aug</v>
      </c>
      <c r="C289" s="15">
        <f t="shared" si="40"/>
        <v>0</v>
      </c>
      <c r="D289" s="15">
        <f t="shared" si="40"/>
        <v>1.6481014177828325E-3</v>
      </c>
      <c r="E289" s="15">
        <f t="shared" si="40"/>
        <v>6.9847953922188746E-2</v>
      </c>
      <c r="F289" s="15">
        <f t="shared" si="40"/>
        <v>8.0914608057282081E-3</v>
      </c>
      <c r="G289" s="15">
        <f t="shared" si="40"/>
        <v>2.7166330597998618E-2</v>
      </c>
      <c r="H289" s="15">
        <f t="shared" si="40"/>
        <v>8.5827996510305007E-3</v>
      </c>
      <c r="I289" s="15">
        <f t="shared" si="40"/>
        <v>0</v>
      </c>
      <c r="J289" s="15">
        <f t="shared" si="40"/>
        <v>2.1980544131415532E-2</v>
      </c>
      <c r="K289" s="15">
        <f t="shared" si="40"/>
        <v>0</v>
      </c>
      <c r="L289" s="15">
        <f t="shared" si="40"/>
        <v>6.793499921591852E-4</v>
      </c>
      <c r="M289" s="15">
        <f t="shared" si="40"/>
        <v>2.6367812544558895E-2</v>
      </c>
      <c r="N289" s="15">
        <f t="shared" si="40"/>
        <v>0</v>
      </c>
      <c r="O289" s="15">
        <f t="shared" si="40"/>
        <v>0.66940387968975623</v>
      </c>
      <c r="P289" s="15">
        <f t="shared" si="40"/>
        <v>0.16623176724738123</v>
      </c>
      <c r="Q289" s="15">
        <f t="shared" si="40"/>
        <v>0.70668194329528766</v>
      </c>
      <c r="R289" s="15">
        <f t="shared" si="40"/>
        <v>0.29331805670471234</v>
      </c>
    </row>
    <row r="290" spans="1:18" x14ac:dyDescent="0.25">
      <c r="A290">
        <f t="shared" si="41"/>
        <v>2022</v>
      </c>
      <c r="B290" t="str">
        <f t="shared" si="41"/>
        <v>Sep</v>
      </c>
      <c r="C290" s="15">
        <f t="shared" si="40"/>
        <v>0</v>
      </c>
      <c r="D290" s="15">
        <f t="shared" si="40"/>
        <v>2.4528738430387963E-3</v>
      </c>
      <c r="E290" s="15">
        <f t="shared" si="40"/>
        <v>6.8323212004403638E-2</v>
      </c>
      <c r="F290" s="15">
        <f t="shared" si="40"/>
        <v>9.4510929904719262E-3</v>
      </c>
      <c r="G290" s="15">
        <f t="shared" si="40"/>
        <v>3.3957158296402945E-2</v>
      </c>
      <c r="H290" s="15">
        <f t="shared" si="40"/>
        <v>1.3922261234073167E-2</v>
      </c>
      <c r="I290" s="15">
        <f t="shared" si="40"/>
        <v>0</v>
      </c>
      <c r="J290" s="15">
        <f t="shared" si="40"/>
        <v>2.8000553255052397E-2</v>
      </c>
      <c r="K290" s="15">
        <f t="shared" si="40"/>
        <v>0</v>
      </c>
      <c r="L290" s="15">
        <f t="shared" si="40"/>
        <v>9.3889861618748523E-4</v>
      </c>
      <c r="M290" s="15">
        <f t="shared" si="40"/>
        <v>2.1274109259657802E-2</v>
      </c>
      <c r="N290" s="15">
        <f t="shared" si="40"/>
        <v>0</v>
      </c>
      <c r="O290" s="15">
        <f t="shared" si="40"/>
        <v>0.65633926833702905</v>
      </c>
      <c r="P290" s="15">
        <f t="shared" si="40"/>
        <v>0.16534057216368286</v>
      </c>
      <c r="Q290" s="15">
        <f t="shared" si="40"/>
        <v>0.69492741128998625</v>
      </c>
      <c r="R290" s="15">
        <f t="shared" si="40"/>
        <v>0.30507258871001369</v>
      </c>
    </row>
    <row r="291" spans="1:18" x14ac:dyDescent="0.25">
      <c r="A291">
        <f t="shared" si="41"/>
        <v>2022</v>
      </c>
      <c r="B291" t="str">
        <f t="shared" si="41"/>
        <v>Oct</v>
      </c>
      <c r="C291" s="15">
        <f t="shared" si="40"/>
        <v>0</v>
      </c>
      <c r="D291" s="15">
        <f t="shared" si="40"/>
        <v>2.0916138325931038E-3</v>
      </c>
      <c r="E291" s="15">
        <f t="shared" si="40"/>
        <v>7.3595265824615883E-2</v>
      </c>
      <c r="F291" s="15">
        <f t="shared" si="40"/>
        <v>8.6794094565555337E-3</v>
      </c>
      <c r="G291" s="15">
        <f t="shared" si="40"/>
        <v>2.7707163970981913E-2</v>
      </c>
      <c r="H291" s="15">
        <f t="shared" si="40"/>
        <v>1.8135068575995308E-2</v>
      </c>
      <c r="I291" s="15">
        <f t="shared" si="40"/>
        <v>4.4606731074543754E-4</v>
      </c>
      <c r="J291" s="15">
        <f t="shared" si="40"/>
        <v>1.7486054214426262E-2</v>
      </c>
      <c r="K291" s="15">
        <f t="shared" si="40"/>
        <v>0</v>
      </c>
      <c r="L291" s="15">
        <f t="shared" si="40"/>
        <v>1.0928137592289213E-3</v>
      </c>
      <c r="M291" s="15">
        <f t="shared" si="40"/>
        <v>1.2399153230161429E-2</v>
      </c>
      <c r="N291" s="15">
        <f t="shared" si="40"/>
        <v>0</v>
      </c>
      <c r="O291" s="15">
        <f t="shared" si="40"/>
        <v>0.68659488955266257</v>
      </c>
      <c r="P291" s="15">
        <f t="shared" si="40"/>
        <v>0.15177250027203365</v>
      </c>
      <c r="Q291" s="15">
        <f t="shared" si="40"/>
        <v>0.7207596062613868</v>
      </c>
      <c r="R291" s="15">
        <f t="shared" si="40"/>
        <v>0.27924039373861326</v>
      </c>
    </row>
    <row r="292" spans="1:18" x14ac:dyDescent="0.25">
      <c r="A292">
        <f t="shared" si="41"/>
        <v>2022</v>
      </c>
      <c r="B292" t="str">
        <f t="shared" si="41"/>
        <v>Nov</v>
      </c>
      <c r="C292" s="15">
        <f t="shared" si="40"/>
        <v>0</v>
      </c>
      <c r="D292" s="15">
        <f t="shared" si="40"/>
        <v>2.1338773792674141E-3</v>
      </c>
      <c r="E292" s="15">
        <f t="shared" si="40"/>
        <v>0.10128950978146489</v>
      </c>
      <c r="F292" s="15">
        <f t="shared" si="40"/>
        <v>1.5710799574461753E-2</v>
      </c>
      <c r="G292" s="15">
        <f t="shared" si="40"/>
        <v>4.332035587838208E-2</v>
      </c>
      <c r="H292" s="15">
        <f t="shared" si="40"/>
        <v>2.0483633651901756E-2</v>
      </c>
      <c r="I292" s="15">
        <f t="shared" si="40"/>
        <v>1.71905076120845E-3</v>
      </c>
      <c r="J292" s="15">
        <f t="shared" si="40"/>
        <v>2.5611408263351381E-2</v>
      </c>
      <c r="K292" s="15">
        <f t="shared" si="40"/>
        <v>0</v>
      </c>
      <c r="L292" s="15">
        <f t="shared" si="40"/>
        <v>4.1840010642279291E-3</v>
      </c>
      <c r="M292" s="15">
        <f t="shared" si="40"/>
        <v>1.2285707362381892E-2</v>
      </c>
      <c r="N292" s="15">
        <f t="shared" si="40"/>
        <v>0</v>
      </c>
      <c r="O292" s="15">
        <f t="shared" si="40"/>
        <v>0.62170345361122603</v>
      </c>
      <c r="P292" s="15">
        <f t="shared" si="40"/>
        <v>0.15155820267212647</v>
      </c>
      <c r="Q292" s="15">
        <f t="shared" si="40"/>
        <v>0.66250972383021345</v>
      </c>
      <c r="R292" s="15">
        <f t="shared" si="40"/>
        <v>0.33749027616978661</v>
      </c>
    </row>
    <row r="293" spans="1:18" x14ac:dyDescent="0.25">
      <c r="A293">
        <f t="shared" si="41"/>
        <v>2022</v>
      </c>
      <c r="B293" t="str">
        <f t="shared" si="41"/>
        <v>Dec</v>
      </c>
      <c r="C293" s="15">
        <f t="shared" si="40"/>
        <v>0</v>
      </c>
      <c r="D293" s="15">
        <f t="shared" si="40"/>
        <v>1.8714793852356024E-3</v>
      </c>
      <c r="E293" s="15">
        <f t="shared" si="40"/>
        <v>0.10127955675506645</v>
      </c>
      <c r="F293" s="15">
        <f t="shared" si="40"/>
        <v>1.3582676516831217E-2</v>
      </c>
      <c r="G293" s="15">
        <f t="shared" si="40"/>
        <v>3.6178409888463908E-2</v>
      </c>
      <c r="H293" s="15">
        <f t="shared" si="40"/>
        <v>1.9701151251262067E-2</v>
      </c>
      <c r="I293" s="15">
        <f t="shared" si="40"/>
        <v>2.0356039254889654E-3</v>
      </c>
      <c r="J293" s="15">
        <f t="shared" si="40"/>
        <v>3.2825516604994109E-2</v>
      </c>
      <c r="K293" s="15">
        <f t="shared" si="40"/>
        <v>0</v>
      </c>
      <c r="L293" s="15">
        <f t="shared" si="40"/>
        <v>1.0496280790401167E-2</v>
      </c>
      <c r="M293" s="15">
        <f t="shared" si="40"/>
        <v>2.1201380182215891E-2</v>
      </c>
      <c r="N293" s="15">
        <f t="shared" si="40"/>
        <v>1.0994141203928044E-3</v>
      </c>
      <c r="O293" s="15">
        <f t="shared" si="40"/>
        <v>0.6049948776292402</v>
      </c>
      <c r="P293" s="15">
        <f t="shared" si="40"/>
        <v>0.15473365295040775</v>
      </c>
      <c r="Q293" s="15">
        <f t="shared" si="40"/>
        <v>0.66140018728423666</v>
      </c>
      <c r="R293" s="15">
        <f t="shared" si="40"/>
        <v>0.33859981271576334</v>
      </c>
    </row>
    <row r="294" spans="1:18" x14ac:dyDescent="0.25">
      <c r="A294">
        <f t="shared" si="41"/>
        <v>2023</v>
      </c>
      <c r="B294" t="str">
        <f t="shared" si="41"/>
        <v>Jan</v>
      </c>
      <c r="C294" s="15">
        <f t="shared" si="40"/>
        <v>0</v>
      </c>
      <c r="D294" s="15">
        <f t="shared" si="40"/>
        <v>1.5715603360910663E-3</v>
      </c>
      <c r="E294" s="15">
        <f t="shared" si="40"/>
        <v>0.10303749948128103</v>
      </c>
      <c r="F294" s="15">
        <f t="shared" si="40"/>
        <v>1.4201915845946206E-2</v>
      </c>
      <c r="G294" s="15">
        <f t="shared" si="40"/>
        <v>4.4065419527748596E-2</v>
      </c>
      <c r="H294" s="15">
        <f t="shared" si="40"/>
        <v>1.8002573230516575E-2</v>
      </c>
      <c r="I294" s="15">
        <f t="shared" si="40"/>
        <v>2.5650127351149136E-3</v>
      </c>
      <c r="J294" s="15">
        <f t="shared" si="40"/>
        <v>3.1118659506219865E-2</v>
      </c>
      <c r="K294" s="15">
        <f t="shared" si="40"/>
        <v>0</v>
      </c>
      <c r="L294" s="15">
        <f t="shared" si="40"/>
        <v>9.8858203903688701E-4</v>
      </c>
      <c r="M294" s="15">
        <f t="shared" si="40"/>
        <v>3.0668970533513047E-2</v>
      </c>
      <c r="N294" s="15">
        <f t="shared" si="40"/>
        <v>0</v>
      </c>
      <c r="O294" s="15">
        <f t="shared" si="40"/>
        <v>0.61385555755920129</v>
      </c>
      <c r="P294" s="15">
        <f t="shared" si="40"/>
        <v>0.13992424920533039</v>
      </c>
      <c r="Q294" s="15">
        <f t="shared" si="40"/>
        <v>0.66765225643347381</v>
      </c>
      <c r="R294" s="15">
        <f t="shared" si="40"/>
        <v>0.33234774356652613</v>
      </c>
    </row>
    <row r="295" spans="1:18" x14ac:dyDescent="0.25">
      <c r="A295">
        <f t="shared" si="41"/>
        <v>2023</v>
      </c>
      <c r="B295" t="str">
        <f t="shared" si="41"/>
        <v>Feb</v>
      </c>
      <c r="C295" s="15">
        <f t="shared" si="40"/>
        <v>0</v>
      </c>
      <c r="D295" s="15">
        <f t="shared" si="40"/>
        <v>8.8604077590826108E-4</v>
      </c>
      <c r="E295" s="15">
        <f t="shared" si="40"/>
        <v>9.6932755506495952E-2</v>
      </c>
      <c r="F295" s="15">
        <f t="shared" si="40"/>
        <v>1.6117814636213888E-2</v>
      </c>
      <c r="G295" s="15">
        <f t="shared" si="40"/>
        <v>3.0194754888926496E-2</v>
      </c>
      <c r="H295" s="15">
        <f t="shared" si="40"/>
        <v>1.3194169969092487E-2</v>
      </c>
      <c r="I295" s="15">
        <f t="shared" si="40"/>
        <v>3.5654559637029433E-3</v>
      </c>
      <c r="J295" s="15">
        <f t="shared" si="40"/>
        <v>2.9332413100288536E-2</v>
      </c>
      <c r="K295" s="15">
        <f t="shared" si="40"/>
        <v>0</v>
      </c>
      <c r="L295" s="15">
        <f t="shared" si="40"/>
        <v>1.6275807275643211E-3</v>
      </c>
      <c r="M295" s="15">
        <f t="shared" si="40"/>
        <v>1.775190032601753E-2</v>
      </c>
      <c r="N295" s="15">
        <f t="shared" si="40"/>
        <v>0</v>
      </c>
      <c r="O295" s="15">
        <f t="shared" si="40"/>
        <v>0.64386299163890071</v>
      </c>
      <c r="P295" s="15">
        <f t="shared" si="40"/>
        <v>0.14653412246688893</v>
      </c>
      <c r="Q295" s="15">
        <f t="shared" si="40"/>
        <v>0.68088813940118631</v>
      </c>
      <c r="R295" s="15">
        <f t="shared" si="40"/>
        <v>0.31911186059881375</v>
      </c>
    </row>
    <row r="296" spans="1:18" x14ac:dyDescent="0.25">
      <c r="A296">
        <f t="shared" si="41"/>
        <v>2023</v>
      </c>
      <c r="B296" t="str">
        <f t="shared" si="41"/>
        <v>Mar</v>
      </c>
      <c r="C296" s="15">
        <f t="shared" si="40"/>
        <v>0</v>
      </c>
      <c r="D296" s="15">
        <f t="shared" si="40"/>
        <v>9.1801430853601172E-4</v>
      </c>
      <c r="E296" s="15">
        <f t="shared" si="40"/>
        <v>5.5814394890755639E-2</v>
      </c>
      <c r="F296" s="15">
        <f t="shared" si="40"/>
        <v>8.1395325083771491E-3</v>
      </c>
      <c r="G296" s="15">
        <f t="shared" si="40"/>
        <v>2.2072003617450368E-2</v>
      </c>
      <c r="H296" s="15">
        <f t="shared" si="40"/>
        <v>1.2154519568526019E-2</v>
      </c>
      <c r="I296" s="15">
        <f t="shared" si="40"/>
        <v>0</v>
      </c>
      <c r="J296" s="15">
        <f t="shared" si="40"/>
        <v>2.658244643621897E-2</v>
      </c>
      <c r="K296" s="15">
        <f t="shared" si="40"/>
        <v>0</v>
      </c>
      <c r="L296" s="15">
        <f t="shared" si="40"/>
        <v>1.2468035081080805E-3</v>
      </c>
      <c r="M296" s="15">
        <f t="shared" si="40"/>
        <v>3.0489035970795469E-2</v>
      </c>
      <c r="N296" s="15">
        <f t="shared" si="40"/>
        <v>9.2923453125858403E-4</v>
      </c>
      <c r="O296" s="15">
        <f t="shared" si="40"/>
        <v>0.66519094660792066</v>
      </c>
      <c r="P296" s="15">
        <f t="shared" si="40"/>
        <v>0.17646306805205314</v>
      </c>
      <c r="Q296" s="15">
        <f t="shared" si="40"/>
        <v>0.7109285544951448</v>
      </c>
      <c r="R296" s="15">
        <f t="shared" si="40"/>
        <v>0.28907144550485514</v>
      </c>
    </row>
    <row r="297" spans="1:18" x14ac:dyDescent="0.25">
      <c r="A297">
        <f t="shared" si="41"/>
        <v>2023</v>
      </c>
      <c r="B297" t="str">
        <f t="shared" si="41"/>
        <v>Apr</v>
      </c>
      <c r="C297" s="15">
        <f t="shared" si="40"/>
        <v>0</v>
      </c>
      <c r="D297" s="15">
        <f t="shared" si="40"/>
        <v>1.2632991380113387E-3</v>
      </c>
      <c r="E297" s="15">
        <f t="shared" si="40"/>
        <v>4.3839305820249315E-2</v>
      </c>
      <c r="F297" s="15">
        <f t="shared" si="40"/>
        <v>1.4282456511358291E-2</v>
      </c>
      <c r="G297" s="15">
        <f t="shared" si="40"/>
        <v>2.3997853056851405E-2</v>
      </c>
      <c r="H297" s="15">
        <f t="shared" si="40"/>
        <v>1.1674235337619123E-2</v>
      </c>
      <c r="I297" s="15">
        <f t="shared" si="40"/>
        <v>9.2402090123909323E-4</v>
      </c>
      <c r="J297" s="15">
        <f t="shared" si="40"/>
        <v>2.0690499113898458E-2</v>
      </c>
      <c r="K297" s="15">
        <f t="shared" si="40"/>
        <v>0</v>
      </c>
      <c r="L297" s="15">
        <f t="shared" si="40"/>
        <v>9.0858572714646083E-4</v>
      </c>
      <c r="M297" s="15">
        <f t="shared" si="40"/>
        <v>2.0890505287206224E-2</v>
      </c>
      <c r="N297" s="15">
        <f t="shared" si="40"/>
        <v>0</v>
      </c>
      <c r="O297" s="15">
        <f t="shared" si="40"/>
        <v>0.70366332431393819</v>
      </c>
      <c r="P297" s="15">
        <f t="shared" si="40"/>
        <v>0.15786591479248202</v>
      </c>
      <c r="Q297" s="15">
        <f t="shared" si="40"/>
        <v>0.73932397070516043</v>
      </c>
      <c r="R297" s="15">
        <f t="shared" si="40"/>
        <v>0.26067602929483957</v>
      </c>
    </row>
    <row r="298" spans="1:18" x14ac:dyDescent="0.25">
      <c r="A298">
        <f t="shared" si="41"/>
        <v>2023</v>
      </c>
      <c r="B298" t="str">
        <f t="shared" si="41"/>
        <v>May</v>
      </c>
      <c r="C298" s="15">
        <f t="shared" si="40"/>
        <v>0</v>
      </c>
      <c r="D298" s="15">
        <f t="shared" si="40"/>
        <v>1.6211126433764776E-3</v>
      </c>
      <c r="E298" s="15">
        <f t="shared" si="40"/>
        <v>6.0410805122282189E-2</v>
      </c>
      <c r="F298" s="15">
        <f t="shared" si="40"/>
        <v>8.2160089706628543E-3</v>
      </c>
      <c r="G298" s="15">
        <f t="shared" si="40"/>
        <v>1.9583554473570727E-2</v>
      </c>
      <c r="H298" s="15">
        <f t="shared" si="40"/>
        <v>7.3781408471826826E-3</v>
      </c>
      <c r="I298" s="15">
        <f t="shared" si="40"/>
        <v>0</v>
      </c>
      <c r="J298" s="15">
        <f t="shared" si="40"/>
        <v>1.5900155522912518E-2</v>
      </c>
      <c r="K298" s="15">
        <f t="shared" si="40"/>
        <v>0</v>
      </c>
      <c r="L298" s="15">
        <f t="shared" si="40"/>
        <v>2.1689713935779454E-3</v>
      </c>
      <c r="M298" s="15">
        <f t="shared" si="40"/>
        <v>1.3945690019560329E-2</v>
      </c>
      <c r="N298" s="15">
        <f t="shared" si="40"/>
        <v>0</v>
      </c>
      <c r="O298" s="15">
        <f t="shared" si="40"/>
        <v>0.74162298900469392</v>
      </c>
      <c r="P298" s="15">
        <f t="shared" si="40"/>
        <v>0.12915257200218036</v>
      </c>
      <c r="Q298" s="15">
        <f t="shared" si="40"/>
        <v>0.76673690390839144</v>
      </c>
      <c r="R298" s="15">
        <f t="shared" si="40"/>
        <v>0.23326309609160861</v>
      </c>
    </row>
    <row r="299" spans="1:18" x14ac:dyDescent="0.25">
      <c r="A299">
        <f t="shared" si="41"/>
        <v>2023</v>
      </c>
      <c r="B299" t="str">
        <f t="shared" si="41"/>
        <v>Jun</v>
      </c>
      <c r="C299" s="15">
        <f t="shared" si="40"/>
        <v>0</v>
      </c>
      <c r="D299" s="15">
        <f t="shared" si="40"/>
        <v>1.8797792702933938E-3</v>
      </c>
      <c r="E299" s="15">
        <f t="shared" si="40"/>
        <v>6.594608634743114E-2</v>
      </c>
      <c r="F299" s="15">
        <f t="shared" si="40"/>
        <v>5.8052731045357886E-3</v>
      </c>
      <c r="G299" s="15">
        <f t="shared" si="40"/>
        <v>1.7986365788260902E-2</v>
      </c>
      <c r="H299" s="15">
        <f t="shared" si="40"/>
        <v>2.0366792314834357E-3</v>
      </c>
      <c r="I299" s="15">
        <f t="shared" si="40"/>
        <v>0</v>
      </c>
      <c r="J299" s="15">
        <f t="shared" si="40"/>
        <v>1.8105643379740931E-2</v>
      </c>
      <c r="K299" s="15">
        <f t="shared" si="40"/>
        <v>0</v>
      </c>
      <c r="L299" s="15">
        <f t="shared" si="40"/>
        <v>2.5472276906481914E-3</v>
      </c>
      <c r="M299" s="15">
        <f t="shared" si="40"/>
        <v>2.4447528781161579E-2</v>
      </c>
      <c r="N299" s="15">
        <f t="shared" si="40"/>
        <v>3.4618656372214874E-5</v>
      </c>
      <c r="O299" s="15">
        <f t="shared" si="40"/>
        <v>0.71495987693209284</v>
      </c>
      <c r="P299" s="15">
        <f t="shared" si="40"/>
        <v>0.14625092081797961</v>
      </c>
      <c r="Q299" s="15">
        <f t="shared" si="40"/>
        <v>0.74590571056205168</v>
      </c>
      <c r="R299" s="15">
        <f t="shared" si="40"/>
        <v>0.25409428943794832</v>
      </c>
    </row>
    <row r="300" spans="1:18" x14ac:dyDescent="0.25">
      <c r="A300">
        <f t="shared" si="41"/>
        <v>2023</v>
      </c>
      <c r="B300" t="str">
        <f t="shared" si="41"/>
        <v>Jul</v>
      </c>
      <c r="C300" s="15">
        <f t="shared" si="40"/>
        <v>0</v>
      </c>
      <c r="D300" s="15">
        <f t="shared" si="40"/>
        <v>3.0104101335520646E-3</v>
      </c>
      <c r="E300" s="15">
        <f t="shared" si="40"/>
        <v>5.38335072109552E-2</v>
      </c>
      <c r="F300" s="15">
        <f t="shared" si="40"/>
        <v>3.1038178524798433E-3</v>
      </c>
      <c r="G300" s="15">
        <f t="shared" si="40"/>
        <v>1.8709521577298834E-2</v>
      </c>
      <c r="H300" s="15">
        <f t="shared" si="40"/>
        <v>5.0314137024600712E-3</v>
      </c>
      <c r="I300" s="15">
        <f t="shared" si="40"/>
        <v>2.6583628952037044E-4</v>
      </c>
      <c r="J300" s="15">
        <f t="shared" si="40"/>
        <v>1.0975439056665117E-2</v>
      </c>
      <c r="K300" s="15">
        <f t="shared" si="40"/>
        <v>0</v>
      </c>
      <c r="L300" s="15">
        <f t="shared" si="40"/>
        <v>2.5374181964959042E-3</v>
      </c>
      <c r="M300" s="15">
        <f t="shared" si="40"/>
        <v>2.6839044726409831E-2</v>
      </c>
      <c r="N300" s="15">
        <f t="shared" si="40"/>
        <v>1.7452197751129563E-5</v>
      </c>
      <c r="O300" s="15">
        <f t="shared" si="40"/>
        <v>0.71994493945562255</v>
      </c>
      <c r="P300" s="15">
        <f t="shared" si="40"/>
        <v>0.1557311996007891</v>
      </c>
      <c r="Q300" s="15">
        <f t="shared" si="40"/>
        <v>0.75764651470181199</v>
      </c>
      <c r="R300" s="15">
        <f t="shared" si="40"/>
        <v>0.24235348529818801</v>
      </c>
    </row>
    <row r="301" spans="1:18" x14ac:dyDescent="0.25">
      <c r="A301">
        <f t="shared" si="41"/>
        <v>2023</v>
      </c>
      <c r="B301" t="str">
        <f t="shared" si="41"/>
        <v>Aug</v>
      </c>
      <c r="C301" s="15">
        <f t="shared" si="40"/>
        <v>0</v>
      </c>
      <c r="D301" s="15">
        <f t="shared" si="40"/>
        <v>3.0355560534986933E-3</v>
      </c>
      <c r="E301" s="15">
        <f t="shared" si="40"/>
        <v>5.1213200362969023E-2</v>
      </c>
      <c r="F301" s="15">
        <f t="shared" si="40"/>
        <v>6.0245532796326688E-3</v>
      </c>
      <c r="G301" s="15">
        <f t="shared" si="40"/>
        <v>1.3684491325327824E-2</v>
      </c>
      <c r="H301" s="15">
        <f t="shared" si="40"/>
        <v>1.1587636049066203E-2</v>
      </c>
      <c r="I301" s="15">
        <f t="shared" si="40"/>
        <v>2.8874172760299193E-4</v>
      </c>
      <c r="J301" s="15">
        <f t="shared" si="40"/>
        <v>1.1198966052607257E-2</v>
      </c>
      <c r="K301" s="15">
        <f t="shared" si="40"/>
        <v>0</v>
      </c>
      <c r="L301" s="15">
        <f t="shared" si="40"/>
        <v>3.0969460323691622E-3</v>
      </c>
      <c r="M301" s="15">
        <f t="shared" si="40"/>
        <v>2.7433314323272926E-2</v>
      </c>
      <c r="N301" s="15">
        <f t="shared" si="40"/>
        <v>0</v>
      </c>
      <c r="O301" s="15">
        <f t="shared" si="40"/>
        <v>0.70729810217353195</v>
      </c>
      <c r="P301" s="15">
        <f t="shared" si="40"/>
        <v>0.1651384926201212</v>
      </c>
      <c r="Q301" s="15">
        <f t="shared" si="40"/>
        <v>0.75274029635934192</v>
      </c>
      <c r="R301" s="15">
        <f t="shared" ref="R301" si="42">R81/$S81</f>
        <v>0.24725970364065805</v>
      </c>
    </row>
    <row r="302" spans="1:18" x14ac:dyDescent="0.25">
      <c r="A302">
        <f t="shared" si="41"/>
        <v>2023</v>
      </c>
      <c r="B302" t="str">
        <f t="shared" si="41"/>
        <v>Sep</v>
      </c>
      <c r="C302" s="15">
        <f t="shared" ref="C302:R317" si="43">C82/$S82</f>
        <v>0</v>
      </c>
      <c r="D302" s="15">
        <f t="shared" si="43"/>
        <v>2.4639540566069886E-3</v>
      </c>
      <c r="E302" s="15">
        <f t="shared" si="43"/>
        <v>4.3663651720032559E-2</v>
      </c>
      <c r="F302" s="15">
        <f t="shared" si="43"/>
        <v>1.4927004880524274E-4</v>
      </c>
      <c r="G302" s="15">
        <f t="shared" si="43"/>
        <v>4.5855744412924048E-3</v>
      </c>
      <c r="H302" s="15">
        <f t="shared" si="43"/>
        <v>2.0997680052854625E-2</v>
      </c>
      <c r="I302" s="15">
        <f t="shared" si="43"/>
        <v>9.6084580399264589E-4</v>
      </c>
      <c r="J302" s="15">
        <f t="shared" si="43"/>
        <v>9.4436646467525483E-3</v>
      </c>
      <c r="K302" s="15">
        <f t="shared" si="43"/>
        <v>0</v>
      </c>
      <c r="L302" s="15">
        <f t="shared" si="43"/>
        <v>3.5951576693712861E-3</v>
      </c>
      <c r="M302" s="15">
        <f t="shared" si="43"/>
        <v>2.49538430012201E-2</v>
      </c>
      <c r="N302" s="15">
        <f t="shared" si="43"/>
        <v>0</v>
      </c>
      <c r="O302" s="15">
        <f t="shared" si="43"/>
        <v>0.70661942391199506</v>
      </c>
      <c r="P302" s="15">
        <f t="shared" si="43"/>
        <v>0.1825669346470766</v>
      </c>
      <c r="Q302" s="15">
        <f t="shared" si="43"/>
        <v>0.75959090449604072</v>
      </c>
      <c r="R302" s="15">
        <f t="shared" si="43"/>
        <v>0.24040909550395925</v>
      </c>
    </row>
    <row r="303" spans="1:18" x14ac:dyDescent="0.25">
      <c r="A303">
        <f t="shared" ref="A303:B318" si="44">A83</f>
        <v>2023</v>
      </c>
      <c r="B303" t="str">
        <f t="shared" si="44"/>
        <v>Oct</v>
      </c>
      <c r="C303" s="15">
        <f t="shared" si="43"/>
        <v>0</v>
      </c>
      <c r="D303" s="15">
        <f t="shared" si="43"/>
        <v>3.2013631668312676E-3</v>
      </c>
      <c r="E303" s="15">
        <f t="shared" si="43"/>
        <v>4.6089642424699831E-2</v>
      </c>
      <c r="F303" s="15">
        <f t="shared" si="43"/>
        <v>5.0917427815012533E-3</v>
      </c>
      <c r="G303" s="15">
        <f t="shared" si="43"/>
        <v>8.4642195027498559E-3</v>
      </c>
      <c r="H303" s="15">
        <f t="shared" si="43"/>
        <v>2.1689572354275512E-2</v>
      </c>
      <c r="I303" s="15">
        <f t="shared" si="43"/>
        <v>2.3404913024917067E-4</v>
      </c>
      <c r="J303" s="15">
        <f t="shared" si="43"/>
        <v>1.2871081809981836E-2</v>
      </c>
      <c r="K303" s="15">
        <f t="shared" si="43"/>
        <v>0</v>
      </c>
      <c r="L303" s="15">
        <f t="shared" si="43"/>
        <v>5.2151504845773721E-3</v>
      </c>
      <c r="M303" s="15">
        <f t="shared" si="43"/>
        <v>2.5910718865309587E-2</v>
      </c>
      <c r="N303" s="15">
        <f t="shared" si="43"/>
        <v>0</v>
      </c>
      <c r="O303" s="15">
        <f t="shared" si="43"/>
        <v>0.70553138814525429</v>
      </c>
      <c r="P303" s="15">
        <f t="shared" si="43"/>
        <v>0.16570107133456993</v>
      </c>
      <c r="Q303" s="15">
        <f t="shared" si="43"/>
        <v>0.76178224214649715</v>
      </c>
      <c r="R303" s="15">
        <f t="shared" si="43"/>
        <v>0.23821775785350285</v>
      </c>
    </row>
    <row r="304" spans="1:18" x14ac:dyDescent="0.25">
      <c r="A304">
        <f t="shared" si="44"/>
        <v>2023</v>
      </c>
      <c r="B304" t="str">
        <f t="shared" si="44"/>
        <v>Nov</v>
      </c>
      <c r="C304" s="15">
        <f t="shared" si="43"/>
        <v>0</v>
      </c>
      <c r="D304" s="15">
        <f t="shared" si="43"/>
        <v>2.329614486645972E-3</v>
      </c>
      <c r="E304" s="15">
        <f t="shared" si="43"/>
        <v>5.5350007232283484E-2</v>
      </c>
      <c r="F304" s="15">
        <f t="shared" si="43"/>
        <v>1.1749164038907284E-3</v>
      </c>
      <c r="G304" s="15">
        <f t="shared" si="43"/>
        <v>1.2763601501405035E-2</v>
      </c>
      <c r="H304" s="15">
        <f t="shared" si="43"/>
        <v>2.5634173397117675E-2</v>
      </c>
      <c r="I304" s="15">
        <f t="shared" si="43"/>
        <v>2.1327150943232249E-3</v>
      </c>
      <c r="J304" s="15">
        <f t="shared" si="43"/>
        <v>1.2912521305358395E-2</v>
      </c>
      <c r="K304" s="15">
        <f t="shared" si="43"/>
        <v>0</v>
      </c>
      <c r="L304" s="15">
        <f t="shared" si="43"/>
        <v>4.3918083248945155E-3</v>
      </c>
      <c r="M304" s="15">
        <f t="shared" si="43"/>
        <v>2.0009772574021333E-2</v>
      </c>
      <c r="N304" s="15">
        <f t="shared" si="43"/>
        <v>0</v>
      </c>
      <c r="O304" s="15">
        <f t="shared" si="43"/>
        <v>0.69344205693387351</v>
      </c>
      <c r="P304" s="15">
        <f t="shared" si="43"/>
        <v>0.16985881274618625</v>
      </c>
      <c r="Q304" s="15">
        <f t="shared" si="43"/>
        <v>0.74794014081087623</v>
      </c>
      <c r="R304" s="15">
        <f t="shared" si="43"/>
        <v>0.25205985918912377</v>
      </c>
    </row>
    <row r="305" spans="1:18" x14ac:dyDescent="0.25">
      <c r="A305">
        <f t="shared" si="44"/>
        <v>2023</v>
      </c>
      <c r="B305" t="str">
        <f t="shared" si="44"/>
        <v>Dec</v>
      </c>
      <c r="C305" s="15">
        <f t="shared" si="43"/>
        <v>0</v>
      </c>
      <c r="D305" s="15">
        <f t="shared" si="43"/>
        <v>3.0542526050242225E-3</v>
      </c>
      <c r="E305" s="15">
        <f t="shared" si="43"/>
        <v>5.6022159486109807E-2</v>
      </c>
      <c r="F305" s="15">
        <f t="shared" si="43"/>
        <v>2.6807474690889294E-3</v>
      </c>
      <c r="G305" s="15">
        <f t="shared" si="43"/>
        <v>1.2100073821256326E-2</v>
      </c>
      <c r="H305" s="15">
        <f t="shared" si="43"/>
        <v>2.7146063245146242E-2</v>
      </c>
      <c r="I305" s="15">
        <f t="shared" si="43"/>
        <v>2.2678095816214502E-3</v>
      </c>
      <c r="J305" s="15">
        <f t="shared" si="43"/>
        <v>1.328841649725734E-2</v>
      </c>
      <c r="K305" s="15">
        <f t="shared" si="43"/>
        <v>0</v>
      </c>
      <c r="L305" s="15">
        <f t="shared" si="43"/>
        <v>7.9716800157418437E-3</v>
      </c>
      <c r="M305" s="15">
        <f t="shared" si="43"/>
        <v>2.6665896519578337E-2</v>
      </c>
      <c r="N305" s="15">
        <f t="shared" si="43"/>
        <v>0</v>
      </c>
      <c r="O305" s="15">
        <f t="shared" si="43"/>
        <v>0.66878801738912419</v>
      </c>
      <c r="P305" s="15">
        <f t="shared" si="43"/>
        <v>0.18001488337005142</v>
      </c>
      <c r="Q305" s="15">
        <f t="shared" si="43"/>
        <v>0.73589371935623626</v>
      </c>
      <c r="R305" s="15">
        <f t="shared" si="43"/>
        <v>0.26410628064376379</v>
      </c>
    </row>
    <row r="306" spans="1:18" x14ac:dyDescent="0.25">
      <c r="A306">
        <f t="shared" si="44"/>
        <v>2024</v>
      </c>
      <c r="B306" t="str">
        <f t="shared" si="44"/>
        <v>Jan</v>
      </c>
      <c r="C306" s="15">
        <f t="shared" si="43"/>
        <v>0</v>
      </c>
      <c r="D306" s="15">
        <f t="shared" si="43"/>
        <v>4.2483133694478509E-3</v>
      </c>
      <c r="E306" s="15">
        <f t="shared" si="43"/>
        <v>6.7411630040095372E-2</v>
      </c>
      <c r="F306" s="15">
        <f t="shared" si="43"/>
        <v>1.8019506024516856E-3</v>
      </c>
      <c r="G306" s="15">
        <f t="shared" si="43"/>
        <v>8.3113151125592602E-3</v>
      </c>
      <c r="H306" s="15">
        <f t="shared" si="43"/>
        <v>1.5206629335722721E-2</v>
      </c>
      <c r="I306" s="15">
        <f t="shared" si="43"/>
        <v>4.0058078599528911E-3</v>
      </c>
      <c r="J306" s="15">
        <f t="shared" si="43"/>
        <v>1.4294732819638752E-2</v>
      </c>
      <c r="K306" s="15">
        <f t="shared" si="43"/>
        <v>7.0847092702696398E-4</v>
      </c>
      <c r="L306" s="15">
        <f t="shared" si="43"/>
        <v>1.3724464300887505E-3</v>
      </c>
      <c r="M306" s="15">
        <f t="shared" si="43"/>
        <v>2.2449242841099133E-2</v>
      </c>
      <c r="N306" s="15">
        <f t="shared" si="43"/>
        <v>0</v>
      </c>
      <c r="O306" s="15">
        <f t="shared" si="43"/>
        <v>0.68740385092981138</v>
      </c>
      <c r="P306" s="15">
        <f t="shared" si="43"/>
        <v>0.17278560973210519</v>
      </c>
      <c r="Q306" s="15">
        <f t="shared" si="43"/>
        <v>0.73539476169314977</v>
      </c>
      <c r="R306" s="15">
        <f t="shared" si="43"/>
        <v>0.26460523830685023</v>
      </c>
    </row>
    <row r="307" spans="1:18" x14ac:dyDescent="0.25">
      <c r="A307">
        <f t="shared" si="44"/>
        <v>2024</v>
      </c>
      <c r="B307" t="str">
        <f t="shared" si="44"/>
        <v>Feb</v>
      </c>
      <c r="C307" s="15">
        <f t="shared" si="43"/>
        <v>0</v>
      </c>
      <c r="D307" s="15">
        <f t="shared" si="43"/>
        <v>4.8429541604790849E-3</v>
      </c>
      <c r="E307" s="15">
        <f t="shared" si="43"/>
        <v>7.3868252634575832E-2</v>
      </c>
      <c r="F307" s="15">
        <f t="shared" si="43"/>
        <v>1.577428308078777E-3</v>
      </c>
      <c r="G307" s="15">
        <f t="shared" si="43"/>
        <v>1.3890244901693077E-2</v>
      </c>
      <c r="H307" s="15">
        <f t="shared" si="43"/>
        <v>1.5041147017685866E-2</v>
      </c>
      <c r="I307" s="15">
        <f t="shared" si="43"/>
        <v>3.9003630717556366E-3</v>
      </c>
      <c r="J307" s="15">
        <f t="shared" si="43"/>
        <v>1.4620425232710706E-2</v>
      </c>
      <c r="K307" s="15">
        <f t="shared" si="43"/>
        <v>1.7101642216426575E-4</v>
      </c>
      <c r="L307" s="15">
        <f t="shared" si="43"/>
        <v>3.374427184662522E-3</v>
      </c>
      <c r="M307" s="15">
        <f t="shared" si="43"/>
        <v>1.2632546564990925E-2</v>
      </c>
      <c r="N307" s="15">
        <f t="shared" si="43"/>
        <v>0</v>
      </c>
      <c r="O307" s="15">
        <f t="shared" si="43"/>
        <v>0.70423011491525622</v>
      </c>
      <c r="P307" s="15">
        <f t="shared" si="43"/>
        <v>0.15185107958594721</v>
      </c>
      <c r="Q307" s="15">
        <f t="shared" si="43"/>
        <v>0.74419256933699451</v>
      </c>
      <c r="R307" s="15">
        <f t="shared" si="43"/>
        <v>0.25580743066300554</v>
      </c>
    </row>
    <row r="308" spans="1:18" x14ac:dyDescent="0.25">
      <c r="A308">
        <f t="shared" si="44"/>
        <v>2024</v>
      </c>
      <c r="B308" t="str">
        <f t="shared" si="44"/>
        <v>Mar</v>
      </c>
      <c r="C308" s="15">
        <f t="shared" si="43"/>
        <v>4.555696570315842E-5</v>
      </c>
      <c r="D308" s="15">
        <f t="shared" si="43"/>
        <v>1.9723389584965132E-3</v>
      </c>
      <c r="E308" s="15">
        <f t="shared" si="43"/>
        <v>5.6257311854445997E-2</v>
      </c>
      <c r="F308" s="15">
        <f t="shared" si="43"/>
        <v>4.5954839242354772E-3</v>
      </c>
      <c r="G308" s="15">
        <f t="shared" si="43"/>
        <v>1.2973182620766771E-2</v>
      </c>
      <c r="H308" s="15">
        <f t="shared" si="43"/>
        <v>9.8199606892518006E-3</v>
      </c>
      <c r="I308" s="15">
        <f t="shared" si="43"/>
        <v>5.6002525719364565E-3</v>
      </c>
      <c r="J308" s="15">
        <f t="shared" si="43"/>
        <v>1.3156928362953495E-2</v>
      </c>
      <c r="K308" s="15">
        <f t="shared" si="43"/>
        <v>0</v>
      </c>
      <c r="L308" s="15">
        <f t="shared" si="43"/>
        <v>3.8435520028112053E-3</v>
      </c>
      <c r="M308" s="15">
        <f t="shared" si="43"/>
        <v>1.3378345831905477E-2</v>
      </c>
      <c r="N308" s="15">
        <f t="shared" si="43"/>
        <v>0</v>
      </c>
      <c r="O308" s="15">
        <f t="shared" si="43"/>
        <v>0.72655451095562495</v>
      </c>
      <c r="P308" s="15">
        <f t="shared" si="43"/>
        <v>0.15180257526186863</v>
      </c>
      <c r="Q308" s="15">
        <f t="shared" si="43"/>
        <v>0.76121451797572959</v>
      </c>
      <c r="R308" s="15">
        <f t="shared" si="43"/>
        <v>0.23878548202427038</v>
      </c>
    </row>
    <row r="309" spans="1:18" x14ac:dyDescent="0.25">
      <c r="A309">
        <f t="shared" si="44"/>
        <v>2024</v>
      </c>
      <c r="B309" t="str">
        <f t="shared" si="44"/>
        <v>Apr</v>
      </c>
      <c r="C309" s="15">
        <f t="shared" si="43"/>
        <v>5.8507574798755475E-5</v>
      </c>
      <c r="D309" s="15">
        <f t="shared" si="43"/>
        <v>1.7764598790699704E-3</v>
      </c>
      <c r="E309" s="15">
        <f t="shared" si="43"/>
        <v>5.2423311284645245E-2</v>
      </c>
      <c r="F309" s="15">
        <f t="shared" si="43"/>
        <v>4.6770578946577534E-3</v>
      </c>
      <c r="G309" s="15">
        <f t="shared" si="43"/>
        <v>1.5396029382301241E-2</v>
      </c>
      <c r="H309" s="15">
        <f t="shared" si="43"/>
        <v>7.7863225333690634E-3</v>
      </c>
      <c r="I309" s="15">
        <f t="shared" si="43"/>
        <v>2.2015830629968183E-3</v>
      </c>
      <c r="J309" s="15">
        <f t="shared" si="43"/>
        <v>1.0895975740643559E-2</v>
      </c>
      <c r="K309" s="15">
        <f t="shared" si="43"/>
        <v>3.6443620522628889E-5</v>
      </c>
      <c r="L309" s="15">
        <f t="shared" si="43"/>
        <v>3.1755547008261048E-3</v>
      </c>
      <c r="M309" s="15">
        <f t="shared" si="43"/>
        <v>8.1265136473559693E-3</v>
      </c>
      <c r="N309" s="15">
        <f t="shared" si="43"/>
        <v>8.9168128327083359E-5</v>
      </c>
      <c r="O309" s="15">
        <f t="shared" si="43"/>
        <v>0.77374998084632618</v>
      </c>
      <c r="P309" s="15">
        <f t="shared" si="43"/>
        <v>0.11960709170415959</v>
      </c>
      <c r="Q309" s="15">
        <f t="shared" si="43"/>
        <v>0.79700053399359261</v>
      </c>
      <c r="R309" s="15">
        <f t="shared" si="43"/>
        <v>0.20299946600640739</v>
      </c>
    </row>
    <row r="310" spans="1:18" x14ac:dyDescent="0.25">
      <c r="A310">
        <f t="shared" si="44"/>
        <v>2024</v>
      </c>
      <c r="B310" t="str">
        <f t="shared" si="44"/>
        <v>May</v>
      </c>
      <c r="C310" s="15">
        <f t="shared" si="43"/>
        <v>5.7112940811459809E-5</v>
      </c>
      <c r="D310" s="15">
        <f t="shared" si="43"/>
        <v>2.2548256426192263E-3</v>
      </c>
      <c r="E310" s="15">
        <f t="shared" si="43"/>
        <v>6.1572156157378079E-2</v>
      </c>
      <c r="F310" s="15">
        <f t="shared" si="43"/>
        <v>1.3275564188019659E-3</v>
      </c>
      <c r="G310" s="15">
        <f t="shared" si="43"/>
        <v>2.3874727019032028E-2</v>
      </c>
      <c r="H310" s="15">
        <f t="shared" si="43"/>
        <v>1.018377591174726E-2</v>
      </c>
      <c r="I310" s="15">
        <f t="shared" si="43"/>
        <v>5.568332974587233E-4</v>
      </c>
      <c r="J310" s="15">
        <f t="shared" si="43"/>
        <v>1.1055904718799744E-2</v>
      </c>
      <c r="K310" s="15">
        <f t="shared" si="43"/>
        <v>3.5574920837574685E-5</v>
      </c>
      <c r="L310" s="15">
        <f t="shared" si="43"/>
        <v>2.845176419557473E-3</v>
      </c>
      <c r="M310" s="15">
        <f t="shared" si="43"/>
        <v>2.0999392437072001E-3</v>
      </c>
      <c r="N310" s="15">
        <f t="shared" si="43"/>
        <v>8.7042644528169549E-5</v>
      </c>
      <c r="O310" s="15">
        <f t="shared" si="43"/>
        <v>0.74710215969594629</v>
      </c>
      <c r="P310" s="15">
        <f t="shared" si="43"/>
        <v>0.13694721496877468</v>
      </c>
      <c r="Q310" s="15">
        <f t="shared" si="43"/>
        <v>0.76522244071721346</v>
      </c>
      <c r="R310" s="15">
        <f t="shared" si="43"/>
        <v>0.23477755928278657</v>
      </c>
    </row>
    <row r="311" spans="1:18" x14ac:dyDescent="0.25">
      <c r="A311">
        <f t="shared" si="44"/>
        <v>2024</v>
      </c>
      <c r="B311" t="str">
        <f t="shared" si="44"/>
        <v>Jun</v>
      </c>
      <c r="C311" s="15">
        <f t="shared" si="43"/>
        <v>5.1396110615044645E-5</v>
      </c>
      <c r="D311" s="15">
        <f t="shared" si="43"/>
        <v>1.8108324907101705E-3</v>
      </c>
      <c r="E311" s="15">
        <f t="shared" si="43"/>
        <v>7.0428391641123564E-2</v>
      </c>
      <c r="F311" s="15">
        <f t="shared" si="43"/>
        <v>1.6107993610658953E-3</v>
      </c>
      <c r="G311" s="15">
        <f t="shared" si="43"/>
        <v>2.0467868841938196E-2</v>
      </c>
      <c r="H311" s="15">
        <f t="shared" si="43"/>
        <v>1.5877458167591355E-2</v>
      </c>
      <c r="I311" s="15">
        <f t="shared" si="43"/>
        <v>1.0068643059001276E-3</v>
      </c>
      <c r="J311" s="15">
        <f t="shared" si="43"/>
        <v>6.2988627445350982E-3</v>
      </c>
      <c r="K311" s="15">
        <f t="shared" si="43"/>
        <v>3.2013980378376367E-5</v>
      </c>
      <c r="L311" s="15">
        <f t="shared" si="43"/>
        <v>3.0206850658381114E-3</v>
      </c>
      <c r="M311" s="15">
        <f t="shared" si="43"/>
        <v>4.9175416826234214E-3</v>
      </c>
      <c r="N311" s="15">
        <f t="shared" si="43"/>
        <v>7.832994279114702E-5</v>
      </c>
      <c r="O311" s="15">
        <f t="shared" si="43"/>
        <v>0.73486179642683913</v>
      </c>
      <c r="P311" s="15">
        <f t="shared" si="43"/>
        <v>0.13953715923805032</v>
      </c>
      <c r="Q311" s="15">
        <f t="shared" si="43"/>
        <v>0.76165691817328696</v>
      </c>
      <c r="R311" s="15">
        <f t="shared" si="43"/>
        <v>0.23834308182671307</v>
      </c>
    </row>
    <row r="312" spans="1:18" x14ac:dyDescent="0.25">
      <c r="A312">
        <f t="shared" si="44"/>
        <v>2024</v>
      </c>
      <c r="B312" t="str">
        <f t="shared" si="44"/>
        <v>Jul</v>
      </c>
      <c r="C312" s="15">
        <f t="shared" si="43"/>
        <v>0</v>
      </c>
      <c r="D312" s="15">
        <f t="shared" si="43"/>
        <v>2.1833314262454024E-3</v>
      </c>
      <c r="E312" s="15">
        <f t="shared" si="43"/>
        <v>6.9454303269783635E-2</v>
      </c>
      <c r="F312" s="15">
        <f t="shared" si="43"/>
        <v>3.1202809760902221E-4</v>
      </c>
      <c r="G312" s="15">
        <f t="shared" si="43"/>
        <v>2.2453875788192898E-2</v>
      </c>
      <c r="H312" s="15">
        <f t="shared" si="43"/>
        <v>1.4694596686657083E-2</v>
      </c>
      <c r="I312" s="15">
        <f t="shared" si="43"/>
        <v>0</v>
      </c>
      <c r="J312" s="15">
        <f t="shared" si="43"/>
        <v>1.430342784919097E-2</v>
      </c>
      <c r="K312" s="15">
        <f t="shared" si="43"/>
        <v>0</v>
      </c>
      <c r="L312" s="15">
        <f t="shared" si="43"/>
        <v>6.3204939379573446E-3</v>
      </c>
      <c r="M312" s="15">
        <f t="shared" si="43"/>
        <v>5.7321770291071227E-3</v>
      </c>
      <c r="N312" s="15">
        <f t="shared" si="43"/>
        <v>8.2358399926363076E-5</v>
      </c>
      <c r="O312" s="15">
        <f t="shared" si="43"/>
        <v>0.7125474985347271</v>
      </c>
      <c r="P312" s="15">
        <f t="shared" si="43"/>
        <v>0.15191590898060295</v>
      </c>
      <c r="Q312" s="15">
        <f t="shared" si="43"/>
        <v>0.80082842956814315</v>
      </c>
      <c r="R312" s="15">
        <f t="shared" si="43"/>
        <v>0.19917157043185688</v>
      </c>
    </row>
    <row r="313" spans="1:18" x14ac:dyDescent="0.25">
      <c r="A313">
        <f t="shared" si="44"/>
        <v>2024</v>
      </c>
      <c r="B313" t="str">
        <f t="shared" si="44"/>
        <v>Aug</v>
      </c>
      <c r="C313" s="15">
        <f t="shared" si="43"/>
        <v>0</v>
      </c>
      <c r="D313" s="15">
        <f t="shared" si="43"/>
        <v>2.1894177146852085E-3</v>
      </c>
      <c r="E313" s="15">
        <f t="shared" si="43"/>
        <v>7.416072969249829E-2</v>
      </c>
      <c r="F313" s="15">
        <f t="shared" si="43"/>
        <v>2.3719134677251054E-3</v>
      </c>
      <c r="G313" s="15">
        <f t="shared" si="43"/>
        <v>2.292259829723128E-2</v>
      </c>
      <c r="H313" s="15">
        <f t="shared" si="43"/>
        <v>2.5107586116462757E-2</v>
      </c>
      <c r="I313" s="15">
        <f t="shared" si="43"/>
        <v>0</v>
      </c>
      <c r="J313" s="15">
        <f t="shared" si="43"/>
        <v>1.1834016073573664E-2</v>
      </c>
      <c r="K313" s="15">
        <f t="shared" si="43"/>
        <v>0</v>
      </c>
      <c r="L313" s="15">
        <f t="shared" si="43"/>
        <v>1.0275728951357895E-2</v>
      </c>
      <c r="M313" s="15">
        <f t="shared" si="43"/>
        <v>2.7734306905025552E-3</v>
      </c>
      <c r="N313" s="15">
        <f t="shared" si="43"/>
        <v>8.1296412595348921E-5</v>
      </c>
      <c r="O313" s="15">
        <f t="shared" si="43"/>
        <v>0.6899938185618798</v>
      </c>
      <c r="P313" s="15">
        <f t="shared" si="43"/>
        <v>0.15828946402148808</v>
      </c>
      <c r="Q313" s="15">
        <f t="shared" si="43"/>
        <v>0.79050198263282445</v>
      </c>
      <c r="R313" s="15">
        <f t="shared" si="43"/>
        <v>0.20949801736717549</v>
      </c>
    </row>
    <row r="314" spans="1:18" x14ac:dyDescent="0.25">
      <c r="A314">
        <f t="shared" si="44"/>
        <v>2024</v>
      </c>
      <c r="B314" t="str">
        <f t="shared" si="44"/>
        <v>Sep</v>
      </c>
      <c r="C314" s="15">
        <f t="shared" si="43"/>
        <v>0</v>
      </c>
      <c r="D314" s="15">
        <f t="shared" si="43"/>
        <v>1.762993551272813E-3</v>
      </c>
      <c r="E314" s="15">
        <f t="shared" si="43"/>
        <v>5.9916538108982384E-2</v>
      </c>
      <c r="F314" s="15">
        <f t="shared" si="43"/>
        <v>7.1644649865842253E-4</v>
      </c>
      <c r="G314" s="15">
        <f t="shared" si="43"/>
        <v>1.7445109643937997E-2</v>
      </c>
      <c r="H314" s="15">
        <f t="shared" si="43"/>
        <v>2.2547244715967554E-2</v>
      </c>
      <c r="I314" s="15">
        <f t="shared" si="43"/>
        <v>0</v>
      </c>
      <c r="J314" s="15">
        <f t="shared" si="43"/>
        <v>8.382309824984854E-3</v>
      </c>
      <c r="K314" s="15">
        <f t="shared" si="43"/>
        <v>0</v>
      </c>
      <c r="L314" s="15">
        <f t="shared" si="43"/>
        <v>6.9210318178860569E-3</v>
      </c>
      <c r="M314" s="15">
        <f t="shared" si="43"/>
        <v>1.8392622752174525E-3</v>
      </c>
      <c r="N314" s="15">
        <f t="shared" si="43"/>
        <v>6.6067765115433266E-5</v>
      </c>
      <c r="O314" s="15">
        <f t="shared" si="43"/>
        <v>0.75609674753211165</v>
      </c>
      <c r="P314" s="15">
        <f t="shared" si="43"/>
        <v>0.12430624826586525</v>
      </c>
      <c r="Q314" s="15">
        <f t="shared" si="43"/>
        <v>0.64242317273982297</v>
      </c>
      <c r="R314" s="15">
        <f t="shared" si="43"/>
        <v>0.35757682726017703</v>
      </c>
    </row>
    <row r="315" spans="1:18" x14ac:dyDescent="0.25">
      <c r="A315">
        <f t="shared" si="44"/>
        <v>2024</v>
      </c>
      <c r="B315" t="str">
        <f t="shared" si="44"/>
        <v>Oct</v>
      </c>
      <c r="C315" s="15">
        <f t="shared" si="43"/>
        <v>0</v>
      </c>
      <c r="D315" s="15">
        <f t="shared" si="43"/>
        <v>1.9373657724474237E-3</v>
      </c>
      <c r="E315" s="15">
        <f t="shared" si="43"/>
        <v>5.7828275935842291E-2</v>
      </c>
      <c r="F315" s="15">
        <f t="shared" si="43"/>
        <v>9.3463655535620934E-4</v>
      </c>
      <c r="G315" s="15">
        <f t="shared" si="43"/>
        <v>1.7405988288565613E-2</v>
      </c>
      <c r="H315" s="15">
        <f t="shared" si="43"/>
        <v>1.6633832888088434E-2</v>
      </c>
      <c r="I315" s="15">
        <f t="shared" si="43"/>
        <v>2.4460942663495099E-3</v>
      </c>
      <c r="J315" s="15">
        <f t="shared" si="43"/>
        <v>9.0458722729771495E-3</v>
      </c>
      <c r="K315" s="15">
        <f t="shared" si="43"/>
        <v>0</v>
      </c>
      <c r="L315" s="15">
        <f t="shared" si="43"/>
        <v>9.5251816602901582E-3</v>
      </c>
      <c r="M315" s="15">
        <f t="shared" si="43"/>
        <v>4.6280400139387737E-3</v>
      </c>
      <c r="N315" s="15">
        <f t="shared" si="43"/>
        <v>6.1942406118690608E-5</v>
      </c>
      <c r="O315" s="15">
        <f t="shared" si="43"/>
        <v>0.74866592897700468</v>
      </c>
      <c r="P315" s="15">
        <f t="shared" si="43"/>
        <v>0.13088684096302103</v>
      </c>
      <c r="Q315" s="15">
        <f t="shared" si="43"/>
        <v>0.60230941664791138</v>
      </c>
      <c r="R315" s="15">
        <f t="shared" si="43"/>
        <v>0.39769058335208862</v>
      </c>
    </row>
    <row r="316" spans="1:18" x14ac:dyDescent="0.25">
      <c r="A316">
        <f t="shared" si="44"/>
        <v>2024</v>
      </c>
      <c r="B316" t="str">
        <f t="shared" si="44"/>
        <v>Nov</v>
      </c>
      <c r="C316" s="15">
        <f t="shared" si="43"/>
        <v>0</v>
      </c>
      <c r="D316" s="15">
        <f t="shared" si="43"/>
        <v>2.266644505553834E-3</v>
      </c>
      <c r="E316" s="15">
        <f t="shared" si="43"/>
        <v>6.7352463021819783E-2</v>
      </c>
      <c r="F316" s="15">
        <f t="shared" si="43"/>
        <v>1.7557961456882213E-3</v>
      </c>
      <c r="G316" s="15">
        <f t="shared" si="43"/>
        <v>1.7841138173322283E-2</v>
      </c>
      <c r="H316" s="15">
        <f t="shared" si="43"/>
        <v>2.5785134573114429E-2</v>
      </c>
      <c r="I316" s="15">
        <f t="shared" si="43"/>
        <v>2.6861535511973115E-3</v>
      </c>
      <c r="J316" s="15">
        <f t="shared" si="43"/>
        <v>1.0442872651641242E-2</v>
      </c>
      <c r="K316" s="15">
        <f t="shared" si="43"/>
        <v>0</v>
      </c>
      <c r="L316" s="15">
        <f t="shared" si="43"/>
        <v>1.0524228516769736E-2</v>
      </c>
      <c r="M316" s="15">
        <f t="shared" si="43"/>
        <v>6.382194063176424E-3</v>
      </c>
      <c r="N316" s="15">
        <f t="shared" si="43"/>
        <v>6.9426029709375716E-5</v>
      </c>
      <c r="O316" s="15">
        <f t="shared" si="43"/>
        <v>0.71987020800995316</v>
      </c>
      <c r="P316" s="15">
        <f t="shared" si="43"/>
        <v>0.13502374075805429</v>
      </c>
      <c r="Q316" s="15">
        <f t="shared" si="43"/>
        <v>0.67507793246373493</v>
      </c>
      <c r="R316" s="15">
        <f t="shared" si="43"/>
        <v>0.32492206753626507</v>
      </c>
    </row>
    <row r="317" spans="1:18" x14ac:dyDescent="0.25">
      <c r="A317">
        <f t="shared" si="44"/>
        <v>2024</v>
      </c>
      <c r="B317" t="str">
        <f t="shared" si="44"/>
        <v>Dec</v>
      </c>
      <c r="C317" s="15">
        <f t="shared" si="43"/>
        <v>0</v>
      </c>
      <c r="D317" s="15">
        <f t="shared" si="43"/>
        <v>2.6570302069956384E-3</v>
      </c>
      <c r="E317" s="15">
        <f t="shared" si="43"/>
        <v>5.533866218196877E-2</v>
      </c>
      <c r="F317" s="15">
        <f t="shared" si="43"/>
        <v>2.466012394493716E-3</v>
      </c>
      <c r="G317" s="15">
        <f t="shared" si="43"/>
        <v>1.7308409250006849E-2</v>
      </c>
      <c r="H317" s="15">
        <f t="shared" si="43"/>
        <v>1.9748947505545095E-2</v>
      </c>
      <c r="I317" s="15">
        <f t="shared" si="43"/>
        <v>1.9293865538497065E-3</v>
      </c>
      <c r="J317" s="15">
        <f t="shared" si="43"/>
        <v>9.9057027744443374E-3</v>
      </c>
      <c r="K317" s="15">
        <f t="shared" si="43"/>
        <v>0</v>
      </c>
      <c r="L317" s="15">
        <f t="shared" si="43"/>
        <v>5.9238472856718684E-3</v>
      </c>
      <c r="M317" s="15">
        <f t="shared" si="43"/>
        <v>7.4957508867411673E-3</v>
      </c>
      <c r="N317" s="15">
        <f t="shared" si="43"/>
        <v>8.0681920564323089E-5</v>
      </c>
      <c r="O317" s="15">
        <f t="shared" si="43"/>
        <v>0.74342968993867908</v>
      </c>
      <c r="P317" s="15">
        <f t="shared" si="43"/>
        <v>0.13371587910103933</v>
      </c>
      <c r="Q317" s="15">
        <f t="shared" si="43"/>
        <v>0.78452684605138845</v>
      </c>
      <c r="R317" s="15">
        <f t="shared" ref="R317" si="45">R97/$S97</f>
        <v>0.21547315394861158</v>
      </c>
    </row>
    <row r="318" spans="1:18" x14ac:dyDescent="0.25">
      <c r="A318">
        <f t="shared" si="44"/>
        <v>2025</v>
      </c>
      <c r="B318" t="str">
        <f t="shared" si="44"/>
        <v>Jan</v>
      </c>
      <c r="C318" s="15">
        <v>0</v>
      </c>
      <c r="D318" s="15">
        <v>2.6183598874841571E-3</v>
      </c>
      <c r="E318" s="15">
        <v>5.4533265336166863E-2</v>
      </c>
      <c r="F318" s="15">
        <v>2.4301221411713149E-3</v>
      </c>
      <c r="G318" s="15">
        <v>1.7056503300962308E-2</v>
      </c>
      <c r="H318" s="15">
        <v>1.9461522052855777E-2</v>
      </c>
      <c r="I318" s="15">
        <v>1.9013063331950503E-3</v>
      </c>
      <c r="J318" s="15">
        <v>9.7615355420715214E-3</v>
      </c>
      <c r="K318" s="15">
        <v>0</v>
      </c>
      <c r="L318" s="15">
        <v>5.837631831037208E-3</v>
      </c>
      <c r="M318" s="15">
        <v>7.3866580051451742E-3</v>
      </c>
      <c r="N318" s="15">
        <v>7.9507678871922378E-5</v>
      </c>
      <c r="O318" s="15">
        <v>0.73260984168533272</v>
      </c>
      <c r="P318" s="15">
        <v>0.13176978313457963</v>
      </c>
      <c r="Q318" s="15">
        <v>0.77310887130564931</v>
      </c>
      <c r="R318" s="15">
        <v>0.22689112869435066</v>
      </c>
    </row>
    <row r="319" spans="1:18" x14ac:dyDescent="0.25"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 spans="1:18" x14ac:dyDescent="0.25"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 spans="3:18" x14ac:dyDescent="0.25"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 spans="3:18" x14ac:dyDescent="0.25"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 spans="3:18" x14ac:dyDescent="0.25"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 spans="3:18" x14ac:dyDescent="0.25"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 spans="3:18" x14ac:dyDescent="0.25"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 spans="3:18" x14ac:dyDescent="0.25"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 spans="3:18" x14ac:dyDescent="0.25"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 spans="3:18" x14ac:dyDescent="0.25"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46" spans="1:11" x14ac:dyDescent="0.25">
      <c r="A346" t="s">
        <v>33</v>
      </c>
      <c r="B346" t="s">
        <v>59</v>
      </c>
      <c r="C346" t="s">
        <v>40</v>
      </c>
      <c r="D346" t="s">
        <v>41</v>
      </c>
      <c r="E346" t="s">
        <v>44</v>
      </c>
      <c r="F346" t="s">
        <v>47</v>
      </c>
      <c r="G346" t="s">
        <v>49</v>
      </c>
      <c r="H346" t="s">
        <v>50</v>
      </c>
      <c r="I346" t="s">
        <v>51</v>
      </c>
      <c r="J346" t="s">
        <v>52</v>
      </c>
      <c r="K346" t="s">
        <v>30</v>
      </c>
    </row>
    <row r="347" spans="1:11" x14ac:dyDescent="0.25">
      <c r="A347">
        <v>2018</v>
      </c>
      <c r="B347" s="21">
        <f t="shared" ref="B347:D351" si="46">(SUMIF($A$2:$A$82,$A347,E$2:E$82))/1000</f>
        <v>0.6464662578</v>
      </c>
      <c r="C347" s="21">
        <f t="shared" si="46"/>
        <v>3.7781566560000007E-2</v>
      </c>
      <c r="D347" s="21">
        <f t="shared" si="46"/>
        <v>9.3429703079999996E-2</v>
      </c>
      <c r="E347" s="21">
        <f t="shared" ref="E347:E351" si="47">(SUMIF($A$2:$A$82,$A347,J$2:J$82))/1000</f>
        <v>7.8641361890000011E-2</v>
      </c>
      <c r="F347" s="21">
        <f t="shared" ref="F347:F351" si="48">(SUMIF($A$2:$A$82,$A347,M$2:M$82))/1000</f>
        <v>6.2925525820000008E-2</v>
      </c>
      <c r="G347" s="21">
        <f t="shared" ref="G347:K351" si="49">(SUMIF($A$2:$A$82,$A347,O$2:O$82))/1000</f>
        <v>3.3786160670640002</v>
      </c>
      <c r="H347" s="21">
        <f t="shared" si="49"/>
        <v>0.47353225738000004</v>
      </c>
      <c r="I347" s="21">
        <f t="shared" si="49"/>
        <v>3.4997462635790004</v>
      </c>
      <c r="J347" s="21">
        <f t="shared" si="49"/>
        <v>1.3298511467100003</v>
      </c>
      <c r="K347" s="21">
        <f t="shared" si="49"/>
        <v>4.8295974102890007</v>
      </c>
    </row>
    <row r="348" spans="1:11" x14ac:dyDescent="0.25">
      <c r="A348">
        <v>2019</v>
      </c>
      <c r="B348" s="21">
        <f t="shared" si="46"/>
        <v>0.62731378059999998</v>
      </c>
      <c r="C348" s="21">
        <f t="shared" si="46"/>
        <v>2.9871706650000003E-2</v>
      </c>
      <c r="D348" s="21">
        <f t="shared" si="46"/>
        <v>9.6964145039999991E-2</v>
      </c>
      <c r="E348" s="21">
        <f t="shared" si="47"/>
        <v>8.4025092970000007E-2</v>
      </c>
      <c r="F348" s="21">
        <f t="shared" si="48"/>
        <v>0.10830892647</v>
      </c>
      <c r="G348" s="21">
        <f t="shared" si="49"/>
        <v>3.7488021289950009</v>
      </c>
      <c r="H348" s="21">
        <f t="shared" si="49"/>
        <v>0.60749720213000014</v>
      </c>
      <c r="I348" s="21">
        <f t="shared" si="49"/>
        <v>4.0729522340510007</v>
      </c>
      <c r="J348" s="21">
        <f t="shared" si="49"/>
        <v>1.4456719273899998</v>
      </c>
      <c r="K348" s="21">
        <f t="shared" si="49"/>
        <v>5.518624161441001</v>
      </c>
    </row>
    <row r="349" spans="1:11" x14ac:dyDescent="0.25">
      <c r="A349">
        <v>2020</v>
      </c>
      <c r="B349" s="21">
        <f t="shared" si="46"/>
        <v>0.52101609464000009</v>
      </c>
      <c r="C349" s="21">
        <f t="shared" si="46"/>
        <v>3.5583832589999996E-2</v>
      </c>
      <c r="D349" s="21">
        <f t="shared" si="46"/>
        <v>0.10971312323999999</v>
      </c>
      <c r="E349" s="21">
        <f t="shared" si="47"/>
        <v>7.073167465000002E-2</v>
      </c>
      <c r="F349" s="21">
        <f t="shared" si="48"/>
        <v>0.14812068593</v>
      </c>
      <c r="G349" s="21">
        <f t="shared" si="49"/>
        <v>4.2892889046140006</v>
      </c>
      <c r="H349" s="21">
        <f t="shared" si="49"/>
        <v>0.66946895196999989</v>
      </c>
      <c r="I349" s="21">
        <f t="shared" si="49"/>
        <v>4.572570824904</v>
      </c>
      <c r="J349" s="21">
        <f t="shared" si="49"/>
        <v>1.4065136770900002</v>
      </c>
      <c r="K349" s="21">
        <f t="shared" si="49"/>
        <v>5.9790845019939995</v>
      </c>
    </row>
    <row r="350" spans="1:11" x14ac:dyDescent="0.25">
      <c r="A350">
        <v>2021</v>
      </c>
      <c r="B350" s="21">
        <f t="shared" si="46"/>
        <v>0.48221915644000007</v>
      </c>
      <c r="C350" s="21">
        <f t="shared" si="46"/>
        <v>4.9330423320000011E-2</v>
      </c>
      <c r="D350" s="21">
        <f t="shared" si="46"/>
        <v>0.1120470918</v>
      </c>
      <c r="E350" s="21">
        <f t="shared" si="47"/>
        <v>0.10371571028000003</v>
      </c>
      <c r="F350" s="21">
        <f t="shared" si="48"/>
        <v>0.15054087005</v>
      </c>
      <c r="G350" s="21">
        <f t="shared" si="49"/>
        <v>4.5112194381239998</v>
      </c>
      <c r="H350" s="21">
        <f t="shared" si="49"/>
        <v>0.7060196297700001</v>
      </c>
      <c r="I350" s="21">
        <f t="shared" si="49"/>
        <v>4.7768058224769998</v>
      </c>
      <c r="J350" s="21">
        <f t="shared" si="49"/>
        <v>1.4533320116100004</v>
      </c>
      <c r="K350" s="21">
        <f t="shared" si="49"/>
        <v>6.2301378340870004</v>
      </c>
    </row>
    <row r="351" spans="1:11" x14ac:dyDescent="0.25">
      <c r="A351">
        <v>2022</v>
      </c>
      <c r="B351" s="21">
        <f t="shared" si="46"/>
        <v>0.46909250076000003</v>
      </c>
      <c r="C351" s="21">
        <f t="shared" si="46"/>
        <v>6.6159777270000011E-2</v>
      </c>
      <c r="D351" s="21">
        <f t="shared" si="46"/>
        <v>0.16163388444000001</v>
      </c>
      <c r="E351" s="21">
        <f t="shared" si="47"/>
        <v>0.13509518203999998</v>
      </c>
      <c r="F351" s="21">
        <f t="shared" si="48"/>
        <v>0.12243032863</v>
      </c>
      <c r="G351" s="21">
        <f t="shared" si="49"/>
        <v>3.8740684023090002</v>
      </c>
      <c r="H351" s="21">
        <f t="shared" si="49"/>
        <v>0.93905964424999999</v>
      </c>
      <c r="I351" s="21">
        <f t="shared" si="49"/>
        <v>4.0919424214819999</v>
      </c>
      <c r="J351" s="21">
        <f t="shared" si="49"/>
        <v>1.7710409887599998</v>
      </c>
      <c r="K351" s="21">
        <f t="shared" si="49"/>
        <v>5.8629834102420011</v>
      </c>
    </row>
    <row r="352" spans="1:11" x14ac:dyDescent="0.25">
      <c r="A352">
        <v>2023</v>
      </c>
      <c r="B352" s="21">
        <f>(SUMIF($A$2:$A$85,$A352,E$2:E$85))/1000</f>
        <v>0.40600255224000004</v>
      </c>
      <c r="C352" s="21">
        <f>(SUMIF($A$2:$A$85,$A352,F$2:F$85))/1000</f>
        <v>4.477761936E-2</v>
      </c>
      <c r="D352" s="21">
        <f>(SUMIF($A$2:$A$85,$A352,G$2:G$85))/1000</f>
        <v>0.12265034544000003</v>
      </c>
      <c r="E352" s="21">
        <f>(SUMIF($A$2:$A$85,$A352,J$2:J$85))/1000</f>
        <v>0.11545679691000002</v>
      </c>
      <c r="F352" s="21">
        <f>(SUMIF($A$2:$A$85,$A352,M$2:M$85))/1000</f>
        <v>0.16632797840999997</v>
      </c>
      <c r="G352" s="21">
        <f>(SUMIF($A$2:$A$85,$A352,O$2:O$85))/1000</f>
        <v>4.7849001403700004</v>
      </c>
      <c r="H352" s="21">
        <f>(SUMIF($A$2:$A$85,$A352,P$2:P$85))/1000</f>
        <v>1.1064038076000002</v>
      </c>
      <c r="I352" s="21">
        <f>(SUMIF($A$2:$A$85,$A352,Q$2:Q$85))/1000</f>
        <v>5.0980258058660004</v>
      </c>
      <c r="J352" s="21">
        <f>(SUMIF($A$2:$A$85,$A352,R$2:R$85))/1000</f>
        <v>1.79529112155</v>
      </c>
      <c r="K352" s="21">
        <f>(SUMIF($A$2:$A$85,$A352,S$2:S$85))/1000</f>
        <v>6.8933169274160013</v>
      </c>
    </row>
    <row r="353" spans="1:11" x14ac:dyDescent="0.25">
      <c r="A353">
        <v>2024</v>
      </c>
      <c r="B353" s="21">
        <f>(SUMIF($A$2:$A$97,$A353,E$2:E$97))/1000</f>
        <v>0.58240516907999995</v>
      </c>
      <c r="C353" s="21">
        <f>(SUMIF($A$2:$A$97,$A353,F$2:F$97))/1000</f>
        <v>1.8126366199999997E-2</v>
      </c>
      <c r="D353" s="21">
        <f>(SUMIF($A$2:$A$97,$A353,G$2:G$97))/1000</f>
        <v>0.16334823743999999</v>
      </c>
      <c r="E353" s="21">
        <f>(SUMIF($A$2:$A$97,$A353,J$2:J$97))/1000</f>
        <v>0.10026659548999997</v>
      </c>
      <c r="F353" s="21">
        <f>(SUMIF($A$2:$A$97,$A353,I$2:I$97))/1000</f>
        <v>1.7751192159999998E-2</v>
      </c>
      <c r="G353" s="21">
        <f>(SUMIF($A$2:$A$97,$A353,O$2:O$97))/1000</f>
        <v>6.7161371009629995</v>
      </c>
      <c r="H353" s="21">
        <f>(SUMIF($A$2:$A$97,$A353,P$2:P$97))/1000</f>
        <v>1.2921500083000004</v>
      </c>
      <c r="I353" s="21">
        <f>(SUMIF($A$2:$A$97,$A353,Q$2:Q$97))/1000</f>
        <v>6.7262566377919892</v>
      </c>
      <c r="J353" s="21">
        <f>(SUMIF($A$2:$A$97,$A353,R$2:R$97))/1000</f>
        <v>2.4615189943768163</v>
      </c>
      <c r="K353" s="21">
        <f>(SUMIF($A$2:$A$97,$A353,S$2:S$97))/1000</f>
        <v>9.1877756321688082</v>
      </c>
    </row>
    <row r="354" spans="1:11" x14ac:dyDescent="0.25">
      <c r="A354">
        <v>2025</v>
      </c>
      <c r="B354" s="21">
        <f>(SUMIF($A$2:$A$110,$A354,E$2:E$110))/1000</f>
        <v>0.53591372344163823</v>
      </c>
      <c r="C354" s="21">
        <f>(SUMIF($A$2:$A$110,$A354,F$2:F$110))/1000</f>
        <v>2.3881493196215544E-2</v>
      </c>
      <c r="D354" s="21">
        <f>(SUMIF($A$2:$A$110,$A354,G$2:G$110))/1000</f>
        <v>0.16761905117115825</v>
      </c>
      <c r="E354" s="21">
        <f>(SUMIF($A$2:$A$110,$A354,J$2:J$110))/1000</f>
        <v>9.5929352966692347E-2</v>
      </c>
      <c r="F354" s="21">
        <f>(SUMIF($A$2:$A$110,$A354,I$2:I$110))/1000</f>
        <v>1.8684671642979017E-2</v>
      </c>
      <c r="G354" s="21">
        <f>(SUMIF($A$2:$A$110,$A354,O$2:O$110))/1000</f>
        <v>7.1995627928626931</v>
      </c>
      <c r="H354" s="21">
        <f>(SUMIF($A$2:$A$110,$A354,P$2:P$110))/1000</f>
        <v>1.2949386889164676</v>
      </c>
      <c r="I354" s="21">
        <f>(SUMIF($A$2:$A$110,$A354,Q$2:Q$110))/1000</f>
        <v>7.5659728260645656</v>
      </c>
      <c r="J354" s="21">
        <f>(SUMIF($A$2:$A$110,$A354,R$2:R$110))/1000</f>
        <v>2.2613081947588163</v>
      </c>
      <c r="K354" s="21">
        <f>(SUMIF($A$2:$A$110,$A354,S$2:S$110))/1000</f>
        <v>9.8272810208233849</v>
      </c>
    </row>
    <row r="356" spans="1:11" x14ac:dyDescent="0.25">
      <c r="B356">
        <v>2018</v>
      </c>
      <c r="C356">
        <v>2019</v>
      </c>
      <c r="D356">
        <v>2020</v>
      </c>
      <c r="E356">
        <v>2021</v>
      </c>
      <c r="F356">
        <v>2022</v>
      </c>
      <c r="G356">
        <v>2023</v>
      </c>
      <c r="H356">
        <v>2024</v>
      </c>
      <c r="I356">
        <v>2025</v>
      </c>
    </row>
    <row r="357" spans="1:11" x14ac:dyDescent="0.25">
      <c r="A357" t="s">
        <v>59</v>
      </c>
      <c r="B357" s="21">
        <f>B347</f>
        <v>0.6464662578</v>
      </c>
      <c r="C357" s="21">
        <f>B348</f>
        <v>0.62731378059999998</v>
      </c>
      <c r="D357" s="21">
        <f>B349</f>
        <v>0.52101609464000009</v>
      </c>
      <c r="E357" s="21">
        <f>B350</f>
        <v>0.48221915644000007</v>
      </c>
      <c r="F357" s="21">
        <f>B351</f>
        <v>0.46909250076000003</v>
      </c>
      <c r="G357" s="21">
        <f>B352</f>
        <v>0.40600255224000004</v>
      </c>
      <c r="H357" s="21">
        <f>B353</f>
        <v>0.58240516907999995</v>
      </c>
      <c r="I357" s="21">
        <f>B354</f>
        <v>0.53591372344163823</v>
      </c>
    </row>
    <row r="358" spans="1:11" x14ac:dyDescent="0.25">
      <c r="A358" t="s">
        <v>40</v>
      </c>
      <c r="B358" s="21">
        <f>C347</f>
        <v>3.7781566560000007E-2</v>
      </c>
      <c r="C358" s="21">
        <f>C348</f>
        <v>2.9871706650000003E-2</v>
      </c>
      <c r="D358" s="21">
        <f>C349</f>
        <v>3.5583832589999996E-2</v>
      </c>
      <c r="E358" s="21">
        <f>C350</f>
        <v>4.9330423320000011E-2</v>
      </c>
      <c r="F358" s="21">
        <f>C351</f>
        <v>6.6159777270000011E-2</v>
      </c>
      <c r="G358" s="21">
        <f>C352</f>
        <v>4.477761936E-2</v>
      </c>
      <c r="H358" s="21">
        <f>C353</f>
        <v>1.8126366199999997E-2</v>
      </c>
      <c r="I358" s="21">
        <f>C354</f>
        <v>2.3881493196215544E-2</v>
      </c>
    </row>
    <row r="359" spans="1:11" x14ac:dyDescent="0.25">
      <c r="A359" t="s">
        <v>41</v>
      </c>
      <c r="B359" s="21">
        <f>D347</f>
        <v>9.3429703079999996E-2</v>
      </c>
      <c r="C359" s="21">
        <f>D348</f>
        <v>9.6964145039999991E-2</v>
      </c>
      <c r="D359" s="21">
        <f>D349</f>
        <v>0.10971312323999999</v>
      </c>
      <c r="E359" s="21">
        <f>D350</f>
        <v>0.1120470918</v>
      </c>
      <c r="F359" s="21">
        <f>D351</f>
        <v>0.16163388444000001</v>
      </c>
      <c r="G359" s="21">
        <f>D352</f>
        <v>0.12265034544000003</v>
      </c>
      <c r="H359" s="21">
        <f>D353</f>
        <v>0.16334823743999999</v>
      </c>
      <c r="I359" s="21">
        <f>D354</f>
        <v>0.16761905117115825</v>
      </c>
    </row>
    <row r="360" spans="1:11" x14ac:dyDescent="0.25">
      <c r="A360" t="s">
        <v>44</v>
      </c>
      <c r="B360" s="21">
        <f>E347</f>
        <v>7.8641361890000011E-2</v>
      </c>
      <c r="C360" s="21">
        <f>E348</f>
        <v>8.4025092970000007E-2</v>
      </c>
      <c r="D360" s="21">
        <f>E349</f>
        <v>7.073167465000002E-2</v>
      </c>
      <c r="E360" s="21">
        <f>E350</f>
        <v>0.10371571028000003</v>
      </c>
      <c r="F360" s="21">
        <f>E351</f>
        <v>0.13509518203999998</v>
      </c>
      <c r="G360" s="21">
        <f>E352</f>
        <v>0.11545679691000002</v>
      </c>
      <c r="H360" s="21">
        <f>E353</f>
        <v>0.10026659548999997</v>
      </c>
      <c r="I360" s="21">
        <f>E354</f>
        <v>9.5929352966692347E-2</v>
      </c>
    </row>
    <row r="361" spans="1:11" x14ac:dyDescent="0.25">
      <c r="A361" t="s">
        <v>47</v>
      </c>
      <c r="B361" s="21">
        <f>F347</f>
        <v>6.2925525820000008E-2</v>
      </c>
      <c r="C361" s="21">
        <f>F348</f>
        <v>0.10830892647</v>
      </c>
      <c r="D361" s="21">
        <f>F349</f>
        <v>0.14812068593</v>
      </c>
      <c r="E361" s="21">
        <f>F350</f>
        <v>0.15054087005</v>
      </c>
      <c r="F361" s="21">
        <f>F351</f>
        <v>0.12243032863</v>
      </c>
      <c r="G361" s="21">
        <f>F352</f>
        <v>0.16632797840999997</v>
      </c>
      <c r="H361" s="21">
        <f>F353</f>
        <v>1.7751192159999998E-2</v>
      </c>
      <c r="I361" s="21">
        <f>F354</f>
        <v>1.8684671642979017E-2</v>
      </c>
    </row>
    <row r="362" spans="1:11" x14ac:dyDescent="0.25">
      <c r="A362" t="s">
        <v>49</v>
      </c>
      <c r="B362" s="21">
        <f>G347</f>
        <v>3.3786160670640002</v>
      </c>
      <c r="C362" s="21">
        <f>G348</f>
        <v>3.7488021289950009</v>
      </c>
      <c r="D362" s="21">
        <f>G349</f>
        <v>4.2892889046140006</v>
      </c>
      <c r="E362" s="21">
        <f>G350</f>
        <v>4.5112194381239998</v>
      </c>
      <c r="F362" s="21">
        <f>G351</f>
        <v>3.8740684023090002</v>
      </c>
      <c r="G362" s="21">
        <f>G352</f>
        <v>4.7849001403700004</v>
      </c>
      <c r="H362" s="21">
        <f>G353</f>
        <v>6.7161371009629995</v>
      </c>
      <c r="I362" s="21">
        <f>G354</f>
        <v>7.1995627928626931</v>
      </c>
    </row>
    <row r="363" spans="1:11" x14ac:dyDescent="0.25">
      <c r="A363" t="s">
        <v>50</v>
      </c>
      <c r="B363" s="21">
        <f>H347</f>
        <v>0.47353225738000004</v>
      </c>
      <c r="C363" s="21">
        <f>H348</f>
        <v>0.60749720213000014</v>
      </c>
      <c r="D363" s="21">
        <f>H349</f>
        <v>0.66946895196999989</v>
      </c>
      <c r="E363" s="21">
        <f>H350</f>
        <v>0.7060196297700001</v>
      </c>
      <c r="F363" s="21">
        <f>H351</f>
        <v>0.93905964424999999</v>
      </c>
      <c r="G363" s="21">
        <f>H352</f>
        <v>1.1064038076000002</v>
      </c>
      <c r="H363" s="21">
        <f>H353</f>
        <v>1.2921500083000004</v>
      </c>
      <c r="I363" s="21">
        <f>H354</f>
        <v>1.2949386889164676</v>
      </c>
    </row>
    <row r="364" spans="1:11" x14ac:dyDescent="0.25">
      <c r="A364" t="s">
        <v>61</v>
      </c>
      <c r="B364" s="21">
        <f>B368-B362-B367</f>
        <v>0.12113019651500023</v>
      </c>
      <c r="C364" s="21">
        <f t="shared" ref="C364:H364" si="50">C368-C362-C367</f>
        <v>0.32415010505599939</v>
      </c>
      <c r="D364" s="21">
        <f t="shared" si="50"/>
        <v>0.28328192028999966</v>
      </c>
      <c r="E364" s="21">
        <f t="shared" si="50"/>
        <v>0.26558638435300019</v>
      </c>
      <c r="F364" s="21">
        <f t="shared" si="50"/>
        <v>0.2178740191730002</v>
      </c>
      <c r="G364" s="21">
        <f t="shared" si="50"/>
        <v>0.31312566549599996</v>
      </c>
      <c r="H364" s="21">
        <f t="shared" si="50"/>
        <v>1.0119536828988807E-2</v>
      </c>
      <c r="I364" s="21">
        <f>I368-I362-I367</f>
        <v>0.36641003320187204</v>
      </c>
    </row>
    <row r="365" spans="1:11" x14ac:dyDescent="0.25">
      <c r="A365" t="s">
        <v>51</v>
      </c>
      <c r="B365" s="21">
        <f>I347</f>
        <v>3.4997462635790004</v>
      </c>
      <c r="C365" s="21">
        <f>I348</f>
        <v>4.0729522340510007</v>
      </c>
      <c r="D365" s="21">
        <f>I349</f>
        <v>4.572570824904</v>
      </c>
      <c r="E365" s="21">
        <f>I350</f>
        <v>4.7768058224769998</v>
      </c>
      <c r="F365" s="21">
        <f>I351</f>
        <v>4.0919424214819999</v>
      </c>
      <c r="G365" s="21">
        <f>I352</f>
        <v>5.0980258058660004</v>
      </c>
      <c r="H365" s="21">
        <f>I353</f>
        <v>6.7262566377919892</v>
      </c>
      <c r="I365" s="21">
        <f>I354</f>
        <v>7.5659728260645656</v>
      </c>
    </row>
    <row r="366" spans="1:11" x14ac:dyDescent="0.25">
      <c r="A366" t="s">
        <v>62</v>
      </c>
      <c r="B366" s="21">
        <f>B358+B359+B360</f>
        <v>0.20985263153000003</v>
      </c>
      <c r="C366" s="21">
        <f t="shared" ref="C366:I366" si="51">C358+C359+C360</f>
        <v>0.21086094465999999</v>
      </c>
      <c r="D366" s="21">
        <f t="shared" si="51"/>
        <v>0.21602863048000001</v>
      </c>
      <c r="E366" s="21">
        <f t="shared" si="51"/>
        <v>0.26509322540000002</v>
      </c>
      <c r="F366" s="21">
        <f t="shared" si="51"/>
        <v>0.36288884375000002</v>
      </c>
      <c r="G366" s="21">
        <f t="shared" si="51"/>
        <v>0.28288476171000004</v>
      </c>
      <c r="H366" s="21">
        <f t="shared" si="51"/>
        <v>0.28174119912999995</v>
      </c>
      <c r="I366" s="21">
        <f t="shared" si="51"/>
        <v>0.28742989733406615</v>
      </c>
    </row>
    <row r="367" spans="1:11" x14ac:dyDescent="0.25">
      <c r="A367" t="s">
        <v>52</v>
      </c>
      <c r="B367" s="21">
        <f>J347</f>
        <v>1.3298511467100003</v>
      </c>
      <c r="C367" s="21">
        <f>J348</f>
        <v>1.4456719273899998</v>
      </c>
      <c r="D367" s="21">
        <f>J349</f>
        <v>1.4065136770900002</v>
      </c>
      <c r="E367" s="21">
        <f>J350</f>
        <v>1.4533320116100004</v>
      </c>
      <c r="F367" s="21">
        <f>J351</f>
        <v>1.7710409887599998</v>
      </c>
      <c r="G367" s="21">
        <f>J352</f>
        <v>1.79529112155</v>
      </c>
      <c r="H367" s="21">
        <f>J353</f>
        <v>2.4615189943768163</v>
      </c>
      <c r="I367" s="21">
        <f>J354</f>
        <v>2.2613081947588163</v>
      </c>
    </row>
    <row r="368" spans="1:11" x14ac:dyDescent="0.25">
      <c r="A368" t="s">
        <v>30</v>
      </c>
      <c r="B368" s="21">
        <f>B367+B365</f>
        <v>4.8295974102890007</v>
      </c>
      <c r="C368" s="21">
        <f t="shared" ref="C368:H368" si="52">C367+C365</f>
        <v>5.5186241614410001</v>
      </c>
      <c r="D368" s="21">
        <f t="shared" si="52"/>
        <v>5.9790845019940004</v>
      </c>
      <c r="E368" s="21">
        <f t="shared" si="52"/>
        <v>6.2301378340870004</v>
      </c>
      <c r="F368" s="21">
        <f t="shared" si="52"/>
        <v>5.8629834102420002</v>
      </c>
      <c r="G368" s="21">
        <f t="shared" si="52"/>
        <v>6.8933169274160004</v>
      </c>
      <c r="H368" s="21">
        <f t="shared" si="52"/>
        <v>9.1877756321688047</v>
      </c>
      <c r="I368" s="21">
        <f>I367+I365</f>
        <v>9.8272810208233814</v>
      </c>
    </row>
    <row r="372" spans="2:8" x14ac:dyDescent="0.25">
      <c r="B372" s="21">
        <f t="shared" ref="B372:H378" si="53">B347</f>
        <v>0.6464662578</v>
      </c>
      <c r="C372" s="21">
        <f t="shared" si="53"/>
        <v>3.7781566560000007E-2</v>
      </c>
      <c r="D372" s="21">
        <f t="shared" si="53"/>
        <v>9.3429703079999996E-2</v>
      </c>
      <c r="E372" s="21">
        <f t="shared" si="53"/>
        <v>7.8641361890000011E-2</v>
      </c>
      <c r="F372" s="21">
        <f t="shared" si="53"/>
        <v>6.2925525820000008E-2</v>
      </c>
      <c r="G372" s="21">
        <f t="shared" si="53"/>
        <v>3.3786160670640002</v>
      </c>
      <c r="H372" s="21">
        <f t="shared" si="53"/>
        <v>0.47353225738000004</v>
      </c>
    </row>
    <row r="373" spans="2:8" x14ac:dyDescent="0.25">
      <c r="B373" s="21">
        <f t="shared" si="53"/>
        <v>0.62731378059999998</v>
      </c>
      <c r="C373" s="21">
        <f t="shared" si="53"/>
        <v>2.9871706650000003E-2</v>
      </c>
      <c r="D373" s="21">
        <f t="shared" si="53"/>
        <v>9.6964145039999991E-2</v>
      </c>
      <c r="E373" s="21">
        <f t="shared" si="53"/>
        <v>8.4025092970000007E-2</v>
      </c>
      <c r="F373" s="21">
        <f t="shared" si="53"/>
        <v>0.10830892647</v>
      </c>
      <c r="G373" s="21">
        <f t="shared" si="53"/>
        <v>3.7488021289950009</v>
      </c>
      <c r="H373" s="21">
        <f t="shared" si="53"/>
        <v>0.60749720213000014</v>
      </c>
    </row>
    <row r="374" spans="2:8" x14ac:dyDescent="0.25">
      <c r="B374" s="21">
        <f t="shared" si="53"/>
        <v>0.52101609464000009</v>
      </c>
      <c r="C374" s="21">
        <f t="shared" si="53"/>
        <v>3.5583832589999996E-2</v>
      </c>
      <c r="D374" s="21">
        <f t="shared" si="53"/>
        <v>0.10971312323999999</v>
      </c>
      <c r="E374" s="21">
        <f t="shared" si="53"/>
        <v>7.073167465000002E-2</v>
      </c>
      <c r="F374" s="21">
        <f t="shared" si="53"/>
        <v>0.14812068593</v>
      </c>
      <c r="G374" s="21">
        <f t="shared" si="53"/>
        <v>4.2892889046140006</v>
      </c>
      <c r="H374" s="21">
        <f t="shared" si="53"/>
        <v>0.66946895196999989</v>
      </c>
    </row>
    <row r="375" spans="2:8" x14ac:dyDescent="0.25">
      <c r="B375" s="21">
        <f t="shared" si="53"/>
        <v>0.48221915644000007</v>
      </c>
      <c r="C375" s="21">
        <f t="shared" si="53"/>
        <v>4.9330423320000011E-2</v>
      </c>
      <c r="D375" s="21">
        <f t="shared" si="53"/>
        <v>0.1120470918</v>
      </c>
      <c r="E375" s="21">
        <f t="shared" si="53"/>
        <v>0.10371571028000003</v>
      </c>
      <c r="F375" s="21">
        <f t="shared" si="53"/>
        <v>0.15054087005</v>
      </c>
      <c r="G375" s="21">
        <f t="shared" si="53"/>
        <v>4.5112194381239998</v>
      </c>
      <c r="H375" s="21">
        <f t="shared" si="53"/>
        <v>0.7060196297700001</v>
      </c>
    </row>
    <row r="376" spans="2:8" x14ac:dyDescent="0.25">
      <c r="B376" s="21">
        <f t="shared" si="53"/>
        <v>0.46909250076000003</v>
      </c>
      <c r="C376" s="21">
        <f t="shared" si="53"/>
        <v>6.6159777270000011E-2</v>
      </c>
      <c r="D376" s="21">
        <f t="shared" si="53"/>
        <v>0.16163388444000001</v>
      </c>
      <c r="E376" s="21">
        <f t="shared" si="53"/>
        <v>0.13509518203999998</v>
      </c>
      <c r="F376" s="21">
        <f t="shared" si="53"/>
        <v>0.12243032863</v>
      </c>
      <c r="G376" s="21">
        <f t="shared" si="53"/>
        <v>3.8740684023090002</v>
      </c>
      <c r="H376" s="21">
        <f t="shared" si="53"/>
        <v>0.93905964424999999</v>
      </c>
    </row>
    <row r="377" spans="2:8" x14ac:dyDescent="0.25">
      <c r="B377" s="21">
        <f t="shared" si="53"/>
        <v>0.40600255224000004</v>
      </c>
      <c r="C377" s="21">
        <f t="shared" si="53"/>
        <v>4.477761936E-2</v>
      </c>
      <c r="D377" s="21">
        <f t="shared" si="53"/>
        <v>0.12265034544000003</v>
      </c>
      <c r="E377" s="21">
        <f t="shared" si="53"/>
        <v>0.11545679691000002</v>
      </c>
      <c r="F377" s="21">
        <f t="shared" si="53"/>
        <v>0.16632797840999997</v>
      </c>
      <c r="G377" s="21">
        <f t="shared" si="53"/>
        <v>4.7849001403700004</v>
      </c>
      <c r="H377" s="21">
        <f t="shared" si="53"/>
        <v>1.1064038076000002</v>
      </c>
    </row>
    <row r="378" spans="2:8" x14ac:dyDescent="0.25">
      <c r="B378" s="21">
        <f t="shared" si="53"/>
        <v>0.58240516907999995</v>
      </c>
      <c r="C378" s="21">
        <f t="shared" si="53"/>
        <v>1.8126366199999997E-2</v>
      </c>
      <c r="D378" s="21">
        <f t="shared" si="53"/>
        <v>0.16334823743999999</v>
      </c>
      <c r="E378" s="21">
        <f t="shared" si="53"/>
        <v>0.10026659548999997</v>
      </c>
      <c r="F378" s="21">
        <f t="shared" si="53"/>
        <v>1.7751192159999998E-2</v>
      </c>
      <c r="G378" s="21">
        <f t="shared" si="53"/>
        <v>6.7161371009629995</v>
      </c>
      <c r="H378" s="21">
        <f t="shared" si="53"/>
        <v>1.2921500083000004</v>
      </c>
    </row>
  </sheetData>
  <hyperlinks>
    <hyperlink ref="C220" r:id="rId1" xr:uid="{2EFF0331-851C-4D20-8444-56C0100079E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7C8A-51F3-4747-B4DE-03D794DBB627}">
  <dimension ref="A1:T86"/>
  <sheetViews>
    <sheetView zoomScale="85" zoomScaleNormal="85" workbookViewId="0">
      <selection activeCell="C7" sqref="C7"/>
    </sheetView>
  </sheetViews>
  <sheetFormatPr defaultRowHeight="15" x14ac:dyDescent="0.25"/>
  <cols>
    <col min="2" max="3" width="9" bestFit="1" customWidth="1"/>
  </cols>
  <sheetData>
    <row r="1" spans="1:20" x14ac:dyDescent="0.25"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T1" s="28" t="s">
        <v>57</v>
      </c>
    </row>
    <row r="2" spans="1:20" x14ac:dyDescent="0.25">
      <c r="A2" t="s">
        <v>80</v>
      </c>
      <c r="B2">
        <v>1103</v>
      </c>
      <c r="C2">
        <v>301</v>
      </c>
      <c r="D2">
        <v>3345</v>
      </c>
      <c r="E2">
        <v>3977</v>
      </c>
      <c r="F2">
        <v>1000</v>
      </c>
      <c r="G2">
        <v>422</v>
      </c>
      <c r="I2">
        <v>1983</v>
      </c>
      <c r="K2">
        <v>616</v>
      </c>
      <c r="L2">
        <v>6033</v>
      </c>
      <c r="M2">
        <v>90</v>
      </c>
      <c r="N2">
        <v>510</v>
      </c>
      <c r="O2">
        <v>1521</v>
      </c>
      <c r="P2">
        <v>881</v>
      </c>
      <c r="R2">
        <v>21782</v>
      </c>
    </row>
    <row r="3" spans="1:20" x14ac:dyDescent="0.25">
      <c r="A3" t="s">
        <v>81</v>
      </c>
      <c r="B3">
        <v>1103</v>
      </c>
      <c r="C3">
        <v>301</v>
      </c>
      <c r="D3">
        <v>3345</v>
      </c>
      <c r="E3">
        <v>3977</v>
      </c>
      <c r="F3">
        <v>1000</v>
      </c>
      <c r="G3">
        <v>422</v>
      </c>
      <c r="I3">
        <v>1983</v>
      </c>
      <c r="K3">
        <v>616</v>
      </c>
      <c r="L3">
        <v>6033</v>
      </c>
      <c r="M3">
        <v>90</v>
      </c>
      <c r="N3">
        <v>510</v>
      </c>
      <c r="O3">
        <v>1521</v>
      </c>
      <c r="P3">
        <v>881</v>
      </c>
      <c r="R3">
        <v>21782</v>
      </c>
    </row>
    <row r="4" spans="1:20" x14ac:dyDescent="0.25">
      <c r="A4" t="s">
        <v>82</v>
      </c>
      <c r="B4">
        <v>1103</v>
      </c>
      <c r="C4">
        <v>301</v>
      </c>
      <c r="D4">
        <v>3345</v>
      </c>
      <c r="E4">
        <v>3977</v>
      </c>
      <c r="F4">
        <v>1000</v>
      </c>
      <c r="G4">
        <v>422</v>
      </c>
      <c r="I4">
        <v>1983</v>
      </c>
      <c r="K4">
        <v>616</v>
      </c>
      <c r="L4">
        <v>6033</v>
      </c>
      <c r="M4">
        <v>90</v>
      </c>
      <c r="N4">
        <v>510</v>
      </c>
      <c r="O4">
        <v>1521</v>
      </c>
      <c r="P4">
        <v>881</v>
      </c>
      <c r="R4">
        <v>21782</v>
      </c>
    </row>
    <row r="5" spans="1:20" x14ac:dyDescent="0.25">
      <c r="A5" t="s">
        <v>83</v>
      </c>
      <c r="B5">
        <v>1103</v>
      </c>
      <c r="C5">
        <v>301</v>
      </c>
      <c r="D5">
        <v>3345</v>
      </c>
      <c r="E5">
        <v>4577</v>
      </c>
      <c r="F5">
        <v>1000</v>
      </c>
      <c r="G5">
        <v>422</v>
      </c>
      <c r="I5">
        <v>1983</v>
      </c>
      <c r="K5">
        <v>616</v>
      </c>
      <c r="L5">
        <v>6033</v>
      </c>
      <c r="M5">
        <v>90</v>
      </c>
      <c r="N5">
        <v>510</v>
      </c>
      <c r="O5">
        <v>1521</v>
      </c>
      <c r="P5">
        <v>881</v>
      </c>
      <c r="R5">
        <v>22382</v>
      </c>
    </row>
    <row r="6" spans="1:20" x14ac:dyDescent="0.25">
      <c r="A6" t="s">
        <v>84</v>
      </c>
      <c r="B6">
        <v>1103</v>
      </c>
      <c r="C6">
        <v>301</v>
      </c>
      <c r="D6">
        <v>3345</v>
      </c>
      <c r="E6">
        <v>4661</v>
      </c>
      <c r="F6">
        <v>1000</v>
      </c>
      <c r="G6">
        <v>422</v>
      </c>
      <c r="I6">
        <v>1983</v>
      </c>
      <c r="K6">
        <v>616</v>
      </c>
      <c r="L6">
        <v>6283</v>
      </c>
      <c r="M6">
        <v>90</v>
      </c>
      <c r="N6">
        <v>510</v>
      </c>
      <c r="O6">
        <v>1521</v>
      </c>
      <c r="P6">
        <v>881</v>
      </c>
      <c r="R6">
        <v>22716</v>
      </c>
    </row>
    <row r="7" spans="1:20" x14ac:dyDescent="0.25">
      <c r="A7" t="s">
        <v>85</v>
      </c>
      <c r="B7">
        <v>1103</v>
      </c>
      <c r="C7">
        <v>301</v>
      </c>
      <c r="D7">
        <v>3345</v>
      </c>
      <c r="E7">
        <v>4661</v>
      </c>
      <c r="F7">
        <v>1000</v>
      </c>
      <c r="G7">
        <v>422</v>
      </c>
      <c r="I7">
        <v>1983</v>
      </c>
      <c r="K7">
        <v>616</v>
      </c>
      <c r="L7">
        <v>6283</v>
      </c>
      <c r="M7">
        <v>90</v>
      </c>
      <c r="N7">
        <v>510</v>
      </c>
      <c r="O7">
        <v>1521</v>
      </c>
      <c r="P7">
        <v>881</v>
      </c>
      <c r="R7">
        <v>22716</v>
      </c>
    </row>
    <row r="8" spans="1:20" x14ac:dyDescent="0.25">
      <c r="A8" t="s">
        <v>86</v>
      </c>
      <c r="B8">
        <v>1103</v>
      </c>
      <c r="C8">
        <v>301</v>
      </c>
      <c r="D8">
        <v>3345</v>
      </c>
      <c r="E8">
        <v>4661</v>
      </c>
      <c r="F8">
        <v>1000</v>
      </c>
      <c r="G8">
        <v>422</v>
      </c>
      <c r="I8">
        <v>1983</v>
      </c>
      <c r="K8">
        <v>616</v>
      </c>
      <c r="L8">
        <v>6283</v>
      </c>
      <c r="M8">
        <v>90</v>
      </c>
      <c r="N8">
        <v>510</v>
      </c>
      <c r="O8">
        <v>1721</v>
      </c>
      <c r="P8">
        <v>881</v>
      </c>
      <c r="R8">
        <v>22916</v>
      </c>
    </row>
    <row r="9" spans="1:20" x14ac:dyDescent="0.25">
      <c r="A9" t="s">
        <v>87</v>
      </c>
      <c r="B9">
        <v>1103</v>
      </c>
      <c r="C9">
        <v>301</v>
      </c>
      <c r="D9">
        <v>3345</v>
      </c>
      <c r="E9">
        <v>4911</v>
      </c>
      <c r="F9">
        <v>1000</v>
      </c>
      <c r="G9">
        <v>422</v>
      </c>
      <c r="I9">
        <v>1983</v>
      </c>
      <c r="K9">
        <v>616</v>
      </c>
      <c r="L9">
        <v>6283</v>
      </c>
      <c r="M9">
        <v>90</v>
      </c>
      <c r="N9">
        <v>510</v>
      </c>
      <c r="O9">
        <v>1721</v>
      </c>
      <c r="P9">
        <v>881</v>
      </c>
      <c r="R9">
        <v>23166</v>
      </c>
    </row>
    <row r="10" spans="1:20" x14ac:dyDescent="0.25">
      <c r="A10" t="s">
        <v>88</v>
      </c>
      <c r="B10">
        <v>1403</v>
      </c>
      <c r="C10">
        <v>301</v>
      </c>
      <c r="D10">
        <v>3345</v>
      </c>
      <c r="E10">
        <v>4911</v>
      </c>
      <c r="F10">
        <v>1000</v>
      </c>
      <c r="G10">
        <v>422</v>
      </c>
      <c r="I10">
        <v>1983</v>
      </c>
      <c r="K10">
        <v>616</v>
      </c>
      <c r="L10">
        <v>6283</v>
      </c>
      <c r="M10">
        <v>90</v>
      </c>
      <c r="N10">
        <v>510</v>
      </c>
      <c r="O10">
        <v>1721</v>
      </c>
      <c r="P10">
        <v>881</v>
      </c>
      <c r="R10">
        <v>23466</v>
      </c>
    </row>
    <row r="11" spans="1:20" x14ac:dyDescent="0.25">
      <c r="A11" t="s">
        <v>89</v>
      </c>
      <c r="B11">
        <v>1403</v>
      </c>
      <c r="C11">
        <v>301</v>
      </c>
      <c r="D11">
        <v>3345</v>
      </c>
      <c r="E11">
        <v>4911</v>
      </c>
      <c r="F11">
        <v>1000</v>
      </c>
      <c r="G11">
        <v>422</v>
      </c>
      <c r="I11">
        <v>1983</v>
      </c>
      <c r="K11">
        <v>616</v>
      </c>
      <c r="L11">
        <v>6283</v>
      </c>
      <c r="M11">
        <v>90</v>
      </c>
      <c r="N11">
        <v>510</v>
      </c>
      <c r="O11">
        <v>1721</v>
      </c>
      <c r="P11">
        <v>881</v>
      </c>
      <c r="R11">
        <v>23466</v>
      </c>
    </row>
    <row r="12" spans="1:20" x14ac:dyDescent="0.25">
      <c r="A12" t="s">
        <v>90</v>
      </c>
      <c r="B12">
        <v>1403</v>
      </c>
      <c r="C12">
        <v>301</v>
      </c>
      <c r="D12">
        <v>3345</v>
      </c>
      <c r="E12">
        <v>4911</v>
      </c>
      <c r="F12">
        <v>1000</v>
      </c>
      <c r="G12">
        <v>422</v>
      </c>
      <c r="I12">
        <v>1983</v>
      </c>
      <c r="K12">
        <v>616</v>
      </c>
      <c r="L12">
        <v>6283</v>
      </c>
      <c r="M12">
        <v>90</v>
      </c>
      <c r="N12">
        <v>510</v>
      </c>
      <c r="O12">
        <v>1721</v>
      </c>
      <c r="P12">
        <v>881</v>
      </c>
      <c r="R12">
        <v>23466</v>
      </c>
    </row>
    <row r="13" spans="1:20" x14ac:dyDescent="0.25">
      <c r="A13" t="s">
        <v>91</v>
      </c>
      <c r="B13">
        <v>1403</v>
      </c>
      <c r="C13">
        <v>301</v>
      </c>
      <c r="D13">
        <v>3345</v>
      </c>
      <c r="E13">
        <v>4911</v>
      </c>
      <c r="F13">
        <v>1000</v>
      </c>
      <c r="G13">
        <v>422</v>
      </c>
      <c r="I13">
        <v>1983</v>
      </c>
      <c r="K13">
        <v>616</v>
      </c>
      <c r="L13">
        <v>6533</v>
      </c>
      <c r="M13">
        <v>90</v>
      </c>
      <c r="N13">
        <v>510</v>
      </c>
      <c r="O13">
        <v>1721</v>
      </c>
      <c r="P13">
        <v>881</v>
      </c>
      <c r="R13">
        <v>23716</v>
      </c>
    </row>
    <row r="14" spans="1:20" x14ac:dyDescent="0.25">
      <c r="A14" t="s">
        <v>92</v>
      </c>
      <c r="B14">
        <v>1403</v>
      </c>
      <c r="C14">
        <v>301</v>
      </c>
      <c r="D14">
        <v>3345</v>
      </c>
      <c r="E14">
        <v>4911</v>
      </c>
      <c r="F14">
        <v>1000</v>
      </c>
      <c r="G14">
        <v>422</v>
      </c>
      <c r="I14">
        <v>1983</v>
      </c>
      <c r="K14">
        <v>616</v>
      </c>
      <c r="L14">
        <v>6533</v>
      </c>
      <c r="M14">
        <v>90</v>
      </c>
      <c r="N14">
        <v>510</v>
      </c>
      <c r="O14">
        <v>1721</v>
      </c>
      <c r="P14">
        <v>881</v>
      </c>
      <c r="R14">
        <v>23716</v>
      </c>
    </row>
    <row r="15" spans="1:20" x14ac:dyDescent="0.25">
      <c r="A15" t="s">
        <v>93</v>
      </c>
      <c r="B15">
        <v>1403</v>
      </c>
      <c r="C15">
        <v>301</v>
      </c>
      <c r="D15">
        <v>3345</v>
      </c>
      <c r="E15">
        <v>4911</v>
      </c>
      <c r="F15">
        <v>1000</v>
      </c>
      <c r="G15">
        <v>422</v>
      </c>
      <c r="I15">
        <v>1983</v>
      </c>
      <c r="K15">
        <v>616</v>
      </c>
      <c r="L15">
        <v>6533</v>
      </c>
      <c r="M15">
        <v>90</v>
      </c>
      <c r="N15">
        <v>510</v>
      </c>
      <c r="O15">
        <v>1721</v>
      </c>
      <c r="P15">
        <v>881</v>
      </c>
      <c r="R15">
        <v>23716</v>
      </c>
    </row>
    <row r="16" spans="1:20" x14ac:dyDescent="0.25">
      <c r="A16" t="s">
        <v>94</v>
      </c>
      <c r="B16">
        <v>1403</v>
      </c>
      <c r="C16">
        <v>301</v>
      </c>
      <c r="D16">
        <v>3500</v>
      </c>
      <c r="E16">
        <v>4911</v>
      </c>
      <c r="F16">
        <v>1000</v>
      </c>
      <c r="G16">
        <v>422</v>
      </c>
      <c r="I16">
        <v>1983</v>
      </c>
      <c r="K16">
        <v>616</v>
      </c>
      <c r="L16">
        <v>6533</v>
      </c>
      <c r="M16">
        <v>90</v>
      </c>
      <c r="N16">
        <v>510</v>
      </c>
      <c r="O16">
        <v>1721</v>
      </c>
      <c r="P16">
        <v>881</v>
      </c>
      <c r="R16">
        <v>23871</v>
      </c>
    </row>
    <row r="17" spans="1:18" x14ac:dyDescent="0.25">
      <c r="A17" t="s">
        <v>95</v>
      </c>
      <c r="B17">
        <v>1403</v>
      </c>
      <c r="C17">
        <v>301</v>
      </c>
      <c r="D17">
        <v>3500</v>
      </c>
      <c r="E17">
        <v>4911</v>
      </c>
      <c r="F17">
        <v>1000</v>
      </c>
      <c r="G17">
        <v>422</v>
      </c>
      <c r="I17">
        <v>1983</v>
      </c>
      <c r="K17">
        <v>616</v>
      </c>
      <c r="L17">
        <v>6533</v>
      </c>
      <c r="M17">
        <v>90</v>
      </c>
      <c r="N17">
        <v>510</v>
      </c>
      <c r="O17">
        <v>1321</v>
      </c>
      <c r="P17">
        <v>881</v>
      </c>
      <c r="R17">
        <v>23471</v>
      </c>
    </row>
    <row r="18" spans="1:18" x14ac:dyDescent="0.25">
      <c r="A18" t="s">
        <v>96</v>
      </c>
      <c r="B18">
        <v>1403</v>
      </c>
      <c r="C18">
        <v>301</v>
      </c>
      <c r="D18">
        <v>3500</v>
      </c>
      <c r="E18">
        <v>4911</v>
      </c>
      <c r="F18">
        <v>1000</v>
      </c>
      <c r="G18">
        <v>422</v>
      </c>
      <c r="I18">
        <v>1983</v>
      </c>
      <c r="K18">
        <v>616</v>
      </c>
      <c r="L18">
        <v>6533</v>
      </c>
      <c r="M18">
        <v>90</v>
      </c>
      <c r="N18">
        <v>510</v>
      </c>
      <c r="O18">
        <v>1321</v>
      </c>
      <c r="P18">
        <v>881</v>
      </c>
      <c r="R18">
        <v>23471</v>
      </c>
    </row>
    <row r="19" spans="1:18" x14ac:dyDescent="0.25">
      <c r="A19" t="s">
        <v>97</v>
      </c>
      <c r="B19">
        <v>1403</v>
      </c>
      <c r="C19">
        <v>301</v>
      </c>
      <c r="D19">
        <v>3500</v>
      </c>
      <c r="E19">
        <v>4911</v>
      </c>
      <c r="F19">
        <v>1000</v>
      </c>
      <c r="G19">
        <v>422</v>
      </c>
      <c r="I19">
        <v>1863</v>
      </c>
      <c r="K19">
        <v>616</v>
      </c>
      <c r="L19">
        <v>6533</v>
      </c>
      <c r="M19">
        <v>90</v>
      </c>
      <c r="N19">
        <v>510</v>
      </c>
      <c r="O19">
        <v>1321</v>
      </c>
      <c r="P19">
        <v>881</v>
      </c>
      <c r="R19">
        <v>23351</v>
      </c>
    </row>
    <row r="20" spans="1:18" x14ac:dyDescent="0.25">
      <c r="A20" t="s">
        <v>98</v>
      </c>
      <c r="B20">
        <v>1403</v>
      </c>
      <c r="C20">
        <v>301</v>
      </c>
      <c r="D20">
        <v>3500</v>
      </c>
      <c r="E20">
        <v>4911</v>
      </c>
      <c r="F20">
        <v>1300</v>
      </c>
      <c r="G20">
        <v>422</v>
      </c>
      <c r="I20">
        <v>2213</v>
      </c>
      <c r="K20">
        <v>616</v>
      </c>
      <c r="L20">
        <v>6733</v>
      </c>
      <c r="M20">
        <v>90</v>
      </c>
      <c r="N20">
        <v>510</v>
      </c>
      <c r="O20">
        <v>1321</v>
      </c>
      <c r="P20">
        <v>881</v>
      </c>
      <c r="R20">
        <v>24201</v>
      </c>
    </row>
    <row r="21" spans="1:18" x14ac:dyDescent="0.25">
      <c r="A21" t="s">
        <v>99</v>
      </c>
      <c r="B21">
        <v>1403</v>
      </c>
      <c r="C21">
        <v>301</v>
      </c>
      <c r="D21">
        <v>3500</v>
      </c>
      <c r="E21">
        <v>4911</v>
      </c>
      <c r="F21">
        <v>1300</v>
      </c>
      <c r="G21">
        <v>422</v>
      </c>
      <c r="I21">
        <v>2213</v>
      </c>
      <c r="K21">
        <v>616</v>
      </c>
      <c r="L21">
        <v>6733</v>
      </c>
      <c r="M21">
        <v>90</v>
      </c>
      <c r="N21">
        <v>510</v>
      </c>
      <c r="O21">
        <v>1321</v>
      </c>
      <c r="P21">
        <v>881</v>
      </c>
      <c r="R21">
        <v>24201</v>
      </c>
    </row>
    <row r="22" spans="1:18" x14ac:dyDescent="0.25">
      <c r="A22" t="s">
        <v>100</v>
      </c>
      <c r="B22">
        <v>1403</v>
      </c>
      <c r="C22">
        <v>301</v>
      </c>
      <c r="D22">
        <v>3500</v>
      </c>
      <c r="E22">
        <v>5993</v>
      </c>
      <c r="F22">
        <v>1300</v>
      </c>
      <c r="G22">
        <v>422</v>
      </c>
      <c r="I22">
        <v>2213</v>
      </c>
      <c r="K22">
        <v>616</v>
      </c>
      <c r="L22">
        <v>6733</v>
      </c>
      <c r="M22">
        <v>90</v>
      </c>
      <c r="N22">
        <v>510</v>
      </c>
      <c r="O22">
        <v>1321</v>
      </c>
      <c r="P22">
        <v>881</v>
      </c>
      <c r="R22">
        <v>25283</v>
      </c>
    </row>
    <row r="23" spans="1:18" x14ac:dyDescent="0.25">
      <c r="A23" t="s">
        <v>101</v>
      </c>
      <c r="B23">
        <v>1403</v>
      </c>
      <c r="C23">
        <v>301</v>
      </c>
      <c r="D23">
        <v>3500</v>
      </c>
      <c r="E23">
        <v>5993</v>
      </c>
      <c r="F23">
        <v>1300</v>
      </c>
      <c r="G23">
        <v>422</v>
      </c>
      <c r="I23">
        <v>2213</v>
      </c>
      <c r="J23">
        <v>250</v>
      </c>
      <c r="K23">
        <v>616</v>
      </c>
      <c r="L23">
        <v>6733</v>
      </c>
      <c r="M23">
        <v>90</v>
      </c>
      <c r="N23">
        <v>510</v>
      </c>
      <c r="O23">
        <v>1321</v>
      </c>
      <c r="P23">
        <v>881</v>
      </c>
      <c r="R23">
        <v>25533</v>
      </c>
    </row>
    <row r="24" spans="1:18" x14ac:dyDescent="0.25">
      <c r="A24" t="s">
        <v>102</v>
      </c>
      <c r="B24">
        <v>1645</v>
      </c>
      <c r="C24">
        <v>301</v>
      </c>
      <c r="D24">
        <v>3500</v>
      </c>
      <c r="E24">
        <v>5993</v>
      </c>
      <c r="F24">
        <v>1300</v>
      </c>
      <c r="G24">
        <v>463</v>
      </c>
      <c r="I24">
        <v>2213</v>
      </c>
      <c r="J24">
        <v>250</v>
      </c>
      <c r="K24">
        <v>616</v>
      </c>
      <c r="L24">
        <v>6733</v>
      </c>
      <c r="M24">
        <v>90</v>
      </c>
      <c r="N24">
        <v>510</v>
      </c>
      <c r="O24">
        <v>1321</v>
      </c>
      <c r="P24">
        <v>881</v>
      </c>
      <c r="R24">
        <v>25816</v>
      </c>
    </row>
    <row r="25" spans="1:18" x14ac:dyDescent="0.25">
      <c r="A25" t="s">
        <v>103</v>
      </c>
      <c r="B25">
        <v>1645</v>
      </c>
      <c r="C25">
        <v>50</v>
      </c>
      <c r="D25">
        <v>3500</v>
      </c>
      <c r="E25">
        <v>5693</v>
      </c>
      <c r="F25">
        <v>1300</v>
      </c>
      <c r="G25">
        <v>463</v>
      </c>
      <c r="I25">
        <v>2213</v>
      </c>
      <c r="J25">
        <v>250</v>
      </c>
      <c r="K25">
        <v>616</v>
      </c>
      <c r="L25">
        <v>6733</v>
      </c>
      <c r="M25">
        <v>90</v>
      </c>
      <c r="N25">
        <v>510</v>
      </c>
      <c r="O25">
        <v>1321</v>
      </c>
      <c r="P25">
        <v>881</v>
      </c>
      <c r="R25">
        <v>25265</v>
      </c>
    </row>
    <row r="26" spans="1:18" x14ac:dyDescent="0.25">
      <c r="A26" t="s">
        <v>104</v>
      </c>
      <c r="B26">
        <v>1645</v>
      </c>
      <c r="C26">
        <v>50</v>
      </c>
      <c r="D26">
        <v>3500</v>
      </c>
      <c r="E26">
        <v>5993</v>
      </c>
      <c r="F26">
        <v>1300</v>
      </c>
      <c r="G26">
        <v>463</v>
      </c>
      <c r="I26">
        <v>2213</v>
      </c>
      <c r="J26">
        <v>250</v>
      </c>
      <c r="K26">
        <v>616</v>
      </c>
      <c r="L26">
        <v>7083</v>
      </c>
      <c r="M26">
        <v>90</v>
      </c>
      <c r="N26">
        <v>510</v>
      </c>
      <c r="O26">
        <v>1321</v>
      </c>
      <c r="P26">
        <v>881</v>
      </c>
      <c r="R26">
        <v>25915</v>
      </c>
    </row>
    <row r="27" spans="1:18" x14ac:dyDescent="0.25">
      <c r="A27" t="s">
        <v>105</v>
      </c>
      <c r="B27">
        <v>1645</v>
      </c>
      <c r="C27">
        <v>50</v>
      </c>
      <c r="D27">
        <v>3500</v>
      </c>
      <c r="E27">
        <v>5993</v>
      </c>
      <c r="F27">
        <v>1300</v>
      </c>
      <c r="G27">
        <v>463</v>
      </c>
      <c r="I27">
        <v>2213</v>
      </c>
      <c r="J27">
        <v>250</v>
      </c>
      <c r="K27">
        <v>616</v>
      </c>
      <c r="L27">
        <v>7083</v>
      </c>
      <c r="M27">
        <v>90</v>
      </c>
      <c r="N27">
        <v>510</v>
      </c>
      <c r="O27">
        <v>1321</v>
      </c>
      <c r="P27">
        <v>881</v>
      </c>
      <c r="R27">
        <v>25915</v>
      </c>
    </row>
    <row r="28" spans="1:18" x14ac:dyDescent="0.25">
      <c r="A28" t="s">
        <v>106</v>
      </c>
      <c r="B28">
        <v>1645</v>
      </c>
      <c r="C28">
        <v>50</v>
      </c>
      <c r="D28">
        <v>3500</v>
      </c>
      <c r="E28">
        <v>6173</v>
      </c>
      <c r="F28">
        <v>1300</v>
      </c>
      <c r="G28">
        <v>463</v>
      </c>
      <c r="I28">
        <v>2277</v>
      </c>
      <c r="J28">
        <v>250</v>
      </c>
      <c r="K28">
        <v>616</v>
      </c>
      <c r="L28">
        <v>7433</v>
      </c>
      <c r="M28">
        <v>90</v>
      </c>
      <c r="N28">
        <v>510</v>
      </c>
      <c r="O28">
        <v>1321</v>
      </c>
      <c r="P28">
        <v>881</v>
      </c>
      <c r="R28">
        <v>26509</v>
      </c>
    </row>
    <row r="29" spans="1:18" x14ac:dyDescent="0.25">
      <c r="A29" t="s">
        <v>107</v>
      </c>
      <c r="B29">
        <v>1645</v>
      </c>
      <c r="C29">
        <v>50</v>
      </c>
      <c r="D29">
        <v>3500</v>
      </c>
      <c r="E29">
        <v>6263</v>
      </c>
      <c r="F29">
        <v>1300</v>
      </c>
      <c r="G29">
        <v>463</v>
      </c>
      <c r="I29">
        <v>2277</v>
      </c>
      <c r="J29">
        <v>250</v>
      </c>
      <c r="K29">
        <v>616</v>
      </c>
      <c r="L29">
        <v>7433</v>
      </c>
      <c r="M29">
        <v>90</v>
      </c>
      <c r="N29">
        <v>510</v>
      </c>
      <c r="O29">
        <v>1321</v>
      </c>
      <c r="P29">
        <v>881</v>
      </c>
      <c r="R29">
        <v>26599</v>
      </c>
    </row>
    <row r="30" spans="1:18" x14ac:dyDescent="0.25">
      <c r="A30" t="s">
        <v>108</v>
      </c>
      <c r="B30">
        <v>1645</v>
      </c>
      <c r="C30">
        <v>50</v>
      </c>
      <c r="D30">
        <v>3500</v>
      </c>
      <c r="E30">
        <v>6263</v>
      </c>
      <c r="F30">
        <v>1300</v>
      </c>
      <c r="G30">
        <v>463</v>
      </c>
      <c r="I30">
        <v>2277</v>
      </c>
      <c r="J30">
        <v>250</v>
      </c>
      <c r="K30">
        <v>616</v>
      </c>
      <c r="L30">
        <v>8033</v>
      </c>
      <c r="M30">
        <v>90</v>
      </c>
      <c r="N30">
        <v>510</v>
      </c>
      <c r="O30">
        <v>1321</v>
      </c>
      <c r="P30">
        <v>881</v>
      </c>
      <c r="R30">
        <v>27199</v>
      </c>
    </row>
    <row r="31" spans="1:18" x14ac:dyDescent="0.25">
      <c r="A31" t="s">
        <v>109</v>
      </c>
      <c r="B31">
        <v>1645</v>
      </c>
      <c r="C31">
        <v>50</v>
      </c>
      <c r="D31">
        <v>3500</v>
      </c>
      <c r="E31">
        <v>6263</v>
      </c>
      <c r="F31">
        <v>1300</v>
      </c>
      <c r="G31">
        <v>463</v>
      </c>
      <c r="I31">
        <v>2277</v>
      </c>
      <c r="J31">
        <v>250</v>
      </c>
      <c r="K31">
        <v>616</v>
      </c>
      <c r="L31">
        <v>8033</v>
      </c>
      <c r="M31">
        <v>90</v>
      </c>
      <c r="N31">
        <v>510</v>
      </c>
      <c r="O31">
        <v>1321</v>
      </c>
      <c r="P31">
        <v>881</v>
      </c>
      <c r="R31">
        <v>27199</v>
      </c>
    </row>
    <row r="32" spans="1:18" x14ac:dyDescent="0.25">
      <c r="A32" t="s">
        <v>110</v>
      </c>
      <c r="B32">
        <v>1645</v>
      </c>
      <c r="C32">
        <v>50</v>
      </c>
      <c r="D32">
        <v>3500</v>
      </c>
      <c r="E32">
        <v>6263</v>
      </c>
      <c r="F32">
        <v>1300</v>
      </c>
      <c r="G32">
        <v>463</v>
      </c>
      <c r="I32">
        <v>2277</v>
      </c>
      <c r="J32">
        <v>250</v>
      </c>
      <c r="K32">
        <v>616</v>
      </c>
      <c r="L32">
        <v>8033</v>
      </c>
      <c r="M32">
        <v>90</v>
      </c>
      <c r="N32">
        <v>510</v>
      </c>
      <c r="O32">
        <v>1321</v>
      </c>
      <c r="P32">
        <v>881</v>
      </c>
      <c r="R32">
        <v>27199</v>
      </c>
    </row>
    <row r="33" spans="1:18" x14ac:dyDescent="0.25">
      <c r="A33" t="s">
        <v>111</v>
      </c>
      <c r="B33">
        <v>1645</v>
      </c>
      <c r="C33">
        <v>50</v>
      </c>
      <c r="D33">
        <v>3500</v>
      </c>
      <c r="E33">
        <v>6263</v>
      </c>
      <c r="F33">
        <v>1300</v>
      </c>
      <c r="G33">
        <v>463</v>
      </c>
      <c r="I33">
        <v>2277</v>
      </c>
      <c r="J33">
        <v>250</v>
      </c>
      <c r="K33">
        <v>616</v>
      </c>
      <c r="L33">
        <v>8033</v>
      </c>
      <c r="M33">
        <v>90</v>
      </c>
      <c r="N33">
        <v>510</v>
      </c>
      <c r="O33">
        <v>1127</v>
      </c>
      <c r="P33">
        <v>800</v>
      </c>
      <c r="R33">
        <v>26924</v>
      </c>
    </row>
    <row r="34" spans="1:18" x14ac:dyDescent="0.25">
      <c r="A34" t="s">
        <v>112</v>
      </c>
      <c r="B34">
        <v>1645</v>
      </c>
      <c r="C34">
        <v>50</v>
      </c>
      <c r="D34">
        <v>3500</v>
      </c>
      <c r="E34">
        <v>6263</v>
      </c>
      <c r="F34">
        <v>1300</v>
      </c>
      <c r="G34">
        <v>463</v>
      </c>
      <c r="I34">
        <v>2277</v>
      </c>
      <c r="J34">
        <v>250</v>
      </c>
      <c r="K34">
        <v>616</v>
      </c>
      <c r="L34">
        <v>8033</v>
      </c>
      <c r="M34">
        <v>90</v>
      </c>
      <c r="N34">
        <v>510</v>
      </c>
      <c r="O34">
        <v>1127</v>
      </c>
      <c r="P34">
        <v>800</v>
      </c>
      <c r="R34">
        <v>26924</v>
      </c>
    </row>
    <row r="35" spans="1:18" x14ac:dyDescent="0.25">
      <c r="A35" t="s">
        <v>113</v>
      </c>
      <c r="B35">
        <v>1645</v>
      </c>
      <c r="C35">
        <v>50</v>
      </c>
      <c r="D35">
        <v>3500</v>
      </c>
      <c r="E35">
        <v>6263</v>
      </c>
      <c r="F35">
        <v>1300</v>
      </c>
      <c r="G35">
        <v>545</v>
      </c>
      <c r="I35">
        <v>3650</v>
      </c>
      <c r="J35">
        <v>250</v>
      </c>
      <c r="K35">
        <v>616</v>
      </c>
      <c r="L35">
        <v>8033</v>
      </c>
      <c r="M35">
        <v>90</v>
      </c>
      <c r="N35">
        <v>510</v>
      </c>
      <c r="O35">
        <v>1127</v>
      </c>
      <c r="P35">
        <v>800</v>
      </c>
      <c r="R35">
        <v>28379</v>
      </c>
    </row>
    <row r="36" spans="1:18" x14ac:dyDescent="0.25">
      <c r="A36" t="s">
        <v>114</v>
      </c>
      <c r="B36">
        <v>1645</v>
      </c>
      <c r="C36">
        <v>50</v>
      </c>
      <c r="D36">
        <v>3500</v>
      </c>
      <c r="E36">
        <v>6373</v>
      </c>
      <c r="F36">
        <v>1300</v>
      </c>
      <c r="G36">
        <v>545</v>
      </c>
      <c r="I36">
        <v>3650</v>
      </c>
      <c r="J36">
        <v>250</v>
      </c>
      <c r="K36">
        <v>616</v>
      </c>
      <c r="L36">
        <v>8033</v>
      </c>
      <c r="M36">
        <v>90</v>
      </c>
      <c r="N36">
        <v>510</v>
      </c>
      <c r="O36">
        <v>1127</v>
      </c>
      <c r="P36">
        <v>800</v>
      </c>
      <c r="R36">
        <v>28489</v>
      </c>
    </row>
    <row r="37" spans="1:18" x14ac:dyDescent="0.25">
      <c r="A37" t="s">
        <v>115</v>
      </c>
      <c r="B37">
        <v>2145</v>
      </c>
      <c r="C37">
        <v>50</v>
      </c>
      <c r="D37">
        <v>3500</v>
      </c>
      <c r="E37">
        <v>6373</v>
      </c>
      <c r="F37">
        <v>1300</v>
      </c>
      <c r="G37">
        <v>545</v>
      </c>
      <c r="I37">
        <v>3650</v>
      </c>
      <c r="J37">
        <v>250</v>
      </c>
      <c r="K37">
        <v>616</v>
      </c>
      <c r="L37">
        <v>8033</v>
      </c>
      <c r="M37">
        <v>90</v>
      </c>
      <c r="N37">
        <v>510</v>
      </c>
      <c r="O37">
        <v>1127</v>
      </c>
      <c r="P37">
        <v>800</v>
      </c>
      <c r="R37">
        <v>28989</v>
      </c>
    </row>
    <row r="38" spans="1:18" x14ac:dyDescent="0.25">
      <c r="A38" t="s">
        <v>116</v>
      </c>
      <c r="B38">
        <v>2145</v>
      </c>
      <c r="C38">
        <v>50</v>
      </c>
      <c r="D38">
        <v>3500</v>
      </c>
      <c r="E38">
        <v>6373</v>
      </c>
      <c r="F38">
        <v>1300</v>
      </c>
      <c r="G38">
        <v>545</v>
      </c>
      <c r="I38">
        <v>3800</v>
      </c>
      <c r="J38">
        <v>250</v>
      </c>
      <c r="K38">
        <v>616</v>
      </c>
      <c r="L38">
        <v>8033</v>
      </c>
      <c r="M38">
        <v>90</v>
      </c>
      <c r="N38">
        <v>510</v>
      </c>
      <c r="O38">
        <v>1127</v>
      </c>
      <c r="P38">
        <v>800</v>
      </c>
      <c r="R38">
        <v>29139</v>
      </c>
    </row>
    <row r="39" spans="1:18" x14ac:dyDescent="0.25">
      <c r="A39" t="s">
        <v>117</v>
      </c>
      <c r="B39">
        <v>2145</v>
      </c>
      <c r="C39">
        <v>50</v>
      </c>
      <c r="D39">
        <v>5300</v>
      </c>
      <c r="E39">
        <v>6373</v>
      </c>
      <c r="F39">
        <v>1300</v>
      </c>
      <c r="G39">
        <v>545</v>
      </c>
      <c r="I39">
        <v>3800</v>
      </c>
      <c r="J39">
        <v>250</v>
      </c>
      <c r="K39">
        <v>616</v>
      </c>
      <c r="L39">
        <v>8033</v>
      </c>
      <c r="M39">
        <v>90</v>
      </c>
      <c r="N39">
        <v>510</v>
      </c>
      <c r="O39">
        <v>1127</v>
      </c>
      <c r="P39">
        <v>800</v>
      </c>
      <c r="R39">
        <v>30939</v>
      </c>
    </row>
    <row r="40" spans="1:18" x14ac:dyDescent="0.25">
      <c r="A40" t="s">
        <v>118</v>
      </c>
      <c r="B40">
        <v>2145</v>
      </c>
      <c r="C40">
        <v>50</v>
      </c>
      <c r="D40">
        <v>5300</v>
      </c>
      <c r="E40">
        <v>6373</v>
      </c>
      <c r="F40">
        <v>1300</v>
      </c>
      <c r="G40">
        <v>545</v>
      </c>
      <c r="I40">
        <v>3800</v>
      </c>
      <c r="J40">
        <v>250</v>
      </c>
      <c r="K40">
        <v>616</v>
      </c>
      <c r="L40">
        <v>8183</v>
      </c>
      <c r="M40">
        <v>90</v>
      </c>
      <c r="N40">
        <v>510</v>
      </c>
      <c r="O40">
        <v>1127</v>
      </c>
      <c r="P40">
        <v>800</v>
      </c>
      <c r="R40">
        <v>31089</v>
      </c>
    </row>
    <row r="41" spans="1:18" x14ac:dyDescent="0.25">
      <c r="A41" t="s">
        <v>119</v>
      </c>
      <c r="B41">
        <v>2145</v>
      </c>
      <c r="C41">
        <v>50</v>
      </c>
      <c r="D41">
        <v>5300</v>
      </c>
      <c r="E41">
        <v>6373</v>
      </c>
      <c r="F41">
        <v>1300</v>
      </c>
      <c r="G41">
        <v>545</v>
      </c>
      <c r="I41">
        <v>3800</v>
      </c>
      <c r="J41">
        <v>250</v>
      </c>
      <c r="K41">
        <v>616</v>
      </c>
      <c r="L41">
        <v>8183</v>
      </c>
      <c r="M41">
        <v>90</v>
      </c>
      <c r="N41">
        <v>510</v>
      </c>
      <c r="O41">
        <v>1127</v>
      </c>
      <c r="P41">
        <v>800</v>
      </c>
      <c r="R41">
        <v>31089</v>
      </c>
    </row>
    <row r="42" spans="1:18" x14ac:dyDescent="0.25">
      <c r="A42" t="s">
        <v>120</v>
      </c>
      <c r="B42">
        <v>2145</v>
      </c>
      <c r="C42">
        <v>50</v>
      </c>
      <c r="D42">
        <v>5300</v>
      </c>
      <c r="E42">
        <v>6373</v>
      </c>
      <c r="F42">
        <v>1300</v>
      </c>
      <c r="G42">
        <v>545</v>
      </c>
      <c r="I42">
        <v>3800</v>
      </c>
      <c r="J42">
        <v>250</v>
      </c>
      <c r="K42">
        <v>616</v>
      </c>
      <c r="L42">
        <v>8183</v>
      </c>
      <c r="M42">
        <v>90</v>
      </c>
      <c r="N42">
        <v>510</v>
      </c>
      <c r="O42">
        <v>1127</v>
      </c>
      <c r="P42">
        <v>800</v>
      </c>
      <c r="R42">
        <v>31089</v>
      </c>
    </row>
    <row r="43" spans="1:18" x14ac:dyDescent="0.25">
      <c r="A43" t="s">
        <v>121</v>
      </c>
      <c r="B43">
        <v>2145</v>
      </c>
      <c r="C43">
        <v>50</v>
      </c>
      <c r="D43">
        <v>5300</v>
      </c>
      <c r="E43">
        <v>6373</v>
      </c>
      <c r="F43">
        <v>1300</v>
      </c>
      <c r="G43">
        <v>545</v>
      </c>
      <c r="I43">
        <v>3800</v>
      </c>
      <c r="J43">
        <v>250</v>
      </c>
      <c r="K43">
        <v>616</v>
      </c>
      <c r="L43">
        <v>8183</v>
      </c>
      <c r="M43">
        <v>90</v>
      </c>
      <c r="N43">
        <v>510</v>
      </c>
      <c r="O43">
        <v>1127</v>
      </c>
      <c r="P43">
        <v>800</v>
      </c>
      <c r="R43">
        <v>31089</v>
      </c>
    </row>
    <row r="44" spans="1:18" x14ac:dyDescent="0.25">
      <c r="A44" t="s">
        <v>122</v>
      </c>
      <c r="B44">
        <v>2145</v>
      </c>
      <c r="C44">
        <v>50</v>
      </c>
      <c r="D44">
        <v>5300</v>
      </c>
      <c r="E44">
        <v>6523</v>
      </c>
      <c r="F44">
        <v>1300</v>
      </c>
      <c r="G44">
        <v>545</v>
      </c>
      <c r="I44">
        <v>3800</v>
      </c>
      <c r="J44">
        <v>250</v>
      </c>
      <c r="K44">
        <v>616</v>
      </c>
      <c r="L44">
        <v>8183</v>
      </c>
      <c r="M44">
        <v>90</v>
      </c>
      <c r="N44">
        <v>510</v>
      </c>
      <c r="O44">
        <v>1127</v>
      </c>
      <c r="P44">
        <v>800</v>
      </c>
      <c r="R44">
        <v>31239</v>
      </c>
    </row>
    <row r="45" spans="1:18" x14ac:dyDescent="0.25">
      <c r="A45" t="s">
        <v>123</v>
      </c>
      <c r="B45">
        <v>2145</v>
      </c>
      <c r="C45">
        <v>50</v>
      </c>
      <c r="D45">
        <v>5300</v>
      </c>
      <c r="E45">
        <v>6593</v>
      </c>
      <c r="F45">
        <v>1300</v>
      </c>
      <c r="G45">
        <v>545</v>
      </c>
      <c r="I45">
        <v>3800</v>
      </c>
      <c r="J45">
        <v>250</v>
      </c>
      <c r="K45">
        <v>616</v>
      </c>
      <c r="L45">
        <v>8183</v>
      </c>
      <c r="M45">
        <v>90</v>
      </c>
      <c r="N45">
        <v>510</v>
      </c>
      <c r="O45">
        <v>1127</v>
      </c>
      <c r="P45">
        <v>800</v>
      </c>
      <c r="R45">
        <v>31309</v>
      </c>
    </row>
    <row r="46" spans="1:18" x14ac:dyDescent="0.25">
      <c r="A46" t="s">
        <v>124</v>
      </c>
      <c r="B46">
        <v>3145</v>
      </c>
      <c r="C46">
        <v>50</v>
      </c>
      <c r="D46">
        <v>5300</v>
      </c>
      <c r="E46">
        <v>6593</v>
      </c>
      <c r="F46">
        <v>1300</v>
      </c>
      <c r="G46">
        <v>545</v>
      </c>
      <c r="I46">
        <v>3800</v>
      </c>
      <c r="J46">
        <v>250</v>
      </c>
      <c r="K46">
        <v>616</v>
      </c>
      <c r="L46">
        <v>8183</v>
      </c>
      <c r="M46">
        <v>90</v>
      </c>
      <c r="N46">
        <v>510</v>
      </c>
      <c r="O46">
        <v>1127</v>
      </c>
      <c r="P46">
        <v>800</v>
      </c>
      <c r="R46">
        <v>32309</v>
      </c>
    </row>
    <row r="47" spans="1:18" x14ac:dyDescent="0.25">
      <c r="A47" t="s">
        <v>125</v>
      </c>
      <c r="B47">
        <v>3145</v>
      </c>
      <c r="C47">
        <v>50</v>
      </c>
      <c r="D47">
        <v>5900</v>
      </c>
      <c r="E47">
        <v>6593</v>
      </c>
      <c r="F47">
        <v>1300</v>
      </c>
      <c r="G47">
        <v>545</v>
      </c>
      <c r="I47">
        <v>3800</v>
      </c>
      <c r="J47">
        <v>250</v>
      </c>
      <c r="K47">
        <v>616</v>
      </c>
      <c r="L47">
        <v>8183</v>
      </c>
      <c r="M47">
        <v>90</v>
      </c>
      <c r="N47">
        <v>510</v>
      </c>
      <c r="O47">
        <v>1127</v>
      </c>
      <c r="P47">
        <v>800</v>
      </c>
      <c r="R47">
        <v>32909</v>
      </c>
    </row>
    <row r="48" spans="1:18" x14ac:dyDescent="0.25">
      <c r="A48" t="s">
        <v>126</v>
      </c>
      <c r="B48">
        <v>3145</v>
      </c>
      <c r="C48">
        <v>50</v>
      </c>
      <c r="D48">
        <v>5995</v>
      </c>
      <c r="E48">
        <v>6593</v>
      </c>
      <c r="F48">
        <v>1300</v>
      </c>
      <c r="G48">
        <v>545</v>
      </c>
      <c r="I48">
        <v>3800</v>
      </c>
      <c r="J48">
        <v>250</v>
      </c>
      <c r="K48">
        <v>616</v>
      </c>
      <c r="L48">
        <v>8183</v>
      </c>
      <c r="M48">
        <v>90</v>
      </c>
      <c r="N48">
        <v>1535</v>
      </c>
      <c r="O48">
        <v>1127</v>
      </c>
      <c r="P48">
        <v>800</v>
      </c>
      <c r="R48">
        <v>34029</v>
      </c>
    </row>
    <row r="49" spans="1:18" x14ac:dyDescent="0.25">
      <c r="A49" t="s">
        <v>127</v>
      </c>
      <c r="B49">
        <v>3145</v>
      </c>
      <c r="C49">
        <v>50</v>
      </c>
      <c r="D49">
        <v>5995</v>
      </c>
      <c r="E49">
        <v>6495</v>
      </c>
      <c r="F49">
        <v>1300</v>
      </c>
      <c r="G49">
        <v>545</v>
      </c>
      <c r="I49">
        <v>3800</v>
      </c>
      <c r="J49">
        <v>250</v>
      </c>
      <c r="K49">
        <v>616</v>
      </c>
      <c r="L49">
        <v>8183</v>
      </c>
      <c r="M49">
        <v>90</v>
      </c>
      <c r="N49">
        <v>1535</v>
      </c>
      <c r="O49">
        <v>1127</v>
      </c>
      <c r="P49">
        <v>800</v>
      </c>
      <c r="R49">
        <v>33931</v>
      </c>
    </row>
    <row r="50" spans="1:18" x14ac:dyDescent="0.25">
      <c r="A50" t="s">
        <v>128</v>
      </c>
      <c r="B50">
        <v>3145</v>
      </c>
      <c r="C50">
        <v>50</v>
      </c>
      <c r="D50">
        <v>5995</v>
      </c>
      <c r="E50">
        <v>6495</v>
      </c>
      <c r="F50">
        <v>1300</v>
      </c>
      <c r="G50">
        <v>545</v>
      </c>
      <c r="I50">
        <v>3800</v>
      </c>
      <c r="J50">
        <v>250</v>
      </c>
      <c r="K50">
        <v>616</v>
      </c>
      <c r="L50">
        <v>8183</v>
      </c>
      <c r="M50">
        <v>90</v>
      </c>
      <c r="N50">
        <v>1535</v>
      </c>
      <c r="O50">
        <v>1127</v>
      </c>
      <c r="P50">
        <v>800</v>
      </c>
      <c r="R50">
        <v>33931</v>
      </c>
    </row>
    <row r="51" spans="1:18" x14ac:dyDescent="0.25">
      <c r="A51" t="s">
        <v>129</v>
      </c>
      <c r="B51">
        <v>3145</v>
      </c>
      <c r="C51">
        <v>50</v>
      </c>
      <c r="D51">
        <v>5995</v>
      </c>
      <c r="E51">
        <v>6495</v>
      </c>
      <c r="F51">
        <v>1565</v>
      </c>
      <c r="G51">
        <v>545</v>
      </c>
      <c r="I51">
        <v>3800</v>
      </c>
      <c r="J51">
        <v>250</v>
      </c>
      <c r="K51">
        <v>616</v>
      </c>
      <c r="L51">
        <v>8183</v>
      </c>
      <c r="M51">
        <v>90</v>
      </c>
      <c r="N51">
        <v>1535</v>
      </c>
      <c r="O51">
        <v>1127</v>
      </c>
      <c r="P51">
        <v>800</v>
      </c>
      <c r="R51">
        <v>34196</v>
      </c>
    </row>
    <row r="52" spans="1:18" x14ac:dyDescent="0.25">
      <c r="A52" t="s">
        <v>130</v>
      </c>
      <c r="B52">
        <v>3145</v>
      </c>
      <c r="C52">
        <v>50</v>
      </c>
      <c r="D52">
        <v>5995</v>
      </c>
      <c r="E52">
        <v>7175</v>
      </c>
      <c r="F52">
        <v>1565</v>
      </c>
      <c r="G52">
        <v>545</v>
      </c>
      <c r="H52">
        <v>800</v>
      </c>
      <c r="I52">
        <v>3800</v>
      </c>
      <c r="J52">
        <v>250</v>
      </c>
      <c r="K52">
        <v>616</v>
      </c>
      <c r="L52">
        <v>8183</v>
      </c>
      <c r="M52">
        <v>90</v>
      </c>
      <c r="N52">
        <v>1535</v>
      </c>
      <c r="O52">
        <v>1127</v>
      </c>
      <c r="P52">
        <v>800</v>
      </c>
      <c r="R52">
        <v>35676</v>
      </c>
    </row>
    <row r="53" spans="1:18" x14ac:dyDescent="0.25">
      <c r="A53" t="s">
        <v>131</v>
      </c>
      <c r="B53">
        <v>3145</v>
      </c>
      <c r="C53">
        <v>50</v>
      </c>
      <c r="D53">
        <v>5995</v>
      </c>
      <c r="E53">
        <v>7175</v>
      </c>
      <c r="F53">
        <v>1565</v>
      </c>
      <c r="G53">
        <v>545</v>
      </c>
      <c r="H53">
        <v>800</v>
      </c>
      <c r="I53">
        <v>3800</v>
      </c>
      <c r="J53">
        <v>250</v>
      </c>
      <c r="K53">
        <v>616</v>
      </c>
      <c r="L53">
        <v>8183</v>
      </c>
      <c r="M53">
        <v>90</v>
      </c>
      <c r="N53">
        <v>1535</v>
      </c>
      <c r="O53">
        <v>1127</v>
      </c>
      <c r="P53">
        <v>800</v>
      </c>
      <c r="R53">
        <v>35676</v>
      </c>
    </row>
    <row r="54" spans="1:18" x14ac:dyDescent="0.25">
      <c r="A54" t="s">
        <v>132</v>
      </c>
      <c r="B54">
        <v>3145</v>
      </c>
      <c r="C54">
        <v>50</v>
      </c>
      <c r="D54">
        <v>5995</v>
      </c>
      <c r="E54">
        <v>7175</v>
      </c>
      <c r="F54">
        <v>1565</v>
      </c>
      <c r="G54">
        <v>545</v>
      </c>
      <c r="H54">
        <v>800</v>
      </c>
      <c r="I54">
        <v>3800</v>
      </c>
      <c r="J54">
        <v>250</v>
      </c>
      <c r="K54">
        <v>616</v>
      </c>
      <c r="L54">
        <v>8183</v>
      </c>
      <c r="M54">
        <v>90</v>
      </c>
      <c r="N54">
        <v>1535</v>
      </c>
      <c r="O54">
        <v>1127</v>
      </c>
      <c r="P54">
        <v>800</v>
      </c>
      <c r="R54">
        <v>35676</v>
      </c>
    </row>
    <row r="55" spans="1:18" x14ac:dyDescent="0.25">
      <c r="A55" t="s">
        <v>133</v>
      </c>
      <c r="B55">
        <v>3145</v>
      </c>
      <c r="C55">
        <v>50</v>
      </c>
      <c r="D55">
        <v>5995</v>
      </c>
      <c r="E55">
        <v>7175</v>
      </c>
      <c r="F55">
        <v>1565</v>
      </c>
      <c r="G55">
        <v>545</v>
      </c>
      <c r="H55">
        <v>1050</v>
      </c>
      <c r="I55">
        <v>3800</v>
      </c>
      <c r="J55">
        <v>250</v>
      </c>
      <c r="K55">
        <v>616</v>
      </c>
      <c r="L55">
        <v>8183</v>
      </c>
      <c r="M55">
        <v>690</v>
      </c>
      <c r="N55">
        <v>1535</v>
      </c>
      <c r="O55">
        <v>1127</v>
      </c>
      <c r="P55">
        <v>800</v>
      </c>
      <c r="R55">
        <v>36526</v>
      </c>
    </row>
    <row r="56" spans="1:18" x14ac:dyDescent="0.25">
      <c r="A56" t="s">
        <v>134</v>
      </c>
      <c r="B56">
        <v>3145</v>
      </c>
      <c r="C56">
        <v>50</v>
      </c>
      <c r="D56">
        <v>5995</v>
      </c>
      <c r="E56">
        <v>7125</v>
      </c>
      <c r="F56">
        <v>1565</v>
      </c>
      <c r="G56">
        <v>545</v>
      </c>
      <c r="H56">
        <v>1050</v>
      </c>
      <c r="I56">
        <v>4153</v>
      </c>
      <c r="J56">
        <v>250</v>
      </c>
      <c r="K56">
        <v>616</v>
      </c>
      <c r="L56">
        <v>8183</v>
      </c>
      <c r="M56">
        <v>690</v>
      </c>
      <c r="N56">
        <v>1535</v>
      </c>
      <c r="O56">
        <v>1127</v>
      </c>
      <c r="P56">
        <v>800</v>
      </c>
      <c r="R56">
        <v>36829</v>
      </c>
    </row>
    <row r="57" spans="1:18" x14ac:dyDescent="0.25">
      <c r="A57" t="s">
        <v>135</v>
      </c>
      <c r="B57">
        <v>3145</v>
      </c>
      <c r="C57">
        <v>50</v>
      </c>
      <c r="D57">
        <v>5995</v>
      </c>
      <c r="E57">
        <v>7125</v>
      </c>
      <c r="F57">
        <v>1565</v>
      </c>
      <c r="G57">
        <v>545</v>
      </c>
      <c r="H57">
        <v>1050</v>
      </c>
      <c r="I57">
        <v>4153</v>
      </c>
      <c r="J57">
        <v>250</v>
      </c>
      <c r="K57">
        <v>616</v>
      </c>
      <c r="L57">
        <v>8183</v>
      </c>
      <c r="M57">
        <v>690</v>
      </c>
      <c r="N57">
        <v>1535</v>
      </c>
      <c r="O57">
        <v>1127</v>
      </c>
      <c r="P57">
        <v>800</v>
      </c>
      <c r="R57">
        <v>36829</v>
      </c>
    </row>
    <row r="58" spans="1:18" x14ac:dyDescent="0.25">
      <c r="A58" t="s">
        <v>136</v>
      </c>
      <c r="B58">
        <v>3145</v>
      </c>
      <c r="C58">
        <v>50</v>
      </c>
      <c r="D58">
        <v>5995</v>
      </c>
      <c r="E58">
        <v>7125</v>
      </c>
      <c r="F58">
        <v>1565</v>
      </c>
      <c r="G58">
        <v>545</v>
      </c>
      <c r="H58">
        <v>1050</v>
      </c>
      <c r="I58">
        <v>4153</v>
      </c>
      <c r="J58">
        <v>250</v>
      </c>
      <c r="K58">
        <v>616</v>
      </c>
      <c r="L58">
        <v>8183</v>
      </c>
      <c r="M58">
        <v>690</v>
      </c>
      <c r="N58">
        <v>1535</v>
      </c>
      <c r="O58">
        <v>1127</v>
      </c>
      <c r="P58">
        <v>800</v>
      </c>
      <c r="R58">
        <v>36829</v>
      </c>
    </row>
    <row r="59" spans="1:18" x14ac:dyDescent="0.25">
      <c r="A59" t="s">
        <v>137</v>
      </c>
      <c r="B59">
        <v>3145</v>
      </c>
      <c r="C59">
        <v>50</v>
      </c>
      <c r="D59">
        <v>6195</v>
      </c>
      <c r="E59">
        <v>7125</v>
      </c>
      <c r="F59">
        <v>1565</v>
      </c>
      <c r="G59">
        <v>545</v>
      </c>
      <c r="H59">
        <v>1050</v>
      </c>
      <c r="I59">
        <v>4153</v>
      </c>
      <c r="J59">
        <v>250</v>
      </c>
      <c r="K59">
        <v>616</v>
      </c>
      <c r="L59">
        <v>8183</v>
      </c>
      <c r="M59">
        <v>690</v>
      </c>
      <c r="N59">
        <v>1535</v>
      </c>
      <c r="O59">
        <v>1127</v>
      </c>
      <c r="P59">
        <v>800</v>
      </c>
      <c r="R59">
        <v>37029</v>
      </c>
    </row>
    <row r="60" spans="1:18" x14ac:dyDescent="0.25">
      <c r="A60" t="s">
        <v>138</v>
      </c>
      <c r="B60">
        <v>3145</v>
      </c>
      <c r="C60">
        <v>50</v>
      </c>
      <c r="D60">
        <v>6195</v>
      </c>
      <c r="E60">
        <v>7125</v>
      </c>
      <c r="F60">
        <v>1565</v>
      </c>
      <c r="G60">
        <v>545</v>
      </c>
      <c r="H60">
        <v>1050</v>
      </c>
      <c r="I60">
        <v>4153</v>
      </c>
      <c r="J60">
        <v>250</v>
      </c>
      <c r="K60">
        <v>616</v>
      </c>
      <c r="L60">
        <v>8183</v>
      </c>
      <c r="M60">
        <v>690</v>
      </c>
      <c r="N60">
        <v>1535</v>
      </c>
      <c r="O60">
        <v>1127</v>
      </c>
      <c r="P60">
        <v>800</v>
      </c>
      <c r="R60">
        <v>37029</v>
      </c>
    </row>
    <row r="61" spans="1:18" x14ac:dyDescent="0.25">
      <c r="A61" t="s">
        <v>139</v>
      </c>
      <c r="B61">
        <v>3145</v>
      </c>
      <c r="C61">
        <v>50</v>
      </c>
      <c r="D61">
        <v>6195</v>
      </c>
      <c r="E61">
        <v>7125</v>
      </c>
      <c r="F61">
        <v>1965</v>
      </c>
      <c r="G61">
        <v>545</v>
      </c>
      <c r="H61">
        <v>1050</v>
      </c>
      <c r="I61">
        <v>4153</v>
      </c>
      <c r="J61">
        <v>250</v>
      </c>
      <c r="K61">
        <v>616</v>
      </c>
      <c r="L61">
        <v>8183</v>
      </c>
      <c r="M61">
        <v>690</v>
      </c>
      <c r="N61">
        <v>1535</v>
      </c>
      <c r="O61">
        <v>1127</v>
      </c>
      <c r="P61">
        <v>800</v>
      </c>
      <c r="R61">
        <v>37429</v>
      </c>
    </row>
    <row r="62" spans="1:18" x14ac:dyDescent="0.25">
      <c r="A62" t="s">
        <v>140</v>
      </c>
      <c r="B62">
        <v>3145</v>
      </c>
      <c r="C62">
        <v>50</v>
      </c>
      <c r="D62">
        <v>6195</v>
      </c>
      <c r="E62">
        <v>7125</v>
      </c>
      <c r="F62">
        <v>1965</v>
      </c>
      <c r="G62">
        <v>545</v>
      </c>
      <c r="H62">
        <v>1050</v>
      </c>
      <c r="I62">
        <v>4153</v>
      </c>
      <c r="J62">
        <v>250</v>
      </c>
      <c r="K62">
        <v>616</v>
      </c>
      <c r="L62">
        <v>8183</v>
      </c>
      <c r="M62">
        <v>690</v>
      </c>
      <c r="N62">
        <v>1535</v>
      </c>
      <c r="O62">
        <v>1127</v>
      </c>
      <c r="P62">
        <v>800</v>
      </c>
      <c r="R62">
        <v>37429</v>
      </c>
    </row>
    <row r="63" spans="1:18" x14ac:dyDescent="0.25">
      <c r="A63" t="s">
        <v>141</v>
      </c>
      <c r="B63">
        <v>3145</v>
      </c>
      <c r="C63">
        <v>50</v>
      </c>
      <c r="D63">
        <v>6195</v>
      </c>
      <c r="E63">
        <v>7125</v>
      </c>
      <c r="F63">
        <v>1965</v>
      </c>
      <c r="G63">
        <v>545</v>
      </c>
      <c r="H63">
        <v>1050</v>
      </c>
      <c r="I63">
        <v>4153</v>
      </c>
      <c r="J63">
        <v>250</v>
      </c>
      <c r="K63">
        <v>616</v>
      </c>
      <c r="L63">
        <v>8183</v>
      </c>
      <c r="M63">
        <v>690</v>
      </c>
      <c r="N63">
        <v>1535</v>
      </c>
      <c r="O63">
        <v>1127</v>
      </c>
      <c r="P63">
        <v>800</v>
      </c>
      <c r="R63">
        <v>37429</v>
      </c>
    </row>
    <row r="64" spans="1:18" x14ac:dyDescent="0.25">
      <c r="A64" t="s">
        <v>142</v>
      </c>
      <c r="B64">
        <v>3145</v>
      </c>
      <c r="C64">
        <v>50</v>
      </c>
      <c r="D64">
        <v>6195</v>
      </c>
      <c r="E64">
        <v>8147</v>
      </c>
      <c r="F64">
        <v>1965</v>
      </c>
      <c r="G64">
        <v>545</v>
      </c>
      <c r="H64">
        <v>1050</v>
      </c>
      <c r="I64">
        <v>4153</v>
      </c>
      <c r="J64">
        <v>250</v>
      </c>
      <c r="K64">
        <v>616</v>
      </c>
      <c r="L64">
        <v>8183</v>
      </c>
      <c r="M64">
        <v>690</v>
      </c>
      <c r="N64">
        <v>1535</v>
      </c>
      <c r="O64">
        <v>1127</v>
      </c>
      <c r="P64">
        <v>800</v>
      </c>
      <c r="R64">
        <v>38451</v>
      </c>
    </row>
    <row r="65" spans="1:18" x14ac:dyDescent="0.25">
      <c r="A65" t="s">
        <v>143</v>
      </c>
      <c r="B65">
        <v>3145</v>
      </c>
      <c r="C65">
        <v>50</v>
      </c>
      <c r="D65">
        <v>6195</v>
      </c>
      <c r="E65">
        <v>8147</v>
      </c>
      <c r="F65">
        <v>1965</v>
      </c>
      <c r="G65">
        <v>545</v>
      </c>
      <c r="H65">
        <v>1050</v>
      </c>
      <c r="I65">
        <v>4153</v>
      </c>
      <c r="J65">
        <v>250</v>
      </c>
      <c r="K65">
        <v>616</v>
      </c>
      <c r="L65">
        <v>8183</v>
      </c>
      <c r="M65">
        <v>690</v>
      </c>
      <c r="N65">
        <v>1535</v>
      </c>
      <c r="O65">
        <v>1127</v>
      </c>
      <c r="P65">
        <v>800</v>
      </c>
      <c r="R65">
        <v>38451</v>
      </c>
    </row>
    <row r="66" spans="1:18" x14ac:dyDescent="0.25">
      <c r="A66" t="s">
        <v>144</v>
      </c>
      <c r="B66">
        <v>3145</v>
      </c>
      <c r="C66">
        <v>50</v>
      </c>
      <c r="D66">
        <v>6195</v>
      </c>
      <c r="E66">
        <v>8147</v>
      </c>
      <c r="F66">
        <v>1965</v>
      </c>
      <c r="G66">
        <v>545</v>
      </c>
      <c r="H66">
        <v>1050</v>
      </c>
      <c r="I66">
        <v>4153</v>
      </c>
      <c r="J66">
        <v>250</v>
      </c>
      <c r="K66">
        <v>616</v>
      </c>
      <c r="L66">
        <v>8183</v>
      </c>
      <c r="M66">
        <v>690</v>
      </c>
      <c r="N66">
        <v>1535</v>
      </c>
      <c r="O66">
        <v>1127</v>
      </c>
      <c r="P66">
        <v>800</v>
      </c>
      <c r="R66">
        <v>38451</v>
      </c>
    </row>
    <row r="67" spans="1:18" x14ac:dyDescent="0.25">
      <c r="A67" t="s">
        <v>145</v>
      </c>
      <c r="B67">
        <v>3145</v>
      </c>
      <c r="C67">
        <v>50</v>
      </c>
      <c r="D67">
        <v>6195</v>
      </c>
      <c r="E67">
        <v>8147</v>
      </c>
      <c r="F67">
        <v>1965</v>
      </c>
      <c r="G67">
        <v>545</v>
      </c>
      <c r="H67">
        <v>1050</v>
      </c>
      <c r="I67">
        <v>4153</v>
      </c>
      <c r="J67">
        <v>250</v>
      </c>
      <c r="K67">
        <v>616</v>
      </c>
      <c r="L67">
        <v>8183</v>
      </c>
      <c r="M67">
        <v>690</v>
      </c>
      <c r="N67">
        <v>1535</v>
      </c>
      <c r="O67">
        <v>1127</v>
      </c>
      <c r="P67">
        <v>800</v>
      </c>
      <c r="R67">
        <v>38451</v>
      </c>
    </row>
    <row r="68" spans="1:18" x14ac:dyDescent="0.25">
      <c r="A68" t="s">
        <v>146</v>
      </c>
      <c r="B68">
        <v>3145</v>
      </c>
      <c r="C68">
        <v>50</v>
      </c>
      <c r="D68">
        <v>6195</v>
      </c>
      <c r="E68">
        <v>8147</v>
      </c>
      <c r="F68">
        <v>1965</v>
      </c>
      <c r="G68">
        <v>545</v>
      </c>
      <c r="H68">
        <v>1050</v>
      </c>
      <c r="I68">
        <v>4153</v>
      </c>
      <c r="J68">
        <v>250</v>
      </c>
      <c r="K68">
        <v>616</v>
      </c>
      <c r="L68">
        <v>8183</v>
      </c>
      <c r="M68">
        <v>690</v>
      </c>
      <c r="N68">
        <v>1535</v>
      </c>
      <c r="O68">
        <v>1127</v>
      </c>
      <c r="P68">
        <v>800</v>
      </c>
      <c r="R68">
        <v>38451</v>
      </c>
    </row>
    <row r="69" spans="1:18" x14ac:dyDescent="0.25">
      <c r="A69" t="s">
        <v>147</v>
      </c>
      <c r="B69">
        <v>3145</v>
      </c>
      <c r="C69">
        <v>50</v>
      </c>
      <c r="D69">
        <v>6195</v>
      </c>
      <c r="E69">
        <v>8147</v>
      </c>
      <c r="F69">
        <v>1965</v>
      </c>
      <c r="G69">
        <v>545</v>
      </c>
      <c r="H69">
        <v>1050</v>
      </c>
      <c r="I69">
        <v>4153</v>
      </c>
      <c r="J69">
        <v>250</v>
      </c>
      <c r="K69">
        <v>616</v>
      </c>
      <c r="L69">
        <v>8183</v>
      </c>
      <c r="M69">
        <v>690</v>
      </c>
      <c r="N69">
        <v>1535</v>
      </c>
      <c r="O69">
        <v>1127</v>
      </c>
      <c r="P69">
        <v>800</v>
      </c>
      <c r="R69">
        <v>38451</v>
      </c>
    </row>
    <row r="70" spans="1:18" x14ac:dyDescent="0.25">
      <c r="A70" t="s">
        <v>148</v>
      </c>
      <c r="B70">
        <v>3145</v>
      </c>
      <c r="C70">
        <v>50</v>
      </c>
      <c r="D70">
        <v>6195</v>
      </c>
      <c r="E70">
        <v>9147</v>
      </c>
      <c r="F70">
        <v>1965</v>
      </c>
      <c r="G70">
        <v>545</v>
      </c>
      <c r="H70">
        <v>1050</v>
      </c>
      <c r="I70">
        <v>4153</v>
      </c>
      <c r="J70">
        <v>250</v>
      </c>
      <c r="K70">
        <v>616</v>
      </c>
      <c r="L70">
        <v>8183</v>
      </c>
      <c r="M70">
        <v>690</v>
      </c>
      <c r="N70">
        <v>1535</v>
      </c>
      <c r="O70">
        <v>1127</v>
      </c>
      <c r="P70">
        <v>800</v>
      </c>
      <c r="R70">
        <v>39451</v>
      </c>
    </row>
    <row r="71" spans="1:18" x14ac:dyDescent="0.25">
      <c r="A71" t="s">
        <v>149</v>
      </c>
      <c r="B71">
        <v>3145</v>
      </c>
      <c r="C71">
        <v>50</v>
      </c>
      <c r="D71">
        <v>6195</v>
      </c>
      <c r="E71">
        <v>9147</v>
      </c>
      <c r="F71">
        <v>1965</v>
      </c>
      <c r="G71">
        <v>545</v>
      </c>
      <c r="H71">
        <v>1050</v>
      </c>
      <c r="I71">
        <v>4253</v>
      </c>
      <c r="J71">
        <v>250</v>
      </c>
      <c r="K71">
        <v>616</v>
      </c>
      <c r="L71">
        <v>8183</v>
      </c>
      <c r="M71">
        <v>690</v>
      </c>
      <c r="N71">
        <v>1535</v>
      </c>
      <c r="O71">
        <v>1127</v>
      </c>
      <c r="P71">
        <v>800</v>
      </c>
      <c r="R71">
        <v>39551</v>
      </c>
    </row>
    <row r="72" spans="1:18" x14ac:dyDescent="0.25">
      <c r="A72" t="s">
        <v>150</v>
      </c>
      <c r="B72">
        <v>3145</v>
      </c>
      <c r="C72">
        <v>50</v>
      </c>
      <c r="D72">
        <v>6195</v>
      </c>
      <c r="E72">
        <v>9147</v>
      </c>
      <c r="F72">
        <v>1965</v>
      </c>
      <c r="G72">
        <v>545</v>
      </c>
      <c r="H72">
        <v>1050</v>
      </c>
      <c r="I72">
        <v>4253</v>
      </c>
      <c r="J72">
        <v>250</v>
      </c>
      <c r="K72">
        <v>616</v>
      </c>
      <c r="L72">
        <v>8183</v>
      </c>
      <c r="M72">
        <v>690</v>
      </c>
      <c r="N72">
        <v>1535</v>
      </c>
      <c r="O72">
        <v>1127</v>
      </c>
      <c r="P72">
        <v>800</v>
      </c>
      <c r="R72">
        <v>39551</v>
      </c>
    </row>
    <row r="73" spans="1:18" x14ac:dyDescent="0.25">
      <c r="A73" t="s">
        <v>151</v>
      </c>
      <c r="B73">
        <v>3145</v>
      </c>
      <c r="D73">
        <v>6195</v>
      </c>
      <c r="E73">
        <v>9147</v>
      </c>
      <c r="F73">
        <v>1965</v>
      </c>
      <c r="G73">
        <v>545</v>
      </c>
      <c r="H73">
        <v>1050</v>
      </c>
      <c r="I73">
        <v>4253</v>
      </c>
      <c r="J73">
        <v>250</v>
      </c>
      <c r="K73">
        <v>616</v>
      </c>
      <c r="L73">
        <v>8383</v>
      </c>
      <c r="M73">
        <v>690</v>
      </c>
      <c r="N73">
        <v>1535</v>
      </c>
      <c r="O73">
        <v>1311</v>
      </c>
      <c r="P73">
        <v>800</v>
      </c>
      <c r="R73">
        <v>39885</v>
      </c>
    </row>
    <row r="74" spans="1:18" x14ac:dyDescent="0.25">
      <c r="A74" t="s">
        <v>152</v>
      </c>
      <c r="B74">
        <v>3145</v>
      </c>
      <c r="D74">
        <v>6145</v>
      </c>
      <c r="E74">
        <v>8567</v>
      </c>
      <c r="F74">
        <v>1965</v>
      </c>
      <c r="G74">
        <v>545</v>
      </c>
      <c r="H74">
        <v>1050</v>
      </c>
      <c r="I74">
        <v>4253</v>
      </c>
      <c r="J74">
        <v>250</v>
      </c>
      <c r="K74">
        <v>616</v>
      </c>
      <c r="L74">
        <v>8383</v>
      </c>
      <c r="M74">
        <v>690</v>
      </c>
      <c r="N74">
        <v>1535</v>
      </c>
      <c r="O74">
        <v>1311</v>
      </c>
      <c r="P74">
        <v>800</v>
      </c>
      <c r="R74">
        <v>39255</v>
      </c>
    </row>
    <row r="75" spans="1:18" x14ac:dyDescent="0.25">
      <c r="A75" t="s">
        <v>153</v>
      </c>
      <c r="B75">
        <v>3145</v>
      </c>
      <c r="D75">
        <v>6145</v>
      </c>
      <c r="E75">
        <v>9247</v>
      </c>
      <c r="F75">
        <v>1965</v>
      </c>
      <c r="G75">
        <v>545</v>
      </c>
      <c r="H75">
        <v>1050</v>
      </c>
      <c r="I75">
        <v>4253</v>
      </c>
      <c r="J75">
        <v>250</v>
      </c>
      <c r="K75">
        <v>616</v>
      </c>
      <c r="L75">
        <v>8383</v>
      </c>
      <c r="M75">
        <v>690</v>
      </c>
      <c r="N75">
        <v>1535</v>
      </c>
      <c r="O75">
        <v>1311</v>
      </c>
      <c r="P75">
        <v>800</v>
      </c>
      <c r="R75">
        <v>39935</v>
      </c>
    </row>
    <row r="76" spans="1:18" x14ac:dyDescent="0.25">
      <c r="A76" t="s">
        <v>154</v>
      </c>
      <c r="B76">
        <v>3145</v>
      </c>
      <c r="D76">
        <v>6145</v>
      </c>
      <c r="E76">
        <v>9247</v>
      </c>
      <c r="F76">
        <v>1965</v>
      </c>
      <c r="G76">
        <v>545</v>
      </c>
      <c r="H76">
        <v>1050</v>
      </c>
      <c r="I76">
        <v>4253</v>
      </c>
      <c r="J76">
        <v>250</v>
      </c>
      <c r="K76">
        <v>616</v>
      </c>
      <c r="L76">
        <v>8383</v>
      </c>
      <c r="M76">
        <v>690</v>
      </c>
      <c r="N76">
        <v>1535</v>
      </c>
      <c r="O76">
        <v>1311</v>
      </c>
      <c r="P76">
        <v>800</v>
      </c>
      <c r="R76">
        <v>39935</v>
      </c>
    </row>
    <row r="77" spans="1:18" x14ac:dyDescent="0.25">
      <c r="A77" t="s">
        <v>155</v>
      </c>
      <c r="B77">
        <v>3145</v>
      </c>
      <c r="D77">
        <v>6145</v>
      </c>
      <c r="E77">
        <v>9247</v>
      </c>
      <c r="F77">
        <v>1965</v>
      </c>
      <c r="G77">
        <v>545</v>
      </c>
      <c r="H77">
        <v>1050</v>
      </c>
      <c r="I77">
        <v>4253</v>
      </c>
      <c r="J77">
        <v>250</v>
      </c>
      <c r="K77">
        <v>616</v>
      </c>
      <c r="L77">
        <v>8383</v>
      </c>
      <c r="M77">
        <v>690</v>
      </c>
      <c r="N77">
        <v>1535</v>
      </c>
      <c r="O77">
        <v>1311</v>
      </c>
      <c r="P77">
        <v>800</v>
      </c>
      <c r="R77">
        <v>39935</v>
      </c>
    </row>
    <row r="78" spans="1:18" x14ac:dyDescent="0.25">
      <c r="A78" t="s">
        <v>156</v>
      </c>
      <c r="B78">
        <v>3145</v>
      </c>
      <c r="D78">
        <v>6145</v>
      </c>
      <c r="E78">
        <v>9247</v>
      </c>
      <c r="F78">
        <v>1965</v>
      </c>
      <c r="G78">
        <v>545</v>
      </c>
      <c r="H78">
        <v>1050</v>
      </c>
      <c r="I78">
        <v>4253</v>
      </c>
      <c r="J78">
        <v>250</v>
      </c>
      <c r="K78">
        <v>616</v>
      </c>
      <c r="L78">
        <v>8383</v>
      </c>
      <c r="M78">
        <v>690</v>
      </c>
      <c r="N78">
        <v>1535</v>
      </c>
      <c r="O78">
        <v>1311</v>
      </c>
      <c r="P78">
        <v>800</v>
      </c>
      <c r="R78">
        <v>39935</v>
      </c>
    </row>
    <row r="79" spans="1:18" x14ac:dyDescent="0.25">
      <c r="A79" t="s">
        <v>157</v>
      </c>
      <c r="B79">
        <v>3145</v>
      </c>
      <c r="D79">
        <v>6145</v>
      </c>
      <c r="E79">
        <v>9427</v>
      </c>
      <c r="F79">
        <v>1965</v>
      </c>
      <c r="G79">
        <v>545</v>
      </c>
      <c r="H79">
        <v>1050</v>
      </c>
      <c r="I79">
        <v>4253</v>
      </c>
      <c r="J79">
        <v>250</v>
      </c>
      <c r="K79">
        <v>616</v>
      </c>
      <c r="L79">
        <v>8383</v>
      </c>
      <c r="M79">
        <v>690</v>
      </c>
      <c r="N79">
        <v>1535</v>
      </c>
      <c r="O79">
        <v>1311</v>
      </c>
      <c r="P79">
        <v>800</v>
      </c>
      <c r="R79">
        <v>40115</v>
      </c>
    </row>
    <row r="80" spans="1:18" x14ac:dyDescent="0.25">
      <c r="A80" t="s">
        <v>158</v>
      </c>
      <c r="B80">
        <v>3145</v>
      </c>
      <c r="D80">
        <v>6145</v>
      </c>
      <c r="E80">
        <v>9327</v>
      </c>
      <c r="F80">
        <v>1965</v>
      </c>
      <c r="G80">
        <v>545</v>
      </c>
      <c r="H80">
        <v>1050</v>
      </c>
      <c r="I80">
        <v>4253</v>
      </c>
      <c r="J80">
        <v>250</v>
      </c>
      <c r="K80">
        <v>1016</v>
      </c>
      <c r="L80">
        <v>8383</v>
      </c>
      <c r="M80">
        <v>690</v>
      </c>
      <c r="N80">
        <v>1535</v>
      </c>
      <c r="O80">
        <v>1311</v>
      </c>
      <c r="P80">
        <v>800</v>
      </c>
      <c r="R80">
        <v>40415</v>
      </c>
    </row>
    <row r="81" spans="1:18" x14ac:dyDescent="0.25">
      <c r="A81" t="s">
        <v>159</v>
      </c>
      <c r="B81">
        <v>3145</v>
      </c>
      <c r="D81">
        <v>6145</v>
      </c>
      <c r="E81">
        <v>9427</v>
      </c>
      <c r="F81">
        <v>1965</v>
      </c>
      <c r="G81">
        <v>545</v>
      </c>
      <c r="H81">
        <v>1050</v>
      </c>
      <c r="I81">
        <v>4453</v>
      </c>
      <c r="J81">
        <v>250</v>
      </c>
      <c r="K81">
        <v>1016</v>
      </c>
      <c r="L81">
        <v>8383</v>
      </c>
      <c r="M81">
        <v>690</v>
      </c>
      <c r="N81">
        <v>1535</v>
      </c>
      <c r="O81">
        <v>1311</v>
      </c>
      <c r="P81">
        <v>800</v>
      </c>
      <c r="R81">
        <v>40715</v>
      </c>
    </row>
    <row r="82" spans="1:18" x14ac:dyDescent="0.25">
      <c r="A82" t="s">
        <v>160</v>
      </c>
      <c r="B82">
        <v>3145</v>
      </c>
      <c r="D82">
        <v>6145</v>
      </c>
      <c r="E82">
        <v>9427</v>
      </c>
      <c r="F82">
        <v>1965</v>
      </c>
      <c r="G82">
        <v>545</v>
      </c>
      <c r="H82">
        <v>1050</v>
      </c>
      <c r="I82">
        <v>4453</v>
      </c>
      <c r="J82">
        <v>250</v>
      </c>
      <c r="K82">
        <v>1016</v>
      </c>
      <c r="L82">
        <v>8383</v>
      </c>
      <c r="M82">
        <v>690</v>
      </c>
      <c r="N82">
        <v>1535</v>
      </c>
      <c r="O82">
        <v>1311</v>
      </c>
      <c r="P82">
        <v>800</v>
      </c>
      <c r="R82">
        <v>40715</v>
      </c>
    </row>
    <row r="83" spans="1:18" x14ac:dyDescent="0.25">
      <c r="A83" t="s">
        <v>161</v>
      </c>
      <c r="B83">
        <v>3145</v>
      </c>
      <c r="D83">
        <v>6195</v>
      </c>
      <c r="E83">
        <v>10007</v>
      </c>
      <c r="F83">
        <v>1965</v>
      </c>
      <c r="G83">
        <v>545</v>
      </c>
      <c r="H83">
        <v>1050</v>
      </c>
      <c r="I83">
        <v>4453</v>
      </c>
      <c r="J83">
        <v>250</v>
      </c>
      <c r="K83">
        <v>1016</v>
      </c>
      <c r="L83">
        <v>8383</v>
      </c>
      <c r="M83">
        <v>690</v>
      </c>
      <c r="N83">
        <v>1535</v>
      </c>
      <c r="O83">
        <v>1311</v>
      </c>
      <c r="P83">
        <v>800</v>
      </c>
      <c r="R83">
        <v>41345</v>
      </c>
    </row>
    <row r="84" spans="1:18" x14ac:dyDescent="0.25">
      <c r="A84" t="s">
        <v>162</v>
      </c>
      <c r="B84">
        <v>3145</v>
      </c>
      <c r="D84">
        <v>6195</v>
      </c>
      <c r="E84">
        <v>10007</v>
      </c>
      <c r="F84">
        <v>1965</v>
      </c>
      <c r="G84">
        <v>545</v>
      </c>
      <c r="H84">
        <v>1050</v>
      </c>
      <c r="I84">
        <v>4453</v>
      </c>
      <c r="J84">
        <v>250</v>
      </c>
      <c r="K84">
        <v>1016</v>
      </c>
      <c r="L84">
        <v>8383</v>
      </c>
      <c r="M84">
        <v>690</v>
      </c>
      <c r="N84">
        <v>1535</v>
      </c>
      <c r="O84">
        <v>1311</v>
      </c>
      <c r="P84">
        <v>800</v>
      </c>
      <c r="R84">
        <v>41345</v>
      </c>
    </row>
    <row r="85" spans="1:18" x14ac:dyDescent="0.25">
      <c r="A85" t="s">
        <v>163</v>
      </c>
      <c r="B85">
        <v>3145</v>
      </c>
      <c r="D85">
        <v>6195</v>
      </c>
      <c r="E85">
        <v>10007</v>
      </c>
      <c r="F85">
        <v>1965</v>
      </c>
      <c r="G85">
        <v>545</v>
      </c>
      <c r="H85">
        <v>1050</v>
      </c>
      <c r="I85">
        <v>4453</v>
      </c>
      <c r="J85">
        <v>250</v>
      </c>
      <c r="K85">
        <v>1016</v>
      </c>
      <c r="L85">
        <v>8383</v>
      </c>
      <c r="M85">
        <v>690</v>
      </c>
      <c r="N85">
        <v>1535</v>
      </c>
      <c r="O85">
        <v>1311</v>
      </c>
      <c r="P85">
        <v>800</v>
      </c>
      <c r="R85">
        <v>41345</v>
      </c>
    </row>
    <row r="86" spans="1:18" x14ac:dyDescent="0.25">
      <c r="A86" t="s">
        <v>164</v>
      </c>
      <c r="B86">
        <v>3145</v>
      </c>
      <c r="D86">
        <v>6195</v>
      </c>
      <c r="E86">
        <v>10007</v>
      </c>
      <c r="F86">
        <v>1965</v>
      </c>
      <c r="G86">
        <v>545</v>
      </c>
      <c r="H86">
        <v>1050</v>
      </c>
      <c r="I86">
        <v>4453</v>
      </c>
      <c r="J86">
        <v>250</v>
      </c>
      <c r="K86">
        <v>1016</v>
      </c>
      <c r="L86">
        <v>8383</v>
      </c>
      <c r="M86">
        <v>690</v>
      </c>
      <c r="N86">
        <v>1535</v>
      </c>
      <c r="O86">
        <v>1311</v>
      </c>
      <c r="P86">
        <v>800</v>
      </c>
      <c r="R86">
        <v>41345</v>
      </c>
    </row>
  </sheetData>
  <hyperlinks>
    <hyperlink ref="T1" r:id="rId1" xr:uid="{3AEEB942-BD56-4BFB-9245-408810DC46C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9F38-D65A-4242-BDBF-E2BBE1683EA1}">
  <dimension ref="A1:BR86"/>
  <sheetViews>
    <sheetView topLeftCell="AU1" workbookViewId="0">
      <selection activeCell="C7" sqref="C7"/>
    </sheetView>
  </sheetViews>
  <sheetFormatPr defaultRowHeight="15" x14ac:dyDescent="0.25"/>
  <cols>
    <col min="1" max="1" width="13.5703125" customWidth="1"/>
  </cols>
  <sheetData>
    <row r="1" spans="1:70" x14ac:dyDescent="0.25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s="22" t="s">
        <v>175</v>
      </c>
      <c r="L1" s="22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s="22" t="s">
        <v>210</v>
      </c>
      <c r="AU1" s="22" t="s">
        <v>211</v>
      </c>
      <c r="AV1" t="s">
        <v>212</v>
      </c>
      <c r="AW1" t="s">
        <v>213</v>
      </c>
      <c r="AX1" t="s">
        <v>214</v>
      </c>
      <c r="AY1" t="s">
        <v>215</v>
      </c>
      <c r="AZ1" t="s">
        <v>216</v>
      </c>
      <c r="BA1" s="22" t="s">
        <v>217</v>
      </c>
      <c r="BB1" t="s">
        <v>218</v>
      </c>
      <c r="BC1" t="s">
        <v>219</v>
      </c>
      <c r="BD1" s="22" t="s">
        <v>220</v>
      </c>
      <c r="BE1" s="29" t="s">
        <v>221</v>
      </c>
      <c r="BF1" t="s">
        <v>222</v>
      </c>
      <c r="BG1" t="s">
        <v>223</v>
      </c>
      <c r="BH1" t="s">
        <v>224</v>
      </c>
      <c r="BI1" s="29" t="s">
        <v>225</v>
      </c>
      <c r="BJ1" s="22" t="s">
        <v>226</v>
      </c>
      <c r="BK1" s="22" t="s">
        <v>227</v>
      </c>
      <c r="BL1" t="s">
        <v>228</v>
      </c>
      <c r="BM1" t="s">
        <v>229</v>
      </c>
      <c r="BN1" t="s">
        <v>230</v>
      </c>
      <c r="BO1" s="29" t="s">
        <v>231</v>
      </c>
      <c r="BP1" s="29" t="s">
        <v>232</v>
      </c>
      <c r="BQ1" s="22" t="s">
        <v>233</v>
      </c>
    </row>
    <row r="2" spans="1:70" x14ac:dyDescent="0.25">
      <c r="A2" s="30" t="s">
        <v>234</v>
      </c>
    </row>
    <row r="3" spans="1:70" x14ac:dyDescent="0.25">
      <c r="A3" s="30" t="s">
        <v>235</v>
      </c>
    </row>
    <row r="4" spans="1:70" ht="60" x14ac:dyDescent="0.25">
      <c r="A4" s="30" t="s">
        <v>236</v>
      </c>
      <c r="B4" s="17">
        <v>900</v>
      </c>
      <c r="C4" s="17">
        <v>648</v>
      </c>
      <c r="D4" s="17">
        <v>558</v>
      </c>
      <c r="E4" s="17">
        <v>540</v>
      </c>
      <c r="F4" s="17">
        <v>540</v>
      </c>
      <c r="G4" s="17">
        <v>486.7</v>
      </c>
      <c r="H4" s="17">
        <v>468</v>
      </c>
      <c r="I4" s="17">
        <v>468</v>
      </c>
      <c r="J4" s="17">
        <v>432</v>
      </c>
      <c r="K4" s="31">
        <v>432</v>
      </c>
      <c r="L4" s="31">
        <v>432</v>
      </c>
      <c r="M4" s="17">
        <v>414</v>
      </c>
      <c r="N4" s="17">
        <v>396</v>
      </c>
      <c r="O4" s="17">
        <v>369</v>
      </c>
      <c r="P4" s="17">
        <v>368.3</v>
      </c>
      <c r="Q4" s="17">
        <v>360</v>
      </c>
      <c r="R4" s="17">
        <v>360</v>
      </c>
      <c r="S4" s="17">
        <v>347.4</v>
      </c>
      <c r="T4" s="17">
        <v>335.9</v>
      </c>
      <c r="U4" s="17">
        <v>306</v>
      </c>
      <c r="V4" s="17">
        <v>306</v>
      </c>
      <c r="W4" s="17">
        <v>304.2</v>
      </c>
      <c r="X4" s="17">
        <v>288</v>
      </c>
      <c r="Y4" s="17">
        <v>288</v>
      </c>
      <c r="Z4" s="17">
        <v>267.8</v>
      </c>
      <c r="AA4" s="17">
        <v>244.8</v>
      </c>
      <c r="AB4" s="17">
        <v>234</v>
      </c>
      <c r="AC4" s="17">
        <v>234</v>
      </c>
      <c r="AD4" s="17">
        <v>225</v>
      </c>
      <c r="AE4" s="17">
        <v>225</v>
      </c>
      <c r="AF4" s="17">
        <v>216</v>
      </c>
      <c r="AG4" s="17">
        <v>216</v>
      </c>
      <c r="AH4" s="17">
        <v>216</v>
      </c>
      <c r="AI4" s="17">
        <v>216</v>
      </c>
      <c r="AJ4" s="17">
        <v>202.7</v>
      </c>
      <c r="AK4" s="17">
        <v>196.2</v>
      </c>
      <c r="AL4" s="17">
        <v>183.6</v>
      </c>
      <c r="AM4" s="17">
        <v>180</v>
      </c>
      <c r="AN4" s="17">
        <v>180</v>
      </c>
      <c r="AO4" s="17">
        <v>178.9</v>
      </c>
      <c r="AP4" s="17">
        <v>147.6</v>
      </c>
      <c r="AQ4" s="17">
        <v>144</v>
      </c>
      <c r="AR4" s="17">
        <v>132.1</v>
      </c>
      <c r="AS4" s="17">
        <v>127.1</v>
      </c>
      <c r="AT4" s="31">
        <v>108</v>
      </c>
      <c r="AU4" s="31">
        <v>108</v>
      </c>
      <c r="AV4" s="17">
        <v>103.7</v>
      </c>
      <c r="AW4" s="17">
        <v>102.6</v>
      </c>
      <c r="AX4" s="17">
        <v>90</v>
      </c>
      <c r="AY4" s="17">
        <v>90</v>
      </c>
      <c r="AZ4" s="17">
        <v>90</v>
      </c>
      <c r="BA4" s="31">
        <v>81</v>
      </c>
      <c r="BB4" s="17">
        <v>72</v>
      </c>
      <c r="BC4" s="17">
        <v>72</v>
      </c>
      <c r="BD4" s="31">
        <v>72</v>
      </c>
      <c r="BE4" s="32">
        <v>68.400000000000006</v>
      </c>
      <c r="BF4" s="17">
        <v>60.1</v>
      </c>
      <c r="BG4" s="17">
        <v>54</v>
      </c>
      <c r="BH4" s="17">
        <v>54</v>
      </c>
      <c r="BI4" s="32">
        <v>36</v>
      </c>
      <c r="BJ4" s="31">
        <v>36</v>
      </c>
      <c r="BK4" s="31">
        <v>36</v>
      </c>
      <c r="BL4" s="17">
        <v>36</v>
      </c>
      <c r="BM4" s="17">
        <v>34.200000000000003</v>
      </c>
      <c r="BN4" s="17">
        <v>28.8</v>
      </c>
      <c r="BO4" s="32">
        <v>18</v>
      </c>
      <c r="BP4" s="32">
        <v>18</v>
      </c>
      <c r="BQ4" s="31">
        <v>0</v>
      </c>
    </row>
    <row r="5" spans="1:70" x14ac:dyDescent="0.25">
      <c r="A5" s="30" t="s">
        <v>237</v>
      </c>
    </row>
    <row r="6" spans="1:70" ht="30" x14ac:dyDescent="0.25">
      <c r="A6" s="30" t="s">
        <v>238</v>
      </c>
    </row>
    <row r="7" spans="1:70" ht="30" x14ac:dyDescent="0.25">
      <c r="A7" s="30" t="s">
        <v>239</v>
      </c>
    </row>
    <row r="8" spans="1:70" ht="30" x14ac:dyDescent="0.25">
      <c r="A8" s="30" t="s">
        <v>240</v>
      </c>
    </row>
    <row r="9" spans="1:70" x14ac:dyDescent="0.25">
      <c r="A9" s="30" t="s">
        <v>241</v>
      </c>
    </row>
    <row r="10" spans="1:70" x14ac:dyDescent="0.25">
      <c r="A10" s="33" t="s">
        <v>242</v>
      </c>
    </row>
    <row r="12" spans="1:70" x14ac:dyDescent="0.25">
      <c r="A12" s="5">
        <v>44562</v>
      </c>
      <c r="B12" s="34">
        <v>900</v>
      </c>
      <c r="C12" s="34">
        <v>648</v>
      </c>
      <c r="D12" s="34">
        <v>558</v>
      </c>
      <c r="E12" s="34">
        <v>540</v>
      </c>
      <c r="F12" s="34">
        <v>540</v>
      </c>
      <c r="G12" s="34">
        <v>486.7</v>
      </c>
      <c r="H12" s="34">
        <v>468</v>
      </c>
      <c r="I12" s="34">
        <v>468</v>
      </c>
      <c r="J12" s="34">
        <v>432</v>
      </c>
      <c r="K12" s="34">
        <v>432</v>
      </c>
      <c r="L12" s="34">
        <v>432</v>
      </c>
      <c r="M12" s="34">
        <v>414</v>
      </c>
      <c r="N12" s="34">
        <v>396</v>
      </c>
      <c r="O12" s="34">
        <v>369</v>
      </c>
      <c r="P12" s="34">
        <v>368.3</v>
      </c>
      <c r="Q12" s="34">
        <v>360</v>
      </c>
      <c r="R12" s="34">
        <v>360</v>
      </c>
      <c r="S12" s="34">
        <v>347.4</v>
      </c>
      <c r="T12" s="34">
        <v>335.9</v>
      </c>
      <c r="U12" s="34">
        <v>306</v>
      </c>
      <c r="V12" s="34">
        <v>306</v>
      </c>
      <c r="W12" s="34">
        <v>304.2</v>
      </c>
      <c r="X12" s="34">
        <v>288</v>
      </c>
      <c r="Y12" s="34">
        <v>288</v>
      </c>
      <c r="Z12" s="34">
        <v>267.8</v>
      </c>
      <c r="AA12" s="34">
        <v>244.8</v>
      </c>
      <c r="AB12" s="34">
        <v>234</v>
      </c>
      <c r="AC12" s="34">
        <v>234</v>
      </c>
      <c r="AD12" s="34">
        <v>225</v>
      </c>
      <c r="AE12" s="34">
        <v>225</v>
      </c>
      <c r="AF12" s="34">
        <v>216</v>
      </c>
      <c r="AG12" s="34">
        <v>216</v>
      </c>
      <c r="AH12" s="34">
        <v>216</v>
      </c>
      <c r="AI12" s="34">
        <v>216</v>
      </c>
      <c r="AJ12" s="34">
        <v>202.7</v>
      </c>
      <c r="AK12" s="34">
        <v>196.2</v>
      </c>
      <c r="AL12" s="34">
        <v>183.6</v>
      </c>
      <c r="AM12" s="34">
        <v>180</v>
      </c>
      <c r="AN12" s="34">
        <v>180</v>
      </c>
      <c r="AO12" s="34">
        <v>178.9</v>
      </c>
      <c r="AP12" s="34">
        <v>147.6</v>
      </c>
      <c r="AQ12" s="34">
        <v>144</v>
      </c>
      <c r="AR12" s="34">
        <v>132.1</v>
      </c>
      <c r="AS12" s="34">
        <v>127.1</v>
      </c>
      <c r="AT12" s="34">
        <v>108</v>
      </c>
      <c r="AU12" s="34">
        <v>108</v>
      </c>
      <c r="AV12" s="34">
        <v>103.7</v>
      </c>
      <c r="AW12" s="34">
        <v>102.6</v>
      </c>
      <c r="AX12" s="34">
        <v>90</v>
      </c>
      <c r="AY12" s="34">
        <v>90</v>
      </c>
      <c r="AZ12" s="34">
        <v>90</v>
      </c>
      <c r="BA12" s="34">
        <v>81</v>
      </c>
      <c r="BB12" s="34">
        <v>72</v>
      </c>
      <c r="BC12" s="34">
        <v>72</v>
      </c>
      <c r="BD12" s="34">
        <v>72</v>
      </c>
      <c r="BE12" s="34">
        <v>68.400000000000006</v>
      </c>
      <c r="BF12" s="34">
        <v>60.1</v>
      </c>
      <c r="BG12" s="34">
        <v>54</v>
      </c>
      <c r="BH12" s="34">
        <v>54</v>
      </c>
      <c r="BI12" s="34">
        <v>36</v>
      </c>
      <c r="BJ12" s="34">
        <v>36</v>
      </c>
      <c r="BK12" s="34">
        <v>36</v>
      </c>
      <c r="BL12" s="34">
        <v>36</v>
      </c>
      <c r="BM12" s="34">
        <v>34.200000000000003</v>
      </c>
      <c r="BN12" s="34">
        <v>28.8</v>
      </c>
      <c r="BO12" s="34">
        <v>18</v>
      </c>
      <c r="BP12" s="34">
        <v>18</v>
      </c>
      <c r="BQ12" s="34">
        <v>0</v>
      </c>
      <c r="BR12" s="17">
        <f>SUM(B12:BP12)</f>
        <v>15783.100000000002</v>
      </c>
    </row>
    <row r="13" spans="1:70" x14ac:dyDescent="0.25">
      <c r="A13" s="5">
        <v>44593</v>
      </c>
      <c r="B13" s="34">
        <v>900</v>
      </c>
      <c r="C13" s="34">
        <v>648</v>
      </c>
      <c r="D13" s="34">
        <v>558</v>
      </c>
      <c r="E13" s="34">
        <v>540</v>
      </c>
      <c r="F13" s="34">
        <v>540</v>
      </c>
      <c r="G13" s="34">
        <v>486.7</v>
      </c>
      <c r="H13" s="34">
        <v>468</v>
      </c>
      <c r="I13" s="34">
        <v>468</v>
      </c>
      <c r="J13" s="34">
        <v>432</v>
      </c>
      <c r="K13" s="34">
        <v>432</v>
      </c>
      <c r="L13" s="34">
        <v>432</v>
      </c>
      <c r="M13" s="34">
        <v>414</v>
      </c>
      <c r="N13" s="34">
        <v>396</v>
      </c>
      <c r="O13" s="34">
        <v>369</v>
      </c>
      <c r="P13" s="34">
        <v>368.3</v>
      </c>
      <c r="Q13" s="34">
        <v>360</v>
      </c>
      <c r="R13" s="34">
        <v>360</v>
      </c>
      <c r="S13" s="34">
        <v>347.4</v>
      </c>
      <c r="T13" s="34">
        <v>335.9</v>
      </c>
      <c r="U13" s="34">
        <v>306</v>
      </c>
      <c r="V13" s="34">
        <v>306</v>
      </c>
      <c r="W13" s="34">
        <v>304.2</v>
      </c>
      <c r="X13" s="34">
        <v>288</v>
      </c>
      <c r="Y13" s="34">
        <v>288</v>
      </c>
      <c r="Z13" s="34">
        <v>267.8</v>
      </c>
      <c r="AA13" s="34">
        <v>244.8</v>
      </c>
      <c r="AB13" s="34">
        <v>234</v>
      </c>
      <c r="AC13" s="34">
        <v>234</v>
      </c>
      <c r="AD13" s="34">
        <v>225</v>
      </c>
      <c r="AE13" s="34">
        <v>225</v>
      </c>
      <c r="AF13" s="34">
        <v>216</v>
      </c>
      <c r="AG13" s="34">
        <v>216</v>
      </c>
      <c r="AH13" s="34">
        <v>216</v>
      </c>
      <c r="AI13" s="34">
        <v>216</v>
      </c>
      <c r="AJ13" s="34">
        <v>202.7</v>
      </c>
      <c r="AK13" s="34">
        <v>196.2</v>
      </c>
      <c r="AL13" s="34">
        <v>183.6</v>
      </c>
      <c r="AM13" s="34">
        <v>180</v>
      </c>
      <c r="AN13" s="34">
        <v>180</v>
      </c>
      <c r="AO13" s="34">
        <v>178.9</v>
      </c>
      <c r="AP13" s="34">
        <v>147.6</v>
      </c>
      <c r="AQ13" s="34">
        <v>144</v>
      </c>
      <c r="AR13" s="34">
        <v>132.1</v>
      </c>
      <c r="AS13" s="34">
        <v>127.1</v>
      </c>
      <c r="AT13" s="34">
        <v>108</v>
      </c>
      <c r="AU13" s="34">
        <v>108</v>
      </c>
      <c r="AV13" s="34">
        <v>103.7</v>
      </c>
      <c r="AW13" s="34">
        <v>102.6</v>
      </c>
      <c r="AX13" s="34">
        <v>90</v>
      </c>
      <c r="AY13" s="34">
        <v>90</v>
      </c>
      <c r="AZ13" s="34">
        <v>90</v>
      </c>
      <c r="BA13" s="34">
        <v>81</v>
      </c>
      <c r="BB13" s="34">
        <v>72</v>
      </c>
      <c r="BC13" s="34">
        <v>72</v>
      </c>
      <c r="BD13" s="34">
        <v>72</v>
      </c>
      <c r="BE13" s="34">
        <v>68.400000000000006</v>
      </c>
      <c r="BF13" s="34">
        <v>60.1</v>
      </c>
      <c r="BG13" s="34">
        <v>54</v>
      </c>
      <c r="BH13" s="34">
        <v>54</v>
      </c>
      <c r="BI13" s="34">
        <v>36</v>
      </c>
      <c r="BJ13" s="34">
        <v>36</v>
      </c>
      <c r="BK13" s="34">
        <v>36</v>
      </c>
      <c r="BL13" s="34">
        <v>36</v>
      </c>
      <c r="BM13" s="34">
        <v>34.200000000000003</v>
      </c>
      <c r="BN13" s="34">
        <v>28.8</v>
      </c>
      <c r="BO13" s="34">
        <v>18</v>
      </c>
      <c r="BP13" s="34">
        <v>18</v>
      </c>
      <c r="BQ13" s="34">
        <v>0</v>
      </c>
      <c r="BR13" s="17">
        <f t="shared" ref="BR13:BR76" si="0">SUM(B13:BP13)</f>
        <v>15783.100000000002</v>
      </c>
    </row>
    <row r="14" spans="1:70" x14ac:dyDescent="0.25">
      <c r="A14" s="5">
        <v>44621</v>
      </c>
      <c r="B14" s="34">
        <v>900</v>
      </c>
      <c r="C14" s="34">
        <v>648</v>
      </c>
      <c r="D14" s="34">
        <v>558</v>
      </c>
      <c r="E14" s="34">
        <v>540</v>
      </c>
      <c r="F14" s="34">
        <v>540</v>
      </c>
      <c r="G14" s="34">
        <v>486.7</v>
      </c>
      <c r="H14" s="34">
        <v>468</v>
      </c>
      <c r="I14" s="34">
        <v>468</v>
      </c>
      <c r="J14" s="34">
        <v>432</v>
      </c>
      <c r="K14" s="34">
        <v>432</v>
      </c>
      <c r="L14" s="34">
        <v>432</v>
      </c>
      <c r="M14" s="34">
        <v>414</v>
      </c>
      <c r="N14" s="34">
        <v>396</v>
      </c>
      <c r="O14" s="34">
        <v>369</v>
      </c>
      <c r="P14" s="34">
        <v>368.3</v>
      </c>
      <c r="Q14" s="34">
        <v>360</v>
      </c>
      <c r="R14" s="34">
        <v>360</v>
      </c>
      <c r="S14" s="34">
        <v>347.4</v>
      </c>
      <c r="T14" s="34">
        <v>335.9</v>
      </c>
      <c r="U14" s="34">
        <v>306</v>
      </c>
      <c r="V14" s="34">
        <v>306</v>
      </c>
      <c r="W14" s="34">
        <v>304.2</v>
      </c>
      <c r="X14" s="34">
        <v>288</v>
      </c>
      <c r="Y14" s="34">
        <v>288</v>
      </c>
      <c r="Z14" s="34">
        <v>267.8</v>
      </c>
      <c r="AA14" s="34">
        <v>244.8</v>
      </c>
      <c r="AB14" s="34">
        <v>234</v>
      </c>
      <c r="AC14" s="34">
        <v>234</v>
      </c>
      <c r="AD14" s="34">
        <v>225</v>
      </c>
      <c r="AE14" s="34">
        <v>225</v>
      </c>
      <c r="AF14" s="34">
        <v>216</v>
      </c>
      <c r="AG14" s="34">
        <v>216</v>
      </c>
      <c r="AH14" s="34">
        <v>216</v>
      </c>
      <c r="AI14" s="34">
        <v>216</v>
      </c>
      <c r="AJ14" s="34">
        <v>202.7</v>
      </c>
      <c r="AK14" s="34">
        <v>196.2</v>
      </c>
      <c r="AL14" s="34">
        <v>183.6</v>
      </c>
      <c r="AM14" s="34">
        <v>180</v>
      </c>
      <c r="AN14" s="34">
        <v>180</v>
      </c>
      <c r="AO14" s="34">
        <v>178.9</v>
      </c>
      <c r="AP14" s="34">
        <v>147.6</v>
      </c>
      <c r="AQ14" s="34">
        <v>144</v>
      </c>
      <c r="AR14" s="34">
        <v>132.1</v>
      </c>
      <c r="AS14" s="34">
        <v>127.1</v>
      </c>
      <c r="AT14" s="34">
        <v>108</v>
      </c>
      <c r="AU14" s="34">
        <v>108</v>
      </c>
      <c r="AV14" s="34">
        <v>103.7</v>
      </c>
      <c r="AW14" s="34">
        <v>102.6</v>
      </c>
      <c r="AX14" s="34">
        <v>90</v>
      </c>
      <c r="AY14" s="34">
        <v>90</v>
      </c>
      <c r="AZ14" s="34">
        <v>90</v>
      </c>
      <c r="BA14" s="34">
        <v>81</v>
      </c>
      <c r="BB14" s="34">
        <v>72</v>
      </c>
      <c r="BC14" s="34">
        <v>72</v>
      </c>
      <c r="BD14" s="34">
        <v>72</v>
      </c>
      <c r="BE14" s="34">
        <v>68.400000000000006</v>
      </c>
      <c r="BF14" s="34">
        <v>60.1</v>
      </c>
      <c r="BG14" s="34">
        <v>54</v>
      </c>
      <c r="BH14" s="34">
        <v>54</v>
      </c>
      <c r="BI14" s="34">
        <v>36</v>
      </c>
      <c r="BJ14" s="34">
        <v>36</v>
      </c>
      <c r="BK14" s="34">
        <v>36</v>
      </c>
      <c r="BL14" s="34">
        <v>36</v>
      </c>
      <c r="BM14" s="34">
        <v>34.200000000000003</v>
      </c>
      <c r="BN14" s="34">
        <v>28.8</v>
      </c>
      <c r="BO14" s="34">
        <v>18</v>
      </c>
      <c r="BP14" s="34">
        <v>18</v>
      </c>
      <c r="BQ14" s="34">
        <v>0</v>
      </c>
      <c r="BR14" s="17">
        <f t="shared" si="0"/>
        <v>15783.100000000002</v>
      </c>
    </row>
    <row r="15" spans="1:70" x14ac:dyDescent="0.25">
      <c r="A15" s="5">
        <v>44652</v>
      </c>
      <c r="B15" s="34">
        <v>900</v>
      </c>
      <c r="C15" s="34">
        <v>648</v>
      </c>
      <c r="D15" s="34">
        <v>558</v>
      </c>
      <c r="E15" s="34">
        <v>540</v>
      </c>
      <c r="F15" s="34">
        <v>540</v>
      </c>
      <c r="G15" s="34">
        <v>486.7</v>
      </c>
      <c r="H15" s="34">
        <v>468</v>
      </c>
      <c r="I15" s="34">
        <v>468</v>
      </c>
      <c r="J15" s="34">
        <v>432</v>
      </c>
      <c r="K15" s="34">
        <v>432</v>
      </c>
      <c r="L15" s="34">
        <v>432</v>
      </c>
      <c r="M15" s="34">
        <v>414</v>
      </c>
      <c r="N15" s="34">
        <v>396</v>
      </c>
      <c r="O15" s="34">
        <v>369</v>
      </c>
      <c r="P15" s="34">
        <v>368.3</v>
      </c>
      <c r="Q15" s="34">
        <v>360</v>
      </c>
      <c r="R15" s="34">
        <v>360</v>
      </c>
      <c r="S15" s="34">
        <v>347.4</v>
      </c>
      <c r="T15" s="34">
        <v>335.9</v>
      </c>
      <c r="U15" s="34">
        <v>306</v>
      </c>
      <c r="V15" s="34">
        <v>306</v>
      </c>
      <c r="W15" s="34">
        <v>304.2</v>
      </c>
      <c r="X15" s="34">
        <v>288</v>
      </c>
      <c r="Y15" s="34">
        <v>288</v>
      </c>
      <c r="Z15" s="34">
        <v>267.8</v>
      </c>
      <c r="AA15" s="34">
        <v>244.8</v>
      </c>
      <c r="AB15" s="34">
        <v>234</v>
      </c>
      <c r="AC15" s="34">
        <v>234</v>
      </c>
      <c r="AD15" s="34">
        <v>225</v>
      </c>
      <c r="AE15" s="34">
        <v>225</v>
      </c>
      <c r="AF15" s="34">
        <v>216</v>
      </c>
      <c r="AG15" s="34">
        <v>216</v>
      </c>
      <c r="AH15" s="34">
        <v>216</v>
      </c>
      <c r="AI15" s="34">
        <v>216</v>
      </c>
      <c r="AJ15" s="34">
        <v>202.7</v>
      </c>
      <c r="AK15" s="34">
        <v>196.2</v>
      </c>
      <c r="AL15" s="34">
        <v>183.6</v>
      </c>
      <c r="AM15" s="34">
        <v>180</v>
      </c>
      <c r="AN15" s="34">
        <v>180</v>
      </c>
      <c r="AO15" s="34">
        <v>178.9</v>
      </c>
      <c r="AP15" s="34">
        <v>147.6</v>
      </c>
      <c r="AQ15" s="34">
        <v>144</v>
      </c>
      <c r="AR15" s="34">
        <v>132.1</v>
      </c>
      <c r="AS15" s="34">
        <v>127.1</v>
      </c>
      <c r="AT15" s="34">
        <v>108</v>
      </c>
      <c r="AU15" s="34">
        <v>108</v>
      </c>
      <c r="AV15" s="34">
        <v>103.7</v>
      </c>
      <c r="AW15" s="34">
        <v>102.6</v>
      </c>
      <c r="AX15" s="34">
        <v>90</v>
      </c>
      <c r="AY15" s="34">
        <v>90</v>
      </c>
      <c r="AZ15" s="34">
        <v>90</v>
      </c>
      <c r="BA15" s="34">
        <v>81</v>
      </c>
      <c r="BB15" s="34">
        <v>72</v>
      </c>
      <c r="BC15" s="34">
        <v>72</v>
      </c>
      <c r="BD15" s="34">
        <v>72</v>
      </c>
      <c r="BE15" s="34">
        <v>68.400000000000006</v>
      </c>
      <c r="BF15" s="34">
        <v>60.1</v>
      </c>
      <c r="BG15" s="34">
        <v>54</v>
      </c>
      <c r="BH15" s="34">
        <v>54</v>
      </c>
      <c r="BI15" s="34">
        <v>36</v>
      </c>
      <c r="BJ15" s="34">
        <v>36</v>
      </c>
      <c r="BK15" s="34">
        <v>36</v>
      </c>
      <c r="BL15" s="34">
        <v>36</v>
      </c>
      <c r="BM15" s="34">
        <v>34.200000000000003</v>
      </c>
      <c r="BN15" s="34">
        <v>28.8</v>
      </c>
      <c r="BO15" s="34">
        <v>18</v>
      </c>
      <c r="BP15" s="34">
        <v>18</v>
      </c>
      <c r="BQ15" s="34">
        <v>0</v>
      </c>
      <c r="BR15" s="17">
        <f t="shared" si="0"/>
        <v>15783.100000000002</v>
      </c>
    </row>
    <row r="16" spans="1:70" x14ac:dyDescent="0.25">
      <c r="A16" s="5">
        <v>44682</v>
      </c>
      <c r="B16" s="34">
        <v>900</v>
      </c>
      <c r="C16" s="34">
        <v>648</v>
      </c>
      <c r="D16" s="34">
        <v>558</v>
      </c>
      <c r="E16" s="34">
        <v>540</v>
      </c>
      <c r="F16" s="34">
        <v>540</v>
      </c>
      <c r="G16" s="34">
        <v>486.7</v>
      </c>
      <c r="H16" s="34">
        <v>468</v>
      </c>
      <c r="I16" s="34">
        <v>468</v>
      </c>
      <c r="J16" s="34">
        <v>432</v>
      </c>
      <c r="K16" s="34">
        <v>432</v>
      </c>
      <c r="L16" s="34">
        <v>432</v>
      </c>
      <c r="M16" s="34">
        <v>414</v>
      </c>
      <c r="N16" s="34">
        <v>396</v>
      </c>
      <c r="O16" s="34">
        <v>369</v>
      </c>
      <c r="P16" s="34">
        <v>368.3</v>
      </c>
      <c r="Q16" s="34">
        <v>360</v>
      </c>
      <c r="R16" s="34">
        <v>360</v>
      </c>
      <c r="S16" s="34">
        <v>347.4</v>
      </c>
      <c r="T16" s="34">
        <v>335.9</v>
      </c>
      <c r="U16" s="34">
        <v>306</v>
      </c>
      <c r="V16" s="34">
        <v>306</v>
      </c>
      <c r="W16" s="34">
        <v>304.2</v>
      </c>
      <c r="X16" s="34">
        <v>288</v>
      </c>
      <c r="Y16" s="34">
        <v>288</v>
      </c>
      <c r="Z16" s="34">
        <v>267.8</v>
      </c>
      <c r="AA16" s="34">
        <v>244.8</v>
      </c>
      <c r="AB16" s="34">
        <v>234</v>
      </c>
      <c r="AC16" s="34">
        <v>234</v>
      </c>
      <c r="AD16" s="34">
        <v>225</v>
      </c>
      <c r="AE16" s="34">
        <v>225</v>
      </c>
      <c r="AF16" s="34">
        <v>216</v>
      </c>
      <c r="AG16" s="34">
        <v>216</v>
      </c>
      <c r="AH16" s="34">
        <v>216</v>
      </c>
      <c r="AI16" s="34">
        <v>216</v>
      </c>
      <c r="AJ16" s="34">
        <v>202.7</v>
      </c>
      <c r="AK16" s="34">
        <v>196.2</v>
      </c>
      <c r="AL16" s="34">
        <v>183.6</v>
      </c>
      <c r="AM16" s="34">
        <v>180</v>
      </c>
      <c r="AN16" s="34">
        <v>180</v>
      </c>
      <c r="AO16" s="34">
        <v>178.9</v>
      </c>
      <c r="AP16" s="34">
        <v>147.6</v>
      </c>
      <c r="AQ16" s="34">
        <v>144</v>
      </c>
      <c r="AR16" s="34">
        <v>132.1</v>
      </c>
      <c r="AS16" s="34">
        <v>127.1</v>
      </c>
      <c r="AT16" s="34">
        <v>108</v>
      </c>
      <c r="AU16" s="34">
        <v>108</v>
      </c>
      <c r="AV16" s="34">
        <v>103.7</v>
      </c>
      <c r="AW16" s="34">
        <v>102.6</v>
      </c>
      <c r="AX16" s="34">
        <v>90</v>
      </c>
      <c r="AY16" s="34">
        <v>90</v>
      </c>
      <c r="AZ16" s="34">
        <v>90</v>
      </c>
      <c r="BA16" s="34">
        <v>81</v>
      </c>
      <c r="BB16" s="34">
        <v>72</v>
      </c>
      <c r="BC16" s="34">
        <v>72</v>
      </c>
      <c r="BD16" s="34">
        <v>72</v>
      </c>
      <c r="BE16" s="34">
        <v>68.400000000000006</v>
      </c>
      <c r="BF16" s="34">
        <v>60.1</v>
      </c>
      <c r="BG16" s="34">
        <v>54</v>
      </c>
      <c r="BH16" s="34">
        <v>54</v>
      </c>
      <c r="BI16" s="34">
        <v>36</v>
      </c>
      <c r="BJ16" s="34">
        <v>36</v>
      </c>
      <c r="BK16" s="34">
        <v>36</v>
      </c>
      <c r="BL16" s="34">
        <v>36</v>
      </c>
      <c r="BM16" s="34">
        <v>34.200000000000003</v>
      </c>
      <c r="BN16" s="34">
        <v>28.8</v>
      </c>
      <c r="BO16" s="34">
        <v>18</v>
      </c>
      <c r="BP16" s="34">
        <v>18</v>
      </c>
      <c r="BQ16" s="34">
        <v>0</v>
      </c>
      <c r="BR16" s="17">
        <f t="shared" si="0"/>
        <v>15783.100000000002</v>
      </c>
    </row>
    <row r="17" spans="1:70" x14ac:dyDescent="0.25">
      <c r="A17" s="5">
        <v>44713</v>
      </c>
      <c r="B17" s="34">
        <v>900</v>
      </c>
      <c r="C17" s="34">
        <v>648</v>
      </c>
      <c r="D17" s="34">
        <v>558</v>
      </c>
      <c r="E17" s="34">
        <v>540</v>
      </c>
      <c r="F17" s="34">
        <v>540</v>
      </c>
      <c r="G17" s="34">
        <v>486.7</v>
      </c>
      <c r="H17" s="34">
        <v>468</v>
      </c>
      <c r="I17" s="34">
        <v>468</v>
      </c>
      <c r="J17" s="34">
        <v>432</v>
      </c>
      <c r="K17" s="34">
        <v>432</v>
      </c>
      <c r="L17" s="34">
        <v>432</v>
      </c>
      <c r="M17" s="34">
        <v>414</v>
      </c>
      <c r="N17" s="34">
        <v>396</v>
      </c>
      <c r="O17" s="34">
        <v>369</v>
      </c>
      <c r="P17" s="34">
        <v>368.3</v>
      </c>
      <c r="Q17" s="34">
        <v>360</v>
      </c>
      <c r="R17" s="34">
        <v>360</v>
      </c>
      <c r="S17" s="34">
        <v>347.4</v>
      </c>
      <c r="T17" s="34">
        <v>335.9</v>
      </c>
      <c r="U17" s="34">
        <v>306</v>
      </c>
      <c r="V17" s="34">
        <v>306</v>
      </c>
      <c r="W17" s="34">
        <v>304.2</v>
      </c>
      <c r="X17" s="34">
        <v>288</v>
      </c>
      <c r="Y17" s="34">
        <v>288</v>
      </c>
      <c r="Z17" s="34">
        <v>267.8</v>
      </c>
      <c r="AA17" s="34">
        <v>244.8</v>
      </c>
      <c r="AB17" s="34">
        <v>234</v>
      </c>
      <c r="AC17" s="34">
        <v>234</v>
      </c>
      <c r="AD17" s="34">
        <v>225</v>
      </c>
      <c r="AE17" s="34">
        <v>225</v>
      </c>
      <c r="AF17" s="34">
        <v>216</v>
      </c>
      <c r="AG17" s="34">
        <v>216</v>
      </c>
      <c r="AH17" s="34">
        <v>216</v>
      </c>
      <c r="AI17" s="34">
        <v>216</v>
      </c>
      <c r="AJ17" s="34">
        <v>202.7</v>
      </c>
      <c r="AK17" s="34">
        <v>196.2</v>
      </c>
      <c r="AL17" s="34">
        <v>183.6</v>
      </c>
      <c r="AM17" s="34">
        <v>180</v>
      </c>
      <c r="AN17" s="34">
        <v>180</v>
      </c>
      <c r="AO17" s="34">
        <v>178.9</v>
      </c>
      <c r="AP17" s="34">
        <v>147.6</v>
      </c>
      <c r="AQ17" s="34">
        <v>144</v>
      </c>
      <c r="AR17" s="34">
        <v>132.1</v>
      </c>
      <c r="AS17" s="34">
        <v>127.1</v>
      </c>
      <c r="AT17" s="34">
        <v>108</v>
      </c>
      <c r="AU17" s="34">
        <v>108</v>
      </c>
      <c r="AV17" s="34">
        <v>103.7</v>
      </c>
      <c r="AW17" s="34">
        <v>102.6</v>
      </c>
      <c r="AX17" s="34">
        <v>90</v>
      </c>
      <c r="AY17" s="34">
        <v>90</v>
      </c>
      <c r="AZ17" s="34">
        <v>90</v>
      </c>
      <c r="BA17" s="34">
        <v>81</v>
      </c>
      <c r="BB17" s="34">
        <v>72</v>
      </c>
      <c r="BC17" s="34">
        <v>72</v>
      </c>
      <c r="BD17" s="34">
        <v>72</v>
      </c>
      <c r="BE17" s="34">
        <v>68.400000000000006</v>
      </c>
      <c r="BF17" s="34">
        <v>60.1</v>
      </c>
      <c r="BG17" s="34">
        <v>54</v>
      </c>
      <c r="BH17" s="34">
        <v>54</v>
      </c>
      <c r="BI17" s="34">
        <v>36</v>
      </c>
      <c r="BJ17" s="34">
        <v>36</v>
      </c>
      <c r="BK17" s="34">
        <v>36</v>
      </c>
      <c r="BL17" s="34">
        <v>36</v>
      </c>
      <c r="BM17" s="34">
        <v>34.200000000000003</v>
      </c>
      <c r="BN17" s="34">
        <v>28.8</v>
      </c>
      <c r="BO17" s="34">
        <v>18</v>
      </c>
      <c r="BP17" s="34">
        <v>18</v>
      </c>
      <c r="BQ17" s="34">
        <v>0</v>
      </c>
      <c r="BR17" s="17">
        <f t="shared" si="0"/>
        <v>15783.100000000002</v>
      </c>
    </row>
    <row r="18" spans="1:70" x14ac:dyDescent="0.25">
      <c r="A18" s="5">
        <v>44743</v>
      </c>
      <c r="B18" s="34">
        <v>900</v>
      </c>
      <c r="C18" s="34">
        <v>648</v>
      </c>
      <c r="D18" s="34">
        <v>558</v>
      </c>
      <c r="E18" s="34">
        <v>540</v>
      </c>
      <c r="F18" s="34">
        <v>540</v>
      </c>
      <c r="G18" s="34">
        <v>486.7</v>
      </c>
      <c r="H18" s="34">
        <v>468</v>
      </c>
      <c r="I18" s="34">
        <v>468</v>
      </c>
      <c r="J18" s="34">
        <v>432</v>
      </c>
      <c r="K18" s="34">
        <v>432</v>
      </c>
      <c r="L18" s="34">
        <v>432</v>
      </c>
      <c r="M18" s="34">
        <v>414</v>
      </c>
      <c r="N18" s="34">
        <v>396</v>
      </c>
      <c r="O18" s="34">
        <v>369</v>
      </c>
      <c r="P18" s="34">
        <v>368.3</v>
      </c>
      <c r="Q18" s="34">
        <v>360</v>
      </c>
      <c r="R18" s="34">
        <v>360</v>
      </c>
      <c r="S18" s="34">
        <v>347.4</v>
      </c>
      <c r="T18" s="34">
        <v>335.9</v>
      </c>
      <c r="U18" s="34">
        <v>306</v>
      </c>
      <c r="V18" s="34">
        <v>306</v>
      </c>
      <c r="W18" s="34">
        <v>304.2</v>
      </c>
      <c r="X18" s="34">
        <v>288</v>
      </c>
      <c r="Y18" s="34">
        <v>288</v>
      </c>
      <c r="Z18" s="34">
        <v>267.8</v>
      </c>
      <c r="AA18" s="34">
        <v>244.8</v>
      </c>
      <c r="AB18" s="34">
        <v>234</v>
      </c>
      <c r="AC18" s="34">
        <v>234</v>
      </c>
      <c r="AD18" s="34">
        <v>225</v>
      </c>
      <c r="AE18" s="34">
        <v>225</v>
      </c>
      <c r="AF18" s="34">
        <v>216</v>
      </c>
      <c r="AG18" s="34">
        <v>216</v>
      </c>
      <c r="AH18" s="34">
        <v>216</v>
      </c>
      <c r="AI18" s="34">
        <v>216</v>
      </c>
      <c r="AJ18" s="34">
        <v>202.7</v>
      </c>
      <c r="AK18" s="34">
        <v>196.2</v>
      </c>
      <c r="AL18" s="34">
        <v>183.6</v>
      </c>
      <c r="AM18" s="34">
        <v>180</v>
      </c>
      <c r="AN18" s="34">
        <v>180</v>
      </c>
      <c r="AO18" s="34">
        <v>178.9</v>
      </c>
      <c r="AP18" s="34">
        <v>147.6</v>
      </c>
      <c r="AQ18" s="34">
        <v>144</v>
      </c>
      <c r="AR18" s="34">
        <v>132.1</v>
      </c>
      <c r="AS18" s="34">
        <v>127.1</v>
      </c>
      <c r="AT18" s="34">
        <v>108</v>
      </c>
      <c r="AU18" s="34">
        <v>108</v>
      </c>
      <c r="AV18" s="34">
        <v>103.7</v>
      </c>
      <c r="AW18" s="34">
        <v>102.6</v>
      </c>
      <c r="AX18" s="34">
        <v>90</v>
      </c>
      <c r="AY18" s="34">
        <v>90</v>
      </c>
      <c r="AZ18" s="34">
        <v>90</v>
      </c>
      <c r="BA18" s="34">
        <v>81</v>
      </c>
      <c r="BB18" s="34">
        <v>72</v>
      </c>
      <c r="BC18" s="34">
        <v>72</v>
      </c>
      <c r="BD18" s="34">
        <v>72</v>
      </c>
      <c r="BE18" s="34">
        <v>68.400000000000006</v>
      </c>
      <c r="BF18" s="34">
        <v>60.1</v>
      </c>
      <c r="BG18" s="34">
        <v>54</v>
      </c>
      <c r="BH18" s="34">
        <v>54</v>
      </c>
      <c r="BI18" s="34">
        <v>36</v>
      </c>
      <c r="BJ18" s="34">
        <v>36</v>
      </c>
      <c r="BK18" s="34">
        <v>36</v>
      </c>
      <c r="BL18" s="34">
        <v>36</v>
      </c>
      <c r="BM18" s="34">
        <v>34.200000000000003</v>
      </c>
      <c r="BN18" s="34">
        <v>28.8</v>
      </c>
      <c r="BO18" s="34">
        <v>18</v>
      </c>
      <c r="BP18" s="34">
        <v>18</v>
      </c>
      <c r="BQ18" s="34">
        <v>0</v>
      </c>
      <c r="BR18" s="17">
        <f t="shared" si="0"/>
        <v>15783.100000000002</v>
      </c>
    </row>
    <row r="19" spans="1:70" x14ac:dyDescent="0.25">
      <c r="A19" s="5">
        <v>44774</v>
      </c>
      <c r="B19" s="34">
        <v>900</v>
      </c>
      <c r="C19" s="34">
        <v>648</v>
      </c>
      <c r="D19" s="34">
        <v>558</v>
      </c>
      <c r="E19" s="34">
        <v>540</v>
      </c>
      <c r="F19" s="34">
        <v>540</v>
      </c>
      <c r="G19" s="34">
        <v>486.7</v>
      </c>
      <c r="H19" s="34">
        <v>468</v>
      </c>
      <c r="I19" s="34">
        <v>468</v>
      </c>
      <c r="J19" s="34">
        <v>432</v>
      </c>
      <c r="K19" s="34">
        <v>432</v>
      </c>
      <c r="L19" s="34">
        <v>432</v>
      </c>
      <c r="M19" s="34">
        <v>414</v>
      </c>
      <c r="N19" s="34">
        <v>396</v>
      </c>
      <c r="O19" s="34">
        <v>369</v>
      </c>
      <c r="P19" s="34">
        <v>368.3</v>
      </c>
      <c r="Q19" s="34">
        <v>360</v>
      </c>
      <c r="R19" s="34">
        <v>360</v>
      </c>
      <c r="S19" s="34">
        <v>347.4</v>
      </c>
      <c r="T19" s="34">
        <v>335.9</v>
      </c>
      <c r="U19" s="34">
        <v>306</v>
      </c>
      <c r="V19" s="34">
        <v>306</v>
      </c>
      <c r="W19" s="34">
        <v>304.2</v>
      </c>
      <c r="X19" s="34">
        <v>288</v>
      </c>
      <c r="Y19" s="34">
        <v>288</v>
      </c>
      <c r="Z19" s="34">
        <v>267.8</v>
      </c>
      <c r="AA19" s="34">
        <v>244.8</v>
      </c>
      <c r="AB19" s="34">
        <v>234</v>
      </c>
      <c r="AC19" s="34">
        <v>234</v>
      </c>
      <c r="AD19" s="34">
        <v>225</v>
      </c>
      <c r="AE19" s="34">
        <v>225</v>
      </c>
      <c r="AF19" s="34">
        <v>216</v>
      </c>
      <c r="AG19" s="34">
        <v>216</v>
      </c>
      <c r="AH19" s="34">
        <v>216</v>
      </c>
      <c r="AI19" s="34">
        <v>216</v>
      </c>
      <c r="AJ19" s="34">
        <v>202.7</v>
      </c>
      <c r="AK19" s="34">
        <v>196.2</v>
      </c>
      <c r="AL19" s="34">
        <v>183.6</v>
      </c>
      <c r="AM19" s="34">
        <v>180</v>
      </c>
      <c r="AN19" s="34">
        <v>180</v>
      </c>
      <c r="AO19" s="34">
        <v>178.9</v>
      </c>
      <c r="AP19" s="34">
        <v>147.6</v>
      </c>
      <c r="AQ19" s="34">
        <v>144</v>
      </c>
      <c r="AR19" s="34">
        <v>132.1</v>
      </c>
      <c r="AS19" s="34">
        <v>127.1</v>
      </c>
      <c r="AT19" s="34">
        <v>108</v>
      </c>
      <c r="AU19" s="34">
        <v>108</v>
      </c>
      <c r="AV19" s="34">
        <v>103.7</v>
      </c>
      <c r="AW19" s="34">
        <v>102.6</v>
      </c>
      <c r="AX19" s="34">
        <v>90</v>
      </c>
      <c r="AY19" s="34">
        <v>90</v>
      </c>
      <c r="AZ19" s="34">
        <v>90</v>
      </c>
      <c r="BA19" s="34">
        <v>81</v>
      </c>
      <c r="BB19" s="34">
        <v>72</v>
      </c>
      <c r="BC19" s="34">
        <v>72</v>
      </c>
      <c r="BD19" s="34">
        <v>72</v>
      </c>
      <c r="BE19" s="34">
        <v>68.400000000000006</v>
      </c>
      <c r="BF19" s="34">
        <v>60.1</v>
      </c>
      <c r="BG19" s="34">
        <v>54</v>
      </c>
      <c r="BH19" s="34">
        <v>54</v>
      </c>
      <c r="BI19" s="34">
        <v>36</v>
      </c>
      <c r="BJ19" s="34">
        <v>36</v>
      </c>
      <c r="BK19" s="34">
        <v>36</v>
      </c>
      <c r="BL19" s="34">
        <v>36</v>
      </c>
      <c r="BM19" s="34">
        <v>34.200000000000003</v>
      </c>
      <c r="BN19" s="34">
        <v>28.8</v>
      </c>
      <c r="BO19" s="34">
        <v>18</v>
      </c>
      <c r="BP19" s="34">
        <v>18</v>
      </c>
      <c r="BQ19" s="34">
        <v>0</v>
      </c>
      <c r="BR19" s="17">
        <f t="shared" si="0"/>
        <v>15783.100000000002</v>
      </c>
    </row>
    <row r="20" spans="1:70" x14ac:dyDescent="0.25">
      <c r="A20" s="5">
        <v>44805</v>
      </c>
      <c r="B20" s="34">
        <v>900</v>
      </c>
      <c r="C20" s="34">
        <v>648</v>
      </c>
      <c r="D20" s="34">
        <v>558</v>
      </c>
      <c r="E20" s="34">
        <v>540</v>
      </c>
      <c r="F20" s="34">
        <v>540</v>
      </c>
      <c r="G20" s="34">
        <v>486.7</v>
      </c>
      <c r="H20" s="34">
        <v>468</v>
      </c>
      <c r="I20" s="34">
        <v>468</v>
      </c>
      <c r="J20" s="34">
        <v>432</v>
      </c>
      <c r="K20" s="34">
        <v>432</v>
      </c>
      <c r="L20" s="34">
        <v>432</v>
      </c>
      <c r="M20" s="34">
        <v>414</v>
      </c>
      <c r="N20" s="34">
        <v>396</v>
      </c>
      <c r="O20" s="34">
        <v>369</v>
      </c>
      <c r="P20" s="34">
        <v>368.3</v>
      </c>
      <c r="Q20" s="34">
        <v>360</v>
      </c>
      <c r="R20" s="34">
        <v>360</v>
      </c>
      <c r="S20" s="34">
        <v>347.4</v>
      </c>
      <c r="T20" s="34">
        <v>335.9</v>
      </c>
      <c r="U20" s="34">
        <v>306</v>
      </c>
      <c r="V20" s="34">
        <v>306</v>
      </c>
      <c r="W20" s="34">
        <v>304.2</v>
      </c>
      <c r="X20" s="34">
        <v>288</v>
      </c>
      <c r="Y20" s="34">
        <v>288</v>
      </c>
      <c r="Z20" s="34">
        <v>267.8</v>
      </c>
      <c r="AA20" s="34">
        <v>244.8</v>
      </c>
      <c r="AB20" s="34">
        <v>234</v>
      </c>
      <c r="AC20" s="34">
        <v>234</v>
      </c>
      <c r="AD20" s="34">
        <v>225</v>
      </c>
      <c r="AE20" s="34">
        <v>225</v>
      </c>
      <c r="AF20" s="34">
        <v>216</v>
      </c>
      <c r="AG20" s="34">
        <v>216</v>
      </c>
      <c r="AH20" s="34">
        <v>216</v>
      </c>
      <c r="AI20" s="34">
        <v>216</v>
      </c>
      <c r="AJ20" s="34">
        <v>202.7</v>
      </c>
      <c r="AK20" s="34">
        <v>196.2</v>
      </c>
      <c r="AL20" s="34">
        <v>183.6</v>
      </c>
      <c r="AM20" s="34">
        <v>180</v>
      </c>
      <c r="AN20" s="34">
        <v>180</v>
      </c>
      <c r="AO20" s="34">
        <v>178.9</v>
      </c>
      <c r="AP20" s="34">
        <v>147.6</v>
      </c>
      <c r="AQ20" s="34">
        <v>144</v>
      </c>
      <c r="AR20" s="34">
        <v>132.1</v>
      </c>
      <c r="AS20" s="34">
        <v>127.1</v>
      </c>
      <c r="AT20" s="34">
        <v>108</v>
      </c>
      <c r="AU20" s="34">
        <v>108</v>
      </c>
      <c r="AV20" s="34">
        <v>103.7</v>
      </c>
      <c r="AW20" s="34">
        <v>102.6</v>
      </c>
      <c r="AX20" s="34">
        <v>90</v>
      </c>
      <c r="AY20" s="34">
        <v>90</v>
      </c>
      <c r="AZ20" s="34">
        <v>90</v>
      </c>
      <c r="BA20" s="34">
        <v>81</v>
      </c>
      <c r="BB20" s="34">
        <v>72</v>
      </c>
      <c r="BC20" s="34">
        <v>72</v>
      </c>
      <c r="BD20" s="34">
        <v>72</v>
      </c>
      <c r="BE20" s="34">
        <v>68.400000000000006</v>
      </c>
      <c r="BF20" s="34">
        <v>60.1</v>
      </c>
      <c r="BG20" s="34">
        <v>54</v>
      </c>
      <c r="BH20" s="34">
        <v>54</v>
      </c>
      <c r="BI20" s="34">
        <v>36</v>
      </c>
      <c r="BJ20" s="34">
        <v>36</v>
      </c>
      <c r="BK20" s="34">
        <v>36</v>
      </c>
      <c r="BL20" s="34">
        <v>36</v>
      </c>
      <c r="BM20" s="34">
        <v>34.200000000000003</v>
      </c>
      <c r="BN20" s="34">
        <v>28.8</v>
      </c>
      <c r="BO20" s="34">
        <v>18</v>
      </c>
      <c r="BP20" s="34">
        <v>18</v>
      </c>
      <c r="BQ20" s="34">
        <v>0</v>
      </c>
      <c r="BR20" s="17">
        <f t="shared" si="0"/>
        <v>15783.100000000002</v>
      </c>
    </row>
    <row r="21" spans="1:70" x14ac:dyDescent="0.25">
      <c r="A21" s="5">
        <v>44835</v>
      </c>
      <c r="B21" s="34">
        <v>900</v>
      </c>
      <c r="C21" s="34">
        <v>648</v>
      </c>
      <c r="D21" s="34">
        <v>558</v>
      </c>
      <c r="E21" s="34">
        <v>540</v>
      </c>
      <c r="F21" s="34">
        <v>540</v>
      </c>
      <c r="G21" s="34">
        <v>486.7</v>
      </c>
      <c r="H21" s="34">
        <v>468</v>
      </c>
      <c r="I21" s="34">
        <v>468</v>
      </c>
      <c r="J21" s="34">
        <v>432</v>
      </c>
      <c r="K21" s="34">
        <v>432</v>
      </c>
      <c r="L21" s="34">
        <v>432</v>
      </c>
      <c r="M21" s="34">
        <v>414</v>
      </c>
      <c r="N21" s="34">
        <v>396</v>
      </c>
      <c r="O21" s="34">
        <v>369</v>
      </c>
      <c r="P21" s="34">
        <v>368.3</v>
      </c>
      <c r="Q21" s="34">
        <v>360</v>
      </c>
      <c r="R21" s="34">
        <v>360</v>
      </c>
      <c r="S21" s="34">
        <v>347.4</v>
      </c>
      <c r="T21" s="34">
        <v>335.9</v>
      </c>
      <c r="U21" s="34">
        <v>306</v>
      </c>
      <c r="V21" s="34">
        <v>306</v>
      </c>
      <c r="W21" s="34">
        <v>304.2</v>
      </c>
      <c r="X21" s="34">
        <v>288</v>
      </c>
      <c r="Y21" s="34">
        <v>288</v>
      </c>
      <c r="Z21" s="34">
        <v>267.8</v>
      </c>
      <c r="AA21" s="34">
        <v>244.8</v>
      </c>
      <c r="AB21" s="34">
        <v>234</v>
      </c>
      <c r="AC21" s="34">
        <v>234</v>
      </c>
      <c r="AD21" s="34">
        <v>225</v>
      </c>
      <c r="AE21" s="34">
        <v>225</v>
      </c>
      <c r="AF21" s="34">
        <v>216</v>
      </c>
      <c r="AG21" s="34">
        <v>216</v>
      </c>
      <c r="AH21" s="34">
        <v>216</v>
      </c>
      <c r="AI21" s="34">
        <v>216</v>
      </c>
      <c r="AJ21" s="34">
        <v>202.7</v>
      </c>
      <c r="AK21" s="34">
        <v>196.2</v>
      </c>
      <c r="AL21" s="34">
        <v>183.6</v>
      </c>
      <c r="AM21" s="34">
        <v>180</v>
      </c>
      <c r="AN21" s="34">
        <v>180</v>
      </c>
      <c r="AO21" s="34">
        <v>178.9</v>
      </c>
      <c r="AP21" s="34">
        <v>147.6</v>
      </c>
      <c r="AQ21" s="34">
        <v>144</v>
      </c>
      <c r="AR21" s="34">
        <v>132.1</v>
      </c>
      <c r="AS21" s="34">
        <v>127.1</v>
      </c>
      <c r="AT21" s="34">
        <v>108</v>
      </c>
      <c r="AU21" s="34">
        <v>108</v>
      </c>
      <c r="AV21" s="34">
        <v>103.7</v>
      </c>
      <c r="AW21" s="34">
        <v>102.6</v>
      </c>
      <c r="AX21" s="34">
        <v>90</v>
      </c>
      <c r="AY21" s="34">
        <v>90</v>
      </c>
      <c r="AZ21" s="34">
        <v>90</v>
      </c>
      <c r="BA21" s="34">
        <v>81</v>
      </c>
      <c r="BB21" s="34">
        <v>72</v>
      </c>
      <c r="BC21" s="34">
        <v>72</v>
      </c>
      <c r="BD21" s="34">
        <v>72</v>
      </c>
      <c r="BE21" s="34">
        <v>68.400000000000006</v>
      </c>
      <c r="BF21" s="34">
        <v>60.1</v>
      </c>
      <c r="BG21" s="34">
        <v>54</v>
      </c>
      <c r="BH21" s="34">
        <v>54</v>
      </c>
      <c r="BI21" s="34">
        <v>36</v>
      </c>
      <c r="BJ21" s="34">
        <v>36</v>
      </c>
      <c r="BK21" s="34">
        <v>36</v>
      </c>
      <c r="BL21" s="34">
        <v>36</v>
      </c>
      <c r="BM21" s="34">
        <v>34.200000000000003</v>
      </c>
      <c r="BN21" s="34">
        <v>28.8</v>
      </c>
      <c r="BO21" s="34">
        <v>18</v>
      </c>
      <c r="BP21" s="34">
        <v>18</v>
      </c>
      <c r="BQ21" s="34">
        <v>0</v>
      </c>
      <c r="BR21" s="17">
        <f t="shared" si="0"/>
        <v>15783.100000000002</v>
      </c>
    </row>
    <row r="22" spans="1:70" x14ac:dyDescent="0.25">
      <c r="A22" s="5">
        <v>44866</v>
      </c>
      <c r="B22" s="34">
        <v>900</v>
      </c>
      <c r="C22" s="34">
        <v>648</v>
      </c>
      <c r="D22" s="34">
        <v>558</v>
      </c>
      <c r="E22" s="34">
        <v>540</v>
      </c>
      <c r="F22" s="34">
        <v>540</v>
      </c>
      <c r="G22" s="34">
        <v>486.7</v>
      </c>
      <c r="H22" s="34">
        <v>468</v>
      </c>
      <c r="I22" s="34">
        <v>468</v>
      </c>
      <c r="J22" s="34">
        <v>432</v>
      </c>
      <c r="K22" s="34">
        <v>432</v>
      </c>
      <c r="L22" s="34">
        <v>432</v>
      </c>
      <c r="M22" s="34">
        <v>414</v>
      </c>
      <c r="N22" s="34">
        <v>396</v>
      </c>
      <c r="O22" s="34">
        <v>369</v>
      </c>
      <c r="P22" s="34">
        <v>368.3</v>
      </c>
      <c r="Q22" s="34">
        <v>360</v>
      </c>
      <c r="R22" s="34">
        <v>360</v>
      </c>
      <c r="S22" s="34">
        <v>347.4</v>
      </c>
      <c r="T22" s="34">
        <v>335.9</v>
      </c>
      <c r="U22" s="34">
        <v>306</v>
      </c>
      <c r="V22" s="34">
        <v>306</v>
      </c>
      <c r="W22" s="34">
        <v>304.2</v>
      </c>
      <c r="X22" s="34">
        <v>288</v>
      </c>
      <c r="Y22" s="34">
        <v>288</v>
      </c>
      <c r="Z22" s="34">
        <v>267.8</v>
      </c>
      <c r="AA22" s="34">
        <v>244.8</v>
      </c>
      <c r="AB22" s="34">
        <v>234</v>
      </c>
      <c r="AC22" s="34">
        <v>234</v>
      </c>
      <c r="AD22" s="34">
        <v>225</v>
      </c>
      <c r="AE22" s="34">
        <v>225</v>
      </c>
      <c r="AF22" s="34">
        <v>216</v>
      </c>
      <c r="AG22" s="34">
        <v>216</v>
      </c>
      <c r="AH22" s="34">
        <v>216</v>
      </c>
      <c r="AI22" s="34">
        <v>216</v>
      </c>
      <c r="AJ22" s="34">
        <v>202.7</v>
      </c>
      <c r="AK22" s="34">
        <v>196.2</v>
      </c>
      <c r="AL22" s="34">
        <v>183.6</v>
      </c>
      <c r="AM22" s="34">
        <v>180</v>
      </c>
      <c r="AN22" s="34">
        <v>180</v>
      </c>
      <c r="AO22" s="34">
        <v>178.9</v>
      </c>
      <c r="AP22" s="34">
        <v>147.6</v>
      </c>
      <c r="AQ22" s="34">
        <v>144</v>
      </c>
      <c r="AR22" s="34">
        <v>132.1</v>
      </c>
      <c r="AS22" s="34">
        <v>127.1</v>
      </c>
      <c r="AT22" s="34">
        <v>108</v>
      </c>
      <c r="AU22" s="34">
        <v>108</v>
      </c>
      <c r="AV22" s="34">
        <v>103.7</v>
      </c>
      <c r="AW22" s="34">
        <v>102.6</v>
      </c>
      <c r="AX22" s="34">
        <v>90</v>
      </c>
      <c r="AY22" s="34">
        <v>90</v>
      </c>
      <c r="AZ22" s="34">
        <v>90</v>
      </c>
      <c r="BA22" s="34">
        <v>81</v>
      </c>
      <c r="BB22" s="34">
        <v>72</v>
      </c>
      <c r="BC22" s="34">
        <v>72</v>
      </c>
      <c r="BD22" s="34">
        <v>72</v>
      </c>
      <c r="BE22" s="34">
        <v>68.400000000000006</v>
      </c>
      <c r="BF22" s="34">
        <v>60.1</v>
      </c>
      <c r="BG22" s="34">
        <v>54</v>
      </c>
      <c r="BH22" s="34">
        <v>54</v>
      </c>
      <c r="BI22" s="34">
        <v>36</v>
      </c>
      <c r="BJ22" s="34">
        <v>36</v>
      </c>
      <c r="BK22" s="34">
        <v>36</v>
      </c>
      <c r="BL22" s="34">
        <v>36</v>
      </c>
      <c r="BM22" s="34">
        <v>34.200000000000003</v>
      </c>
      <c r="BN22" s="34">
        <v>28.8</v>
      </c>
      <c r="BO22" s="34">
        <v>18</v>
      </c>
      <c r="BP22" s="34">
        <v>18</v>
      </c>
      <c r="BQ22" s="34">
        <v>0</v>
      </c>
      <c r="BR22" s="17">
        <f t="shared" si="0"/>
        <v>15783.100000000002</v>
      </c>
    </row>
    <row r="23" spans="1:70" x14ac:dyDescent="0.25">
      <c r="A23" s="5">
        <v>44896</v>
      </c>
      <c r="B23" s="34">
        <v>900</v>
      </c>
      <c r="C23" s="34">
        <v>648</v>
      </c>
      <c r="D23" s="34">
        <v>558</v>
      </c>
      <c r="E23" s="34">
        <v>540</v>
      </c>
      <c r="F23" s="34">
        <v>540</v>
      </c>
      <c r="G23" s="34">
        <v>486.7</v>
      </c>
      <c r="H23" s="34">
        <v>468</v>
      </c>
      <c r="I23" s="34">
        <v>468</v>
      </c>
      <c r="J23" s="34">
        <v>432</v>
      </c>
      <c r="K23" s="34">
        <v>432</v>
      </c>
      <c r="L23" s="34">
        <v>432</v>
      </c>
      <c r="M23" s="34">
        <v>414</v>
      </c>
      <c r="N23" s="34">
        <v>396</v>
      </c>
      <c r="O23" s="34">
        <v>369</v>
      </c>
      <c r="P23" s="34">
        <v>368.3</v>
      </c>
      <c r="Q23" s="34">
        <v>360</v>
      </c>
      <c r="R23" s="34">
        <v>360</v>
      </c>
      <c r="S23" s="34">
        <v>347.4</v>
      </c>
      <c r="T23" s="34">
        <v>335.9</v>
      </c>
      <c r="U23" s="34">
        <v>306</v>
      </c>
      <c r="V23" s="34">
        <v>306</v>
      </c>
      <c r="W23" s="34">
        <v>304.2</v>
      </c>
      <c r="X23" s="34">
        <v>288</v>
      </c>
      <c r="Y23" s="34">
        <v>288</v>
      </c>
      <c r="Z23" s="34">
        <v>267.8</v>
      </c>
      <c r="AA23" s="34">
        <v>244.8</v>
      </c>
      <c r="AB23" s="34">
        <v>234</v>
      </c>
      <c r="AC23" s="34">
        <v>234</v>
      </c>
      <c r="AD23" s="34">
        <v>225</v>
      </c>
      <c r="AE23" s="34">
        <v>225</v>
      </c>
      <c r="AF23" s="34">
        <v>216</v>
      </c>
      <c r="AG23" s="34">
        <v>216</v>
      </c>
      <c r="AH23" s="34">
        <v>216</v>
      </c>
      <c r="AI23" s="34">
        <v>216</v>
      </c>
      <c r="AJ23" s="34">
        <v>202.7</v>
      </c>
      <c r="AK23" s="34">
        <v>196.2</v>
      </c>
      <c r="AL23" s="34">
        <v>183.6</v>
      </c>
      <c r="AM23" s="34">
        <v>180</v>
      </c>
      <c r="AN23" s="34">
        <v>180</v>
      </c>
      <c r="AO23" s="34">
        <v>178.9</v>
      </c>
      <c r="AP23" s="34">
        <v>147.6</v>
      </c>
      <c r="AQ23" s="34">
        <v>144</v>
      </c>
      <c r="AR23" s="34">
        <v>132.1</v>
      </c>
      <c r="AS23" s="34">
        <v>127.1</v>
      </c>
      <c r="AT23" s="34">
        <v>108</v>
      </c>
      <c r="AU23" s="34">
        <v>108</v>
      </c>
      <c r="AV23" s="34">
        <v>103.7</v>
      </c>
      <c r="AW23" s="34">
        <v>102.6</v>
      </c>
      <c r="AX23" s="34">
        <v>90</v>
      </c>
      <c r="AY23" s="34">
        <v>90</v>
      </c>
      <c r="AZ23" s="34">
        <v>90</v>
      </c>
      <c r="BA23" s="34">
        <v>81</v>
      </c>
      <c r="BB23" s="34">
        <v>72</v>
      </c>
      <c r="BC23" s="34">
        <v>72</v>
      </c>
      <c r="BD23" s="34">
        <v>72</v>
      </c>
      <c r="BE23" s="34">
        <v>68.400000000000006</v>
      </c>
      <c r="BF23" s="34">
        <v>60.1</v>
      </c>
      <c r="BG23" s="34">
        <v>54</v>
      </c>
      <c r="BH23" s="34">
        <v>54</v>
      </c>
      <c r="BI23" s="34">
        <v>36</v>
      </c>
      <c r="BJ23" s="34">
        <v>36</v>
      </c>
      <c r="BK23" s="34">
        <v>36</v>
      </c>
      <c r="BL23" s="34">
        <v>36</v>
      </c>
      <c r="BM23" s="34">
        <v>34.200000000000003</v>
      </c>
      <c r="BN23" s="34">
        <v>28.8</v>
      </c>
      <c r="BO23" s="34">
        <v>18</v>
      </c>
      <c r="BP23" s="34">
        <v>18</v>
      </c>
      <c r="BQ23" s="34">
        <v>0</v>
      </c>
      <c r="BR23" s="17">
        <f t="shared" si="0"/>
        <v>15783.100000000002</v>
      </c>
    </row>
    <row r="24" spans="1:70" x14ac:dyDescent="0.25">
      <c r="A24" s="5">
        <v>44927</v>
      </c>
      <c r="B24" s="34">
        <v>900</v>
      </c>
      <c r="C24" s="34">
        <v>648</v>
      </c>
      <c r="D24" s="34">
        <v>558</v>
      </c>
      <c r="E24" s="34">
        <v>540</v>
      </c>
      <c r="F24" s="34">
        <v>540</v>
      </c>
      <c r="G24" s="34">
        <v>486.7</v>
      </c>
      <c r="H24" s="34">
        <v>468</v>
      </c>
      <c r="I24" s="34">
        <v>468</v>
      </c>
      <c r="J24" s="34">
        <v>432</v>
      </c>
      <c r="K24" s="34">
        <v>432</v>
      </c>
      <c r="L24" s="34">
        <v>432</v>
      </c>
      <c r="M24" s="34">
        <v>414</v>
      </c>
      <c r="N24" s="34">
        <v>396</v>
      </c>
      <c r="O24" s="34">
        <v>369</v>
      </c>
      <c r="P24" s="34">
        <v>368.3</v>
      </c>
      <c r="Q24" s="34">
        <v>360</v>
      </c>
      <c r="R24" s="34">
        <v>360</v>
      </c>
      <c r="S24" s="34">
        <v>347.4</v>
      </c>
      <c r="T24" s="34">
        <v>335.9</v>
      </c>
      <c r="U24" s="34">
        <v>306</v>
      </c>
      <c r="V24" s="34">
        <v>306</v>
      </c>
      <c r="W24" s="34">
        <v>304.2</v>
      </c>
      <c r="X24" s="34">
        <v>288</v>
      </c>
      <c r="Y24" s="34">
        <v>288</v>
      </c>
      <c r="Z24" s="34">
        <v>267.8</v>
      </c>
      <c r="AA24" s="34">
        <v>244.8</v>
      </c>
      <c r="AB24" s="34">
        <v>234</v>
      </c>
      <c r="AC24" s="34">
        <v>234</v>
      </c>
      <c r="AD24" s="34">
        <v>225</v>
      </c>
      <c r="AE24" s="34">
        <v>225</v>
      </c>
      <c r="AF24" s="34">
        <v>216</v>
      </c>
      <c r="AG24" s="34">
        <v>216</v>
      </c>
      <c r="AH24" s="34">
        <v>216</v>
      </c>
      <c r="AI24" s="34">
        <v>216</v>
      </c>
      <c r="AJ24" s="34">
        <v>202.7</v>
      </c>
      <c r="AK24" s="34">
        <v>196.2</v>
      </c>
      <c r="AL24" s="34">
        <v>183.6</v>
      </c>
      <c r="AM24" s="34">
        <v>180</v>
      </c>
      <c r="AN24" s="34">
        <v>180</v>
      </c>
      <c r="AO24" s="34">
        <v>178.9</v>
      </c>
      <c r="AP24" s="34">
        <v>147.6</v>
      </c>
      <c r="AQ24" s="34">
        <v>144</v>
      </c>
      <c r="AR24" s="34">
        <v>132.1</v>
      </c>
      <c r="AS24" s="34">
        <v>127.1</v>
      </c>
      <c r="AT24" s="34">
        <v>108</v>
      </c>
      <c r="AU24" s="34">
        <v>108</v>
      </c>
      <c r="AV24" s="34">
        <v>103.7</v>
      </c>
      <c r="AW24" s="34">
        <v>102.6</v>
      </c>
      <c r="AX24" s="34">
        <v>90</v>
      </c>
      <c r="AY24" s="34">
        <v>90</v>
      </c>
      <c r="AZ24" s="34">
        <v>90</v>
      </c>
      <c r="BA24" s="34">
        <v>81</v>
      </c>
      <c r="BB24" s="34">
        <v>72</v>
      </c>
      <c r="BC24" s="34">
        <v>72</v>
      </c>
      <c r="BD24" s="34">
        <v>72</v>
      </c>
      <c r="BE24" s="34">
        <v>68.400000000000006</v>
      </c>
      <c r="BF24" s="34">
        <v>60.1</v>
      </c>
      <c r="BG24" s="34">
        <v>54</v>
      </c>
      <c r="BH24" s="34">
        <v>54</v>
      </c>
      <c r="BI24" s="34">
        <v>36</v>
      </c>
      <c r="BJ24" s="34">
        <v>36</v>
      </c>
      <c r="BK24" s="34">
        <v>36</v>
      </c>
      <c r="BL24" s="34">
        <v>36</v>
      </c>
      <c r="BM24" s="34">
        <v>34.200000000000003</v>
      </c>
      <c r="BN24" s="34">
        <v>28.8</v>
      </c>
      <c r="BO24" s="34">
        <v>18</v>
      </c>
      <c r="BP24" s="34">
        <v>18</v>
      </c>
      <c r="BQ24" s="34">
        <v>0</v>
      </c>
      <c r="BR24" s="17">
        <f t="shared" si="0"/>
        <v>15783.100000000002</v>
      </c>
    </row>
    <row r="25" spans="1:70" x14ac:dyDescent="0.25">
      <c r="A25" s="5">
        <v>44958</v>
      </c>
      <c r="B25" s="34">
        <v>900</v>
      </c>
      <c r="C25" s="34">
        <v>648</v>
      </c>
      <c r="D25" s="34">
        <v>558</v>
      </c>
      <c r="E25" s="34">
        <v>540</v>
      </c>
      <c r="F25" s="34">
        <v>540</v>
      </c>
      <c r="G25" s="34">
        <v>486.7</v>
      </c>
      <c r="H25" s="34">
        <v>468</v>
      </c>
      <c r="I25" s="34">
        <v>468</v>
      </c>
      <c r="J25" s="34">
        <v>432</v>
      </c>
      <c r="K25" s="34">
        <v>432</v>
      </c>
      <c r="L25" s="34">
        <v>432</v>
      </c>
      <c r="M25" s="34">
        <v>414</v>
      </c>
      <c r="N25" s="34">
        <v>396</v>
      </c>
      <c r="O25" s="34">
        <v>369</v>
      </c>
      <c r="P25" s="34">
        <v>368.3</v>
      </c>
      <c r="Q25" s="34">
        <v>360</v>
      </c>
      <c r="R25" s="34">
        <v>360</v>
      </c>
      <c r="S25" s="34">
        <v>347.4</v>
      </c>
      <c r="T25" s="34">
        <v>335.9</v>
      </c>
      <c r="U25" s="34">
        <v>306</v>
      </c>
      <c r="V25" s="34">
        <v>306</v>
      </c>
      <c r="W25" s="34">
        <v>304.2</v>
      </c>
      <c r="X25" s="34">
        <v>288</v>
      </c>
      <c r="Y25" s="34">
        <v>288</v>
      </c>
      <c r="Z25" s="34">
        <v>267.8</v>
      </c>
      <c r="AA25" s="34">
        <v>244.8</v>
      </c>
      <c r="AB25" s="34">
        <v>234</v>
      </c>
      <c r="AC25" s="34">
        <v>234</v>
      </c>
      <c r="AD25" s="34">
        <v>225</v>
      </c>
      <c r="AE25" s="34">
        <v>225</v>
      </c>
      <c r="AF25" s="34">
        <v>216</v>
      </c>
      <c r="AG25" s="34">
        <v>216</v>
      </c>
      <c r="AH25" s="34">
        <v>216</v>
      </c>
      <c r="AI25" s="34">
        <v>216</v>
      </c>
      <c r="AJ25" s="34">
        <v>202.7</v>
      </c>
      <c r="AK25" s="34">
        <v>196.2</v>
      </c>
      <c r="AL25" s="34">
        <v>183.6</v>
      </c>
      <c r="AM25" s="34">
        <v>180</v>
      </c>
      <c r="AN25" s="34">
        <v>180</v>
      </c>
      <c r="AO25" s="34">
        <v>178.9</v>
      </c>
      <c r="AP25" s="34">
        <v>147.6</v>
      </c>
      <c r="AQ25" s="34">
        <v>144</v>
      </c>
      <c r="AR25" s="34">
        <v>132.1</v>
      </c>
      <c r="AS25" s="34">
        <v>127.1</v>
      </c>
      <c r="AT25" s="34">
        <v>108</v>
      </c>
      <c r="AU25" s="34">
        <v>108</v>
      </c>
      <c r="AV25" s="34">
        <v>103.7</v>
      </c>
      <c r="AW25" s="34">
        <v>102.6</v>
      </c>
      <c r="AX25" s="34">
        <v>90</v>
      </c>
      <c r="AY25" s="34">
        <v>90</v>
      </c>
      <c r="AZ25" s="34">
        <v>90</v>
      </c>
      <c r="BA25" s="34">
        <v>81</v>
      </c>
      <c r="BB25" s="34">
        <v>72</v>
      </c>
      <c r="BC25" s="34">
        <v>72</v>
      </c>
      <c r="BD25" s="34">
        <v>72</v>
      </c>
      <c r="BE25" s="34">
        <v>68.400000000000006</v>
      </c>
      <c r="BF25" s="34">
        <v>60.1</v>
      </c>
      <c r="BG25" s="34">
        <v>54</v>
      </c>
      <c r="BH25" s="34">
        <v>54</v>
      </c>
      <c r="BI25" s="34">
        <v>36</v>
      </c>
      <c r="BJ25" s="34">
        <v>36</v>
      </c>
      <c r="BK25" s="34">
        <v>36</v>
      </c>
      <c r="BL25" s="34">
        <v>36</v>
      </c>
      <c r="BM25" s="34">
        <v>34.200000000000003</v>
      </c>
      <c r="BN25" s="34">
        <v>28.8</v>
      </c>
      <c r="BO25" s="34">
        <v>18</v>
      </c>
      <c r="BP25" s="34">
        <v>18</v>
      </c>
      <c r="BQ25" s="34">
        <v>0</v>
      </c>
      <c r="BR25" s="17">
        <f t="shared" si="0"/>
        <v>15783.100000000002</v>
      </c>
    </row>
    <row r="26" spans="1:70" x14ac:dyDescent="0.25">
      <c r="A26" s="5">
        <v>44986</v>
      </c>
      <c r="B26" s="34">
        <v>900</v>
      </c>
      <c r="C26" s="34">
        <v>648</v>
      </c>
      <c r="D26" s="34">
        <v>558</v>
      </c>
      <c r="E26" s="34">
        <v>540</v>
      </c>
      <c r="F26" s="34">
        <v>540</v>
      </c>
      <c r="G26" s="34">
        <v>486.7</v>
      </c>
      <c r="H26" s="34">
        <v>468</v>
      </c>
      <c r="I26" s="34">
        <v>468</v>
      </c>
      <c r="J26" s="34">
        <v>432</v>
      </c>
      <c r="K26" s="34">
        <v>432</v>
      </c>
      <c r="L26" s="34">
        <v>432</v>
      </c>
      <c r="M26" s="34">
        <v>414</v>
      </c>
      <c r="N26" s="34">
        <v>396</v>
      </c>
      <c r="O26" s="34">
        <v>369</v>
      </c>
      <c r="P26" s="34">
        <v>368.3</v>
      </c>
      <c r="Q26" s="34">
        <v>360</v>
      </c>
      <c r="R26" s="34">
        <v>360</v>
      </c>
      <c r="S26" s="34">
        <v>347.4</v>
      </c>
      <c r="T26" s="34">
        <v>335.9</v>
      </c>
      <c r="U26" s="34">
        <v>306</v>
      </c>
      <c r="V26" s="34">
        <v>306</v>
      </c>
      <c r="W26" s="34">
        <v>304.2</v>
      </c>
      <c r="X26" s="34">
        <v>288</v>
      </c>
      <c r="Y26" s="34">
        <v>288</v>
      </c>
      <c r="Z26" s="34">
        <v>267.8</v>
      </c>
      <c r="AA26" s="34">
        <v>244.8</v>
      </c>
      <c r="AB26" s="34">
        <v>234</v>
      </c>
      <c r="AC26" s="34">
        <v>234</v>
      </c>
      <c r="AD26" s="34">
        <v>225</v>
      </c>
      <c r="AE26" s="34">
        <v>225</v>
      </c>
      <c r="AF26" s="34">
        <v>216</v>
      </c>
      <c r="AG26" s="34">
        <v>216</v>
      </c>
      <c r="AH26" s="34">
        <v>216</v>
      </c>
      <c r="AI26" s="34">
        <v>216</v>
      </c>
      <c r="AJ26" s="34">
        <v>202.7</v>
      </c>
      <c r="AK26" s="34">
        <v>196.2</v>
      </c>
      <c r="AL26" s="34">
        <v>183.6</v>
      </c>
      <c r="AM26" s="34">
        <v>180</v>
      </c>
      <c r="AN26" s="34">
        <v>180</v>
      </c>
      <c r="AO26" s="34">
        <v>178.9</v>
      </c>
      <c r="AP26" s="34">
        <v>147.6</v>
      </c>
      <c r="AQ26" s="34">
        <v>144</v>
      </c>
      <c r="AR26" s="34">
        <v>132.1</v>
      </c>
      <c r="AS26" s="34">
        <v>127.1</v>
      </c>
      <c r="AT26" s="34">
        <v>108</v>
      </c>
      <c r="AU26" s="34">
        <v>108</v>
      </c>
      <c r="AV26" s="34">
        <v>103.7</v>
      </c>
      <c r="AW26" s="34">
        <v>102.6</v>
      </c>
      <c r="AX26" s="34">
        <v>90</v>
      </c>
      <c r="AY26" s="34">
        <v>90</v>
      </c>
      <c r="AZ26" s="34">
        <v>90</v>
      </c>
      <c r="BA26" s="34">
        <v>81</v>
      </c>
      <c r="BB26" s="34">
        <v>72</v>
      </c>
      <c r="BC26" s="34">
        <v>72</v>
      </c>
      <c r="BD26" s="34">
        <v>72</v>
      </c>
      <c r="BE26" s="34">
        <v>68.400000000000006</v>
      </c>
      <c r="BF26" s="34">
        <v>60.1</v>
      </c>
      <c r="BG26" s="34">
        <v>54</v>
      </c>
      <c r="BH26" s="34">
        <v>54</v>
      </c>
      <c r="BI26" s="34">
        <v>36</v>
      </c>
      <c r="BJ26" s="34">
        <v>36</v>
      </c>
      <c r="BK26" s="34">
        <v>36</v>
      </c>
      <c r="BL26" s="34">
        <v>36</v>
      </c>
      <c r="BM26" s="34">
        <v>34.200000000000003</v>
      </c>
      <c r="BN26" s="34">
        <v>28.8</v>
      </c>
      <c r="BO26" s="34">
        <v>18</v>
      </c>
      <c r="BP26" s="34">
        <v>18</v>
      </c>
      <c r="BQ26" s="34">
        <v>0</v>
      </c>
      <c r="BR26" s="17">
        <f t="shared" si="0"/>
        <v>15783.100000000002</v>
      </c>
    </row>
    <row r="27" spans="1:70" x14ac:dyDescent="0.25">
      <c r="A27" s="5">
        <v>45017</v>
      </c>
      <c r="B27" s="34">
        <v>900</v>
      </c>
      <c r="C27" s="34">
        <v>648</v>
      </c>
      <c r="D27" s="34">
        <v>558</v>
      </c>
      <c r="E27" s="34">
        <v>540</v>
      </c>
      <c r="F27" s="34">
        <v>540</v>
      </c>
      <c r="G27" s="34">
        <v>486.7</v>
      </c>
      <c r="H27" s="34">
        <v>468</v>
      </c>
      <c r="I27" s="34">
        <v>468</v>
      </c>
      <c r="J27" s="34">
        <v>432</v>
      </c>
      <c r="K27" s="34">
        <v>432</v>
      </c>
      <c r="L27" s="34">
        <v>432</v>
      </c>
      <c r="M27" s="34">
        <v>414</v>
      </c>
      <c r="N27" s="34">
        <v>396</v>
      </c>
      <c r="O27" s="34">
        <v>369</v>
      </c>
      <c r="P27" s="34">
        <v>368.3</v>
      </c>
      <c r="Q27" s="34">
        <v>360</v>
      </c>
      <c r="R27" s="34">
        <v>360</v>
      </c>
      <c r="S27" s="34">
        <v>347.4</v>
      </c>
      <c r="T27" s="34">
        <v>335.9</v>
      </c>
      <c r="U27" s="34">
        <v>306</v>
      </c>
      <c r="V27" s="34">
        <v>306</v>
      </c>
      <c r="W27" s="34">
        <v>304.2</v>
      </c>
      <c r="X27" s="34">
        <v>288</v>
      </c>
      <c r="Y27" s="34">
        <v>288</v>
      </c>
      <c r="Z27" s="34">
        <v>267.8</v>
      </c>
      <c r="AA27" s="34">
        <v>244.8</v>
      </c>
      <c r="AB27" s="34">
        <v>234</v>
      </c>
      <c r="AC27" s="34">
        <v>234</v>
      </c>
      <c r="AD27" s="34">
        <v>225</v>
      </c>
      <c r="AE27" s="34">
        <v>225</v>
      </c>
      <c r="AF27" s="34">
        <v>216</v>
      </c>
      <c r="AG27" s="34">
        <v>216</v>
      </c>
      <c r="AH27" s="34">
        <v>216</v>
      </c>
      <c r="AI27" s="34">
        <v>216</v>
      </c>
      <c r="AJ27" s="34">
        <v>202.7</v>
      </c>
      <c r="AK27" s="34">
        <v>196.2</v>
      </c>
      <c r="AL27" s="34">
        <v>183.6</v>
      </c>
      <c r="AM27" s="34">
        <v>180</v>
      </c>
      <c r="AN27" s="34">
        <v>180</v>
      </c>
      <c r="AO27" s="34">
        <v>178.9</v>
      </c>
      <c r="AP27" s="34">
        <v>147.6</v>
      </c>
      <c r="AQ27" s="34">
        <v>144</v>
      </c>
      <c r="AR27" s="34">
        <v>132.1</v>
      </c>
      <c r="AS27" s="34">
        <v>127.1</v>
      </c>
      <c r="AT27" s="34">
        <v>108</v>
      </c>
      <c r="AU27" s="34">
        <v>108</v>
      </c>
      <c r="AV27" s="34">
        <v>103.7</v>
      </c>
      <c r="AW27" s="34">
        <v>102.6</v>
      </c>
      <c r="AX27" s="34">
        <v>90</v>
      </c>
      <c r="AY27" s="34">
        <v>90</v>
      </c>
      <c r="AZ27" s="34">
        <v>90</v>
      </c>
      <c r="BA27" s="34">
        <v>81</v>
      </c>
      <c r="BB27" s="34">
        <v>72</v>
      </c>
      <c r="BC27" s="34">
        <v>72</v>
      </c>
      <c r="BD27" s="34">
        <v>72</v>
      </c>
      <c r="BE27" s="34">
        <v>68.400000000000006</v>
      </c>
      <c r="BF27" s="34">
        <v>60.1</v>
      </c>
      <c r="BG27" s="34">
        <v>54</v>
      </c>
      <c r="BH27" s="34">
        <v>54</v>
      </c>
      <c r="BI27" s="34">
        <v>36</v>
      </c>
      <c r="BJ27" s="34">
        <v>36</v>
      </c>
      <c r="BK27" s="34">
        <v>36</v>
      </c>
      <c r="BL27" s="34">
        <v>36</v>
      </c>
      <c r="BM27" s="34">
        <v>34.200000000000003</v>
      </c>
      <c r="BN27" s="34">
        <v>28.8</v>
      </c>
      <c r="BO27" s="34">
        <v>18</v>
      </c>
      <c r="BP27" s="34">
        <v>18</v>
      </c>
      <c r="BQ27" s="34">
        <v>0</v>
      </c>
      <c r="BR27" s="17">
        <f t="shared" si="0"/>
        <v>15783.100000000002</v>
      </c>
    </row>
    <row r="28" spans="1:70" x14ac:dyDescent="0.25">
      <c r="A28" s="5">
        <v>45047</v>
      </c>
      <c r="B28" s="34">
        <v>900</v>
      </c>
      <c r="C28" s="34">
        <v>648</v>
      </c>
      <c r="D28" s="34">
        <v>558</v>
      </c>
      <c r="E28" s="34">
        <v>540</v>
      </c>
      <c r="F28" s="34">
        <v>540</v>
      </c>
      <c r="G28" s="34">
        <v>486.7</v>
      </c>
      <c r="H28" s="34">
        <v>468</v>
      </c>
      <c r="I28" s="34">
        <v>468</v>
      </c>
      <c r="J28" s="34">
        <v>432</v>
      </c>
      <c r="K28" s="34">
        <v>432</v>
      </c>
      <c r="L28" s="34">
        <v>432</v>
      </c>
      <c r="M28" s="34">
        <v>414</v>
      </c>
      <c r="N28" s="34">
        <v>396</v>
      </c>
      <c r="O28" s="34">
        <v>369</v>
      </c>
      <c r="P28" s="34">
        <v>368.3</v>
      </c>
      <c r="Q28" s="34">
        <v>360</v>
      </c>
      <c r="R28" s="34">
        <v>360</v>
      </c>
      <c r="S28" s="34">
        <v>347.4</v>
      </c>
      <c r="T28" s="34">
        <v>335.9</v>
      </c>
      <c r="U28" s="34">
        <v>306</v>
      </c>
      <c r="V28" s="34">
        <v>306</v>
      </c>
      <c r="W28" s="34">
        <v>304.2</v>
      </c>
      <c r="X28" s="34">
        <v>288</v>
      </c>
      <c r="Y28" s="34">
        <v>288</v>
      </c>
      <c r="Z28" s="34">
        <v>267.8</v>
      </c>
      <c r="AA28" s="34">
        <v>244.8</v>
      </c>
      <c r="AB28" s="34">
        <v>234</v>
      </c>
      <c r="AC28" s="34">
        <v>234</v>
      </c>
      <c r="AD28" s="34">
        <v>225</v>
      </c>
      <c r="AE28" s="34">
        <v>225</v>
      </c>
      <c r="AF28" s="34">
        <v>216</v>
      </c>
      <c r="AG28" s="34">
        <v>216</v>
      </c>
      <c r="AH28" s="34">
        <v>216</v>
      </c>
      <c r="AI28" s="34">
        <v>216</v>
      </c>
      <c r="AJ28" s="34">
        <v>202.7</v>
      </c>
      <c r="AK28" s="34">
        <v>196.2</v>
      </c>
      <c r="AL28" s="34">
        <v>183.6</v>
      </c>
      <c r="AM28" s="34">
        <v>180</v>
      </c>
      <c r="AN28" s="34">
        <v>180</v>
      </c>
      <c r="AO28" s="34">
        <v>178.9</v>
      </c>
      <c r="AP28" s="34">
        <v>147.6</v>
      </c>
      <c r="AQ28" s="34">
        <v>144</v>
      </c>
      <c r="AR28" s="34">
        <v>132.1</v>
      </c>
      <c r="AS28" s="34">
        <v>127.1</v>
      </c>
      <c r="AT28" s="34">
        <v>108</v>
      </c>
      <c r="AU28" s="34">
        <v>108</v>
      </c>
      <c r="AV28" s="34">
        <v>103.7</v>
      </c>
      <c r="AW28" s="34">
        <v>102.6</v>
      </c>
      <c r="AX28" s="34">
        <v>90</v>
      </c>
      <c r="AY28" s="34">
        <v>90</v>
      </c>
      <c r="AZ28" s="34">
        <v>90</v>
      </c>
      <c r="BA28" s="34">
        <v>81</v>
      </c>
      <c r="BB28" s="34">
        <v>72</v>
      </c>
      <c r="BC28" s="34">
        <v>72</v>
      </c>
      <c r="BD28" s="34">
        <v>72</v>
      </c>
      <c r="BE28" s="34">
        <v>68.400000000000006</v>
      </c>
      <c r="BF28" s="34">
        <v>60.1</v>
      </c>
      <c r="BG28" s="34">
        <v>54</v>
      </c>
      <c r="BH28" s="34">
        <v>54</v>
      </c>
      <c r="BI28" s="34">
        <v>36</v>
      </c>
      <c r="BJ28" s="34">
        <v>36</v>
      </c>
      <c r="BK28" s="34">
        <v>36</v>
      </c>
      <c r="BL28" s="34">
        <v>36</v>
      </c>
      <c r="BM28" s="34">
        <v>34.200000000000003</v>
      </c>
      <c r="BN28" s="34">
        <v>28.8</v>
      </c>
      <c r="BO28" s="34">
        <v>18</v>
      </c>
      <c r="BP28" s="34">
        <v>18</v>
      </c>
      <c r="BQ28" s="34">
        <v>0</v>
      </c>
      <c r="BR28" s="17">
        <f t="shared" si="0"/>
        <v>15783.100000000002</v>
      </c>
    </row>
    <row r="29" spans="1:70" x14ac:dyDescent="0.25">
      <c r="A29" s="5">
        <v>45078</v>
      </c>
      <c r="B29" s="34">
        <v>900</v>
      </c>
      <c r="C29" s="34">
        <v>648</v>
      </c>
      <c r="D29" s="34">
        <v>558</v>
      </c>
      <c r="E29" s="34">
        <v>540</v>
      </c>
      <c r="F29" s="34">
        <v>540</v>
      </c>
      <c r="G29" s="34">
        <v>486.7</v>
      </c>
      <c r="H29" s="34">
        <v>468</v>
      </c>
      <c r="I29" s="34">
        <v>468</v>
      </c>
      <c r="J29" s="34">
        <v>432</v>
      </c>
      <c r="K29" s="34">
        <v>432</v>
      </c>
      <c r="L29" s="34">
        <v>432</v>
      </c>
      <c r="M29" s="34">
        <v>414</v>
      </c>
      <c r="N29" s="34">
        <v>396</v>
      </c>
      <c r="O29" s="34">
        <v>369</v>
      </c>
      <c r="P29" s="34">
        <v>368.3</v>
      </c>
      <c r="Q29" s="34">
        <v>360</v>
      </c>
      <c r="R29" s="34">
        <v>360</v>
      </c>
      <c r="S29" s="34">
        <v>347.4</v>
      </c>
      <c r="T29" s="34">
        <v>335.9</v>
      </c>
      <c r="U29" s="34">
        <v>306</v>
      </c>
      <c r="V29" s="34">
        <v>306</v>
      </c>
      <c r="W29" s="34">
        <v>304.2</v>
      </c>
      <c r="X29" s="34">
        <v>288</v>
      </c>
      <c r="Y29" s="34">
        <v>288</v>
      </c>
      <c r="Z29" s="34">
        <v>267.8</v>
      </c>
      <c r="AA29" s="34">
        <v>244.8</v>
      </c>
      <c r="AB29" s="34">
        <v>234</v>
      </c>
      <c r="AC29" s="34">
        <v>234</v>
      </c>
      <c r="AD29" s="34">
        <v>225</v>
      </c>
      <c r="AE29" s="34">
        <v>225</v>
      </c>
      <c r="AF29" s="34">
        <v>216</v>
      </c>
      <c r="AG29" s="34">
        <v>216</v>
      </c>
      <c r="AH29" s="34">
        <v>216</v>
      </c>
      <c r="AI29" s="34">
        <v>216</v>
      </c>
      <c r="AJ29" s="34">
        <v>202.7</v>
      </c>
      <c r="AK29" s="34">
        <v>196.2</v>
      </c>
      <c r="AL29" s="34">
        <v>183.6</v>
      </c>
      <c r="AM29" s="34">
        <v>180</v>
      </c>
      <c r="AN29" s="34">
        <v>180</v>
      </c>
      <c r="AO29" s="34">
        <v>178.9</v>
      </c>
      <c r="AP29" s="34">
        <v>147.6</v>
      </c>
      <c r="AQ29" s="34">
        <v>144</v>
      </c>
      <c r="AR29" s="34">
        <v>132.1</v>
      </c>
      <c r="AS29" s="34">
        <v>127.1</v>
      </c>
      <c r="AT29" s="34">
        <v>108</v>
      </c>
      <c r="AU29" s="34">
        <v>108</v>
      </c>
      <c r="AV29" s="34">
        <v>103.7</v>
      </c>
      <c r="AW29" s="34">
        <v>102.6</v>
      </c>
      <c r="AX29" s="34">
        <v>90</v>
      </c>
      <c r="AY29" s="34">
        <v>90</v>
      </c>
      <c r="AZ29" s="34">
        <v>90</v>
      </c>
      <c r="BA29" s="34">
        <v>81</v>
      </c>
      <c r="BB29" s="34">
        <v>72</v>
      </c>
      <c r="BC29" s="34">
        <v>72</v>
      </c>
      <c r="BD29" s="34">
        <v>72</v>
      </c>
      <c r="BE29" s="34">
        <v>68.400000000000006</v>
      </c>
      <c r="BF29" s="34">
        <v>60.1</v>
      </c>
      <c r="BG29" s="34">
        <v>54</v>
      </c>
      <c r="BH29" s="34">
        <v>54</v>
      </c>
      <c r="BI29" s="34">
        <v>36</v>
      </c>
      <c r="BJ29" s="34">
        <v>36</v>
      </c>
      <c r="BK29" s="34">
        <v>36</v>
      </c>
      <c r="BL29" s="34">
        <v>36</v>
      </c>
      <c r="BM29" s="34">
        <v>34.200000000000003</v>
      </c>
      <c r="BN29" s="34">
        <v>28.8</v>
      </c>
      <c r="BO29" s="34">
        <v>18</v>
      </c>
      <c r="BP29" s="34">
        <v>18</v>
      </c>
      <c r="BQ29" s="34">
        <v>0</v>
      </c>
      <c r="BR29" s="17">
        <f t="shared" si="0"/>
        <v>15783.100000000002</v>
      </c>
    </row>
    <row r="30" spans="1:70" x14ac:dyDescent="0.25">
      <c r="A30" s="5">
        <v>45108</v>
      </c>
      <c r="B30" s="34">
        <v>900</v>
      </c>
      <c r="C30" s="34">
        <v>648</v>
      </c>
      <c r="D30" s="34">
        <v>558</v>
      </c>
      <c r="E30" s="34">
        <v>540</v>
      </c>
      <c r="F30" s="34">
        <v>540</v>
      </c>
      <c r="G30" s="34">
        <v>486.7</v>
      </c>
      <c r="H30" s="34">
        <v>468</v>
      </c>
      <c r="I30" s="34">
        <v>468</v>
      </c>
      <c r="J30" s="34">
        <v>432</v>
      </c>
      <c r="K30" s="34">
        <v>432</v>
      </c>
      <c r="L30" s="34">
        <v>432</v>
      </c>
      <c r="M30" s="34">
        <v>414</v>
      </c>
      <c r="N30" s="34">
        <v>396</v>
      </c>
      <c r="O30" s="34">
        <v>369</v>
      </c>
      <c r="P30" s="34">
        <v>368.3</v>
      </c>
      <c r="Q30" s="34">
        <v>360</v>
      </c>
      <c r="R30" s="34">
        <v>360</v>
      </c>
      <c r="S30" s="34">
        <v>347.4</v>
      </c>
      <c r="T30" s="34">
        <v>335.9</v>
      </c>
      <c r="U30" s="34">
        <v>306</v>
      </c>
      <c r="V30" s="34">
        <v>306</v>
      </c>
      <c r="W30" s="34">
        <v>304.2</v>
      </c>
      <c r="X30" s="34">
        <v>288</v>
      </c>
      <c r="Y30" s="34">
        <v>288</v>
      </c>
      <c r="Z30" s="34">
        <v>267.8</v>
      </c>
      <c r="AA30" s="34">
        <v>244.8</v>
      </c>
      <c r="AB30" s="34">
        <v>234</v>
      </c>
      <c r="AC30" s="34">
        <v>234</v>
      </c>
      <c r="AD30" s="34">
        <v>225</v>
      </c>
      <c r="AE30" s="34">
        <v>225</v>
      </c>
      <c r="AF30" s="34">
        <v>216</v>
      </c>
      <c r="AG30" s="34">
        <v>216</v>
      </c>
      <c r="AH30" s="34">
        <v>216</v>
      </c>
      <c r="AI30" s="34">
        <v>216</v>
      </c>
      <c r="AJ30" s="34">
        <v>202.7</v>
      </c>
      <c r="AK30" s="34">
        <v>196.2</v>
      </c>
      <c r="AL30" s="34">
        <v>183.6</v>
      </c>
      <c r="AM30" s="34">
        <v>180</v>
      </c>
      <c r="AN30" s="34">
        <v>180</v>
      </c>
      <c r="AO30" s="34">
        <v>178.9</v>
      </c>
      <c r="AP30" s="34">
        <v>147.6</v>
      </c>
      <c r="AQ30" s="34">
        <v>144</v>
      </c>
      <c r="AR30" s="34">
        <v>132.1</v>
      </c>
      <c r="AS30" s="34">
        <v>127.1</v>
      </c>
      <c r="AT30" s="34">
        <v>108</v>
      </c>
      <c r="AU30" s="34">
        <v>108</v>
      </c>
      <c r="AV30" s="34">
        <v>103.7</v>
      </c>
      <c r="AW30" s="34">
        <v>102.6</v>
      </c>
      <c r="AX30" s="34">
        <v>90</v>
      </c>
      <c r="AY30" s="34">
        <v>90</v>
      </c>
      <c r="AZ30" s="34">
        <v>90</v>
      </c>
      <c r="BA30" s="34">
        <v>81</v>
      </c>
      <c r="BB30" s="34">
        <v>72</v>
      </c>
      <c r="BC30" s="34">
        <v>72</v>
      </c>
      <c r="BD30" s="34">
        <v>72</v>
      </c>
      <c r="BE30" s="34">
        <v>68.400000000000006</v>
      </c>
      <c r="BF30" s="34">
        <v>60.1</v>
      </c>
      <c r="BG30" s="34">
        <v>54</v>
      </c>
      <c r="BH30" s="34">
        <v>54</v>
      </c>
      <c r="BI30" s="34">
        <v>36</v>
      </c>
      <c r="BJ30" s="34">
        <v>36</v>
      </c>
      <c r="BK30" s="34">
        <v>36</v>
      </c>
      <c r="BL30" s="34">
        <v>36</v>
      </c>
      <c r="BM30" s="34">
        <v>34.200000000000003</v>
      </c>
      <c r="BN30" s="34">
        <v>28.8</v>
      </c>
      <c r="BO30" s="34">
        <v>18</v>
      </c>
      <c r="BP30" s="34">
        <v>18</v>
      </c>
      <c r="BQ30" s="34">
        <v>0</v>
      </c>
      <c r="BR30" s="17">
        <f t="shared" si="0"/>
        <v>15783.100000000002</v>
      </c>
    </row>
    <row r="31" spans="1:70" x14ac:dyDescent="0.25">
      <c r="A31" s="5">
        <v>45139</v>
      </c>
      <c r="B31" s="34">
        <v>900</v>
      </c>
      <c r="C31" s="34">
        <v>648</v>
      </c>
      <c r="D31" s="34">
        <v>558</v>
      </c>
      <c r="E31" s="34">
        <v>540</v>
      </c>
      <c r="F31" s="34">
        <v>540</v>
      </c>
      <c r="G31" s="34">
        <v>486.7</v>
      </c>
      <c r="H31" s="34">
        <v>468</v>
      </c>
      <c r="I31" s="34">
        <v>468</v>
      </c>
      <c r="J31" s="34">
        <v>432</v>
      </c>
      <c r="K31" s="34">
        <v>432</v>
      </c>
      <c r="L31" s="34">
        <v>432</v>
      </c>
      <c r="M31" s="34">
        <v>414</v>
      </c>
      <c r="N31" s="34">
        <v>396</v>
      </c>
      <c r="O31" s="34">
        <v>369</v>
      </c>
      <c r="P31" s="34">
        <v>368.3</v>
      </c>
      <c r="Q31" s="34">
        <v>360</v>
      </c>
      <c r="R31" s="34">
        <v>360</v>
      </c>
      <c r="S31" s="34">
        <v>347.4</v>
      </c>
      <c r="T31" s="34">
        <v>335.9</v>
      </c>
      <c r="U31" s="34">
        <v>306</v>
      </c>
      <c r="V31" s="34">
        <v>306</v>
      </c>
      <c r="W31" s="34">
        <v>304.2</v>
      </c>
      <c r="X31" s="34">
        <v>288</v>
      </c>
      <c r="Y31" s="34">
        <v>288</v>
      </c>
      <c r="Z31" s="34">
        <v>267.8</v>
      </c>
      <c r="AA31" s="34">
        <v>244.8</v>
      </c>
      <c r="AB31" s="34">
        <v>234</v>
      </c>
      <c r="AC31" s="34">
        <v>234</v>
      </c>
      <c r="AD31" s="34">
        <v>225</v>
      </c>
      <c r="AE31" s="34">
        <v>225</v>
      </c>
      <c r="AF31" s="34">
        <v>216</v>
      </c>
      <c r="AG31" s="34">
        <v>216</v>
      </c>
      <c r="AH31" s="34">
        <v>216</v>
      </c>
      <c r="AI31" s="34">
        <v>216</v>
      </c>
      <c r="AJ31" s="34">
        <v>202.7</v>
      </c>
      <c r="AK31" s="34">
        <v>196.2</v>
      </c>
      <c r="AL31" s="34">
        <v>183.6</v>
      </c>
      <c r="AM31" s="34">
        <v>180</v>
      </c>
      <c r="AN31" s="34">
        <v>180</v>
      </c>
      <c r="AO31" s="34">
        <v>178.9</v>
      </c>
      <c r="AP31" s="34">
        <v>147.6</v>
      </c>
      <c r="AQ31" s="34">
        <v>144</v>
      </c>
      <c r="AR31" s="34">
        <v>132.1</v>
      </c>
      <c r="AS31" s="34">
        <v>127.1</v>
      </c>
      <c r="AT31" s="34">
        <v>108</v>
      </c>
      <c r="AU31" s="34">
        <v>108</v>
      </c>
      <c r="AV31" s="34">
        <v>103.7</v>
      </c>
      <c r="AW31" s="34">
        <v>102.6</v>
      </c>
      <c r="AX31" s="34">
        <v>90</v>
      </c>
      <c r="AY31" s="34">
        <v>90</v>
      </c>
      <c r="AZ31" s="34">
        <v>90</v>
      </c>
      <c r="BA31" s="34">
        <v>81</v>
      </c>
      <c r="BB31" s="34">
        <v>72</v>
      </c>
      <c r="BC31" s="34">
        <v>72</v>
      </c>
      <c r="BD31" s="34">
        <v>72</v>
      </c>
      <c r="BE31" s="34">
        <v>68.400000000000006</v>
      </c>
      <c r="BF31" s="34">
        <v>60.1</v>
      </c>
      <c r="BG31" s="34">
        <v>54</v>
      </c>
      <c r="BH31" s="34">
        <v>54</v>
      </c>
      <c r="BI31" s="34">
        <v>36</v>
      </c>
      <c r="BJ31" s="34">
        <v>36</v>
      </c>
      <c r="BK31" s="34">
        <v>36</v>
      </c>
      <c r="BL31" s="34">
        <v>36</v>
      </c>
      <c r="BM31" s="34">
        <v>34.200000000000003</v>
      </c>
      <c r="BN31" s="34">
        <v>28.8</v>
      </c>
      <c r="BO31" s="34">
        <v>18</v>
      </c>
      <c r="BP31" s="34">
        <v>18</v>
      </c>
      <c r="BQ31" s="34">
        <v>0</v>
      </c>
      <c r="BR31" s="17">
        <f t="shared" si="0"/>
        <v>15783.100000000002</v>
      </c>
    </row>
    <row r="32" spans="1:70" x14ac:dyDescent="0.25">
      <c r="A32" s="5">
        <v>45170</v>
      </c>
      <c r="B32" s="34">
        <v>900</v>
      </c>
      <c r="C32" s="34">
        <v>648</v>
      </c>
      <c r="D32" s="34">
        <v>558</v>
      </c>
      <c r="E32" s="34">
        <v>540</v>
      </c>
      <c r="F32" s="34">
        <v>540</v>
      </c>
      <c r="G32" s="34">
        <v>486.7</v>
      </c>
      <c r="H32" s="34">
        <v>468</v>
      </c>
      <c r="I32" s="34">
        <v>468</v>
      </c>
      <c r="J32" s="34">
        <v>432</v>
      </c>
      <c r="K32" s="34">
        <v>432</v>
      </c>
      <c r="L32" s="34">
        <v>432</v>
      </c>
      <c r="M32" s="34">
        <v>414</v>
      </c>
      <c r="N32" s="34">
        <v>396</v>
      </c>
      <c r="O32" s="34">
        <v>369</v>
      </c>
      <c r="P32" s="34">
        <v>368.3</v>
      </c>
      <c r="Q32" s="34">
        <v>360</v>
      </c>
      <c r="R32" s="34">
        <v>360</v>
      </c>
      <c r="S32" s="34">
        <v>347.4</v>
      </c>
      <c r="T32" s="34">
        <v>335.9</v>
      </c>
      <c r="U32" s="34">
        <v>306</v>
      </c>
      <c r="V32" s="34">
        <v>306</v>
      </c>
      <c r="W32" s="34">
        <v>304.2</v>
      </c>
      <c r="X32" s="34">
        <v>288</v>
      </c>
      <c r="Y32" s="34">
        <v>288</v>
      </c>
      <c r="Z32" s="34">
        <v>267.8</v>
      </c>
      <c r="AA32" s="34">
        <v>244.8</v>
      </c>
      <c r="AB32" s="34">
        <v>234</v>
      </c>
      <c r="AC32" s="34">
        <v>234</v>
      </c>
      <c r="AD32" s="34">
        <v>225</v>
      </c>
      <c r="AE32" s="34">
        <v>225</v>
      </c>
      <c r="AF32" s="34">
        <v>216</v>
      </c>
      <c r="AG32" s="34">
        <v>216</v>
      </c>
      <c r="AH32" s="34">
        <v>216</v>
      </c>
      <c r="AI32" s="34">
        <v>216</v>
      </c>
      <c r="AJ32" s="34">
        <v>202.7</v>
      </c>
      <c r="AK32" s="34">
        <v>196.2</v>
      </c>
      <c r="AL32" s="34">
        <v>183.6</v>
      </c>
      <c r="AM32" s="34">
        <v>180</v>
      </c>
      <c r="AN32" s="34">
        <v>180</v>
      </c>
      <c r="AO32" s="34">
        <v>178.9</v>
      </c>
      <c r="AP32" s="34">
        <v>147.6</v>
      </c>
      <c r="AQ32" s="34">
        <v>144</v>
      </c>
      <c r="AR32" s="34">
        <v>132.1</v>
      </c>
      <c r="AS32" s="34">
        <v>127.1</v>
      </c>
      <c r="AT32" s="34">
        <v>108</v>
      </c>
      <c r="AU32" s="34">
        <v>108</v>
      </c>
      <c r="AV32" s="34">
        <v>103.7</v>
      </c>
      <c r="AW32" s="34">
        <v>102.6</v>
      </c>
      <c r="AX32" s="34">
        <v>90</v>
      </c>
      <c r="AY32" s="34">
        <v>90</v>
      </c>
      <c r="AZ32" s="34">
        <v>90</v>
      </c>
      <c r="BA32" s="34">
        <v>81</v>
      </c>
      <c r="BB32" s="34">
        <v>72</v>
      </c>
      <c r="BC32" s="34">
        <v>72</v>
      </c>
      <c r="BD32" s="34">
        <v>72</v>
      </c>
      <c r="BE32" s="34">
        <v>68.400000000000006</v>
      </c>
      <c r="BF32" s="34">
        <v>60.1</v>
      </c>
      <c r="BG32" s="34">
        <v>54</v>
      </c>
      <c r="BH32" s="34">
        <v>54</v>
      </c>
      <c r="BI32" s="34">
        <v>36</v>
      </c>
      <c r="BJ32" s="34">
        <v>36</v>
      </c>
      <c r="BK32" s="34">
        <v>36</v>
      </c>
      <c r="BL32" s="34">
        <v>36</v>
      </c>
      <c r="BM32" s="34">
        <v>34.200000000000003</v>
      </c>
      <c r="BN32" s="34">
        <v>28.8</v>
      </c>
      <c r="BO32" s="34">
        <v>18</v>
      </c>
      <c r="BP32" s="34">
        <v>18</v>
      </c>
      <c r="BQ32" s="34">
        <v>0</v>
      </c>
      <c r="BR32" s="17">
        <f t="shared" si="0"/>
        <v>15783.100000000002</v>
      </c>
    </row>
    <row r="33" spans="1:70" x14ac:dyDescent="0.25">
      <c r="A33" s="5">
        <v>45200</v>
      </c>
      <c r="B33" s="34">
        <v>900</v>
      </c>
      <c r="C33" s="34">
        <v>648</v>
      </c>
      <c r="D33" s="34">
        <v>558</v>
      </c>
      <c r="E33" s="34">
        <v>540</v>
      </c>
      <c r="F33" s="34">
        <v>540</v>
      </c>
      <c r="G33" s="34">
        <v>486.7</v>
      </c>
      <c r="H33" s="34">
        <v>468</v>
      </c>
      <c r="I33" s="34">
        <v>468</v>
      </c>
      <c r="J33" s="34">
        <v>432</v>
      </c>
      <c r="K33" s="34">
        <v>432</v>
      </c>
      <c r="L33" s="34">
        <v>432</v>
      </c>
      <c r="M33" s="34">
        <v>414</v>
      </c>
      <c r="N33" s="34">
        <v>396</v>
      </c>
      <c r="O33" s="34">
        <v>369</v>
      </c>
      <c r="P33" s="34">
        <v>368.3</v>
      </c>
      <c r="Q33" s="34">
        <v>360</v>
      </c>
      <c r="R33" s="34">
        <v>360</v>
      </c>
      <c r="S33" s="34">
        <v>347.4</v>
      </c>
      <c r="T33" s="34">
        <v>335.9</v>
      </c>
      <c r="U33" s="34">
        <v>306</v>
      </c>
      <c r="V33" s="34">
        <v>306</v>
      </c>
      <c r="W33" s="34">
        <v>304.2</v>
      </c>
      <c r="X33" s="34">
        <v>288</v>
      </c>
      <c r="Y33" s="34">
        <v>288</v>
      </c>
      <c r="Z33" s="34">
        <v>267.8</v>
      </c>
      <c r="AA33" s="34">
        <v>244.8</v>
      </c>
      <c r="AB33" s="34">
        <v>234</v>
      </c>
      <c r="AC33" s="34">
        <v>234</v>
      </c>
      <c r="AD33" s="34">
        <v>225</v>
      </c>
      <c r="AE33" s="34">
        <v>225</v>
      </c>
      <c r="AF33" s="34">
        <v>216</v>
      </c>
      <c r="AG33" s="34">
        <v>216</v>
      </c>
      <c r="AH33" s="34">
        <v>216</v>
      </c>
      <c r="AI33" s="34">
        <v>216</v>
      </c>
      <c r="AJ33" s="34">
        <v>202.7</v>
      </c>
      <c r="AK33" s="34">
        <v>196.2</v>
      </c>
      <c r="AL33" s="34">
        <v>183.6</v>
      </c>
      <c r="AM33" s="34">
        <v>180</v>
      </c>
      <c r="AN33" s="34">
        <v>180</v>
      </c>
      <c r="AO33" s="34">
        <v>178.9</v>
      </c>
      <c r="AP33" s="34">
        <v>147.6</v>
      </c>
      <c r="AQ33" s="34">
        <v>144</v>
      </c>
      <c r="AR33" s="34">
        <v>132.1</v>
      </c>
      <c r="AS33" s="34">
        <v>127.1</v>
      </c>
      <c r="AT33" s="34">
        <v>108</v>
      </c>
      <c r="AU33" s="34">
        <v>108</v>
      </c>
      <c r="AV33" s="34">
        <v>103.7</v>
      </c>
      <c r="AW33" s="34">
        <v>102.6</v>
      </c>
      <c r="AX33" s="34">
        <v>90</v>
      </c>
      <c r="AY33" s="34">
        <v>90</v>
      </c>
      <c r="AZ33" s="34">
        <v>90</v>
      </c>
      <c r="BA33" s="34">
        <v>81</v>
      </c>
      <c r="BB33" s="34">
        <v>72</v>
      </c>
      <c r="BC33" s="34">
        <v>72</v>
      </c>
      <c r="BD33" s="34">
        <v>72</v>
      </c>
      <c r="BE33" s="34">
        <v>68.400000000000006</v>
      </c>
      <c r="BF33" s="34">
        <v>60.1</v>
      </c>
      <c r="BG33" s="34">
        <v>54</v>
      </c>
      <c r="BH33" s="34">
        <v>54</v>
      </c>
      <c r="BI33" s="34">
        <v>36</v>
      </c>
      <c r="BJ33" s="34">
        <v>36</v>
      </c>
      <c r="BK33" s="34">
        <v>36</v>
      </c>
      <c r="BL33" s="34">
        <v>36</v>
      </c>
      <c r="BM33" s="34">
        <v>34.200000000000003</v>
      </c>
      <c r="BN33" s="34">
        <v>28.8</v>
      </c>
      <c r="BO33" s="34">
        <v>18</v>
      </c>
      <c r="BP33" s="34">
        <v>18</v>
      </c>
      <c r="BQ33" s="34">
        <v>0</v>
      </c>
      <c r="BR33" s="17">
        <f t="shared" si="0"/>
        <v>15783.100000000002</v>
      </c>
    </row>
    <row r="34" spans="1:70" x14ac:dyDescent="0.25">
      <c r="A34" s="5">
        <v>45231</v>
      </c>
      <c r="B34" s="34">
        <v>900</v>
      </c>
      <c r="C34" s="34">
        <v>648</v>
      </c>
      <c r="D34" s="34">
        <v>558</v>
      </c>
      <c r="E34" s="34">
        <v>540</v>
      </c>
      <c r="F34" s="34">
        <v>540</v>
      </c>
      <c r="G34" s="34">
        <v>486.7</v>
      </c>
      <c r="H34" s="34">
        <v>468</v>
      </c>
      <c r="I34" s="34">
        <v>468</v>
      </c>
      <c r="J34" s="34">
        <v>432</v>
      </c>
      <c r="K34" s="34">
        <v>432</v>
      </c>
      <c r="L34" s="34">
        <v>432</v>
      </c>
      <c r="M34" s="34">
        <v>414</v>
      </c>
      <c r="N34" s="34">
        <v>396</v>
      </c>
      <c r="O34" s="34">
        <v>369</v>
      </c>
      <c r="P34" s="34">
        <v>368.3</v>
      </c>
      <c r="Q34" s="34">
        <v>360</v>
      </c>
      <c r="R34" s="34">
        <v>360</v>
      </c>
      <c r="S34" s="34">
        <v>347.4</v>
      </c>
      <c r="T34" s="34">
        <v>335.9</v>
      </c>
      <c r="U34" s="34">
        <v>306</v>
      </c>
      <c r="V34" s="34">
        <v>306</v>
      </c>
      <c r="W34" s="34">
        <v>304.2</v>
      </c>
      <c r="X34" s="34">
        <v>288</v>
      </c>
      <c r="Y34" s="34">
        <v>288</v>
      </c>
      <c r="Z34" s="34">
        <v>267.8</v>
      </c>
      <c r="AA34" s="34">
        <v>244.8</v>
      </c>
      <c r="AB34" s="34">
        <v>234</v>
      </c>
      <c r="AC34" s="34">
        <v>234</v>
      </c>
      <c r="AD34" s="34">
        <v>225</v>
      </c>
      <c r="AE34" s="34">
        <v>225</v>
      </c>
      <c r="AF34" s="34">
        <v>216</v>
      </c>
      <c r="AG34" s="34">
        <v>216</v>
      </c>
      <c r="AH34" s="34">
        <v>216</v>
      </c>
      <c r="AI34" s="34">
        <v>216</v>
      </c>
      <c r="AJ34" s="34">
        <v>202.7</v>
      </c>
      <c r="AK34" s="34">
        <v>196.2</v>
      </c>
      <c r="AL34" s="34">
        <v>183.6</v>
      </c>
      <c r="AM34" s="34">
        <v>180</v>
      </c>
      <c r="AN34" s="34">
        <v>180</v>
      </c>
      <c r="AO34" s="34">
        <v>178.9</v>
      </c>
      <c r="AP34" s="34">
        <v>147.6</v>
      </c>
      <c r="AQ34" s="34">
        <v>144</v>
      </c>
      <c r="AR34" s="34">
        <v>132.1</v>
      </c>
      <c r="AS34" s="34">
        <v>127.1</v>
      </c>
      <c r="AT34" s="34">
        <v>108</v>
      </c>
      <c r="AU34" s="34">
        <v>108</v>
      </c>
      <c r="AV34" s="34">
        <v>103.7</v>
      </c>
      <c r="AW34" s="34">
        <v>102.6</v>
      </c>
      <c r="AX34" s="34">
        <v>90</v>
      </c>
      <c r="AY34" s="34">
        <v>90</v>
      </c>
      <c r="AZ34" s="34">
        <v>90</v>
      </c>
      <c r="BA34" s="34">
        <v>81</v>
      </c>
      <c r="BB34" s="34">
        <v>72</v>
      </c>
      <c r="BC34" s="34">
        <v>72</v>
      </c>
      <c r="BD34" s="34">
        <v>72</v>
      </c>
      <c r="BE34" s="34">
        <v>68.400000000000006</v>
      </c>
      <c r="BF34" s="34">
        <v>60.1</v>
      </c>
      <c r="BG34" s="34">
        <v>54</v>
      </c>
      <c r="BH34" s="34">
        <v>54</v>
      </c>
      <c r="BI34" s="34">
        <v>36</v>
      </c>
      <c r="BJ34" s="34">
        <v>36</v>
      </c>
      <c r="BK34" s="34">
        <v>36</v>
      </c>
      <c r="BL34" s="34">
        <v>36</v>
      </c>
      <c r="BM34" s="34">
        <v>34.200000000000003</v>
      </c>
      <c r="BN34" s="34">
        <v>28.8</v>
      </c>
      <c r="BO34" s="34">
        <v>18</v>
      </c>
      <c r="BP34" s="34">
        <v>18</v>
      </c>
      <c r="BQ34" s="34">
        <v>0</v>
      </c>
      <c r="BR34" s="17">
        <f t="shared" si="0"/>
        <v>15783.100000000002</v>
      </c>
    </row>
    <row r="35" spans="1:70" x14ac:dyDescent="0.25">
      <c r="A35" s="5">
        <v>45261</v>
      </c>
      <c r="B35" s="34">
        <v>900</v>
      </c>
      <c r="C35" s="34">
        <v>648</v>
      </c>
      <c r="D35" s="34">
        <v>558</v>
      </c>
      <c r="E35" s="34">
        <v>540</v>
      </c>
      <c r="F35" s="34">
        <v>540</v>
      </c>
      <c r="G35" s="34">
        <v>486.7</v>
      </c>
      <c r="H35" s="34">
        <v>468</v>
      </c>
      <c r="I35" s="34">
        <v>468</v>
      </c>
      <c r="J35" s="34">
        <v>432</v>
      </c>
      <c r="K35" s="34">
        <v>432</v>
      </c>
      <c r="L35" s="34">
        <v>432</v>
      </c>
      <c r="M35" s="34">
        <v>414</v>
      </c>
      <c r="N35" s="34">
        <v>396</v>
      </c>
      <c r="O35" s="34">
        <v>369</v>
      </c>
      <c r="P35" s="34">
        <v>368.3</v>
      </c>
      <c r="Q35" s="34">
        <v>360</v>
      </c>
      <c r="R35" s="34">
        <v>360</v>
      </c>
      <c r="S35" s="34">
        <v>347.4</v>
      </c>
      <c r="T35" s="34">
        <v>335.9</v>
      </c>
      <c r="U35" s="34">
        <v>306</v>
      </c>
      <c r="V35" s="34">
        <v>306</v>
      </c>
      <c r="W35" s="34">
        <v>304.2</v>
      </c>
      <c r="X35" s="34">
        <v>288</v>
      </c>
      <c r="Y35" s="34">
        <v>288</v>
      </c>
      <c r="Z35" s="34">
        <v>267.8</v>
      </c>
      <c r="AA35" s="34">
        <v>244.8</v>
      </c>
      <c r="AB35" s="34">
        <v>234</v>
      </c>
      <c r="AC35" s="34">
        <v>234</v>
      </c>
      <c r="AD35" s="34">
        <v>225</v>
      </c>
      <c r="AE35" s="34">
        <v>225</v>
      </c>
      <c r="AF35" s="34">
        <v>216</v>
      </c>
      <c r="AG35" s="34">
        <v>216</v>
      </c>
      <c r="AH35" s="34">
        <v>216</v>
      </c>
      <c r="AI35" s="34">
        <v>216</v>
      </c>
      <c r="AJ35" s="34">
        <v>202.7</v>
      </c>
      <c r="AK35" s="34">
        <v>196.2</v>
      </c>
      <c r="AL35" s="34">
        <v>183.6</v>
      </c>
      <c r="AM35" s="34">
        <v>180</v>
      </c>
      <c r="AN35" s="34">
        <v>180</v>
      </c>
      <c r="AO35" s="34">
        <v>178.9</v>
      </c>
      <c r="AP35" s="34">
        <v>147.6</v>
      </c>
      <c r="AQ35" s="34">
        <v>144</v>
      </c>
      <c r="AR35" s="34">
        <v>132.1</v>
      </c>
      <c r="AS35" s="34">
        <v>127.1</v>
      </c>
      <c r="AT35" s="34">
        <v>108</v>
      </c>
      <c r="AU35" s="34">
        <v>108</v>
      </c>
      <c r="AV35" s="34">
        <v>103.7</v>
      </c>
      <c r="AW35" s="34">
        <v>102.6</v>
      </c>
      <c r="AX35" s="34">
        <v>90</v>
      </c>
      <c r="AY35" s="34">
        <v>90</v>
      </c>
      <c r="AZ35" s="34">
        <v>90</v>
      </c>
      <c r="BA35" s="34">
        <v>81</v>
      </c>
      <c r="BB35" s="34">
        <v>72</v>
      </c>
      <c r="BC35" s="34">
        <v>72</v>
      </c>
      <c r="BD35" s="34">
        <v>72</v>
      </c>
      <c r="BE35" s="34">
        <v>68.400000000000006</v>
      </c>
      <c r="BF35" s="34">
        <v>60.1</v>
      </c>
      <c r="BG35" s="34">
        <v>54</v>
      </c>
      <c r="BH35" s="34">
        <v>54</v>
      </c>
      <c r="BI35" s="34">
        <v>36</v>
      </c>
      <c r="BJ35" s="34">
        <v>36</v>
      </c>
      <c r="BK35" s="34">
        <v>36</v>
      </c>
      <c r="BL35" s="34">
        <v>36</v>
      </c>
      <c r="BM35" s="34">
        <v>34.200000000000003</v>
      </c>
      <c r="BN35" s="34">
        <v>28.8</v>
      </c>
      <c r="BO35" s="34">
        <v>18</v>
      </c>
      <c r="BP35" s="34">
        <v>18</v>
      </c>
      <c r="BQ35" s="34">
        <v>0</v>
      </c>
      <c r="BR35" s="17">
        <f t="shared" si="0"/>
        <v>15783.100000000002</v>
      </c>
    </row>
    <row r="36" spans="1:70" x14ac:dyDescent="0.25">
      <c r="A36" s="5">
        <v>45292</v>
      </c>
      <c r="B36" s="34">
        <v>900</v>
      </c>
      <c r="C36" s="34">
        <v>648</v>
      </c>
      <c r="D36" s="34">
        <v>558</v>
      </c>
      <c r="E36" s="34">
        <v>540</v>
      </c>
      <c r="F36" s="34">
        <v>540</v>
      </c>
      <c r="G36" s="34">
        <v>486.7</v>
      </c>
      <c r="H36" s="34">
        <v>468</v>
      </c>
      <c r="I36" s="34">
        <v>468</v>
      </c>
      <c r="J36" s="34">
        <v>432</v>
      </c>
      <c r="K36" s="34">
        <v>432</v>
      </c>
      <c r="L36" s="34">
        <v>432</v>
      </c>
      <c r="M36" s="34">
        <v>414</v>
      </c>
      <c r="N36" s="34">
        <v>396</v>
      </c>
      <c r="O36" s="34">
        <v>369</v>
      </c>
      <c r="P36" s="34">
        <v>368.3</v>
      </c>
      <c r="Q36" s="34">
        <v>360</v>
      </c>
      <c r="R36" s="34">
        <v>360</v>
      </c>
      <c r="S36" s="34">
        <v>347.4</v>
      </c>
      <c r="T36" s="34">
        <v>335.9</v>
      </c>
      <c r="U36" s="34">
        <v>306</v>
      </c>
      <c r="V36" s="34">
        <v>306</v>
      </c>
      <c r="W36" s="34">
        <v>304.2</v>
      </c>
      <c r="X36" s="34">
        <v>288</v>
      </c>
      <c r="Y36" s="34">
        <v>288</v>
      </c>
      <c r="Z36" s="34">
        <v>267.8</v>
      </c>
      <c r="AA36" s="34">
        <v>244.8</v>
      </c>
      <c r="AB36" s="34">
        <v>234</v>
      </c>
      <c r="AC36" s="34">
        <v>234</v>
      </c>
      <c r="AD36" s="34">
        <v>225</v>
      </c>
      <c r="AE36" s="34">
        <v>225</v>
      </c>
      <c r="AF36" s="34">
        <v>216</v>
      </c>
      <c r="AG36" s="34">
        <v>216</v>
      </c>
      <c r="AH36" s="34">
        <v>216</v>
      </c>
      <c r="AI36" s="34">
        <v>216</v>
      </c>
      <c r="AJ36" s="34">
        <v>202.7</v>
      </c>
      <c r="AK36" s="34">
        <v>196.2</v>
      </c>
      <c r="AL36" s="34">
        <v>183.6</v>
      </c>
      <c r="AM36" s="34">
        <v>180</v>
      </c>
      <c r="AN36" s="34">
        <v>180</v>
      </c>
      <c r="AO36" s="34">
        <v>178.9</v>
      </c>
      <c r="AP36" s="34">
        <v>147.6</v>
      </c>
      <c r="AQ36" s="34">
        <v>144</v>
      </c>
      <c r="AR36" s="34">
        <v>132.1</v>
      </c>
      <c r="AS36" s="34">
        <v>127.1</v>
      </c>
      <c r="AT36" s="34">
        <v>108</v>
      </c>
      <c r="AU36" s="34">
        <v>108</v>
      </c>
      <c r="AV36" s="34">
        <v>103.7</v>
      </c>
      <c r="AW36" s="34">
        <v>102.6</v>
      </c>
      <c r="AX36" s="34">
        <v>90</v>
      </c>
      <c r="AY36" s="34">
        <v>90</v>
      </c>
      <c r="AZ36" s="34">
        <v>90</v>
      </c>
      <c r="BA36" s="34">
        <v>81</v>
      </c>
      <c r="BB36" s="34">
        <v>72</v>
      </c>
      <c r="BC36" s="34">
        <v>72</v>
      </c>
      <c r="BD36" s="34">
        <v>72</v>
      </c>
      <c r="BE36" s="34">
        <v>68.400000000000006</v>
      </c>
      <c r="BF36" s="34">
        <v>60.1</v>
      </c>
      <c r="BG36" s="34">
        <v>54</v>
      </c>
      <c r="BH36" s="34">
        <v>54</v>
      </c>
      <c r="BI36" s="34">
        <v>36</v>
      </c>
      <c r="BJ36" s="34">
        <v>36</v>
      </c>
      <c r="BK36" s="34">
        <v>36</v>
      </c>
      <c r="BL36" s="34">
        <v>36</v>
      </c>
      <c r="BM36" s="34">
        <v>34.200000000000003</v>
      </c>
      <c r="BN36" s="34">
        <v>28.8</v>
      </c>
      <c r="BO36" s="34">
        <v>18</v>
      </c>
      <c r="BP36" s="34">
        <v>18</v>
      </c>
      <c r="BQ36" s="34">
        <v>0</v>
      </c>
      <c r="BR36" s="17">
        <f t="shared" si="0"/>
        <v>15783.100000000002</v>
      </c>
    </row>
    <row r="37" spans="1:70" x14ac:dyDescent="0.25">
      <c r="A37" s="5">
        <v>45323</v>
      </c>
      <c r="B37" s="34">
        <v>900</v>
      </c>
      <c r="C37" s="34">
        <v>648</v>
      </c>
      <c r="D37" s="34">
        <v>558</v>
      </c>
      <c r="E37" s="34">
        <v>540</v>
      </c>
      <c r="F37" s="34">
        <v>540</v>
      </c>
      <c r="G37" s="34">
        <v>486.7</v>
      </c>
      <c r="H37" s="34">
        <v>468</v>
      </c>
      <c r="I37" s="34">
        <v>468</v>
      </c>
      <c r="J37" s="34">
        <v>432</v>
      </c>
      <c r="K37" s="34">
        <v>432</v>
      </c>
      <c r="L37" s="34">
        <v>432</v>
      </c>
      <c r="M37" s="34">
        <v>414</v>
      </c>
      <c r="N37" s="34">
        <v>396</v>
      </c>
      <c r="O37" s="34">
        <v>369</v>
      </c>
      <c r="P37" s="34">
        <v>368.3</v>
      </c>
      <c r="Q37" s="34">
        <v>360</v>
      </c>
      <c r="R37" s="34">
        <v>360</v>
      </c>
      <c r="S37" s="34">
        <v>347.4</v>
      </c>
      <c r="T37" s="34">
        <v>335.9</v>
      </c>
      <c r="U37" s="34">
        <v>306</v>
      </c>
      <c r="V37" s="34">
        <v>306</v>
      </c>
      <c r="W37" s="34">
        <v>304.2</v>
      </c>
      <c r="X37" s="34">
        <v>288</v>
      </c>
      <c r="Y37" s="34">
        <v>288</v>
      </c>
      <c r="Z37" s="34">
        <v>267.8</v>
      </c>
      <c r="AA37" s="34">
        <v>244.8</v>
      </c>
      <c r="AB37" s="34">
        <v>234</v>
      </c>
      <c r="AC37" s="34">
        <v>234</v>
      </c>
      <c r="AD37" s="34">
        <v>225</v>
      </c>
      <c r="AE37" s="34">
        <v>225</v>
      </c>
      <c r="AF37" s="34">
        <v>216</v>
      </c>
      <c r="AG37" s="34">
        <v>216</v>
      </c>
      <c r="AH37" s="34">
        <v>216</v>
      </c>
      <c r="AI37" s="34">
        <v>216</v>
      </c>
      <c r="AJ37" s="34">
        <v>202.7</v>
      </c>
      <c r="AK37" s="34">
        <v>196.2</v>
      </c>
      <c r="AL37" s="34">
        <v>183.6</v>
      </c>
      <c r="AM37" s="34">
        <v>180</v>
      </c>
      <c r="AN37" s="34">
        <v>180</v>
      </c>
      <c r="AO37" s="34">
        <v>178.9</v>
      </c>
      <c r="AP37" s="34">
        <v>147.6</v>
      </c>
      <c r="AQ37" s="34">
        <v>144</v>
      </c>
      <c r="AR37" s="34">
        <v>132.1</v>
      </c>
      <c r="AS37" s="34">
        <v>127.1</v>
      </c>
      <c r="AT37" s="34">
        <v>108</v>
      </c>
      <c r="AU37" s="34">
        <v>108</v>
      </c>
      <c r="AV37" s="34">
        <v>103.7</v>
      </c>
      <c r="AW37" s="34">
        <v>102.6</v>
      </c>
      <c r="AX37" s="34">
        <v>90</v>
      </c>
      <c r="AY37" s="34">
        <v>90</v>
      </c>
      <c r="AZ37" s="34">
        <v>90</v>
      </c>
      <c r="BA37" s="34">
        <v>81</v>
      </c>
      <c r="BB37" s="34">
        <v>72</v>
      </c>
      <c r="BC37" s="34">
        <v>72</v>
      </c>
      <c r="BD37" s="34">
        <v>72</v>
      </c>
      <c r="BE37" s="34">
        <v>68.400000000000006</v>
      </c>
      <c r="BF37" s="34">
        <v>60.1</v>
      </c>
      <c r="BG37" s="34">
        <v>54</v>
      </c>
      <c r="BH37" s="34">
        <v>54</v>
      </c>
      <c r="BI37" s="34">
        <v>36</v>
      </c>
      <c r="BJ37" s="34">
        <v>36</v>
      </c>
      <c r="BK37" s="34">
        <v>36</v>
      </c>
      <c r="BL37" s="34">
        <v>36</v>
      </c>
      <c r="BM37" s="34">
        <v>34.200000000000003</v>
      </c>
      <c r="BN37" s="34">
        <v>28.8</v>
      </c>
      <c r="BO37" s="34">
        <v>18</v>
      </c>
      <c r="BP37" s="34">
        <v>18</v>
      </c>
      <c r="BQ37" s="34">
        <v>0</v>
      </c>
      <c r="BR37" s="17">
        <f t="shared" si="0"/>
        <v>15783.100000000002</v>
      </c>
    </row>
    <row r="38" spans="1:70" x14ac:dyDescent="0.25">
      <c r="A38" s="5">
        <v>45352</v>
      </c>
      <c r="B38" s="34">
        <v>900</v>
      </c>
      <c r="C38" s="34">
        <v>648</v>
      </c>
      <c r="D38" s="34">
        <v>558</v>
      </c>
      <c r="E38" s="34">
        <v>540</v>
      </c>
      <c r="F38" s="34">
        <v>540</v>
      </c>
      <c r="G38" s="34">
        <v>486.7</v>
      </c>
      <c r="H38" s="34">
        <v>468</v>
      </c>
      <c r="I38" s="34">
        <v>468</v>
      </c>
      <c r="J38" s="34">
        <v>432</v>
      </c>
      <c r="K38" s="34">
        <v>432</v>
      </c>
      <c r="L38" s="34">
        <v>432</v>
      </c>
      <c r="M38" s="34">
        <v>414</v>
      </c>
      <c r="N38" s="34">
        <v>396</v>
      </c>
      <c r="O38" s="34">
        <v>369</v>
      </c>
      <c r="P38" s="34">
        <v>368.3</v>
      </c>
      <c r="Q38" s="34">
        <v>360</v>
      </c>
      <c r="R38" s="34">
        <v>360</v>
      </c>
      <c r="S38" s="34">
        <v>347.4</v>
      </c>
      <c r="T38" s="34">
        <v>335.9</v>
      </c>
      <c r="U38" s="34">
        <v>306</v>
      </c>
      <c r="V38" s="34">
        <v>306</v>
      </c>
      <c r="W38" s="34">
        <v>304.2</v>
      </c>
      <c r="X38" s="34">
        <v>288</v>
      </c>
      <c r="Y38" s="34">
        <v>288</v>
      </c>
      <c r="Z38" s="34">
        <v>267.8</v>
      </c>
      <c r="AA38" s="34">
        <v>244.8</v>
      </c>
      <c r="AB38" s="34">
        <v>234</v>
      </c>
      <c r="AC38" s="34">
        <v>234</v>
      </c>
      <c r="AD38" s="34">
        <v>225</v>
      </c>
      <c r="AE38" s="34">
        <v>225</v>
      </c>
      <c r="AF38" s="34">
        <v>216</v>
      </c>
      <c r="AG38" s="34">
        <v>216</v>
      </c>
      <c r="AH38" s="34">
        <v>216</v>
      </c>
      <c r="AI38" s="34">
        <v>216</v>
      </c>
      <c r="AJ38" s="34">
        <v>202.7</v>
      </c>
      <c r="AK38" s="34">
        <v>196.2</v>
      </c>
      <c r="AL38" s="34">
        <v>183.6</v>
      </c>
      <c r="AM38" s="34">
        <v>180</v>
      </c>
      <c r="AN38" s="34">
        <v>180</v>
      </c>
      <c r="AO38" s="34">
        <v>178.9</v>
      </c>
      <c r="AP38" s="34">
        <v>147.6</v>
      </c>
      <c r="AQ38" s="34">
        <v>144</v>
      </c>
      <c r="AR38" s="34">
        <v>132.1</v>
      </c>
      <c r="AS38" s="34">
        <v>127.1</v>
      </c>
      <c r="AT38" s="34">
        <v>108</v>
      </c>
      <c r="AU38" s="34">
        <v>108</v>
      </c>
      <c r="AV38" s="34">
        <v>103.7</v>
      </c>
      <c r="AW38" s="34">
        <v>102.6</v>
      </c>
      <c r="AX38" s="34">
        <v>90</v>
      </c>
      <c r="AY38" s="34">
        <v>90</v>
      </c>
      <c r="AZ38" s="34">
        <v>90</v>
      </c>
      <c r="BA38" s="34">
        <v>81</v>
      </c>
      <c r="BB38" s="34">
        <v>72</v>
      </c>
      <c r="BC38" s="34">
        <v>72</v>
      </c>
      <c r="BD38" s="34">
        <v>72</v>
      </c>
      <c r="BE38" s="34">
        <v>68.400000000000006</v>
      </c>
      <c r="BF38" s="34">
        <v>60.1</v>
      </c>
      <c r="BG38" s="34">
        <v>54</v>
      </c>
      <c r="BH38" s="34">
        <v>54</v>
      </c>
      <c r="BI38" s="34">
        <v>36</v>
      </c>
      <c r="BJ38" s="34">
        <v>36</v>
      </c>
      <c r="BK38" s="34">
        <v>36</v>
      </c>
      <c r="BL38" s="34">
        <v>36</v>
      </c>
      <c r="BM38" s="34">
        <v>34.200000000000003</v>
      </c>
      <c r="BN38" s="34">
        <v>28.8</v>
      </c>
      <c r="BO38" s="34">
        <v>18</v>
      </c>
      <c r="BP38" s="34">
        <v>18</v>
      </c>
      <c r="BQ38" s="34">
        <v>0</v>
      </c>
      <c r="BR38" s="17">
        <f t="shared" si="0"/>
        <v>15783.100000000002</v>
      </c>
    </row>
    <row r="39" spans="1:70" x14ac:dyDescent="0.25">
      <c r="A39" s="5">
        <v>45383</v>
      </c>
      <c r="B39" s="34">
        <v>900</v>
      </c>
      <c r="C39" s="34">
        <v>648</v>
      </c>
      <c r="D39" s="34">
        <v>558</v>
      </c>
      <c r="E39" s="34">
        <v>540</v>
      </c>
      <c r="F39" s="34">
        <v>540</v>
      </c>
      <c r="G39" s="34">
        <v>486.7</v>
      </c>
      <c r="H39" s="34">
        <v>468</v>
      </c>
      <c r="I39" s="34">
        <v>468</v>
      </c>
      <c r="J39" s="34">
        <v>432</v>
      </c>
      <c r="K39" s="34">
        <v>432</v>
      </c>
      <c r="L39" s="34">
        <v>432</v>
      </c>
      <c r="M39" s="34">
        <v>414</v>
      </c>
      <c r="N39" s="34">
        <v>396</v>
      </c>
      <c r="O39" s="34">
        <v>369</v>
      </c>
      <c r="P39" s="34">
        <v>368.3</v>
      </c>
      <c r="Q39" s="34">
        <v>360</v>
      </c>
      <c r="R39" s="34">
        <v>360</v>
      </c>
      <c r="S39" s="34">
        <v>347.4</v>
      </c>
      <c r="T39" s="34">
        <v>335.9</v>
      </c>
      <c r="U39" s="34">
        <v>306</v>
      </c>
      <c r="V39" s="34">
        <v>306</v>
      </c>
      <c r="W39" s="34">
        <v>304.2</v>
      </c>
      <c r="X39" s="34">
        <v>288</v>
      </c>
      <c r="Y39" s="34">
        <v>288</v>
      </c>
      <c r="Z39" s="34">
        <v>267.8</v>
      </c>
      <c r="AA39" s="34">
        <v>244.8</v>
      </c>
      <c r="AB39" s="34">
        <v>234</v>
      </c>
      <c r="AC39" s="34">
        <v>234</v>
      </c>
      <c r="AD39" s="34">
        <v>225</v>
      </c>
      <c r="AE39" s="34">
        <v>225</v>
      </c>
      <c r="AF39" s="34">
        <v>216</v>
      </c>
      <c r="AG39" s="34">
        <v>216</v>
      </c>
      <c r="AH39" s="34">
        <v>216</v>
      </c>
      <c r="AI39" s="34">
        <v>216</v>
      </c>
      <c r="AJ39" s="34">
        <v>202.7</v>
      </c>
      <c r="AK39" s="34">
        <v>196.2</v>
      </c>
      <c r="AL39" s="34">
        <v>183.6</v>
      </c>
      <c r="AM39" s="34">
        <v>180</v>
      </c>
      <c r="AN39" s="34">
        <v>180</v>
      </c>
      <c r="AO39" s="34">
        <v>178.9</v>
      </c>
      <c r="AP39" s="34">
        <v>147.6</v>
      </c>
      <c r="AQ39" s="34">
        <v>144</v>
      </c>
      <c r="AR39" s="34">
        <v>132.1</v>
      </c>
      <c r="AS39" s="34">
        <v>127.1</v>
      </c>
      <c r="AT39" s="34">
        <v>108</v>
      </c>
      <c r="AU39" s="34">
        <v>108</v>
      </c>
      <c r="AV39" s="34">
        <v>103.7</v>
      </c>
      <c r="AW39" s="34">
        <v>102.6</v>
      </c>
      <c r="AX39" s="34">
        <v>90</v>
      </c>
      <c r="AY39" s="34">
        <v>90</v>
      </c>
      <c r="AZ39" s="34">
        <v>90</v>
      </c>
      <c r="BA39" s="34">
        <v>81</v>
      </c>
      <c r="BB39" s="34">
        <v>72</v>
      </c>
      <c r="BC39" s="34">
        <v>72</v>
      </c>
      <c r="BD39" s="34">
        <v>72</v>
      </c>
      <c r="BE39" s="34">
        <v>68.400000000000006</v>
      </c>
      <c r="BF39" s="34">
        <v>60.1</v>
      </c>
      <c r="BG39" s="34">
        <v>54</v>
      </c>
      <c r="BH39" s="34">
        <v>54</v>
      </c>
      <c r="BI39" s="34">
        <v>36</v>
      </c>
      <c r="BJ39" s="34">
        <v>36</v>
      </c>
      <c r="BK39" s="34">
        <v>36</v>
      </c>
      <c r="BL39" s="34">
        <v>36</v>
      </c>
      <c r="BM39" s="34">
        <v>34.200000000000003</v>
      </c>
      <c r="BN39" s="34">
        <v>28.8</v>
      </c>
      <c r="BO39" s="34">
        <v>18</v>
      </c>
      <c r="BP39" s="34">
        <v>18</v>
      </c>
      <c r="BQ39" s="34">
        <v>0</v>
      </c>
      <c r="BR39" s="17">
        <f t="shared" si="0"/>
        <v>15783.100000000002</v>
      </c>
    </row>
    <row r="40" spans="1:70" x14ac:dyDescent="0.25">
      <c r="A40" s="5">
        <v>45413</v>
      </c>
      <c r="B40" s="34">
        <v>900</v>
      </c>
      <c r="C40" s="34">
        <v>648</v>
      </c>
      <c r="D40" s="34">
        <v>558</v>
      </c>
      <c r="E40" s="34">
        <v>540</v>
      </c>
      <c r="F40" s="34">
        <v>540</v>
      </c>
      <c r="G40" s="34">
        <v>486.7</v>
      </c>
      <c r="H40" s="34">
        <v>468</v>
      </c>
      <c r="I40" s="34">
        <v>468</v>
      </c>
      <c r="J40" s="34">
        <v>432</v>
      </c>
      <c r="K40" s="34">
        <v>432</v>
      </c>
      <c r="L40" s="34">
        <v>432</v>
      </c>
      <c r="M40" s="34">
        <v>414</v>
      </c>
      <c r="N40" s="34">
        <v>396</v>
      </c>
      <c r="O40" s="34">
        <v>369</v>
      </c>
      <c r="P40" s="34">
        <v>368.3</v>
      </c>
      <c r="Q40" s="34">
        <v>360</v>
      </c>
      <c r="R40" s="34">
        <v>360</v>
      </c>
      <c r="S40" s="34">
        <v>347.4</v>
      </c>
      <c r="T40" s="34">
        <v>335.9</v>
      </c>
      <c r="U40" s="34">
        <v>306</v>
      </c>
      <c r="V40" s="34">
        <v>306</v>
      </c>
      <c r="W40" s="34">
        <v>304.2</v>
      </c>
      <c r="X40" s="34">
        <v>288</v>
      </c>
      <c r="Y40" s="34">
        <v>288</v>
      </c>
      <c r="Z40" s="34">
        <v>267.8</v>
      </c>
      <c r="AA40" s="34">
        <v>244.8</v>
      </c>
      <c r="AB40" s="34">
        <v>234</v>
      </c>
      <c r="AC40" s="34">
        <v>234</v>
      </c>
      <c r="AD40" s="34">
        <v>225</v>
      </c>
      <c r="AE40" s="34">
        <v>225</v>
      </c>
      <c r="AF40" s="34">
        <v>216</v>
      </c>
      <c r="AG40" s="34">
        <v>216</v>
      </c>
      <c r="AH40" s="34">
        <v>216</v>
      </c>
      <c r="AI40" s="34">
        <v>216</v>
      </c>
      <c r="AJ40" s="34">
        <v>202.7</v>
      </c>
      <c r="AK40" s="34">
        <v>196.2</v>
      </c>
      <c r="AL40" s="34">
        <v>183.6</v>
      </c>
      <c r="AM40" s="34">
        <v>180</v>
      </c>
      <c r="AN40" s="34">
        <v>180</v>
      </c>
      <c r="AO40" s="34">
        <v>178.9</v>
      </c>
      <c r="AP40" s="34">
        <v>147.6</v>
      </c>
      <c r="AQ40" s="34">
        <v>144</v>
      </c>
      <c r="AR40" s="34">
        <v>132.1</v>
      </c>
      <c r="AS40" s="34">
        <v>127.1</v>
      </c>
      <c r="AT40" s="34">
        <v>108</v>
      </c>
      <c r="AU40" s="34">
        <v>108</v>
      </c>
      <c r="AV40" s="34">
        <v>103.7</v>
      </c>
      <c r="AW40" s="34">
        <v>102.6</v>
      </c>
      <c r="AX40" s="34">
        <v>90</v>
      </c>
      <c r="AY40" s="34">
        <v>90</v>
      </c>
      <c r="AZ40" s="34">
        <v>90</v>
      </c>
      <c r="BA40" s="34">
        <v>81</v>
      </c>
      <c r="BB40" s="34">
        <v>72</v>
      </c>
      <c r="BC40" s="34">
        <v>72</v>
      </c>
      <c r="BD40" s="34">
        <v>72</v>
      </c>
      <c r="BE40" s="34">
        <v>68.400000000000006</v>
      </c>
      <c r="BF40" s="34">
        <v>60.1</v>
      </c>
      <c r="BG40" s="34">
        <v>54</v>
      </c>
      <c r="BH40" s="34">
        <v>54</v>
      </c>
      <c r="BI40" s="34">
        <v>36</v>
      </c>
      <c r="BJ40" s="34">
        <v>36</v>
      </c>
      <c r="BK40" s="34">
        <v>36</v>
      </c>
      <c r="BL40" s="34">
        <v>36</v>
      </c>
      <c r="BM40" s="34">
        <v>34.200000000000003</v>
      </c>
      <c r="BN40" s="34">
        <v>28.8</v>
      </c>
      <c r="BO40" s="34">
        <v>18</v>
      </c>
      <c r="BP40" s="34">
        <v>18</v>
      </c>
      <c r="BQ40" s="34">
        <v>0</v>
      </c>
      <c r="BR40" s="17">
        <f t="shared" si="0"/>
        <v>15783.100000000002</v>
      </c>
    </row>
    <row r="41" spans="1:70" x14ac:dyDescent="0.25">
      <c r="A41" s="5">
        <v>45444</v>
      </c>
      <c r="B41" s="34">
        <v>900</v>
      </c>
      <c r="C41" s="34">
        <v>648</v>
      </c>
      <c r="D41" s="34">
        <v>558</v>
      </c>
      <c r="E41" s="34">
        <v>540</v>
      </c>
      <c r="F41" s="34">
        <v>540</v>
      </c>
      <c r="G41" s="34">
        <v>486.7</v>
      </c>
      <c r="H41" s="34">
        <v>468</v>
      </c>
      <c r="I41" s="34">
        <v>468</v>
      </c>
      <c r="J41" s="34">
        <v>432</v>
      </c>
      <c r="K41" s="34">
        <v>432</v>
      </c>
      <c r="L41" s="34">
        <v>432</v>
      </c>
      <c r="M41" s="34">
        <v>414</v>
      </c>
      <c r="N41" s="34">
        <v>396</v>
      </c>
      <c r="O41" s="34">
        <v>369</v>
      </c>
      <c r="P41" s="34">
        <v>368.3</v>
      </c>
      <c r="Q41" s="34">
        <v>360</v>
      </c>
      <c r="R41" s="34">
        <v>360</v>
      </c>
      <c r="S41" s="34">
        <v>347.4</v>
      </c>
      <c r="T41" s="34">
        <v>335.9</v>
      </c>
      <c r="U41" s="34">
        <v>306</v>
      </c>
      <c r="V41" s="34">
        <v>306</v>
      </c>
      <c r="W41" s="34">
        <v>304.2</v>
      </c>
      <c r="X41" s="34">
        <v>288</v>
      </c>
      <c r="Y41" s="34">
        <v>288</v>
      </c>
      <c r="Z41" s="34">
        <v>267.8</v>
      </c>
      <c r="AA41" s="34">
        <v>244.8</v>
      </c>
      <c r="AB41" s="34">
        <v>234</v>
      </c>
      <c r="AC41" s="34">
        <v>234</v>
      </c>
      <c r="AD41" s="34">
        <v>225</v>
      </c>
      <c r="AE41" s="34">
        <v>225</v>
      </c>
      <c r="AF41" s="34">
        <v>216</v>
      </c>
      <c r="AG41" s="34">
        <v>216</v>
      </c>
      <c r="AH41" s="34">
        <v>216</v>
      </c>
      <c r="AI41" s="34">
        <v>216</v>
      </c>
      <c r="AJ41" s="34">
        <v>202.7</v>
      </c>
      <c r="AK41" s="34">
        <v>196.2</v>
      </c>
      <c r="AL41" s="34">
        <v>183.6</v>
      </c>
      <c r="AM41" s="34">
        <v>180</v>
      </c>
      <c r="AN41" s="34">
        <v>180</v>
      </c>
      <c r="AO41" s="34">
        <v>178.9</v>
      </c>
      <c r="AP41" s="34">
        <v>147.6</v>
      </c>
      <c r="AQ41" s="34">
        <v>144</v>
      </c>
      <c r="AR41" s="34">
        <v>132.1</v>
      </c>
      <c r="AS41" s="34">
        <v>127.1</v>
      </c>
      <c r="AT41" s="34">
        <v>108</v>
      </c>
      <c r="AU41" s="34">
        <v>108</v>
      </c>
      <c r="AV41" s="34">
        <v>103.7</v>
      </c>
      <c r="AW41" s="34">
        <v>102.6</v>
      </c>
      <c r="AX41" s="34">
        <v>90</v>
      </c>
      <c r="AY41" s="34">
        <v>90</v>
      </c>
      <c r="AZ41" s="34">
        <v>90</v>
      </c>
      <c r="BA41" s="34">
        <v>81</v>
      </c>
      <c r="BB41" s="34">
        <v>72</v>
      </c>
      <c r="BC41" s="34">
        <v>72</v>
      </c>
      <c r="BD41" s="34">
        <v>72</v>
      </c>
      <c r="BE41" s="34">
        <v>68.400000000000006</v>
      </c>
      <c r="BF41" s="34">
        <v>60.1</v>
      </c>
      <c r="BG41" s="34">
        <v>54</v>
      </c>
      <c r="BH41" s="34">
        <v>54</v>
      </c>
      <c r="BI41" s="34">
        <v>36</v>
      </c>
      <c r="BJ41" s="34">
        <v>36</v>
      </c>
      <c r="BK41" s="34">
        <v>36</v>
      </c>
      <c r="BL41" s="34">
        <v>36</v>
      </c>
      <c r="BM41" s="34">
        <v>34.200000000000003</v>
      </c>
      <c r="BN41" s="34">
        <v>28.8</v>
      </c>
      <c r="BO41" s="34">
        <v>18</v>
      </c>
      <c r="BP41" s="34">
        <v>18</v>
      </c>
      <c r="BQ41" s="34">
        <v>0</v>
      </c>
      <c r="BR41" s="17">
        <f t="shared" si="0"/>
        <v>15783.100000000002</v>
      </c>
    </row>
    <row r="42" spans="1:70" x14ac:dyDescent="0.25">
      <c r="A42" s="5">
        <v>45474</v>
      </c>
      <c r="B42" s="34">
        <v>900</v>
      </c>
      <c r="C42" s="34">
        <v>648</v>
      </c>
      <c r="D42" s="34">
        <v>558</v>
      </c>
      <c r="E42" s="34">
        <v>540</v>
      </c>
      <c r="F42" s="34">
        <v>540</v>
      </c>
      <c r="G42" s="34">
        <v>486.7</v>
      </c>
      <c r="H42" s="34">
        <v>468</v>
      </c>
      <c r="I42" s="34">
        <v>468</v>
      </c>
      <c r="J42" s="34">
        <v>432</v>
      </c>
      <c r="K42" s="34">
        <v>432</v>
      </c>
      <c r="L42" s="34">
        <v>432</v>
      </c>
      <c r="M42" s="34">
        <v>414</v>
      </c>
      <c r="N42" s="34">
        <v>396</v>
      </c>
      <c r="O42" s="34">
        <v>369</v>
      </c>
      <c r="P42" s="34">
        <v>368.3</v>
      </c>
      <c r="Q42" s="34">
        <v>360</v>
      </c>
      <c r="R42" s="34">
        <v>360</v>
      </c>
      <c r="S42" s="34">
        <v>347.4</v>
      </c>
      <c r="T42" s="34">
        <v>335.9</v>
      </c>
      <c r="U42" s="34">
        <v>306</v>
      </c>
      <c r="V42" s="34">
        <v>306</v>
      </c>
      <c r="W42" s="34">
        <v>304.2</v>
      </c>
      <c r="X42" s="34">
        <v>288</v>
      </c>
      <c r="Y42" s="34">
        <v>288</v>
      </c>
      <c r="Z42" s="34">
        <v>267.8</v>
      </c>
      <c r="AA42" s="34">
        <v>244.8</v>
      </c>
      <c r="AB42" s="34">
        <v>234</v>
      </c>
      <c r="AC42" s="34">
        <v>234</v>
      </c>
      <c r="AD42" s="34">
        <v>225</v>
      </c>
      <c r="AE42" s="34">
        <v>225</v>
      </c>
      <c r="AF42" s="34">
        <v>216</v>
      </c>
      <c r="AG42" s="34">
        <v>216</v>
      </c>
      <c r="AH42" s="34">
        <v>216</v>
      </c>
      <c r="AI42" s="34">
        <v>216</v>
      </c>
      <c r="AJ42" s="34">
        <v>202.7</v>
      </c>
      <c r="AK42" s="34">
        <v>196.2</v>
      </c>
      <c r="AL42" s="34">
        <v>183.6</v>
      </c>
      <c r="AM42" s="34">
        <v>180</v>
      </c>
      <c r="AN42" s="34">
        <v>180</v>
      </c>
      <c r="AO42" s="34">
        <v>178.9</v>
      </c>
      <c r="AP42" s="34">
        <v>147.6</v>
      </c>
      <c r="AQ42" s="34">
        <v>144</v>
      </c>
      <c r="AR42" s="34">
        <v>132.1</v>
      </c>
      <c r="AS42" s="34">
        <v>127.1</v>
      </c>
      <c r="AT42" s="34">
        <v>108</v>
      </c>
      <c r="AU42" s="34">
        <v>108</v>
      </c>
      <c r="AV42" s="34">
        <v>103.7</v>
      </c>
      <c r="AW42" s="34">
        <v>102.6</v>
      </c>
      <c r="AX42" s="34">
        <v>90</v>
      </c>
      <c r="AY42" s="34">
        <v>90</v>
      </c>
      <c r="AZ42" s="34">
        <v>90</v>
      </c>
      <c r="BA42" s="34">
        <v>81</v>
      </c>
      <c r="BB42" s="34">
        <v>72</v>
      </c>
      <c r="BC42" s="34">
        <v>72</v>
      </c>
      <c r="BD42" s="34">
        <v>72</v>
      </c>
      <c r="BE42" s="34">
        <v>68.400000000000006</v>
      </c>
      <c r="BF42" s="34">
        <v>60.1</v>
      </c>
      <c r="BG42" s="34">
        <v>54</v>
      </c>
      <c r="BH42" s="34">
        <v>54</v>
      </c>
      <c r="BI42" s="34">
        <v>36</v>
      </c>
      <c r="BJ42" s="34">
        <v>36</v>
      </c>
      <c r="BK42" s="34">
        <v>36</v>
      </c>
      <c r="BL42" s="34">
        <v>36</v>
      </c>
      <c r="BM42" s="34">
        <v>34.200000000000003</v>
      </c>
      <c r="BN42" s="34">
        <v>28.8</v>
      </c>
      <c r="BO42" s="34">
        <v>18</v>
      </c>
      <c r="BP42" s="34">
        <v>18</v>
      </c>
      <c r="BQ42" s="34">
        <v>0</v>
      </c>
      <c r="BR42" s="17">
        <f t="shared" si="0"/>
        <v>15783.100000000002</v>
      </c>
    </row>
    <row r="43" spans="1:70" x14ac:dyDescent="0.25">
      <c r="A43" s="5">
        <v>45505</v>
      </c>
      <c r="B43" s="34">
        <v>900</v>
      </c>
      <c r="C43" s="34">
        <v>648</v>
      </c>
      <c r="D43" s="34">
        <v>558</v>
      </c>
      <c r="E43" s="34">
        <v>540</v>
      </c>
      <c r="F43" s="34">
        <v>540</v>
      </c>
      <c r="G43" s="34">
        <v>486.7</v>
      </c>
      <c r="H43" s="34">
        <v>468</v>
      </c>
      <c r="I43" s="34">
        <v>468</v>
      </c>
      <c r="J43" s="34">
        <v>432</v>
      </c>
      <c r="K43" s="34">
        <v>432</v>
      </c>
      <c r="L43" s="34">
        <v>432</v>
      </c>
      <c r="M43" s="34">
        <v>414</v>
      </c>
      <c r="N43" s="34">
        <v>396</v>
      </c>
      <c r="O43" s="34">
        <v>369</v>
      </c>
      <c r="P43" s="34">
        <v>368.3</v>
      </c>
      <c r="Q43" s="34">
        <v>360</v>
      </c>
      <c r="R43" s="34">
        <v>360</v>
      </c>
      <c r="S43" s="34">
        <v>347.4</v>
      </c>
      <c r="T43" s="34">
        <v>335.9</v>
      </c>
      <c r="U43" s="34">
        <v>306</v>
      </c>
      <c r="V43" s="34">
        <v>306</v>
      </c>
      <c r="W43" s="34">
        <v>304.2</v>
      </c>
      <c r="X43" s="34">
        <v>288</v>
      </c>
      <c r="Y43" s="34">
        <v>288</v>
      </c>
      <c r="Z43" s="34">
        <v>267.8</v>
      </c>
      <c r="AA43" s="34">
        <v>244.8</v>
      </c>
      <c r="AB43" s="34">
        <v>234</v>
      </c>
      <c r="AC43" s="34">
        <v>234</v>
      </c>
      <c r="AD43" s="34">
        <v>225</v>
      </c>
      <c r="AE43" s="34">
        <v>225</v>
      </c>
      <c r="AF43" s="34">
        <v>216</v>
      </c>
      <c r="AG43" s="34">
        <v>216</v>
      </c>
      <c r="AH43" s="34">
        <v>216</v>
      </c>
      <c r="AI43" s="34">
        <v>216</v>
      </c>
      <c r="AJ43" s="34">
        <v>202.7</v>
      </c>
      <c r="AK43" s="34">
        <v>196.2</v>
      </c>
      <c r="AL43" s="34">
        <v>183.6</v>
      </c>
      <c r="AM43" s="34">
        <v>180</v>
      </c>
      <c r="AN43" s="34">
        <v>180</v>
      </c>
      <c r="AO43" s="34">
        <v>178.9</v>
      </c>
      <c r="AP43" s="34">
        <v>147.6</v>
      </c>
      <c r="AQ43" s="34">
        <v>144</v>
      </c>
      <c r="AR43" s="34">
        <v>132.1</v>
      </c>
      <c r="AS43" s="34">
        <v>127.1</v>
      </c>
      <c r="AT43" s="34">
        <v>108</v>
      </c>
      <c r="AU43" s="34">
        <v>108</v>
      </c>
      <c r="AV43" s="34">
        <v>103.7</v>
      </c>
      <c r="AW43" s="34">
        <v>102.6</v>
      </c>
      <c r="AX43" s="34">
        <v>90</v>
      </c>
      <c r="AY43" s="34">
        <v>90</v>
      </c>
      <c r="AZ43" s="34">
        <v>90</v>
      </c>
      <c r="BA43" s="34">
        <v>81</v>
      </c>
      <c r="BB43" s="34">
        <v>72</v>
      </c>
      <c r="BC43" s="34">
        <v>72</v>
      </c>
      <c r="BD43" s="34">
        <v>72</v>
      </c>
      <c r="BE43" s="34">
        <v>68.400000000000006</v>
      </c>
      <c r="BF43" s="34">
        <v>60.1</v>
      </c>
      <c r="BG43" s="34">
        <v>54</v>
      </c>
      <c r="BH43" s="34">
        <v>54</v>
      </c>
      <c r="BI43" s="34">
        <v>36</v>
      </c>
      <c r="BJ43" s="34">
        <v>36</v>
      </c>
      <c r="BK43" s="34">
        <v>36</v>
      </c>
      <c r="BL43" s="34">
        <v>36</v>
      </c>
      <c r="BM43" s="34">
        <v>34.200000000000003</v>
      </c>
      <c r="BN43" s="34">
        <v>28.8</v>
      </c>
      <c r="BO43" s="34">
        <v>18</v>
      </c>
      <c r="BP43" s="34">
        <v>18</v>
      </c>
      <c r="BQ43" s="34">
        <v>0</v>
      </c>
      <c r="BR43" s="17">
        <f t="shared" si="0"/>
        <v>15783.100000000002</v>
      </c>
    </row>
    <row r="44" spans="1:70" x14ac:dyDescent="0.25">
      <c r="A44" s="5">
        <v>45536</v>
      </c>
      <c r="B44" s="34">
        <v>900</v>
      </c>
      <c r="C44" s="34">
        <v>648</v>
      </c>
      <c r="D44" s="34">
        <v>558</v>
      </c>
      <c r="E44" s="34">
        <v>540</v>
      </c>
      <c r="F44" s="34">
        <v>540</v>
      </c>
      <c r="G44" s="34">
        <v>486.7</v>
      </c>
      <c r="H44" s="34">
        <v>468</v>
      </c>
      <c r="I44" s="34">
        <v>468</v>
      </c>
      <c r="J44" s="34">
        <v>432</v>
      </c>
      <c r="K44" s="34">
        <v>432</v>
      </c>
      <c r="L44" s="34">
        <v>432</v>
      </c>
      <c r="M44" s="34">
        <v>414</v>
      </c>
      <c r="N44" s="34">
        <v>396</v>
      </c>
      <c r="O44" s="34">
        <v>369</v>
      </c>
      <c r="P44" s="34">
        <v>368.3</v>
      </c>
      <c r="Q44" s="34">
        <v>360</v>
      </c>
      <c r="R44" s="34">
        <v>360</v>
      </c>
      <c r="S44" s="34">
        <v>347.4</v>
      </c>
      <c r="T44" s="34">
        <v>335.9</v>
      </c>
      <c r="U44" s="34">
        <v>306</v>
      </c>
      <c r="V44" s="34">
        <v>306</v>
      </c>
      <c r="W44" s="34">
        <v>304.2</v>
      </c>
      <c r="X44" s="34">
        <v>288</v>
      </c>
      <c r="Y44" s="34">
        <v>288</v>
      </c>
      <c r="Z44" s="34">
        <v>267.8</v>
      </c>
      <c r="AA44" s="34">
        <v>244.8</v>
      </c>
      <c r="AB44" s="34">
        <v>234</v>
      </c>
      <c r="AC44" s="34">
        <v>234</v>
      </c>
      <c r="AD44" s="34">
        <v>225</v>
      </c>
      <c r="AE44" s="34">
        <v>225</v>
      </c>
      <c r="AF44" s="34">
        <v>216</v>
      </c>
      <c r="AG44" s="34">
        <v>216</v>
      </c>
      <c r="AH44" s="34">
        <v>216</v>
      </c>
      <c r="AI44" s="34">
        <v>216</v>
      </c>
      <c r="AJ44" s="34">
        <v>202.7</v>
      </c>
      <c r="AK44" s="34">
        <v>196.2</v>
      </c>
      <c r="AL44" s="34">
        <v>183.6</v>
      </c>
      <c r="AM44" s="34">
        <v>180</v>
      </c>
      <c r="AN44" s="34">
        <v>180</v>
      </c>
      <c r="AO44" s="34">
        <v>178.9</v>
      </c>
      <c r="AP44" s="34">
        <v>147.6</v>
      </c>
      <c r="AQ44" s="34">
        <v>144</v>
      </c>
      <c r="AR44" s="34">
        <v>132.1</v>
      </c>
      <c r="AS44" s="34">
        <v>127.1</v>
      </c>
      <c r="AT44" s="34">
        <v>108</v>
      </c>
      <c r="AU44" s="34">
        <v>108</v>
      </c>
      <c r="AV44" s="34">
        <v>103.7</v>
      </c>
      <c r="AW44" s="34">
        <v>102.6</v>
      </c>
      <c r="AX44" s="34">
        <v>90</v>
      </c>
      <c r="AY44" s="34">
        <v>90</v>
      </c>
      <c r="AZ44" s="34">
        <v>90</v>
      </c>
      <c r="BA44" s="34">
        <v>81</v>
      </c>
      <c r="BB44" s="34">
        <v>72</v>
      </c>
      <c r="BC44" s="34">
        <v>72</v>
      </c>
      <c r="BD44" s="34">
        <v>72</v>
      </c>
      <c r="BE44" s="34">
        <v>68.400000000000006</v>
      </c>
      <c r="BF44" s="34">
        <v>60.1</v>
      </c>
      <c r="BG44" s="34">
        <v>54</v>
      </c>
      <c r="BH44" s="34">
        <v>54</v>
      </c>
      <c r="BI44" s="34">
        <v>36</v>
      </c>
      <c r="BJ44" s="34">
        <v>36</v>
      </c>
      <c r="BK44" s="34">
        <v>36</v>
      </c>
      <c r="BL44" s="34">
        <v>36</v>
      </c>
      <c r="BM44" s="34">
        <v>34.200000000000003</v>
      </c>
      <c r="BN44" s="34">
        <v>28.8</v>
      </c>
      <c r="BO44" s="34">
        <v>18</v>
      </c>
      <c r="BP44" s="34">
        <v>18</v>
      </c>
      <c r="BQ44" s="34">
        <v>0</v>
      </c>
      <c r="BR44" s="17">
        <f t="shared" si="0"/>
        <v>15783.100000000002</v>
      </c>
    </row>
    <row r="45" spans="1:70" x14ac:dyDescent="0.25">
      <c r="A45" s="5">
        <v>45566</v>
      </c>
      <c r="B45" s="34">
        <v>900</v>
      </c>
      <c r="C45" s="34">
        <v>648</v>
      </c>
      <c r="D45" s="34">
        <v>558</v>
      </c>
      <c r="E45" s="34">
        <v>540</v>
      </c>
      <c r="F45" s="34">
        <v>540</v>
      </c>
      <c r="G45" s="34">
        <v>486.7</v>
      </c>
      <c r="H45" s="34">
        <v>468</v>
      </c>
      <c r="I45" s="34">
        <v>468</v>
      </c>
      <c r="J45" s="34">
        <v>432</v>
      </c>
      <c r="K45" s="34">
        <v>432</v>
      </c>
      <c r="L45" s="34">
        <v>432</v>
      </c>
      <c r="M45" s="34">
        <v>414</v>
      </c>
      <c r="N45" s="34">
        <v>396</v>
      </c>
      <c r="O45" s="34">
        <v>369</v>
      </c>
      <c r="P45" s="34">
        <v>368.3</v>
      </c>
      <c r="Q45" s="34">
        <v>360</v>
      </c>
      <c r="R45" s="34">
        <v>360</v>
      </c>
      <c r="S45" s="34">
        <v>347.4</v>
      </c>
      <c r="T45" s="34">
        <v>335.9</v>
      </c>
      <c r="U45" s="34">
        <v>306</v>
      </c>
      <c r="V45" s="34">
        <v>306</v>
      </c>
      <c r="W45" s="34">
        <v>304.2</v>
      </c>
      <c r="X45" s="34">
        <v>288</v>
      </c>
      <c r="Y45" s="34">
        <v>288</v>
      </c>
      <c r="Z45" s="34">
        <v>267.8</v>
      </c>
      <c r="AA45" s="34">
        <v>244.8</v>
      </c>
      <c r="AB45" s="34">
        <v>234</v>
      </c>
      <c r="AC45" s="34">
        <v>234</v>
      </c>
      <c r="AD45" s="34">
        <v>225</v>
      </c>
      <c r="AE45" s="34">
        <v>225</v>
      </c>
      <c r="AF45" s="34">
        <v>216</v>
      </c>
      <c r="AG45" s="34">
        <v>216</v>
      </c>
      <c r="AH45" s="34">
        <v>216</v>
      </c>
      <c r="AI45" s="34">
        <v>216</v>
      </c>
      <c r="AJ45" s="34">
        <v>202.7</v>
      </c>
      <c r="AK45" s="34">
        <v>196.2</v>
      </c>
      <c r="AL45" s="34">
        <v>183.6</v>
      </c>
      <c r="AM45" s="34">
        <v>180</v>
      </c>
      <c r="AN45" s="34">
        <v>180</v>
      </c>
      <c r="AO45" s="34">
        <v>178.9</v>
      </c>
      <c r="AP45" s="34">
        <v>147.6</v>
      </c>
      <c r="AQ45" s="34">
        <v>144</v>
      </c>
      <c r="AR45" s="34">
        <v>132.1</v>
      </c>
      <c r="AS45" s="34">
        <v>127.1</v>
      </c>
      <c r="AT45" s="34">
        <v>108</v>
      </c>
      <c r="AU45" s="34">
        <v>108</v>
      </c>
      <c r="AV45" s="34">
        <v>103.7</v>
      </c>
      <c r="AW45" s="34">
        <v>102.6</v>
      </c>
      <c r="AX45" s="34">
        <v>90</v>
      </c>
      <c r="AY45" s="34">
        <v>90</v>
      </c>
      <c r="AZ45" s="34">
        <v>90</v>
      </c>
      <c r="BA45" s="34">
        <v>81</v>
      </c>
      <c r="BB45" s="34">
        <v>72</v>
      </c>
      <c r="BC45" s="34">
        <v>72</v>
      </c>
      <c r="BD45" s="34">
        <v>72</v>
      </c>
      <c r="BE45" s="34">
        <v>68.400000000000006</v>
      </c>
      <c r="BF45" s="34">
        <v>60.1</v>
      </c>
      <c r="BG45" s="34">
        <v>54</v>
      </c>
      <c r="BH45" s="34">
        <v>54</v>
      </c>
      <c r="BI45" s="34">
        <v>36</v>
      </c>
      <c r="BJ45" s="34">
        <v>36</v>
      </c>
      <c r="BK45" s="34">
        <v>36</v>
      </c>
      <c r="BL45" s="34">
        <v>36</v>
      </c>
      <c r="BM45" s="34">
        <v>34.200000000000003</v>
      </c>
      <c r="BN45" s="34">
        <v>28.8</v>
      </c>
      <c r="BO45" s="34">
        <v>18</v>
      </c>
      <c r="BP45" s="34">
        <v>18</v>
      </c>
      <c r="BQ45" s="34">
        <v>0</v>
      </c>
      <c r="BR45" s="17">
        <f t="shared" si="0"/>
        <v>15783.100000000002</v>
      </c>
    </row>
    <row r="46" spans="1:70" x14ac:dyDescent="0.25">
      <c r="A46" s="5">
        <v>45597</v>
      </c>
      <c r="B46" s="34">
        <v>900</v>
      </c>
      <c r="C46" s="34">
        <v>648</v>
      </c>
      <c r="D46" s="34">
        <v>558</v>
      </c>
      <c r="E46" s="34">
        <v>540</v>
      </c>
      <c r="F46" s="34">
        <v>540</v>
      </c>
      <c r="G46" s="34">
        <v>486.7</v>
      </c>
      <c r="H46" s="34">
        <v>468</v>
      </c>
      <c r="I46" s="34">
        <v>468</v>
      </c>
      <c r="J46" s="34">
        <v>432</v>
      </c>
      <c r="K46" s="34">
        <v>432</v>
      </c>
      <c r="L46" s="34">
        <v>432</v>
      </c>
      <c r="M46" s="34">
        <v>414</v>
      </c>
      <c r="N46" s="34">
        <v>396</v>
      </c>
      <c r="O46" s="34">
        <v>369</v>
      </c>
      <c r="P46" s="34">
        <v>368.3</v>
      </c>
      <c r="Q46" s="34">
        <v>360</v>
      </c>
      <c r="R46" s="34">
        <v>360</v>
      </c>
      <c r="S46" s="34">
        <v>347.4</v>
      </c>
      <c r="T46" s="34">
        <v>335.9</v>
      </c>
      <c r="U46" s="34">
        <v>306</v>
      </c>
      <c r="V46" s="34">
        <v>306</v>
      </c>
      <c r="W46" s="34">
        <v>304.2</v>
      </c>
      <c r="X46" s="34">
        <v>288</v>
      </c>
      <c r="Y46" s="34">
        <v>288</v>
      </c>
      <c r="Z46" s="34">
        <v>267.8</v>
      </c>
      <c r="AA46" s="34">
        <v>244.8</v>
      </c>
      <c r="AB46" s="34">
        <v>234</v>
      </c>
      <c r="AC46" s="34">
        <v>234</v>
      </c>
      <c r="AD46" s="34">
        <v>225</v>
      </c>
      <c r="AE46" s="34">
        <v>225</v>
      </c>
      <c r="AF46" s="34">
        <v>216</v>
      </c>
      <c r="AG46" s="34">
        <v>216</v>
      </c>
      <c r="AH46" s="34">
        <v>216</v>
      </c>
      <c r="AI46" s="34">
        <v>216</v>
      </c>
      <c r="AJ46" s="34">
        <v>202.7</v>
      </c>
      <c r="AK46" s="34">
        <v>196.2</v>
      </c>
      <c r="AL46" s="34">
        <v>183.6</v>
      </c>
      <c r="AM46" s="34">
        <v>180</v>
      </c>
      <c r="AN46" s="34">
        <v>180</v>
      </c>
      <c r="AO46" s="34">
        <v>178.9</v>
      </c>
      <c r="AP46" s="34">
        <v>147.6</v>
      </c>
      <c r="AQ46" s="34">
        <v>144</v>
      </c>
      <c r="AR46" s="34">
        <v>132.1</v>
      </c>
      <c r="AS46" s="34">
        <v>127.1</v>
      </c>
      <c r="AT46" s="34">
        <v>108</v>
      </c>
      <c r="AU46" s="34">
        <v>108</v>
      </c>
      <c r="AV46" s="34">
        <v>103.7</v>
      </c>
      <c r="AW46" s="34">
        <v>102.6</v>
      </c>
      <c r="AX46" s="34">
        <v>90</v>
      </c>
      <c r="AY46" s="34">
        <v>90</v>
      </c>
      <c r="AZ46" s="34">
        <v>90</v>
      </c>
      <c r="BA46" s="34">
        <v>81</v>
      </c>
      <c r="BB46" s="34">
        <v>72</v>
      </c>
      <c r="BC46" s="34">
        <v>72</v>
      </c>
      <c r="BD46" s="34">
        <v>72</v>
      </c>
      <c r="BE46" s="34">
        <v>68.400000000000006</v>
      </c>
      <c r="BF46" s="34">
        <v>60.1</v>
      </c>
      <c r="BG46" s="34">
        <v>54</v>
      </c>
      <c r="BH46" s="34">
        <v>54</v>
      </c>
      <c r="BI46" s="34">
        <v>36</v>
      </c>
      <c r="BJ46" s="34">
        <v>36</v>
      </c>
      <c r="BK46" s="34">
        <v>36</v>
      </c>
      <c r="BL46" s="34">
        <v>36</v>
      </c>
      <c r="BM46" s="34">
        <v>34.200000000000003</v>
      </c>
      <c r="BN46" s="34">
        <v>28.8</v>
      </c>
      <c r="BO46" s="34">
        <v>18</v>
      </c>
      <c r="BP46" s="34">
        <v>18</v>
      </c>
      <c r="BQ46" s="34">
        <v>0</v>
      </c>
      <c r="BR46" s="17">
        <f t="shared" si="0"/>
        <v>15783.100000000002</v>
      </c>
    </row>
    <row r="47" spans="1:70" x14ac:dyDescent="0.25">
      <c r="A47" s="5">
        <v>45627</v>
      </c>
      <c r="B47" s="34">
        <v>900</v>
      </c>
      <c r="C47" s="34">
        <v>648</v>
      </c>
      <c r="D47" s="34">
        <v>558</v>
      </c>
      <c r="E47" s="34">
        <v>540</v>
      </c>
      <c r="F47" s="34">
        <v>540</v>
      </c>
      <c r="G47" s="34">
        <v>486.7</v>
      </c>
      <c r="H47" s="34">
        <v>468</v>
      </c>
      <c r="I47" s="34">
        <v>468</v>
      </c>
      <c r="J47" s="34">
        <v>432</v>
      </c>
      <c r="K47" s="34">
        <v>432</v>
      </c>
      <c r="L47" s="34">
        <v>432</v>
      </c>
      <c r="M47" s="34">
        <v>414</v>
      </c>
      <c r="N47" s="34">
        <v>396</v>
      </c>
      <c r="O47" s="34">
        <v>369</v>
      </c>
      <c r="P47" s="34">
        <v>368.3</v>
      </c>
      <c r="Q47" s="34">
        <v>360</v>
      </c>
      <c r="R47" s="34">
        <v>360</v>
      </c>
      <c r="S47" s="34">
        <v>347.4</v>
      </c>
      <c r="T47" s="34">
        <v>335.9</v>
      </c>
      <c r="U47" s="34">
        <v>306</v>
      </c>
      <c r="V47" s="34">
        <v>306</v>
      </c>
      <c r="W47" s="34">
        <v>304.2</v>
      </c>
      <c r="X47" s="34">
        <v>288</v>
      </c>
      <c r="Y47" s="34">
        <v>288</v>
      </c>
      <c r="Z47" s="34">
        <v>267.8</v>
      </c>
      <c r="AA47" s="34">
        <v>244.8</v>
      </c>
      <c r="AB47" s="34">
        <v>234</v>
      </c>
      <c r="AC47" s="34">
        <v>234</v>
      </c>
      <c r="AD47" s="34">
        <v>225</v>
      </c>
      <c r="AE47" s="34">
        <v>225</v>
      </c>
      <c r="AF47" s="34">
        <v>216</v>
      </c>
      <c r="AG47" s="34">
        <v>216</v>
      </c>
      <c r="AH47" s="34">
        <v>216</v>
      </c>
      <c r="AI47" s="34">
        <v>216</v>
      </c>
      <c r="AJ47" s="34">
        <v>202.7</v>
      </c>
      <c r="AK47" s="34">
        <v>196.2</v>
      </c>
      <c r="AL47" s="34">
        <v>183.6</v>
      </c>
      <c r="AM47" s="34">
        <v>180</v>
      </c>
      <c r="AN47" s="34">
        <v>180</v>
      </c>
      <c r="AO47" s="34">
        <v>178.9</v>
      </c>
      <c r="AP47" s="34">
        <v>147.6</v>
      </c>
      <c r="AQ47" s="34">
        <v>144</v>
      </c>
      <c r="AR47" s="34">
        <v>132.1</v>
      </c>
      <c r="AS47" s="34">
        <v>127.1</v>
      </c>
      <c r="AT47" s="34">
        <v>108</v>
      </c>
      <c r="AU47" s="34">
        <v>108</v>
      </c>
      <c r="AV47" s="34">
        <v>103.7</v>
      </c>
      <c r="AW47" s="34">
        <v>102.6</v>
      </c>
      <c r="AX47" s="34">
        <v>90</v>
      </c>
      <c r="AY47" s="34">
        <v>90</v>
      </c>
      <c r="AZ47" s="34">
        <v>90</v>
      </c>
      <c r="BA47" s="34">
        <v>81</v>
      </c>
      <c r="BB47" s="34">
        <v>72</v>
      </c>
      <c r="BC47" s="34">
        <v>72</v>
      </c>
      <c r="BD47" s="34">
        <v>72</v>
      </c>
      <c r="BE47" s="34">
        <v>68.400000000000006</v>
      </c>
      <c r="BF47" s="34">
        <v>60.1</v>
      </c>
      <c r="BG47" s="34">
        <v>54</v>
      </c>
      <c r="BH47" s="34">
        <v>54</v>
      </c>
      <c r="BI47" s="34">
        <v>36</v>
      </c>
      <c r="BJ47" s="34">
        <v>36</v>
      </c>
      <c r="BK47" s="34">
        <v>36</v>
      </c>
      <c r="BL47" s="34">
        <v>36</v>
      </c>
      <c r="BM47" s="34">
        <v>34.200000000000003</v>
      </c>
      <c r="BN47" s="34">
        <v>28.8</v>
      </c>
      <c r="BO47" s="34">
        <v>18</v>
      </c>
      <c r="BP47" s="34">
        <v>18</v>
      </c>
      <c r="BQ47" s="34">
        <v>0</v>
      </c>
      <c r="BR47" s="17">
        <f t="shared" si="0"/>
        <v>15783.100000000002</v>
      </c>
    </row>
    <row r="48" spans="1:70" x14ac:dyDescent="0.25">
      <c r="A48" s="5">
        <v>45658</v>
      </c>
      <c r="B48" s="34">
        <v>900</v>
      </c>
      <c r="C48" s="34">
        <v>648</v>
      </c>
      <c r="D48" s="34">
        <v>558</v>
      </c>
      <c r="E48" s="34">
        <v>540</v>
      </c>
      <c r="F48" s="34">
        <v>540</v>
      </c>
      <c r="G48" s="34">
        <v>486.7</v>
      </c>
      <c r="H48" s="34">
        <v>468</v>
      </c>
      <c r="I48" s="34">
        <v>468</v>
      </c>
      <c r="J48" s="34">
        <v>432</v>
      </c>
      <c r="K48" s="34">
        <v>432</v>
      </c>
      <c r="L48" s="34">
        <v>432</v>
      </c>
      <c r="M48" s="34">
        <v>414</v>
      </c>
      <c r="N48" s="34">
        <v>396</v>
      </c>
      <c r="O48" s="34">
        <v>369</v>
      </c>
      <c r="P48" s="34">
        <v>368.3</v>
      </c>
      <c r="Q48" s="34">
        <v>360</v>
      </c>
      <c r="R48" s="34">
        <v>360</v>
      </c>
      <c r="S48" s="34">
        <v>347.4</v>
      </c>
      <c r="T48" s="34">
        <v>335.9</v>
      </c>
      <c r="U48" s="34">
        <v>306</v>
      </c>
      <c r="V48" s="34">
        <v>306</v>
      </c>
      <c r="W48" s="34">
        <v>304.2</v>
      </c>
      <c r="X48" s="34">
        <v>288</v>
      </c>
      <c r="Y48" s="34">
        <v>288</v>
      </c>
      <c r="Z48" s="34">
        <v>267.8</v>
      </c>
      <c r="AA48" s="34">
        <v>244.8</v>
      </c>
      <c r="AB48" s="34">
        <v>234</v>
      </c>
      <c r="AC48" s="34">
        <v>234</v>
      </c>
      <c r="AD48" s="34">
        <v>225</v>
      </c>
      <c r="AE48" s="34">
        <v>225</v>
      </c>
      <c r="AF48" s="34">
        <v>216</v>
      </c>
      <c r="AG48" s="34">
        <v>216</v>
      </c>
      <c r="AH48" s="34">
        <v>216</v>
      </c>
      <c r="AI48" s="34">
        <v>216</v>
      </c>
      <c r="AJ48" s="34">
        <v>202.7</v>
      </c>
      <c r="AK48" s="34">
        <v>196.2</v>
      </c>
      <c r="AL48" s="34">
        <v>183.6</v>
      </c>
      <c r="AM48" s="34">
        <v>180</v>
      </c>
      <c r="AN48" s="34">
        <v>180</v>
      </c>
      <c r="AO48" s="34">
        <v>178.9</v>
      </c>
      <c r="AP48" s="34">
        <v>147.6</v>
      </c>
      <c r="AQ48" s="34">
        <v>144</v>
      </c>
      <c r="AR48" s="34">
        <v>132.1</v>
      </c>
      <c r="AS48" s="34">
        <v>127.1</v>
      </c>
      <c r="AT48" s="34">
        <v>108</v>
      </c>
      <c r="AU48" s="34">
        <v>108</v>
      </c>
      <c r="AV48" s="34">
        <v>103.7</v>
      </c>
      <c r="AW48" s="34">
        <v>102.6</v>
      </c>
      <c r="AX48" s="34">
        <v>90</v>
      </c>
      <c r="AY48" s="34">
        <v>90</v>
      </c>
      <c r="AZ48" s="34">
        <v>90</v>
      </c>
      <c r="BA48" s="34">
        <v>81</v>
      </c>
      <c r="BB48" s="34">
        <v>72</v>
      </c>
      <c r="BC48" s="34">
        <v>72</v>
      </c>
      <c r="BD48" s="34">
        <v>72</v>
      </c>
      <c r="BE48" s="34">
        <v>68.400000000000006</v>
      </c>
      <c r="BF48" s="34">
        <v>60.1</v>
      </c>
      <c r="BG48" s="34">
        <v>54</v>
      </c>
      <c r="BH48" s="34">
        <v>54</v>
      </c>
      <c r="BI48" s="34">
        <v>36</v>
      </c>
      <c r="BJ48" s="34">
        <v>36</v>
      </c>
      <c r="BK48" s="34">
        <v>36</v>
      </c>
      <c r="BL48" s="34">
        <v>36</v>
      </c>
      <c r="BM48" s="34">
        <v>34.200000000000003</v>
      </c>
      <c r="BN48" s="34">
        <v>28.8</v>
      </c>
      <c r="BO48" s="34">
        <v>18</v>
      </c>
      <c r="BP48" s="34">
        <v>18</v>
      </c>
      <c r="BQ48" s="34">
        <v>0</v>
      </c>
      <c r="BR48" s="17">
        <f t="shared" si="0"/>
        <v>15783.100000000002</v>
      </c>
    </row>
    <row r="49" spans="1:70" x14ac:dyDescent="0.25">
      <c r="A49" s="5">
        <v>45689</v>
      </c>
      <c r="B49" s="34">
        <v>900</v>
      </c>
      <c r="C49" s="34">
        <v>648</v>
      </c>
      <c r="D49" s="34">
        <v>558</v>
      </c>
      <c r="E49" s="34">
        <v>540</v>
      </c>
      <c r="F49" s="34">
        <v>540</v>
      </c>
      <c r="G49" s="34">
        <v>486.7</v>
      </c>
      <c r="H49" s="34">
        <v>468</v>
      </c>
      <c r="I49" s="34">
        <v>468</v>
      </c>
      <c r="J49" s="34">
        <v>432</v>
      </c>
      <c r="K49" s="34">
        <v>432</v>
      </c>
      <c r="L49" s="34">
        <v>432</v>
      </c>
      <c r="M49" s="34">
        <v>414</v>
      </c>
      <c r="N49" s="34">
        <v>396</v>
      </c>
      <c r="O49" s="34">
        <v>369</v>
      </c>
      <c r="P49" s="34">
        <v>368.3</v>
      </c>
      <c r="Q49" s="34">
        <v>360</v>
      </c>
      <c r="R49" s="34">
        <v>360</v>
      </c>
      <c r="S49" s="34">
        <v>347.4</v>
      </c>
      <c r="T49" s="34">
        <v>335.9</v>
      </c>
      <c r="U49" s="34">
        <v>306</v>
      </c>
      <c r="V49" s="34">
        <v>306</v>
      </c>
      <c r="W49" s="34">
        <v>304.2</v>
      </c>
      <c r="X49" s="34">
        <v>288</v>
      </c>
      <c r="Y49" s="34">
        <v>288</v>
      </c>
      <c r="Z49" s="34">
        <v>267.8</v>
      </c>
      <c r="AA49" s="34">
        <v>244.8</v>
      </c>
      <c r="AB49" s="34">
        <v>234</v>
      </c>
      <c r="AC49" s="34">
        <v>234</v>
      </c>
      <c r="AD49" s="34">
        <v>225</v>
      </c>
      <c r="AE49" s="34">
        <v>225</v>
      </c>
      <c r="AF49" s="34">
        <v>216</v>
      </c>
      <c r="AG49" s="34">
        <v>216</v>
      </c>
      <c r="AH49" s="34">
        <v>216</v>
      </c>
      <c r="AI49" s="34">
        <v>216</v>
      </c>
      <c r="AJ49" s="34">
        <v>202.7</v>
      </c>
      <c r="AK49" s="34">
        <v>196.2</v>
      </c>
      <c r="AL49" s="34">
        <v>183.6</v>
      </c>
      <c r="AM49" s="34">
        <v>180</v>
      </c>
      <c r="AN49" s="34">
        <v>180</v>
      </c>
      <c r="AO49" s="34">
        <v>178.9</v>
      </c>
      <c r="AP49" s="34">
        <v>147.6</v>
      </c>
      <c r="AQ49" s="34">
        <v>144</v>
      </c>
      <c r="AR49" s="34">
        <v>132.1</v>
      </c>
      <c r="AS49" s="34">
        <v>127.1</v>
      </c>
      <c r="AT49" s="34">
        <v>108</v>
      </c>
      <c r="AU49" s="34">
        <v>108</v>
      </c>
      <c r="AV49" s="34">
        <v>103.7</v>
      </c>
      <c r="AW49" s="34">
        <v>102.6</v>
      </c>
      <c r="AX49" s="34">
        <v>90</v>
      </c>
      <c r="AY49" s="34">
        <v>90</v>
      </c>
      <c r="AZ49" s="34">
        <v>90</v>
      </c>
      <c r="BA49" s="34">
        <v>81</v>
      </c>
      <c r="BB49" s="34">
        <v>72</v>
      </c>
      <c r="BC49" s="34">
        <v>72</v>
      </c>
      <c r="BD49" s="34">
        <v>72</v>
      </c>
      <c r="BE49" s="34">
        <v>68.400000000000006</v>
      </c>
      <c r="BF49" s="34">
        <v>60.1</v>
      </c>
      <c r="BG49" s="34">
        <v>54</v>
      </c>
      <c r="BH49" s="34">
        <v>54</v>
      </c>
      <c r="BI49" s="34">
        <v>36</v>
      </c>
      <c r="BJ49" s="34">
        <v>36</v>
      </c>
      <c r="BK49" s="34">
        <v>36</v>
      </c>
      <c r="BL49" s="34">
        <v>36</v>
      </c>
      <c r="BM49" s="34">
        <v>34.200000000000003</v>
      </c>
      <c r="BN49" s="34">
        <v>28.8</v>
      </c>
      <c r="BO49" s="34">
        <v>18</v>
      </c>
      <c r="BP49" s="34">
        <v>18</v>
      </c>
      <c r="BQ49" s="34">
        <v>0</v>
      </c>
      <c r="BR49" s="17">
        <f t="shared" si="0"/>
        <v>15783.100000000002</v>
      </c>
    </row>
    <row r="50" spans="1:70" x14ac:dyDescent="0.25">
      <c r="A50" s="5">
        <v>45717</v>
      </c>
      <c r="B50" s="34">
        <v>900</v>
      </c>
      <c r="C50" s="34">
        <v>648</v>
      </c>
      <c r="D50" s="34">
        <v>558</v>
      </c>
      <c r="E50" s="34">
        <v>540</v>
      </c>
      <c r="F50" s="34">
        <v>540</v>
      </c>
      <c r="G50" s="34">
        <v>486.7</v>
      </c>
      <c r="H50" s="34">
        <v>468</v>
      </c>
      <c r="I50" s="34">
        <v>468</v>
      </c>
      <c r="J50" s="34">
        <v>432</v>
      </c>
      <c r="K50" s="34">
        <v>432</v>
      </c>
      <c r="L50" s="34">
        <v>432</v>
      </c>
      <c r="M50" s="34">
        <v>414</v>
      </c>
      <c r="N50" s="34">
        <v>396</v>
      </c>
      <c r="O50" s="34">
        <v>369</v>
      </c>
      <c r="P50" s="34">
        <v>368.3</v>
      </c>
      <c r="Q50" s="34">
        <v>360</v>
      </c>
      <c r="R50" s="34">
        <v>360</v>
      </c>
      <c r="S50" s="34">
        <v>347.4</v>
      </c>
      <c r="T50" s="34">
        <v>335.9</v>
      </c>
      <c r="U50" s="34">
        <v>306</v>
      </c>
      <c r="V50" s="34">
        <v>306</v>
      </c>
      <c r="W50" s="34">
        <v>304.2</v>
      </c>
      <c r="X50" s="34">
        <v>288</v>
      </c>
      <c r="Y50" s="34">
        <v>288</v>
      </c>
      <c r="Z50" s="34">
        <v>267.8</v>
      </c>
      <c r="AA50" s="34">
        <v>244.8</v>
      </c>
      <c r="AB50" s="34">
        <v>234</v>
      </c>
      <c r="AC50" s="34">
        <v>234</v>
      </c>
      <c r="AD50" s="34">
        <v>225</v>
      </c>
      <c r="AE50" s="34">
        <v>225</v>
      </c>
      <c r="AF50" s="34">
        <v>216</v>
      </c>
      <c r="AG50" s="34">
        <v>216</v>
      </c>
      <c r="AH50" s="34">
        <v>216</v>
      </c>
      <c r="AI50" s="34">
        <v>216</v>
      </c>
      <c r="AJ50" s="34">
        <v>202.7</v>
      </c>
      <c r="AK50" s="34">
        <v>196.2</v>
      </c>
      <c r="AL50" s="34">
        <v>183.6</v>
      </c>
      <c r="AM50" s="34">
        <v>180</v>
      </c>
      <c r="AN50" s="34">
        <v>180</v>
      </c>
      <c r="AO50" s="34">
        <v>178.9</v>
      </c>
      <c r="AP50" s="34">
        <v>147.6</v>
      </c>
      <c r="AQ50" s="34">
        <v>144</v>
      </c>
      <c r="AR50" s="34">
        <v>132.1</v>
      </c>
      <c r="AS50" s="34">
        <v>127.1</v>
      </c>
      <c r="AT50" s="34">
        <v>108</v>
      </c>
      <c r="AU50" s="34">
        <v>108</v>
      </c>
      <c r="AV50" s="34">
        <v>103.7</v>
      </c>
      <c r="AW50" s="34">
        <v>102.6</v>
      </c>
      <c r="AX50" s="34">
        <v>90</v>
      </c>
      <c r="AY50" s="34">
        <v>90</v>
      </c>
      <c r="AZ50" s="34">
        <v>90</v>
      </c>
      <c r="BA50" s="34">
        <v>81</v>
      </c>
      <c r="BB50" s="34">
        <v>72</v>
      </c>
      <c r="BC50" s="34">
        <v>72</v>
      </c>
      <c r="BD50" s="34">
        <v>72</v>
      </c>
      <c r="BE50" s="34">
        <v>68.400000000000006</v>
      </c>
      <c r="BF50" s="34">
        <v>60.1</v>
      </c>
      <c r="BG50" s="34">
        <v>54</v>
      </c>
      <c r="BH50" s="34">
        <v>54</v>
      </c>
      <c r="BI50" s="34">
        <v>36</v>
      </c>
      <c r="BJ50" s="34">
        <v>36</v>
      </c>
      <c r="BK50" s="34">
        <v>36</v>
      </c>
      <c r="BL50" s="34">
        <v>36</v>
      </c>
      <c r="BM50" s="34">
        <v>34.200000000000003</v>
      </c>
      <c r="BN50" s="34">
        <v>28.8</v>
      </c>
      <c r="BO50" s="34">
        <v>18</v>
      </c>
      <c r="BP50" s="34">
        <v>18</v>
      </c>
      <c r="BQ50" s="34">
        <v>0</v>
      </c>
      <c r="BR50" s="17">
        <f t="shared" si="0"/>
        <v>15783.100000000002</v>
      </c>
    </row>
    <row r="51" spans="1:70" x14ac:dyDescent="0.25">
      <c r="A51" s="5">
        <v>45748</v>
      </c>
      <c r="B51" s="34">
        <v>900</v>
      </c>
      <c r="C51" s="34">
        <v>648</v>
      </c>
      <c r="D51" s="34">
        <v>558</v>
      </c>
      <c r="E51" s="34">
        <v>540</v>
      </c>
      <c r="F51" s="34">
        <v>540</v>
      </c>
      <c r="G51" s="34">
        <v>486.7</v>
      </c>
      <c r="H51" s="34">
        <v>468</v>
      </c>
      <c r="I51" s="34">
        <v>468</v>
      </c>
      <c r="J51" s="34">
        <v>432</v>
      </c>
      <c r="K51" s="34">
        <v>432</v>
      </c>
      <c r="L51" s="34">
        <v>432</v>
      </c>
      <c r="M51" s="34">
        <v>414</v>
      </c>
      <c r="N51" s="34">
        <v>396</v>
      </c>
      <c r="O51" s="34">
        <v>369</v>
      </c>
      <c r="P51" s="34">
        <v>368.3</v>
      </c>
      <c r="Q51" s="34">
        <v>360</v>
      </c>
      <c r="R51" s="34">
        <v>360</v>
      </c>
      <c r="S51" s="34">
        <v>347.4</v>
      </c>
      <c r="T51" s="34">
        <v>335.9</v>
      </c>
      <c r="U51" s="34">
        <v>306</v>
      </c>
      <c r="V51" s="34">
        <v>306</v>
      </c>
      <c r="W51" s="34">
        <v>304.2</v>
      </c>
      <c r="X51" s="34">
        <v>288</v>
      </c>
      <c r="Y51" s="34">
        <v>288</v>
      </c>
      <c r="Z51" s="34">
        <v>267.8</v>
      </c>
      <c r="AA51" s="34">
        <v>244.8</v>
      </c>
      <c r="AB51" s="34">
        <v>234</v>
      </c>
      <c r="AC51" s="34">
        <v>234</v>
      </c>
      <c r="AD51" s="34">
        <v>225</v>
      </c>
      <c r="AE51" s="34">
        <v>225</v>
      </c>
      <c r="AF51" s="34">
        <v>216</v>
      </c>
      <c r="AG51" s="34">
        <v>216</v>
      </c>
      <c r="AH51" s="34">
        <v>216</v>
      </c>
      <c r="AI51" s="34">
        <v>216</v>
      </c>
      <c r="AJ51" s="34">
        <v>202.7</v>
      </c>
      <c r="AK51" s="34">
        <v>196.2</v>
      </c>
      <c r="AL51" s="34">
        <v>183.6</v>
      </c>
      <c r="AM51" s="34">
        <v>180</v>
      </c>
      <c r="AN51" s="34">
        <v>180</v>
      </c>
      <c r="AO51" s="34">
        <v>178.9</v>
      </c>
      <c r="AP51" s="34">
        <v>147.6</v>
      </c>
      <c r="AQ51" s="34">
        <v>144</v>
      </c>
      <c r="AR51" s="34">
        <v>132.1</v>
      </c>
      <c r="AS51" s="34">
        <v>127.1</v>
      </c>
      <c r="AT51" s="34">
        <v>108</v>
      </c>
      <c r="AU51" s="34">
        <v>108</v>
      </c>
      <c r="AV51" s="34">
        <v>103.7</v>
      </c>
      <c r="AW51" s="34">
        <v>102.6</v>
      </c>
      <c r="AX51" s="34">
        <v>90</v>
      </c>
      <c r="AY51" s="34">
        <v>90</v>
      </c>
      <c r="AZ51" s="34">
        <v>90</v>
      </c>
      <c r="BA51" s="34">
        <v>81</v>
      </c>
      <c r="BB51" s="34">
        <v>72</v>
      </c>
      <c r="BC51" s="34">
        <v>72</v>
      </c>
      <c r="BD51" s="34">
        <v>72</v>
      </c>
      <c r="BE51" s="34">
        <v>68.400000000000006</v>
      </c>
      <c r="BF51" s="34">
        <v>60.1</v>
      </c>
      <c r="BG51" s="34">
        <v>54</v>
      </c>
      <c r="BH51" s="34">
        <v>54</v>
      </c>
      <c r="BI51" s="34">
        <v>36</v>
      </c>
      <c r="BJ51" s="34">
        <v>36</v>
      </c>
      <c r="BK51" s="34">
        <v>36</v>
      </c>
      <c r="BL51" s="34">
        <v>36</v>
      </c>
      <c r="BM51" s="34">
        <v>34.200000000000003</v>
      </c>
      <c r="BN51" s="34">
        <v>28.8</v>
      </c>
      <c r="BO51" s="34">
        <v>18</v>
      </c>
      <c r="BP51" s="34">
        <v>18</v>
      </c>
      <c r="BQ51" s="34">
        <v>0</v>
      </c>
      <c r="BR51" s="17">
        <f t="shared" si="0"/>
        <v>15783.100000000002</v>
      </c>
    </row>
    <row r="52" spans="1:70" x14ac:dyDescent="0.25">
      <c r="A52" s="5">
        <v>45778</v>
      </c>
      <c r="B52" s="34">
        <v>900</v>
      </c>
      <c r="C52" s="34">
        <v>648</v>
      </c>
      <c r="D52" s="34">
        <v>558</v>
      </c>
      <c r="E52" s="34">
        <v>540</v>
      </c>
      <c r="F52" s="34">
        <v>540</v>
      </c>
      <c r="G52" s="34">
        <v>486.7</v>
      </c>
      <c r="H52" s="34">
        <v>468</v>
      </c>
      <c r="I52" s="34">
        <v>468</v>
      </c>
      <c r="J52" s="34">
        <v>432</v>
      </c>
      <c r="K52" s="34">
        <v>432</v>
      </c>
      <c r="L52" s="34">
        <v>432</v>
      </c>
      <c r="M52" s="34">
        <v>414</v>
      </c>
      <c r="N52" s="34">
        <v>396</v>
      </c>
      <c r="O52" s="34">
        <v>369</v>
      </c>
      <c r="P52" s="34">
        <v>368.3</v>
      </c>
      <c r="Q52" s="34">
        <v>360</v>
      </c>
      <c r="R52" s="34">
        <v>360</v>
      </c>
      <c r="S52" s="34">
        <v>347.4</v>
      </c>
      <c r="T52" s="34">
        <v>335.9</v>
      </c>
      <c r="U52" s="34">
        <v>306</v>
      </c>
      <c r="V52" s="34">
        <v>306</v>
      </c>
      <c r="W52" s="34">
        <v>304.2</v>
      </c>
      <c r="X52" s="34">
        <v>288</v>
      </c>
      <c r="Y52" s="34">
        <v>288</v>
      </c>
      <c r="Z52" s="34">
        <v>267.8</v>
      </c>
      <c r="AA52" s="34">
        <v>244.8</v>
      </c>
      <c r="AB52" s="34">
        <v>234</v>
      </c>
      <c r="AC52" s="34">
        <v>234</v>
      </c>
      <c r="AD52" s="34">
        <v>225</v>
      </c>
      <c r="AE52" s="34">
        <v>225</v>
      </c>
      <c r="AF52" s="34">
        <v>216</v>
      </c>
      <c r="AG52" s="34">
        <v>216</v>
      </c>
      <c r="AH52" s="34">
        <v>216</v>
      </c>
      <c r="AI52" s="34">
        <v>216</v>
      </c>
      <c r="AJ52" s="34">
        <v>202.7</v>
      </c>
      <c r="AK52" s="34">
        <v>196.2</v>
      </c>
      <c r="AL52" s="34">
        <v>183.6</v>
      </c>
      <c r="AM52" s="34">
        <v>180</v>
      </c>
      <c r="AN52" s="34">
        <v>180</v>
      </c>
      <c r="AO52" s="34">
        <v>178.9</v>
      </c>
      <c r="AP52" s="34">
        <v>147.6</v>
      </c>
      <c r="AQ52" s="34">
        <v>144</v>
      </c>
      <c r="AR52" s="34">
        <v>132.1</v>
      </c>
      <c r="AS52" s="34">
        <v>127.1</v>
      </c>
      <c r="AT52" s="34">
        <v>108</v>
      </c>
      <c r="AU52" s="34">
        <v>108</v>
      </c>
      <c r="AV52" s="34">
        <v>103.7</v>
      </c>
      <c r="AW52" s="34">
        <v>102.6</v>
      </c>
      <c r="AX52" s="34">
        <v>90</v>
      </c>
      <c r="AY52" s="34">
        <v>90</v>
      </c>
      <c r="AZ52" s="34">
        <v>90</v>
      </c>
      <c r="BA52" s="34">
        <v>81</v>
      </c>
      <c r="BB52" s="34">
        <v>72</v>
      </c>
      <c r="BC52" s="34">
        <v>72</v>
      </c>
      <c r="BD52" s="34">
        <v>72</v>
      </c>
      <c r="BE52" s="34">
        <v>68.400000000000006</v>
      </c>
      <c r="BF52" s="34">
        <v>60.1</v>
      </c>
      <c r="BG52" s="34">
        <v>54</v>
      </c>
      <c r="BH52" s="34">
        <v>54</v>
      </c>
      <c r="BI52" s="34">
        <v>36</v>
      </c>
      <c r="BJ52" s="34">
        <v>36</v>
      </c>
      <c r="BK52" s="34">
        <v>36</v>
      </c>
      <c r="BL52" s="34">
        <v>36</v>
      </c>
      <c r="BM52" s="34">
        <v>34.200000000000003</v>
      </c>
      <c r="BN52" s="34">
        <v>28.8</v>
      </c>
      <c r="BO52" s="34">
        <v>18</v>
      </c>
      <c r="BP52" s="34">
        <v>18</v>
      </c>
      <c r="BQ52" s="34">
        <v>0</v>
      </c>
      <c r="BR52" s="17">
        <f t="shared" si="0"/>
        <v>15783.100000000002</v>
      </c>
    </row>
    <row r="53" spans="1:70" x14ac:dyDescent="0.25">
      <c r="A53" s="5">
        <v>45809</v>
      </c>
      <c r="B53" s="34">
        <v>900</v>
      </c>
      <c r="C53" s="34">
        <v>648</v>
      </c>
      <c r="D53" s="34">
        <v>558</v>
      </c>
      <c r="E53" s="34">
        <v>540</v>
      </c>
      <c r="F53" s="34">
        <v>540</v>
      </c>
      <c r="G53" s="34">
        <v>486.7</v>
      </c>
      <c r="H53" s="34">
        <v>468</v>
      </c>
      <c r="I53" s="34">
        <v>468</v>
      </c>
      <c r="J53" s="34">
        <v>432</v>
      </c>
      <c r="K53" s="34">
        <v>432</v>
      </c>
      <c r="L53" s="34">
        <v>432</v>
      </c>
      <c r="M53" s="34">
        <v>414</v>
      </c>
      <c r="N53" s="34">
        <v>396</v>
      </c>
      <c r="O53" s="34">
        <v>369</v>
      </c>
      <c r="P53" s="34">
        <v>368.3</v>
      </c>
      <c r="Q53" s="34">
        <v>360</v>
      </c>
      <c r="R53" s="34">
        <v>360</v>
      </c>
      <c r="S53" s="34">
        <v>347.4</v>
      </c>
      <c r="T53" s="34">
        <v>335.9</v>
      </c>
      <c r="U53" s="34">
        <v>306</v>
      </c>
      <c r="V53" s="34">
        <v>306</v>
      </c>
      <c r="W53" s="34">
        <v>304.2</v>
      </c>
      <c r="X53" s="34">
        <v>288</v>
      </c>
      <c r="Y53" s="34">
        <v>288</v>
      </c>
      <c r="Z53" s="34">
        <v>267.8</v>
      </c>
      <c r="AA53" s="34">
        <v>244.8</v>
      </c>
      <c r="AB53" s="34">
        <v>234</v>
      </c>
      <c r="AC53" s="34">
        <v>234</v>
      </c>
      <c r="AD53" s="34">
        <v>225</v>
      </c>
      <c r="AE53" s="34">
        <v>225</v>
      </c>
      <c r="AF53" s="34">
        <v>216</v>
      </c>
      <c r="AG53" s="34">
        <v>216</v>
      </c>
      <c r="AH53" s="34">
        <v>216</v>
      </c>
      <c r="AI53" s="34">
        <v>216</v>
      </c>
      <c r="AJ53" s="34">
        <v>202.7</v>
      </c>
      <c r="AK53" s="34">
        <v>196.2</v>
      </c>
      <c r="AL53" s="34">
        <v>183.6</v>
      </c>
      <c r="AM53" s="34">
        <v>180</v>
      </c>
      <c r="AN53" s="34">
        <v>180</v>
      </c>
      <c r="AO53" s="34">
        <v>178.9</v>
      </c>
      <c r="AP53" s="34">
        <v>147.6</v>
      </c>
      <c r="AQ53" s="34">
        <v>144</v>
      </c>
      <c r="AR53" s="34">
        <v>132.1</v>
      </c>
      <c r="AS53" s="34">
        <v>127.1</v>
      </c>
      <c r="AT53" s="34">
        <v>108</v>
      </c>
      <c r="AU53" s="34">
        <v>108</v>
      </c>
      <c r="AV53" s="34">
        <v>103.7</v>
      </c>
      <c r="AW53" s="34">
        <v>102.6</v>
      </c>
      <c r="AX53" s="34">
        <v>90</v>
      </c>
      <c r="AY53" s="34">
        <v>90</v>
      </c>
      <c r="AZ53" s="34">
        <v>90</v>
      </c>
      <c r="BA53" s="34">
        <v>81</v>
      </c>
      <c r="BB53" s="34">
        <v>72</v>
      </c>
      <c r="BC53" s="34">
        <v>72</v>
      </c>
      <c r="BD53" s="34">
        <v>72</v>
      </c>
      <c r="BE53" s="34">
        <v>68.400000000000006</v>
      </c>
      <c r="BF53" s="34">
        <v>60.1</v>
      </c>
      <c r="BG53" s="34">
        <v>54</v>
      </c>
      <c r="BH53" s="34">
        <v>54</v>
      </c>
      <c r="BI53" s="34">
        <v>36</v>
      </c>
      <c r="BJ53" s="34">
        <v>36</v>
      </c>
      <c r="BK53" s="34">
        <v>36</v>
      </c>
      <c r="BL53" s="34">
        <v>36</v>
      </c>
      <c r="BM53" s="34">
        <v>34.200000000000003</v>
      </c>
      <c r="BN53" s="34">
        <v>28.8</v>
      </c>
      <c r="BO53" s="34">
        <v>18</v>
      </c>
      <c r="BP53" s="34">
        <v>18</v>
      </c>
      <c r="BQ53" s="34">
        <v>0</v>
      </c>
      <c r="BR53" s="17">
        <f t="shared" si="0"/>
        <v>15783.100000000002</v>
      </c>
    </row>
    <row r="54" spans="1:70" x14ac:dyDescent="0.25">
      <c r="A54" s="5">
        <v>45839</v>
      </c>
      <c r="B54" s="34">
        <v>900</v>
      </c>
      <c r="C54" s="34">
        <v>648</v>
      </c>
      <c r="D54" s="34">
        <v>558</v>
      </c>
      <c r="E54" s="34">
        <v>540</v>
      </c>
      <c r="F54" s="34">
        <v>540</v>
      </c>
      <c r="G54" s="34">
        <v>486.7</v>
      </c>
      <c r="H54" s="34">
        <v>468</v>
      </c>
      <c r="I54" s="34">
        <v>468</v>
      </c>
      <c r="J54" s="34">
        <v>432</v>
      </c>
      <c r="K54" s="34">
        <v>432</v>
      </c>
      <c r="L54" s="34">
        <v>432</v>
      </c>
      <c r="M54" s="34">
        <v>414</v>
      </c>
      <c r="N54" s="34">
        <v>396</v>
      </c>
      <c r="O54" s="34">
        <v>369</v>
      </c>
      <c r="P54" s="34">
        <v>368.3</v>
      </c>
      <c r="Q54" s="34">
        <v>360</v>
      </c>
      <c r="R54" s="34">
        <v>360</v>
      </c>
      <c r="S54" s="34">
        <v>347.4</v>
      </c>
      <c r="T54" s="34">
        <v>335.9</v>
      </c>
      <c r="U54" s="34">
        <v>306</v>
      </c>
      <c r="V54" s="34">
        <v>306</v>
      </c>
      <c r="W54" s="34">
        <v>304.2</v>
      </c>
      <c r="X54" s="34">
        <v>288</v>
      </c>
      <c r="Y54" s="34">
        <v>288</v>
      </c>
      <c r="Z54" s="34">
        <v>267.8</v>
      </c>
      <c r="AA54" s="34">
        <v>244.8</v>
      </c>
      <c r="AB54" s="34">
        <v>234</v>
      </c>
      <c r="AC54" s="34">
        <v>234</v>
      </c>
      <c r="AD54" s="34">
        <v>225</v>
      </c>
      <c r="AE54" s="34">
        <v>225</v>
      </c>
      <c r="AF54" s="34">
        <v>216</v>
      </c>
      <c r="AG54" s="34">
        <v>216</v>
      </c>
      <c r="AH54" s="34">
        <v>216</v>
      </c>
      <c r="AI54" s="34">
        <v>216</v>
      </c>
      <c r="AJ54" s="34">
        <v>202.7</v>
      </c>
      <c r="AK54" s="34">
        <v>196.2</v>
      </c>
      <c r="AL54" s="34">
        <v>183.6</v>
      </c>
      <c r="AM54" s="34">
        <v>180</v>
      </c>
      <c r="AN54" s="34">
        <v>180</v>
      </c>
      <c r="AO54" s="34">
        <v>178.9</v>
      </c>
      <c r="AP54" s="34">
        <v>147.6</v>
      </c>
      <c r="AQ54" s="34">
        <v>144</v>
      </c>
      <c r="AR54" s="34">
        <v>132.1</v>
      </c>
      <c r="AS54" s="34">
        <v>127.1</v>
      </c>
      <c r="AT54" s="34">
        <v>108</v>
      </c>
      <c r="AU54" s="34">
        <v>108</v>
      </c>
      <c r="AV54" s="34">
        <v>103.7</v>
      </c>
      <c r="AW54" s="34">
        <v>102.6</v>
      </c>
      <c r="AX54" s="34">
        <v>90</v>
      </c>
      <c r="AY54" s="34">
        <v>90</v>
      </c>
      <c r="AZ54" s="34">
        <v>90</v>
      </c>
      <c r="BA54" s="34">
        <v>81</v>
      </c>
      <c r="BB54" s="34">
        <v>72</v>
      </c>
      <c r="BC54" s="34">
        <v>72</v>
      </c>
      <c r="BD54" s="34">
        <v>72</v>
      </c>
      <c r="BE54" s="34">
        <v>68.400000000000006</v>
      </c>
      <c r="BF54" s="34">
        <v>60.1</v>
      </c>
      <c r="BG54" s="34">
        <v>54</v>
      </c>
      <c r="BH54" s="34">
        <v>54</v>
      </c>
      <c r="BI54" s="34">
        <v>36</v>
      </c>
      <c r="BJ54" s="34">
        <v>36</v>
      </c>
      <c r="BK54" s="34">
        <v>36</v>
      </c>
      <c r="BL54" s="34">
        <v>36</v>
      </c>
      <c r="BM54" s="34">
        <v>34.200000000000003</v>
      </c>
      <c r="BN54" s="34">
        <v>28.8</v>
      </c>
      <c r="BO54" s="34">
        <v>18</v>
      </c>
      <c r="BP54" s="34">
        <v>18</v>
      </c>
      <c r="BQ54" s="34">
        <v>0</v>
      </c>
      <c r="BR54" s="17">
        <f t="shared" si="0"/>
        <v>15783.100000000002</v>
      </c>
    </row>
    <row r="55" spans="1:70" x14ac:dyDescent="0.25">
      <c r="A55" s="5">
        <v>45870</v>
      </c>
      <c r="B55" s="34">
        <v>900</v>
      </c>
      <c r="C55" s="34">
        <v>648</v>
      </c>
      <c r="D55" s="34">
        <v>558</v>
      </c>
      <c r="E55" s="34">
        <v>540</v>
      </c>
      <c r="F55" s="34">
        <v>540</v>
      </c>
      <c r="G55" s="34">
        <v>486.7</v>
      </c>
      <c r="H55" s="34">
        <v>468</v>
      </c>
      <c r="I55" s="34">
        <v>468</v>
      </c>
      <c r="J55" s="34">
        <v>432</v>
      </c>
      <c r="K55" s="34">
        <v>432</v>
      </c>
      <c r="L55" s="34">
        <v>432</v>
      </c>
      <c r="M55" s="34">
        <v>414</v>
      </c>
      <c r="N55" s="34">
        <v>396</v>
      </c>
      <c r="O55" s="34">
        <v>369</v>
      </c>
      <c r="P55" s="34">
        <v>368.3</v>
      </c>
      <c r="Q55" s="34">
        <v>360</v>
      </c>
      <c r="R55" s="34">
        <v>360</v>
      </c>
      <c r="S55" s="34">
        <v>347.4</v>
      </c>
      <c r="T55" s="34">
        <v>335.9</v>
      </c>
      <c r="U55" s="34">
        <v>306</v>
      </c>
      <c r="V55" s="34">
        <v>306</v>
      </c>
      <c r="W55" s="34">
        <v>304.2</v>
      </c>
      <c r="X55" s="34">
        <v>288</v>
      </c>
      <c r="Y55" s="34">
        <v>288</v>
      </c>
      <c r="Z55" s="34">
        <v>267.8</v>
      </c>
      <c r="AA55" s="34">
        <v>244.8</v>
      </c>
      <c r="AB55" s="34">
        <v>234</v>
      </c>
      <c r="AC55" s="34">
        <v>234</v>
      </c>
      <c r="AD55" s="34">
        <v>225</v>
      </c>
      <c r="AE55" s="34">
        <v>225</v>
      </c>
      <c r="AF55" s="34">
        <v>216</v>
      </c>
      <c r="AG55" s="34">
        <v>216</v>
      </c>
      <c r="AH55" s="34">
        <v>216</v>
      </c>
      <c r="AI55" s="34">
        <v>216</v>
      </c>
      <c r="AJ55" s="34">
        <v>202.7</v>
      </c>
      <c r="AK55" s="34">
        <v>196.2</v>
      </c>
      <c r="AL55" s="34">
        <v>183.6</v>
      </c>
      <c r="AM55" s="34">
        <v>180</v>
      </c>
      <c r="AN55" s="34">
        <v>180</v>
      </c>
      <c r="AO55" s="34">
        <v>178.9</v>
      </c>
      <c r="AP55" s="34">
        <v>147.6</v>
      </c>
      <c r="AQ55" s="34">
        <v>144</v>
      </c>
      <c r="AR55" s="34">
        <v>132.1</v>
      </c>
      <c r="AS55" s="34">
        <v>127.1</v>
      </c>
      <c r="AT55" s="34">
        <v>108</v>
      </c>
      <c r="AU55" s="34">
        <v>108</v>
      </c>
      <c r="AV55" s="34">
        <v>103.7</v>
      </c>
      <c r="AW55" s="34">
        <v>102.6</v>
      </c>
      <c r="AX55" s="34">
        <v>90</v>
      </c>
      <c r="AY55" s="34">
        <v>90</v>
      </c>
      <c r="AZ55" s="34">
        <v>90</v>
      </c>
      <c r="BA55" s="34">
        <v>81</v>
      </c>
      <c r="BB55" s="34">
        <v>72</v>
      </c>
      <c r="BC55" s="34">
        <v>72</v>
      </c>
      <c r="BD55" s="34">
        <v>72</v>
      </c>
      <c r="BE55" s="34">
        <v>68.400000000000006</v>
      </c>
      <c r="BF55" s="34">
        <v>60.1</v>
      </c>
      <c r="BG55" s="34">
        <v>54</v>
      </c>
      <c r="BH55" s="34">
        <v>54</v>
      </c>
      <c r="BI55" s="34">
        <v>36</v>
      </c>
      <c r="BJ55" s="34">
        <v>36</v>
      </c>
      <c r="BK55" s="34">
        <v>36</v>
      </c>
      <c r="BL55" s="34">
        <v>36</v>
      </c>
      <c r="BM55" s="34">
        <v>34.200000000000003</v>
      </c>
      <c r="BN55" s="34">
        <v>28.8</v>
      </c>
      <c r="BO55" s="34">
        <v>18</v>
      </c>
      <c r="BP55" s="34">
        <v>18</v>
      </c>
      <c r="BQ55" s="34">
        <v>0</v>
      </c>
      <c r="BR55" s="17">
        <f t="shared" si="0"/>
        <v>15783.100000000002</v>
      </c>
    </row>
    <row r="56" spans="1:70" x14ac:dyDescent="0.25">
      <c r="A56" s="5">
        <v>45901</v>
      </c>
      <c r="B56" s="34">
        <v>900</v>
      </c>
      <c r="C56" s="34">
        <v>648</v>
      </c>
      <c r="D56" s="34">
        <v>558</v>
      </c>
      <c r="E56" s="34">
        <v>540</v>
      </c>
      <c r="F56" s="34">
        <v>540</v>
      </c>
      <c r="G56" s="34">
        <v>486.7</v>
      </c>
      <c r="H56" s="34">
        <v>468</v>
      </c>
      <c r="I56" s="34">
        <v>468</v>
      </c>
      <c r="J56" s="34">
        <v>432</v>
      </c>
      <c r="K56" s="34">
        <v>432</v>
      </c>
      <c r="L56" s="34">
        <v>432</v>
      </c>
      <c r="M56" s="34">
        <v>414</v>
      </c>
      <c r="N56" s="34">
        <v>396</v>
      </c>
      <c r="O56" s="34">
        <v>369</v>
      </c>
      <c r="P56" s="34">
        <v>368.3</v>
      </c>
      <c r="Q56" s="34">
        <v>360</v>
      </c>
      <c r="R56" s="34">
        <v>360</v>
      </c>
      <c r="S56" s="34">
        <v>347.4</v>
      </c>
      <c r="T56" s="34">
        <v>335.9</v>
      </c>
      <c r="U56" s="34">
        <v>306</v>
      </c>
      <c r="V56" s="34">
        <v>306</v>
      </c>
      <c r="W56" s="34">
        <v>304.2</v>
      </c>
      <c r="X56" s="34">
        <v>288</v>
      </c>
      <c r="Y56" s="34">
        <v>288</v>
      </c>
      <c r="Z56" s="34">
        <v>267.8</v>
      </c>
      <c r="AA56" s="34">
        <v>244.8</v>
      </c>
      <c r="AB56" s="34">
        <v>234</v>
      </c>
      <c r="AC56" s="34">
        <v>234</v>
      </c>
      <c r="AD56" s="34">
        <v>225</v>
      </c>
      <c r="AE56" s="34">
        <v>225</v>
      </c>
      <c r="AF56" s="34">
        <v>216</v>
      </c>
      <c r="AG56" s="34">
        <v>216</v>
      </c>
      <c r="AH56" s="34">
        <v>216</v>
      </c>
      <c r="AI56" s="34">
        <v>216</v>
      </c>
      <c r="AJ56" s="34">
        <v>202.7</v>
      </c>
      <c r="AK56" s="34">
        <v>196.2</v>
      </c>
      <c r="AL56" s="34">
        <v>183.6</v>
      </c>
      <c r="AM56" s="34">
        <v>180</v>
      </c>
      <c r="AN56" s="34">
        <v>180</v>
      </c>
      <c r="AO56" s="34">
        <v>178.9</v>
      </c>
      <c r="AP56" s="34">
        <v>147.6</v>
      </c>
      <c r="AQ56" s="34">
        <v>144</v>
      </c>
      <c r="AR56" s="34">
        <v>132.1</v>
      </c>
      <c r="AS56" s="34">
        <v>127.1</v>
      </c>
      <c r="AT56" s="34">
        <v>108</v>
      </c>
      <c r="AU56" s="34">
        <v>108</v>
      </c>
      <c r="AV56" s="34">
        <v>103.7</v>
      </c>
      <c r="AW56" s="34">
        <v>102.6</v>
      </c>
      <c r="AX56" s="34">
        <v>90</v>
      </c>
      <c r="AY56" s="34">
        <v>90</v>
      </c>
      <c r="AZ56" s="34">
        <v>90</v>
      </c>
      <c r="BA56" s="34">
        <v>81</v>
      </c>
      <c r="BB56" s="34">
        <v>72</v>
      </c>
      <c r="BC56" s="34">
        <v>72</v>
      </c>
      <c r="BD56" s="34">
        <v>72</v>
      </c>
      <c r="BE56" s="34">
        <v>68.400000000000006</v>
      </c>
      <c r="BF56" s="34">
        <v>60.1</v>
      </c>
      <c r="BG56" s="34">
        <v>54</v>
      </c>
      <c r="BH56" s="34">
        <v>54</v>
      </c>
      <c r="BI56" s="34">
        <v>36</v>
      </c>
      <c r="BJ56" s="34">
        <v>36</v>
      </c>
      <c r="BK56" s="34">
        <v>36</v>
      </c>
      <c r="BL56" s="34">
        <v>36</v>
      </c>
      <c r="BM56" s="34">
        <v>34.200000000000003</v>
      </c>
      <c r="BN56" s="34">
        <v>28.8</v>
      </c>
      <c r="BO56" s="34">
        <v>18</v>
      </c>
      <c r="BP56" s="34">
        <v>18</v>
      </c>
      <c r="BQ56" s="34">
        <v>0</v>
      </c>
      <c r="BR56" s="17">
        <f t="shared" si="0"/>
        <v>15783.100000000002</v>
      </c>
    </row>
    <row r="57" spans="1:70" x14ac:dyDescent="0.25">
      <c r="A57" s="5">
        <v>45931</v>
      </c>
      <c r="B57" s="34">
        <v>900</v>
      </c>
      <c r="C57" s="34">
        <v>648</v>
      </c>
      <c r="D57" s="34">
        <v>558</v>
      </c>
      <c r="E57" s="34">
        <v>540</v>
      </c>
      <c r="F57" s="34">
        <v>540</v>
      </c>
      <c r="G57" s="34">
        <v>486.7</v>
      </c>
      <c r="H57" s="34">
        <v>468</v>
      </c>
      <c r="I57" s="34">
        <v>468</v>
      </c>
      <c r="J57" s="34">
        <v>432</v>
      </c>
      <c r="K57" s="34">
        <v>432</v>
      </c>
      <c r="L57" s="34">
        <v>432</v>
      </c>
      <c r="M57" s="34">
        <v>414</v>
      </c>
      <c r="N57" s="34">
        <v>396</v>
      </c>
      <c r="O57" s="34">
        <v>369</v>
      </c>
      <c r="P57" s="34">
        <v>368.3</v>
      </c>
      <c r="Q57" s="34">
        <v>360</v>
      </c>
      <c r="R57" s="34">
        <v>360</v>
      </c>
      <c r="S57" s="34">
        <v>347.4</v>
      </c>
      <c r="T57" s="34">
        <v>335.9</v>
      </c>
      <c r="U57" s="34">
        <v>306</v>
      </c>
      <c r="V57" s="34">
        <v>306</v>
      </c>
      <c r="W57" s="34">
        <v>304.2</v>
      </c>
      <c r="X57" s="34">
        <v>288</v>
      </c>
      <c r="Y57" s="34">
        <v>288</v>
      </c>
      <c r="Z57" s="34">
        <v>267.8</v>
      </c>
      <c r="AA57" s="34">
        <v>244.8</v>
      </c>
      <c r="AB57" s="34">
        <v>234</v>
      </c>
      <c r="AC57" s="34">
        <v>234</v>
      </c>
      <c r="AD57" s="34">
        <v>225</v>
      </c>
      <c r="AE57" s="34">
        <v>225</v>
      </c>
      <c r="AF57" s="34">
        <v>216</v>
      </c>
      <c r="AG57" s="34">
        <v>216</v>
      </c>
      <c r="AH57" s="34">
        <v>216</v>
      </c>
      <c r="AI57" s="34">
        <v>216</v>
      </c>
      <c r="AJ57" s="34">
        <v>202.7</v>
      </c>
      <c r="AK57" s="34">
        <v>196.2</v>
      </c>
      <c r="AL57" s="34">
        <v>183.6</v>
      </c>
      <c r="AM57" s="34">
        <v>180</v>
      </c>
      <c r="AN57" s="34">
        <v>180</v>
      </c>
      <c r="AO57" s="34">
        <v>178.9</v>
      </c>
      <c r="AP57" s="34">
        <v>147.6</v>
      </c>
      <c r="AQ57" s="34">
        <v>144</v>
      </c>
      <c r="AR57" s="34">
        <v>132.1</v>
      </c>
      <c r="AS57" s="34">
        <v>127.1</v>
      </c>
      <c r="AT57" s="34">
        <v>108</v>
      </c>
      <c r="AU57" s="34">
        <v>108</v>
      </c>
      <c r="AV57" s="34">
        <v>103.7</v>
      </c>
      <c r="AW57" s="34">
        <v>102.6</v>
      </c>
      <c r="AX57" s="34">
        <v>90</v>
      </c>
      <c r="AY57" s="34">
        <v>90</v>
      </c>
      <c r="AZ57" s="34">
        <v>90</v>
      </c>
      <c r="BA57" s="34">
        <v>81</v>
      </c>
      <c r="BB57" s="34">
        <v>72</v>
      </c>
      <c r="BC57" s="34">
        <v>72</v>
      </c>
      <c r="BD57" s="34">
        <v>72</v>
      </c>
      <c r="BE57" s="34">
        <v>68.400000000000006</v>
      </c>
      <c r="BF57" s="34">
        <v>60.1</v>
      </c>
      <c r="BG57" s="34">
        <v>54</v>
      </c>
      <c r="BH57" s="34">
        <v>54</v>
      </c>
      <c r="BI57" s="34">
        <v>36</v>
      </c>
      <c r="BJ57" s="34">
        <v>36</v>
      </c>
      <c r="BK57" s="34">
        <v>36</v>
      </c>
      <c r="BL57" s="34">
        <v>36</v>
      </c>
      <c r="BM57" s="34">
        <v>34.200000000000003</v>
      </c>
      <c r="BN57" s="34">
        <v>28.8</v>
      </c>
      <c r="BO57" s="34">
        <v>18</v>
      </c>
      <c r="BP57" s="34">
        <v>18</v>
      </c>
      <c r="BQ57" s="34">
        <v>0</v>
      </c>
      <c r="BR57" s="17">
        <f t="shared" si="0"/>
        <v>15783.100000000002</v>
      </c>
    </row>
    <row r="58" spans="1:70" x14ac:dyDescent="0.25">
      <c r="A58" s="5">
        <v>45962</v>
      </c>
      <c r="B58" s="34">
        <v>900</v>
      </c>
      <c r="C58" s="34">
        <v>648</v>
      </c>
      <c r="D58" s="34">
        <v>558</v>
      </c>
      <c r="E58" s="34">
        <v>540</v>
      </c>
      <c r="F58" s="34">
        <v>540</v>
      </c>
      <c r="G58" s="34">
        <v>486.7</v>
      </c>
      <c r="H58" s="34">
        <v>468</v>
      </c>
      <c r="I58" s="34">
        <v>468</v>
      </c>
      <c r="J58" s="34">
        <v>432</v>
      </c>
      <c r="K58" s="34">
        <v>432</v>
      </c>
      <c r="L58" s="34">
        <v>432</v>
      </c>
      <c r="M58" s="34">
        <v>414</v>
      </c>
      <c r="N58" s="34">
        <v>396</v>
      </c>
      <c r="O58" s="34">
        <v>369</v>
      </c>
      <c r="P58" s="34">
        <v>368.3</v>
      </c>
      <c r="Q58" s="34">
        <v>360</v>
      </c>
      <c r="R58" s="34">
        <v>360</v>
      </c>
      <c r="S58" s="34">
        <v>347.4</v>
      </c>
      <c r="T58" s="34">
        <v>335.9</v>
      </c>
      <c r="U58" s="34">
        <v>306</v>
      </c>
      <c r="V58" s="34">
        <v>306</v>
      </c>
      <c r="W58" s="34">
        <v>304.2</v>
      </c>
      <c r="X58" s="34">
        <v>288</v>
      </c>
      <c r="Y58" s="34">
        <v>288</v>
      </c>
      <c r="Z58" s="34">
        <v>267.8</v>
      </c>
      <c r="AA58" s="34">
        <v>244.8</v>
      </c>
      <c r="AB58" s="34">
        <v>234</v>
      </c>
      <c r="AC58" s="34">
        <v>234</v>
      </c>
      <c r="AD58" s="34">
        <v>225</v>
      </c>
      <c r="AE58" s="34">
        <v>225</v>
      </c>
      <c r="AF58" s="34">
        <v>216</v>
      </c>
      <c r="AG58" s="34">
        <v>216</v>
      </c>
      <c r="AH58" s="34">
        <v>216</v>
      </c>
      <c r="AI58" s="34">
        <v>216</v>
      </c>
      <c r="AJ58" s="34">
        <v>202.7</v>
      </c>
      <c r="AK58" s="34">
        <v>196.2</v>
      </c>
      <c r="AL58" s="34">
        <v>183.6</v>
      </c>
      <c r="AM58" s="34">
        <v>180</v>
      </c>
      <c r="AN58" s="34">
        <v>180</v>
      </c>
      <c r="AO58" s="34">
        <v>178.9</v>
      </c>
      <c r="AP58" s="34">
        <v>147.6</v>
      </c>
      <c r="AQ58" s="34">
        <v>144</v>
      </c>
      <c r="AR58" s="34">
        <v>132.1</v>
      </c>
      <c r="AS58" s="34">
        <v>127.1</v>
      </c>
      <c r="AT58" s="34">
        <v>108</v>
      </c>
      <c r="AU58" s="34">
        <v>108</v>
      </c>
      <c r="AV58" s="34">
        <v>103.7</v>
      </c>
      <c r="AW58" s="34">
        <v>102.6</v>
      </c>
      <c r="AX58" s="34">
        <v>90</v>
      </c>
      <c r="AY58" s="34">
        <v>90</v>
      </c>
      <c r="AZ58" s="34">
        <v>90</v>
      </c>
      <c r="BA58" s="34">
        <v>81</v>
      </c>
      <c r="BB58" s="34">
        <v>72</v>
      </c>
      <c r="BC58" s="34">
        <v>72</v>
      </c>
      <c r="BD58" s="34">
        <v>72</v>
      </c>
      <c r="BE58" s="34">
        <v>68.400000000000006</v>
      </c>
      <c r="BF58" s="34">
        <v>60.1</v>
      </c>
      <c r="BG58" s="34">
        <v>54</v>
      </c>
      <c r="BH58" s="34">
        <v>54</v>
      </c>
      <c r="BI58" s="34">
        <v>36</v>
      </c>
      <c r="BJ58" s="34">
        <v>36</v>
      </c>
      <c r="BK58" s="34">
        <v>36</v>
      </c>
      <c r="BL58" s="34">
        <v>36</v>
      </c>
      <c r="BM58" s="34">
        <v>34.200000000000003</v>
      </c>
      <c r="BN58" s="34">
        <v>28.8</v>
      </c>
      <c r="BO58" s="34">
        <v>18</v>
      </c>
      <c r="BP58" s="34">
        <v>18</v>
      </c>
      <c r="BQ58" s="34">
        <v>0</v>
      </c>
      <c r="BR58" s="17">
        <f t="shared" si="0"/>
        <v>15783.100000000002</v>
      </c>
    </row>
    <row r="59" spans="1:70" x14ac:dyDescent="0.25">
      <c r="A59" s="5">
        <v>45992</v>
      </c>
      <c r="B59" s="34">
        <v>900</v>
      </c>
      <c r="C59" s="34">
        <v>648</v>
      </c>
      <c r="D59" s="34">
        <v>558</v>
      </c>
      <c r="E59" s="34">
        <v>540</v>
      </c>
      <c r="F59" s="34">
        <v>540</v>
      </c>
      <c r="G59" s="34">
        <v>486.7</v>
      </c>
      <c r="H59" s="34">
        <v>468</v>
      </c>
      <c r="I59" s="34">
        <v>468</v>
      </c>
      <c r="J59" s="34">
        <v>432</v>
      </c>
      <c r="K59" s="34">
        <v>432</v>
      </c>
      <c r="L59" s="34">
        <v>432</v>
      </c>
      <c r="M59" s="34">
        <v>414</v>
      </c>
      <c r="N59" s="34">
        <v>396</v>
      </c>
      <c r="O59" s="34">
        <v>369</v>
      </c>
      <c r="P59" s="34">
        <v>368.3</v>
      </c>
      <c r="Q59" s="34">
        <v>360</v>
      </c>
      <c r="R59" s="34">
        <v>360</v>
      </c>
      <c r="S59" s="34">
        <v>347.4</v>
      </c>
      <c r="T59" s="34">
        <v>335.9</v>
      </c>
      <c r="U59" s="34">
        <v>306</v>
      </c>
      <c r="V59" s="34">
        <v>306</v>
      </c>
      <c r="W59" s="34">
        <v>304.2</v>
      </c>
      <c r="X59" s="34">
        <v>288</v>
      </c>
      <c r="Y59" s="34">
        <v>288</v>
      </c>
      <c r="Z59" s="34">
        <v>267.8</v>
      </c>
      <c r="AA59" s="34">
        <v>244.8</v>
      </c>
      <c r="AB59" s="34">
        <v>234</v>
      </c>
      <c r="AC59" s="34">
        <v>234</v>
      </c>
      <c r="AD59" s="34">
        <v>225</v>
      </c>
      <c r="AE59" s="34">
        <v>225</v>
      </c>
      <c r="AF59" s="34">
        <v>216</v>
      </c>
      <c r="AG59" s="34">
        <v>216</v>
      </c>
      <c r="AH59" s="34">
        <v>216</v>
      </c>
      <c r="AI59" s="34">
        <v>216</v>
      </c>
      <c r="AJ59" s="34">
        <v>202.7</v>
      </c>
      <c r="AK59" s="34">
        <v>196.2</v>
      </c>
      <c r="AL59" s="34">
        <v>183.6</v>
      </c>
      <c r="AM59" s="34">
        <v>180</v>
      </c>
      <c r="AN59" s="34">
        <v>180</v>
      </c>
      <c r="AO59" s="34">
        <v>178.9</v>
      </c>
      <c r="AP59" s="34">
        <v>147.6</v>
      </c>
      <c r="AQ59" s="34">
        <v>144</v>
      </c>
      <c r="AR59" s="34">
        <v>132.1</v>
      </c>
      <c r="AS59" s="34">
        <v>127.1</v>
      </c>
      <c r="AT59" s="34">
        <v>108</v>
      </c>
      <c r="AU59" s="34">
        <v>108</v>
      </c>
      <c r="AV59" s="34">
        <v>103.7</v>
      </c>
      <c r="AW59" s="34">
        <v>102.6</v>
      </c>
      <c r="AX59" s="34">
        <v>90</v>
      </c>
      <c r="AY59" s="34">
        <v>90</v>
      </c>
      <c r="AZ59" s="34">
        <v>90</v>
      </c>
      <c r="BA59" s="34">
        <v>81</v>
      </c>
      <c r="BB59" s="34">
        <v>72</v>
      </c>
      <c r="BC59" s="34">
        <v>72</v>
      </c>
      <c r="BD59" s="34">
        <v>72</v>
      </c>
      <c r="BE59" s="34">
        <v>68.400000000000006</v>
      </c>
      <c r="BF59" s="34">
        <v>60.1</v>
      </c>
      <c r="BG59" s="34">
        <v>54</v>
      </c>
      <c r="BH59" s="34">
        <v>54</v>
      </c>
      <c r="BI59" s="34">
        <v>36</v>
      </c>
      <c r="BJ59" s="34">
        <v>36</v>
      </c>
      <c r="BK59" s="34">
        <v>36</v>
      </c>
      <c r="BL59" s="34">
        <v>36</v>
      </c>
      <c r="BM59" s="34">
        <v>34.200000000000003</v>
      </c>
      <c r="BN59" s="34">
        <v>28.8</v>
      </c>
      <c r="BO59" s="34">
        <v>18</v>
      </c>
      <c r="BP59" s="34">
        <v>18</v>
      </c>
      <c r="BQ59" s="34">
        <v>0</v>
      </c>
      <c r="BR59" s="17">
        <f t="shared" si="0"/>
        <v>15783.100000000002</v>
      </c>
    </row>
    <row r="60" spans="1:70" x14ac:dyDescent="0.25">
      <c r="A60" s="5">
        <v>46023</v>
      </c>
      <c r="B60" s="34">
        <v>900</v>
      </c>
      <c r="C60" s="34">
        <v>648</v>
      </c>
      <c r="D60" s="34">
        <v>558</v>
      </c>
      <c r="E60" s="34">
        <v>540</v>
      </c>
      <c r="F60" s="34">
        <v>540</v>
      </c>
      <c r="G60" s="34">
        <v>486.7</v>
      </c>
      <c r="H60" s="34">
        <v>468</v>
      </c>
      <c r="I60" s="34">
        <v>468</v>
      </c>
      <c r="J60" s="34">
        <v>432</v>
      </c>
      <c r="K60" s="34">
        <v>432</v>
      </c>
      <c r="L60" s="34">
        <v>432</v>
      </c>
      <c r="M60" s="34">
        <v>414</v>
      </c>
      <c r="N60" s="34">
        <v>396</v>
      </c>
      <c r="O60" s="34">
        <v>369</v>
      </c>
      <c r="P60" s="34">
        <v>368.3</v>
      </c>
      <c r="Q60" s="34">
        <v>360</v>
      </c>
      <c r="R60" s="34">
        <v>360</v>
      </c>
      <c r="S60" s="34">
        <v>347.4</v>
      </c>
      <c r="T60" s="34">
        <v>335.9</v>
      </c>
      <c r="U60" s="34">
        <v>306</v>
      </c>
      <c r="V60" s="34">
        <v>306</v>
      </c>
      <c r="W60" s="34">
        <v>304.2</v>
      </c>
      <c r="X60" s="34">
        <v>288</v>
      </c>
      <c r="Y60" s="34">
        <v>288</v>
      </c>
      <c r="Z60" s="34">
        <v>267.8</v>
      </c>
      <c r="AA60" s="34">
        <v>244.8</v>
      </c>
      <c r="AB60" s="34">
        <v>234</v>
      </c>
      <c r="AC60" s="34">
        <v>234</v>
      </c>
      <c r="AD60" s="34">
        <v>225</v>
      </c>
      <c r="AE60" s="34">
        <v>225</v>
      </c>
      <c r="AF60" s="34">
        <v>216</v>
      </c>
      <c r="AG60" s="34">
        <v>216</v>
      </c>
      <c r="AH60" s="34">
        <v>216</v>
      </c>
      <c r="AI60" s="34">
        <v>216</v>
      </c>
      <c r="AJ60" s="34">
        <v>202.7</v>
      </c>
      <c r="AK60" s="34">
        <v>196.2</v>
      </c>
      <c r="AL60" s="34">
        <v>183.6</v>
      </c>
      <c r="AM60" s="34">
        <v>180</v>
      </c>
      <c r="AN60" s="34">
        <v>180</v>
      </c>
      <c r="AO60" s="34">
        <v>178.9</v>
      </c>
      <c r="AP60" s="34">
        <v>147.6</v>
      </c>
      <c r="AQ60" s="34">
        <v>144</v>
      </c>
      <c r="AR60" s="34">
        <v>132.1</v>
      </c>
      <c r="AS60" s="34">
        <v>127.1</v>
      </c>
      <c r="AT60" s="34">
        <v>108</v>
      </c>
      <c r="AU60" s="34">
        <v>108</v>
      </c>
      <c r="AV60" s="34">
        <v>103.7</v>
      </c>
      <c r="AW60" s="34">
        <v>102.6</v>
      </c>
      <c r="AX60" s="34">
        <v>90</v>
      </c>
      <c r="AY60" s="34">
        <v>90</v>
      </c>
      <c r="AZ60" s="34">
        <v>90</v>
      </c>
      <c r="BA60" s="34">
        <v>81</v>
      </c>
      <c r="BB60" s="34">
        <v>72</v>
      </c>
      <c r="BC60" s="34">
        <v>72</v>
      </c>
      <c r="BD60" s="34">
        <v>72</v>
      </c>
      <c r="BE60" s="34">
        <v>68.400000000000006</v>
      </c>
      <c r="BF60" s="34">
        <v>60.1</v>
      </c>
      <c r="BG60" s="34">
        <v>54</v>
      </c>
      <c r="BH60" s="34">
        <v>54</v>
      </c>
      <c r="BI60" s="34">
        <v>36</v>
      </c>
      <c r="BJ60" s="34">
        <v>36</v>
      </c>
      <c r="BK60" s="34">
        <v>36</v>
      </c>
      <c r="BL60" s="34">
        <v>36</v>
      </c>
      <c r="BM60" s="34">
        <v>34.200000000000003</v>
      </c>
      <c r="BN60" s="34">
        <v>28.8</v>
      </c>
      <c r="BO60" s="34">
        <v>18</v>
      </c>
      <c r="BP60" s="34">
        <v>18</v>
      </c>
      <c r="BQ60" s="34">
        <v>0</v>
      </c>
      <c r="BR60" s="17">
        <f t="shared" si="0"/>
        <v>15783.100000000002</v>
      </c>
    </row>
    <row r="61" spans="1:70" x14ac:dyDescent="0.25">
      <c r="A61" s="5">
        <v>46054</v>
      </c>
      <c r="B61" s="34">
        <v>900</v>
      </c>
      <c r="C61" s="34">
        <v>648</v>
      </c>
      <c r="D61" s="34">
        <v>558</v>
      </c>
      <c r="E61" s="34">
        <v>540</v>
      </c>
      <c r="F61" s="34">
        <v>540</v>
      </c>
      <c r="G61" s="34">
        <v>486.7</v>
      </c>
      <c r="H61" s="34">
        <v>468</v>
      </c>
      <c r="I61" s="34">
        <v>468</v>
      </c>
      <c r="J61" s="34">
        <v>432</v>
      </c>
      <c r="K61" s="34">
        <v>432</v>
      </c>
      <c r="L61" s="34">
        <v>432</v>
      </c>
      <c r="M61" s="34">
        <v>414</v>
      </c>
      <c r="N61" s="34">
        <v>396</v>
      </c>
      <c r="O61" s="34">
        <v>369</v>
      </c>
      <c r="P61" s="34">
        <v>368.3</v>
      </c>
      <c r="Q61" s="34">
        <v>360</v>
      </c>
      <c r="R61" s="34">
        <v>360</v>
      </c>
      <c r="S61" s="34">
        <v>347.4</v>
      </c>
      <c r="T61" s="34">
        <v>335.9</v>
      </c>
      <c r="U61" s="34">
        <v>306</v>
      </c>
      <c r="V61" s="34">
        <v>306</v>
      </c>
      <c r="W61" s="34">
        <v>304.2</v>
      </c>
      <c r="X61" s="34">
        <v>288</v>
      </c>
      <c r="Y61" s="34">
        <v>288</v>
      </c>
      <c r="Z61" s="34">
        <v>267.8</v>
      </c>
      <c r="AA61" s="34">
        <v>244.8</v>
      </c>
      <c r="AB61" s="34">
        <v>234</v>
      </c>
      <c r="AC61" s="34">
        <v>234</v>
      </c>
      <c r="AD61" s="34">
        <v>225</v>
      </c>
      <c r="AE61" s="34">
        <v>225</v>
      </c>
      <c r="AF61" s="34">
        <v>216</v>
      </c>
      <c r="AG61" s="34">
        <v>216</v>
      </c>
      <c r="AH61" s="34">
        <v>216</v>
      </c>
      <c r="AI61" s="34">
        <v>216</v>
      </c>
      <c r="AJ61" s="34">
        <v>202.7</v>
      </c>
      <c r="AK61" s="34">
        <v>196.2</v>
      </c>
      <c r="AL61" s="34">
        <v>183.6</v>
      </c>
      <c r="AM61" s="34">
        <v>180</v>
      </c>
      <c r="AN61" s="34">
        <v>180</v>
      </c>
      <c r="AO61" s="34">
        <v>178.9</v>
      </c>
      <c r="AP61" s="34">
        <v>147.6</v>
      </c>
      <c r="AQ61" s="34">
        <v>144</v>
      </c>
      <c r="AR61" s="34">
        <v>132.1</v>
      </c>
      <c r="AS61" s="34">
        <v>127.1</v>
      </c>
      <c r="AT61" s="34">
        <v>108</v>
      </c>
      <c r="AU61" s="34">
        <v>108</v>
      </c>
      <c r="AV61" s="34">
        <v>103.7</v>
      </c>
      <c r="AW61" s="34">
        <v>102.6</v>
      </c>
      <c r="AX61" s="34">
        <v>90</v>
      </c>
      <c r="AY61" s="34">
        <v>90</v>
      </c>
      <c r="AZ61" s="34">
        <v>90</v>
      </c>
      <c r="BA61" s="34">
        <v>81</v>
      </c>
      <c r="BB61" s="34">
        <v>72</v>
      </c>
      <c r="BC61" s="34">
        <v>72</v>
      </c>
      <c r="BD61" s="34">
        <v>72</v>
      </c>
      <c r="BE61" s="34">
        <v>68.400000000000006</v>
      </c>
      <c r="BF61" s="34">
        <v>60.1</v>
      </c>
      <c r="BG61" s="34">
        <v>54</v>
      </c>
      <c r="BH61" s="34">
        <v>54</v>
      </c>
      <c r="BI61" s="34">
        <v>36</v>
      </c>
      <c r="BJ61" s="34">
        <v>36</v>
      </c>
      <c r="BK61" s="34">
        <v>36</v>
      </c>
      <c r="BL61" s="34">
        <v>36</v>
      </c>
      <c r="BM61" s="34">
        <v>34.200000000000003</v>
      </c>
      <c r="BN61" s="34">
        <v>28.8</v>
      </c>
      <c r="BO61" s="34">
        <v>18</v>
      </c>
      <c r="BP61" s="34">
        <v>18</v>
      </c>
      <c r="BQ61" s="34">
        <v>0</v>
      </c>
      <c r="BR61" s="17">
        <f t="shared" si="0"/>
        <v>15783.100000000002</v>
      </c>
    </row>
    <row r="62" spans="1:70" x14ac:dyDescent="0.25">
      <c r="A62" s="5">
        <v>46082</v>
      </c>
      <c r="B62" s="34">
        <v>900</v>
      </c>
      <c r="C62" s="34">
        <v>648</v>
      </c>
      <c r="D62" s="34">
        <v>558</v>
      </c>
      <c r="E62" s="34">
        <v>540</v>
      </c>
      <c r="F62" s="34">
        <v>540</v>
      </c>
      <c r="G62" s="34">
        <v>486.7</v>
      </c>
      <c r="H62" s="34">
        <v>468</v>
      </c>
      <c r="I62" s="34">
        <v>468</v>
      </c>
      <c r="J62" s="34">
        <v>432</v>
      </c>
      <c r="K62" s="34">
        <v>432</v>
      </c>
      <c r="L62" s="34">
        <v>432</v>
      </c>
      <c r="M62" s="34">
        <v>414</v>
      </c>
      <c r="N62" s="34">
        <v>396</v>
      </c>
      <c r="O62" s="34">
        <v>369</v>
      </c>
      <c r="P62" s="34">
        <v>368.3</v>
      </c>
      <c r="Q62" s="34">
        <v>360</v>
      </c>
      <c r="R62" s="34">
        <v>360</v>
      </c>
      <c r="S62" s="34">
        <v>347.4</v>
      </c>
      <c r="T62" s="34">
        <v>335.9</v>
      </c>
      <c r="U62" s="34">
        <v>306</v>
      </c>
      <c r="V62" s="34">
        <v>306</v>
      </c>
      <c r="W62" s="34">
        <v>304.2</v>
      </c>
      <c r="X62" s="34">
        <v>288</v>
      </c>
      <c r="Y62" s="34">
        <v>288</v>
      </c>
      <c r="Z62" s="34">
        <v>267.8</v>
      </c>
      <c r="AA62" s="34">
        <v>244.8</v>
      </c>
      <c r="AB62" s="34">
        <v>234</v>
      </c>
      <c r="AC62" s="34">
        <v>234</v>
      </c>
      <c r="AD62" s="34">
        <v>225</v>
      </c>
      <c r="AE62" s="34">
        <v>225</v>
      </c>
      <c r="AF62" s="34">
        <v>216</v>
      </c>
      <c r="AG62" s="34">
        <v>216</v>
      </c>
      <c r="AH62" s="34">
        <v>216</v>
      </c>
      <c r="AI62" s="34">
        <v>216</v>
      </c>
      <c r="AJ62" s="34">
        <v>202.7</v>
      </c>
      <c r="AK62" s="34">
        <v>196.2</v>
      </c>
      <c r="AL62" s="34">
        <v>183.6</v>
      </c>
      <c r="AM62" s="34">
        <v>180</v>
      </c>
      <c r="AN62" s="34">
        <v>180</v>
      </c>
      <c r="AO62" s="34">
        <v>178.9</v>
      </c>
      <c r="AP62" s="34">
        <v>147.6</v>
      </c>
      <c r="AQ62" s="34">
        <v>144</v>
      </c>
      <c r="AR62" s="34">
        <v>132.1</v>
      </c>
      <c r="AS62" s="34">
        <v>127.1</v>
      </c>
      <c r="AT62" s="34">
        <v>108</v>
      </c>
      <c r="AU62" s="34">
        <v>108</v>
      </c>
      <c r="AV62" s="34">
        <v>103.7</v>
      </c>
      <c r="AW62" s="34">
        <v>102.6</v>
      </c>
      <c r="AX62" s="34">
        <v>90</v>
      </c>
      <c r="AY62" s="34">
        <v>90</v>
      </c>
      <c r="AZ62" s="34">
        <v>90</v>
      </c>
      <c r="BA62" s="34">
        <v>81</v>
      </c>
      <c r="BB62" s="34">
        <v>72</v>
      </c>
      <c r="BC62" s="34">
        <v>72</v>
      </c>
      <c r="BD62" s="34">
        <v>72</v>
      </c>
      <c r="BE62" s="34">
        <v>68.400000000000006</v>
      </c>
      <c r="BF62" s="34">
        <v>60.1</v>
      </c>
      <c r="BG62" s="34">
        <v>54</v>
      </c>
      <c r="BH62" s="34">
        <v>54</v>
      </c>
      <c r="BI62" s="34">
        <v>36</v>
      </c>
      <c r="BJ62" s="34">
        <v>36</v>
      </c>
      <c r="BK62" s="34">
        <v>36</v>
      </c>
      <c r="BL62" s="34">
        <v>36</v>
      </c>
      <c r="BM62" s="34">
        <v>34.200000000000003</v>
      </c>
      <c r="BN62" s="34">
        <v>28.8</v>
      </c>
      <c r="BO62" s="34">
        <v>18</v>
      </c>
      <c r="BP62" s="34">
        <v>18</v>
      </c>
      <c r="BQ62" s="34">
        <v>0</v>
      </c>
      <c r="BR62" s="17">
        <f t="shared" si="0"/>
        <v>15783.100000000002</v>
      </c>
    </row>
    <row r="63" spans="1:70" x14ac:dyDescent="0.25">
      <c r="A63" s="5">
        <v>46113</v>
      </c>
      <c r="B63" s="34">
        <v>900</v>
      </c>
      <c r="C63" s="34">
        <v>648</v>
      </c>
      <c r="D63" s="34">
        <v>558</v>
      </c>
      <c r="E63" s="34">
        <v>540</v>
      </c>
      <c r="F63" s="34">
        <v>540</v>
      </c>
      <c r="G63" s="34">
        <v>486.7</v>
      </c>
      <c r="H63" s="34">
        <v>468</v>
      </c>
      <c r="I63" s="34">
        <v>468</v>
      </c>
      <c r="J63" s="34">
        <v>432</v>
      </c>
      <c r="K63" s="34">
        <v>432</v>
      </c>
      <c r="L63" s="34">
        <v>432</v>
      </c>
      <c r="M63" s="34">
        <v>414</v>
      </c>
      <c r="N63" s="34">
        <v>396</v>
      </c>
      <c r="O63" s="34">
        <v>369</v>
      </c>
      <c r="P63" s="34">
        <v>368.3</v>
      </c>
      <c r="Q63" s="34">
        <v>360</v>
      </c>
      <c r="R63" s="34">
        <v>360</v>
      </c>
      <c r="S63" s="34">
        <v>347.4</v>
      </c>
      <c r="T63" s="34">
        <v>335.9</v>
      </c>
      <c r="U63" s="34">
        <v>306</v>
      </c>
      <c r="V63" s="34">
        <v>306</v>
      </c>
      <c r="W63" s="34">
        <v>304.2</v>
      </c>
      <c r="X63" s="34">
        <v>288</v>
      </c>
      <c r="Y63" s="34">
        <v>288</v>
      </c>
      <c r="Z63" s="34">
        <v>267.8</v>
      </c>
      <c r="AA63" s="34">
        <v>244.8</v>
      </c>
      <c r="AB63" s="34">
        <v>234</v>
      </c>
      <c r="AC63" s="34">
        <v>234</v>
      </c>
      <c r="AD63" s="34">
        <v>225</v>
      </c>
      <c r="AE63" s="34">
        <v>225</v>
      </c>
      <c r="AF63" s="34">
        <v>216</v>
      </c>
      <c r="AG63" s="34">
        <v>216</v>
      </c>
      <c r="AH63" s="34">
        <v>216</v>
      </c>
      <c r="AI63" s="34">
        <v>216</v>
      </c>
      <c r="AJ63" s="34">
        <v>202.7</v>
      </c>
      <c r="AK63" s="34">
        <v>196.2</v>
      </c>
      <c r="AL63" s="34">
        <v>183.6</v>
      </c>
      <c r="AM63" s="34">
        <v>180</v>
      </c>
      <c r="AN63" s="34">
        <v>180</v>
      </c>
      <c r="AO63" s="34">
        <v>178.9</v>
      </c>
      <c r="AP63" s="34">
        <v>147.6</v>
      </c>
      <c r="AQ63" s="34">
        <v>144</v>
      </c>
      <c r="AR63" s="34">
        <v>132.1</v>
      </c>
      <c r="AS63" s="34">
        <v>127.1</v>
      </c>
      <c r="AT63" s="34">
        <v>108</v>
      </c>
      <c r="AU63" s="34">
        <v>108</v>
      </c>
      <c r="AV63" s="34">
        <v>103.7</v>
      </c>
      <c r="AW63" s="34">
        <v>102.6</v>
      </c>
      <c r="AX63" s="34">
        <v>90</v>
      </c>
      <c r="AY63" s="34">
        <v>90</v>
      </c>
      <c r="AZ63" s="34">
        <v>90</v>
      </c>
      <c r="BA63" s="34">
        <v>81</v>
      </c>
      <c r="BB63" s="34">
        <v>72</v>
      </c>
      <c r="BC63" s="34">
        <v>72</v>
      </c>
      <c r="BD63" s="34">
        <v>72</v>
      </c>
      <c r="BE63" s="34">
        <v>68.400000000000006</v>
      </c>
      <c r="BF63" s="34">
        <v>60.1</v>
      </c>
      <c r="BG63" s="34">
        <v>54</v>
      </c>
      <c r="BH63" s="34">
        <v>54</v>
      </c>
      <c r="BI63" s="34">
        <v>36</v>
      </c>
      <c r="BJ63" s="34">
        <v>36</v>
      </c>
      <c r="BK63" s="34">
        <v>36</v>
      </c>
      <c r="BL63" s="34">
        <v>36</v>
      </c>
      <c r="BM63" s="34">
        <v>34.200000000000003</v>
      </c>
      <c r="BN63" s="34">
        <v>28.8</v>
      </c>
      <c r="BO63" s="34">
        <v>18</v>
      </c>
      <c r="BP63" s="34">
        <v>18</v>
      </c>
      <c r="BQ63" s="34">
        <v>0</v>
      </c>
      <c r="BR63" s="17">
        <f t="shared" si="0"/>
        <v>15783.100000000002</v>
      </c>
    </row>
    <row r="64" spans="1:70" x14ac:dyDescent="0.25">
      <c r="A64" s="5">
        <v>46143</v>
      </c>
      <c r="B64" s="34">
        <v>900</v>
      </c>
      <c r="C64" s="34">
        <v>648</v>
      </c>
      <c r="D64" s="34">
        <v>558</v>
      </c>
      <c r="E64" s="34">
        <v>540</v>
      </c>
      <c r="F64" s="34">
        <v>540</v>
      </c>
      <c r="G64" s="34">
        <v>486.7</v>
      </c>
      <c r="H64" s="34">
        <v>468</v>
      </c>
      <c r="I64" s="34">
        <v>468</v>
      </c>
      <c r="J64" s="34">
        <v>432</v>
      </c>
      <c r="K64" s="34">
        <v>432</v>
      </c>
      <c r="L64" s="34">
        <v>432</v>
      </c>
      <c r="M64" s="34">
        <v>414</v>
      </c>
      <c r="N64" s="34">
        <v>396</v>
      </c>
      <c r="O64" s="34">
        <v>369</v>
      </c>
      <c r="P64" s="34">
        <v>368.3</v>
      </c>
      <c r="Q64" s="34">
        <v>360</v>
      </c>
      <c r="R64" s="34">
        <v>360</v>
      </c>
      <c r="S64" s="34">
        <v>347.4</v>
      </c>
      <c r="T64" s="34">
        <v>335.9</v>
      </c>
      <c r="U64" s="34">
        <v>306</v>
      </c>
      <c r="V64" s="34">
        <v>306</v>
      </c>
      <c r="W64" s="34">
        <v>304.2</v>
      </c>
      <c r="X64" s="34">
        <v>288</v>
      </c>
      <c r="Y64" s="34">
        <v>288</v>
      </c>
      <c r="Z64" s="34">
        <v>267.8</v>
      </c>
      <c r="AA64" s="34">
        <v>244.8</v>
      </c>
      <c r="AB64" s="34">
        <v>234</v>
      </c>
      <c r="AC64" s="34">
        <v>234</v>
      </c>
      <c r="AD64" s="34">
        <v>225</v>
      </c>
      <c r="AE64" s="34">
        <v>225</v>
      </c>
      <c r="AF64" s="34">
        <v>216</v>
      </c>
      <c r="AG64" s="34">
        <v>216</v>
      </c>
      <c r="AH64" s="34">
        <v>216</v>
      </c>
      <c r="AI64" s="34">
        <v>216</v>
      </c>
      <c r="AJ64" s="34">
        <v>202.7</v>
      </c>
      <c r="AK64" s="34">
        <v>196.2</v>
      </c>
      <c r="AL64" s="34">
        <v>183.6</v>
      </c>
      <c r="AM64" s="34">
        <v>180</v>
      </c>
      <c r="AN64" s="34">
        <v>180</v>
      </c>
      <c r="AO64" s="34">
        <v>178.9</v>
      </c>
      <c r="AP64" s="34">
        <v>147.6</v>
      </c>
      <c r="AQ64" s="34">
        <v>144</v>
      </c>
      <c r="AR64" s="34">
        <v>132.1</v>
      </c>
      <c r="AS64" s="34">
        <v>127.1</v>
      </c>
      <c r="AT64" s="34">
        <v>108</v>
      </c>
      <c r="AU64" s="34">
        <v>108</v>
      </c>
      <c r="AV64" s="34">
        <v>103.7</v>
      </c>
      <c r="AW64" s="34">
        <v>102.6</v>
      </c>
      <c r="AX64" s="34">
        <v>90</v>
      </c>
      <c r="AY64" s="34">
        <v>90</v>
      </c>
      <c r="AZ64" s="34">
        <v>90</v>
      </c>
      <c r="BA64" s="34">
        <v>81</v>
      </c>
      <c r="BB64" s="34">
        <v>72</v>
      </c>
      <c r="BC64" s="34">
        <v>72</v>
      </c>
      <c r="BD64" s="34">
        <v>72</v>
      </c>
      <c r="BE64" s="34">
        <v>68.400000000000006</v>
      </c>
      <c r="BF64" s="34">
        <v>60.1</v>
      </c>
      <c r="BG64" s="34">
        <v>54</v>
      </c>
      <c r="BH64" s="34">
        <v>54</v>
      </c>
      <c r="BI64" s="34">
        <v>36</v>
      </c>
      <c r="BJ64" s="34">
        <v>36</v>
      </c>
      <c r="BK64" s="34">
        <v>36</v>
      </c>
      <c r="BL64" s="34">
        <v>36</v>
      </c>
      <c r="BM64" s="34">
        <v>34.200000000000003</v>
      </c>
      <c r="BN64" s="34">
        <v>28.8</v>
      </c>
      <c r="BO64" s="34">
        <v>18</v>
      </c>
      <c r="BP64" s="34">
        <v>18</v>
      </c>
      <c r="BQ64" s="34">
        <v>0</v>
      </c>
      <c r="BR64" s="17">
        <f t="shared" si="0"/>
        <v>15783.100000000002</v>
      </c>
    </row>
    <row r="65" spans="1:70" x14ac:dyDescent="0.25">
      <c r="A65" s="5">
        <v>46174</v>
      </c>
      <c r="B65" s="34">
        <v>900</v>
      </c>
      <c r="C65" s="34">
        <v>648</v>
      </c>
      <c r="D65" s="34">
        <v>558</v>
      </c>
      <c r="E65" s="34">
        <v>540</v>
      </c>
      <c r="F65" s="34">
        <v>540</v>
      </c>
      <c r="G65" s="34">
        <v>486.7</v>
      </c>
      <c r="H65" s="34">
        <v>468</v>
      </c>
      <c r="I65" s="34">
        <v>468</v>
      </c>
      <c r="J65" s="34">
        <v>432</v>
      </c>
      <c r="K65" s="34">
        <v>432</v>
      </c>
      <c r="L65" s="34">
        <v>432</v>
      </c>
      <c r="M65" s="34">
        <v>414</v>
      </c>
      <c r="N65" s="34">
        <v>396</v>
      </c>
      <c r="O65" s="34">
        <v>369</v>
      </c>
      <c r="P65" s="34">
        <v>368.3</v>
      </c>
      <c r="Q65" s="34">
        <v>360</v>
      </c>
      <c r="R65" s="34">
        <v>360</v>
      </c>
      <c r="S65" s="34">
        <v>347.4</v>
      </c>
      <c r="T65" s="34">
        <v>335.9</v>
      </c>
      <c r="U65" s="34">
        <v>306</v>
      </c>
      <c r="V65" s="34">
        <v>306</v>
      </c>
      <c r="W65" s="34">
        <v>304.2</v>
      </c>
      <c r="X65" s="34">
        <v>288</v>
      </c>
      <c r="Y65" s="34">
        <v>288</v>
      </c>
      <c r="Z65" s="34">
        <v>267.8</v>
      </c>
      <c r="AA65" s="34">
        <v>244.8</v>
      </c>
      <c r="AB65" s="34">
        <v>234</v>
      </c>
      <c r="AC65" s="34">
        <v>234</v>
      </c>
      <c r="AD65" s="34">
        <v>225</v>
      </c>
      <c r="AE65" s="34">
        <v>225</v>
      </c>
      <c r="AF65" s="34">
        <v>216</v>
      </c>
      <c r="AG65" s="34">
        <v>216</v>
      </c>
      <c r="AH65" s="34">
        <v>216</v>
      </c>
      <c r="AI65" s="34">
        <v>216</v>
      </c>
      <c r="AJ65" s="34">
        <v>202.7</v>
      </c>
      <c r="AK65" s="34">
        <v>196.2</v>
      </c>
      <c r="AL65" s="34">
        <v>183.6</v>
      </c>
      <c r="AM65" s="34">
        <v>180</v>
      </c>
      <c r="AN65" s="34">
        <v>180</v>
      </c>
      <c r="AO65" s="34">
        <v>178.9</v>
      </c>
      <c r="AP65" s="34">
        <v>147.6</v>
      </c>
      <c r="AQ65" s="34">
        <v>144</v>
      </c>
      <c r="AR65" s="34">
        <v>132.1</v>
      </c>
      <c r="AS65" s="34">
        <v>127.1</v>
      </c>
      <c r="AT65" s="34">
        <v>108</v>
      </c>
      <c r="AU65" s="34">
        <v>108</v>
      </c>
      <c r="AV65" s="34">
        <v>103.7</v>
      </c>
      <c r="AW65" s="34">
        <v>102.6</v>
      </c>
      <c r="AX65" s="34">
        <v>90</v>
      </c>
      <c r="AY65" s="34">
        <v>90</v>
      </c>
      <c r="AZ65" s="34">
        <v>90</v>
      </c>
      <c r="BA65" s="34">
        <v>81</v>
      </c>
      <c r="BB65" s="34">
        <v>72</v>
      </c>
      <c r="BC65" s="34">
        <v>72</v>
      </c>
      <c r="BD65" s="34">
        <v>72</v>
      </c>
      <c r="BE65" s="34">
        <v>68.400000000000006</v>
      </c>
      <c r="BF65" s="34">
        <v>60.1</v>
      </c>
      <c r="BG65" s="34">
        <v>54</v>
      </c>
      <c r="BH65" s="34">
        <v>54</v>
      </c>
      <c r="BI65" s="34">
        <v>36</v>
      </c>
      <c r="BJ65" s="34">
        <v>36</v>
      </c>
      <c r="BK65" s="34">
        <v>36</v>
      </c>
      <c r="BL65" s="34">
        <v>36</v>
      </c>
      <c r="BM65" s="34">
        <v>34.200000000000003</v>
      </c>
      <c r="BN65" s="34">
        <v>28.8</v>
      </c>
      <c r="BO65" s="34">
        <v>18</v>
      </c>
      <c r="BP65" s="34">
        <v>18</v>
      </c>
      <c r="BQ65" s="34">
        <v>0</v>
      </c>
      <c r="BR65" s="17">
        <f t="shared" si="0"/>
        <v>15783.100000000002</v>
      </c>
    </row>
    <row r="66" spans="1:70" x14ac:dyDescent="0.25">
      <c r="A66" s="5">
        <v>46204</v>
      </c>
      <c r="B66" s="34">
        <v>900</v>
      </c>
      <c r="C66" s="34">
        <v>648</v>
      </c>
      <c r="D66" s="34">
        <v>558</v>
      </c>
      <c r="E66" s="34">
        <v>540</v>
      </c>
      <c r="F66" s="34">
        <v>540</v>
      </c>
      <c r="G66" s="34">
        <v>486.7</v>
      </c>
      <c r="H66" s="34">
        <v>468</v>
      </c>
      <c r="I66" s="34">
        <v>468</v>
      </c>
      <c r="J66" s="34">
        <v>432</v>
      </c>
      <c r="K66" s="34">
        <v>432</v>
      </c>
      <c r="L66" s="34">
        <v>432</v>
      </c>
      <c r="M66" s="34">
        <v>414</v>
      </c>
      <c r="N66" s="34">
        <v>396</v>
      </c>
      <c r="O66" s="34">
        <v>369</v>
      </c>
      <c r="P66" s="34">
        <v>368.3</v>
      </c>
      <c r="Q66" s="34">
        <v>360</v>
      </c>
      <c r="R66" s="34">
        <v>360</v>
      </c>
      <c r="S66" s="34">
        <v>347.4</v>
      </c>
      <c r="T66" s="34">
        <v>335.9</v>
      </c>
      <c r="U66" s="34">
        <v>306</v>
      </c>
      <c r="V66" s="34">
        <v>306</v>
      </c>
      <c r="W66" s="34">
        <v>304.2</v>
      </c>
      <c r="X66" s="34">
        <v>288</v>
      </c>
      <c r="Y66" s="34">
        <v>288</v>
      </c>
      <c r="Z66" s="34">
        <v>267.8</v>
      </c>
      <c r="AA66" s="34">
        <v>244.8</v>
      </c>
      <c r="AB66" s="34">
        <v>234</v>
      </c>
      <c r="AC66" s="34">
        <v>234</v>
      </c>
      <c r="AD66" s="34">
        <v>225</v>
      </c>
      <c r="AE66" s="34">
        <v>225</v>
      </c>
      <c r="AF66" s="34">
        <v>216</v>
      </c>
      <c r="AG66" s="34">
        <v>216</v>
      </c>
      <c r="AH66" s="34">
        <v>216</v>
      </c>
      <c r="AI66" s="34">
        <v>216</v>
      </c>
      <c r="AJ66" s="34">
        <v>202.7</v>
      </c>
      <c r="AK66" s="34">
        <v>196.2</v>
      </c>
      <c r="AL66" s="34">
        <v>183.6</v>
      </c>
      <c r="AM66" s="34">
        <v>180</v>
      </c>
      <c r="AN66" s="34">
        <v>180</v>
      </c>
      <c r="AO66" s="34">
        <v>178.9</v>
      </c>
      <c r="AP66" s="34">
        <v>147.6</v>
      </c>
      <c r="AQ66" s="34">
        <v>144</v>
      </c>
      <c r="AR66" s="34">
        <v>132.1</v>
      </c>
      <c r="AS66" s="34">
        <v>127.1</v>
      </c>
      <c r="AT66" s="34">
        <v>108</v>
      </c>
      <c r="AU66" s="34">
        <v>108</v>
      </c>
      <c r="AV66" s="34">
        <v>103.7</v>
      </c>
      <c r="AW66" s="34">
        <v>102.6</v>
      </c>
      <c r="AX66" s="34">
        <v>90</v>
      </c>
      <c r="AY66" s="34">
        <v>90</v>
      </c>
      <c r="AZ66" s="34">
        <v>90</v>
      </c>
      <c r="BA66" s="34">
        <v>81</v>
      </c>
      <c r="BB66" s="34">
        <v>72</v>
      </c>
      <c r="BC66" s="34">
        <v>72</v>
      </c>
      <c r="BD66" s="34">
        <v>72</v>
      </c>
      <c r="BE66" s="34">
        <v>68.400000000000006</v>
      </c>
      <c r="BF66" s="34">
        <v>60.1</v>
      </c>
      <c r="BG66" s="34">
        <v>54</v>
      </c>
      <c r="BH66" s="34">
        <v>54</v>
      </c>
      <c r="BI66" s="34">
        <v>36</v>
      </c>
      <c r="BJ66" s="34">
        <v>36</v>
      </c>
      <c r="BK66" s="34">
        <v>36</v>
      </c>
      <c r="BL66" s="34">
        <v>36</v>
      </c>
      <c r="BM66" s="34">
        <v>34.200000000000003</v>
      </c>
      <c r="BN66" s="34">
        <v>28.8</v>
      </c>
      <c r="BO66" s="34">
        <v>18</v>
      </c>
      <c r="BP66" s="34">
        <v>18</v>
      </c>
      <c r="BQ66" s="34">
        <v>0</v>
      </c>
      <c r="BR66" s="17">
        <f t="shared" si="0"/>
        <v>15783.100000000002</v>
      </c>
    </row>
    <row r="67" spans="1:70" x14ac:dyDescent="0.25">
      <c r="A67" s="5">
        <v>46235</v>
      </c>
      <c r="B67" s="34">
        <v>900</v>
      </c>
      <c r="C67" s="34">
        <v>648</v>
      </c>
      <c r="D67" s="34">
        <v>558</v>
      </c>
      <c r="E67" s="34">
        <v>540</v>
      </c>
      <c r="F67" s="34">
        <v>540</v>
      </c>
      <c r="G67" s="34">
        <v>486.7</v>
      </c>
      <c r="H67" s="34">
        <v>468</v>
      </c>
      <c r="I67" s="34">
        <v>468</v>
      </c>
      <c r="J67" s="34">
        <v>432</v>
      </c>
      <c r="K67" s="34">
        <v>432</v>
      </c>
      <c r="L67" s="34">
        <v>432</v>
      </c>
      <c r="M67" s="34">
        <v>414</v>
      </c>
      <c r="N67" s="34">
        <v>396</v>
      </c>
      <c r="O67" s="34">
        <v>369</v>
      </c>
      <c r="P67" s="34">
        <v>368.3</v>
      </c>
      <c r="Q67" s="34">
        <v>360</v>
      </c>
      <c r="R67" s="34">
        <v>360</v>
      </c>
      <c r="S67" s="34">
        <v>347.4</v>
      </c>
      <c r="T67" s="34">
        <v>335.9</v>
      </c>
      <c r="U67" s="34">
        <v>306</v>
      </c>
      <c r="V67" s="34">
        <v>306</v>
      </c>
      <c r="W67" s="34">
        <v>304.2</v>
      </c>
      <c r="X67" s="34">
        <v>288</v>
      </c>
      <c r="Y67" s="34">
        <v>288</v>
      </c>
      <c r="Z67" s="34">
        <v>267.8</v>
      </c>
      <c r="AA67" s="34">
        <v>244.8</v>
      </c>
      <c r="AB67" s="34">
        <v>234</v>
      </c>
      <c r="AC67" s="34">
        <v>234</v>
      </c>
      <c r="AD67" s="34">
        <v>225</v>
      </c>
      <c r="AE67" s="34">
        <v>225</v>
      </c>
      <c r="AF67" s="34">
        <v>216</v>
      </c>
      <c r="AG67" s="34">
        <v>216</v>
      </c>
      <c r="AH67" s="34">
        <v>216</v>
      </c>
      <c r="AI67" s="34">
        <v>216</v>
      </c>
      <c r="AJ67" s="34">
        <v>202.7</v>
      </c>
      <c r="AK67" s="34">
        <v>196.2</v>
      </c>
      <c r="AL67" s="34">
        <v>183.6</v>
      </c>
      <c r="AM67" s="34">
        <v>180</v>
      </c>
      <c r="AN67" s="34">
        <v>180</v>
      </c>
      <c r="AO67" s="34">
        <v>178.9</v>
      </c>
      <c r="AP67" s="34">
        <v>147.6</v>
      </c>
      <c r="AQ67" s="34">
        <v>144</v>
      </c>
      <c r="AR67" s="34">
        <v>132.1</v>
      </c>
      <c r="AS67" s="34">
        <v>127.1</v>
      </c>
      <c r="AT67" s="34">
        <v>108</v>
      </c>
      <c r="AU67" s="34">
        <v>108</v>
      </c>
      <c r="AV67" s="34">
        <v>103.7</v>
      </c>
      <c r="AW67" s="34">
        <v>102.6</v>
      </c>
      <c r="AX67" s="34">
        <v>90</v>
      </c>
      <c r="AY67" s="34">
        <v>90</v>
      </c>
      <c r="AZ67" s="34">
        <v>90</v>
      </c>
      <c r="BA67" s="34">
        <v>81</v>
      </c>
      <c r="BB67" s="34">
        <v>72</v>
      </c>
      <c r="BC67" s="34">
        <v>72</v>
      </c>
      <c r="BD67" s="34">
        <v>72</v>
      </c>
      <c r="BE67" s="34">
        <v>68.400000000000006</v>
      </c>
      <c r="BF67" s="34">
        <v>60.1</v>
      </c>
      <c r="BG67" s="34">
        <v>54</v>
      </c>
      <c r="BH67" s="34">
        <v>54</v>
      </c>
      <c r="BI67" s="34">
        <v>36</v>
      </c>
      <c r="BJ67" s="34">
        <v>36</v>
      </c>
      <c r="BK67" s="34">
        <v>36</v>
      </c>
      <c r="BL67" s="34">
        <v>36</v>
      </c>
      <c r="BM67" s="34">
        <v>34.200000000000003</v>
      </c>
      <c r="BN67" s="34">
        <v>28.8</v>
      </c>
      <c r="BO67" s="34">
        <v>18</v>
      </c>
      <c r="BP67" s="34">
        <v>18</v>
      </c>
      <c r="BQ67" s="34">
        <v>0</v>
      </c>
      <c r="BR67" s="17">
        <f t="shared" si="0"/>
        <v>15783.100000000002</v>
      </c>
    </row>
    <row r="68" spans="1:70" x14ac:dyDescent="0.25">
      <c r="A68" s="5">
        <v>46266</v>
      </c>
      <c r="B68" s="34">
        <v>900</v>
      </c>
      <c r="C68" s="34">
        <v>648</v>
      </c>
      <c r="D68" s="34">
        <v>558</v>
      </c>
      <c r="E68" s="34">
        <v>540</v>
      </c>
      <c r="F68" s="34">
        <v>540</v>
      </c>
      <c r="G68" s="34">
        <v>486.7</v>
      </c>
      <c r="H68" s="34">
        <v>468</v>
      </c>
      <c r="I68" s="34">
        <v>468</v>
      </c>
      <c r="J68" s="34">
        <v>432</v>
      </c>
      <c r="K68" s="34">
        <v>432</v>
      </c>
      <c r="L68" s="34">
        <v>432</v>
      </c>
      <c r="M68" s="34">
        <v>414</v>
      </c>
      <c r="N68" s="34">
        <v>396</v>
      </c>
      <c r="O68" s="34">
        <v>369</v>
      </c>
      <c r="P68" s="34">
        <v>368.3</v>
      </c>
      <c r="Q68" s="34">
        <v>360</v>
      </c>
      <c r="R68" s="34">
        <v>360</v>
      </c>
      <c r="S68" s="34">
        <v>347.4</v>
      </c>
      <c r="T68" s="34">
        <v>335.9</v>
      </c>
      <c r="U68" s="34">
        <v>306</v>
      </c>
      <c r="V68" s="34">
        <v>306</v>
      </c>
      <c r="W68" s="34">
        <v>304.2</v>
      </c>
      <c r="X68" s="34">
        <v>288</v>
      </c>
      <c r="Y68" s="34">
        <v>288</v>
      </c>
      <c r="Z68" s="34">
        <v>267.8</v>
      </c>
      <c r="AA68" s="34">
        <v>244.8</v>
      </c>
      <c r="AB68" s="34">
        <v>234</v>
      </c>
      <c r="AC68" s="34">
        <v>234</v>
      </c>
      <c r="AD68" s="34">
        <v>225</v>
      </c>
      <c r="AE68" s="34">
        <v>225</v>
      </c>
      <c r="AF68" s="34">
        <v>216</v>
      </c>
      <c r="AG68" s="34">
        <v>216</v>
      </c>
      <c r="AH68" s="34">
        <v>216</v>
      </c>
      <c r="AI68" s="34">
        <v>216</v>
      </c>
      <c r="AJ68" s="34">
        <v>202.7</v>
      </c>
      <c r="AK68" s="34">
        <v>196.2</v>
      </c>
      <c r="AL68" s="34">
        <v>183.6</v>
      </c>
      <c r="AM68" s="34">
        <v>180</v>
      </c>
      <c r="AN68" s="34">
        <v>180</v>
      </c>
      <c r="AO68" s="34">
        <v>178.9</v>
      </c>
      <c r="AP68" s="34">
        <v>147.6</v>
      </c>
      <c r="AQ68" s="34">
        <v>144</v>
      </c>
      <c r="AR68" s="34">
        <v>132.1</v>
      </c>
      <c r="AS68" s="34">
        <v>127.1</v>
      </c>
      <c r="AT68" s="34">
        <v>108</v>
      </c>
      <c r="AU68" s="34">
        <v>108</v>
      </c>
      <c r="AV68" s="34">
        <v>103.7</v>
      </c>
      <c r="AW68" s="34">
        <v>102.6</v>
      </c>
      <c r="AX68" s="34">
        <v>90</v>
      </c>
      <c r="AY68" s="34">
        <v>90</v>
      </c>
      <c r="AZ68" s="34">
        <v>90</v>
      </c>
      <c r="BA68" s="34">
        <v>81</v>
      </c>
      <c r="BB68" s="34">
        <v>72</v>
      </c>
      <c r="BC68" s="34">
        <v>72</v>
      </c>
      <c r="BD68" s="34">
        <v>72</v>
      </c>
      <c r="BE68" s="34">
        <v>68.400000000000006</v>
      </c>
      <c r="BF68" s="34">
        <v>60.1</v>
      </c>
      <c r="BG68" s="34">
        <v>54</v>
      </c>
      <c r="BH68" s="34">
        <v>54</v>
      </c>
      <c r="BI68" s="34">
        <v>36</v>
      </c>
      <c r="BJ68" s="34">
        <v>36</v>
      </c>
      <c r="BK68" s="34">
        <v>36</v>
      </c>
      <c r="BL68" s="34">
        <v>36</v>
      </c>
      <c r="BM68" s="34">
        <v>34.200000000000003</v>
      </c>
      <c r="BN68" s="34">
        <v>28.8</v>
      </c>
      <c r="BO68" s="34">
        <v>18</v>
      </c>
      <c r="BP68" s="34">
        <v>18</v>
      </c>
      <c r="BQ68" s="34">
        <v>0</v>
      </c>
      <c r="BR68" s="17">
        <f t="shared" si="0"/>
        <v>15783.100000000002</v>
      </c>
    </row>
    <row r="69" spans="1:70" x14ac:dyDescent="0.25">
      <c r="A69" s="5">
        <v>46296</v>
      </c>
      <c r="B69" s="34">
        <v>900</v>
      </c>
      <c r="C69" s="34">
        <v>648</v>
      </c>
      <c r="D69" s="34">
        <v>558</v>
      </c>
      <c r="E69" s="34">
        <v>540</v>
      </c>
      <c r="F69" s="34">
        <v>540</v>
      </c>
      <c r="G69" s="34">
        <v>486.7</v>
      </c>
      <c r="H69" s="34">
        <v>468</v>
      </c>
      <c r="I69" s="34">
        <v>468</v>
      </c>
      <c r="J69" s="34">
        <v>432</v>
      </c>
      <c r="K69" s="34">
        <v>432</v>
      </c>
      <c r="L69" s="34">
        <v>432</v>
      </c>
      <c r="M69" s="34">
        <v>414</v>
      </c>
      <c r="N69" s="34">
        <v>396</v>
      </c>
      <c r="O69" s="34">
        <v>369</v>
      </c>
      <c r="P69" s="34">
        <v>368.3</v>
      </c>
      <c r="Q69" s="34">
        <v>360</v>
      </c>
      <c r="R69" s="34">
        <v>360</v>
      </c>
      <c r="S69" s="34">
        <v>347.4</v>
      </c>
      <c r="T69" s="34">
        <v>335.9</v>
      </c>
      <c r="U69" s="34">
        <v>306</v>
      </c>
      <c r="V69" s="34">
        <v>306</v>
      </c>
      <c r="W69" s="34">
        <v>304.2</v>
      </c>
      <c r="X69" s="34">
        <v>288</v>
      </c>
      <c r="Y69" s="34">
        <v>288</v>
      </c>
      <c r="Z69" s="34">
        <v>267.8</v>
      </c>
      <c r="AA69" s="34">
        <v>244.8</v>
      </c>
      <c r="AB69" s="34">
        <v>234</v>
      </c>
      <c r="AC69" s="34">
        <v>234</v>
      </c>
      <c r="AD69" s="34">
        <v>225</v>
      </c>
      <c r="AE69" s="34">
        <v>225</v>
      </c>
      <c r="AF69" s="34">
        <v>216</v>
      </c>
      <c r="AG69" s="34">
        <v>216</v>
      </c>
      <c r="AH69" s="34">
        <v>216</v>
      </c>
      <c r="AI69" s="34">
        <v>216</v>
      </c>
      <c r="AJ69" s="34">
        <v>202.7</v>
      </c>
      <c r="AK69" s="34">
        <v>196.2</v>
      </c>
      <c r="AL69" s="34">
        <v>183.6</v>
      </c>
      <c r="AM69" s="34">
        <v>180</v>
      </c>
      <c r="AN69" s="34">
        <v>180</v>
      </c>
      <c r="AO69" s="34">
        <v>178.9</v>
      </c>
      <c r="AP69" s="34">
        <v>147.6</v>
      </c>
      <c r="AQ69" s="34">
        <v>144</v>
      </c>
      <c r="AR69" s="34">
        <v>132.1</v>
      </c>
      <c r="AS69" s="34">
        <v>127.1</v>
      </c>
      <c r="AT69" s="34">
        <v>108</v>
      </c>
      <c r="AU69" s="34">
        <v>108</v>
      </c>
      <c r="AV69" s="34">
        <v>103.7</v>
      </c>
      <c r="AW69" s="34">
        <v>102.6</v>
      </c>
      <c r="AX69" s="34">
        <v>90</v>
      </c>
      <c r="AY69" s="34">
        <v>90</v>
      </c>
      <c r="AZ69" s="34">
        <v>90</v>
      </c>
      <c r="BA69" s="34">
        <v>81</v>
      </c>
      <c r="BB69" s="34">
        <v>72</v>
      </c>
      <c r="BC69" s="34">
        <v>72</v>
      </c>
      <c r="BD69" s="34">
        <v>72</v>
      </c>
      <c r="BE69" s="34">
        <v>68.400000000000006</v>
      </c>
      <c r="BF69" s="34">
        <v>60.1</v>
      </c>
      <c r="BG69" s="34">
        <v>54</v>
      </c>
      <c r="BH69" s="34">
        <v>54</v>
      </c>
      <c r="BI69" s="34">
        <v>36</v>
      </c>
      <c r="BJ69" s="34">
        <v>36</v>
      </c>
      <c r="BK69" s="34">
        <v>36</v>
      </c>
      <c r="BL69" s="34">
        <v>36</v>
      </c>
      <c r="BM69" s="34">
        <v>34.200000000000003</v>
      </c>
      <c r="BN69" s="34">
        <v>28.8</v>
      </c>
      <c r="BO69" s="34">
        <v>18</v>
      </c>
      <c r="BP69" s="34">
        <v>18</v>
      </c>
      <c r="BQ69" s="34">
        <v>0</v>
      </c>
      <c r="BR69" s="17">
        <f t="shared" si="0"/>
        <v>15783.100000000002</v>
      </c>
    </row>
    <row r="70" spans="1:70" x14ac:dyDescent="0.25">
      <c r="A70" s="5">
        <v>46327</v>
      </c>
      <c r="B70" s="34">
        <v>900</v>
      </c>
      <c r="C70" s="34">
        <v>648</v>
      </c>
      <c r="D70" s="34">
        <v>558</v>
      </c>
      <c r="E70" s="34">
        <v>540</v>
      </c>
      <c r="F70" s="34">
        <v>540</v>
      </c>
      <c r="G70" s="34">
        <v>486.7</v>
      </c>
      <c r="H70" s="34">
        <v>468</v>
      </c>
      <c r="I70" s="34">
        <v>468</v>
      </c>
      <c r="J70" s="34">
        <v>432</v>
      </c>
      <c r="K70" s="34">
        <v>432</v>
      </c>
      <c r="L70" s="34">
        <v>432</v>
      </c>
      <c r="M70" s="34">
        <v>414</v>
      </c>
      <c r="N70" s="34">
        <v>396</v>
      </c>
      <c r="O70" s="34">
        <v>369</v>
      </c>
      <c r="P70" s="34">
        <v>368.3</v>
      </c>
      <c r="Q70" s="34">
        <v>360</v>
      </c>
      <c r="R70" s="34">
        <v>360</v>
      </c>
      <c r="S70" s="34">
        <v>347.4</v>
      </c>
      <c r="T70" s="34">
        <v>335.9</v>
      </c>
      <c r="U70" s="34">
        <v>306</v>
      </c>
      <c r="V70" s="34">
        <v>306</v>
      </c>
      <c r="W70" s="34">
        <v>304.2</v>
      </c>
      <c r="X70" s="34">
        <v>288</v>
      </c>
      <c r="Y70" s="34">
        <v>288</v>
      </c>
      <c r="Z70" s="34">
        <v>267.8</v>
      </c>
      <c r="AA70" s="34">
        <v>244.8</v>
      </c>
      <c r="AB70" s="34">
        <v>234</v>
      </c>
      <c r="AC70" s="34">
        <v>234</v>
      </c>
      <c r="AD70" s="34">
        <v>225</v>
      </c>
      <c r="AE70" s="34">
        <v>225</v>
      </c>
      <c r="AF70" s="34">
        <v>216</v>
      </c>
      <c r="AG70" s="34">
        <v>216</v>
      </c>
      <c r="AH70" s="34">
        <v>216</v>
      </c>
      <c r="AI70" s="34">
        <v>216</v>
      </c>
      <c r="AJ70" s="34">
        <v>202.7</v>
      </c>
      <c r="AK70" s="34">
        <v>196.2</v>
      </c>
      <c r="AL70" s="34">
        <v>183.6</v>
      </c>
      <c r="AM70" s="34">
        <v>180</v>
      </c>
      <c r="AN70" s="34">
        <v>180</v>
      </c>
      <c r="AO70" s="34">
        <v>178.9</v>
      </c>
      <c r="AP70" s="34">
        <v>147.6</v>
      </c>
      <c r="AQ70" s="34">
        <v>144</v>
      </c>
      <c r="AR70" s="34">
        <v>132.1</v>
      </c>
      <c r="AS70" s="34">
        <v>127.1</v>
      </c>
      <c r="AT70" s="34">
        <v>108</v>
      </c>
      <c r="AU70" s="34">
        <v>108</v>
      </c>
      <c r="AV70" s="34">
        <v>103.7</v>
      </c>
      <c r="AW70" s="34">
        <v>102.6</v>
      </c>
      <c r="AX70" s="34">
        <v>90</v>
      </c>
      <c r="AY70" s="34">
        <v>90</v>
      </c>
      <c r="AZ70" s="34">
        <v>90</v>
      </c>
      <c r="BA70" s="34">
        <v>81</v>
      </c>
      <c r="BB70" s="34">
        <v>72</v>
      </c>
      <c r="BC70" s="34">
        <v>72</v>
      </c>
      <c r="BD70" s="34">
        <v>72</v>
      </c>
      <c r="BE70" s="34">
        <v>68.400000000000006</v>
      </c>
      <c r="BF70" s="34">
        <v>60.1</v>
      </c>
      <c r="BG70" s="34">
        <v>54</v>
      </c>
      <c r="BH70" s="34">
        <v>54</v>
      </c>
      <c r="BI70" s="34">
        <v>36</v>
      </c>
      <c r="BJ70" s="34">
        <v>36</v>
      </c>
      <c r="BK70" s="34">
        <v>36</v>
      </c>
      <c r="BL70" s="34">
        <v>36</v>
      </c>
      <c r="BM70" s="34">
        <v>34.200000000000003</v>
      </c>
      <c r="BN70" s="34">
        <v>28.8</v>
      </c>
      <c r="BO70" s="34">
        <v>18</v>
      </c>
      <c r="BP70" s="34">
        <v>18</v>
      </c>
      <c r="BQ70" s="34">
        <v>0</v>
      </c>
      <c r="BR70" s="17">
        <f t="shared" si="0"/>
        <v>15783.100000000002</v>
      </c>
    </row>
    <row r="71" spans="1:70" x14ac:dyDescent="0.25">
      <c r="A71" s="5">
        <v>46357</v>
      </c>
      <c r="B71" s="34">
        <v>900</v>
      </c>
      <c r="C71" s="34">
        <v>648</v>
      </c>
      <c r="D71" s="34">
        <v>558</v>
      </c>
      <c r="E71" s="34">
        <v>540</v>
      </c>
      <c r="F71" s="34">
        <v>540</v>
      </c>
      <c r="G71" s="34">
        <v>486.7</v>
      </c>
      <c r="H71" s="34">
        <v>468</v>
      </c>
      <c r="I71" s="34">
        <v>468</v>
      </c>
      <c r="J71" s="34">
        <v>432</v>
      </c>
      <c r="K71" s="34">
        <v>432</v>
      </c>
      <c r="L71" s="34">
        <v>432</v>
      </c>
      <c r="M71" s="34">
        <v>414</v>
      </c>
      <c r="N71" s="34">
        <v>396</v>
      </c>
      <c r="O71" s="34">
        <v>369</v>
      </c>
      <c r="P71" s="34">
        <v>368.3</v>
      </c>
      <c r="Q71" s="34">
        <v>360</v>
      </c>
      <c r="R71" s="34">
        <v>360</v>
      </c>
      <c r="S71" s="34">
        <v>347.4</v>
      </c>
      <c r="T71" s="34">
        <v>335.9</v>
      </c>
      <c r="U71" s="34">
        <v>306</v>
      </c>
      <c r="V71" s="34">
        <v>306</v>
      </c>
      <c r="W71" s="34">
        <v>304.2</v>
      </c>
      <c r="X71" s="34">
        <v>288</v>
      </c>
      <c r="Y71" s="34">
        <v>288</v>
      </c>
      <c r="Z71" s="34">
        <v>267.8</v>
      </c>
      <c r="AA71" s="34">
        <v>244.8</v>
      </c>
      <c r="AB71" s="34">
        <v>234</v>
      </c>
      <c r="AC71" s="34">
        <v>234</v>
      </c>
      <c r="AD71" s="34">
        <v>225</v>
      </c>
      <c r="AE71" s="34">
        <v>225</v>
      </c>
      <c r="AF71" s="34">
        <v>216</v>
      </c>
      <c r="AG71" s="34">
        <v>216</v>
      </c>
      <c r="AH71" s="34">
        <v>216</v>
      </c>
      <c r="AI71" s="34">
        <v>216</v>
      </c>
      <c r="AJ71" s="34">
        <v>202.7</v>
      </c>
      <c r="AK71" s="34">
        <v>196.2</v>
      </c>
      <c r="AL71" s="34">
        <v>183.6</v>
      </c>
      <c r="AM71" s="34">
        <v>180</v>
      </c>
      <c r="AN71" s="34">
        <v>180</v>
      </c>
      <c r="AO71" s="34">
        <v>178.9</v>
      </c>
      <c r="AP71" s="34">
        <v>147.6</v>
      </c>
      <c r="AQ71" s="34">
        <v>144</v>
      </c>
      <c r="AR71" s="34">
        <v>132.1</v>
      </c>
      <c r="AS71" s="34">
        <v>127.1</v>
      </c>
      <c r="AT71" s="34">
        <v>108</v>
      </c>
      <c r="AU71" s="34">
        <v>108</v>
      </c>
      <c r="AV71" s="34">
        <v>103.7</v>
      </c>
      <c r="AW71" s="34">
        <v>102.6</v>
      </c>
      <c r="AX71" s="34">
        <v>90</v>
      </c>
      <c r="AY71" s="34">
        <v>90</v>
      </c>
      <c r="AZ71" s="34">
        <v>90</v>
      </c>
      <c r="BA71" s="34">
        <v>81</v>
      </c>
      <c r="BB71" s="34">
        <v>72</v>
      </c>
      <c r="BC71" s="34">
        <v>72</v>
      </c>
      <c r="BD71" s="34">
        <v>72</v>
      </c>
      <c r="BE71" s="34">
        <v>68.400000000000006</v>
      </c>
      <c r="BF71" s="34">
        <v>60.1</v>
      </c>
      <c r="BG71" s="34">
        <v>54</v>
      </c>
      <c r="BH71" s="34">
        <v>54</v>
      </c>
      <c r="BI71" s="34">
        <v>36</v>
      </c>
      <c r="BJ71" s="34">
        <v>36</v>
      </c>
      <c r="BK71" s="34">
        <v>36</v>
      </c>
      <c r="BL71" s="34">
        <v>36</v>
      </c>
      <c r="BM71" s="34">
        <v>34.200000000000003</v>
      </c>
      <c r="BN71" s="34">
        <v>28.8</v>
      </c>
      <c r="BO71" s="34">
        <v>18</v>
      </c>
      <c r="BP71" s="34">
        <v>18</v>
      </c>
      <c r="BQ71" s="34">
        <v>0</v>
      </c>
      <c r="BR71" s="17">
        <f t="shared" si="0"/>
        <v>15783.100000000002</v>
      </c>
    </row>
    <row r="72" spans="1:70" x14ac:dyDescent="0.25">
      <c r="A72" s="5">
        <v>46388</v>
      </c>
      <c r="B72" s="34">
        <v>900</v>
      </c>
      <c r="C72" s="34">
        <v>648</v>
      </c>
      <c r="D72" s="34">
        <v>558</v>
      </c>
      <c r="E72" s="34">
        <v>540</v>
      </c>
      <c r="F72" s="34">
        <v>540</v>
      </c>
      <c r="G72" s="34">
        <v>486.7</v>
      </c>
      <c r="H72" s="34">
        <v>468</v>
      </c>
      <c r="I72" s="34">
        <v>468</v>
      </c>
      <c r="J72" s="34">
        <v>432</v>
      </c>
      <c r="K72" s="34">
        <v>432</v>
      </c>
      <c r="L72" s="34">
        <v>432</v>
      </c>
      <c r="M72" s="34">
        <v>414</v>
      </c>
      <c r="N72" s="34">
        <v>396</v>
      </c>
      <c r="O72" s="34">
        <v>369</v>
      </c>
      <c r="P72" s="34">
        <v>368.3</v>
      </c>
      <c r="Q72" s="34">
        <v>360</v>
      </c>
      <c r="R72" s="34">
        <v>360</v>
      </c>
      <c r="S72" s="34">
        <v>347.4</v>
      </c>
      <c r="T72" s="34">
        <v>335.9</v>
      </c>
      <c r="U72" s="34">
        <v>306</v>
      </c>
      <c r="V72" s="34">
        <v>306</v>
      </c>
      <c r="W72" s="34">
        <v>304.2</v>
      </c>
      <c r="X72" s="34">
        <v>288</v>
      </c>
      <c r="Y72" s="34">
        <v>288</v>
      </c>
      <c r="Z72" s="34">
        <v>267.8</v>
      </c>
      <c r="AA72" s="34">
        <v>244.8</v>
      </c>
      <c r="AB72" s="34">
        <v>234</v>
      </c>
      <c r="AC72" s="34">
        <v>234</v>
      </c>
      <c r="AD72" s="34">
        <v>225</v>
      </c>
      <c r="AE72" s="34">
        <v>225</v>
      </c>
      <c r="AF72" s="34">
        <v>216</v>
      </c>
      <c r="AG72" s="34">
        <v>216</v>
      </c>
      <c r="AH72" s="34">
        <v>216</v>
      </c>
      <c r="AI72" s="34">
        <v>216</v>
      </c>
      <c r="AJ72" s="34">
        <v>202.7</v>
      </c>
      <c r="AK72" s="34">
        <v>196.2</v>
      </c>
      <c r="AL72" s="34">
        <v>183.6</v>
      </c>
      <c r="AM72" s="34">
        <v>180</v>
      </c>
      <c r="AN72" s="34">
        <v>180</v>
      </c>
      <c r="AO72" s="34">
        <v>178.9</v>
      </c>
      <c r="AP72" s="34">
        <v>147.6</v>
      </c>
      <c r="AQ72" s="34">
        <v>144</v>
      </c>
      <c r="AR72" s="34">
        <v>132.1</v>
      </c>
      <c r="AS72" s="34">
        <v>127.1</v>
      </c>
      <c r="AT72" s="34">
        <v>108</v>
      </c>
      <c r="AU72" s="34">
        <v>108</v>
      </c>
      <c r="AV72" s="34">
        <v>103.7</v>
      </c>
      <c r="AW72" s="34">
        <v>102.6</v>
      </c>
      <c r="AX72" s="34">
        <v>90</v>
      </c>
      <c r="AY72" s="34">
        <v>90</v>
      </c>
      <c r="AZ72" s="34">
        <v>90</v>
      </c>
      <c r="BA72" s="34">
        <v>81</v>
      </c>
      <c r="BB72" s="34">
        <v>72</v>
      </c>
      <c r="BC72" s="34">
        <v>72</v>
      </c>
      <c r="BD72" s="34">
        <v>72</v>
      </c>
      <c r="BE72" s="34">
        <v>68.400000000000006</v>
      </c>
      <c r="BF72" s="34">
        <v>60.1</v>
      </c>
      <c r="BG72" s="34">
        <v>54</v>
      </c>
      <c r="BH72" s="34">
        <v>54</v>
      </c>
      <c r="BI72" s="34">
        <v>36</v>
      </c>
      <c r="BJ72" s="34">
        <v>36</v>
      </c>
      <c r="BK72" s="34">
        <v>36</v>
      </c>
      <c r="BL72" s="34">
        <v>36</v>
      </c>
      <c r="BM72" s="34">
        <v>34.200000000000003</v>
      </c>
      <c r="BN72" s="34">
        <v>28.8</v>
      </c>
      <c r="BO72" s="34">
        <v>18</v>
      </c>
      <c r="BP72" s="34">
        <v>18</v>
      </c>
      <c r="BQ72" s="34">
        <v>0</v>
      </c>
      <c r="BR72" s="17">
        <f t="shared" si="0"/>
        <v>15783.100000000002</v>
      </c>
    </row>
    <row r="73" spans="1:70" x14ac:dyDescent="0.25">
      <c r="A73" s="5">
        <v>46419</v>
      </c>
      <c r="B73" s="34">
        <v>900</v>
      </c>
      <c r="C73" s="34">
        <v>648</v>
      </c>
      <c r="D73" s="34">
        <v>558</v>
      </c>
      <c r="E73" s="34">
        <v>540</v>
      </c>
      <c r="F73" s="34">
        <v>540</v>
      </c>
      <c r="G73" s="34">
        <v>486.7</v>
      </c>
      <c r="H73" s="34">
        <v>468</v>
      </c>
      <c r="I73" s="34">
        <v>468</v>
      </c>
      <c r="J73" s="34">
        <v>432</v>
      </c>
      <c r="K73" s="34">
        <v>432</v>
      </c>
      <c r="L73" s="34">
        <v>432</v>
      </c>
      <c r="M73" s="34">
        <v>414</v>
      </c>
      <c r="N73" s="34">
        <v>396</v>
      </c>
      <c r="O73" s="34">
        <v>369</v>
      </c>
      <c r="P73" s="34">
        <v>368.3</v>
      </c>
      <c r="Q73" s="34">
        <v>360</v>
      </c>
      <c r="R73" s="34">
        <v>360</v>
      </c>
      <c r="S73" s="34">
        <v>347.4</v>
      </c>
      <c r="T73" s="34">
        <v>335.9</v>
      </c>
      <c r="U73" s="34">
        <v>306</v>
      </c>
      <c r="V73" s="34">
        <v>306</v>
      </c>
      <c r="W73" s="34">
        <v>304.2</v>
      </c>
      <c r="X73" s="34">
        <v>288</v>
      </c>
      <c r="Y73" s="34">
        <v>288</v>
      </c>
      <c r="Z73" s="34">
        <v>267.8</v>
      </c>
      <c r="AA73" s="34">
        <v>244.8</v>
      </c>
      <c r="AB73" s="34">
        <v>234</v>
      </c>
      <c r="AC73" s="34">
        <v>234</v>
      </c>
      <c r="AD73" s="34">
        <v>225</v>
      </c>
      <c r="AE73" s="34">
        <v>225</v>
      </c>
      <c r="AF73" s="34">
        <v>216</v>
      </c>
      <c r="AG73" s="34">
        <v>216</v>
      </c>
      <c r="AH73" s="34">
        <v>216</v>
      </c>
      <c r="AI73" s="34">
        <v>216</v>
      </c>
      <c r="AJ73" s="34">
        <v>202.7</v>
      </c>
      <c r="AK73" s="34">
        <v>196.2</v>
      </c>
      <c r="AL73" s="34">
        <v>183.6</v>
      </c>
      <c r="AM73" s="34">
        <v>180</v>
      </c>
      <c r="AN73" s="34">
        <v>180</v>
      </c>
      <c r="AO73" s="34">
        <v>178.9</v>
      </c>
      <c r="AP73" s="34">
        <v>147.6</v>
      </c>
      <c r="AQ73" s="34">
        <v>144</v>
      </c>
      <c r="AR73" s="34">
        <v>132.1</v>
      </c>
      <c r="AS73" s="34">
        <v>127.1</v>
      </c>
      <c r="AT73" s="34">
        <v>108</v>
      </c>
      <c r="AU73" s="34">
        <v>108</v>
      </c>
      <c r="AV73" s="34">
        <v>103.7</v>
      </c>
      <c r="AW73" s="34">
        <v>102.6</v>
      </c>
      <c r="AX73" s="34">
        <v>90</v>
      </c>
      <c r="AY73" s="34">
        <v>90</v>
      </c>
      <c r="AZ73" s="34">
        <v>90</v>
      </c>
      <c r="BA73" s="34">
        <v>81</v>
      </c>
      <c r="BB73" s="34">
        <v>72</v>
      </c>
      <c r="BC73" s="34">
        <v>72</v>
      </c>
      <c r="BD73" s="34">
        <v>72</v>
      </c>
      <c r="BE73" s="34">
        <v>68.400000000000006</v>
      </c>
      <c r="BF73" s="34">
        <v>60.1</v>
      </c>
      <c r="BG73" s="34">
        <v>54</v>
      </c>
      <c r="BH73" s="34">
        <v>54</v>
      </c>
      <c r="BI73" s="34">
        <v>36</v>
      </c>
      <c r="BJ73" s="34">
        <v>36</v>
      </c>
      <c r="BK73" s="34">
        <v>36</v>
      </c>
      <c r="BL73" s="34">
        <v>36</v>
      </c>
      <c r="BM73" s="34">
        <v>34.200000000000003</v>
      </c>
      <c r="BN73" s="34">
        <v>28.8</v>
      </c>
      <c r="BO73" s="34">
        <v>18</v>
      </c>
      <c r="BP73" s="34">
        <v>18</v>
      </c>
      <c r="BQ73" s="34">
        <v>0</v>
      </c>
      <c r="BR73" s="17">
        <f t="shared" si="0"/>
        <v>15783.100000000002</v>
      </c>
    </row>
    <row r="74" spans="1:70" x14ac:dyDescent="0.25">
      <c r="A74" s="5">
        <v>46447</v>
      </c>
      <c r="B74" s="34">
        <v>900</v>
      </c>
      <c r="C74" s="34">
        <v>648</v>
      </c>
      <c r="D74" s="34">
        <v>558</v>
      </c>
      <c r="E74" s="34">
        <v>540</v>
      </c>
      <c r="F74" s="34">
        <v>540</v>
      </c>
      <c r="G74" s="34">
        <v>486.7</v>
      </c>
      <c r="H74" s="34">
        <v>468</v>
      </c>
      <c r="I74" s="34">
        <v>468</v>
      </c>
      <c r="J74" s="34">
        <v>432</v>
      </c>
      <c r="K74" s="34">
        <v>432</v>
      </c>
      <c r="L74" s="34">
        <v>432</v>
      </c>
      <c r="M74" s="34">
        <v>414</v>
      </c>
      <c r="N74" s="34">
        <v>396</v>
      </c>
      <c r="O74" s="34">
        <v>369</v>
      </c>
      <c r="P74" s="34">
        <v>368.3</v>
      </c>
      <c r="Q74" s="34">
        <v>360</v>
      </c>
      <c r="R74" s="34">
        <v>360</v>
      </c>
      <c r="S74" s="34">
        <v>347.4</v>
      </c>
      <c r="T74" s="34">
        <v>335.9</v>
      </c>
      <c r="U74" s="34">
        <v>306</v>
      </c>
      <c r="V74" s="34">
        <v>306</v>
      </c>
      <c r="W74" s="34">
        <v>304.2</v>
      </c>
      <c r="X74" s="34">
        <v>288</v>
      </c>
      <c r="Y74" s="34">
        <v>288</v>
      </c>
      <c r="Z74" s="34">
        <v>267.8</v>
      </c>
      <c r="AA74" s="34">
        <v>244.8</v>
      </c>
      <c r="AB74" s="34">
        <v>234</v>
      </c>
      <c r="AC74" s="34">
        <v>234</v>
      </c>
      <c r="AD74" s="34">
        <v>225</v>
      </c>
      <c r="AE74" s="34">
        <v>225</v>
      </c>
      <c r="AF74" s="34">
        <v>216</v>
      </c>
      <c r="AG74" s="34">
        <v>216</v>
      </c>
      <c r="AH74" s="34">
        <v>216</v>
      </c>
      <c r="AI74" s="34">
        <v>216</v>
      </c>
      <c r="AJ74" s="34">
        <v>202.7</v>
      </c>
      <c r="AK74" s="34">
        <v>196.2</v>
      </c>
      <c r="AL74" s="34">
        <v>183.6</v>
      </c>
      <c r="AM74" s="34">
        <v>180</v>
      </c>
      <c r="AN74" s="34">
        <v>180</v>
      </c>
      <c r="AO74" s="34">
        <v>178.9</v>
      </c>
      <c r="AP74" s="34">
        <v>147.6</v>
      </c>
      <c r="AQ74" s="34">
        <v>144</v>
      </c>
      <c r="AR74" s="34">
        <v>132.1</v>
      </c>
      <c r="AS74" s="34">
        <v>127.1</v>
      </c>
      <c r="AT74" s="34">
        <v>108</v>
      </c>
      <c r="AU74" s="34">
        <v>108</v>
      </c>
      <c r="AV74" s="34">
        <v>103.7</v>
      </c>
      <c r="AW74" s="34">
        <v>102.6</v>
      </c>
      <c r="AX74" s="34">
        <v>90</v>
      </c>
      <c r="AY74" s="34">
        <v>90</v>
      </c>
      <c r="AZ74" s="34">
        <v>90</v>
      </c>
      <c r="BA74" s="34">
        <v>81</v>
      </c>
      <c r="BB74" s="34">
        <v>72</v>
      </c>
      <c r="BC74" s="34">
        <v>72</v>
      </c>
      <c r="BD74" s="34">
        <v>72</v>
      </c>
      <c r="BE74" s="34">
        <v>68.400000000000006</v>
      </c>
      <c r="BF74" s="34">
        <v>60.1</v>
      </c>
      <c r="BG74" s="34">
        <v>54</v>
      </c>
      <c r="BH74" s="34">
        <v>54</v>
      </c>
      <c r="BI74" s="34">
        <v>36</v>
      </c>
      <c r="BJ74" s="34">
        <v>36</v>
      </c>
      <c r="BK74" s="34">
        <v>36</v>
      </c>
      <c r="BL74" s="34">
        <v>36</v>
      </c>
      <c r="BM74" s="34">
        <v>34.200000000000003</v>
      </c>
      <c r="BN74" s="34">
        <v>28.8</v>
      </c>
      <c r="BO74" s="34">
        <v>18</v>
      </c>
      <c r="BP74" s="34">
        <v>18</v>
      </c>
      <c r="BQ74" s="34">
        <v>0</v>
      </c>
      <c r="BR74" s="17">
        <f t="shared" si="0"/>
        <v>15783.100000000002</v>
      </c>
    </row>
    <row r="75" spans="1:70" x14ac:dyDescent="0.25">
      <c r="A75" s="5">
        <v>46478</v>
      </c>
      <c r="B75" s="34">
        <v>900</v>
      </c>
      <c r="C75" s="34">
        <v>648</v>
      </c>
      <c r="D75" s="34">
        <v>558</v>
      </c>
      <c r="E75" s="34">
        <v>540</v>
      </c>
      <c r="F75" s="34">
        <v>540</v>
      </c>
      <c r="G75" s="34">
        <v>486.7</v>
      </c>
      <c r="H75" s="34">
        <v>468</v>
      </c>
      <c r="I75" s="34">
        <v>468</v>
      </c>
      <c r="J75" s="34">
        <v>432</v>
      </c>
      <c r="K75" s="34">
        <v>432</v>
      </c>
      <c r="L75" s="34">
        <v>432</v>
      </c>
      <c r="M75" s="34">
        <v>414</v>
      </c>
      <c r="N75" s="34">
        <v>396</v>
      </c>
      <c r="O75" s="34">
        <v>369</v>
      </c>
      <c r="P75" s="34">
        <v>368.3</v>
      </c>
      <c r="Q75" s="34">
        <v>360</v>
      </c>
      <c r="R75" s="34">
        <v>360</v>
      </c>
      <c r="S75" s="34">
        <v>347.4</v>
      </c>
      <c r="T75" s="34">
        <v>335.9</v>
      </c>
      <c r="U75" s="34">
        <v>306</v>
      </c>
      <c r="V75" s="34">
        <v>306</v>
      </c>
      <c r="W75" s="34">
        <v>304.2</v>
      </c>
      <c r="X75" s="34">
        <v>288</v>
      </c>
      <c r="Y75" s="34">
        <v>288</v>
      </c>
      <c r="Z75" s="34">
        <v>267.8</v>
      </c>
      <c r="AA75" s="34">
        <v>244.8</v>
      </c>
      <c r="AB75" s="34">
        <v>234</v>
      </c>
      <c r="AC75" s="34">
        <v>234</v>
      </c>
      <c r="AD75" s="34">
        <v>225</v>
      </c>
      <c r="AE75" s="34">
        <v>225</v>
      </c>
      <c r="AF75" s="34">
        <v>216</v>
      </c>
      <c r="AG75" s="34">
        <v>216</v>
      </c>
      <c r="AH75" s="34">
        <v>216</v>
      </c>
      <c r="AI75" s="34">
        <v>216</v>
      </c>
      <c r="AJ75" s="34">
        <v>202.7</v>
      </c>
      <c r="AK75" s="34">
        <v>196.2</v>
      </c>
      <c r="AL75" s="34">
        <v>183.6</v>
      </c>
      <c r="AM75" s="34">
        <v>180</v>
      </c>
      <c r="AN75" s="34">
        <v>180</v>
      </c>
      <c r="AO75" s="34">
        <v>178.9</v>
      </c>
      <c r="AP75" s="34">
        <v>147.6</v>
      </c>
      <c r="AQ75" s="34">
        <v>144</v>
      </c>
      <c r="AR75" s="34">
        <v>132.1</v>
      </c>
      <c r="AS75" s="34">
        <v>127.1</v>
      </c>
      <c r="AT75" s="34">
        <v>108</v>
      </c>
      <c r="AU75" s="34">
        <v>108</v>
      </c>
      <c r="AV75" s="34">
        <v>103.7</v>
      </c>
      <c r="AW75" s="34">
        <v>102.6</v>
      </c>
      <c r="AX75" s="34">
        <v>90</v>
      </c>
      <c r="AY75" s="34">
        <v>90</v>
      </c>
      <c r="AZ75" s="34">
        <v>90</v>
      </c>
      <c r="BA75" s="34">
        <v>81</v>
      </c>
      <c r="BB75" s="34">
        <v>72</v>
      </c>
      <c r="BC75" s="34">
        <v>72</v>
      </c>
      <c r="BD75" s="34">
        <v>72</v>
      </c>
      <c r="BE75" s="34">
        <v>68.400000000000006</v>
      </c>
      <c r="BF75" s="34">
        <v>60.1</v>
      </c>
      <c r="BG75" s="34">
        <v>54</v>
      </c>
      <c r="BH75" s="34">
        <v>54</v>
      </c>
      <c r="BI75" s="34">
        <v>36</v>
      </c>
      <c r="BJ75" s="34">
        <v>36</v>
      </c>
      <c r="BK75" s="34">
        <v>36</v>
      </c>
      <c r="BL75" s="34">
        <v>36</v>
      </c>
      <c r="BM75" s="34">
        <v>34.200000000000003</v>
      </c>
      <c r="BN75" s="34">
        <v>28.8</v>
      </c>
      <c r="BO75" s="34">
        <v>18</v>
      </c>
      <c r="BP75" s="34">
        <v>18</v>
      </c>
      <c r="BQ75" s="34">
        <v>0</v>
      </c>
      <c r="BR75" s="17">
        <f t="shared" si="0"/>
        <v>15783.100000000002</v>
      </c>
    </row>
    <row r="76" spans="1:70" x14ac:dyDescent="0.25">
      <c r="A76" s="5">
        <v>46508</v>
      </c>
      <c r="B76" s="34">
        <v>900</v>
      </c>
      <c r="C76" s="34">
        <v>648</v>
      </c>
      <c r="D76" s="34">
        <v>558</v>
      </c>
      <c r="E76" s="34">
        <v>540</v>
      </c>
      <c r="F76" s="34">
        <v>540</v>
      </c>
      <c r="G76" s="34">
        <v>486.7</v>
      </c>
      <c r="H76" s="34">
        <v>468</v>
      </c>
      <c r="I76" s="34">
        <v>468</v>
      </c>
      <c r="J76" s="34">
        <v>432</v>
      </c>
      <c r="K76" s="34">
        <v>432</v>
      </c>
      <c r="L76" s="34">
        <v>432</v>
      </c>
      <c r="M76" s="34">
        <v>414</v>
      </c>
      <c r="N76" s="34">
        <v>396</v>
      </c>
      <c r="O76" s="34">
        <v>369</v>
      </c>
      <c r="P76" s="34">
        <v>368.3</v>
      </c>
      <c r="Q76" s="34">
        <v>360</v>
      </c>
      <c r="R76" s="34">
        <v>360</v>
      </c>
      <c r="S76" s="34">
        <v>347.4</v>
      </c>
      <c r="T76" s="34">
        <v>335.9</v>
      </c>
      <c r="U76" s="34">
        <v>306</v>
      </c>
      <c r="V76" s="34">
        <v>306</v>
      </c>
      <c r="W76" s="34">
        <v>304.2</v>
      </c>
      <c r="X76" s="34">
        <v>288</v>
      </c>
      <c r="Y76" s="34">
        <v>288</v>
      </c>
      <c r="Z76" s="34">
        <v>267.8</v>
      </c>
      <c r="AA76" s="34">
        <v>244.8</v>
      </c>
      <c r="AB76" s="34">
        <v>234</v>
      </c>
      <c r="AC76" s="34">
        <v>234</v>
      </c>
      <c r="AD76" s="34">
        <v>225</v>
      </c>
      <c r="AE76" s="34">
        <v>225</v>
      </c>
      <c r="AF76" s="34">
        <v>216</v>
      </c>
      <c r="AG76" s="34">
        <v>216</v>
      </c>
      <c r="AH76" s="34">
        <v>216</v>
      </c>
      <c r="AI76" s="34">
        <v>216</v>
      </c>
      <c r="AJ76" s="34">
        <v>202.7</v>
      </c>
      <c r="AK76" s="34">
        <v>196.2</v>
      </c>
      <c r="AL76" s="34">
        <v>183.6</v>
      </c>
      <c r="AM76" s="34">
        <v>180</v>
      </c>
      <c r="AN76" s="34">
        <v>180</v>
      </c>
      <c r="AO76" s="34">
        <v>178.9</v>
      </c>
      <c r="AP76" s="34">
        <v>147.6</v>
      </c>
      <c r="AQ76" s="34">
        <v>144</v>
      </c>
      <c r="AR76" s="34">
        <v>132.1</v>
      </c>
      <c r="AS76" s="34">
        <v>127.1</v>
      </c>
      <c r="AT76" s="34">
        <v>108</v>
      </c>
      <c r="AU76" s="34">
        <v>108</v>
      </c>
      <c r="AV76" s="34">
        <v>103.7</v>
      </c>
      <c r="AW76" s="34">
        <v>102.6</v>
      </c>
      <c r="AX76" s="34">
        <v>90</v>
      </c>
      <c r="AY76" s="34">
        <v>90</v>
      </c>
      <c r="AZ76" s="34">
        <v>90</v>
      </c>
      <c r="BA76" s="34">
        <v>81</v>
      </c>
      <c r="BB76" s="34">
        <v>72</v>
      </c>
      <c r="BC76" s="34">
        <v>72</v>
      </c>
      <c r="BD76" s="34">
        <v>72</v>
      </c>
      <c r="BE76" s="34">
        <v>68.400000000000006</v>
      </c>
      <c r="BF76" s="34">
        <v>60.1</v>
      </c>
      <c r="BG76" s="34">
        <v>54</v>
      </c>
      <c r="BH76" s="34">
        <v>54</v>
      </c>
      <c r="BI76" s="34">
        <v>36</v>
      </c>
      <c r="BJ76" s="34">
        <v>36</v>
      </c>
      <c r="BK76" s="34">
        <v>36</v>
      </c>
      <c r="BL76" s="34">
        <v>36</v>
      </c>
      <c r="BM76" s="34">
        <v>34.200000000000003</v>
      </c>
      <c r="BN76" s="34">
        <v>28.8</v>
      </c>
      <c r="BO76" s="34">
        <v>18</v>
      </c>
      <c r="BP76" s="34">
        <v>18</v>
      </c>
      <c r="BQ76" s="34">
        <v>0</v>
      </c>
      <c r="BR76" s="17">
        <f t="shared" si="0"/>
        <v>15783.100000000002</v>
      </c>
    </row>
    <row r="77" spans="1:70" x14ac:dyDescent="0.25">
      <c r="A77" s="5">
        <v>46539</v>
      </c>
      <c r="B77" s="34">
        <v>900</v>
      </c>
      <c r="C77" s="34">
        <v>648</v>
      </c>
      <c r="D77" s="34">
        <v>558</v>
      </c>
      <c r="E77" s="34">
        <v>540</v>
      </c>
      <c r="F77" s="34">
        <v>540</v>
      </c>
      <c r="G77" s="34">
        <v>486.7</v>
      </c>
      <c r="H77" s="34">
        <v>468</v>
      </c>
      <c r="I77" s="34">
        <v>468</v>
      </c>
      <c r="J77" s="34">
        <v>432</v>
      </c>
      <c r="K77" s="34">
        <v>432</v>
      </c>
      <c r="L77" s="34">
        <v>432</v>
      </c>
      <c r="M77" s="34">
        <v>414</v>
      </c>
      <c r="N77" s="34">
        <v>396</v>
      </c>
      <c r="O77" s="34">
        <v>369</v>
      </c>
      <c r="P77" s="34">
        <v>368.3</v>
      </c>
      <c r="Q77" s="34">
        <v>360</v>
      </c>
      <c r="R77" s="34">
        <v>360</v>
      </c>
      <c r="S77" s="34">
        <v>347.4</v>
      </c>
      <c r="T77" s="34">
        <v>335.9</v>
      </c>
      <c r="U77" s="34">
        <v>306</v>
      </c>
      <c r="V77" s="34">
        <v>306</v>
      </c>
      <c r="W77" s="34">
        <v>304.2</v>
      </c>
      <c r="X77" s="34">
        <v>288</v>
      </c>
      <c r="Y77" s="34">
        <v>288</v>
      </c>
      <c r="Z77" s="34">
        <v>267.8</v>
      </c>
      <c r="AA77" s="34">
        <v>244.8</v>
      </c>
      <c r="AB77" s="34">
        <v>234</v>
      </c>
      <c r="AC77" s="34">
        <v>234</v>
      </c>
      <c r="AD77" s="34">
        <v>225</v>
      </c>
      <c r="AE77" s="34">
        <v>225</v>
      </c>
      <c r="AF77" s="34">
        <v>216</v>
      </c>
      <c r="AG77" s="34">
        <v>216</v>
      </c>
      <c r="AH77" s="34">
        <v>216</v>
      </c>
      <c r="AI77" s="34">
        <v>216</v>
      </c>
      <c r="AJ77" s="34">
        <v>202.7</v>
      </c>
      <c r="AK77" s="34">
        <v>196.2</v>
      </c>
      <c r="AL77" s="34">
        <v>183.6</v>
      </c>
      <c r="AM77" s="34">
        <v>180</v>
      </c>
      <c r="AN77" s="34">
        <v>180</v>
      </c>
      <c r="AO77" s="34">
        <v>178.9</v>
      </c>
      <c r="AP77" s="34">
        <v>147.6</v>
      </c>
      <c r="AQ77" s="34">
        <v>144</v>
      </c>
      <c r="AR77" s="34">
        <v>132.1</v>
      </c>
      <c r="AS77" s="34">
        <v>127.1</v>
      </c>
      <c r="AT77" s="34">
        <v>108</v>
      </c>
      <c r="AU77" s="34">
        <v>108</v>
      </c>
      <c r="AV77" s="34">
        <v>103.7</v>
      </c>
      <c r="AW77" s="34">
        <v>102.6</v>
      </c>
      <c r="AX77" s="34">
        <v>90</v>
      </c>
      <c r="AY77" s="34">
        <v>90</v>
      </c>
      <c r="AZ77" s="34">
        <v>90</v>
      </c>
      <c r="BA77" s="34">
        <v>81</v>
      </c>
      <c r="BB77" s="34">
        <v>72</v>
      </c>
      <c r="BC77" s="34">
        <v>72</v>
      </c>
      <c r="BD77" s="34">
        <v>72</v>
      </c>
      <c r="BE77" s="34">
        <v>68.400000000000006</v>
      </c>
      <c r="BF77" s="34">
        <v>60.1</v>
      </c>
      <c r="BG77" s="34">
        <v>54</v>
      </c>
      <c r="BH77" s="34">
        <v>54</v>
      </c>
      <c r="BI77" s="34">
        <v>36</v>
      </c>
      <c r="BJ77" s="34">
        <v>36</v>
      </c>
      <c r="BK77" s="34">
        <v>36</v>
      </c>
      <c r="BL77" s="34">
        <v>36</v>
      </c>
      <c r="BM77" s="34">
        <v>34.200000000000003</v>
      </c>
      <c r="BN77" s="34">
        <v>28.8</v>
      </c>
      <c r="BO77" s="34">
        <v>18</v>
      </c>
      <c r="BP77" s="34">
        <v>18</v>
      </c>
      <c r="BQ77" s="34">
        <v>0</v>
      </c>
      <c r="BR77" s="17">
        <f t="shared" ref="BR77:BR86" si="1">SUM(B77:BP77)</f>
        <v>15783.100000000002</v>
      </c>
    </row>
    <row r="78" spans="1:70" x14ac:dyDescent="0.25">
      <c r="A78" s="5">
        <v>46569</v>
      </c>
      <c r="B78" s="34">
        <v>900</v>
      </c>
      <c r="C78" s="34">
        <v>648</v>
      </c>
      <c r="D78" s="34">
        <v>558</v>
      </c>
      <c r="E78" s="34">
        <v>540</v>
      </c>
      <c r="F78" s="34">
        <v>540</v>
      </c>
      <c r="G78" s="34">
        <v>486.7</v>
      </c>
      <c r="H78" s="34">
        <v>468</v>
      </c>
      <c r="I78" s="34">
        <v>468</v>
      </c>
      <c r="J78" s="34">
        <v>432</v>
      </c>
      <c r="K78" s="34">
        <v>432</v>
      </c>
      <c r="L78" s="34">
        <v>432</v>
      </c>
      <c r="M78" s="34">
        <v>414</v>
      </c>
      <c r="N78" s="34">
        <v>396</v>
      </c>
      <c r="O78" s="34">
        <v>369</v>
      </c>
      <c r="P78" s="34">
        <v>368.3</v>
      </c>
      <c r="Q78" s="34">
        <v>360</v>
      </c>
      <c r="R78" s="34">
        <v>360</v>
      </c>
      <c r="S78" s="34">
        <v>347.4</v>
      </c>
      <c r="T78" s="34">
        <v>335.9</v>
      </c>
      <c r="U78" s="34">
        <v>306</v>
      </c>
      <c r="V78" s="34">
        <v>306</v>
      </c>
      <c r="W78" s="34">
        <v>304.2</v>
      </c>
      <c r="X78" s="34">
        <v>288</v>
      </c>
      <c r="Y78" s="34">
        <v>288</v>
      </c>
      <c r="Z78" s="34">
        <v>267.8</v>
      </c>
      <c r="AA78" s="34">
        <v>244.8</v>
      </c>
      <c r="AB78" s="34">
        <v>234</v>
      </c>
      <c r="AC78" s="34">
        <v>234</v>
      </c>
      <c r="AD78" s="34">
        <v>225</v>
      </c>
      <c r="AE78" s="34">
        <v>225</v>
      </c>
      <c r="AF78" s="34">
        <v>216</v>
      </c>
      <c r="AG78" s="34">
        <v>216</v>
      </c>
      <c r="AH78" s="34">
        <v>216</v>
      </c>
      <c r="AI78" s="34">
        <v>216</v>
      </c>
      <c r="AJ78" s="34">
        <v>202.7</v>
      </c>
      <c r="AK78" s="34">
        <v>196.2</v>
      </c>
      <c r="AL78" s="34">
        <v>183.6</v>
      </c>
      <c r="AM78" s="34">
        <v>180</v>
      </c>
      <c r="AN78" s="34">
        <v>180</v>
      </c>
      <c r="AO78" s="34">
        <v>178.9</v>
      </c>
      <c r="AP78" s="34">
        <v>147.6</v>
      </c>
      <c r="AQ78" s="34">
        <v>144</v>
      </c>
      <c r="AR78" s="34">
        <v>132.1</v>
      </c>
      <c r="AS78" s="34">
        <v>127.1</v>
      </c>
      <c r="AT78" s="34">
        <v>108</v>
      </c>
      <c r="AU78" s="34">
        <v>108</v>
      </c>
      <c r="AV78" s="34">
        <v>103.7</v>
      </c>
      <c r="AW78" s="34">
        <v>102.6</v>
      </c>
      <c r="AX78" s="34">
        <v>90</v>
      </c>
      <c r="AY78" s="34">
        <v>90</v>
      </c>
      <c r="AZ78" s="34">
        <v>90</v>
      </c>
      <c r="BA78" s="34">
        <v>81</v>
      </c>
      <c r="BB78" s="34">
        <v>72</v>
      </c>
      <c r="BC78" s="34">
        <v>72</v>
      </c>
      <c r="BD78" s="34">
        <v>72</v>
      </c>
      <c r="BE78" s="34">
        <v>68.400000000000006</v>
      </c>
      <c r="BF78" s="34">
        <v>60.1</v>
      </c>
      <c r="BG78" s="34">
        <v>54</v>
      </c>
      <c r="BH78" s="34">
        <v>54</v>
      </c>
      <c r="BI78" s="34">
        <v>36</v>
      </c>
      <c r="BJ78" s="34">
        <v>36</v>
      </c>
      <c r="BK78" s="34">
        <v>36</v>
      </c>
      <c r="BL78" s="34">
        <v>36</v>
      </c>
      <c r="BM78" s="34">
        <v>34.200000000000003</v>
      </c>
      <c r="BN78" s="34">
        <v>28.8</v>
      </c>
      <c r="BO78" s="34">
        <v>18</v>
      </c>
      <c r="BP78" s="34">
        <v>18</v>
      </c>
      <c r="BQ78" s="34">
        <v>0</v>
      </c>
      <c r="BR78" s="17">
        <f t="shared" si="1"/>
        <v>15783.100000000002</v>
      </c>
    </row>
    <row r="79" spans="1:70" x14ac:dyDescent="0.25">
      <c r="A79" s="5">
        <v>46600</v>
      </c>
      <c r="B79" s="34">
        <v>900</v>
      </c>
      <c r="C79" s="34">
        <v>648</v>
      </c>
      <c r="D79" s="34">
        <v>558</v>
      </c>
      <c r="E79" s="34">
        <v>540</v>
      </c>
      <c r="F79" s="34">
        <v>540</v>
      </c>
      <c r="G79" s="34">
        <v>486.7</v>
      </c>
      <c r="H79" s="34">
        <v>468</v>
      </c>
      <c r="I79" s="34">
        <v>468</v>
      </c>
      <c r="J79" s="34">
        <v>432</v>
      </c>
      <c r="K79" s="34">
        <v>432</v>
      </c>
      <c r="L79" s="34">
        <v>432</v>
      </c>
      <c r="M79" s="34">
        <v>414</v>
      </c>
      <c r="N79" s="34">
        <v>396</v>
      </c>
      <c r="O79" s="34">
        <v>369</v>
      </c>
      <c r="P79" s="34">
        <v>368.3</v>
      </c>
      <c r="Q79" s="34">
        <v>360</v>
      </c>
      <c r="R79" s="34">
        <v>360</v>
      </c>
      <c r="S79" s="34">
        <v>347.4</v>
      </c>
      <c r="T79" s="34">
        <v>335.9</v>
      </c>
      <c r="U79" s="34">
        <v>306</v>
      </c>
      <c r="V79" s="34">
        <v>306</v>
      </c>
      <c r="W79" s="34">
        <v>304.2</v>
      </c>
      <c r="X79" s="34">
        <v>288</v>
      </c>
      <c r="Y79" s="34">
        <v>288</v>
      </c>
      <c r="Z79" s="34">
        <v>267.8</v>
      </c>
      <c r="AA79" s="34">
        <v>244.8</v>
      </c>
      <c r="AB79" s="34">
        <v>234</v>
      </c>
      <c r="AC79" s="34">
        <v>234</v>
      </c>
      <c r="AD79" s="34">
        <v>225</v>
      </c>
      <c r="AE79" s="34">
        <v>225</v>
      </c>
      <c r="AF79" s="34">
        <v>216</v>
      </c>
      <c r="AG79" s="34">
        <v>216</v>
      </c>
      <c r="AH79" s="34">
        <v>216</v>
      </c>
      <c r="AI79" s="34">
        <v>216</v>
      </c>
      <c r="AJ79" s="34">
        <v>202.7</v>
      </c>
      <c r="AK79" s="34">
        <v>196.2</v>
      </c>
      <c r="AL79" s="34">
        <v>183.6</v>
      </c>
      <c r="AM79" s="34">
        <v>180</v>
      </c>
      <c r="AN79" s="34">
        <v>180</v>
      </c>
      <c r="AO79" s="34">
        <v>178.9</v>
      </c>
      <c r="AP79" s="34">
        <v>147.6</v>
      </c>
      <c r="AQ79" s="34">
        <v>144</v>
      </c>
      <c r="AR79" s="34">
        <v>132.1</v>
      </c>
      <c r="AS79" s="34">
        <v>127.1</v>
      </c>
      <c r="AT79" s="34">
        <v>108</v>
      </c>
      <c r="AU79" s="34">
        <v>108</v>
      </c>
      <c r="AV79" s="34">
        <v>103.7</v>
      </c>
      <c r="AW79" s="34">
        <v>102.6</v>
      </c>
      <c r="AX79" s="34">
        <v>90</v>
      </c>
      <c r="AY79" s="34">
        <v>90</v>
      </c>
      <c r="AZ79" s="34">
        <v>90</v>
      </c>
      <c r="BA79" s="34">
        <v>81</v>
      </c>
      <c r="BB79" s="34">
        <v>72</v>
      </c>
      <c r="BC79" s="34">
        <v>72</v>
      </c>
      <c r="BD79" s="34">
        <v>72</v>
      </c>
      <c r="BE79" s="34">
        <v>68.400000000000006</v>
      </c>
      <c r="BF79" s="34">
        <v>60.1</v>
      </c>
      <c r="BG79" s="34">
        <v>54</v>
      </c>
      <c r="BH79" s="34">
        <v>54</v>
      </c>
      <c r="BI79" s="34">
        <v>36</v>
      </c>
      <c r="BJ79" s="34">
        <v>36</v>
      </c>
      <c r="BK79" s="34">
        <v>36</v>
      </c>
      <c r="BL79" s="34">
        <v>36</v>
      </c>
      <c r="BM79" s="34">
        <v>34.200000000000003</v>
      </c>
      <c r="BN79" s="34">
        <v>28.8</v>
      </c>
      <c r="BO79" s="34">
        <v>18</v>
      </c>
      <c r="BP79" s="34">
        <v>18</v>
      </c>
      <c r="BQ79" s="34">
        <v>0</v>
      </c>
      <c r="BR79" s="17">
        <f t="shared" si="1"/>
        <v>15783.100000000002</v>
      </c>
    </row>
    <row r="80" spans="1:70" x14ac:dyDescent="0.25">
      <c r="A80" s="5">
        <v>46631</v>
      </c>
      <c r="B80" s="34">
        <v>900</v>
      </c>
      <c r="C80" s="34">
        <v>648</v>
      </c>
      <c r="D80" s="34">
        <v>558</v>
      </c>
      <c r="E80" s="34">
        <v>540</v>
      </c>
      <c r="F80" s="34">
        <v>540</v>
      </c>
      <c r="G80" s="34">
        <v>486.7</v>
      </c>
      <c r="H80" s="34">
        <v>468</v>
      </c>
      <c r="I80" s="34">
        <v>468</v>
      </c>
      <c r="J80" s="34">
        <v>432</v>
      </c>
      <c r="K80" s="34">
        <v>432</v>
      </c>
      <c r="L80" s="34">
        <v>432</v>
      </c>
      <c r="M80" s="34">
        <v>414</v>
      </c>
      <c r="N80" s="34">
        <v>396</v>
      </c>
      <c r="O80" s="34">
        <v>369</v>
      </c>
      <c r="P80" s="34">
        <v>368.3</v>
      </c>
      <c r="Q80" s="34">
        <v>360</v>
      </c>
      <c r="R80" s="34">
        <v>360</v>
      </c>
      <c r="S80" s="34">
        <v>347.4</v>
      </c>
      <c r="T80" s="34">
        <v>335.9</v>
      </c>
      <c r="U80" s="34">
        <v>306</v>
      </c>
      <c r="V80" s="34">
        <v>306</v>
      </c>
      <c r="W80" s="34">
        <v>304.2</v>
      </c>
      <c r="X80" s="34">
        <v>288</v>
      </c>
      <c r="Y80" s="34">
        <v>288</v>
      </c>
      <c r="Z80" s="34">
        <v>267.8</v>
      </c>
      <c r="AA80" s="34">
        <v>244.8</v>
      </c>
      <c r="AB80" s="34">
        <v>234</v>
      </c>
      <c r="AC80" s="34">
        <v>234</v>
      </c>
      <c r="AD80" s="34">
        <v>225</v>
      </c>
      <c r="AE80" s="34">
        <v>225</v>
      </c>
      <c r="AF80" s="34">
        <v>216</v>
      </c>
      <c r="AG80" s="34">
        <v>216</v>
      </c>
      <c r="AH80" s="34">
        <v>216</v>
      </c>
      <c r="AI80" s="34">
        <v>216</v>
      </c>
      <c r="AJ80" s="34">
        <v>202.7</v>
      </c>
      <c r="AK80" s="34">
        <v>196.2</v>
      </c>
      <c r="AL80" s="34">
        <v>183.6</v>
      </c>
      <c r="AM80" s="34">
        <v>180</v>
      </c>
      <c r="AN80" s="34">
        <v>180</v>
      </c>
      <c r="AO80" s="34">
        <v>178.9</v>
      </c>
      <c r="AP80" s="34">
        <v>147.6</v>
      </c>
      <c r="AQ80" s="34">
        <v>144</v>
      </c>
      <c r="AR80" s="34">
        <v>132.1</v>
      </c>
      <c r="AS80" s="34">
        <v>127.1</v>
      </c>
      <c r="AT80" s="34">
        <v>108</v>
      </c>
      <c r="AU80" s="34">
        <v>108</v>
      </c>
      <c r="AV80" s="34">
        <v>103.7</v>
      </c>
      <c r="AW80" s="34">
        <v>102.6</v>
      </c>
      <c r="AX80" s="34">
        <v>90</v>
      </c>
      <c r="AY80" s="34">
        <v>90</v>
      </c>
      <c r="AZ80" s="34">
        <v>90</v>
      </c>
      <c r="BA80" s="34">
        <v>81</v>
      </c>
      <c r="BB80" s="34">
        <v>72</v>
      </c>
      <c r="BC80" s="34">
        <v>72</v>
      </c>
      <c r="BD80" s="34">
        <v>72</v>
      </c>
      <c r="BE80" s="34">
        <v>68.400000000000006</v>
      </c>
      <c r="BF80" s="34">
        <v>60.1</v>
      </c>
      <c r="BG80" s="34">
        <v>54</v>
      </c>
      <c r="BH80" s="34">
        <v>54</v>
      </c>
      <c r="BI80" s="34">
        <v>36</v>
      </c>
      <c r="BJ80" s="34">
        <v>36</v>
      </c>
      <c r="BK80" s="34">
        <v>36</v>
      </c>
      <c r="BL80" s="34">
        <v>36</v>
      </c>
      <c r="BM80" s="34">
        <v>34.200000000000003</v>
      </c>
      <c r="BN80" s="34">
        <v>28.8</v>
      </c>
      <c r="BO80" s="34">
        <v>18</v>
      </c>
      <c r="BP80" s="34">
        <v>18</v>
      </c>
      <c r="BQ80" s="34">
        <v>0</v>
      </c>
      <c r="BR80" s="17">
        <f t="shared" si="1"/>
        <v>15783.100000000002</v>
      </c>
    </row>
    <row r="81" spans="1:70" x14ac:dyDescent="0.25">
      <c r="A81" s="5">
        <v>46661</v>
      </c>
      <c r="B81" s="34">
        <v>900</v>
      </c>
      <c r="C81" s="34">
        <v>648</v>
      </c>
      <c r="D81" s="34">
        <v>558</v>
      </c>
      <c r="E81" s="34">
        <v>540</v>
      </c>
      <c r="F81" s="34">
        <v>540</v>
      </c>
      <c r="G81" s="34">
        <v>486.7</v>
      </c>
      <c r="H81" s="34">
        <v>468</v>
      </c>
      <c r="I81" s="34">
        <v>468</v>
      </c>
      <c r="J81" s="34">
        <v>432</v>
      </c>
      <c r="K81" s="34">
        <v>432</v>
      </c>
      <c r="L81" s="34">
        <v>432</v>
      </c>
      <c r="M81" s="34">
        <v>414</v>
      </c>
      <c r="N81" s="34">
        <v>396</v>
      </c>
      <c r="O81" s="34">
        <v>369</v>
      </c>
      <c r="P81" s="34">
        <v>368.3</v>
      </c>
      <c r="Q81" s="34">
        <v>360</v>
      </c>
      <c r="R81" s="34">
        <v>360</v>
      </c>
      <c r="S81" s="34">
        <v>347.4</v>
      </c>
      <c r="T81" s="34">
        <v>335.9</v>
      </c>
      <c r="U81" s="34">
        <v>306</v>
      </c>
      <c r="V81" s="34">
        <v>306</v>
      </c>
      <c r="W81" s="34">
        <v>304.2</v>
      </c>
      <c r="X81" s="34">
        <v>288</v>
      </c>
      <c r="Y81" s="34">
        <v>288</v>
      </c>
      <c r="Z81" s="34">
        <v>267.8</v>
      </c>
      <c r="AA81" s="34">
        <v>244.8</v>
      </c>
      <c r="AB81" s="34">
        <v>234</v>
      </c>
      <c r="AC81" s="34">
        <v>234</v>
      </c>
      <c r="AD81" s="34">
        <v>225</v>
      </c>
      <c r="AE81" s="34">
        <v>225</v>
      </c>
      <c r="AF81" s="34">
        <v>216</v>
      </c>
      <c r="AG81" s="34">
        <v>216</v>
      </c>
      <c r="AH81" s="34">
        <v>216</v>
      </c>
      <c r="AI81" s="34">
        <v>216</v>
      </c>
      <c r="AJ81" s="34">
        <v>202.7</v>
      </c>
      <c r="AK81" s="34">
        <v>196.2</v>
      </c>
      <c r="AL81" s="34">
        <v>183.6</v>
      </c>
      <c r="AM81" s="34">
        <v>180</v>
      </c>
      <c r="AN81" s="34">
        <v>180</v>
      </c>
      <c r="AO81" s="34">
        <v>178.9</v>
      </c>
      <c r="AP81" s="34">
        <v>147.6</v>
      </c>
      <c r="AQ81" s="34">
        <v>144</v>
      </c>
      <c r="AR81" s="34">
        <v>132.1</v>
      </c>
      <c r="AS81" s="34">
        <v>127.1</v>
      </c>
      <c r="AT81" s="34">
        <v>108</v>
      </c>
      <c r="AU81" s="34">
        <v>108</v>
      </c>
      <c r="AV81" s="34">
        <v>103.7</v>
      </c>
      <c r="AW81" s="34">
        <v>102.6</v>
      </c>
      <c r="AX81" s="34">
        <v>90</v>
      </c>
      <c r="AY81" s="34">
        <v>90</v>
      </c>
      <c r="AZ81" s="34">
        <v>90</v>
      </c>
      <c r="BA81" s="34">
        <v>81</v>
      </c>
      <c r="BB81" s="34">
        <v>72</v>
      </c>
      <c r="BC81" s="34">
        <v>72</v>
      </c>
      <c r="BD81" s="34">
        <v>72</v>
      </c>
      <c r="BE81" s="34">
        <v>68.400000000000006</v>
      </c>
      <c r="BF81" s="34">
        <v>60.1</v>
      </c>
      <c r="BG81" s="34">
        <v>54</v>
      </c>
      <c r="BH81" s="34">
        <v>54</v>
      </c>
      <c r="BI81" s="34">
        <v>36</v>
      </c>
      <c r="BJ81" s="34">
        <v>36</v>
      </c>
      <c r="BK81" s="34">
        <v>36</v>
      </c>
      <c r="BL81" s="34">
        <v>36</v>
      </c>
      <c r="BM81" s="34">
        <v>34.200000000000003</v>
      </c>
      <c r="BN81" s="34">
        <v>28.8</v>
      </c>
      <c r="BO81" s="34">
        <v>18</v>
      </c>
      <c r="BP81" s="34">
        <v>18</v>
      </c>
      <c r="BQ81" s="34">
        <v>0</v>
      </c>
      <c r="BR81" s="17">
        <f t="shared" si="1"/>
        <v>15783.100000000002</v>
      </c>
    </row>
    <row r="82" spans="1:70" x14ac:dyDescent="0.25">
      <c r="A82" s="5">
        <v>46692</v>
      </c>
      <c r="B82" s="34">
        <v>900</v>
      </c>
      <c r="C82" s="34">
        <v>648</v>
      </c>
      <c r="D82" s="34">
        <v>558</v>
      </c>
      <c r="E82" s="34">
        <v>540</v>
      </c>
      <c r="F82" s="34">
        <v>540</v>
      </c>
      <c r="G82" s="34">
        <v>486.7</v>
      </c>
      <c r="H82" s="34">
        <v>468</v>
      </c>
      <c r="I82" s="34">
        <v>468</v>
      </c>
      <c r="J82" s="34">
        <v>432</v>
      </c>
      <c r="K82" s="34">
        <v>432</v>
      </c>
      <c r="L82" s="34">
        <v>432</v>
      </c>
      <c r="M82" s="34">
        <v>414</v>
      </c>
      <c r="N82" s="34">
        <v>396</v>
      </c>
      <c r="O82" s="34">
        <v>369</v>
      </c>
      <c r="P82" s="34">
        <v>368.3</v>
      </c>
      <c r="Q82" s="34">
        <v>360</v>
      </c>
      <c r="R82" s="34">
        <v>360</v>
      </c>
      <c r="S82" s="34">
        <v>347.4</v>
      </c>
      <c r="T82" s="34">
        <v>335.9</v>
      </c>
      <c r="U82" s="34">
        <v>306</v>
      </c>
      <c r="V82" s="34">
        <v>306</v>
      </c>
      <c r="W82" s="34">
        <v>304.2</v>
      </c>
      <c r="X82" s="34">
        <v>288</v>
      </c>
      <c r="Y82" s="34">
        <v>288</v>
      </c>
      <c r="Z82" s="34">
        <v>267.8</v>
      </c>
      <c r="AA82" s="34">
        <v>244.8</v>
      </c>
      <c r="AB82" s="34">
        <v>234</v>
      </c>
      <c r="AC82" s="34">
        <v>234</v>
      </c>
      <c r="AD82" s="34">
        <v>225</v>
      </c>
      <c r="AE82" s="34">
        <v>225</v>
      </c>
      <c r="AF82" s="34">
        <v>216</v>
      </c>
      <c r="AG82" s="34">
        <v>216</v>
      </c>
      <c r="AH82" s="34">
        <v>216</v>
      </c>
      <c r="AI82" s="34">
        <v>216</v>
      </c>
      <c r="AJ82" s="34">
        <v>202.7</v>
      </c>
      <c r="AK82" s="34">
        <v>196.2</v>
      </c>
      <c r="AL82" s="34">
        <v>183.6</v>
      </c>
      <c r="AM82" s="34">
        <v>180</v>
      </c>
      <c r="AN82" s="34">
        <v>180</v>
      </c>
      <c r="AO82" s="34">
        <v>178.9</v>
      </c>
      <c r="AP82" s="34">
        <v>147.6</v>
      </c>
      <c r="AQ82" s="34">
        <v>144</v>
      </c>
      <c r="AR82" s="34">
        <v>132.1</v>
      </c>
      <c r="AS82" s="34">
        <v>127.1</v>
      </c>
      <c r="AT82" s="34">
        <v>108</v>
      </c>
      <c r="AU82" s="34">
        <v>108</v>
      </c>
      <c r="AV82" s="34">
        <v>103.7</v>
      </c>
      <c r="AW82" s="34">
        <v>102.6</v>
      </c>
      <c r="AX82" s="34">
        <v>90</v>
      </c>
      <c r="AY82" s="34">
        <v>90</v>
      </c>
      <c r="AZ82" s="34">
        <v>90</v>
      </c>
      <c r="BA82" s="34">
        <v>81</v>
      </c>
      <c r="BB82" s="34">
        <v>72</v>
      </c>
      <c r="BC82" s="34">
        <v>72</v>
      </c>
      <c r="BD82" s="34">
        <v>72</v>
      </c>
      <c r="BE82" s="34">
        <v>68.400000000000006</v>
      </c>
      <c r="BF82" s="34">
        <v>60.1</v>
      </c>
      <c r="BG82" s="34">
        <v>54</v>
      </c>
      <c r="BH82" s="34">
        <v>54</v>
      </c>
      <c r="BI82" s="34">
        <v>36</v>
      </c>
      <c r="BJ82" s="34">
        <v>36</v>
      </c>
      <c r="BK82" s="34">
        <v>36</v>
      </c>
      <c r="BL82" s="34">
        <v>36</v>
      </c>
      <c r="BM82" s="34">
        <v>34.200000000000003</v>
      </c>
      <c r="BN82" s="34">
        <v>28.8</v>
      </c>
      <c r="BO82" s="34">
        <v>18</v>
      </c>
      <c r="BP82" s="34">
        <v>18</v>
      </c>
      <c r="BQ82" s="34">
        <v>0</v>
      </c>
      <c r="BR82" s="17">
        <f t="shared" si="1"/>
        <v>15783.100000000002</v>
      </c>
    </row>
    <row r="83" spans="1:70" x14ac:dyDescent="0.25">
      <c r="A83" s="5">
        <v>46722</v>
      </c>
      <c r="B83" s="34">
        <v>900</v>
      </c>
      <c r="C83" s="34">
        <v>648</v>
      </c>
      <c r="D83" s="34">
        <v>558</v>
      </c>
      <c r="E83" s="34">
        <v>540</v>
      </c>
      <c r="F83" s="34">
        <v>540</v>
      </c>
      <c r="G83" s="34">
        <v>486.7</v>
      </c>
      <c r="H83" s="34">
        <v>468</v>
      </c>
      <c r="I83" s="34">
        <v>468</v>
      </c>
      <c r="J83" s="34">
        <v>432</v>
      </c>
      <c r="K83" s="34">
        <v>432</v>
      </c>
      <c r="L83" s="34">
        <v>432</v>
      </c>
      <c r="M83" s="34">
        <v>414</v>
      </c>
      <c r="N83" s="34">
        <v>396</v>
      </c>
      <c r="O83" s="34">
        <v>369</v>
      </c>
      <c r="P83" s="34">
        <v>368.3</v>
      </c>
      <c r="Q83" s="34">
        <v>360</v>
      </c>
      <c r="R83" s="34">
        <v>360</v>
      </c>
      <c r="S83" s="34">
        <v>347.4</v>
      </c>
      <c r="T83" s="34">
        <v>335.9</v>
      </c>
      <c r="U83" s="34">
        <v>306</v>
      </c>
      <c r="V83" s="34">
        <v>306</v>
      </c>
      <c r="W83" s="34">
        <v>304.2</v>
      </c>
      <c r="X83" s="34">
        <v>288</v>
      </c>
      <c r="Y83" s="34">
        <v>288</v>
      </c>
      <c r="Z83" s="34">
        <v>267.8</v>
      </c>
      <c r="AA83" s="34">
        <v>244.8</v>
      </c>
      <c r="AB83" s="34">
        <v>234</v>
      </c>
      <c r="AC83" s="34">
        <v>234</v>
      </c>
      <c r="AD83" s="34">
        <v>225</v>
      </c>
      <c r="AE83" s="34">
        <v>225</v>
      </c>
      <c r="AF83" s="34">
        <v>216</v>
      </c>
      <c r="AG83" s="34">
        <v>216</v>
      </c>
      <c r="AH83" s="34">
        <v>216</v>
      </c>
      <c r="AI83" s="34">
        <v>216</v>
      </c>
      <c r="AJ83" s="34">
        <v>202.7</v>
      </c>
      <c r="AK83" s="34">
        <v>196.2</v>
      </c>
      <c r="AL83" s="34">
        <v>183.6</v>
      </c>
      <c r="AM83" s="34">
        <v>180</v>
      </c>
      <c r="AN83" s="34">
        <v>180</v>
      </c>
      <c r="AO83" s="34">
        <v>178.9</v>
      </c>
      <c r="AP83" s="34">
        <v>147.6</v>
      </c>
      <c r="AQ83" s="34">
        <v>144</v>
      </c>
      <c r="AR83" s="34">
        <v>132.1</v>
      </c>
      <c r="AS83" s="34">
        <v>127.1</v>
      </c>
      <c r="AT83" s="34">
        <v>108</v>
      </c>
      <c r="AU83" s="34">
        <v>108</v>
      </c>
      <c r="AV83" s="34">
        <v>103.7</v>
      </c>
      <c r="AW83" s="34">
        <v>102.6</v>
      </c>
      <c r="AX83" s="34">
        <v>90</v>
      </c>
      <c r="AY83" s="34">
        <v>90</v>
      </c>
      <c r="AZ83" s="34">
        <v>90</v>
      </c>
      <c r="BA83" s="34">
        <v>81</v>
      </c>
      <c r="BB83" s="34">
        <v>72</v>
      </c>
      <c r="BC83" s="34">
        <v>72</v>
      </c>
      <c r="BD83" s="34">
        <v>72</v>
      </c>
      <c r="BE83" s="34">
        <v>68.400000000000006</v>
      </c>
      <c r="BF83" s="34">
        <v>60.1</v>
      </c>
      <c r="BG83" s="34">
        <v>54</v>
      </c>
      <c r="BH83" s="34">
        <v>54</v>
      </c>
      <c r="BI83" s="34">
        <v>36</v>
      </c>
      <c r="BJ83" s="34">
        <v>36</v>
      </c>
      <c r="BK83" s="34">
        <v>36</v>
      </c>
      <c r="BL83" s="34">
        <v>36</v>
      </c>
      <c r="BM83" s="34">
        <v>34.200000000000003</v>
      </c>
      <c r="BN83" s="34">
        <v>28.8</v>
      </c>
      <c r="BO83" s="34">
        <v>18</v>
      </c>
      <c r="BP83" s="34">
        <v>18</v>
      </c>
      <c r="BQ83" s="34">
        <v>0</v>
      </c>
      <c r="BR83" s="17">
        <f t="shared" si="1"/>
        <v>15783.100000000002</v>
      </c>
    </row>
    <row r="84" spans="1:70" x14ac:dyDescent="0.25">
      <c r="A84" s="5">
        <v>46753</v>
      </c>
      <c r="B84" s="34">
        <v>900</v>
      </c>
      <c r="C84" s="34">
        <v>648</v>
      </c>
      <c r="D84" s="34">
        <v>558</v>
      </c>
      <c r="E84" s="34">
        <v>540</v>
      </c>
      <c r="F84" s="34">
        <v>540</v>
      </c>
      <c r="G84" s="34">
        <v>486.7</v>
      </c>
      <c r="H84" s="34">
        <v>468</v>
      </c>
      <c r="I84" s="34">
        <v>468</v>
      </c>
      <c r="J84" s="34">
        <v>432</v>
      </c>
      <c r="K84" s="34">
        <v>432</v>
      </c>
      <c r="L84" s="34">
        <v>432</v>
      </c>
      <c r="M84" s="34">
        <v>414</v>
      </c>
      <c r="N84" s="34">
        <v>396</v>
      </c>
      <c r="O84" s="34">
        <v>369</v>
      </c>
      <c r="P84" s="34">
        <v>368.3</v>
      </c>
      <c r="Q84" s="34">
        <v>360</v>
      </c>
      <c r="R84" s="34">
        <v>360</v>
      </c>
      <c r="S84" s="34">
        <v>347.4</v>
      </c>
      <c r="T84" s="34">
        <v>335.9</v>
      </c>
      <c r="U84" s="34">
        <v>306</v>
      </c>
      <c r="V84" s="34">
        <v>306</v>
      </c>
      <c r="W84" s="34">
        <v>304.2</v>
      </c>
      <c r="X84" s="34">
        <v>288</v>
      </c>
      <c r="Y84" s="34">
        <v>288</v>
      </c>
      <c r="Z84" s="34">
        <v>267.8</v>
      </c>
      <c r="AA84" s="34">
        <v>244.8</v>
      </c>
      <c r="AB84" s="34">
        <v>234</v>
      </c>
      <c r="AC84" s="34">
        <v>234</v>
      </c>
      <c r="AD84" s="34">
        <v>225</v>
      </c>
      <c r="AE84" s="34">
        <v>225</v>
      </c>
      <c r="AF84" s="34">
        <v>216</v>
      </c>
      <c r="AG84" s="34">
        <v>216</v>
      </c>
      <c r="AH84" s="34">
        <v>216</v>
      </c>
      <c r="AI84" s="34">
        <v>216</v>
      </c>
      <c r="AJ84" s="34">
        <v>202.7</v>
      </c>
      <c r="AK84" s="34">
        <v>196.2</v>
      </c>
      <c r="AL84" s="34">
        <v>183.6</v>
      </c>
      <c r="AM84" s="34">
        <v>180</v>
      </c>
      <c r="AN84" s="34">
        <v>180</v>
      </c>
      <c r="AO84" s="34">
        <v>178.9</v>
      </c>
      <c r="AP84" s="34">
        <v>147.6</v>
      </c>
      <c r="AQ84" s="34">
        <v>144</v>
      </c>
      <c r="AR84" s="34">
        <v>132.1</v>
      </c>
      <c r="AS84" s="34">
        <v>127.1</v>
      </c>
      <c r="AT84" s="34">
        <v>108</v>
      </c>
      <c r="AU84" s="34">
        <v>108</v>
      </c>
      <c r="AV84" s="34">
        <v>103.7</v>
      </c>
      <c r="AW84" s="34">
        <v>102.6</v>
      </c>
      <c r="AX84" s="34">
        <v>90</v>
      </c>
      <c r="AY84" s="34">
        <v>90</v>
      </c>
      <c r="AZ84" s="34">
        <v>90</v>
      </c>
      <c r="BA84" s="34">
        <v>81</v>
      </c>
      <c r="BB84" s="34">
        <v>72</v>
      </c>
      <c r="BC84" s="34">
        <v>72</v>
      </c>
      <c r="BD84" s="34">
        <v>72</v>
      </c>
      <c r="BE84" s="34">
        <v>68.400000000000006</v>
      </c>
      <c r="BF84" s="34">
        <v>60.1</v>
      </c>
      <c r="BG84" s="34">
        <v>54</v>
      </c>
      <c r="BH84" s="34">
        <v>54</v>
      </c>
      <c r="BI84" s="34">
        <v>36</v>
      </c>
      <c r="BJ84" s="34">
        <v>36</v>
      </c>
      <c r="BK84" s="34">
        <v>36</v>
      </c>
      <c r="BL84" s="34">
        <v>36</v>
      </c>
      <c r="BM84" s="34">
        <v>34.200000000000003</v>
      </c>
      <c r="BN84" s="34">
        <v>28.8</v>
      </c>
      <c r="BO84" s="34">
        <v>18</v>
      </c>
      <c r="BP84" s="34">
        <v>18</v>
      </c>
      <c r="BQ84" s="34">
        <v>0</v>
      </c>
      <c r="BR84" s="17">
        <f t="shared" si="1"/>
        <v>15783.100000000002</v>
      </c>
    </row>
    <row r="85" spans="1:70" x14ac:dyDescent="0.25">
      <c r="A85" s="5">
        <v>46784</v>
      </c>
      <c r="B85" s="34">
        <v>900</v>
      </c>
      <c r="C85" s="34">
        <v>648</v>
      </c>
      <c r="D85" s="34">
        <v>558</v>
      </c>
      <c r="E85" s="34">
        <v>540</v>
      </c>
      <c r="F85" s="34">
        <v>540</v>
      </c>
      <c r="G85" s="34">
        <v>486.7</v>
      </c>
      <c r="H85" s="34">
        <v>468</v>
      </c>
      <c r="I85" s="34">
        <v>468</v>
      </c>
      <c r="J85" s="34">
        <v>432</v>
      </c>
      <c r="K85" s="34">
        <v>432</v>
      </c>
      <c r="L85" s="34">
        <v>432</v>
      </c>
      <c r="M85" s="34">
        <v>414</v>
      </c>
      <c r="N85" s="34">
        <v>396</v>
      </c>
      <c r="O85" s="34">
        <v>369</v>
      </c>
      <c r="P85" s="34">
        <v>368.3</v>
      </c>
      <c r="Q85" s="34">
        <v>360</v>
      </c>
      <c r="R85" s="34">
        <v>360</v>
      </c>
      <c r="S85" s="34">
        <v>347.4</v>
      </c>
      <c r="T85" s="34">
        <v>335.9</v>
      </c>
      <c r="U85" s="34">
        <v>306</v>
      </c>
      <c r="V85" s="34">
        <v>306</v>
      </c>
      <c r="W85" s="34">
        <v>304.2</v>
      </c>
      <c r="X85" s="34">
        <v>288</v>
      </c>
      <c r="Y85" s="34">
        <v>288</v>
      </c>
      <c r="Z85" s="34">
        <v>267.8</v>
      </c>
      <c r="AA85" s="34">
        <v>244.8</v>
      </c>
      <c r="AB85" s="34">
        <v>234</v>
      </c>
      <c r="AC85" s="34">
        <v>234</v>
      </c>
      <c r="AD85" s="34">
        <v>225</v>
      </c>
      <c r="AE85" s="34">
        <v>225</v>
      </c>
      <c r="AF85" s="34">
        <v>216</v>
      </c>
      <c r="AG85" s="34">
        <v>216</v>
      </c>
      <c r="AH85" s="34">
        <v>216</v>
      </c>
      <c r="AI85" s="34">
        <v>216</v>
      </c>
      <c r="AJ85" s="34">
        <v>202.7</v>
      </c>
      <c r="AK85" s="34">
        <v>196.2</v>
      </c>
      <c r="AL85" s="34">
        <v>183.6</v>
      </c>
      <c r="AM85" s="34">
        <v>180</v>
      </c>
      <c r="AN85" s="34">
        <v>180</v>
      </c>
      <c r="AO85" s="34">
        <v>178.9</v>
      </c>
      <c r="AP85" s="34">
        <v>147.6</v>
      </c>
      <c r="AQ85" s="34">
        <v>144</v>
      </c>
      <c r="AR85" s="34">
        <v>132.1</v>
      </c>
      <c r="AS85" s="34">
        <v>127.1</v>
      </c>
      <c r="AT85" s="34">
        <v>108</v>
      </c>
      <c r="AU85" s="34">
        <v>108</v>
      </c>
      <c r="AV85" s="34">
        <v>103.7</v>
      </c>
      <c r="AW85" s="34">
        <v>102.6</v>
      </c>
      <c r="AX85" s="34">
        <v>90</v>
      </c>
      <c r="AY85" s="34">
        <v>90</v>
      </c>
      <c r="AZ85" s="34">
        <v>90</v>
      </c>
      <c r="BA85" s="34">
        <v>81</v>
      </c>
      <c r="BB85" s="34">
        <v>72</v>
      </c>
      <c r="BC85" s="34">
        <v>72</v>
      </c>
      <c r="BD85" s="34">
        <v>72</v>
      </c>
      <c r="BE85" s="34">
        <v>68.400000000000006</v>
      </c>
      <c r="BF85" s="34">
        <v>60.1</v>
      </c>
      <c r="BG85" s="34">
        <v>54</v>
      </c>
      <c r="BH85" s="34">
        <v>54</v>
      </c>
      <c r="BI85" s="34">
        <v>36</v>
      </c>
      <c r="BJ85" s="34">
        <v>36</v>
      </c>
      <c r="BK85" s="34">
        <v>36</v>
      </c>
      <c r="BL85" s="34">
        <v>36</v>
      </c>
      <c r="BM85" s="34">
        <v>34.200000000000003</v>
      </c>
      <c r="BN85" s="34">
        <v>28.8</v>
      </c>
      <c r="BO85" s="34">
        <v>18</v>
      </c>
      <c r="BP85" s="34">
        <v>18</v>
      </c>
      <c r="BQ85" s="34">
        <v>0</v>
      </c>
      <c r="BR85" s="17">
        <f t="shared" si="1"/>
        <v>15783.100000000002</v>
      </c>
    </row>
    <row r="86" spans="1:70" x14ac:dyDescent="0.25">
      <c r="A86" s="5">
        <v>46813</v>
      </c>
      <c r="B86" s="34">
        <v>900</v>
      </c>
      <c r="C86" s="34">
        <v>648</v>
      </c>
      <c r="D86" s="34">
        <v>558</v>
      </c>
      <c r="E86" s="34">
        <v>540</v>
      </c>
      <c r="F86" s="34">
        <v>540</v>
      </c>
      <c r="G86" s="34">
        <v>486.7</v>
      </c>
      <c r="H86" s="34">
        <v>468</v>
      </c>
      <c r="I86" s="34">
        <v>468</v>
      </c>
      <c r="J86" s="34">
        <v>432</v>
      </c>
      <c r="K86" s="34">
        <v>432</v>
      </c>
      <c r="L86" s="34">
        <v>432</v>
      </c>
      <c r="M86" s="34">
        <v>414</v>
      </c>
      <c r="N86" s="34">
        <v>396</v>
      </c>
      <c r="O86" s="34">
        <v>369</v>
      </c>
      <c r="P86" s="34">
        <v>368.3</v>
      </c>
      <c r="Q86" s="34">
        <v>360</v>
      </c>
      <c r="R86" s="34">
        <v>360</v>
      </c>
      <c r="S86" s="34">
        <v>347.4</v>
      </c>
      <c r="T86" s="34">
        <v>335.9</v>
      </c>
      <c r="U86" s="34">
        <v>306</v>
      </c>
      <c r="V86" s="34">
        <v>306</v>
      </c>
      <c r="W86" s="34">
        <v>304.2</v>
      </c>
      <c r="X86" s="34">
        <v>288</v>
      </c>
      <c r="Y86" s="34">
        <v>288</v>
      </c>
      <c r="Z86" s="34">
        <v>267.8</v>
      </c>
      <c r="AA86" s="34">
        <v>244.8</v>
      </c>
      <c r="AB86" s="34">
        <v>234</v>
      </c>
      <c r="AC86" s="34">
        <v>234</v>
      </c>
      <c r="AD86" s="34">
        <v>225</v>
      </c>
      <c r="AE86" s="34">
        <v>225</v>
      </c>
      <c r="AF86" s="34">
        <v>216</v>
      </c>
      <c r="AG86" s="34">
        <v>216</v>
      </c>
      <c r="AH86" s="34">
        <v>216</v>
      </c>
      <c r="AI86" s="34">
        <v>216</v>
      </c>
      <c r="AJ86" s="34">
        <v>202.7</v>
      </c>
      <c r="AK86" s="34">
        <v>196.2</v>
      </c>
      <c r="AL86" s="34">
        <v>183.6</v>
      </c>
      <c r="AM86" s="34">
        <v>180</v>
      </c>
      <c r="AN86" s="34">
        <v>180</v>
      </c>
      <c r="AO86" s="34">
        <v>178.9</v>
      </c>
      <c r="AP86" s="34">
        <v>147.6</v>
      </c>
      <c r="AQ86" s="34">
        <v>144</v>
      </c>
      <c r="AR86" s="34">
        <v>132.1</v>
      </c>
      <c r="AS86" s="34">
        <v>127.1</v>
      </c>
      <c r="AT86" s="34">
        <v>108</v>
      </c>
      <c r="AU86" s="34">
        <v>108</v>
      </c>
      <c r="AV86" s="34">
        <v>103.7</v>
      </c>
      <c r="AW86" s="34">
        <v>102.6</v>
      </c>
      <c r="AX86" s="34">
        <v>90</v>
      </c>
      <c r="AY86" s="34">
        <v>90</v>
      </c>
      <c r="AZ86" s="34">
        <v>90</v>
      </c>
      <c r="BA86" s="34">
        <v>81</v>
      </c>
      <c r="BB86" s="34">
        <v>72</v>
      </c>
      <c r="BC86" s="34">
        <v>72</v>
      </c>
      <c r="BD86" s="34">
        <v>72</v>
      </c>
      <c r="BE86" s="34">
        <v>68.400000000000006</v>
      </c>
      <c r="BF86" s="34">
        <v>60.1</v>
      </c>
      <c r="BG86" s="34">
        <v>54</v>
      </c>
      <c r="BH86" s="34">
        <v>54</v>
      </c>
      <c r="BI86" s="34">
        <v>36</v>
      </c>
      <c r="BJ86" s="34">
        <v>36</v>
      </c>
      <c r="BK86" s="34">
        <v>36</v>
      </c>
      <c r="BL86" s="34">
        <v>36</v>
      </c>
      <c r="BM86" s="34">
        <v>34.200000000000003</v>
      </c>
      <c r="BN86" s="34">
        <v>28.8</v>
      </c>
      <c r="BO86" s="34">
        <v>18</v>
      </c>
      <c r="BP86" s="34">
        <v>18</v>
      </c>
      <c r="BQ86" s="34">
        <v>0</v>
      </c>
      <c r="BR86" s="17">
        <f t="shared" si="1"/>
        <v>15783.100000000002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97D5-75D8-4BC3-B3B1-6A65F9DDB665}">
  <dimension ref="A1:ET377"/>
  <sheetViews>
    <sheetView workbookViewId="0">
      <selection activeCell="C7" sqref="C7"/>
    </sheetView>
  </sheetViews>
  <sheetFormatPr defaultRowHeight="15.75" x14ac:dyDescent="0.25"/>
  <cols>
    <col min="1" max="1" width="9.5703125" style="54" bestFit="1" customWidth="1"/>
    <col min="2" max="4" width="7.42578125" style="45" customWidth="1"/>
    <col min="150" max="150" width="9.140625" style="36"/>
  </cols>
  <sheetData>
    <row r="1" spans="1:149" ht="28.5" x14ac:dyDescent="0.25">
      <c r="A1" s="35" t="s">
        <v>243</v>
      </c>
      <c r="B1" s="70" t="s">
        <v>166</v>
      </c>
      <c r="C1" s="70"/>
      <c r="D1" s="70"/>
      <c r="E1" s="70"/>
      <c r="F1" s="70"/>
      <c r="G1" s="70"/>
      <c r="H1" s="70"/>
      <c r="I1" s="70"/>
      <c r="J1" s="70" t="s">
        <v>167</v>
      </c>
      <c r="K1" s="70"/>
      <c r="L1" s="70"/>
      <c r="M1" s="70"/>
      <c r="N1" s="70"/>
      <c r="O1" s="70"/>
      <c r="P1" s="70"/>
      <c r="Q1" s="70"/>
      <c r="R1" s="70" t="s">
        <v>168</v>
      </c>
      <c r="S1" s="70"/>
      <c r="T1" s="70" t="s">
        <v>169</v>
      </c>
      <c r="U1" s="70"/>
      <c r="V1" s="70"/>
      <c r="W1" s="70"/>
      <c r="X1" s="70"/>
      <c r="Y1" s="70" t="s">
        <v>170</v>
      </c>
      <c r="Z1" s="70"/>
      <c r="AA1" s="70"/>
      <c r="AB1" s="70"/>
      <c r="AC1" s="70" t="s">
        <v>171</v>
      </c>
      <c r="AD1" s="70"/>
      <c r="AE1" s="70"/>
      <c r="AF1" s="70"/>
      <c r="AG1" s="70" t="s">
        <v>172</v>
      </c>
      <c r="AH1" s="70"/>
      <c r="AI1" s="70"/>
      <c r="AJ1" s="70"/>
      <c r="AK1" s="70" t="s">
        <v>173</v>
      </c>
      <c r="AL1" s="70"/>
      <c r="AM1" s="70" t="s">
        <v>174</v>
      </c>
      <c r="AN1" s="70"/>
      <c r="AO1" s="70"/>
      <c r="AP1" s="70" t="s">
        <v>175</v>
      </c>
      <c r="AQ1" s="70"/>
      <c r="AR1" s="70"/>
      <c r="AS1" s="70" t="s">
        <v>176</v>
      </c>
      <c r="AT1" s="70"/>
      <c r="AU1" s="70"/>
      <c r="AV1" s="70" t="s">
        <v>178</v>
      </c>
      <c r="AW1" s="70"/>
      <c r="AX1" s="70"/>
      <c r="AY1" s="70" t="s">
        <v>179</v>
      </c>
      <c r="AZ1" s="70"/>
      <c r="BA1" s="70"/>
      <c r="BB1" s="70" t="s">
        <v>180</v>
      </c>
      <c r="BC1" s="70"/>
      <c r="BD1" s="70"/>
      <c r="BE1" s="70"/>
      <c r="BF1" s="70" t="s">
        <v>181</v>
      </c>
      <c r="BG1" s="70"/>
      <c r="BH1" s="70" t="s">
        <v>182</v>
      </c>
      <c r="BI1" s="70"/>
      <c r="BJ1" s="70" t="s">
        <v>183</v>
      </c>
      <c r="BK1" s="70"/>
      <c r="BL1" s="70"/>
      <c r="BM1" s="70"/>
      <c r="BN1" s="70"/>
      <c r="BO1" s="70" t="s">
        <v>184</v>
      </c>
      <c r="BP1" s="70"/>
      <c r="BQ1" s="70" t="s">
        <v>185</v>
      </c>
      <c r="BR1" s="70"/>
      <c r="BS1" s="70"/>
      <c r="BT1" s="70" t="s">
        <v>186</v>
      </c>
      <c r="BU1" s="70"/>
      <c r="BV1" s="70"/>
      <c r="BW1" s="70" t="s">
        <v>187</v>
      </c>
      <c r="BX1" s="70"/>
      <c r="BY1" s="70"/>
      <c r="BZ1" s="70"/>
      <c r="CA1" s="70"/>
      <c r="CB1" s="70" t="s">
        <v>188</v>
      </c>
      <c r="CC1" s="70"/>
      <c r="CD1" s="70" t="s">
        <v>189</v>
      </c>
      <c r="CE1" s="70"/>
      <c r="CF1" s="70"/>
      <c r="CG1" s="70" t="s">
        <v>190</v>
      </c>
      <c r="CH1" s="70"/>
      <c r="CI1" s="70" t="s">
        <v>191</v>
      </c>
      <c r="CJ1" s="70"/>
      <c r="CK1" s="70"/>
      <c r="CL1" s="70" t="s">
        <v>192</v>
      </c>
      <c r="CM1" s="70"/>
      <c r="CN1" s="70"/>
      <c r="CO1" s="70"/>
      <c r="CP1" s="70" t="s">
        <v>193</v>
      </c>
      <c r="CQ1" s="70"/>
      <c r="CR1" s="70"/>
      <c r="CS1" s="70"/>
      <c r="CT1" s="70" t="s">
        <v>194</v>
      </c>
      <c r="CU1" s="70"/>
      <c r="CV1" s="70" t="s">
        <v>195</v>
      </c>
      <c r="CW1" s="70"/>
      <c r="CX1" s="70" t="s">
        <v>196</v>
      </c>
      <c r="CY1" s="70"/>
      <c r="CZ1" s="70"/>
      <c r="DA1" s="70" t="s">
        <v>197</v>
      </c>
      <c r="DB1" s="70"/>
      <c r="DC1" s="70"/>
      <c r="DD1" s="70" t="s">
        <v>199</v>
      </c>
      <c r="DE1" s="70"/>
      <c r="DF1" s="70" t="s">
        <v>200</v>
      </c>
      <c r="DG1" s="70"/>
      <c r="DH1" s="70" t="s">
        <v>201</v>
      </c>
      <c r="DI1" s="70"/>
      <c r="DJ1" s="70" t="s">
        <v>202</v>
      </c>
      <c r="DK1" s="70"/>
      <c r="DL1" s="70"/>
      <c r="DM1" s="70"/>
      <c r="DN1" s="70"/>
      <c r="DO1" t="s">
        <v>203</v>
      </c>
      <c r="DP1" s="71" t="s">
        <v>244</v>
      </c>
      <c r="DQ1" s="71"/>
      <c r="DR1" s="71"/>
      <c r="DS1" s="71"/>
      <c r="DT1" s="71"/>
      <c r="DU1" s="71"/>
      <c r="DV1" s="71"/>
      <c r="DW1" s="71"/>
      <c r="DX1" s="71"/>
      <c r="EA1" s="70" t="s">
        <v>245</v>
      </c>
      <c r="EB1" s="70"/>
      <c r="EC1" s="70"/>
      <c r="ED1" s="70"/>
      <c r="EE1" s="70"/>
      <c r="EF1" s="70"/>
      <c r="EG1" s="70"/>
      <c r="EH1" s="70"/>
      <c r="EI1" s="70"/>
      <c r="EK1" s="70" t="s">
        <v>246</v>
      </c>
      <c r="EL1" s="70"/>
      <c r="EM1" s="70"/>
      <c r="EN1" s="70"/>
      <c r="EO1" s="70"/>
      <c r="EP1" s="70"/>
      <c r="EQ1" s="70"/>
      <c r="ER1" s="70"/>
      <c r="ES1" s="70"/>
    </row>
    <row r="2" spans="1:149" ht="38.25" x14ac:dyDescent="0.25">
      <c r="A2" s="30" t="s">
        <v>234</v>
      </c>
      <c r="B2" s="37" t="s">
        <v>49</v>
      </c>
      <c r="C2" s="37" t="s">
        <v>43</v>
      </c>
      <c r="D2" s="37" t="s">
        <v>40</v>
      </c>
      <c r="E2" s="37" t="s">
        <v>50</v>
      </c>
      <c r="F2" s="37" t="s">
        <v>41</v>
      </c>
      <c r="G2" s="37" t="s">
        <v>247</v>
      </c>
      <c r="H2" s="37" t="s">
        <v>248</v>
      </c>
      <c r="I2" s="37" t="s">
        <v>30</v>
      </c>
      <c r="J2" s="37" t="s">
        <v>249</v>
      </c>
      <c r="K2" s="37" t="s">
        <v>43</v>
      </c>
      <c r="L2" s="37" t="s">
        <v>40</v>
      </c>
      <c r="M2" s="37" t="s">
        <v>50</v>
      </c>
      <c r="N2" s="37" t="s">
        <v>41</v>
      </c>
      <c r="O2" s="37" t="s">
        <v>247</v>
      </c>
      <c r="P2" s="37" t="s">
        <v>248</v>
      </c>
      <c r="Q2" s="37" t="s">
        <v>30</v>
      </c>
      <c r="R2" s="37" t="s">
        <v>247</v>
      </c>
      <c r="S2" s="37" t="s">
        <v>30</v>
      </c>
      <c r="T2" s="37" t="s">
        <v>43</v>
      </c>
      <c r="U2" s="37" t="s">
        <v>249</v>
      </c>
      <c r="V2" s="37" t="s">
        <v>59</v>
      </c>
      <c r="W2" s="37" t="s">
        <v>41</v>
      </c>
      <c r="X2" s="37" t="s">
        <v>30</v>
      </c>
      <c r="Y2" s="37" t="s">
        <v>49</v>
      </c>
      <c r="Z2" s="37" t="s">
        <v>59</v>
      </c>
      <c r="AA2" s="37" t="s">
        <v>247</v>
      </c>
      <c r="AB2" s="37" t="s">
        <v>30</v>
      </c>
      <c r="AC2" s="37" t="s">
        <v>43</v>
      </c>
      <c r="AD2" s="37" t="s">
        <v>49</v>
      </c>
      <c r="AE2" s="37" t="s">
        <v>59</v>
      </c>
      <c r="AF2" s="37" t="s">
        <v>30</v>
      </c>
      <c r="AG2" s="37" t="s">
        <v>43</v>
      </c>
      <c r="AH2" s="37" t="s">
        <v>249</v>
      </c>
      <c r="AI2" s="37" t="s">
        <v>250</v>
      </c>
      <c r="AJ2" s="37" t="s">
        <v>30</v>
      </c>
      <c r="AK2" s="37" t="s">
        <v>49</v>
      </c>
      <c r="AL2" s="37" t="s">
        <v>30</v>
      </c>
      <c r="AM2" s="37" t="s">
        <v>49</v>
      </c>
      <c r="AN2" s="37" t="s">
        <v>251</v>
      </c>
      <c r="AO2" s="37" t="s">
        <v>30</v>
      </c>
      <c r="AP2" s="37" t="s">
        <v>49</v>
      </c>
      <c r="AQ2" s="37" t="s">
        <v>251</v>
      </c>
      <c r="AR2" s="37" t="s">
        <v>30</v>
      </c>
      <c r="AS2" s="37" t="s">
        <v>49</v>
      </c>
      <c r="AT2" s="37" t="s">
        <v>43</v>
      </c>
      <c r="AU2" s="37" t="s">
        <v>30</v>
      </c>
      <c r="AV2" s="37" t="s">
        <v>49</v>
      </c>
      <c r="AW2" s="37" t="s">
        <v>247</v>
      </c>
      <c r="AX2" s="37" t="s">
        <v>30</v>
      </c>
      <c r="AY2" s="37" t="s">
        <v>49</v>
      </c>
      <c r="AZ2" s="37" t="s">
        <v>248</v>
      </c>
      <c r="BA2" s="37" t="s">
        <v>30</v>
      </c>
      <c r="BB2" s="37" t="s">
        <v>49</v>
      </c>
      <c r="BC2" s="37" t="s">
        <v>248</v>
      </c>
      <c r="BD2" s="37" t="s">
        <v>59</v>
      </c>
      <c r="BE2" s="37" t="s">
        <v>30</v>
      </c>
      <c r="BF2" s="37" t="s">
        <v>49</v>
      </c>
      <c r="BG2" s="37" t="s">
        <v>30</v>
      </c>
      <c r="BH2" s="37" t="s">
        <v>247</v>
      </c>
      <c r="BI2" s="37" t="s">
        <v>30</v>
      </c>
      <c r="BJ2" s="37" t="s">
        <v>49</v>
      </c>
      <c r="BK2" s="37" t="s">
        <v>248</v>
      </c>
      <c r="BL2" s="37" t="s">
        <v>59</v>
      </c>
      <c r="BM2" s="37" t="s">
        <v>247</v>
      </c>
      <c r="BN2" s="37" t="s">
        <v>30</v>
      </c>
      <c r="BO2" s="37" t="s">
        <v>49</v>
      </c>
      <c r="BP2" s="37" t="s">
        <v>30</v>
      </c>
      <c r="BQ2" s="37" t="s">
        <v>49</v>
      </c>
      <c r="BR2" s="37" t="s">
        <v>247</v>
      </c>
      <c r="BS2" s="37" t="s">
        <v>30</v>
      </c>
      <c r="BT2" s="37" t="s">
        <v>49</v>
      </c>
      <c r="BU2" s="37" t="s">
        <v>247</v>
      </c>
      <c r="BV2" s="37" t="s">
        <v>30</v>
      </c>
      <c r="BW2" s="37" t="s">
        <v>49</v>
      </c>
      <c r="BX2" s="37" t="s">
        <v>43</v>
      </c>
      <c r="BY2" s="37" t="s">
        <v>247</v>
      </c>
      <c r="BZ2" s="37" t="s">
        <v>248</v>
      </c>
      <c r="CA2" s="37" t="s">
        <v>30</v>
      </c>
      <c r="CB2" s="37" t="s">
        <v>49</v>
      </c>
      <c r="CC2" s="37" t="s">
        <v>30</v>
      </c>
      <c r="CD2" s="37" t="s">
        <v>59</v>
      </c>
      <c r="CE2" s="37" t="s">
        <v>49</v>
      </c>
      <c r="CF2" s="37" t="s">
        <v>30</v>
      </c>
      <c r="CG2" s="37" t="s">
        <v>49</v>
      </c>
      <c r="CH2" s="37" t="s">
        <v>30</v>
      </c>
      <c r="CI2" s="37" t="s">
        <v>43</v>
      </c>
      <c r="CJ2" s="37" t="s">
        <v>49</v>
      </c>
      <c r="CK2" s="37" t="s">
        <v>30</v>
      </c>
      <c r="CL2" s="37" t="s">
        <v>248</v>
      </c>
      <c r="CM2" s="37" t="s">
        <v>59</v>
      </c>
      <c r="CN2" s="37" t="s">
        <v>49</v>
      </c>
      <c r="CO2" s="37" t="s">
        <v>30</v>
      </c>
      <c r="CP2" s="37" t="s">
        <v>248</v>
      </c>
      <c r="CQ2" s="37" t="s">
        <v>59</v>
      </c>
      <c r="CR2" s="37" t="s">
        <v>49</v>
      </c>
      <c r="CS2" s="37" t="s">
        <v>30</v>
      </c>
      <c r="CT2" s="37" t="s">
        <v>49</v>
      </c>
      <c r="CU2" s="37" t="s">
        <v>30</v>
      </c>
      <c r="CV2" s="37" t="s">
        <v>44</v>
      </c>
      <c r="CW2" s="37" t="s">
        <v>30</v>
      </c>
      <c r="CX2" s="37" t="s">
        <v>44</v>
      </c>
      <c r="CY2" s="37" t="s">
        <v>59</v>
      </c>
      <c r="CZ2" s="37" t="s">
        <v>30</v>
      </c>
      <c r="DA2" s="37" t="s">
        <v>44</v>
      </c>
      <c r="DB2" s="37" t="s">
        <v>59</v>
      </c>
      <c r="DC2" s="37" t="s">
        <v>30</v>
      </c>
      <c r="DD2" s="37" t="s">
        <v>43</v>
      </c>
      <c r="DE2" s="37" t="s">
        <v>30</v>
      </c>
      <c r="DF2" s="37" t="s">
        <v>249</v>
      </c>
      <c r="DG2" s="37" t="s">
        <v>30</v>
      </c>
      <c r="DH2" s="37" t="s">
        <v>249</v>
      </c>
      <c r="DI2" s="37" t="s">
        <v>30</v>
      </c>
      <c r="DJ2" s="37" t="s">
        <v>43</v>
      </c>
      <c r="DK2" s="37" t="s">
        <v>44</v>
      </c>
      <c r="DL2" s="37" t="s">
        <v>59</v>
      </c>
      <c r="DM2" s="37" t="s">
        <v>252</v>
      </c>
      <c r="DN2" s="37" t="s">
        <v>30</v>
      </c>
      <c r="DP2" s="37" t="s">
        <v>50</v>
      </c>
      <c r="DQ2" s="37" t="s">
        <v>248</v>
      </c>
      <c r="DR2" s="37" t="s">
        <v>49</v>
      </c>
      <c r="DS2" s="37" t="s">
        <v>43</v>
      </c>
      <c r="DT2" s="37" t="s">
        <v>59</v>
      </c>
      <c r="DU2" s="37" t="s">
        <v>247</v>
      </c>
      <c r="DV2" s="37" t="s">
        <v>41</v>
      </c>
      <c r="DW2" s="37" t="s">
        <v>40</v>
      </c>
      <c r="DX2" s="37" t="s">
        <v>30</v>
      </c>
      <c r="EA2" s="37" t="s">
        <v>50</v>
      </c>
      <c r="EB2" s="37" t="s">
        <v>248</v>
      </c>
      <c r="EC2" s="37" t="s">
        <v>49</v>
      </c>
      <c r="ED2" s="37" t="s">
        <v>43</v>
      </c>
      <c r="EE2" s="37" t="s">
        <v>59</v>
      </c>
      <c r="EF2" s="37" t="s">
        <v>247</v>
      </c>
      <c r="EG2" s="37" t="s">
        <v>41</v>
      </c>
      <c r="EH2" s="37" t="s">
        <v>40</v>
      </c>
      <c r="EI2" s="37" t="s">
        <v>30</v>
      </c>
      <c r="EK2" s="37" t="s">
        <v>50</v>
      </c>
      <c r="EL2" s="37" t="s">
        <v>248</v>
      </c>
      <c r="EM2" s="37" t="s">
        <v>49</v>
      </c>
      <c r="EN2" s="37" t="s">
        <v>43</v>
      </c>
      <c r="EO2" s="37" t="s">
        <v>59</v>
      </c>
      <c r="EP2" s="37" t="s">
        <v>247</v>
      </c>
      <c r="EQ2" s="37" t="s">
        <v>41</v>
      </c>
      <c r="ER2" s="37" t="s">
        <v>40</v>
      </c>
      <c r="ES2" s="37" t="s">
        <v>30</v>
      </c>
    </row>
    <row r="3" spans="1:149" ht="30" x14ac:dyDescent="0.25">
      <c r="A3" s="30" t="s">
        <v>253</v>
      </c>
      <c r="B3" s="38" t="s">
        <v>254</v>
      </c>
      <c r="C3" s="38" t="s">
        <v>254</v>
      </c>
      <c r="D3" s="38" t="s">
        <v>255</v>
      </c>
      <c r="E3" s="33">
        <v>0.184</v>
      </c>
      <c r="F3" s="33">
        <v>0.1</v>
      </c>
      <c r="G3" s="33">
        <v>0.33300000000000002</v>
      </c>
      <c r="H3" s="33">
        <v>0.38300000000000001</v>
      </c>
      <c r="I3" s="33">
        <f>SUM(E3:H3)</f>
        <v>1</v>
      </c>
      <c r="J3" s="38" t="s">
        <v>254</v>
      </c>
      <c r="K3" s="38" t="s">
        <v>254</v>
      </c>
      <c r="L3" s="38" t="s">
        <v>255</v>
      </c>
      <c r="M3" s="33">
        <v>0.23400000000000001</v>
      </c>
      <c r="N3" s="33">
        <v>0.1</v>
      </c>
      <c r="O3" s="33">
        <v>0.33300000000000002</v>
      </c>
      <c r="P3" s="33">
        <v>0.33300000000000002</v>
      </c>
      <c r="Q3" s="33">
        <f>SUM(M3:P3)</f>
        <v>1</v>
      </c>
      <c r="R3" s="33">
        <v>1</v>
      </c>
      <c r="S3" s="38">
        <f>R3</f>
        <v>1</v>
      </c>
      <c r="T3" s="38" t="s">
        <v>254</v>
      </c>
      <c r="U3" s="38" t="s">
        <v>254</v>
      </c>
      <c r="V3" s="38">
        <v>0.66600000000000004</v>
      </c>
      <c r="W3" s="38">
        <v>0.33400000000000002</v>
      </c>
      <c r="X3" s="38">
        <f>SUM(V3:W3)</f>
        <v>1</v>
      </c>
      <c r="Y3" s="38" t="s">
        <v>254</v>
      </c>
      <c r="Z3" s="38">
        <v>0.6</v>
      </c>
      <c r="AA3" s="38">
        <v>0.4</v>
      </c>
      <c r="AB3" s="38">
        <f>SUM(Z3:AA3)</f>
        <v>1</v>
      </c>
      <c r="AC3" s="38">
        <v>0.5</v>
      </c>
      <c r="AD3" s="38">
        <v>0.25</v>
      </c>
      <c r="AE3" s="38">
        <v>0.25</v>
      </c>
      <c r="AF3" s="38">
        <f>SUM(AC3:AE3)</f>
        <v>1</v>
      </c>
      <c r="AG3" s="38" t="s">
        <v>254</v>
      </c>
      <c r="AH3" s="38" t="s">
        <v>254</v>
      </c>
      <c r="AI3" s="38">
        <v>1</v>
      </c>
      <c r="AJ3" s="38">
        <f>AI3</f>
        <v>1</v>
      </c>
      <c r="AK3" s="38">
        <v>1</v>
      </c>
      <c r="AL3" s="38">
        <f>AK3</f>
        <v>1</v>
      </c>
      <c r="AM3" s="38">
        <v>0.75</v>
      </c>
      <c r="AN3" s="38">
        <v>0.25</v>
      </c>
      <c r="AO3" s="38">
        <f>SUM(AM3:AN3)</f>
        <v>1</v>
      </c>
      <c r="AP3" s="38">
        <v>0.75</v>
      </c>
      <c r="AQ3" s="38">
        <v>0.25</v>
      </c>
      <c r="AR3" s="38">
        <f>SUM(AP3:AQ3)</f>
        <v>1</v>
      </c>
      <c r="AS3" s="38">
        <v>1</v>
      </c>
      <c r="AT3" s="38">
        <f>1-AS3</f>
        <v>0</v>
      </c>
      <c r="AU3" s="38">
        <f>SUM(AS3:AT3)</f>
        <v>1</v>
      </c>
      <c r="AV3" s="38">
        <v>0.7</v>
      </c>
      <c r="AW3" s="38">
        <v>0.3</v>
      </c>
      <c r="AX3" s="38">
        <f>SUM(AV3:AW3)</f>
        <v>1</v>
      </c>
      <c r="AY3" s="38">
        <v>0.9</v>
      </c>
      <c r="AZ3" s="38">
        <v>0.1</v>
      </c>
      <c r="BA3" s="38">
        <f>SUM(AY3:AZ3)</f>
        <v>1</v>
      </c>
      <c r="BB3" s="38">
        <v>0.85</v>
      </c>
      <c r="BC3" s="38">
        <v>0.1</v>
      </c>
      <c r="BD3" s="38">
        <v>0.05</v>
      </c>
      <c r="BE3" s="38">
        <f>SUM(BB3:BD3)</f>
        <v>1</v>
      </c>
      <c r="BF3" s="38">
        <v>1</v>
      </c>
      <c r="BG3" s="38">
        <f>BF3</f>
        <v>1</v>
      </c>
      <c r="BH3" s="38">
        <v>1</v>
      </c>
      <c r="BI3" s="38">
        <f>BH3</f>
        <v>1</v>
      </c>
      <c r="BJ3" s="38">
        <v>0.6</v>
      </c>
      <c r="BK3" s="38">
        <v>0.1</v>
      </c>
      <c r="BL3" s="38">
        <v>0.2</v>
      </c>
      <c r="BM3" s="38">
        <v>0.1</v>
      </c>
      <c r="BN3" s="38">
        <f>SUM(BJ3:BM3)</f>
        <v>0.99999999999999989</v>
      </c>
      <c r="BO3" s="38">
        <v>1</v>
      </c>
      <c r="BP3" s="38">
        <f>BO3</f>
        <v>1</v>
      </c>
      <c r="BQ3" s="38">
        <v>0.75</v>
      </c>
      <c r="BR3" s="38">
        <v>0.25</v>
      </c>
      <c r="BS3" s="38">
        <f>SUM(BQ3:BR3)</f>
        <v>1</v>
      </c>
      <c r="BT3" s="38" t="s">
        <v>256</v>
      </c>
      <c r="BU3" s="38">
        <v>1</v>
      </c>
      <c r="BV3" s="38">
        <f>BU3</f>
        <v>1</v>
      </c>
      <c r="BW3" s="38">
        <v>0.5</v>
      </c>
      <c r="BX3" s="38">
        <v>0.05</v>
      </c>
      <c r="BY3" s="38">
        <v>0.35</v>
      </c>
      <c r="BZ3" s="38">
        <v>0.1</v>
      </c>
      <c r="CA3" s="38">
        <f>SUM(BW3:BZ3)</f>
        <v>1</v>
      </c>
      <c r="CB3" s="38">
        <v>1</v>
      </c>
      <c r="CC3" s="38">
        <f>CB3</f>
        <v>1</v>
      </c>
      <c r="CD3" s="38">
        <v>0.7</v>
      </c>
      <c r="CE3" s="38">
        <v>0.3</v>
      </c>
      <c r="CF3" s="38">
        <f>SUM(CD3:CE3)</f>
        <v>1</v>
      </c>
      <c r="CG3" s="38">
        <v>1</v>
      </c>
      <c r="CH3" s="38">
        <f>CG3</f>
        <v>1</v>
      </c>
      <c r="CI3" s="38">
        <v>0.5</v>
      </c>
      <c r="CJ3" s="38">
        <v>0.5</v>
      </c>
      <c r="CK3" s="38">
        <f>SUM(CI3:CJ3)</f>
        <v>1</v>
      </c>
      <c r="CL3" s="38">
        <v>0.5</v>
      </c>
      <c r="CM3" s="38">
        <v>0.25</v>
      </c>
      <c r="CN3" s="38">
        <v>0.25</v>
      </c>
      <c r="CO3" s="38">
        <f>SUM(CL3:CN3)</f>
        <v>1</v>
      </c>
      <c r="CP3" s="38">
        <v>0.5</v>
      </c>
      <c r="CQ3" s="38">
        <v>0.25</v>
      </c>
      <c r="CR3" s="38">
        <v>0.25</v>
      </c>
      <c r="CS3" s="38">
        <f>SUM(CP3:CR3)</f>
        <v>1</v>
      </c>
      <c r="CT3" s="38">
        <v>1</v>
      </c>
      <c r="CU3" s="38">
        <f>CT3</f>
        <v>1</v>
      </c>
      <c r="CV3" s="38">
        <v>1</v>
      </c>
      <c r="CW3" s="38">
        <f>CV3</f>
        <v>1</v>
      </c>
      <c r="CX3" s="38">
        <v>0.5</v>
      </c>
      <c r="CY3" s="38">
        <v>0.5</v>
      </c>
      <c r="CZ3" s="38">
        <f>SUM(CX3:CY3)</f>
        <v>1</v>
      </c>
      <c r="DA3" s="38">
        <v>0.5</v>
      </c>
      <c r="DB3" s="38">
        <v>0.5</v>
      </c>
      <c r="DC3" s="38">
        <f>SUM(DA3:DB3)</f>
        <v>1</v>
      </c>
      <c r="DD3" s="38">
        <v>1</v>
      </c>
      <c r="DE3" s="38">
        <v>1</v>
      </c>
      <c r="DF3" s="38">
        <v>1</v>
      </c>
      <c r="DG3" s="38">
        <v>1</v>
      </c>
      <c r="DH3" s="38">
        <v>1</v>
      </c>
      <c r="DI3" s="38">
        <v>1</v>
      </c>
      <c r="DJ3" s="38" t="s">
        <v>254</v>
      </c>
      <c r="DK3" s="38">
        <v>0.5</v>
      </c>
      <c r="DL3" s="38">
        <v>0.25</v>
      </c>
      <c r="DM3" s="38">
        <v>0.25</v>
      </c>
      <c r="DN3" s="38">
        <f>SUM(DK3:DM3)</f>
        <v>1</v>
      </c>
      <c r="DQ3" s="38"/>
      <c r="DR3" s="38"/>
      <c r="DY3" t="s">
        <v>257</v>
      </c>
    </row>
    <row r="4" spans="1:149" ht="15" x14ac:dyDescent="0.25">
      <c r="A4" s="39">
        <v>40544</v>
      </c>
      <c r="B4" s="39"/>
      <c r="C4" s="40"/>
      <c r="D4" s="39"/>
      <c r="E4" s="33"/>
      <c r="F4" s="33"/>
      <c r="G4" s="33"/>
      <c r="H4" s="33"/>
      <c r="I4" s="33"/>
      <c r="J4" s="33"/>
      <c r="K4" s="41"/>
      <c r="L4" s="33"/>
      <c r="M4" s="33"/>
      <c r="N4" s="33"/>
      <c r="O4" s="33"/>
      <c r="P4" s="33"/>
      <c r="Q4" s="33"/>
      <c r="R4" s="33"/>
      <c r="S4" s="38"/>
      <c r="T4" s="42"/>
      <c r="U4" s="38"/>
      <c r="V4" s="38"/>
      <c r="W4" s="38"/>
      <c r="X4" s="38"/>
      <c r="Y4" s="38"/>
      <c r="Z4" s="38"/>
      <c r="AA4" s="38"/>
      <c r="AB4" s="38"/>
      <c r="AC4" s="42"/>
      <c r="AD4" s="38"/>
      <c r="AE4" s="38"/>
      <c r="AF4" s="38"/>
      <c r="AG4" s="42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42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4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4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4"/>
      <c r="DE4" s="43"/>
      <c r="DF4" s="43"/>
      <c r="DG4" s="43"/>
      <c r="DH4" s="43"/>
      <c r="DI4" s="43"/>
      <c r="DJ4" s="44"/>
      <c r="DK4" s="43"/>
      <c r="DL4" s="43"/>
      <c r="DM4" s="43"/>
      <c r="DN4" s="43"/>
      <c r="DQ4" s="38"/>
      <c r="DR4" s="38"/>
      <c r="DS4" s="44"/>
      <c r="ED4" s="44"/>
      <c r="EN4" s="44"/>
    </row>
    <row r="5" spans="1:149" ht="15" x14ac:dyDescent="0.25">
      <c r="A5" s="39">
        <v>40575</v>
      </c>
      <c r="B5" s="39"/>
      <c r="C5" s="40"/>
      <c r="D5" s="39"/>
      <c r="E5" s="33"/>
      <c r="F5" s="33"/>
      <c r="G5" s="33"/>
      <c r="H5" s="33"/>
      <c r="I5" s="33"/>
      <c r="J5" s="33"/>
      <c r="K5" s="41"/>
      <c r="L5" s="33"/>
      <c r="M5" s="33"/>
      <c r="N5" s="33"/>
      <c r="O5" s="33"/>
      <c r="P5" s="33"/>
      <c r="Q5" s="33"/>
      <c r="R5" s="33"/>
      <c r="S5" s="38"/>
      <c r="T5" s="42"/>
      <c r="U5" s="38"/>
      <c r="V5" s="38"/>
      <c r="W5" s="38"/>
      <c r="X5" s="38"/>
      <c r="Y5" s="38"/>
      <c r="Z5" s="38"/>
      <c r="AA5" s="38"/>
      <c r="AB5" s="38"/>
      <c r="AC5" s="42"/>
      <c r="AD5" s="38"/>
      <c r="AE5" s="38"/>
      <c r="AF5" s="38"/>
      <c r="AG5" s="42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42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4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4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4"/>
      <c r="DE5" s="43"/>
      <c r="DF5" s="43"/>
      <c r="DG5" s="43"/>
      <c r="DH5" s="43"/>
      <c r="DI5" s="43"/>
      <c r="DJ5" s="44"/>
      <c r="DK5" s="43"/>
      <c r="DL5" s="43"/>
      <c r="DM5" s="43"/>
      <c r="DN5" s="43"/>
      <c r="DQ5" s="38"/>
      <c r="DR5" s="38"/>
      <c r="DS5" s="44"/>
      <c r="ED5" s="44"/>
      <c r="EN5" s="44"/>
    </row>
    <row r="6" spans="1:149" ht="15" x14ac:dyDescent="0.25">
      <c r="A6" s="39">
        <v>40603</v>
      </c>
      <c r="B6" s="39"/>
      <c r="C6" s="40"/>
      <c r="D6" s="39"/>
      <c r="E6" s="33"/>
      <c r="F6" s="33"/>
      <c r="G6" s="33"/>
      <c r="H6" s="33"/>
      <c r="I6" s="33"/>
      <c r="J6" s="33"/>
      <c r="K6" s="41"/>
      <c r="L6" s="33"/>
      <c r="M6" s="33"/>
      <c r="N6" s="33"/>
      <c r="O6" s="33"/>
      <c r="P6" s="33"/>
      <c r="Q6" s="33"/>
      <c r="R6" s="33"/>
      <c r="S6" s="38"/>
      <c r="T6" s="42"/>
      <c r="U6" s="38"/>
      <c r="V6" s="38"/>
      <c r="W6" s="38"/>
      <c r="X6" s="38"/>
      <c r="Y6" s="38"/>
      <c r="Z6" s="38"/>
      <c r="AA6" s="38"/>
      <c r="AB6" s="38"/>
      <c r="AC6" s="42"/>
      <c r="AD6" s="38"/>
      <c r="AE6" s="38"/>
      <c r="AF6" s="38"/>
      <c r="AG6" s="42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42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4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4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4"/>
      <c r="DE6" s="43"/>
      <c r="DF6" s="43"/>
      <c r="DG6" s="43"/>
      <c r="DH6" s="43"/>
      <c r="DI6" s="43"/>
      <c r="DJ6" s="44"/>
      <c r="DK6" s="43"/>
      <c r="DL6" s="43"/>
      <c r="DM6" s="43"/>
      <c r="DN6" s="43"/>
      <c r="DQ6" s="38"/>
      <c r="DR6" s="38"/>
      <c r="DS6" s="44"/>
      <c r="ED6" s="44"/>
      <c r="EN6" s="44"/>
    </row>
    <row r="7" spans="1:149" ht="15" x14ac:dyDescent="0.25">
      <c r="A7" s="39">
        <v>40634</v>
      </c>
      <c r="B7" s="39"/>
      <c r="C7" s="40"/>
      <c r="D7" s="39"/>
      <c r="E7" s="33"/>
      <c r="F7" s="33"/>
      <c r="G7" s="33"/>
      <c r="H7" s="33"/>
      <c r="I7" s="33"/>
      <c r="J7" s="33"/>
      <c r="K7" s="41"/>
      <c r="L7" s="33"/>
      <c r="M7" s="33"/>
      <c r="N7" s="33"/>
      <c r="O7" s="33"/>
      <c r="P7" s="33"/>
      <c r="Q7" s="33"/>
      <c r="R7" s="33"/>
      <c r="S7" s="38"/>
      <c r="T7" s="42"/>
      <c r="U7" s="38"/>
      <c r="V7" s="38"/>
      <c r="W7" s="38"/>
      <c r="X7" s="38"/>
      <c r="Y7" s="38"/>
      <c r="Z7" s="38"/>
      <c r="AA7" s="38"/>
      <c r="AB7" s="38"/>
      <c r="AC7" s="42"/>
      <c r="AD7" s="38"/>
      <c r="AE7" s="38"/>
      <c r="AF7" s="38"/>
      <c r="AG7" s="42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42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4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4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4"/>
      <c r="DE7" s="43"/>
      <c r="DF7" s="43"/>
      <c r="DG7" s="43"/>
      <c r="DH7" s="43"/>
      <c r="DI7" s="43"/>
      <c r="DJ7" s="44"/>
      <c r="DK7" s="43"/>
      <c r="DL7" s="43"/>
      <c r="DM7" s="43"/>
      <c r="DN7" s="43"/>
      <c r="DQ7" s="38"/>
      <c r="DR7" s="38"/>
      <c r="DS7" s="44"/>
      <c r="ED7" s="44"/>
      <c r="EN7" s="44"/>
    </row>
    <row r="8" spans="1:149" x14ac:dyDescent="0.25">
      <c r="A8" s="39">
        <v>40664</v>
      </c>
      <c r="C8" s="46"/>
      <c r="E8" s="33"/>
      <c r="F8" s="33"/>
      <c r="G8" s="33"/>
      <c r="H8" s="33"/>
      <c r="I8" s="33"/>
      <c r="J8" s="33"/>
      <c r="K8" s="41"/>
      <c r="L8" s="33"/>
      <c r="M8" s="33"/>
      <c r="N8" s="33"/>
      <c r="O8" s="33"/>
      <c r="P8" s="33"/>
      <c r="Q8" s="33"/>
      <c r="R8" s="33"/>
      <c r="S8" s="38"/>
      <c r="T8" s="42"/>
      <c r="U8" s="38"/>
      <c r="V8" s="38"/>
      <c r="W8" s="38"/>
      <c r="X8" s="38"/>
      <c r="Y8" s="38"/>
      <c r="Z8" s="38"/>
      <c r="AA8" s="38"/>
      <c r="AB8" s="38"/>
      <c r="AC8" s="42"/>
      <c r="AD8" s="38"/>
      <c r="AE8" s="38"/>
      <c r="AF8" s="38"/>
      <c r="AG8" s="42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42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4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4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4"/>
      <c r="DE8" s="43"/>
      <c r="DF8" s="43"/>
      <c r="DG8" s="43"/>
      <c r="DH8" s="43"/>
      <c r="DI8" s="43"/>
      <c r="DJ8" s="44"/>
      <c r="DK8" s="43"/>
      <c r="DL8" s="43"/>
      <c r="DM8" s="43"/>
      <c r="DN8" s="43"/>
      <c r="DQ8" s="38"/>
      <c r="DR8" s="38"/>
      <c r="DS8" s="44"/>
      <c r="ED8" s="44"/>
      <c r="EN8" s="44"/>
    </row>
    <row r="9" spans="1:149" x14ac:dyDescent="0.25">
      <c r="A9" s="39">
        <v>40695</v>
      </c>
      <c r="C9" s="46"/>
      <c r="E9" s="33"/>
      <c r="F9" s="33"/>
      <c r="G9" s="33"/>
      <c r="H9" s="33"/>
      <c r="I9" s="33"/>
      <c r="J9" s="33"/>
      <c r="K9" s="41"/>
      <c r="L9" s="33"/>
      <c r="M9" s="33"/>
      <c r="N9" s="33"/>
      <c r="O9" s="33"/>
      <c r="P9" s="33"/>
      <c r="Q9" s="33"/>
      <c r="R9" s="33"/>
      <c r="S9" s="38"/>
      <c r="T9" s="42"/>
      <c r="U9" s="38"/>
      <c r="V9" s="38"/>
      <c r="W9" s="38"/>
      <c r="X9" s="38"/>
      <c r="Y9" s="38"/>
      <c r="Z9" s="38"/>
      <c r="AA9" s="38"/>
      <c r="AB9" s="38"/>
      <c r="AC9" s="42"/>
      <c r="AD9" s="38"/>
      <c r="AE9" s="38"/>
      <c r="AF9" s="38"/>
      <c r="AG9" s="42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42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4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4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4"/>
      <c r="DE9" s="43"/>
      <c r="DF9" s="43"/>
      <c r="DG9" s="43"/>
      <c r="DH9" s="43"/>
      <c r="DI9" s="43"/>
      <c r="DJ9" s="44"/>
      <c r="DK9" s="43"/>
      <c r="DL9" s="43"/>
      <c r="DM9" s="43"/>
      <c r="DN9" s="43"/>
      <c r="DQ9" s="38"/>
      <c r="DR9" s="38"/>
      <c r="DS9" s="44"/>
      <c r="ED9" s="44"/>
      <c r="EN9" s="44"/>
    </row>
    <row r="10" spans="1:149" x14ac:dyDescent="0.25">
      <c r="A10" s="39">
        <v>40725</v>
      </c>
      <c r="C10" s="46"/>
      <c r="E10" s="33"/>
      <c r="F10" s="33"/>
      <c r="G10" s="33"/>
      <c r="H10" s="33"/>
      <c r="I10" s="33"/>
      <c r="J10" s="33"/>
      <c r="K10" s="41"/>
      <c r="L10" s="33"/>
      <c r="M10" s="33"/>
      <c r="N10" s="33"/>
      <c r="O10" s="33"/>
      <c r="P10" s="33"/>
      <c r="Q10" s="33"/>
      <c r="R10" s="33"/>
      <c r="S10" s="38"/>
      <c r="T10" s="42"/>
      <c r="U10" s="38"/>
      <c r="V10" s="38"/>
      <c r="W10" s="38"/>
      <c r="X10" s="38"/>
      <c r="Y10" s="38"/>
      <c r="Z10" s="38"/>
      <c r="AA10" s="38"/>
      <c r="AB10" s="38"/>
      <c r="AC10" s="42"/>
      <c r="AD10" s="38"/>
      <c r="AE10" s="38"/>
      <c r="AF10" s="38"/>
      <c r="AG10" s="42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42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4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4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4"/>
      <c r="DE10" s="43"/>
      <c r="DF10" s="43"/>
      <c r="DG10" s="43"/>
      <c r="DH10" s="43"/>
      <c r="DI10" s="43"/>
      <c r="DJ10" s="44"/>
      <c r="DK10" s="43"/>
      <c r="DL10" s="43"/>
      <c r="DM10" s="43"/>
      <c r="DN10" s="43"/>
      <c r="DQ10" s="38"/>
      <c r="DR10" s="38"/>
      <c r="DS10" s="44"/>
      <c r="ED10" s="44"/>
      <c r="EN10" s="44"/>
    </row>
    <row r="11" spans="1:149" x14ac:dyDescent="0.25">
      <c r="A11" s="39">
        <v>40756</v>
      </c>
      <c r="C11" s="46"/>
      <c r="E11" s="33"/>
      <c r="F11" s="33"/>
      <c r="G11" s="33"/>
      <c r="H11" s="33"/>
      <c r="I11" s="33"/>
      <c r="J11" s="33"/>
      <c r="K11" s="41"/>
      <c r="L11" s="33"/>
      <c r="M11" s="33"/>
      <c r="N11" s="33"/>
      <c r="O11" s="33"/>
      <c r="P11" s="33"/>
      <c r="Q11" s="33"/>
      <c r="R11" s="33"/>
      <c r="S11" s="38"/>
      <c r="T11" s="42"/>
      <c r="U11" s="38"/>
      <c r="V11" s="38"/>
      <c r="W11" s="38"/>
      <c r="X11" s="38"/>
      <c r="Y11" s="38"/>
      <c r="Z11" s="38"/>
      <c r="AA11" s="38"/>
      <c r="AB11" s="38"/>
      <c r="AC11" s="42"/>
      <c r="AD11" s="38"/>
      <c r="AE11" s="38"/>
      <c r="AF11" s="38"/>
      <c r="AG11" s="42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42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4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4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4"/>
      <c r="DE11" s="43"/>
      <c r="DF11" s="43"/>
      <c r="DG11" s="43"/>
      <c r="DH11" s="43"/>
      <c r="DI11" s="43"/>
      <c r="DJ11" s="44"/>
      <c r="DK11" s="43"/>
      <c r="DL11" s="43"/>
      <c r="DM11" s="43"/>
      <c r="DN11" s="43"/>
      <c r="DQ11" s="38"/>
      <c r="DR11" s="38"/>
      <c r="DS11" s="44"/>
      <c r="ED11" s="44"/>
      <c r="EN11" s="44"/>
    </row>
    <row r="12" spans="1:149" x14ac:dyDescent="0.25">
      <c r="A12" s="39">
        <v>40787</v>
      </c>
      <c r="C12" s="46"/>
      <c r="D12" s="45">
        <v>0</v>
      </c>
      <c r="E12" s="45">
        <f>('[2]Renewable Diesel'!B21*E$3*'[2]Feedstock Conversion Rates'!$B$2)/12</f>
        <v>5.2133333333333329</v>
      </c>
      <c r="F12" s="45">
        <f>('[2]Renewable Diesel'!B21*'[2]RD Feedstock Breakdown'!F$3*'[2]Feedstock Conversion Rates'!B$8)/12</f>
        <v>3.125</v>
      </c>
      <c r="G12" s="45">
        <f>('[2]Renewable Diesel'!B21*'[2]RD Feedstock Breakdown'!G$3*'[2]Feedstock Conversion Rates'!B$7)/12</f>
        <v>10.212</v>
      </c>
      <c r="H12" s="45">
        <f>('[2]Renewable Diesel'!B21*'[2]RD Feedstock Breakdown'!H$3*'[2]Feedstock Conversion Rates'!B$3)/12</f>
        <v>10.226100000000001</v>
      </c>
      <c r="I12" s="47">
        <f>SUM(B12:H12)</f>
        <v>28.776433333333337</v>
      </c>
      <c r="J12" s="47"/>
      <c r="K12" s="48"/>
      <c r="L12" s="47"/>
      <c r="T12" s="49"/>
      <c r="AC12" s="49"/>
      <c r="AG12" s="49"/>
      <c r="AT12" s="49"/>
      <c r="BX12" s="49"/>
      <c r="CI12" s="49"/>
      <c r="DD12" s="49"/>
      <c r="DJ12" s="49"/>
      <c r="DP12" s="45">
        <f t="shared" ref="DP12:DP75" si="0">E12+M12</f>
        <v>5.2133333333333329</v>
      </c>
      <c r="DQ12" s="45">
        <f t="shared" ref="DQ12:DQ75" si="1">H12+P12+AZ12+BC12+BK12+BZ12+CL12+CP12+CV12+CX12+DA12+DK12</f>
        <v>10.226100000000001</v>
      </c>
      <c r="DR12" s="45">
        <f>AD12+AK12+AM12+AP12+AV12+AY12+BB12+BF12+BJ12+Y12+B12+BO12+BQ12+BW12+CB12+CE12+CG12+CJ12+BT12+CN12+CR12+CT12+DF12+DH12+AS12+J12+U12+AH12</f>
        <v>0</v>
      </c>
      <c r="DS12" s="49"/>
      <c r="DT12" s="45">
        <f t="shared" ref="DT12:DT75" si="2">V12+Z12+AE12+AI12+BD12+BL12+AN12+AQ12+CD12+CM12+CQ12+CY12+DB12+DL12</f>
        <v>0</v>
      </c>
      <c r="DU12" s="45">
        <f t="shared" ref="DU12:DU75" si="3">G12+O12+R12+AA12+AW12+BH12+BM12+BR12+BU12+BY12</f>
        <v>10.212</v>
      </c>
      <c r="DV12" s="45">
        <f t="shared" ref="DV12:DV75" si="4">F12+N12+W12+DM12</f>
        <v>3.125</v>
      </c>
      <c r="DW12" s="45">
        <f t="shared" ref="DW12:DW75" si="5">D12+L12</f>
        <v>0</v>
      </c>
      <c r="DX12" s="47">
        <f t="shared" ref="DX12:DX75" si="6">SUM(DP12:DW12)</f>
        <v>28.776433333333333</v>
      </c>
      <c r="DY12" s="50">
        <f t="shared" ref="DY12:DY75" si="7">I12+Q12+S12+X12+AB12+AF12+AJ12+AL12+AO12+AR12+AU12+AX12+BA12+BE12+BG12+BI12+BN12-DX12+BP12+BS12+BV12+CA12+CC12+CF12+CH12+CK12+CO12+CS12+CU12+CW12+CZ12+DN12+DG12+DI12</f>
        <v>3.5527136788005009E-15</v>
      </c>
      <c r="EA12" s="51">
        <f t="shared" ref="EA12:EG27" si="8">DP12/$DX12</f>
        <v>0.18116676493380576</v>
      </c>
      <c r="EB12" s="51">
        <f t="shared" si="8"/>
        <v>0.35536370618086793</v>
      </c>
      <c r="EC12" s="51">
        <f t="shared" si="8"/>
        <v>0</v>
      </c>
      <c r="ED12" s="49"/>
      <c r="EE12" s="51">
        <f t="shared" si="8"/>
        <v>0</v>
      </c>
      <c r="EF12" s="51">
        <f t="shared" si="8"/>
        <v>0.35487372189974897</v>
      </c>
      <c r="EG12" s="51">
        <f t="shared" si="8"/>
        <v>0.10859580698557732</v>
      </c>
      <c r="EH12" s="52">
        <f>DW12/DX12</f>
        <v>0</v>
      </c>
      <c r="EI12" s="51">
        <f>SUM(EA12:EH12)</f>
        <v>1</v>
      </c>
      <c r="EK12" s="53">
        <f>EA12*'[2]Renewable Diesel'!BF21*'[2]Feedstock Conversion Rates'!B$2</f>
        <v>6.1743115433578168</v>
      </c>
      <c r="EL12" s="53">
        <f>EB12*'[2]Renewable Diesel'!BF21*'[2]Feedstock Conversion Rates'!B$3</f>
        <v>11.412917318963133</v>
      </c>
      <c r="EM12" s="53">
        <f>EC12*'[2]Renewable Diesel'!BF21*'[2]Feedstock Conversion Rates'!B$4</f>
        <v>0</v>
      </c>
      <c r="EN12" s="49"/>
      <c r="EO12" s="53">
        <f>EE12*'[2]Renewable Diesel'!BF21*'[2]Feedstock Conversion Rates'!B$6</f>
        <v>0</v>
      </c>
      <c r="EP12" s="53">
        <f>EF12*'[2]Renewable Diesel'!BF21*'[2]Feedstock Conversion Rates'!B$7</f>
        <v>13.09039504791073</v>
      </c>
      <c r="EQ12" s="53">
        <f>EG12*'[2]Renewable Diesel'!BF21*'[2]Feedstock Conversion Rates'!B$8</f>
        <v>4.0820227207043267</v>
      </c>
      <c r="ER12" s="53">
        <f>EH12*'[2]Renewable Diesel'!BF21*'[2]Feedstock Conversion Rates'!B$9</f>
        <v>0</v>
      </c>
      <c r="ES12" s="53">
        <f>SUM(EK12:ER12)</f>
        <v>34.759646630936004</v>
      </c>
    </row>
    <row r="13" spans="1:149" x14ac:dyDescent="0.25">
      <c r="A13" s="39">
        <v>40817</v>
      </c>
      <c r="C13" s="46"/>
      <c r="D13" s="45">
        <v>0</v>
      </c>
      <c r="E13" s="45">
        <f>('[2]Renewable Diesel'!B22*E$3*'[2]Feedstock Conversion Rates'!$B$2)/12</f>
        <v>5.2133333333333329</v>
      </c>
      <c r="F13" s="45">
        <f>('[2]Renewable Diesel'!B22*'[2]RD Feedstock Breakdown'!F$3*'[2]Feedstock Conversion Rates'!B$8)/12</f>
        <v>3.125</v>
      </c>
      <c r="G13" s="45">
        <f>('[2]Renewable Diesel'!B22*'[2]RD Feedstock Breakdown'!G$3*'[2]Feedstock Conversion Rates'!B$7)/12</f>
        <v>10.212</v>
      </c>
      <c r="H13" s="45">
        <f>('[2]Renewable Diesel'!B22*'[2]RD Feedstock Breakdown'!H$3*'[2]Feedstock Conversion Rates'!B$3)/12</f>
        <v>10.226100000000001</v>
      </c>
      <c r="I13" s="47">
        <f t="shared" ref="I13:I21" si="9">SUM(B13:H13)</f>
        <v>28.776433333333337</v>
      </c>
      <c r="J13" s="47"/>
      <c r="K13" s="48"/>
      <c r="L13" s="47"/>
      <c r="T13" s="49"/>
      <c r="AC13" s="49"/>
      <c r="AG13" s="49"/>
      <c r="AT13" s="49"/>
      <c r="BX13" s="49"/>
      <c r="CI13" s="49"/>
      <c r="DD13" s="49"/>
      <c r="DJ13" s="49"/>
      <c r="DP13" s="45">
        <f t="shared" si="0"/>
        <v>5.2133333333333329</v>
      </c>
      <c r="DQ13" s="45">
        <f t="shared" si="1"/>
        <v>10.226100000000001</v>
      </c>
      <c r="DR13" s="45">
        <f t="shared" ref="DR13:DR76" si="10">AD13+AK13+AM13+AP13+AV13+AY13+BB13+BF13+BJ13+Y13+B13+BO13+BQ13+BW13+CB13+CE13+CG13+CJ13+BT13+CN13+CR13+CT13+DF13+DH13+AS13+J13+U13+AH13</f>
        <v>0</v>
      </c>
      <c r="DS13" s="49"/>
      <c r="DT13" s="45">
        <f t="shared" si="2"/>
        <v>0</v>
      </c>
      <c r="DU13" s="45">
        <f t="shared" si="3"/>
        <v>10.212</v>
      </c>
      <c r="DV13" s="45">
        <f t="shared" si="4"/>
        <v>3.125</v>
      </c>
      <c r="DW13" s="45">
        <f t="shared" si="5"/>
        <v>0</v>
      </c>
      <c r="DX13" s="47">
        <f t="shared" si="6"/>
        <v>28.776433333333333</v>
      </c>
      <c r="DY13" s="50">
        <f t="shared" si="7"/>
        <v>3.5527136788005009E-15</v>
      </c>
      <c r="EA13" s="51">
        <f t="shared" si="8"/>
        <v>0.18116676493380576</v>
      </c>
      <c r="EB13" s="51">
        <f t="shared" si="8"/>
        <v>0.35536370618086793</v>
      </c>
      <c r="EC13" s="51">
        <f t="shared" si="8"/>
        <v>0</v>
      </c>
      <c r="ED13" s="49"/>
      <c r="EE13" s="51">
        <f t="shared" si="8"/>
        <v>0</v>
      </c>
      <c r="EF13" s="51">
        <f t="shared" si="8"/>
        <v>0.35487372189974897</v>
      </c>
      <c r="EG13" s="51">
        <f t="shared" si="8"/>
        <v>0.10859580698557732</v>
      </c>
      <c r="EH13" s="52">
        <f t="shared" ref="EH13:EH76" si="11">DW13/DX13</f>
        <v>0</v>
      </c>
      <c r="EI13" s="51">
        <f t="shared" ref="EI13:EI76" si="12">SUM(EA13:EG13)</f>
        <v>1</v>
      </c>
      <c r="EK13" s="53">
        <f>EA13*'[2]Renewable Diesel'!BF22*'[2]Feedstock Conversion Rates'!B$2</f>
        <v>8.8824043025948303</v>
      </c>
      <c r="EL13" s="53">
        <f>EB13*'[2]Renewable Diesel'!BF22*'[2]Feedstock Conversion Rates'!B$3</f>
        <v>16.418696268764279</v>
      </c>
      <c r="EM13" s="53">
        <f>EC13*'[2]Renewable Diesel'!BF22*'[2]Feedstock Conversion Rates'!B$4</f>
        <v>0</v>
      </c>
      <c r="EN13" s="49"/>
      <c r="EO13" s="53">
        <f>EE13*'[2]Renewable Diesel'!BF22*'[2]Feedstock Conversion Rates'!B$6</f>
        <v>0</v>
      </c>
      <c r="EP13" s="53">
        <f>EF13*'[2]Renewable Diesel'!BF22*'[2]Feedstock Conversion Rates'!B$7</f>
        <v>18.831926520020431</v>
      </c>
      <c r="EQ13" s="53">
        <f>EG13*'[2]Renewable Diesel'!BF22*'[2]Feedstock Conversion Rates'!B$8</f>
        <v>5.8724241436569038</v>
      </c>
      <c r="ER13" s="53">
        <f>EH13*'[2]Renewable Diesel'!BF22*'[2]Feedstock Conversion Rates'!B$9</f>
        <v>0</v>
      </c>
      <c r="ES13" s="53">
        <f t="shared" ref="ES13:ES76" si="13">SUM(EK13:ER13)</f>
        <v>50.005451235036446</v>
      </c>
    </row>
    <row r="14" spans="1:149" x14ac:dyDescent="0.25">
      <c r="A14" s="39">
        <v>40848</v>
      </c>
      <c r="C14" s="46"/>
      <c r="D14" s="45">
        <v>0</v>
      </c>
      <c r="E14" s="45">
        <f>('[2]Renewable Diesel'!B23*E$3*'[2]Feedstock Conversion Rates'!$B$2)/12</f>
        <v>15.639999999999999</v>
      </c>
      <c r="F14" s="45">
        <f>('[2]Renewable Diesel'!B23*'[2]RD Feedstock Breakdown'!F$3*'[2]Feedstock Conversion Rates'!B$8)/12</f>
        <v>9.375</v>
      </c>
      <c r="G14" s="45">
        <f>('[2]Renewable Diesel'!B23*'[2]RD Feedstock Breakdown'!G$3*'[2]Feedstock Conversion Rates'!B$7)/12</f>
        <v>30.635999999999999</v>
      </c>
      <c r="H14" s="45">
        <f>('[2]Renewable Diesel'!B23*'[2]RD Feedstock Breakdown'!H$3*'[2]Feedstock Conversion Rates'!B$3)/12</f>
        <v>30.678299999999997</v>
      </c>
      <c r="I14" s="47">
        <f t="shared" si="9"/>
        <v>86.329299999999989</v>
      </c>
      <c r="J14" s="47"/>
      <c r="K14" s="48"/>
      <c r="L14" s="47"/>
      <c r="T14" s="49"/>
      <c r="AC14" s="49"/>
      <c r="AG14" s="49"/>
      <c r="AT14" s="49"/>
      <c r="BX14" s="49"/>
      <c r="CI14" s="49"/>
      <c r="DD14" s="49"/>
      <c r="DJ14" s="49"/>
      <c r="DP14" s="45">
        <f t="shared" si="0"/>
        <v>15.639999999999999</v>
      </c>
      <c r="DQ14" s="45">
        <f t="shared" si="1"/>
        <v>30.678299999999997</v>
      </c>
      <c r="DR14" s="45">
        <f t="shared" si="10"/>
        <v>0</v>
      </c>
      <c r="DS14" s="49"/>
      <c r="DT14" s="45">
        <f t="shared" si="2"/>
        <v>0</v>
      </c>
      <c r="DU14" s="45">
        <f t="shared" si="3"/>
        <v>30.635999999999999</v>
      </c>
      <c r="DV14" s="45">
        <f t="shared" si="4"/>
        <v>9.375</v>
      </c>
      <c r="DW14" s="45">
        <f t="shared" si="5"/>
        <v>0</v>
      </c>
      <c r="DX14" s="47">
        <f t="shared" si="6"/>
        <v>86.329299999999989</v>
      </c>
      <c r="DY14" s="50">
        <f t="shared" si="7"/>
        <v>0</v>
      </c>
      <c r="EA14" s="51">
        <f t="shared" si="8"/>
        <v>0.18116676493380579</v>
      </c>
      <c r="EB14" s="51">
        <f t="shared" si="8"/>
        <v>0.35536370618086793</v>
      </c>
      <c r="EC14" s="51">
        <f t="shared" si="8"/>
        <v>0</v>
      </c>
      <c r="ED14" s="49"/>
      <c r="EE14" s="51">
        <f t="shared" si="8"/>
        <v>0</v>
      </c>
      <c r="EF14" s="51">
        <f t="shared" si="8"/>
        <v>0.35487372189974903</v>
      </c>
      <c r="EG14" s="51">
        <f t="shared" si="8"/>
        <v>0.10859580698557733</v>
      </c>
      <c r="EH14" s="52">
        <f t="shared" si="11"/>
        <v>0</v>
      </c>
      <c r="EI14" s="51">
        <f t="shared" si="12"/>
        <v>1</v>
      </c>
      <c r="EK14" s="53">
        <f>EA14*'[2]Renewable Diesel'!BF23*'[2]Feedstock Conversion Rates'!B$2</f>
        <v>5.6983091842514657</v>
      </c>
      <c r="EL14" s="53">
        <f>EB14*'[2]Renewable Diesel'!BF23*'[2]Feedstock Conversion Rates'!B$3</f>
        <v>10.533049898933701</v>
      </c>
      <c r="EM14" s="53">
        <f>EC14*'[2]Renewable Diesel'!BF23*'[2]Feedstock Conversion Rates'!B$4</f>
        <v>0</v>
      </c>
      <c r="EN14" s="49"/>
      <c r="EO14" s="53">
        <f>EE14*'[2]Renewable Diesel'!BF23*'[2]Feedstock Conversion Rates'!B$6</f>
        <v>0</v>
      </c>
      <c r="EP14" s="53">
        <f>EF14*'[2]Renewable Diesel'!BF23*'[2]Feedstock Conversion Rates'!B$7</f>
        <v>12.081204163925806</v>
      </c>
      <c r="EQ14" s="53">
        <f>EG14*'[2]Renewable Diesel'!BF23*'[2]Feedstock Conversion Rates'!B$8</f>
        <v>3.7673232710027191</v>
      </c>
      <c r="ER14" s="53">
        <f>EH14*'[2]Renewable Diesel'!BF23*'[2]Feedstock Conversion Rates'!B$9</f>
        <v>0</v>
      </c>
      <c r="ES14" s="53">
        <f t="shared" si="13"/>
        <v>32.079886518113689</v>
      </c>
    </row>
    <row r="15" spans="1:149" x14ac:dyDescent="0.25">
      <c r="A15" s="39">
        <v>40878</v>
      </c>
      <c r="C15" s="46"/>
      <c r="D15" s="45">
        <v>0</v>
      </c>
      <c r="E15" s="45">
        <f>('[2]Renewable Diesel'!B24*E$3*'[2]Feedstock Conversion Rates'!$B$2)/12</f>
        <v>15.639999999999999</v>
      </c>
      <c r="F15" s="45">
        <f>('[2]Renewable Diesel'!B24*'[2]RD Feedstock Breakdown'!F$3*'[2]Feedstock Conversion Rates'!B$8)/12</f>
        <v>9.375</v>
      </c>
      <c r="G15" s="45">
        <f>('[2]Renewable Diesel'!B24*'[2]RD Feedstock Breakdown'!G$3*'[2]Feedstock Conversion Rates'!B$7)/12</f>
        <v>30.635999999999999</v>
      </c>
      <c r="H15" s="45">
        <f>('[2]Renewable Diesel'!B24*'[2]RD Feedstock Breakdown'!H$3*'[2]Feedstock Conversion Rates'!B$3)/12</f>
        <v>30.678299999999997</v>
      </c>
      <c r="I15" s="47">
        <f t="shared" si="9"/>
        <v>86.329299999999989</v>
      </c>
      <c r="J15" s="47"/>
      <c r="K15" s="48"/>
      <c r="L15" s="47"/>
      <c r="T15" s="49"/>
      <c r="AC15" s="49"/>
      <c r="AG15" s="49"/>
      <c r="AT15" s="49"/>
      <c r="BX15" s="49"/>
      <c r="CI15" s="49"/>
      <c r="DD15" s="49"/>
      <c r="DJ15" s="49"/>
      <c r="DP15" s="45">
        <f t="shared" si="0"/>
        <v>15.639999999999999</v>
      </c>
      <c r="DQ15" s="45">
        <f t="shared" si="1"/>
        <v>30.678299999999997</v>
      </c>
      <c r="DR15" s="45">
        <f t="shared" si="10"/>
        <v>0</v>
      </c>
      <c r="DS15" s="49"/>
      <c r="DT15" s="45">
        <f t="shared" si="2"/>
        <v>0</v>
      </c>
      <c r="DU15" s="45">
        <f t="shared" si="3"/>
        <v>30.635999999999999</v>
      </c>
      <c r="DV15" s="45">
        <f t="shared" si="4"/>
        <v>9.375</v>
      </c>
      <c r="DW15" s="45">
        <f t="shared" si="5"/>
        <v>0</v>
      </c>
      <c r="DX15" s="47">
        <f t="shared" si="6"/>
        <v>86.329299999999989</v>
      </c>
      <c r="DY15" s="50">
        <f t="shared" si="7"/>
        <v>0</v>
      </c>
      <c r="EA15" s="51">
        <f t="shared" si="8"/>
        <v>0.18116676493380579</v>
      </c>
      <c r="EB15" s="51">
        <f t="shared" si="8"/>
        <v>0.35536370618086793</v>
      </c>
      <c r="EC15" s="51">
        <f t="shared" si="8"/>
        <v>0</v>
      </c>
      <c r="ED15" s="49"/>
      <c r="EE15" s="51">
        <f t="shared" si="8"/>
        <v>0</v>
      </c>
      <c r="EF15" s="51">
        <f t="shared" si="8"/>
        <v>0.35487372189974903</v>
      </c>
      <c r="EG15" s="51">
        <f t="shared" si="8"/>
        <v>0.10859580698557733</v>
      </c>
      <c r="EH15" s="52">
        <f t="shared" si="11"/>
        <v>0</v>
      </c>
      <c r="EI15" s="51">
        <f t="shared" si="12"/>
        <v>1</v>
      </c>
      <c r="EK15" s="53">
        <f>EA15*'[2]Renewable Diesel'!BF24*'[2]Feedstock Conversion Rates'!B$2</f>
        <v>8.526341497961873</v>
      </c>
      <c r="EL15" s="53">
        <f>EB15*'[2]Renewable Diesel'!BF24*'[2]Feedstock Conversion Rates'!B$3</f>
        <v>15.760531334731153</v>
      </c>
      <c r="EM15" s="53">
        <f>EC15*'[2]Renewable Diesel'!BF24*'[2]Feedstock Conversion Rates'!B$4</f>
        <v>0</v>
      </c>
      <c r="EN15" s="49"/>
      <c r="EO15" s="53">
        <f>EE15*'[2]Renewable Diesel'!BF24*'[2]Feedstock Conversion Rates'!B$6</f>
        <v>0</v>
      </c>
      <c r="EP15" s="53">
        <f>EF15*'[2]Renewable Diesel'!BF24*'[2]Feedstock Conversion Rates'!B$7</f>
        <v>18.077024092149479</v>
      </c>
      <c r="EQ15" s="53">
        <f>EG15*'[2]Renewable Diesel'!BF24*'[2]Feedstock Conversion Rates'!B$8</f>
        <v>5.6370203341304759</v>
      </c>
      <c r="ER15" s="53">
        <f>EH15*'[2]Renewable Diesel'!BF24*'[2]Feedstock Conversion Rates'!B$9</f>
        <v>0</v>
      </c>
      <c r="ES15" s="53">
        <f t="shared" si="13"/>
        <v>48.000917258972983</v>
      </c>
    </row>
    <row r="16" spans="1:149" x14ac:dyDescent="0.25">
      <c r="A16" s="39">
        <v>40909</v>
      </c>
      <c r="C16" s="46"/>
      <c r="D16" s="45">
        <v>0</v>
      </c>
      <c r="E16" s="45">
        <f>('[2]Renewable Diesel'!B25*E$3*'[2]Feedstock Conversion Rates'!$B$2)/12</f>
        <v>20.853333333333332</v>
      </c>
      <c r="F16" s="45">
        <f>('[2]Renewable Diesel'!B25*'[2]RD Feedstock Breakdown'!F$3*'[2]Feedstock Conversion Rates'!B$8)/12</f>
        <v>12.5</v>
      </c>
      <c r="G16" s="45">
        <f>('[2]Renewable Diesel'!B25*'[2]RD Feedstock Breakdown'!G$3*'[2]Feedstock Conversion Rates'!B$7)/12</f>
        <v>40.847999999999999</v>
      </c>
      <c r="H16" s="45">
        <f>('[2]Renewable Diesel'!B25*'[2]RD Feedstock Breakdown'!H$3*'[2]Feedstock Conversion Rates'!B$3)/12</f>
        <v>40.904400000000003</v>
      </c>
      <c r="I16" s="47">
        <f t="shared" si="9"/>
        <v>115.10573333333335</v>
      </c>
      <c r="J16" s="47"/>
      <c r="K16" s="48"/>
      <c r="L16" s="47"/>
      <c r="T16" s="49"/>
      <c r="AC16" s="49"/>
      <c r="AG16" s="49"/>
      <c r="AT16" s="49"/>
      <c r="BX16" s="49"/>
      <c r="CI16" s="49"/>
      <c r="DD16" s="49"/>
      <c r="DJ16" s="49"/>
      <c r="DP16" s="45">
        <f t="shared" si="0"/>
        <v>20.853333333333332</v>
      </c>
      <c r="DQ16" s="45">
        <f t="shared" si="1"/>
        <v>40.904400000000003</v>
      </c>
      <c r="DR16" s="45">
        <f t="shared" si="10"/>
        <v>0</v>
      </c>
      <c r="DS16" s="49"/>
      <c r="DT16" s="45">
        <f t="shared" si="2"/>
        <v>0</v>
      </c>
      <c r="DU16" s="45">
        <f t="shared" si="3"/>
        <v>40.847999999999999</v>
      </c>
      <c r="DV16" s="45">
        <f t="shared" si="4"/>
        <v>12.5</v>
      </c>
      <c r="DW16" s="45">
        <f t="shared" si="5"/>
        <v>0</v>
      </c>
      <c r="DX16" s="47">
        <f t="shared" si="6"/>
        <v>115.10573333333333</v>
      </c>
      <c r="DY16" s="50">
        <f t="shared" si="7"/>
        <v>1.4210854715202004E-14</v>
      </c>
      <c r="EA16" s="51">
        <f t="shared" si="8"/>
        <v>0.18116676493380576</v>
      </c>
      <c r="EB16" s="51">
        <f t="shared" si="8"/>
        <v>0.35536370618086793</v>
      </c>
      <c r="EC16" s="51">
        <f t="shared" si="8"/>
        <v>0</v>
      </c>
      <c r="ED16" s="49"/>
      <c r="EE16" s="51">
        <f t="shared" si="8"/>
        <v>0</v>
      </c>
      <c r="EF16" s="51">
        <f t="shared" si="8"/>
        <v>0.35487372189974897</v>
      </c>
      <c r="EG16" s="51">
        <f t="shared" si="8"/>
        <v>0.10859580698557732</v>
      </c>
      <c r="EH16" s="52">
        <f t="shared" si="11"/>
        <v>0</v>
      </c>
      <c r="EI16" s="51">
        <f t="shared" si="12"/>
        <v>1</v>
      </c>
      <c r="EK16" s="53">
        <f>EA16*'[2]Renewable Diesel'!BF25*'[2]Feedstock Conversion Rates'!B$2</f>
        <v>5.7048261151196629</v>
      </c>
      <c r="EL16" s="53">
        <f>EB16*'[2]Renewable Diesel'!BF25*'[2]Feedstock Conversion Rates'!B$3</f>
        <v>10.545096131562204</v>
      </c>
      <c r="EM16" s="53">
        <f>EC16*'[2]Renewable Diesel'!BF25*'[2]Feedstock Conversion Rates'!B$4</f>
        <v>0</v>
      </c>
      <c r="EN16" s="49"/>
      <c r="EO16" s="53">
        <f>EE16*'[2]Renewable Diesel'!BF25*'[2]Feedstock Conversion Rates'!B$6</f>
        <v>0</v>
      </c>
      <c r="EP16" s="53">
        <f>EF16*'[2]Renewable Diesel'!BF25*'[2]Feedstock Conversion Rates'!B$7</f>
        <v>12.095020959363737</v>
      </c>
      <c r="EQ16" s="53">
        <f>EG16*'[2]Renewable Diesel'!BF25*'[2]Feedstock Conversion Rates'!B$8</f>
        <v>3.7716318096448713</v>
      </c>
      <c r="ER16" s="53">
        <f>EH16*'[2]Renewable Diesel'!BF25*'[2]Feedstock Conversion Rates'!B$9</f>
        <v>0</v>
      </c>
      <c r="ES16" s="53">
        <f t="shared" si="13"/>
        <v>32.116575015690472</v>
      </c>
    </row>
    <row r="17" spans="1:149" x14ac:dyDescent="0.25">
      <c r="A17" s="39">
        <v>40940</v>
      </c>
      <c r="C17" s="46"/>
      <c r="D17" s="45">
        <v>0</v>
      </c>
      <c r="E17" s="45">
        <f>('[2]Renewable Diesel'!B26*E$3*'[2]Feedstock Conversion Rates'!$B$2)/12</f>
        <v>20.853333333333332</v>
      </c>
      <c r="F17" s="45">
        <f>('[2]Renewable Diesel'!B26*'[2]RD Feedstock Breakdown'!F$3*'[2]Feedstock Conversion Rates'!B$8)/12</f>
        <v>12.5</v>
      </c>
      <c r="G17" s="45">
        <f>('[2]Renewable Diesel'!B26*'[2]RD Feedstock Breakdown'!G$3*'[2]Feedstock Conversion Rates'!B$7)/12</f>
        <v>40.847999999999999</v>
      </c>
      <c r="H17" s="45">
        <f>('[2]Renewable Diesel'!B26*'[2]RD Feedstock Breakdown'!H$3*'[2]Feedstock Conversion Rates'!B$3)/12</f>
        <v>40.904400000000003</v>
      </c>
      <c r="I17" s="47">
        <f t="shared" si="9"/>
        <v>115.10573333333335</v>
      </c>
      <c r="J17" s="47"/>
      <c r="K17" s="48"/>
      <c r="L17" s="47"/>
      <c r="T17" s="49"/>
      <c r="AC17" s="49"/>
      <c r="AG17" s="49"/>
      <c r="AT17" s="49"/>
      <c r="BX17" s="49"/>
      <c r="CI17" s="49"/>
      <c r="DD17" s="49"/>
      <c r="DJ17" s="49"/>
      <c r="DP17" s="45">
        <f t="shared" si="0"/>
        <v>20.853333333333332</v>
      </c>
      <c r="DQ17" s="45">
        <f t="shared" si="1"/>
        <v>40.904400000000003</v>
      </c>
      <c r="DR17" s="45">
        <f t="shared" si="10"/>
        <v>0</v>
      </c>
      <c r="DS17" s="49"/>
      <c r="DT17" s="45">
        <f t="shared" si="2"/>
        <v>0</v>
      </c>
      <c r="DU17" s="45">
        <f t="shared" si="3"/>
        <v>40.847999999999999</v>
      </c>
      <c r="DV17" s="45">
        <f t="shared" si="4"/>
        <v>12.5</v>
      </c>
      <c r="DW17" s="45">
        <f t="shared" si="5"/>
        <v>0</v>
      </c>
      <c r="DX17" s="47">
        <f t="shared" si="6"/>
        <v>115.10573333333333</v>
      </c>
      <c r="DY17" s="50">
        <f t="shared" si="7"/>
        <v>1.4210854715202004E-14</v>
      </c>
      <c r="EA17" s="51">
        <f t="shared" si="8"/>
        <v>0.18116676493380576</v>
      </c>
      <c r="EB17" s="51">
        <f t="shared" si="8"/>
        <v>0.35536370618086793</v>
      </c>
      <c r="EC17" s="51">
        <f t="shared" si="8"/>
        <v>0</v>
      </c>
      <c r="ED17" s="49"/>
      <c r="EE17" s="51">
        <f t="shared" si="8"/>
        <v>0</v>
      </c>
      <c r="EF17" s="51">
        <f t="shared" si="8"/>
        <v>0.35487372189974897</v>
      </c>
      <c r="EG17" s="51">
        <f t="shared" si="8"/>
        <v>0.10859580698557732</v>
      </c>
      <c r="EH17" s="52">
        <f t="shared" si="11"/>
        <v>0</v>
      </c>
      <c r="EI17" s="51">
        <f t="shared" si="12"/>
        <v>1</v>
      </c>
      <c r="EK17" s="53">
        <f>EA17*'[2]Renewable Diesel'!BF26*'[2]Feedstock Conversion Rates'!B$2</f>
        <v>2.2584476280938217</v>
      </c>
      <c r="EL17" s="53">
        <f>EB17*'[2]Renewable Diesel'!BF26*'[2]Feedstock Conversion Rates'!B$3</f>
        <v>4.1746315953835964</v>
      </c>
      <c r="EM17" s="53">
        <f>EC17*'[2]Renewable Diesel'!BF26*'[2]Feedstock Conversion Rates'!B$4</f>
        <v>0</v>
      </c>
      <c r="EN17" s="49"/>
      <c r="EO17" s="53">
        <f>EE17*'[2]Renewable Diesel'!BF26*'[2]Feedstock Conversion Rates'!B$6</f>
        <v>0</v>
      </c>
      <c r="EP17" s="53">
        <f>EF17*'[2]Renewable Diesel'!BF26*'[2]Feedstock Conversion Rates'!B$7</f>
        <v>4.7882215594659057</v>
      </c>
      <c r="EQ17" s="53">
        <f>EG17*'[2]Renewable Diesel'!BF26*'[2]Feedstock Conversion Rates'!B$8</f>
        <v>1.4931275279293936</v>
      </c>
      <c r="ER17" s="53">
        <f>EH17*'[2]Renewable Diesel'!BF26*'[2]Feedstock Conversion Rates'!B$9</f>
        <v>0</v>
      </c>
      <c r="ES17" s="53">
        <f t="shared" si="13"/>
        <v>12.714428310872718</v>
      </c>
    </row>
    <row r="18" spans="1:149" x14ac:dyDescent="0.25">
      <c r="A18" s="39">
        <v>40969</v>
      </c>
      <c r="C18" s="46"/>
      <c r="D18" s="45">
        <v>0</v>
      </c>
      <c r="E18" s="45">
        <f>('[2]Renewable Diesel'!B27*E$3*'[2]Feedstock Conversion Rates'!$B$2)/12</f>
        <v>20.853333333333332</v>
      </c>
      <c r="F18" s="45">
        <f>('[2]Renewable Diesel'!B27*'[2]RD Feedstock Breakdown'!F$3*'[2]Feedstock Conversion Rates'!B$8)/12</f>
        <v>12.5</v>
      </c>
      <c r="G18" s="45">
        <f>('[2]Renewable Diesel'!B27*'[2]RD Feedstock Breakdown'!G$3*'[2]Feedstock Conversion Rates'!B$7)/12</f>
        <v>40.847999999999999</v>
      </c>
      <c r="H18" s="45">
        <f>('[2]Renewable Diesel'!B27*'[2]RD Feedstock Breakdown'!H$3*'[2]Feedstock Conversion Rates'!B$3)/12</f>
        <v>40.904400000000003</v>
      </c>
      <c r="I18" s="47">
        <f t="shared" si="9"/>
        <v>115.10573333333335</v>
      </c>
      <c r="J18" s="47"/>
      <c r="K18" s="48"/>
      <c r="L18" s="47"/>
      <c r="T18" s="49"/>
      <c r="AC18" s="49"/>
      <c r="AG18" s="49"/>
      <c r="AT18" s="49"/>
      <c r="BX18" s="49"/>
      <c r="CI18" s="49"/>
      <c r="DD18" s="49"/>
      <c r="DJ18" s="49"/>
      <c r="DP18" s="45">
        <f t="shared" si="0"/>
        <v>20.853333333333332</v>
      </c>
      <c r="DQ18" s="45">
        <f t="shared" si="1"/>
        <v>40.904400000000003</v>
      </c>
      <c r="DR18" s="45">
        <f t="shared" si="10"/>
        <v>0</v>
      </c>
      <c r="DS18" s="49"/>
      <c r="DT18" s="45">
        <f t="shared" si="2"/>
        <v>0</v>
      </c>
      <c r="DU18" s="45">
        <f t="shared" si="3"/>
        <v>40.847999999999999</v>
      </c>
      <c r="DV18" s="45">
        <f t="shared" si="4"/>
        <v>12.5</v>
      </c>
      <c r="DW18" s="45">
        <f t="shared" si="5"/>
        <v>0</v>
      </c>
      <c r="DX18" s="47">
        <f t="shared" si="6"/>
        <v>115.10573333333333</v>
      </c>
      <c r="DY18" s="50">
        <f t="shared" si="7"/>
        <v>1.4210854715202004E-14</v>
      </c>
      <c r="EA18" s="51">
        <f t="shared" si="8"/>
        <v>0.18116676493380576</v>
      </c>
      <c r="EB18" s="51">
        <f t="shared" si="8"/>
        <v>0.35536370618086793</v>
      </c>
      <c r="EC18" s="51">
        <f t="shared" si="8"/>
        <v>0</v>
      </c>
      <c r="ED18" s="49"/>
      <c r="EE18" s="51">
        <f t="shared" si="8"/>
        <v>0</v>
      </c>
      <c r="EF18" s="51">
        <f t="shared" si="8"/>
        <v>0.35487372189974897</v>
      </c>
      <c r="EG18" s="51">
        <f t="shared" si="8"/>
        <v>0.10859580698557732</v>
      </c>
      <c r="EH18" s="52">
        <f t="shared" si="11"/>
        <v>0</v>
      </c>
      <c r="EI18" s="51">
        <f t="shared" si="12"/>
        <v>1</v>
      </c>
      <c r="EK18" s="53">
        <f>EA18*'[2]Renewable Diesel'!BF27*'[2]Feedstock Conversion Rates'!B$2</f>
        <v>7.2446281232443672</v>
      </c>
      <c r="EL18" s="53">
        <f>EB18*'[2]Renewable Diesel'!BF27*'[2]Feedstock Conversion Rates'!B$3</f>
        <v>13.391345933324468</v>
      </c>
      <c r="EM18" s="53">
        <f>EC18*'[2]Renewable Diesel'!BF27*'[2]Feedstock Conversion Rates'!B$4</f>
        <v>0</v>
      </c>
      <c r="EN18" s="49"/>
      <c r="EO18" s="53">
        <f>EE18*'[2]Renewable Diesel'!BF27*'[2]Feedstock Conversion Rates'!B$6</f>
        <v>0</v>
      </c>
      <c r="EP18" s="53">
        <f>EF18*'[2]Renewable Diesel'!BF27*'[2]Feedstock Conversion Rates'!B$7</f>
        <v>15.359614337973317</v>
      </c>
      <c r="EQ18" s="53">
        <f>EG18*'[2]Renewable Diesel'!BF27*'[2]Feedstock Conversion Rates'!B$8</f>
        <v>4.7896411437078728</v>
      </c>
      <c r="ER18" s="53">
        <f>EH18*'[2]Renewable Diesel'!BF27*'[2]Feedstock Conversion Rates'!B$9</f>
        <v>0</v>
      </c>
      <c r="ES18" s="53">
        <f t="shared" si="13"/>
        <v>40.785229538250029</v>
      </c>
    </row>
    <row r="19" spans="1:149" x14ac:dyDescent="0.25">
      <c r="A19" s="39">
        <v>41000</v>
      </c>
      <c r="C19" s="46"/>
      <c r="D19" s="45">
        <v>0</v>
      </c>
      <c r="E19" s="45">
        <f>('[2]Renewable Diesel'!B28*E$3*'[2]Feedstock Conversion Rates'!$B$2)/12</f>
        <v>20.853333333333332</v>
      </c>
      <c r="F19" s="45">
        <f>('[2]Renewable Diesel'!B28*'[2]RD Feedstock Breakdown'!F$3*'[2]Feedstock Conversion Rates'!B$8)/12</f>
        <v>12.5</v>
      </c>
      <c r="G19" s="45">
        <f>('[2]Renewable Diesel'!B28*'[2]RD Feedstock Breakdown'!G$3*'[2]Feedstock Conversion Rates'!B$7)/12</f>
        <v>40.847999999999999</v>
      </c>
      <c r="H19" s="45">
        <f>('[2]Renewable Diesel'!B28*'[2]RD Feedstock Breakdown'!H$3*'[2]Feedstock Conversion Rates'!B$3)/12</f>
        <v>40.904400000000003</v>
      </c>
      <c r="I19" s="47">
        <f t="shared" si="9"/>
        <v>115.10573333333335</v>
      </c>
      <c r="J19" s="47"/>
      <c r="K19" s="48"/>
      <c r="L19" s="47"/>
      <c r="T19" s="49"/>
      <c r="AC19" s="49"/>
      <c r="AG19" s="49"/>
      <c r="AT19" s="49"/>
      <c r="BX19" s="49"/>
      <c r="CI19" s="49"/>
      <c r="DD19" s="49"/>
      <c r="DJ19" s="49"/>
      <c r="DP19" s="45">
        <f t="shared" si="0"/>
        <v>20.853333333333332</v>
      </c>
      <c r="DQ19" s="45">
        <f t="shared" si="1"/>
        <v>40.904400000000003</v>
      </c>
      <c r="DR19" s="45">
        <f t="shared" si="10"/>
        <v>0</v>
      </c>
      <c r="DS19" s="49"/>
      <c r="DT19" s="45">
        <f t="shared" si="2"/>
        <v>0</v>
      </c>
      <c r="DU19" s="45">
        <f t="shared" si="3"/>
        <v>40.847999999999999</v>
      </c>
      <c r="DV19" s="45">
        <f t="shared" si="4"/>
        <v>12.5</v>
      </c>
      <c r="DW19" s="45">
        <f t="shared" si="5"/>
        <v>0</v>
      </c>
      <c r="DX19" s="47">
        <f t="shared" si="6"/>
        <v>115.10573333333333</v>
      </c>
      <c r="DY19" s="50">
        <f t="shared" si="7"/>
        <v>1.4210854715202004E-14</v>
      </c>
      <c r="EA19" s="51">
        <f t="shared" si="8"/>
        <v>0.18116676493380576</v>
      </c>
      <c r="EB19" s="51">
        <f t="shared" si="8"/>
        <v>0.35536370618086793</v>
      </c>
      <c r="EC19" s="51">
        <f t="shared" si="8"/>
        <v>0</v>
      </c>
      <c r="ED19" s="49"/>
      <c r="EE19" s="51">
        <f t="shared" si="8"/>
        <v>0</v>
      </c>
      <c r="EF19" s="51">
        <f t="shared" si="8"/>
        <v>0.35487372189974897</v>
      </c>
      <c r="EG19" s="51">
        <f t="shared" si="8"/>
        <v>0.10859580698557732</v>
      </c>
      <c r="EH19" s="52">
        <f t="shared" si="11"/>
        <v>0</v>
      </c>
      <c r="EI19" s="51">
        <f t="shared" si="12"/>
        <v>1</v>
      </c>
      <c r="EK19" s="53">
        <f>EA19*'[2]Renewable Diesel'!BF28*'[2]Feedstock Conversion Rates'!B$2</f>
        <v>4.9000883273697333</v>
      </c>
      <c r="EL19" s="53">
        <f>EB19*'[2]Renewable Diesel'!BF28*'[2]Feedstock Conversion Rates'!B$3</f>
        <v>9.0575771149820277</v>
      </c>
      <c r="EM19" s="53">
        <f>EC19*'[2]Renewable Diesel'!BF28*'[2]Feedstock Conversion Rates'!B$4</f>
        <v>0</v>
      </c>
      <c r="EN19" s="49"/>
      <c r="EO19" s="53">
        <f>EE19*'[2]Renewable Diesel'!BF28*'[2]Feedstock Conversion Rates'!B$6</f>
        <v>0</v>
      </c>
      <c r="EP19" s="53">
        <f>EF19*'[2]Renewable Diesel'!BF28*'[2]Feedstock Conversion Rates'!B$7</f>
        <v>10.388865466941118</v>
      </c>
      <c r="EQ19" s="53">
        <f>EG19*'[2]Renewable Diesel'!BF28*'[2]Feedstock Conversion Rates'!B$8</f>
        <v>3.2395954990802656</v>
      </c>
      <c r="ER19" s="53">
        <f>EH19*'[2]Renewable Diesel'!BF28*'[2]Feedstock Conversion Rates'!B$9</f>
        <v>0</v>
      </c>
      <c r="ES19" s="53">
        <f t="shared" si="13"/>
        <v>27.586126408373147</v>
      </c>
    </row>
    <row r="20" spans="1:149" x14ac:dyDescent="0.25">
      <c r="A20" s="39">
        <v>41030</v>
      </c>
      <c r="C20" s="46"/>
      <c r="D20" s="45">
        <v>0</v>
      </c>
      <c r="E20" s="45">
        <f>('[2]Renewable Diesel'!B29*E$3*'[2]Feedstock Conversion Rates'!$B$2)/12</f>
        <v>20.853333333333332</v>
      </c>
      <c r="F20" s="45">
        <f>('[2]Renewable Diesel'!B29*'[2]RD Feedstock Breakdown'!F$3*'[2]Feedstock Conversion Rates'!B$8)/12</f>
        <v>12.5</v>
      </c>
      <c r="G20" s="45">
        <f>('[2]Renewable Diesel'!B29*'[2]RD Feedstock Breakdown'!G$3*'[2]Feedstock Conversion Rates'!B$7)/12</f>
        <v>40.847999999999999</v>
      </c>
      <c r="H20" s="45">
        <f>('[2]Renewable Diesel'!B29*'[2]RD Feedstock Breakdown'!H$3*'[2]Feedstock Conversion Rates'!B$3)/12</f>
        <v>40.904400000000003</v>
      </c>
      <c r="I20" s="47">
        <f t="shared" si="9"/>
        <v>115.10573333333335</v>
      </c>
      <c r="J20" s="47"/>
      <c r="K20" s="48"/>
      <c r="L20" s="47"/>
      <c r="T20" s="49"/>
      <c r="AC20" s="49"/>
      <c r="AG20" s="49"/>
      <c r="AT20" s="49"/>
      <c r="BX20" s="49"/>
      <c r="CI20" s="49"/>
      <c r="DD20" s="49"/>
      <c r="DJ20" s="49"/>
      <c r="DP20" s="45">
        <f t="shared" si="0"/>
        <v>20.853333333333332</v>
      </c>
      <c r="DQ20" s="45">
        <f t="shared" si="1"/>
        <v>40.904400000000003</v>
      </c>
      <c r="DR20" s="45">
        <f t="shared" si="10"/>
        <v>0</v>
      </c>
      <c r="DS20" s="49"/>
      <c r="DT20" s="45">
        <f t="shared" si="2"/>
        <v>0</v>
      </c>
      <c r="DU20" s="45">
        <f t="shared" si="3"/>
        <v>40.847999999999999</v>
      </c>
      <c r="DV20" s="45">
        <f t="shared" si="4"/>
        <v>12.5</v>
      </c>
      <c r="DW20" s="45">
        <f t="shared" si="5"/>
        <v>0</v>
      </c>
      <c r="DX20" s="47">
        <f t="shared" si="6"/>
        <v>115.10573333333333</v>
      </c>
      <c r="DY20" s="50">
        <f t="shared" si="7"/>
        <v>1.4210854715202004E-14</v>
      </c>
      <c r="EA20" s="51">
        <f t="shared" si="8"/>
        <v>0.18116676493380576</v>
      </c>
      <c r="EB20" s="51">
        <f t="shared" si="8"/>
        <v>0.35536370618086793</v>
      </c>
      <c r="EC20" s="51">
        <f t="shared" si="8"/>
        <v>0</v>
      </c>
      <c r="ED20" s="49"/>
      <c r="EE20" s="51">
        <f t="shared" si="8"/>
        <v>0</v>
      </c>
      <c r="EF20" s="51">
        <f t="shared" si="8"/>
        <v>0.35487372189974897</v>
      </c>
      <c r="EG20" s="51">
        <f t="shared" si="8"/>
        <v>0.10859580698557732</v>
      </c>
      <c r="EH20" s="52">
        <f t="shared" si="11"/>
        <v>0</v>
      </c>
      <c r="EI20" s="51">
        <f t="shared" si="12"/>
        <v>1</v>
      </c>
      <c r="EK20" s="53">
        <f>EA20*'[2]Renewable Diesel'!BF29*'[2]Feedstock Conversion Rates'!B$2</f>
        <v>5.1706518324601261</v>
      </c>
      <c r="EL20" s="53">
        <f>EB20*'[2]Renewable Diesel'!BF29*'[2]Feedstock Conversion Rates'!B$3</f>
        <v>9.5577007144216157</v>
      </c>
      <c r="EM20" s="53">
        <f>EC20*'[2]Renewable Diesel'!BF29*'[2]Feedstock Conversion Rates'!B$4</f>
        <v>0</v>
      </c>
      <c r="EN20" s="49"/>
      <c r="EO20" s="53">
        <f>EE20*'[2]Renewable Diesel'!BF29*'[2]Feedstock Conversion Rates'!B$6</f>
        <v>0</v>
      </c>
      <c r="EP20" s="53">
        <f>EF20*'[2]Renewable Diesel'!BF29*'[2]Feedstock Conversion Rates'!B$7</f>
        <v>10.962497545968748</v>
      </c>
      <c r="EQ20" s="53">
        <f>EG20*'[2]Renewable Diesel'!BF29*'[2]Feedstock Conversion Rates'!B$8</f>
        <v>3.4184731548993219</v>
      </c>
      <c r="ER20" s="53">
        <f>EH20*'[2]Renewable Diesel'!BF29*'[2]Feedstock Conversion Rates'!B$9</f>
        <v>0</v>
      </c>
      <c r="ES20" s="53">
        <f t="shared" si="13"/>
        <v>29.10932324774981</v>
      </c>
    </row>
    <row r="21" spans="1:149" x14ac:dyDescent="0.25">
      <c r="A21" s="39">
        <v>41061</v>
      </c>
      <c r="C21" s="46"/>
      <c r="D21" s="45">
        <v>0</v>
      </c>
      <c r="E21" s="45">
        <f>('[2]Renewable Diesel'!B30*E$3*'[2]Feedstock Conversion Rates'!$B$2)/12</f>
        <v>20.853333333333332</v>
      </c>
      <c r="F21" s="45">
        <f>('[2]Renewable Diesel'!B30*'[2]RD Feedstock Breakdown'!F$3*'[2]Feedstock Conversion Rates'!B$8)/12</f>
        <v>12.5</v>
      </c>
      <c r="G21" s="45">
        <f>('[2]Renewable Diesel'!B30*'[2]RD Feedstock Breakdown'!G$3*'[2]Feedstock Conversion Rates'!B$7)/12</f>
        <v>40.847999999999999</v>
      </c>
      <c r="H21" s="45">
        <f>('[2]Renewable Diesel'!B30*'[2]RD Feedstock Breakdown'!H$3*'[2]Feedstock Conversion Rates'!B$3)/12</f>
        <v>40.904400000000003</v>
      </c>
      <c r="I21" s="47">
        <f t="shared" si="9"/>
        <v>115.10573333333335</v>
      </c>
      <c r="J21" s="47"/>
      <c r="K21" s="48"/>
      <c r="L21" s="47"/>
      <c r="T21" s="49"/>
      <c r="AC21" s="49"/>
      <c r="AG21" s="49"/>
      <c r="AT21" s="49"/>
      <c r="BX21" s="49"/>
      <c r="CI21" s="49"/>
      <c r="DD21" s="49"/>
      <c r="DJ21" s="49"/>
      <c r="DP21" s="45">
        <f t="shared" si="0"/>
        <v>20.853333333333332</v>
      </c>
      <c r="DQ21" s="45">
        <f t="shared" si="1"/>
        <v>40.904400000000003</v>
      </c>
      <c r="DR21" s="45">
        <f t="shared" si="10"/>
        <v>0</v>
      </c>
      <c r="DS21" s="49"/>
      <c r="DT21" s="45">
        <f t="shared" si="2"/>
        <v>0</v>
      </c>
      <c r="DU21" s="45">
        <f t="shared" si="3"/>
        <v>40.847999999999999</v>
      </c>
      <c r="DV21" s="45">
        <f t="shared" si="4"/>
        <v>12.5</v>
      </c>
      <c r="DW21" s="45">
        <f t="shared" si="5"/>
        <v>0</v>
      </c>
      <c r="DX21" s="47">
        <f t="shared" si="6"/>
        <v>115.10573333333333</v>
      </c>
      <c r="DY21" s="50">
        <f t="shared" si="7"/>
        <v>1.4210854715202004E-14</v>
      </c>
      <c r="EA21" s="51">
        <f t="shared" si="8"/>
        <v>0.18116676493380576</v>
      </c>
      <c r="EB21" s="51">
        <f t="shared" si="8"/>
        <v>0.35536370618086793</v>
      </c>
      <c r="EC21" s="51">
        <f t="shared" si="8"/>
        <v>0</v>
      </c>
      <c r="ED21" s="49"/>
      <c r="EE21" s="51">
        <f t="shared" si="8"/>
        <v>0</v>
      </c>
      <c r="EF21" s="51">
        <f t="shared" si="8"/>
        <v>0.35487372189974897</v>
      </c>
      <c r="EG21" s="51">
        <f t="shared" si="8"/>
        <v>0.10859580698557732</v>
      </c>
      <c r="EH21" s="52">
        <f t="shared" si="11"/>
        <v>0</v>
      </c>
      <c r="EI21" s="51">
        <f t="shared" si="12"/>
        <v>1</v>
      </c>
      <c r="EK21" s="53">
        <f>EA21*'[2]Renewable Diesel'!BF30*'[2]Feedstock Conversion Rates'!B$2</f>
        <v>4.7463244849662853</v>
      </c>
      <c r="EL21" s="53">
        <f>EB21*'[2]Renewable Diesel'!BF30*'[2]Feedstock Conversion Rates'!B$3</f>
        <v>8.7733520628975565</v>
      </c>
      <c r="EM21" s="53">
        <f>EC21*'[2]Renewable Diesel'!BF30*'[2]Feedstock Conversion Rates'!B$4</f>
        <v>0</v>
      </c>
      <c r="EN21" s="49"/>
      <c r="EO21" s="53">
        <f>EE21*'[2]Renewable Diesel'!BF30*'[2]Feedstock Conversion Rates'!B$6</f>
        <v>0</v>
      </c>
      <c r="EP21" s="53">
        <f>EF21*'[2]Renewable Diesel'!BF30*'[2]Feedstock Conversion Rates'!B$7</f>
        <v>10.062864838853088</v>
      </c>
      <c r="EQ21" s="53">
        <f>EG21*'[2]Renewable Diesel'!BF30*'[2]Feedstock Conversion Rates'!B$8</f>
        <v>3.1379376067134794</v>
      </c>
      <c r="ER21" s="53">
        <f>EH21*'[2]Renewable Diesel'!BF30*'[2]Feedstock Conversion Rates'!B$9</f>
        <v>0</v>
      </c>
      <c r="ES21" s="53">
        <f t="shared" si="13"/>
        <v>26.720478993430408</v>
      </c>
    </row>
    <row r="22" spans="1:149" x14ac:dyDescent="0.25">
      <c r="A22" s="39">
        <v>41091</v>
      </c>
      <c r="C22" s="46"/>
      <c r="D22" s="45">
        <v>0</v>
      </c>
      <c r="E22" s="45">
        <f>('[2]Renewable Diesel'!B31*E$3*'[2]Feedstock Conversion Rates'!$B$2)/12</f>
        <v>20.853333333333332</v>
      </c>
      <c r="F22" s="45">
        <f>('[2]Renewable Diesel'!B31*'[2]RD Feedstock Breakdown'!F$3*'[2]Feedstock Conversion Rates'!B$8)/12</f>
        <v>12.5</v>
      </c>
      <c r="G22" s="45">
        <f>('[2]Renewable Diesel'!B31*'[2]RD Feedstock Breakdown'!G$3*'[2]Feedstock Conversion Rates'!B$7)/12</f>
        <v>40.847999999999999</v>
      </c>
      <c r="H22" s="45">
        <f>('[2]Renewable Diesel'!B31*'[2]RD Feedstock Breakdown'!H$3*'[2]Feedstock Conversion Rates'!B$3)/12</f>
        <v>40.904400000000003</v>
      </c>
      <c r="I22" s="47">
        <f>SUM(B22:H22)</f>
        <v>115.10573333333335</v>
      </c>
      <c r="J22" s="47"/>
      <c r="K22" s="48"/>
      <c r="L22" s="47"/>
      <c r="T22" s="49"/>
      <c r="AC22" s="49"/>
      <c r="AG22" s="49"/>
      <c r="AT22" s="49"/>
      <c r="BX22" s="49"/>
      <c r="CI22" s="49"/>
      <c r="DD22" s="49"/>
      <c r="DJ22" s="49"/>
      <c r="DP22" s="45">
        <f t="shared" si="0"/>
        <v>20.853333333333332</v>
      </c>
      <c r="DQ22" s="45">
        <f t="shared" si="1"/>
        <v>40.904400000000003</v>
      </c>
      <c r="DR22" s="45">
        <f t="shared" si="10"/>
        <v>0</v>
      </c>
      <c r="DS22" s="49"/>
      <c r="DT22" s="45">
        <f t="shared" si="2"/>
        <v>0</v>
      </c>
      <c r="DU22" s="45">
        <f t="shared" si="3"/>
        <v>40.847999999999999</v>
      </c>
      <c r="DV22" s="45">
        <f t="shared" si="4"/>
        <v>12.5</v>
      </c>
      <c r="DW22" s="45">
        <f t="shared" si="5"/>
        <v>0</v>
      </c>
      <c r="DX22" s="47">
        <f t="shared" si="6"/>
        <v>115.10573333333333</v>
      </c>
      <c r="DY22" s="50">
        <f t="shared" si="7"/>
        <v>1.4210854715202004E-14</v>
      </c>
      <c r="EA22" s="51">
        <f t="shared" si="8"/>
        <v>0.18116676493380576</v>
      </c>
      <c r="EB22" s="51">
        <f t="shared" si="8"/>
        <v>0.35536370618086793</v>
      </c>
      <c r="EC22" s="51">
        <f t="shared" si="8"/>
        <v>0</v>
      </c>
      <c r="ED22" s="49"/>
      <c r="EE22" s="51">
        <f t="shared" si="8"/>
        <v>0</v>
      </c>
      <c r="EF22" s="51">
        <f t="shared" si="8"/>
        <v>0.35487372189974897</v>
      </c>
      <c r="EG22" s="51">
        <f t="shared" si="8"/>
        <v>0.10859580698557732</v>
      </c>
      <c r="EH22" s="52">
        <f t="shared" si="11"/>
        <v>0</v>
      </c>
      <c r="EI22" s="51">
        <f t="shared" si="12"/>
        <v>1</v>
      </c>
      <c r="EK22" s="53">
        <f>EA22*'[2]Renewable Diesel'!BF31*'[2]Feedstock Conversion Rates'!B$2</f>
        <v>8.8148835398873828</v>
      </c>
      <c r="EL22" s="53">
        <f>EB22*'[2]Renewable Diesel'!BF31*'[2]Feedstock Conversion Rates'!B$3</f>
        <v>16.29388739304073</v>
      </c>
      <c r="EM22" s="53">
        <f>EC22*'[2]Renewable Diesel'!BF31*'[2]Feedstock Conversion Rates'!B$4</f>
        <v>0</v>
      </c>
      <c r="EN22" s="49"/>
      <c r="EO22" s="53">
        <f>EE22*'[2]Renewable Diesel'!BF31*'[2]Feedstock Conversion Rates'!B$6</f>
        <v>0</v>
      </c>
      <c r="EP22" s="53">
        <f>EF22*'[2]Renewable Diesel'!BF31*'[2]Feedstock Conversion Rates'!B$7</f>
        <v>18.688773157646359</v>
      </c>
      <c r="EQ22" s="53">
        <f>EG22*'[2]Renewable Diesel'!BF31*'[2]Feedstock Conversion Rates'!B$8</f>
        <v>5.8277841403859982</v>
      </c>
      <c r="ER22" s="53">
        <f>EH22*'[2]Renewable Diesel'!BF31*'[2]Feedstock Conversion Rates'!B$9</f>
        <v>0</v>
      </c>
      <c r="ES22" s="53">
        <f t="shared" si="13"/>
        <v>49.625328230960477</v>
      </c>
    </row>
    <row r="23" spans="1:149" x14ac:dyDescent="0.25">
      <c r="A23" s="39">
        <v>41122</v>
      </c>
      <c r="C23" s="46"/>
      <c r="D23" s="45">
        <v>0</v>
      </c>
      <c r="E23" s="45">
        <f>('[2]Renewable Diesel'!B32*E$3*'[2]Feedstock Conversion Rates'!$B$2)/12</f>
        <v>20.853333333333332</v>
      </c>
      <c r="F23" s="45">
        <f>('[2]Renewable Diesel'!B32*'[2]RD Feedstock Breakdown'!F$3*'[2]Feedstock Conversion Rates'!B$8)/12</f>
        <v>12.5</v>
      </c>
      <c r="G23" s="45">
        <f>('[2]Renewable Diesel'!B32*'[2]RD Feedstock Breakdown'!G$3*'[2]Feedstock Conversion Rates'!B$7)/12</f>
        <v>40.847999999999999</v>
      </c>
      <c r="H23" s="45">
        <f>('[2]Renewable Diesel'!B32*'[2]RD Feedstock Breakdown'!H$3*'[2]Feedstock Conversion Rates'!B$3)/12</f>
        <v>40.904400000000003</v>
      </c>
      <c r="I23" s="47">
        <f t="shared" ref="I23:I86" si="14">SUM(B23:H23)</f>
        <v>115.10573333333335</v>
      </c>
      <c r="J23" s="47"/>
      <c r="K23" s="48"/>
      <c r="L23" s="47"/>
      <c r="T23" s="49"/>
      <c r="AC23" s="49"/>
      <c r="AG23" s="49"/>
      <c r="AT23" s="49"/>
      <c r="BX23" s="49"/>
      <c r="CI23" s="49"/>
      <c r="DD23" s="49"/>
      <c r="DJ23" s="49"/>
      <c r="DP23" s="45">
        <f t="shared" si="0"/>
        <v>20.853333333333332</v>
      </c>
      <c r="DQ23" s="45">
        <f t="shared" si="1"/>
        <v>40.904400000000003</v>
      </c>
      <c r="DR23" s="45">
        <f t="shared" si="10"/>
        <v>0</v>
      </c>
      <c r="DS23" s="49"/>
      <c r="DT23" s="45">
        <f t="shared" si="2"/>
        <v>0</v>
      </c>
      <c r="DU23" s="45">
        <f t="shared" si="3"/>
        <v>40.847999999999999</v>
      </c>
      <c r="DV23" s="45">
        <f t="shared" si="4"/>
        <v>12.5</v>
      </c>
      <c r="DW23" s="45">
        <f t="shared" si="5"/>
        <v>0</v>
      </c>
      <c r="DX23" s="47">
        <f t="shared" si="6"/>
        <v>115.10573333333333</v>
      </c>
      <c r="DY23" s="50">
        <f t="shared" si="7"/>
        <v>1.4210854715202004E-14</v>
      </c>
      <c r="EA23" s="51">
        <f t="shared" si="8"/>
        <v>0.18116676493380576</v>
      </c>
      <c r="EB23" s="51">
        <f t="shared" si="8"/>
        <v>0.35536370618086793</v>
      </c>
      <c r="EC23" s="51">
        <f t="shared" si="8"/>
        <v>0</v>
      </c>
      <c r="ED23" s="49"/>
      <c r="EE23" s="51">
        <f t="shared" si="8"/>
        <v>0</v>
      </c>
      <c r="EF23" s="51">
        <f t="shared" si="8"/>
        <v>0.35487372189974897</v>
      </c>
      <c r="EG23" s="51">
        <f t="shared" si="8"/>
        <v>0.10859580698557732</v>
      </c>
      <c r="EH23" s="52">
        <f t="shared" si="11"/>
        <v>0</v>
      </c>
      <c r="EI23" s="51">
        <f t="shared" si="12"/>
        <v>1</v>
      </c>
      <c r="EK23" s="53">
        <f>EA23*'[2]Renewable Diesel'!BF32*'[2]Feedstock Conversion Rates'!B$2</f>
        <v>6.5408812051064924</v>
      </c>
      <c r="EL23" s="53">
        <f>EB23*'[2]Renewable Diesel'!BF32*'[2]Feedstock Conversion Rates'!B$3</f>
        <v>12.090503672000109</v>
      </c>
      <c r="EM23" s="53">
        <f>EC23*'[2]Renewable Diesel'!BF32*'[2]Feedstock Conversion Rates'!B$4</f>
        <v>0</v>
      </c>
      <c r="EN23" s="49"/>
      <c r="EO23" s="53">
        <f>EE23*'[2]Renewable Diesel'!BF32*'[2]Feedstock Conversion Rates'!B$6</f>
        <v>0</v>
      </c>
      <c r="EP23" s="53">
        <f>EF23*'[2]Renewable Diesel'!BF32*'[2]Feedstock Conversion Rates'!B$7</f>
        <v>13.867573467103288</v>
      </c>
      <c r="EQ23" s="53">
        <f>EG23*'[2]Renewable Diesel'!BF32*'[2]Feedstock Conversion Rates'!B$8</f>
        <v>4.3243729288969677</v>
      </c>
      <c r="ER23" s="53">
        <f>EH23*'[2]Renewable Diesel'!BF32*'[2]Feedstock Conversion Rates'!B$9</f>
        <v>0</v>
      </c>
      <c r="ES23" s="53">
        <f t="shared" si="13"/>
        <v>36.823331273106859</v>
      </c>
    </row>
    <row r="24" spans="1:149" x14ac:dyDescent="0.25">
      <c r="A24" s="39">
        <v>41153</v>
      </c>
      <c r="C24" s="46"/>
      <c r="D24" s="45">
        <v>0</v>
      </c>
      <c r="E24" s="45">
        <f>('[2]Renewable Diesel'!B33*E$3*'[2]Feedstock Conversion Rates'!$B$2)/12</f>
        <v>20.853333333333332</v>
      </c>
      <c r="F24" s="45">
        <f>('[2]Renewable Diesel'!B33*'[2]RD Feedstock Breakdown'!F$3*'[2]Feedstock Conversion Rates'!B$8)/12</f>
        <v>12.5</v>
      </c>
      <c r="G24" s="45">
        <f>('[2]Renewable Diesel'!B33*'[2]RD Feedstock Breakdown'!G$3*'[2]Feedstock Conversion Rates'!B$7)/12</f>
        <v>40.847999999999999</v>
      </c>
      <c r="H24" s="45">
        <f>('[2]Renewable Diesel'!B33*'[2]RD Feedstock Breakdown'!H$3*'[2]Feedstock Conversion Rates'!B$3)/12</f>
        <v>40.904400000000003</v>
      </c>
      <c r="I24" s="47">
        <f t="shared" si="14"/>
        <v>115.10573333333335</v>
      </c>
      <c r="J24" s="47"/>
      <c r="K24" s="48"/>
      <c r="L24" s="47"/>
      <c r="T24" s="49"/>
      <c r="AC24" s="49"/>
      <c r="AG24" s="49"/>
      <c r="AT24" s="49"/>
      <c r="BX24" s="49"/>
      <c r="CI24" s="49"/>
      <c r="DD24" s="49"/>
      <c r="DJ24" s="49"/>
      <c r="DP24" s="45">
        <f t="shared" si="0"/>
        <v>20.853333333333332</v>
      </c>
      <c r="DQ24" s="45">
        <f t="shared" si="1"/>
        <v>40.904400000000003</v>
      </c>
      <c r="DR24" s="45">
        <f t="shared" si="10"/>
        <v>0</v>
      </c>
      <c r="DS24" s="49"/>
      <c r="DT24" s="45">
        <f t="shared" si="2"/>
        <v>0</v>
      </c>
      <c r="DU24" s="45">
        <f t="shared" si="3"/>
        <v>40.847999999999999</v>
      </c>
      <c r="DV24" s="45">
        <f t="shared" si="4"/>
        <v>12.5</v>
      </c>
      <c r="DW24" s="45">
        <f t="shared" si="5"/>
        <v>0</v>
      </c>
      <c r="DX24" s="47">
        <f t="shared" si="6"/>
        <v>115.10573333333333</v>
      </c>
      <c r="DY24" s="50">
        <f t="shared" si="7"/>
        <v>1.4210854715202004E-14</v>
      </c>
      <c r="EA24" s="51">
        <f t="shared" si="8"/>
        <v>0.18116676493380576</v>
      </c>
      <c r="EB24" s="51">
        <f t="shared" si="8"/>
        <v>0.35536370618086793</v>
      </c>
      <c r="EC24" s="51">
        <f t="shared" si="8"/>
        <v>0</v>
      </c>
      <c r="ED24" s="49"/>
      <c r="EE24" s="51">
        <f t="shared" si="8"/>
        <v>0</v>
      </c>
      <c r="EF24" s="51">
        <f t="shared" si="8"/>
        <v>0.35487372189974897</v>
      </c>
      <c r="EG24" s="51">
        <f t="shared" si="8"/>
        <v>0.10859580698557732</v>
      </c>
      <c r="EH24" s="52">
        <f t="shared" si="11"/>
        <v>0</v>
      </c>
      <c r="EI24" s="51">
        <f t="shared" si="12"/>
        <v>1</v>
      </c>
      <c r="EK24" s="53">
        <f>EA24*'[2]Renewable Diesel'!BF33*'[2]Feedstock Conversion Rates'!B$2</f>
        <v>4.1559170348885024</v>
      </c>
      <c r="EL24" s="53">
        <f>EB24*'[2]Renewable Diesel'!BF33*'[2]Feedstock Conversion Rates'!B$3</f>
        <v>7.6820123459235283</v>
      </c>
      <c r="EM24" s="53">
        <f>EC24*'[2]Renewable Diesel'!BF33*'[2]Feedstock Conversion Rates'!B$4</f>
        <v>0</v>
      </c>
      <c r="EN24" s="49"/>
      <c r="EO24" s="53">
        <f>EE24*'[2]Renewable Diesel'!BF33*'[2]Feedstock Conversion Rates'!B$6</f>
        <v>0</v>
      </c>
      <c r="EP24" s="53">
        <f>EF24*'[2]Renewable Diesel'!BF33*'[2]Feedstock Conversion Rates'!B$7</f>
        <v>8.8111193273940582</v>
      </c>
      <c r="EQ24" s="53">
        <f>EG24*'[2]Renewable Diesel'!BF33*'[2]Feedstock Conversion Rates'!B$8</f>
        <v>2.7476015168083139</v>
      </c>
      <c r="ER24" s="53">
        <f>EH24*'[2]Renewable Diesel'!BF33*'[2]Feedstock Conversion Rates'!B$9</f>
        <v>0</v>
      </c>
      <c r="ES24" s="53">
        <f t="shared" si="13"/>
        <v>23.396650225014401</v>
      </c>
    </row>
    <row r="25" spans="1:149" x14ac:dyDescent="0.25">
      <c r="A25" s="39">
        <v>41183</v>
      </c>
      <c r="C25" s="46"/>
      <c r="D25" s="45">
        <v>0</v>
      </c>
      <c r="E25" s="45">
        <f>('[2]Renewable Diesel'!B34*E$3*'[2]Feedstock Conversion Rates'!$B$2)/12</f>
        <v>20.853333333333332</v>
      </c>
      <c r="F25" s="45">
        <f>('[2]Renewable Diesel'!B34*'[2]RD Feedstock Breakdown'!F$3*'[2]Feedstock Conversion Rates'!B$8)/12</f>
        <v>12.5</v>
      </c>
      <c r="G25" s="45">
        <f>('[2]Renewable Diesel'!B34*'[2]RD Feedstock Breakdown'!G$3*'[2]Feedstock Conversion Rates'!B$7)/12</f>
        <v>40.847999999999999</v>
      </c>
      <c r="H25" s="45">
        <f>('[2]Renewable Diesel'!B34*'[2]RD Feedstock Breakdown'!H$3*'[2]Feedstock Conversion Rates'!B$3)/12</f>
        <v>40.904400000000003</v>
      </c>
      <c r="I25" s="47">
        <f t="shared" si="14"/>
        <v>115.10573333333335</v>
      </c>
      <c r="J25" s="47"/>
      <c r="K25" s="48"/>
      <c r="L25" s="47"/>
      <c r="T25" s="49"/>
      <c r="AC25" s="49"/>
      <c r="AG25" s="49"/>
      <c r="AT25" s="49"/>
      <c r="BX25" s="49"/>
      <c r="CI25" s="49"/>
      <c r="DD25" s="49"/>
      <c r="DJ25" s="49"/>
      <c r="DP25" s="45">
        <f t="shared" si="0"/>
        <v>20.853333333333332</v>
      </c>
      <c r="DQ25" s="45">
        <f t="shared" si="1"/>
        <v>40.904400000000003</v>
      </c>
      <c r="DR25" s="45">
        <f t="shared" si="10"/>
        <v>0</v>
      </c>
      <c r="DS25" s="49"/>
      <c r="DT25" s="45">
        <f t="shared" si="2"/>
        <v>0</v>
      </c>
      <c r="DU25" s="45">
        <f t="shared" si="3"/>
        <v>40.847999999999999</v>
      </c>
      <c r="DV25" s="45">
        <f t="shared" si="4"/>
        <v>12.5</v>
      </c>
      <c r="DW25" s="45">
        <f t="shared" si="5"/>
        <v>0</v>
      </c>
      <c r="DX25" s="47">
        <f t="shared" si="6"/>
        <v>115.10573333333333</v>
      </c>
      <c r="DY25" s="50">
        <f t="shared" si="7"/>
        <v>1.4210854715202004E-14</v>
      </c>
      <c r="EA25" s="51">
        <f t="shared" si="8"/>
        <v>0.18116676493380576</v>
      </c>
      <c r="EB25" s="51">
        <f t="shared" si="8"/>
        <v>0.35536370618086793</v>
      </c>
      <c r="EC25" s="51">
        <f t="shared" si="8"/>
        <v>0</v>
      </c>
      <c r="ED25" s="49"/>
      <c r="EE25" s="51">
        <f t="shared" si="8"/>
        <v>0</v>
      </c>
      <c r="EF25" s="51">
        <f t="shared" si="8"/>
        <v>0.35487372189974897</v>
      </c>
      <c r="EG25" s="51">
        <f t="shared" si="8"/>
        <v>0.10859580698557732</v>
      </c>
      <c r="EH25" s="52">
        <f t="shared" si="11"/>
        <v>0</v>
      </c>
      <c r="EI25" s="51">
        <f t="shared" si="12"/>
        <v>1</v>
      </c>
      <c r="EK25" s="53">
        <f>EA25*'[2]Renewable Diesel'!BF34*'[2]Feedstock Conversion Rates'!B$2</f>
        <v>4.2107719761425146</v>
      </c>
      <c r="EL25" s="53">
        <f>EB25*'[2]Renewable Diesel'!BF34*'[2]Feedstock Conversion Rates'!B$3</f>
        <v>7.7834090611155435</v>
      </c>
      <c r="EM25" s="53">
        <f>EC25*'[2]Renewable Diesel'!BF34*'[2]Feedstock Conversion Rates'!B$4</f>
        <v>0</v>
      </c>
      <c r="EN25" s="49"/>
      <c r="EO25" s="53">
        <f>EE25*'[2]Renewable Diesel'!BF34*'[2]Feedstock Conversion Rates'!B$6</f>
        <v>0</v>
      </c>
      <c r="EP25" s="53">
        <f>EF25*'[2]Renewable Diesel'!BF34*'[2]Feedstock Conversion Rates'!B$7</f>
        <v>8.9274193952319774</v>
      </c>
      <c r="EQ25" s="53">
        <f>EG25*'[2]Renewable Diesel'!BF34*'[2]Feedstock Conversion Rates'!B$8</f>
        <v>2.7838677652749415</v>
      </c>
      <c r="ER25" s="53">
        <f>EH25*'[2]Renewable Diesel'!BF34*'[2]Feedstock Conversion Rates'!B$9</f>
        <v>0</v>
      </c>
      <c r="ES25" s="53">
        <f t="shared" si="13"/>
        <v>23.705468197764979</v>
      </c>
    </row>
    <row r="26" spans="1:149" x14ac:dyDescent="0.25">
      <c r="A26" s="39">
        <v>41214</v>
      </c>
      <c r="C26" s="46"/>
      <c r="D26" s="45">
        <v>0</v>
      </c>
      <c r="E26" s="45">
        <f>('[2]Renewable Diesel'!B35*E$3*'[2]Feedstock Conversion Rates'!$B$2)/12</f>
        <v>20.853333333333332</v>
      </c>
      <c r="F26" s="45">
        <f>('[2]Renewable Diesel'!B35*'[2]RD Feedstock Breakdown'!F$3*'[2]Feedstock Conversion Rates'!B$8)/12</f>
        <v>12.5</v>
      </c>
      <c r="G26" s="45">
        <f>('[2]Renewable Diesel'!B35*'[2]RD Feedstock Breakdown'!G$3*'[2]Feedstock Conversion Rates'!B$7)/12</f>
        <v>40.847999999999999</v>
      </c>
      <c r="H26" s="45">
        <f>('[2]Renewable Diesel'!B35*'[2]RD Feedstock Breakdown'!H$3*'[2]Feedstock Conversion Rates'!B$3)/12</f>
        <v>40.904400000000003</v>
      </c>
      <c r="I26" s="47">
        <f t="shared" si="14"/>
        <v>115.10573333333335</v>
      </c>
      <c r="J26" s="47"/>
      <c r="K26" s="48"/>
      <c r="L26" s="47"/>
      <c r="T26" s="49"/>
      <c r="AC26" s="49"/>
      <c r="AG26" s="49"/>
      <c r="AT26" s="49"/>
      <c r="BX26" s="49"/>
      <c r="CI26" s="49"/>
      <c r="DD26" s="49"/>
      <c r="DJ26" s="49"/>
      <c r="DP26" s="45">
        <f t="shared" si="0"/>
        <v>20.853333333333332</v>
      </c>
      <c r="DQ26" s="45">
        <f t="shared" si="1"/>
        <v>40.904400000000003</v>
      </c>
      <c r="DR26" s="45">
        <f t="shared" si="10"/>
        <v>0</v>
      </c>
      <c r="DS26" s="49"/>
      <c r="DT26" s="45">
        <f t="shared" si="2"/>
        <v>0</v>
      </c>
      <c r="DU26" s="45">
        <f t="shared" si="3"/>
        <v>40.847999999999999</v>
      </c>
      <c r="DV26" s="45">
        <f t="shared" si="4"/>
        <v>12.5</v>
      </c>
      <c r="DW26" s="45">
        <f t="shared" si="5"/>
        <v>0</v>
      </c>
      <c r="DX26" s="47">
        <f t="shared" si="6"/>
        <v>115.10573333333333</v>
      </c>
      <c r="DY26" s="50">
        <f t="shared" si="7"/>
        <v>1.4210854715202004E-14</v>
      </c>
      <c r="EA26" s="51">
        <f t="shared" si="8"/>
        <v>0.18116676493380576</v>
      </c>
      <c r="EB26" s="51">
        <f t="shared" si="8"/>
        <v>0.35536370618086793</v>
      </c>
      <c r="EC26" s="51">
        <f t="shared" si="8"/>
        <v>0</v>
      </c>
      <c r="ED26" s="49"/>
      <c r="EE26" s="51">
        <f t="shared" si="8"/>
        <v>0</v>
      </c>
      <c r="EF26" s="51">
        <f t="shared" si="8"/>
        <v>0.35487372189974897</v>
      </c>
      <c r="EG26" s="51">
        <f t="shared" si="8"/>
        <v>0.10859580698557732</v>
      </c>
      <c r="EH26" s="52">
        <f t="shared" si="11"/>
        <v>0</v>
      </c>
      <c r="EI26" s="51">
        <f t="shared" si="12"/>
        <v>1</v>
      </c>
      <c r="EK26" s="53">
        <f>EA26*'[2]Renewable Diesel'!BF35*'[2]Feedstock Conversion Rates'!B$2</f>
        <v>5.6601069108634032</v>
      </c>
      <c r="EL26" s="53">
        <f>EB26*'[2]Renewable Diesel'!BF35*'[2]Feedstock Conversion Rates'!B$3</f>
        <v>10.462434837721991</v>
      </c>
      <c r="EM26" s="53">
        <f>EC26*'[2]Renewable Diesel'!BF35*'[2]Feedstock Conversion Rates'!B$4</f>
        <v>0</v>
      </c>
      <c r="EN26" s="49"/>
      <c r="EO26" s="53">
        <f>EE26*'[2]Renewable Diesel'!BF35*'[2]Feedstock Conversion Rates'!B$6</f>
        <v>0</v>
      </c>
      <c r="EP26" s="53">
        <f>EF26*'[2]Renewable Diesel'!BF35*'[2]Feedstock Conversion Rates'!B$7</f>
        <v>12.000210056831225</v>
      </c>
      <c r="EQ26" s="53">
        <f>EG26*'[2]Renewable Diesel'!BF35*'[2]Feedstock Conversion Rates'!B$8</f>
        <v>3.7420666011930486</v>
      </c>
      <c r="ER26" s="53">
        <f>EH26*'[2]Renewable Diesel'!BF35*'[2]Feedstock Conversion Rates'!B$9</f>
        <v>0</v>
      </c>
      <c r="ES26" s="53">
        <f t="shared" si="13"/>
        <v>31.864818406609668</v>
      </c>
    </row>
    <row r="27" spans="1:149" x14ac:dyDescent="0.25">
      <c r="A27" s="39">
        <v>41244</v>
      </c>
      <c r="C27" s="46"/>
      <c r="D27" s="45">
        <v>0</v>
      </c>
      <c r="E27" s="45">
        <f>('[2]Renewable Diesel'!B36*E$3*'[2]Feedstock Conversion Rates'!$B$2)/12</f>
        <v>20.853333333333332</v>
      </c>
      <c r="F27" s="45">
        <f>('[2]Renewable Diesel'!B36*'[2]RD Feedstock Breakdown'!F$3*'[2]Feedstock Conversion Rates'!B$8)/12</f>
        <v>12.5</v>
      </c>
      <c r="G27" s="45">
        <f>('[2]Renewable Diesel'!B36*'[2]RD Feedstock Breakdown'!G$3*'[2]Feedstock Conversion Rates'!B$7)/12</f>
        <v>40.847999999999999</v>
      </c>
      <c r="H27" s="45">
        <f>('[2]Renewable Diesel'!B36*'[2]RD Feedstock Breakdown'!H$3*'[2]Feedstock Conversion Rates'!B$3)/12</f>
        <v>40.904400000000003</v>
      </c>
      <c r="I27" s="47">
        <f t="shared" si="14"/>
        <v>115.10573333333335</v>
      </c>
      <c r="J27" s="47"/>
      <c r="K27" s="48"/>
      <c r="L27" s="47"/>
      <c r="T27" s="49"/>
      <c r="AC27" s="49"/>
      <c r="AG27" s="49"/>
      <c r="AT27" s="49"/>
      <c r="BX27" s="49"/>
      <c r="CI27" s="49"/>
      <c r="DD27" s="49"/>
      <c r="DJ27" s="49"/>
      <c r="DP27" s="45">
        <f t="shared" si="0"/>
        <v>20.853333333333332</v>
      </c>
      <c r="DQ27" s="45">
        <f t="shared" si="1"/>
        <v>40.904400000000003</v>
      </c>
      <c r="DR27" s="45">
        <f t="shared" si="10"/>
        <v>0</v>
      </c>
      <c r="DS27" s="49"/>
      <c r="DT27" s="45">
        <f t="shared" si="2"/>
        <v>0</v>
      </c>
      <c r="DU27" s="45">
        <f t="shared" si="3"/>
        <v>40.847999999999999</v>
      </c>
      <c r="DV27" s="45">
        <f t="shared" si="4"/>
        <v>12.5</v>
      </c>
      <c r="DW27" s="45">
        <f t="shared" si="5"/>
        <v>0</v>
      </c>
      <c r="DX27" s="47">
        <f t="shared" si="6"/>
        <v>115.10573333333333</v>
      </c>
      <c r="DY27" s="50">
        <f t="shared" si="7"/>
        <v>1.4210854715202004E-14</v>
      </c>
      <c r="EA27" s="51">
        <f t="shared" si="8"/>
        <v>0.18116676493380576</v>
      </c>
      <c r="EB27" s="51">
        <f t="shared" si="8"/>
        <v>0.35536370618086793</v>
      </c>
      <c r="EC27" s="51">
        <f t="shared" si="8"/>
        <v>0</v>
      </c>
      <c r="ED27" s="49"/>
      <c r="EE27" s="51">
        <f t="shared" si="8"/>
        <v>0</v>
      </c>
      <c r="EF27" s="51">
        <f t="shared" si="8"/>
        <v>0.35487372189974897</v>
      </c>
      <c r="EG27" s="51">
        <f t="shared" si="8"/>
        <v>0.10859580698557732</v>
      </c>
      <c r="EH27" s="52">
        <f t="shared" si="11"/>
        <v>0</v>
      </c>
      <c r="EI27" s="51">
        <f t="shared" si="12"/>
        <v>1</v>
      </c>
      <c r="EK27" s="53">
        <f>EA27*'[2]Renewable Diesel'!BF36*'[2]Feedstock Conversion Rates'!B$2</f>
        <v>2.4902021323003884</v>
      </c>
      <c r="EL27" s="53">
        <f>EB27*'[2]Renewable Diesel'!BF36*'[2]Feedstock Conversion Rates'!B$3</f>
        <v>4.6030186270765894</v>
      </c>
      <c r="EM27" s="53">
        <f>EC27*'[2]Renewable Diesel'!BF36*'[2]Feedstock Conversion Rates'!B$4</f>
        <v>0</v>
      </c>
      <c r="EN27" s="49"/>
      <c r="EO27" s="53">
        <f>EE27*'[2]Renewable Diesel'!BF36*'[2]Feedstock Conversion Rates'!B$6</f>
        <v>0</v>
      </c>
      <c r="EP27" s="53">
        <f>EF27*'[2]Renewable Diesel'!BF36*'[2]Feedstock Conversion Rates'!B$7</f>
        <v>5.279573185131814</v>
      </c>
      <c r="EQ27" s="53">
        <f>EG27*'[2]Renewable Diesel'!BF36*'[2]Feedstock Conversion Rates'!B$8</f>
        <v>1.6463473881767254</v>
      </c>
      <c r="ER27" s="53">
        <f>EH27*'[2]Renewable Diesel'!BF36*'[2]Feedstock Conversion Rates'!B$9</f>
        <v>0</v>
      </c>
      <c r="ES27" s="53">
        <f t="shared" si="13"/>
        <v>14.019141332685518</v>
      </c>
    </row>
    <row r="28" spans="1:149" x14ac:dyDescent="0.25">
      <c r="A28" s="39">
        <v>41275</v>
      </c>
      <c r="C28" s="46"/>
      <c r="D28" s="45">
        <v>0</v>
      </c>
      <c r="E28" s="45">
        <f>('[2]Renewable Diesel'!B37*E$3*'[2]Feedstock Conversion Rates'!$B$2)/12</f>
        <v>20.853333333333332</v>
      </c>
      <c r="F28" s="45">
        <f>('[2]Renewable Diesel'!B37*'[2]RD Feedstock Breakdown'!F$3*'[2]Feedstock Conversion Rates'!B$8)/12</f>
        <v>12.5</v>
      </c>
      <c r="G28" s="45">
        <f>('[2]Renewable Diesel'!B37*'[2]RD Feedstock Breakdown'!G$3*'[2]Feedstock Conversion Rates'!B$7)/12</f>
        <v>40.847999999999999</v>
      </c>
      <c r="H28" s="45">
        <f>('[2]Renewable Diesel'!B37*'[2]RD Feedstock Breakdown'!H$3*'[2]Feedstock Conversion Rates'!B$3)/12</f>
        <v>40.904400000000003</v>
      </c>
      <c r="I28" s="47">
        <f t="shared" si="14"/>
        <v>115.10573333333335</v>
      </c>
      <c r="J28" s="47"/>
      <c r="K28" s="48"/>
      <c r="L28" s="47"/>
      <c r="T28" s="49"/>
      <c r="AC28" s="49"/>
      <c r="AG28" s="49"/>
      <c r="AT28" s="49"/>
      <c r="BX28" s="49"/>
      <c r="CI28" s="49"/>
      <c r="DD28" s="49"/>
      <c r="DJ28" s="49"/>
      <c r="DP28" s="45">
        <f t="shared" si="0"/>
        <v>20.853333333333332</v>
      </c>
      <c r="DQ28" s="45">
        <f t="shared" si="1"/>
        <v>40.904400000000003</v>
      </c>
      <c r="DR28" s="45">
        <f t="shared" si="10"/>
        <v>0</v>
      </c>
      <c r="DS28" s="49"/>
      <c r="DT28" s="45">
        <f t="shared" si="2"/>
        <v>0</v>
      </c>
      <c r="DU28" s="45">
        <f t="shared" si="3"/>
        <v>40.847999999999999</v>
      </c>
      <c r="DV28" s="45">
        <f t="shared" si="4"/>
        <v>12.5</v>
      </c>
      <c r="DW28" s="45">
        <f t="shared" si="5"/>
        <v>0</v>
      </c>
      <c r="DX28" s="47">
        <f t="shared" si="6"/>
        <v>115.10573333333333</v>
      </c>
      <c r="DY28" s="50">
        <f t="shared" si="7"/>
        <v>1.4210854715202004E-14</v>
      </c>
      <c r="EA28" s="51">
        <f t="shared" ref="EA28:EC91" si="15">DP28/$DX28</f>
        <v>0.18116676493380576</v>
      </c>
      <c r="EB28" s="51">
        <f t="shared" si="15"/>
        <v>0.35536370618086793</v>
      </c>
      <c r="EC28" s="51">
        <f t="shared" si="15"/>
        <v>0</v>
      </c>
      <c r="ED28" s="49"/>
      <c r="EE28" s="51">
        <f t="shared" ref="EE28:EG91" si="16">DT28/$DX28</f>
        <v>0</v>
      </c>
      <c r="EF28" s="51">
        <f t="shared" si="16"/>
        <v>0.35487372189974897</v>
      </c>
      <c r="EG28" s="51">
        <f t="shared" si="16"/>
        <v>0.10859580698557732</v>
      </c>
      <c r="EH28" s="52">
        <f t="shared" si="11"/>
        <v>0</v>
      </c>
      <c r="EI28" s="51">
        <f t="shared" si="12"/>
        <v>1</v>
      </c>
      <c r="EK28" s="53">
        <f>EA28*'[2]Renewable Diesel'!BF37*'[2]Feedstock Conversion Rates'!B$2</f>
        <v>1.3473893162576318</v>
      </c>
      <c r="EL28" s="53">
        <f>EB28*'[2]Renewable Diesel'!BF37*'[2]Feedstock Conversion Rates'!B$3</f>
        <v>2.490584214112995</v>
      </c>
      <c r="EM28" s="53">
        <f>EC28*'[2]Renewable Diesel'!BF37*'[2]Feedstock Conversion Rates'!B$4</f>
        <v>0</v>
      </c>
      <c r="EN28" s="49"/>
      <c r="EO28" s="53">
        <f>EE28*'[2]Renewable Diesel'!BF37*'[2]Feedstock Conversion Rates'!B$6</f>
        <v>0</v>
      </c>
      <c r="EP28" s="53">
        <f>EF28*'[2]Renewable Diesel'!BF37*'[2]Feedstock Conversion Rates'!B$7</f>
        <v>2.8566518403369416</v>
      </c>
      <c r="EQ28" s="53">
        <f>EG28*'[2]Renewable Diesel'!BF37*'[2]Feedstock Conversion Rates'!B$8</f>
        <v>0.89079952703630161</v>
      </c>
      <c r="ER28" s="53">
        <f>EH28*'[2]Renewable Diesel'!BF37*'[2]Feedstock Conversion Rates'!B$9</f>
        <v>0</v>
      </c>
      <c r="ES28" s="53">
        <f t="shared" si="13"/>
        <v>7.5854248977438701</v>
      </c>
    </row>
    <row r="29" spans="1:149" x14ac:dyDescent="0.25">
      <c r="A29" s="39">
        <v>41306</v>
      </c>
      <c r="C29" s="46"/>
      <c r="D29" s="45">
        <v>0</v>
      </c>
      <c r="E29" s="45">
        <f>('[2]Renewable Diesel'!B38*E$3*'[2]Feedstock Conversion Rates'!$B$2)/12</f>
        <v>20.853333333333332</v>
      </c>
      <c r="F29" s="45">
        <f>('[2]Renewable Diesel'!B38*'[2]RD Feedstock Breakdown'!F$3*'[2]Feedstock Conversion Rates'!B$8)/12</f>
        <v>12.5</v>
      </c>
      <c r="G29" s="45">
        <f>('[2]Renewable Diesel'!B38*'[2]RD Feedstock Breakdown'!G$3*'[2]Feedstock Conversion Rates'!B$7)/12</f>
        <v>40.847999999999999</v>
      </c>
      <c r="H29" s="45">
        <f>('[2]Renewable Diesel'!B38*'[2]RD Feedstock Breakdown'!H$3*'[2]Feedstock Conversion Rates'!B$3)/12</f>
        <v>40.904400000000003</v>
      </c>
      <c r="I29" s="47">
        <f t="shared" si="14"/>
        <v>115.10573333333335</v>
      </c>
      <c r="J29" s="47"/>
      <c r="K29" s="48"/>
      <c r="L29" s="47"/>
      <c r="T29" s="49"/>
      <c r="AC29" s="49"/>
      <c r="AG29" s="49"/>
      <c r="AT29" s="49"/>
      <c r="BX29" s="49"/>
      <c r="CI29" s="49"/>
      <c r="DD29" s="49"/>
      <c r="DJ29" s="49"/>
      <c r="DP29" s="45">
        <f t="shared" si="0"/>
        <v>20.853333333333332</v>
      </c>
      <c r="DQ29" s="45">
        <f t="shared" si="1"/>
        <v>40.904400000000003</v>
      </c>
      <c r="DR29" s="45">
        <f t="shared" si="10"/>
        <v>0</v>
      </c>
      <c r="DS29" s="49"/>
      <c r="DT29" s="45">
        <f t="shared" si="2"/>
        <v>0</v>
      </c>
      <c r="DU29" s="45">
        <f t="shared" si="3"/>
        <v>40.847999999999999</v>
      </c>
      <c r="DV29" s="45">
        <f t="shared" si="4"/>
        <v>12.5</v>
      </c>
      <c r="DW29" s="45">
        <f t="shared" si="5"/>
        <v>0</v>
      </c>
      <c r="DX29" s="47">
        <f t="shared" si="6"/>
        <v>115.10573333333333</v>
      </c>
      <c r="DY29" s="50">
        <f t="shared" si="7"/>
        <v>1.4210854715202004E-14</v>
      </c>
      <c r="EA29" s="51">
        <f t="shared" si="15"/>
        <v>0.18116676493380576</v>
      </c>
      <c r="EB29" s="51">
        <f t="shared" si="15"/>
        <v>0.35536370618086793</v>
      </c>
      <c r="EC29" s="51">
        <f t="shared" si="15"/>
        <v>0</v>
      </c>
      <c r="ED29" s="49"/>
      <c r="EE29" s="51">
        <f t="shared" si="16"/>
        <v>0</v>
      </c>
      <c r="EF29" s="51">
        <f t="shared" si="16"/>
        <v>0.35487372189974897</v>
      </c>
      <c r="EG29" s="51">
        <f t="shared" si="16"/>
        <v>0.10859580698557732</v>
      </c>
      <c r="EH29" s="52">
        <f t="shared" si="11"/>
        <v>0</v>
      </c>
      <c r="EI29" s="51">
        <f t="shared" si="12"/>
        <v>1</v>
      </c>
      <c r="EK29" s="53">
        <f>EA29*'[2]Renewable Diesel'!BF38*'[2]Feedstock Conversion Rates'!B$2</f>
        <v>1.0926792618496848</v>
      </c>
      <c r="EL29" s="53">
        <f>EB29*'[2]Renewable Diesel'!BF38*'[2]Feedstock Conversion Rates'!B$3</f>
        <v>2.0197649542080152</v>
      </c>
      <c r="EM29" s="53">
        <f>EC29*'[2]Renewable Diesel'!BF38*'[2]Feedstock Conversion Rates'!B$4</f>
        <v>0</v>
      </c>
      <c r="EN29" s="49"/>
      <c r="EO29" s="53">
        <f>EE29*'[2]Renewable Diesel'!BF38*'[2]Feedstock Conversion Rates'!B$6</f>
        <v>0</v>
      </c>
      <c r="EP29" s="53">
        <f>EF29*'[2]Renewable Diesel'!BF38*'[2]Feedstock Conversion Rates'!B$7</f>
        <v>2.316631271005325</v>
      </c>
      <c r="EQ29" s="53">
        <f>EG29*'[2]Renewable Diesel'!BF38*'[2]Feedstock Conversion Rates'!B$8</f>
        <v>0.72240306340083849</v>
      </c>
      <c r="ER29" s="53">
        <f>EH29*'[2]Renewable Diesel'!BF38*'[2]Feedstock Conversion Rates'!B$9</f>
        <v>0</v>
      </c>
      <c r="ES29" s="53">
        <f t="shared" si="13"/>
        <v>6.1514785504638629</v>
      </c>
    </row>
    <row r="30" spans="1:149" x14ac:dyDescent="0.25">
      <c r="A30" s="39">
        <v>41334</v>
      </c>
      <c r="C30" s="46"/>
      <c r="D30" s="45">
        <v>0</v>
      </c>
      <c r="E30" s="45">
        <f>('[2]Renewable Diesel'!B39*E$3*'[2]Feedstock Conversion Rates'!$B$2)/12</f>
        <v>20.853333333333332</v>
      </c>
      <c r="F30" s="45">
        <f>('[2]Renewable Diesel'!B39*'[2]RD Feedstock Breakdown'!F$3*'[2]Feedstock Conversion Rates'!B$8)/12</f>
        <v>12.5</v>
      </c>
      <c r="G30" s="45">
        <f>('[2]Renewable Diesel'!B39*'[2]RD Feedstock Breakdown'!G$3*'[2]Feedstock Conversion Rates'!B$7)/12</f>
        <v>40.847999999999999</v>
      </c>
      <c r="H30" s="45">
        <f>('[2]Renewable Diesel'!B39*'[2]RD Feedstock Breakdown'!H$3*'[2]Feedstock Conversion Rates'!B$3)/12</f>
        <v>40.904400000000003</v>
      </c>
      <c r="I30" s="47">
        <f t="shared" si="14"/>
        <v>115.10573333333335</v>
      </c>
      <c r="J30" s="47"/>
      <c r="K30" s="48"/>
      <c r="L30" s="47"/>
      <c r="T30" s="49"/>
      <c r="AC30" s="49"/>
      <c r="AG30" s="49"/>
      <c r="AT30" s="49"/>
      <c r="BX30" s="49"/>
      <c r="CI30" s="49"/>
      <c r="DD30" s="49"/>
      <c r="DJ30" s="49"/>
      <c r="DP30" s="45">
        <f t="shared" si="0"/>
        <v>20.853333333333332</v>
      </c>
      <c r="DQ30" s="45">
        <f t="shared" si="1"/>
        <v>40.904400000000003</v>
      </c>
      <c r="DR30" s="45">
        <f t="shared" si="10"/>
        <v>0</v>
      </c>
      <c r="DS30" s="49"/>
      <c r="DT30" s="45">
        <f t="shared" si="2"/>
        <v>0</v>
      </c>
      <c r="DU30" s="45">
        <f t="shared" si="3"/>
        <v>40.847999999999999</v>
      </c>
      <c r="DV30" s="45">
        <f t="shared" si="4"/>
        <v>12.5</v>
      </c>
      <c r="DW30" s="45">
        <f t="shared" si="5"/>
        <v>0</v>
      </c>
      <c r="DX30" s="47">
        <f t="shared" si="6"/>
        <v>115.10573333333333</v>
      </c>
      <c r="DY30" s="50">
        <f t="shared" si="7"/>
        <v>1.4210854715202004E-14</v>
      </c>
      <c r="EA30" s="51">
        <f t="shared" si="15"/>
        <v>0.18116676493380576</v>
      </c>
      <c r="EB30" s="51">
        <f t="shared" si="15"/>
        <v>0.35536370618086793</v>
      </c>
      <c r="EC30" s="51">
        <f t="shared" si="15"/>
        <v>0</v>
      </c>
      <c r="ED30" s="49"/>
      <c r="EE30" s="51">
        <f t="shared" si="16"/>
        <v>0</v>
      </c>
      <c r="EF30" s="51">
        <f t="shared" si="16"/>
        <v>0.35487372189974897</v>
      </c>
      <c r="EG30" s="51">
        <f t="shared" si="16"/>
        <v>0.10859580698557732</v>
      </c>
      <c r="EH30" s="52">
        <f t="shared" si="11"/>
        <v>0</v>
      </c>
      <c r="EI30" s="51">
        <f t="shared" si="12"/>
        <v>1</v>
      </c>
      <c r="EK30" s="53">
        <f>EA30*'[2]Renewable Diesel'!BF39*'[2]Feedstock Conversion Rates'!B$2</f>
        <v>1.817144230058624</v>
      </c>
      <c r="EL30" s="53">
        <f>EB30*'[2]Renewable Diesel'!BF39*'[2]Feedstock Conversion Rates'!B$3</f>
        <v>3.3589035325890628</v>
      </c>
      <c r="EM30" s="53">
        <f>EC30*'[2]Renewable Diesel'!BF39*'[2]Feedstock Conversion Rates'!B$4</f>
        <v>0</v>
      </c>
      <c r="EN30" s="49"/>
      <c r="EO30" s="53">
        <f>EE30*'[2]Renewable Diesel'!BF39*'[2]Feedstock Conversion Rates'!B$6</f>
        <v>0</v>
      </c>
      <c r="EP30" s="53">
        <f>EF30*'[2]Renewable Diesel'!BF39*'[2]Feedstock Conversion Rates'!B$7</f>
        <v>3.8525972755761946</v>
      </c>
      <c r="EQ30" s="53">
        <f>EG30*'[2]Renewable Diesel'!BF39*'[2]Feedstock Conversion Rates'!B$8</f>
        <v>1.2013686030915922</v>
      </c>
      <c r="ER30" s="53">
        <f>EH30*'[2]Renewable Diesel'!BF39*'[2]Feedstock Conversion Rates'!B$9</f>
        <v>0</v>
      </c>
      <c r="ES30" s="53">
        <f t="shared" si="13"/>
        <v>10.230013641315473</v>
      </c>
    </row>
    <row r="31" spans="1:149" x14ac:dyDescent="0.25">
      <c r="A31" s="39">
        <v>41365</v>
      </c>
      <c r="C31" s="46"/>
      <c r="D31" s="45">
        <v>0</v>
      </c>
      <c r="E31" s="45">
        <f>('[2]Renewable Diesel'!B40*E$3*'[2]Feedstock Conversion Rates'!$B$2)/12</f>
        <v>20.853333333333332</v>
      </c>
      <c r="F31" s="45">
        <f>('[2]Renewable Diesel'!B40*'[2]RD Feedstock Breakdown'!F$3*'[2]Feedstock Conversion Rates'!B$8)/12</f>
        <v>12.5</v>
      </c>
      <c r="G31" s="45">
        <f>('[2]Renewable Diesel'!B40*'[2]RD Feedstock Breakdown'!G$3*'[2]Feedstock Conversion Rates'!B$7)/12</f>
        <v>40.847999999999999</v>
      </c>
      <c r="H31" s="45">
        <f>('[2]Renewable Diesel'!B40*'[2]RD Feedstock Breakdown'!H$3*'[2]Feedstock Conversion Rates'!B$3)/12</f>
        <v>40.904400000000003</v>
      </c>
      <c r="I31" s="47">
        <f t="shared" si="14"/>
        <v>115.10573333333335</v>
      </c>
      <c r="J31" s="47"/>
      <c r="K31" s="48"/>
      <c r="L31" s="47"/>
      <c r="T31" s="49"/>
      <c r="AC31" s="49"/>
      <c r="AG31" s="49"/>
      <c r="AT31" s="49"/>
      <c r="BX31" s="49"/>
      <c r="CI31" s="49"/>
      <c r="DD31" s="49"/>
      <c r="DJ31" s="49"/>
      <c r="DP31" s="45">
        <f t="shared" si="0"/>
        <v>20.853333333333332</v>
      </c>
      <c r="DQ31" s="45">
        <f t="shared" si="1"/>
        <v>40.904400000000003</v>
      </c>
      <c r="DR31" s="45">
        <f t="shared" si="10"/>
        <v>0</v>
      </c>
      <c r="DS31" s="49"/>
      <c r="DT31" s="45">
        <f t="shared" si="2"/>
        <v>0</v>
      </c>
      <c r="DU31" s="45">
        <f t="shared" si="3"/>
        <v>40.847999999999999</v>
      </c>
      <c r="DV31" s="45">
        <f t="shared" si="4"/>
        <v>12.5</v>
      </c>
      <c r="DW31" s="45">
        <f t="shared" si="5"/>
        <v>0</v>
      </c>
      <c r="DX31" s="47">
        <f t="shared" si="6"/>
        <v>115.10573333333333</v>
      </c>
      <c r="DY31" s="50">
        <f t="shared" si="7"/>
        <v>1.4210854715202004E-14</v>
      </c>
      <c r="EA31" s="51">
        <f t="shared" si="15"/>
        <v>0.18116676493380576</v>
      </c>
      <c r="EB31" s="51">
        <f t="shared" si="15"/>
        <v>0.35536370618086793</v>
      </c>
      <c r="EC31" s="51">
        <f t="shared" si="15"/>
        <v>0</v>
      </c>
      <c r="ED31" s="49"/>
      <c r="EE31" s="51">
        <f t="shared" si="16"/>
        <v>0</v>
      </c>
      <c r="EF31" s="51">
        <f t="shared" si="16"/>
        <v>0.35487372189974897</v>
      </c>
      <c r="EG31" s="51">
        <f t="shared" si="16"/>
        <v>0.10859580698557732</v>
      </c>
      <c r="EH31" s="52">
        <f t="shared" si="11"/>
        <v>0</v>
      </c>
      <c r="EI31" s="51">
        <f t="shared" si="12"/>
        <v>1</v>
      </c>
      <c r="EK31" s="53">
        <f>EA31*'[2]Renewable Diesel'!BF40*'[2]Feedstock Conversion Rates'!B$2</f>
        <v>1.5766091162560103</v>
      </c>
      <c r="EL31" s="53">
        <f>EB31*'[2]Renewable Diesel'!BF40*'[2]Feedstock Conversion Rates'!B$3</f>
        <v>2.9142859672363963</v>
      </c>
      <c r="EM31" s="53">
        <f>EC31*'[2]Renewable Diesel'!BF40*'[2]Feedstock Conversion Rates'!B$4</f>
        <v>0</v>
      </c>
      <c r="EN31" s="49"/>
      <c r="EO31" s="53">
        <f>EE31*'[2]Renewable Diesel'!BF40*'[2]Feedstock Conversion Rates'!B$6</f>
        <v>0</v>
      </c>
      <c r="EP31" s="53">
        <f>EF31*'[2]Renewable Diesel'!BF40*'[2]Feedstock Conversion Rates'!B$7</f>
        <v>3.3426295422573795</v>
      </c>
      <c r="EQ31" s="53">
        <f>EG31*'[2]Renewable Diesel'!BF40*'[2]Feedstock Conversion Rates'!B$8</f>
        <v>1.0423436182370875</v>
      </c>
      <c r="ER31" s="53">
        <f>EH31*'[2]Renewable Diesel'!BF40*'[2]Feedstock Conversion Rates'!B$9</f>
        <v>0</v>
      </c>
      <c r="ES31" s="53">
        <f t="shared" si="13"/>
        <v>8.8758682439868739</v>
      </c>
    </row>
    <row r="32" spans="1:149" x14ac:dyDescent="0.25">
      <c r="A32" s="39">
        <v>41395</v>
      </c>
      <c r="C32" s="46"/>
      <c r="D32" s="45">
        <v>0</v>
      </c>
      <c r="E32" s="45">
        <f>('[2]Renewable Diesel'!B41*E$3*'[2]Feedstock Conversion Rates'!$B$2)/12</f>
        <v>20.853333333333332</v>
      </c>
      <c r="F32" s="45">
        <f>('[2]Renewable Diesel'!B41*'[2]RD Feedstock Breakdown'!F$3*'[2]Feedstock Conversion Rates'!B$8)/12</f>
        <v>12.5</v>
      </c>
      <c r="G32" s="45">
        <f>('[2]Renewable Diesel'!B41*'[2]RD Feedstock Breakdown'!G$3*'[2]Feedstock Conversion Rates'!B$7)/12</f>
        <v>40.847999999999999</v>
      </c>
      <c r="H32" s="45">
        <f>('[2]Renewable Diesel'!B41*'[2]RD Feedstock Breakdown'!H$3*'[2]Feedstock Conversion Rates'!B$3)/12</f>
        <v>40.904400000000003</v>
      </c>
      <c r="I32" s="47">
        <f t="shared" si="14"/>
        <v>115.10573333333335</v>
      </c>
      <c r="J32" s="47"/>
      <c r="K32" s="48"/>
      <c r="L32" s="47"/>
      <c r="T32" s="49"/>
      <c r="AC32" s="49"/>
      <c r="AG32" s="49"/>
      <c r="AT32" s="49"/>
      <c r="BX32" s="49"/>
      <c r="CI32" s="49"/>
      <c r="DD32" s="49"/>
      <c r="DJ32" s="49"/>
      <c r="DP32" s="45">
        <f t="shared" si="0"/>
        <v>20.853333333333332</v>
      </c>
      <c r="DQ32" s="45">
        <f t="shared" si="1"/>
        <v>40.904400000000003</v>
      </c>
      <c r="DR32" s="45">
        <f t="shared" si="10"/>
        <v>0</v>
      </c>
      <c r="DS32" s="49"/>
      <c r="DT32" s="45">
        <f t="shared" si="2"/>
        <v>0</v>
      </c>
      <c r="DU32" s="45">
        <f t="shared" si="3"/>
        <v>40.847999999999999</v>
      </c>
      <c r="DV32" s="45">
        <f t="shared" si="4"/>
        <v>12.5</v>
      </c>
      <c r="DW32" s="45">
        <f t="shared" si="5"/>
        <v>0</v>
      </c>
      <c r="DX32" s="47">
        <f t="shared" si="6"/>
        <v>115.10573333333333</v>
      </c>
      <c r="DY32" s="50">
        <f t="shared" si="7"/>
        <v>1.4210854715202004E-14</v>
      </c>
      <c r="EA32" s="51">
        <f t="shared" si="15"/>
        <v>0.18116676493380576</v>
      </c>
      <c r="EB32" s="51">
        <f t="shared" si="15"/>
        <v>0.35536370618086793</v>
      </c>
      <c r="EC32" s="51">
        <f t="shared" si="15"/>
        <v>0</v>
      </c>
      <c r="ED32" s="49"/>
      <c r="EE32" s="51">
        <f t="shared" si="16"/>
        <v>0</v>
      </c>
      <c r="EF32" s="51">
        <f t="shared" si="16"/>
        <v>0.35487372189974897</v>
      </c>
      <c r="EG32" s="51">
        <f t="shared" si="16"/>
        <v>0.10859580698557732</v>
      </c>
      <c r="EH32" s="52">
        <f t="shared" si="11"/>
        <v>0</v>
      </c>
      <c r="EI32" s="51">
        <f t="shared" si="12"/>
        <v>1</v>
      </c>
      <c r="EK32" s="53">
        <f>EA32*'[2]Renewable Diesel'!BF41*'[2]Feedstock Conversion Rates'!B$2</f>
        <v>1.4886983059054109</v>
      </c>
      <c r="EL32" s="53">
        <f>EB32*'[2]Renewable Diesel'!BF41*'[2]Feedstock Conversion Rates'!B$3</f>
        <v>2.7517870711361847</v>
      </c>
      <c r="EM32" s="53">
        <f>EC32*'[2]Renewable Diesel'!BF41*'[2]Feedstock Conversion Rates'!B$4</f>
        <v>0</v>
      </c>
      <c r="EN32" s="49"/>
      <c r="EO32" s="53">
        <f>EE32*'[2]Renewable Diesel'!BF41*'[2]Feedstock Conversion Rates'!B$6</f>
        <v>0</v>
      </c>
      <c r="EP32" s="53">
        <f>EF32*'[2]Renewable Diesel'!BF41*'[2]Feedstock Conversion Rates'!B$7</f>
        <v>3.1562464567279007</v>
      </c>
      <c r="EQ32" s="53">
        <f>EG32*'[2]Renewable Diesel'!BF41*'[2]Feedstock Conversion Rates'!B$8</f>
        <v>0.98422314233840646</v>
      </c>
      <c r="ER32" s="53">
        <f>EH32*'[2]Renewable Diesel'!BF41*'[2]Feedstock Conversion Rates'!B$9</f>
        <v>0</v>
      </c>
      <c r="ES32" s="53">
        <f t="shared" si="13"/>
        <v>8.380954976107903</v>
      </c>
    </row>
    <row r="33" spans="1:149" x14ac:dyDescent="0.25">
      <c r="A33" s="39">
        <v>41426</v>
      </c>
      <c r="C33" s="46"/>
      <c r="D33" s="45">
        <v>0</v>
      </c>
      <c r="E33" s="45">
        <f>('[2]Renewable Diesel'!B42*E$3*'[2]Feedstock Conversion Rates'!$B$2)/12</f>
        <v>20.853333333333332</v>
      </c>
      <c r="F33" s="45">
        <f>('[2]Renewable Diesel'!B42*'[2]RD Feedstock Breakdown'!F$3*'[2]Feedstock Conversion Rates'!B$8)/12</f>
        <v>12.5</v>
      </c>
      <c r="G33" s="45">
        <f>('[2]Renewable Diesel'!B42*'[2]RD Feedstock Breakdown'!G$3*'[2]Feedstock Conversion Rates'!B$7)/12</f>
        <v>40.847999999999999</v>
      </c>
      <c r="H33" s="45">
        <f>('[2]Renewable Diesel'!B42*'[2]RD Feedstock Breakdown'!H$3*'[2]Feedstock Conversion Rates'!B$3)/12</f>
        <v>40.904400000000003</v>
      </c>
      <c r="I33" s="47">
        <f t="shared" si="14"/>
        <v>115.10573333333335</v>
      </c>
      <c r="J33" s="47"/>
      <c r="K33" s="48"/>
      <c r="L33" s="47"/>
      <c r="T33" s="49"/>
      <c r="AC33" s="49"/>
      <c r="AG33" s="49"/>
      <c r="AT33" s="49"/>
      <c r="BX33" s="49"/>
      <c r="CI33" s="49"/>
      <c r="DD33" s="49"/>
      <c r="DJ33" s="49"/>
      <c r="DP33" s="45">
        <f t="shared" si="0"/>
        <v>20.853333333333332</v>
      </c>
      <c r="DQ33" s="45">
        <f t="shared" si="1"/>
        <v>40.904400000000003</v>
      </c>
      <c r="DR33" s="45">
        <f t="shared" si="10"/>
        <v>0</v>
      </c>
      <c r="DS33" s="49"/>
      <c r="DT33" s="45">
        <f t="shared" si="2"/>
        <v>0</v>
      </c>
      <c r="DU33" s="45">
        <f t="shared" si="3"/>
        <v>40.847999999999999</v>
      </c>
      <c r="DV33" s="45">
        <f t="shared" si="4"/>
        <v>12.5</v>
      </c>
      <c r="DW33" s="45">
        <f t="shared" si="5"/>
        <v>0</v>
      </c>
      <c r="DX33" s="47">
        <f t="shared" si="6"/>
        <v>115.10573333333333</v>
      </c>
      <c r="DY33" s="50">
        <f t="shared" si="7"/>
        <v>1.4210854715202004E-14</v>
      </c>
      <c r="EA33" s="51">
        <f t="shared" si="15"/>
        <v>0.18116676493380576</v>
      </c>
      <c r="EB33" s="51">
        <f t="shared" si="15"/>
        <v>0.35536370618086793</v>
      </c>
      <c r="EC33" s="51">
        <f t="shared" si="15"/>
        <v>0</v>
      </c>
      <c r="ED33" s="49"/>
      <c r="EE33" s="51">
        <f t="shared" si="16"/>
        <v>0</v>
      </c>
      <c r="EF33" s="51">
        <f t="shared" si="16"/>
        <v>0.35487372189974897</v>
      </c>
      <c r="EG33" s="51">
        <f t="shared" si="16"/>
        <v>0.10859580698557732</v>
      </c>
      <c r="EH33" s="52">
        <f t="shared" si="11"/>
        <v>0</v>
      </c>
      <c r="EI33" s="51">
        <f t="shared" si="12"/>
        <v>1</v>
      </c>
      <c r="EK33" s="53">
        <f>EA33*'[2]Renewable Diesel'!BF42*'[2]Feedstock Conversion Rates'!B$2</f>
        <v>2.4633428912315978</v>
      </c>
      <c r="EL33" s="53">
        <f>EB33*'[2]Renewable Diesel'!BF42*'[2]Feedstock Conversion Rates'!B$3</f>
        <v>4.5533706144333035</v>
      </c>
      <c r="EM33" s="53">
        <f>EC33*'[2]Renewable Diesel'!BF42*'[2]Feedstock Conversion Rates'!B$4</f>
        <v>0</v>
      </c>
      <c r="EN33" s="49"/>
      <c r="EO33" s="53">
        <f>EE33*'[2]Renewable Diesel'!BF42*'[2]Feedstock Conversion Rates'!B$6</f>
        <v>0</v>
      </c>
      <c r="EP33" s="53">
        <f>EF33*'[2]Renewable Diesel'!BF42*'[2]Feedstock Conversion Rates'!B$7</f>
        <v>5.2226278765239602</v>
      </c>
      <c r="EQ33" s="53">
        <f>EG33*'[2]Renewable Diesel'!BF42*'[2]Feedstock Conversion Rates'!B$8</f>
        <v>1.6285899375632027</v>
      </c>
      <c r="ER33" s="53">
        <f>EH33*'[2]Renewable Diesel'!BF42*'[2]Feedstock Conversion Rates'!B$9</f>
        <v>0</v>
      </c>
      <c r="ES33" s="53">
        <f t="shared" si="13"/>
        <v>13.867931319752064</v>
      </c>
    </row>
    <row r="34" spans="1:149" x14ac:dyDescent="0.25">
      <c r="A34" s="39">
        <v>41456</v>
      </c>
      <c r="C34" s="46"/>
      <c r="D34" s="45">
        <v>0</v>
      </c>
      <c r="E34" s="45">
        <f>('[2]Renewable Diesel'!B43*E$3*'[2]Feedstock Conversion Rates'!$B$2)/12</f>
        <v>20.853333333333332</v>
      </c>
      <c r="F34" s="45">
        <f>('[2]Renewable Diesel'!B43*'[2]RD Feedstock Breakdown'!F$3*'[2]Feedstock Conversion Rates'!B$8)/12</f>
        <v>12.5</v>
      </c>
      <c r="G34" s="45">
        <f>('[2]Renewable Diesel'!B43*'[2]RD Feedstock Breakdown'!G$3*'[2]Feedstock Conversion Rates'!B$7)/12</f>
        <v>40.847999999999999</v>
      </c>
      <c r="H34" s="45">
        <f>('[2]Renewable Diesel'!B43*'[2]RD Feedstock Breakdown'!H$3*'[2]Feedstock Conversion Rates'!B$3)/12</f>
        <v>40.904400000000003</v>
      </c>
      <c r="I34" s="47">
        <f t="shared" si="14"/>
        <v>115.10573333333335</v>
      </c>
      <c r="J34" s="47"/>
      <c r="K34" s="48"/>
      <c r="L34" s="47"/>
      <c r="T34" s="49"/>
      <c r="AC34" s="49"/>
      <c r="AG34" s="49"/>
      <c r="AT34" s="49"/>
      <c r="BX34" s="49"/>
      <c r="CI34" s="49"/>
      <c r="DD34" s="49"/>
      <c r="DJ34" s="49"/>
      <c r="DP34" s="45">
        <f t="shared" si="0"/>
        <v>20.853333333333332</v>
      </c>
      <c r="DQ34" s="45">
        <f t="shared" si="1"/>
        <v>40.904400000000003</v>
      </c>
      <c r="DR34" s="45">
        <f t="shared" si="10"/>
        <v>0</v>
      </c>
      <c r="DS34" s="49"/>
      <c r="DT34" s="45">
        <f t="shared" si="2"/>
        <v>0</v>
      </c>
      <c r="DU34" s="45">
        <f t="shared" si="3"/>
        <v>40.847999999999999</v>
      </c>
      <c r="DV34" s="45">
        <f t="shared" si="4"/>
        <v>12.5</v>
      </c>
      <c r="DW34" s="45">
        <f t="shared" si="5"/>
        <v>0</v>
      </c>
      <c r="DX34" s="47">
        <f t="shared" si="6"/>
        <v>115.10573333333333</v>
      </c>
      <c r="DY34" s="50">
        <f t="shared" si="7"/>
        <v>1.4210854715202004E-14</v>
      </c>
      <c r="EA34" s="51">
        <f t="shared" si="15"/>
        <v>0.18116676493380576</v>
      </c>
      <c r="EB34" s="51">
        <f t="shared" si="15"/>
        <v>0.35536370618086793</v>
      </c>
      <c r="EC34" s="51">
        <f t="shared" si="15"/>
        <v>0</v>
      </c>
      <c r="ED34" s="49"/>
      <c r="EE34" s="51">
        <f t="shared" si="16"/>
        <v>0</v>
      </c>
      <c r="EF34" s="51">
        <f t="shared" si="16"/>
        <v>0.35487372189974897</v>
      </c>
      <c r="EG34" s="51">
        <f t="shared" si="16"/>
        <v>0.10859580698557732</v>
      </c>
      <c r="EH34" s="52">
        <f t="shared" si="11"/>
        <v>0</v>
      </c>
      <c r="EI34" s="51">
        <f t="shared" si="12"/>
        <v>1</v>
      </c>
      <c r="EK34" s="53">
        <f>EA34*'[2]Renewable Diesel'!BF43*'[2]Feedstock Conversion Rates'!B$2</f>
        <v>17.485459870750717</v>
      </c>
      <c r="EL34" s="53">
        <f>EB34*'[2]Renewable Diesel'!BF43*'[2]Feedstock Conversion Rates'!B$3</f>
        <v>32.321029865039442</v>
      </c>
      <c r="EM34" s="53">
        <f>EC34*'[2]Renewable Diesel'!BF43*'[2]Feedstock Conversion Rates'!B$4</f>
        <v>0</v>
      </c>
      <c r="EN34" s="49"/>
      <c r="EO34" s="53">
        <f>EE34*'[2]Renewable Diesel'!BF43*'[2]Feedstock Conversion Rates'!B$6</f>
        <v>0</v>
      </c>
      <c r="EP34" s="53">
        <f>EF34*'[2]Renewable Diesel'!BF43*'[2]Feedstock Conversion Rates'!B$7</f>
        <v>37.071595058845602</v>
      </c>
      <c r="EQ34" s="53">
        <f>EG34*'[2]Renewable Diesel'!BF43*'[2]Feedstock Conversion Rates'!B$8</f>
        <v>11.560162452630509</v>
      </c>
      <c r="ER34" s="53">
        <f>EH34*'[2]Renewable Diesel'!BF43*'[2]Feedstock Conversion Rates'!B$9</f>
        <v>0</v>
      </c>
      <c r="ES34" s="53">
        <f t="shared" si="13"/>
        <v>98.438247247266261</v>
      </c>
    </row>
    <row r="35" spans="1:149" x14ac:dyDescent="0.25">
      <c r="A35" s="39">
        <v>41487</v>
      </c>
      <c r="C35" s="46"/>
      <c r="D35" s="45">
        <v>0</v>
      </c>
      <c r="E35" s="45">
        <f>('[2]Renewable Diesel'!B44*E$3*'[2]Feedstock Conversion Rates'!$B$2)/12</f>
        <v>20.853333333333332</v>
      </c>
      <c r="F35" s="45">
        <f>('[2]Renewable Diesel'!B44*'[2]RD Feedstock Breakdown'!F$3*'[2]Feedstock Conversion Rates'!B$8)/12</f>
        <v>12.5</v>
      </c>
      <c r="G35" s="45">
        <f>('[2]Renewable Diesel'!B44*'[2]RD Feedstock Breakdown'!G$3*'[2]Feedstock Conversion Rates'!B$7)/12</f>
        <v>40.847999999999999</v>
      </c>
      <c r="H35" s="45">
        <f>('[2]Renewable Diesel'!B44*'[2]RD Feedstock Breakdown'!H$3*'[2]Feedstock Conversion Rates'!B$3)/12</f>
        <v>40.904400000000003</v>
      </c>
      <c r="I35" s="47">
        <f t="shared" si="14"/>
        <v>115.10573333333335</v>
      </c>
      <c r="J35" s="47"/>
      <c r="K35" s="48"/>
      <c r="L35" s="47"/>
      <c r="T35" s="49"/>
      <c r="AC35" s="49"/>
      <c r="AG35" s="49"/>
      <c r="AT35" s="49"/>
      <c r="BX35" s="49"/>
      <c r="CI35" s="49"/>
      <c r="DD35" s="49"/>
      <c r="DJ35" s="49"/>
      <c r="DP35" s="45">
        <f t="shared" si="0"/>
        <v>20.853333333333332</v>
      </c>
      <c r="DQ35" s="45">
        <f t="shared" si="1"/>
        <v>40.904400000000003</v>
      </c>
      <c r="DR35" s="45">
        <f t="shared" si="10"/>
        <v>0</v>
      </c>
      <c r="DS35" s="49"/>
      <c r="DT35" s="45">
        <f t="shared" si="2"/>
        <v>0</v>
      </c>
      <c r="DU35" s="45">
        <f t="shared" si="3"/>
        <v>40.847999999999999</v>
      </c>
      <c r="DV35" s="45">
        <f t="shared" si="4"/>
        <v>12.5</v>
      </c>
      <c r="DW35" s="45">
        <f t="shared" si="5"/>
        <v>0</v>
      </c>
      <c r="DX35" s="47">
        <f t="shared" si="6"/>
        <v>115.10573333333333</v>
      </c>
      <c r="DY35" s="50">
        <f t="shared" si="7"/>
        <v>1.4210854715202004E-14</v>
      </c>
      <c r="EA35" s="51">
        <f t="shared" si="15"/>
        <v>0.18116676493380576</v>
      </c>
      <c r="EB35" s="51">
        <f t="shared" si="15"/>
        <v>0.35536370618086793</v>
      </c>
      <c r="EC35" s="51">
        <f t="shared" si="15"/>
        <v>0</v>
      </c>
      <c r="ED35" s="49"/>
      <c r="EE35" s="51">
        <f t="shared" si="16"/>
        <v>0</v>
      </c>
      <c r="EF35" s="51">
        <f t="shared" si="16"/>
        <v>0.35487372189974897</v>
      </c>
      <c r="EG35" s="51">
        <f t="shared" si="16"/>
        <v>0.10859580698557732</v>
      </c>
      <c r="EH35" s="52">
        <f t="shared" si="11"/>
        <v>0</v>
      </c>
      <c r="EI35" s="51">
        <f t="shared" si="12"/>
        <v>1</v>
      </c>
      <c r="EK35" s="53">
        <f>EA35*'[2]Renewable Diesel'!BF44*'[2]Feedstock Conversion Rates'!B$2</f>
        <v>13.689587867155181</v>
      </c>
      <c r="EL35" s="53">
        <f>EB35*'[2]Renewable Diesel'!BF44*'[2]Feedstock Conversion Rates'!B$3</f>
        <v>25.304543407207948</v>
      </c>
      <c r="EM35" s="53">
        <f>EC35*'[2]Renewable Diesel'!BF44*'[2]Feedstock Conversion Rates'!B$4</f>
        <v>0</v>
      </c>
      <c r="EN35" s="49"/>
      <c r="EO35" s="53">
        <f>EE35*'[2]Renewable Diesel'!BF44*'[2]Feedstock Conversion Rates'!B$6</f>
        <v>0</v>
      </c>
      <c r="EP35" s="53">
        <f>EF35*'[2]Renewable Diesel'!BF44*'[2]Feedstock Conversion Rates'!B$7</f>
        <v>29.023821031014958</v>
      </c>
      <c r="EQ35" s="53">
        <f>EG35*'[2]Renewable Diesel'!BF44*'[2]Feedstock Conversion Rates'!B$8</f>
        <v>9.050597514944231</v>
      </c>
      <c r="ER35" s="53">
        <f>EH35*'[2]Renewable Diesel'!BF44*'[2]Feedstock Conversion Rates'!B$9</f>
        <v>0</v>
      </c>
      <c r="ES35" s="53">
        <f t="shared" si="13"/>
        <v>77.068549820322318</v>
      </c>
    </row>
    <row r="36" spans="1:149" x14ac:dyDescent="0.25">
      <c r="A36" s="39">
        <v>41518</v>
      </c>
      <c r="C36" s="46"/>
      <c r="D36" s="45">
        <v>0</v>
      </c>
      <c r="E36" s="45">
        <f>('[2]Renewable Diesel'!B45*E$3*'[2]Feedstock Conversion Rates'!$B$2)/12</f>
        <v>20.853333333333332</v>
      </c>
      <c r="F36" s="45">
        <f>('[2]Renewable Diesel'!B45*'[2]RD Feedstock Breakdown'!F$3*'[2]Feedstock Conversion Rates'!B$8)/12</f>
        <v>12.5</v>
      </c>
      <c r="G36" s="45">
        <f>('[2]Renewable Diesel'!B45*'[2]RD Feedstock Breakdown'!G$3*'[2]Feedstock Conversion Rates'!B$7)/12</f>
        <v>40.847999999999999</v>
      </c>
      <c r="H36" s="45">
        <f>('[2]Renewable Diesel'!B45*'[2]RD Feedstock Breakdown'!H$3*'[2]Feedstock Conversion Rates'!B$3)/12</f>
        <v>40.904400000000003</v>
      </c>
      <c r="I36" s="47">
        <f t="shared" si="14"/>
        <v>115.10573333333335</v>
      </c>
      <c r="J36" s="47"/>
      <c r="K36" s="48"/>
      <c r="L36" s="47"/>
      <c r="T36" s="49"/>
      <c r="AC36" s="49"/>
      <c r="AG36" s="49"/>
      <c r="AT36" s="49"/>
      <c r="BX36" s="49"/>
      <c r="CI36" s="49"/>
      <c r="DD36" s="49"/>
      <c r="DJ36" s="49"/>
      <c r="DP36" s="45">
        <f t="shared" si="0"/>
        <v>20.853333333333332</v>
      </c>
      <c r="DQ36" s="45">
        <f t="shared" si="1"/>
        <v>40.904400000000003</v>
      </c>
      <c r="DR36" s="45">
        <f t="shared" si="10"/>
        <v>0</v>
      </c>
      <c r="DS36" s="49"/>
      <c r="DT36" s="45">
        <f t="shared" si="2"/>
        <v>0</v>
      </c>
      <c r="DU36" s="45">
        <f t="shared" si="3"/>
        <v>40.847999999999999</v>
      </c>
      <c r="DV36" s="45">
        <f t="shared" si="4"/>
        <v>12.5</v>
      </c>
      <c r="DW36" s="45">
        <f t="shared" si="5"/>
        <v>0</v>
      </c>
      <c r="DX36" s="47">
        <f t="shared" si="6"/>
        <v>115.10573333333333</v>
      </c>
      <c r="DY36" s="50">
        <f t="shared" si="7"/>
        <v>1.4210854715202004E-14</v>
      </c>
      <c r="EA36" s="51">
        <f t="shared" si="15"/>
        <v>0.18116676493380576</v>
      </c>
      <c r="EB36" s="51">
        <f t="shared" si="15"/>
        <v>0.35536370618086793</v>
      </c>
      <c r="EC36" s="51">
        <f t="shared" si="15"/>
        <v>0</v>
      </c>
      <c r="ED36" s="49"/>
      <c r="EE36" s="51">
        <f t="shared" si="16"/>
        <v>0</v>
      </c>
      <c r="EF36" s="51">
        <f t="shared" si="16"/>
        <v>0.35487372189974897</v>
      </c>
      <c r="EG36" s="51">
        <f t="shared" si="16"/>
        <v>0.10859580698557732</v>
      </c>
      <c r="EH36" s="52">
        <f t="shared" si="11"/>
        <v>0</v>
      </c>
      <c r="EI36" s="51">
        <f t="shared" si="12"/>
        <v>1</v>
      </c>
      <c r="EK36" s="53">
        <f>EA36*'[2]Renewable Diesel'!BF45*'[2]Feedstock Conversion Rates'!B$2</f>
        <v>15.041891060161495</v>
      </c>
      <c r="EL36" s="53">
        <f>EB36*'[2]Renewable Diesel'!BF45*'[2]Feedstock Conversion Rates'!B$3</f>
        <v>27.804210685668188</v>
      </c>
      <c r="EM36" s="53">
        <f>EC36*'[2]Renewable Diesel'!BF45*'[2]Feedstock Conversion Rates'!B$4</f>
        <v>0</v>
      </c>
      <c r="EN36" s="49"/>
      <c r="EO36" s="53">
        <f>EE36*'[2]Renewable Diesel'!BF45*'[2]Feedstock Conversion Rates'!B$6</f>
        <v>0</v>
      </c>
      <c r="EP36" s="53">
        <f>EF36*'[2]Renewable Diesel'!BF45*'[2]Feedstock Conversion Rates'!B$7</f>
        <v>31.890890970180457</v>
      </c>
      <c r="EQ36" s="53">
        <f>EG36*'[2]Renewable Diesel'!BF45*'[2]Feedstock Conversion Rates'!B$8</f>
        <v>9.9446457534188841</v>
      </c>
      <c r="ER36" s="53">
        <f>EH36*'[2]Renewable Diesel'!BF45*'[2]Feedstock Conversion Rates'!B$9</f>
        <v>0</v>
      </c>
      <c r="ES36" s="53">
        <f t="shared" si="13"/>
        <v>84.681638469429032</v>
      </c>
    </row>
    <row r="37" spans="1:149" x14ac:dyDescent="0.25">
      <c r="A37" s="39">
        <v>41548</v>
      </c>
      <c r="C37" s="46"/>
      <c r="D37" s="45">
        <v>0</v>
      </c>
      <c r="E37" s="45">
        <f>('[2]Renewable Diesel'!B46*E$3*'[2]Feedstock Conversion Rates'!$B$2)/12</f>
        <v>20.853333333333332</v>
      </c>
      <c r="F37" s="45">
        <f>('[2]Renewable Diesel'!B46*'[2]RD Feedstock Breakdown'!F$3*'[2]Feedstock Conversion Rates'!B$8)/12</f>
        <v>12.5</v>
      </c>
      <c r="G37" s="45">
        <f>('[2]Renewable Diesel'!B46*'[2]RD Feedstock Breakdown'!G$3*'[2]Feedstock Conversion Rates'!B$7)/12</f>
        <v>40.847999999999999</v>
      </c>
      <c r="H37" s="45">
        <f>('[2]Renewable Diesel'!B46*'[2]RD Feedstock Breakdown'!H$3*'[2]Feedstock Conversion Rates'!B$3)/12</f>
        <v>40.904400000000003</v>
      </c>
      <c r="I37" s="47">
        <f t="shared" si="14"/>
        <v>115.10573333333335</v>
      </c>
      <c r="J37" s="47"/>
      <c r="K37" s="48"/>
      <c r="L37" s="47"/>
      <c r="T37" s="49"/>
      <c r="AC37" s="49"/>
      <c r="AG37" s="49"/>
      <c r="AT37" s="49"/>
      <c r="BX37" s="49"/>
      <c r="CI37" s="49"/>
      <c r="DD37" s="49"/>
      <c r="DJ37" s="49"/>
      <c r="DP37" s="45">
        <f t="shared" si="0"/>
        <v>20.853333333333332</v>
      </c>
      <c r="DQ37" s="45">
        <f t="shared" si="1"/>
        <v>40.904400000000003</v>
      </c>
      <c r="DR37" s="45">
        <f t="shared" si="10"/>
        <v>0</v>
      </c>
      <c r="DS37" s="49"/>
      <c r="DT37" s="45">
        <f t="shared" si="2"/>
        <v>0</v>
      </c>
      <c r="DU37" s="45">
        <f t="shared" si="3"/>
        <v>40.847999999999999</v>
      </c>
      <c r="DV37" s="45">
        <f t="shared" si="4"/>
        <v>12.5</v>
      </c>
      <c r="DW37" s="45">
        <f t="shared" si="5"/>
        <v>0</v>
      </c>
      <c r="DX37" s="47">
        <f t="shared" si="6"/>
        <v>115.10573333333333</v>
      </c>
      <c r="DY37" s="50">
        <f t="shared" si="7"/>
        <v>1.4210854715202004E-14</v>
      </c>
      <c r="EA37" s="51">
        <f t="shared" si="15"/>
        <v>0.18116676493380576</v>
      </c>
      <c r="EB37" s="51">
        <f t="shared" si="15"/>
        <v>0.35536370618086793</v>
      </c>
      <c r="EC37" s="51">
        <f t="shared" si="15"/>
        <v>0</v>
      </c>
      <c r="ED37" s="49"/>
      <c r="EE37" s="51">
        <f t="shared" si="16"/>
        <v>0</v>
      </c>
      <c r="EF37" s="51">
        <f t="shared" si="16"/>
        <v>0.35487372189974897</v>
      </c>
      <c r="EG37" s="51">
        <f t="shared" si="16"/>
        <v>0.10859580698557732</v>
      </c>
      <c r="EH37" s="52">
        <f t="shared" si="11"/>
        <v>0</v>
      </c>
      <c r="EI37" s="51">
        <f t="shared" si="12"/>
        <v>1</v>
      </c>
      <c r="EK37" s="53">
        <f>EA37*'[2]Renewable Diesel'!BF46*'[2]Feedstock Conversion Rates'!B$2</f>
        <v>17.020806703633642</v>
      </c>
      <c r="EL37" s="53">
        <f>EB37*'[2]Renewable Diesel'!BF46*'[2]Feedstock Conversion Rates'!B$3</f>
        <v>31.462140879431576</v>
      </c>
      <c r="EM37" s="53">
        <f>EC37*'[2]Renewable Diesel'!BF46*'[2]Feedstock Conversion Rates'!B$4</f>
        <v>0</v>
      </c>
      <c r="EN37" s="49"/>
      <c r="EO37" s="53">
        <f>EE37*'[2]Renewable Diesel'!BF46*'[2]Feedstock Conversion Rates'!B$6</f>
        <v>0</v>
      </c>
      <c r="EP37" s="53">
        <f>EF37*'[2]Renewable Diesel'!BF46*'[2]Feedstock Conversion Rates'!B$7</f>
        <v>36.086466032700365</v>
      </c>
      <c r="EQ37" s="53">
        <f>EG37*'[2]Renewable Diesel'!BF46*'[2]Feedstock Conversion Rates'!B$8</f>
        <v>11.252966294467813</v>
      </c>
      <c r="ER37" s="53">
        <f>EH37*'[2]Renewable Diesel'!BF46*'[2]Feedstock Conversion Rates'!B$9</f>
        <v>0</v>
      </c>
      <c r="ES37" s="53">
        <f t="shared" si="13"/>
        <v>95.822379910233394</v>
      </c>
    </row>
    <row r="38" spans="1:149" x14ac:dyDescent="0.25">
      <c r="A38" s="39">
        <v>41579</v>
      </c>
      <c r="C38" s="46"/>
      <c r="D38" s="45">
        <v>0</v>
      </c>
      <c r="E38" s="45">
        <f>('[2]Renewable Diesel'!B47*E$3*'[2]Feedstock Conversion Rates'!$B$2)/12</f>
        <v>20.853333333333332</v>
      </c>
      <c r="F38" s="45">
        <f>('[2]Renewable Diesel'!B47*'[2]RD Feedstock Breakdown'!F$3*'[2]Feedstock Conversion Rates'!B$8)/12</f>
        <v>12.5</v>
      </c>
      <c r="G38" s="45">
        <f>('[2]Renewable Diesel'!B47*'[2]RD Feedstock Breakdown'!G$3*'[2]Feedstock Conversion Rates'!B$7)/12</f>
        <v>40.847999999999999</v>
      </c>
      <c r="H38" s="45">
        <f>('[2]Renewable Diesel'!B47*'[2]RD Feedstock Breakdown'!H$3*'[2]Feedstock Conversion Rates'!B$3)/12</f>
        <v>40.904400000000003</v>
      </c>
      <c r="I38" s="47">
        <f t="shared" si="14"/>
        <v>115.10573333333335</v>
      </c>
      <c r="J38" s="47"/>
      <c r="K38" s="48"/>
      <c r="L38" s="47"/>
      <c r="T38" s="49"/>
      <c r="AC38" s="49"/>
      <c r="AG38" s="49"/>
      <c r="AT38" s="49"/>
      <c r="BX38" s="49"/>
      <c r="CI38" s="49"/>
      <c r="DD38" s="49"/>
      <c r="DJ38" s="49"/>
      <c r="DP38" s="45">
        <f t="shared" si="0"/>
        <v>20.853333333333332</v>
      </c>
      <c r="DQ38" s="45">
        <f t="shared" si="1"/>
        <v>40.904400000000003</v>
      </c>
      <c r="DR38" s="45">
        <f t="shared" si="10"/>
        <v>0</v>
      </c>
      <c r="DS38" s="49"/>
      <c r="DT38" s="45">
        <f t="shared" si="2"/>
        <v>0</v>
      </c>
      <c r="DU38" s="45">
        <f t="shared" si="3"/>
        <v>40.847999999999999</v>
      </c>
      <c r="DV38" s="45">
        <f t="shared" si="4"/>
        <v>12.5</v>
      </c>
      <c r="DW38" s="45">
        <f t="shared" si="5"/>
        <v>0</v>
      </c>
      <c r="DX38" s="47">
        <f t="shared" si="6"/>
        <v>115.10573333333333</v>
      </c>
      <c r="DY38" s="50">
        <f t="shared" si="7"/>
        <v>1.4210854715202004E-14</v>
      </c>
      <c r="EA38" s="51">
        <f t="shared" si="15"/>
        <v>0.18116676493380576</v>
      </c>
      <c r="EB38" s="51">
        <f t="shared" si="15"/>
        <v>0.35536370618086793</v>
      </c>
      <c r="EC38" s="51">
        <f t="shared" si="15"/>
        <v>0</v>
      </c>
      <c r="ED38" s="49"/>
      <c r="EE38" s="51">
        <f t="shared" si="16"/>
        <v>0</v>
      </c>
      <c r="EF38" s="51">
        <f t="shared" si="16"/>
        <v>0.35487372189974897</v>
      </c>
      <c r="EG38" s="51">
        <f t="shared" si="16"/>
        <v>0.10859580698557732</v>
      </c>
      <c r="EH38" s="52">
        <f t="shared" si="11"/>
        <v>0</v>
      </c>
      <c r="EI38" s="51">
        <f t="shared" si="12"/>
        <v>1</v>
      </c>
      <c r="EK38" s="53">
        <f>EA38*'[2]Renewable Diesel'!BF47*'[2]Feedstock Conversion Rates'!B$2</f>
        <v>17.337071880346528</v>
      </c>
      <c r="EL38" s="53">
        <f>EB38*'[2]Renewable Diesel'!BF47*'[2]Feedstock Conversion Rates'!B$3</f>
        <v>32.046741816288161</v>
      </c>
      <c r="EM38" s="53">
        <f>EC38*'[2]Renewable Diesel'!BF47*'[2]Feedstock Conversion Rates'!B$4</f>
        <v>0</v>
      </c>
      <c r="EN38" s="49"/>
      <c r="EO38" s="53">
        <f>EE38*'[2]Renewable Diesel'!BF47*'[2]Feedstock Conversion Rates'!B$6</f>
        <v>0</v>
      </c>
      <c r="EP38" s="53">
        <f>EF38*'[2]Renewable Diesel'!BF47*'[2]Feedstock Conversion Rates'!B$7</f>
        <v>36.756991981058562</v>
      </c>
      <c r="EQ38" s="53">
        <f>EG38*'[2]Renewable Diesel'!BF47*'[2]Feedstock Conversion Rates'!B$8</f>
        <v>11.462058697409221</v>
      </c>
      <c r="ER38" s="53">
        <f>EH38*'[2]Renewable Diesel'!BF47*'[2]Feedstock Conversion Rates'!B$9</f>
        <v>0</v>
      </c>
      <c r="ES38" s="53">
        <f t="shared" si="13"/>
        <v>97.60286437510247</v>
      </c>
    </row>
    <row r="39" spans="1:149" x14ac:dyDescent="0.25">
      <c r="A39" s="39">
        <v>41609</v>
      </c>
      <c r="C39" s="46"/>
      <c r="D39" s="45">
        <v>0</v>
      </c>
      <c r="E39" s="45">
        <f>('[2]Renewable Diesel'!B48*E$3*'[2]Feedstock Conversion Rates'!$B$2)/12</f>
        <v>20.853333333333332</v>
      </c>
      <c r="F39" s="45">
        <f>('[2]Renewable Diesel'!B48*'[2]RD Feedstock Breakdown'!F$3*'[2]Feedstock Conversion Rates'!B$8)/12</f>
        <v>12.5</v>
      </c>
      <c r="G39" s="45">
        <f>('[2]Renewable Diesel'!B48*'[2]RD Feedstock Breakdown'!G$3*'[2]Feedstock Conversion Rates'!B$7)/12</f>
        <v>40.847999999999999</v>
      </c>
      <c r="H39" s="45">
        <f>('[2]Renewable Diesel'!B48*'[2]RD Feedstock Breakdown'!H$3*'[2]Feedstock Conversion Rates'!B$3)/12</f>
        <v>40.904400000000003</v>
      </c>
      <c r="I39" s="47">
        <f t="shared" si="14"/>
        <v>115.10573333333335</v>
      </c>
      <c r="J39" s="47"/>
      <c r="K39" s="48"/>
      <c r="L39" s="47"/>
      <c r="T39" s="49"/>
      <c r="AC39" s="49"/>
      <c r="AG39" s="49"/>
      <c r="AT39" s="49"/>
      <c r="BX39" s="49"/>
      <c r="CI39" s="49"/>
      <c r="DD39" s="49"/>
      <c r="DJ39" s="49"/>
      <c r="DP39" s="45">
        <f t="shared" si="0"/>
        <v>20.853333333333332</v>
      </c>
      <c r="DQ39" s="45">
        <f t="shared" si="1"/>
        <v>40.904400000000003</v>
      </c>
      <c r="DR39" s="45">
        <f t="shared" si="10"/>
        <v>0</v>
      </c>
      <c r="DS39" s="49"/>
      <c r="DT39" s="45">
        <f t="shared" si="2"/>
        <v>0</v>
      </c>
      <c r="DU39" s="45">
        <f t="shared" si="3"/>
        <v>40.847999999999999</v>
      </c>
      <c r="DV39" s="45">
        <f t="shared" si="4"/>
        <v>12.5</v>
      </c>
      <c r="DW39" s="45">
        <f t="shared" si="5"/>
        <v>0</v>
      </c>
      <c r="DX39" s="47">
        <f t="shared" si="6"/>
        <v>115.10573333333333</v>
      </c>
      <c r="DY39" s="50">
        <f t="shared" si="7"/>
        <v>1.4210854715202004E-14</v>
      </c>
      <c r="EA39" s="51">
        <f t="shared" si="15"/>
        <v>0.18116676493380576</v>
      </c>
      <c r="EB39" s="51">
        <f t="shared" si="15"/>
        <v>0.35536370618086793</v>
      </c>
      <c r="EC39" s="51">
        <f t="shared" si="15"/>
        <v>0</v>
      </c>
      <c r="ED39" s="49"/>
      <c r="EE39" s="51">
        <f t="shared" si="16"/>
        <v>0</v>
      </c>
      <c r="EF39" s="51">
        <f t="shared" si="16"/>
        <v>0.35487372189974897</v>
      </c>
      <c r="EG39" s="51">
        <f t="shared" si="16"/>
        <v>0.10859580698557732</v>
      </c>
      <c r="EH39" s="52">
        <f t="shared" si="11"/>
        <v>0</v>
      </c>
      <c r="EI39" s="51">
        <f t="shared" si="12"/>
        <v>1</v>
      </c>
      <c r="EK39" s="53">
        <f>EA39*'[2]Renewable Diesel'!BF48*'[2]Feedstock Conversion Rates'!B$2</f>
        <v>20.524799664076969</v>
      </c>
      <c r="EL39" s="53">
        <f>EB39*'[2]Renewable Diesel'!BF48*'[2]Feedstock Conversion Rates'!B$3</f>
        <v>37.939102993011623</v>
      </c>
      <c r="EM39" s="53">
        <f>EC39*'[2]Renewable Diesel'!BF48*'[2]Feedstock Conversion Rates'!B$4</f>
        <v>0</v>
      </c>
      <c r="EN39" s="49"/>
      <c r="EO39" s="53">
        <f>EE39*'[2]Renewable Diesel'!BF48*'[2]Feedstock Conversion Rates'!B$6</f>
        <v>0</v>
      </c>
      <c r="EP39" s="53">
        <f>EF39*'[2]Renewable Diesel'!BF48*'[2]Feedstock Conversion Rates'!B$7</f>
        <v>43.515416090564848</v>
      </c>
      <c r="EQ39" s="53">
        <f>EG39*'[2]Renewable Diesel'!BF48*'[2]Feedstock Conversion Rates'!B$8</f>
        <v>13.569561234207274</v>
      </c>
      <c r="ER39" s="53">
        <f>EH39*'[2]Renewable Diesel'!BF48*'[2]Feedstock Conversion Rates'!B$9</f>
        <v>0</v>
      </c>
      <c r="ES39" s="53">
        <f t="shared" si="13"/>
        <v>115.54887998186072</v>
      </c>
    </row>
    <row r="40" spans="1:149" x14ac:dyDescent="0.25">
      <c r="A40" s="39">
        <v>41640</v>
      </c>
      <c r="C40" s="46"/>
      <c r="D40" s="45">
        <v>0</v>
      </c>
      <c r="E40" s="45">
        <f>('[2]Renewable Diesel'!B49*E$3*'[2]Feedstock Conversion Rates'!$B$2)/12</f>
        <v>20.853333333333332</v>
      </c>
      <c r="F40" s="45">
        <f>('[2]Renewable Diesel'!B49*'[2]RD Feedstock Breakdown'!F$3*'[2]Feedstock Conversion Rates'!B$8)/12</f>
        <v>12.5</v>
      </c>
      <c r="G40" s="45">
        <f>('[2]Renewable Diesel'!B49*'[2]RD Feedstock Breakdown'!G$3*'[2]Feedstock Conversion Rates'!B$7)/12</f>
        <v>40.847999999999999</v>
      </c>
      <c r="H40" s="45">
        <f>('[2]Renewable Diesel'!B49*'[2]RD Feedstock Breakdown'!H$3*'[2]Feedstock Conversion Rates'!B$3)/12</f>
        <v>40.904400000000003</v>
      </c>
      <c r="I40" s="47">
        <f t="shared" si="14"/>
        <v>115.10573333333335</v>
      </c>
      <c r="J40" s="47"/>
      <c r="K40" s="48"/>
      <c r="L40" s="47"/>
      <c r="T40" s="49"/>
      <c r="AC40" s="49"/>
      <c r="AG40" s="49"/>
      <c r="AT40" s="49"/>
      <c r="BX40" s="49"/>
      <c r="CI40" s="49"/>
      <c r="DD40" s="49"/>
      <c r="DJ40" s="49"/>
      <c r="DP40" s="45">
        <f t="shared" si="0"/>
        <v>20.853333333333332</v>
      </c>
      <c r="DQ40" s="45">
        <f t="shared" si="1"/>
        <v>40.904400000000003</v>
      </c>
      <c r="DR40" s="45">
        <f t="shared" si="10"/>
        <v>0</v>
      </c>
      <c r="DS40" s="49"/>
      <c r="DT40" s="45">
        <f t="shared" si="2"/>
        <v>0</v>
      </c>
      <c r="DU40" s="45">
        <f t="shared" si="3"/>
        <v>40.847999999999999</v>
      </c>
      <c r="DV40" s="45">
        <f t="shared" si="4"/>
        <v>12.5</v>
      </c>
      <c r="DW40" s="45">
        <f t="shared" si="5"/>
        <v>0</v>
      </c>
      <c r="DX40" s="47">
        <f t="shared" si="6"/>
        <v>115.10573333333333</v>
      </c>
      <c r="DY40" s="50">
        <f t="shared" si="7"/>
        <v>1.4210854715202004E-14</v>
      </c>
      <c r="EA40" s="51">
        <f t="shared" si="15"/>
        <v>0.18116676493380576</v>
      </c>
      <c r="EB40" s="51">
        <f t="shared" si="15"/>
        <v>0.35536370618086793</v>
      </c>
      <c r="EC40" s="51">
        <f t="shared" si="15"/>
        <v>0</v>
      </c>
      <c r="ED40" s="49"/>
      <c r="EE40" s="51">
        <f t="shared" si="16"/>
        <v>0</v>
      </c>
      <c r="EF40" s="51">
        <f t="shared" si="16"/>
        <v>0.35487372189974897</v>
      </c>
      <c r="EG40" s="51">
        <f t="shared" si="16"/>
        <v>0.10859580698557732</v>
      </c>
      <c r="EH40" s="52">
        <f t="shared" si="11"/>
        <v>0</v>
      </c>
      <c r="EI40" s="51">
        <f t="shared" si="12"/>
        <v>1</v>
      </c>
      <c r="EK40" s="53">
        <f>EA40*'[2]Renewable Diesel'!BF49*'[2]Feedstock Conversion Rates'!B$2</f>
        <v>15.544652565699014</v>
      </c>
      <c r="EL40" s="53">
        <f>EB40*'[2]Renewable Diesel'!BF49*'[2]Feedstock Conversion Rates'!B$3</f>
        <v>28.733541098227288</v>
      </c>
      <c r="EM40" s="53">
        <f>EC40*'[2]Renewable Diesel'!BF49*'[2]Feedstock Conversion Rates'!B$4</f>
        <v>0</v>
      </c>
      <c r="EN40" s="49"/>
      <c r="EO40" s="53">
        <f>EE40*'[2]Renewable Diesel'!BF49*'[2]Feedstock Conversion Rates'!B$6</f>
        <v>0</v>
      </c>
      <c r="EP40" s="53">
        <f>EF40*'[2]Renewable Diesel'!BF49*'[2]Feedstock Conversion Rates'!B$7</f>
        <v>32.956814948287544</v>
      </c>
      <c r="EQ40" s="53">
        <f>EG40*'[2]Renewable Diesel'!BF49*'[2]Feedstock Conversion Rates'!B$8</f>
        <v>10.277036478164135</v>
      </c>
      <c r="ER40" s="53">
        <f>EH40*'[2]Renewable Diesel'!BF49*'[2]Feedstock Conversion Rates'!B$9</f>
        <v>0</v>
      </c>
      <c r="ES40" s="53">
        <f t="shared" si="13"/>
        <v>87.512045090377981</v>
      </c>
    </row>
    <row r="41" spans="1:149" x14ac:dyDescent="0.25">
      <c r="A41" s="39">
        <v>41671</v>
      </c>
      <c r="C41" s="46"/>
      <c r="D41" s="45">
        <v>0</v>
      </c>
      <c r="E41" s="45">
        <f>('[2]Renewable Diesel'!B50*E$3*'[2]Feedstock Conversion Rates'!$B$2)/12</f>
        <v>20.853333333333332</v>
      </c>
      <c r="F41" s="45">
        <f>('[2]Renewable Diesel'!B50*'[2]RD Feedstock Breakdown'!F$3*'[2]Feedstock Conversion Rates'!B$8)/12</f>
        <v>12.5</v>
      </c>
      <c r="G41" s="45">
        <f>('[2]Renewable Diesel'!B50*'[2]RD Feedstock Breakdown'!G$3*'[2]Feedstock Conversion Rates'!B$7)/12</f>
        <v>40.847999999999999</v>
      </c>
      <c r="H41" s="45">
        <f>('[2]Renewable Diesel'!B50*'[2]RD Feedstock Breakdown'!H$3*'[2]Feedstock Conversion Rates'!B$3)/12</f>
        <v>40.904400000000003</v>
      </c>
      <c r="I41" s="47">
        <f t="shared" si="14"/>
        <v>115.10573333333335</v>
      </c>
      <c r="J41" s="47"/>
      <c r="K41" s="48"/>
      <c r="L41" s="47"/>
      <c r="T41" s="49"/>
      <c r="AC41" s="49"/>
      <c r="AG41" s="49"/>
      <c r="AT41" s="49"/>
      <c r="BX41" s="49"/>
      <c r="CI41" s="49"/>
      <c r="DD41" s="49"/>
      <c r="DJ41" s="49"/>
      <c r="DP41" s="45">
        <f t="shared" si="0"/>
        <v>20.853333333333332</v>
      </c>
      <c r="DQ41" s="45">
        <f t="shared" si="1"/>
        <v>40.904400000000003</v>
      </c>
      <c r="DR41" s="45">
        <f t="shared" si="10"/>
        <v>0</v>
      </c>
      <c r="DS41" s="49"/>
      <c r="DT41" s="45">
        <f t="shared" si="2"/>
        <v>0</v>
      </c>
      <c r="DU41" s="45">
        <f t="shared" si="3"/>
        <v>40.847999999999999</v>
      </c>
      <c r="DV41" s="45">
        <f t="shared" si="4"/>
        <v>12.5</v>
      </c>
      <c r="DW41" s="45">
        <f t="shared" si="5"/>
        <v>0</v>
      </c>
      <c r="DX41" s="47">
        <f t="shared" si="6"/>
        <v>115.10573333333333</v>
      </c>
      <c r="DY41" s="50">
        <f t="shared" si="7"/>
        <v>1.4210854715202004E-14</v>
      </c>
      <c r="EA41" s="51">
        <f t="shared" si="15"/>
        <v>0.18116676493380576</v>
      </c>
      <c r="EB41" s="51">
        <f t="shared" si="15"/>
        <v>0.35536370618086793</v>
      </c>
      <c r="EC41" s="51">
        <f t="shared" si="15"/>
        <v>0</v>
      </c>
      <c r="ED41" s="49"/>
      <c r="EE41" s="51">
        <f t="shared" si="16"/>
        <v>0</v>
      </c>
      <c r="EF41" s="51">
        <f t="shared" si="16"/>
        <v>0.35487372189974897</v>
      </c>
      <c r="EG41" s="51">
        <f t="shared" si="16"/>
        <v>0.10859580698557732</v>
      </c>
      <c r="EH41" s="52">
        <f t="shared" si="11"/>
        <v>0</v>
      </c>
      <c r="EI41" s="51">
        <f t="shared" si="12"/>
        <v>1</v>
      </c>
      <c r="EK41" s="53">
        <f>EA41*'[2]Renewable Diesel'!BF50*'[2]Feedstock Conversion Rates'!B$2</f>
        <v>18.124699644732438</v>
      </c>
      <c r="EL41" s="53">
        <f>EB41*'[2]Renewable Diesel'!BF50*'[2]Feedstock Conversion Rates'!B$3</f>
        <v>33.502633779291948</v>
      </c>
      <c r="EM41" s="53">
        <f>EC41*'[2]Renewable Diesel'!BF50*'[2]Feedstock Conversion Rates'!B$4</f>
        <v>0</v>
      </c>
      <c r="EN41" s="49"/>
      <c r="EO41" s="53">
        <f>EE41*'[2]Renewable Diesel'!BF50*'[2]Feedstock Conversion Rates'!B$6</f>
        <v>0</v>
      </c>
      <c r="EP41" s="53">
        <f>EF41*'[2]Renewable Diesel'!BF50*'[2]Feedstock Conversion Rates'!B$7</f>
        <v>38.426871855780128</v>
      </c>
      <c r="EQ41" s="53">
        <f>EG41*'[2]Renewable Diesel'!BF50*'[2]Feedstock Conversion Rates'!B$8</f>
        <v>11.982783057866795</v>
      </c>
      <c r="ER41" s="53">
        <f>EH41*'[2]Renewable Diesel'!BF50*'[2]Feedstock Conversion Rates'!B$9</f>
        <v>0</v>
      </c>
      <c r="ES41" s="53">
        <f t="shared" si="13"/>
        <v>102.0369883376713</v>
      </c>
    </row>
    <row r="42" spans="1:149" x14ac:dyDescent="0.25">
      <c r="A42" s="39">
        <v>41699</v>
      </c>
      <c r="C42" s="46"/>
      <c r="D42" s="45">
        <v>0</v>
      </c>
      <c r="E42" s="45">
        <f>('[2]Renewable Diesel'!B51*E$3*'[2]Feedstock Conversion Rates'!$B$2)/12</f>
        <v>20.853333333333332</v>
      </c>
      <c r="F42" s="45">
        <f>('[2]Renewable Diesel'!B51*'[2]RD Feedstock Breakdown'!F$3*'[2]Feedstock Conversion Rates'!B$8)/12</f>
        <v>12.5</v>
      </c>
      <c r="G42" s="45">
        <f>('[2]Renewable Diesel'!B51*'[2]RD Feedstock Breakdown'!G$3*'[2]Feedstock Conversion Rates'!B$7)/12</f>
        <v>40.847999999999999</v>
      </c>
      <c r="H42" s="45">
        <f>('[2]Renewable Diesel'!B51*'[2]RD Feedstock Breakdown'!H$3*'[2]Feedstock Conversion Rates'!B$3)/12</f>
        <v>40.904400000000003</v>
      </c>
      <c r="I42" s="47">
        <f t="shared" si="14"/>
        <v>115.10573333333335</v>
      </c>
      <c r="J42" s="47"/>
      <c r="K42" s="48"/>
      <c r="L42" s="47"/>
      <c r="T42" s="49"/>
      <c r="AC42" s="49"/>
      <c r="AG42" s="49"/>
      <c r="AT42" s="49"/>
      <c r="BX42" s="49"/>
      <c r="CI42" s="49"/>
      <c r="DD42" s="49"/>
      <c r="DJ42" s="49"/>
      <c r="DP42" s="45">
        <f t="shared" si="0"/>
        <v>20.853333333333332</v>
      </c>
      <c r="DQ42" s="45">
        <f t="shared" si="1"/>
        <v>40.904400000000003</v>
      </c>
      <c r="DR42" s="45">
        <f t="shared" si="10"/>
        <v>0</v>
      </c>
      <c r="DS42" s="49"/>
      <c r="DT42" s="45">
        <f t="shared" si="2"/>
        <v>0</v>
      </c>
      <c r="DU42" s="45">
        <f t="shared" si="3"/>
        <v>40.847999999999999</v>
      </c>
      <c r="DV42" s="45">
        <f t="shared" si="4"/>
        <v>12.5</v>
      </c>
      <c r="DW42" s="45">
        <f t="shared" si="5"/>
        <v>0</v>
      </c>
      <c r="DX42" s="47">
        <f t="shared" si="6"/>
        <v>115.10573333333333</v>
      </c>
      <c r="DY42" s="50">
        <f t="shared" si="7"/>
        <v>1.4210854715202004E-14</v>
      </c>
      <c r="EA42" s="51">
        <f t="shared" si="15"/>
        <v>0.18116676493380576</v>
      </c>
      <c r="EB42" s="51">
        <f t="shared" si="15"/>
        <v>0.35536370618086793</v>
      </c>
      <c r="EC42" s="51">
        <f t="shared" si="15"/>
        <v>0</v>
      </c>
      <c r="ED42" s="49"/>
      <c r="EE42" s="51">
        <f t="shared" si="16"/>
        <v>0</v>
      </c>
      <c r="EF42" s="51">
        <f t="shared" si="16"/>
        <v>0.35487372189974897</v>
      </c>
      <c r="EG42" s="51">
        <f t="shared" si="16"/>
        <v>0.10859580698557732</v>
      </c>
      <c r="EH42" s="52">
        <f t="shared" si="11"/>
        <v>0</v>
      </c>
      <c r="EI42" s="51">
        <f t="shared" si="12"/>
        <v>1</v>
      </c>
      <c r="EK42" s="53">
        <f>EA42*'[2]Renewable Diesel'!BF51*'[2]Feedstock Conversion Rates'!B$2</f>
        <v>21.889634705714048</v>
      </c>
      <c r="EL42" s="53">
        <f>EB42*'[2]Renewable Diesel'!BF51*'[2]Feedstock Conversion Rates'!B$3</f>
        <v>40.461934789697473</v>
      </c>
      <c r="EM42" s="53">
        <f>EC42*'[2]Renewable Diesel'!BF51*'[2]Feedstock Conversion Rates'!B$4</f>
        <v>0</v>
      </c>
      <c r="EN42" s="49"/>
      <c r="EO42" s="53">
        <f>EE42*'[2]Renewable Diesel'!BF51*'[2]Feedstock Conversion Rates'!B$6</f>
        <v>0</v>
      </c>
      <c r="EP42" s="53">
        <f>EF42*'[2]Renewable Diesel'!BF51*'[2]Feedstock Conversion Rates'!B$7</f>
        <v>46.409055283339484</v>
      </c>
      <c r="EQ42" s="53">
        <f>EG42*'[2]Renewable Diesel'!BF51*'[2]Feedstock Conversion Rates'!B$8</f>
        <v>14.471894654031134</v>
      </c>
      <c r="ER42" s="53">
        <f>EH42*'[2]Renewable Diesel'!BF51*'[2]Feedstock Conversion Rates'!B$9</f>
        <v>0</v>
      </c>
      <c r="ES42" s="53">
        <f t="shared" si="13"/>
        <v>123.23251943278214</v>
      </c>
    </row>
    <row r="43" spans="1:149" x14ac:dyDescent="0.25">
      <c r="A43" s="39">
        <v>41730</v>
      </c>
      <c r="C43" s="46"/>
      <c r="D43" s="45">
        <v>0</v>
      </c>
      <c r="E43" s="45">
        <f>('[2]Renewable Diesel'!B52*E$3*'[2]Feedstock Conversion Rates'!$B$2)/12</f>
        <v>20.853333333333332</v>
      </c>
      <c r="F43" s="45">
        <f>('[2]Renewable Diesel'!B52*'[2]RD Feedstock Breakdown'!F$3*'[2]Feedstock Conversion Rates'!B$8)/12</f>
        <v>12.5</v>
      </c>
      <c r="G43" s="45">
        <f>('[2]Renewable Diesel'!B52*'[2]RD Feedstock Breakdown'!G$3*'[2]Feedstock Conversion Rates'!B$7)/12</f>
        <v>40.847999999999999</v>
      </c>
      <c r="H43" s="45">
        <f>('[2]Renewable Diesel'!B52*'[2]RD Feedstock Breakdown'!H$3*'[2]Feedstock Conversion Rates'!B$3)/12</f>
        <v>40.904400000000003</v>
      </c>
      <c r="I43" s="47">
        <f t="shared" si="14"/>
        <v>115.10573333333335</v>
      </c>
      <c r="J43" s="47"/>
      <c r="K43" s="48"/>
      <c r="L43" s="47"/>
      <c r="T43" s="49"/>
      <c r="AC43" s="49"/>
      <c r="AG43" s="49"/>
      <c r="AT43" s="49"/>
      <c r="BX43" s="49"/>
      <c r="CI43" s="49"/>
      <c r="DD43" s="49"/>
      <c r="DJ43" s="49"/>
      <c r="DP43" s="45">
        <f t="shared" si="0"/>
        <v>20.853333333333332</v>
      </c>
      <c r="DQ43" s="45">
        <f t="shared" si="1"/>
        <v>40.904400000000003</v>
      </c>
      <c r="DR43" s="45">
        <f t="shared" si="10"/>
        <v>0</v>
      </c>
      <c r="DS43" s="49"/>
      <c r="DT43" s="45">
        <f t="shared" si="2"/>
        <v>0</v>
      </c>
      <c r="DU43" s="45">
        <f t="shared" si="3"/>
        <v>40.847999999999999</v>
      </c>
      <c r="DV43" s="45">
        <f t="shared" si="4"/>
        <v>12.5</v>
      </c>
      <c r="DW43" s="45">
        <f t="shared" si="5"/>
        <v>0</v>
      </c>
      <c r="DX43" s="47">
        <f t="shared" si="6"/>
        <v>115.10573333333333</v>
      </c>
      <c r="DY43" s="50">
        <f t="shared" si="7"/>
        <v>1.4210854715202004E-14</v>
      </c>
      <c r="EA43" s="51">
        <f t="shared" si="15"/>
        <v>0.18116676493380576</v>
      </c>
      <c r="EB43" s="51">
        <f t="shared" si="15"/>
        <v>0.35536370618086793</v>
      </c>
      <c r="EC43" s="51">
        <f t="shared" si="15"/>
        <v>0</v>
      </c>
      <c r="ED43" s="49"/>
      <c r="EE43" s="51">
        <f t="shared" si="16"/>
        <v>0</v>
      </c>
      <c r="EF43" s="51">
        <f t="shared" si="16"/>
        <v>0.35487372189974897</v>
      </c>
      <c r="EG43" s="51">
        <f t="shared" si="16"/>
        <v>0.10859580698557732</v>
      </c>
      <c r="EH43" s="52">
        <f t="shared" si="11"/>
        <v>0</v>
      </c>
      <c r="EI43" s="51">
        <f t="shared" si="12"/>
        <v>1</v>
      </c>
      <c r="EK43" s="53">
        <f>EA43*'[2]Renewable Diesel'!BF52*'[2]Feedstock Conversion Rates'!B$2</f>
        <v>19.645369717813068</v>
      </c>
      <c r="EL43" s="53">
        <f>EB43*'[2]Renewable Diesel'!BF52*'[2]Feedstock Conversion Rates'!B$3</f>
        <v>36.31351912118263</v>
      </c>
      <c r="EM43" s="53">
        <f>EC43*'[2]Renewable Diesel'!BF52*'[2]Feedstock Conversion Rates'!B$4</f>
        <v>0</v>
      </c>
      <c r="EN43" s="49"/>
      <c r="EO43" s="53">
        <f>EE43*'[2]Renewable Diesel'!BF52*'[2]Feedstock Conversion Rates'!B$6</f>
        <v>0</v>
      </c>
      <c r="EP43" s="53">
        <f>EF43*'[2]Renewable Diesel'!BF52*'[2]Feedstock Conversion Rates'!B$7</f>
        <v>41.650902884077595</v>
      </c>
      <c r="EQ43" s="53">
        <f>EG43*'[2]Renewable Diesel'!BF52*'[2]Feedstock Conversion Rates'!B$8</f>
        <v>12.988143695311152</v>
      </c>
      <c r="ER43" s="53">
        <f>EH43*'[2]Renewable Diesel'!BF52*'[2]Feedstock Conversion Rates'!B$9</f>
        <v>0</v>
      </c>
      <c r="ES43" s="53">
        <f t="shared" si="13"/>
        <v>110.59793541838445</v>
      </c>
    </row>
    <row r="44" spans="1:149" x14ac:dyDescent="0.25">
      <c r="A44" s="39">
        <v>41760</v>
      </c>
      <c r="C44" s="46"/>
      <c r="D44" s="45">
        <v>0</v>
      </c>
      <c r="E44" s="45">
        <f>('[2]Renewable Diesel'!B53*E$3*'[2]Feedstock Conversion Rates'!$B$2)/12</f>
        <v>20.853333333333332</v>
      </c>
      <c r="F44" s="45">
        <f>('[2]Renewable Diesel'!B53*'[2]RD Feedstock Breakdown'!F$3*'[2]Feedstock Conversion Rates'!B$8)/12</f>
        <v>12.5</v>
      </c>
      <c r="G44" s="45">
        <f>('[2]Renewable Diesel'!B53*'[2]RD Feedstock Breakdown'!G$3*'[2]Feedstock Conversion Rates'!B$7)/12</f>
        <v>40.847999999999999</v>
      </c>
      <c r="H44" s="45">
        <f>('[2]Renewable Diesel'!B53*'[2]RD Feedstock Breakdown'!H$3*'[2]Feedstock Conversion Rates'!B$3)/12</f>
        <v>40.904400000000003</v>
      </c>
      <c r="I44" s="47">
        <f t="shared" si="14"/>
        <v>115.10573333333335</v>
      </c>
      <c r="J44" s="47"/>
      <c r="K44" s="48"/>
      <c r="L44" s="47"/>
      <c r="T44" s="49"/>
      <c r="AC44" s="49"/>
      <c r="AG44" s="49"/>
      <c r="AT44" s="49"/>
      <c r="BX44" s="49"/>
      <c r="CI44" s="49"/>
      <c r="DD44" s="49"/>
      <c r="DJ44" s="49"/>
      <c r="DP44" s="45">
        <f t="shared" si="0"/>
        <v>20.853333333333332</v>
      </c>
      <c r="DQ44" s="45">
        <f t="shared" si="1"/>
        <v>40.904400000000003</v>
      </c>
      <c r="DR44" s="45">
        <f t="shared" si="10"/>
        <v>0</v>
      </c>
      <c r="DS44" s="49"/>
      <c r="DT44" s="45">
        <f t="shared" si="2"/>
        <v>0</v>
      </c>
      <c r="DU44" s="45">
        <f t="shared" si="3"/>
        <v>40.847999999999999</v>
      </c>
      <c r="DV44" s="45">
        <f t="shared" si="4"/>
        <v>12.5</v>
      </c>
      <c r="DW44" s="45">
        <f t="shared" si="5"/>
        <v>0</v>
      </c>
      <c r="DX44" s="47">
        <f t="shared" si="6"/>
        <v>115.10573333333333</v>
      </c>
      <c r="DY44" s="50">
        <f t="shared" si="7"/>
        <v>1.4210854715202004E-14</v>
      </c>
      <c r="EA44" s="51">
        <f t="shared" si="15"/>
        <v>0.18116676493380576</v>
      </c>
      <c r="EB44" s="51">
        <f t="shared" si="15"/>
        <v>0.35536370618086793</v>
      </c>
      <c r="EC44" s="51">
        <f t="shared" si="15"/>
        <v>0</v>
      </c>
      <c r="ED44" s="49"/>
      <c r="EE44" s="51">
        <f t="shared" si="16"/>
        <v>0</v>
      </c>
      <c r="EF44" s="51">
        <f t="shared" si="16"/>
        <v>0.35487372189974897</v>
      </c>
      <c r="EG44" s="51">
        <f t="shared" si="16"/>
        <v>0.10859580698557732</v>
      </c>
      <c r="EH44" s="52">
        <f t="shared" si="11"/>
        <v>0</v>
      </c>
      <c r="EI44" s="51">
        <f t="shared" si="12"/>
        <v>1</v>
      </c>
      <c r="EK44" s="53">
        <f>EA44*'[2]Renewable Diesel'!BF53*'[2]Feedstock Conversion Rates'!B$2</f>
        <v>23.802788172265959</v>
      </c>
      <c r="EL44" s="53">
        <f>EB44*'[2]Renewable Diesel'!BF53*'[2]Feedstock Conversion Rates'!B$3</f>
        <v>43.998306768810501</v>
      </c>
      <c r="EM44" s="53">
        <f>EC44*'[2]Renewable Diesel'!BF53*'[2]Feedstock Conversion Rates'!B$4</f>
        <v>0</v>
      </c>
      <c r="EN44" s="49"/>
      <c r="EO44" s="53">
        <f>EE44*'[2]Renewable Diesel'!BF53*'[2]Feedstock Conversion Rates'!B$6</f>
        <v>0</v>
      </c>
      <c r="EP44" s="53">
        <f>EF44*'[2]Renewable Diesel'!BF53*'[2]Feedstock Conversion Rates'!B$7</f>
        <v>50.465205428757088</v>
      </c>
      <c r="EQ44" s="53">
        <f>EG44*'[2]Renewable Diesel'!BF53*'[2]Feedstock Conversion Rates'!B$8</f>
        <v>15.736737845667692</v>
      </c>
      <c r="ER44" s="53">
        <f>EH44*'[2]Renewable Diesel'!BF53*'[2]Feedstock Conversion Rates'!B$9</f>
        <v>0</v>
      </c>
      <c r="ES44" s="53">
        <f t="shared" si="13"/>
        <v>134.00303821550125</v>
      </c>
    </row>
    <row r="45" spans="1:149" x14ac:dyDescent="0.25">
      <c r="A45" s="39">
        <v>41791</v>
      </c>
      <c r="C45" s="46"/>
      <c r="D45" s="45">
        <v>0</v>
      </c>
      <c r="E45" s="45">
        <f>('[2]Renewable Diesel'!B54*E$3*'[2]Feedstock Conversion Rates'!$B$2)/12</f>
        <v>20.853333333333332</v>
      </c>
      <c r="F45" s="45">
        <f>('[2]Renewable Diesel'!B54*'[2]RD Feedstock Breakdown'!F$3*'[2]Feedstock Conversion Rates'!B$8)/12</f>
        <v>12.5</v>
      </c>
      <c r="G45" s="45">
        <f>('[2]Renewable Diesel'!B54*'[2]RD Feedstock Breakdown'!G$3*'[2]Feedstock Conversion Rates'!B$7)/12</f>
        <v>40.847999999999999</v>
      </c>
      <c r="H45" s="45">
        <f>('[2]Renewable Diesel'!B54*'[2]RD Feedstock Breakdown'!H$3*'[2]Feedstock Conversion Rates'!B$3)/12</f>
        <v>40.904400000000003</v>
      </c>
      <c r="I45" s="47">
        <f t="shared" si="14"/>
        <v>115.10573333333335</v>
      </c>
      <c r="J45" s="47"/>
      <c r="K45" s="48"/>
      <c r="L45" s="47"/>
      <c r="T45" s="49"/>
      <c r="AC45" s="49"/>
      <c r="AG45" s="49"/>
      <c r="AT45" s="49"/>
      <c r="BX45" s="49"/>
      <c r="CI45" s="49"/>
      <c r="DD45" s="49"/>
      <c r="DJ45" s="49"/>
      <c r="DP45" s="45">
        <f t="shared" si="0"/>
        <v>20.853333333333332</v>
      </c>
      <c r="DQ45" s="45">
        <f t="shared" si="1"/>
        <v>40.904400000000003</v>
      </c>
      <c r="DR45" s="45">
        <f t="shared" si="10"/>
        <v>0</v>
      </c>
      <c r="DS45" s="49"/>
      <c r="DT45" s="45">
        <f t="shared" si="2"/>
        <v>0</v>
      </c>
      <c r="DU45" s="45">
        <f t="shared" si="3"/>
        <v>40.847999999999999</v>
      </c>
      <c r="DV45" s="45">
        <f t="shared" si="4"/>
        <v>12.5</v>
      </c>
      <c r="DW45" s="45">
        <f t="shared" si="5"/>
        <v>0</v>
      </c>
      <c r="DX45" s="47">
        <f t="shared" si="6"/>
        <v>115.10573333333333</v>
      </c>
      <c r="DY45" s="50">
        <f t="shared" si="7"/>
        <v>1.4210854715202004E-14</v>
      </c>
      <c r="EA45" s="51">
        <f t="shared" si="15"/>
        <v>0.18116676493380576</v>
      </c>
      <c r="EB45" s="51">
        <f t="shared" si="15"/>
        <v>0.35536370618086793</v>
      </c>
      <c r="EC45" s="51">
        <f t="shared" si="15"/>
        <v>0</v>
      </c>
      <c r="ED45" s="49"/>
      <c r="EE45" s="51">
        <f t="shared" si="16"/>
        <v>0</v>
      </c>
      <c r="EF45" s="51">
        <f t="shared" si="16"/>
        <v>0.35487372189974897</v>
      </c>
      <c r="EG45" s="51">
        <f t="shared" si="16"/>
        <v>0.10859580698557732</v>
      </c>
      <c r="EH45" s="52">
        <f t="shared" si="11"/>
        <v>0</v>
      </c>
      <c r="EI45" s="51">
        <f t="shared" si="12"/>
        <v>1</v>
      </c>
      <c r="EK45" s="53">
        <f>EA45*'[2]Renewable Diesel'!BF54*'[2]Feedstock Conversion Rates'!B$2</f>
        <v>22.926322567193292</v>
      </c>
      <c r="EL45" s="53">
        <f>EB45*'[2]Renewable Diesel'!BF54*'[2]Feedstock Conversion Rates'!B$3</f>
        <v>42.378202338808038</v>
      </c>
      <c r="EM45" s="53">
        <f>EC45*'[2]Renewable Diesel'!BF54*'[2]Feedstock Conversion Rates'!B$4</f>
        <v>0</v>
      </c>
      <c r="EN45" s="49"/>
      <c r="EO45" s="53">
        <f>EE45*'[2]Renewable Diesel'!BF54*'[2]Feedstock Conversion Rates'!B$6</f>
        <v>0</v>
      </c>
      <c r="EP45" s="53">
        <f>EF45*'[2]Renewable Diesel'!BF54*'[2]Feedstock Conversion Rates'!B$7</f>
        <v>48.606977035884682</v>
      </c>
      <c r="EQ45" s="53">
        <f>EG45*'[2]Renewable Diesel'!BF54*'[2]Feedstock Conversion Rates'!B$8</f>
        <v>15.157280121725764</v>
      </c>
      <c r="ER45" s="53">
        <f>EH45*'[2]Renewable Diesel'!BF54*'[2]Feedstock Conversion Rates'!B$9</f>
        <v>0</v>
      </c>
      <c r="ES45" s="53">
        <f t="shared" si="13"/>
        <v>129.06878206361179</v>
      </c>
    </row>
    <row r="46" spans="1:149" x14ac:dyDescent="0.25">
      <c r="A46" s="39">
        <v>41821</v>
      </c>
      <c r="C46" s="46"/>
      <c r="D46" s="45">
        <v>0</v>
      </c>
      <c r="E46" s="45">
        <f>('[2]Renewable Diesel'!B55*E$3*'[2]Feedstock Conversion Rates'!$B$2)/12</f>
        <v>20.853333333333332</v>
      </c>
      <c r="F46" s="45">
        <f>('[2]Renewable Diesel'!B55*'[2]RD Feedstock Breakdown'!F$3*'[2]Feedstock Conversion Rates'!B$8)/12</f>
        <v>12.5</v>
      </c>
      <c r="G46" s="45">
        <f>('[2]Renewable Diesel'!B55*'[2]RD Feedstock Breakdown'!G$3*'[2]Feedstock Conversion Rates'!B$7)/12</f>
        <v>40.847999999999999</v>
      </c>
      <c r="H46" s="45">
        <f>('[2]Renewable Diesel'!B55*'[2]RD Feedstock Breakdown'!H$3*'[2]Feedstock Conversion Rates'!B$3)/12</f>
        <v>40.904400000000003</v>
      </c>
      <c r="I46" s="47">
        <f t="shared" si="14"/>
        <v>115.10573333333335</v>
      </c>
      <c r="J46" s="47"/>
      <c r="K46" s="48"/>
      <c r="L46" s="47"/>
      <c r="T46" s="49"/>
      <c r="AC46" s="49"/>
      <c r="AG46" s="49"/>
      <c r="AT46" s="49"/>
      <c r="BX46" s="49"/>
      <c r="CI46" s="49"/>
      <c r="DD46" s="49"/>
      <c r="DJ46" s="49"/>
      <c r="DP46" s="45">
        <f t="shared" si="0"/>
        <v>20.853333333333332</v>
      </c>
      <c r="DQ46" s="45">
        <f t="shared" si="1"/>
        <v>40.904400000000003</v>
      </c>
      <c r="DR46" s="45">
        <f t="shared" si="10"/>
        <v>0</v>
      </c>
      <c r="DS46" s="49"/>
      <c r="DT46" s="45">
        <f t="shared" si="2"/>
        <v>0</v>
      </c>
      <c r="DU46" s="45">
        <f t="shared" si="3"/>
        <v>40.847999999999999</v>
      </c>
      <c r="DV46" s="45">
        <f t="shared" si="4"/>
        <v>12.5</v>
      </c>
      <c r="DW46" s="45">
        <f t="shared" si="5"/>
        <v>0</v>
      </c>
      <c r="DX46" s="47">
        <f t="shared" si="6"/>
        <v>115.10573333333333</v>
      </c>
      <c r="DY46" s="50">
        <f t="shared" si="7"/>
        <v>1.4210854715202004E-14</v>
      </c>
      <c r="EA46" s="51">
        <f t="shared" si="15"/>
        <v>0.18116676493380576</v>
      </c>
      <c r="EB46" s="51">
        <f t="shared" si="15"/>
        <v>0.35536370618086793</v>
      </c>
      <c r="EC46" s="51">
        <f t="shared" si="15"/>
        <v>0</v>
      </c>
      <c r="ED46" s="49"/>
      <c r="EE46" s="51">
        <f t="shared" si="16"/>
        <v>0</v>
      </c>
      <c r="EF46" s="51">
        <f t="shared" si="16"/>
        <v>0.35487372189974897</v>
      </c>
      <c r="EG46" s="51">
        <f t="shared" si="16"/>
        <v>0.10859580698557732</v>
      </c>
      <c r="EH46" s="52">
        <f t="shared" si="11"/>
        <v>0</v>
      </c>
      <c r="EI46" s="51">
        <f t="shared" si="12"/>
        <v>1</v>
      </c>
      <c r="EK46" s="53">
        <f>EA46*'[2]Renewable Diesel'!BF55*'[2]Feedstock Conversion Rates'!B$2</f>
        <v>19.423424488093847</v>
      </c>
      <c r="EL46" s="53">
        <f>EB46*'[2]Renewable Diesel'!BF55*'[2]Feedstock Conversion Rates'!B$3</f>
        <v>35.903264060624693</v>
      </c>
      <c r="EM46" s="53">
        <f>EC46*'[2]Renewable Diesel'!BF55*'[2]Feedstock Conversion Rates'!B$4</f>
        <v>0</v>
      </c>
      <c r="EN46" s="49"/>
      <c r="EO46" s="53">
        <f>EE46*'[2]Renewable Diesel'!BF55*'[2]Feedstock Conversion Rates'!B$6</f>
        <v>0</v>
      </c>
      <c r="EP46" s="53">
        <f>EF46*'[2]Renewable Diesel'!BF55*'[2]Feedstock Conversion Rates'!B$7</f>
        <v>41.180348278009902</v>
      </c>
      <c r="EQ46" s="53">
        <f>EG46*'[2]Renewable Diesel'!BF55*'[2]Feedstock Conversion Rates'!B$8</f>
        <v>12.841409040912241</v>
      </c>
      <c r="ER46" s="53">
        <f>EH46*'[2]Renewable Diesel'!BF55*'[2]Feedstock Conversion Rates'!B$9</f>
        <v>0</v>
      </c>
      <c r="ES46" s="53">
        <f t="shared" si="13"/>
        <v>109.34844586764068</v>
      </c>
    </row>
    <row r="47" spans="1:149" x14ac:dyDescent="0.25">
      <c r="A47" s="39">
        <v>41852</v>
      </c>
      <c r="C47" s="46"/>
      <c r="D47" s="45">
        <v>0</v>
      </c>
      <c r="E47" s="45">
        <f>('[2]Renewable Diesel'!B56*E$3*'[2]Feedstock Conversion Rates'!$B$2)/12</f>
        <v>20.853333333333332</v>
      </c>
      <c r="F47" s="45">
        <f>('[2]Renewable Diesel'!B56*'[2]RD Feedstock Breakdown'!F$3*'[2]Feedstock Conversion Rates'!B$8)/12</f>
        <v>12.5</v>
      </c>
      <c r="G47" s="45">
        <f>('[2]Renewable Diesel'!B56*'[2]RD Feedstock Breakdown'!G$3*'[2]Feedstock Conversion Rates'!B$7)/12</f>
        <v>40.847999999999999</v>
      </c>
      <c r="H47" s="45">
        <f>('[2]Renewable Diesel'!B56*'[2]RD Feedstock Breakdown'!H$3*'[2]Feedstock Conversion Rates'!B$3)/12</f>
        <v>40.904400000000003</v>
      </c>
      <c r="I47" s="47">
        <f t="shared" si="14"/>
        <v>115.10573333333335</v>
      </c>
      <c r="J47" s="47"/>
      <c r="K47" s="48"/>
      <c r="L47" s="47"/>
      <c r="T47" s="49"/>
      <c r="AC47" s="49"/>
      <c r="AG47" s="49"/>
      <c r="AT47" s="49"/>
      <c r="BX47" s="49"/>
      <c r="CI47" s="49"/>
      <c r="DD47" s="49"/>
      <c r="DJ47" s="49"/>
      <c r="DP47" s="45">
        <f t="shared" si="0"/>
        <v>20.853333333333332</v>
      </c>
      <c r="DQ47" s="45">
        <f t="shared" si="1"/>
        <v>40.904400000000003</v>
      </c>
      <c r="DR47" s="45">
        <f t="shared" si="10"/>
        <v>0</v>
      </c>
      <c r="DS47" s="49"/>
      <c r="DT47" s="45">
        <f t="shared" si="2"/>
        <v>0</v>
      </c>
      <c r="DU47" s="45">
        <f t="shared" si="3"/>
        <v>40.847999999999999</v>
      </c>
      <c r="DV47" s="45">
        <f t="shared" si="4"/>
        <v>12.5</v>
      </c>
      <c r="DW47" s="45">
        <f t="shared" si="5"/>
        <v>0</v>
      </c>
      <c r="DX47" s="47">
        <f t="shared" si="6"/>
        <v>115.10573333333333</v>
      </c>
      <c r="DY47" s="50">
        <f t="shared" si="7"/>
        <v>1.4210854715202004E-14</v>
      </c>
      <c r="EA47" s="51">
        <f t="shared" si="15"/>
        <v>0.18116676493380576</v>
      </c>
      <c r="EB47" s="51">
        <f t="shared" si="15"/>
        <v>0.35536370618086793</v>
      </c>
      <c r="EC47" s="51">
        <f t="shared" si="15"/>
        <v>0</v>
      </c>
      <c r="ED47" s="49"/>
      <c r="EE47" s="51">
        <f t="shared" si="16"/>
        <v>0</v>
      </c>
      <c r="EF47" s="51">
        <f t="shared" si="16"/>
        <v>0.35487372189974897</v>
      </c>
      <c r="EG47" s="51">
        <f t="shared" si="16"/>
        <v>0.10859580698557732</v>
      </c>
      <c r="EH47" s="52">
        <f t="shared" si="11"/>
        <v>0</v>
      </c>
      <c r="EI47" s="51">
        <f t="shared" si="12"/>
        <v>1</v>
      </c>
      <c r="EK47" s="53">
        <f>EA47*'[2]Renewable Diesel'!BF56*'[2]Feedstock Conversion Rates'!B$2</f>
        <v>2.3938217756891342</v>
      </c>
      <c r="EL47" s="53">
        <f>EB47*'[2]Renewable Diesel'!BF56*'[2]Feedstock Conversion Rates'!B$3</f>
        <v>4.4248641829005795</v>
      </c>
      <c r="EM47" s="53">
        <f>EC47*'[2]Renewable Diesel'!BF56*'[2]Feedstock Conversion Rates'!B$4</f>
        <v>0</v>
      </c>
      <c r="EN47" s="49"/>
      <c r="EO47" s="53">
        <f>EE47*'[2]Renewable Diesel'!BF56*'[2]Feedstock Conversion Rates'!B$6</f>
        <v>0</v>
      </c>
      <c r="EP47" s="53">
        <f>EF47*'[2]Renewable Diesel'!BF56*'[2]Feedstock Conversion Rates'!B$7</f>
        <v>5.0752334892742095</v>
      </c>
      <c r="EQ47" s="53">
        <f>EG47*'[2]Renewable Diesel'!BF56*'[2]Feedstock Conversion Rates'!B$8</f>
        <v>1.5826274409803507</v>
      </c>
      <c r="ER47" s="53">
        <f>EH47*'[2]Renewable Diesel'!BF56*'[2]Feedstock Conversion Rates'!B$9</f>
        <v>0</v>
      </c>
      <c r="ES47" s="53">
        <f t="shared" si="13"/>
        <v>13.476546888844274</v>
      </c>
    </row>
    <row r="48" spans="1:149" x14ac:dyDescent="0.25">
      <c r="A48" s="39">
        <v>41883</v>
      </c>
      <c r="C48" s="46"/>
      <c r="D48" s="45">
        <v>0</v>
      </c>
      <c r="E48" s="45">
        <f>('[2]Renewable Diesel'!B57*E$3*'[2]Feedstock Conversion Rates'!$B$2)/12</f>
        <v>20.853333333333332</v>
      </c>
      <c r="F48" s="45">
        <f>('[2]Renewable Diesel'!B57*'[2]RD Feedstock Breakdown'!F$3*'[2]Feedstock Conversion Rates'!B$8)/12</f>
        <v>12.5</v>
      </c>
      <c r="G48" s="45">
        <f>('[2]Renewable Diesel'!B57*'[2]RD Feedstock Breakdown'!G$3*'[2]Feedstock Conversion Rates'!B$7)/12</f>
        <v>40.847999999999999</v>
      </c>
      <c r="H48" s="45">
        <f>('[2]Renewable Diesel'!B57*'[2]RD Feedstock Breakdown'!H$3*'[2]Feedstock Conversion Rates'!B$3)/12</f>
        <v>40.904400000000003</v>
      </c>
      <c r="I48" s="47">
        <f t="shared" si="14"/>
        <v>115.10573333333335</v>
      </c>
      <c r="J48" s="47"/>
      <c r="K48" s="48"/>
      <c r="L48" s="47"/>
      <c r="T48" s="49"/>
      <c r="AC48" s="49"/>
      <c r="AG48" s="49"/>
      <c r="AT48" s="49"/>
      <c r="BX48" s="49"/>
      <c r="CI48" s="49"/>
      <c r="DD48" s="49"/>
      <c r="DJ48" s="49"/>
      <c r="DP48" s="45">
        <f t="shared" si="0"/>
        <v>20.853333333333332</v>
      </c>
      <c r="DQ48" s="45">
        <f t="shared" si="1"/>
        <v>40.904400000000003</v>
      </c>
      <c r="DR48" s="45">
        <f t="shared" si="10"/>
        <v>0</v>
      </c>
      <c r="DS48" s="49"/>
      <c r="DT48" s="45">
        <f t="shared" si="2"/>
        <v>0</v>
      </c>
      <c r="DU48" s="45">
        <f t="shared" si="3"/>
        <v>40.847999999999999</v>
      </c>
      <c r="DV48" s="45">
        <f t="shared" si="4"/>
        <v>12.5</v>
      </c>
      <c r="DW48" s="45">
        <f t="shared" si="5"/>
        <v>0</v>
      </c>
      <c r="DX48" s="47">
        <f t="shared" si="6"/>
        <v>115.10573333333333</v>
      </c>
      <c r="DY48" s="50">
        <f t="shared" si="7"/>
        <v>1.4210854715202004E-14</v>
      </c>
      <c r="EA48" s="51">
        <f t="shared" si="15"/>
        <v>0.18116676493380576</v>
      </c>
      <c r="EB48" s="51">
        <f t="shared" si="15"/>
        <v>0.35536370618086793</v>
      </c>
      <c r="EC48" s="51">
        <f t="shared" si="15"/>
        <v>0</v>
      </c>
      <c r="ED48" s="49"/>
      <c r="EE48" s="51">
        <f t="shared" si="16"/>
        <v>0</v>
      </c>
      <c r="EF48" s="51">
        <f t="shared" si="16"/>
        <v>0.35487372189974897</v>
      </c>
      <c r="EG48" s="51">
        <f t="shared" si="16"/>
        <v>0.10859580698557732</v>
      </c>
      <c r="EH48" s="52">
        <f t="shared" si="11"/>
        <v>0</v>
      </c>
      <c r="EI48" s="51">
        <f t="shared" si="12"/>
        <v>1</v>
      </c>
      <c r="EK48" s="53">
        <f>EA48*'[2]Renewable Diesel'!BF57*'[2]Feedstock Conversion Rates'!B$2</f>
        <v>8.1976276281633229</v>
      </c>
      <c r="EL48" s="53">
        <f>EB48*'[2]Renewable Diesel'!BF57*'[2]Feedstock Conversion Rates'!B$3</f>
        <v>15.152919588666423</v>
      </c>
      <c r="EM48" s="53">
        <f>EC48*'[2]Renewable Diesel'!BF57*'[2]Feedstock Conversion Rates'!B$4</f>
        <v>0</v>
      </c>
      <c r="EN48" s="49"/>
      <c r="EO48" s="53">
        <f>EE48*'[2]Renewable Diesel'!BF57*'[2]Feedstock Conversion Rates'!B$6</f>
        <v>0</v>
      </c>
      <c r="EP48" s="53">
        <f>EF48*'[2]Renewable Diesel'!BF57*'[2]Feedstock Conversion Rates'!B$7</f>
        <v>17.380105191447168</v>
      </c>
      <c r="EQ48" s="53">
        <f>EG48*'[2]Renewable Diesel'!BF57*'[2]Feedstock Conversion Rates'!B$8</f>
        <v>5.4196977264671444</v>
      </c>
      <c r="ER48" s="53">
        <f>EH48*'[2]Renewable Diesel'!BF57*'[2]Feedstock Conversion Rates'!B$9</f>
        <v>0</v>
      </c>
      <c r="ES48" s="53">
        <f t="shared" si="13"/>
        <v>46.150350134744052</v>
      </c>
    </row>
    <row r="49" spans="1:149" x14ac:dyDescent="0.25">
      <c r="A49" s="39">
        <v>41913</v>
      </c>
      <c r="C49" s="46"/>
      <c r="D49" s="45">
        <v>0</v>
      </c>
      <c r="E49" s="45">
        <f>('[2]Renewable Diesel'!B58*E$3*'[2]Feedstock Conversion Rates'!$B$2)/12</f>
        <v>20.853333333333332</v>
      </c>
      <c r="F49" s="45">
        <f>('[2]Renewable Diesel'!B58*'[2]RD Feedstock Breakdown'!F$3*'[2]Feedstock Conversion Rates'!B$8)/12</f>
        <v>12.5</v>
      </c>
      <c r="G49" s="45">
        <f>('[2]Renewable Diesel'!B58*'[2]RD Feedstock Breakdown'!G$3*'[2]Feedstock Conversion Rates'!B$7)/12</f>
        <v>40.847999999999999</v>
      </c>
      <c r="H49" s="45">
        <f>('[2]Renewable Diesel'!B58*'[2]RD Feedstock Breakdown'!H$3*'[2]Feedstock Conversion Rates'!B$3)/12</f>
        <v>40.904400000000003</v>
      </c>
      <c r="I49" s="47">
        <f t="shared" si="14"/>
        <v>115.10573333333335</v>
      </c>
      <c r="J49" s="47"/>
      <c r="K49" s="48"/>
      <c r="L49" s="47"/>
      <c r="T49" s="49"/>
      <c r="AC49" s="49"/>
      <c r="AG49" s="49"/>
      <c r="AT49" s="49"/>
      <c r="BX49" s="49"/>
      <c r="CI49" s="49"/>
      <c r="DD49" s="49"/>
      <c r="DJ49" s="49"/>
      <c r="DP49" s="45">
        <f t="shared" si="0"/>
        <v>20.853333333333332</v>
      </c>
      <c r="DQ49" s="45">
        <f t="shared" si="1"/>
        <v>40.904400000000003</v>
      </c>
      <c r="DR49" s="45">
        <f t="shared" si="10"/>
        <v>0</v>
      </c>
      <c r="DS49" s="49"/>
      <c r="DT49" s="45">
        <f t="shared" si="2"/>
        <v>0</v>
      </c>
      <c r="DU49" s="45">
        <f t="shared" si="3"/>
        <v>40.847999999999999</v>
      </c>
      <c r="DV49" s="45">
        <f t="shared" si="4"/>
        <v>12.5</v>
      </c>
      <c r="DW49" s="45">
        <f t="shared" si="5"/>
        <v>0</v>
      </c>
      <c r="DX49" s="47">
        <f t="shared" si="6"/>
        <v>115.10573333333333</v>
      </c>
      <c r="DY49" s="50">
        <f t="shared" si="7"/>
        <v>1.4210854715202004E-14</v>
      </c>
      <c r="EA49" s="51">
        <f t="shared" si="15"/>
        <v>0.18116676493380576</v>
      </c>
      <c r="EB49" s="51">
        <f t="shared" si="15"/>
        <v>0.35536370618086793</v>
      </c>
      <c r="EC49" s="51">
        <f t="shared" si="15"/>
        <v>0</v>
      </c>
      <c r="ED49" s="49"/>
      <c r="EE49" s="51">
        <f t="shared" si="16"/>
        <v>0</v>
      </c>
      <c r="EF49" s="51">
        <f t="shared" si="16"/>
        <v>0.35487372189974897</v>
      </c>
      <c r="EG49" s="51">
        <f t="shared" si="16"/>
        <v>0.10859580698557732</v>
      </c>
      <c r="EH49" s="52">
        <f t="shared" si="11"/>
        <v>0</v>
      </c>
      <c r="EI49" s="51">
        <f t="shared" si="12"/>
        <v>1</v>
      </c>
      <c r="EK49" s="53">
        <f>EA49*'[2]Renewable Diesel'!BF58*'[2]Feedstock Conversion Rates'!B$2</f>
        <v>21.372944646371508</v>
      </c>
      <c r="EL49" s="53">
        <f>EB49*'[2]Renewable Diesel'!BF58*'[2]Feedstock Conversion Rates'!B$3</f>
        <v>39.506858116711904</v>
      </c>
      <c r="EM49" s="53">
        <f>EC49*'[2]Renewable Diesel'!BF58*'[2]Feedstock Conversion Rates'!B$4</f>
        <v>0</v>
      </c>
      <c r="EN49" s="49"/>
      <c r="EO49" s="53">
        <f>EE49*'[2]Renewable Diesel'!BF58*'[2]Feedstock Conversion Rates'!B$6</f>
        <v>0</v>
      </c>
      <c r="EP49" s="53">
        <f>EF49*'[2]Renewable Diesel'!BF58*'[2]Feedstock Conversion Rates'!B$7</f>
        <v>45.313600843338243</v>
      </c>
      <c r="EQ49" s="53">
        <f>EG49*'[2]Renewable Diesel'!BF58*'[2]Feedstock Conversion Rates'!B$8</f>
        <v>14.130295344215407</v>
      </c>
      <c r="ER49" s="53">
        <f>EH49*'[2]Renewable Diesel'!BF58*'[2]Feedstock Conversion Rates'!B$9</f>
        <v>0</v>
      </c>
      <c r="ES49" s="53">
        <f t="shared" si="13"/>
        <v>120.32369895063707</v>
      </c>
    </row>
    <row r="50" spans="1:149" x14ac:dyDescent="0.25">
      <c r="A50" s="39">
        <v>41944</v>
      </c>
      <c r="C50" s="46"/>
      <c r="D50" s="45">
        <v>0</v>
      </c>
      <c r="E50" s="45">
        <f>('[2]Renewable Diesel'!B59*E$3*'[2]Feedstock Conversion Rates'!$B$2)/12</f>
        <v>20.853333333333332</v>
      </c>
      <c r="F50" s="45">
        <f>('[2]Renewable Diesel'!B59*'[2]RD Feedstock Breakdown'!F$3*'[2]Feedstock Conversion Rates'!B$8)/12</f>
        <v>12.5</v>
      </c>
      <c r="G50" s="45">
        <f>('[2]Renewable Diesel'!B59*'[2]RD Feedstock Breakdown'!G$3*'[2]Feedstock Conversion Rates'!B$7)/12</f>
        <v>40.847999999999999</v>
      </c>
      <c r="H50" s="45">
        <f>('[2]Renewable Diesel'!B59*'[2]RD Feedstock Breakdown'!H$3*'[2]Feedstock Conversion Rates'!B$3)/12</f>
        <v>40.904400000000003</v>
      </c>
      <c r="I50" s="47">
        <f t="shared" si="14"/>
        <v>115.10573333333335</v>
      </c>
      <c r="J50" s="47"/>
      <c r="K50" s="48"/>
      <c r="L50" s="47"/>
      <c r="T50" s="49"/>
      <c r="Z50" s="45">
        <f>('[2]Renewable Diesel'!F59*'[2]RD Feedstock Breakdown'!Z$3*'[2]Feedstock Conversion Rates'!B$6)/12</f>
        <v>11.725000000000001</v>
      </c>
      <c r="AA50" s="45">
        <f>('[2]Renewable Diesel'!F59*'[2]RD Feedstock Breakdown'!AA$3*'[2]Feedstock Conversion Rates'!B$7)/12</f>
        <v>7.666666666666667</v>
      </c>
      <c r="AB50" s="47">
        <f>SUM(Y50:AA50)</f>
        <v>19.391666666666669</v>
      </c>
      <c r="AC50" s="49"/>
      <c r="AG50" s="49"/>
      <c r="AT50" s="49"/>
      <c r="BX50" s="49"/>
      <c r="CI50" s="49"/>
      <c r="DD50" s="49"/>
      <c r="DJ50" s="49"/>
      <c r="DP50" s="45">
        <f t="shared" si="0"/>
        <v>20.853333333333332</v>
      </c>
      <c r="DQ50" s="45">
        <f t="shared" si="1"/>
        <v>40.904400000000003</v>
      </c>
      <c r="DR50" s="45">
        <f t="shared" si="10"/>
        <v>0</v>
      </c>
      <c r="DS50" s="49"/>
      <c r="DT50" s="45">
        <f t="shared" si="2"/>
        <v>11.725000000000001</v>
      </c>
      <c r="DU50" s="45">
        <f t="shared" si="3"/>
        <v>48.514666666666663</v>
      </c>
      <c r="DV50" s="45">
        <f t="shared" si="4"/>
        <v>12.5</v>
      </c>
      <c r="DW50" s="45">
        <f t="shared" si="5"/>
        <v>0</v>
      </c>
      <c r="DX50" s="47">
        <f t="shared" si="6"/>
        <v>134.4974</v>
      </c>
      <c r="DY50" s="50">
        <f t="shared" si="7"/>
        <v>2.8421709430404007E-14</v>
      </c>
      <c r="EA50" s="51">
        <f t="shared" si="15"/>
        <v>0.15504636768690944</v>
      </c>
      <c r="EB50" s="51">
        <f t="shared" si="15"/>
        <v>0.30412781213614543</v>
      </c>
      <c r="EC50" s="51">
        <f t="shared" si="15"/>
        <v>0</v>
      </c>
      <c r="ED50" s="49"/>
      <c r="EE50" s="51">
        <f t="shared" si="16"/>
        <v>8.7176406384063945E-2</v>
      </c>
      <c r="EF50" s="51">
        <f t="shared" si="16"/>
        <v>0.36071081423630985</v>
      </c>
      <c r="EG50" s="51">
        <f t="shared" si="16"/>
        <v>9.2938599556571355E-2</v>
      </c>
      <c r="EH50" s="52">
        <f t="shared" si="11"/>
        <v>0</v>
      </c>
      <c r="EI50" s="51">
        <f t="shared" si="12"/>
        <v>1</v>
      </c>
      <c r="EK50" s="53">
        <f>EA50*'[2]Renewable Diesel'!BF59*'[2]Feedstock Conversion Rates'!B$2</f>
        <v>21.011707926349015</v>
      </c>
      <c r="EL50" s="53">
        <f>EB50*'[2]Renewable Diesel'!BF59*'[2]Feedstock Conversion Rates'!B$3</f>
        <v>38.839129449436385</v>
      </c>
      <c r="EM50" s="53">
        <f>EC50*'[2]Renewable Diesel'!BF59*'[2]Feedstock Conversion Rates'!B$4</f>
        <v>0</v>
      </c>
      <c r="EN50" s="49"/>
      <c r="EO50" s="53">
        <f>EE50*'[2]Renewable Diesel'!BF59*'[2]Feedstock Conversion Rates'!B$6</f>
        <v>13.037149147701001</v>
      </c>
      <c r="EP50" s="53">
        <f>EF50*'[2]Renewable Diesel'!BF59*'[2]Feedstock Conversion Rates'!B$7</f>
        <v>52.90878924623771</v>
      </c>
      <c r="EQ50" s="53">
        <f>EG50*'[2]Renewable Diesel'!BF59*'[2]Feedstock Conversion Rates'!B$8</f>
        <v>13.891470903898515</v>
      </c>
      <c r="ER50" s="53">
        <f>EH50*'[2]Renewable Diesel'!BF59*'[2]Feedstock Conversion Rates'!B$9</f>
        <v>0</v>
      </c>
      <c r="ES50" s="53">
        <f t="shared" si="13"/>
        <v>139.68824667362264</v>
      </c>
    </row>
    <row r="51" spans="1:149" x14ac:dyDescent="0.25">
      <c r="A51" s="39">
        <v>41974</v>
      </c>
      <c r="C51" s="46"/>
      <c r="D51" s="45">
        <v>0</v>
      </c>
      <c r="E51" s="45">
        <f>('[2]Renewable Diesel'!B60*E$3*'[2]Feedstock Conversion Rates'!$B$2)/12</f>
        <v>20.853333333333332</v>
      </c>
      <c r="F51" s="45">
        <f>('[2]Renewable Diesel'!B60*'[2]RD Feedstock Breakdown'!F$3*'[2]Feedstock Conversion Rates'!B$8)/12</f>
        <v>12.5</v>
      </c>
      <c r="G51" s="45">
        <f>('[2]Renewable Diesel'!B60*'[2]RD Feedstock Breakdown'!G$3*'[2]Feedstock Conversion Rates'!B$7)/12</f>
        <v>40.847999999999999</v>
      </c>
      <c r="H51" s="45">
        <f>('[2]Renewable Diesel'!B60*'[2]RD Feedstock Breakdown'!H$3*'[2]Feedstock Conversion Rates'!B$3)/12</f>
        <v>40.904400000000003</v>
      </c>
      <c r="I51" s="47">
        <f t="shared" si="14"/>
        <v>115.10573333333335</v>
      </c>
      <c r="J51" s="47"/>
      <c r="K51" s="48"/>
      <c r="L51" s="47"/>
      <c r="T51" s="49"/>
      <c r="Z51" s="45">
        <f>('[2]Renewable Diesel'!F60*'[2]RD Feedstock Breakdown'!Z$3*'[2]Feedstock Conversion Rates'!B$6)/12</f>
        <v>23.450000000000003</v>
      </c>
      <c r="AA51" s="45">
        <f>('[2]Renewable Diesel'!F60*'[2]RD Feedstock Breakdown'!AA$3*'[2]Feedstock Conversion Rates'!B$7)/12</f>
        <v>15.333333333333334</v>
      </c>
      <c r="AB51" s="47">
        <f t="shared" ref="AB51:AB114" si="17">SUM(Y51:AA51)</f>
        <v>38.783333333333339</v>
      </c>
      <c r="AC51" s="49"/>
      <c r="AG51" s="49"/>
      <c r="AT51" s="49"/>
      <c r="BX51" s="49"/>
      <c r="CI51" s="49"/>
      <c r="DD51" s="49"/>
      <c r="DJ51" s="49"/>
      <c r="DP51" s="45">
        <f t="shared" si="0"/>
        <v>20.853333333333332</v>
      </c>
      <c r="DQ51" s="45">
        <f t="shared" si="1"/>
        <v>40.904400000000003</v>
      </c>
      <c r="DR51" s="45">
        <f t="shared" si="10"/>
        <v>0</v>
      </c>
      <c r="DS51" s="49"/>
      <c r="DT51" s="45">
        <f t="shared" si="2"/>
        <v>23.450000000000003</v>
      </c>
      <c r="DU51" s="45">
        <f t="shared" si="3"/>
        <v>56.181333333333335</v>
      </c>
      <c r="DV51" s="45">
        <f t="shared" si="4"/>
        <v>12.5</v>
      </c>
      <c r="DW51" s="45">
        <f t="shared" si="5"/>
        <v>0</v>
      </c>
      <c r="DX51" s="47">
        <f t="shared" si="6"/>
        <v>153.88906666666668</v>
      </c>
      <c r="DY51" s="50">
        <f t="shared" si="7"/>
        <v>0</v>
      </c>
      <c r="EA51" s="51">
        <f t="shared" si="15"/>
        <v>0.13550886872621662</v>
      </c>
      <c r="EB51" s="51">
        <f t="shared" si="15"/>
        <v>0.26580445827643806</v>
      </c>
      <c r="EC51" s="51">
        <f t="shared" si="15"/>
        <v>0</v>
      </c>
      <c r="ED51" s="49"/>
      <c r="EE51" s="51">
        <f t="shared" si="16"/>
        <v>0.15238249544260454</v>
      </c>
      <c r="EF51" s="51">
        <f t="shared" si="16"/>
        <v>0.36507683456827772</v>
      </c>
      <c r="EG51" s="51">
        <f t="shared" si="16"/>
        <v>8.1227342986462975E-2</v>
      </c>
      <c r="EH51" s="52">
        <f t="shared" si="11"/>
        <v>0</v>
      </c>
      <c r="EI51" s="51">
        <f t="shared" si="12"/>
        <v>0.99999999999999978</v>
      </c>
      <c r="EK51" s="53">
        <f>EA51*'[2]Renewable Diesel'!BF60*'[2]Feedstock Conversion Rates'!B$2</f>
        <v>25.386776280576132</v>
      </c>
      <c r="EL51" s="53">
        <f>EB51*'[2]Renewable Diesel'!BF60*'[2]Feedstock Conversion Rates'!B$3</f>
        <v>46.926232447230888</v>
      </c>
      <c r="EM51" s="53">
        <f>EC51*'[2]Renewable Diesel'!BF60*'[2]Feedstock Conversion Rates'!B$4</f>
        <v>0</v>
      </c>
      <c r="EN51" s="49"/>
      <c r="EO51" s="53">
        <f>EE51*'[2]Renewable Diesel'!BF60*'[2]Feedstock Conversion Rates'!B$6</f>
        <v>31.503501753338767</v>
      </c>
      <c r="EP51" s="53">
        <f>EF51*'[2]Renewable Diesel'!BF60*'[2]Feedstock Conversion Rates'!B$7</f>
        <v>74.027488260093833</v>
      </c>
      <c r="EQ51" s="53">
        <f>EG51*'[2]Renewable Diesel'!BF60*'[2]Feedstock Conversion Rates'!B$8</f>
        <v>16.783959937076965</v>
      </c>
      <c r="ER51" s="53">
        <f>EH51*'[2]Renewable Diesel'!BF60*'[2]Feedstock Conversion Rates'!B$9</f>
        <v>0</v>
      </c>
      <c r="ES51" s="53">
        <f t="shared" si="13"/>
        <v>194.62795867831656</v>
      </c>
    </row>
    <row r="52" spans="1:149" x14ac:dyDescent="0.25">
      <c r="A52" s="39">
        <v>42005</v>
      </c>
      <c r="C52" s="46"/>
      <c r="D52" s="45">
        <v>0</v>
      </c>
      <c r="E52" s="45">
        <f>('[2]Renewable Diesel'!B61*E$3*'[2]Feedstock Conversion Rates'!$B$2)/12</f>
        <v>20.853333333333332</v>
      </c>
      <c r="F52" s="45">
        <f>('[2]Renewable Diesel'!B61*'[2]RD Feedstock Breakdown'!F$3*'[2]Feedstock Conversion Rates'!B$8)/12</f>
        <v>12.5</v>
      </c>
      <c r="G52" s="45">
        <f>('[2]Renewable Diesel'!B61*'[2]RD Feedstock Breakdown'!G$3*'[2]Feedstock Conversion Rates'!B$7)/12</f>
        <v>40.847999999999999</v>
      </c>
      <c r="H52" s="45">
        <f>('[2]Renewable Diesel'!B61*'[2]RD Feedstock Breakdown'!H$3*'[2]Feedstock Conversion Rates'!B$3)/12</f>
        <v>40.904400000000003</v>
      </c>
      <c r="I52" s="47">
        <f t="shared" si="14"/>
        <v>115.10573333333335</v>
      </c>
      <c r="J52" s="47"/>
      <c r="K52" s="48"/>
      <c r="L52" s="47"/>
      <c r="T52" s="49"/>
      <c r="Z52" s="45">
        <f>('[2]Renewable Diesel'!F61*'[2]RD Feedstock Breakdown'!Z$3*'[2]Feedstock Conversion Rates'!B$6)/12</f>
        <v>44.555000000000007</v>
      </c>
      <c r="AA52" s="45">
        <f>('[2]Renewable Diesel'!F61*'[2]RD Feedstock Breakdown'!AA$3*'[2]Feedstock Conversion Rates'!B$7)/12</f>
        <v>29.133333333333329</v>
      </c>
      <c r="AB52" s="47">
        <f t="shared" si="17"/>
        <v>73.688333333333333</v>
      </c>
      <c r="AC52" s="49"/>
      <c r="AG52" s="49"/>
      <c r="AT52" s="49"/>
      <c r="BX52" s="49"/>
      <c r="CI52" s="49"/>
      <c r="DD52" s="49"/>
      <c r="DJ52" s="49"/>
      <c r="DP52" s="45">
        <f t="shared" si="0"/>
        <v>20.853333333333332</v>
      </c>
      <c r="DQ52" s="45">
        <f t="shared" si="1"/>
        <v>40.904400000000003</v>
      </c>
      <c r="DR52" s="45">
        <f t="shared" si="10"/>
        <v>0</v>
      </c>
      <c r="DS52" s="49"/>
      <c r="DT52" s="45">
        <f t="shared" si="2"/>
        <v>44.555000000000007</v>
      </c>
      <c r="DU52" s="45">
        <f t="shared" si="3"/>
        <v>69.981333333333325</v>
      </c>
      <c r="DV52" s="45">
        <f t="shared" si="4"/>
        <v>12.5</v>
      </c>
      <c r="DW52" s="45">
        <f t="shared" si="5"/>
        <v>0</v>
      </c>
      <c r="DX52" s="47">
        <f t="shared" si="6"/>
        <v>188.79406666666665</v>
      </c>
      <c r="DY52" s="50">
        <f t="shared" si="7"/>
        <v>2.8421709430404007E-14</v>
      </c>
      <c r="EA52" s="51">
        <f t="shared" si="15"/>
        <v>0.11045544863521488</v>
      </c>
      <c r="EB52" s="51">
        <f t="shared" si="15"/>
        <v>0.21666146994026297</v>
      </c>
      <c r="EC52" s="51">
        <f t="shared" si="15"/>
        <v>0</v>
      </c>
      <c r="ED52" s="49"/>
      <c r="EE52" s="51">
        <f t="shared" si="16"/>
        <v>0.23599788270182226</v>
      </c>
      <c r="EF52" s="51">
        <f t="shared" si="16"/>
        <v>0.37067549086111817</v>
      </c>
      <c r="EG52" s="51">
        <f t="shared" si="16"/>
        <v>6.6209707861581812E-2</v>
      </c>
      <c r="EH52" s="52">
        <f t="shared" si="11"/>
        <v>0</v>
      </c>
      <c r="EI52" s="51">
        <f t="shared" si="12"/>
        <v>1.0000000000000002</v>
      </c>
      <c r="EK52" s="53">
        <f>EA52*'[2]Renewable Diesel'!BF61*'[2]Feedstock Conversion Rates'!B$2</f>
        <v>16.278741381773653</v>
      </c>
      <c r="EL52" s="53">
        <f>EB52*'[2]Renewable Diesel'!BF61*'[2]Feedstock Conversion Rates'!B$3</f>
        <v>30.090468895569863</v>
      </c>
      <c r="EM52" s="53">
        <f>EC52*'[2]Renewable Diesel'!BF61*'[2]Feedstock Conversion Rates'!B$4</f>
        <v>0</v>
      </c>
      <c r="EN52" s="49"/>
      <c r="EO52" s="53">
        <f>EE52*'[2]Renewable Diesel'!BF61*'[2]Feedstock Conversion Rates'!B$6</f>
        <v>38.381831895093647</v>
      </c>
      <c r="EP52" s="53">
        <f>EF52*'[2]Renewable Diesel'!BF61*'[2]Feedstock Conversion Rates'!B$7</f>
        <v>59.128444301991131</v>
      </c>
      <c r="EQ52" s="53">
        <f>EG52*'[2]Renewable Diesel'!BF61*'[2]Feedstock Conversion Rates'!B$8</f>
        <v>10.762364632597036</v>
      </c>
      <c r="ER52" s="53">
        <f>EH52*'[2]Renewable Diesel'!BF61*'[2]Feedstock Conversion Rates'!B$9</f>
        <v>0</v>
      </c>
      <c r="ES52" s="53">
        <f t="shared" si="13"/>
        <v>154.64185110702533</v>
      </c>
    </row>
    <row r="53" spans="1:149" x14ac:dyDescent="0.25">
      <c r="A53" s="39">
        <v>42036</v>
      </c>
      <c r="C53" s="46"/>
      <c r="D53" s="45">
        <v>0</v>
      </c>
      <c r="E53" s="45">
        <f>('[2]Renewable Diesel'!B62*E$3*'[2]Feedstock Conversion Rates'!$B$2)/12</f>
        <v>20.853333333333332</v>
      </c>
      <c r="F53" s="45">
        <f>('[2]Renewable Diesel'!B62*'[2]RD Feedstock Breakdown'!F$3*'[2]Feedstock Conversion Rates'!B$8)/12</f>
        <v>12.5</v>
      </c>
      <c r="G53" s="45">
        <f>('[2]Renewable Diesel'!B62*'[2]RD Feedstock Breakdown'!G$3*'[2]Feedstock Conversion Rates'!B$7)/12</f>
        <v>40.847999999999999</v>
      </c>
      <c r="H53" s="45">
        <f>('[2]Renewable Diesel'!B62*'[2]RD Feedstock Breakdown'!H$3*'[2]Feedstock Conversion Rates'!B$3)/12</f>
        <v>40.904400000000003</v>
      </c>
      <c r="I53" s="47">
        <f t="shared" si="14"/>
        <v>115.10573333333335</v>
      </c>
      <c r="J53" s="47"/>
      <c r="K53" s="48"/>
      <c r="L53" s="47"/>
      <c r="T53" s="49"/>
      <c r="Z53" s="45">
        <f>('[2]Renewable Diesel'!F62*'[2]RD Feedstock Breakdown'!Z$3*'[2]Feedstock Conversion Rates'!B$6)/12</f>
        <v>44.555000000000007</v>
      </c>
      <c r="AA53" s="45">
        <f>('[2]Renewable Diesel'!F62*'[2]RD Feedstock Breakdown'!AA$3*'[2]Feedstock Conversion Rates'!B$7)/12</f>
        <v>29.133333333333329</v>
      </c>
      <c r="AB53" s="47">
        <f t="shared" si="17"/>
        <v>73.688333333333333</v>
      </c>
      <c r="AC53" s="49"/>
      <c r="AG53" s="49"/>
      <c r="AT53" s="49"/>
      <c r="BX53" s="49"/>
      <c r="CI53" s="49"/>
      <c r="DD53" s="49"/>
      <c r="DJ53" s="49"/>
      <c r="DP53" s="45">
        <f t="shared" si="0"/>
        <v>20.853333333333332</v>
      </c>
      <c r="DQ53" s="45">
        <f t="shared" si="1"/>
        <v>40.904400000000003</v>
      </c>
      <c r="DR53" s="45">
        <f t="shared" si="10"/>
        <v>0</v>
      </c>
      <c r="DS53" s="49"/>
      <c r="DT53" s="45">
        <f t="shared" si="2"/>
        <v>44.555000000000007</v>
      </c>
      <c r="DU53" s="45">
        <f t="shared" si="3"/>
        <v>69.981333333333325</v>
      </c>
      <c r="DV53" s="45">
        <f t="shared" si="4"/>
        <v>12.5</v>
      </c>
      <c r="DW53" s="45">
        <f t="shared" si="5"/>
        <v>0</v>
      </c>
      <c r="DX53" s="47">
        <f t="shared" si="6"/>
        <v>188.79406666666665</v>
      </c>
      <c r="DY53" s="50">
        <f t="shared" si="7"/>
        <v>2.8421709430404007E-14</v>
      </c>
      <c r="EA53" s="51">
        <f t="shared" si="15"/>
        <v>0.11045544863521488</v>
      </c>
      <c r="EB53" s="51">
        <f t="shared" si="15"/>
        <v>0.21666146994026297</v>
      </c>
      <c r="EC53" s="51">
        <f t="shared" si="15"/>
        <v>0</v>
      </c>
      <c r="ED53" s="49"/>
      <c r="EE53" s="51">
        <f t="shared" si="16"/>
        <v>0.23599788270182226</v>
      </c>
      <c r="EF53" s="51">
        <f t="shared" si="16"/>
        <v>0.37067549086111817</v>
      </c>
      <c r="EG53" s="51">
        <f t="shared" si="16"/>
        <v>6.6209707861581812E-2</v>
      </c>
      <c r="EH53" s="52">
        <f t="shared" si="11"/>
        <v>0</v>
      </c>
      <c r="EI53" s="51">
        <f t="shared" si="12"/>
        <v>1.0000000000000002</v>
      </c>
      <c r="EK53" s="53">
        <f>EA53*'[2]Renewable Diesel'!BF62*'[2]Feedstock Conversion Rates'!B$2</f>
        <v>12.290185080110216</v>
      </c>
      <c r="EL53" s="53">
        <f>EB53*'[2]Renewable Diesel'!BF62*'[2]Feedstock Conversion Rates'!B$3</f>
        <v>22.717814799116844</v>
      </c>
      <c r="EM53" s="53">
        <f>EC53*'[2]Renewable Diesel'!BF62*'[2]Feedstock Conversion Rates'!B$4</f>
        <v>0</v>
      </c>
      <c r="EN53" s="49"/>
      <c r="EO53" s="53">
        <f>EE53*'[2]Renewable Diesel'!BF62*'[2]Feedstock Conversion Rates'!B$6</f>
        <v>28.977659061070604</v>
      </c>
      <c r="EP53" s="53">
        <f>EF53*'[2]Renewable Diesel'!BF62*'[2]Feedstock Conversion Rates'!B$7</f>
        <v>44.641014125582331</v>
      </c>
      <c r="EQ53" s="53">
        <f>EG53*'[2]Renewable Diesel'!BF62*'[2]Feedstock Conversion Rates'!B$8</f>
        <v>8.1254103208707829</v>
      </c>
      <c r="ER53" s="53">
        <f>EH53*'[2]Renewable Diesel'!BF62*'[2]Feedstock Conversion Rates'!B$9</f>
        <v>0</v>
      </c>
      <c r="ES53" s="53">
        <f t="shared" si="13"/>
        <v>116.75208338675078</v>
      </c>
    </row>
    <row r="54" spans="1:149" x14ac:dyDescent="0.25">
      <c r="A54" s="39">
        <v>42064</v>
      </c>
      <c r="C54" s="46"/>
      <c r="D54" s="45">
        <v>0</v>
      </c>
      <c r="E54" s="45">
        <f>('[2]Renewable Diesel'!B63*E$3*'[2]Feedstock Conversion Rates'!$B$2)/12</f>
        <v>20.853333333333332</v>
      </c>
      <c r="F54" s="45">
        <f>('[2]Renewable Diesel'!B63*'[2]RD Feedstock Breakdown'!F$3*'[2]Feedstock Conversion Rates'!B$8)/12</f>
        <v>12.5</v>
      </c>
      <c r="G54" s="45">
        <f>('[2]Renewable Diesel'!B63*'[2]RD Feedstock Breakdown'!G$3*'[2]Feedstock Conversion Rates'!B$7)/12</f>
        <v>40.847999999999999</v>
      </c>
      <c r="H54" s="45">
        <f>('[2]Renewable Diesel'!B63*'[2]RD Feedstock Breakdown'!H$3*'[2]Feedstock Conversion Rates'!B$3)/12</f>
        <v>40.904400000000003</v>
      </c>
      <c r="I54" s="47">
        <f t="shared" si="14"/>
        <v>115.10573333333335</v>
      </c>
      <c r="J54" s="47"/>
      <c r="K54" s="48"/>
      <c r="L54" s="47"/>
      <c r="T54" s="49"/>
      <c r="Z54" s="45">
        <f>('[2]Renewable Diesel'!F63*'[2]RD Feedstock Breakdown'!Z$3*'[2]Feedstock Conversion Rates'!B$6)/12</f>
        <v>44.555000000000007</v>
      </c>
      <c r="AA54" s="45">
        <f>('[2]Renewable Diesel'!F63*'[2]RD Feedstock Breakdown'!AA$3*'[2]Feedstock Conversion Rates'!B$7)/12</f>
        <v>29.133333333333329</v>
      </c>
      <c r="AB54" s="47">
        <f t="shared" si="17"/>
        <v>73.688333333333333</v>
      </c>
      <c r="AC54" s="49"/>
      <c r="AG54" s="49"/>
      <c r="AT54" s="49"/>
      <c r="BX54" s="49"/>
      <c r="CI54" s="49"/>
      <c r="DD54" s="49"/>
      <c r="DJ54" s="49"/>
      <c r="DP54" s="45">
        <f t="shared" si="0"/>
        <v>20.853333333333332</v>
      </c>
      <c r="DQ54" s="45">
        <f t="shared" si="1"/>
        <v>40.904400000000003</v>
      </c>
      <c r="DR54" s="45">
        <f t="shared" si="10"/>
        <v>0</v>
      </c>
      <c r="DS54" s="49"/>
      <c r="DT54" s="45">
        <f t="shared" si="2"/>
        <v>44.555000000000007</v>
      </c>
      <c r="DU54" s="45">
        <f t="shared" si="3"/>
        <v>69.981333333333325</v>
      </c>
      <c r="DV54" s="45">
        <f t="shared" si="4"/>
        <v>12.5</v>
      </c>
      <c r="DW54" s="45">
        <f t="shared" si="5"/>
        <v>0</v>
      </c>
      <c r="DX54" s="47">
        <f t="shared" si="6"/>
        <v>188.79406666666665</v>
      </c>
      <c r="DY54" s="50">
        <f t="shared" si="7"/>
        <v>2.8421709430404007E-14</v>
      </c>
      <c r="EA54" s="51">
        <f t="shared" si="15"/>
        <v>0.11045544863521488</v>
      </c>
      <c r="EB54" s="51">
        <f t="shared" si="15"/>
        <v>0.21666146994026297</v>
      </c>
      <c r="EC54" s="51">
        <f t="shared" si="15"/>
        <v>0</v>
      </c>
      <c r="ED54" s="49"/>
      <c r="EE54" s="51">
        <f t="shared" si="16"/>
        <v>0.23599788270182226</v>
      </c>
      <c r="EF54" s="51">
        <f t="shared" si="16"/>
        <v>0.37067549086111817</v>
      </c>
      <c r="EG54" s="51">
        <f t="shared" si="16"/>
        <v>6.6209707861581812E-2</v>
      </c>
      <c r="EH54" s="52">
        <f t="shared" si="11"/>
        <v>0</v>
      </c>
      <c r="EI54" s="51">
        <f t="shared" si="12"/>
        <v>1.0000000000000002</v>
      </c>
      <c r="EK54" s="53">
        <f>EA54*'[2]Renewable Diesel'!BF63*'[2]Feedstock Conversion Rates'!B$2</f>
        <v>14.466580793958567</v>
      </c>
      <c r="EL54" s="53">
        <f>EB54*'[2]Renewable Diesel'!BF63*'[2]Feedstock Conversion Rates'!B$3</f>
        <v>26.740777385482971</v>
      </c>
      <c r="EM54" s="53">
        <f>EC54*'[2]Renewable Diesel'!BF63*'[2]Feedstock Conversion Rates'!B$4</f>
        <v>0</v>
      </c>
      <c r="EN54" s="49"/>
      <c r="EO54" s="53">
        <f>EE54*'[2]Renewable Diesel'!BF63*'[2]Feedstock Conversion Rates'!B$6</f>
        <v>34.109140203688796</v>
      </c>
      <c r="EP54" s="53">
        <f>EF54*'[2]Renewable Diesel'!BF63*'[2]Feedstock Conversion Rates'!B$7</f>
        <v>52.546225574512761</v>
      </c>
      <c r="EQ54" s="53">
        <f>EG54*'[2]Renewable Diesel'!BF63*'[2]Feedstock Conversion Rates'!B$8</f>
        <v>9.5642908650068819</v>
      </c>
      <c r="ER54" s="53">
        <f>EH54*'[2]Renewable Diesel'!BF63*'[2]Feedstock Conversion Rates'!B$9</f>
        <v>0</v>
      </c>
      <c r="ES54" s="53">
        <f t="shared" si="13"/>
        <v>137.42701482264999</v>
      </c>
    </row>
    <row r="55" spans="1:149" x14ac:dyDescent="0.25">
      <c r="A55" s="39">
        <v>42095</v>
      </c>
      <c r="C55" s="46"/>
      <c r="D55" s="45">
        <v>0</v>
      </c>
      <c r="E55" s="45">
        <f>('[2]Renewable Diesel'!B64*E$3*'[2]Feedstock Conversion Rates'!$B$2)/12</f>
        <v>20.853333333333332</v>
      </c>
      <c r="F55" s="45">
        <f>('[2]Renewable Diesel'!B64*'[2]RD Feedstock Breakdown'!F$3*'[2]Feedstock Conversion Rates'!B$8)/12</f>
        <v>12.5</v>
      </c>
      <c r="G55" s="45">
        <f>('[2]Renewable Diesel'!B64*'[2]RD Feedstock Breakdown'!G$3*'[2]Feedstock Conversion Rates'!B$7)/12</f>
        <v>40.847999999999999</v>
      </c>
      <c r="H55" s="45">
        <f>('[2]Renewable Diesel'!B64*'[2]RD Feedstock Breakdown'!H$3*'[2]Feedstock Conversion Rates'!B$3)/12</f>
        <v>40.904400000000003</v>
      </c>
      <c r="I55" s="47">
        <f t="shared" si="14"/>
        <v>115.10573333333335</v>
      </c>
      <c r="J55" s="47"/>
      <c r="K55" s="48"/>
      <c r="L55" s="47"/>
      <c r="T55" s="49"/>
      <c r="Z55" s="45">
        <f>('[2]Renewable Diesel'!F64*'[2]RD Feedstock Breakdown'!Z$3*'[2]Feedstock Conversion Rates'!B$6)/12</f>
        <v>44.555000000000007</v>
      </c>
      <c r="AA55" s="45">
        <f>('[2]Renewable Diesel'!F64*'[2]RD Feedstock Breakdown'!AA$3*'[2]Feedstock Conversion Rates'!B$7)/12</f>
        <v>29.133333333333329</v>
      </c>
      <c r="AB55" s="47">
        <f t="shared" si="17"/>
        <v>73.688333333333333</v>
      </c>
      <c r="AC55" s="49"/>
      <c r="AG55" s="49"/>
      <c r="AT55" s="49"/>
      <c r="BX55" s="49"/>
      <c r="CI55" s="49"/>
      <c r="DD55" s="49"/>
      <c r="DJ55" s="49"/>
      <c r="DP55" s="45">
        <f t="shared" si="0"/>
        <v>20.853333333333332</v>
      </c>
      <c r="DQ55" s="45">
        <f t="shared" si="1"/>
        <v>40.904400000000003</v>
      </c>
      <c r="DR55" s="45">
        <f t="shared" si="10"/>
        <v>0</v>
      </c>
      <c r="DS55" s="49"/>
      <c r="DT55" s="45">
        <f t="shared" si="2"/>
        <v>44.555000000000007</v>
      </c>
      <c r="DU55" s="45">
        <f t="shared" si="3"/>
        <v>69.981333333333325</v>
      </c>
      <c r="DV55" s="45">
        <f t="shared" si="4"/>
        <v>12.5</v>
      </c>
      <c r="DW55" s="45">
        <f t="shared" si="5"/>
        <v>0</v>
      </c>
      <c r="DX55" s="47">
        <f t="shared" si="6"/>
        <v>188.79406666666665</v>
      </c>
      <c r="DY55" s="50">
        <f t="shared" si="7"/>
        <v>2.8421709430404007E-14</v>
      </c>
      <c r="EA55" s="51">
        <f t="shared" si="15"/>
        <v>0.11045544863521488</v>
      </c>
      <c r="EB55" s="51">
        <f t="shared" si="15"/>
        <v>0.21666146994026297</v>
      </c>
      <c r="EC55" s="51">
        <f t="shared" si="15"/>
        <v>0</v>
      </c>
      <c r="ED55" s="49"/>
      <c r="EE55" s="51">
        <f t="shared" si="16"/>
        <v>0.23599788270182226</v>
      </c>
      <c r="EF55" s="51">
        <f t="shared" si="16"/>
        <v>0.37067549086111817</v>
      </c>
      <c r="EG55" s="51">
        <f t="shared" si="16"/>
        <v>6.6209707861581812E-2</v>
      </c>
      <c r="EH55" s="52">
        <f t="shared" si="11"/>
        <v>0</v>
      </c>
      <c r="EI55" s="51">
        <f t="shared" si="12"/>
        <v>1.0000000000000002</v>
      </c>
      <c r="EK55" s="53">
        <f>EA55*'[2]Renewable Diesel'!BF64*'[2]Feedstock Conversion Rates'!B$2</f>
        <v>14.246981610368405</v>
      </c>
      <c r="EL55" s="53">
        <f>EB55*'[2]Renewable Diesel'!BF64*'[2]Feedstock Conversion Rates'!B$3</f>
        <v>26.33485887812768</v>
      </c>
      <c r="EM55" s="53">
        <f>EC55*'[2]Renewable Diesel'!BF64*'[2]Feedstock Conversion Rates'!B$4</f>
        <v>0</v>
      </c>
      <c r="EN55" s="49"/>
      <c r="EO55" s="53">
        <f>EE55*'[2]Renewable Diesel'!BF64*'[2]Feedstock Conversion Rates'!B$6</f>
        <v>33.591371737983302</v>
      </c>
      <c r="EP55" s="53">
        <f>EF55*'[2]Renewable Diesel'!BF64*'[2]Feedstock Conversion Rates'!B$7</f>
        <v>51.748586629882077</v>
      </c>
      <c r="EQ55" s="53">
        <f>EG55*'[2]Renewable Diesel'!BF64*'[2]Feedstock Conversion Rates'!B$8</f>
        <v>9.4191072521346886</v>
      </c>
      <c r="ER55" s="53">
        <f>EH55*'[2]Renewable Diesel'!BF64*'[2]Feedstock Conversion Rates'!B$9</f>
        <v>0</v>
      </c>
      <c r="ES55" s="53">
        <f t="shared" si="13"/>
        <v>135.34090610849617</v>
      </c>
    </row>
    <row r="56" spans="1:149" x14ac:dyDescent="0.25">
      <c r="A56" s="39">
        <v>42125</v>
      </c>
      <c r="C56" s="46"/>
      <c r="D56" s="45">
        <v>0</v>
      </c>
      <c r="E56" s="45">
        <f>('[2]Renewable Diesel'!B65*E$3*'[2]Feedstock Conversion Rates'!$B$2)/12</f>
        <v>20.853333333333332</v>
      </c>
      <c r="F56" s="45">
        <f>('[2]Renewable Diesel'!B65*'[2]RD Feedstock Breakdown'!F$3*'[2]Feedstock Conversion Rates'!B$8)/12</f>
        <v>12.5</v>
      </c>
      <c r="G56" s="45">
        <f>('[2]Renewable Diesel'!B65*'[2]RD Feedstock Breakdown'!G$3*'[2]Feedstock Conversion Rates'!B$7)/12</f>
        <v>40.847999999999999</v>
      </c>
      <c r="H56" s="45">
        <f>('[2]Renewable Diesel'!B65*'[2]RD Feedstock Breakdown'!H$3*'[2]Feedstock Conversion Rates'!B$3)/12</f>
        <v>40.904400000000003</v>
      </c>
      <c r="I56" s="47">
        <f t="shared" si="14"/>
        <v>115.10573333333335</v>
      </c>
      <c r="J56" s="47"/>
      <c r="K56" s="48"/>
      <c r="L56" s="47"/>
      <c r="T56" s="49"/>
      <c r="Z56" s="45">
        <f>('[2]Renewable Diesel'!F65*'[2]RD Feedstock Breakdown'!Z$3*'[2]Feedstock Conversion Rates'!B$6)/12</f>
        <v>44.555000000000007</v>
      </c>
      <c r="AA56" s="45">
        <f>('[2]Renewable Diesel'!F65*'[2]RD Feedstock Breakdown'!AA$3*'[2]Feedstock Conversion Rates'!B$7)/12</f>
        <v>29.133333333333329</v>
      </c>
      <c r="AB56" s="47">
        <f t="shared" si="17"/>
        <v>73.688333333333333</v>
      </c>
      <c r="AC56" s="49"/>
      <c r="AG56" s="49"/>
      <c r="AT56" s="49"/>
      <c r="BX56" s="49"/>
      <c r="CI56" s="49"/>
      <c r="DD56" s="49"/>
      <c r="DJ56" s="49"/>
      <c r="DP56" s="45">
        <f t="shared" si="0"/>
        <v>20.853333333333332</v>
      </c>
      <c r="DQ56" s="45">
        <f t="shared" si="1"/>
        <v>40.904400000000003</v>
      </c>
      <c r="DR56" s="45">
        <f t="shared" si="10"/>
        <v>0</v>
      </c>
      <c r="DS56" s="49"/>
      <c r="DT56" s="45">
        <f t="shared" si="2"/>
        <v>44.555000000000007</v>
      </c>
      <c r="DU56" s="45">
        <f t="shared" si="3"/>
        <v>69.981333333333325</v>
      </c>
      <c r="DV56" s="45">
        <f t="shared" si="4"/>
        <v>12.5</v>
      </c>
      <c r="DW56" s="45">
        <f t="shared" si="5"/>
        <v>0</v>
      </c>
      <c r="DX56" s="47">
        <f t="shared" si="6"/>
        <v>188.79406666666665</v>
      </c>
      <c r="DY56" s="50">
        <f t="shared" si="7"/>
        <v>2.8421709430404007E-14</v>
      </c>
      <c r="EA56" s="51">
        <f t="shared" si="15"/>
        <v>0.11045544863521488</v>
      </c>
      <c r="EB56" s="51">
        <f t="shared" si="15"/>
        <v>0.21666146994026297</v>
      </c>
      <c r="EC56" s="51">
        <f t="shared" si="15"/>
        <v>0</v>
      </c>
      <c r="ED56" s="49"/>
      <c r="EE56" s="51">
        <f t="shared" si="16"/>
        <v>0.23599788270182226</v>
      </c>
      <c r="EF56" s="51">
        <f t="shared" si="16"/>
        <v>0.37067549086111817</v>
      </c>
      <c r="EG56" s="51">
        <f t="shared" si="16"/>
        <v>6.6209707861581812E-2</v>
      </c>
      <c r="EH56" s="52">
        <f t="shared" si="11"/>
        <v>0</v>
      </c>
      <c r="EI56" s="51">
        <f t="shared" si="12"/>
        <v>1.0000000000000002</v>
      </c>
      <c r="EK56" s="53">
        <f>EA56*'[2]Renewable Diesel'!BF65*'[2]Feedstock Conversion Rates'!B$2</f>
        <v>14.458705541381773</v>
      </c>
      <c r="EL56" s="53">
        <f>EB56*'[2]Renewable Diesel'!BF65*'[2]Feedstock Conversion Rates'!B$3</f>
        <v>26.726220360639999</v>
      </c>
      <c r="EM56" s="53">
        <f>EC56*'[2]Renewable Diesel'!BF65*'[2]Feedstock Conversion Rates'!B$4</f>
        <v>0</v>
      </c>
      <c r="EN56" s="49"/>
      <c r="EO56" s="53">
        <f>EE56*'[2]Renewable Diesel'!BF65*'[2]Feedstock Conversion Rates'!B$6</f>
        <v>34.090572022436625</v>
      </c>
      <c r="EP56" s="53">
        <f>EF56*'[2]Renewable Diesel'!BF65*'[2]Feedstock Conversion Rates'!B$7</f>
        <v>52.517620695153198</v>
      </c>
      <c r="EQ56" s="53">
        <f>EG56*'[2]Renewable Diesel'!BF65*'[2]Feedstock Conversion Rates'!B$8</f>
        <v>9.5590842991049154</v>
      </c>
      <c r="ER56" s="53">
        <f>EH56*'[2]Renewable Diesel'!BF65*'[2]Feedstock Conversion Rates'!B$9</f>
        <v>0</v>
      </c>
      <c r="ES56" s="53">
        <f t="shared" si="13"/>
        <v>137.3522029187165</v>
      </c>
    </row>
    <row r="57" spans="1:149" x14ac:dyDescent="0.25">
      <c r="A57" s="39">
        <v>42156</v>
      </c>
      <c r="C57" s="46"/>
      <c r="D57" s="45">
        <v>0</v>
      </c>
      <c r="E57" s="45">
        <f>('[2]Renewable Diesel'!B66*E$3*'[2]Feedstock Conversion Rates'!$B$2)/12</f>
        <v>20.853333333333332</v>
      </c>
      <c r="F57" s="45">
        <f>('[2]Renewable Diesel'!B66*'[2]RD Feedstock Breakdown'!F$3*'[2]Feedstock Conversion Rates'!B$8)/12</f>
        <v>12.5</v>
      </c>
      <c r="G57" s="45">
        <f>('[2]Renewable Diesel'!B66*'[2]RD Feedstock Breakdown'!G$3*'[2]Feedstock Conversion Rates'!B$7)/12</f>
        <v>40.847999999999999</v>
      </c>
      <c r="H57" s="45">
        <f>('[2]Renewable Diesel'!B66*'[2]RD Feedstock Breakdown'!H$3*'[2]Feedstock Conversion Rates'!B$3)/12</f>
        <v>40.904400000000003</v>
      </c>
      <c r="I57" s="47">
        <f t="shared" si="14"/>
        <v>115.10573333333335</v>
      </c>
      <c r="J57" s="47"/>
      <c r="K57" s="48"/>
      <c r="L57" s="47"/>
      <c r="T57" s="49"/>
      <c r="Z57" s="45">
        <f>('[2]Renewable Diesel'!F66*'[2]RD Feedstock Breakdown'!Z$3*'[2]Feedstock Conversion Rates'!B$6)/12</f>
        <v>44.555000000000007</v>
      </c>
      <c r="AA57" s="45">
        <f>('[2]Renewable Diesel'!F66*'[2]RD Feedstock Breakdown'!AA$3*'[2]Feedstock Conversion Rates'!B$7)/12</f>
        <v>29.133333333333329</v>
      </c>
      <c r="AB57" s="47">
        <f t="shared" si="17"/>
        <v>73.688333333333333</v>
      </c>
      <c r="AC57" s="49"/>
      <c r="AG57" s="49"/>
      <c r="AT57" s="49"/>
      <c r="BX57" s="49"/>
      <c r="CI57" s="49"/>
      <c r="DD57" s="49"/>
      <c r="DJ57" s="49"/>
      <c r="DP57" s="45">
        <f t="shared" si="0"/>
        <v>20.853333333333332</v>
      </c>
      <c r="DQ57" s="45">
        <f t="shared" si="1"/>
        <v>40.904400000000003</v>
      </c>
      <c r="DR57" s="45">
        <f t="shared" si="10"/>
        <v>0</v>
      </c>
      <c r="DS57" s="49"/>
      <c r="DT57" s="45">
        <f t="shared" si="2"/>
        <v>44.555000000000007</v>
      </c>
      <c r="DU57" s="45">
        <f t="shared" si="3"/>
        <v>69.981333333333325</v>
      </c>
      <c r="DV57" s="45">
        <f t="shared" si="4"/>
        <v>12.5</v>
      </c>
      <c r="DW57" s="45">
        <f t="shared" si="5"/>
        <v>0</v>
      </c>
      <c r="DX57" s="47">
        <f t="shared" si="6"/>
        <v>188.79406666666665</v>
      </c>
      <c r="DY57" s="50">
        <f t="shared" si="7"/>
        <v>2.8421709430404007E-14</v>
      </c>
      <c r="EA57" s="51">
        <f t="shared" si="15"/>
        <v>0.11045544863521488</v>
      </c>
      <c r="EB57" s="51">
        <f t="shared" si="15"/>
        <v>0.21666146994026297</v>
      </c>
      <c r="EC57" s="51">
        <f t="shared" si="15"/>
        <v>0</v>
      </c>
      <c r="ED57" s="49"/>
      <c r="EE57" s="51">
        <f t="shared" si="16"/>
        <v>0.23599788270182226</v>
      </c>
      <c r="EF57" s="51">
        <f t="shared" si="16"/>
        <v>0.37067549086111817</v>
      </c>
      <c r="EG57" s="51">
        <f t="shared" si="16"/>
        <v>6.6209707861581812E-2</v>
      </c>
      <c r="EH57" s="52">
        <f t="shared" si="11"/>
        <v>0</v>
      </c>
      <c r="EI57" s="51">
        <f t="shared" si="12"/>
        <v>1.0000000000000002</v>
      </c>
      <c r="EK57" s="53">
        <f>EA57*'[2]Renewable Diesel'!BF66*'[2]Feedstock Conversion Rates'!B$2</f>
        <v>13.027718256964997</v>
      </c>
      <c r="EL57" s="53">
        <f>EB57*'[2]Renewable Diesel'!BF66*'[2]Feedstock Conversion Rates'!B$3</f>
        <v>24.081109331361674</v>
      </c>
      <c r="EM57" s="53">
        <f>EC57*'[2]Renewable Diesel'!BF66*'[2]Feedstock Conversion Rates'!B$4</f>
        <v>0</v>
      </c>
      <c r="EN57" s="49"/>
      <c r="EO57" s="53">
        <f>EE57*'[2]Renewable Diesel'!BF66*'[2]Feedstock Conversion Rates'!B$6</f>
        <v>30.716606424826217</v>
      </c>
      <c r="EP57" s="53">
        <f>EF57*'[2]Renewable Diesel'!BF66*'[2]Feedstock Conversion Rates'!B$7</f>
        <v>47.319918369208644</v>
      </c>
      <c r="EQ57" s="53">
        <f>EG57*'[2]Renewable Diesel'!BF66*'[2]Feedstock Conversion Rates'!B$8</f>
        <v>8.6130156456188072</v>
      </c>
      <c r="ER57" s="53">
        <f>EH57*'[2]Renewable Diesel'!BF66*'[2]Feedstock Conversion Rates'!B$9</f>
        <v>0</v>
      </c>
      <c r="ES57" s="53">
        <f t="shared" si="13"/>
        <v>123.75836802798032</v>
      </c>
    </row>
    <row r="58" spans="1:149" x14ac:dyDescent="0.25">
      <c r="A58" s="39">
        <v>42186</v>
      </c>
      <c r="C58" s="46"/>
      <c r="D58" s="45">
        <v>0</v>
      </c>
      <c r="E58" s="45">
        <f>('[2]Renewable Diesel'!B67*E$3*'[2]Feedstock Conversion Rates'!$B$2)/12</f>
        <v>20.853333333333332</v>
      </c>
      <c r="F58" s="45">
        <f>('[2]Renewable Diesel'!B67*'[2]RD Feedstock Breakdown'!F$3*'[2]Feedstock Conversion Rates'!B$8)/12</f>
        <v>12.5</v>
      </c>
      <c r="G58" s="45">
        <f>('[2]Renewable Diesel'!B67*'[2]RD Feedstock Breakdown'!G$3*'[2]Feedstock Conversion Rates'!B$7)/12</f>
        <v>40.847999999999999</v>
      </c>
      <c r="H58" s="45">
        <f>('[2]Renewable Diesel'!B67*'[2]RD Feedstock Breakdown'!H$3*'[2]Feedstock Conversion Rates'!B$3)/12</f>
        <v>40.904400000000003</v>
      </c>
      <c r="I58" s="47">
        <f t="shared" si="14"/>
        <v>115.10573333333335</v>
      </c>
      <c r="J58" s="47"/>
      <c r="K58" s="48"/>
      <c r="L58" s="47"/>
      <c r="T58" s="49"/>
      <c r="Z58" s="45">
        <f>('[2]Renewable Diesel'!F67*'[2]RD Feedstock Breakdown'!Z$3*'[2]Feedstock Conversion Rates'!B$6)/12</f>
        <v>44.555000000000007</v>
      </c>
      <c r="AA58" s="45">
        <f>('[2]Renewable Diesel'!F67*'[2]RD Feedstock Breakdown'!AA$3*'[2]Feedstock Conversion Rates'!B$7)/12</f>
        <v>29.133333333333329</v>
      </c>
      <c r="AB58" s="47">
        <f t="shared" si="17"/>
        <v>73.688333333333333</v>
      </c>
      <c r="AC58" s="49"/>
      <c r="AG58" s="49"/>
      <c r="AT58" s="49"/>
      <c r="BX58" s="49"/>
      <c r="CI58" s="49"/>
      <c r="DD58" s="49"/>
      <c r="DJ58" s="49"/>
      <c r="DP58" s="45">
        <f t="shared" si="0"/>
        <v>20.853333333333332</v>
      </c>
      <c r="DQ58" s="45">
        <f t="shared" si="1"/>
        <v>40.904400000000003</v>
      </c>
      <c r="DR58" s="45">
        <f t="shared" si="10"/>
        <v>0</v>
      </c>
      <c r="DS58" s="49"/>
      <c r="DT58" s="45">
        <f t="shared" si="2"/>
        <v>44.555000000000007</v>
      </c>
      <c r="DU58" s="45">
        <f t="shared" si="3"/>
        <v>69.981333333333325</v>
      </c>
      <c r="DV58" s="45">
        <f t="shared" si="4"/>
        <v>12.5</v>
      </c>
      <c r="DW58" s="45">
        <f t="shared" si="5"/>
        <v>0</v>
      </c>
      <c r="DX58" s="47">
        <f t="shared" si="6"/>
        <v>188.79406666666665</v>
      </c>
      <c r="DY58" s="50">
        <f t="shared" si="7"/>
        <v>2.8421709430404007E-14</v>
      </c>
      <c r="EA58" s="51">
        <f t="shared" si="15"/>
        <v>0.11045544863521488</v>
      </c>
      <c r="EB58" s="51">
        <f t="shared" si="15"/>
        <v>0.21666146994026297</v>
      </c>
      <c r="EC58" s="51">
        <f t="shared" si="15"/>
        <v>0</v>
      </c>
      <c r="ED58" s="49"/>
      <c r="EE58" s="51">
        <f t="shared" si="16"/>
        <v>0.23599788270182226</v>
      </c>
      <c r="EF58" s="51">
        <f t="shared" si="16"/>
        <v>0.37067549086111817</v>
      </c>
      <c r="EG58" s="51">
        <f t="shared" si="16"/>
        <v>6.6209707861581812E-2</v>
      </c>
      <c r="EH58" s="52">
        <f t="shared" si="11"/>
        <v>0</v>
      </c>
      <c r="EI58" s="51">
        <f t="shared" si="12"/>
        <v>1.0000000000000002</v>
      </c>
      <c r="EK58" s="53">
        <f>EA58*'[2]Renewable Diesel'!BF67*'[2]Feedstock Conversion Rates'!B$2</f>
        <v>14.125381814470867</v>
      </c>
      <c r="EL58" s="53">
        <f>EB58*'[2]Renewable Diesel'!BF67*'[2]Feedstock Conversion Rates'!B$3</f>
        <v>26.110087515873637</v>
      </c>
      <c r="EM58" s="53">
        <f>EC58*'[2]Renewable Diesel'!BF67*'[2]Feedstock Conversion Rates'!B$4</f>
        <v>0</v>
      </c>
      <c r="EN58" s="49"/>
      <c r="EO58" s="53">
        <f>EE58*'[2]Renewable Diesel'!BF67*'[2]Feedstock Conversion Rates'!B$6</f>
        <v>33.3046651176642</v>
      </c>
      <c r="EP58" s="53">
        <f>EF58*'[2]Renewable Diesel'!BF67*'[2]Feedstock Conversion Rates'!B$7</f>
        <v>51.306905876423379</v>
      </c>
      <c r="EQ58" s="53">
        <f>EG58*'[2]Renewable Diesel'!BF67*'[2]Feedstock Conversion Rates'!B$8</f>
        <v>9.3387139765117997</v>
      </c>
      <c r="ER58" s="53">
        <f>EH58*'[2]Renewable Diesel'!BF67*'[2]Feedstock Conversion Rates'!B$9</f>
        <v>0</v>
      </c>
      <c r="ES58" s="53">
        <f t="shared" si="13"/>
        <v>134.18575430094387</v>
      </c>
    </row>
    <row r="59" spans="1:149" x14ac:dyDescent="0.25">
      <c r="A59" s="39">
        <v>42217</v>
      </c>
      <c r="C59" s="46"/>
      <c r="D59" s="45">
        <v>0</v>
      </c>
      <c r="E59" s="45">
        <f>('[2]Renewable Diesel'!B68*E$3*'[2]Feedstock Conversion Rates'!$B$2)/12</f>
        <v>20.853333333333332</v>
      </c>
      <c r="F59" s="45">
        <f>('[2]Renewable Diesel'!B68*'[2]RD Feedstock Breakdown'!F$3*'[2]Feedstock Conversion Rates'!B$8)/12</f>
        <v>12.5</v>
      </c>
      <c r="G59" s="45">
        <f>('[2]Renewable Diesel'!B68*'[2]RD Feedstock Breakdown'!G$3*'[2]Feedstock Conversion Rates'!B$7)/12</f>
        <v>40.847999999999999</v>
      </c>
      <c r="H59" s="45">
        <f>('[2]Renewable Diesel'!B68*'[2]RD Feedstock Breakdown'!H$3*'[2]Feedstock Conversion Rates'!B$3)/12</f>
        <v>40.904400000000003</v>
      </c>
      <c r="I59" s="47">
        <f t="shared" si="14"/>
        <v>115.10573333333335</v>
      </c>
      <c r="J59" s="47"/>
      <c r="K59" s="48"/>
      <c r="L59" s="47"/>
      <c r="T59" s="49"/>
      <c r="Z59" s="45">
        <f>('[2]Renewable Diesel'!F68*'[2]RD Feedstock Breakdown'!Z$3*'[2]Feedstock Conversion Rates'!B$6)/12</f>
        <v>44.555000000000007</v>
      </c>
      <c r="AA59" s="45">
        <f>('[2]Renewable Diesel'!F68*'[2]RD Feedstock Breakdown'!AA$3*'[2]Feedstock Conversion Rates'!B$7)/12</f>
        <v>29.133333333333329</v>
      </c>
      <c r="AB59" s="47">
        <f t="shared" si="17"/>
        <v>73.688333333333333</v>
      </c>
      <c r="AC59" s="49"/>
      <c r="AG59" s="49"/>
      <c r="AT59" s="49"/>
      <c r="BX59" s="49"/>
      <c r="CI59" s="49"/>
      <c r="DD59" s="49"/>
      <c r="DJ59" s="49"/>
      <c r="DP59" s="45">
        <f t="shared" si="0"/>
        <v>20.853333333333332</v>
      </c>
      <c r="DQ59" s="45">
        <f t="shared" si="1"/>
        <v>40.904400000000003</v>
      </c>
      <c r="DR59" s="45">
        <f t="shared" si="10"/>
        <v>0</v>
      </c>
      <c r="DS59" s="49"/>
      <c r="DT59" s="45">
        <f t="shared" si="2"/>
        <v>44.555000000000007</v>
      </c>
      <c r="DU59" s="45">
        <f t="shared" si="3"/>
        <v>69.981333333333325</v>
      </c>
      <c r="DV59" s="45">
        <f t="shared" si="4"/>
        <v>12.5</v>
      </c>
      <c r="DW59" s="45">
        <f t="shared" si="5"/>
        <v>0</v>
      </c>
      <c r="DX59" s="47">
        <f t="shared" si="6"/>
        <v>188.79406666666665</v>
      </c>
      <c r="DY59" s="50">
        <f t="shared" si="7"/>
        <v>2.8421709430404007E-14</v>
      </c>
      <c r="EA59" s="51">
        <f t="shared" si="15"/>
        <v>0.11045544863521488</v>
      </c>
      <c r="EB59" s="51">
        <f t="shared" si="15"/>
        <v>0.21666146994026297</v>
      </c>
      <c r="EC59" s="51">
        <f t="shared" si="15"/>
        <v>0</v>
      </c>
      <c r="ED59" s="49"/>
      <c r="EE59" s="51">
        <f t="shared" si="16"/>
        <v>0.23599788270182226</v>
      </c>
      <c r="EF59" s="51">
        <f t="shared" si="16"/>
        <v>0.37067549086111817</v>
      </c>
      <c r="EG59" s="51">
        <f t="shared" si="16"/>
        <v>6.6209707861581812E-2</v>
      </c>
      <c r="EH59" s="52">
        <f t="shared" si="11"/>
        <v>0</v>
      </c>
      <c r="EI59" s="51">
        <f t="shared" si="12"/>
        <v>1.0000000000000002</v>
      </c>
      <c r="EK59" s="53">
        <f>EA59*'[2]Renewable Diesel'!BF68*'[2]Feedstock Conversion Rates'!B$2</f>
        <v>13.759508357995713</v>
      </c>
      <c r="EL59" s="53">
        <f>EB59*'[2]Renewable Diesel'!BF68*'[2]Feedstock Conversion Rates'!B$3</f>
        <v>25.433788064731385</v>
      </c>
      <c r="EM59" s="53">
        <f>EC59*'[2]Renewable Diesel'!BF68*'[2]Feedstock Conversion Rates'!B$4</f>
        <v>0</v>
      </c>
      <c r="EN59" s="49"/>
      <c r="EO59" s="53">
        <f>EE59*'[2]Renewable Diesel'!BF68*'[2]Feedstock Conversion Rates'!B$6</f>
        <v>32.442012829507014</v>
      </c>
      <c r="EP59" s="53">
        <f>EF59*'[2]Renewable Diesel'!BF68*'[2]Feedstock Conversion Rates'!B$7</f>
        <v>49.977962330641034</v>
      </c>
      <c r="EQ59" s="53">
        <f>EG59*'[2]Renewable Diesel'!BF68*'[2]Feedstock Conversion Rates'!B$8</f>
        <v>9.0968240505263065</v>
      </c>
      <c r="ER59" s="53">
        <f>EH59*'[2]Renewable Diesel'!BF68*'[2]Feedstock Conversion Rates'!B$9</f>
        <v>0</v>
      </c>
      <c r="ES59" s="53">
        <f t="shared" si="13"/>
        <v>130.71009563340147</v>
      </c>
    </row>
    <row r="60" spans="1:149" x14ac:dyDescent="0.25">
      <c r="A60" s="39">
        <v>42248</v>
      </c>
      <c r="C60" s="46"/>
      <c r="D60" s="45">
        <v>0</v>
      </c>
      <c r="E60" s="45">
        <f>('[2]Renewable Diesel'!B69*E$3*'[2]Feedstock Conversion Rates'!$B$2)/12</f>
        <v>20.853333333333332</v>
      </c>
      <c r="F60" s="45">
        <f>('[2]Renewable Diesel'!B69*'[2]RD Feedstock Breakdown'!F$3*'[2]Feedstock Conversion Rates'!B$8)/12</f>
        <v>12.5</v>
      </c>
      <c r="G60" s="45">
        <f>('[2]Renewable Diesel'!B69*'[2]RD Feedstock Breakdown'!G$3*'[2]Feedstock Conversion Rates'!B$7)/12</f>
        <v>40.847999999999999</v>
      </c>
      <c r="H60" s="45">
        <f>('[2]Renewable Diesel'!B69*'[2]RD Feedstock Breakdown'!H$3*'[2]Feedstock Conversion Rates'!B$3)/12</f>
        <v>40.904400000000003</v>
      </c>
      <c r="I60" s="47">
        <f t="shared" si="14"/>
        <v>115.10573333333335</v>
      </c>
      <c r="J60" s="47"/>
      <c r="K60" s="48"/>
      <c r="L60" s="47"/>
      <c r="T60" s="49"/>
      <c r="Z60" s="45">
        <f>('[2]Renewable Diesel'!F69*'[2]RD Feedstock Breakdown'!Z$3*'[2]Feedstock Conversion Rates'!B$6)/12</f>
        <v>44.555000000000007</v>
      </c>
      <c r="AA60" s="45">
        <f>('[2]Renewable Diesel'!F69*'[2]RD Feedstock Breakdown'!AA$3*'[2]Feedstock Conversion Rates'!B$7)/12</f>
        <v>29.133333333333329</v>
      </c>
      <c r="AB60" s="47">
        <f t="shared" si="17"/>
        <v>73.688333333333333</v>
      </c>
      <c r="AC60" s="49"/>
      <c r="AG60" s="49"/>
      <c r="AT60" s="49"/>
      <c r="BX60" s="49"/>
      <c r="CI60" s="49"/>
      <c r="DD60" s="49"/>
      <c r="DJ60" s="49"/>
      <c r="DP60" s="45">
        <f t="shared" si="0"/>
        <v>20.853333333333332</v>
      </c>
      <c r="DQ60" s="45">
        <f t="shared" si="1"/>
        <v>40.904400000000003</v>
      </c>
      <c r="DR60" s="45">
        <f t="shared" si="10"/>
        <v>0</v>
      </c>
      <c r="DS60" s="49"/>
      <c r="DT60" s="45">
        <f t="shared" si="2"/>
        <v>44.555000000000007</v>
      </c>
      <c r="DU60" s="45">
        <f t="shared" si="3"/>
        <v>69.981333333333325</v>
      </c>
      <c r="DV60" s="45">
        <f t="shared" si="4"/>
        <v>12.5</v>
      </c>
      <c r="DW60" s="45">
        <f t="shared" si="5"/>
        <v>0</v>
      </c>
      <c r="DX60" s="47">
        <f t="shared" si="6"/>
        <v>188.79406666666665</v>
      </c>
      <c r="DY60" s="50">
        <f t="shared" si="7"/>
        <v>2.8421709430404007E-14</v>
      </c>
      <c r="EA60" s="51">
        <f t="shared" si="15"/>
        <v>0.11045544863521488</v>
      </c>
      <c r="EB60" s="51">
        <f t="shared" si="15"/>
        <v>0.21666146994026297</v>
      </c>
      <c r="EC60" s="51">
        <f t="shared" si="15"/>
        <v>0</v>
      </c>
      <c r="ED60" s="49"/>
      <c r="EE60" s="51">
        <f t="shared" si="16"/>
        <v>0.23599788270182226</v>
      </c>
      <c r="EF60" s="51">
        <f t="shared" si="16"/>
        <v>0.37067549086111817</v>
      </c>
      <c r="EG60" s="51">
        <f t="shared" si="16"/>
        <v>6.6209707861581812E-2</v>
      </c>
      <c r="EH60" s="52">
        <f t="shared" si="11"/>
        <v>0</v>
      </c>
      <c r="EI60" s="51">
        <f t="shared" si="12"/>
        <v>1.0000000000000002</v>
      </c>
      <c r="EK60" s="53">
        <f>EA60*'[2]Renewable Diesel'!BF69*'[2]Feedstock Conversion Rates'!B$2</f>
        <v>12.652139687723238</v>
      </c>
      <c r="EL60" s="53">
        <f>EB60*'[2]Renewable Diesel'!BF69*'[2]Feedstock Conversion Rates'!B$3</f>
        <v>23.386870447005094</v>
      </c>
      <c r="EM60" s="53">
        <f>EC60*'[2]Renewable Diesel'!BF69*'[2]Feedstock Conversion Rates'!B$4</f>
        <v>0</v>
      </c>
      <c r="EN60" s="49"/>
      <c r="EO60" s="53">
        <f>EE60*'[2]Renewable Diesel'!BF69*'[2]Feedstock Conversion Rates'!B$6</f>
        <v>29.831071531804508</v>
      </c>
      <c r="EP60" s="53">
        <f>EF60*'[2]Renewable Diesel'!BF69*'[2]Feedstock Conversion Rates'!B$7</f>
        <v>45.955723435975209</v>
      </c>
      <c r="EQ60" s="53">
        <f>EG60*'[2]Renewable Diesel'!BF69*'[2]Feedstock Conversion Rates'!B$8</f>
        <v>8.3647093782255162</v>
      </c>
      <c r="ER60" s="53">
        <f>EH60*'[2]Renewable Diesel'!BF69*'[2]Feedstock Conversion Rates'!B$9</f>
        <v>0</v>
      </c>
      <c r="ES60" s="53">
        <f t="shared" si="13"/>
        <v>120.19051448073355</v>
      </c>
    </row>
    <row r="61" spans="1:149" x14ac:dyDescent="0.25">
      <c r="A61" s="39">
        <v>42278</v>
      </c>
      <c r="C61" s="46"/>
      <c r="D61" s="45">
        <v>0</v>
      </c>
      <c r="E61" s="45">
        <f>('[2]Renewable Diesel'!B70*E$3*'[2]Feedstock Conversion Rates'!$B$2)/12</f>
        <v>20.853333333333332</v>
      </c>
      <c r="F61" s="45">
        <f>('[2]Renewable Diesel'!B70*'[2]RD Feedstock Breakdown'!F$3*'[2]Feedstock Conversion Rates'!B$8)/12</f>
        <v>12.5</v>
      </c>
      <c r="G61" s="45">
        <f>('[2]Renewable Diesel'!B70*'[2]RD Feedstock Breakdown'!G$3*'[2]Feedstock Conversion Rates'!B$7)/12</f>
        <v>40.847999999999999</v>
      </c>
      <c r="H61" s="45">
        <f>('[2]Renewable Diesel'!B70*'[2]RD Feedstock Breakdown'!H$3*'[2]Feedstock Conversion Rates'!B$3)/12</f>
        <v>40.904400000000003</v>
      </c>
      <c r="I61" s="47">
        <f t="shared" si="14"/>
        <v>115.10573333333335</v>
      </c>
      <c r="J61" s="47"/>
      <c r="K61" s="48"/>
      <c r="L61" s="47"/>
      <c r="T61" s="49"/>
      <c r="Z61" s="45">
        <f>('[2]Renewable Diesel'!F70*'[2]RD Feedstock Breakdown'!Z$3*'[2]Feedstock Conversion Rates'!B$6)/12</f>
        <v>44.555000000000007</v>
      </c>
      <c r="AA61" s="45">
        <f>('[2]Renewable Diesel'!F70*'[2]RD Feedstock Breakdown'!AA$3*'[2]Feedstock Conversion Rates'!B$7)/12</f>
        <v>29.133333333333329</v>
      </c>
      <c r="AB61" s="47">
        <f t="shared" si="17"/>
        <v>73.688333333333333</v>
      </c>
      <c r="AC61" s="49"/>
      <c r="AG61" s="49"/>
      <c r="AT61" s="49"/>
      <c r="BX61" s="49"/>
      <c r="CI61" s="49"/>
      <c r="DD61" s="49"/>
      <c r="DJ61" s="49"/>
      <c r="DP61" s="45">
        <f t="shared" si="0"/>
        <v>20.853333333333332</v>
      </c>
      <c r="DQ61" s="45">
        <f t="shared" si="1"/>
        <v>40.904400000000003</v>
      </c>
      <c r="DR61" s="45">
        <f t="shared" si="10"/>
        <v>0</v>
      </c>
      <c r="DS61" s="49"/>
      <c r="DT61" s="45">
        <f t="shared" si="2"/>
        <v>44.555000000000007</v>
      </c>
      <c r="DU61" s="45">
        <f t="shared" si="3"/>
        <v>69.981333333333325</v>
      </c>
      <c r="DV61" s="45">
        <f t="shared" si="4"/>
        <v>12.5</v>
      </c>
      <c r="DW61" s="45">
        <f t="shared" si="5"/>
        <v>0</v>
      </c>
      <c r="DX61" s="47">
        <f t="shared" si="6"/>
        <v>188.79406666666665</v>
      </c>
      <c r="DY61" s="50">
        <f t="shared" si="7"/>
        <v>2.8421709430404007E-14</v>
      </c>
      <c r="EA61" s="51">
        <f t="shared" si="15"/>
        <v>0.11045544863521488</v>
      </c>
      <c r="EB61" s="51">
        <f t="shared" si="15"/>
        <v>0.21666146994026297</v>
      </c>
      <c r="EC61" s="51">
        <f t="shared" si="15"/>
        <v>0</v>
      </c>
      <c r="ED61" s="49"/>
      <c r="EE61" s="51">
        <f t="shared" si="16"/>
        <v>0.23599788270182226</v>
      </c>
      <c r="EF61" s="51">
        <f t="shared" si="16"/>
        <v>0.37067549086111817</v>
      </c>
      <c r="EG61" s="51">
        <f t="shared" si="16"/>
        <v>6.6209707861581812E-2</v>
      </c>
      <c r="EH61" s="52">
        <f t="shared" si="11"/>
        <v>0</v>
      </c>
      <c r="EI61" s="51">
        <f t="shared" si="12"/>
        <v>1.0000000000000002</v>
      </c>
      <c r="EK61" s="53">
        <f>EA61*'[2]Renewable Diesel'!BF70*'[2]Feedstock Conversion Rates'!B$2</f>
        <v>12.240490621491988</v>
      </c>
      <c r="EL61" s="53">
        <f>EB61*'[2]Renewable Diesel'!BF70*'[2]Feedstock Conversion Rates'!B$3</f>
        <v>22.6259569873693</v>
      </c>
      <c r="EM61" s="53">
        <f>EC61*'[2]Renewable Diesel'!BF70*'[2]Feedstock Conversion Rates'!B$4</f>
        <v>0</v>
      </c>
      <c r="EN61" s="49"/>
      <c r="EO61" s="53">
        <f>EE61*'[2]Renewable Diesel'!BF70*'[2]Feedstock Conversion Rates'!B$6</f>
        <v>28.860490029874004</v>
      </c>
      <c r="EP61" s="53">
        <f>EF61*'[2]Renewable Diesel'!BF70*'[2]Feedstock Conversion Rates'!B$7</f>
        <v>44.460511471254563</v>
      </c>
      <c r="EQ61" s="53">
        <f>EG61*'[2]Renewable Diesel'!BF70*'[2]Feedstock Conversion Rates'!B$8</f>
        <v>8.0925558223978431</v>
      </c>
      <c r="ER61" s="53">
        <f>EH61*'[2]Renewable Diesel'!BF70*'[2]Feedstock Conversion Rates'!B$9</f>
        <v>0</v>
      </c>
      <c r="ES61" s="53">
        <f t="shared" si="13"/>
        <v>116.2800049323877</v>
      </c>
    </row>
    <row r="62" spans="1:149" x14ac:dyDescent="0.25">
      <c r="A62" s="39">
        <v>42309</v>
      </c>
      <c r="C62" s="46"/>
      <c r="D62" s="45">
        <v>0</v>
      </c>
      <c r="E62" s="45">
        <f>('[2]Renewable Diesel'!B71*E$3*'[2]Feedstock Conversion Rates'!$B$2)/12</f>
        <v>20.853333333333332</v>
      </c>
      <c r="F62" s="45">
        <f>('[2]Renewable Diesel'!B71*'[2]RD Feedstock Breakdown'!F$3*'[2]Feedstock Conversion Rates'!B$8)/12</f>
        <v>12.5</v>
      </c>
      <c r="G62" s="45">
        <f>('[2]Renewable Diesel'!B71*'[2]RD Feedstock Breakdown'!G$3*'[2]Feedstock Conversion Rates'!B$7)/12</f>
        <v>40.847999999999999</v>
      </c>
      <c r="H62" s="45">
        <f>('[2]Renewable Diesel'!B71*'[2]RD Feedstock Breakdown'!H$3*'[2]Feedstock Conversion Rates'!B$3)/12</f>
        <v>40.904400000000003</v>
      </c>
      <c r="I62" s="47">
        <f t="shared" si="14"/>
        <v>115.10573333333335</v>
      </c>
      <c r="J62" s="47"/>
      <c r="K62" s="48"/>
      <c r="L62" s="47"/>
      <c r="T62" s="49"/>
      <c r="Z62" s="45">
        <f>('[2]Renewable Diesel'!F71*'[2]RD Feedstock Breakdown'!Z$3*'[2]Feedstock Conversion Rates'!B$6)/12</f>
        <v>44.555000000000007</v>
      </c>
      <c r="AA62" s="45">
        <f>('[2]Renewable Diesel'!F71*'[2]RD Feedstock Breakdown'!AA$3*'[2]Feedstock Conversion Rates'!B$7)/12</f>
        <v>29.133333333333329</v>
      </c>
      <c r="AB62" s="47">
        <f t="shared" si="17"/>
        <v>73.688333333333333</v>
      </c>
      <c r="AC62" s="49"/>
      <c r="AG62" s="49"/>
      <c r="AT62" s="49"/>
      <c r="BX62" s="49"/>
      <c r="CI62" s="49"/>
      <c r="DD62" s="49"/>
      <c r="DJ62" s="49"/>
      <c r="DP62" s="45">
        <f t="shared" si="0"/>
        <v>20.853333333333332</v>
      </c>
      <c r="DQ62" s="45">
        <f t="shared" si="1"/>
        <v>40.904400000000003</v>
      </c>
      <c r="DR62" s="45">
        <f t="shared" si="10"/>
        <v>0</v>
      </c>
      <c r="DS62" s="49"/>
      <c r="DT62" s="45">
        <f t="shared" si="2"/>
        <v>44.555000000000007</v>
      </c>
      <c r="DU62" s="45">
        <f t="shared" si="3"/>
        <v>69.981333333333325</v>
      </c>
      <c r="DV62" s="45">
        <f t="shared" si="4"/>
        <v>12.5</v>
      </c>
      <c r="DW62" s="45">
        <f t="shared" si="5"/>
        <v>0</v>
      </c>
      <c r="DX62" s="47">
        <f t="shared" si="6"/>
        <v>188.79406666666665</v>
      </c>
      <c r="DY62" s="50">
        <f t="shared" si="7"/>
        <v>2.8421709430404007E-14</v>
      </c>
      <c r="EA62" s="51">
        <f t="shared" si="15"/>
        <v>0.11045544863521488</v>
      </c>
      <c r="EB62" s="51">
        <f t="shared" si="15"/>
        <v>0.21666146994026297</v>
      </c>
      <c r="EC62" s="51">
        <f t="shared" si="15"/>
        <v>0</v>
      </c>
      <c r="ED62" s="49"/>
      <c r="EE62" s="51">
        <f t="shared" si="16"/>
        <v>0.23599788270182226</v>
      </c>
      <c r="EF62" s="51">
        <f t="shared" si="16"/>
        <v>0.37067549086111817</v>
      </c>
      <c r="EG62" s="51">
        <f t="shared" si="16"/>
        <v>6.6209707861581812E-2</v>
      </c>
      <c r="EH62" s="52">
        <f t="shared" si="11"/>
        <v>0</v>
      </c>
      <c r="EI62" s="51">
        <f t="shared" si="12"/>
        <v>1.0000000000000002</v>
      </c>
      <c r="EK62" s="53">
        <f>EA62*'[2]Renewable Diesel'!BF71*'[2]Feedstock Conversion Rates'!B$2</f>
        <v>11.589664088172265</v>
      </c>
      <c r="EL62" s="53">
        <f>EB62*'[2]Renewable Diesel'!BF71*'[2]Feedstock Conversion Rates'!B$3</f>
        <v>21.422935506900579</v>
      </c>
      <c r="EM62" s="53">
        <f>EC62*'[2]Renewable Diesel'!BF71*'[2]Feedstock Conversion Rates'!B$4</f>
        <v>0</v>
      </c>
      <c r="EN62" s="49"/>
      <c r="EO62" s="53">
        <f>EE62*'[2]Renewable Diesel'!BF71*'[2]Feedstock Conversion Rates'!B$6</f>
        <v>27.325978607343956</v>
      </c>
      <c r="EP62" s="53">
        <f>EF62*'[2]Renewable Diesel'!BF71*'[2]Feedstock Conversion Rates'!B$7</f>
        <v>42.096547358602727</v>
      </c>
      <c r="EQ62" s="53">
        <f>EG62*'[2]Renewable Diesel'!BF71*'[2]Feedstock Conversion Rates'!B$8</f>
        <v>7.6622748627163793</v>
      </c>
      <c r="ER62" s="53">
        <f>EH62*'[2]Renewable Diesel'!BF71*'[2]Feedstock Conversion Rates'!B$9</f>
        <v>0</v>
      </c>
      <c r="ES62" s="53">
        <f t="shared" si="13"/>
        <v>110.09740042373591</v>
      </c>
    </row>
    <row r="63" spans="1:149" x14ac:dyDescent="0.25">
      <c r="A63" s="39">
        <v>42339</v>
      </c>
      <c r="C63" s="46"/>
      <c r="D63" s="45">
        <v>0</v>
      </c>
      <c r="E63" s="45">
        <f>('[2]Renewable Diesel'!B72*E$3*'[2]Feedstock Conversion Rates'!$B$2)/12</f>
        <v>20.853333333333332</v>
      </c>
      <c r="F63" s="45">
        <f>('[2]Renewable Diesel'!B72*'[2]RD Feedstock Breakdown'!F$3*'[2]Feedstock Conversion Rates'!B$8)/12</f>
        <v>12.5</v>
      </c>
      <c r="G63" s="45">
        <f>('[2]Renewable Diesel'!B72*'[2]RD Feedstock Breakdown'!G$3*'[2]Feedstock Conversion Rates'!B$7)/12</f>
        <v>40.847999999999999</v>
      </c>
      <c r="H63" s="45">
        <f>('[2]Renewable Diesel'!B72*'[2]RD Feedstock Breakdown'!H$3*'[2]Feedstock Conversion Rates'!B$3)/12</f>
        <v>40.904400000000003</v>
      </c>
      <c r="I63" s="47">
        <f t="shared" si="14"/>
        <v>115.10573333333335</v>
      </c>
      <c r="J63" s="47"/>
      <c r="K63" s="48"/>
      <c r="L63" s="47"/>
      <c r="T63" s="49"/>
      <c r="Z63" s="45">
        <f>('[2]Renewable Diesel'!F72*'[2]RD Feedstock Breakdown'!Z$3*'[2]Feedstock Conversion Rates'!B$6)/12</f>
        <v>44.555000000000007</v>
      </c>
      <c r="AA63" s="45">
        <f>('[2]Renewable Diesel'!F72*'[2]RD Feedstock Breakdown'!AA$3*'[2]Feedstock Conversion Rates'!B$7)/12</f>
        <v>29.133333333333329</v>
      </c>
      <c r="AB63" s="47">
        <f t="shared" si="17"/>
        <v>73.688333333333333</v>
      </c>
      <c r="AC63" s="49"/>
      <c r="AG63" s="49"/>
      <c r="AT63" s="49"/>
      <c r="BX63" s="49"/>
      <c r="CI63" s="49"/>
      <c r="DD63" s="49"/>
      <c r="DJ63" s="49"/>
      <c r="DP63" s="45">
        <f t="shared" si="0"/>
        <v>20.853333333333332</v>
      </c>
      <c r="DQ63" s="45">
        <f t="shared" si="1"/>
        <v>40.904400000000003</v>
      </c>
      <c r="DR63" s="45">
        <f t="shared" si="10"/>
        <v>0</v>
      </c>
      <c r="DS63" s="49"/>
      <c r="DT63" s="45">
        <f t="shared" si="2"/>
        <v>44.555000000000007</v>
      </c>
      <c r="DU63" s="45">
        <f t="shared" si="3"/>
        <v>69.981333333333325</v>
      </c>
      <c r="DV63" s="45">
        <f t="shared" si="4"/>
        <v>12.5</v>
      </c>
      <c r="DW63" s="45">
        <f t="shared" si="5"/>
        <v>0</v>
      </c>
      <c r="DX63" s="47">
        <f t="shared" si="6"/>
        <v>188.79406666666665</v>
      </c>
      <c r="DY63" s="50">
        <f t="shared" si="7"/>
        <v>2.8421709430404007E-14</v>
      </c>
      <c r="EA63" s="51">
        <f t="shared" si="15"/>
        <v>0.11045544863521488</v>
      </c>
      <c r="EB63" s="51">
        <f t="shared" si="15"/>
        <v>0.21666146994026297</v>
      </c>
      <c r="EC63" s="51">
        <f t="shared" si="15"/>
        <v>0</v>
      </c>
      <c r="ED63" s="49"/>
      <c r="EE63" s="51">
        <f t="shared" si="16"/>
        <v>0.23599788270182226</v>
      </c>
      <c r="EF63" s="51">
        <f t="shared" si="16"/>
        <v>0.37067549086111817</v>
      </c>
      <c r="EG63" s="51">
        <f t="shared" si="16"/>
        <v>6.6209707861581812E-2</v>
      </c>
      <c r="EH63" s="52">
        <f t="shared" si="11"/>
        <v>0</v>
      </c>
      <c r="EI63" s="51">
        <f t="shared" si="12"/>
        <v>1.0000000000000002</v>
      </c>
      <c r="EK63" s="53">
        <f>EA63*'[2]Renewable Diesel'!BF72*'[2]Feedstock Conversion Rates'!B$2</f>
        <v>12.225688376364936</v>
      </c>
      <c r="EL63" s="53">
        <f>EB63*'[2]Renewable Diesel'!BF72*'[2]Feedstock Conversion Rates'!B$3</f>
        <v>22.598595750641326</v>
      </c>
      <c r="EM63" s="53">
        <f>EC63*'[2]Renewable Diesel'!BF72*'[2]Feedstock Conversion Rates'!B$4</f>
        <v>0</v>
      </c>
      <c r="EN63" s="49"/>
      <c r="EO63" s="53">
        <f>EE63*'[2]Renewable Diesel'!BF72*'[2]Feedstock Conversion Rates'!B$6</f>
        <v>28.825589464110816</v>
      </c>
      <c r="EP63" s="53">
        <f>EF63*'[2]Renewable Diesel'!BF72*'[2]Feedstock Conversion Rates'!B$7</f>
        <v>44.40674602919654</v>
      </c>
      <c r="EQ63" s="53">
        <f>EG63*'[2]Renewable Diesel'!BF72*'[2]Feedstock Conversion Rates'!B$8</f>
        <v>8.0827696137652278</v>
      </c>
      <c r="ER63" s="53">
        <f>EH63*'[2]Renewable Diesel'!BF72*'[2]Feedstock Conversion Rates'!B$9</f>
        <v>0</v>
      </c>
      <c r="ES63" s="53">
        <f t="shared" si="13"/>
        <v>116.13938923407885</v>
      </c>
    </row>
    <row r="64" spans="1:149" x14ac:dyDescent="0.25">
      <c r="A64" s="39">
        <v>42370</v>
      </c>
      <c r="C64" s="46"/>
      <c r="D64" s="45">
        <v>0</v>
      </c>
      <c r="E64" s="45">
        <f>('[2]Renewable Diesel'!B73*E$3*'[2]Feedstock Conversion Rates'!$B$2)/12</f>
        <v>20.853333333333332</v>
      </c>
      <c r="F64" s="45">
        <f>('[2]Renewable Diesel'!B73*'[2]RD Feedstock Breakdown'!F$3*'[2]Feedstock Conversion Rates'!B$8)/12</f>
        <v>12.5</v>
      </c>
      <c r="G64" s="45">
        <f>('[2]Renewable Diesel'!B73*'[2]RD Feedstock Breakdown'!G$3*'[2]Feedstock Conversion Rates'!B$7)/12</f>
        <v>40.847999999999999</v>
      </c>
      <c r="H64" s="45">
        <f>('[2]Renewable Diesel'!B73*'[2]RD Feedstock Breakdown'!H$3*'[2]Feedstock Conversion Rates'!B$3)/12</f>
        <v>40.904400000000003</v>
      </c>
      <c r="I64" s="47">
        <f t="shared" si="14"/>
        <v>115.10573333333335</v>
      </c>
      <c r="J64" s="47"/>
      <c r="K64" s="48"/>
      <c r="L64" s="47"/>
      <c r="R64" s="45">
        <f>('[2]Renewable Diesel'!D73*'[2]RD Feedstock Breakdown'!R$3*'[2]Feedstock Conversion Rates'!B$7)/12</f>
        <v>0.76666666666666661</v>
      </c>
      <c r="S64" s="47">
        <f>R64</f>
        <v>0.76666666666666661</v>
      </c>
      <c r="T64" s="48"/>
      <c r="U64" s="47"/>
      <c r="Z64" s="45">
        <f>('[2]Renewable Diesel'!F73*'[2]RD Feedstock Breakdown'!Z$3*'[2]Feedstock Conversion Rates'!B$6)/12</f>
        <v>44.555000000000007</v>
      </c>
      <c r="AA64" s="45">
        <f>('[2]Renewable Diesel'!F73*'[2]RD Feedstock Breakdown'!AA$3*'[2]Feedstock Conversion Rates'!B$7)/12</f>
        <v>29.133333333333329</v>
      </c>
      <c r="AB64" s="47">
        <f t="shared" si="17"/>
        <v>73.688333333333333</v>
      </c>
      <c r="AC64" s="49"/>
      <c r="AG64" s="49"/>
      <c r="AI64" s="45">
        <f>('[2]Renewable Diesel'!H73*'[2]RD Feedstock Breakdown'!AI$3*'[2]Feedstock Conversion Rates'!B$6)/12</f>
        <v>7.8166666666666673</v>
      </c>
      <c r="AJ64" s="47">
        <f t="shared" ref="AJ64:AJ127" si="18">AI64+AG64</f>
        <v>7.8166666666666673</v>
      </c>
      <c r="AT64" s="49"/>
      <c r="BX64" s="49"/>
      <c r="CI64" s="49"/>
      <c r="DD64" s="49"/>
      <c r="DJ64" s="49"/>
      <c r="DP64" s="45">
        <f t="shared" si="0"/>
        <v>20.853333333333332</v>
      </c>
      <c r="DQ64" s="45">
        <f t="shared" si="1"/>
        <v>40.904400000000003</v>
      </c>
      <c r="DR64" s="45">
        <f t="shared" si="10"/>
        <v>0</v>
      </c>
      <c r="DS64" s="49"/>
      <c r="DT64" s="45">
        <f t="shared" si="2"/>
        <v>52.371666666666677</v>
      </c>
      <c r="DU64" s="45">
        <f t="shared" si="3"/>
        <v>70.74799999999999</v>
      </c>
      <c r="DV64" s="45">
        <f t="shared" si="4"/>
        <v>12.5</v>
      </c>
      <c r="DW64" s="45">
        <f t="shared" si="5"/>
        <v>0</v>
      </c>
      <c r="DX64" s="47">
        <f t="shared" si="6"/>
        <v>197.37739999999999</v>
      </c>
      <c r="DY64" s="50">
        <f t="shared" si="7"/>
        <v>2.8421709430404007E-14</v>
      </c>
      <c r="EA64" s="51">
        <f t="shared" si="15"/>
        <v>0.10565208242348584</v>
      </c>
      <c r="EB64" s="51">
        <f t="shared" si="15"/>
        <v>0.20723953198289169</v>
      </c>
      <c r="EC64" s="51">
        <f t="shared" si="15"/>
        <v>0</v>
      </c>
      <c r="ED64" s="49"/>
      <c r="EE64" s="51">
        <f t="shared" si="16"/>
        <v>0.2653377066810419</v>
      </c>
      <c r="EF64" s="51">
        <f t="shared" si="16"/>
        <v>0.35844022669262027</v>
      </c>
      <c r="EG64" s="51">
        <f t="shared" si="16"/>
        <v>6.3330452219960337E-2</v>
      </c>
      <c r="EH64" s="52">
        <f t="shared" si="11"/>
        <v>0</v>
      </c>
      <c r="EI64" s="51">
        <f t="shared" si="12"/>
        <v>1</v>
      </c>
      <c r="EK64" s="53">
        <f>EA64*'[2]Renewable Diesel'!BF73*'[2]Feedstock Conversion Rates'!B$2</f>
        <v>10.347996065878531</v>
      </c>
      <c r="EL64" s="53">
        <f>EB64*'[2]Renewable Diesel'!BF73*'[2]Feedstock Conversion Rates'!B$3</f>
        <v>19.127772009476526</v>
      </c>
      <c r="EM64" s="53">
        <f>EC64*'[2]Renewable Diesel'!BF73*'[2]Feedstock Conversion Rates'!B$4</f>
        <v>0</v>
      </c>
      <c r="EN64" s="49"/>
      <c r="EO64" s="53">
        <f>EE64*'[2]Renewable Diesel'!BF73*'[2]Feedstock Conversion Rates'!B$6</f>
        <v>28.678806735619354</v>
      </c>
      <c r="EP64" s="53">
        <f>EF64*'[2]Renewable Diesel'!BF73*'[2]Feedstock Conversion Rates'!B$7</f>
        <v>37.998271228483091</v>
      </c>
      <c r="EQ64" s="53">
        <f>EG64*'[2]Renewable Diesel'!BF73*'[2]Feedstock Conversion Rates'!B$8</f>
        <v>6.8413708569851455</v>
      </c>
      <c r="ER64" s="53">
        <f>EH64*'[2]Renewable Diesel'!BF73*'[2]Feedstock Conversion Rates'!B$9</f>
        <v>0</v>
      </c>
      <c r="ES64" s="53">
        <f t="shared" si="13"/>
        <v>102.99421689644265</v>
      </c>
    </row>
    <row r="65" spans="1:149" x14ac:dyDescent="0.25">
      <c r="A65" s="39">
        <v>42401</v>
      </c>
      <c r="C65" s="46"/>
      <c r="D65" s="45">
        <v>0</v>
      </c>
      <c r="E65" s="45">
        <f>('[2]Renewable Diesel'!B74*E$3*'[2]Feedstock Conversion Rates'!$B$2)/12</f>
        <v>20.853333333333332</v>
      </c>
      <c r="F65" s="45">
        <f>('[2]Renewable Diesel'!B74*'[2]RD Feedstock Breakdown'!F$3*'[2]Feedstock Conversion Rates'!B$8)/12</f>
        <v>12.5</v>
      </c>
      <c r="G65" s="45">
        <f>('[2]Renewable Diesel'!B74*'[2]RD Feedstock Breakdown'!G$3*'[2]Feedstock Conversion Rates'!B$7)/12</f>
        <v>40.847999999999999</v>
      </c>
      <c r="H65" s="45">
        <f>('[2]Renewable Diesel'!B74*'[2]RD Feedstock Breakdown'!H$3*'[2]Feedstock Conversion Rates'!B$3)/12</f>
        <v>40.904400000000003</v>
      </c>
      <c r="I65" s="47">
        <f t="shared" si="14"/>
        <v>115.10573333333335</v>
      </c>
      <c r="J65" s="47"/>
      <c r="K65" s="48"/>
      <c r="L65" s="47"/>
      <c r="R65" s="45">
        <f>('[2]Renewable Diesel'!D74*'[2]RD Feedstock Breakdown'!R$3*'[2]Feedstock Conversion Rates'!B$7)/12</f>
        <v>1.5333333333333332</v>
      </c>
      <c r="S65" s="47">
        <f t="shared" ref="S65:S128" si="19">R65</f>
        <v>1.5333333333333332</v>
      </c>
      <c r="T65" s="48"/>
      <c r="U65" s="47"/>
      <c r="Z65" s="45">
        <f>('[2]Renewable Diesel'!F74*'[2]RD Feedstock Breakdown'!Z$3*'[2]Feedstock Conversion Rates'!B$6)/12</f>
        <v>44.555000000000007</v>
      </c>
      <c r="AA65" s="45">
        <f>('[2]Renewable Diesel'!F74*'[2]RD Feedstock Breakdown'!AA$3*'[2]Feedstock Conversion Rates'!B$7)/12</f>
        <v>29.133333333333329</v>
      </c>
      <c r="AB65" s="47">
        <f t="shared" si="17"/>
        <v>73.688333333333333</v>
      </c>
      <c r="AC65" s="49"/>
      <c r="AG65" s="49"/>
      <c r="AI65" s="45">
        <f>('[2]Renewable Diesel'!H74*'[2]RD Feedstock Breakdown'!AI$3*'[2]Feedstock Conversion Rates'!B$6)/12</f>
        <v>15.633333333333335</v>
      </c>
      <c r="AJ65" s="47">
        <f t="shared" si="18"/>
        <v>15.633333333333335</v>
      </c>
      <c r="AT65" s="49"/>
      <c r="BX65" s="49"/>
      <c r="CI65" s="49"/>
      <c r="DD65" s="49"/>
      <c r="DJ65" s="49"/>
      <c r="DP65" s="45">
        <f t="shared" si="0"/>
        <v>20.853333333333332</v>
      </c>
      <c r="DQ65" s="45">
        <f t="shared" si="1"/>
        <v>40.904400000000003</v>
      </c>
      <c r="DR65" s="45">
        <f t="shared" si="10"/>
        <v>0</v>
      </c>
      <c r="DS65" s="49"/>
      <c r="DT65" s="45">
        <f t="shared" si="2"/>
        <v>60.18833333333334</v>
      </c>
      <c r="DU65" s="45">
        <f t="shared" si="3"/>
        <v>71.514666666666656</v>
      </c>
      <c r="DV65" s="45">
        <f t="shared" si="4"/>
        <v>12.5</v>
      </c>
      <c r="DW65" s="45">
        <f t="shared" si="5"/>
        <v>0</v>
      </c>
      <c r="DX65" s="47">
        <f t="shared" si="6"/>
        <v>205.96073333333334</v>
      </c>
      <c r="DY65" s="50">
        <f t="shared" si="7"/>
        <v>0</v>
      </c>
      <c r="EA65" s="51">
        <f t="shared" si="15"/>
        <v>0.10124907304337298</v>
      </c>
      <c r="EB65" s="51">
        <f t="shared" si="15"/>
        <v>0.19860290521397123</v>
      </c>
      <c r="EC65" s="51">
        <f t="shared" si="15"/>
        <v>0</v>
      </c>
      <c r="ED65" s="49"/>
      <c r="EE65" s="51">
        <f t="shared" si="16"/>
        <v>0.29223207918920469</v>
      </c>
      <c r="EF65" s="51">
        <f t="shared" si="16"/>
        <v>0.34722476226050852</v>
      </c>
      <c r="EG65" s="51">
        <f t="shared" si="16"/>
        <v>6.069118029294257E-2</v>
      </c>
      <c r="EH65" s="52">
        <f t="shared" si="11"/>
        <v>0</v>
      </c>
      <c r="EI65" s="51">
        <f t="shared" si="12"/>
        <v>1</v>
      </c>
      <c r="EK65" s="53">
        <f>EA65*'[2]Renewable Diesel'!BF74*'[2]Feedstock Conversion Rates'!B$2</f>
        <v>6.0695702336788457</v>
      </c>
      <c r="EL65" s="53">
        <f>EB65*'[2]Renewable Diesel'!BF74*'[2]Feedstock Conversion Rates'!B$3</f>
        <v>11.219308055994862</v>
      </c>
      <c r="EM65" s="53">
        <f>EC65*'[2]Renewable Diesel'!BF74*'[2]Feedstock Conversion Rates'!B$4</f>
        <v>0</v>
      </c>
      <c r="EN65" s="49"/>
      <c r="EO65" s="53">
        <f>EE65*'[2]Renewable Diesel'!BF74*'[2]Feedstock Conversion Rates'!B$6</f>
        <v>19.332084556775225</v>
      </c>
      <c r="EP65" s="53">
        <f>EF65*'[2]Renewable Diesel'!BF74*'[2]Feedstock Conversion Rates'!B$7</f>
        <v>22.529236612705784</v>
      </c>
      <c r="EQ65" s="53">
        <f>EG65*'[2]Renewable Diesel'!BF74*'[2]Feedstock Conversion Rates'!B$8</f>
        <v>4.0127750964301931</v>
      </c>
      <c r="ER65" s="53">
        <f>EH65*'[2]Renewable Diesel'!BF74*'[2]Feedstock Conversion Rates'!B$9</f>
        <v>0</v>
      </c>
      <c r="ES65" s="53">
        <f t="shared" si="13"/>
        <v>63.16297455558491</v>
      </c>
    </row>
    <row r="66" spans="1:149" x14ac:dyDescent="0.25">
      <c r="A66" s="39">
        <v>42430</v>
      </c>
      <c r="C66" s="46"/>
      <c r="D66" s="45">
        <v>0</v>
      </c>
      <c r="E66" s="45">
        <f>('[2]Renewable Diesel'!B75*E$3*'[2]Feedstock Conversion Rates'!$B$2)/12</f>
        <v>20.853333333333332</v>
      </c>
      <c r="F66" s="45">
        <f>('[2]Renewable Diesel'!B75*'[2]RD Feedstock Breakdown'!F$3*'[2]Feedstock Conversion Rates'!B$8)/12</f>
        <v>12.5</v>
      </c>
      <c r="G66" s="45">
        <f>('[2]Renewable Diesel'!B75*'[2]RD Feedstock Breakdown'!G$3*'[2]Feedstock Conversion Rates'!B$7)/12</f>
        <v>40.847999999999999</v>
      </c>
      <c r="H66" s="45">
        <f>('[2]Renewable Diesel'!B75*'[2]RD Feedstock Breakdown'!H$3*'[2]Feedstock Conversion Rates'!B$3)/12</f>
        <v>40.904400000000003</v>
      </c>
      <c r="I66" s="47">
        <f t="shared" si="14"/>
        <v>115.10573333333335</v>
      </c>
      <c r="J66" s="47"/>
      <c r="K66" s="48"/>
      <c r="L66" s="47"/>
      <c r="R66" s="45">
        <f>('[2]Renewable Diesel'!D75*'[2]RD Feedstock Breakdown'!R$3*'[2]Feedstock Conversion Rates'!B$7)/12</f>
        <v>2.2999999999999998</v>
      </c>
      <c r="S66" s="47">
        <f t="shared" si="19"/>
        <v>2.2999999999999998</v>
      </c>
      <c r="T66" s="48"/>
      <c r="U66" s="47"/>
      <c r="Z66" s="45">
        <f>('[2]Renewable Diesel'!F75*'[2]RD Feedstock Breakdown'!Z$3*'[2]Feedstock Conversion Rates'!B$6)/12</f>
        <v>44.555000000000007</v>
      </c>
      <c r="AA66" s="45">
        <f>('[2]Renewable Diesel'!F75*'[2]RD Feedstock Breakdown'!AA$3*'[2]Feedstock Conversion Rates'!B$7)/12</f>
        <v>29.133333333333329</v>
      </c>
      <c r="AB66" s="47">
        <f t="shared" si="17"/>
        <v>73.688333333333333</v>
      </c>
      <c r="AC66" s="49"/>
      <c r="AG66" s="49"/>
      <c r="AI66" s="45">
        <f>('[2]Renewable Diesel'!H75*'[2]RD Feedstock Breakdown'!AI$3*'[2]Feedstock Conversion Rates'!B$6)/12</f>
        <v>39.083333333333336</v>
      </c>
      <c r="AJ66" s="47">
        <f t="shared" si="18"/>
        <v>39.083333333333336</v>
      </c>
      <c r="AT66" s="49"/>
      <c r="BX66" s="49"/>
      <c r="CI66" s="49"/>
      <c r="DD66" s="49"/>
      <c r="DJ66" s="49"/>
      <c r="DP66" s="45">
        <f t="shared" si="0"/>
        <v>20.853333333333332</v>
      </c>
      <c r="DQ66" s="45">
        <f t="shared" si="1"/>
        <v>40.904400000000003</v>
      </c>
      <c r="DR66" s="45">
        <f t="shared" si="10"/>
        <v>0</v>
      </c>
      <c r="DS66" s="49"/>
      <c r="DT66" s="45">
        <f t="shared" si="2"/>
        <v>83.63833333333335</v>
      </c>
      <c r="DU66" s="45">
        <f t="shared" si="3"/>
        <v>72.281333333333322</v>
      </c>
      <c r="DV66" s="45">
        <f t="shared" si="4"/>
        <v>12.5</v>
      </c>
      <c r="DW66" s="45">
        <f t="shared" si="5"/>
        <v>0</v>
      </c>
      <c r="DX66" s="47">
        <f t="shared" si="6"/>
        <v>230.17740000000001</v>
      </c>
      <c r="DY66" s="50">
        <f t="shared" si="7"/>
        <v>0</v>
      </c>
      <c r="EA66" s="51">
        <f t="shared" si="15"/>
        <v>9.0596788969435446E-2</v>
      </c>
      <c r="EB66" s="51">
        <f t="shared" si="15"/>
        <v>0.17770815032231663</v>
      </c>
      <c r="EC66" s="51">
        <f t="shared" si="15"/>
        <v>0</v>
      </c>
      <c r="ED66" s="49"/>
      <c r="EE66" s="51">
        <f t="shared" si="16"/>
        <v>0.36336466279197416</v>
      </c>
      <c r="EF66" s="51">
        <f t="shared" si="16"/>
        <v>0.31402445823670488</v>
      </c>
      <c r="EG66" s="51">
        <f t="shared" si="16"/>
        <v>5.4305939679568885E-2</v>
      </c>
      <c r="EH66" s="52">
        <f t="shared" si="11"/>
        <v>0</v>
      </c>
      <c r="EI66" s="51">
        <f t="shared" si="12"/>
        <v>1</v>
      </c>
      <c r="EK66" s="53">
        <f>EA66*'[2]Renewable Diesel'!BF75*'[2]Feedstock Conversion Rates'!B$2</f>
        <v>13.454215936751391</v>
      </c>
      <c r="EL66" s="53">
        <f>EB66*'[2]Renewable Diesel'!BF75*'[2]Feedstock Conversion Rates'!B$3</f>
        <v>24.869469737530061</v>
      </c>
      <c r="EM66" s="53">
        <f>EC66*'[2]Renewable Diesel'!BF75*'[2]Feedstock Conversion Rates'!B$4</f>
        <v>0</v>
      </c>
      <c r="EN66" s="49"/>
      <c r="EO66" s="53">
        <f>EE66*'[2]Renewable Diesel'!BF75*'[2]Feedstock Conversion Rates'!B$6</f>
        <v>59.54868713480213</v>
      </c>
      <c r="EP66" s="53">
        <f>EF66*'[2]Renewable Diesel'!BF75*'[2]Feedstock Conversion Rates'!B$7</f>
        <v>50.475190321607577</v>
      </c>
      <c r="EQ66" s="53">
        <f>EG66*'[2]Renewable Diesel'!BF75*'[2]Feedstock Conversion Rates'!B$8</f>
        <v>8.8949860656389355</v>
      </c>
      <c r="ER66" s="53">
        <f>EH66*'[2]Renewable Diesel'!BF75*'[2]Feedstock Conversion Rates'!B$9</f>
        <v>0</v>
      </c>
      <c r="ES66" s="53">
        <f t="shared" si="13"/>
        <v>157.24254919633009</v>
      </c>
    </row>
    <row r="67" spans="1:149" x14ac:dyDescent="0.25">
      <c r="A67" s="39">
        <v>42461</v>
      </c>
      <c r="C67" s="46"/>
      <c r="D67" s="45">
        <v>0</v>
      </c>
      <c r="E67" s="45">
        <f>('[2]Renewable Diesel'!B76*E$3*'[2]Feedstock Conversion Rates'!$B$2)/12</f>
        <v>20.853333333333332</v>
      </c>
      <c r="F67" s="45">
        <f>('[2]Renewable Diesel'!B76*'[2]RD Feedstock Breakdown'!F$3*'[2]Feedstock Conversion Rates'!B$8)/12</f>
        <v>12.5</v>
      </c>
      <c r="G67" s="45">
        <f>('[2]Renewable Diesel'!B76*'[2]RD Feedstock Breakdown'!G$3*'[2]Feedstock Conversion Rates'!B$7)/12</f>
        <v>40.847999999999999</v>
      </c>
      <c r="H67" s="45">
        <f>('[2]Renewable Diesel'!B76*'[2]RD Feedstock Breakdown'!H$3*'[2]Feedstock Conversion Rates'!B$3)/12</f>
        <v>40.904400000000003</v>
      </c>
      <c r="I67" s="47">
        <f t="shared" si="14"/>
        <v>115.10573333333335</v>
      </c>
      <c r="J67" s="47"/>
      <c r="K67" s="48"/>
      <c r="L67" s="47"/>
      <c r="R67" s="45">
        <f>('[2]Renewable Diesel'!D76*'[2]RD Feedstock Breakdown'!R$3*'[2]Feedstock Conversion Rates'!B$7)/12</f>
        <v>2.2999999999999998</v>
      </c>
      <c r="S67" s="47">
        <f t="shared" si="19"/>
        <v>2.2999999999999998</v>
      </c>
      <c r="T67" s="48"/>
      <c r="U67" s="47"/>
      <c r="Z67" s="45">
        <f>('[2]Renewable Diesel'!F76*'[2]RD Feedstock Breakdown'!Z$3*'[2]Feedstock Conversion Rates'!B$6)/12</f>
        <v>44.555000000000007</v>
      </c>
      <c r="AA67" s="45">
        <f>('[2]Renewable Diesel'!F76*'[2]RD Feedstock Breakdown'!AA$3*'[2]Feedstock Conversion Rates'!B$7)/12</f>
        <v>29.133333333333329</v>
      </c>
      <c r="AB67" s="47">
        <f t="shared" si="17"/>
        <v>73.688333333333333</v>
      </c>
      <c r="AC67" s="49"/>
      <c r="AG67" s="49"/>
      <c r="AI67" s="45">
        <f>('[2]Renewable Diesel'!H76*'[2]RD Feedstock Breakdown'!AI$3*'[2]Feedstock Conversion Rates'!B$6)/12</f>
        <v>39.083333333333336</v>
      </c>
      <c r="AJ67" s="47">
        <f t="shared" si="18"/>
        <v>39.083333333333336</v>
      </c>
      <c r="AK67" s="45">
        <f>('[2]Renewable Diesel'!J76*'[2]RD Feedstock Breakdown'!AK$3*'[2]Feedstock Conversion Rates'!B$4)/12</f>
        <v>15.625</v>
      </c>
      <c r="AL67" s="47">
        <f>AK67</f>
        <v>15.625</v>
      </c>
      <c r="AT67" s="49"/>
      <c r="BX67" s="49"/>
      <c r="CI67" s="49"/>
      <c r="DD67" s="49"/>
      <c r="DJ67" s="49"/>
      <c r="DP67" s="45">
        <f t="shared" si="0"/>
        <v>20.853333333333332</v>
      </c>
      <c r="DQ67" s="45">
        <f t="shared" si="1"/>
        <v>40.904400000000003</v>
      </c>
      <c r="DR67" s="45">
        <f t="shared" si="10"/>
        <v>15.625</v>
      </c>
      <c r="DS67" s="49"/>
      <c r="DT67" s="45">
        <f t="shared" si="2"/>
        <v>83.63833333333335</v>
      </c>
      <c r="DU67" s="45">
        <f t="shared" si="3"/>
        <v>72.281333333333322</v>
      </c>
      <c r="DV67" s="45">
        <f t="shared" si="4"/>
        <v>12.5</v>
      </c>
      <c r="DW67" s="45">
        <f t="shared" si="5"/>
        <v>0</v>
      </c>
      <c r="DX67" s="47">
        <f t="shared" si="6"/>
        <v>245.80240000000001</v>
      </c>
      <c r="DY67" s="50">
        <f t="shared" si="7"/>
        <v>0</v>
      </c>
      <c r="EA67" s="51">
        <f t="shared" si="15"/>
        <v>8.4837793826802871E-2</v>
      </c>
      <c r="EB67" s="51">
        <f t="shared" si="15"/>
        <v>0.16641171933227666</v>
      </c>
      <c r="EC67" s="51">
        <f t="shared" si="15"/>
        <v>6.3567320742189654E-2</v>
      </c>
      <c r="ED67" s="49"/>
      <c r="EE67" s="51">
        <f t="shared" si="16"/>
        <v>0.34026654472589912</v>
      </c>
      <c r="EF67" s="51">
        <f t="shared" si="16"/>
        <v>0.29406276477907994</v>
      </c>
      <c r="EG67" s="51">
        <f t="shared" si="16"/>
        <v>5.0853856593751731E-2</v>
      </c>
      <c r="EH67" s="52">
        <f t="shared" si="11"/>
        <v>0</v>
      </c>
      <c r="EI67" s="51">
        <f t="shared" si="12"/>
        <v>1</v>
      </c>
      <c r="EK67" s="53">
        <f>EA67*'[2]Renewable Diesel'!BF76*'[2]Feedstock Conversion Rates'!B$2</f>
        <v>15.044108625898959</v>
      </c>
      <c r="EL67" s="53">
        <f>EB67*'[2]Renewable Diesel'!BF76*'[2]Feedstock Conversion Rates'!B$3</f>
        <v>27.808309749059038</v>
      </c>
      <c r="EM67" s="53">
        <f>EC67*'[2]Renewable Diesel'!BF76*'[2]Feedstock Conversion Rates'!B$4</f>
        <v>9.9461118527016019</v>
      </c>
      <c r="EN67" s="49"/>
      <c r="EO67" s="53">
        <f>EE67*'[2]Renewable Diesel'!BF76*'[2]Feedstock Conversion Rates'!B$6</f>
        <v>66.585590865872902</v>
      </c>
      <c r="EP67" s="53">
        <f>EF67*'[2]Renewable Diesel'!BF76*'[2]Feedstock Conversion Rates'!B$7</f>
        <v>56.439873544540376</v>
      </c>
      <c r="EQ67" s="53">
        <f>EG67*'[2]Renewable Diesel'!BF76*'[2]Feedstock Conversion Rates'!B$8</f>
        <v>9.9461118527016037</v>
      </c>
      <c r="ER67" s="53">
        <f>EH67*'[2]Renewable Diesel'!BF76*'[2]Feedstock Conversion Rates'!B$9</f>
        <v>0</v>
      </c>
      <c r="ES67" s="53">
        <f t="shared" si="13"/>
        <v>185.77010649077445</v>
      </c>
    </row>
    <row r="68" spans="1:149" x14ac:dyDescent="0.25">
      <c r="A68" s="39">
        <v>42491</v>
      </c>
      <c r="C68" s="46"/>
      <c r="D68" s="45">
        <v>0</v>
      </c>
      <c r="E68" s="45">
        <f>('[2]Renewable Diesel'!B77*E$3*'[2]Feedstock Conversion Rates'!$B$2)/12</f>
        <v>20.853333333333332</v>
      </c>
      <c r="F68" s="45">
        <f>('[2]Renewable Diesel'!B77*'[2]RD Feedstock Breakdown'!F$3*'[2]Feedstock Conversion Rates'!B$8)/12</f>
        <v>12.5</v>
      </c>
      <c r="G68" s="45">
        <f>('[2]Renewable Diesel'!B77*'[2]RD Feedstock Breakdown'!G$3*'[2]Feedstock Conversion Rates'!B$7)/12</f>
        <v>40.847999999999999</v>
      </c>
      <c r="H68" s="45">
        <f>('[2]Renewable Diesel'!B77*'[2]RD Feedstock Breakdown'!H$3*'[2]Feedstock Conversion Rates'!B$3)/12</f>
        <v>40.904400000000003</v>
      </c>
      <c r="I68" s="47">
        <f t="shared" si="14"/>
        <v>115.10573333333335</v>
      </c>
      <c r="J68" s="47"/>
      <c r="K68" s="48"/>
      <c r="L68" s="47"/>
      <c r="R68" s="45">
        <f>('[2]Renewable Diesel'!D77*'[2]RD Feedstock Breakdown'!R$3*'[2]Feedstock Conversion Rates'!B$7)/12</f>
        <v>2.2999999999999998</v>
      </c>
      <c r="S68" s="47">
        <f t="shared" si="19"/>
        <v>2.2999999999999998</v>
      </c>
      <c r="T68" s="48"/>
      <c r="U68" s="47"/>
      <c r="Z68" s="45">
        <f>('[2]Renewable Diesel'!F77*'[2]RD Feedstock Breakdown'!Z$3*'[2]Feedstock Conversion Rates'!B$6)/12</f>
        <v>44.555000000000007</v>
      </c>
      <c r="AA68" s="45">
        <f>('[2]Renewable Diesel'!F77*'[2]RD Feedstock Breakdown'!AA$3*'[2]Feedstock Conversion Rates'!B$7)/12</f>
        <v>29.133333333333329</v>
      </c>
      <c r="AB68" s="47">
        <f t="shared" si="17"/>
        <v>73.688333333333333</v>
      </c>
      <c r="AC68" s="49"/>
      <c r="AG68" s="49"/>
      <c r="AI68" s="45">
        <f>('[2]Renewable Diesel'!H77*'[2]RD Feedstock Breakdown'!AI$3*'[2]Feedstock Conversion Rates'!B$6)/12</f>
        <v>39.083333333333336</v>
      </c>
      <c r="AJ68" s="47">
        <f t="shared" si="18"/>
        <v>39.083333333333336</v>
      </c>
      <c r="AK68" s="45">
        <f>('[2]Renewable Diesel'!J77*'[2]RD Feedstock Breakdown'!AK$3*'[2]Feedstock Conversion Rates'!B$4)/12</f>
        <v>31.25</v>
      </c>
      <c r="AL68" s="47">
        <f t="shared" ref="AL68:AL131" si="20">AK68</f>
        <v>31.25</v>
      </c>
      <c r="AT68" s="49"/>
      <c r="BX68" s="49"/>
      <c r="CI68" s="49"/>
      <c r="DD68" s="49"/>
      <c r="DJ68" s="49"/>
      <c r="DP68" s="45">
        <f t="shared" si="0"/>
        <v>20.853333333333332</v>
      </c>
      <c r="DQ68" s="45">
        <f t="shared" si="1"/>
        <v>40.904400000000003</v>
      </c>
      <c r="DR68" s="45">
        <f t="shared" si="10"/>
        <v>31.25</v>
      </c>
      <c r="DS68" s="49"/>
      <c r="DT68" s="45">
        <f t="shared" si="2"/>
        <v>83.63833333333335</v>
      </c>
      <c r="DU68" s="45">
        <f t="shared" si="3"/>
        <v>72.281333333333322</v>
      </c>
      <c r="DV68" s="45">
        <f t="shared" si="4"/>
        <v>12.5</v>
      </c>
      <c r="DW68" s="45">
        <f t="shared" si="5"/>
        <v>0</v>
      </c>
      <c r="DX68" s="47">
        <f t="shared" si="6"/>
        <v>261.42740000000003</v>
      </c>
      <c r="DY68" s="50">
        <f t="shared" si="7"/>
        <v>0</v>
      </c>
      <c r="EA68" s="51">
        <f t="shared" si="15"/>
        <v>7.976720624285491E-2</v>
      </c>
      <c r="EB68" s="51">
        <f t="shared" si="15"/>
        <v>0.15646561913556115</v>
      </c>
      <c r="EC68" s="51">
        <f t="shared" si="15"/>
        <v>0.11953605475172073</v>
      </c>
      <c r="ED68" s="49"/>
      <c r="EE68" s="51">
        <f t="shared" si="16"/>
        <v>0.31992948456563214</v>
      </c>
      <c r="EF68" s="51">
        <f t="shared" si="16"/>
        <v>0.27648721340354265</v>
      </c>
      <c r="EG68" s="51">
        <f t="shared" si="16"/>
        <v>4.7814421900688291E-2</v>
      </c>
      <c r="EH68" s="52">
        <f t="shared" si="11"/>
        <v>0</v>
      </c>
      <c r="EI68" s="51">
        <f t="shared" si="12"/>
        <v>0.99999999999999989</v>
      </c>
      <c r="EK68" s="53">
        <f>EA68*'[2]Renewable Diesel'!BF77*'[2]Feedstock Conversion Rates'!B$2</f>
        <v>14.661797360592907</v>
      </c>
      <c r="EL68" s="53">
        <f>EB68*'[2]Renewable Diesel'!BF77*'[2]Feedstock Conversion Rates'!B$3</f>
        <v>27.101625800507701</v>
      </c>
      <c r="EM68" s="53">
        <f>EC68*'[2]Renewable Diesel'!BF77*'[2]Feedstock Conversion Rates'!B$4</f>
        <v>19.386708795635037</v>
      </c>
      <c r="EN68" s="49"/>
      <c r="EO68" s="53">
        <f>EE68*'[2]Renewable Diesel'!BF77*'[2]Feedstock Conversion Rates'!B$6</f>
        <v>64.89347190235658</v>
      </c>
      <c r="EP68" s="53">
        <f>EF68*'[2]Renewable Diesel'!BF77*'[2]Feedstock Conversion Rates'!B$7</f>
        <v>55.005584547757913</v>
      </c>
      <c r="EQ68" s="53">
        <f>EG68*'[2]Renewable Diesel'!BF77*'[2]Feedstock Conversion Rates'!B$8</f>
        <v>9.6933543978175187</v>
      </c>
      <c r="ER68" s="53">
        <f>EH68*'[2]Renewable Diesel'!BF77*'[2]Feedstock Conversion Rates'!B$9</f>
        <v>0</v>
      </c>
      <c r="ES68" s="53">
        <f t="shared" si="13"/>
        <v>190.74254280466766</v>
      </c>
    </row>
    <row r="69" spans="1:149" x14ac:dyDescent="0.25">
      <c r="A69" s="39">
        <v>42522</v>
      </c>
      <c r="C69" s="46"/>
      <c r="D69" s="45">
        <v>0</v>
      </c>
      <c r="E69" s="45">
        <f>('[2]Renewable Diesel'!B78*E$3*'[2]Feedstock Conversion Rates'!$B$2)/12</f>
        <v>20.853333333333332</v>
      </c>
      <c r="F69" s="45">
        <f>('[2]Renewable Diesel'!B78*'[2]RD Feedstock Breakdown'!F$3*'[2]Feedstock Conversion Rates'!B$8)/12</f>
        <v>12.5</v>
      </c>
      <c r="G69" s="45">
        <f>('[2]Renewable Diesel'!B78*'[2]RD Feedstock Breakdown'!G$3*'[2]Feedstock Conversion Rates'!B$7)/12</f>
        <v>40.847999999999999</v>
      </c>
      <c r="H69" s="45">
        <f>('[2]Renewable Diesel'!B78*'[2]RD Feedstock Breakdown'!H$3*'[2]Feedstock Conversion Rates'!B$3)/12</f>
        <v>40.904400000000003</v>
      </c>
      <c r="I69" s="47">
        <f t="shared" si="14"/>
        <v>115.10573333333335</v>
      </c>
      <c r="J69" s="47"/>
      <c r="K69" s="48"/>
      <c r="L69" s="47"/>
      <c r="R69" s="45">
        <f>('[2]Renewable Diesel'!D78*'[2]RD Feedstock Breakdown'!R$3*'[2]Feedstock Conversion Rates'!B$7)/12</f>
        <v>2.2999999999999998</v>
      </c>
      <c r="S69" s="47">
        <f t="shared" si="19"/>
        <v>2.2999999999999998</v>
      </c>
      <c r="T69" s="48"/>
      <c r="U69" s="47"/>
      <c r="Z69" s="45">
        <f>('[2]Renewable Diesel'!F78*'[2]RD Feedstock Breakdown'!Z$3*'[2]Feedstock Conversion Rates'!B$6)/12</f>
        <v>44.555000000000007</v>
      </c>
      <c r="AA69" s="45">
        <f>('[2]Renewable Diesel'!F78*'[2]RD Feedstock Breakdown'!AA$3*'[2]Feedstock Conversion Rates'!B$7)/12</f>
        <v>29.133333333333329</v>
      </c>
      <c r="AB69" s="47">
        <f t="shared" si="17"/>
        <v>73.688333333333333</v>
      </c>
      <c r="AC69" s="49"/>
      <c r="AG69" s="49"/>
      <c r="AI69" s="45">
        <f>('[2]Renewable Diesel'!H78*'[2]RD Feedstock Breakdown'!AI$3*'[2]Feedstock Conversion Rates'!B$6)/12</f>
        <v>39.083333333333336</v>
      </c>
      <c r="AJ69" s="47">
        <f t="shared" si="18"/>
        <v>39.083333333333336</v>
      </c>
      <c r="AK69" s="45">
        <f>('[2]Renewable Diesel'!J78*'[2]RD Feedstock Breakdown'!AK$3*'[2]Feedstock Conversion Rates'!B$4)/12</f>
        <v>62.5</v>
      </c>
      <c r="AL69" s="47">
        <f t="shared" si="20"/>
        <v>62.5</v>
      </c>
      <c r="AT69" s="49"/>
      <c r="BX69" s="49"/>
      <c r="CI69" s="49"/>
      <c r="DD69" s="49"/>
      <c r="DJ69" s="49"/>
      <c r="DP69" s="45">
        <f t="shared" si="0"/>
        <v>20.853333333333332</v>
      </c>
      <c r="DQ69" s="45">
        <f t="shared" si="1"/>
        <v>40.904400000000003</v>
      </c>
      <c r="DR69" s="45">
        <f t="shared" si="10"/>
        <v>62.5</v>
      </c>
      <c r="DS69" s="49"/>
      <c r="DT69" s="45">
        <f t="shared" si="2"/>
        <v>83.63833333333335</v>
      </c>
      <c r="DU69" s="45">
        <f t="shared" si="3"/>
        <v>72.281333333333322</v>
      </c>
      <c r="DV69" s="45">
        <f t="shared" si="4"/>
        <v>12.5</v>
      </c>
      <c r="DW69" s="45">
        <f t="shared" si="5"/>
        <v>0</v>
      </c>
      <c r="DX69" s="47">
        <f t="shared" si="6"/>
        <v>292.67740000000003</v>
      </c>
      <c r="DY69" s="50">
        <f t="shared" si="7"/>
        <v>0</v>
      </c>
      <c r="EA69" s="51">
        <f t="shared" si="15"/>
        <v>7.1250234330813816E-2</v>
      </c>
      <c r="EB69" s="51">
        <f t="shared" si="15"/>
        <v>0.13975933912218708</v>
      </c>
      <c r="EC69" s="51">
        <f t="shared" si="15"/>
        <v>0.21354569912128504</v>
      </c>
      <c r="ED69" s="49"/>
      <c r="EE69" s="51">
        <f t="shared" si="16"/>
        <v>0.28576970184009198</v>
      </c>
      <c r="EF69" s="51">
        <f t="shared" si="16"/>
        <v>0.24696588576136494</v>
      </c>
      <c r="EG69" s="51">
        <f t="shared" si="16"/>
        <v>4.270913982425701E-2</v>
      </c>
      <c r="EH69" s="52">
        <f t="shared" si="11"/>
        <v>0</v>
      </c>
      <c r="EI69" s="51">
        <f t="shared" si="12"/>
        <v>0.99999999999999989</v>
      </c>
      <c r="EK69" s="53">
        <f>EA69*'[2]Renewable Diesel'!BF78*'[2]Feedstock Conversion Rates'!B$2</f>
        <v>13.349963567805368</v>
      </c>
      <c r="EL69" s="53">
        <f>EB69*'[2]Renewable Diesel'!BF78*'[2]Feedstock Conversion Rates'!B$3</f>
        <v>24.676764257942303</v>
      </c>
      <c r="EM69" s="53">
        <f>EC69*'[2]Renewable Diesel'!BF78*'[2]Feedstock Conversion Rates'!B$4</f>
        <v>35.304246779047503</v>
      </c>
      <c r="EN69" s="49"/>
      <c r="EO69" s="53">
        <f>EE69*'[2]Renewable Diesel'!BF78*'[2]Feedstock Conversion Rates'!B$6</f>
        <v>59.087263612940056</v>
      </c>
      <c r="EP69" s="53">
        <f>EF69*'[2]Renewable Diesel'!BF78*'[2]Feedstock Conversion Rates'!B$7</f>
        <v>50.084074392684897</v>
      </c>
      <c r="EQ69" s="53">
        <f>EG69*'[2]Renewable Diesel'!BF78*'[2]Feedstock Conversion Rates'!B$8</f>
        <v>8.8260616947618775</v>
      </c>
      <c r="ER69" s="53">
        <f>EH69*'[2]Renewable Diesel'!BF78*'[2]Feedstock Conversion Rates'!B$9</f>
        <v>0</v>
      </c>
      <c r="ES69" s="53">
        <f t="shared" si="13"/>
        <v>191.328374305182</v>
      </c>
    </row>
    <row r="70" spans="1:149" x14ac:dyDescent="0.25">
      <c r="A70" s="39">
        <v>42552</v>
      </c>
      <c r="C70" s="46"/>
      <c r="D70" s="45">
        <v>0</v>
      </c>
      <c r="E70" s="45">
        <f>('[2]Renewable Diesel'!B79*E$3*'[2]Feedstock Conversion Rates'!$B$2)/12</f>
        <v>20.853333333333332</v>
      </c>
      <c r="F70" s="45">
        <f>('[2]Renewable Diesel'!B79*'[2]RD Feedstock Breakdown'!F$3*'[2]Feedstock Conversion Rates'!B$8)/12</f>
        <v>12.5</v>
      </c>
      <c r="G70" s="45">
        <f>('[2]Renewable Diesel'!B79*'[2]RD Feedstock Breakdown'!G$3*'[2]Feedstock Conversion Rates'!B$7)/12</f>
        <v>40.847999999999999</v>
      </c>
      <c r="H70" s="45">
        <f>('[2]Renewable Diesel'!B79*'[2]RD Feedstock Breakdown'!H$3*'[2]Feedstock Conversion Rates'!B$3)/12</f>
        <v>40.904400000000003</v>
      </c>
      <c r="I70" s="47">
        <f t="shared" si="14"/>
        <v>115.10573333333335</v>
      </c>
      <c r="J70" s="47"/>
      <c r="K70" s="48"/>
      <c r="L70" s="47"/>
      <c r="R70" s="45">
        <f>('[2]Renewable Diesel'!D79*'[2]RD Feedstock Breakdown'!R$3*'[2]Feedstock Conversion Rates'!B$7)/12</f>
        <v>2.2999999999999998</v>
      </c>
      <c r="S70" s="47">
        <f t="shared" si="19"/>
        <v>2.2999999999999998</v>
      </c>
      <c r="T70" s="48"/>
      <c r="U70" s="47"/>
      <c r="Z70" s="45">
        <f>('[2]Renewable Diesel'!F79*'[2]RD Feedstock Breakdown'!Z$3*'[2]Feedstock Conversion Rates'!B$6)/12</f>
        <v>44.555000000000007</v>
      </c>
      <c r="AA70" s="45">
        <f>('[2]Renewable Diesel'!F79*'[2]RD Feedstock Breakdown'!AA$3*'[2]Feedstock Conversion Rates'!B$7)/12</f>
        <v>29.133333333333329</v>
      </c>
      <c r="AB70" s="47">
        <f t="shared" si="17"/>
        <v>73.688333333333333</v>
      </c>
      <c r="AC70" s="49"/>
      <c r="AG70" s="49"/>
      <c r="AI70" s="45">
        <f>('[2]Renewable Diesel'!H79*'[2]RD Feedstock Breakdown'!AI$3*'[2]Feedstock Conversion Rates'!B$6)/12</f>
        <v>39.083333333333336</v>
      </c>
      <c r="AJ70" s="47">
        <f t="shared" si="18"/>
        <v>39.083333333333336</v>
      </c>
      <c r="AK70" s="45">
        <f>('[2]Renewable Diesel'!J79*'[2]RD Feedstock Breakdown'!AK$3*'[2]Feedstock Conversion Rates'!B$4)/12</f>
        <v>62.5</v>
      </c>
      <c r="AL70" s="47">
        <f t="shared" si="20"/>
        <v>62.5</v>
      </c>
      <c r="AT70" s="49"/>
      <c r="BX70" s="49"/>
      <c r="CI70" s="49"/>
      <c r="DD70" s="49"/>
      <c r="DJ70" s="49"/>
      <c r="DP70" s="45">
        <f t="shared" si="0"/>
        <v>20.853333333333332</v>
      </c>
      <c r="DQ70" s="45">
        <f t="shared" si="1"/>
        <v>40.904400000000003</v>
      </c>
      <c r="DR70" s="45">
        <f t="shared" si="10"/>
        <v>62.5</v>
      </c>
      <c r="DS70" s="49"/>
      <c r="DT70" s="45">
        <f t="shared" si="2"/>
        <v>83.63833333333335</v>
      </c>
      <c r="DU70" s="45">
        <f t="shared" si="3"/>
        <v>72.281333333333322</v>
      </c>
      <c r="DV70" s="45">
        <f t="shared" si="4"/>
        <v>12.5</v>
      </c>
      <c r="DW70" s="45">
        <f t="shared" si="5"/>
        <v>0</v>
      </c>
      <c r="DX70" s="47">
        <f t="shared" si="6"/>
        <v>292.67740000000003</v>
      </c>
      <c r="DY70" s="50">
        <f t="shared" si="7"/>
        <v>0</v>
      </c>
      <c r="EA70" s="51">
        <f t="shared" si="15"/>
        <v>7.1250234330813816E-2</v>
      </c>
      <c r="EB70" s="51">
        <f t="shared" si="15"/>
        <v>0.13975933912218708</v>
      </c>
      <c r="EC70" s="51">
        <f t="shared" si="15"/>
        <v>0.21354569912128504</v>
      </c>
      <c r="ED70" s="49"/>
      <c r="EE70" s="51">
        <f t="shared" si="16"/>
        <v>0.28576970184009198</v>
      </c>
      <c r="EF70" s="51">
        <f t="shared" si="16"/>
        <v>0.24696588576136494</v>
      </c>
      <c r="EG70" s="51">
        <f t="shared" si="16"/>
        <v>4.270913982425701E-2</v>
      </c>
      <c r="EH70" s="52">
        <f t="shared" si="11"/>
        <v>0</v>
      </c>
      <c r="EI70" s="51">
        <f t="shared" si="12"/>
        <v>0.99999999999999989</v>
      </c>
      <c r="EK70" s="53">
        <f>EA70*'[2]Renewable Diesel'!BF79*'[2]Feedstock Conversion Rates'!B$2</f>
        <v>11.564335367655078</v>
      </c>
      <c r="EL70" s="53">
        <f>EB70*'[2]Renewable Diesel'!BF79*'[2]Feedstock Conversion Rates'!B$3</f>
        <v>21.376116587734</v>
      </c>
      <c r="EM70" s="53">
        <f>EC70*'[2]Renewable Diesel'!BF79*'[2]Feedstock Conversion Rates'!B$4</f>
        <v>30.582117140749503</v>
      </c>
      <c r="EN70" s="49"/>
      <c r="EO70" s="53">
        <f>EE70*'[2]Renewable Diesel'!BF79*'[2]Feedstock Conversion Rates'!B$6</f>
        <v>51.184029747087301</v>
      </c>
      <c r="EP70" s="53">
        <f>EF70*'[2]Renewable Diesel'!BF79*'[2]Feedstock Conversion Rates'!B$7</f>
        <v>43.385064679304456</v>
      </c>
      <c r="EQ70" s="53">
        <f>EG70*'[2]Renewable Diesel'!BF79*'[2]Feedstock Conversion Rates'!B$8</f>
        <v>7.6455292851873766</v>
      </c>
      <c r="ER70" s="53">
        <f>EH70*'[2]Renewable Diesel'!BF79*'[2]Feedstock Conversion Rates'!B$9</f>
        <v>0</v>
      </c>
      <c r="ES70" s="53">
        <f t="shared" si="13"/>
        <v>165.73719280771772</v>
      </c>
    </row>
    <row r="71" spans="1:149" x14ac:dyDescent="0.25">
      <c r="A71" s="39">
        <v>42583</v>
      </c>
      <c r="C71" s="46"/>
      <c r="D71" s="45">
        <v>0</v>
      </c>
      <c r="E71" s="45">
        <f>('[2]Renewable Diesel'!B80*E$3*'[2]Feedstock Conversion Rates'!$B$2)/12</f>
        <v>20.853333333333332</v>
      </c>
      <c r="F71" s="45">
        <f>('[2]Renewable Diesel'!B80*'[2]RD Feedstock Breakdown'!F$3*'[2]Feedstock Conversion Rates'!B$8)/12</f>
        <v>12.5</v>
      </c>
      <c r="G71" s="45">
        <f>('[2]Renewable Diesel'!B80*'[2]RD Feedstock Breakdown'!G$3*'[2]Feedstock Conversion Rates'!B$7)/12</f>
        <v>40.847999999999999</v>
      </c>
      <c r="H71" s="45">
        <f>('[2]Renewable Diesel'!B80*'[2]RD Feedstock Breakdown'!H$3*'[2]Feedstock Conversion Rates'!B$3)/12</f>
        <v>40.904400000000003</v>
      </c>
      <c r="I71" s="47">
        <f t="shared" si="14"/>
        <v>115.10573333333335</v>
      </c>
      <c r="J71" s="47"/>
      <c r="K71" s="48"/>
      <c r="L71" s="47"/>
      <c r="R71" s="45">
        <f>('[2]Renewable Diesel'!D80*'[2]RD Feedstock Breakdown'!R$3*'[2]Feedstock Conversion Rates'!B$7)/12</f>
        <v>2.2999999999999998</v>
      </c>
      <c r="S71" s="47">
        <f t="shared" si="19"/>
        <v>2.2999999999999998</v>
      </c>
      <c r="T71" s="48"/>
      <c r="U71" s="47"/>
      <c r="Z71" s="45">
        <f>('[2]Renewable Diesel'!F80*'[2]RD Feedstock Breakdown'!Z$3*'[2]Feedstock Conversion Rates'!B$6)/12</f>
        <v>44.555000000000007</v>
      </c>
      <c r="AA71" s="45">
        <f>('[2]Renewable Diesel'!F80*'[2]RD Feedstock Breakdown'!AA$3*'[2]Feedstock Conversion Rates'!B$7)/12</f>
        <v>29.133333333333329</v>
      </c>
      <c r="AB71" s="47">
        <f t="shared" si="17"/>
        <v>73.688333333333333</v>
      </c>
      <c r="AC71" s="49"/>
      <c r="AG71" s="49"/>
      <c r="AI71" s="45">
        <f>('[2]Renewable Diesel'!H80*'[2]RD Feedstock Breakdown'!AI$3*'[2]Feedstock Conversion Rates'!B$6)/12</f>
        <v>39.083333333333336</v>
      </c>
      <c r="AJ71" s="47">
        <f t="shared" si="18"/>
        <v>39.083333333333336</v>
      </c>
      <c r="AK71" s="45">
        <f>('[2]Renewable Diesel'!J80*'[2]RD Feedstock Breakdown'!AK$3*'[2]Feedstock Conversion Rates'!B$4)/12</f>
        <v>62.5</v>
      </c>
      <c r="AL71" s="47">
        <f t="shared" si="20"/>
        <v>62.5</v>
      </c>
      <c r="AT71" s="49"/>
      <c r="BX71" s="49"/>
      <c r="CI71" s="49"/>
      <c r="DD71" s="49"/>
      <c r="DJ71" s="49"/>
      <c r="DP71" s="45">
        <f t="shared" si="0"/>
        <v>20.853333333333332</v>
      </c>
      <c r="DQ71" s="45">
        <f t="shared" si="1"/>
        <v>40.904400000000003</v>
      </c>
      <c r="DR71" s="45">
        <f t="shared" si="10"/>
        <v>62.5</v>
      </c>
      <c r="DS71" s="49"/>
      <c r="DT71" s="45">
        <f t="shared" si="2"/>
        <v>83.63833333333335</v>
      </c>
      <c r="DU71" s="45">
        <f t="shared" si="3"/>
        <v>72.281333333333322</v>
      </c>
      <c r="DV71" s="45">
        <f t="shared" si="4"/>
        <v>12.5</v>
      </c>
      <c r="DW71" s="45">
        <f t="shared" si="5"/>
        <v>0</v>
      </c>
      <c r="DX71" s="47">
        <f t="shared" si="6"/>
        <v>292.67740000000003</v>
      </c>
      <c r="DY71" s="50">
        <f t="shared" si="7"/>
        <v>0</v>
      </c>
      <c r="EA71" s="51">
        <f t="shared" si="15"/>
        <v>7.1250234330813816E-2</v>
      </c>
      <c r="EB71" s="51">
        <f t="shared" si="15"/>
        <v>0.13975933912218708</v>
      </c>
      <c r="EC71" s="51">
        <f t="shared" si="15"/>
        <v>0.21354569912128504</v>
      </c>
      <c r="ED71" s="49"/>
      <c r="EE71" s="51">
        <f t="shared" si="16"/>
        <v>0.28576970184009198</v>
      </c>
      <c r="EF71" s="51">
        <f t="shared" si="16"/>
        <v>0.24696588576136494</v>
      </c>
      <c r="EG71" s="51">
        <f t="shared" si="16"/>
        <v>4.270913982425701E-2</v>
      </c>
      <c r="EH71" s="52">
        <f t="shared" si="11"/>
        <v>0</v>
      </c>
      <c r="EI71" s="51">
        <f t="shared" si="12"/>
        <v>0.99999999999999989</v>
      </c>
      <c r="EK71" s="53">
        <f>EA71*'[2]Renewable Diesel'!BF80*'[2]Feedstock Conversion Rates'!B$2</f>
        <v>14.73196681424667</v>
      </c>
      <c r="EL71" s="53">
        <f>EB71*'[2]Renewable Diesel'!BF80*'[2]Feedstock Conversion Rates'!B$3</f>
        <v>27.231330653792725</v>
      </c>
      <c r="EM71" s="53">
        <f>EC71*'[2]Renewable Diesel'!BF80*'[2]Feedstock Conversion Rates'!B$4</f>
        <v>38.958982120758208</v>
      </c>
      <c r="EN71" s="49"/>
      <c r="EO71" s="53">
        <f>EE71*'[2]Renewable Diesel'!BF80*'[2]Feedstock Conversion Rates'!B$6</f>
        <v>65.204043611751729</v>
      </c>
      <c r="EP71" s="53">
        <f>EF71*'[2]Renewable Diesel'!BF80*'[2]Feedstock Conversion Rates'!B$7</f>
        <v>55.268834115372051</v>
      </c>
      <c r="EQ71" s="53">
        <f>EG71*'[2]Renewable Diesel'!BF80*'[2]Feedstock Conversion Rates'!B$8</f>
        <v>9.7397455301895537</v>
      </c>
      <c r="ER71" s="53">
        <f>EH71*'[2]Renewable Diesel'!BF80*'[2]Feedstock Conversion Rates'!B$9</f>
        <v>0</v>
      </c>
      <c r="ES71" s="53">
        <f t="shared" si="13"/>
        <v>211.13490284611095</v>
      </c>
    </row>
    <row r="72" spans="1:149" x14ac:dyDescent="0.25">
      <c r="A72" s="39">
        <v>42614</v>
      </c>
      <c r="C72" s="46"/>
      <c r="D72" s="45">
        <v>0</v>
      </c>
      <c r="E72" s="45">
        <f>('[2]Renewable Diesel'!B81*E$3*'[2]Feedstock Conversion Rates'!$B$2)/12</f>
        <v>20.853333333333332</v>
      </c>
      <c r="F72" s="45">
        <f>('[2]Renewable Diesel'!B81*'[2]RD Feedstock Breakdown'!F$3*'[2]Feedstock Conversion Rates'!B$8)/12</f>
        <v>12.5</v>
      </c>
      <c r="G72" s="45">
        <f>('[2]Renewable Diesel'!B81*'[2]RD Feedstock Breakdown'!G$3*'[2]Feedstock Conversion Rates'!B$7)/12</f>
        <v>40.847999999999999</v>
      </c>
      <c r="H72" s="45">
        <f>('[2]Renewable Diesel'!B81*'[2]RD Feedstock Breakdown'!H$3*'[2]Feedstock Conversion Rates'!B$3)/12</f>
        <v>40.904400000000003</v>
      </c>
      <c r="I72" s="47">
        <f t="shared" si="14"/>
        <v>115.10573333333335</v>
      </c>
      <c r="J72" s="47"/>
      <c r="K72" s="48"/>
      <c r="L72" s="47"/>
      <c r="R72" s="45">
        <f>('[2]Renewable Diesel'!D81*'[2]RD Feedstock Breakdown'!R$3*'[2]Feedstock Conversion Rates'!B$7)/12</f>
        <v>2.2999999999999998</v>
      </c>
      <c r="S72" s="47">
        <f t="shared" si="19"/>
        <v>2.2999999999999998</v>
      </c>
      <c r="T72" s="48"/>
      <c r="U72" s="47"/>
      <c r="Z72" s="45">
        <f>('[2]Renewable Diesel'!F81*'[2]RD Feedstock Breakdown'!Z$3*'[2]Feedstock Conversion Rates'!B$6)/12</f>
        <v>44.555000000000007</v>
      </c>
      <c r="AA72" s="45">
        <f>('[2]Renewable Diesel'!F81*'[2]RD Feedstock Breakdown'!AA$3*'[2]Feedstock Conversion Rates'!B$7)/12</f>
        <v>29.133333333333329</v>
      </c>
      <c r="AB72" s="47">
        <f t="shared" si="17"/>
        <v>73.688333333333333</v>
      </c>
      <c r="AC72" s="49"/>
      <c r="AG72" s="49"/>
      <c r="AI72" s="45">
        <f>('[2]Renewable Diesel'!H81*'[2]RD Feedstock Breakdown'!AI$3*'[2]Feedstock Conversion Rates'!B$6)/12</f>
        <v>39.083333333333336</v>
      </c>
      <c r="AJ72" s="47">
        <f t="shared" si="18"/>
        <v>39.083333333333336</v>
      </c>
      <c r="AK72" s="45">
        <f>('[2]Renewable Diesel'!J81*'[2]RD Feedstock Breakdown'!AK$3*'[2]Feedstock Conversion Rates'!B$4)/12</f>
        <v>62.5</v>
      </c>
      <c r="AL72" s="47">
        <f t="shared" si="20"/>
        <v>62.5</v>
      </c>
      <c r="AT72" s="49"/>
      <c r="BX72" s="49"/>
      <c r="CI72" s="49"/>
      <c r="DD72" s="49"/>
      <c r="DJ72" s="49"/>
      <c r="DP72" s="45">
        <f t="shared" si="0"/>
        <v>20.853333333333332</v>
      </c>
      <c r="DQ72" s="45">
        <f t="shared" si="1"/>
        <v>40.904400000000003</v>
      </c>
      <c r="DR72" s="45">
        <f t="shared" si="10"/>
        <v>62.5</v>
      </c>
      <c r="DS72" s="49"/>
      <c r="DT72" s="45">
        <f t="shared" si="2"/>
        <v>83.63833333333335</v>
      </c>
      <c r="DU72" s="45">
        <f t="shared" si="3"/>
        <v>72.281333333333322</v>
      </c>
      <c r="DV72" s="45">
        <f t="shared" si="4"/>
        <v>12.5</v>
      </c>
      <c r="DW72" s="45">
        <f t="shared" si="5"/>
        <v>0</v>
      </c>
      <c r="DX72" s="47">
        <f t="shared" si="6"/>
        <v>292.67740000000003</v>
      </c>
      <c r="DY72" s="50">
        <f t="shared" si="7"/>
        <v>0</v>
      </c>
      <c r="EA72" s="51">
        <f t="shared" si="15"/>
        <v>7.1250234330813816E-2</v>
      </c>
      <c r="EB72" s="51">
        <f t="shared" si="15"/>
        <v>0.13975933912218708</v>
      </c>
      <c r="EC72" s="51">
        <f t="shared" si="15"/>
        <v>0.21354569912128504</v>
      </c>
      <c r="ED72" s="49"/>
      <c r="EE72" s="51">
        <f t="shared" si="16"/>
        <v>0.28576970184009198</v>
      </c>
      <c r="EF72" s="51">
        <f t="shared" si="16"/>
        <v>0.24696588576136494</v>
      </c>
      <c r="EG72" s="51">
        <f t="shared" si="16"/>
        <v>4.270913982425701E-2</v>
      </c>
      <c r="EH72" s="52">
        <f t="shared" si="11"/>
        <v>0</v>
      </c>
      <c r="EI72" s="51">
        <f t="shared" si="12"/>
        <v>0.99999999999999989</v>
      </c>
      <c r="EK72" s="53">
        <f>EA72*'[2]Renewable Diesel'!BF81*'[2]Feedstock Conversion Rates'!B$2</f>
        <v>11.562221123826664</v>
      </c>
      <c r="EL72" s="53">
        <f>EB72*'[2]Renewable Diesel'!BF81*'[2]Feedstock Conversion Rates'!B$3</f>
        <v>21.372208509912468</v>
      </c>
      <c r="EM72" s="53">
        <f>EC72*'[2]Renewable Diesel'!BF81*'[2]Feedstock Conversion Rates'!B$4</f>
        <v>30.576525980482259</v>
      </c>
      <c r="EN72" s="49"/>
      <c r="EO72" s="53">
        <f>EE72*'[2]Renewable Diesel'!BF81*'[2]Feedstock Conversion Rates'!B$6</f>
        <v>51.17467205245412</v>
      </c>
      <c r="EP72" s="53">
        <f>EF72*'[2]Renewable Diesel'!BF81*'[2]Feedstock Conversion Rates'!B$7</f>
        <v>43.377132826558281</v>
      </c>
      <c r="EQ72" s="53">
        <f>EG72*'[2]Renewable Diesel'!BF81*'[2]Feedstock Conversion Rates'!B$8</f>
        <v>7.6441314951205657</v>
      </c>
      <c r="ER72" s="53">
        <f>EH72*'[2]Renewable Diesel'!BF81*'[2]Feedstock Conversion Rates'!B$9</f>
        <v>0</v>
      </c>
      <c r="ES72" s="53">
        <f t="shared" si="13"/>
        <v>165.70689198835436</v>
      </c>
    </row>
    <row r="73" spans="1:149" x14ac:dyDescent="0.25">
      <c r="A73" s="39">
        <v>42644</v>
      </c>
      <c r="C73" s="46"/>
      <c r="D73" s="45">
        <v>0</v>
      </c>
      <c r="E73" s="45">
        <f>('[2]Renewable Diesel'!B82*E$3*'[2]Feedstock Conversion Rates'!$B$2)/12</f>
        <v>20.853333333333332</v>
      </c>
      <c r="F73" s="45">
        <f>('[2]Renewable Diesel'!B82*'[2]RD Feedstock Breakdown'!F$3*'[2]Feedstock Conversion Rates'!B$8)/12</f>
        <v>12.5</v>
      </c>
      <c r="G73" s="45">
        <f>('[2]Renewable Diesel'!B82*'[2]RD Feedstock Breakdown'!G$3*'[2]Feedstock Conversion Rates'!B$7)/12</f>
        <v>40.847999999999999</v>
      </c>
      <c r="H73" s="45">
        <f>('[2]Renewable Diesel'!B82*'[2]RD Feedstock Breakdown'!H$3*'[2]Feedstock Conversion Rates'!B$3)/12</f>
        <v>40.904400000000003</v>
      </c>
      <c r="I73" s="47">
        <f t="shared" si="14"/>
        <v>115.10573333333335</v>
      </c>
      <c r="J73" s="47"/>
      <c r="K73" s="48"/>
      <c r="L73" s="47"/>
      <c r="R73" s="45">
        <f>('[2]Renewable Diesel'!D82*'[2]RD Feedstock Breakdown'!R$3*'[2]Feedstock Conversion Rates'!B$7)/12</f>
        <v>2.2999999999999998</v>
      </c>
      <c r="S73" s="47">
        <f t="shared" si="19"/>
        <v>2.2999999999999998</v>
      </c>
      <c r="T73" s="48"/>
      <c r="U73" s="47"/>
      <c r="Z73" s="45">
        <f>('[2]Renewable Diesel'!F82*'[2]RD Feedstock Breakdown'!Z$3*'[2]Feedstock Conversion Rates'!B$6)/12</f>
        <v>44.555000000000007</v>
      </c>
      <c r="AA73" s="45">
        <f>('[2]Renewable Diesel'!F82*'[2]RD Feedstock Breakdown'!AA$3*'[2]Feedstock Conversion Rates'!B$7)/12</f>
        <v>29.133333333333329</v>
      </c>
      <c r="AB73" s="47">
        <f t="shared" si="17"/>
        <v>73.688333333333333</v>
      </c>
      <c r="AC73" s="49"/>
      <c r="AG73" s="49"/>
      <c r="AI73" s="45">
        <f>('[2]Renewable Diesel'!H82*'[2]RD Feedstock Breakdown'!AI$3*'[2]Feedstock Conversion Rates'!B$6)/12</f>
        <v>39.083333333333336</v>
      </c>
      <c r="AJ73" s="47">
        <f t="shared" si="18"/>
        <v>39.083333333333336</v>
      </c>
      <c r="AK73" s="45">
        <f>('[2]Renewable Diesel'!J82*'[2]RD Feedstock Breakdown'!AK$3*'[2]Feedstock Conversion Rates'!B$4)/12</f>
        <v>62.5</v>
      </c>
      <c r="AL73" s="47">
        <f t="shared" si="20"/>
        <v>62.5</v>
      </c>
      <c r="AT73" s="49"/>
      <c r="BX73" s="49"/>
      <c r="CI73" s="49"/>
      <c r="DD73" s="49"/>
      <c r="DJ73" s="49"/>
      <c r="DP73" s="45">
        <f t="shared" si="0"/>
        <v>20.853333333333332</v>
      </c>
      <c r="DQ73" s="45">
        <f t="shared" si="1"/>
        <v>40.904400000000003</v>
      </c>
      <c r="DR73" s="45">
        <f t="shared" si="10"/>
        <v>62.5</v>
      </c>
      <c r="DS73" s="49"/>
      <c r="DT73" s="45">
        <f t="shared" si="2"/>
        <v>83.63833333333335</v>
      </c>
      <c r="DU73" s="45">
        <f t="shared" si="3"/>
        <v>72.281333333333322</v>
      </c>
      <c r="DV73" s="45">
        <f t="shared" si="4"/>
        <v>12.5</v>
      </c>
      <c r="DW73" s="45">
        <f t="shared" si="5"/>
        <v>0</v>
      </c>
      <c r="DX73" s="47">
        <f t="shared" si="6"/>
        <v>292.67740000000003</v>
      </c>
      <c r="DY73" s="50">
        <f t="shared" si="7"/>
        <v>0</v>
      </c>
      <c r="EA73" s="51">
        <f t="shared" si="15"/>
        <v>7.1250234330813816E-2</v>
      </c>
      <c r="EB73" s="51">
        <f t="shared" si="15"/>
        <v>0.13975933912218708</v>
      </c>
      <c r="EC73" s="51">
        <f t="shared" si="15"/>
        <v>0.21354569912128504</v>
      </c>
      <c r="ED73" s="49"/>
      <c r="EE73" s="51">
        <f t="shared" si="16"/>
        <v>0.28576970184009198</v>
      </c>
      <c r="EF73" s="51">
        <f t="shared" si="16"/>
        <v>0.24696588576136494</v>
      </c>
      <c r="EG73" s="51">
        <f t="shared" si="16"/>
        <v>4.270913982425701E-2</v>
      </c>
      <c r="EH73" s="52">
        <f t="shared" si="11"/>
        <v>0</v>
      </c>
      <c r="EI73" s="51">
        <f t="shared" si="12"/>
        <v>0.99999999999999989</v>
      </c>
      <c r="EK73" s="53">
        <f>EA73*'[2]Renewable Diesel'!BF82*'[2]Feedstock Conversion Rates'!B$2</f>
        <v>12.287952426892769</v>
      </c>
      <c r="EL73" s="53">
        <f>EB73*'[2]Renewable Diesel'!BF82*'[2]Feedstock Conversion Rates'!B$3</f>
        <v>22.713687847246391</v>
      </c>
      <c r="EM73" s="53">
        <f>EC73*'[2]Renewable Diesel'!BF82*'[2]Feedstock Conversion Rates'!B$4</f>
        <v>32.495736987208439</v>
      </c>
      <c r="EN73" s="49"/>
      <c r="EO73" s="53">
        <f>EE73*'[2]Renewable Diesel'!BF82*'[2]Feedstock Conversion Rates'!B$6</f>
        <v>54.386776459977902</v>
      </c>
      <c r="EP73" s="53">
        <f>EF73*'[2]Renewable Diesel'!BF82*'[2]Feedstock Conversion Rates'!B$7</f>
        <v>46.099805468116521</v>
      </c>
      <c r="EQ73" s="53">
        <f>EG73*'[2]Renewable Diesel'!BF82*'[2]Feedstock Conversion Rates'!B$8</f>
        <v>8.1239342468021096</v>
      </c>
      <c r="ER73" s="53">
        <f>EH73*'[2]Renewable Diesel'!BF82*'[2]Feedstock Conversion Rates'!B$9</f>
        <v>0</v>
      </c>
      <c r="ES73" s="53">
        <f t="shared" si="13"/>
        <v>176.10789343624415</v>
      </c>
    </row>
    <row r="74" spans="1:149" x14ac:dyDescent="0.25">
      <c r="A74" s="39">
        <v>42675</v>
      </c>
      <c r="C74" s="46"/>
      <c r="D74" s="45">
        <v>0</v>
      </c>
      <c r="E74" s="45">
        <f>('[2]Renewable Diesel'!B83*E$3*'[2]Feedstock Conversion Rates'!$B$2)/12</f>
        <v>20.853333333333332</v>
      </c>
      <c r="F74" s="45">
        <f>('[2]Renewable Diesel'!B83*'[2]RD Feedstock Breakdown'!F$3*'[2]Feedstock Conversion Rates'!B$8)/12</f>
        <v>12.5</v>
      </c>
      <c r="G74" s="45">
        <f>('[2]Renewable Diesel'!B83*'[2]RD Feedstock Breakdown'!G$3*'[2]Feedstock Conversion Rates'!B$7)/12</f>
        <v>40.847999999999999</v>
      </c>
      <c r="H74" s="45">
        <f>('[2]Renewable Diesel'!B83*'[2]RD Feedstock Breakdown'!H$3*'[2]Feedstock Conversion Rates'!B$3)/12</f>
        <v>40.904400000000003</v>
      </c>
      <c r="I74" s="47">
        <f t="shared" si="14"/>
        <v>115.10573333333335</v>
      </c>
      <c r="J74" s="47"/>
      <c r="K74" s="48"/>
      <c r="L74" s="47"/>
      <c r="R74" s="45">
        <f>('[2]Renewable Diesel'!D83*'[2]RD Feedstock Breakdown'!R$3*'[2]Feedstock Conversion Rates'!B$7)/12</f>
        <v>2.2999999999999998</v>
      </c>
      <c r="S74" s="47">
        <f t="shared" si="19"/>
        <v>2.2999999999999998</v>
      </c>
      <c r="T74" s="48"/>
      <c r="U74" s="47"/>
      <c r="Z74" s="45">
        <f>('[2]Renewable Diesel'!F83*'[2]RD Feedstock Breakdown'!Z$3*'[2]Feedstock Conversion Rates'!B$6)/12</f>
        <v>44.555000000000007</v>
      </c>
      <c r="AA74" s="45">
        <f>('[2]Renewable Diesel'!F83*'[2]RD Feedstock Breakdown'!AA$3*'[2]Feedstock Conversion Rates'!B$7)/12</f>
        <v>29.133333333333329</v>
      </c>
      <c r="AB74" s="47">
        <f t="shared" si="17"/>
        <v>73.688333333333333</v>
      </c>
      <c r="AC74" s="49"/>
      <c r="AG74" s="49"/>
      <c r="AI74" s="45">
        <f>('[2]Renewable Diesel'!H83*'[2]RD Feedstock Breakdown'!AI$3*'[2]Feedstock Conversion Rates'!B$6)/12</f>
        <v>39.083333333333336</v>
      </c>
      <c r="AJ74" s="47">
        <f t="shared" si="18"/>
        <v>39.083333333333336</v>
      </c>
      <c r="AK74" s="45">
        <f>('[2]Renewable Diesel'!J83*'[2]RD Feedstock Breakdown'!AK$3*'[2]Feedstock Conversion Rates'!B$4)/12</f>
        <v>62.5</v>
      </c>
      <c r="AL74" s="47">
        <f t="shared" si="20"/>
        <v>62.5</v>
      </c>
      <c r="AT74" s="49"/>
      <c r="BX74" s="49"/>
      <c r="CI74" s="49"/>
      <c r="DD74" s="49"/>
      <c r="DJ74" s="49"/>
      <c r="DP74" s="45">
        <f t="shared" si="0"/>
        <v>20.853333333333332</v>
      </c>
      <c r="DQ74" s="45">
        <f t="shared" si="1"/>
        <v>40.904400000000003</v>
      </c>
      <c r="DR74" s="45">
        <f t="shared" si="10"/>
        <v>62.5</v>
      </c>
      <c r="DS74" s="49"/>
      <c r="DT74" s="45">
        <f t="shared" si="2"/>
        <v>83.63833333333335</v>
      </c>
      <c r="DU74" s="45">
        <f t="shared" si="3"/>
        <v>72.281333333333322</v>
      </c>
      <c r="DV74" s="45">
        <f t="shared" si="4"/>
        <v>12.5</v>
      </c>
      <c r="DW74" s="45">
        <f t="shared" si="5"/>
        <v>0</v>
      </c>
      <c r="DX74" s="47">
        <f t="shared" si="6"/>
        <v>292.67740000000003</v>
      </c>
      <c r="DY74" s="50">
        <f t="shared" si="7"/>
        <v>0</v>
      </c>
      <c r="EA74" s="51">
        <f t="shared" si="15"/>
        <v>7.1250234330813816E-2</v>
      </c>
      <c r="EB74" s="51">
        <f t="shared" si="15"/>
        <v>0.13975933912218708</v>
      </c>
      <c r="EC74" s="51">
        <f t="shared" si="15"/>
        <v>0.21354569912128504</v>
      </c>
      <c r="ED74" s="49"/>
      <c r="EE74" s="51">
        <f t="shared" si="16"/>
        <v>0.28576970184009198</v>
      </c>
      <c r="EF74" s="51">
        <f t="shared" si="16"/>
        <v>0.24696588576136494</v>
      </c>
      <c r="EG74" s="51">
        <f t="shared" si="16"/>
        <v>4.270913982425701E-2</v>
      </c>
      <c r="EH74" s="52">
        <f t="shared" si="11"/>
        <v>0</v>
      </c>
      <c r="EI74" s="51">
        <f t="shared" si="12"/>
        <v>0.99999999999999989</v>
      </c>
      <c r="EK74" s="53">
        <f>EA74*'[2]Renewable Diesel'!BF83*'[2]Feedstock Conversion Rates'!B$2</f>
        <v>16.455310517678047</v>
      </c>
      <c r="EL74" s="53">
        <f>EB74*'[2]Renewable Diesel'!BF83*'[2]Feedstock Conversion Rates'!B$3</f>
        <v>30.416848433597153</v>
      </c>
      <c r="EM74" s="53">
        <f>EC74*'[2]Renewable Diesel'!BF83*'[2]Feedstock Conversion Rates'!B$4</f>
        <v>43.516399156545731</v>
      </c>
      <c r="EN74" s="49"/>
      <c r="EO74" s="53">
        <f>EE74*'[2]Renewable Diesel'!BF83*'[2]Feedstock Conversion Rates'!B$6</f>
        <v>72.8316047794778</v>
      </c>
      <c r="EP74" s="53">
        <f>EF74*'[2]Renewable Diesel'!BF83*'[2]Feedstock Conversion Rates'!B$7</f>
        <v>61.734175672930419</v>
      </c>
      <c r="EQ74" s="53">
        <f>EG74*'[2]Renewable Diesel'!BF83*'[2]Feedstock Conversion Rates'!B$8</f>
        <v>10.879099789136434</v>
      </c>
      <c r="ER74" s="53">
        <f>EH74*'[2]Renewable Diesel'!BF83*'[2]Feedstock Conversion Rates'!B$9</f>
        <v>0</v>
      </c>
      <c r="ES74" s="53">
        <f t="shared" si="13"/>
        <v>235.83343834936557</v>
      </c>
    </row>
    <row r="75" spans="1:149" x14ac:dyDescent="0.25">
      <c r="A75" s="39">
        <v>42705</v>
      </c>
      <c r="C75" s="46"/>
      <c r="D75" s="45">
        <v>0</v>
      </c>
      <c r="E75" s="45">
        <f>('[2]Renewable Diesel'!B84*E$3*'[2]Feedstock Conversion Rates'!$B$2)/12</f>
        <v>20.853333333333332</v>
      </c>
      <c r="F75" s="45">
        <f>('[2]Renewable Diesel'!B84*'[2]RD Feedstock Breakdown'!F$3*'[2]Feedstock Conversion Rates'!B$8)/12</f>
        <v>12.5</v>
      </c>
      <c r="G75" s="45">
        <f>('[2]Renewable Diesel'!B84*'[2]RD Feedstock Breakdown'!G$3*'[2]Feedstock Conversion Rates'!B$7)/12</f>
        <v>40.847999999999999</v>
      </c>
      <c r="H75" s="45">
        <f>('[2]Renewable Diesel'!B84*'[2]RD Feedstock Breakdown'!H$3*'[2]Feedstock Conversion Rates'!B$3)/12</f>
        <v>40.904400000000003</v>
      </c>
      <c r="I75" s="47">
        <f t="shared" si="14"/>
        <v>115.10573333333335</v>
      </c>
      <c r="J75" s="47"/>
      <c r="K75" s="48"/>
      <c r="L75" s="47"/>
      <c r="R75" s="45">
        <f>('[2]Renewable Diesel'!D84*'[2]RD Feedstock Breakdown'!R$3*'[2]Feedstock Conversion Rates'!B$7)/12</f>
        <v>2.2999999999999998</v>
      </c>
      <c r="S75" s="47">
        <f t="shared" si="19"/>
        <v>2.2999999999999998</v>
      </c>
      <c r="T75" s="48"/>
      <c r="U75" s="47"/>
      <c r="Z75" s="45">
        <f>('[2]Renewable Diesel'!F84*'[2]RD Feedstock Breakdown'!Z$3*'[2]Feedstock Conversion Rates'!B$6)/12</f>
        <v>44.555000000000007</v>
      </c>
      <c r="AA75" s="45">
        <f>('[2]Renewable Diesel'!F84*'[2]RD Feedstock Breakdown'!AA$3*'[2]Feedstock Conversion Rates'!B$7)/12</f>
        <v>29.133333333333329</v>
      </c>
      <c r="AB75" s="47">
        <f t="shared" si="17"/>
        <v>73.688333333333333</v>
      </c>
      <c r="AC75" s="49"/>
      <c r="AG75" s="49"/>
      <c r="AI75" s="45">
        <f>('[2]Renewable Diesel'!H84*'[2]RD Feedstock Breakdown'!AI$3*'[2]Feedstock Conversion Rates'!B$6)/12</f>
        <v>39.083333333333336</v>
      </c>
      <c r="AJ75" s="47">
        <f t="shared" si="18"/>
        <v>39.083333333333336</v>
      </c>
      <c r="AK75" s="45">
        <f>('[2]Renewable Diesel'!J84*'[2]RD Feedstock Breakdown'!AK$3*'[2]Feedstock Conversion Rates'!B$4)/12</f>
        <v>62.5</v>
      </c>
      <c r="AL75" s="47">
        <f t="shared" si="20"/>
        <v>62.5</v>
      </c>
      <c r="AT75" s="49"/>
      <c r="BX75" s="49"/>
      <c r="CI75" s="49"/>
      <c r="DD75" s="49"/>
      <c r="DJ75" s="49"/>
      <c r="DP75" s="45">
        <f t="shared" si="0"/>
        <v>20.853333333333332</v>
      </c>
      <c r="DQ75" s="45">
        <f t="shared" si="1"/>
        <v>40.904400000000003</v>
      </c>
      <c r="DR75" s="45">
        <f t="shared" si="10"/>
        <v>62.5</v>
      </c>
      <c r="DS75" s="49"/>
      <c r="DT75" s="45">
        <f t="shared" si="2"/>
        <v>83.63833333333335</v>
      </c>
      <c r="DU75" s="45">
        <f t="shared" si="3"/>
        <v>72.281333333333322</v>
      </c>
      <c r="DV75" s="45">
        <f t="shared" si="4"/>
        <v>12.5</v>
      </c>
      <c r="DW75" s="45">
        <f t="shared" si="5"/>
        <v>0</v>
      </c>
      <c r="DX75" s="47">
        <f t="shared" si="6"/>
        <v>292.67740000000003</v>
      </c>
      <c r="DY75" s="50">
        <f t="shared" si="7"/>
        <v>0</v>
      </c>
      <c r="EA75" s="51">
        <f t="shared" si="15"/>
        <v>7.1250234330813816E-2</v>
      </c>
      <c r="EB75" s="51">
        <f t="shared" si="15"/>
        <v>0.13975933912218708</v>
      </c>
      <c r="EC75" s="51">
        <f t="shared" si="15"/>
        <v>0.21354569912128504</v>
      </c>
      <c r="ED75" s="49"/>
      <c r="EE75" s="51">
        <f t="shared" si="16"/>
        <v>0.28576970184009198</v>
      </c>
      <c r="EF75" s="51">
        <f t="shared" si="16"/>
        <v>0.24696588576136494</v>
      </c>
      <c r="EG75" s="51">
        <f t="shared" si="16"/>
        <v>4.270913982425701E-2</v>
      </c>
      <c r="EH75" s="52">
        <f t="shared" si="11"/>
        <v>0</v>
      </c>
      <c r="EI75" s="51">
        <f t="shared" si="12"/>
        <v>0.99999999999999989</v>
      </c>
      <c r="EK75" s="53">
        <f>EA75*'[2]Renewable Diesel'!BF84*'[2]Feedstock Conversion Rates'!B$2</f>
        <v>16.3864234754944</v>
      </c>
      <c r="EL75" s="53">
        <f>EB75*'[2]Renewable Diesel'!BF84*'[2]Feedstock Conversion Rates'!B$3</f>
        <v>30.289514056109237</v>
      </c>
      <c r="EM75" s="53">
        <f>EC75*'[2]Renewable Diesel'!BF84*'[2]Feedstock Conversion Rates'!B$4</f>
        <v>43.334225989946603</v>
      </c>
      <c r="EN75" s="49"/>
      <c r="EO75" s="53">
        <f>EE75*'[2]Renewable Diesel'!BF84*'[2]Feedstock Conversion Rates'!B$6</f>
        <v>72.526709054455978</v>
      </c>
      <c r="EP75" s="53">
        <f>EF75*'[2]Renewable Diesel'!BF84*'[2]Feedstock Conversion Rates'!B$7</f>
        <v>61.475737233911893</v>
      </c>
      <c r="EQ75" s="53">
        <f>EG75*'[2]Renewable Diesel'!BF84*'[2]Feedstock Conversion Rates'!B$8</f>
        <v>10.833556497486649</v>
      </c>
      <c r="ER75" s="53">
        <f>EH75*'[2]Renewable Diesel'!BF84*'[2]Feedstock Conversion Rates'!B$9</f>
        <v>0</v>
      </c>
      <c r="ES75" s="53">
        <f t="shared" si="13"/>
        <v>234.84616630740476</v>
      </c>
    </row>
    <row r="76" spans="1:149" x14ac:dyDescent="0.25">
      <c r="A76" s="39">
        <v>42736</v>
      </c>
      <c r="C76" s="46"/>
      <c r="D76" s="45">
        <v>0</v>
      </c>
      <c r="E76" s="45">
        <f>('[2]Renewable Diesel'!B85*E$3*'[2]Feedstock Conversion Rates'!$B$2)/12</f>
        <v>20.853333333333332</v>
      </c>
      <c r="F76" s="45">
        <f>('[2]Renewable Diesel'!B85*'[2]RD Feedstock Breakdown'!F$3*'[2]Feedstock Conversion Rates'!B$8)/12</f>
        <v>12.5</v>
      </c>
      <c r="G76" s="45">
        <f>('[2]Renewable Diesel'!B85*'[2]RD Feedstock Breakdown'!G$3*'[2]Feedstock Conversion Rates'!B$7)/12</f>
        <v>40.847999999999999</v>
      </c>
      <c r="H76" s="45">
        <f>('[2]Renewable Diesel'!B85*'[2]RD Feedstock Breakdown'!H$3*'[2]Feedstock Conversion Rates'!B$3)/12</f>
        <v>40.904400000000003</v>
      </c>
      <c r="I76" s="47">
        <f t="shared" si="14"/>
        <v>115.10573333333335</v>
      </c>
      <c r="J76" s="47"/>
      <c r="K76" s="48"/>
      <c r="L76" s="47"/>
      <c r="R76" s="45">
        <f>('[2]Renewable Diesel'!D85*'[2]RD Feedstock Breakdown'!R$3*'[2]Feedstock Conversion Rates'!B$7)/12</f>
        <v>2.2999999999999998</v>
      </c>
      <c r="S76" s="47">
        <f t="shared" si="19"/>
        <v>2.2999999999999998</v>
      </c>
      <c r="T76" s="48"/>
      <c r="U76" s="47"/>
      <c r="Z76" s="45">
        <f>('[2]Renewable Diesel'!F85*'[2]RD Feedstock Breakdown'!Z$3*'[2]Feedstock Conversion Rates'!B$6)/12</f>
        <v>44.555000000000007</v>
      </c>
      <c r="AA76" s="45">
        <f>('[2]Renewable Diesel'!F85*'[2]RD Feedstock Breakdown'!AA$3*'[2]Feedstock Conversion Rates'!B$7)/12</f>
        <v>29.133333333333329</v>
      </c>
      <c r="AB76" s="47">
        <f t="shared" si="17"/>
        <v>73.688333333333333</v>
      </c>
      <c r="AC76" s="49"/>
      <c r="AG76" s="49"/>
      <c r="AI76" s="45">
        <f>('[2]Renewable Diesel'!H85*'[2]RD Feedstock Breakdown'!AI$3*'[2]Feedstock Conversion Rates'!B$6)/12</f>
        <v>39.083333333333336</v>
      </c>
      <c r="AJ76" s="47">
        <f t="shared" si="18"/>
        <v>39.083333333333336</v>
      </c>
      <c r="AK76" s="45">
        <f>('[2]Renewable Diesel'!J85*'[2]RD Feedstock Breakdown'!AK$3*'[2]Feedstock Conversion Rates'!B$4)/12</f>
        <v>62.5</v>
      </c>
      <c r="AL76" s="47">
        <f t="shared" si="20"/>
        <v>62.5</v>
      </c>
      <c r="AT76" s="49"/>
      <c r="BX76" s="49"/>
      <c r="CI76" s="49"/>
      <c r="DD76" s="49"/>
      <c r="DJ76" s="49"/>
      <c r="DP76" s="45">
        <f t="shared" ref="DP76:DP139" si="21">E76+M76</f>
        <v>20.853333333333332</v>
      </c>
      <c r="DQ76" s="45">
        <f t="shared" ref="DQ76:DQ139" si="22">H76+P76+AZ76+BC76+BK76+BZ76+CL76+CP76+CV76+CX76+DA76+DK76</f>
        <v>40.904400000000003</v>
      </c>
      <c r="DR76" s="45">
        <f t="shared" si="10"/>
        <v>62.5</v>
      </c>
      <c r="DS76" s="49"/>
      <c r="DT76" s="45">
        <f t="shared" ref="DT76:DT139" si="23">V76+Z76+AE76+AI76+BD76+BL76+AN76+AQ76+CD76+CM76+CQ76+CY76+DB76+DL76</f>
        <v>83.63833333333335</v>
      </c>
      <c r="DU76" s="45">
        <f t="shared" ref="DU76:DU139" si="24">G76+O76+R76+AA76+AW76+BH76+BM76+BR76+BU76+BY76</f>
        <v>72.281333333333322</v>
      </c>
      <c r="DV76" s="45">
        <f t="shared" ref="DV76:DV139" si="25">F76+N76+W76+DM76</f>
        <v>12.5</v>
      </c>
      <c r="DW76" s="45">
        <f t="shared" ref="DW76:DW139" si="26">D76+L76</f>
        <v>0</v>
      </c>
      <c r="DX76" s="47">
        <f t="shared" ref="DX76:DX139" si="27">SUM(DP76:DW76)</f>
        <v>292.67740000000003</v>
      </c>
      <c r="DY76" s="50">
        <f t="shared" ref="DY76:DY139" si="28">I76+Q76+S76+X76+AB76+AF76+AJ76+AL76+AO76+AR76+AU76+AX76+BA76+BE76+BG76+BI76+BN76-DX76+BP76+BS76+BV76+CA76+CC76+CF76+CH76+CK76+CO76+CS76+CU76+CW76+CZ76+DN76+DG76+DI76</f>
        <v>0</v>
      </c>
      <c r="EA76" s="51">
        <f t="shared" si="15"/>
        <v>7.1250234330813816E-2</v>
      </c>
      <c r="EB76" s="51">
        <f t="shared" si="15"/>
        <v>0.13975933912218708</v>
      </c>
      <c r="EC76" s="51">
        <f t="shared" si="15"/>
        <v>0.21354569912128504</v>
      </c>
      <c r="ED76" s="49"/>
      <c r="EE76" s="51">
        <f t="shared" si="16"/>
        <v>0.28576970184009198</v>
      </c>
      <c r="EF76" s="51">
        <f t="shared" si="16"/>
        <v>0.24696588576136494</v>
      </c>
      <c r="EG76" s="51">
        <f t="shared" si="16"/>
        <v>4.270913982425701E-2</v>
      </c>
      <c r="EH76" s="52">
        <f t="shared" si="11"/>
        <v>0</v>
      </c>
      <c r="EI76" s="51">
        <f t="shared" si="12"/>
        <v>0.99999999999999989</v>
      </c>
      <c r="EK76" s="53">
        <f>EA76*'[2]Renewable Diesel'!BF85*'[2]Feedstock Conversion Rates'!B$2</f>
        <v>11.095852608138969</v>
      </c>
      <c r="EL76" s="53">
        <f>EB76*'[2]Renewable Diesel'!BF85*'[2]Feedstock Conversion Rates'!B$3</f>
        <v>20.510148785142476</v>
      </c>
      <c r="EM76" s="53">
        <f>EC76*'[2]Renewable Diesel'!BF85*'[2]Feedstock Conversion Rates'!B$4</f>
        <v>29.343205074084977</v>
      </c>
      <c r="EN76" s="49"/>
      <c r="EO76" s="53">
        <f>EE76*'[2]Renewable Diesel'!BF85*'[2]Feedstock Conversion Rates'!B$6</f>
        <v>49.110513653275483</v>
      </c>
      <c r="EP76" s="53">
        <f>EF76*'[2]Renewable Diesel'!BF85*'[2]Feedstock Conversion Rates'!B$7</f>
        <v>41.627492438741982</v>
      </c>
      <c r="EQ76" s="53">
        <f>EG76*'[2]Renewable Diesel'!BF85*'[2]Feedstock Conversion Rates'!B$8</f>
        <v>7.3358012685212444</v>
      </c>
      <c r="ER76" s="53">
        <f>EH76*'[2]Renewable Diesel'!BF85*'[2]Feedstock Conversion Rates'!B$9</f>
        <v>0</v>
      </c>
      <c r="ES76" s="53">
        <f t="shared" si="13"/>
        <v>159.02301382790515</v>
      </c>
    </row>
    <row r="77" spans="1:149" x14ac:dyDescent="0.25">
      <c r="A77" s="39">
        <v>42767</v>
      </c>
      <c r="C77" s="46"/>
      <c r="D77" s="45">
        <v>0</v>
      </c>
      <c r="E77" s="45">
        <f>('[2]Renewable Diesel'!B86*E$3*'[2]Feedstock Conversion Rates'!$B$2)/12</f>
        <v>20.853333333333332</v>
      </c>
      <c r="F77" s="45">
        <f>('[2]Renewable Diesel'!B86*'[2]RD Feedstock Breakdown'!F$3*'[2]Feedstock Conversion Rates'!B$8)/12</f>
        <v>12.5</v>
      </c>
      <c r="G77" s="45">
        <f>('[2]Renewable Diesel'!B86*'[2]RD Feedstock Breakdown'!G$3*'[2]Feedstock Conversion Rates'!B$7)/12</f>
        <v>40.847999999999999</v>
      </c>
      <c r="H77" s="45">
        <f>('[2]Renewable Diesel'!B86*'[2]RD Feedstock Breakdown'!H$3*'[2]Feedstock Conversion Rates'!B$3)/12</f>
        <v>40.904400000000003</v>
      </c>
      <c r="I77" s="47">
        <f t="shared" si="14"/>
        <v>115.10573333333335</v>
      </c>
      <c r="J77" s="47"/>
      <c r="K77" s="48"/>
      <c r="L77" s="47"/>
      <c r="R77" s="45">
        <f>('[2]Renewable Diesel'!D86*'[2]RD Feedstock Breakdown'!R$3*'[2]Feedstock Conversion Rates'!B$7)/12</f>
        <v>2.2999999999999998</v>
      </c>
      <c r="S77" s="47">
        <f t="shared" si="19"/>
        <v>2.2999999999999998</v>
      </c>
      <c r="T77" s="48"/>
      <c r="U77" s="47"/>
      <c r="Z77" s="45">
        <f>('[2]Renewable Diesel'!F86*'[2]RD Feedstock Breakdown'!Z$3*'[2]Feedstock Conversion Rates'!B$6)/12</f>
        <v>44.555000000000007</v>
      </c>
      <c r="AA77" s="45">
        <f>('[2]Renewable Diesel'!F86*'[2]RD Feedstock Breakdown'!AA$3*'[2]Feedstock Conversion Rates'!B$7)/12</f>
        <v>29.133333333333329</v>
      </c>
      <c r="AB77" s="47">
        <f t="shared" si="17"/>
        <v>73.688333333333333</v>
      </c>
      <c r="AC77" s="49"/>
      <c r="AG77" s="49"/>
      <c r="AI77" s="45">
        <f>('[2]Renewable Diesel'!H86*'[2]RD Feedstock Breakdown'!AI$3*'[2]Feedstock Conversion Rates'!B$6)/12</f>
        <v>39.083333333333336</v>
      </c>
      <c r="AJ77" s="47">
        <f t="shared" si="18"/>
        <v>39.083333333333336</v>
      </c>
      <c r="AK77" s="45">
        <f>('[2]Renewable Diesel'!J86*'[2]RD Feedstock Breakdown'!AK$3*'[2]Feedstock Conversion Rates'!B$4)/12</f>
        <v>62.5</v>
      </c>
      <c r="AL77" s="47">
        <f t="shared" si="20"/>
        <v>62.5</v>
      </c>
      <c r="AT77" s="49"/>
      <c r="BX77" s="49"/>
      <c r="CI77" s="49"/>
      <c r="DD77" s="49"/>
      <c r="DJ77" s="49"/>
      <c r="DP77" s="45">
        <f t="shared" si="21"/>
        <v>20.853333333333332</v>
      </c>
      <c r="DQ77" s="45">
        <f t="shared" si="22"/>
        <v>40.904400000000003</v>
      </c>
      <c r="DR77" s="45">
        <f t="shared" ref="DR77:DR140" si="29">AD77+AK77+AM77+AP77+AV77+AY77+BB77+BF77+BJ77+Y77+B77+BO77+BQ77+BW77+CB77+CE77+CG77+CJ77+BT77+CN77+CR77+CT77+DF77+DH77+AS77+J77+U77+AH77</f>
        <v>62.5</v>
      </c>
      <c r="DS77" s="49"/>
      <c r="DT77" s="45">
        <f t="shared" si="23"/>
        <v>83.63833333333335</v>
      </c>
      <c r="DU77" s="45">
        <f t="shared" si="24"/>
        <v>72.281333333333322</v>
      </c>
      <c r="DV77" s="45">
        <f t="shared" si="25"/>
        <v>12.5</v>
      </c>
      <c r="DW77" s="45">
        <f t="shared" si="26"/>
        <v>0</v>
      </c>
      <c r="DX77" s="47">
        <f t="shared" si="27"/>
        <v>292.67740000000003</v>
      </c>
      <c r="DY77" s="50">
        <f t="shared" si="28"/>
        <v>0</v>
      </c>
      <c r="EA77" s="51">
        <f t="shared" si="15"/>
        <v>7.1250234330813816E-2</v>
      </c>
      <c r="EB77" s="51">
        <f t="shared" si="15"/>
        <v>0.13975933912218708</v>
      </c>
      <c r="EC77" s="51">
        <f t="shared" si="15"/>
        <v>0.21354569912128504</v>
      </c>
      <c r="ED77" s="49"/>
      <c r="EE77" s="51">
        <f t="shared" si="16"/>
        <v>0.28576970184009198</v>
      </c>
      <c r="EF77" s="51">
        <f t="shared" si="16"/>
        <v>0.24696588576136494</v>
      </c>
      <c r="EG77" s="51">
        <f t="shared" si="16"/>
        <v>4.270913982425701E-2</v>
      </c>
      <c r="EH77" s="52">
        <f t="shared" ref="EH77:EH140" si="30">DW77/DX77</f>
        <v>0</v>
      </c>
      <c r="EI77" s="51">
        <f t="shared" ref="EI77:EI140" si="31">SUM(EA77:EG77)</f>
        <v>0.99999999999999989</v>
      </c>
      <c r="EK77" s="53">
        <f>EA77*'[2]Renewable Diesel'!BF86*'[2]Feedstock Conversion Rates'!B$2</f>
        <v>12.642915857436659</v>
      </c>
      <c r="EL77" s="53">
        <f>EB77*'[2]Renewable Diesel'!BF86*'[2]Feedstock Conversion Rates'!B$3</f>
        <v>23.369820641259857</v>
      </c>
      <c r="EM77" s="53">
        <f>EC77*'[2]Renewable Diesel'!BF86*'[2]Feedstock Conversion Rates'!B$4</f>
        <v>33.434444908455518</v>
      </c>
      <c r="EN77" s="49"/>
      <c r="EO77" s="53">
        <f>EE77*'[2]Renewable Diesel'!BF86*'[2]Feedstock Conversion Rates'!B$6</f>
        <v>55.957853241346854</v>
      </c>
      <c r="EP77" s="53">
        <f>EF77*'[2]Renewable Diesel'!BF86*'[2]Feedstock Conversion Rates'!B$7</f>
        <v>47.431495608823447</v>
      </c>
      <c r="EQ77" s="53">
        <f>EG77*'[2]Renewable Diesel'!BF86*'[2]Feedstock Conversion Rates'!B$8</f>
        <v>8.3586112271138795</v>
      </c>
      <c r="ER77" s="53">
        <f>EH77*'[2]Renewable Diesel'!BF86*'[2]Feedstock Conversion Rates'!B$9</f>
        <v>0</v>
      </c>
      <c r="ES77" s="53">
        <f t="shared" ref="ES77:ES140" si="32">SUM(EK77:ER77)</f>
        <v>181.19514148443619</v>
      </c>
    </row>
    <row r="78" spans="1:149" x14ac:dyDescent="0.25">
      <c r="A78" s="39">
        <v>42795</v>
      </c>
      <c r="C78" s="46"/>
      <c r="D78" s="45">
        <v>0</v>
      </c>
      <c r="E78" s="45">
        <f>('[2]Renewable Diesel'!B87*E$3*'[2]Feedstock Conversion Rates'!$B$2)/12</f>
        <v>20.853333333333332</v>
      </c>
      <c r="F78" s="45">
        <f>('[2]Renewable Diesel'!B87*'[2]RD Feedstock Breakdown'!F$3*'[2]Feedstock Conversion Rates'!B$8)/12</f>
        <v>12.5</v>
      </c>
      <c r="G78" s="45">
        <f>('[2]Renewable Diesel'!B87*'[2]RD Feedstock Breakdown'!G$3*'[2]Feedstock Conversion Rates'!B$7)/12</f>
        <v>40.847999999999999</v>
      </c>
      <c r="H78" s="45">
        <f>('[2]Renewable Diesel'!B87*'[2]RD Feedstock Breakdown'!H$3*'[2]Feedstock Conversion Rates'!B$3)/12</f>
        <v>40.904400000000003</v>
      </c>
      <c r="I78" s="47">
        <f t="shared" si="14"/>
        <v>115.10573333333335</v>
      </c>
      <c r="J78" s="47"/>
      <c r="K78" s="48"/>
      <c r="L78" s="47"/>
      <c r="R78" s="45">
        <f>('[2]Renewable Diesel'!D87*'[2]RD Feedstock Breakdown'!R$3*'[2]Feedstock Conversion Rates'!B$7)/12</f>
        <v>2.2999999999999998</v>
      </c>
      <c r="S78" s="47">
        <f t="shared" si="19"/>
        <v>2.2999999999999998</v>
      </c>
      <c r="T78" s="48"/>
      <c r="U78" s="47"/>
      <c r="Z78" s="45">
        <f>('[2]Renewable Diesel'!F87*'[2]RD Feedstock Breakdown'!Z$3*'[2]Feedstock Conversion Rates'!B$6)/12</f>
        <v>44.555000000000007</v>
      </c>
      <c r="AA78" s="45">
        <f>('[2]Renewable Diesel'!F87*'[2]RD Feedstock Breakdown'!AA$3*'[2]Feedstock Conversion Rates'!B$7)/12</f>
        <v>29.133333333333329</v>
      </c>
      <c r="AB78" s="47">
        <f t="shared" si="17"/>
        <v>73.688333333333333</v>
      </c>
      <c r="AC78" s="49"/>
      <c r="AG78" s="49"/>
      <c r="AI78" s="45">
        <f>('[2]Renewable Diesel'!H87*'[2]RD Feedstock Breakdown'!AI$3*'[2]Feedstock Conversion Rates'!B$6)/12</f>
        <v>39.083333333333336</v>
      </c>
      <c r="AJ78" s="47">
        <f t="shared" si="18"/>
        <v>39.083333333333336</v>
      </c>
      <c r="AK78" s="45">
        <f>('[2]Renewable Diesel'!J87*'[2]RD Feedstock Breakdown'!AK$3*'[2]Feedstock Conversion Rates'!B$4)/12</f>
        <v>62.5</v>
      </c>
      <c r="AL78" s="47">
        <f t="shared" si="20"/>
        <v>62.5</v>
      </c>
      <c r="AT78" s="49"/>
      <c r="BX78" s="49"/>
      <c r="CI78" s="49"/>
      <c r="DD78" s="49"/>
      <c r="DJ78" s="49"/>
      <c r="DP78" s="45">
        <f t="shared" si="21"/>
        <v>20.853333333333332</v>
      </c>
      <c r="DQ78" s="45">
        <f t="shared" si="22"/>
        <v>40.904400000000003</v>
      </c>
      <c r="DR78" s="45">
        <f t="shared" si="29"/>
        <v>62.5</v>
      </c>
      <c r="DS78" s="49"/>
      <c r="DT78" s="45">
        <f t="shared" si="23"/>
        <v>83.63833333333335</v>
      </c>
      <c r="DU78" s="45">
        <f t="shared" si="24"/>
        <v>72.281333333333322</v>
      </c>
      <c r="DV78" s="45">
        <f t="shared" si="25"/>
        <v>12.5</v>
      </c>
      <c r="DW78" s="45">
        <f t="shared" si="26"/>
        <v>0</v>
      </c>
      <c r="DX78" s="47">
        <f t="shared" si="27"/>
        <v>292.67740000000003</v>
      </c>
      <c r="DY78" s="50">
        <f t="shared" si="28"/>
        <v>0</v>
      </c>
      <c r="EA78" s="51">
        <f t="shared" si="15"/>
        <v>7.1250234330813816E-2</v>
      </c>
      <c r="EB78" s="51">
        <f t="shared" si="15"/>
        <v>0.13975933912218708</v>
      </c>
      <c r="EC78" s="51">
        <f t="shared" si="15"/>
        <v>0.21354569912128504</v>
      </c>
      <c r="ED78" s="49"/>
      <c r="EE78" s="51">
        <f t="shared" si="16"/>
        <v>0.28576970184009198</v>
      </c>
      <c r="EF78" s="51">
        <f t="shared" si="16"/>
        <v>0.24696588576136494</v>
      </c>
      <c r="EG78" s="51">
        <f t="shared" si="16"/>
        <v>4.270913982425701E-2</v>
      </c>
      <c r="EH78" s="52">
        <f t="shared" si="30"/>
        <v>0</v>
      </c>
      <c r="EI78" s="51">
        <f t="shared" si="31"/>
        <v>0.99999999999999989</v>
      </c>
      <c r="EK78" s="53">
        <f>EA78*'[2]Renewable Diesel'!BF87*'[2]Feedstock Conversion Rates'!B$2</f>
        <v>9.437768846837276</v>
      </c>
      <c r="EL78" s="53">
        <f>EB78*'[2]Renewable Diesel'!BF87*'[2]Feedstock Conversion Rates'!B$3</f>
        <v>17.445260863183119</v>
      </c>
      <c r="EM78" s="53">
        <f>EC78*'[2]Renewable Diesel'!BF87*'[2]Feedstock Conversion Rates'!B$4</f>
        <v>24.9583692659563</v>
      </c>
      <c r="EN78" s="49"/>
      <c r="EO78" s="53">
        <f>EE78*'[2]Renewable Diesel'!BF87*'[2]Feedstock Conversion Rates'!B$6</f>
        <v>41.771794577469485</v>
      </c>
      <c r="EP78" s="53">
        <f>EF78*'[2]Renewable Diesel'!BF87*'[2]Feedstock Conversion Rates'!B$7</f>
        <v>35.406981796255749</v>
      </c>
      <c r="EQ78" s="53">
        <f>EG78*'[2]Renewable Diesel'!BF87*'[2]Feedstock Conversion Rates'!B$8</f>
        <v>6.2395923164890759</v>
      </c>
      <c r="ER78" s="53">
        <f>EH78*'[2]Renewable Diesel'!BF87*'[2]Feedstock Conversion Rates'!B$9</f>
        <v>0</v>
      </c>
      <c r="ES78" s="53">
        <f t="shared" si="32"/>
        <v>135.25976766619101</v>
      </c>
    </row>
    <row r="79" spans="1:149" x14ac:dyDescent="0.25">
      <c r="A79" s="39">
        <v>42826</v>
      </c>
      <c r="C79" s="46"/>
      <c r="D79" s="45">
        <v>0</v>
      </c>
      <c r="E79" s="45">
        <f>('[2]Renewable Diesel'!B88*E$3*'[2]Feedstock Conversion Rates'!$B$2)/12</f>
        <v>20.853333333333332</v>
      </c>
      <c r="F79" s="45">
        <f>('[2]Renewable Diesel'!B88*'[2]RD Feedstock Breakdown'!F$3*'[2]Feedstock Conversion Rates'!B$8)/12</f>
        <v>12.5</v>
      </c>
      <c r="G79" s="45">
        <f>('[2]Renewable Diesel'!B88*'[2]RD Feedstock Breakdown'!G$3*'[2]Feedstock Conversion Rates'!B$7)/12</f>
        <v>40.847999999999999</v>
      </c>
      <c r="H79" s="45">
        <f>('[2]Renewable Diesel'!B88*'[2]RD Feedstock Breakdown'!H$3*'[2]Feedstock Conversion Rates'!B$3)/12</f>
        <v>40.904400000000003</v>
      </c>
      <c r="I79" s="47">
        <f t="shared" si="14"/>
        <v>115.10573333333335</v>
      </c>
      <c r="J79" s="47"/>
      <c r="K79" s="48"/>
      <c r="L79" s="47"/>
      <c r="R79" s="45">
        <f>('[2]Renewable Diesel'!D88*'[2]RD Feedstock Breakdown'!R$3*'[2]Feedstock Conversion Rates'!B$7)/12</f>
        <v>2.2999999999999998</v>
      </c>
      <c r="S79" s="47">
        <f t="shared" si="19"/>
        <v>2.2999999999999998</v>
      </c>
      <c r="T79" s="48"/>
      <c r="U79" s="47"/>
      <c r="Z79" s="45">
        <f>('[2]Renewable Diesel'!F88*'[2]RD Feedstock Breakdown'!Z$3*'[2]Feedstock Conversion Rates'!B$6)/12</f>
        <v>44.555000000000007</v>
      </c>
      <c r="AA79" s="45">
        <f>('[2]Renewable Diesel'!F88*'[2]RD Feedstock Breakdown'!AA$3*'[2]Feedstock Conversion Rates'!B$7)/12</f>
        <v>29.133333333333329</v>
      </c>
      <c r="AB79" s="47">
        <f t="shared" si="17"/>
        <v>73.688333333333333</v>
      </c>
      <c r="AC79" s="49"/>
      <c r="AG79" s="49"/>
      <c r="AI79" s="45">
        <f>('[2]Renewable Diesel'!H88*'[2]RD Feedstock Breakdown'!AI$3*'[2]Feedstock Conversion Rates'!B$6)/12</f>
        <v>39.083333333333336</v>
      </c>
      <c r="AJ79" s="47">
        <f t="shared" si="18"/>
        <v>39.083333333333336</v>
      </c>
      <c r="AK79" s="45">
        <f>('[2]Renewable Diesel'!J88*'[2]RD Feedstock Breakdown'!AK$3*'[2]Feedstock Conversion Rates'!B$4)/12</f>
        <v>62.5</v>
      </c>
      <c r="AL79" s="47">
        <f t="shared" si="20"/>
        <v>62.5</v>
      </c>
      <c r="AT79" s="49"/>
      <c r="BX79" s="49"/>
      <c r="CI79" s="49"/>
      <c r="DD79" s="49"/>
      <c r="DJ79" s="49"/>
      <c r="DP79" s="45">
        <f t="shared" si="21"/>
        <v>20.853333333333332</v>
      </c>
      <c r="DQ79" s="45">
        <f t="shared" si="22"/>
        <v>40.904400000000003</v>
      </c>
      <c r="DR79" s="45">
        <f t="shared" si="29"/>
        <v>62.5</v>
      </c>
      <c r="DS79" s="49"/>
      <c r="DT79" s="45">
        <f t="shared" si="23"/>
        <v>83.63833333333335</v>
      </c>
      <c r="DU79" s="45">
        <f t="shared" si="24"/>
        <v>72.281333333333322</v>
      </c>
      <c r="DV79" s="45">
        <f t="shared" si="25"/>
        <v>12.5</v>
      </c>
      <c r="DW79" s="45">
        <f t="shared" si="26"/>
        <v>0</v>
      </c>
      <c r="DX79" s="47">
        <f t="shared" si="27"/>
        <v>292.67740000000003</v>
      </c>
      <c r="DY79" s="50">
        <f t="shared" si="28"/>
        <v>0</v>
      </c>
      <c r="EA79" s="51">
        <f t="shared" si="15"/>
        <v>7.1250234330813816E-2</v>
      </c>
      <c r="EB79" s="51">
        <f t="shared" si="15"/>
        <v>0.13975933912218708</v>
      </c>
      <c r="EC79" s="51">
        <f t="shared" si="15"/>
        <v>0.21354569912128504</v>
      </c>
      <c r="ED79" s="49"/>
      <c r="EE79" s="51">
        <f t="shared" si="16"/>
        <v>0.28576970184009198</v>
      </c>
      <c r="EF79" s="51">
        <f t="shared" si="16"/>
        <v>0.24696588576136494</v>
      </c>
      <c r="EG79" s="51">
        <f t="shared" si="16"/>
        <v>4.270913982425701E-2</v>
      </c>
      <c r="EH79" s="52">
        <f t="shared" si="30"/>
        <v>0</v>
      </c>
      <c r="EI79" s="51">
        <f t="shared" si="31"/>
        <v>0.99999999999999989</v>
      </c>
      <c r="EK79" s="53">
        <f>EA79*'[2]Renewable Diesel'!BF88*'[2]Feedstock Conversion Rates'!B$2</f>
        <v>12.15380604820643</v>
      </c>
      <c r="EL79" s="53">
        <f>EB79*'[2]Renewable Diesel'!BF88*'[2]Feedstock Conversion Rates'!B$3</f>
        <v>22.465724731385723</v>
      </c>
      <c r="EM79" s="53">
        <f>EC79*'[2]Renewable Diesel'!BF88*'[2]Feedstock Conversion Rates'!B$4</f>
        <v>32.140984194543208</v>
      </c>
      <c r="EN79" s="49"/>
      <c r="EO79" s="53">
        <f>EE79*'[2]Renewable Diesel'!BF88*'[2]Feedstock Conversion Rates'!B$6</f>
        <v>53.793041323555798</v>
      </c>
      <c r="EP79" s="53">
        <f>EF79*'[2]Renewable Diesel'!BF88*'[2]Feedstock Conversion Rates'!B$7</f>
        <v>45.596538386112023</v>
      </c>
      <c r="EQ79" s="53">
        <f>EG79*'[2]Renewable Diesel'!BF88*'[2]Feedstock Conversion Rates'!B$8</f>
        <v>8.0352460486358002</v>
      </c>
      <c r="ER79" s="53">
        <f>EH79*'[2]Renewable Diesel'!BF88*'[2]Feedstock Conversion Rates'!B$9</f>
        <v>0</v>
      </c>
      <c r="ES79" s="53">
        <f t="shared" si="32"/>
        <v>174.18534073243899</v>
      </c>
    </row>
    <row r="80" spans="1:149" x14ac:dyDescent="0.25">
      <c r="A80" s="39">
        <v>42856</v>
      </c>
      <c r="C80" s="46"/>
      <c r="D80" s="45">
        <v>0</v>
      </c>
      <c r="E80" s="45">
        <f>('[2]Renewable Diesel'!B89*E$3*'[2]Feedstock Conversion Rates'!$B$2)/12</f>
        <v>20.853333333333332</v>
      </c>
      <c r="F80" s="45">
        <f>('[2]Renewable Diesel'!B89*'[2]RD Feedstock Breakdown'!F$3*'[2]Feedstock Conversion Rates'!B$8)/12</f>
        <v>12.5</v>
      </c>
      <c r="G80" s="45">
        <f>('[2]Renewable Diesel'!B89*'[2]RD Feedstock Breakdown'!G$3*'[2]Feedstock Conversion Rates'!B$7)/12</f>
        <v>40.847999999999999</v>
      </c>
      <c r="H80" s="45">
        <f>('[2]Renewable Diesel'!B89*'[2]RD Feedstock Breakdown'!H$3*'[2]Feedstock Conversion Rates'!B$3)/12</f>
        <v>40.904400000000003</v>
      </c>
      <c r="I80" s="47">
        <f t="shared" si="14"/>
        <v>115.10573333333335</v>
      </c>
      <c r="J80" s="47"/>
      <c r="K80" s="48"/>
      <c r="L80" s="47"/>
      <c r="R80" s="45">
        <f>('[2]Renewable Diesel'!D89*'[2]RD Feedstock Breakdown'!R$3*'[2]Feedstock Conversion Rates'!B$7)/12</f>
        <v>2.2999999999999998</v>
      </c>
      <c r="S80" s="47">
        <f t="shared" si="19"/>
        <v>2.2999999999999998</v>
      </c>
      <c r="T80" s="48"/>
      <c r="U80" s="47"/>
      <c r="Z80" s="45">
        <f>('[2]Renewable Diesel'!F89*'[2]RD Feedstock Breakdown'!Z$3*'[2]Feedstock Conversion Rates'!B$6)/12</f>
        <v>44.555000000000007</v>
      </c>
      <c r="AA80" s="45">
        <f>('[2]Renewable Diesel'!F89*'[2]RD Feedstock Breakdown'!AA$3*'[2]Feedstock Conversion Rates'!B$7)/12</f>
        <v>29.133333333333329</v>
      </c>
      <c r="AB80" s="47">
        <f t="shared" si="17"/>
        <v>73.688333333333333</v>
      </c>
      <c r="AC80" s="49"/>
      <c r="AG80" s="49"/>
      <c r="AI80" s="45">
        <f>('[2]Renewable Diesel'!H89*'[2]RD Feedstock Breakdown'!AI$3*'[2]Feedstock Conversion Rates'!B$6)/12</f>
        <v>39.083333333333336</v>
      </c>
      <c r="AJ80" s="47">
        <f t="shared" si="18"/>
        <v>39.083333333333336</v>
      </c>
      <c r="AK80" s="45">
        <f>('[2]Renewable Diesel'!J89*'[2]RD Feedstock Breakdown'!AK$3*'[2]Feedstock Conversion Rates'!B$4)/12</f>
        <v>62.5</v>
      </c>
      <c r="AL80" s="47">
        <f t="shared" si="20"/>
        <v>62.5</v>
      </c>
      <c r="AT80" s="49"/>
      <c r="BX80" s="49"/>
      <c r="CI80" s="49"/>
      <c r="DD80" s="49"/>
      <c r="DJ80" s="49"/>
      <c r="DP80" s="45">
        <f t="shared" si="21"/>
        <v>20.853333333333332</v>
      </c>
      <c r="DQ80" s="45">
        <f t="shared" si="22"/>
        <v>40.904400000000003</v>
      </c>
      <c r="DR80" s="45">
        <f t="shared" si="29"/>
        <v>62.5</v>
      </c>
      <c r="DS80" s="49"/>
      <c r="DT80" s="45">
        <f t="shared" si="23"/>
        <v>83.63833333333335</v>
      </c>
      <c r="DU80" s="45">
        <f t="shared" si="24"/>
        <v>72.281333333333322</v>
      </c>
      <c r="DV80" s="45">
        <f t="shared" si="25"/>
        <v>12.5</v>
      </c>
      <c r="DW80" s="45">
        <f t="shared" si="26"/>
        <v>0</v>
      </c>
      <c r="DX80" s="47">
        <f t="shared" si="27"/>
        <v>292.67740000000003</v>
      </c>
      <c r="DY80" s="50">
        <f t="shared" si="28"/>
        <v>0</v>
      </c>
      <c r="EA80" s="51">
        <f t="shared" si="15"/>
        <v>7.1250234330813816E-2</v>
      </c>
      <c r="EB80" s="51">
        <f t="shared" si="15"/>
        <v>0.13975933912218708</v>
      </c>
      <c r="EC80" s="51">
        <f t="shared" si="15"/>
        <v>0.21354569912128504</v>
      </c>
      <c r="ED80" s="49"/>
      <c r="EE80" s="51">
        <f t="shared" si="16"/>
        <v>0.28576970184009198</v>
      </c>
      <c r="EF80" s="51">
        <f t="shared" si="16"/>
        <v>0.24696588576136494</v>
      </c>
      <c r="EG80" s="51">
        <f t="shared" si="16"/>
        <v>4.270913982425701E-2</v>
      </c>
      <c r="EH80" s="52">
        <f t="shared" si="30"/>
        <v>0</v>
      </c>
      <c r="EI80" s="51">
        <f t="shared" si="31"/>
        <v>0.99999999999999989</v>
      </c>
      <c r="EK80" s="53">
        <f>EA80*'[2]Renewable Diesel'!BF89*'[2]Feedstock Conversion Rates'!B$2</f>
        <v>14.631883320087802</v>
      </c>
      <c r="EL80" s="53">
        <f>EB80*'[2]Renewable Diesel'!BF89*'[2]Feedstock Conversion Rates'!B$3</f>
        <v>27.046331138331457</v>
      </c>
      <c r="EM80" s="53">
        <f>EC80*'[2]Renewable Diesel'!BF89*'[2]Feedstock Conversion Rates'!B$4</f>
        <v>38.694309310353304</v>
      </c>
      <c r="EN80" s="49"/>
      <c r="EO80" s="53">
        <f>EE80*'[2]Renewable Diesel'!BF89*'[2]Feedstock Conversion Rates'!B$6</f>
        <v>64.761071631144176</v>
      </c>
      <c r="EP80" s="53">
        <f>EF80*'[2]Renewable Diesel'!BF89*'[2]Feedstock Conversion Rates'!B$7</f>
        <v>54.893358246732163</v>
      </c>
      <c r="EQ80" s="53">
        <f>EG80*'[2]Renewable Diesel'!BF89*'[2]Feedstock Conversion Rates'!B$8</f>
        <v>9.6735773275883279</v>
      </c>
      <c r="ER80" s="53">
        <f>EH80*'[2]Renewable Diesel'!BF89*'[2]Feedstock Conversion Rates'!B$9</f>
        <v>0</v>
      </c>
      <c r="ES80" s="53">
        <f t="shared" si="32"/>
        <v>209.70053097423724</v>
      </c>
    </row>
    <row r="81" spans="1:149" x14ac:dyDescent="0.25">
      <c r="A81" s="39">
        <v>42887</v>
      </c>
      <c r="C81" s="46"/>
      <c r="D81" s="45">
        <v>0</v>
      </c>
      <c r="E81" s="45">
        <f>('[2]Renewable Diesel'!B90*E$3*'[2]Feedstock Conversion Rates'!$B$2)/12</f>
        <v>20.853333333333332</v>
      </c>
      <c r="F81" s="45">
        <f>('[2]Renewable Diesel'!B90*'[2]RD Feedstock Breakdown'!F$3*'[2]Feedstock Conversion Rates'!B$8)/12</f>
        <v>12.5</v>
      </c>
      <c r="G81" s="45">
        <f>('[2]Renewable Diesel'!B90*'[2]RD Feedstock Breakdown'!G$3*'[2]Feedstock Conversion Rates'!B$7)/12</f>
        <v>40.847999999999999</v>
      </c>
      <c r="H81" s="45">
        <f>('[2]Renewable Diesel'!B90*'[2]RD Feedstock Breakdown'!H$3*'[2]Feedstock Conversion Rates'!B$3)/12</f>
        <v>40.904400000000003</v>
      </c>
      <c r="I81" s="47">
        <f t="shared" si="14"/>
        <v>115.10573333333335</v>
      </c>
      <c r="J81" s="47"/>
      <c r="K81" s="48"/>
      <c r="L81" s="47"/>
      <c r="R81" s="45">
        <f>('[2]Renewable Diesel'!D90*'[2]RD Feedstock Breakdown'!R$3*'[2]Feedstock Conversion Rates'!B$7)/12</f>
        <v>2.2999999999999998</v>
      </c>
      <c r="S81" s="47">
        <f t="shared" si="19"/>
        <v>2.2999999999999998</v>
      </c>
      <c r="T81" s="48"/>
      <c r="U81" s="47"/>
      <c r="Z81" s="45">
        <f>('[2]Renewable Diesel'!F90*'[2]RD Feedstock Breakdown'!Z$3*'[2]Feedstock Conversion Rates'!B$6)/12</f>
        <v>44.555000000000007</v>
      </c>
      <c r="AA81" s="45">
        <f>('[2]Renewable Diesel'!F90*'[2]RD Feedstock Breakdown'!AA$3*'[2]Feedstock Conversion Rates'!B$7)/12</f>
        <v>29.133333333333329</v>
      </c>
      <c r="AB81" s="47">
        <f t="shared" si="17"/>
        <v>73.688333333333333</v>
      </c>
      <c r="AC81" s="49"/>
      <c r="AG81" s="49"/>
      <c r="AI81" s="45">
        <f>('[2]Renewable Diesel'!H90*'[2]RD Feedstock Breakdown'!AI$3*'[2]Feedstock Conversion Rates'!B$6)/12</f>
        <v>39.083333333333336</v>
      </c>
      <c r="AJ81" s="47">
        <f t="shared" si="18"/>
        <v>39.083333333333336</v>
      </c>
      <c r="AK81" s="45">
        <f>('[2]Renewable Diesel'!J90*'[2]RD Feedstock Breakdown'!AK$3*'[2]Feedstock Conversion Rates'!B$4)/12</f>
        <v>62.5</v>
      </c>
      <c r="AL81" s="47">
        <f t="shared" si="20"/>
        <v>62.5</v>
      </c>
      <c r="AT81" s="49"/>
      <c r="BX81" s="49"/>
      <c r="CI81" s="49"/>
      <c r="DD81" s="49"/>
      <c r="DJ81" s="49"/>
      <c r="DP81" s="45">
        <f t="shared" si="21"/>
        <v>20.853333333333332</v>
      </c>
      <c r="DQ81" s="45">
        <f t="shared" si="22"/>
        <v>40.904400000000003</v>
      </c>
      <c r="DR81" s="45">
        <f t="shared" si="29"/>
        <v>62.5</v>
      </c>
      <c r="DS81" s="49"/>
      <c r="DT81" s="45">
        <f t="shared" si="23"/>
        <v>83.63833333333335</v>
      </c>
      <c r="DU81" s="45">
        <f t="shared" si="24"/>
        <v>72.281333333333322</v>
      </c>
      <c r="DV81" s="45">
        <f t="shared" si="25"/>
        <v>12.5</v>
      </c>
      <c r="DW81" s="45">
        <f t="shared" si="26"/>
        <v>0</v>
      </c>
      <c r="DX81" s="47">
        <f t="shared" si="27"/>
        <v>292.67740000000003</v>
      </c>
      <c r="DY81" s="50">
        <f t="shared" si="28"/>
        <v>0</v>
      </c>
      <c r="EA81" s="51">
        <f t="shared" si="15"/>
        <v>7.1250234330813816E-2</v>
      </c>
      <c r="EB81" s="51">
        <f t="shared" si="15"/>
        <v>0.13975933912218708</v>
      </c>
      <c r="EC81" s="51">
        <f t="shared" si="15"/>
        <v>0.21354569912128504</v>
      </c>
      <c r="ED81" s="49"/>
      <c r="EE81" s="51">
        <f t="shared" si="16"/>
        <v>0.28576970184009198</v>
      </c>
      <c r="EF81" s="51">
        <f t="shared" si="16"/>
        <v>0.24696588576136494</v>
      </c>
      <c r="EG81" s="51">
        <f t="shared" si="16"/>
        <v>4.270913982425701E-2</v>
      </c>
      <c r="EH81" s="52">
        <f t="shared" si="30"/>
        <v>0</v>
      </c>
      <c r="EI81" s="51">
        <f t="shared" si="31"/>
        <v>0.99999999999999989</v>
      </c>
      <c r="EK81" s="53">
        <f>EA81*'[2]Renewable Diesel'!BF90*'[2]Feedstock Conversion Rates'!B$2</f>
        <v>10.600011860521741</v>
      </c>
      <c r="EL81" s="53">
        <f>EB81*'[2]Renewable Diesel'!BF90*'[2]Feedstock Conversion Rates'!B$3</f>
        <v>19.593611060055363</v>
      </c>
      <c r="EM81" s="53">
        <f>EC81*'[2]Renewable Diesel'!BF90*'[2]Feedstock Conversion Rates'!B$4</f>
        <v>28.031944258422406</v>
      </c>
      <c r="EN81" s="49"/>
      <c r="EO81" s="53">
        <f>EE81*'[2]Renewable Diesel'!BF90*'[2]Feedstock Conversion Rates'!B$6</f>
        <v>46.915910438390988</v>
      </c>
      <c r="EP81" s="53">
        <f>EF81*'[2]Renewable Diesel'!BF90*'[2]Feedstock Conversion Rates'!B$7</f>
        <v>39.767283250570522</v>
      </c>
      <c r="EQ81" s="53">
        <f>EG81*'[2]Renewable Diesel'!BF90*'[2]Feedstock Conversion Rates'!B$8</f>
        <v>7.0079860646056016</v>
      </c>
      <c r="ER81" s="53">
        <f>EH81*'[2]Renewable Diesel'!BF90*'[2]Feedstock Conversion Rates'!B$9</f>
        <v>0</v>
      </c>
      <c r="ES81" s="53">
        <f t="shared" si="32"/>
        <v>151.91674693256664</v>
      </c>
    </row>
    <row r="82" spans="1:149" x14ac:dyDescent="0.25">
      <c r="A82" s="39">
        <v>42917</v>
      </c>
      <c r="C82" s="46"/>
      <c r="D82" s="45">
        <v>0</v>
      </c>
      <c r="E82" s="45">
        <f>('[2]Renewable Diesel'!B91*E$3*'[2]Feedstock Conversion Rates'!$B$2)/12</f>
        <v>20.853333333333332</v>
      </c>
      <c r="F82" s="45">
        <f>('[2]Renewable Diesel'!B91*'[2]RD Feedstock Breakdown'!F$3*'[2]Feedstock Conversion Rates'!B$8)/12</f>
        <v>12.5</v>
      </c>
      <c r="G82" s="45">
        <f>('[2]Renewable Diesel'!B91*'[2]RD Feedstock Breakdown'!G$3*'[2]Feedstock Conversion Rates'!B$7)/12</f>
        <v>40.847999999999999</v>
      </c>
      <c r="H82" s="45">
        <f>('[2]Renewable Diesel'!B91*'[2]RD Feedstock Breakdown'!H$3*'[2]Feedstock Conversion Rates'!B$3)/12</f>
        <v>40.904400000000003</v>
      </c>
      <c r="I82" s="47">
        <f t="shared" si="14"/>
        <v>115.10573333333335</v>
      </c>
      <c r="J82" s="47"/>
      <c r="K82" s="48"/>
      <c r="L82" s="47"/>
      <c r="R82" s="45">
        <f>('[2]Renewable Diesel'!D91*'[2]RD Feedstock Breakdown'!R$3*'[2]Feedstock Conversion Rates'!B$7)/12</f>
        <v>2.2999999999999998</v>
      </c>
      <c r="S82" s="47">
        <f t="shared" si="19"/>
        <v>2.2999999999999998</v>
      </c>
      <c r="T82" s="48"/>
      <c r="U82" s="47"/>
      <c r="Z82" s="45">
        <f>('[2]Renewable Diesel'!F91*'[2]RD Feedstock Breakdown'!Z$3*'[2]Feedstock Conversion Rates'!B$6)/12</f>
        <v>44.555000000000007</v>
      </c>
      <c r="AA82" s="45">
        <f>('[2]Renewable Diesel'!F91*'[2]RD Feedstock Breakdown'!AA$3*'[2]Feedstock Conversion Rates'!B$7)/12</f>
        <v>29.133333333333329</v>
      </c>
      <c r="AB82" s="47">
        <f t="shared" si="17"/>
        <v>73.688333333333333</v>
      </c>
      <c r="AC82" s="49"/>
      <c r="AG82" s="49"/>
      <c r="AI82" s="45">
        <f>('[2]Renewable Diesel'!H91*'[2]RD Feedstock Breakdown'!AI$3*'[2]Feedstock Conversion Rates'!B$6)/12</f>
        <v>39.083333333333336</v>
      </c>
      <c r="AJ82" s="47">
        <f t="shared" si="18"/>
        <v>39.083333333333336</v>
      </c>
      <c r="AK82" s="45">
        <f>('[2]Renewable Diesel'!J91*'[2]RD Feedstock Breakdown'!AK$3*'[2]Feedstock Conversion Rates'!B$4)/12</f>
        <v>62.5</v>
      </c>
      <c r="AL82" s="47">
        <f t="shared" si="20"/>
        <v>62.5</v>
      </c>
      <c r="AT82" s="49"/>
      <c r="BX82" s="49"/>
      <c r="CI82" s="49"/>
      <c r="DD82" s="49"/>
      <c r="DJ82" s="49"/>
      <c r="DP82" s="45">
        <f t="shared" si="21"/>
        <v>20.853333333333332</v>
      </c>
      <c r="DQ82" s="45">
        <f t="shared" si="22"/>
        <v>40.904400000000003</v>
      </c>
      <c r="DR82" s="45">
        <f t="shared" si="29"/>
        <v>62.5</v>
      </c>
      <c r="DS82" s="49"/>
      <c r="DT82" s="45">
        <f t="shared" si="23"/>
        <v>83.63833333333335</v>
      </c>
      <c r="DU82" s="45">
        <f t="shared" si="24"/>
        <v>72.281333333333322</v>
      </c>
      <c r="DV82" s="45">
        <f t="shared" si="25"/>
        <v>12.5</v>
      </c>
      <c r="DW82" s="45">
        <f t="shared" si="26"/>
        <v>0</v>
      </c>
      <c r="DX82" s="47">
        <f t="shared" si="27"/>
        <v>292.67740000000003</v>
      </c>
      <c r="DY82" s="50">
        <f t="shared" si="28"/>
        <v>0</v>
      </c>
      <c r="EA82" s="51">
        <f t="shared" si="15"/>
        <v>7.1250234330813816E-2</v>
      </c>
      <c r="EB82" s="51">
        <f t="shared" si="15"/>
        <v>0.13975933912218708</v>
      </c>
      <c r="EC82" s="51">
        <f t="shared" si="15"/>
        <v>0.21354569912128504</v>
      </c>
      <c r="ED82" s="49"/>
      <c r="EE82" s="51">
        <f t="shared" si="16"/>
        <v>0.28576970184009198</v>
      </c>
      <c r="EF82" s="51">
        <f t="shared" si="16"/>
        <v>0.24696588576136494</v>
      </c>
      <c r="EG82" s="51">
        <f t="shared" si="16"/>
        <v>4.270913982425701E-2</v>
      </c>
      <c r="EH82" s="52">
        <f t="shared" si="30"/>
        <v>0</v>
      </c>
      <c r="EI82" s="51">
        <f t="shared" si="31"/>
        <v>0.99999999999999989</v>
      </c>
      <c r="EK82" s="53">
        <f>EA82*'[2]Renewable Diesel'!BF91*'[2]Feedstock Conversion Rates'!B$2</f>
        <v>11.661999381981659</v>
      </c>
      <c r="EL82" s="53">
        <f>EB82*'[2]Renewable Diesel'!BF91*'[2]Feedstock Conversion Rates'!B$3</f>
        <v>21.55664381133132</v>
      </c>
      <c r="EM82" s="53">
        <f>EC82*'[2]Renewable Diesel'!BF91*'[2]Feedstock Conversion Rates'!B$4</f>
        <v>30.840391588144477</v>
      </c>
      <c r="EN82" s="49"/>
      <c r="EO82" s="53">
        <f>EE82*'[2]Renewable Diesel'!BF91*'[2]Feedstock Conversion Rates'!B$6</f>
        <v>51.616293051080817</v>
      </c>
      <c r="EP82" s="53">
        <f>EF82*'[2]Renewable Diesel'!BF91*'[2]Feedstock Conversion Rates'!B$7</f>
        <v>43.751463563779076</v>
      </c>
      <c r="EQ82" s="53">
        <f>EG82*'[2]Renewable Diesel'!BF91*'[2]Feedstock Conversion Rates'!B$8</f>
        <v>7.7100978970361203</v>
      </c>
      <c r="ER82" s="53">
        <f>EH82*'[2]Renewable Diesel'!BF91*'[2]Feedstock Conversion Rates'!B$9</f>
        <v>0</v>
      </c>
      <c r="ES82" s="53">
        <f t="shared" si="32"/>
        <v>167.13688929335348</v>
      </c>
    </row>
    <row r="83" spans="1:149" x14ac:dyDescent="0.25">
      <c r="A83" s="39">
        <v>42948</v>
      </c>
      <c r="C83" s="46"/>
      <c r="D83" s="45">
        <v>0</v>
      </c>
      <c r="E83" s="45">
        <f>('[2]Renewable Diesel'!B92*E$3*'[2]Feedstock Conversion Rates'!$B$2)/12</f>
        <v>20.853333333333332</v>
      </c>
      <c r="F83" s="45">
        <f>('[2]Renewable Diesel'!B92*'[2]RD Feedstock Breakdown'!F$3*'[2]Feedstock Conversion Rates'!B$8)/12</f>
        <v>12.5</v>
      </c>
      <c r="G83" s="45">
        <f>('[2]Renewable Diesel'!B92*'[2]RD Feedstock Breakdown'!G$3*'[2]Feedstock Conversion Rates'!B$7)/12</f>
        <v>40.847999999999999</v>
      </c>
      <c r="H83" s="45">
        <f>('[2]Renewable Diesel'!B92*'[2]RD Feedstock Breakdown'!H$3*'[2]Feedstock Conversion Rates'!B$3)/12</f>
        <v>40.904400000000003</v>
      </c>
      <c r="I83" s="47">
        <f t="shared" si="14"/>
        <v>115.10573333333335</v>
      </c>
      <c r="J83" s="47"/>
      <c r="K83" s="48"/>
      <c r="L83" s="47"/>
      <c r="R83" s="45">
        <f>('[2]Renewable Diesel'!D92*'[2]RD Feedstock Breakdown'!R$3*'[2]Feedstock Conversion Rates'!B$7)/12</f>
        <v>2.2999999999999998</v>
      </c>
      <c r="S83" s="47">
        <f t="shared" si="19"/>
        <v>2.2999999999999998</v>
      </c>
      <c r="T83" s="48"/>
      <c r="U83" s="47"/>
      <c r="Z83" s="45">
        <f>('[2]Renewable Diesel'!F92*'[2]RD Feedstock Breakdown'!Z$3*'[2]Feedstock Conversion Rates'!B$6)/12</f>
        <v>44.555000000000007</v>
      </c>
      <c r="AA83" s="45">
        <f>('[2]Renewable Diesel'!F92*'[2]RD Feedstock Breakdown'!AA$3*'[2]Feedstock Conversion Rates'!B$7)/12</f>
        <v>29.133333333333329</v>
      </c>
      <c r="AB83" s="47">
        <f t="shared" si="17"/>
        <v>73.688333333333333</v>
      </c>
      <c r="AC83" s="49"/>
      <c r="AG83" s="49"/>
      <c r="AI83" s="45">
        <f>('[2]Renewable Diesel'!H92*'[2]RD Feedstock Breakdown'!AI$3*'[2]Feedstock Conversion Rates'!B$6)/12</f>
        <v>39.083333333333336</v>
      </c>
      <c r="AJ83" s="47">
        <f t="shared" si="18"/>
        <v>39.083333333333336</v>
      </c>
      <c r="AK83" s="45">
        <f>('[2]Renewable Diesel'!J92*'[2]RD Feedstock Breakdown'!AK$3*'[2]Feedstock Conversion Rates'!B$4)/12</f>
        <v>62.5</v>
      </c>
      <c r="AL83" s="47">
        <f t="shared" si="20"/>
        <v>62.5</v>
      </c>
      <c r="AT83" s="49"/>
      <c r="BX83" s="49"/>
      <c r="CI83" s="49"/>
      <c r="DD83" s="49"/>
      <c r="DJ83" s="49"/>
      <c r="DP83" s="45">
        <f t="shared" si="21"/>
        <v>20.853333333333332</v>
      </c>
      <c r="DQ83" s="45">
        <f t="shared" si="22"/>
        <v>40.904400000000003</v>
      </c>
      <c r="DR83" s="45">
        <f t="shared" si="29"/>
        <v>62.5</v>
      </c>
      <c r="DS83" s="49"/>
      <c r="DT83" s="45">
        <f t="shared" si="23"/>
        <v>83.63833333333335</v>
      </c>
      <c r="DU83" s="45">
        <f t="shared" si="24"/>
        <v>72.281333333333322</v>
      </c>
      <c r="DV83" s="45">
        <f t="shared" si="25"/>
        <v>12.5</v>
      </c>
      <c r="DW83" s="45">
        <f t="shared" si="26"/>
        <v>0</v>
      </c>
      <c r="DX83" s="47">
        <f t="shared" si="27"/>
        <v>292.67740000000003</v>
      </c>
      <c r="DY83" s="50">
        <f t="shared" si="28"/>
        <v>0</v>
      </c>
      <c r="EA83" s="51">
        <f t="shared" si="15"/>
        <v>7.1250234330813816E-2</v>
      </c>
      <c r="EB83" s="51">
        <f t="shared" si="15"/>
        <v>0.13975933912218708</v>
      </c>
      <c r="EC83" s="51">
        <f t="shared" si="15"/>
        <v>0.21354569912128504</v>
      </c>
      <c r="ED83" s="49"/>
      <c r="EE83" s="51">
        <f t="shared" si="16"/>
        <v>0.28576970184009198</v>
      </c>
      <c r="EF83" s="51">
        <f t="shared" si="16"/>
        <v>0.24696588576136494</v>
      </c>
      <c r="EG83" s="51">
        <f t="shared" si="16"/>
        <v>4.270913982425701E-2</v>
      </c>
      <c r="EH83" s="52">
        <f t="shared" si="30"/>
        <v>0</v>
      </c>
      <c r="EI83" s="51">
        <f t="shared" si="31"/>
        <v>0.99999999999999989</v>
      </c>
      <c r="EK83" s="53">
        <f>EA83*'[2]Renewable Diesel'!BF92*'[2]Feedstock Conversion Rates'!B$2</f>
        <v>14.781136458457897</v>
      </c>
      <c r="EL83" s="53">
        <f>EB83*'[2]Renewable Diesel'!BF92*'[2]Feedstock Conversion Rates'!B$3</f>
        <v>27.32221837140219</v>
      </c>
      <c r="EM83" s="53">
        <f>EC83*'[2]Renewable Diesel'!BF92*'[2]Feedstock Conversion Rates'!B$4</f>
        <v>39.089012232410148</v>
      </c>
      <c r="EN83" s="49"/>
      <c r="EO83" s="53">
        <f>EE83*'[2]Renewable Diesel'!BF92*'[2]Feedstock Conversion Rates'!B$6</f>
        <v>65.4216696535388</v>
      </c>
      <c r="EP83" s="53">
        <f>EF83*'[2]Renewable Diesel'!BF92*'[2]Feedstock Conversion Rates'!B$7</f>
        <v>55.453300245637443</v>
      </c>
      <c r="EQ83" s="53">
        <f>EG83*'[2]Renewable Diesel'!BF92*'[2]Feedstock Conversion Rates'!B$8</f>
        <v>9.7722530581025389</v>
      </c>
      <c r="ER83" s="53">
        <f>EH83*'[2]Renewable Diesel'!BF92*'[2]Feedstock Conversion Rates'!B$9</f>
        <v>0</v>
      </c>
      <c r="ES83" s="53">
        <f t="shared" si="32"/>
        <v>211.83959001954904</v>
      </c>
    </row>
    <row r="84" spans="1:149" x14ac:dyDescent="0.25">
      <c r="A84" s="39">
        <v>42979</v>
      </c>
      <c r="C84" s="46"/>
      <c r="D84" s="45">
        <v>0</v>
      </c>
      <c r="E84" s="45">
        <f>('[2]Renewable Diesel'!B93*E$3*'[2]Feedstock Conversion Rates'!$B$2)/12</f>
        <v>20.853333333333332</v>
      </c>
      <c r="F84" s="45">
        <f>('[2]Renewable Diesel'!B93*'[2]RD Feedstock Breakdown'!F$3*'[2]Feedstock Conversion Rates'!B$8)/12</f>
        <v>12.5</v>
      </c>
      <c r="G84" s="45">
        <f>('[2]Renewable Diesel'!B93*'[2]RD Feedstock Breakdown'!G$3*'[2]Feedstock Conversion Rates'!B$7)/12</f>
        <v>40.847999999999999</v>
      </c>
      <c r="H84" s="45">
        <f>('[2]Renewable Diesel'!B93*'[2]RD Feedstock Breakdown'!H$3*'[2]Feedstock Conversion Rates'!B$3)/12</f>
        <v>40.904400000000003</v>
      </c>
      <c r="I84" s="47">
        <f t="shared" si="14"/>
        <v>115.10573333333335</v>
      </c>
      <c r="J84" s="47"/>
      <c r="K84" s="48"/>
      <c r="L84" s="47"/>
      <c r="R84" s="45">
        <f>('[2]Renewable Diesel'!D93*'[2]RD Feedstock Breakdown'!R$3*'[2]Feedstock Conversion Rates'!B$7)/12</f>
        <v>2.2999999999999998</v>
      </c>
      <c r="S84" s="47">
        <f t="shared" si="19"/>
        <v>2.2999999999999998</v>
      </c>
      <c r="T84" s="48"/>
      <c r="U84" s="47"/>
      <c r="Z84" s="45">
        <f>('[2]Renewable Diesel'!F93*'[2]RD Feedstock Breakdown'!Z$3*'[2]Feedstock Conversion Rates'!B$6)/12</f>
        <v>44.555000000000007</v>
      </c>
      <c r="AA84" s="45">
        <f>('[2]Renewable Diesel'!F93*'[2]RD Feedstock Breakdown'!AA$3*'[2]Feedstock Conversion Rates'!B$7)/12</f>
        <v>29.133333333333329</v>
      </c>
      <c r="AB84" s="47">
        <f t="shared" si="17"/>
        <v>73.688333333333333</v>
      </c>
      <c r="AC84" s="49"/>
      <c r="AG84" s="49"/>
      <c r="AI84" s="45">
        <f>('[2]Renewable Diesel'!H93*'[2]RD Feedstock Breakdown'!AI$3*'[2]Feedstock Conversion Rates'!B$6)/12</f>
        <v>39.083333333333336</v>
      </c>
      <c r="AJ84" s="47">
        <f t="shared" si="18"/>
        <v>39.083333333333336</v>
      </c>
      <c r="AK84" s="45">
        <f>('[2]Renewable Diesel'!J93*'[2]RD Feedstock Breakdown'!AK$3*'[2]Feedstock Conversion Rates'!B$4)/12</f>
        <v>62.5</v>
      </c>
      <c r="AL84" s="47">
        <f t="shared" si="20"/>
        <v>62.5</v>
      </c>
      <c r="AT84" s="49"/>
      <c r="BX84" s="49"/>
      <c r="CI84" s="49"/>
      <c r="DD84" s="49"/>
      <c r="DJ84" s="49"/>
      <c r="DP84" s="45">
        <f t="shared" si="21"/>
        <v>20.853333333333332</v>
      </c>
      <c r="DQ84" s="45">
        <f t="shared" si="22"/>
        <v>40.904400000000003</v>
      </c>
      <c r="DR84" s="45">
        <f t="shared" si="29"/>
        <v>62.5</v>
      </c>
      <c r="DS84" s="49"/>
      <c r="DT84" s="45">
        <f t="shared" si="23"/>
        <v>83.63833333333335</v>
      </c>
      <c r="DU84" s="45">
        <f t="shared" si="24"/>
        <v>72.281333333333322</v>
      </c>
      <c r="DV84" s="45">
        <f t="shared" si="25"/>
        <v>12.5</v>
      </c>
      <c r="DW84" s="45">
        <f t="shared" si="26"/>
        <v>0</v>
      </c>
      <c r="DX84" s="47">
        <f t="shared" si="27"/>
        <v>292.67740000000003</v>
      </c>
      <c r="DY84" s="50">
        <f t="shared" si="28"/>
        <v>0</v>
      </c>
      <c r="EA84" s="51">
        <f t="shared" si="15"/>
        <v>7.1250234330813816E-2</v>
      </c>
      <c r="EB84" s="51">
        <f t="shared" si="15"/>
        <v>0.13975933912218708</v>
      </c>
      <c r="EC84" s="51">
        <f t="shared" si="15"/>
        <v>0.21354569912128504</v>
      </c>
      <c r="ED84" s="49"/>
      <c r="EE84" s="51">
        <f t="shared" si="16"/>
        <v>0.28576970184009198</v>
      </c>
      <c r="EF84" s="51">
        <f t="shared" si="16"/>
        <v>0.24696588576136494</v>
      </c>
      <c r="EG84" s="51">
        <f t="shared" si="16"/>
        <v>4.270913982425701E-2</v>
      </c>
      <c r="EH84" s="52">
        <f t="shared" si="30"/>
        <v>0</v>
      </c>
      <c r="EI84" s="51">
        <f t="shared" si="31"/>
        <v>0.99999999999999989</v>
      </c>
      <c r="EK84" s="53">
        <f>EA84*'[2]Renewable Diesel'!BF93*'[2]Feedstock Conversion Rates'!B$2</f>
        <v>13.155361685915388</v>
      </c>
      <c r="EL84" s="53">
        <f>EB84*'[2]Renewable Diesel'!BF93*'[2]Feedstock Conversion Rates'!B$3</f>
        <v>24.317052058042989</v>
      </c>
      <c r="EM84" s="53">
        <f>EC84*'[2]Renewable Diesel'!BF93*'[2]Feedstock Conversion Rates'!B$4</f>
        <v>34.78961819395689</v>
      </c>
      <c r="EN84" s="49"/>
      <c r="EO84" s="53">
        <f>EE84*'[2]Renewable Diesel'!BF93*'[2]Feedstock Conversion Rates'!B$6</f>
        <v>58.225950948197124</v>
      </c>
      <c r="EP84" s="53">
        <f>EF84*'[2]Renewable Diesel'!BF93*'[2]Feedstock Conversion Rates'!B$7</f>
        <v>49.354000855028303</v>
      </c>
      <c r="EQ84" s="53">
        <f>EG84*'[2]Renewable Diesel'!BF93*'[2]Feedstock Conversion Rates'!B$8</f>
        <v>8.6974045484892226</v>
      </c>
      <c r="ER84" s="53">
        <f>EH84*'[2]Renewable Diesel'!BF93*'[2]Feedstock Conversion Rates'!B$9</f>
        <v>0</v>
      </c>
      <c r="ES84" s="53">
        <f t="shared" si="32"/>
        <v>188.5393882896299</v>
      </c>
    </row>
    <row r="85" spans="1:149" x14ac:dyDescent="0.25">
      <c r="A85" s="39">
        <v>43009</v>
      </c>
      <c r="C85" s="46"/>
      <c r="D85" s="45">
        <v>0</v>
      </c>
      <c r="E85" s="45">
        <f>('[2]Renewable Diesel'!B94*E$3*'[2]Feedstock Conversion Rates'!$B$2)/12</f>
        <v>20.853333333333332</v>
      </c>
      <c r="F85" s="45">
        <f>('[2]Renewable Diesel'!B94*'[2]RD Feedstock Breakdown'!F$3*'[2]Feedstock Conversion Rates'!B$8)/12</f>
        <v>12.5</v>
      </c>
      <c r="G85" s="45">
        <f>('[2]Renewable Diesel'!B94*'[2]RD Feedstock Breakdown'!G$3*'[2]Feedstock Conversion Rates'!B$7)/12</f>
        <v>40.847999999999999</v>
      </c>
      <c r="H85" s="45">
        <f>('[2]Renewable Diesel'!B94*'[2]RD Feedstock Breakdown'!H$3*'[2]Feedstock Conversion Rates'!B$3)/12</f>
        <v>40.904400000000003</v>
      </c>
      <c r="I85" s="47">
        <f t="shared" si="14"/>
        <v>115.10573333333335</v>
      </c>
      <c r="J85" s="47"/>
      <c r="K85" s="48"/>
      <c r="L85" s="47"/>
      <c r="R85" s="45">
        <f>('[2]Renewable Diesel'!D94*'[2]RD Feedstock Breakdown'!R$3*'[2]Feedstock Conversion Rates'!B$7)/12</f>
        <v>2.2999999999999998</v>
      </c>
      <c r="S85" s="47">
        <f t="shared" si="19"/>
        <v>2.2999999999999998</v>
      </c>
      <c r="T85" s="48"/>
      <c r="U85" s="47"/>
      <c r="Z85" s="45">
        <f>('[2]Renewable Diesel'!F94*'[2]RD Feedstock Breakdown'!Z$3*'[2]Feedstock Conversion Rates'!B$6)/12</f>
        <v>44.555000000000007</v>
      </c>
      <c r="AA85" s="45">
        <f>('[2]Renewable Diesel'!F94*'[2]RD Feedstock Breakdown'!AA$3*'[2]Feedstock Conversion Rates'!B$7)/12</f>
        <v>29.133333333333329</v>
      </c>
      <c r="AB85" s="47">
        <f t="shared" si="17"/>
        <v>73.688333333333333</v>
      </c>
      <c r="AC85" s="49"/>
      <c r="AG85" s="49"/>
      <c r="AI85" s="45">
        <f>('[2]Renewable Diesel'!H94*'[2]RD Feedstock Breakdown'!AI$3*'[2]Feedstock Conversion Rates'!B$6)/12</f>
        <v>39.083333333333336</v>
      </c>
      <c r="AJ85" s="47">
        <f t="shared" si="18"/>
        <v>39.083333333333336</v>
      </c>
      <c r="AK85" s="45">
        <f>('[2]Renewable Diesel'!J94*'[2]RD Feedstock Breakdown'!AK$3*'[2]Feedstock Conversion Rates'!B$4)/12</f>
        <v>62.5</v>
      </c>
      <c r="AL85" s="47">
        <f t="shared" si="20"/>
        <v>62.5</v>
      </c>
      <c r="AT85" s="49"/>
      <c r="BX85" s="49"/>
      <c r="CI85" s="49"/>
      <c r="DD85" s="49"/>
      <c r="DJ85" s="49"/>
      <c r="DP85" s="45">
        <f t="shared" si="21"/>
        <v>20.853333333333332</v>
      </c>
      <c r="DQ85" s="45">
        <f t="shared" si="22"/>
        <v>40.904400000000003</v>
      </c>
      <c r="DR85" s="45">
        <f t="shared" si="29"/>
        <v>62.5</v>
      </c>
      <c r="DS85" s="49"/>
      <c r="DT85" s="45">
        <f t="shared" si="23"/>
        <v>83.63833333333335</v>
      </c>
      <c r="DU85" s="45">
        <f t="shared" si="24"/>
        <v>72.281333333333322</v>
      </c>
      <c r="DV85" s="45">
        <f t="shared" si="25"/>
        <v>12.5</v>
      </c>
      <c r="DW85" s="45">
        <f t="shared" si="26"/>
        <v>0</v>
      </c>
      <c r="DX85" s="47">
        <f t="shared" si="27"/>
        <v>292.67740000000003</v>
      </c>
      <c r="DY85" s="50">
        <f t="shared" si="28"/>
        <v>0</v>
      </c>
      <c r="EA85" s="51">
        <f t="shared" si="15"/>
        <v>7.1250234330813816E-2</v>
      </c>
      <c r="EB85" s="51">
        <f t="shared" si="15"/>
        <v>0.13975933912218708</v>
      </c>
      <c r="EC85" s="51">
        <f t="shared" si="15"/>
        <v>0.21354569912128504</v>
      </c>
      <c r="ED85" s="49"/>
      <c r="EE85" s="51">
        <f t="shared" si="16"/>
        <v>0.28576970184009198</v>
      </c>
      <c r="EF85" s="51">
        <f t="shared" si="16"/>
        <v>0.24696588576136494</v>
      </c>
      <c r="EG85" s="51">
        <f t="shared" si="16"/>
        <v>4.270913982425701E-2</v>
      </c>
      <c r="EH85" s="52">
        <f t="shared" si="30"/>
        <v>0</v>
      </c>
      <c r="EI85" s="51">
        <f t="shared" si="31"/>
        <v>0.99999999999999989</v>
      </c>
      <c r="EK85" s="53">
        <f>EA85*'[2]Renewable Diesel'!BF94*'[2]Feedstock Conversion Rates'!B$2</f>
        <v>15.250869837712099</v>
      </c>
      <c r="EL85" s="53">
        <f>EB85*'[2]Renewable Diesel'!BF94*'[2]Feedstock Conversion Rates'!B$3</f>
        <v>28.190497884306364</v>
      </c>
      <c r="EM85" s="53">
        <f>EC85*'[2]Renewable Diesel'!BF94*'[2]Feedstock Conversion Rates'!B$4</f>
        <v>40.331231588089814</v>
      </c>
      <c r="EN85" s="49"/>
      <c r="EO85" s="53">
        <f>EE85*'[2]Renewable Diesel'!BF94*'[2]Feedstock Conversion Rates'!B$6</f>
        <v>67.500721020744351</v>
      </c>
      <c r="EP85" s="53">
        <f>EF85*'[2]Renewable Diesel'!BF94*'[2]Feedstock Conversion Rates'!B$7</f>
        <v>57.215564344097608</v>
      </c>
      <c r="EQ85" s="53">
        <f>EG85*'[2]Renewable Diesel'!BF94*'[2]Feedstock Conversion Rates'!B$8</f>
        <v>10.082807897022454</v>
      </c>
      <c r="ER85" s="53">
        <f>EH85*'[2]Renewable Diesel'!BF94*'[2]Feedstock Conversion Rates'!B$9</f>
        <v>0</v>
      </c>
      <c r="ES85" s="53">
        <f t="shared" si="32"/>
        <v>218.5716925719727</v>
      </c>
    </row>
    <row r="86" spans="1:149" x14ac:dyDescent="0.25">
      <c r="A86" s="39">
        <v>43040</v>
      </c>
      <c r="C86" s="46"/>
      <c r="D86" s="45">
        <v>0</v>
      </c>
      <c r="E86" s="45">
        <f>('[2]Renewable Diesel'!B95*E$3*'[2]Feedstock Conversion Rates'!$B$2)/12</f>
        <v>20.853333333333332</v>
      </c>
      <c r="F86" s="45">
        <f>('[2]Renewable Diesel'!B95*'[2]RD Feedstock Breakdown'!F$3*'[2]Feedstock Conversion Rates'!B$8)/12</f>
        <v>12.5</v>
      </c>
      <c r="G86" s="45">
        <f>('[2]Renewable Diesel'!B95*'[2]RD Feedstock Breakdown'!G$3*'[2]Feedstock Conversion Rates'!B$7)/12</f>
        <v>40.847999999999999</v>
      </c>
      <c r="H86" s="45">
        <f>('[2]Renewable Diesel'!B95*'[2]RD Feedstock Breakdown'!H$3*'[2]Feedstock Conversion Rates'!B$3)/12</f>
        <v>40.904400000000003</v>
      </c>
      <c r="I86" s="47">
        <f t="shared" si="14"/>
        <v>115.10573333333335</v>
      </c>
      <c r="J86" s="47"/>
      <c r="K86" s="48"/>
      <c r="L86" s="47"/>
      <c r="R86" s="45">
        <f>('[2]Renewable Diesel'!D95*'[2]RD Feedstock Breakdown'!R$3*'[2]Feedstock Conversion Rates'!B$7)/12</f>
        <v>2.2999999999999998</v>
      </c>
      <c r="S86" s="47">
        <f t="shared" si="19"/>
        <v>2.2999999999999998</v>
      </c>
      <c r="T86" s="48"/>
      <c r="U86" s="47"/>
      <c r="Z86" s="45">
        <f>('[2]Renewable Diesel'!F95*'[2]RD Feedstock Breakdown'!Z$3*'[2]Feedstock Conversion Rates'!B$6)/12</f>
        <v>44.555000000000007</v>
      </c>
      <c r="AA86" s="45">
        <f>('[2]Renewable Diesel'!F95*'[2]RD Feedstock Breakdown'!AA$3*'[2]Feedstock Conversion Rates'!B$7)/12</f>
        <v>29.133333333333329</v>
      </c>
      <c r="AB86" s="47">
        <f t="shared" si="17"/>
        <v>73.688333333333333</v>
      </c>
      <c r="AC86" s="49"/>
      <c r="AG86" s="49"/>
      <c r="AI86" s="45">
        <f>('[2]Renewable Diesel'!H95*'[2]RD Feedstock Breakdown'!AI$3*'[2]Feedstock Conversion Rates'!B$6)/12</f>
        <v>39.083333333333336</v>
      </c>
      <c r="AJ86" s="47">
        <f t="shared" si="18"/>
        <v>39.083333333333336</v>
      </c>
      <c r="AK86" s="45">
        <f>('[2]Renewable Diesel'!J95*'[2]RD Feedstock Breakdown'!AK$3*'[2]Feedstock Conversion Rates'!B$4)/12</f>
        <v>62.5</v>
      </c>
      <c r="AL86" s="47">
        <f t="shared" si="20"/>
        <v>62.5</v>
      </c>
      <c r="AT86" s="49"/>
      <c r="BX86" s="49"/>
      <c r="CI86" s="49"/>
      <c r="DD86" s="49"/>
      <c r="DJ86" s="49"/>
      <c r="DP86" s="45">
        <f t="shared" si="21"/>
        <v>20.853333333333332</v>
      </c>
      <c r="DQ86" s="45">
        <f t="shared" si="22"/>
        <v>40.904400000000003</v>
      </c>
      <c r="DR86" s="45">
        <f t="shared" si="29"/>
        <v>62.5</v>
      </c>
      <c r="DS86" s="49"/>
      <c r="DT86" s="45">
        <f t="shared" si="23"/>
        <v>83.63833333333335</v>
      </c>
      <c r="DU86" s="45">
        <f t="shared" si="24"/>
        <v>72.281333333333322</v>
      </c>
      <c r="DV86" s="45">
        <f t="shared" si="25"/>
        <v>12.5</v>
      </c>
      <c r="DW86" s="45">
        <f t="shared" si="26"/>
        <v>0</v>
      </c>
      <c r="DX86" s="47">
        <f t="shared" si="27"/>
        <v>292.67740000000003</v>
      </c>
      <c r="DY86" s="50">
        <f t="shared" si="28"/>
        <v>0</v>
      </c>
      <c r="EA86" s="51">
        <f t="shared" si="15"/>
        <v>7.1250234330813816E-2</v>
      </c>
      <c r="EB86" s="51">
        <f t="shared" si="15"/>
        <v>0.13975933912218708</v>
      </c>
      <c r="EC86" s="51">
        <f t="shared" si="15"/>
        <v>0.21354569912128504</v>
      </c>
      <c r="ED86" s="49"/>
      <c r="EE86" s="51">
        <f t="shared" si="16"/>
        <v>0.28576970184009198</v>
      </c>
      <c r="EF86" s="51">
        <f t="shared" si="16"/>
        <v>0.24696588576136494</v>
      </c>
      <c r="EG86" s="51">
        <f t="shared" si="16"/>
        <v>4.270913982425701E-2</v>
      </c>
      <c r="EH86" s="52">
        <f t="shared" si="30"/>
        <v>0</v>
      </c>
      <c r="EI86" s="51">
        <f t="shared" si="31"/>
        <v>0.99999999999999989</v>
      </c>
      <c r="EK86" s="53">
        <f>EA86*'[2]Renewable Diesel'!BF95*'[2]Feedstock Conversion Rates'!B$2</f>
        <v>13.716398179201171</v>
      </c>
      <c r="EL86" s="53">
        <f>EB86*'[2]Renewable Diesel'!BF95*'[2]Feedstock Conversion Rates'!B$3</f>
        <v>25.354100976910701</v>
      </c>
      <c r="EM86" s="53">
        <f>EC86*'[2]Renewable Diesel'!BF95*'[2]Feedstock Conversion Rates'!B$4</f>
        <v>36.273290468447513</v>
      </c>
      <c r="EN86" s="49"/>
      <c r="EO86" s="53">
        <f>EE86*'[2]Renewable Diesel'!BF95*'[2]Feedstock Conversion Rates'!B$6</f>
        <v>60.709112119902564</v>
      </c>
      <c r="EP86" s="53">
        <f>EF86*'[2]Renewable Diesel'!BF95*'[2]Feedstock Conversion Rates'!B$7</f>
        <v>51.458800117140107</v>
      </c>
      <c r="EQ86" s="53">
        <f>EG86*'[2]Renewable Diesel'!BF95*'[2]Feedstock Conversion Rates'!B$8</f>
        <v>9.0683226171118783</v>
      </c>
      <c r="ER86" s="53">
        <f>EH86*'[2]Renewable Diesel'!BF95*'[2]Feedstock Conversion Rates'!B$9</f>
        <v>0</v>
      </c>
      <c r="ES86" s="53">
        <f t="shared" si="32"/>
        <v>196.58002447871391</v>
      </c>
    </row>
    <row r="87" spans="1:149" x14ac:dyDescent="0.25">
      <c r="A87" s="39">
        <v>43070</v>
      </c>
      <c r="C87" s="46"/>
      <c r="D87" s="45">
        <v>0</v>
      </c>
      <c r="E87" s="45">
        <f>('[2]Renewable Diesel'!B96*E$3*'[2]Feedstock Conversion Rates'!$B$2)/12</f>
        <v>20.853333333333332</v>
      </c>
      <c r="F87" s="45">
        <f>('[2]Renewable Diesel'!B96*'[2]RD Feedstock Breakdown'!F$3*'[2]Feedstock Conversion Rates'!B$8)/12</f>
        <v>12.5</v>
      </c>
      <c r="G87" s="45">
        <f>('[2]Renewable Diesel'!B96*'[2]RD Feedstock Breakdown'!G$3*'[2]Feedstock Conversion Rates'!B$7)/12</f>
        <v>40.847999999999999</v>
      </c>
      <c r="H87" s="45">
        <f>('[2]Renewable Diesel'!B96*'[2]RD Feedstock Breakdown'!H$3*'[2]Feedstock Conversion Rates'!B$3)/12</f>
        <v>40.904400000000003</v>
      </c>
      <c r="I87" s="47">
        <f t="shared" ref="I87:I150" si="33">SUM(B87:H87)</f>
        <v>115.10573333333335</v>
      </c>
      <c r="J87" s="47"/>
      <c r="K87" s="48"/>
      <c r="L87" s="47"/>
      <c r="R87" s="45">
        <f>('[2]Renewable Diesel'!D96*'[2]RD Feedstock Breakdown'!R$3*'[2]Feedstock Conversion Rates'!B$7)/12</f>
        <v>2.2999999999999998</v>
      </c>
      <c r="S87" s="47">
        <f t="shared" si="19"/>
        <v>2.2999999999999998</v>
      </c>
      <c r="T87" s="48"/>
      <c r="U87" s="47"/>
      <c r="Z87" s="45">
        <f>('[2]Renewable Diesel'!F96*'[2]RD Feedstock Breakdown'!Z$3*'[2]Feedstock Conversion Rates'!B$6)/12</f>
        <v>44.555000000000007</v>
      </c>
      <c r="AA87" s="45">
        <f>('[2]Renewable Diesel'!F96*'[2]RD Feedstock Breakdown'!AA$3*'[2]Feedstock Conversion Rates'!B$7)/12</f>
        <v>29.133333333333329</v>
      </c>
      <c r="AB87" s="47">
        <f t="shared" si="17"/>
        <v>73.688333333333333</v>
      </c>
      <c r="AC87" s="49"/>
      <c r="AG87" s="49"/>
      <c r="AI87" s="45">
        <f>('[2]Renewable Diesel'!H96*'[2]RD Feedstock Breakdown'!AI$3*'[2]Feedstock Conversion Rates'!B$6)/12</f>
        <v>39.083333333333336</v>
      </c>
      <c r="AJ87" s="47">
        <f t="shared" si="18"/>
        <v>39.083333333333336</v>
      </c>
      <c r="AK87" s="45">
        <f>('[2]Renewable Diesel'!J96*'[2]RD Feedstock Breakdown'!AK$3*'[2]Feedstock Conversion Rates'!B$4)/12</f>
        <v>62.5</v>
      </c>
      <c r="AL87" s="47">
        <f t="shared" si="20"/>
        <v>62.5</v>
      </c>
      <c r="AT87" s="49"/>
      <c r="BX87" s="49"/>
      <c r="CI87" s="49"/>
      <c r="DD87" s="49"/>
      <c r="DJ87" s="49"/>
      <c r="DP87" s="45">
        <f t="shared" si="21"/>
        <v>20.853333333333332</v>
      </c>
      <c r="DQ87" s="45">
        <f t="shared" si="22"/>
        <v>40.904400000000003</v>
      </c>
      <c r="DR87" s="45">
        <f t="shared" si="29"/>
        <v>62.5</v>
      </c>
      <c r="DS87" s="49"/>
      <c r="DT87" s="45">
        <f t="shared" si="23"/>
        <v>83.63833333333335</v>
      </c>
      <c r="DU87" s="45">
        <f t="shared" si="24"/>
        <v>72.281333333333322</v>
      </c>
      <c r="DV87" s="45">
        <f t="shared" si="25"/>
        <v>12.5</v>
      </c>
      <c r="DW87" s="45">
        <f t="shared" si="26"/>
        <v>0</v>
      </c>
      <c r="DX87" s="47">
        <f t="shared" si="27"/>
        <v>292.67740000000003</v>
      </c>
      <c r="DY87" s="50">
        <f t="shared" si="28"/>
        <v>0</v>
      </c>
      <c r="EA87" s="51">
        <f t="shared" si="15"/>
        <v>7.1250234330813816E-2</v>
      </c>
      <c r="EB87" s="51">
        <f t="shared" si="15"/>
        <v>0.13975933912218708</v>
      </c>
      <c r="EC87" s="51">
        <f t="shared" si="15"/>
        <v>0.21354569912128504</v>
      </c>
      <c r="ED87" s="49"/>
      <c r="EE87" s="51">
        <f t="shared" si="16"/>
        <v>0.28576970184009198</v>
      </c>
      <c r="EF87" s="51">
        <f t="shared" si="16"/>
        <v>0.24696588576136494</v>
      </c>
      <c r="EG87" s="51">
        <f t="shared" si="16"/>
        <v>4.270913982425701E-2</v>
      </c>
      <c r="EH87" s="52">
        <f t="shared" si="30"/>
        <v>0</v>
      </c>
      <c r="EI87" s="51">
        <f t="shared" si="31"/>
        <v>0.99999999999999989</v>
      </c>
      <c r="EK87" s="53">
        <f>EA87*'[2]Renewable Diesel'!BF96*'[2]Feedstock Conversion Rates'!B$2</f>
        <v>15.249892355747313</v>
      </c>
      <c r="EL87" s="53">
        <f>EB87*'[2]Renewable Diesel'!BF96*'[2]Feedstock Conversion Rates'!B$3</f>
        <v>28.188691056003883</v>
      </c>
      <c r="EM87" s="53">
        <f>EC87*'[2]Renewable Diesel'!BF96*'[2]Feedstock Conversion Rates'!B$4</f>
        <v>40.328646617401951</v>
      </c>
      <c r="EN87" s="49"/>
      <c r="EO87" s="53">
        <f>EE87*'[2]Renewable Diesel'!BF96*'[2]Feedstock Conversion Rates'!B$6</f>
        <v>67.496394661781878</v>
      </c>
      <c r="EP87" s="53">
        <f>EF87*'[2]Renewable Diesel'!BF96*'[2]Feedstock Conversion Rates'!B$7</f>
        <v>57.211897197053112</v>
      </c>
      <c r="EQ87" s="53">
        <f>EG87*'[2]Renewable Diesel'!BF96*'[2]Feedstock Conversion Rates'!B$8</f>
        <v>10.082161654350489</v>
      </c>
      <c r="ER87" s="53">
        <f>EH87*'[2]Renewable Diesel'!BF96*'[2]Feedstock Conversion Rates'!B$9</f>
        <v>0</v>
      </c>
      <c r="ES87" s="53">
        <f t="shared" si="32"/>
        <v>218.55768354233865</v>
      </c>
    </row>
    <row r="88" spans="1:149" x14ac:dyDescent="0.25">
      <c r="A88" s="39">
        <v>43101</v>
      </c>
      <c r="B88" s="45">
        <v>20</v>
      </c>
      <c r="C88" s="46"/>
      <c r="D88" s="45">
        <v>0</v>
      </c>
      <c r="E88" s="45">
        <f>('[2]Renewable Diesel'!B97*E$3*'[2]Feedstock Conversion Rates'!$B$2)/12</f>
        <v>20.853333333333332</v>
      </c>
      <c r="F88" s="45">
        <f>('[2]Renewable Diesel'!B97*'[2]RD Feedstock Breakdown'!F$3*'[2]Feedstock Conversion Rates'!B$8)/12</f>
        <v>12.5</v>
      </c>
      <c r="G88" s="45">
        <f>('[2]Renewable Diesel'!B97*'[2]RD Feedstock Breakdown'!G$3*'[2]Feedstock Conversion Rates'!B$7)/12</f>
        <v>40.847999999999999</v>
      </c>
      <c r="H88" s="45">
        <f>('[2]Renewable Diesel'!B97*'[2]RD Feedstock Breakdown'!H$3*'[2]Feedstock Conversion Rates'!B$3)/12-20</f>
        <v>20.904400000000003</v>
      </c>
      <c r="I88" s="47">
        <f t="shared" si="33"/>
        <v>115.10573333333335</v>
      </c>
      <c r="J88" s="47"/>
      <c r="K88" s="48"/>
      <c r="L88" s="47"/>
      <c r="R88" s="45">
        <f>('[2]Renewable Diesel'!D97*'[2]RD Feedstock Breakdown'!R$3*'[2]Feedstock Conversion Rates'!B$7)/12</f>
        <v>2.2999999999999998</v>
      </c>
      <c r="S88" s="47">
        <f t="shared" si="19"/>
        <v>2.2999999999999998</v>
      </c>
      <c r="T88" s="48"/>
      <c r="U88" s="47"/>
      <c r="Z88" s="45">
        <f>('[2]Renewable Diesel'!F97*'[2]RD Feedstock Breakdown'!Z$3*'[2]Feedstock Conversion Rates'!B$6)/12</f>
        <v>44.555000000000007</v>
      </c>
      <c r="AA88" s="45">
        <f>('[2]Renewable Diesel'!F97*'[2]RD Feedstock Breakdown'!AA$3*'[2]Feedstock Conversion Rates'!B$7)/12</f>
        <v>29.133333333333329</v>
      </c>
      <c r="AB88" s="47">
        <f t="shared" si="17"/>
        <v>73.688333333333333</v>
      </c>
      <c r="AC88" s="49"/>
      <c r="AG88" s="49"/>
      <c r="AI88" s="45">
        <f>('[2]Renewable Diesel'!H97*'[2]RD Feedstock Breakdown'!AI$3*'[2]Feedstock Conversion Rates'!B$6)/12</f>
        <v>39.083333333333336</v>
      </c>
      <c r="AJ88" s="47">
        <f t="shared" si="18"/>
        <v>39.083333333333336</v>
      </c>
      <c r="AK88" s="45">
        <f>('[2]Renewable Diesel'!J97*'[2]RD Feedstock Breakdown'!AK$3*'[2]Feedstock Conversion Rates'!B$4)/12</f>
        <v>62.5</v>
      </c>
      <c r="AL88" s="47">
        <f t="shared" si="20"/>
        <v>62.5</v>
      </c>
      <c r="AT88" s="49"/>
      <c r="BJ88" s="45"/>
      <c r="BK88" s="45"/>
      <c r="BL88" s="45"/>
      <c r="BM88" s="45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8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8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8"/>
      <c r="DE88" s="47"/>
      <c r="DF88" s="47"/>
      <c r="DG88" s="47"/>
      <c r="DH88" s="47"/>
      <c r="DI88" s="47"/>
      <c r="DJ88" s="48"/>
      <c r="DK88" s="47"/>
      <c r="DL88" s="47"/>
      <c r="DM88" s="47"/>
      <c r="DN88" s="47"/>
      <c r="DP88" s="45">
        <f t="shared" si="21"/>
        <v>20.853333333333332</v>
      </c>
      <c r="DQ88" s="45">
        <f t="shared" si="22"/>
        <v>20.904400000000003</v>
      </c>
      <c r="DR88" s="45">
        <f t="shared" si="29"/>
        <v>82.5</v>
      </c>
      <c r="DS88" s="48"/>
      <c r="DT88" s="45">
        <f t="shared" si="23"/>
        <v>83.63833333333335</v>
      </c>
      <c r="DU88" s="45">
        <f t="shared" si="24"/>
        <v>72.281333333333322</v>
      </c>
      <c r="DV88" s="45">
        <f t="shared" si="25"/>
        <v>12.5</v>
      </c>
      <c r="DW88" s="45">
        <f t="shared" si="26"/>
        <v>0</v>
      </c>
      <c r="DX88" s="47">
        <f t="shared" si="27"/>
        <v>292.67740000000003</v>
      </c>
      <c r="DY88" s="50">
        <f t="shared" si="28"/>
        <v>0</v>
      </c>
      <c r="EA88" s="51">
        <f t="shared" si="15"/>
        <v>7.1250234330813816E-2</v>
      </c>
      <c r="EB88" s="51">
        <f t="shared" si="15"/>
        <v>7.1424715403375874E-2</v>
      </c>
      <c r="EC88" s="51">
        <f t="shared" si="15"/>
        <v>0.28188032284009629</v>
      </c>
      <c r="ED88" s="48"/>
      <c r="EE88" s="51">
        <f t="shared" si="16"/>
        <v>0.28576970184009198</v>
      </c>
      <c r="EF88" s="51">
        <f t="shared" si="16"/>
        <v>0.24696588576136494</v>
      </c>
      <c r="EG88" s="51">
        <f t="shared" si="16"/>
        <v>4.270913982425701E-2</v>
      </c>
      <c r="EH88" s="52">
        <f t="shared" si="30"/>
        <v>0</v>
      </c>
      <c r="EI88" s="51">
        <f t="shared" si="31"/>
        <v>1</v>
      </c>
      <c r="EK88" s="53">
        <f>EA88*'[2]Renewable Diesel'!BF97*'[2]Feedstock Conversion Rates'!B$2</f>
        <v>8.1751122722834051</v>
      </c>
      <c r="EL88" s="53">
        <f>EB88*'[2]Renewable Diesel'!BF97*'[2]Feedstock Conversion Rates'!B$3</f>
        <v>7.722706638601724</v>
      </c>
      <c r="EM88" s="53">
        <f>EC88*'[2]Renewable Diesel'!BF97*'[2]Feedstock Conversion Rates'!B$4</f>
        <v>28.537408145452979</v>
      </c>
      <c r="EN88" s="48"/>
      <c r="EO88" s="53">
        <f>EE88*'[2]Renewable Diesel'!BF97*'[2]Feedstock Conversion Rates'!B$6</f>
        <v>36.183245852647666</v>
      </c>
      <c r="EP88" s="53">
        <f>EF88*'[2]Renewable Diesel'!BF97*'[2]Feedstock Conversion Rates'!B$7</f>
        <v>30.669966186349875</v>
      </c>
      <c r="EQ88" s="53">
        <f>EG88*'[2]Renewable Diesel'!BF97*'[2]Feedstock Conversion Rates'!B$8</f>
        <v>5.4048121487600334</v>
      </c>
      <c r="ER88" s="53">
        <f>EH88*'[2]Renewable Diesel'!BF97*'[2]Feedstock Conversion Rates'!B$9</f>
        <v>0</v>
      </c>
      <c r="ES88" s="53">
        <f t="shared" si="32"/>
        <v>116.69325124409569</v>
      </c>
    </row>
    <row r="89" spans="1:149" x14ac:dyDescent="0.25">
      <c r="A89" s="39">
        <v>43132</v>
      </c>
      <c r="B89" s="45">
        <v>20</v>
      </c>
      <c r="C89" s="46"/>
      <c r="D89" s="45">
        <v>0</v>
      </c>
      <c r="E89" s="45">
        <f>('[2]Renewable Diesel'!B98*E$3*'[2]Feedstock Conversion Rates'!$B$2)/12</f>
        <v>20.853333333333332</v>
      </c>
      <c r="F89" s="45">
        <f>('[2]Renewable Diesel'!B98*'[2]RD Feedstock Breakdown'!F$3*'[2]Feedstock Conversion Rates'!B$8)/12</f>
        <v>12.5</v>
      </c>
      <c r="G89" s="45">
        <f>('[2]Renewable Diesel'!B98*'[2]RD Feedstock Breakdown'!G$3*'[2]Feedstock Conversion Rates'!B$7)/12</f>
        <v>40.847999999999999</v>
      </c>
      <c r="H89" s="45">
        <f>('[2]Renewable Diesel'!B98*'[2]RD Feedstock Breakdown'!H$3*'[2]Feedstock Conversion Rates'!B$3)/12-20</f>
        <v>20.904400000000003</v>
      </c>
      <c r="I89" s="47">
        <f t="shared" si="33"/>
        <v>115.10573333333335</v>
      </c>
      <c r="J89" s="47"/>
      <c r="K89" s="48"/>
      <c r="L89" s="47"/>
      <c r="R89" s="45">
        <f>('[2]Renewable Diesel'!D98*'[2]RD Feedstock Breakdown'!R$3*'[2]Feedstock Conversion Rates'!B$7)/12</f>
        <v>2.2999999999999998</v>
      </c>
      <c r="S89" s="47">
        <f t="shared" si="19"/>
        <v>2.2999999999999998</v>
      </c>
      <c r="T89" s="48"/>
      <c r="U89" s="47"/>
      <c r="Z89" s="45">
        <f>('[2]Renewable Diesel'!F98*'[2]RD Feedstock Breakdown'!Z$3*'[2]Feedstock Conversion Rates'!B$6)/12</f>
        <v>44.555000000000007</v>
      </c>
      <c r="AA89" s="45">
        <f>('[2]Renewable Diesel'!F98*'[2]RD Feedstock Breakdown'!AA$3*'[2]Feedstock Conversion Rates'!B$7)/12</f>
        <v>29.133333333333329</v>
      </c>
      <c r="AB89" s="47">
        <f t="shared" si="17"/>
        <v>73.688333333333333</v>
      </c>
      <c r="AC89" s="49"/>
      <c r="AG89" s="49"/>
      <c r="AI89" s="45">
        <f>('[2]Renewable Diesel'!H98*'[2]RD Feedstock Breakdown'!AI$3*'[2]Feedstock Conversion Rates'!B$6)/12</f>
        <v>39.083333333333336</v>
      </c>
      <c r="AJ89" s="47">
        <f t="shared" si="18"/>
        <v>39.083333333333336</v>
      </c>
      <c r="AK89" s="45">
        <f>('[2]Renewable Diesel'!J98*'[2]RD Feedstock Breakdown'!AK$3*'[2]Feedstock Conversion Rates'!B$4)/12</f>
        <v>62.5</v>
      </c>
      <c r="AL89" s="47">
        <f t="shared" si="20"/>
        <v>62.5</v>
      </c>
      <c r="AT89" s="49"/>
      <c r="BJ89" s="45"/>
      <c r="BK89" s="45"/>
      <c r="BL89" s="45"/>
      <c r="BM89" s="45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8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8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8"/>
      <c r="DE89" s="47"/>
      <c r="DF89" s="47"/>
      <c r="DG89" s="47"/>
      <c r="DH89" s="47"/>
      <c r="DI89" s="47"/>
      <c r="DJ89" s="48"/>
      <c r="DK89" s="47"/>
      <c r="DL89" s="47"/>
      <c r="DM89" s="47"/>
      <c r="DN89" s="47"/>
      <c r="DP89" s="45">
        <f t="shared" si="21"/>
        <v>20.853333333333332</v>
      </c>
      <c r="DQ89" s="45">
        <f t="shared" si="22"/>
        <v>20.904400000000003</v>
      </c>
      <c r="DR89" s="45">
        <f t="shared" si="29"/>
        <v>82.5</v>
      </c>
      <c r="DS89" s="48"/>
      <c r="DT89" s="45">
        <f t="shared" si="23"/>
        <v>83.63833333333335</v>
      </c>
      <c r="DU89" s="45">
        <f t="shared" si="24"/>
        <v>72.281333333333322</v>
      </c>
      <c r="DV89" s="45">
        <f t="shared" si="25"/>
        <v>12.5</v>
      </c>
      <c r="DW89" s="45">
        <f t="shared" si="26"/>
        <v>0</v>
      </c>
      <c r="DX89" s="47">
        <f t="shared" si="27"/>
        <v>292.67740000000003</v>
      </c>
      <c r="DY89" s="50">
        <f t="shared" si="28"/>
        <v>0</v>
      </c>
      <c r="EA89" s="51">
        <f t="shared" si="15"/>
        <v>7.1250234330813816E-2</v>
      </c>
      <c r="EB89" s="51">
        <f t="shared" si="15"/>
        <v>7.1424715403375874E-2</v>
      </c>
      <c r="EC89" s="51">
        <f t="shared" si="15"/>
        <v>0.28188032284009629</v>
      </c>
      <c r="ED89" s="48"/>
      <c r="EE89" s="51">
        <f t="shared" si="16"/>
        <v>0.28576970184009198</v>
      </c>
      <c r="EF89" s="51">
        <f t="shared" si="16"/>
        <v>0.24696588576136494</v>
      </c>
      <c r="EG89" s="51">
        <f t="shared" si="16"/>
        <v>4.270913982425701E-2</v>
      </c>
      <c r="EH89" s="52">
        <f t="shared" si="30"/>
        <v>0</v>
      </c>
      <c r="EI89" s="51">
        <f t="shared" si="31"/>
        <v>1</v>
      </c>
      <c r="EK89" s="53">
        <f>EA89*'[2]Renewable Diesel'!BF98*'[2]Feedstock Conversion Rates'!B$2</f>
        <v>12.356348911213049</v>
      </c>
      <c r="EL89" s="53">
        <f>EB89*'[2]Renewable Diesel'!BF98*'[2]Feedstock Conversion Rates'!B$3</f>
        <v>11.672556239873021</v>
      </c>
      <c r="EM89" s="53">
        <f>EC89*'[2]Renewable Diesel'!BF98*'[2]Feedstock Conversion Rates'!B$4</f>
        <v>43.13312898006474</v>
      </c>
      <c r="EN89" s="48"/>
      <c r="EO89" s="53">
        <f>EE89*'[2]Renewable Diesel'!BF98*'[2]Feedstock Conversion Rates'!B$6</f>
        <v>54.689500963959077</v>
      </c>
      <c r="EP89" s="53">
        <f>EF89*'[2]Renewable Diesel'!BF98*'[2]Feedstock Conversion Rates'!B$7</f>
        <v>46.356403517354352</v>
      </c>
      <c r="EQ89" s="53">
        <f>EG89*'[2]Renewable Diesel'!BF98*'[2]Feedstock Conversion Rates'!B$8</f>
        <v>8.1691532159213516</v>
      </c>
      <c r="ER89" s="53">
        <f>EH89*'[2]Renewable Diesel'!BF98*'[2]Feedstock Conversion Rates'!B$9</f>
        <v>0</v>
      </c>
      <c r="ES89" s="53">
        <f t="shared" si="32"/>
        <v>176.3770918283856</v>
      </c>
    </row>
    <row r="90" spans="1:149" x14ac:dyDescent="0.25">
      <c r="A90" s="39">
        <v>43160</v>
      </c>
      <c r="B90" s="45">
        <v>20</v>
      </c>
      <c r="C90" s="46"/>
      <c r="D90" s="45">
        <v>0</v>
      </c>
      <c r="E90" s="45">
        <f>('[2]Renewable Diesel'!B99*E$3*'[2]Feedstock Conversion Rates'!$B$2)/12</f>
        <v>20.853333333333332</v>
      </c>
      <c r="F90" s="45">
        <f>('[2]Renewable Diesel'!B99*'[2]RD Feedstock Breakdown'!F$3*'[2]Feedstock Conversion Rates'!B$8)/12</f>
        <v>12.5</v>
      </c>
      <c r="G90" s="45">
        <f>('[2]Renewable Diesel'!B99*'[2]RD Feedstock Breakdown'!G$3*'[2]Feedstock Conversion Rates'!B$7)/12</f>
        <v>40.847999999999999</v>
      </c>
      <c r="H90" s="45">
        <f>('[2]Renewable Diesel'!B99*'[2]RD Feedstock Breakdown'!H$3*'[2]Feedstock Conversion Rates'!B$3)/12-20</f>
        <v>20.904400000000003</v>
      </c>
      <c r="I90" s="47">
        <f t="shared" si="33"/>
        <v>115.10573333333335</v>
      </c>
      <c r="J90" s="47"/>
      <c r="K90" s="48"/>
      <c r="L90" s="47"/>
      <c r="R90" s="45">
        <f>('[2]Renewable Diesel'!D99*'[2]RD Feedstock Breakdown'!R$3*'[2]Feedstock Conversion Rates'!B$7)/12</f>
        <v>2.2999999999999998</v>
      </c>
      <c r="S90" s="47">
        <f t="shared" si="19"/>
        <v>2.2999999999999998</v>
      </c>
      <c r="T90" s="48"/>
      <c r="U90" s="47"/>
      <c r="Z90" s="45">
        <f>('[2]Renewable Diesel'!F99*'[2]RD Feedstock Breakdown'!Z$3*'[2]Feedstock Conversion Rates'!B$6)/12</f>
        <v>44.555000000000007</v>
      </c>
      <c r="AA90" s="45">
        <f>('[2]Renewable Diesel'!F99*'[2]RD Feedstock Breakdown'!AA$3*'[2]Feedstock Conversion Rates'!B$7)/12</f>
        <v>29.133333333333329</v>
      </c>
      <c r="AB90" s="47">
        <f t="shared" si="17"/>
        <v>73.688333333333333</v>
      </c>
      <c r="AC90" s="49"/>
      <c r="AG90" s="49"/>
      <c r="AI90" s="45">
        <f>('[2]Renewable Diesel'!H99*'[2]RD Feedstock Breakdown'!AI$3*'[2]Feedstock Conversion Rates'!B$6)/12</f>
        <v>39.083333333333336</v>
      </c>
      <c r="AJ90" s="47">
        <f t="shared" si="18"/>
        <v>39.083333333333336</v>
      </c>
      <c r="AK90" s="45">
        <f>('[2]Renewable Diesel'!J99*'[2]RD Feedstock Breakdown'!AK$3*'[2]Feedstock Conversion Rates'!B$4)/12</f>
        <v>62.5</v>
      </c>
      <c r="AL90" s="47">
        <f t="shared" si="20"/>
        <v>62.5</v>
      </c>
      <c r="AT90" s="49"/>
      <c r="BJ90" s="45"/>
      <c r="BK90" s="45"/>
      <c r="BL90" s="45"/>
      <c r="BM90" s="45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8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8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8"/>
      <c r="DE90" s="47"/>
      <c r="DF90" s="47"/>
      <c r="DG90" s="47"/>
      <c r="DH90" s="47"/>
      <c r="DI90" s="47"/>
      <c r="DJ90" s="48"/>
      <c r="DK90" s="47"/>
      <c r="DL90" s="47"/>
      <c r="DM90" s="47"/>
      <c r="DN90" s="47"/>
      <c r="DP90" s="45">
        <f t="shared" si="21"/>
        <v>20.853333333333332</v>
      </c>
      <c r="DQ90" s="45">
        <f t="shared" si="22"/>
        <v>20.904400000000003</v>
      </c>
      <c r="DR90" s="45">
        <f t="shared" si="29"/>
        <v>82.5</v>
      </c>
      <c r="DS90" s="48"/>
      <c r="DT90" s="45">
        <f t="shared" si="23"/>
        <v>83.63833333333335</v>
      </c>
      <c r="DU90" s="45">
        <f t="shared" si="24"/>
        <v>72.281333333333322</v>
      </c>
      <c r="DV90" s="45">
        <f t="shared" si="25"/>
        <v>12.5</v>
      </c>
      <c r="DW90" s="45">
        <f t="shared" si="26"/>
        <v>0</v>
      </c>
      <c r="DX90" s="47">
        <f t="shared" si="27"/>
        <v>292.67740000000003</v>
      </c>
      <c r="DY90" s="50">
        <f t="shared" si="28"/>
        <v>0</v>
      </c>
      <c r="EA90" s="51">
        <f t="shared" si="15"/>
        <v>7.1250234330813816E-2</v>
      </c>
      <c r="EB90" s="51">
        <f t="shared" si="15"/>
        <v>7.1424715403375874E-2</v>
      </c>
      <c r="EC90" s="51">
        <f t="shared" si="15"/>
        <v>0.28188032284009629</v>
      </c>
      <c r="ED90" s="48"/>
      <c r="EE90" s="51">
        <f t="shared" si="16"/>
        <v>0.28576970184009198</v>
      </c>
      <c r="EF90" s="51">
        <f t="shared" si="16"/>
        <v>0.24696588576136494</v>
      </c>
      <c r="EG90" s="51">
        <f t="shared" si="16"/>
        <v>4.270913982425701E-2</v>
      </c>
      <c r="EH90" s="52">
        <f t="shared" si="30"/>
        <v>0</v>
      </c>
      <c r="EI90" s="51">
        <f t="shared" si="31"/>
        <v>1</v>
      </c>
      <c r="EK90" s="53">
        <f>EA90*'[2]Renewable Diesel'!BF99*'[2]Feedstock Conversion Rates'!B$2</f>
        <v>13.868732142078613</v>
      </c>
      <c r="EL90" s="53">
        <f>EB90*'[2]Renewable Diesel'!BF99*'[2]Feedstock Conversion Rates'!B$3</f>
        <v>13.101245122435994</v>
      </c>
      <c r="EM90" s="53">
        <f>EC90*'[2]Renewable Diesel'!BF99*'[2]Feedstock Conversion Rates'!B$4</f>
        <v>48.412505714482904</v>
      </c>
      <c r="EN90" s="48"/>
      <c r="EO90" s="53">
        <f>EE90*'[2]Renewable Diesel'!BF99*'[2]Feedstock Conversion Rates'!B$6</f>
        <v>61.383345946536373</v>
      </c>
      <c r="EP90" s="53">
        <f>EF90*'[2]Renewable Diesel'!BF99*'[2]Feedstock Conversion Rates'!B$7</f>
        <v>52.030300218285369</v>
      </c>
      <c r="EQ90" s="53">
        <f>EG90*'[2]Renewable Diesel'!BF99*'[2]Feedstock Conversion Rates'!B$8</f>
        <v>9.1690351731975213</v>
      </c>
      <c r="ER90" s="53">
        <f>EH90*'[2]Renewable Diesel'!BF99*'[2]Feedstock Conversion Rates'!B$9</f>
        <v>0</v>
      </c>
      <c r="ES90" s="53">
        <f t="shared" si="32"/>
        <v>197.96516431701679</v>
      </c>
    </row>
    <row r="91" spans="1:149" x14ac:dyDescent="0.25">
      <c r="A91" s="39">
        <v>43191</v>
      </c>
      <c r="B91" s="45">
        <v>20</v>
      </c>
      <c r="C91" s="46"/>
      <c r="D91" s="45">
        <v>0</v>
      </c>
      <c r="E91" s="45">
        <f>('[2]Renewable Diesel'!B100*E$3*'[2]Feedstock Conversion Rates'!$B$2)/12</f>
        <v>20.853333333333332</v>
      </c>
      <c r="F91" s="45">
        <f>('[2]Renewable Diesel'!B100*'[2]RD Feedstock Breakdown'!F$3*'[2]Feedstock Conversion Rates'!B$8)/12</f>
        <v>12.5</v>
      </c>
      <c r="G91" s="45">
        <f>('[2]Renewable Diesel'!B100*'[2]RD Feedstock Breakdown'!G$3*'[2]Feedstock Conversion Rates'!B$7)/12</f>
        <v>40.847999999999999</v>
      </c>
      <c r="H91" s="45">
        <f>('[2]Renewable Diesel'!B100*'[2]RD Feedstock Breakdown'!H$3*'[2]Feedstock Conversion Rates'!B$3)/12-20</f>
        <v>20.904400000000003</v>
      </c>
      <c r="I91" s="47">
        <f t="shared" si="33"/>
        <v>115.10573333333335</v>
      </c>
      <c r="J91" s="47"/>
      <c r="K91" s="48"/>
      <c r="L91" s="47"/>
      <c r="R91" s="45">
        <f>('[2]Renewable Diesel'!D100*'[2]RD Feedstock Breakdown'!R$3*'[2]Feedstock Conversion Rates'!B$7)/12</f>
        <v>2.2999999999999998</v>
      </c>
      <c r="S91" s="47">
        <f t="shared" si="19"/>
        <v>2.2999999999999998</v>
      </c>
      <c r="T91" s="48"/>
      <c r="U91" s="47"/>
      <c r="Z91" s="45">
        <f>('[2]Renewable Diesel'!F100*'[2]RD Feedstock Breakdown'!Z$3*'[2]Feedstock Conversion Rates'!B$6)/12</f>
        <v>44.555000000000007</v>
      </c>
      <c r="AA91" s="45">
        <f>('[2]Renewable Diesel'!F100*'[2]RD Feedstock Breakdown'!AA$3*'[2]Feedstock Conversion Rates'!B$7)/12</f>
        <v>29.133333333333329</v>
      </c>
      <c r="AB91" s="47">
        <f t="shared" si="17"/>
        <v>73.688333333333333</v>
      </c>
      <c r="AC91" s="49"/>
      <c r="AG91" s="49"/>
      <c r="AI91" s="45">
        <f>('[2]Renewable Diesel'!H100*'[2]RD Feedstock Breakdown'!AI$3*'[2]Feedstock Conversion Rates'!B$6)/12</f>
        <v>39.083333333333336</v>
      </c>
      <c r="AJ91" s="47">
        <f t="shared" si="18"/>
        <v>39.083333333333336</v>
      </c>
      <c r="AK91" s="45">
        <f>('[2]Renewable Diesel'!J100*'[2]RD Feedstock Breakdown'!AK$3*'[2]Feedstock Conversion Rates'!B$4)/12</f>
        <v>62.5</v>
      </c>
      <c r="AL91" s="47">
        <f t="shared" si="20"/>
        <v>62.5</v>
      </c>
      <c r="AT91" s="49"/>
      <c r="BJ91" s="45"/>
      <c r="BK91" s="45"/>
      <c r="BL91" s="45"/>
      <c r="BM91" s="45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8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8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8"/>
      <c r="DE91" s="47"/>
      <c r="DF91" s="47"/>
      <c r="DG91" s="47"/>
      <c r="DH91" s="47"/>
      <c r="DI91" s="47"/>
      <c r="DJ91" s="48"/>
      <c r="DK91" s="47"/>
      <c r="DL91" s="47"/>
      <c r="DM91" s="47"/>
      <c r="DN91" s="47"/>
      <c r="DP91" s="45">
        <f t="shared" si="21"/>
        <v>20.853333333333332</v>
      </c>
      <c r="DQ91" s="45">
        <f t="shared" si="22"/>
        <v>20.904400000000003</v>
      </c>
      <c r="DR91" s="45">
        <f t="shared" si="29"/>
        <v>82.5</v>
      </c>
      <c r="DS91" s="48"/>
      <c r="DT91" s="45">
        <f t="shared" si="23"/>
        <v>83.63833333333335</v>
      </c>
      <c r="DU91" s="45">
        <f t="shared" si="24"/>
        <v>72.281333333333322</v>
      </c>
      <c r="DV91" s="45">
        <f t="shared" si="25"/>
        <v>12.5</v>
      </c>
      <c r="DW91" s="45">
        <f t="shared" si="26"/>
        <v>0</v>
      </c>
      <c r="DX91" s="47">
        <f t="shared" si="27"/>
        <v>292.67740000000003</v>
      </c>
      <c r="DY91" s="50">
        <f t="shared" si="28"/>
        <v>0</v>
      </c>
      <c r="EA91" s="51">
        <f t="shared" si="15"/>
        <v>7.1250234330813816E-2</v>
      </c>
      <c r="EB91" s="51">
        <f t="shared" si="15"/>
        <v>7.1424715403375874E-2</v>
      </c>
      <c r="EC91" s="51">
        <f t="shared" si="15"/>
        <v>0.28188032284009629</v>
      </c>
      <c r="ED91" s="48"/>
      <c r="EE91" s="51">
        <f t="shared" si="16"/>
        <v>0.28576970184009198</v>
      </c>
      <c r="EF91" s="51">
        <f t="shared" si="16"/>
        <v>0.24696588576136494</v>
      </c>
      <c r="EG91" s="51">
        <f t="shared" si="16"/>
        <v>4.270913982425701E-2</v>
      </c>
      <c r="EH91" s="52">
        <f t="shared" si="30"/>
        <v>0</v>
      </c>
      <c r="EI91" s="51">
        <f t="shared" si="31"/>
        <v>1</v>
      </c>
      <c r="EK91" s="53">
        <f>EA91*'[2]Renewable Diesel'!BF100*'[2]Feedstock Conversion Rates'!B$2</f>
        <v>15.08306573895581</v>
      </c>
      <c r="EL91" s="53">
        <f>EB91*'[2]Renewable Diesel'!BF100*'[2]Feedstock Conversion Rates'!B$3</f>
        <v>14.248378252567463</v>
      </c>
      <c r="EM91" s="53">
        <f>EC91*'[2]Renewable Diesel'!BF100*'[2]Feedstock Conversion Rates'!B$4</f>
        <v>52.651460767896658</v>
      </c>
      <c r="EN91" s="48"/>
      <c r="EO91" s="53">
        <f>EE91*'[2]Renewable Diesel'!BF100*'[2]Feedstock Conversion Rates'!B$6</f>
        <v>66.758015996256063</v>
      </c>
      <c r="EP91" s="53">
        <f>EF91*'[2]Renewable Diesel'!BF100*'[2]Feedstock Conversion Rates'!B$7</f>
        <v>56.586026074362167</v>
      </c>
      <c r="EQ91" s="53">
        <f>EG91*'[2]Renewable Diesel'!BF100*'[2]Feedstock Conversion Rates'!B$8</f>
        <v>9.9718675696773982</v>
      </c>
      <c r="ER91" s="53">
        <f>EH91*'[2]Renewable Diesel'!BF100*'[2]Feedstock Conversion Rates'!B$9</f>
        <v>0</v>
      </c>
      <c r="ES91" s="53">
        <f t="shared" si="32"/>
        <v>215.29881439971555</v>
      </c>
    </row>
    <row r="92" spans="1:149" x14ac:dyDescent="0.25">
      <c r="A92" s="39">
        <v>43221</v>
      </c>
      <c r="B92" s="45">
        <v>20</v>
      </c>
      <c r="C92" s="46"/>
      <c r="D92" s="45">
        <v>0</v>
      </c>
      <c r="E92" s="45">
        <f>('[2]Renewable Diesel'!B101*E$3*'[2]Feedstock Conversion Rates'!$B$2)/12</f>
        <v>20.853333333333332</v>
      </c>
      <c r="F92" s="45">
        <f>('[2]Renewable Diesel'!B101*'[2]RD Feedstock Breakdown'!F$3*'[2]Feedstock Conversion Rates'!B$8)/12</f>
        <v>12.5</v>
      </c>
      <c r="G92" s="45">
        <f>('[2]Renewable Diesel'!B101*'[2]RD Feedstock Breakdown'!G$3*'[2]Feedstock Conversion Rates'!B$7)/12</f>
        <v>40.847999999999999</v>
      </c>
      <c r="H92" s="45">
        <f>('[2]Renewable Diesel'!B101*'[2]RD Feedstock Breakdown'!H$3*'[2]Feedstock Conversion Rates'!B$3)/12-20</f>
        <v>20.904400000000003</v>
      </c>
      <c r="I92" s="47">
        <f t="shared" si="33"/>
        <v>115.10573333333335</v>
      </c>
      <c r="J92" s="47"/>
      <c r="K92" s="48"/>
      <c r="L92" s="47"/>
      <c r="R92" s="45">
        <f>('[2]Renewable Diesel'!D101*'[2]RD Feedstock Breakdown'!R$3*'[2]Feedstock Conversion Rates'!B$7)/12</f>
        <v>2.2999999999999998</v>
      </c>
      <c r="S92" s="47">
        <f t="shared" si="19"/>
        <v>2.2999999999999998</v>
      </c>
      <c r="T92" s="48"/>
      <c r="U92" s="47"/>
      <c r="Z92" s="45">
        <f>('[2]Renewable Diesel'!F101*'[2]RD Feedstock Breakdown'!Z$3*'[2]Feedstock Conversion Rates'!B$6)/12</f>
        <v>44.555000000000007</v>
      </c>
      <c r="AA92" s="45">
        <f>('[2]Renewable Diesel'!F101*'[2]RD Feedstock Breakdown'!AA$3*'[2]Feedstock Conversion Rates'!B$7)/12</f>
        <v>29.133333333333329</v>
      </c>
      <c r="AB92" s="47">
        <f t="shared" si="17"/>
        <v>73.688333333333333</v>
      </c>
      <c r="AC92" s="49"/>
      <c r="AG92" s="49"/>
      <c r="AI92" s="45">
        <f>('[2]Renewable Diesel'!H101*'[2]RD Feedstock Breakdown'!AI$3*'[2]Feedstock Conversion Rates'!B$6)/12</f>
        <v>39.083333333333336</v>
      </c>
      <c r="AJ92" s="47">
        <f t="shared" si="18"/>
        <v>39.083333333333336</v>
      </c>
      <c r="AK92" s="45">
        <f>('[2]Renewable Diesel'!J101*'[2]RD Feedstock Breakdown'!AK$3*'[2]Feedstock Conversion Rates'!B$4)/12</f>
        <v>62.5</v>
      </c>
      <c r="AL92" s="47">
        <f t="shared" si="20"/>
        <v>62.5</v>
      </c>
      <c r="AT92" s="49"/>
      <c r="BJ92" s="45">
        <f>('[2]Renewable Diesel'!W101*'[2]RD Feedstock Breakdown'!BJ$3*'[2]Feedstock Conversion Rates'!B$4)/12</f>
        <v>3.75</v>
      </c>
      <c r="BK92" s="45">
        <f>('[2]Renewable Diesel'!W101*'[2]RD Feedstock Breakdown'!BK$3*'[2]Feedstock Conversion Rates'!B$3)/12</f>
        <v>0.66749999999999998</v>
      </c>
      <c r="BL92" s="45">
        <f>('[2]Renewable Diesel'!W101*'[2]RD Feedstock Breakdown'!BL$3*'[2]Feedstock Conversion Rates'!B$6)/12</f>
        <v>1.5633333333333335</v>
      </c>
      <c r="BM92" s="45">
        <f>('[2]Renewable Diesel'!W101*'[2]RD Feedstock Breakdown'!BM$3*'[2]Feedstock Conversion Rates'!B$7)/12</f>
        <v>0.76666666666666661</v>
      </c>
      <c r="BN92" s="47">
        <f t="shared" ref="BN92:BN155" si="34">SUM(BJ92:BM92)</f>
        <v>6.7475000000000005</v>
      </c>
      <c r="BO92" s="47"/>
      <c r="BP92" s="47"/>
      <c r="BQ92" s="47"/>
      <c r="BR92" s="47"/>
      <c r="BS92" s="47"/>
      <c r="BT92" s="47"/>
      <c r="BU92" s="47"/>
      <c r="BV92" s="47"/>
      <c r="BW92" s="47"/>
      <c r="BX92" s="48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8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8"/>
      <c r="DE92" s="47"/>
      <c r="DF92" s="47"/>
      <c r="DG92" s="47"/>
      <c r="DH92" s="47"/>
      <c r="DI92" s="47"/>
      <c r="DJ92" s="48"/>
      <c r="DK92" s="47"/>
      <c r="DL92" s="47"/>
      <c r="DM92" s="47"/>
      <c r="DN92" s="47"/>
      <c r="DP92" s="45">
        <f t="shared" si="21"/>
        <v>20.853333333333332</v>
      </c>
      <c r="DQ92" s="45">
        <f t="shared" si="22"/>
        <v>21.571900000000003</v>
      </c>
      <c r="DR92" s="45">
        <f t="shared" si="29"/>
        <v>86.25</v>
      </c>
      <c r="DS92" s="48"/>
      <c r="DT92" s="45">
        <f t="shared" si="23"/>
        <v>85.201666666666682</v>
      </c>
      <c r="DU92" s="45">
        <f t="shared" si="24"/>
        <v>73.047999999999988</v>
      </c>
      <c r="DV92" s="45">
        <f t="shared" si="25"/>
        <v>12.5</v>
      </c>
      <c r="DW92" s="45">
        <f t="shared" si="26"/>
        <v>0</v>
      </c>
      <c r="DX92" s="47">
        <f t="shared" si="27"/>
        <v>299.42489999999998</v>
      </c>
      <c r="DY92" s="50">
        <f t="shared" si="28"/>
        <v>5.6843418860808015E-14</v>
      </c>
      <c r="EA92" s="51">
        <f t="shared" ref="EA92:ED155" si="35">DP92/$DX92</f>
        <v>6.9644619847358494E-2</v>
      </c>
      <c r="EB92" s="51">
        <f t="shared" si="35"/>
        <v>7.2044442529662717E-2</v>
      </c>
      <c r="EC92" s="51">
        <f t="shared" si="35"/>
        <v>0.28805219605984672</v>
      </c>
      <c r="ED92" s="48"/>
      <c r="EE92" s="51">
        <f t="shared" ref="EE92:EG155" si="36">DT92/$DX92</f>
        <v>0.28455103989904207</v>
      </c>
      <c r="EF92" s="51">
        <f t="shared" si="36"/>
        <v>0.24396100658295283</v>
      </c>
      <c r="EG92" s="51">
        <f t="shared" si="36"/>
        <v>4.1746695081137208E-2</v>
      </c>
      <c r="EH92" s="52">
        <f t="shared" si="30"/>
        <v>0</v>
      </c>
      <c r="EI92" s="51">
        <f t="shared" si="31"/>
        <v>1</v>
      </c>
      <c r="EK92" s="53">
        <f>EA92*'[2]Renewable Diesel'!BF101*'[2]Feedstock Conversion Rates'!B$2</f>
        <v>12.515748830597143</v>
      </c>
      <c r="EL92" s="53">
        <f>EB92*'[2]Renewable Diesel'!BF101*'[2]Feedstock Conversion Rates'!B$3</f>
        <v>12.200660499541463</v>
      </c>
      <c r="EM92" s="53">
        <f>EC92*'[2]Renewable Diesel'!BF101*'[2]Feedstock Conversion Rates'!B$4</f>
        <v>45.675445829655452</v>
      </c>
      <c r="EN92" s="48"/>
      <c r="EO92" s="53">
        <f>EE92*'[2]Renewable Diesel'!BF101*'[2]Feedstock Conversion Rates'!B$6</f>
        <v>56.430429612878129</v>
      </c>
      <c r="EP92" s="53">
        <f>EF92*'[2]Renewable Diesel'!BF101*'[2]Feedstock Conversion Rates'!B$7</f>
        <v>47.452443974608656</v>
      </c>
      <c r="EQ92" s="53">
        <f>EG92*'[2]Renewable Diesel'!BF101*'[2]Feedstock Conversion Rates'!B$8</f>
        <v>8.2745372879810599</v>
      </c>
      <c r="ER92" s="53">
        <f>EH92*'[2]Renewable Diesel'!BF101*'[2]Feedstock Conversion Rates'!B$9</f>
        <v>0</v>
      </c>
      <c r="ES92" s="53">
        <f t="shared" si="32"/>
        <v>182.54926603526189</v>
      </c>
    </row>
    <row r="93" spans="1:149" x14ac:dyDescent="0.25">
      <c r="A93" s="39">
        <v>43252</v>
      </c>
      <c r="B93" s="45">
        <v>20</v>
      </c>
      <c r="C93" s="46"/>
      <c r="D93" s="45">
        <v>0</v>
      </c>
      <c r="E93" s="45">
        <f>('[2]Renewable Diesel'!B102*E$3*'[2]Feedstock Conversion Rates'!$B$2)/12</f>
        <v>20.853333333333332</v>
      </c>
      <c r="F93" s="45">
        <f>('[2]Renewable Diesel'!B102*'[2]RD Feedstock Breakdown'!F$3*'[2]Feedstock Conversion Rates'!B$8)/12</f>
        <v>12.5</v>
      </c>
      <c r="G93" s="45">
        <f>('[2]Renewable Diesel'!B102*'[2]RD Feedstock Breakdown'!G$3*'[2]Feedstock Conversion Rates'!B$7)/12</f>
        <v>40.847999999999999</v>
      </c>
      <c r="H93" s="45">
        <f>('[2]Renewable Diesel'!B102*'[2]RD Feedstock Breakdown'!H$3*'[2]Feedstock Conversion Rates'!B$3)/12-20</f>
        <v>20.904400000000003</v>
      </c>
      <c r="I93" s="47">
        <f t="shared" si="33"/>
        <v>115.10573333333335</v>
      </c>
      <c r="J93" s="47"/>
      <c r="K93" s="48"/>
      <c r="L93" s="47"/>
      <c r="R93" s="45">
        <f>('[2]Renewable Diesel'!D102*'[2]RD Feedstock Breakdown'!R$3*'[2]Feedstock Conversion Rates'!B$7)/12</f>
        <v>2.2999999999999998</v>
      </c>
      <c r="S93" s="47">
        <f t="shared" si="19"/>
        <v>2.2999999999999998</v>
      </c>
      <c r="T93" s="48"/>
      <c r="U93" s="47"/>
      <c r="Z93" s="45">
        <f>('[2]Renewable Diesel'!F102*'[2]RD Feedstock Breakdown'!Z$3*'[2]Feedstock Conversion Rates'!B$6)/12</f>
        <v>44.555000000000007</v>
      </c>
      <c r="AA93" s="45">
        <f>('[2]Renewable Diesel'!F102*'[2]RD Feedstock Breakdown'!AA$3*'[2]Feedstock Conversion Rates'!B$7)/12</f>
        <v>29.133333333333329</v>
      </c>
      <c r="AB93" s="47">
        <f t="shared" si="17"/>
        <v>73.688333333333333</v>
      </c>
      <c r="AC93" s="49"/>
      <c r="AG93" s="49"/>
      <c r="AI93" s="45">
        <f>('[2]Renewable Diesel'!H102*'[2]RD Feedstock Breakdown'!AI$3*'[2]Feedstock Conversion Rates'!B$6)/12</f>
        <v>39.083333333333336</v>
      </c>
      <c r="AJ93" s="47">
        <f t="shared" si="18"/>
        <v>39.083333333333336</v>
      </c>
      <c r="AK93" s="45">
        <f>('[2]Renewable Diesel'!J102*'[2]RD Feedstock Breakdown'!AK$3*'[2]Feedstock Conversion Rates'!B$4)/12</f>
        <v>62.5</v>
      </c>
      <c r="AL93" s="47">
        <f t="shared" si="20"/>
        <v>62.5</v>
      </c>
      <c r="AT93" s="49"/>
      <c r="BJ93" s="45">
        <f>('[2]Renewable Diesel'!W102*'[2]RD Feedstock Breakdown'!BJ$3*'[2]Feedstock Conversion Rates'!B$4)/12</f>
        <v>7.5</v>
      </c>
      <c r="BK93" s="45">
        <f>('[2]Renewable Diesel'!W102*'[2]RD Feedstock Breakdown'!BK$3*'[2]Feedstock Conversion Rates'!B$3)/12</f>
        <v>1.335</v>
      </c>
      <c r="BL93" s="45">
        <f>('[2]Renewable Diesel'!W102*'[2]RD Feedstock Breakdown'!BL$3*'[2]Feedstock Conversion Rates'!B$6)/12</f>
        <v>3.1266666666666669</v>
      </c>
      <c r="BM93" s="45">
        <f>('[2]Renewable Diesel'!W102*'[2]RD Feedstock Breakdown'!BM$3*'[2]Feedstock Conversion Rates'!B$7)/12</f>
        <v>1.5333333333333332</v>
      </c>
      <c r="BN93" s="47">
        <f t="shared" si="34"/>
        <v>13.495000000000001</v>
      </c>
      <c r="BO93" s="47"/>
      <c r="BP93" s="47"/>
      <c r="BQ93" s="47"/>
      <c r="BR93" s="47"/>
      <c r="BS93" s="47"/>
      <c r="BT93" s="47"/>
      <c r="BU93" s="47"/>
      <c r="BV93" s="47"/>
      <c r="BW93" s="47"/>
      <c r="BX93" s="48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8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8"/>
      <c r="DE93" s="47"/>
      <c r="DF93" s="47"/>
      <c r="DG93" s="47"/>
      <c r="DH93" s="47"/>
      <c r="DI93" s="47"/>
      <c r="DJ93" s="48"/>
      <c r="DK93" s="47"/>
      <c r="DL93" s="47"/>
      <c r="DM93" s="47"/>
      <c r="DN93" s="47"/>
      <c r="DP93" s="45">
        <f t="shared" si="21"/>
        <v>20.853333333333332</v>
      </c>
      <c r="DQ93" s="45">
        <f t="shared" si="22"/>
        <v>22.239400000000003</v>
      </c>
      <c r="DR93" s="45">
        <f t="shared" si="29"/>
        <v>90</v>
      </c>
      <c r="DS93" s="48"/>
      <c r="DT93" s="45">
        <f t="shared" si="23"/>
        <v>86.765000000000015</v>
      </c>
      <c r="DU93" s="45">
        <f t="shared" si="24"/>
        <v>73.814666666666653</v>
      </c>
      <c r="DV93" s="45">
        <f t="shared" si="25"/>
        <v>12.5</v>
      </c>
      <c r="DW93" s="45">
        <f t="shared" si="26"/>
        <v>0</v>
      </c>
      <c r="DX93" s="47">
        <f t="shared" si="27"/>
        <v>306.17240000000004</v>
      </c>
      <c r="DY93" s="50">
        <f t="shared" si="28"/>
        <v>0</v>
      </c>
      <c r="EA93" s="51">
        <f t="shared" si="35"/>
        <v>6.8109775189838559E-2</v>
      </c>
      <c r="EB93" s="51">
        <f t="shared" si="35"/>
        <v>7.2636854269032741E-2</v>
      </c>
      <c r="EC93" s="51">
        <f t="shared" si="35"/>
        <v>0.29395203486663068</v>
      </c>
      <c r="ED93" s="48"/>
      <c r="EE93" s="51">
        <f t="shared" si="36"/>
        <v>0.2833860922800357</v>
      </c>
      <c r="EF93" s="51">
        <f t="shared" si="36"/>
        <v>0.24108857188520796</v>
      </c>
      <c r="EG93" s="51">
        <f t="shared" si="36"/>
        <v>4.0826671509254259E-2</v>
      </c>
      <c r="EH93" s="52">
        <f t="shared" si="30"/>
        <v>0</v>
      </c>
      <c r="EI93" s="51">
        <f t="shared" si="31"/>
        <v>0.99999999999999989</v>
      </c>
      <c r="EK93" s="53">
        <f>EA93*'[2]Renewable Diesel'!BF102*'[2]Feedstock Conversion Rates'!B$2</f>
        <v>6.7118682947690012</v>
      </c>
      <c r="EL93" s="53">
        <f>EB93*'[2]Renewable Diesel'!BF102*'[2]Feedstock Conversion Rates'!B$3</f>
        <v>6.7453516771195634</v>
      </c>
      <c r="EM93" s="53">
        <f>EC93*'[2]Renewable Diesel'!BF102*'[2]Feedstock Conversion Rates'!B$4</f>
        <v>25.559525532020519</v>
      </c>
      <c r="EN93" s="48"/>
      <c r="EO93" s="53">
        <f>EE93*'[2]Renewable Diesel'!BF102*'[2]Feedstock Conversion Rates'!B$6</f>
        <v>30.817430434859904</v>
      </c>
      <c r="EP93" s="53">
        <f>EF93*'[2]Renewable Diesel'!BF102*'[2]Feedstock Conversion Rates'!B$7</f>
        <v>25.714584129183852</v>
      </c>
      <c r="EQ93" s="53">
        <f>EG93*'[2]Renewable Diesel'!BF102*'[2]Feedstock Conversion Rates'!B$8</f>
        <v>4.4374176270868952</v>
      </c>
      <c r="ER93" s="53">
        <f>EH93*'[2]Renewable Diesel'!BF102*'[2]Feedstock Conversion Rates'!B$9</f>
        <v>0</v>
      </c>
      <c r="ES93" s="53">
        <f t="shared" si="32"/>
        <v>99.986177695039743</v>
      </c>
    </row>
    <row r="94" spans="1:149" x14ac:dyDescent="0.25">
      <c r="A94" s="39">
        <v>43282</v>
      </c>
      <c r="C94" s="46"/>
      <c r="D94" s="45">
        <v>0</v>
      </c>
      <c r="E94" s="45">
        <f>('[2]Renewable Diesel'!B103*E$3*'[2]Feedstock Conversion Rates'!$B$2)/12</f>
        <v>0</v>
      </c>
      <c r="F94" s="45">
        <f>('[2]Renewable Diesel'!B103*'[2]RD Feedstock Breakdown'!F$3*'[2]Feedstock Conversion Rates'!B$8)/12</f>
        <v>0</v>
      </c>
      <c r="G94" s="45">
        <f>('[2]Renewable Diesel'!B103*'[2]RD Feedstock Breakdown'!G$3*'[2]Feedstock Conversion Rates'!B$7)/12</f>
        <v>0</v>
      </c>
      <c r="H94" s="45">
        <f>('[2]Renewable Diesel'!B103*'[2]RD Feedstock Breakdown'!H$3*'[2]Feedstock Conversion Rates'!B$3)/12</f>
        <v>0</v>
      </c>
      <c r="I94" s="47">
        <f t="shared" si="33"/>
        <v>0</v>
      </c>
      <c r="J94" s="47"/>
      <c r="K94" s="48"/>
      <c r="L94" s="47"/>
      <c r="R94" s="45">
        <f>('[2]Renewable Diesel'!D103*'[2]RD Feedstock Breakdown'!R$3*'[2]Feedstock Conversion Rates'!B$7)/12</f>
        <v>2.2999999999999998</v>
      </c>
      <c r="S94" s="47">
        <f t="shared" si="19"/>
        <v>2.2999999999999998</v>
      </c>
      <c r="T94" s="48"/>
      <c r="U94" s="47"/>
      <c r="Z94" s="45">
        <f>('[2]Renewable Diesel'!F103*'[2]RD Feedstock Breakdown'!Z$3*'[2]Feedstock Conversion Rates'!B$6)/12</f>
        <v>44.555000000000007</v>
      </c>
      <c r="AA94" s="45">
        <f>('[2]Renewable Diesel'!F103*'[2]RD Feedstock Breakdown'!AA$3*'[2]Feedstock Conversion Rates'!B$7)/12</f>
        <v>29.133333333333329</v>
      </c>
      <c r="AB94" s="47">
        <f t="shared" si="17"/>
        <v>73.688333333333333</v>
      </c>
      <c r="AC94" s="49"/>
      <c r="AG94" s="49"/>
      <c r="AI94" s="45">
        <f>('[2]Renewable Diesel'!H103*'[2]RD Feedstock Breakdown'!AI$3*'[2]Feedstock Conversion Rates'!B$6)/12</f>
        <v>39.083333333333336</v>
      </c>
      <c r="AJ94" s="47">
        <f t="shared" si="18"/>
        <v>39.083333333333336</v>
      </c>
      <c r="AK94" s="45">
        <f>('[2]Renewable Diesel'!J103*'[2]RD Feedstock Breakdown'!AK$3*'[2]Feedstock Conversion Rates'!B$4)/12</f>
        <v>62.5</v>
      </c>
      <c r="AL94" s="47">
        <f t="shared" si="20"/>
        <v>62.5</v>
      </c>
      <c r="AT94" s="49"/>
      <c r="BJ94" s="45">
        <f>('[2]Renewable Diesel'!W103*'[2]RD Feedstock Breakdown'!BJ$3*'[2]Feedstock Conversion Rates'!B$4)/12</f>
        <v>7.5</v>
      </c>
      <c r="BK94" s="45">
        <f>('[2]Renewable Diesel'!W103*'[2]RD Feedstock Breakdown'!BK$3*'[2]Feedstock Conversion Rates'!B$3)/12</f>
        <v>1.335</v>
      </c>
      <c r="BL94" s="45">
        <f>('[2]Renewable Diesel'!W103*'[2]RD Feedstock Breakdown'!BL$3*'[2]Feedstock Conversion Rates'!B$6)/12</f>
        <v>3.1266666666666669</v>
      </c>
      <c r="BM94" s="45">
        <f>('[2]Renewable Diesel'!W103*'[2]RD Feedstock Breakdown'!BM$3*'[2]Feedstock Conversion Rates'!B$7)/12</f>
        <v>1.5333333333333332</v>
      </c>
      <c r="BN94" s="47">
        <f t="shared" si="34"/>
        <v>13.495000000000001</v>
      </c>
      <c r="BO94" s="47"/>
      <c r="BP94" s="47"/>
      <c r="BQ94" s="47"/>
      <c r="BR94" s="47"/>
      <c r="BS94" s="47"/>
      <c r="BT94" s="47"/>
      <c r="BU94" s="47"/>
      <c r="BV94" s="47"/>
      <c r="BW94" s="47"/>
      <c r="BX94" s="48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8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8"/>
      <c r="DE94" s="47"/>
      <c r="DF94" s="47"/>
      <c r="DG94" s="47"/>
      <c r="DH94" s="47"/>
      <c r="DI94" s="47"/>
      <c r="DJ94" s="48"/>
      <c r="DK94" s="47"/>
      <c r="DL94" s="47"/>
      <c r="DM94" s="47"/>
      <c r="DN94" s="47"/>
      <c r="DP94" s="45">
        <f t="shared" si="21"/>
        <v>0</v>
      </c>
      <c r="DQ94" s="45">
        <f t="shared" si="22"/>
        <v>1.335</v>
      </c>
      <c r="DR94" s="45">
        <f t="shared" si="29"/>
        <v>70</v>
      </c>
      <c r="DS94" s="48"/>
      <c r="DT94" s="45">
        <f t="shared" si="23"/>
        <v>86.765000000000015</v>
      </c>
      <c r="DU94" s="45">
        <f t="shared" si="24"/>
        <v>32.966666666666661</v>
      </c>
      <c r="DV94" s="45">
        <f t="shared" si="25"/>
        <v>0</v>
      </c>
      <c r="DW94" s="45">
        <f t="shared" si="26"/>
        <v>0</v>
      </c>
      <c r="DX94" s="47">
        <f t="shared" si="27"/>
        <v>191.06666666666669</v>
      </c>
      <c r="DY94" s="50">
        <f t="shared" si="28"/>
        <v>-2.8421709430404007E-14</v>
      </c>
      <c r="EA94" s="51">
        <f t="shared" si="35"/>
        <v>0</v>
      </c>
      <c r="EB94" s="51">
        <f t="shared" si="35"/>
        <v>6.9870900209351005E-3</v>
      </c>
      <c r="EC94" s="51">
        <f t="shared" si="35"/>
        <v>0.36636427076064199</v>
      </c>
      <c r="ED94" s="48"/>
      <c r="EE94" s="51">
        <f t="shared" si="36"/>
        <v>0.45410851360781579</v>
      </c>
      <c r="EF94" s="51">
        <f t="shared" si="36"/>
        <v>0.17254012561060708</v>
      </c>
      <c r="EG94" s="51">
        <f t="shared" si="36"/>
        <v>0</v>
      </c>
      <c r="EH94" s="52">
        <f t="shared" si="30"/>
        <v>0</v>
      </c>
      <c r="EI94" s="51">
        <f t="shared" si="31"/>
        <v>0.99999999999999989</v>
      </c>
      <c r="EK94" s="53">
        <f>EA94*'[2]Renewable Diesel'!BF103*'[2]Feedstock Conversion Rates'!B$2</f>
        <v>0</v>
      </c>
      <c r="EL94" s="53">
        <f>EB94*'[2]Renewable Diesel'!BF103*'[2]Feedstock Conversion Rates'!B$3</f>
        <v>0.45589965334307392</v>
      </c>
      <c r="EM94" s="53">
        <f>EC94*'[2]Renewable Diesel'!BF103*'[2]Feedstock Conversion Rates'!B$4</f>
        <v>22.382819042219118</v>
      </c>
      <c r="EN94" s="48"/>
      <c r="EO94" s="53">
        <f>EE94*'[2]Renewable Diesel'!BF103*'[2]Feedstock Conversion Rates'!B$6</f>
        <v>34.697875923006812</v>
      </c>
      <c r="EP94" s="53">
        <f>EF94*'[2]Renewable Diesel'!BF103*'[2]Feedstock Conversion Rates'!B$7</f>
        <v>12.930590088974176</v>
      </c>
      <c r="EQ94" s="53">
        <f>EG94*'[2]Renewable Diesel'!BF103*'[2]Feedstock Conversion Rates'!B$8</f>
        <v>0</v>
      </c>
      <c r="ER94" s="53">
        <f>EH94*'[2]Renewable Diesel'!BF103*'[2]Feedstock Conversion Rates'!B$9</f>
        <v>0</v>
      </c>
      <c r="ES94" s="53">
        <f t="shared" si="32"/>
        <v>70.467184707543183</v>
      </c>
    </row>
    <row r="95" spans="1:149" x14ac:dyDescent="0.25">
      <c r="A95" s="39">
        <v>43313</v>
      </c>
      <c r="B95" s="45">
        <v>30</v>
      </c>
      <c r="C95" s="46"/>
      <c r="D95" s="45">
        <v>0</v>
      </c>
      <c r="E95" s="45">
        <f>('[2]Renewable Diesel'!B104*E$3*'[2]Feedstock Conversion Rates'!$B$2)/12</f>
        <v>24.600416666666664</v>
      </c>
      <c r="F95" s="45">
        <f>('[2]Renewable Diesel'!B104*'[2]RD Feedstock Breakdown'!F$3*'[2]Feedstock Conversion Rates'!B$8)/12</f>
        <v>14.74609375</v>
      </c>
      <c r="G95" s="45">
        <f>('[2]Renewable Diesel'!B104*'[2]RD Feedstock Breakdown'!G$3*'[2]Feedstock Conversion Rates'!B$7)/12</f>
        <v>48.187874999999998</v>
      </c>
      <c r="H95" s="45">
        <f>('[2]Renewable Diesel'!B104*'[2]RD Feedstock Breakdown'!H$3*'[2]Feedstock Conversion Rates'!B$3)/12-30</f>
        <v>18.254409375000002</v>
      </c>
      <c r="I95" s="47">
        <f t="shared" si="33"/>
        <v>135.78879479166665</v>
      </c>
      <c r="J95" s="47"/>
      <c r="K95" s="48"/>
      <c r="L95" s="47"/>
      <c r="R95" s="45">
        <f>('[2]Renewable Diesel'!D104*'[2]RD Feedstock Breakdown'!R$3*'[2]Feedstock Conversion Rates'!B$7)/12</f>
        <v>2.2999999999999998</v>
      </c>
      <c r="S95" s="47">
        <f t="shared" si="19"/>
        <v>2.2999999999999998</v>
      </c>
      <c r="T95" s="48"/>
      <c r="U95" s="47"/>
      <c r="Z95" s="45">
        <f>('[2]Renewable Diesel'!F104*'[2]RD Feedstock Breakdown'!Z$3*'[2]Feedstock Conversion Rates'!B$6)/12</f>
        <v>44.555000000000007</v>
      </c>
      <c r="AA95" s="45">
        <f>('[2]Renewable Diesel'!F104*'[2]RD Feedstock Breakdown'!AA$3*'[2]Feedstock Conversion Rates'!B$7)/12</f>
        <v>29.133333333333329</v>
      </c>
      <c r="AB95" s="47">
        <f t="shared" si="17"/>
        <v>73.688333333333333</v>
      </c>
      <c r="AC95" s="49"/>
      <c r="AG95" s="49"/>
      <c r="AI95" s="45">
        <f>('[2]Renewable Diesel'!H104*'[2]RD Feedstock Breakdown'!AI$3*'[2]Feedstock Conversion Rates'!B$6)/12</f>
        <v>39.083333333333336</v>
      </c>
      <c r="AJ95" s="47">
        <f t="shared" si="18"/>
        <v>39.083333333333336</v>
      </c>
      <c r="AK95" s="45">
        <f>('[2]Renewable Diesel'!J104*'[2]RD Feedstock Breakdown'!AK$3*'[2]Feedstock Conversion Rates'!B$4)/12</f>
        <v>62.5</v>
      </c>
      <c r="AL95" s="47">
        <f t="shared" si="20"/>
        <v>62.5</v>
      </c>
      <c r="AT95" s="49"/>
      <c r="BJ95" s="45">
        <f>('[2]Renewable Diesel'!W104*'[2]RD Feedstock Breakdown'!BJ$3*'[2]Feedstock Conversion Rates'!B$4)/12+2-2</f>
        <v>7.5</v>
      </c>
      <c r="BK95" s="45">
        <f>('[2]Renewable Diesel'!W104*'[2]RD Feedstock Breakdown'!BK$3*'[2]Feedstock Conversion Rates'!B$3)/12-2+2</f>
        <v>1.335</v>
      </c>
      <c r="BL95" s="45">
        <f>('[2]Renewable Diesel'!W104*'[2]RD Feedstock Breakdown'!BL$3*'[2]Feedstock Conversion Rates'!B$6)/12</f>
        <v>3.1266666666666669</v>
      </c>
      <c r="BM95" s="45">
        <f>('[2]Renewable Diesel'!W104*'[2]RD Feedstock Breakdown'!BM$3*'[2]Feedstock Conversion Rates'!B$7)/12</f>
        <v>1.5333333333333332</v>
      </c>
      <c r="BN95" s="47">
        <f t="shared" si="34"/>
        <v>13.495000000000001</v>
      </c>
      <c r="BO95" s="47"/>
      <c r="BP95" s="47"/>
      <c r="BQ95" s="47"/>
      <c r="BR95" s="47"/>
      <c r="BS95" s="47"/>
      <c r="BT95" s="47"/>
      <c r="BU95" s="47"/>
      <c r="BV95" s="47"/>
      <c r="BW95" s="47"/>
      <c r="BX95" s="48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8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8"/>
      <c r="DE95" s="47"/>
      <c r="DF95" s="47"/>
      <c r="DG95" s="47"/>
      <c r="DH95" s="47"/>
      <c r="DI95" s="47"/>
      <c r="DJ95" s="48"/>
      <c r="DK95" s="47"/>
      <c r="DL95" s="47"/>
      <c r="DM95" s="47"/>
      <c r="DN95" s="47"/>
      <c r="DP95" s="45">
        <f t="shared" si="21"/>
        <v>24.600416666666664</v>
      </c>
      <c r="DQ95" s="45">
        <f t="shared" si="22"/>
        <v>19.589409375000002</v>
      </c>
      <c r="DR95" s="45">
        <f t="shared" si="29"/>
        <v>100</v>
      </c>
      <c r="DS95" s="48"/>
      <c r="DT95" s="45">
        <f t="shared" si="23"/>
        <v>86.765000000000015</v>
      </c>
      <c r="DU95" s="45">
        <f t="shared" si="24"/>
        <v>81.15454166666666</v>
      </c>
      <c r="DV95" s="45">
        <f t="shared" si="25"/>
        <v>14.74609375</v>
      </c>
      <c r="DW95" s="45">
        <f t="shared" si="26"/>
        <v>0</v>
      </c>
      <c r="DX95" s="47">
        <f t="shared" si="27"/>
        <v>326.85546145833337</v>
      </c>
      <c r="DY95" s="50">
        <f t="shared" si="28"/>
        <v>0</v>
      </c>
      <c r="EA95" s="51">
        <f t="shared" si="35"/>
        <v>7.5263899697153011E-2</v>
      </c>
      <c r="EB95" s="51">
        <f t="shared" si="35"/>
        <v>5.9932941880786676E-2</v>
      </c>
      <c r="EC95" s="51">
        <f t="shared" si="35"/>
        <v>0.3059456297711205</v>
      </c>
      <c r="ED95" s="48"/>
      <c r="EE95" s="51">
        <f t="shared" si="36"/>
        <v>0.26545372567091274</v>
      </c>
      <c r="EF95" s="51">
        <f t="shared" si="36"/>
        <v>0.24828877358994969</v>
      </c>
      <c r="EG95" s="51">
        <f t="shared" si="36"/>
        <v>4.5115029390077339E-2</v>
      </c>
      <c r="EH95" s="52">
        <f t="shared" si="30"/>
        <v>0</v>
      </c>
      <c r="EI95" s="51">
        <f t="shared" si="31"/>
        <v>1</v>
      </c>
      <c r="EK95" s="53">
        <f>EA95*'[2]Renewable Diesel'!BF104*'[2]Feedstock Conversion Rates'!B$2</f>
        <v>8.9285023063293796</v>
      </c>
      <c r="EL95" s="53">
        <f>EB95*'[2]Renewable Diesel'!BF104*'[2]Feedstock Conversion Rates'!B$3</f>
        <v>6.6999426407406375</v>
      </c>
      <c r="EM95" s="53">
        <f>EC95*'[2]Renewable Diesel'!BF104*'[2]Feedstock Conversion Rates'!B$4</f>
        <v>32.024214780741367</v>
      </c>
      <c r="EN95" s="48"/>
      <c r="EO95" s="53">
        <f>EE95*'[2]Renewable Diesel'!BF104*'[2]Feedstock Conversion Rates'!B$6</f>
        <v>34.750786316440831</v>
      </c>
      <c r="EP95" s="53">
        <f>EF95*'[2]Renewable Diesel'!BF104*'[2]Feedstock Conversion Rates'!B$7</f>
        <v>31.879968465929078</v>
      </c>
      <c r="EQ95" s="53">
        <f>EG95*'[2]Renewable Diesel'!BF104*'[2]Feedstock Conversion Rates'!B$8</f>
        <v>5.902900917836849</v>
      </c>
      <c r="ER95" s="53">
        <f>EH95*'[2]Renewable Diesel'!BF104*'[2]Feedstock Conversion Rates'!B$9</f>
        <v>0</v>
      </c>
      <c r="ES95" s="53">
        <f t="shared" si="32"/>
        <v>120.18631542801813</v>
      </c>
    </row>
    <row r="96" spans="1:149" x14ac:dyDescent="0.25">
      <c r="A96" s="39">
        <v>43344</v>
      </c>
      <c r="B96" s="45">
        <v>30</v>
      </c>
      <c r="C96" s="46"/>
      <c r="D96" s="45">
        <v>0</v>
      </c>
      <c r="E96" s="45">
        <f>('[2]Renewable Diesel'!B105*E$3*'[2]Feedstock Conversion Rates'!$B$2)/12</f>
        <v>28.347499999999997</v>
      </c>
      <c r="F96" s="45">
        <f>('[2]Renewable Diesel'!B105*'[2]RD Feedstock Breakdown'!F$3*'[2]Feedstock Conversion Rates'!B$8)/12</f>
        <v>16.9921875</v>
      </c>
      <c r="G96" s="45">
        <f>('[2]Renewable Diesel'!B105*'[2]RD Feedstock Breakdown'!G$3*'[2]Feedstock Conversion Rates'!B$7)/12</f>
        <v>55.527750000000005</v>
      </c>
      <c r="H96" s="45">
        <f>('[2]Renewable Diesel'!B105*'[2]RD Feedstock Breakdown'!H$3*'[2]Feedstock Conversion Rates'!B$3)/12-30</f>
        <v>25.604418750000001</v>
      </c>
      <c r="I96" s="47">
        <f t="shared" si="33"/>
        <v>156.47185625</v>
      </c>
      <c r="J96" s="47"/>
      <c r="K96" s="48"/>
      <c r="L96" s="47"/>
      <c r="R96" s="45">
        <f>('[2]Renewable Diesel'!D105*'[2]RD Feedstock Breakdown'!R$3*'[2]Feedstock Conversion Rates'!B$7)/12</f>
        <v>2.2999999999999998</v>
      </c>
      <c r="S96" s="47">
        <f t="shared" si="19"/>
        <v>2.2999999999999998</v>
      </c>
      <c r="T96" s="48"/>
      <c r="U96" s="47"/>
      <c r="Z96" s="45">
        <f>('[2]Renewable Diesel'!F105*'[2]RD Feedstock Breakdown'!Z$3*'[2]Feedstock Conversion Rates'!B$6)/12</f>
        <v>44.555000000000007</v>
      </c>
      <c r="AA96" s="45">
        <f>('[2]Renewable Diesel'!F105*'[2]RD Feedstock Breakdown'!AA$3*'[2]Feedstock Conversion Rates'!B$7)/12</f>
        <v>29.133333333333329</v>
      </c>
      <c r="AB96" s="47">
        <f t="shared" si="17"/>
        <v>73.688333333333333</v>
      </c>
      <c r="AC96" s="49"/>
      <c r="AG96" s="49"/>
      <c r="AI96" s="45">
        <f>('[2]Renewable Diesel'!H105*'[2]RD Feedstock Breakdown'!AI$3*'[2]Feedstock Conversion Rates'!B$6)/12</f>
        <v>39.083333333333336</v>
      </c>
      <c r="AJ96" s="47">
        <f t="shared" si="18"/>
        <v>39.083333333333336</v>
      </c>
      <c r="AK96" s="45">
        <f>('[2]Renewable Diesel'!J105*'[2]RD Feedstock Breakdown'!AK$3*'[2]Feedstock Conversion Rates'!B$4)/12</f>
        <v>62.5</v>
      </c>
      <c r="AL96" s="47">
        <f t="shared" si="20"/>
        <v>62.5</v>
      </c>
      <c r="AT96" s="49"/>
      <c r="BJ96" s="45">
        <f>('[2]Renewable Diesel'!W105*'[2]RD Feedstock Breakdown'!BJ$3*'[2]Feedstock Conversion Rates'!B$4)/12+2-2</f>
        <v>7.5</v>
      </c>
      <c r="BK96" s="45">
        <f>('[2]Renewable Diesel'!W105*'[2]RD Feedstock Breakdown'!BK$3*'[2]Feedstock Conversion Rates'!B$3)/12-2+2</f>
        <v>1.335</v>
      </c>
      <c r="BL96" s="45">
        <f>('[2]Renewable Diesel'!W105*'[2]RD Feedstock Breakdown'!BL$3*'[2]Feedstock Conversion Rates'!B$6)/12</f>
        <v>3.1266666666666669</v>
      </c>
      <c r="BM96" s="45">
        <f>('[2]Renewable Diesel'!W105*'[2]RD Feedstock Breakdown'!BM$3*'[2]Feedstock Conversion Rates'!B$7)/12</f>
        <v>1.5333333333333332</v>
      </c>
      <c r="BN96" s="47">
        <f t="shared" si="34"/>
        <v>13.495000000000001</v>
      </c>
      <c r="BO96" s="47"/>
      <c r="BP96" s="47"/>
      <c r="BQ96" s="47"/>
      <c r="BR96" s="47"/>
      <c r="BS96" s="47"/>
      <c r="BT96" s="47"/>
      <c r="BU96" s="47"/>
      <c r="BV96" s="47"/>
      <c r="BW96" s="47"/>
      <c r="BX96" s="48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8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8"/>
      <c r="DE96" s="47"/>
      <c r="DF96" s="47"/>
      <c r="DG96" s="47"/>
      <c r="DH96" s="47"/>
      <c r="DI96" s="47"/>
      <c r="DJ96" s="48"/>
      <c r="DK96" s="47"/>
      <c r="DL96" s="47"/>
      <c r="DM96" s="47"/>
      <c r="DN96" s="47"/>
      <c r="DP96" s="45">
        <f t="shared" si="21"/>
        <v>28.347499999999997</v>
      </c>
      <c r="DQ96" s="45">
        <f t="shared" si="22"/>
        <v>26.939418750000002</v>
      </c>
      <c r="DR96" s="45">
        <f t="shared" si="29"/>
        <v>100</v>
      </c>
      <c r="DS96" s="48"/>
      <c r="DT96" s="45">
        <f t="shared" si="23"/>
        <v>86.765000000000015</v>
      </c>
      <c r="DU96" s="45">
        <f t="shared" si="24"/>
        <v>88.494416666666666</v>
      </c>
      <c r="DV96" s="45">
        <f t="shared" si="25"/>
        <v>16.9921875</v>
      </c>
      <c r="DW96" s="45">
        <f t="shared" si="26"/>
        <v>0</v>
      </c>
      <c r="DX96" s="47">
        <f t="shared" si="27"/>
        <v>347.53852291666669</v>
      </c>
      <c r="DY96" s="50">
        <f t="shared" si="28"/>
        <v>0</v>
      </c>
      <c r="EA96" s="51">
        <f t="shared" si="35"/>
        <v>8.1566497325527287E-2</v>
      </c>
      <c r="EB96" s="51">
        <f t="shared" si="35"/>
        <v>7.7514914099061111E-2</v>
      </c>
      <c r="EC96" s="51">
        <f t="shared" si="35"/>
        <v>0.28773788632340519</v>
      </c>
      <c r="ED96" s="48"/>
      <c r="EE96" s="51">
        <f t="shared" si="36"/>
        <v>0.24965577706850259</v>
      </c>
      <c r="EF96" s="51">
        <f t="shared" si="36"/>
        <v>0.25463196403089389</v>
      </c>
      <c r="EG96" s="51">
        <f t="shared" si="36"/>
        <v>4.8892961152609868E-2</v>
      </c>
      <c r="EH96" s="52">
        <f t="shared" si="30"/>
        <v>0</v>
      </c>
      <c r="EI96" s="51">
        <f t="shared" si="31"/>
        <v>1</v>
      </c>
      <c r="EK96" s="53">
        <f>EA96*'[2]Renewable Diesel'!BF105*'[2]Feedstock Conversion Rates'!B$2</f>
        <v>19.946238833301759</v>
      </c>
      <c r="EL96" s="53">
        <f>EB96*'[2]Renewable Diesel'!BF105*'[2]Feedstock Conversion Rates'!B$3</f>
        <v>17.862739401842877</v>
      </c>
      <c r="EM96" s="53">
        <f>EC96*'[2]Renewable Diesel'!BF105*'[2]Feedstock Conversion Rates'!B$4</f>
        <v>62.085272069749145</v>
      </c>
      <c r="EN96" s="48"/>
      <c r="EO96" s="53">
        <f>EE96*'[2]Renewable Diesel'!BF105*'[2]Feedstock Conversion Rates'!B$6</f>
        <v>67.371270080021532</v>
      </c>
      <c r="EP96" s="53">
        <f>EF96*'[2]Renewable Diesel'!BF105*'[2]Feedstock Conversion Rates'!B$7</f>
        <v>67.395519207619245</v>
      </c>
      <c r="EQ96" s="53">
        <f>EG96*'[2]Renewable Diesel'!BF105*'[2]Feedstock Conversion Rates'!B$8</f>
        <v>13.187057299971132</v>
      </c>
      <c r="ER96" s="53">
        <f>EH96*'[2]Renewable Diesel'!BF105*'[2]Feedstock Conversion Rates'!B$9</f>
        <v>0</v>
      </c>
      <c r="ES96" s="53">
        <f t="shared" si="32"/>
        <v>247.84809689250571</v>
      </c>
    </row>
    <row r="97" spans="1:149" x14ac:dyDescent="0.25">
      <c r="A97" s="39">
        <v>43374</v>
      </c>
      <c r="B97" s="45">
        <v>35</v>
      </c>
      <c r="C97" s="46"/>
      <c r="D97" s="45">
        <v>0</v>
      </c>
      <c r="E97" s="45">
        <f>('[2]Renewable Diesel'!B106*E$3*'[2]Feedstock Conversion Rates'!$B$2)/12</f>
        <v>32.101100000000002</v>
      </c>
      <c r="F97" s="45">
        <f>('[2]Renewable Diesel'!B106*'[2]RD Feedstock Breakdown'!F$3*'[2]Feedstock Conversion Rates'!B$8)/12</f>
        <v>19.242187500000004</v>
      </c>
      <c r="G97" s="45">
        <f>('[2]Renewable Diesel'!B106*'[2]RD Feedstock Breakdown'!G$3*'[2]Feedstock Conversion Rates'!B$7)/12</f>
        <v>62.880390000000006</v>
      </c>
      <c r="H97" s="45">
        <f>('[2]Renewable Diesel'!B106*'[2]RD Feedstock Breakdown'!H$3*'[2]Feedstock Conversion Rates'!B$3)/12-35</f>
        <v>27.96721075</v>
      </c>
      <c r="I97" s="47">
        <f t="shared" si="33"/>
        <v>177.19088825</v>
      </c>
      <c r="J97" s="47"/>
      <c r="K97" s="48"/>
      <c r="L97" s="47"/>
      <c r="R97" s="45">
        <f>('[2]Renewable Diesel'!D106*'[2]RD Feedstock Breakdown'!R$3*'[2]Feedstock Conversion Rates'!B$7)/12</f>
        <v>2.2999999999999998</v>
      </c>
      <c r="S97" s="47">
        <f t="shared" si="19"/>
        <v>2.2999999999999998</v>
      </c>
      <c r="T97" s="48"/>
      <c r="U97" s="47"/>
      <c r="Z97" s="45">
        <f>('[2]Renewable Diesel'!F106*'[2]RD Feedstock Breakdown'!Z$3*'[2]Feedstock Conversion Rates'!B$6)/12</f>
        <v>44.555000000000007</v>
      </c>
      <c r="AA97" s="45">
        <f>('[2]Renewable Diesel'!F106*'[2]RD Feedstock Breakdown'!AA$3*'[2]Feedstock Conversion Rates'!B$7)/12</f>
        <v>29.133333333333329</v>
      </c>
      <c r="AB97" s="47">
        <f t="shared" si="17"/>
        <v>73.688333333333333</v>
      </c>
      <c r="AC97" s="49"/>
      <c r="AG97" s="49"/>
      <c r="AI97" s="45">
        <f>('[2]Renewable Diesel'!H106*'[2]RD Feedstock Breakdown'!AI$3*'[2]Feedstock Conversion Rates'!B$6)/12</f>
        <v>39.083333333333336</v>
      </c>
      <c r="AJ97" s="47">
        <f t="shared" si="18"/>
        <v>39.083333333333336</v>
      </c>
      <c r="AK97" s="45">
        <f>('[2]Renewable Diesel'!J106*'[2]RD Feedstock Breakdown'!AK$3*'[2]Feedstock Conversion Rates'!B$4)/12</f>
        <v>62.5</v>
      </c>
      <c r="AL97" s="47">
        <f t="shared" si="20"/>
        <v>62.5</v>
      </c>
      <c r="AT97" s="49"/>
      <c r="BJ97" s="45">
        <f>('[2]Renewable Diesel'!W106*'[2]RD Feedstock Breakdown'!BJ$3*'[2]Feedstock Conversion Rates'!B$4)/12+2-2</f>
        <v>7.5</v>
      </c>
      <c r="BK97" s="45">
        <f>('[2]Renewable Diesel'!W106*'[2]RD Feedstock Breakdown'!BK$3*'[2]Feedstock Conversion Rates'!B$3)/12-2+2</f>
        <v>1.335</v>
      </c>
      <c r="BL97" s="45">
        <f>('[2]Renewable Diesel'!W106*'[2]RD Feedstock Breakdown'!BL$3*'[2]Feedstock Conversion Rates'!B$6)/12</f>
        <v>3.1266666666666669</v>
      </c>
      <c r="BM97" s="45">
        <f>('[2]Renewable Diesel'!W106*'[2]RD Feedstock Breakdown'!BM$3*'[2]Feedstock Conversion Rates'!B$7)/12</f>
        <v>1.5333333333333332</v>
      </c>
      <c r="BN97" s="47">
        <f t="shared" si="34"/>
        <v>13.495000000000001</v>
      </c>
      <c r="BO97" s="47"/>
      <c r="BP97" s="47"/>
      <c r="BQ97" s="47"/>
      <c r="BR97" s="47"/>
      <c r="BS97" s="47"/>
      <c r="BT97" s="47"/>
      <c r="BU97" s="47"/>
      <c r="BV97" s="47"/>
      <c r="BW97" s="47"/>
      <c r="BX97" s="48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8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8"/>
      <c r="DE97" s="47"/>
      <c r="DF97" s="47"/>
      <c r="DG97" s="47"/>
      <c r="DH97" s="47"/>
      <c r="DI97" s="47"/>
      <c r="DJ97" s="48"/>
      <c r="DK97" s="47"/>
      <c r="DL97" s="47"/>
      <c r="DM97" s="47"/>
      <c r="DN97" s="47"/>
      <c r="DP97" s="45">
        <f t="shared" si="21"/>
        <v>32.101100000000002</v>
      </c>
      <c r="DQ97" s="45">
        <f t="shared" si="22"/>
        <v>29.30221075</v>
      </c>
      <c r="DR97" s="45">
        <f t="shared" si="29"/>
        <v>105</v>
      </c>
      <c r="DS97" s="48"/>
      <c r="DT97" s="45">
        <f t="shared" si="23"/>
        <v>86.765000000000015</v>
      </c>
      <c r="DU97" s="45">
        <f t="shared" si="24"/>
        <v>95.84705666666666</v>
      </c>
      <c r="DV97" s="45">
        <f t="shared" si="25"/>
        <v>19.242187500000004</v>
      </c>
      <c r="DW97" s="45">
        <f t="shared" si="26"/>
        <v>0</v>
      </c>
      <c r="DX97" s="47">
        <f t="shared" si="27"/>
        <v>368.25755491666666</v>
      </c>
      <c r="DY97" s="50">
        <f t="shared" si="28"/>
        <v>0</v>
      </c>
      <c r="EA97" s="51">
        <f t="shared" si="35"/>
        <v>8.7170241510087121E-2</v>
      </c>
      <c r="EB97" s="51">
        <f t="shared" si="35"/>
        <v>7.9569883519785015E-2</v>
      </c>
      <c r="EC97" s="51">
        <f t="shared" si="35"/>
        <v>0.28512653331378507</v>
      </c>
      <c r="ED97" s="48"/>
      <c r="EE97" s="51">
        <f t="shared" si="36"/>
        <v>0.23560955869495778</v>
      </c>
      <c r="EF97" s="51">
        <f t="shared" si="36"/>
        <v>0.26027179995901506</v>
      </c>
      <c r="EG97" s="51">
        <f t="shared" si="36"/>
        <v>5.2251983002370002E-2</v>
      </c>
      <c r="EH97" s="52">
        <f t="shared" si="30"/>
        <v>0</v>
      </c>
      <c r="EI97" s="51">
        <f t="shared" si="31"/>
        <v>1</v>
      </c>
      <c r="EK97" s="53">
        <f>EA97*'[2]Renewable Diesel'!BF106*'[2]Feedstock Conversion Rates'!B$2</f>
        <v>26.774014316896825</v>
      </c>
      <c r="EL97" s="53">
        <f>EB97*'[2]Renewable Diesel'!BF106*'[2]Feedstock Conversion Rates'!B$3</f>
        <v>23.03072208886811</v>
      </c>
      <c r="EM97" s="53">
        <f>EC97*'[2]Renewable Diesel'!BF106*'[2]Feedstock Conversion Rates'!B$4</f>
        <v>77.272544534597202</v>
      </c>
      <c r="EN97" s="48"/>
      <c r="EO97" s="53">
        <f>EE97*'[2]Renewable Diesel'!BF106*'[2]Feedstock Conversion Rates'!B$6</f>
        <v>79.858667711728003</v>
      </c>
      <c r="EP97" s="53">
        <f>EF97*'[2]Renewable Diesel'!BF106*'[2]Feedstock Conversion Rates'!B$7</f>
        <v>86.524930519393735</v>
      </c>
      <c r="EQ97" s="53">
        <f>EG97*'[2]Renewable Diesel'!BF106*'[2]Feedstock Conversion Rates'!B$8</f>
        <v>17.701104649247856</v>
      </c>
      <c r="ER97" s="53">
        <f>EH97*'[2]Renewable Diesel'!BF106*'[2]Feedstock Conversion Rates'!B$9</f>
        <v>0</v>
      </c>
      <c r="ES97" s="53">
        <f t="shared" si="32"/>
        <v>311.16198382073168</v>
      </c>
    </row>
    <row r="98" spans="1:149" x14ac:dyDescent="0.25">
      <c r="A98" s="39">
        <v>43405</v>
      </c>
      <c r="B98" s="45">
        <v>35</v>
      </c>
      <c r="C98" s="46"/>
      <c r="D98" s="45">
        <v>0</v>
      </c>
      <c r="E98" s="45">
        <f>('[2]Renewable Diesel'!B107*E$3*'[2]Feedstock Conversion Rates'!$B$2)/12</f>
        <v>37.796666666666667</v>
      </c>
      <c r="F98" s="45">
        <f>('[2]Renewable Diesel'!B107*'[2]RD Feedstock Breakdown'!F$3*'[2]Feedstock Conversion Rates'!B$8)/12</f>
        <v>22.65625</v>
      </c>
      <c r="G98" s="45">
        <f>('[2]Renewable Diesel'!B107*'[2]RD Feedstock Breakdown'!G$3*'[2]Feedstock Conversion Rates'!B$7)/12</f>
        <v>74.036999999999992</v>
      </c>
      <c r="H98" s="45">
        <f>('[2]Renewable Diesel'!B107*'[2]RD Feedstock Breakdown'!H$3*'[2]Feedstock Conversion Rates'!B$3)/12-35</f>
        <v>39.139224999999996</v>
      </c>
      <c r="I98" s="47">
        <f t="shared" si="33"/>
        <v>208.62914166666667</v>
      </c>
      <c r="J98" s="47"/>
      <c r="K98" s="48"/>
      <c r="L98" s="47"/>
      <c r="R98" s="45">
        <f>('[2]Renewable Diesel'!D107*'[2]RD Feedstock Breakdown'!R$3*'[2]Feedstock Conversion Rates'!B$7)/12</f>
        <v>2.2999999999999998</v>
      </c>
      <c r="S98" s="47">
        <f t="shared" si="19"/>
        <v>2.2999999999999998</v>
      </c>
      <c r="T98" s="48"/>
      <c r="U98" s="47"/>
      <c r="Z98" s="45">
        <f>('[2]Renewable Diesel'!F107*'[2]RD Feedstock Breakdown'!Z$3*'[2]Feedstock Conversion Rates'!B$6)/12</f>
        <v>44.555000000000007</v>
      </c>
      <c r="AA98" s="45">
        <f>('[2]Renewable Diesel'!F107*'[2]RD Feedstock Breakdown'!AA$3*'[2]Feedstock Conversion Rates'!B$7)/12</f>
        <v>29.133333333333329</v>
      </c>
      <c r="AB98" s="47">
        <f t="shared" si="17"/>
        <v>73.688333333333333</v>
      </c>
      <c r="AC98" s="49"/>
      <c r="AG98" s="49"/>
      <c r="AI98" s="45">
        <f>('[2]Renewable Diesel'!H107*'[2]RD Feedstock Breakdown'!AI$3*'[2]Feedstock Conversion Rates'!B$6)/12</f>
        <v>39.083333333333336</v>
      </c>
      <c r="AJ98" s="47">
        <f t="shared" si="18"/>
        <v>39.083333333333336</v>
      </c>
      <c r="AK98" s="45">
        <f>('[2]Renewable Diesel'!J107*'[2]RD Feedstock Breakdown'!AK$3*'[2]Feedstock Conversion Rates'!B$4)/12</f>
        <v>62.5</v>
      </c>
      <c r="AL98" s="47">
        <f t="shared" si="20"/>
        <v>62.5</v>
      </c>
      <c r="AT98" s="49"/>
      <c r="BJ98" s="45">
        <f>('[2]Renewable Diesel'!W107*'[2]RD Feedstock Breakdown'!BJ$3*'[2]Feedstock Conversion Rates'!B$4)/12</f>
        <v>7.5</v>
      </c>
      <c r="BK98" s="45">
        <f>('[2]Renewable Diesel'!W107*'[2]RD Feedstock Breakdown'!BK$3*'[2]Feedstock Conversion Rates'!B$3)/12</f>
        <v>1.335</v>
      </c>
      <c r="BL98" s="45">
        <f>('[2]Renewable Diesel'!W107*'[2]RD Feedstock Breakdown'!BL$3*'[2]Feedstock Conversion Rates'!B$6)/12</f>
        <v>3.1266666666666669</v>
      </c>
      <c r="BM98" s="45">
        <f>('[2]Renewable Diesel'!W107*'[2]RD Feedstock Breakdown'!BM$3*'[2]Feedstock Conversion Rates'!B$7)/12</f>
        <v>1.5333333333333332</v>
      </c>
      <c r="BN98" s="47">
        <f t="shared" si="34"/>
        <v>13.495000000000001</v>
      </c>
      <c r="BO98" s="47"/>
      <c r="BP98" s="47"/>
      <c r="BQ98" s="47"/>
      <c r="BR98" s="47"/>
      <c r="BS98" s="47"/>
      <c r="BT98" s="47"/>
      <c r="BU98" s="47"/>
      <c r="BV98" s="47"/>
      <c r="BW98" s="47"/>
      <c r="BX98" s="48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8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8"/>
      <c r="DE98" s="47"/>
      <c r="DF98" s="47"/>
      <c r="DG98" s="47"/>
      <c r="DH98" s="47"/>
      <c r="DI98" s="47"/>
      <c r="DJ98" s="48"/>
      <c r="DK98" s="47"/>
      <c r="DL98" s="47"/>
      <c r="DM98" s="47"/>
      <c r="DN98" s="47"/>
      <c r="DP98" s="45">
        <f t="shared" si="21"/>
        <v>37.796666666666667</v>
      </c>
      <c r="DQ98" s="45">
        <f t="shared" si="22"/>
        <v>40.474224999999997</v>
      </c>
      <c r="DR98" s="45">
        <f t="shared" si="29"/>
        <v>105</v>
      </c>
      <c r="DS98" s="48"/>
      <c r="DT98" s="45">
        <f t="shared" si="23"/>
        <v>86.765000000000015</v>
      </c>
      <c r="DU98" s="45">
        <f t="shared" si="24"/>
        <v>107.00366666666665</v>
      </c>
      <c r="DV98" s="45">
        <f t="shared" si="25"/>
        <v>22.65625</v>
      </c>
      <c r="DW98" s="45">
        <f t="shared" si="26"/>
        <v>0</v>
      </c>
      <c r="DX98" s="47">
        <f t="shared" si="27"/>
        <v>399.69580833333328</v>
      </c>
      <c r="DY98" s="50">
        <f t="shared" si="28"/>
        <v>5.6843418860808015E-14</v>
      </c>
      <c r="EA98" s="51">
        <f t="shared" si="35"/>
        <v>9.4563580299409797E-2</v>
      </c>
      <c r="EB98" s="51">
        <f t="shared" si="35"/>
        <v>0.10126257057528562</v>
      </c>
      <c r="EC98" s="51">
        <f t="shared" si="35"/>
        <v>0.26269977770803499</v>
      </c>
      <c r="ED98" s="48"/>
      <c r="EE98" s="51">
        <f t="shared" si="36"/>
        <v>0.21707758297940627</v>
      </c>
      <c r="EF98" s="51">
        <f t="shared" si="36"/>
        <v>0.26771275664074284</v>
      </c>
      <c r="EG98" s="51">
        <f t="shared" si="36"/>
        <v>5.6683731797120641E-2</v>
      </c>
      <c r="EH98" s="52">
        <f t="shared" si="30"/>
        <v>0</v>
      </c>
      <c r="EI98" s="51">
        <f t="shared" si="31"/>
        <v>1.0000000000000002</v>
      </c>
      <c r="EK98" s="53">
        <f>EA98*'[2]Renewable Diesel'!BF107*'[2]Feedstock Conversion Rates'!B$2</f>
        <v>29.759923597743516</v>
      </c>
      <c r="EL98" s="53">
        <f>EB98*'[2]Renewable Diesel'!BF107*'[2]Feedstock Conversion Rates'!B$3</f>
        <v>30.031044903409331</v>
      </c>
      <c r="EM98" s="53">
        <f>EC98*'[2]Renewable Diesel'!BF107*'[2]Feedstock Conversion Rates'!B$4</f>
        <v>72.947421963415238</v>
      </c>
      <c r="EN98" s="48"/>
      <c r="EO98" s="53">
        <f>EE98*'[2]Renewable Diesel'!BF107*'[2]Feedstock Conversion Rates'!B$6</f>
        <v>75.388793860610406</v>
      </c>
      <c r="EP98" s="53">
        <f>EF98*'[2]Renewable Diesel'!BF107*'[2]Feedstock Conversion Rates'!B$7</f>
        <v>91.189718019665818</v>
      </c>
      <c r="EQ98" s="53">
        <f>EG98*'[2]Renewable Diesel'!BF107*'[2]Feedstock Conversion Rates'!B$8</f>
        <v>19.675178914983647</v>
      </c>
      <c r="ER98" s="53">
        <f>EH98*'[2]Renewable Diesel'!BF107*'[2]Feedstock Conversion Rates'!B$9</f>
        <v>0</v>
      </c>
      <c r="ES98" s="53">
        <f t="shared" si="32"/>
        <v>318.99208125982796</v>
      </c>
    </row>
    <row r="99" spans="1:149" x14ac:dyDescent="0.25">
      <c r="A99" s="39">
        <v>43435</v>
      </c>
      <c r="B99" s="45">
        <v>35</v>
      </c>
      <c r="C99" s="46"/>
      <c r="D99" s="45">
        <v>0</v>
      </c>
      <c r="E99" s="45">
        <f>('[2]Renewable Diesel'!B108*E$3*'[2]Feedstock Conversion Rates'!$B$2)/12</f>
        <v>37.796666666666667</v>
      </c>
      <c r="F99" s="45">
        <f>('[2]Renewable Diesel'!B108*'[2]RD Feedstock Breakdown'!F$3*'[2]Feedstock Conversion Rates'!B$8)/12</f>
        <v>22.65625</v>
      </c>
      <c r="G99" s="45">
        <f>('[2]Renewable Diesel'!B108*'[2]RD Feedstock Breakdown'!G$3*'[2]Feedstock Conversion Rates'!B$7)/12</f>
        <v>74.036999999999992</v>
      </c>
      <c r="H99" s="45">
        <f>('[2]Renewable Diesel'!B108*'[2]RD Feedstock Breakdown'!H$3*'[2]Feedstock Conversion Rates'!B$3)/12-35</f>
        <v>39.139224999999996</v>
      </c>
      <c r="I99" s="47">
        <f t="shared" si="33"/>
        <v>208.62914166666667</v>
      </c>
      <c r="J99" s="47"/>
      <c r="K99" s="48"/>
      <c r="L99" s="47"/>
      <c r="R99" s="45">
        <f>('[2]Renewable Diesel'!D108*'[2]RD Feedstock Breakdown'!R$3*'[2]Feedstock Conversion Rates'!B$7)/12</f>
        <v>2.2999999999999998</v>
      </c>
      <c r="S99" s="47">
        <f t="shared" si="19"/>
        <v>2.2999999999999998</v>
      </c>
      <c r="T99" s="48"/>
      <c r="U99" s="47"/>
      <c r="Z99" s="45">
        <f>('[2]Renewable Diesel'!F108*'[2]RD Feedstock Breakdown'!Z$3*'[2]Feedstock Conversion Rates'!B$6)/12</f>
        <v>44.555000000000007</v>
      </c>
      <c r="AA99" s="45">
        <f>('[2]Renewable Diesel'!F108*'[2]RD Feedstock Breakdown'!AA$3*'[2]Feedstock Conversion Rates'!B$7)/12</f>
        <v>29.133333333333329</v>
      </c>
      <c r="AB99" s="47">
        <f t="shared" si="17"/>
        <v>73.688333333333333</v>
      </c>
      <c r="AC99" s="49"/>
      <c r="AG99" s="49"/>
      <c r="AI99" s="45">
        <f>('[2]Renewable Diesel'!H108*'[2]RD Feedstock Breakdown'!AI$3*'[2]Feedstock Conversion Rates'!B$6)/12</f>
        <v>39.083333333333336</v>
      </c>
      <c r="AJ99" s="47">
        <f t="shared" si="18"/>
        <v>39.083333333333336</v>
      </c>
      <c r="AK99" s="45">
        <f>('[2]Renewable Diesel'!J108*'[2]RD Feedstock Breakdown'!AK$3*'[2]Feedstock Conversion Rates'!B$4)/12</f>
        <v>62.5</v>
      </c>
      <c r="AL99" s="47">
        <f t="shared" si="20"/>
        <v>62.5</v>
      </c>
      <c r="AT99" s="49"/>
      <c r="BJ99" s="45">
        <f>('[2]Renewable Diesel'!W108*'[2]RD Feedstock Breakdown'!BJ$3*'[2]Feedstock Conversion Rates'!B$4)/12</f>
        <v>7.5</v>
      </c>
      <c r="BK99" s="45">
        <f>('[2]Renewable Diesel'!W108*'[2]RD Feedstock Breakdown'!BK$3*'[2]Feedstock Conversion Rates'!B$3)/12</f>
        <v>1.335</v>
      </c>
      <c r="BL99" s="45">
        <f>('[2]Renewable Diesel'!W108*'[2]RD Feedstock Breakdown'!BL$3*'[2]Feedstock Conversion Rates'!B$6)/12</f>
        <v>3.1266666666666669</v>
      </c>
      <c r="BM99" s="45">
        <f>('[2]Renewable Diesel'!W108*'[2]RD Feedstock Breakdown'!BM$3*'[2]Feedstock Conversion Rates'!B$7)/12</f>
        <v>1.5333333333333332</v>
      </c>
      <c r="BN99" s="47">
        <f t="shared" si="34"/>
        <v>13.495000000000001</v>
      </c>
      <c r="BO99" s="47"/>
      <c r="BP99" s="47"/>
      <c r="BQ99" s="47"/>
      <c r="BR99" s="47"/>
      <c r="BS99" s="47"/>
      <c r="BT99" s="47"/>
      <c r="BU99" s="47"/>
      <c r="BV99" s="47"/>
      <c r="BW99" s="47"/>
      <c r="BX99" s="48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8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8"/>
      <c r="DE99" s="47"/>
      <c r="DF99" s="47"/>
      <c r="DG99" s="47"/>
      <c r="DH99" s="47"/>
      <c r="DI99" s="47"/>
      <c r="DJ99" s="48"/>
      <c r="DK99" s="47"/>
      <c r="DL99" s="47"/>
      <c r="DM99" s="47"/>
      <c r="DN99" s="47"/>
      <c r="DP99" s="45">
        <f t="shared" si="21"/>
        <v>37.796666666666667</v>
      </c>
      <c r="DQ99" s="45">
        <f t="shared" si="22"/>
        <v>40.474224999999997</v>
      </c>
      <c r="DR99" s="45">
        <f t="shared" si="29"/>
        <v>105</v>
      </c>
      <c r="DS99" s="48"/>
      <c r="DT99" s="45">
        <f t="shared" si="23"/>
        <v>86.765000000000015</v>
      </c>
      <c r="DU99" s="45">
        <f t="shared" si="24"/>
        <v>107.00366666666665</v>
      </c>
      <c r="DV99" s="45">
        <f t="shared" si="25"/>
        <v>22.65625</v>
      </c>
      <c r="DW99" s="45">
        <f t="shared" si="26"/>
        <v>0</v>
      </c>
      <c r="DX99" s="47">
        <f t="shared" si="27"/>
        <v>399.69580833333328</v>
      </c>
      <c r="DY99" s="50">
        <f t="shared" si="28"/>
        <v>5.6843418860808015E-14</v>
      </c>
      <c r="EA99" s="51">
        <f t="shared" si="35"/>
        <v>9.4563580299409797E-2</v>
      </c>
      <c r="EB99" s="51">
        <f t="shared" si="35"/>
        <v>0.10126257057528562</v>
      </c>
      <c r="EC99" s="51">
        <f t="shared" si="35"/>
        <v>0.26269977770803499</v>
      </c>
      <c r="ED99" s="48"/>
      <c r="EE99" s="51">
        <f t="shared" si="36"/>
        <v>0.21707758297940627</v>
      </c>
      <c r="EF99" s="51">
        <f t="shared" si="36"/>
        <v>0.26771275664074284</v>
      </c>
      <c r="EG99" s="51">
        <f t="shared" si="36"/>
        <v>5.6683731797120641E-2</v>
      </c>
      <c r="EH99" s="52">
        <f t="shared" si="30"/>
        <v>0</v>
      </c>
      <c r="EI99" s="51">
        <f t="shared" si="31"/>
        <v>1.0000000000000002</v>
      </c>
      <c r="EK99" s="53">
        <f>EA99*'[2]Renewable Diesel'!BF108*'[2]Feedstock Conversion Rates'!B$2</f>
        <v>36.35718709682908</v>
      </c>
      <c r="EL99" s="53">
        <f>EB99*'[2]Renewable Diesel'!BF108*'[2]Feedstock Conversion Rates'!B$3</f>
        <v>36.688411335481895</v>
      </c>
      <c r="EM99" s="53">
        <f>EC99*'[2]Renewable Diesel'!BF108*'[2]Feedstock Conversion Rates'!B$4</f>
        <v>89.11861147238703</v>
      </c>
      <c r="EN99" s="48"/>
      <c r="EO99" s="53">
        <f>EE99*'[2]Renewable Diesel'!BF108*'[2]Feedstock Conversion Rates'!B$6</f>
        <v>92.101193552873127</v>
      </c>
      <c r="EP99" s="53">
        <f>EF99*'[2]Renewable Diesel'!BF108*'[2]Feedstock Conversion Rates'!B$7</f>
        <v>111.40491098570763</v>
      </c>
      <c r="EQ99" s="53">
        <f>EG99*'[2]Renewable Diesel'!BF108*'[2]Feedstock Conversion Rates'!B$8</f>
        <v>24.03682787108653</v>
      </c>
      <c r="ER99" s="53">
        <f>EH99*'[2]Renewable Diesel'!BF108*'[2]Feedstock Conversion Rates'!B$9</f>
        <v>0</v>
      </c>
      <c r="ES99" s="53">
        <f t="shared" si="32"/>
        <v>389.70714231436529</v>
      </c>
    </row>
    <row r="100" spans="1:149" x14ac:dyDescent="0.25">
      <c r="A100" s="39">
        <v>43466</v>
      </c>
      <c r="B100" s="45">
        <f>45+15</f>
        <v>60</v>
      </c>
      <c r="C100" s="46"/>
      <c r="D100" s="45">
        <v>0</v>
      </c>
      <c r="E100" s="45">
        <f>('[2]Renewable Diesel'!B109*E$3*'[2]Feedstock Conversion Rates'!$B$2)/12-15</f>
        <v>22.796666666666667</v>
      </c>
      <c r="F100" s="45">
        <f>('[2]Renewable Diesel'!B109*'[2]RD Feedstock Breakdown'!F$3*'[2]Feedstock Conversion Rates'!B$8)/12</f>
        <v>22.65625</v>
      </c>
      <c r="G100" s="45">
        <f>('[2]Renewable Diesel'!B109*'[2]RD Feedstock Breakdown'!G$3*'[2]Feedstock Conversion Rates'!B$7)/12</f>
        <v>74.036999999999992</v>
      </c>
      <c r="H100" s="45">
        <f>('[2]Renewable Diesel'!B109*'[2]RD Feedstock Breakdown'!H$3*'[2]Feedstock Conversion Rates'!B$3)/12-45</f>
        <v>29.139224999999996</v>
      </c>
      <c r="I100" s="47">
        <f t="shared" si="33"/>
        <v>208.62914166666667</v>
      </c>
      <c r="J100" s="47"/>
      <c r="K100" s="48"/>
      <c r="L100" s="47"/>
      <c r="R100" s="45">
        <f>('[2]Renewable Diesel'!D109*'[2]RD Feedstock Breakdown'!R$3*'[2]Feedstock Conversion Rates'!B$7)/12</f>
        <v>2.2999999999999998</v>
      </c>
      <c r="S100" s="47">
        <f t="shared" si="19"/>
        <v>2.2999999999999998</v>
      </c>
      <c r="T100" s="48"/>
      <c r="U100" s="47"/>
      <c r="Z100" s="45">
        <f>('[2]Renewable Diesel'!F109*'[2]RD Feedstock Breakdown'!Z$3*'[2]Feedstock Conversion Rates'!B$6)/12</f>
        <v>44.555000000000007</v>
      </c>
      <c r="AA100" s="45">
        <f>('[2]Renewable Diesel'!F109*'[2]RD Feedstock Breakdown'!AA$3*'[2]Feedstock Conversion Rates'!B$7)/12</f>
        <v>29.133333333333329</v>
      </c>
      <c r="AB100" s="47">
        <f t="shared" si="17"/>
        <v>73.688333333333333</v>
      </c>
      <c r="AC100" s="49"/>
      <c r="AG100" s="49"/>
      <c r="AI100" s="45">
        <f>('[2]Renewable Diesel'!H109*'[2]RD Feedstock Breakdown'!AI$3*'[2]Feedstock Conversion Rates'!B$6)/12</f>
        <v>39.083333333333336</v>
      </c>
      <c r="AJ100" s="47">
        <f t="shared" si="18"/>
        <v>39.083333333333336</v>
      </c>
      <c r="AK100" s="45">
        <f>('[2]Renewable Diesel'!J109*'[2]RD Feedstock Breakdown'!AK$3*'[2]Feedstock Conversion Rates'!B$4)/12</f>
        <v>62.5</v>
      </c>
      <c r="AL100" s="47">
        <f t="shared" si="20"/>
        <v>62.5</v>
      </c>
      <c r="AT100" s="49"/>
      <c r="BJ100" s="45">
        <f>('[2]Renewable Diesel'!W109*'[2]RD Feedstock Breakdown'!BJ$3*'[2]Feedstock Conversion Rates'!B$4)/12+0.75-0.25</f>
        <v>8</v>
      </c>
      <c r="BK100" s="45">
        <f>('[2]Renewable Diesel'!W109*'[2]RD Feedstock Breakdown'!BK$3*'[2]Feedstock Conversion Rates'!B$3)/12-0.75+0.25</f>
        <v>0.83499999999999996</v>
      </c>
      <c r="BL100" s="45">
        <f>('[2]Renewable Diesel'!W109*'[2]RD Feedstock Breakdown'!BL$3*'[2]Feedstock Conversion Rates'!B$6)/12</f>
        <v>3.1266666666666669</v>
      </c>
      <c r="BM100" s="45">
        <f>('[2]Renewable Diesel'!W109*'[2]RD Feedstock Breakdown'!BM$3*'[2]Feedstock Conversion Rates'!B$7)/12</f>
        <v>1.5333333333333332</v>
      </c>
      <c r="BN100" s="47">
        <f t="shared" si="34"/>
        <v>13.495000000000001</v>
      </c>
      <c r="BO100" s="47"/>
      <c r="BP100" s="47"/>
      <c r="BQ100" s="47"/>
      <c r="BR100" s="47"/>
      <c r="BS100" s="47"/>
      <c r="BT100" s="47"/>
      <c r="BU100" s="47"/>
      <c r="BV100" s="47"/>
      <c r="BW100" s="47"/>
      <c r="BX100" s="48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8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8"/>
      <c r="DE100" s="47"/>
      <c r="DF100" s="47"/>
      <c r="DG100" s="47"/>
      <c r="DH100" s="47"/>
      <c r="DI100" s="47"/>
      <c r="DJ100" s="48"/>
      <c r="DK100" s="47"/>
      <c r="DL100" s="47"/>
      <c r="DM100" s="47"/>
      <c r="DN100" s="47"/>
      <c r="DP100" s="45">
        <f t="shared" si="21"/>
        <v>22.796666666666667</v>
      </c>
      <c r="DQ100" s="45">
        <f t="shared" si="22"/>
        <v>29.974224999999997</v>
      </c>
      <c r="DR100" s="45">
        <f t="shared" si="29"/>
        <v>130.5</v>
      </c>
      <c r="DS100" s="48"/>
      <c r="DT100" s="45">
        <f t="shared" si="23"/>
        <v>86.765000000000015</v>
      </c>
      <c r="DU100" s="45">
        <f t="shared" si="24"/>
        <v>107.00366666666665</v>
      </c>
      <c r="DV100" s="45">
        <f t="shared" si="25"/>
        <v>22.65625</v>
      </c>
      <c r="DW100" s="45">
        <f t="shared" si="26"/>
        <v>0</v>
      </c>
      <c r="DX100" s="47">
        <f t="shared" si="27"/>
        <v>399.69580833333328</v>
      </c>
      <c r="DY100" s="50">
        <f t="shared" si="28"/>
        <v>5.6843418860808015E-14</v>
      </c>
      <c r="EA100" s="51">
        <f t="shared" si="35"/>
        <v>5.7035040626833372E-2</v>
      </c>
      <c r="EB100" s="51">
        <f t="shared" si="35"/>
        <v>7.499259280448213E-2</v>
      </c>
      <c r="EC100" s="51">
        <f t="shared" si="35"/>
        <v>0.32649829515141487</v>
      </c>
      <c r="ED100" s="48"/>
      <c r="EE100" s="51">
        <f t="shared" si="36"/>
        <v>0.21707758297940627</v>
      </c>
      <c r="EF100" s="51">
        <f t="shared" si="36"/>
        <v>0.26771275664074284</v>
      </c>
      <c r="EG100" s="51">
        <f t="shared" si="36"/>
        <v>5.6683731797120641E-2</v>
      </c>
      <c r="EH100" s="52">
        <f t="shared" si="30"/>
        <v>0</v>
      </c>
      <c r="EI100" s="51">
        <f t="shared" si="31"/>
        <v>1.0000000000000002</v>
      </c>
      <c r="EK100" s="53">
        <f>(EA100*'[2]Renewable Diesel'!BF109*'[2]Feedstock Conversion Rates'!B$2)+FB100</f>
        <v>16.337736352138798</v>
      </c>
      <c r="EL100" s="53">
        <f>(EB100*'[2]Renewable Diesel'!BF109*'[2]Feedstock Conversion Rates'!B$3)+FC100</f>
        <v>20.243336193620998</v>
      </c>
      <c r="EM100" s="53">
        <f>(EC100*'[2]Renewable Diesel'!BF109*'[2]Feedstock Conversion Rates'!B$4)+FD100</f>
        <v>82.522691421978678</v>
      </c>
      <c r="EN100" s="48"/>
      <c r="EO100" s="53">
        <f>(EE100*'[2]Renewable Diesel'!BF109*'[2]Feedstock Conversion Rates'!B$6)+FF100</f>
        <v>68.619732100248754</v>
      </c>
      <c r="EP100" s="53">
        <f>(EF100*'[2]Renewable Diesel'!BF109*'[2]Feedstock Conversion Rates'!B$7)+FG100</f>
        <v>83.001911827589367</v>
      </c>
      <c r="EQ100" s="53">
        <f>(EG100*'[2]Renewable Diesel'!BF109*'[2]Feedstock Conversion Rates'!B$8)+FH100</f>
        <v>17.908570187061347</v>
      </c>
      <c r="ER100" s="53">
        <f>(EH100*'[2]Renewable Diesel'!BF109*'[2]Feedstock Conversion Rates'!B$9)+FI100</f>
        <v>0</v>
      </c>
      <c r="ES100" s="53">
        <f t="shared" si="32"/>
        <v>288.63397808263795</v>
      </c>
    </row>
    <row r="101" spans="1:149" x14ac:dyDescent="0.25">
      <c r="A101" s="39">
        <v>43497</v>
      </c>
      <c r="B101" s="45">
        <f t="shared" ref="B101:B108" si="37">45+15</f>
        <v>60</v>
      </c>
      <c r="C101" s="46"/>
      <c r="D101" s="45">
        <v>0</v>
      </c>
      <c r="E101" s="45">
        <f>('[2]Renewable Diesel'!B110*E$3*'[2]Feedstock Conversion Rates'!$B$2)/12-15</f>
        <v>22.796666666666667</v>
      </c>
      <c r="F101" s="45">
        <f>('[2]Renewable Diesel'!B110*'[2]RD Feedstock Breakdown'!F$3*'[2]Feedstock Conversion Rates'!B$8)/12</f>
        <v>22.65625</v>
      </c>
      <c r="G101" s="45">
        <f>('[2]Renewable Diesel'!B110*'[2]RD Feedstock Breakdown'!G$3*'[2]Feedstock Conversion Rates'!B$7)/12</f>
        <v>74.036999999999992</v>
      </c>
      <c r="H101" s="45">
        <f>('[2]Renewable Diesel'!B110*'[2]RD Feedstock Breakdown'!H$3*'[2]Feedstock Conversion Rates'!B$3)/12-45</f>
        <v>29.139224999999996</v>
      </c>
      <c r="I101" s="47">
        <f t="shared" si="33"/>
        <v>208.62914166666667</v>
      </c>
      <c r="J101" s="47"/>
      <c r="K101" s="48"/>
      <c r="L101" s="47"/>
      <c r="R101" s="45">
        <f>('[2]Renewable Diesel'!D110*'[2]RD Feedstock Breakdown'!R$3*'[2]Feedstock Conversion Rates'!B$7)/12</f>
        <v>2.2999999999999998</v>
      </c>
      <c r="S101" s="47">
        <f t="shared" si="19"/>
        <v>2.2999999999999998</v>
      </c>
      <c r="T101" s="48"/>
      <c r="U101" s="47"/>
      <c r="Z101" s="45">
        <f>('[2]Renewable Diesel'!F110*'[2]RD Feedstock Breakdown'!Z$3*'[2]Feedstock Conversion Rates'!B$6)/12</f>
        <v>44.555000000000007</v>
      </c>
      <c r="AA101" s="45">
        <f>('[2]Renewable Diesel'!F110*'[2]RD Feedstock Breakdown'!AA$3*'[2]Feedstock Conversion Rates'!B$7)/12</f>
        <v>29.133333333333329</v>
      </c>
      <c r="AB101" s="47">
        <f t="shared" si="17"/>
        <v>73.688333333333333</v>
      </c>
      <c r="AC101" s="49"/>
      <c r="AG101" s="49"/>
      <c r="AI101" s="45">
        <f>('[2]Renewable Diesel'!H110*'[2]RD Feedstock Breakdown'!AI$3*'[2]Feedstock Conversion Rates'!B$6)/12</f>
        <v>39.083333333333336</v>
      </c>
      <c r="AJ101" s="47">
        <f t="shared" si="18"/>
        <v>39.083333333333336</v>
      </c>
      <c r="AK101" s="45">
        <f>('[2]Renewable Diesel'!J110*'[2]RD Feedstock Breakdown'!AK$3*'[2]Feedstock Conversion Rates'!B$4)/12</f>
        <v>62.5</v>
      </c>
      <c r="AL101" s="47">
        <f t="shared" si="20"/>
        <v>62.5</v>
      </c>
      <c r="AT101" s="49"/>
      <c r="BJ101" s="45">
        <f>('[2]Renewable Diesel'!W110*'[2]RD Feedstock Breakdown'!BJ$3*'[2]Feedstock Conversion Rates'!B$4)/12+0.75-0.25</f>
        <v>8</v>
      </c>
      <c r="BK101" s="45">
        <f>('[2]Renewable Diesel'!W110*'[2]RD Feedstock Breakdown'!BK$3*'[2]Feedstock Conversion Rates'!B$3)/12-0.75+0.25</f>
        <v>0.83499999999999996</v>
      </c>
      <c r="BL101" s="45">
        <f>('[2]Renewable Diesel'!W110*'[2]RD Feedstock Breakdown'!BL$3*'[2]Feedstock Conversion Rates'!B$6)/12</f>
        <v>3.1266666666666669</v>
      </c>
      <c r="BM101" s="45">
        <f>('[2]Renewable Diesel'!W110*'[2]RD Feedstock Breakdown'!BM$3*'[2]Feedstock Conversion Rates'!B$7)/12</f>
        <v>1.5333333333333332</v>
      </c>
      <c r="BN101" s="47">
        <f t="shared" si="34"/>
        <v>13.495000000000001</v>
      </c>
      <c r="BO101" s="47"/>
      <c r="BP101" s="47"/>
      <c r="BQ101" s="47"/>
      <c r="BR101" s="47"/>
      <c r="BS101" s="47"/>
      <c r="BT101" s="47"/>
      <c r="BU101" s="47"/>
      <c r="BV101" s="47"/>
      <c r="BW101" s="47"/>
      <c r="BX101" s="48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8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8"/>
      <c r="DE101" s="47"/>
      <c r="DF101" s="47"/>
      <c r="DG101" s="47"/>
      <c r="DH101" s="47"/>
      <c r="DI101" s="47"/>
      <c r="DJ101" s="48"/>
      <c r="DK101" s="47"/>
      <c r="DL101" s="47"/>
      <c r="DM101" s="47"/>
      <c r="DN101" s="47"/>
      <c r="DP101" s="45">
        <f t="shared" si="21"/>
        <v>22.796666666666667</v>
      </c>
      <c r="DQ101" s="45">
        <f t="shared" si="22"/>
        <v>29.974224999999997</v>
      </c>
      <c r="DR101" s="45">
        <f t="shared" si="29"/>
        <v>130.5</v>
      </c>
      <c r="DS101" s="48"/>
      <c r="DT101" s="45">
        <f t="shared" si="23"/>
        <v>86.765000000000015</v>
      </c>
      <c r="DU101" s="45">
        <f t="shared" si="24"/>
        <v>107.00366666666665</v>
      </c>
      <c r="DV101" s="45">
        <f t="shared" si="25"/>
        <v>22.65625</v>
      </c>
      <c r="DW101" s="45">
        <f t="shared" si="26"/>
        <v>0</v>
      </c>
      <c r="DX101" s="47">
        <f t="shared" si="27"/>
        <v>399.69580833333328</v>
      </c>
      <c r="DY101" s="50">
        <f t="shared" si="28"/>
        <v>5.6843418860808015E-14</v>
      </c>
      <c r="EA101" s="51">
        <f t="shared" si="35"/>
        <v>5.7035040626833372E-2</v>
      </c>
      <c r="EB101" s="51">
        <f t="shared" si="35"/>
        <v>7.499259280448213E-2</v>
      </c>
      <c r="EC101" s="51">
        <f t="shared" si="35"/>
        <v>0.32649829515141487</v>
      </c>
      <c r="ED101" s="48"/>
      <c r="EE101" s="51">
        <f t="shared" si="36"/>
        <v>0.21707758297940627</v>
      </c>
      <c r="EF101" s="51">
        <f t="shared" si="36"/>
        <v>0.26771275664074284</v>
      </c>
      <c r="EG101" s="51">
        <f t="shared" si="36"/>
        <v>5.6683731797120641E-2</v>
      </c>
      <c r="EH101" s="52">
        <f t="shared" si="30"/>
        <v>0</v>
      </c>
      <c r="EI101" s="51">
        <f t="shared" si="31"/>
        <v>1.0000000000000002</v>
      </c>
      <c r="EK101" s="53">
        <f>(EA101*'[2]Renewable Diesel'!BF110*'[2]Feedstock Conversion Rates'!B$2)+FB101</f>
        <v>18.428726180386725</v>
      </c>
      <c r="EL101" s="53">
        <f>(EB101*'[2]Renewable Diesel'!BF110*'[2]Feedstock Conversion Rates'!B$3)+FC101</f>
        <v>22.834185327082704</v>
      </c>
      <c r="EM101" s="53">
        <f>(EC101*'[2]Renewable Diesel'!BF110*'[2]Feedstock Conversion Rates'!B$4)+FD101</f>
        <v>93.084381526643085</v>
      </c>
      <c r="EN101" s="48"/>
      <c r="EO101" s="53">
        <f>(EE101*'[2]Renewable Diesel'!BF110*'[2]Feedstock Conversion Rates'!B$6)+FF101</f>
        <v>77.402048006572869</v>
      </c>
      <c r="EP101" s="53">
        <f>(EF101*'[2]Renewable Diesel'!BF110*'[2]Feedstock Conversion Rates'!B$7)+FG101</f>
        <v>93.624935092002644</v>
      </c>
      <c r="EQ101" s="53">
        <f>(EG101*'[2]Renewable Diesel'!BF110*'[2]Feedstock Conversion Rates'!B$8)+FH101</f>
        <v>20.200603629913864</v>
      </c>
      <c r="ER101" s="53">
        <f>(EH101*'[2]Renewable Diesel'!BF110*'[2]Feedstock Conversion Rates'!B$9)+FI101</f>
        <v>0</v>
      </c>
      <c r="ES101" s="53">
        <f t="shared" si="32"/>
        <v>325.57487976260188</v>
      </c>
    </row>
    <row r="102" spans="1:149" x14ac:dyDescent="0.25">
      <c r="A102" s="39">
        <v>43525</v>
      </c>
      <c r="B102" s="45">
        <f t="shared" si="37"/>
        <v>60</v>
      </c>
      <c r="C102" s="46"/>
      <c r="D102" s="45">
        <v>0</v>
      </c>
      <c r="E102" s="45">
        <f>('[2]Renewable Diesel'!B111*E$3*'[2]Feedstock Conversion Rates'!$B$2)/12-15</f>
        <v>22.796666666666667</v>
      </c>
      <c r="F102" s="45">
        <f>('[2]Renewable Diesel'!B111*'[2]RD Feedstock Breakdown'!F$3*'[2]Feedstock Conversion Rates'!B$8)/12</f>
        <v>22.65625</v>
      </c>
      <c r="G102" s="45">
        <f>('[2]Renewable Diesel'!B111*'[2]RD Feedstock Breakdown'!G$3*'[2]Feedstock Conversion Rates'!B$7)/12</f>
        <v>74.036999999999992</v>
      </c>
      <c r="H102" s="45">
        <f>('[2]Renewable Diesel'!B111*'[2]RD Feedstock Breakdown'!H$3*'[2]Feedstock Conversion Rates'!B$3)/12-45</f>
        <v>29.139224999999996</v>
      </c>
      <c r="I102" s="47">
        <f t="shared" si="33"/>
        <v>208.62914166666667</v>
      </c>
      <c r="J102" s="47"/>
      <c r="K102" s="48"/>
      <c r="L102" s="47"/>
      <c r="R102" s="45">
        <f>('[2]Renewable Diesel'!D111*'[2]RD Feedstock Breakdown'!R$3*'[2]Feedstock Conversion Rates'!B$7)/12</f>
        <v>2.2999999999999998</v>
      </c>
      <c r="S102" s="47">
        <f t="shared" si="19"/>
        <v>2.2999999999999998</v>
      </c>
      <c r="T102" s="48"/>
      <c r="U102" s="47"/>
      <c r="Z102" s="45">
        <f>('[2]Renewable Diesel'!F111*'[2]RD Feedstock Breakdown'!Z$3*'[2]Feedstock Conversion Rates'!B$6)/12</f>
        <v>44.555000000000007</v>
      </c>
      <c r="AA102" s="45">
        <f>('[2]Renewable Diesel'!F111*'[2]RD Feedstock Breakdown'!AA$3*'[2]Feedstock Conversion Rates'!B$7)/12</f>
        <v>29.133333333333329</v>
      </c>
      <c r="AB102" s="47">
        <f t="shared" si="17"/>
        <v>73.688333333333333</v>
      </c>
      <c r="AC102" s="49"/>
      <c r="AG102" s="49"/>
      <c r="AI102" s="45">
        <f>('[2]Renewable Diesel'!H111*'[2]RD Feedstock Breakdown'!AI$3*'[2]Feedstock Conversion Rates'!B$6)/12</f>
        <v>39.083333333333336</v>
      </c>
      <c r="AJ102" s="47">
        <f t="shared" si="18"/>
        <v>39.083333333333336</v>
      </c>
      <c r="AK102" s="45">
        <f>('[2]Renewable Diesel'!J111*'[2]RD Feedstock Breakdown'!AK$3*'[2]Feedstock Conversion Rates'!B$4)/12</f>
        <v>62.5</v>
      </c>
      <c r="AL102" s="47">
        <f t="shared" si="20"/>
        <v>62.5</v>
      </c>
      <c r="AT102" s="49"/>
      <c r="BJ102" s="45">
        <f>('[2]Renewable Diesel'!W111*'[2]RD Feedstock Breakdown'!BJ$3*'[2]Feedstock Conversion Rates'!B$4)/12+0.75-0.25</f>
        <v>8</v>
      </c>
      <c r="BK102" s="45">
        <f>('[2]Renewable Diesel'!W111*'[2]RD Feedstock Breakdown'!BK$3*'[2]Feedstock Conversion Rates'!B$3)/12-0.75+0.25</f>
        <v>0.83499999999999996</v>
      </c>
      <c r="BL102" s="45">
        <f>('[2]Renewable Diesel'!W111*'[2]RD Feedstock Breakdown'!BL$3*'[2]Feedstock Conversion Rates'!B$6)/12</f>
        <v>3.1266666666666669</v>
      </c>
      <c r="BM102" s="45">
        <f>('[2]Renewable Diesel'!W111*'[2]RD Feedstock Breakdown'!BM$3*'[2]Feedstock Conversion Rates'!B$7)/12</f>
        <v>1.5333333333333332</v>
      </c>
      <c r="BN102" s="47">
        <f t="shared" si="34"/>
        <v>13.495000000000001</v>
      </c>
      <c r="BO102" s="47"/>
      <c r="BP102" s="47"/>
      <c r="BQ102" s="47"/>
      <c r="BR102" s="47"/>
      <c r="BS102" s="47"/>
      <c r="BT102" s="47"/>
      <c r="BU102" s="47"/>
      <c r="BV102" s="47"/>
      <c r="BW102" s="47"/>
      <c r="BX102" s="48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8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8"/>
      <c r="DE102" s="47"/>
      <c r="DF102" s="47"/>
      <c r="DG102" s="47"/>
      <c r="DH102" s="47"/>
      <c r="DI102" s="47"/>
      <c r="DJ102" s="48"/>
      <c r="DK102" s="47"/>
      <c r="DL102" s="47"/>
      <c r="DM102" s="47"/>
      <c r="DN102" s="47"/>
      <c r="DP102" s="45">
        <f t="shared" si="21"/>
        <v>22.796666666666667</v>
      </c>
      <c r="DQ102" s="45">
        <f t="shared" si="22"/>
        <v>29.974224999999997</v>
      </c>
      <c r="DR102" s="45">
        <f t="shared" si="29"/>
        <v>130.5</v>
      </c>
      <c r="DS102" s="48"/>
      <c r="DT102" s="45">
        <f t="shared" si="23"/>
        <v>86.765000000000015</v>
      </c>
      <c r="DU102" s="45">
        <f t="shared" si="24"/>
        <v>107.00366666666665</v>
      </c>
      <c r="DV102" s="45">
        <f t="shared" si="25"/>
        <v>22.65625</v>
      </c>
      <c r="DW102" s="45">
        <f t="shared" si="26"/>
        <v>0</v>
      </c>
      <c r="DX102" s="47">
        <f t="shared" si="27"/>
        <v>399.69580833333328</v>
      </c>
      <c r="DY102" s="50">
        <f t="shared" si="28"/>
        <v>5.6843418860808015E-14</v>
      </c>
      <c r="EA102" s="51">
        <f t="shared" si="35"/>
        <v>5.7035040626833372E-2</v>
      </c>
      <c r="EB102" s="51">
        <f t="shared" si="35"/>
        <v>7.499259280448213E-2</v>
      </c>
      <c r="EC102" s="51">
        <f t="shared" si="35"/>
        <v>0.32649829515141487</v>
      </c>
      <c r="ED102" s="48"/>
      <c r="EE102" s="51">
        <f t="shared" si="36"/>
        <v>0.21707758297940627</v>
      </c>
      <c r="EF102" s="51">
        <f t="shared" si="36"/>
        <v>0.26771275664074284</v>
      </c>
      <c r="EG102" s="51">
        <f t="shared" si="36"/>
        <v>5.6683731797120641E-2</v>
      </c>
      <c r="EH102" s="52">
        <f t="shared" si="30"/>
        <v>0</v>
      </c>
      <c r="EI102" s="51">
        <f t="shared" si="31"/>
        <v>1.0000000000000002</v>
      </c>
      <c r="EK102" s="53">
        <f>(EA102*'[2]Renewable Diesel'!BF111*'[2]Feedstock Conversion Rates'!B$2)+FB102</f>
        <v>16.022069931110323</v>
      </c>
      <c r="EL102" s="53">
        <f>(EB102*'[2]Renewable Diesel'!BF111*'[2]Feedstock Conversion Rates'!B$3)+FC102</f>
        <v>19.852208478729214</v>
      </c>
      <c r="EM102" s="53">
        <f>(EC102*'[2]Renewable Diesel'!BF111*'[2]Feedstock Conversion Rates'!B$4)+FD102</f>
        <v>80.928245160064137</v>
      </c>
      <c r="EN102" s="48"/>
      <c r="EO102" s="53">
        <f>(EE102*'[2]Renewable Diesel'!BF111*'[2]Feedstock Conversion Rates'!B$6)+FF102</f>
        <v>67.293909184690293</v>
      </c>
      <c r="EP102" s="53">
        <f>(EF102*'[2]Renewable Diesel'!BF111*'[2]Feedstock Conversion Rates'!B$7)+FG102</f>
        <v>81.39820640105971</v>
      </c>
      <c r="EQ102" s="53">
        <f>(EG102*'[2]Renewable Diesel'!BF111*'[2]Feedstock Conversion Rates'!B$8)+FH102</f>
        <v>17.562553203138918</v>
      </c>
      <c r="ER102" s="53">
        <f>(EH102*'[2]Renewable Diesel'!BF111*'[2]Feedstock Conversion Rates'!B$9)+FI102</f>
        <v>0</v>
      </c>
      <c r="ES102" s="53">
        <f t="shared" si="32"/>
        <v>283.05719235879258</v>
      </c>
    </row>
    <row r="103" spans="1:149" x14ac:dyDescent="0.25">
      <c r="A103" s="39">
        <v>43556</v>
      </c>
      <c r="B103" s="45">
        <f t="shared" si="37"/>
        <v>60</v>
      </c>
      <c r="C103" s="46"/>
      <c r="D103" s="45">
        <v>0</v>
      </c>
      <c r="E103" s="45">
        <f>('[2]Renewable Diesel'!B112*E$3*'[2]Feedstock Conversion Rates'!$B$2)/12-15</f>
        <v>22.796666666666667</v>
      </c>
      <c r="F103" s="45">
        <f>('[2]Renewable Diesel'!B112*'[2]RD Feedstock Breakdown'!F$3*'[2]Feedstock Conversion Rates'!B$8)/12</f>
        <v>22.65625</v>
      </c>
      <c r="G103" s="45">
        <f>('[2]Renewable Diesel'!B112*'[2]RD Feedstock Breakdown'!G$3*'[2]Feedstock Conversion Rates'!B$7)/12</f>
        <v>74.036999999999992</v>
      </c>
      <c r="H103" s="45">
        <f>('[2]Renewable Diesel'!B112*'[2]RD Feedstock Breakdown'!H$3*'[2]Feedstock Conversion Rates'!B$3)/12-45</f>
        <v>29.139224999999996</v>
      </c>
      <c r="I103" s="47">
        <f t="shared" si="33"/>
        <v>208.62914166666667</v>
      </c>
      <c r="J103" s="47"/>
      <c r="K103" s="48"/>
      <c r="L103" s="47"/>
      <c r="R103" s="45">
        <f>('[2]Renewable Diesel'!D112*'[2]RD Feedstock Breakdown'!R$3*'[2]Feedstock Conversion Rates'!B$7)/12</f>
        <v>2.2999999999999998</v>
      </c>
      <c r="S103" s="47">
        <f t="shared" si="19"/>
        <v>2.2999999999999998</v>
      </c>
      <c r="T103" s="48"/>
      <c r="U103" s="47"/>
      <c r="Z103" s="45">
        <f>('[2]Renewable Diesel'!F112*'[2]RD Feedstock Breakdown'!Z$3*'[2]Feedstock Conversion Rates'!B$6)/12</f>
        <v>44.555000000000007</v>
      </c>
      <c r="AA103" s="45">
        <f>('[2]Renewable Diesel'!F112*'[2]RD Feedstock Breakdown'!AA$3*'[2]Feedstock Conversion Rates'!B$7)/12</f>
        <v>29.133333333333329</v>
      </c>
      <c r="AB103" s="47">
        <f t="shared" si="17"/>
        <v>73.688333333333333</v>
      </c>
      <c r="AC103" s="49"/>
      <c r="AG103" s="49"/>
      <c r="AI103" s="45">
        <f>('[2]Renewable Diesel'!H112*'[2]RD Feedstock Breakdown'!AI$3*'[2]Feedstock Conversion Rates'!B$6)/12</f>
        <v>39.083333333333336</v>
      </c>
      <c r="AJ103" s="47">
        <f t="shared" si="18"/>
        <v>39.083333333333336</v>
      </c>
      <c r="AK103" s="45">
        <f>('[2]Renewable Diesel'!J112*'[2]RD Feedstock Breakdown'!AK$3*'[2]Feedstock Conversion Rates'!B$4)/12</f>
        <v>62.5</v>
      </c>
      <c r="AL103" s="47">
        <f t="shared" si="20"/>
        <v>62.5</v>
      </c>
      <c r="AT103" s="49"/>
      <c r="BJ103" s="45">
        <f>('[2]Renewable Diesel'!W112*'[2]RD Feedstock Breakdown'!BJ$3*'[2]Feedstock Conversion Rates'!B$4)/12+0.75-0.25</f>
        <v>8</v>
      </c>
      <c r="BK103" s="45">
        <f>('[2]Renewable Diesel'!W112*'[2]RD Feedstock Breakdown'!BK$3*'[2]Feedstock Conversion Rates'!B$3)/12-0.75+0.25</f>
        <v>0.83499999999999996</v>
      </c>
      <c r="BL103" s="45">
        <f>('[2]Renewable Diesel'!W112*'[2]RD Feedstock Breakdown'!BL$3*'[2]Feedstock Conversion Rates'!B$6)/12</f>
        <v>3.1266666666666669</v>
      </c>
      <c r="BM103" s="45">
        <f>('[2]Renewable Diesel'!W112*'[2]RD Feedstock Breakdown'!BM$3*'[2]Feedstock Conversion Rates'!B$7)/12</f>
        <v>1.5333333333333332</v>
      </c>
      <c r="BN103" s="47">
        <f t="shared" si="34"/>
        <v>13.495000000000001</v>
      </c>
      <c r="BO103" s="47"/>
      <c r="BP103" s="47"/>
      <c r="BQ103" s="47"/>
      <c r="BR103" s="47"/>
      <c r="BS103" s="47"/>
      <c r="BT103" s="47"/>
      <c r="BU103" s="47"/>
      <c r="BV103" s="47"/>
      <c r="BW103" s="47"/>
      <c r="BX103" s="48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8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8"/>
      <c r="DE103" s="47"/>
      <c r="DF103" s="47"/>
      <c r="DG103" s="47"/>
      <c r="DH103" s="47"/>
      <c r="DI103" s="47"/>
      <c r="DJ103" s="48"/>
      <c r="DK103" s="47"/>
      <c r="DL103" s="47"/>
      <c r="DM103" s="47"/>
      <c r="DN103" s="47"/>
      <c r="DP103" s="45">
        <f t="shared" si="21"/>
        <v>22.796666666666667</v>
      </c>
      <c r="DQ103" s="45">
        <f t="shared" si="22"/>
        <v>29.974224999999997</v>
      </c>
      <c r="DR103" s="45">
        <f t="shared" si="29"/>
        <v>130.5</v>
      </c>
      <c r="DS103" s="48"/>
      <c r="DT103" s="45">
        <f t="shared" si="23"/>
        <v>86.765000000000015</v>
      </c>
      <c r="DU103" s="45">
        <f t="shared" si="24"/>
        <v>107.00366666666665</v>
      </c>
      <c r="DV103" s="45">
        <f t="shared" si="25"/>
        <v>22.65625</v>
      </c>
      <c r="DW103" s="45">
        <f t="shared" si="26"/>
        <v>0</v>
      </c>
      <c r="DX103" s="47">
        <f t="shared" si="27"/>
        <v>399.69580833333328</v>
      </c>
      <c r="DY103" s="50">
        <f t="shared" si="28"/>
        <v>5.6843418860808015E-14</v>
      </c>
      <c r="EA103" s="51">
        <f t="shared" si="35"/>
        <v>5.7035040626833372E-2</v>
      </c>
      <c r="EB103" s="51">
        <f t="shared" si="35"/>
        <v>7.499259280448213E-2</v>
      </c>
      <c r="EC103" s="51">
        <f t="shared" si="35"/>
        <v>0.32649829515141487</v>
      </c>
      <c r="ED103" s="48"/>
      <c r="EE103" s="51">
        <f t="shared" si="36"/>
        <v>0.21707758297940627</v>
      </c>
      <c r="EF103" s="51">
        <f t="shared" si="36"/>
        <v>0.26771275664074284</v>
      </c>
      <c r="EG103" s="51">
        <f t="shared" si="36"/>
        <v>5.6683731797120641E-2</v>
      </c>
      <c r="EH103" s="52">
        <f t="shared" si="30"/>
        <v>0</v>
      </c>
      <c r="EI103" s="51">
        <f t="shared" si="31"/>
        <v>1.0000000000000002</v>
      </c>
      <c r="EK103" s="53">
        <f>(EA103*'[2]Renewable Diesel'!BF112*'[2]Feedstock Conversion Rates'!B$2)+FB103</f>
        <v>17.359512774079008</v>
      </c>
      <c r="EL103" s="53">
        <f>(EB103*'[2]Renewable Diesel'!BF112*'[2]Feedstock Conversion Rates'!B$3)+FC103</f>
        <v>21.50937226974748</v>
      </c>
      <c r="EM103" s="53">
        <f>(EC103*'[2]Renewable Diesel'!BF112*'[2]Feedstock Conversion Rates'!B$4)+FD103</f>
        <v>87.683733230502369</v>
      </c>
      <c r="EN103" s="48"/>
      <c r="EO103" s="53">
        <f>(EE103*'[2]Renewable Diesel'!BF112*'[2]Feedstock Conversion Rates'!B$6)+FF103</f>
        <v>72.911270586895313</v>
      </c>
      <c r="EP103" s="53">
        <f>(EF103*'[2]Renewable Diesel'!BF112*'[2]Feedstock Conversion Rates'!B$7)+FG103</f>
        <v>88.192924502383136</v>
      </c>
      <c r="EQ103" s="53">
        <f>(EG103*'[2]Renewable Diesel'!BF112*'[2]Feedstock Conversion Rates'!B$8)+FH103</f>
        <v>19.028587940647217</v>
      </c>
      <c r="ER103" s="53">
        <f>(EH103*'[2]Renewable Diesel'!BF112*'[2]Feedstock Conversion Rates'!B$9)+FI103</f>
        <v>0</v>
      </c>
      <c r="ES103" s="53">
        <f t="shared" si="32"/>
        <v>306.68540130425453</v>
      </c>
    </row>
    <row r="104" spans="1:149" x14ac:dyDescent="0.25">
      <c r="A104" s="39">
        <v>43586</v>
      </c>
      <c r="B104" s="45">
        <f t="shared" si="37"/>
        <v>60</v>
      </c>
      <c r="C104" s="46"/>
      <c r="D104" s="45">
        <v>0</v>
      </c>
      <c r="E104" s="45">
        <f>('[2]Renewable Diesel'!B113*E$3*'[2]Feedstock Conversion Rates'!$B$2)/12-15</f>
        <v>22.796666666666667</v>
      </c>
      <c r="F104" s="45">
        <f>('[2]Renewable Diesel'!B113*'[2]RD Feedstock Breakdown'!F$3*'[2]Feedstock Conversion Rates'!B$8)/12</f>
        <v>22.65625</v>
      </c>
      <c r="G104" s="45">
        <f>('[2]Renewable Diesel'!B113*'[2]RD Feedstock Breakdown'!G$3*'[2]Feedstock Conversion Rates'!B$7)/12</f>
        <v>74.036999999999992</v>
      </c>
      <c r="H104" s="45">
        <f>('[2]Renewable Diesel'!B113*'[2]RD Feedstock Breakdown'!H$3*'[2]Feedstock Conversion Rates'!B$3)/12-45</f>
        <v>29.139224999999996</v>
      </c>
      <c r="I104" s="47">
        <f t="shared" si="33"/>
        <v>208.62914166666667</v>
      </c>
      <c r="J104" s="47"/>
      <c r="K104" s="48"/>
      <c r="L104" s="47"/>
      <c r="R104" s="45">
        <f>('[2]Renewable Diesel'!D113*'[2]RD Feedstock Breakdown'!R$3*'[2]Feedstock Conversion Rates'!B$7)/12</f>
        <v>2.2999999999999998</v>
      </c>
      <c r="S104" s="47">
        <f t="shared" si="19"/>
        <v>2.2999999999999998</v>
      </c>
      <c r="T104" s="48"/>
      <c r="U104" s="47"/>
      <c r="Z104" s="45">
        <f>('[2]Renewable Diesel'!F113*'[2]RD Feedstock Breakdown'!Z$3*'[2]Feedstock Conversion Rates'!B$6)/12</f>
        <v>44.555000000000007</v>
      </c>
      <c r="AA104" s="45">
        <f>('[2]Renewable Diesel'!F113*'[2]RD Feedstock Breakdown'!AA$3*'[2]Feedstock Conversion Rates'!B$7)/12</f>
        <v>29.133333333333329</v>
      </c>
      <c r="AB104" s="47">
        <f t="shared" si="17"/>
        <v>73.688333333333333</v>
      </c>
      <c r="AC104" s="49"/>
      <c r="AG104" s="49"/>
      <c r="AI104" s="45">
        <f>('[2]Renewable Diesel'!H113*'[2]RD Feedstock Breakdown'!AI$3*'[2]Feedstock Conversion Rates'!B$6)/12</f>
        <v>39.083333333333336</v>
      </c>
      <c r="AJ104" s="47">
        <f t="shared" si="18"/>
        <v>39.083333333333336</v>
      </c>
      <c r="AK104" s="45">
        <f>('[2]Renewable Diesel'!J113*'[2]RD Feedstock Breakdown'!AK$3*'[2]Feedstock Conversion Rates'!B$4)/12</f>
        <v>62.5</v>
      </c>
      <c r="AL104" s="47">
        <f t="shared" si="20"/>
        <v>62.5</v>
      </c>
      <c r="AT104" s="49"/>
      <c r="BJ104" s="45">
        <f>('[2]Renewable Diesel'!W113*'[2]RD Feedstock Breakdown'!BJ$3*'[2]Feedstock Conversion Rates'!B$4)/12+0.75-0.25</f>
        <v>8</v>
      </c>
      <c r="BK104" s="45">
        <f>('[2]Renewable Diesel'!W113*'[2]RD Feedstock Breakdown'!BK$3*'[2]Feedstock Conversion Rates'!B$3)/12-0.75+0.25</f>
        <v>0.83499999999999996</v>
      </c>
      <c r="BL104" s="45">
        <f>('[2]Renewable Diesel'!W113*'[2]RD Feedstock Breakdown'!BL$3*'[2]Feedstock Conversion Rates'!B$6)/12</f>
        <v>3.1266666666666669</v>
      </c>
      <c r="BM104" s="45">
        <f>('[2]Renewable Diesel'!W113*'[2]RD Feedstock Breakdown'!BM$3*'[2]Feedstock Conversion Rates'!B$7)/12</f>
        <v>1.5333333333333332</v>
      </c>
      <c r="BN104" s="47">
        <f t="shared" si="34"/>
        <v>13.495000000000001</v>
      </c>
      <c r="BO104" s="47"/>
      <c r="BP104" s="47"/>
      <c r="BQ104" s="47"/>
      <c r="BR104" s="47"/>
      <c r="BS104" s="47"/>
      <c r="BT104" s="47"/>
      <c r="BU104" s="47"/>
      <c r="BV104" s="47"/>
      <c r="BW104" s="47"/>
      <c r="BX104" s="48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8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8"/>
      <c r="DE104" s="47"/>
      <c r="DF104" s="47"/>
      <c r="DG104" s="47"/>
      <c r="DH104" s="47"/>
      <c r="DI104" s="47"/>
      <c r="DJ104" s="48"/>
      <c r="DK104" s="47"/>
      <c r="DL104" s="47"/>
      <c r="DM104" s="47"/>
      <c r="DN104" s="47"/>
      <c r="DP104" s="45">
        <f t="shared" si="21"/>
        <v>22.796666666666667</v>
      </c>
      <c r="DQ104" s="45">
        <f t="shared" si="22"/>
        <v>29.974224999999997</v>
      </c>
      <c r="DR104" s="45">
        <f t="shared" si="29"/>
        <v>130.5</v>
      </c>
      <c r="DS104" s="48"/>
      <c r="DT104" s="45">
        <f t="shared" si="23"/>
        <v>86.765000000000015</v>
      </c>
      <c r="DU104" s="45">
        <f t="shared" si="24"/>
        <v>107.00366666666665</v>
      </c>
      <c r="DV104" s="45">
        <f t="shared" si="25"/>
        <v>22.65625</v>
      </c>
      <c r="DW104" s="45">
        <f t="shared" si="26"/>
        <v>0</v>
      </c>
      <c r="DX104" s="47">
        <f t="shared" si="27"/>
        <v>399.69580833333328</v>
      </c>
      <c r="DY104" s="50">
        <f t="shared" si="28"/>
        <v>5.6843418860808015E-14</v>
      </c>
      <c r="EA104" s="51">
        <f t="shared" si="35"/>
        <v>5.7035040626833372E-2</v>
      </c>
      <c r="EB104" s="51">
        <f t="shared" si="35"/>
        <v>7.499259280448213E-2</v>
      </c>
      <c r="EC104" s="51">
        <f t="shared" si="35"/>
        <v>0.32649829515141487</v>
      </c>
      <c r="ED104" s="48"/>
      <c r="EE104" s="51">
        <f t="shared" si="36"/>
        <v>0.21707758297940627</v>
      </c>
      <c r="EF104" s="51">
        <f t="shared" si="36"/>
        <v>0.26771275664074284</v>
      </c>
      <c r="EG104" s="51">
        <f t="shared" si="36"/>
        <v>5.6683731797120641E-2</v>
      </c>
      <c r="EH104" s="52">
        <f t="shared" si="30"/>
        <v>0</v>
      </c>
      <c r="EI104" s="51">
        <f t="shared" si="31"/>
        <v>1.0000000000000002</v>
      </c>
      <c r="EK104" s="53">
        <f>(EA104*'[2]Renewable Diesel'!BF113*'[2]Feedstock Conversion Rates'!B$2)+FB104</f>
        <v>18.019406026799928</v>
      </c>
      <c r="EL104" s="53">
        <f>(EB104*'[2]Renewable Diesel'!BF113*'[2]Feedstock Conversion Rates'!B$3)+FC104</f>
        <v>22.327015588185713</v>
      </c>
      <c r="EM104" s="53">
        <f>(EC104*'[2]Renewable Diesel'!BF113*'[2]Feedstock Conversion Rates'!B$4)+FD104</f>
        <v>91.016885761061189</v>
      </c>
      <c r="EN104" s="48"/>
      <c r="EO104" s="53">
        <f>(EE104*'[2]Renewable Diesel'!BF113*'[2]Feedstock Conversion Rates'!B$6)+FF104</f>
        <v>75.682872309464642</v>
      </c>
      <c r="EP104" s="53">
        <f>(EF104*'[2]Renewable Diesel'!BF113*'[2]Feedstock Conversion Rates'!B$7)+FG104</f>
        <v>91.545433099499306</v>
      </c>
      <c r="EQ104" s="53">
        <f>(EG104*'[2]Renewable Diesel'!BF113*'[2]Feedstock Conversion Rates'!B$8)+FH104</f>
        <v>19.751928333563626</v>
      </c>
      <c r="ER104" s="53">
        <f>(EH104*'[2]Renewable Diesel'!BF113*'[2]Feedstock Conversion Rates'!B$9)+FI104</f>
        <v>0</v>
      </c>
      <c r="ES104" s="53">
        <f t="shared" si="32"/>
        <v>318.34354111857442</v>
      </c>
    </row>
    <row r="105" spans="1:149" x14ac:dyDescent="0.25">
      <c r="A105" s="39">
        <v>43617</v>
      </c>
      <c r="B105" s="45">
        <f t="shared" si="37"/>
        <v>60</v>
      </c>
      <c r="C105" s="46"/>
      <c r="D105" s="45">
        <v>0</v>
      </c>
      <c r="E105" s="45">
        <f>('[2]Renewable Diesel'!B114*E$3*'[2]Feedstock Conversion Rates'!$B$2)/12-15</f>
        <v>22.796666666666667</v>
      </c>
      <c r="F105" s="45">
        <f>('[2]Renewable Diesel'!B114*'[2]RD Feedstock Breakdown'!F$3*'[2]Feedstock Conversion Rates'!B$8)/12</f>
        <v>22.65625</v>
      </c>
      <c r="G105" s="45">
        <f>('[2]Renewable Diesel'!B114*'[2]RD Feedstock Breakdown'!G$3*'[2]Feedstock Conversion Rates'!B$7)/12</f>
        <v>74.036999999999992</v>
      </c>
      <c r="H105" s="45">
        <f>('[2]Renewable Diesel'!B114*'[2]RD Feedstock Breakdown'!H$3*'[2]Feedstock Conversion Rates'!B$3)/12-45</f>
        <v>29.139224999999996</v>
      </c>
      <c r="I105" s="47">
        <f t="shared" si="33"/>
        <v>208.62914166666667</v>
      </c>
      <c r="J105" s="47"/>
      <c r="K105" s="48"/>
      <c r="L105" s="47"/>
      <c r="R105" s="45">
        <f>('[2]Renewable Diesel'!D114*'[2]RD Feedstock Breakdown'!R$3*'[2]Feedstock Conversion Rates'!B$7)/12</f>
        <v>2.2999999999999998</v>
      </c>
      <c r="S105" s="47">
        <f t="shared" si="19"/>
        <v>2.2999999999999998</v>
      </c>
      <c r="T105" s="48"/>
      <c r="U105" s="47"/>
      <c r="Z105" s="45">
        <f>('[2]Renewable Diesel'!F114*'[2]RD Feedstock Breakdown'!Z$3*'[2]Feedstock Conversion Rates'!B$6)/12</f>
        <v>44.555000000000007</v>
      </c>
      <c r="AA105" s="45">
        <f>('[2]Renewable Diesel'!F114*'[2]RD Feedstock Breakdown'!AA$3*'[2]Feedstock Conversion Rates'!B$7)/12</f>
        <v>29.133333333333329</v>
      </c>
      <c r="AB105" s="47">
        <f t="shared" si="17"/>
        <v>73.688333333333333</v>
      </c>
      <c r="AC105" s="49"/>
      <c r="AG105" s="49"/>
      <c r="AI105" s="45">
        <f>('[2]Renewable Diesel'!H114*'[2]RD Feedstock Breakdown'!AI$3*'[2]Feedstock Conversion Rates'!B$6)/12</f>
        <v>39.083333333333336</v>
      </c>
      <c r="AJ105" s="47">
        <f t="shared" si="18"/>
        <v>39.083333333333336</v>
      </c>
      <c r="AK105" s="45">
        <f>('[2]Renewable Diesel'!J114*'[2]RD Feedstock Breakdown'!AK$3*'[2]Feedstock Conversion Rates'!B$4)/12</f>
        <v>62.5</v>
      </c>
      <c r="AL105" s="47">
        <f t="shared" si="20"/>
        <v>62.5</v>
      </c>
      <c r="AT105" s="49"/>
      <c r="BJ105" s="45">
        <f>('[2]Renewable Diesel'!W114*'[2]RD Feedstock Breakdown'!BJ$3*'[2]Feedstock Conversion Rates'!B$4)/12+0.75-0.25</f>
        <v>8</v>
      </c>
      <c r="BK105" s="45">
        <f>('[2]Renewable Diesel'!W114*'[2]RD Feedstock Breakdown'!BK$3*'[2]Feedstock Conversion Rates'!B$3)/12-0.75+0.25</f>
        <v>0.83499999999999996</v>
      </c>
      <c r="BL105" s="45">
        <f>('[2]Renewable Diesel'!W114*'[2]RD Feedstock Breakdown'!BL$3*'[2]Feedstock Conversion Rates'!B$6)/12</f>
        <v>3.1266666666666669</v>
      </c>
      <c r="BM105" s="45">
        <f>('[2]Renewable Diesel'!W114*'[2]RD Feedstock Breakdown'!BM$3*'[2]Feedstock Conversion Rates'!B$7)/12</f>
        <v>1.5333333333333332</v>
      </c>
      <c r="BN105" s="47">
        <f t="shared" si="34"/>
        <v>13.495000000000001</v>
      </c>
      <c r="BO105" s="47"/>
      <c r="BP105" s="47"/>
      <c r="BQ105" s="47"/>
      <c r="BR105" s="47"/>
      <c r="BS105" s="47"/>
      <c r="BT105" s="47"/>
      <c r="BU105" s="47"/>
      <c r="BV105" s="47"/>
      <c r="BW105" s="47"/>
      <c r="BX105" s="48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8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8"/>
      <c r="DE105" s="47"/>
      <c r="DF105" s="47"/>
      <c r="DG105" s="47"/>
      <c r="DH105" s="47"/>
      <c r="DI105" s="47"/>
      <c r="DJ105" s="48"/>
      <c r="DK105" s="47"/>
      <c r="DL105" s="47"/>
      <c r="DM105" s="47"/>
      <c r="DN105" s="47"/>
      <c r="DP105" s="45">
        <f t="shared" si="21"/>
        <v>22.796666666666667</v>
      </c>
      <c r="DQ105" s="45">
        <f t="shared" si="22"/>
        <v>29.974224999999997</v>
      </c>
      <c r="DR105" s="45">
        <f t="shared" si="29"/>
        <v>130.5</v>
      </c>
      <c r="DS105" s="48"/>
      <c r="DT105" s="45">
        <f t="shared" si="23"/>
        <v>86.765000000000015</v>
      </c>
      <c r="DU105" s="45">
        <f t="shared" si="24"/>
        <v>107.00366666666665</v>
      </c>
      <c r="DV105" s="45">
        <f t="shared" si="25"/>
        <v>22.65625</v>
      </c>
      <c r="DW105" s="45">
        <f t="shared" si="26"/>
        <v>0</v>
      </c>
      <c r="DX105" s="47">
        <f t="shared" si="27"/>
        <v>399.69580833333328</v>
      </c>
      <c r="DY105" s="50">
        <f t="shared" si="28"/>
        <v>5.6843418860808015E-14</v>
      </c>
      <c r="EA105" s="51">
        <f t="shared" si="35"/>
        <v>5.7035040626833372E-2</v>
      </c>
      <c r="EB105" s="51">
        <f t="shared" si="35"/>
        <v>7.499259280448213E-2</v>
      </c>
      <c r="EC105" s="51">
        <f t="shared" si="35"/>
        <v>0.32649829515141487</v>
      </c>
      <c r="ED105" s="48"/>
      <c r="EE105" s="51">
        <f t="shared" si="36"/>
        <v>0.21707758297940627</v>
      </c>
      <c r="EF105" s="51">
        <f t="shared" si="36"/>
        <v>0.26771275664074284</v>
      </c>
      <c r="EG105" s="51">
        <f t="shared" si="36"/>
        <v>5.6683731797120641E-2</v>
      </c>
      <c r="EH105" s="52">
        <f t="shared" si="30"/>
        <v>0</v>
      </c>
      <c r="EI105" s="51">
        <f t="shared" si="31"/>
        <v>1.0000000000000002</v>
      </c>
      <c r="EK105" s="53">
        <f>(EA105*'[2]Renewable Diesel'!BF114*'[2]Feedstock Conversion Rates'!B$2)+FB105</f>
        <v>18.18406131259362</v>
      </c>
      <c r="EL105" s="53">
        <f>(EB105*'[2]Renewable Diesel'!BF114*'[2]Feedstock Conversion Rates'!B$3)+FC105</f>
        <v>22.531032364716822</v>
      </c>
      <c r="EM105" s="53">
        <f>(EC105*'[2]Renewable Diesel'!BF114*'[2]Feedstock Conversion Rates'!B$4)+FD105</f>
        <v>91.848567522088729</v>
      </c>
      <c r="EN105" s="48"/>
      <c r="EO105" s="53">
        <f>(EE105*'[2]Renewable Diesel'!BF114*'[2]Feedstock Conversion Rates'!B$6)+FF105</f>
        <v>76.374437000957158</v>
      </c>
      <c r="EP105" s="53">
        <f>(EF105*'[2]Renewable Diesel'!BF114*'[2]Feedstock Conversion Rates'!B$7)+FG105</f>
        <v>92.381944548749473</v>
      </c>
      <c r="EQ105" s="53">
        <f>(EG105*'[2]Renewable Diesel'!BF114*'[2]Feedstock Conversion Rates'!B$8)+FH105</f>
        <v>19.932414826842177</v>
      </c>
      <c r="ER105" s="53">
        <f>(EH105*'[2]Renewable Diesel'!BF114*'[2]Feedstock Conversion Rates'!B$9)+FI105</f>
        <v>0</v>
      </c>
      <c r="ES105" s="53">
        <f t="shared" si="32"/>
        <v>321.25245757594803</v>
      </c>
    </row>
    <row r="106" spans="1:149" x14ac:dyDescent="0.25">
      <c r="A106" s="39">
        <v>43647</v>
      </c>
      <c r="B106" s="45">
        <f t="shared" si="37"/>
        <v>60</v>
      </c>
      <c r="C106" s="46"/>
      <c r="D106" s="45">
        <v>0</v>
      </c>
      <c r="E106" s="45">
        <f>('[2]Renewable Diesel'!B115*E$3*'[2]Feedstock Conversion Rates'!$B$2)/12-15</f>
        <v>22.796666666666667</v>
      </c>
      <c r="F106" s="45">
        <f>('[2]Renewable Diesel'!B115*'[2]RD Feedstock Breakdown'!F$3*'[2]Feedstock Conversion Rates'!B$8)/12</f>
        <v>22.65625</v>
      </c>
      <c r="G106" s="45">
        <f>('[2]Renewable Diesel'!B115*'[2]RD Feedstock Breakdown'!G$3*'[2]Feedstock Conversion Rates'!B$7)/12</f>
        <v>74.036999999999992</v>
      </c>
      <c r="H106" s="45">
        <f>('[2]Renewable Diesel'!B115*'[2]RD Feedstock Breakdown'!H$3*'[2]Feedstock Conversion Rates'!B$3)/12-45</f>
        <v>29.139224999999996</v>
      </c>
      <c r="I106" s="47">
        <f t="shared" si="33"/>
        <v>208.62914166666667</v>
      </c>
      <c r="J106" s="47"/>
      <c r="K106" s="48"/>
      <c r="L106" s="47"/>
      <c r="R106" s="45">
        <f>('[2]Renewable Diesel'!D115*'[2]RD Feedstock Breakdown'!R$3*'[2]Feedstock Conversion Rates'!B$7)/12</f>
        <v>2.2999999999999998</v>
      </c>
      <c r="S106" s="47">
        <f t="shared" si="19"/>
        <v>2.2999999999999998</v>
      </c>
      <c r="T106" s="48"/>
      <c r="U106" s="47"/>
      <c r="Z106" s="45">
        <f>('[2]Renewable Diesel'!F115*'[2]RD Feedstock Breakdown'!Z$3*'[2]Feedstock Conversion Rates'!B$6)/12</f>
        <v>44.555000000000007</v>
      </c>
      <c r="AA106" s="45">
        <f>('[2]Renewable Diesel'!F115*'[2]RD Feedstock Breakdown'!AA$3*'[2]Feedstock Conversion Rates'!B$7)/12</f>
        <v>29.133333333333329</v>
      </c>
      <c r="AB106" s="47">
        <f t="shared" si="17"/>
        <v>73.688333333333333</v>
      </c>
      <c r="AC106" s="49"/>
      <c r="AG106" s="49"/>
      <c r="AI106" s="45">
        <f>('[2]Renewable Diesel'!H115*'[2]RD Feedstock Breakdown'!AI$3*'[2]Feedstock Conversion Rates'!B$6)/12</f>
        <v>39.083333333333336</v>
      </c>
      <c r="AJ106" s="47">
        <f t="shared" si="18"/>
        <v>39.083333333333336</v>
      </c>
      <c r="AK106" s="45">
        <f>('[2]Renewable Diesel'!J115*'[2]RD Feedstock Breakdown'!AK$3*'[2]Feedstock Conversion Rates'!B$4)/12</f>
        <v>62.5</v>
      </c>
      <c r="AL106" s="47">
        <f t="shared" si="20"/>
        <v>62.5</v>
      </c>
      <c r="AT106" s="49"/>
      <c r="BJ106" s="45">
        <f>('[2]Renewable Diesel'!W115*'[2]RD Feedstock Breakdown'!BJ$3*'[2]Feedstock Conversion Rates'!B$4)/12+0.75-0.25</f>
        <v>8</v>
      </c>
      <c r="BK106" s="45">
        <f>('[2]Renewable Diesel'!W115*'[2]RD Feedstock Breakdown'!BK$3*'[2]Feedstock Conversion Rates'!B$3)/12-0.75+0.25</f>
        <v>0.83499999999999996</v>
      </c>
      <c r="BL106" s="45">
        <f>('[2]Renewable Diesel'!W115*'[2]RD Feedstock Breakdown'!BL$3*'[2]Feedstock Conversion Rates'!B$6)/12</f>
        <v>3.1266666666666669</v>
      </c>
      <c r="BM106" s="45">
        <f>('[2]Renewable Diesel'!W115*'[2]RD Feedstock Breakdown'!BM$3*'[2]Feedstock Conversion Rates'!B$7)/12</f>
        <v>1.5333333333333332</v>
      </c>
      <c r="BN106" s="47">
        <f t="shared" si="34"/>
        <v>13.495000000000001</v>
      </c>
      <c r="BO106" s="47"/>
      <c r="BP106" s="47"/>
      <c r="BQ106" s="47"/>
      <c r="BR106" s="47"/>
      <c r="BS106" s="47"/>
      <c r="BT106" s="47"/>
      <c r="BU106" s="47"/>
      <c r="BV106" s="47"/>
      <c r="BW106" s="47"/>
      <c r="BX106" s="48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8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8"/>
      <c r="DE106" s="47"/>
      <c r="DF106" s="47"/>
      <c r="DG106" s="47"/>
      <c r="DH106" s="47"/>
      <c r="DI106" s="47"/>
      <c r="DJ106" s="48"/>
      <c r="DK106" s="47"/>
      <c r="DL106" s="47"/>
      <c r="DM106" s="47"/>
      <c r="DN106" s="47"/>
      <c r="DP106" s="45">
        <f t="shared" si="21"/>
        <v>22.796666666666667</v>
      </c>
      <c r="DQ106" s="45">
        <f t="shared" si="22"/>
        <v>29.974224999999997</v>
      </c>
      <c r="DR106" s="45">
        <f t="shared" si="29"/>
        <v>130.5</v>
      </c>
      <c r="DS106" s="48"/>
      <c r="DT106" s="45">
        <f t="shared" si="23"/>
        <v>86.765000000000015</v>
      </c>
      <c r="DU106" s="45">
        <f t="shared" si="24"/>
        <v>107.00366666666665</v>
      </c>
      <c r="DV106" s="45">
        <f t="shared" si="25"/>
        <v>22.65625</v>
      </c>
      <c r="DW106" s="45">
        <f t="shared" si="26"/>
        <v>0</v>
      </c>
      <c r="DX106" s="47">
        <f t="shared" si="27"/>
        <v>399.69580833333328</v>
      </c>
      <c r="DY106" s="50">
        <f t="shared" si="28"/>
        <v>5.6843418860808015E-14</v>
      </c>
      <c r="EA106" s="51">
        <f t="shared" si="35"/>
        <v>5.7035040626833372E-2</v>
      </c>
      <c r="EB106" s="51">
        <f t="shared" si="35"/>
        <v>7.499259280448213E-2</v>
      </c>
      <c r="EC106" s="51">
        <f t="shared" si="35"/>
        <v>0.32649829515141487</v>
      </c>
      <c r="ED106" s="48"/>
      <c r="EE106" s="51">
        <f t="shared" si="36"/>
        <v>0.21707758297940627</v>
      </c>
      <c r="EF106" s="51">
        <f t="shared" si="36"/>
        <v>0.26771275664074284</v>
      </c>
      <c r="EG106" s="51">
        <f t="shared" si="36"/>
        <v>5.6683731797120641E-2</v>
      </c>
      <c r="EH106" s="52">
        <f t="shared" si="30"/>
        <v>0</v>
      </c>
      <c r="EI106" s="51">
        <f t="shared" si="31"/>
        <v>1.0000000000000002</v>
      </c>
      <c r="EK106" s="53">
        <f>(EA106*'[2]Renewable Diesel'!BF115*'[2]Feedstock Conversion Rates'!B$2)+FB106</f>
        <v>21.004284544581896</v>
      </c>
      <c r="EL106" s="53">
        <f>(EB106*'[2]Renewable Diesel'!BF115*'[2]Feedstock Conversion Rates'!B$3)+FC106</f>
        <v>26.025441002222177</v>
      </c>
      <c r="EM106" s="53">
        <f>(EC106*'[2]Renewable Diesel'!BF115*'[2]Feedstock Conversion Rates'!B$4)+FD106</f>
        <v>106.09365059224102</v>
      </c>
      <c r="EN106" s="48"/>
      <c r="EO106" s="53">
        <f>(EE106*'[2]Renewable Diesel'!BF115*'[2]Feedstock Conversion Rates'!B$6)+FF106</f>
        <v>88.219588524448284</v>
      </c>
      <c r="EP106" s="53">
        <f>(EF106*'[2]Renewable Diesel'!BF115*'[2]Feedstock Conversion Rates'!B$7)+FG106</f>
        <v>106.70975073867895</v>
      </c>
      <c r="EQ106" s="53">
        <f>(EG106*'[2]Renewable Diesel'!BF115*'[2]Feedstock Conversion Rates'!B$8)+FH106</f>
        <v>23.023795701441198</v>
      </c>
      <c r="ER106" s="53">
        <f>(EH106*'[2]Renewable Diesel'!BF115*'[2]Feedstock Conversion Rates'!B$9)+FI106</f>
        <v>0</v>
      </c>
      <c r="ES106" s="53">
        <f t="shared" si="32"/>
        <v>371.07651110361354</v>
      </c>
    </row>
    <row r="107" spans="1:149" x14ac:dyDescent="0.25">
      <c r="A107" s="39">
        <v>43678</v>
      </c>
      <c r="B107" s="45">
        <f t="shared" si="37"/>
        <v>60</v>
      </c>
      <c r="C107" s="46"/>
      <c r="D107" s="45">
        <v>0</v>
      </c>
      <c r="E107" s="45">
        <f>('[2]Renewable Diesel'!B116*E$3*'[2]Feedstock Conversion Rates'!$B$2)/12-15</f>
        <v>22.796666666666667</v>
      </c>
      <c r="F107" s="45">
        <f>('[2]Renewable Diesel'!B116*'[2]RD Feedstock Breakdown'!F$3*'[2]Feedstock Conversion Rates'!B$8)/12</f>
        <v>22.65625</v>
      </c>
      <c r="G107" s="45">
        <f>('[2]Renewable Diesel'!B116*'[2]RD Feedstock Breakdown'!G$3*'[2]Feedstock Conversion Rates'!B$7)/12</f>
        <v>74.036999999999992</v>
      </c>
      <c r="H107" s="45">
        <f>('[2]Renewable Diesel'!B116*'[2]RD Feedstock Breakdown'!H$3*'[2]Feedstock Conversion Rates'!B$3)/12-45</f>
        <v>29.139224999999996</v>
      </c>
      <c r="I107" s="47">
        <f t="shared" si="33"/>
        <v>208.62914166666667</v>
      </c>
      <c r="J107" s="47"/>
      <c r="K107" s="48"/>
      <c r="L107" s="47"/>
      <c r="R107" s="45">
        <f>('[2]Renewable Diesel'!D116*'[2]RD Feedstock Breakdown'!R$3*'[2]Feedstock Conversion Rates'!B$7)/12</f>
        <v>2.2999999999999998</v>
      </c>
      <c r="S107" s="47">
        <f t="shared" si="19"/>
        <v>2.2999999999999998</v>
      </c>
      <c r="T107" s="48"/>
      <c r="U107" s="47"/>
      <c r="Z107" s="45">
        <f>('[2]Renewable Diesel'!F116*'[2]RD Feedstock Breakdown'!Z$3*'[2]Feedstock Conversion Rates'!B$6)/12</f>
        <v>44.555000000000007</v>
      </c>
      <c r="AA107" s="45">
        <f>('[2]Renewable Diesel'!F116*'[2]RD Feedstock Breakdown'!AA$3*'[2]Feedstock Conversion Rates'!B$7)/12</f>
        <v>29.133333333333329</v>
      </c>
      <c r="AB107" s="47">
        <f t="shared" si="17"/>
        <v>73.688333333333333</v>
      </c>
      <c r="AC107" s="49"/>
      <c r="AG107" s="49"/>
      <c r="AI107" s="45">
        <f>('[2]Renewable Diesel'!H116*'[2]RD Feedstock Breakdown'!AI$3*'[2]Feedstock Conversion Rates'!B$6)/12</f>
        <v>39.083333333333336</v>
      </c>
      <c r="AJ107" s="47">
        <f t="shared" si="18"/>
        <v>39.083333333333336</v>
      </c>
      <c r="AK107" s="45">
        <f>('[2]Renewable Diesel'!J116*'[2]RD Feedstock Breakdown'!AK$3*'[2]Feedstock Conversion Rates'!B$4)/12</f>
        <v>62.5</v>
      </c>
      <c r="AL107" s="47">
        <f t="shared" si="20"/>
        <v>62.5</v>
      </c>
      <c r="AT107" s="49"/>
      <c r="BJ107" s="45">
        <f>('[2]Renewable Diesel'!W116*'[2]RD Feedstock Breakdown'!BJ$3*'[2]Feedstock Conversion Rates'!B$4)/12+0.75-0.25</f>
        <v>8</v>
      </c>
      <c r="BK107" s="45">
        <f>('[2]Renewable Diesel'!W116*'[2]RD Feedstock Breakdown'!BK$3*'[2]Feedstock Conversion Rates'!B$3)/12-0.75+0.25</f>
        <v>0.83499999999999996</v>
      </c>
      <c r="BL107" s="45">
        <f>('[2]Renewable Diesel'!W116*'[2]RD Feedstock Breakdown'!BL$3*'[2]Feedstock Conversion Rates'!B$6)/12</f>
        <v>3.1266666666666669</v>
      </c>
      <c r="BM107" s="45">
        <f>('[2]Renewable Diesel'!W116*'[2]RD Feedstock Breakdown'!BM$3*'[2]Feedstock Conversion Rates'!B$7)/12</f>
        <v>1.5333333333333332</v>
      </c>
      <c r="BN107" s="47">
        <f t="shared" si="34"/>
        <v>13.495000000000001</v>
      </c>
      <c r="BO107" s="47"/>
      <c r="BP107" s="47"/>
      <c r="BQ107" s="47"/>
      <c r="BR107" s="47"/>
      <c r="BS107" s="47"/>
      <c r="BT107" s="47"/>
      <c r="BU107" s="47"/>
      <c r="BV107" s="47"/>
      <c r="BW107" s="47"/>
      <c r="BX107" s="48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8"/>
      <c r="CJ107" s="47"/>
      <c r="CK107" s="47"/>
      <c r="CL107" s="47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47"/>
      <c r="CZ107" s="47"/>
      <c r="DA107" s="47"/>
      <c r="DB107" s="47"/>
      <c r="DC107" s="47"/>
      <c r="DD107" s="48"/>
      <c r="DE107" s="47"/>
      <c r="DF107" s="47"/>
      <c r="DG107" s="47"/>
      <c r="DH107" s="47"/>
      <c r="DI107" s="47"/>
      <c r="DJ107" s="48"/>
      <c r="DK107" s="47"/>
      <c r="DL107" s="47"/>
      <c r="DM107" s="47"/>
      <c r="DN107" s="47"/>
      <c r="DP107" s="45">
        <f t="shared" si="21"/>
        <v>22.796666666666667</v>
      </c>
      <c r="DQ107" s="45">
        <f t="shared" si="22"/>
        <v>29.974224999999997</v>
      </c>
      <c r="DR107" s="45">
        <f t="shared" si="29"/>
        <v>130.5</v>
      </c>
      <c r="DS107" s="48"/>
      <c r="DT107" s="45">
        <f t="shared" si="23"/>
        <v>86.765000000000015</v>
      </c>
      <c r="DU107" s="45">
        <f t="shared" si="24"/>
        <v>107.00366666666665</v>
      </c>
      <c r="DV107" s="45">
        <f t="shared" si="25"/>
        <v>22.65625</v>
      </c>
      <c r="DW107" s="45">
        <f t="shared" si="26"/>
        <v>0</v>
      </c>
      <c r="DX107" s="47">
        <f t="shared" si="27"/>
        <v>399.69580833333328</v>
      </c>
      <c r="DY107" s="50">
        <f t="shared" si="28"/>
        <v>5.6843418860808015E-14</v>
      </c>
      <c r="EA107" s="51">
        <f t="shared" si="35"/>
        <v>5.7035040626833372E-2</v>
      </c>
      <c r="EB107" s="51">
        <f t="shared" si="35"/>
        <v>7.499259280448213E-2</v>
      </c>
      <c r="EC107" s="51">
        <f t="shared" si="35"/>
        <v>0.32649829515141487</v>
      </c>
      <c r="ED107" s="48"/>
      <c r="EE107" s="51">
        <f t="shared" si="36"/>
        <v>0.21707758297940627</v>
      </c>
      <c r="EF107" s="51">
        <f t="shared" si="36"/>
        <v>0.26771275664074284</v>
      </c>
      <c r="EG107" s="51">
        <f t="shared" si="36"/>
        <v>5.6683731797120641E-2</v>
      </c>
      <c r="EH107" s="52">
        <f t="shared" si="30"/>
        <v>0</v>
      </c>
      <c r="EI107" s="51">
        <f t="shared" si="31"/>
        <v>1.0000000000000002</v>
      </c>
      <c r="EK107" s="53">
        <f>(EA107*'[2]Renewable Diesel'!BF116*'[2]Feedstock Conversion Rates'!B$2)+FB107</f>
        <v>13.011531063375138</v>
      </c>
      <c r="EL107" s="53">
        <f>(EB107*'[2]Renewable Diesel'!BF116*'[2]Feedstock Conversion Rates'!B$3)+FC107</f>
        <v>16.121988507616241</v>
      </c>
      <c r="EM107" s="53">
        <f>(EC107*'[2]Renewable Diesel'!BF116*'[2]Feedstock Conversion Rates'!B$4)+FD107</f>
        <v>65.721868668166564</v>
      </c>
      <c r="EN107" s="48"/>
      <c r="EO107" s="53">
        <f>(EE107*'[2]Renewable Diesel'!BF116*'[2]Feedstock Conversion Rates'!B$6)+FF107</f>
        <v>54.649417553245236</v>
      </c>
      <c r="EP107" s="53">
        <f>(EF107*'[2]Renewable Diesel'!BF116*'[2]Feedstock Conversion Rates'!B$7)+FG107</f>
        <v>66.103524428757311</v>
      </c>
      <c r="EQ107" s="53">
        <f>(EG107*'[2]Renewable Diesel'!BF116*'[2]Feedstock Conversion Rates'!B$8)+FH107</f>
        <v>14.262558304723646</v>
      </c>
      <c r="ER107" s="53">
        <f>(EH107*'[2]Renewable Diesel'!BF116*'[2]Feedstock Conversion Rates'!B$9)+FI107</f>
        <v>0</v>
      </c>
      <c r="ES107" s="53">
        <f t="shared" si="32"/>
        <v>229.87088852588414</v>
      </c>
    </row>
    <row r="108" spans="1:149" x14ac:dyDescent="0.25">
      <c r="A108" s="39">
        <v>43709</v>
      </c>
      <c r="B108" s="45">
        <f t="shared" si="37"/>
        <v>60</v>
      </c>
      <c r="C108" s="46"/>
      <c r="D108" s="45">
        <v>0</v>
      </c>
      <c r="E108" s="45">
        <f>('[2]Renewable Diesel'!B117*E$3*'[2]Feedstock Conversion Rates'!$B$2)/12-15</f>
        <v>22.796666666666667</v>
      </c>
      <c r="F108" s="45">
        <f>('[2]Renewable Diesel'!B117*'[2]RD Feedstock Breakdown'!F$3*'[2]Feedstock Conversion Rates'!B$8)/12</f>
        <v>22.65625</v>
      </c>
      <c r="G108" s="45">
        <f>('[2]Renewable Diesel'!B117*'[2]RD Feedstock Breakdown'!G$3*'[2]Feedstock Conversion Rates'!B$7)/12</f>
        <v>74.036999999999992</v>
      </c>
      <c r="H108" s="45">
        <f>('[2]Renewable Diesel'!B117*'[2]RD Feedstock Breakdown'!H$3*'[2]Feedstock Conversion Rates'!B$3)/12-45</f>
        <v>29.139224999999996</v>
      </c>
      <c r="I108" s="47">
        <f t="shared" si="33"/>
        <v>208.62914166666667</v>
      </c>
      <c r="J108" s="47"/>
      <c r="K108" s="48"/>
      <c r="L108" s="47"/>
      <c r="R108" s="45">
        <f>('[2]Renewable Diesel'!D117*'[2]RD Feedstock Breakdown'!R$3*'[2]Feedstock Conversion Rates'!B$7)/12</f>
        <v>2.2999999999999998</v>
      </c>
      <c r="S108" s="47">
        <f t="shared" si="19"/>
        <v>2.2999999999999998</v>
      </c>
      <c r="T108" s="48"/>
      <c r="U108" s="47"/>
      <c r="Z108" s="45">
        <f>('[2]Renewable Diesel'!F117*'[2]RD Feedstock Breakdown'!Z$3*'[2]Feedstock Conversion Rates'!B$6)/12</f>
        <v>44.555000000000007</v>
      </c>
      <c r="AA108" s="45">
        <f>('[2]Renewable Diesel'!F117*'[2]RD Feedstock Breakdown'!AA$3*'[2]Feedstock Conversion Rates'!B$7)/12</f>
        <v>29.133333333333329</v>
      </c>
      <c r="AB108" s="47">
        <f t="shared" si="17"/>
        <v>73.688333333333333</v>
      </c>
      <c r="AC108" s="49"/>
      <c r="AG108" s="49"/>
      <c r="AI108" s="45">
        <f>('[2]Renewable Diesel'!H117*'[2]RD Feedstock Breakdown'!AI$3*'[2]Feedstock Conversion Rates'!B$6)/12</f>
        <v>39.083333333333336</v>
      </c>
      <c r="AJ108" s="47">
        <f t="shared" si="18"/>
        <v>39.083333333333336</v>
      </c>
      <c r="AK108" s="45">
        <f>('[2]Renewable Diesel'!J117*'[2]RD Feedstock Breakdown'!AK$3*'[2]Feedstock Conversion Rates'!B$4)/12</f>
        <v>62.5</v>
      </c>
      <c r="AL108" s="47">
        <f t="shared" si="20"/>
        <v>62.5</v>
      </c>
      <c r="AT108" s="49"/>
      <c r="BJ108" s="45">
        <f>('[2]Renewable Diesel'!W117*'[2]RD Feedstock Breakdown'!BJ$3*'[2]Feedstock Conversion Rates'!B$4)/12+0.75-0.25</f>
        <v>8</v>
      </c>
      <c r="BK108" s="45">
        <f>('[2]Renewable Diesel'!W117*'[2]RD Feedstock Breakdown'!BK$3*'[2]Feedstock Conversion Rates'!B$3)/12-0.75+0.25</f>
        <v>0.83499999999999996</v>
      </c>
      <c r="BL108" s="45">
        <f>('[2]Renewable Diesel'!W117*'[2]RD Feedstock Breakdown'!BL$3*'[2]Feedstock Conversion Rates'!B$6)/12</f>
        <v>3.1266666666666669</v>
      </c>
      <c r="BM108" s="45">
        <f>('[2]Renewable Diesel'!W117*'[2]RD Feedstock Breakdown'!BM$3*'[2]Feedstock Conversion Rates'!B$7)/12</f>
        <v>1.5333333333333332</v>
      </c>
      <c r="BN108" s="47">
        <f t="shared" si="34"/>
        <v>13.495000000000001</v>
      </c>
      <c r="BO108" s="47"/>
      <c r="BP108" s="47"/>
      <c r="BQ108" s="47"/>
      <c r="BR108" s="47"/>
      <c r="BS108" s="47"/>
      <c r="BT108" s="47"/>
      <c r="BU108" s="47"/>
      <c r="BV108" s="47"/>
      <c r="BW108" s="47"/>
      <c r="BX108" s="48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8"/>
      <c r="CJ108" s="47"/>
      <c r="CK108" s="47"/>
      <c r="CL108" s="47"/>
      <c r="CM108" s="47"/>
      <c r="CN108" s="47"/>
      <c r="CO108" s="47"/>
      <c r="CP108" s="47"/>
      <c r="CQ108" s="47"/>
      <c r="CR108" s="47"/>
      <c r="CS108" s="47"/>
      <c r="CT108" s="47"/>
      <c r="CU108" s="47"/>
      <c r="CV108" s="47"/>
      <c r="CW108" s="47"/>
      <c r="CX108" s="47"/>
      <c r="CY108" s="47"/>
      <c r="CZ108" s="47"/>
      <c r="DA108" s="47"/>
      <c r="DB108" s="47"/>
      <c r="DC108" s="47"/>
      <c r="DD108" s="48"/>
      <c r="DE108" s="47"/>
      <c r="DF108" s="47"/>
      <c r="DG108" s="47"/>
      <c r="DH108" s="47"/>
      <c r="DI108" s="47"/>
      <c r="DJ108" s="48"/>
      <c r="DK108" s="47"/>
      <c r="DL108" s="47"/>
      <c r="DM108" s="47"/>
      <c r="DN108" s="47"/>
      <c r="DP108" s="45">
        <f t="shared" si="21"/>
        <v>22.796666666666667</v>
      </c>
      <c r="DQ108" s="45">
        <f t="shared" si="22"/>
        <v>29.974224999999997</v>
      </c>
      <c r="DR108" s="45">
        <f t="shared" si="29"/>
        <v>130.5</v>
      </c>
      <c r="DS108" s="48"/>
      <c r="DT108" s="45">
        <f t="shared" si="23"/>
        <v>86.765000000000015</v>
      </c>
      <c r="DU108" s="45">
        <f t="shared" si="24"/>
        <v>107.00366666666665</v>
      </c>
      <c r="DV108" s="45">
        <f t="shared" si="25"/>
        <v>22.65625</v>
      </c>
      <c r="DW108" s="45">
        <f t="shared" si="26"/>
        <v>0</v>
      </c>
      <c r="DX108" s="47">
        <f t="shared" si="27"/>
        <v>399.69580833333328</v>
      </c>
      <c r="DY108" s="50">
        <f t="shared" si="28"/>
        <v>5.6843418860808015E-14</v>
      </c>
      <c r="EA108" s="51">
        <f t="shared" si="35"/>
        <v>5.7035040626833372E-2</v>
      </c>
      <c r="EB108" s="51">
        <f t="shared" si="35"/>
        <v>7.499259280448213E-2</v>
      </c>
      <c r="EC108" s="51">
        <f t="shared" si="35"/>
        <v>0.32649829515141487</v>
      </c>
      <c r="ED108" s="48"/>
      <c r="EE108" s="51">
        <f t="shared" si="36"/>
        <v>0.21707758297940627</v>
      </c>
      <c r="EF108" s="51">
        <f t="shared" si="36"/>
        <v>0.26771275664074284</v>
      </c>
      <c r="EG108" s="51">
        <f t="shared" si="36"/>
        <v>5.6683731797120641E-2</v>
      </c>
      <c r="EH108" s="52">
        <f t="shared" si="30"/>
        <v>0</v>
      </c>
      <c r="EI108" s="51">
        <f t="shared" si="31"/>
        <v>1.0000000000000002</v>
      </c>
      <c r="EK108" s="53">
        <f>(EA108*'[2]Renewable Diesel'!BF117*'[2]Feedstock Conversion Rates'!B$2)+FB108</f>
        <v>18.387751066499593</v>
      </c>
      <c r="EL108" s="53">
        <f>(EB108*'[2]Renewable Diesel'!BF117*'[2]Feedstock Conversion Rates'!B$3)+FC108</f>
        <v>22.783414951792587</v>
      </c>
      <c r="EM108" s="53">
        <f>(EC108*'[2]Renewable Diesel'!BF117*'[2]Feedstock Conversion Rates'!B$4)+FD108</f>
        <v>92.877414257346587</v>
      </c>
      <c r="EN108" s="48"/>
      <c r="EO108" s="53">
        <f>(EE108*'[2]Renewable Diesel'!BF117*'[2]Feedstock Conversion Rates'!B$6)+FF108</f>
        <v>77.229949419772993</v>
      </c>
      <c r="EP108" s="53">
        <f>(EF108*'[2]Renewable Diesel'!BF117*'[2]Feedstock Conversion Rates'!B$7)+FG108</f>
        <v>93.416765935842903</v>
      </c>
      <c r="EQ108" s="53">
        <f>(EG108*'[2]Renewable Diesel'!BF117*'[2]Feedstock Conversion Rates'!B$8)+FH108</f>
        <v>20.155688857931118</v>
      </c>
      <c r="ER108" s="53">
        <f>(EH108*'[2]Renewable Diesel'!BF117*'[2]Feedstock Conversion Rates'!B$9)+FI108</f>
        <v>0</v>
      </c>
      <c r="ES108" s="53">
        <f t="shared" si="32"/>
        <v>324.85098448918581</v>
      </c>
    </row>
    <row r="109" spans="1:149" x14ac:dyDescent="0.25">
      <c r="A109" s="39">
        <v>43739</v>
      </c>
      <c r="B109" s="45">
        <f>45+15+20</f>
        <v>80</v>
      </c>
      <c r="C109" s="46"/>
      <c r="D109" s="45">
        <v>0</v>
      </c>
      <c r="E109" s="45">
        <f>('[2]Renewable Diesel'!B118*E$3*'[2]Feedstock Conversion Rates'!$B$2)/12-15</f>
        <v>22.796666666666667</v>
      </c>
      <c r="F109" s="45">
        <f>('[2]Renewable Diesel'!B118*'[2]RD Feedstock Breakdown'!F$3*'[2]Feedstock Conversion Rates'!B$8)/12</f>
        <v>22.65625</v>
      </c>
      <c r="G109" s="45">
        <f>('[2]Renewable Diesel'!B118*'[2]RD Feedstock Breakdown'!G$3*'[2]Feedstock Conversion Rates'!B$7)/12</f>
        <v>74.036999999999992</v>
      </c>
      <c r="H109" s="45">
        <f>('[2]Renewable Diesel'!B118*'[2]RD Feedstock Breakdown'!H$3*'[2]Feedstock Conversion Rates'!B$3)/12-45-20</f>
        <v>9.1392249999999962</v>
      </c>
      <c r="I109" s="47">
        <f t="shared" si="33"/>
        <v>208.62914166666667</v>
      </c>
      <c r="J109" s="47"/>
      <c r="K109" s="48"/>
      <c r="L109" s="47"/>
      <c r="R109" s="45">
        <f>('[2]Renewable Diesel'!D118*'[2]RD Feedstock Breakdown'!R$3*'[2]Feedstock Conversion Rates'!B$7)/12</f>
        <v>2.2999999999999998</v>
      </c>
      <c r="S109" s="47">
        <f t="shared" si="19"/>
        <v>2.2999999999999998</v>
      </c>
      <c r="T109" s="48"/>
      <c r="U109" s="47"/>
      <c r="Z109" s="45">
        <f>('[2]Renewable Diesel'!F118*'[2]RD Feedstock Breakdown'!Z$3*'[2]Feedstock Conversion Rates'!B$6)/12</f>
        <v>44.555000000000007</v>
      </c>
      <c r="AA109" s="45">
        <f>('[2]Renewable Diesel'!F118*'[2]RD Feedstock Breakdown'!AA$3*'[2]Feedstock Conversion Rates'!B$7)/12</f>
        <v>29.133333333333329</v>
      </c>
      <c r="AB109" s="47">
        <f t="shared" si="17"/>
        <v>73.688333333333333</v>
      </c>
      <c r="AC109" s="49"/>
      <c r="AG109" s="49"/>
      <c r="AI109" s="45">
        <f>('[2]Renewable Diesel'!H118*'[2]RD Feedstock Breakdown'!AI$3*'[2]Feedstock Conversion Rates'!B$6)/12</f>
        <v>39.083333333333336</v>
      </c>
      <c r="AJ109" s="47">
        <f t="shared" si="18"/>
        <v>39.083333333333336</v>
      </c>
      <c r="AK109" s="45">
        <f>('[2]Renewable Diesel'!J118*'[2]RD Feedstock Breakdown'!AK$3*'[2]Feedstock Conversion Rates'!B$4)/12</f>
        <v>62.5</v>
      </c>
      <c r="AL109" s="47">
        <f t="shared" si="20"/>
        <v>62.5</v>
      </c>
      <c r="AT109" s="49"/>
      <c r="BJ109" s="45">
        <f>('[2]Renewable Diesel'!W118*'[2]RD Feedstock Breakdown'!BJ$3*'[2]Feedstock Conversion Rates'!B$4)/12+0.75-0.25</f>
        <v>8</v>
      </c>
      <c r="BK109" s="45">
        <f>('[2]Renewable Diesel'!W118*'[2]RD Feedstock Breakdown'!BK$3*'[2]Feedstock Conversion Rates'!B$3)/12-0.75+0.25</f>
        <v>0.83499999999999996</v>
      </c>
      <c r="BL109" s="45">
        <f>('[2]Renewable Diesel'!W118*'[2]RD Feedstock Breakdown'!BL$3*'[2]Feedstock Conversion Rates'!B$6)/12</f>
        <v>3.1266666666666669</v>
      </c>
      <c r="BM109" s="45">
        <f>('[2]Renewable Diesel'!W118*'[2]RD Feedstock Breakdown'!BM$3*'[2]Feedstock Conversion Rates'!B$7)/12</f>
        <v>1.5333333333333332</v>
      </c>
      <c r="BN109" s="47">
        <f t="shared" si="34"/>
        <v>13.495000000000001</v>
      </c>
      <c r="BO109" s="47"/>
      <c r="BP109" s="47"/>
      <c r="BQ109" s="47"/>
      <c r="BR109" s="47"/>
      <c r="BS109" s="47"/>
      <c r="BT109" s="47"/>
      <c r="BU109" s="47"/>
      <c r="BV109" s="47"/>
      <c r="BW109" s="47"/>
      <c r="BX109" s="48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8"/>
      <c r="CJ109" s="47"/>
      <c r="CK109" s="47"/>
      <c r="CL109" s="47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47"/>
      <c r="CZ109" s="47"/>
      <c r="DA109" s="47"/>
      <c r="DB109" s="47"/>
      <c r="DC109" s="47"/>
      <c r="DD109" s="48"/>
      <c r="DE109" s="47"/>
      <c r="DF109" s="47"/>
      <c r="DG109" s="47"/>
      <c r="DH109" s="47"/>
      <c r="DI109" s="47"/>
      <c r="DJ109" s="48"/>
      <c r="DK109" s="47"/>
      <c r="DL109" s="47"/>
      <c r="DM109" s="47"/>
      <c r="DN109" s="47"/>
      <c r="DP109" s="45">
        <f t="shared" si="21"/>
        <v>22.796666666666667</v>
      </c>
      <c r="DQ109" s="45">
        <f t="shared" si="22"/>
        <v>9.974224999999997</v>
      </c>
      <c r="DR109" s="45">
        <f t="shared" si="29"/>
        <v>150.5</v>
      </c>
      <c r="DS109" s="48"/>
      <c r="DT109" s="45">
        <f t="shared" si="23"/>
        <v>86.765000000000015</v>
      </c>
      <c r="DU109" s="45">
        <f t="shared" si="24"/>
        <v>107.00366666666665</v>
      </c>
      <c r="DV109" s="45">
        <f t="shared" si="25"/>
        <v>22.65625</v>
      </c>
      <c r="DW109" s="45">
        <f t="shared" si="26"/>
        <v>0</v>
      </c>
      <c r="DX109" s="47">
        <f t="shared" si="27"/>
        <v>399.69580833333328</v>
      </c>
      <c r="DY109" s="50">
        <f t="shared" si="28"/>
        <v>5.6843418860808015E-14</v>
      </c>
      <c r="EA109" s="51">
        <f t="shared" si="35"/>
        <v>5.7035040626833372E-2</v>
      </c>
      <c r="EB109" s="51">
        <f t="shared" si="35"/>
        <v>2.4954539907713565E-2</v>
      </c>
      <c r="EC109" s="51">
        <f t="shared" si="35"/>
        <v>0.37653634804818342</v>
      </c>
      <c r="ED109" s="48"/>
      <c r="EE109" s="51">
        <f t="shared" si="36"/>
        <v>0.21707758297940627</v>
      </c>
      <c r="EF109" s="51">
        <f t="shared" si="36"/>
        <v>0.26771275664074284</v>
      </c>
      <c r="EG109" s="51">
        <f t="shared" si="36"/>
        <v>5.6683731797120641E-2</v>
      </c>
      <c r="EH109" s="52">
        <f t="shared" si="30"/>
        <v>0</v>
      </c>
      <c r="EI109" s="51">
        <f t="shared" si="31"/>
        <v>1.0000000000000002</v>
      </c>
      <c r="EK109" s="53">
        <f>(EA109*'[2]Renewable Diesel'!BF118*'[2]Feedstock Conversion Rates'!B$2)+FB109</f>
        <v>22.692903796355807</v>
      </c>
      <c r="EL109" s="53">
        <f>(EB109*'[2]Renewable Diesel'!BF118*'[2]Feedstock Conversion Rates'!B$3)+FC109</f>
        <v>9.3564580385643108</v>
      </c>
      <c r="EM109" s="53">
        <f>(EC109*'[2]Renewable Diesel'!BF118*'[2]Feedstock Conversion Rates'!B$4)+FD109</f>
        <v>132.18968284047347</v>
      </c>
      <c r="EN109" s="48"/>
      <c r="EO109" s="53">
        <f>(EE109*'[2]Renewable Diesel'!BF118*'[2]Feedstock Conversion Rates'!B$6)+FF109</f>
        <v>95.311917484749998</v>
      </c>
      <c r="EP109" s="53">
        <f>(EF109*'[2]Renewable Diesel'!BF118*'[2]Feedstock Conversion Rates'!B$7)+FG109</f>
        <v>115.28857850436017</v>
      </c>
      <c r="EQ109" s="53">
        <f>(EG109*'[2]Renewable Diesel'!BF118*'[2]Feedstock Conversion Rates'!B$8)+FH109</f>
        <v>24.874771610087024</v>
      </c>
      <c r="ER109" s="53">
        <f>(EH109*'[2]Renewable Diesel'!BF118*'[2]Feedstock Conversion Rates'!B$9)+FI109</f>
        <v>0</v>
      </c>
      <c r="ES109" s="53">
        <f t="shared" si="32"/>
        <v>399.71431227459072</v>
      </c>
    </row>
    <row r="110" spans="1:149" x14ac:dyDescent="0.25">
      <c r="A110" s="39">
        <v>43770</v>
      </c>
      <c r="B110" s="45">
        <f>45+15+20</f>
        <v>80</v>
      </c>
      <c r="C110" s="46"/>
      <c r="D110" s="45">
        <v>0</v>
      </c>
      <c r="E110" s="45">
        <f>('[2]Renewable Diesel'!B119*E$3*'[2]Feedstock Conversion Rates'!$B$2)/12-15</f>
        <v>22.796666666666667</v>
      </c>
      <c r="F110" s="45">
        <f>('[2]Renewable Diesel'!B119*'[2]RD Feedstock Breakdown'!F$3*'[2]Feedstock Conversion Rates'!B$8)/12</f>
        <v>22.65625</v>
      </c>
      <c r="G110" s="45">
        <f>('[2]Renewable Diesel'!B119*'[2]RD Feedstock Breakdown'!G$3*'[2]Feedstock Conversion Rates'!B$7)/12</f>
        <v>74.036999999999992</v>
      </c>
      <c r="H110" s="45">
        <f>('[2]Renewable Diesel'!B119*'[2]RD Feedstock Breakdown'!H$3*'[2]Feedstock Conversion Rates'!B$3)/12-45-20</f>
        <v>9.1392249999999962</v>
      </c>
      <c r="I110" s="47">
        <f t="shared" si="33"/>
        <v>208.62914166666667</v>
      </c>
      <c r="J110" s="47"/>
      <c r="K110" s="48"/>
      <c r="L110" s="47"/>
      <c r="R110" s="45">
        <f>('[2]Renewable Diesel'!D119*'[2]RD Feedstock Breakdown'!R$3*'[2]Feedstock Conversion Rates'!B$7)/12</f>
        <v>2.2999999999999998</v>
      </c>
      <c r="S110" s="47">
        <f t="shared" si="19"/>
        <v>2.2999999999999998</v>
      </c>
      <c r="T110" s="48"/>
      <c r="U110" s="47"/>
      <c r="Z110" s="45">
        <f>('[2]Renewable Diesel'!F119*'[2]RD Feedstock Breakdown'!Z$3*'[2]Feedstock Conversion Rates'!B$6)/12</f>
        <v>44.555000000000007</v>
      </c>
      <c r="AA110" s="45">
        <f>('[2]Renewable Diesel'!F119*'[2]RD Feedstock Breakdown'!AA$3*'[2]Feedstock Conversion Rates'!B$7)/12</f>
        <v>29.133333333333329</v>
      </c>
      <c r="AB110" s="47">
        <f t="shared" si="17"/>
        <v>73.688333333333333</v>
      </c>
      <c r="AC110" s="49"/>
      <c r="AG110" s="49"/>
      <c r="AI110" s="45">
        <f>('[2]Renewable Diesel'!H119*'[2]RD Feedstock Breakdown'!AI$3*'[2]Feedstock Conversion Rates'!B$6)/12</f>
        <v>39.083333333333336</v>
      </c>
      <c r="AJ110" s="47">
        <f t="shared" si="18"/>
        <v>39.083333333333336</v>
      </c>
      <c r="AK110" s="45">
        <f>('[2]Renewable Diesel'!J119*'[2]RD Feedstock Breakdown'!AK$3*'[2]Feedstock Conversion Rates'!B$4)/12</f>
        <v>62.5</v>
      </c>
      <c r="AL110" s="47">
        <f t="shared" si="20"/>
        <v>62.5</v>
      </c>
      <c r="AT110" s="49"/>
      <c r="BJ110" s="45">
        <f>('[2]Renewable Diesel'!W119*'[2]RD Feedstock Breakdown'!BJ$3*'[2]Feedstock Conversion Rates'!B$4)/12+0.75-0.25</f>
        <v>8</v>
      </c>
      <c r="BK110" s="45">
        <f>('[2]Renewable Diesel'!W119*'[2]RD Feedstock Breakdown'!BK$3*'[2]Feedstock Conversion Rates'!B$3)/12-0.75+0.25</f>
        <v>0.83499999999999996</v>
      </c>
      <c r="BL110" s="45">
        <f>('[2]Renewable Diesel'!W119*'[2]RD Feedstock Breakdown'!BL$3*'[2]Feedstock Conversion Rates'!B$6)/12</f>
        <v>3.1266666666666669</v>
      </c>
      <c r="BM110" s="45">
        <f>('[2]Renewable Diesel'!W119*'[2]RD Feedstock Breakdown'!BM$3*'[2]Feedstock Conversion Rates'!B$7)/12</f>
        <v>1.5333333333333332</v>
      </c>
      <c r="BN110" s="47">
        <f t="shared" si="34"/>
        <v>13.495000000000001</v>
      </c>
      <c r="BO110" s="47"/>
      <c r="BP110" s="47"/>
      <c r="BQ110" s="47"/>
      <c r="BR110" s="47"/>
      <c r="BS110" s="47"/>
      <c r="BT110" s="47"/>
      <c r="BU110" s="47"/>
      <c r="BV110" s="47"/>
      <c r="BW110" s="47"/>
      <c r="BX110" s="48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8"/>
      <c r="CJ110" s="47"/>
      <c r="CK110" s="47"/>
      <c r="CL110" s="47"/>
      <c r="CM110" s="47"/>
      <c r="CN110" s="47"/>
      <c r="CO110" s="47"/>
      <c r="CP110" s="47"/>
      <c r="CQ110" s="47"/>
      <c r="CR110" s="47"/>
      <c r="CS110" s="47"/>
      <c r="CT110" s="47"/>
      <c r="CU110" s="47"/>
      <c r="CV110" s="47"/>
      <c r="CW110" s="47"/>
      <c r="CX110" s="47"/>
      <c r="CY110" s="47"/>
      <c r="CZ110" s="47"/>
      <c r="DA110" s="47"/>
      <c r="DB110" s="47"/>
      <c r="DC110" s="47"/>
      <c r="DD110" s="48"/>
      <c r="DE110" s="47"/>
      <c r="DF110" s="47"/>
      <c r="DG110" s="47"/>
      <c r="DH110" s="47"/>
      <c r="DI110" s="47"/>
      <c r="DJ110" s="48"/>
      <c r="DK110" s="47"/>
      <c r="DL110" s="47"/>
      <c r="DM110" s="47"/>
      <c r="DN110" s="47"/>
      <c r="DP110" s="45">
        <f t="shared" si="21"/>
        <v>22.796666666666667</v>
      </c>
      <c r="DQ110" s="45">
        <f t="shared" si="22"/>
        <v>9.974224999999997</v>
      </c>
      <c r="DR110" s="45">
        <f t="shared" si="29"/>
        <v>150.5</v>
      </c>
      <c r="DS110" s="48"/>
      <c r="DT110" s="45">
        <f t="shared" si="23"/>
        <v>86.765000000000015</v>
      </c>
      <c r="DU110" s="45">
        <f t="shared" si="24"/>
        <v>107.00366666666665</v>
      </c>
      <c r="DV110" s="45">
        <f t="shared" si="25"/>
        <v>22.65625</v>
      </c>
      <c r="DW110" s="45">
        <f t="shared" si="26"/>
        <v>0</v>
      </c>
      <c r="DX110" s="47">
        <f t="shared" si="27"/>
        <v>399.69580833333328</v>
      </c>
      <c r="DY110" s="50">
        <f t="shared" si="28"/>
        <v>5.6843418860808015E-14</v>
      </c>
      <c r="EA110" s="51">
        <f t="shared" si="35"/>
        <v>5.7035040626833372E-2</v>
      </c>
      <c r="EB110" s="51">
        <f t="shared" si="35"/>
        <v>2.4954539907713565E-2</v>
      </c>
      <c r="EC110" s="51">
        <f t="shared" si="35"/>
        <v>0.37653634804818342</v>
      </c>
      <c r="ED110" s="48"/>
      <c r="EE110" s="51">
        <f t="shared" si="36"/>
        <v>0.21707758297940627</v>
      </c>
      <c r="EF110" s="51">
        <f t="shared" si="36"/>
        <v>0.26771275664074284</v>
      </c>
      <c r="EG110" s="51">
        <f t="shared" si="36"/>
        <v>5.6683731797120641E-2</v>
      </c>
      <c r="EH110" s="52">
        <f t="shared" si="30"/>
        <v>0</v>
      </c>
      <c r="EI110" s="51">
        <f t="shared" si="31"/>
        <v>1.0000000000000002</v>
      </c>
      <c r="EK110" s="53">
        <f>(EA110*'[2]Renewable Diesel'!BF119*'[2]Feedstock Conversion Rates'!B$2)+FB110</f>
        <v>19.494239609538901</v>
      </c>
      <c r="EL110" s="53">
        <f>(EB110*'[2]Renewable Diesel'!BF119*'[2]Feedstock Conversion Rates'!B$3)+FC110</f>
        <v>8.0376242959995139</v>
      </c>
      <c r="EM110" s="53">
        <f>(EC110*'[2]Renewable Diesel'!BF119*'[2]Feedstock Conversion Rates'!B$4)+FD110</f>
        <v>113.5569680428014</v>
      </c>
      <c r="EN110" s="48"/>
      <c r="EO110" s="53">
        <f>(EE110*'[2]Renewable Diesel'!BF119*'[2]Feedstock Conversion Rates'!B$6)+FF110</f>
        <v>81.877285241507678</v>
      </c>
      <c r="EP110" s="53">
        <f>(EF110*'[2]Renewable Diesel'!BF119*'[2]Feedstock Conversion Rates'!B$7)+FG110</f>
        <v>99.038148391042284</v>
      </c>
      <c r="EQ110" s="53">
        <f>(EG110*'[2]Renewable Diesel'!BF119*'[2]Feedstock Conversion Rates'!B$8)+FH110</f>
        <v>21.368563598170429</v>
      </c>
      <c r="ER110" s="53">
        <f>(EH110*'[2]Renewable Diesel'!BF119*'[2]Feedstock Conversion Rates'!B$9)+FI110</f>
        <v>0</v>
      </c>
      <c r="ES110" s="53">
        <f t="shared" si="32"/>
        <v>343.3728291790602</v>
      </c>
    </row>
    <row r="111" spans="1:149" x14ac:dyDescent="0.25">
      <c r="A111" s="39">
        <v>43800</v>
      </c>
      <c r="B111" s="45">
        <f>45+15+20</f>
        <v>80</v>
      </c>
      <c r="C111" s="46"/>
      <c r="D111" s="45">
        <v>0</v>
      </c>
      <c r="E111" s="45">
        <f>('[2]Renewable Diesel'!B120*E$3*'[2]Feedstock Conversion Rates'!$B$2)/12-15</f>
        <v>22.796666666666667</v>
      </c>
      <c r="F111" s="45">
        <f>('[2]Renewable Diesel'!B120*'[2]RD Feedstock Breakdown'!F$3*'[2]Feedstock Conversion Rates'!B$8)/12</f>
        <v>22.65625</v>
      </c>
      <c r="G111" s="45">
        <f>('[2]Renewable Diesel'!B120*'[2]RD Feedstock Breakdown'!G$3*'[2]Feedstock Conversion Rates'!B$7)/12</f>
        <v>74.036999999999992</v>
      </c>
      <c r="H111" s="45">
        <f>('[2]Renewable Diesel'!B120*'[2]RD Feedstock Breakdown'!H$3*'[2]Feedstock Conversion Rates'!B$3)/12-45-20</f>
        <v>9.1392249999999962</v>
      </c>
      <c r="I111" s="47">
        <f t="shared" si="33"/>
        <v>208.62914166666667</v>
      </c>
      <c r="J111" s="47"/>
      <c r="K111" s="48"/>
      <c r="L111" s="47"/>
      <c r="R111" s="45">
        <f>('[2]Renewable Diesel'!D120*'[2]RD Feedstock Breakdown'!R$3*'[2]Feedstock Conversion Rates'!B$7)/12</f>
        <v>2.2999999999999998</v>
      </c>
      <c r="S111" s="47">
        <f t="shared" si="19"/>
        <v>2.2999999999999998</v>
      </c>
      <c r="T111" s="48"/>
      <c r="U111" s="47"/>
      <c r="Z111" s="45">
        <f>('[2]Renewable Diesel'!F120*'[2]RD Feedstock Breakdown'!Z$3*'[2]Feedstock Conversion Rates'!B$6)/12</f>
        <v>44.555000000000007</v>
      </c>
      <c r="AA111" s="45">
        <f>('[2]Renewable Diesel'!F120*'[2]RD Feedstock Breakdown'!AA$3*'[2]Feedstock Conversion Rates'!B$7)/12</f>
        <v>29.133333333333329</v>
      </c>
      <c r="AB111" s="47">
        <f t="shared" si="17"/>
        <v>73.688333333333333</v>
      </c>
      <c r="AC111" s="49"/>
      <c r="AG111" s="49"/>
      <c r="AI111" s="45">
        <f>('[2]Renewable Diesel'!H120*'[2]RD Feedstock Breakdown'!AI$3*'[2]Feedstock Conversion Rates'!B$6)/12</f>
        <v>39.083333333333336</v>
      </c>
      <c r="AJ111" s="47">
        <f t="shared" si="18"/>
        <v>39.083333333333336</v>
      </c>
      <c r="AK111" s="45">
        <f>('[2]Renewable Diesel'!J120*'[2]RD Feedstock Breakdown'!AK$3*'[2]Feedstock Conversion Rates'!B$4)/12</f>
        <v>62.5</v>
      </c>
      <c r="AL111" s="47">
        <f t="shared" si="20"/>
        <v>62.5</v>
      </c>
      <c r="AT111" s="49"/>
      <c r="BJ111" s="45">
        <f>('[2]Renewable Diesel'!W120*'[2]RD Feedstock Breakdown'!BJ$3*'[2]Feedstock Conversion Rates'!B$4)/12+0.75-0.25</f>
        <v>8</v>
      </c>
      <c r="BK111" s="45">
        <f>('[2]Renewable Diesel'!W120*'[2]RD Feedstock Breakdown'!BK$3*'[2]Feedstock Conversion Rates'!B$3)/12-0.75+0.25</f>
        <v>0.83499999999999996</v>
      </c>
      <c r="BL111" s="45">
        <f>('[2]Renewable Diesel'!W120*'[2]RD Feedstock Breakdown'!BL$3*'[2]Feedstock Conversion Rates'!B$6)/12</f>
        <v>3.1266666666666669</v>
      </c>
      <c r="BM111" s="45">
        <f>('[2]Renewable Diesel'!W120*'[2]RD Feedstock Breakdown'!BM$3*'[2]Feedstock Conversion Rates'!B$7)/12</f>
        <v>1.5333333333333332</v>
      </c>
      <c r="BN111" s="47">
        <f t="shared" si="34"/>
        <v>13.495000000000001</v>
      </c>
      <c r="BO111" s="47"/>
      <c r="BP111" s="47"/>
      <c r="BQ111" s="47"/>
      <c r="BR111" s="47"/>
      <c r="BS111" s="47"/>
      <c r="BT111" s="47"/>
      <c r="BU111" s="47"/>
      <c r="BV111" s="47"/>
      <c r="BW111" s="47"/>
      <c r="BX111" s="48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8"/>
      <c r="CJ111" s="47"/>
      <c r="CK111" s="47"/>
      <c r="CL111" s="47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47"/>
      <c r="DC111" s="47"/>
      <c r="DD111" s="48"/>
      <c r="DE111" s="47"/>
      <c r="DF111" s="47"/>
      <c r="DG111" s="47"/>
      <c r="DH111" s="47"/>
      <c r="DI111" s="47"/>
      <c r="DJ111" s="48"/>
      <c r="DK111" s="47"/>
      <c r="DL111" s="47"/>
      <c r="DM111" s="47"/>
      <c r="DN111" s="47"/>
      <c r="DP111" s="45">
        <f t="shared" si="21"/>
        <v>22.796666666666667</v>
      </c>
      <c r="DQ111" s="45">
        <f t="shared" si="22"/>
        <v>9.974224999999997</v>
      </c>
      <c r="DR111" s="45">
        <f t="shared" si="29"/>
        <v>150.5</v>
      </c>
      <c r="DS111" s="48"/>
      <c r="DT111" s="45">
        <f t="shared" si="23"/>
        <v>86.765000000000015</v>
      </c>
      <c r="DU111" s="45">
        <f t="shared" si="24"/>
        <v>107.00366666666665</v>
      </c>
      <c r="DV111" s="45">
        <f t="shared" si="25"/>
        <v>22.65625</v>
      </c>
      <c r="DW111" s="45">
        <f t="shared" si="26"/>
        <v>0</v>
      </c>
      <c r="DX111" s="47">
        <f t="shared" si="27"/>
        <v>399.69580833333328</v>
      </c>
      <c r="DY111" s="50">
        <f t="shared" si="28"/>
        <v>5.6843418860808015E-14</v>
      </c>
      <c r="EA111" s="51">
        <f t="shared" si="35"/>
        <v>5.7035040626833372E-2</v>
      </c>
      <c r="EB111" s="51">
        <f t="shared" si="35"/>
        <v>2.4954539907713565E-2</v>
      </c>
      <c r="EC111" s="51">
        <f t="shared" si="35"/>
        <v>0.37653634804818342</v>
      </c>
      <c r="ED111" s="48"/>
      <c r="EE111" s="51">
        <f t="shared" si="36"/>
        <v>0.21707758297940627</v>
      </c>
      <c r="EF111" s="51">
        <f t="shared" si="36"/>
        <v>0.26771275664074284</v>
      </c>
      <c r="EG111" s="51">
        <f t="shared" si="36"/>
        <v>5.6683731797120641E-2</v>
      </c>
      <c r="EH111" s="52">
        <f t="shared" si="30"/>
        <v>0</v>
      </c>
      <c r="EI111" s="51">
        <f t="shared" si="31"/>
        <v>1.0000000000000002</v>
      </c>
      <c r="EK111" s="53">
        <f>(EA111*'[2]Renewable Diesel'!BF120*'[2]Feedstock Conversion Rates'!B$2)+FB111</f>
        <v>24.196690960811306</v>
      </c>
      <c r="EL111" s="53">
        <f>(EB111*'[2]Renewable Diesel'!BF120*'[2]Feedstock Conversion Rates'!B$3)+FC111</f>
        <v>9.9764810038676313</v>
      </c>
      <c r="EM111" s="53">
        <f>(EC111*'[2]Renewable Diesel'!BF120*'[2]Feedstock Conversion Rates'!B$4)+FD111</f>
        <v>140.94947621521428</v>
      </c>
      <c r="EN111" s="48"/>
      <c r="EO111" s="53">
        <f>(EE111*'[2]Renewable Diesel'!BF120*'[2]Feedstock Conversion Rates'!B$6)+FF111</f>
        <v>101.6279376564931</v>
      </c>
      <c r="EP111" s="53">
        <f>(EF111*'[2]Renewable Diesel'!BF120*'[2]Feedstock Conversion Rates'!B$7)+FG111</f>
        <v>122.92838899837982</v>
      </c>
      <c r="EQ111" s="53">
        <f>(EG111*'[2]Renewable Diesel'!BF120*'[2]Feedstock Conversion Rates'!B$8)+FH111</f>
        <v>26.523144273263689</v>
      </c>
      <c r="ER111" s="53">
        <f>(EH111*'[2]Renewable Diesel'!BF120*'[2]Feedstock Conversion Rates'!B$9)+FI111</f>
        <v>0</v>
      </c>
      <c r="ES111" s="53">
        <f t="shared" si="32"/>
        <v>426.20211910802988</v>
      </c>
    </row>
    <row r="112" spans="1:149" x14ac:dyDescent="0.25">
      <c r="A112" s="39">
        <v>43831</v>
      </c>
      <c r="B112" s="45">
        <f>25+35+11.5+4-5+1+2-4+20-5-6-5-5-1-2-2</f>
        <v>63.5</v>
      </c>
      <c r="C112" s="46"/>
      <c r="D112" s="45">
        <v>0</v>
      </c>
      <c r="E112" s="45">
        <f>('[2]Renewable Diesel'!B121*E$3*'[2]Feedstock Conversion Rates'!$B$2)/12-15+2</f>
        <v>24.796666666666667</v>
      </c>
      <c r="F112" s="45">
        <f>('[2]Renewable Diesel'!B121*'[2]RD Feedstock Breakdown'!F$3*'[2]Feedstock Conversion Rates'!B$8)/12+8.5-4-2+4</f>
        <v>29.15625</v>
      </c>
      <c r="G112" s="45">
        <f>('[2]Renewable Diesel'!B121*'[2]RD Feedstock Breakdown'!G$3*'[2]Feedstock Conversion Rates'!B$7)/12+5+3</f>
        <v>82.036999999999992</v>
      </c>
      <c r="H112" s="45">
        <f>('[2]Renewable Diesel'!B121*'[2]RD Feedstock Breakdown'!H$3*'[2]Feedstock Conversion Rates'!B$3)/12-45-20</f>
        <v>9.1392249999999962</v>
      </c>
      <c r="I112" s="47">
        <f t="shared" si="33"/>
        <v>208.62914166666667</v>
      </c>
      <c r="J112" s="47"/>
      <c r="K112" s="48"/>
      <c r="L112" s="47"/>
      <c r="R112" s="45">
        <f>('[2]Renewable Diesel'!D121*'[2]RD Feedstock Breakdown'!R$3*'[2]Feedstock Conversion Rates'!B$7)/12</f>
        <v>2.2999999999999998</v>
      </c>
      <c r="S112" s="47">
        <f t="shared" si="19"/>
        <v>2.2999999999999998</v>
      </c>
      <c r="T112" s="48"/>
      <c r="U112" s="47"/>
      <c r="Y112" s="45"/>
      <c r="Z112" s="45">
        <f>('[2]Renewable Diesel'!F121*'[2]RD Feedstock Breakdown'!Z$3*'[2]Feedstock Conversion Rates'!B$6)/12+17.5-5</f>
        <v>57.055000000000007</v>
      </c>
      <c r="AA112" s="45">
        <f>('[2]Renewable Diesel'!F121*'[2]RD Feedstock Breakdown'!AA$3*'[2]Feedstock Conversion Rates'!B$7)/12-12.5</f>
        <v>16.633333333333329</v>
      </c>
      <c r="AB112" s="47">
        <f t="shared" si="17"/>
        <v>73.688333333333333</v>
      </c>
      <c r="AC112" s="49"/>
      <c r="AG112" s="49"/>
      <c r="AI112" s="45">
        <f>('[2]Renewable Diesel'!H121*'[2]RD Feedstock Breakdown'!AI$3*'[2]Feedstock Conversion Rates'!B$6)/12</f>
        <v>39.083333333333336</v>
      </c>
      <c r="AJ112" s="47">
        <f t="shared" si="18"/>
        <v>39.083333333333336</v>
      </c>
      <c r="AK112" s="45">
        <f>('[2]Renewable Diesel'!J121*'[2]RD Feedstock Breakdown'!AK$3*'[2]Feedstock Conversion Rates'!B$4)/12</f>
        <v>62.5</v>
      </c>
      <c r="AL112" s="47">
        <f t="shared" si="20"/>
        <v>62.5</v>
      </c>
      <c r="AT112" s="49"/>
      <c r="BJ112" s="45">
        <f>('[2]Renewable Diesel'!W121*'[2]RD Feedstock Breakdown'!BJ$3*'[2]Feedstock Conversion Rates'!B$4)/12-2.5</f>
        <v>5</v>
      </c>
      <c r="BK112" s="45">
        <f>('[2]Renewable Diesel'!W121*'[2]RD Feedstock Breakdown'!BK$3*'[2]Feedstock Conversion Rates'!B$3)/12</f>
        <v>1.335</v>
      </c>
      <c r="BL112" s="45">
        <f>('[2]Renewable Diesel'!W121*'[2]RD Feedstock Breakdown'!BL$3*'[2]Feedstock Conversion Rates'!B$6)/12+2.5</f>
        <v>5.6266666666666669</v>
      </c>
      <c r="BM112" s="45">
        <f>('[2]Renewable Diesel'!W121*'[2]RD Feedstock Breakdown'!BM$3*'[2]Feedstock Conversion Rates'!B$7)/12</f>
        <v>1.5333333333333332</v>
      </c>
      <c r="BN112" s="47">
        <f t="shared" si="34"/>
        <v>13.494999999999999</v>
      </c>
      <c r="BO112" s="47"/>
      <c r="BP112" s="47"/>
      <c r="BQ112" s="47"/>
      <c r="BR112" s="47"/>
      <c r="BS112" s="47"/>
      <c r="BT112" s="47"/>
      <c r="BU112" s="47"/>
      <c r="BV112" s="47"/>
      <c r="BW112" s="47"/>
      <c r="BX112" s="48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8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8"/>
      <c r="DE112" s="47"/>
      <c r="DF112" s="47"/>
      <c r="DG112" s="47"/>
      <c r="DH112" s="47"/>
      <c r="DI112" s="47"/>
      <c r="DJ112" s="48"/>
      <c r="DK112" s="47"/>
      <c r="DL112" s="47"/>
      <c r="DM112" s="47"/>
      <c r="DN112" s="47"/>
      <c r="DP112" s="45">
        <f t="shared" si="21"/>
        <v>24.796666666666667</v>
      </c>
      <c r="DQ112" s="45">
        <f t="shared" si="22"/>
        <v>10.474224999999997</v>
      </c>
      <c r="DR112" s="45">
        <f t="shared" si="29"/>
        <v>131</v>
      </c>
      <c r="DS112" s="48"/>
      <c r="DT112" s="45">
        <f t="shared" si="23"/>
        <v>101.76500000000001</v>
      </c>
      <c r="DU112" s="45">
        <f t="shared" si="24"/>
        <v>102.50366666666665</v>
      </c>
      <c r="DV112" s="45">
        <f t="shared" si="25"/>
        <v>29.15625</v>
      </c>
      <c r="DW112" s="45">
        <f t="shared" si="26"/>
        <v>0</v>
      </c>
      <c r="DX112" s="47">
        <f t="shared" si="27"/>
        <v>399.69580833333328</v>
      </c>
      <c r="DY112" s="50">
        <f t="shared" si="28"/>
        <v>5.6843418860808015E-14</v>
      </c>
      <c r="EA112" s="51">
        <f t="shared" si="35"/>
        <v>6.2038845916510224E-2</v>
      </c>
      <c r="EB112" s="51">
        <f t="shared" si="35"/>
        <v>2.6205491230132778E-2</v>
      </c>
      <c r="EC112" s="51">
        <f t="shared" si="35"/>
        <v>0.32774924647383408</v>
      </c>
      <c r="ED112" s="48"/>
      <c r="EE112" s="51">
        <f t="shared" si="36"/>
        <v>0.25460612265198268</v>
      </c>
      <c r="EF112" s="51">
        <f t="shared" si="36"/>
        <v>0.25645419473896991</v>
      </c>
      <c r="EG112" s="51">
        <f t="shared" si="36"/>
        <v>7.2946098988570421E-2</v>
      </c>
      <c r="EH112" s="52">
        <f t="shared" si="30"/>
        <v>0</v>
      </c>
      <c r="EI112" s="51">
        <f t="shared" si="31"/>
        <v>1.0000000000000002</v>
      </c>
      <c r="EK112" s="53">
        <f>(EA112*'[2]Renewable Diesel'!BF121*'[2]Feedstock Conversion Rates'!B$2)+FB112</f>
        <v>19.971992887716258</v>
      </c>
      <c r="EL112" s="53">
        <f>(EB112*'[2]Renewable Diesel'!BF121*'[2]Feedstock Conversion Rates'!B$3)+FC112</f>
        <v>7.9499351862920928</v>
      </c>
      <c r="EM112" s="53">
        <f>(EC112*'[2]Renewable Diesel'!BF121*'[2]Feedstock Conversion Rates'!B$4)+FD112</f>
        <v>93.098296002061744</v>
      </c>
      <c r="EN112" s="48"/>
      <c r="EO112" s="53">
        <f>(EE112*'[2]Renewable Diesel'!BF121*'[2]Feedstock Conversion Rates'!B$6)+FF112</f>
        <v>90.45039095069238</v>
      </c>
      <c r="EP112" s="53">
        <f>(EF112*'[2]Renewable Diesel'!BF121*'[2]Feedstock Conversion Rates'!B$7)+FG112</f>
        <v>89.35860930869822</v>
      </c>
      <c r="EQ112" s="53">
        <f>(EG112*'[2]Renewable Diesel'!BF121*'[2]Feedstock Conversion Rates'!B$8)+FH112</f>
        <v>25.900736572615578</v>
      </c>
      <c r="ER112" s="53">
        <f>(EH112*'[2]Renewable Diesel'!BF121*'[2]Feedstock Conversion Rates'!B$9)+FI112</f>
        <v>0</v>
      </c>
      <c r="ES112" s="53">
        <f t="shared" si="32"/>
        <v>326.72996090807629</v>
      </c>
    </row>
    <row r="113" spans="1:150" x14ac:dyDescent="0.25">
      <c r="A113" s="39">
        <v>43862</v>
      </c>
      <c r="B113" s="45">
        <f>25+35+11.5+4-5+1+2-4+20-5-6-5-5-1-2</f>
        <v>65.5</v>
      </c>
      <c r="C113" s="46"/>
      <c r="D113" s="45">
        <v>0</v>
      </c>
      <c r="E113" s="45">
        <f>('[2]Renewable Diesel'!B122*E$3*'[2]Feedstock Conversion Rates'!$B$2)/12-15</f>
        <v>22.796666666666667</v>
      </c>
      <c r="F113" s="45">
        <f>('[2]Renewable Diesel'!B122*'[2]RD Feedstock Breakdown'!F$3*'[2]Feedstock Conversion Rates'!B$8)/12+8.5-4-2+4</f>
        <v>29.15625</v>
      </c>
      <c r="G113" s="45">
        <f>('[2]Renewable Diesel'!B122*'[2]RD Feedstock Breakdown'!G$3*'[2]Feedstock Conversion Rates'!B$7)/12+5+3</f>
        <v>82.036999999999992</v>
      </c>
      <c r="H113" s="45">
        <f>('[2]Renewable Diesel'!B122*'[2]RD Feedstock Breakdown'!H$3*'[2]Feedstock Conversion Rates'!B$3)/12-45-20</f>
        <v>9.1392249999999962</v>
      </c>
      <c r="I113" s="47">
        <f t="shared" si="33"/>
        <v>208.62914166666667</v>
      </c>
      <c r="J113" s="47"/>
      <c r="K113" s="48"/>
      <c r="L113" s="47"/>
      <c r="R113" s="45">
        <f>('[2]Renewable Diesel'!D122*'[2]RD Feedstock Breakdown'!R$3*'[2]Feedstock Conversion Rates'!B$7)/12</f>
        <v>2.2999999999999998</v>
      </c>
      <c r="S113" s="47">
        <f t="shared" si="19"/>
        <v>2.2999999999999998</v>
      </c>
      <c r="T113" s="48"/>
      <c r="U113" s="47"/>
      <c r="Y113" s="45"/>
      <c r="Z113" s="45">
        <f>('[2]Renewable Diesel'!F122*'[2]RD Feedstock Breakdown'!Z$3*'[2]Feedstock Conversion Rates'!B$6)/12+17.5-5</f>
        <v>57.055000000000007</v>
      </c>
      <c r="AA113" s="45">
        <f>('[2]Renewable Diesel'!F122*'[2]RD Feedstock Breakdown'!AA$3*'[2]Feedstock Conversion Rates'!B$7)/12-12.5</f>
        <v>16.633333333333329</v>
      </c>
      <c r="AB113" s="47">
        <f t="shared" si="17"/>
        <v>73.688333333333333</v>
      </c>
      <c r="AC113" s="49"/>
      <c r="AG113" s="49"/>
      <c r="AI113" s="45">
        <f>('[2]Renewable Diesel'!H122*'[2]RD Feedstock Breakdown'!AI$3*'[2]Feedstock Conversion Rates'!B$6)/12</f>
        <v>39.083333333333336</v>
      </c>
      <c r="AJ113" s="47">
        <f t="shared" si="18"/>
        <v>39.083333333333336</v>
      </c>
      <c r="AK113" s="45">
        <f>('[2]Renewable Diesel'!J122*'[2]RD Feedstock Breakdown'!AK$3*'[2]Feedstock Conversion Rates'!B$4)/12</f>
        <v>62.5</v>
      </c>
      <c r="AL113" s="47">
        <f t="shared" si="20"/>
        <v>62.5</v>
      </c>
      <c r="AT113" s="49"/>
      <c r="BJ113" s="45">
        <f>('[2]Renewable Diesel'!W122*'[2]RD Feedstock Breakdown'!BJ$3*'[2]Feedstock Conversion Rates'!B$4)/12-2.5</f>
        <v>5</v>
      </c>
      <c r="BK113" s="45">
        <f>('[2]Renewable Diesel'!W122*'[2]RD Feedstock Breakdown'!BK$3*'[2]Feedstock Conversion Rates'!B$3)/12</f>
        <v>1.335</v>
      </c>
      <c r="BL113" s="45">
        <f>('[2]Renewable Diesel'!W122*'[2]RD Feedstock Breakdown'!BL$3*'[2]Feedstock Conversion Rates'!B$6)/12+2.5</f>
        <v>5.6266666666666669</v>
      </c>
      <c r="BM113" s="45">
        <f>('[2]Renewable Diesel'!W122*'[2]RD Feedstock Breakdown'!BM$3*'[2]Feedstock Conversion Rates'!B$7)/12</f>
        <v>1.5333333333333332</v>
      </c>
      <c r="BN113" s="47">
        <f t="shared" si="34"/>
        <v>13.494999999999999</v>
      </c>
      <c r="BO113" s="47"/>
      <c r="BP113" s="47"/>
      <c r="BQ113" s="47"/>
      <c r="BR113" s="47"/>
      <c r="BS113" s="47"/>
      <c r="BT113" s="47"/>
      <c r="BU113" s="47"/>
      <c r="BV113" s="47"/>
      <c r="BW113" s="47"/>
      <c r="BX113" s="48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8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8"/>
      <c r="DE113" s="47"/>
      <c r="DF113" s="47"/>
      <c r="DG113" s="47"/>
      <c r="DH113" s="47"/>
      <c r="DI113" s="47"/>
      <c r="DJ113" s="48"/>
      <c r="DK113" s="47"/>
      <c r="DL113" s="47"/>
      <c r="DM113" s="47"/>
      <c r="DN113" s="47"/>
      <c r="DP113" s="45">
        <f t="shared" si="21"/>
        <v>22.796666666666667</v>
      </c>
      <c r="DQ113" s="45">
        <f t="shared" si="22"/>
        <v>10.474224999999997</v>
      </c>
      <c r="DR113" s="45">
        <f t="shared" si="29"/>
        <v>133</v>
      </c>
      <c r="DS113" s="48"/>
      <c r="DT113" s="45">
        <f t="shared" si="23"/>
        <v>101.76500000000001</v>
      </c>
      <c r="DU113" s="45">
        <f t="shared" si="24"/>
        <v>102.50366666666665</v>
      </c>
      <c r="DV113" s="45">
        <f t="shared" si="25"/>
        <v>29.15625</v>
      </c>
      <c r="DW113" s="45">
        <f t="shared" si="26"/>
        <v>0</v>
      </c>
      <c r="DX113" s="47">
        <f t="shared" si="27"/>
        <v>399.69580833333328</v>
      </c>
      <c r="DY113" s="50">
        <f t="shared" si="28"/>
        <v>5.6843418860808015E-14</v>
      </c>
      <c r="EA113" s="51">
        <f t="shared" si="35"/>
        <v>5.7035040626833372E-2</v>
      </c>
      <c r="EB113" s="51">
        <f t="shared" si="35"/>
        <v>2.6205491230132778E-2</v>
      </c>
      <c r="EC113" s="51">
        <f t="shared" si="35"/>
        <v>0.33275305176351094</v>
      </c>
      <c r="ED113" s="48"/>
      <c r="EE113" s="51">
        <f t="shared" si="36"/>
        <v>0.25460612265198268</v>
      </c>
      <c r="EF113" s="51">
        <f t="shared" si="36"/>
        <v>0.25645419473896991</v>
      </c>
      <c r="EG113" s="51">
        <f t="shared" si="36"/>
        <v>7.2946098988570421E-2</v>
      </c>
      <c r="EH113" s="52">
        <f t="shared" si="30"/>
        <v>0</v>
      </c>
      <c r="EI113" s="51">
        <f t="shared" si="31"/>
        <v>1.0000000000000002</v>
      </c>
      <c r="EK113" s="53">
        <f>(EA113*'[2]Renewable Diesel'!BF122*'[2]Feedstock Conversion Rates'!B$2)+FB113</f>
        <v>16.457847927105902</v>
      </c>
      <c r="EL113" s="53">
        <f>(EB113*'[2]Renewable Diesel'!BF122*'[2]Feedstock Conversion Rates'!B$3)+FC113</f>
        <v>7.125858353851366</v>
      </c>
      <c r="EM113" s="53">
        <f>(EC113*'[2]Renewable Diesel'!BF122*'[2]Feedstock Conversion Rates'!B$4)+FD113</f>
        <v>84.721897631859491</v>
      </c>
      <c r="EN113" s="48"/>
      <c r="EO113" s="53">
        <f>(EE113*'[2]Renewable Diesel'!BF122*'[2]Feedstock Conversion Rates'!B$6)+FF113</f>
        <v>81.074456440409037</v>
      </c>
      <c r="EP113" s="53">
        <f>(EF113*'[2]Renewable Diesel'!BF122*'[2]Feedstock Conversion Rates'!B$7)+FG113</f>
        <v>80.095847036448063</v>
      </c>
      <c r="EQ113" s="53">
        <f>(EG113*'[2]Renewable Diesel'!BF122*'[2]Feedstock Conversion Rates'!B$8)+FH113</f>
        <v>23.215910035985935</v>
      </c>
      <c r="ER113" s="53">
        <f>(EH113*'[2]Renewable Diesel'!BF122*'[2]Feedstock Conversion Rates'!B$9)+FI113</f>
        <v>0</v>
      </c>
      <c r="ES113" s="53">
        <f t="shared" si="32"/>
        <v>292.69181742565979</v>
      </c>
    </row>
    <row r="114" spans="1:150" x14ac:dyDescent="0.25">
      <c r="A114" s="39">
        <v>43891</v>
      </c>
      <c r="B114" s="45">
        <f t="shared" ref="B114:B120" si="38">25+35+11.5+4-5+1+2-4+20-5-6-5-5-1-2</f>
        <v>65.5</v>
      </c>
      <c r="C114" s="46"/>
      <c r="D114" s="45">
        <v>0</v>
      </c>
      <c r="E114" s="45">
        <f>('[2]Renewable Diesel'!B123*E$3*'[2]Feedstock Conversion Rates'!$B$2)/12-15</f>
        <v>22.796666666666667</v>
      </c>
      <c r="F114" s="45">
        <f>('[2]Renewable Diesel'!B123*'[2]RD Feedstock Breakdown'!F$3*'[2]Feedstock Conversion Rates'!B$8)/12+8.5-4-2+4</f>
        <v>29.15625</v>
      </c>
      <c r="G114" s="45">
        <f>('[2]Renewable Diesel'!B123*'[2]RD Feedstock Breakdown'!G$3*'[2]Feedstock Conversion Rates'!B$7)/12+5+3</f>
        <v>82.036999999999992</v>
      </c>
      <c r="H114" s="45">
        <f>('[2]Renewable Diesel'!B123*'[2]RD Feedstock Breakdown'!H$3*'[2]Feedstock Conversion Rates'!B$3)/12-45-20</f>
        <v>9.1392249999999962</v>
      </c>
      <c r="I114" s="47">
        <f t="shared" si="33"/>
        <v>208.62914166666667</v>
      </c>
      <c r="J114" s="47"/>
      <c r="K114" s="48"/>
      <c r="L114" s="47"/>
      <c r="R114" s="45">
        <f>('[2]Renewable Diesel'!D123*'[2]RD Feedstock Breakdown'!R$3*'[2]Feedstock Conversion Rates'!B$7)/12</f>
        <v>2.2999999999999998</v>
      </c>
      <c r="S114" s="47">
        <f t="shared" si="19"/>
        <v>2.2999999999999998</v>
      </c>
      <c r="T114" s="48"/>
      <c r="U114" s="47"/>
      <c r="Y114" s="45"/>
      <c r="Z114" s="45">
        <f>('[2]Renewable Diesel'!F123*'[2]RD Feedstock Breakdown'!Z$3*'[2]Feedstock Conversion Rates'!B$6)/12+17.5-5</f>
        <v>57.055000000000007</v>
      </c>
      <c r="AA114" s="45">
        <f>('[2]Renewable Diesel'!F123*'[2]RD Feedstock Breakdown'!AA$3*'[2]Feedstock Conversion Rates'!B$7)/12-12.5</f>
        <v>16.633333333333329</v>
      </c>
      <c r="AB114" s="47">
        <f t="shared" si="17"/>
        <v>73.688333333333333</v>
      </c>
      <c r="AC114" s="49"/>
      <c r="AG114" s="49"/>
      <c r="AI114" s="45">
        <f>('[2]Renewable Diesel'!H123*'[2]RD Feedstock Breakdown'!AI$3*'[2]Feedstock Conversion Rates'!B$6)/12</f>
        <v>39.083333333333336</v>
      </c>
      <c r="AJ114" s="47">
        <f t="shared" si="18"/>
        <v>39.083333333333336</v>
      </c>
      <c r="AK114" s="45">
        <f>('[2]Renewable Diesel'!J123*'[2]RD Feedstock Breakdown'!AK$3*'[2]Feedstock Conversion Rates'!B$4)/12</f>
        <v>62.5</v>
      </c>
      <c r="AL114" s="47">
        <f t="shared" si="20"/>
        <v>62.5</v>
      </c>
      <c r="AT114" s="49"/>
      <c r="BJ114" s="45">
        <f>('[2]Renewable Diesel'!W123*'[2]RD Feedstock Breakdown'!BJ$3*'[2]Feedstock Conversion Rates'!B$4)/12-2.5</f>
        <v>5</v>
      </c>
      <c r="BK114" s="45">
        <f>('[2]Renewable Diesel'!W123*'[2]RD Feedstock Breakdown'!BK$3*'[2]Feedstock Conversion Rates'!B$3)/12</f>
        <v>1.335</v>
      </c>
      <c r="BL114" s="45">
        <f>('[2]Renewable Diesel'!W123*'[2]RD Feedstock Breakdown'!BL$3*'[2]Feedstock Conversion Rates'!B$6)/12+2.5</f>
        <v>5.6266666666666669</v>
      </c>
      <c r="BM114" s="45">
        <f>('[2]Renewable Diesel'!W123*'[2]RD Feedstock Breakdown'!BM$3*'[2]Feedstock Conversion Rates'!B$7)/12</f>
        <v>1.5333333333333332</v>
      </c>
      <c r="BN114" s="47">
        <f t="shared" si="34"/>
        <v>13.494999999999999</v>
      </c>
      <c r="BO114" s="47"/>
      <c r="BP114" s="47"/>
      <c r="BQ114" s="47"/>
      <c r="BR114" s="47"/>
      <c r="BS114" s="47"/>
      <c r="BT114" s="47"/>
      <c r="BU114" s="47"/>
      <c r="BV114" s="47"/>
      <c r="BW114" s="47"/>
      <c r="BX114" s="48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8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8"/>
      <c r="DE114" s="47"/>
      <c r="DF114" s="47"/>
      <c r="DG114" s="47"/>
      <c r="DH114" s="47"/>
      <c r="DI114" s="47"/>
      <c r="DJ114" s="48"/>
      <c r="DK114" s="47"/>
      <c r="DL114" s="47"/>
      <c r="DM114" s="47"/>
      <c r="DN114" s="47"/>
      <c r="DP114" s="45">
        <f t="shared" si="21"/>
        <v>22.796666666666667</v>
      </c>
      <c r="DQ114" s="45">
        <f t="shared" si="22"/>
        <v>10.474224999999997</v>
      </c>
      <c r="DR114" s="45">
        <f t="shared" si="29"/>
        <v>133</v>
      </c>
      <c r="DS114" s="48"/>
      <c r="DT114" s="45">
        <f t="shared" si="23"/>
        <v>101.76500000000001</v>
      </c>
      <c r="DU114" s="45">
        <f t="shared" si="24"/>
        <v>102.50366666666665</v>
      </c>
      <c r="DV114" s="45">
        <f t="shared" si="25"/>
        <v>29.15625</v>
      </c>
      <c r="DW114" s="45">
        <f t="shared" si="26"/>
        <v>0</v>
      </c>
      <c r="DX114" s="47">
        <f t="shared" si="27"/>
        <v>399.69580833333328</v>
      </c>
      <c r="DY114" s="50">
        <f t="shared" si="28"/>
        <v>5.6843418860808015E-14</v>
      </c>
      <c r="EA114" s="51">
        <f t="shared" si="35"/>
        <v>5.7035040626833372E-2</v>
      </c>
      <c r="EB114" s="51">
        <f t="shared" si="35"/>
        <v>2.6205491230132778E-2</v>
      </c>
      <c r="EC114" s="51">
        <f t="shared" si="35"/>
        <v>0.33275305176351094</v>
      </c>
      <c r="ED114" s="48"/>
      <c r="EE114" s="51">
        <f t="shared" si="36"/>
        <v>0.25460612265198268</v>
      </c>
      <c r="EF114" s="51">
        <f t="shared" si="36"/>
        <v>0.25645419473896991</v>
      </c>
      <c r="EG114" s="51">
        <f t="shared" si="36"/>
        <v>7.2946098988570421E-2</v>
      </c>
      <c r="EH114" s="52">
        <f t="shared" si="30"/>
        <v>0</v>
      </c>
      <c r="EI114" s="51">
        <f t="shared" si="31"/>
        <v>1.0000000000000002</v>
      </c>
      <c r="EK114" s="53">
        <f>(EA114*'[2]Renewable Diesel'!BF123*'[2]Feedstock Conversion Rates'!B$2)+FB114</f>
        <v>20.334809747245913</v>
      </c>
      <c r="EL114" s="53">
        <f>(EB114*'[2]Renewable Diesel'!BF123*'[2]Feedstock Conversion Rates'!B$3)+FC114</f>
        <v>8.8044909974369627</v>
      </c>
      <c r="EM114" s="53">
        <f>(EC114*'[2]Renewable Diesel'!BF123*'[2]Feedstock Conversion Rates'!B$4)+FD114</f>
        <v>104.67976599370976</v>
      </c>
      <c r="EN114" s="48"/>
      <c r="EO114" s="53">
        <f>(EE114*'[2]Renewable Diesel'!BF123*'[2]Feedstock Conversion Rates'!B$6)+FF114</f>
        <v>100.17310005409709</v>
      </c>
      <c r="EP114" s="53">
        <f>(EF114*'[2]Renewable Diesel'!BF123*'[2]Feedstock Conversion Rates'!B$7)+FG114</f>
        <v>98.963960430584265</v>
      </c>
      <c r="EQ114" s="53">
        <f>(EG114*'[2]Renewable Diesel'!BF123*'[2]Feedstock Conversion Rates'!B$8)+FH114</f>
        <v>28.684863038102449</v>
      </c>
      <c r="ER114" s="53">
        <f>(EH114*'[2]Renewable Diesel'!BF123*'[2]Feedstock Conversion Rates'!B$9)+FI114</f>
        <v>0</v>
      </c>
      <c r="ES114" s="53">
        <f t="shared" si="32"/>
        <v>361.64099026117646</v>
      </c>
    </row>
    <row r="115" spans="1:150" x14ac:dyDescent="0.25">
      <c r="A115" s="39">
        <v>43922</v>
      </c>
      <c r="B115" s="45">
        <f t="shared" si="38"/>
        <v>65.5</v>
      </c>
      <c r="C115" s="46"/>
      <c r="D115" s="45">
        <v>0</v>
      </c>
      <c r="E115" s="45">
        <f>('[2]Renewable Diesel'!B124*E$3*'[2]Feedstock Conversion Rates'!$B$2)/12-15</f>
        <v>22.796666666666667</v>
      </c>
      <c r="F115" s="45">
        <f>('[2]Renewable Diesel'!B124*'[2]RD Feedstock Breakdown'!F$3*'[2]Feedstock Conversion Rates'!B$8)/12+8.5-4-2+4</f>
        <v>29.15625</v>
      </c>
      <c r="G115" s="45">
        <f>('[2]Renewable Diesel'!B124*'[2]RD Feedstock Breakdown'!G$3*'[2]Feedstock Conversion Rates'!B$7)/12+5+3</f>
        <v>82.036999999999992</v>
      </c>
      <c r="H115" s="45">
        <f>('[2]Renewable Diesel'!B124*'[2]RD Feedstock Breakdown'!H$3*'[2]Feedstock Conversion Rates'!B$3)/12-45-20</f>
        <v>9.1392249999999962</v>
      </c>
      <c r="I115" s="47">
        <f t="shared" si="33"/>
        <v>208.62914166666667</v>
      </c>
      <c r="J115" s="47"/>
      <c r="K115" s="48"/>
      <c r="L115" s="47"/>
      <c r="R115" s="45">
        <f>('[2]Renewable Diesel'!D124*'[2]RD Feedstock Breakdown'!R$3*'[2]Feedstock Conversion Rates'!B$7)/12</f>
        <v>2.2999999999999998</v>
      </c>
      <c r="S115" s="47">
        <f t="shared" si="19"/>
        <v>2.2999999999999998</v>
      </c>
      <c r="T115" s="48"/>
      <c r="U115" s="47"/>
      <c r="Y115" s="45"/>
      <c r="Z115" s="45">
        <f>('[2]Renewable Diesel'!F124*'[2]RD Feedstock Breakdown'!Z$3*'[2]Feedstock Conversion Rates'!B$6)/12+17.5-5</f>
        <v>57.055000000000007</v>
      </c>
      <c r="AA115" s="45">
        <f>('[2]Renewable Diesel'!F124*'[2]RD Feedstock Breakdown'!AA$3*'[2]Feedstock Conversion Rates'!B$7)/12-12.5</f>
        <v>16.633333333333329</v>
      </c>
      <c r="AB115" s="47">
        <f t="shared" ref="AB115:AB178" si="39">SUM(Y115:AA115)</f>
        <v>73.688333333333333</v>
      </c>
      <c r="AC115" s="49"/>
      <c r="AG115" s="49"/>
      <c r="AI115" s="45">
        <f>('[2]Renewable Diesel'!H124*'[2]RD Feedstock Breakdown'!AI$3*'[2]Feedstock Conversion Rates'!B$6)/12</f>
        <v>39.083333333333336</v>
      </c>
      <c r="AJ115" s="47">
        <f t="shared" si="18"/>
        <v>39.083333333333336</v>
      </c>
      <c r="AK115" s="45">
        <f>('[2]Renewable Diesel'!J124*'[2]RD Feedstock Breakdown'!AK$3*'[2]Feedstock Conversion Rates'!B$4)/12</f>
        <v>62.5</v>
      </c>
      <c r="AL115" s="47">
        <f t="shared" si="20"/>
        <v>62.5</v>
      </c>
      <c r="AT115" s="49"/>
      <c r="BJ115" s="45">
        <f>('[2]Renewable Diesel'!W124*'[2]RD Feedstock Breakdown'!BJ$3*'[2]Feedstock Conversion Rates'!B$4)/12-2.5</f>
        <v>5</v>
      </c>
      <c r="BK115" s="45">
        <f>('[2]Renewable Diesel'!W124*'[2]RD Feedstock Breakdown'!BK$3*'[2]Feedstock Conversion Rates'!B$3)/12</f>
        <v>1.335</v>
      </c>
      <c r="BL115" s="45">
        <f>('[2]Renewable Diesel'!W124*'[2]RD Feedstock Breakdown'!BL$3*'[2]Feedstock Conversion Rates'!B$6)/12+2.5</f>
        <v>5.6266666666666669</v>
      </c>
      <c r="BM115" s="45">
        <f>('[2]Renewable Diesel'!W124*'[2]RD Feedstock Breakdown'!BM$3*'[2]Feedstock Conversion Rates'!B$7)/12</f>
        <v>1.5333333333333332</v>
      </c>
      <c r="BN115" s="47">
        <f t="shared" si="34"/>
        <v>13.494999999999999</v>
      </c>
      <c r="BO115" s="47"/>
      <c r="BP115" s="47"/>
      <c r="BQ115" s="47"/>
      <c r="BR115" s="47"/>
      <c r="BS115" s="47"/>
      <c r="BT115" s="47"/>
      <c r="BU115" s="47"/>
      <c r="BV115" s="47"/>
      <c r="BW115" s="47"/>
      <c r="BX115" s="48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8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8"/>
      <c r="DE115" s="47"/>
      <c r="DF115" s="47"/>
      <c r="DG115" s="47"/>
      <c r="DH115" s="47"/>
      <c r="DI115" s="47"/>
      <c r="DJ115" s="48"/>
      <c r="DK115" s="47"/>
      <c r="DL115" s="47"/>
      <c r="DM115" s="47"/>
      <c r="DN115" s="47"/>
      <c r="DP115" s="45">
        <f t="shared" si="21"/>
        <v>22.796666666666667</v>
      </c>
      <c r="DQ115" s="45">
        <f t="shared" si="22"/>
        <v>10.474224999999997</v>
      </c>
      <c r="DR115" s="45">
        <f t="shared" si="29"/>
        <v>133</v>
      </c>
      <c r="DS115" s="48"/>
      <c r="DT115" s="45">
        <f t="shared" si="23"/>
        <v>101.76500000000001</v>
      </c>
      <c r="DU115" s="45">
        <f t="shared" si="24"/>
        <v>102.50366666666665</v>
      </c>
      <c r="DV115" s="45">
        <f t="shared" si="25"/>
        <v>29.15625</v>
      </c>
      <c r="DW115" s="45">
        <f t="shared" si="26"/>
        <v>0</v>
      </c>
      <c r="DX115" s="47">
        <f t="shared" si="27"/>
        <v>399.69580833333328</v>
      </c>
      <c r="DY115" s="50">
        <f t="shared" si="28"/>
        <v>5.6843418860808015E-14</v>
      </c>
      <c r="EA115" s="51">
        <f t="shared" si="35"/>
        <v>5.7035040626833372E-2</v>
      </c>
      <c r="EB115" s="51">
        <f t="shared" si="35"/>
        <v>2.6205491230132778E-2</v>
      </c>
      <c r="EC115" s="51">
        <f t="shared" si="35"/>
        <v>0.33275305176351094</v>
      </c>
      <c r="ED115" s="48"/>
      <c r="EE115" s="51">
        <f t="shared" si="36"/>
        <v>0.25460612265198268</v>
      </c>
      <c r="EF115" s="51">
        <f t="shared" si="36"/>
        <v>0.25645419473896991</v>
      </c>
      <c r="EG115" s="51">
        <f t="shared" si="36"/>
        <v>7.2946098988570421E-2</v>
      </c>
      <c r="EH115" s="52">
        <f t="shared" si="30"/>
        <v>0</v>
      </c>
      <c r="EI115" s="51">
        <f t="shared" si="31"/>
        <v>1.0000000000000002</v>
      </c>
      <c r="EK115" s="53">
        <f>(EA115*'[2]Renewable Diesel'!BF124*'[2]Feedstock Conversion Rates'!B$2)+FB115</f>
        <v>17.836228069729785</v>
      </c>
      <c r="EL115" s="53">
        <f>(EB115*'[2]Renewable Diesel'!BF124*'[2]Feedstock Conversion Rates'!B$3)+FC115</f>
        <v>7.7226643091380387</v>
      </c>
      <c r="EM115" s="53">
        <f>(EC115*'[2]Renewable Diesel'!BF124*'[2]Feedstock Conversion Rates'!B$4)+FD115</f>
        <v>91.817538681551952</v>
      </c>
      <c r="EN115" s="48"/>
      <c r="EO115" s="53">
        <f>(EE115*'[2]Renewable Diesel'!BF124*'[2]Feedstock Conversion Rates'!B$6)+FF115</f>
        <v>87.864616449569837</v>
      </c>
      <c r="EP115" s="53">
        <f>(EF115*'[2]Renewable Diesel'!BF124*'[2]Feedstock Conversion Rates'!B$7)+FG115</f>
        <v>86.804046404352533</v>
      </c>
      <c r="EQ115" s="53">
        <f>(EG115*'[2]Renewable Diesel'!BF124*'[2]Feedstock Conversion Rates'!B$8)+FH115</f>
        <v>25.16029240774435</v>
      </c>
      <c r="ER115" s="53">
        <f>(EH115*'[2]Renewable Diesel'!BF124*'[2]Feedstock Conversion Rates'!B$9)+FI115</f>
        <v>0</v>
      </c>
      <c r="ES115" s="53">
        <f t="shared" si="32"/>
        <v>317.2053863220865</v>
      </c>
    </row>
    <row r="116" spans="1:150" x14ac:dyDescent="0.25">
      <c r="A116" s="39">
        <v>43952</v>
      </c>
      <c r="B116" s="45">
        <f t="shared" si="38"/>
        <v>65.5</v>
      </c>
      <c r="C116" s="46"/>
      <c r="D116" s="45">
        <v>0</v>
      </c>
      <c r="E116" s="45">
        <f>('[2]Renewable Diesel'!B125*E$3*'[2]Feedstock Conversion Rates'!$B$2)/12-15</f>
        <v>22.796666666666667</v>
      </c>
      <c r="F116" s="45">
        <f>('[2]Renewable Diesel'!B125*'[2]RD Feedstock Breakdown'!F$3*'[2]Feedstock Conversion Rates'!B$8)/12+8.5-4-2+4</f>
        <v>29.15625</v>
      </c>
      <c r="G116" s="45">
        <f>('[2]Renewable Diesel'!B125*'[2]RD Feedstock Breakdown'!G$3*'[2]Feedstock Conversion Rates'!B$7)/12+5+3</f>
        <v>82.036999999999992</v>
      </c>
      <c r="H116" s="45">
        <f>('[2]Renewable Diesel'!B125*'[2]RD Feedstock Breakdown'!H$3*'[2]Feedstock Conversion Rates'!B$3)/12-45-20</f>
        <v>9.1392249999999962</v>
      </c>
      <c r="I116" s="47">
        <f t="shared" si="33"/>
        <v>208.62914166666667</v>
      </c>
      <c r="J116" s="47"/>
      <c r="K116" s="48"/>
      <c r="L116" s="47"/>
      <c r="R116" s="45">
        <f>('[2]Renewable Diesel'!D125*'[2]RD Feedstock Breakdown'!R$3*'[2]Feedstock Conversion Rates'!B$7)/12</f>
        <v>2.2999999999999998</v>
      </c>
      <c r="S116" s="47">
        <f t="shared" si="19"/>
        <v>2.2999999999999998</v>
      </c>
      <c r="T116" s="48"/>
      <c r="U116" s="47"/>
      <c r="Y116" s="45"/>
      <c r="Z116" s="45">
        <f>('[2]Renewable Diesel'!F125*'[2]RD Feedstock Breakdown'!Z$3*'[2]Feedstock Conversion Rates'!B$6)/12+17.5-5</f>
        <v>57.055000000000007</v>
      </c>
      <c r="AA116" s="45">
        <f>('[2]Renewable Diesel'!F125*'[2]RD Feedstock Breakdown'!AA$3*'[2]Feedstock Conversion Rates'!B$7)/12-12.5</f>
        <v>16.633333333333329</v>
      </c>
      <c r="AB116" s="47">
        <f t="shared" si="39"/>
        <v>73.688333333333333</v>
      </c>
      <c r="AC116" s="49"/>
      <c r="AG116" s="49"/>
      <c r="AI116" s="45">
        <f>('[2]Renewable Diesel'!H125*'[2]RD Feedstock Breakdown'!AI$3*'[2]Feedstock Conversion Rates'!B$6)/12</f>
        <v>39.083333333333336</v>
      </c>
      <c r="AJ116" s="47">
        <f t="shared" si="18"/>
        <v>39.083333333333336</v>
      </c>
      <c r="AK116" s="45">
        <f>('[2]Renewable Diesel'!J125*'[2]RD Feedstock Breakdown'!AK$3*'[2]Feedstock Conversion Rates'!B$4)/12</f>
        <v>62.5</v>
      </c>
      <c r="AL116" s="47">
        <f t="shared" si="20"/>
        <v>62.5</v>
      </c>
      <c r="AT116" s="49"/>
      <c r="BJ116" s="45">
        <f>('[2]Renewable Diesel'!W125*'[2]RD Feedstock Breakdown'!BJ$3*'[2]Feedstock Conversion Rates'!B$4)/12-2.5</f>
        <v>5</v>
      </c>
      <c r="BK116" s="45">
        <f>('[2]Renewable Diesel'!W125*'[2]RD Feedstock Breakdown'!BK$3*'[2]Feedstock Conversion Rates'!B$3)/12</f>
        <v>1.335</v>
      </c>
      <c r="BL116" s="45">
        <f>('[2]Renewable Diesel'!W125*'[2]RD Feedstock Breakdown'!BL$3*'[2]Feedstock Conversion Rates'!B$6)/12+2.5</f>
        <v>5.6266666666666669</v>
      </c>
      <c r="BM116" s="45">
        <f>('[2]Renewable Diesel'!W125*'[2]RD Feedstock Breakdown'!BM$3*'[2]Feedstock Conversion Rates'!B$7)/12</f>
        <v>1.5333333333333332</v>
      </c>
      <c r="BN116" s="47">
        <f t="shared" si="34"/>
        <v>13.494999999999999</v>
      </c>
      <c r="BO116" s="47"/>
      <c r="BP116" s="47"/>
      <c r="BQ116" s="47"/>
      <c r="BR116" s="47"/>
      <c r="BS116" s="47"/>
      <c r="BT116" s="47"/>
      <c r="BU116" s="47"/>
      <c r="BV116" s="47"/>
      <c r="BW116" s="47"/>
      <c r="BX116" s="48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8"/>
      <c r="CJ116" s="47"/>
      <c r="CK116" s="47"/>
      <c r="CL116" s="47"/>
      <c r="CM116" s="47"/>
      <c r="CN116" s="47"/>
      <c r="CO116" s="47"/>
      <c r="CP116" s="47"/>
      <c r="CQ116" s="47"/>
      <c r="CR116" s="47"/>
      <c r="CS116" s="47"/>
      <c r="CT116" s="47"/>
      <c r="CU116" s="47"/>
      <c r="CV116" s="47"/>
      <c r="CW116" s="47"/>
      <c r="CX116" s="47"/>
      <c r="CY116" s="47"/>
      <c r="CZ116" s="47"/>
      <c r="DA116" s="47"/>
      <c r="DB116" s="47"/>
      <c r="DC116" s="47"/>
      <c r="DD116" s="48"/>
      <c r="DE116" s="47"/>
      <c r="DF116" s="47"/>
      <c r="DG116" s="47"/>
      <c r="DH116" s="47"/>
      <c r="DI116" s="47"/>
      <c r="DJ116" s="48"/>
      <c r="DK116" s="47"/>
      <c r="DL116" s="47"/>
      <c r="DM116" s="47"/>
      <c r="DN116" s="47"/>
      <c r="DP116" s="45">
        <f t="shared" si="21"/>
        <v>22.796666666666667</v>
      </c>
      <c r="DQ116" s="45">
        <f t="shared" si="22"/>
        <v>10.474224999999997</v>
      </c>
      <c r="DR116" s="45">
        <f t="shared" si="29"/>
        <v>133</v>
      </c>
      <c r="DS116" s="48"/>
      <c r="DT116" s="45">
        <f t="shared" si="23"/>
        <v>101.76500000000001</v>
      </c>
      <c r="DU116" s="45">
        <f t="shared" si="24"/>
        <v>102.50366666666665</v>
      </c>
      <c r="DV116" s="45">
        <f t="shared" si="25"/>
        <v>29.15625</v>
      </c>
      <c r="DW116" s="45">
        <f t="shared" si="26"/>
        <v>0</v>
      </c>
      <c r="DX116" s="47">
        <f t="shared" si="27"/>
        <v>399.69580833333328</v>
      </c>
      <c r="DY116" s="50">
        <f t="shared" si="28"/>
        <v>5.6843418860808015E-14</v>
      </c>
      <c r="EA116" s="51">
        <f t="shared" si="35"/>
        <v>5.7035040626833372E-2</v>
      </c>
      <c r="EB116" s="51">
        <f t="shared" si="35"/>
        <v>2.6205491230132778E-2</v>
      </c>
      <c r="EC116" s="51">
        <f t="shared" si="35"/>
        <v>0.33275305176351094</v>
      </c>
      <c r="ED116" s="48"/>
      <c r="EE116" s="51">
        <f t="shared" si="36"/>
        <v>0.25460612265198268</v>
      </c>
      <c r="EF116" s="51">
        <f t="shared" si="36"/>
        <v>0.25645419473896991</v>
      </c>
      <c r="EG116" s="51">
        <f t="shared" si="36"/>
        <v>7.2946098988570421E-2</v>
      </c>
      <c r="EH116" s="52">
        <f t="shared" si="30"/>
        <v>0</v>
      </c>
      <c r="EI116" s="51">
        <f t="shared" si="31"/>
        <v>1.0000000000000002</v>
      </c>
      <c r="EK116" s="53">
        <f>(EA116*'[2]Renewable Diesel'!BF125*'[2]Feedstock Conversion Rates'!B$2)+FB116</f>
        <v>20.441525388150914</v>
      </c>
      <c r="EL116" s="53">
        <f>(EB116*'[2]Renewable Diesel'!BF125*'[2]Feedstock Conversion Rates'!B$3)+FC116</f>
        <v>8.8506963424248113</v>
      </c>
      <c r="EM116" s="53">
        <f>(EC116*'[2]Renewable Diesel'!BF125*'[2]Feedstock Conversion Rates'!B$4)+FD116</f>
        <v>105.22911798945771</v>
      </c>
      <c r="EN116" s="48"/>
      <c r="EO116" s="53">
        <f>(EE116*'[2]Renewable Diesel'!BF125*'[2]Feedstock Conversion Rates'!B$6)+FF116</f>
        <v>100.69880138627509</v>
      </c>
      <c r="EP116" s="53">
        <f>(EF116*'[2]Renewable Diesel'!BF125*'[2]Feedstock Conversion Rates'!B$7)+FG116</f>
        <v>99.483316283681305</v>
      </c>
      <c r="EQ116" s="53">
        <f>(EG116*'[2]Renewable Diesel'!BF125*'[2]Feedstock Conversion Rates'!B$8)+FH116</f>
        <v>28.835399167106448</v>
      </c>
      <c r="ER116" s="53">
        <f>(EH116*'[2]Renewable Diesel'!BF125*'[2]Feedstock Conversion Rates'!B$9)+FI116</f>
        <v>0</v>
      </c>
      <c r="ES116" s="53">
        <f t="shared" si="32"/>
        <v>363.53885655709627</v>
      </c>
    </row>
    <row r="117" spans="1:150" x14ac:dyDescent="0.25">
      <c r="A117" s="39">
        <v>43983</v>
      </c>
      <c r="B117" s="45">
        <f t="shared" si="38"/>
        <v>65.5</v>
      </c>
      <c r="C117" s="46"/>
      <c r="D117" s="45">
        <v>0</v>
      </c>
      <c r="E117" s="45">
        <f>('[2]Renewable Diesel'!B126*E$3*'[2]Feedstock Conversion Rates'!$B$2)/12-15</f>
        <v>22.796666666666667</v>
      </c>
      <c r="F117" s="45">
        <f>('[2]Renewable Diesel'!B126*'[2]RD Feedstock Breakdown'!F$3*'[2]Feedstock Conversion Rates'!B$8)/12+8.5-4-2+4</f>
        <v>29.15625</v>
      </c>
      <c r="G117" s="45">
        <f>('[2]Renewable Diesel'!B126*'[2]RD Feedstock Breakdown'!G$3*'[2]Feedstock Conversion Rates'!B$7)/12+5+3</f>
        <v>82.036999999999992</v>
      </c>
      <c r="H117" s="45">
        <f>('[2]Renewable Diesel'!B126*'[2]RD Feedstock Breakdown'!H$3*'[2]Feedstock Conversion Rates'!B$3)/12-45-20</f>
        <v>9.1392249999999962</v>
      </c>
      <c r="I117" s="47">
        <f t="shared" si="33"/>
        <v>208.62914166666667</v>
      </c>
      <c r="J117" s="47"/>
      <c r="K117" s="48"/>
      <c r="L117" s="47"/>
      <c r="R117" s="45">
        <f>('[2]Renewable Diesel'!D126*'[2]RD Feedstock Breakdown'!R$3*'[2]Feedstock Conversion Rates'!B$7)/12</f>
        <v>2.2999999999999998</v>
      </c>
      <c r="S117" s="47">
        <f t="shared" si="19"/>
        <v>2.2999999999999998</v>
      </c>
      <c r="T117" s="48"/>
      <c r="U117" s="47"/>
      <c r="Y117" s="45"/>
      <c r="Z117" s="45">
        <f>('[2]Renewable Diesel'!F126*'[2]RD Feedstock Breakdown'!Z$3*'[2]Feedstock Conversion Rates'!B$6)/12+17.5-5</f>
        <v>57.055000000000007</v>
      </c>
      <c r="AA117" s="45">
        <f>('[2]Renewable Diesel'!F126*'[2]RD Feedstock Breakdown'!AA$3*'[2]Feedstock Conversion Rates'!B$7)/12-12.5</f>
        <v>16.633333333333329</v>
      </c>
      <c r="AB117" s="47">
        <f t="shared" si="39"/>
        <v>73.688333333333333</v>
      </c>
      <c r="AC117" s="49"/>
      <c r="AG117" s="49"/>
      <c r="AI117" s="45">
        <f>('[2]Renewable Diesel'!H126*'[2]RD Feedstock Breakdown'!AI$3*'[2]Feedstock Conversion Rates'!B$6)/12</f>
        <v>39.083333333333336</v>
      </c>
      <c r="AJ117" s="47">
        <f t="shared" si="18"/>
        <v>39.083333333333336</v>
      </c>
      <c r="AK117" s="45">
        <f>('[2]Renewable Diesel'!J126*'[2]RD Feedstock Breakdown'!AK$3*'[2]Feedstock Conversion Rates'!B$4)/12</f>
        <v>62.5</v>
      </c>
      <c r="AL117" s="47">
        <f t="shared" si="20"/>
        <v>62.5</v>
      </c>
      <c r="AT117" s="49"/>
      <c r="BJ117" s="45">
        <f>('[2]Renewable Diesel'!W126*'[2]RD Feedstock Breakdown'!BJ$3*'[2]Feedstock Conversion Rates'!B$4)/12-2.5</f>
        <v>5</v>
      </c>
      <c r="BK117" s="45">
        <f>('[2]Renewable Diesel'!W126*'[2]RD Feedstock Breakdown'!BK$3*'[2]Feedstock Conversion Rates'!B$3)/12</f>
        <v>1.335</v>
      </c>
      <c r="BL117" s="45">
        <f>('[2]Renewable Diesel'!W126*'[2]RD Feedstock Breakdown'!BL$3*'[2]Feedstock Conversion Rates'!B$6)/12+2.5</f>
        <v>5.6266666666666669</v>
      </c>
      <c r="BM117" s="45">
        <f>('[2]Renewable Diesel'!W126*'[2]RD Feedstock Breakdown'!BM$3*'[2]Feedstock Conversion Rates'!B$7)/12</f>
        <v>1.5333333333333332</v>
      </c>
      <c r="BN117" s="47">
        <f t="shared" si="34"/>
        <v>13.494999999999999</v>
      </c>
      <c r="BO117" s="47"/>
      <c r="BP117" s="47"/>
      <c r="BQ117" s="47"/>
      <c r="BR117" s="47"/>
      <c r="BS117" s="47"/>
      <c r="BT117" s="47"/>
      <c r="BU117" s="47"/>
      <c r="BV117" s="47"/>
      <c r="BW117" s="47"/>
      <c r="BX117" s="48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8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8"/>
      <c r="DE117" s="47"/>
      <c r="DF117" s="47"/>
      <c r="DG117" s="47"/>
      <c r="DH117" s="47"/>
      <c r="DI117" s="47"/>
      <c r="DJ117" s="48"/>
      <c r="DK117" s="47"/>
      <c r="DL117" s="47"/>
      <c r="DM117" s="47"/>
      <c r="DN117" s="47"/>
      <c r="DP117" s="45">
        <f t="shared" si="21"/>
        <v>22.796666666666667</v>
      </c>
      <c r="DQ117" s="45">
        <f t="shared" si="22"/>
        <v>10.474224999999997</v>
      </c>
      <c r="DR117" s="45">
        <f t="shared" si="29"/>
        <v>133</v>
      </c>
      <c r="DS117" s="48"/>
      <c r="DT117" s="45">
        <f t="shared" si="23"/>
        <v>101.76500000000001</v>
      </c>
      <c r="DU117" s="45">
        <f t="shared" si="24"/>
        <v>102.50366666666665</v>
      </c>
      <c r="DV117" s="45">
        <f t="shared" si="25"/>
        <v>29.15625</v>
      </c>
      <c r="DW117" s="45">
        <f t="shared" si="26"/>
        <v>0</v>
      </c>
      <c r="DX117" s="47">
        <f t="shared" si="27"/>
        <v>399.69580833333328</v>
      </c>
      <c r="DY117" s="50">
        <f t="shared" si="28"/>
        <v>5.6843418860808015E-14</v>
      </c>
      <c r="EA117" s="51">
        <f t="shared" si="35"/>
        <v>5.7035040626833372E-2</v>
      </c>
      <c r="EB117" s="51">
        <f t="shared" si="35"/>
        <v>2.6205491230132778E-2</v>
      </c>
      <c r="EC117" s="51">
        <f t="shared" si="35"/>
        <v>0.33275305176351094</v>
      </c>
      <c r="ED117" s="48"/>
      <c r="EE117" s="51">
        <f t="shared" si="36"/>
        <v>0.25460612265198268</v>
      </c>
      <c r="EF117" s="51">
        <f t="shared" si="36"/>
        <v>0.25645419473896991</v>
      </c>
      <c r="EG117" s="51">
        <f t="shared" si="36"/>
        <v>7.2946098988570421E-2</v>
      </c>
      <c r="EH117" s="52">
        <f t="shared" si="30"/>
        <v>0</v>
      </c>
      <c r="EI117" s="51">
        <f t="shared" si="31"/>
        <v>1.0000000000000002</v>
      </c>
      <c r="EK117" s="53">
        <f>(EA117*'[2]Renewable Diesel'!BF126*'[2]Feedstock Conversion Rates'!B$2)+FB117</f>
        <v>24.41606440981149</v>
      </c>
      <c r="EL117" s="53">
        <f>(EB117*'[2]Renewable Diesel'!BF126*'[2]Feedstock Conversion Rates'!B$3)+FC117</f>
        <v>10.571577603185657</v>
      </c>
      <c r="EM117" s="53">
        <f>(EC117*'[2]Renewable Diesel'!BF126*'[2]Feedstock Conversion Rates'!B$4)+FD117</f>
        <v>125.68929538436282</v>
      </c>
      <c r="EN117" s="48"/>
      <c r="EO117" s="53">
        <f>(EE117*'[2]Renewable Diesel'!BF126*'[2]Feedstock Conversion Rates'!B$6)+FF117</f>
        <v>120.27812865977671</v>
      </c>
      <c r="EP117" s="53">
        <f>(EF117*'[2]Renewable Diesel'!BF126*'[2]Feedstock Conversion Rates'!B$7)+FG117</f>
        <v>118.82631124446291</v>
      </c>
      <c r="EQ117" s="53">
        <f>(EG117*'[2]Renewable Diesel'!BF126*'[2]Feedstock Conversion Rates'!B$8)+FH117</f>
        <v>34.441997354796328</v>
      </c>
      <c r="ER117" s="53">
        <f>(EH117*'[2]Renewable Diesel'!BF126*'[2]Feedstock Conversion Rates'!B$9)+FI117</f>
        <v>0</v>
      </c>
      <c r="ES117" s="53">
        <f t="shared" si="32"/>
        <v>434.22337465639595</v>
      </c>
    </row>
    <row r="118" spans="1:150" x14ac:dyDescent="0.25">
      <c r="A118" s="39">
        <v>44013</v>
      </c>
      <c r="B118" s="45">
        <f t="shared" si="38"/>
        <v>65.5</v>
      </c>
      <c r="C118" s="46"/>
      <c r="D118" s="45">
        <v>0</v>
      </c>
      <c r="E118" s="45">
        <f>('[2]Renewable Diesel'!B127*E$3*'[2]Feedstock Conversion Rates'!$B$2)/12-15</f>
        <v>22.796666666666667</v>
      </c>
      <c r="F118" s="45">
        <f>('[2]Renewable Diesel'!B127*'[2]RD Feedstock Breakdown'!F$3*'[2]Feedstock Conversion Rates'!B$8)/12+8.5-4-2+4</f>
        <v>29.15625</v>
      </c>
      <c r="G118" s="45">
        <f>('[2]Renewable Diesel'!B127*'[2]RD Feedstock Breakdown'!G$3*'[2]Feedstock Conversion Rates'!B$7)/12+5+3</f>
        <v>82.036999999999992</v>
      </c>
      <c r="H118" s="45">
        <f>('[2]Renewable Diesel'!B127*'[2]RD Feedstock Breakdown'!H$3*'[2]Feedstock Conversion Rates'!B$3)/12-45-20</f>
        <v>9.1392249999999962</v>
      </c>
      <c r="I118" s="47">
        <f t="shared" si="33"/>
        <v>208.62914166666667</v>
      </c>
      <c r="J118" s="47"/>
      <c r="K118" s="48"/>
      <c r="L118" s="47"/>
      <c r="R118" s="45">
        <f>('[2]Renewable Diesel'!D127*'[2]RD Feedstock Breakdown'!R$3*'[2]Feedstock Conversion Rates'!B$7)/12</f>
        <v>2.2999999999999998</v>
      </c>
      <c r="S118" s="47">
        <f t="shared" si="19"/>
        <v>2.2999999999999998</v>
      </c>
      <c r="T118" s="48"/>
      <c r="U118" s="47"/>
      <c r="Y118" s="45"/>
      <c r="Z118" s="45">
        <f>('[2]Renewable Diesel'!F127*'[2]RD Feedstock Breakdown'!Z$3*'[2]Feedstock Conversion Rates'!B$6)/12+17.5-5</f>
        <v>57.055000000000007</v>
      </c>
      <c r="AA118" s="45">
        <f>('[2]Renewable Diesel'!F127*'[2]RD Feedstock Breakdown'!AA$3*'[2]Feedstock Conversion Rates'!B$7)/12-12.5</f>
        <v>16.633333333333329</v>
      </c>
      <c r="AB118" s="47">
        <f t="shared" si="39"/>
        <v>73.688333333333333</v>
      </c>
      <c r="AC118" s="49"/>
      <c r="AG118" s="49"/>
      <c r="AI118" s="45">
        <f>('[2]Renewable Diesel'!H127*'[2]RD Feedstock Breakdown'!AI$3*'[2]Feedstock Conversion Rates'!B$6)/12</f>
        <v>39.083333333333336</v>
      </c>
      <c r="AJ118" s="47">
        <f t="shared" si="18"/>
        <v>39.083333333333336</v>
      </c>
      <c r="AK118" s="45">
        <f>('[2]Renewable Diesel'!J127*'[2]RD Feedstock Breakdown'!AK$3*'[2]Feedstock Conversion Rates'!B$4)/12</f>
        <v>62.5</v>
      </c>
      <c r="AL118" s="47">
        <f t="shared" si="20"/>
        <v>62.5</v>
      </c>
      <c r="AT118" s="49"/>
      <c r="AV118" s="45">
        <f>'[2]Renewable Diesel'!N127*'[2]RD Feedstock Breakdown'!$AV$3*'[2]Feedstock Conversion Rates'!$B$4/12</f>
        <v>26.25</v>
      </c>
      <c r="AW118" s="45">
        <f>'[2]Renewable Diesel'!N127*'[2]RD Feedstock Breakdown'!$AW$3*'[2]Feedstock Conversion Rates'!$B$7/12</f>
        <v>13.799999999999999</v>
      </c>
      <c r="AX118" s="47">
        <f>SUM(AV118:AW118)</f>
        <v>40.049999999999997</v>
      </c>
      <c r="BJ118" s="45">
        <f>('[2]Renewable Diesel'!W127*'[2]RD Feedstock Breakdown'!BJ$3*'[2]Feedstock Conversion Rates'!B$4)/12-2.5</f>
        <v>5</v>
      </c>
      <c r="BK118" s="45">
        <f>('[2]Renewable Diesel'!W127*'[2]RD Feedstock Breakdown'!BK$3*'[2]Feedstock Conversion Rates'!B$3)/12</f>
        <v>1.335</v>
      </c>
      <c r="BL118" s="45">
        <f>('[2]Renewable Diesel'!W127*'[2]RD Feedstock Breakdown'!BL$3*'[2]Feedstock Conversion Rates'!B$6)/12+2.5</f>
        <v>5.6266666666666669</v>
      </c>
      <c r="BM118" s="45">
        <f>('[2]Renewable Diesel'!W127*'[2]RD Feedstock Breakdown'!BM$3*'[2]Feedstock Conversion Rates'!B$7)/12</f>
        <v>1.5333333333333332</v>
      </c>
      <c r="BN118" s="47">
        <f t="shared" si="34"/>
        <v>13.494999999999999</v>
      </c>
      <c r="BO118" s="47"/>
      <c r="BP118" s="47"/>
      <c r="BQ118" s="47"/>
      <c r="BR118" s="47"/>
      <c r="BS118" s="47"/>
      <c r="BT118" s="47"/>
      <c r="BU118" s="47"/>
      <c r="BV118" s="47"/>
      <c r="BW118" s="47"/>
      <c r="BX118" s="48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8"/>
      <c r="CJ118" s="47"/>
      <c r="CK118" s="47"/>
      <c r="CL118" s="47"/>
      <c r="CM118" s="47"/>
      <c r="CN118" s="47"/>
      <c r="CO118" s="47"/>
      <c r="CP118" s="47"/>
      <c r="CQ118" s="47"/>
      <c r="CR118" s="47"/>
      <c r="CS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8"/>
      <c r="DE118" s="47"/>
      <c r="DF118" s="47"/>
      <c r="DG118" s="47"/>
      <c r="DH118" s="47"/>
      <c r="DI118" s="47"/>
      <c r="DJ118" s="48"/>
      <c r="DK118" s="47"/>
      <c r="DL118" s="47"/>
      <c r="DM118" s="47"/>
      <c r="DN118" s="47"/>
      <c r="DP118" s="45">
        <f t="shared" si="21"/>
        <v>22.796666666666667</v>
      </c>
      <c r="DQ118" s="45">
        <f t="shared" si="22"/>
        <v>10.474224999999997</v>
      </c>
      <c r="DR118" s="45">
        <f t="shared" si="29"/>
        <v>159.25</v>
      </c>
      <c r="DS118" s="48"/>
      <c r="DT118" s="45">
        <f t="shared" si="23"/>
        <v>101.76500000000001</v>
      </c>
      <c r="DU118" s="45">
        <f t="shared" si="24"/>
        <v>116.30366666666664</v>
      </c>
      <c r="DV118" s="45">
        <f t="shared" si="25"/>
        <v>29.15625</v>
      </c>
      <c r="DW118" s="45">
        <f t="shared" si="26"/>
        <v>0</v>
      </c>
      <c r="DX118" s="47">
        <f t="shared" si="27"/>
        <v>439.74580833333329</v>
      </c>
      <c r="DY118" s="50">
        <f t="shared" si="28"/>
        <v>5.6843418860808015E-14</v>
      </c>
      <c r="EA118" s="51">
        <f t="shared" si="35"/>
        <v>5.1840554781107738E-2</v>
      </c>
      <c r="EB118" s="51">
        <f t="shared" si="35"/>
        <v>2.3818817147337974E-2</v>
      </c>
      <c r="EC118" s="51">
        <f t="shared" si="35"/>
        <v>0.36214103007273318</v>
      </c>
      <c r="ED118" s="48"/>
      <c r="EE118" s="51">
        <f t="shared" si="36"/>
        <v>0.23141778289074846</v>
      </c>
      <c r="EF118" s="51">
        <f t="shared" si="36"/>
        <v>0.26447930705119282</v>
      </c>
      <c r="EG118" s="51">
        <f t="shared" si="36"/>
        <v>6.6302508056879914E-2</v>
      </c>
      <c r="EH118" s="52">
        <f t="shared" si="30"/>
        <v>0</v>
      </c>
      <c r="EI118" s="51">
        <f t="shared" si="31"/>
        <v>1</v>
      </c>
      <c r="EK118" s="53">
        <f>(EA118*'[2]Renewable Diesel'!BF127*'[2]Feedstock Conversion Rates'!B$2)+FB118</f>
        <v>19.651205010697758</v>
      </c>
      <c r="EL118" s="53">
        <f>(EB118*'[2]Renewable Diesel'!BF127*'[2]Feedstock Conversion Rates'!B$3)+FC118</f>
        <v>8.508506337459572</v>
      </c>
      <c r="EM118" s="53">
        <f>(EC118*'[2]Renewable Diesel'!BF127*'[2]Feedstock Conversion Rates'!B$4)+FD118</f>
        <v>121.12662490036625</v>
      </c>
      <c r="EN118" s="48"/>
      <c r="EO118" s="53">
        <f>(EE118*'[2]Renewable Diesel'!BF127*'[2]Feedstock Conversion Rates'!B$6)+FF118</f>
        <v>96.80553445978569</v>
      </c>
      <c r="EP118" s="53">
        <f>(EF118*'[2]Renewable Diesel'!BF127*'[2]Feedstock Conversion Rates'!B$7)+FG118</f>
        <v>108.5125941042044</v>
      </c>
      <c r="EQ118" s="53">
        <f>(EG118*'[2]Renewable Diesel'!BF127*'[2]Feedstock Conversion Rates'!B$8)+FH118</f>
        <v>27.720550684861088</v>
      </c>
      <c r="ER118" s="53">
        <f>(EH118*'[2]Renewable Diesel'!BF127*'[2]Feedstock Conversion Rates'!B$9)+FI118</f>
        <v>0</v>
      </c>
      <c r="ES118" s="53">
        <f t="shared" si="32"/>
        <v>382.32501549737481</v>
      </c>
    </row>
    <row r="119" spans="1:150" x14ac:dyDescent="0.25">
      <c r="A119" s="39">
        <v>44044</v>
      </c>
      <c r="B119" s="45">
        <f t="shared" si="38"/>
        <v>65.5</v>
      </c>
      <c r="C119" s="46"/>
      <c r="D119" s="45">
        <v>0</v>
      </c>
      <c r="E119" s="45">
        <f>('[2]Renewable Diesel'!B128*E$3*'[2]Feedstock Conversion Rates'!$B$2)/12-15</f>
        <v>22.796666666666667</v>
      </c>
      <c r="F119" s="45">
        <f>('[2]Renewable Diesel'!B128*'[2]RD Feedstock Breakdown'!F$3*'[2]Feedstock Conversion Rates'!B$8)/12+8.5-4-2+4</f>
        <v>29.15625</v>
      </c>
      <c r="G119" s="45">
        <f>('[2]Renewable Diesel'!B128*'[2]RD Feedstock Breakdown'!G$3*'[2]Feedstock Conversion Rates'!B$7)/12+5+3</f>
        <v>82.036999999999992</v>
      </c>
      <c r="H119" s="45">
        <f>('[2]Renewable Diesel'!B128*'[2]RD Feedstock Breakdown'!H$3*'[2]Feedstock Conversion Rates'!B$3)/12-45-20</f>
        <v>9.1392249999999962</v>
      </c>
      <c r="I119" s="47">
        <f t="shared" si="33"/>
        <v>208.62914166666667</v>
      </c>
      <c r="J119" s="47"/>
      <c r="K119" s="48"/>
      <c r="L119" s="47"/>
      <c r="R119" s="45">
        <f>('[2]Renewable Diesel'!D128*'[2]RD Feedstock Breakdown'!R$3*'[2]Feedstock Conversion Rates'!B$7)/12</f>
        <v>2.2999999999999998</v>
      </c>
      <c r="S119" s="47">
        <f t="shared" si="19"/>
        <v>2.2999999999999998</v>
      </c>
      <c r="T119" s="48"/>
      <c r="U119" s="47"/>
      <c r="Y119" s="45"/>
      <c r="Z119" s="45">
        <f>('[2]Renewable Diesel'!F128*'[2]RD Feedstock Breakdown'!Z$3*'[2]Feedstock Conversion Rates'!B$6)/12+17.5-5</f>
        <v>57.055000000000007</v>
      </c>
      <c r="AA119" s="45">
        <f>('[2]Renewable Diesel'!F128*'[2]RD Feedstock Breakdown'!AA$3*'[2]Feedstock Conversion Rates'!B$7)/12-12.5</f>
        <v>16.633333333333329</v>
      </c>
      <c r="AB119" s="47">
        <f t="shared" si="39"/>
        <v>73.688333333333333</v>
      </c>
      <c r="AC119" s="49"/>
      <c r="AG119" s="49"/>
      <c r="AI119" s="45">
        <f>('[2]Renewable Diesel'!H128*'[2]RD Feedstock Breakdown'!AI$3*'[2]Feedstock Conversion Rates'!B$6)/12</f>
        <v>39.083333333333336</v>
      </c>
      <c r="AJ119" s="47">
        <f t="shared" si="18"/>
        <v>39.083333333333336</v>
      </c>
      <c r="AK119" s="45">
        <f>('[2]Renewable Diesel'!J128*'[2]RD Feedstock Breakdown'!AK$3*'[2]Feedstock Conversion Rates'!B$4)/12</f>
        <v>62.5</v>
      </c>
      <c r="AL119" s="47">
        <f t="shared" si="20"/>
        <v>62.5</v>
      </c>
      <c r="AT119" s="49"/>
      <c r="AV119" s="45">
        <f>'[2]Renewable Diesel'!N128*'[2]RD Feedstock Breakdown'!$AV$3*'[2]Feedstock Conversion Rates'!$B$4/12</f>
        <v>52.5</v>
      </c>
      <c r="AW119" s="45">
        <f>'[2]Renewable Diesel'!N128*'[2]RD Feedstock Breakdown'!$AW$3*'[2]Feedstock Conversion Rates'!$B$7/12</f>
        <v>27.599999999999998</v>
      </c>
      <c r="AX119" s="47">
        <f t="shared" ref="AX119:AX182" si="40">SUM(AV119:AW119)</f>
        <v>80.099999999999994</v>
      </c>
      <c r="BJ119" s="45">
        <f>('[2]Renewable Diesel'!W128*'[2]RD Feedstock Breakdown'!BJ$3*'[2]Feedstock Conversion Rates'!B$4)/12-2.5</f>
        <v>5</v>
      </c>
      <c r="BK119" s="45">
        <f>('[2]Renewable Diesel'!W128*'[2]RD Feedstock Breakdown'!BK$3*'[2]Feedstock Conversion Rates'!B$3)/12</f>
        <v>1.335</v>
      </c>
      <c r="BL119" s="45">
        <f>('[2]Renewable Diesel'!W128*'[2]RD Feedstock Breakdown'!BL$3*'[2]Feedstock Conversion Rates'!B$6)/12+2.5</f>
        <v>5.6266666666666669</v>
      </c>
      <c r="BM119" s="45">
        <f>('[2]Renewable Diesel'!W128*'[2]RD Feedstock Breakdown'!BM$3*'[2]Feedstock Conversion Rates'!B$7)/12</f>
        <v>1.5333333333333332</v>
      </c>
      <c r="BN119" s="47">
        <f t="shared" si="34"/>
        <v>13.494999999999999</v>
      </c>
      <c r="BO119" s="47"/>
      <c r="BP119" s="47"/>
      <c r="BQ119" s="47"/>
      <c r="BR119" s="47"/>
      <c r="BS119" s="47"/>
      <c r="BT119" s="47"/>
      <c r="BU119" s="47"/>
      <c r="BV119" s="47"/>
      <c r="BW119" s="47"/>
      <c r="BX119" s="48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8"/>
      <c r="CJ119" s="47"/>
      <c r="CK119" s="47"/>
      <c r="CL119" s="47"/>
      <c r="CM119" s="47"/>
      <c r="CN119" s="47"/>
      <c r="CO119" s="47"/>
      <c r="CP119" s="47"/>
      <c r="CQ119" s="47"/>
      <c r="CR119" s="47"/>
      <c r="CS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8"/>
      <c r="DE119" s="47"/>
      <c r="DF119" s="47"/>
      <c r="DG119" s="47"/>
      <c r="DH119" s="47"/>
      <c r="DI119" s="47"/>
      <c r="DJ119" s="48"/>
      <c r="DK119" s="47"/>
      <c r="DL119" s="47"/>
      <c r="DM119" s="47"/>
      <c r="DN119" s="47"/>
      <c r="DP119" s="45">
        <f t="shared" si="21"/>
        <v>22.796666666666667</v>
      </c>
      <c r="DQ119" s="45">
        <f t="shared" si="22"/>
        <v>10.474224999999997</v>
      </c>
      <c r="DR119" s="45">
        <f t="shared" si="29"/>
        <v>185.5</v>
      </c>
      <c r="DS119" s="48"/>
      <c r="DT119" s="45">
        <f t="shared" si="23"/>
        <v>101.76500000000001</v>
      </c>
      <c r="DU119" s="45">
        <f t="shared" si="24"/>
        <v>130.10366666666664</v>
      </c>
      <c r="DV119" s="45">
        <f t="shared" si="25"/>
        <v>29.15625</v>
      </c>
      <c r="DW119" s="45">
        <f t="shared" si="26"/>
        <v>0</v>
      </c>
      <c r="DX119" s="47">
        <f t="shared" si="27"/>
        <v>479.7958083333333</v>
      </c>
      <c r="DY119" s="50">
        <f t="shared" si="28"/>
        <v>0</v>
      </c>
      <c r="EA119" s="51">
        <f t="shared" si="35"/>
        <v>4.7513267666625621E-2</v>
      </c>
      <c r="EB119" s="51">
        <f t="shared" si="35"/>
        <v>2.1830588800648993E-2</v>
      </c>
      <c r="EC119" s="51">
        <f t="shared" si="35"/>
        <v>0.38662280240498836</v>
      </c>
      <c r="ED119" s="48"/>
      <c r="EE119" s="51">
        <f t="shared" si="36"/>
        <v>0.21210064413338894</v>
      </c>
      <c r="EF119" s="51">
        <f t="shared" si="36"/>
        <v>0.27116465881310581</v>
      </c>
      <c r="EG119" s="51">
        <f t="shared" si="36"/>
        <v>6.0768038181242282E-2</v>
      </c>
      <c r="EH119" s="52">
        <f t="shared" si="30"/>
        <v>0</v>
      </c>
      <c r="EI119" s="51">
        <f t="shared" si="31"/>
        <v>1</v>
      </c>
      <c r="EK119" s="53">
        <f>(EA119*'[2]Renewable Diesel'!BF128*'[2]Feedstock Conversion Rates'!B$2)+FB119</f>
        <v>16.292568265441115</v>
      </c>
      <c r="EL119" s="53">
        <f>(EB119*'[2]Renewable Diesel'!BF128*'[2]Feedstock Conversion Rates'!B$3)+FC119</f>
        <v>7.0542961749436364</v>
      </c>
      <c r="EM119" s="53">
        <f>(EC119*'[2]Renewable Diesel'!BF128*'[2]Feedstock Conversion Rates'!B$4)+FD119</f>
        <v>116.97807006164446</v>
      </c>
      <c r="EN119" s="48"/>
      <c r="EO119" s="53">
        <f>(EE119*'[2]Renewable Diesel'!BF128*'[2]Feedstock Conversion Rates'!B$6)+FF119</f>
        <v>80.260257719563043</v>
      </c>
      <c r="EP119" s="53">
        <f>(EF119*'[2]Renewable Diesel'!BF128*'[2]Feedstock Conversion Rates'!B$7)+FG119</f>
        <v>100.64139276076443</v>
      </c>
      <c r="EQ119" s="53">
        <f>(EG119*'[2]Renewable Diesel'!BF128*'[2]Feedstock Conversion Rates'!B$8)+FH119</f>
        <v>22.982761827727906</v>
      </c>
      <c r="ER119" s="53">
        <f>(EH119*'[2]Renewable Diesel'!BF128*'[2]Feedstock Conversion Rates'!B$9)+FI119</f>
        <v>0</v>
      </c>
      <c r="ES119" s="53">
        <f t="shared" si="32"/>
        <v>344.20934681008464</v>
      </c>
    </row>
    <row r="120" spans="1:150" x14ac:dyDescent="0.25">
      <c r="A120" s="39">
        <v>44075</v>
      </c>
      <c r="B120" s="45">
        <f t="shared" si="38"/>
        <v>65.5</v>
      </c>
      <c r="C120" s="46"/>
      <c r="D120" s="45">
        <v>0</v>
      </c>
      <c r="E120" s="45">
        <f>('[2]Renewable Diesel'!B129*E$3*'[2]Feedstock Conversion Rates'!$B$2)/12-15</f>
        <v>22.796666666666667</v>
      </c>
      <c r="F120" s="45">
        <f>('[2]Renewable Diesel'!B129*'[2]RD Feedstock Breakdown'!F$3*'[2]Feedstock Conversion Rates'!B$8)/12+8.5-4-2+4</f>
        <v>29.15625</v>
      </c>
      <c r="G120" s="45">
        <f>('[2]Renewable Diesel'!B129*'[2]RD Feedstock Breakdown'!G$3*'[2]Feedstock Conversion Rates'!B$7)/12+5+3</f>
        <v>82.036999999999992</v>
      </c>
      <c r="H120" s="45">
        <f>('[2]Renewable Diesel'!B129*'[2]RD Feedstock Breakdown'!H$3*'[2]Feedstock Conversion Rates'!B$3)/12-45-20</f>
        <v>9.1392249999999962</v>
      </c>
      <c r="I120" s="47">
        <f t="shared" si="33"/>
        <v>208.62914166666667</v>
      </c>
      <c r="J120" s="47"/>
      <c r="K120" s="48"/>
      <c r="L120" s="47"/>
      <c r="R120" s="45">
        <f>('[2]Renewable Diesel'!D129*'[2]RD Feedstock Breakdown'!R$3*'[2]Feedstock Conversion Rates'!B$7)/12</f>
        <v>2.2999999999999998</v>
      </c>
      <c r="S120" s="47">
        <f t="shared" si="19"/>
        <v>2.2999999999999998</v>
      </c>
      <c r="T120" s="48"/>
      <c r="U120" s="47"/>
      <c r="Y120" s="45"/>
      <c r="Z120" s="45">
        <f>('[2]Renewable Diesel'!F129*'[2]RD Feedstock Breakdown'!Z$3*'[2]Feedstock Conversion Rates'!B$6)/12+17.5-5</f>
        <v>57.055000000000007</v>
      </c>
      <c r="AA120" s="45">
        <f>('[2]Renewable Diesel'!F129*'[2]RD Feedstock Breakdown'!AA$3*'[2]Feedstock Conversion Rates'!B$7)/12-12.5</f>
        <v>16.633333333333329</v>
      </c>
      <c r="AB120" s="47">
        <f t="shared" si="39"/>
        <v>73.688333333333333</v>
      </c>
      <c r="AC120" s="49"/>
      <c r="AG120" s="49"/>
      <c r="AI120" s="45">
        <f>('[2]Renewable Diesel'!H129*'[2]RD Feedstock Breakdown'!AI$3*'[2]Feedstock Conversion Rates'!B$6)/12</f>
        <v>39.083333333333336</v>
      </c>
      <c r="AJ120" s="47">
        <f t="shared" si="18"/>
        <v>39.083333333333336</v>
      </c>
      <c r="AK120" s="45">
        <f>('[2]Renewable Diesel'!J129*'[2]RD Feedstock Breakdown'!AK$3*'[2]Feedstock Conversion Rates'!B$4)/12</f>
        <v>62.5</v>
      </c>
      <c r="AL120" s="47">
        <f t="shared" si="20"/>
        <v>62.5</v>
      </c>
      <c r="AT120" s="49"/>
      <c r="AV120" s="45">
        <f>'[2]Renewable Diesel'!N129*'[2]RD Feedstock Breakdown'!$AV$3*'[2]Feedstock Conversion Rates'!$B$4/12</f>
        <v>78.749999999999986</v>
      </c>
      <c r="AW120" s="45">
        <f>'[2]Renewable Diesel'!N129*'[2]RD Feedstock Breakdown'!$AW$3*'[2]Feedstock Conversion Rates'!$B$7/12</f>
        <v>41.4</v>
      </c>
      <c r="AX120" s="47">
        <f t="shared" si="40"/>
        <v>120.14999999999998</v>
      </c>
      <c r="BJ120" s="45">
        <f>('[2]Renewable Diesel'!W129*'[2]RD Feedstock Breakdown'!BJ$3*'[2]Feedstock Conversion Rates'!B$4)/12-2.5</f>
        <v>5</v>
      </c>
      <c r="BK120" s="45">
        <f>('[2]Renewable Diesel'!W129*'[2]RD Feedstock Breakdown'!BK$3*'[2]Feedstock Conversion Rates'!B$3)/12</f>
        <v>1.335</v>
      </c>
      <c r="BL120" s="45">
        <f>('[2]Renewable Diesel'!W129*'[2]RD Feedstock Breakdown'!BL$3*'[2]Feedstock Conversion Rates'!B$6)/12+2.5</f>
        <v>5.6266666666666669</v>
      </c>
      <c r="BM120" s="45">
        <f>('[2]Renewable Diesel'!W129*'[2]RD Feedstock Breakdown'!BM$3*'[2]Feedstock Conversion Rates'!B$7)/12</f>
        <v>1.5333333333333332</v>
      </c>
      <c r="BN120" s="47">
        <f t="shared" si="34"/>
        <v>13.494999999999999</v>
      </c>
      <c r="BO120" s="47"/>
      <c r="BP120" s="47"/>
      <c r="BQ120" s="47"/>
      <c r="BR120" s="47"/>
      <c r="BS120" s="47"/>
      <c r="BT120" s="47"/>
      <c r="BU120" s="47"/>
      <c r="BV120" s="47"/>
      <c r="BW120" s="47"/>
      <c r="BX120" s="48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8"/>
      <c r="CJ120" s="47"/>
      <c r="CK120" s="47"/>
      <c r="CL120" s="47"/>
      <c r="CM120" s="47"/>
      <c r="CN120" s="47"/>
      <c r="CO120" s="47"/>
      <c r="CP120" s="47"/>
      <c r="CQ120" s="47"/>
      <c r="CR120" s="47"/>
      <c r="CS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8"/>
      <c r="DE120" s="47"/>
      <c r="DF120" s="47"/>
      <c r="DG120" s="47"/>
      <c r="DH120" s="47"/>
      <c r="DI120" s="47"/>
      <c r="DJ120" s="48"/>
      <c r="DK120" s="47"/>
      <c r="DL120" s="47"/>
      <c r="DM120" s="47"/>
      <c r="DN120" s="47"/>
      <c r="DP120" s="45">
        <f t="shared" si="21"/>
        <v>22.796666666666667</v>
      </c>
      <c r="DQ120" s="45">
        <f t="shared" si="22"/>
        <v>10.474224999999997</v>
      </c>
      <c r="DR120" s="45">
        <f t="shared" si="29"/>
        <v>211.75</v>
      </c>
      <c r="DS120" s="48"/>
      <c r="DT120" s="45">
        <f t="shared" si="23"/>
        <v>101.76500000000001</v>
      </c>
      <c r="DU120" s="45">
        <f t="shared" si="24"/>
        <v>143.90366666666665</v>
      </c>
      <c r="DV120" s="45">
        <f t="shared" si="25"/>
        <v>29.15625</v>
      </c>
      <c r="DW120" s="45">
        <f t="shared" si="26"/>
        <v>0</v>
      </c>
      <c r="DX120" s="47">
        <f t="shared" si="27"/>
        <v>519.84580833333325</v>
      </c>
      <c r="DY120" s="50">
        <f t="shared" si="28"/>
        <v>0</v>
      </c>
      <c r="EA120" s="51">
        <f t="shared" si="35"/>
        <v>4.3852746913079055E-2</v>
      </c>
      <c r="EB120" s="51">
        <f t="shared" si="35"/>
        <v>2.0148714930646822E-2</v>
      </c>
      <c r="EC120" s="51">
        <f t="shared" si="35"/>
        <v>0.40733232163376915</v>
      </c>
      <c r="ED120" s="48"/>
      <c r="EE120" s="51">
        <f t="shared" si="36"/>
        <v>0.19575997030016776</v>
      </c>
      <c r="EF120" s="51">
        <f t="shared" si="36"/>
        <v>0.2768199038250076</v>
      </c>
      <c r="EG120" s="51">
        <f t="shared" si="36"/>
        <v>5.6086342397329784E-2</v>
      </c>
      <c r="EH120" s="52">
        <f t="shared" si="30"/>
        <v>0</v>
      </c>
      <c r="EI120" s="51">
        <f t="shared" si="31"/>
        <v>1</v>
      </c>
      <c r="EK120" s="53">
        <f>(EA120*'[2]Renewable Diesel'!BF129*'[2]Feedstock Conversion Rates'!B$2)+FB120</f>
        <v>16.849121823783744</v>
      </c>
      <c r="EL120" s="53">
        <f>(EB120*'[2]Renewable Diesel'!BF129*'[2]Feedstock Conversion Rates'!B$3)+FC120</f>
        <v>7.2952706839224026</v>
      </c>
      <c r="EM120" s="53">
        <f>(EC120*'[2]Renewable Diesel'!BF129*'[2]Feedstock Conversion Rates'!B$4)+FD120</f>
        <v>138.0930042905992</v>
      </c>
      <c r="EN120" s="48"/>
      <c r="EO120" s="53">
        <f>(EE120*'[2]Renewable Diesel'!BF129*'[2]Feedstock Conversion Rates'!B$6)+FF120</f>
        <v>83.001945297577933</v>
      </c>
      <c r="EP120" s="53">
        <f>(EF120*'[2]Renewable Diesel'!BF129*'[2]Feedstock Conversion Rates'!B$7)+FG120</f>
        <v>115.11891372378317</v>
      </c>
      <c r="EQ120" s="53">
        <f>(EG120*'[2]Renewable Diesel'!BF129*'[2]Feedstock Conversion Rates'!B$8)+FH120</f>
        <v>23.767852162619732</v>
      </c>
      <c r="ER120" s="53">
        <f>(EH120*'[2]Renewable Diesel'!BF129*'[2]Feedstock Conversion Rates'!B$9)+FI120</f>
        <v>0</v>
      </c>
      <c r="ES120" s="53">
        <f t="shared" si="32"/>
        <v>384.12610798228616</v>
      </c>
    </row>
    <row r="121" spans="1:150" x14ac:dyDescent="0.25">
      <c r="A121" s="39">
        <v>44105</v>
      </c>
      <c r="B121" s="45">
        <f>25+35+11.5+4-5+1+2-4+20-5-6-5-5-20-20-1-2</f>
        <v>25.5</v>
      </c>
      <c r="C121" s="46"/>
      <c r="D121" s="45">
        <v>0</v>
      </c>
      <c r="E121" s="45">
        <f>('[2]Renewable Diesel'!B130*E$3*'[2]Feedstock Conversion Rates'!$B$2)/12-15+20</f>
        <v>42.796666666666667</v>
      </c>
      <c r="F121" s="45">
        <f>('[2]Renewable Diesel'!B130*'[2]RD Feedstock Breakdown'!F$3*'[2]Feedstock Conversion Rates'!B$8)/12+8.5-4-2+4</f>
        <v>29.15625</v>
      </c>
      <c r="G121" s="45">
        <f>('[2]Renewable Diesel'!B130*'[2]RD Feedstock Breakdown'!G$3*'[2]Feedstock Conversion Rates'!B$7)/12+5+3</f>
        <v>82.036999999999992</v>
      </c>
      <c r="H121" s="45">
        <f>('[2]Renewable Diesel'!B130*'[2]RD Feedstock Breakdown'!H$3*'[2]Feedstock Conversion Rates'!B$3)/12-45</f>
        <v>29.139224999999996</v>
      </c>
      <c r="I121" s="47">
        <f t="shared" si="33"/>
        <v>208.62914166666667</v>
      </c>
      <c r="J121" s="47"/>
      <c r="K121" s="48"/>
      <c r="L121" s="47"/>
      <c r="R121" s="45">
        <f>('[2]Renewable Diesel'!D130*'[2]RD Feedstock Breakdown'!R$3*'[2]Feedstock Conversion Rates'!B$7)/12</f>
        <v>2.2999999999999998</v>
      </c>
      <c r="S121" s="47">
        <f t="shared" si="19"/>
        <v>2.2999999999999998</v>
      </c>
      <c r="T121" s="48"/>
      <c r="U121" s="47"/>
      <c r="Y121" s="45"/>
      <c r="Z121" s="45">
        <f>('[2]Renewable Diesel'!F130*'[2]RD Feedstock Breakdown'!Z$3*'[2]Feedstock Conversion Rates'!B$6)/12+17.5-5</f>
        <v>57.055000000000007</v>
      </c>
      <c r="AA121" s="45">
        <f>('[2]Renewable Diesel'!F130*'[2]RD Feedstock Breakdown'!AA$3*'[2]Feedstock Conversion Rates'!B$7)/12-12.5</f>
        <v>16.633333333333329</v>
      </c>
      <c r="AB121" s="47">
        <f t="shared" si="39"/>
        <v>73.688333333333333</v>
      </c>
      <c r="AC121" s="49"/>
      <c r="AG121" s="46"/>
      <c r="AH121" s="45"/>
      <c r="AI121" s="45">
        <f>('[2]Renewable Diesel'!H130*'[2]RD Feedstock Breakdown'!AI$3*'[2]Feedstock Conversion Rates'!B$6)/12</f>
        <v>39.083333333333336</v>
      </c>
      <c r="AJ121" s="47">
        <f t="shared" si="18"/>
        <v>39.083333333333336</v>
      </c>
      <c r="AK121" s="45">
        <f>('[2]Renewable Diesel'!J130*'[2]RD Feedstock Breakdown'!AK$3*'[2]Feedstock Conversion Rates'!B$4)/12</f>
        <v>62.5</v>
      </c>
      <c r="AL121" s="47">
        <f t="shared" si="20"/>
        <v>62.5</v>
      </c>
      <c r="AT121" s="49"/>
      <c r="AV121" s="45">
        <f>'[2]Renewable Diesel'!N130*'[2]RD Feedstock Breakdown'!$AV$3*'[2]Feedstock Conversion Rates'!$B$4/12</f>
        <v>78.749999999999986</v>
      </c>
      <c r="AW121" s="45">
        <f>'[2]Renewable Diesel'!N130*'[2]RD Feedstock Breakdown'!$AW$3*'[2]Feedstock Conversion Rates'!$B$7/12</f>
        <v>41.4</v>
      </c>
      <c r="AX121" s="47">
        <f t="shared" si="40"/>
        <v>120.14999999999998</v>
      </c>
      <c r="BJ121" s="45">
        <f>('[2]Renewable Diesel'!W130*'[2]RD Feedstock Breakdown'!BJ$3*'[2]Feedstock Conversion Rates'!B$4)/12</f>
        <v>7.5</v>
      </c>
      <c r="BK121" s="45">
        <f>('[2]Renewable Diesel'!W130*'[2]RD Feedstock Breakdown'!BK$3*'[2]Feedstock Conversion Rates'!B$3)/12</f>
        <v>1.335</v>
      </c>
      <c r="BL121" s="45">
        <f>('[2]Renewable Diesel'!W130*'[2]RD Feedstock Breakdown'!BL$3*'[2]Feedstock Conversion Rates'!B$6)/12</f>
        <v>3.1266666666666669</v>
      </c>
      <c r="BM121" s="45">
        <f>('[2]Renewable Diesel'!W130*'[2]RD Feedstock Breakdown'!BM$3*'[2]Feedstock Conversion Rates'!B$7)/12</f>
        <v>1.5333333333333332</v>
      </c>
      <c r="BN121" s="47">
        <f t="shared" si="34"/>
        <v>13.495000000000001</v>
      </c>
      <c r="BO121" s="47"/>
      <c r="BP121" s="47"/>
      <c r="BQ121" s="47"/>
      <c r="BR121" s="47"/>
      <c r="BS121" s="47"/>
      <c r="BT121" s="47"/>
      <c r="BU121" s="47"/>
      <c r="BV121" s="47"/>
      <c r="BW121" s="47"/>
      <c r="BX121" s="48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8"/>
      <c r="CJ121" s="47"/>
      <c r="CK121" s="47"/>
      <c r="CL121" s="47"/>
      <c r="CM121" s="47"/>
      <c r="CN121" s="47"/>
      <c r="CO121" s="47"/>
      <c r="CP121" s="47"/>
      <c r="CQ121" s="47"/>
      <c r="CR121" s="47"/>
      <c r="CS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8"/>
      <c r="DE121" s="47"/>
      <c r="DF121" s="47"/>
      <c r="DG121" s="47"/>
      <c r="DH121" s="47"/>
      <c r="DI121" s="47"/>
      <c r="DJ121" s="48"/>
      <c r="DK121" s="47"/>
      <c r="DL121" s="47"/>
      <c r="DM121" s="47"/>
      <c r="DN121" s="47"/>
      <c r="DP121" s="45">
        <f t="shared" si="21"/>
        <v>42.796666666666667</v>
      </c>
      <c r="DQ121" s="45">
        <f t="shared" si="22"/>
        <v>30.474224999999997</v>
      </c>
      <c r="DR121" s="45">
        <f t="shared" si="29"/>
        <v>174.25</v>
      </c>
      <c r="DS121" s="48"/>
      <c r="DT121" s="45">
        <f t="shared" si="23"/>
        <v>99.265000000000015</v>
      </c>
      <c r="DU121" s="45">
        <f t="shared" si="24"/>
        <v>143.90366666666665</v>
      </c>
      <c r="DV121" s="45">
        <f t="shared" si="25"/>
        <v>29.15625</v>
      </c>
      <c r="DW121" s="45">
        <f t="shared" si="26"/>
        <v>0</v>
      </c>
      <c r="DX121" s="47">
        <f t="shared" si="27"/>
        <v>519.84580833333325</v>
      </c>
      <c r="DY121" s="50">
        <f t="shared" si="28"/>
        <v>0</v>
      </c>
      <c r="EA121" s="51">
        <f t="shared" si="35"/>
        <v>8.2325693466445679E-2</v>
      </c>
      <c r="EB121" s="51">
        <f t="shared" si="35"/>
        <v>5.8621661484013446E-2</v>
      </c>
      <c r="EC121" s="51">
        <f t="shared" si="35"/>
        <v>0.33519554684620673</v>
      </c>
      <c r="ED121" s="48"/>
      <c r="EE121" s="51">
        <f t="shared" si="36"/>
        <v>0.19095085198099693</v>
      </c>
      <c r="EF121" s="51">
        <f t="shared" si="36"/>
        <v>0.2768199038250076</v>
      </c>
      <c r="EG121" s="51">
        <f t="shared" si="36"/>
        <v>5.6086342397329784E-2</v>
      </c>
      <c r="EH121" s="52">
        <f t="shared" si="30"/>
        <v>0</v>
      </c>
      <c r="EI121" s="51">
        <f t="shared" si="31"/>
        <v>1</v>
      </c>
      <c r="EK121" s="53">
        <f>(EA121*'[2]Renewable Diesel'!BF130*'[2]Feedstock Conversion Rates'!B$2)+FB121</f>
        <v>14.749481696811479</v>
      </c>
      <c r="EL121" s="53">
        <f>(EB121*'[2]Renewable Diesel'!BF130*'[2]Feedstock Conversion Rates'!B$3)+FC121</f>
        <v>9.8972166087740145</v>
      </c>
      <c r="EM121" s="53">
        <f>(EC121*'[2]Renewable Diesel'!BF130*'[2]Feedstock Conversion Rates'!B$4)+FD121</f>
        <v>52.988538302471341</v>
      </c>
      <c r="EN121" s="48"/>
      <c r="EO121" s="53">
        <f>(EE121*'[2]Renewable Diesel'!BF130*'[2]Feedstock Conversion Rates'!B$6)+FF121</f>
        <v>37.752600706340999</v>
      </c>
      <c r="EP121" s="53">
        <f>(EF121*'[2]Renewable Diesel'!BF130*'[2]Feedstock Conversion Rates'!B$7)+FG121</f>
        <v>53.67939058280335</v>
      </c>
      <c r="EQ121" s="53">
        <f>(EG121*'[2]Renewable Diesel'!BF130*'[2]Feedstock Conversion Rates'!B$8)+FH121</f>
        <v>11.082834073754878</v>
      </c>
      <c r="ER121" s="53">
        <f>(EH121*'[2]Renewable Diesel'!BF130*'[2]Feedstock Conversion Rates'!B$9)+FI121</f>
        <v>0</v>
      </c>
      <c r="ES121" s="53">
        <f t="shared" si="32"/>
        <v>180.15006197095605</v>
      </c>
    </row>
    <row r="122" spans="1:150" x14ac:dyDescent="0.25">
      <c r="A122" s="39">
        <v>44136</v>
      </c>
      <c r="B122" s="45">
        <f>25+35+11.5+4-5+1+2-4+20-5-6-5-5-20-20-1-2</f>
        <v>25.5</v>
      </c>
      <c r="C122" s="46"/>
      <c r="D122" s="45">
        <v>0</v>
      </c>
      <c r="E122" s="45">
        <f>('[2]Renewable Diesel'!B131*E$3*'[2]Feedstock Conversion Rates'!$B$2)/12-15+20</f>
        <v>42.796666666666667</v>
      </c>
      <c r="F122" s="45">
        <f>('[2]Renewable Diesel'!B131*'[2]RD Feedstock Breakdown'!F$3*'[2]Feedstock Conversion Rates'!B$8)/12+8.5-4-2+4</f>
        <v>29.15625</v>
      </c>
      <c r="G122" s="45">
        <f>('[2]Renewable Diesel'!B131*'[2]RD Feedstock Breakdown'!G$3*'[2]Feedstock Conversion Rates'!B$7)/12+5+3</f>
        <v>82.036999999999992</v>
      </c>
      <c r="H122" s="45">
        <f>('[2]Renewable Diesel'!B131*'[2]RD Feedstock Breakdown'!H$3*'[2]Feedstock Conversion Rates'!B$3)/12-45</f>
        <v>29.139224999999996</v>
      </c>
      <c r="I122" s="47">
        <f t="shared" si="33"/>
        <v>208.62914166666667</v>
      </c>
      <c r="J122" s="47"/>
      <c r="K122" s="48"/>
      <c r="L122" s="47"/>
      <c r="R122" s="45">
        <f>('[2]Renewable Diesel'!D131*'[2]RD Feedstock Breakdown'!R$3*'[2]Feedstock Conversion Rates'!B$7)/12</f>
        <v>2.2999999999999998</v>
      </c>
      <c r="S122" s="47">
        <f t="shared" si="19"/>
        <v>2.2999999999999998</v>
      </c>
      <c r="T122" s="48"/>
      <c r="U122" s="47"/>
      <c r="Y122" s="45"/>
      <c r="Z122" s="45">
        <f>('[2]Renewable Diesel'!F131*'[2]RD Feedstock Breakdown'!Z$3*'[2]Feedstock Conversion Rates'!B$6)/12+17.5-5</f>
        <v>57.055000000000007</v>
      </c>
      <c r="AA122" s="45">
        <f>('[2]Renewable Diesel'!F131*'[2]RD Feedstock Breakdown'!AA$3*'[2]Feedstock Conversion Rates'!B$7)/12-12.5</f>
        <v>16.633333333333329</v>
      </c>
      <c r="AB122" s="47">
        <f t="shared" si="39"/>
        <v>73.688333333333333</v>
      </c>
      <c r="AC122" s="49"/>
      <c r="AG122" s="46"/>
      <c r="AH122" s="45"/>
      <c r="AI122" s="45">
        <f>('[2]Renewable Diesel'!H131*'[2]RD Feedstock Breakdown'!AI$3*'[2]Feedstock Conversion Rates'!B$6)/12</f>
        <v>39.083333333333336</v>
      </c>
      <c r="AJ122" s="47">
        <f t="shared" si="18"/>
        <v>39.083333333333336</v>
      </c>
      <c r="AK122" s="45">
        <f>('[2]Renewable Diesel'!J131*'[2]RD Feedstock Breakdown'!AK$3*'[2]Feedstock Conversion Rates'!B$4)/12</f>
        <v>62.5</v>
      </c>
      <c r="AL122" s="47">
        <f t="shared" si="20"/>
        <v>62.5</v>
      </c>
      <c r="AT122" s="49"/>
      <c r="AV122" s="45">
        <f>'[2]Renewable Diesel'!N131*'[2]RD Feedstock Breakdown'!$AV$3*'[2]Feedstock Conversion Rates'!$B$4/12</f>
        <v>78.749999999999986</v>
      </c>
      <c r="AW122" s="45">
        <f>'[2]Renewable Diesel'!N131*'[2]RD Feedstock Breakdown'!$AW$3*'[2]Feedstock Conversion Rates'!$B$7/12</f>
        <v>41.4</v>
      </c>
      <c r="AX122" s="47">
        <f t="shared" si="40"/>
        <v>120.14999999999998</v>
      </c>
      <c r="BJ122" s="45">
        <f>('[2]Renewable Diesel'!W131*'[2]RD Feedstock Breakdown'!BJ$3*'[2]Feedstock Conversion Rates'!B$4)/12</f>
        <v>7.5</v>
      </c>
      <c r="BK122" s="45">
        <f>('[2]Renewable Diesel'!W131*'[2]RD Feedstock Breakdown'!BK$3*'[2]Feedstock Conversion Rates'!B$3)/12</f>
        <v>1.335</v>
      </c>
      <c r="BL122" s="45">
        <f>('[2]Renewable Diesel'!W131*'[2]RD Feedstock Breakdown'!BL$3*'[2]Feedstock Conversion Rates'!B$6)/12</f>
        <v>3.1266666666666669</v>
      </c>
      <c r="BM122" s="45">
        <f>('[2]Renewable Diesel'!W131*'[2]RD Feedstock Breakdown'!BM$3*'[2]Feedstock Conversion Rates'!B$7)/12</f>
        <v>1.5333333333333332</v>
      </c>
      <c r="BN122" s="47">
        <f t="shared" si="34"/>
        <v>13.495000000000001</v>
      </c>
      <c r="BO122" s="47"/>
      <c r="BP122" s="47"/>
      <c r="BQ122" s="47"/>
      <c r="BR122" s="47"/>
      <c r="BS122" s="47"/>
      <c r="BT122" s="47"/>
      <c r="BU122" s="47"/>
      <c r="BV122" s="47"/>
      <c r="BW122" s="47"/>
      <c r="BX122" s="48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8"/>
      <c r="CJ122" s="47"/>
      <c r="CK122" s="47"/>
      <c r="CL122" s="47"/>
      <c r="CM122" s="47"/>
      <c r="CN122" s="47"/>
      <c r="CO122" s="47"/>
      <c r="CP122" s="47"/>
      <c r="CQ122" s="47"/>
      <c r="CR122" s="47"/>
      <c r="CS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8"/>
      <c r="DE122" s="47"/>
      <c r="DF122" s="47"/>
      <c r="DG122" s="47"/>
      <c r="DH122" s="47"/>
      <c r="DI122" s="47"/>
      <c r="DJ122" s="48"/>
      <c r="DK122" s="47"/>
      <c r="DL122" s="47"/>
      <c r="DM122" s="47"/>
      <c r="DN122" s="47"/>
      <c r="DP122" s="45">
        <f t="shared" si="21"/>
        <v>42.796666666666667</v>
      </c>
      <c r="DQ122" s="45">
        <f t="shared" si="22"/>
        <v>30.474224999999997</v>
      </c>
      <c r="DR122" s="45">
        <f t="shared" si="29"/>
        <v>174.25</v>
      </c>
      <c r="DS122" s="48"/>
      <c r="DT122" s="45">
        <f t="shared" si="23"/>
        <v>99.265000000000015</v>
      </c>
      <c r="DU122" s="45">
        <f t="shared" si="24"/>
        <v>143.90366666666665</v>
      </c>
      <c r="DV122" s="45">
        <f t="shared" si="25"/>
        <v>29.15625</v>
      </c>
      <c r="DW122" s="45">
        <f t="shared" si="26"/>
        <v>0</v>
      </c>
      <c r="DX122" s="47">
        <f t="shared" si="27"/>
        <v>519.84580833333325</v>
      </c>
      <c r="DY122" s="50">
        <f t="shared" si="28"/>
        <v>0</v>
      </c>
      <c r="EA122" s="51">
        <f t="shared" si="35"/>
        <v>8.2325693466445679E-2</v>
      </c>
      <c r="EB122" s="51">
        <f t="shared" si="35"/>
        <v>5.8621661484013446E-2</v>
      </c>
      <c r="EC122" s="51">
        <f t="shared" si="35"/>
        <v>0.33519554684620673</v>
      </c>
      <c r="ED122" s="48"/>
      <c r="EE122" s="51">
        <f t="shared" si="36"/>
        <v>0.19095085198099693</v>
      </c>
      <c r="EF122" s="51">
        <f t="shared" si="36"/>
        <v>0.2768199038250076</v>
      </c>
      <c r="EG122" s="51">
        <f t="shared" si="36"/>
        <v>5.6086342397329784E-2</v>
      </c>
      <c r="EH122" s="52">
        <f t="shared" si="30"/>
        <v>0</v>
      </c>
      <c r="EI122" s="51">
        <f t="shared" si="31"/>
        <v>1</v>
      </c>
      <c r="EK122" s="53">
        <f>(EA122*'[2]Renewable Diesel'!BF131*'[2]Feedstock Conversion Rates'!B$2)+FB122</f>
        <v>30.311455379446894</v>
      </c>
      <c r="EL122" s="53">
        <f>(EB122*'[2]Renewable Diesel'!BF131*'[2]Feedstock Conversion Rates'!B$3)+FC122</f>
        <v>20.339632658578616</v>
      </c>
      <c r="EM122" s="53">
        <f>(EC122*'[2]Renewable Diesel'!BF131*'[2]Feedstock Conversion Rates'!B$4)+FD122</f>
        <v>108.89601054420034</v>
      </c>
      <c r="EN122" s="48"/>
      <c r="EO122" s="53">
        <f>(EE122*'[2]Renewable Diesel'!BF131*'[2]Feedstock Conversion Rates'!B$6)+FF122</f>
        <v>77.58484638926069</v>
      </c>
      <c r="EP122" s="53">
        <f>(EF122*'[2]Renewable Diesel'!BF131*'[2]Feedstock Conversion Rates'!B$7)+FG122</f>
        <v>110.31577148899341</v>
      </c>
      <c r="EQ122" s="53">
        <f>(EG122*'[2]Renewable Diesel'!BF131*'[2]Feedstock Conversion Rates'!B$8)+FH122</f>
        <v>22.77617867596371</v>
      </c>
      <c r="ER122" s="53">
        <f>(EH122*'[2]Renewable Diesel'!BF131*'[2]Feedstock Conversion Rates'!B$9)+FI122</f>
        <v>0</v>
      </c>
      <c r="ES122" s="53">
        <f t="shared" si="32"/>
        <v>370.22389513644362</v>
      </c>
    </row>
    <row r="123" spans="1:150" x14ac:dyDescent="0.25">
      <c r="A123" s="39">
        <v>44166</v>
      </c>
      <c r="B123" s="45">
        <f>25+35+11.5+4-5+1+2-4+20-5-6-5-5-20-20+5-1-2</f>
        <v>30.5</v>
      </c>
      <c r="C123" s="46"/>
      <c r="D123" s="45">
        <v>0</v>
      </c>
      <c r="E123" s="45">
        <f>('[2]Renewable Diesel'!B132*E$3*'[2]Feedstock Conversion Rates'!$B$2)/12-15+20-5</f>
        <v>37.796666666666667</v>
      </c>
      <c r="F123" s="45">
        <f>('[2]Renewable Diesel'!B132*'[2]RD Feedstock Breakdown'!F$3*'[2]Feedstock Conversion Rates'!B$8)/12+8.5-4-2+4</f>
        <v>29.15625</v>
      </c>
      <c r="G123" s="45">
        <f>('[2]Renewable Diesel'!B132*'[2]RD Feedstock Breakdown'!G$3*'[2]Feedstock Conversion Rates'!B$7)/12+5+3</f>
        <v>82.036999999999992</v>
      </c>
      <c r="H123" s="45">
        <f>('[2]Renewable Diesel'!B132*'[2]RD Feedstock Breakdown'!H$3*'[2]Feedstock Conversion Rates'!B$3)/12-45</f>
        <v>29.139224999999996</v>
      </c>
      <c r="I123" s="47">
        <f t="shared" si="33"/>
        <v>208.62914166666667</v>
      </c>
      <c r="J123" s="47"/>
      <c r="K123" s="48"/>
      <c r="L123" s="47"/>
      <c r="R123" s="45">
        <f>('[2]Renewable Diesel'!D132*'[2]RD Feedstock Breakdown'!R$3*'[2]Feedstock Conversion Rates'!B$7)/12</f>
        <v>2.2999999999999998</v>
      </c>
      <c r="S123" s="47">
        <f t="shared" si="19"/>
        <v>2.2999999999999998</v>
      </c>
      <c r="T123" s="48"/>
      <c r="U123" s="47"/>
      <c r="Y123" s="45"/>
      <c r="Z123" s="45">
        <f>('[2]Renewable Diesel'!F132*'[2]RD Feedstock Breakdown'!Z$3*'[2]Feedstock Conversion Rates'!B$6)/12+17.5-5</f>
        <v>57.055000000000007</v>
      </c>
      <c r="AA123" s="45">
        <f>('[2]Renewable Diesel'!F132*'[2]RD Feedstock Breakdown'!AA$3*'[2]Feedstock Conversion Rates'!B$7)/12-12.5</f>
        <v>16.633333333333329</v>
      </c>
      <c r="AB123" s="47">
        <f t="shared" si="39"/>
        <v>73.688333333333333</v>
      </c>
      <c r="AC123" s="49"/>
      <c r="AG123" s="46"/>
      <c r="AH123" s="45"/>
      <c r="AI123" s="45">
        <f>('[2]Renewable Diesel'!H132*'[2]RD Feedstock Breakdown'!AI$3*'[2]Feedstock Conversion Rates'!B$6)/12</f>
        <v>39.083333333333336</v>
      </c>
      <c r="AJ123" s="47">
        <f t="shared" si="18"/>
        <v>39.083333333333336</v>
      </c>
      <c r="AK123" s="45">
        <f>('[2]Renewable Diesel'!J132*'[2]RD Feedstock Breakdown'!AK$3*'[2]Feedstock Conversion Rates'!B$4)/12</f>
        <v>62.5</v>
      </c>
      <c r="AL123" s="47">
        <f t="shared" si="20"/>
        <v>62.5</v>
      </c>
      <c r="AT123" s="49"/>
      <c r="AV123" s="45">
        <f>'[2]Renewable Diesel'!N132*'[2]RD Feedstock Breakdown'!$AV$3*'[2]Feedstock Conversion Rates'!$B$4/12</f>
        <v>78.749999999999986</v>
      </c>
      <c r="AW123" s="45">
        <f>'[2]Renewable Diesel'!N132*'[2]RD Feedstock Breakdown'!$AW$3*'[2]Feedstock Conversion Rates'!$B$7/12</f>
        <v>41.4</v>
      </c>
      <c r="AX123" s="47">
        <f t="shared" si="40"/>
        <v>120.14999999999998</v>
      </c>
      <c r="BJ123" s="45">
        <f>('[2]Renewable Diesel'!W132*'[2]RD Feedstock Breakdown'!BJ$3*'[2]Feedstock Conversion Rates'!B$4)/12</f>
        <v>7.5</v>
      </c>
      <c r="BK123" s="45">
        <f>('[2]Renewable Diesel'!W132*'[2]RD Feedstock Breakdown'!BK$3*'[2]Feedstock Conversion Rates'!B$3)/12</f>
        <v>1.335</v>
      </c>
      <c r="BL123" s="45">
        <f>('[2]Renewable Diesel'!W132*'[2]RD Feedstock Breakdown'!BL$3*'[2]Feedstock Conversion Rates'!B$6)/12</f>
        <v>3.1266666666666669</v>
      </c>
      <c r="BM123" s="45">
        <f>('[2]Renewable Diesel'!W132*'[2]RD Feedstock Breakdown'!BM$3*'[2]Feedstock Conversion Rates'!B$7)/12</f>
        <v>1.5333333333333332</v>
      </c>
      <c r="BN123" s="47">
        <f t="shared" si="34"/>
        <v>13.495000000000001</v>
      </c>
      <c r="BO123" s="47"/>
      <c r="BP123" s="47"/>
      <c r="BQ123" s="47"/>
      <c r="BR123" s="47"/>
      <c r="BS123" s="47"/>
      <c r="BT123" s="47"/>
      <c r="BU123" s="47"/>
      <c r="BV123" s="47"/>
      <c r="BW123" s="47"/>
      <c r="BX123" s="48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8"/>
      <c r="CJ123" s="47"/>
      <c r="CK123" s="47"/>
      <c r="CL123" s="47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8"/>
      <c r="DE123" s="47"/>
      <c r="DF123" s="47"/>
      <c r="DG123" s="47"/>
      <c r="DH123" s="47"/>
      <c r="DI123" s="47"/>
      <c r="DJ123" s="48"/>
      <c r="DK123" s="47"/>
      <c r="DL123" s="47"/>
      <c r="DM123" s="47"/>
      <c r="DN123" s="47"/>
      <c r="DP123" s="45">
        <f t="shared" si="21"/>
        <v>37.796666666666667</v>
      </c>
      <c r="DQ123" s="45">
        <f t="shared" si="22"/>
        <v>30.474224999999997</v>
      </c>
      <c r="DR123" s="45">
        <f t="shared" si="29"/>
        <v>179.25</v>
      </c>
      <c r="DS123" s="48"/>
      <c r="DT123" s="45">
        <f t="shared" si="23"/>
        <v>99.265000000000015</v>
      </c>
      <c r="DU123" s="45">
        <f t="shared" si="24"/>
        <v>143.90366666666665</v>
      </c>
      <c r="DV123" s="45">
        <f t="shared" si="25"/>
        <v>29.15625</v>
      </c>
      <c r="DW123" s="45">
        <f t="shared" si="26"/>
        <v>0</v>
      </c>
      <c r="DX123" s="47">
        <f t="shared" si="27"/>
        <v>519.84580833333325</v>
      </c>
      <c r="DY123" s="50">
        <f t="shared" si="28"/>
        <v>0</v>
      </c>
      <c r="EA123" s="51">
        <f t="shared" si="35"/>
        <v>7.270745682810402E-2</v>
      </c>
      <c r="EB123" s="51">
        <f t="shared" si="35"/>
        <v>5.8621661484013446E-2</v>
      </c>
      <c r="EC123" s="51">
        <f t="shared" si="35"/>
        <v>0.34481378348454839</v>
      </c>
      <c r="ED123" s="48"/>
      <c r="EE123" s="51">
        <f t="shared" si="36"/>
        <v>0.19095085198099693</v>
      </c>
      <c r="EF123" s="51">
        <f t="shared" si="36"/>
        <v>0.2768199038250076</v>
      </c>
      <c r="EG123" s="51">
        <f t="shared" si="36"/>
        <v>5.6086342397329784E-2</v>
      </c>
      <c r="EH123" s="52">
        <f t="shared" si="30"/>
        <v>0</v>
      </c>
      <c r="EI123" s="51">
        <f t="shared" si="31"/>
        <v>1</v>
      </c>
      <c r="EK123" s="53">
        <f>(EA123*'[2]Renewable Diesel'!BF132*'[2]Feedstock Conversion Rates'!B$2)+FB123</f>
        <v>30.838368458826825</v>
      </c>
      <c r="EL123" s="53">
        <f>(EB123*'[2]Renewable Diesel'!BF132*'[2]Feedstock Conversion Rates'!B$3)+FC123</f>
        <v>23.43064006941583</v>
      </c>
      <c r="EM123" s="53">
        <f>(EC123*'[2]Renewable Diesel'!BF132*'[2]Feedstock Conversion Rates'!B$4)+FD123</f>
        <v>129.04446889756431</v>
      </c>
      <c r="EN123" s="48"/>
      <c r="EO123" s="53">
        <f>(EE123*'[2]Renewable Diesel'!BF132*'[2]Feedstock Conversion Rates'!B$6)+FF123</f>
        <v>89.375390455784185</v>
      </c>
      <c r="EP123" s="53">
        <f>(EF123*'[2]Renewable Diesel'!BF132*'[2]Feedstock Conversion Rates'!B$7)+FG123</f>
        <v>127.08042367954739</v>
      </c>
      <c r="EQ123" s="53">
        <f>(EG123*'[2]Renewable Diesel'!BF132*'[2]Feedstock Conversion Rates'!B$8)+FH123</f>
        <v>26.237467198707179</v>
      </c>
      <c r="ER123" s="53">
        <f>(EH123*'[2]Renewable Diesel'!BF132*'[2]Feedstock Conversion Rates'!B$9)+FI123</f>
        <v>0</v>
      </c>
      <c r="ES123" s="53">
        <f t="shared" si="32"/>
        <v>426.0067587598457</v>
      </c>
      <c r="ET123" s="36">
        <f>ES123/'[2]Renewable Diesel'!BF132</f>
        <v>8.5373478344067308</v>
      </c>
    </row>
    <row r="124" spans="1:150" x14ac:dyDescent="0.25">
      <c r="A124" s="39">
        <v>44197</v>
      </c>
      <c r="B124" s="45">
        <f>50+40+14-20+15+10-2+5-29-2+3-8-2.5-12.5-30-31+40-30+20-30+25-25+40</f>
        <v>40</v>
      </c>
      <c r="C124" s="46"/>
      <c r="D124" s="45">
        <v>0</v>
      </c>
      <c r="E124" s="45">
        <f>('[2]Renewable Diesel'!B133*E$3*'[2]Feedstock Conversion Rates'!$B$2)/12-11+2.5+21+10-30-25+25</f>
        <v>30.296666666666667</v>
      </c>
      <c r="F124" s="45">
        <f>('[2]Renewable Diesel'!B133*'[2]RD Feedstock Breakdown'!F$3*'[2]Feedstock Conversion Rates'!B$8)/12+18.5-14+2-5-3+8+12.5-40+30</f>
        <v>31.65625</v>
      </c>
      <c r="G124" s="45">
        <f>('[2]Renewable Diesel'!B133*'[2]RD Feedstock Breakdown'!G$3*'[2]Feedstock Conversion Rates'!B$7)/12</f>
        <v>74.036999999999992</v>
      </c>
      <c r="H124" s="45">
        <f>('[2]Renewable Diesel'!B133*'[2]RD Feedstock Breakdown'!H$3*'[2]Feedstock Conversion Rates'!B$3)/12+6.5-50+2+40-40</f>
        <v>32.639224999999996</v>
      </c>
      <c r="I124" s="47">
        <f t="shared" si="33"/>
        <v>208.62914166666667</v>
      </c>
      <c r="J124" s="47"/>
      <c r="K124" s="48"/>
      <c r="L124" s="47"/>
      <c r="R124" s="45">
        <f>('[2]Renewable Diesel'!D133*'[2]RD Feedstock Breakdown'!R$3*'[2]Feedstock Conversion Rates'!B$7)/12</f>
        <v>2.2999999999999998</v>
      </c>
      <c r="S124" s="47">
        <f t="shared" si="19"/>
        <v>2.2999999999999998</v>
      </c>
      <c r="T124" s="48"/>
      <c r="U124" s="47"/>
      <c r="Y124" s="45">
        <f>25+15-40+20</f>
        <v>20</v>
      </c>
      <c r="Z124" s="45">
        <f>('[2]Renewable Diesel'!F133*'[2]RD Feedstock Breakdown'!Z$3*'[2]Feedstock Conversion Rates'!B$6)/12+17.5-10+10-25-5+10</f>
        <v>42.055000000000007</v>
      </c>
      <c r="AA124" s="45">
        <f>('[2]Renewable Diesel'!F133*'[2]RD Feedstock Breakdown'!AA$3*'[2]Feedstock Conversion Rates'!B$7)/12-17.5</f>
        <v>11.633333333333329</v>
      </c>
      <c r="AB124" s="47">
        <f t="shared" si="39"/>
        <v>73.688333333333333</v>
      </c>
      <c r="AC124" s="49"/>
      <c r="AG124" s="46"/>
      <c r="AH124" s="45">
        <v>0</v>
      </c>
      <c r="AI124" s="45">
        <f>('[2]Renewable Diesel'!H133*'[2]RD Feedstock Breakdown'!AI$3*'[2]Feedstock Conversion Rates'!B$6)/12-15-15+30</f>
        <v>39.083333333333336</v>
      </c>
      <c r="AJ124" s="47">
        <f t="shared" si="18"/>
        <v>39.083333333333336</v>
      </c>
      <c r="AK124" s="45">
        <f>('[2]Renewable Diesel'!J133*'[2]RD Feedstock Breakdown'!AK$3*'[2]Feedstock Conversion Rates'!B$4)/12</f>
        <v>62.5</v>
      </c>
      <c r="AL124" s="47">
        <f t="shared" si="20"/>
        <v>62.5</v>
      </c>
      <c r="AT124" s="49"/>
      <c r="AV124" s="45">
        <f>'[2]Renewable Diesel'!N133*'[2]RD Feedstock Breakdown'!$AV$3*'[2]Feedstock Conversion Rates'!$B$4/12</f>
        <v>78.749999999999986</v>
      </c>
      <c r="AW124" s="45">
        <f>'[2]Renewable Diesel'!N133*'[2]RD Feedstock Breakdown'!$AW$3*'[2]Feedstock Conversion Rates'!$B$7/12</f>
        <v>41.4</v>
      </c>
      <c r="AX124" s="47">
        <f t="shared" si="40"/>
        <v>120.14999999999998</v>
      </c>
      <c r="BH124" s="45">
        <f>('[2]Renewable Diesel'!T133*'[2]RD Feedstock Breakdown'!BH$3*'[2]Feedstock Conversion Rates'!B$7)/12</f>
        <v>0</v>
      </c>
      <c r="BI124" s="47">
        <f>BH124</f>
        <v>0</v>
      </c>
      <c r="BJ124" s="45">
        <f>('[2]Renewable Diesel'!W133*'[2]RD Feedstock Breakdown'!BJ$3*'[2]Feedstock Conversion Rates'!B$4)/12</f>
        <v>7.5</v>
      </c>
      <c r="BK124" s="45">
        <f>('[2]Renewable Diesel'!W133*'[2]RD Feedstock Breakdown'!BK$3*'[2]Feedstock Conversion Rates'!B$3)/12</f>
        <v>1.335</v>
      </c>
      <c r="BL124" s="45">
        <f>('[2]Renewable Diesel'!W133*'[2]RD Feedstock Breakdown'!BL$3*'[2]Feedstock Conversion Rates'!B$6)/12</f>
        <v>3.1266666666666669</v>
      </c>
      <c r="BM124" s="45">
        <f>('[2]Renewable Diesel'!W133*'[2]RD Feedstock Breakdown'!BM$3*'[2]Feedstock Conversion Rates'!B$7)/12</f>
        <v>1.5333333333333332</v>
      </c>
      <c r="BN124" s="47">
        <f t="shared" si="34"/>
        <v>13.495000000000001</v>
      </c>
      <c r="BO124" s="47"/>
      <c r="BP124" s="47"/>
      <c r="BQ124" s="47"/>
      <c r="BR124" s="47"/>
      <c r="BS124" s="47"/>
      <c r="BT124" s="47"/>
      <c r="BU124" s="47"/>
      <c r="BV124" s="47"/>
      <c r="BW124" s="47"/>
      <c r="BX124" s="48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8"/>
      <c r="CJ124" s="47"/>
      <c r="CK124" s="47"/>
      <c r="CL124" s="47"/>
      <c r="CM124" s="47"/>
      <c r="CN124" s="47"/>
      <c r="CO124" s="47"/>
      <c r="CP124" s="47"/>
      <c r="CQ124" s="47"/>
      <c r="CR124" s="47"/>
      <c r="CS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8"/>
      <c r="DE124" s="47"/>
      <c r="DF124" s="47"/>
      <c r="DG124" s="47"/>
      <c r="DH124" s="47"/>
      <c r="DI124" s="47"/>
      <c r="DJ124" s="48"/>
      <c r="DK124" s="47"/>
      <c r="DL124" s="47"/>
      <c r="DM124" s="47"/>
      <c r="DN124" s="47"/>
      <c r="DP124" s="45">
        <f t="shared" si="21"/>
        <v>30.296666666666667</v>
      </c>
      <c r="DQ124" s="45">
        <f t="shared" si="22"/>
        <v>33.974224999999997</v>
      </c>
      <c r="DR124" s="45">
        <f t="shared" si="29"/>
        <v>208.75</v>
      </c>
      <c r="DS124" s="48"/>
      <c r="DT124" s="45">
        <f t="shared" si="23"/>
        <v>84.265000000000015</v>
      </c>
      <c r="DU124" s="45">
        <f t="shared" si="24"/>
        <v>130.90366666666665</v>
      </c>
      <c r="DV124" s="45">
        <f t="shared" si="25"/>
        <v>31.65625</v>
      </c>
      <c r="DW124" s="45">
        <f t="shared" si="26"/>
        <v>0</v>
      </c>
      <c r="DX124" s="47">
        <f t="shared" si="27"/>
        <v>519.84580833333325</v>
      </c>
      <c r="DY124" s="50">
        <f t="shared" si="28"/>
        <v>0</v>
      </c>
      <c r="EA124" s="51">
        <f t="shared" si="35"/>
        <v>5.8280101870591544E-2</v>
      </c>
      <c r="EB124" s="51">
        <f t="shared" si="35"/>
        <v>6.5354427130852599E-2</v>
      </c>
      <c r="EC124" s="51">
        <f t="shared" si="35"/>
        <v>0.40156137965076416</v>
      </c>
      <c r="ED124" s="48"/>
      <c r="EE124" s="51">
        <f t="shared" si="36"/>
        <v>0.16209614206597195</v>
      </c>
      <c r="EF124" s="51">
        <f t="shared" si="36"/>
        <v>0.25181248856531929</v>
      </c>
      <c r="EG124" s="51">
        <f t="shared" si="36"/>
        <v>6.0895460716500607E-2</v>
      </c>
      <c r="EH124" s="52">
        <f t="shared" si="30"/>
        <v>0</v>
      </c>
      <c r="EI124" s="51">
        <f t="shared" si="31"/>
        <v>1.0000000000000002</v>
      </c>
      <c r="EK124" s="53">
        <f>(EA124*'[2]Renewable Diesel'!BF133*'[2]Feedstock Conversion Rates'!B$2)+FB124</f>
        <v>20.786729519783734</v>
      </c>
      <c r="EL124" s="53">
        <f>(EB124*'[2]Renewable Diesel'!BF133*'[2]Feedstock Conversion Rates'!B$3)+FC124</f>
        <v>21.966176319188886</v>
      </c>
      <c r="EM124" s="53">
        <f>(EC124*'[2]Renewable Diesel'!BF133*'[2]Feedstock Conversion Rates'!B$4)+FD124</f>
        <v>126.37470013945003</v>
      </c>
      <c r="EN124" s="48"/>
      <c r="EO124" s="53">
        <f>(EE124*'[2]Renewable Diesel'!BF133*'[2]Feedstock Conversion Rates'!B$6)+FF124</f>
        <v>63.800260807033688</v>
      </c>
      <c r="EP124" s="53">
        <f>(EF124*'[2]Renewable Diesel'!BF133*'[2]Feedstock Conversion Rates'!B$7)+FG124</f>
        <v>97.210243144955868</v>
      </c>
      <c r="EQ124" s="53">
        <f>(EG124*'[2]Renewable Diesel'!BF133*'[2]Feedstock Conversion Rates'!B$8)+FH124</f>
        <v>23.955383840056673</v>
      </c>
      <c r="ER124" s="53">
        <f>(EH124*'[2]Renewable Diesel'!BF133*'[2]Feedstock Conversion Rates'!B$9)+FI124</f>
        <v>0</v>
      </c>
      <c r="ES124" s="53">
        <f t="shared" si="32"/>
        <v>354.09349377046891</v>
      </c>
      <c r="ET124" s="36">
        <f>ES124/'[2]Renewable Diesel'!BF133</f>
        <v>8.4386118261958369</v>
      </c>
    </row>
    <row r="125" spans="1:150" x14ac:dyDescent="0.25">
      <c r="A125" s="39">
        <v>44228</v>
      </c>
      <c r="B125" s="45">
        <f>50+40+14-20+15+10-2+5-4-2+3-8-2.5-25-12.5-11-20+40-50-20+25+25-10+25-10+30</f>
        <v>85</v>
      </c>
      <c r="C125" s="46"/>
      <c r="D125" s="45">
        <v>0</v>
      </c>
      <c r="E125" s="45">
        <f>('[2]Renewable Diesel'!B134*E$3*'[2]Feedstock Conversion Rates'!$B$2)/12-15+4+2.5+25-25-25+10</f>
        <v>14.296666666666667</v>
      </c>
      <c r="F125" s="45">
        <f>('[2]Renewable Diesel'!B134*'[2]RD Feedstock Breakdown'!F$3*'[2]Feedstock Conversion Rates'!B$8)/12+18.5-14+2-5-3+8+12.5-40+20+10</f>
        <v>31.65625</v>
      </c>
      <c r="G125" s="45">
        <f>('[2]Renewable Diesel'!B134*'[2]RD Feedstock Breakdown'!G$3*'[2]Feedstock Conversion Rates'!B$7)/12-55+25</f>
        <v>44.036999999999992</v>
      </c>
      <c r="H125" s="45">
        <f>('[2]Renewable Diesel'!B134*'[2]RD Feedstock Breakdown'!H$3*'[2]Feedstock Conversion Rates'!B$3)/12+6.5-50+2+31+25-25-30</f>
        <v>33.639224999999996</v>
      </c>
      <c r="I125" s="47">
        <f t="shared" si="33"/>
        <v>208.62914166666667</v>
      </c>
      <c r="J125" s="47"/>
      <c r="K125" s="48"/>
      <c r="L125" s="47"/>
      <c r="R125" s="45">
        <f>('[2]Renewable Diesel'!D134*'[2]RD Feedstock Breakdown'!R$3*'[2]Feedstock Conversion Rates'!B$7)/12</f>
        <v>2.2999999999999998</v>
      </c>
      <c r="S125" s="47">
        <f t="shared" si="19"/>
        <v>2.2999999999999998</v>
      </c>
      <c r="T125" s="48"/>
      <c r="U125" s="47"/>
      <c r="Y125" s="45">
        <f>30+15-45+35</f>
        <v>35</v>
      </c>
      <c r="Z125" s="45">
        <f>('[2]Renewable Diesel'!F134*'[2]RD Feedstock Breakdown'!Z$3*'[2]Feedstock Conversion Rates'!B$6)/12+17.5-10+10-30-15+10</f>
        <v>27.055000000000007</v>
      </c>
      <c r="AA125" s="45">
        <f>('[2]Renewable Diesel'!F134*'[2]RD Feedstock Breakdown'!AA$3*'[2]Feedstock Conversion Rates'!B$7)/12-17.5</f>
        <v>11.633333333333329</v>
      </c>
      <c r="AB125" s="47">
        <f t="shared" si="39"/>
        <v>73.688333333333333</v>
      </c>
      <c r="AC125" s="49"/>
      <c r="AG125" s="46"/>
      <c r="AH125" s="45">
        <v>0</v>
      </c>
      <c r="AI125" s="45">
        <f>('[2]Renewable Diesel'!H134*'[2]RD Feedstock Breakdown'!AI$3*'[2]Feedstock Conversion Rates'!B$6)/12-20-15+35</f>
        <v>39.083333333333336</v>
      </c>
      <c r="AJ125" s="47">
        <f t="shared" si="18"/>
        <v>39.083333333333336</v>
      </c>
      <c r="AK125" s="45">
        <f>('[2]Renewable Diesel'!J134*'[2]RD Feedstock Breakdown'!AK$3*'[2]Feedstock Conversion Rates'!B$4)/12</f>
        <v>62.5</v>
      </c>
      <c r="AL125" s="47">
        <f t="shared" si="20"/>
        <v>62.5</v>
      </c>
      <c r="AT125" s="49"/>
      <c r="AV125" s="45">
        <f>'[2]Renewable Diesel'!N134*'[2]RD Feedstock Breakdown'!$AV$3*'[2]Feedstock Conversion Rates'!$B$4/12</f>
        <v>78.749999999999986</v>
      </c>
      <c r="AW125" s="45">
        <f>'[2]Renewable Diesel'!N134*'[2]RD Feedstock Breakdown'!$AW$3*'[2]Feedstock Conversion Rates'!$B$7/12</f>
        <v>41.4</v>
      </c>
      <c r="AX125" s="47">
        <f t="shared" si="40"/>
        <v>120.14999999999998</v>
      </c>
      <c r="AY125" s="45"/>
      <c r="AZ125" s="45"/>
      <c r="BA125" s="47"/>
      <c r="BH125" s="45">
        <f>('[2]Renewable Diesel'!T134*'[2]RD Feedstock Breakdown'!BH$3*'[2]Feedstock Conversion Rates'!B$7)/12</f>
        <v>0</v>
      </c>
      <c r="BI125" s="47">
        <f t="shared" ref="BI125:BI188" si="41">BH125</f>
        <v>0</v>
      </c>
      <c r="BJ125" s="45">
        <f>('[2]Renewable Diesel'!W134*'[2]RD Feedstock Breakdown'!BJ$3*'[2]Feedstock Conversion Rates'!B$4)/12</f>
        <v>7.5</v>
      </c>
      <c r="BK125" s="45">
        <f>('[2]Renewable Diesel'!W134*'[2]RD Feedstock Breakdown'!BK$3*'[2]Feedstock Conversion Rates'!B$3)/12</f>
        <v>1.335</v>
      </c>
      <c r="BL125" s="45">
        <f>('[2]Renewable Diesel'!W134*'[2]RD Feedstock Breakdown'!BL$3*'[2]Feedstock Conversion Rates'!B$6)/12</f>
        <v>3.1266666666666669</v>
      </c>
      <c r="BM125" s="45">
        <f>('[2]Renewable Diesel'!W134*'[2]RD Feedstock Breakdown'!BM$3*'[2]Feedstock Conversion Rates'!B$7)/12</f>
        <v>1.5333333333333332</v>
      </c>
      <c r="BN125" s="47">
        <f t="shared" si="34"/>
        <v>13.495000000000001</v>
      </c>
      <c r="BO125" s="47"/>
      <c r="BP125" s="47"/>
      <c r="BQ125" s="47"/>
      <c r="BR125" s="47"/>
      <c r="BS125" s="47"/>
      <c r="BT125" s="47"/>
      <c r="BU125" s="47"/>
      <c r="BV125" s="47"/>
      <c r="BW125" s="47"/>
      <c r="BX125" s="48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8"/>
      <c r="CJ125" s="47"/>
      <c r="CK125" s="47"/>
      <c r="CL125" s="47"/>
      <c r="CM125" s="47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8"/>
      <c r="DE125" s="47"/>
      <c r="DF125" s="47"/>
      <c r="DG125" s="47"/>
      <c r="DH125" s="47"/>
      <c r="DI125" s="47"/>
      <c r="DJ125" s="48"/>
      <c r="DK125" s="47"/>
      <c r="DL125" s="47"/>
      <c r="DM125" s="47"/>
      <c r="DN125" s="47"/>
      <c r="DP125" s="45">
        <f t="shared" si="21"/>
        <v>14.296666666666667</v>
      </c>
      <c r="DQ125" s="45">
        <f t="shared" si="22"/>
        <v>34.974224999999997</v>
      </c>
      <c r="DR125" s="45">
        <f t="shared" si="29"/>
        <v>268.75</v>
      </c>
      <c r="DS125" s="48"/>
      <c r="DT125" s="45">
        <f t="shared" si="23"/>
        <v>69.265000000000015</v>
      </c>
      <c r="DU125" s="45">
        <f t="shared" si="24"/>
        <v>100.90366666666665</v>
      </c>
      <c r="DV125" s="45">
        <f t="shared" si="25"/>
        <v>31.65625</v>
      </c>
      <c r="DW125" s="45">
        <f t="shared" si="26"/>
        <v>0</v>
      </c>
      <c r="DX125" s="47">
        <f t="shared" si="27"/>
        <v>519.84580833333325</v>
      </c>
      <c r="DY125" s="50">
        <f t="shared" si="28"/>
        <v>0</v>
      </c>
      <c r="EA125" s="51">
        <f t="shared" si="35"/>
        <v>2.7501744627898242E-2</v>
      </c>
      <c r="EB125" s="51">
        <f t="shared" si="35"/>
        <v>6.7278074458520937E-2</v>
      </c>
      <c r="EC125" s="51">
        <f t="shared" si="35"/>
        <v>0.51698021931086402</v>
      </c>
      <c r="ED125" s="48"/>
      <c r="EE125" s="51">
        <f t="shared" si="36"/>
        <v>0.133241432150947</v>
      </c>
      <c r="EF125" s="51">
        <f t="shared" si="36"/>
        <v>0.19410306873526936</v>
      </c>
      <c r="EG125" s="51">
        <f t="shared" si="36"/>
        <v>6.0895460716500607E-2</v>
      </c>
      <c r="EH125" s="52">
        <f t="shared" si="30"/>
        <v>0</v>
      </c>
      <c r="EI125" s="51">
        <f t="shared" si="31"/>
        <v>1.0000000000000002</v>
      </c>
      <c r="EK125" s="53">
        <f>(EA125*'[2]Renewable Diesel'!BF134*'[2]Feedstock Conversion Rates'!B$2)+FB125</f>
        <v>10.984261722250752</v>
      </c>
      <c r="EL125" s="53">
        <f>(EB125*'[2]Renewable Diesel'!BF134*'[2]Feedstock Conversion Rates'!B$3)+FC125</f>
        <v>25.321986377236524</v>
      </c>
      <c r="EM125" s="53">
        <f>(EC125*'[2]Renewable Diesel'!BF134*'[2]Feedstock Conversion Rates'!B$4)+FD125</f>
        <v>182.19098816873537</v>
      </c>
      <c r="EN125" s="48"/>
      <c r="EO125" s="53">
        <f>(EE125*'[2]Renewable Diesel'!BF134*'[2]Feedstock Conversion Rates'!B$6)+FF125</f>
        <v>58.726461272240613</v>
      </c>
      <c r="EP125" s="53">
        <f>(EF125*'[2]Renewable Diesel'!BF134*'[2]Feedstock Conversion Rates'!B$7)+FG125</f>
        <v>83.909654031185283</v>
      </c>
      <c r="EQ125" s="53">
        <f>(EG125*'[2]Renewable Diesel'!BF134*'[2]Feedstock Conversion Rates'!B$8)+FH125</f>
        <v>26.825504507983858</v>
      </c>
      <c r="ER125" s="53">
        <f>(EH125*'[2]Renewable Diesel'!BF134*'[2]Feedstock Conversion Rates'!B$9)+FI125</f>
        <v>0</v>
      </c>
      <c r="ES125" s="53">
        <f t="shared" si="32"/>
        <v>387.95885607963237</v>
      </c>
      <c r="ET125" s="36">
        <f>ES125/'[2]Renewable Diesel'!BF134</f>
        <v>8.2564616607389212</v>
      </c>
    </row>
    <row r="126" spans="1:150" x14ac:dyDescent="0.25">
      <c r="A126" s="39">
        <v>44256</v>
      </c>
      <c r="B126" s="45">
        <f>50+40+14-20+15+10-2+5-4-2+3-8-2.5-25-12.5-25+40-30+25-20+30</f>
        <v>81</v>
      </c>
      <c r="C126" s="46"/>
      <c r="D126" s="45">
        <v>0</v>
      </c>
      <c r="E126" s="45">
        <f>('[2]Renewable Diesel'!B135*E$3*'[2]Feedstock Conversion Rates'!$B$2)/12-15+4+2.5-25+20</f>
        <v>24.296666666666667</v>
      </c>
      <c r="F126" s="45">
        <f>('[2]Renewable Diesel'!B135*'[2]RD Feedstock Breakdown'!F$3*'[2]Feedstock Conversion Rates'!B$8)/12+18.5-14+2-5-3+8+12.5-40+30</f>
        <v>31.65625</v>
      </c>
      <c r="G126" s="45">
        <f>('[2]Renewable Diesel'!B135*'[2]RD Feedstock Breakdown'!G$3*'[2]Feedstock Conversion Rates'!B$7)/12-55+25</f>
        <v>44.036999999999992</v>
      </c>
      <c r="H126" s="45">
        <f>('[2]Renewable Diesel'!B135*'[2]RD Feedstock Breakdown'!H$3*'[2]Feedstock Conversion Rates'!B$3)/12+6.5-50+2+25-30</f>
        <v>27.639224999999996</v>
      </c>
      <c r="I126" s="47">
        <f t="shared" si="33"/>
        <v>208.62914166666667</v>
      </c>
      <c r="J126" s="47"/>
      <c r="K126" s="48"/>
      <c r="L126" s="47"/>
      <c r="R126" s="45">
        <f>('[2]Renewable Diesel'!D135*'[2]RD Feedstock Breakdown'!R$3*'[2]Feedstock Conversion Rates'!B$7)/12</f>
        <v>2.2999999999999998</v>
      </c>
      <c r="S126" s="47">
        <f t="shared" si="19"/>
        <v>2.2999999999999998</v>
      </c>
      <c r="T126" s="48"/>
      <c r="U126" s="47"/>
      <c r="Y126" s="45">
        <f>25+15-40+35</f>
        <v>35</v>
      </c>
      <c r="Z126" s="45">
        <f>('[2]Renewable Diesel'!F135*'[2]RD Feedstock Breakdown'!Z$3*'[2]Feedstock Conversion Rates'!B$6)/12+17.5-10+10-40+40-35</f>
        <v>27.055000000000007</v>
      </c>
      <c r="AA126" s="45">
        <f>('[2]Renewable Diesel'!F135*'[2]RD Feedstock Breakdown'!AA$3*'[2]Feedstock Conversion Rates'!B$7)/12-17.5</f>
        <v>11.633333333333329</v>
      </c>
      <c r="AB126" s="47">
        <f t="shared" si="39"/>
        <v>73.688333333333333</v>
      </c>
      <c r="AC126" s="49"/>
      <c r="AG126" s="46"/>
      <c r="AH126" s="45">
        <v>0</v>
      </c>
      <c r="AI126" s="45">
        <f>('[2]Renewable Diesel'!H135*'[2]RD Feedstock Breakdown'!AI$3*'[2]Feedstock Conversion Rates'!B$6)/12-15+15</f>
        <v>39.083333333333336</v>
      </c>
      <c r="AJ126" s="47">
        <f t="shared" si="18"/>
        <v>39.083333333333336</v>
      </c>
      <c r="AK126" s="45">
        <f>('[2]Renewable Diesel'!J135*'[2]RD Feedstock Breakdown'!AK$3*'[2]Feedstock Conversion Rates'!B$4)/12</f>
        <v>62.5</v>
      </c>
      <c r="AL126" s="47">
        <f t="shared" si="20"/>
        <v>62.5</v>
      </c>
      <c r="AT126" s="49"/>
      <c r="AV126" s="45">
        <f>'[2]Renewable Diesel'!N135*'[2]RD Feedstock Breakdown'!$AV$3*'[2]Feedstock Conversion Rates'!$B$4/12</f>
        <v>78.749999999999986</v>
      </c>
      <c r="AW126" s="45">
        <f>'[2]Renewable Diesel'!N135*'[2]RD Feedstock Breakdown'!$AW$3*'[2]Feedstock Conversion Rates'!$B$7/12</f>
        <v>41.4</v>
      </c>
      <c r="AX126" s="47">
        <f t="shared" si="40"/>
        <v>120.14999999999998</v>
      </c>
      <c r="AY126" s="45"/>
      <c r="AZ126" s="45"/>
      <c r="BA126" s="47"/>
      <c r="BH126" s="45">
        <f>('[2]Renewable Diesel'!T135*'[2]RD Feedstock Breakdown'!BH$3*'[2]Feedstock Conversion Rates'!B$7)/12</f>
        <v>0</v>
      </c>
      <c r="BI126" s="47">
        <f t="shared" si="41"/>
        <v>0</v>
      </c>
      <c r="BJ126" s="45">
        <f>('[2]Renewable Diesel'!W135*'[2]RD Feedstock Breakdown'!BJ$3*'[2]Feedstock Conversion Rates'!B$4)/12</f>
        <v>7.5</v>
      </c>
      <c r="BK126" s="45">
        <f>('[2]Renewable Diesel'!W135*'[2]RD Feedstock Breakdown'!BK$3*'[2]Feedstock Conversion Rates'!B$3)/12</f>
        <v>1.335</v>
      </c>
      <c r="BL126" s="45">
        <f>('[2]Renewable Diesel'!W135*'[2]RD Feedstock Breakdown'!BL$3*'[2]Feedstock Conversion Rates'!B$6)/12</f>
        <v>3.1266666666666669</v>
      </c>
      <c r="BM126" s="45">
        <f>('[2]Renewable Diesel'!W135*'[2]RD Feedstock Breakdown'!BM$3*'[2]Feedstock Conversion Rates'!B$7)/12</f>
        <v>1.5333333333333332</v>
      </c>
      <c r="BN126" s="47">
        <f t="shared" si="34"/>
        <v>13.495000000000001</v>
      </c>
      <c r="BO126" s="47"/>
      <c r="BP126" s="47"/>
      <c r="BQ126" s="47"/>
      <c r="BR126" s="47"/>
      <c r="BS126" s="47"/>
      <c r="BT126" s="47"/>
      <c r="BU126" s="47"/>
      <c r="BV126" s="47"/>
      <c r="BW126" s="47"/>
      <c r="BX126" s="48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8"/>
      <c r="CJ126" s="47"/>
      <c r="CK126" s="47"/>
      <c r="CL126" s="47"/>
      <c r="CM126" s="47"/>
      <c r="CN126" s="47"/>
      <c r="CO126" s="47"/>
      <c r="CP126" s="47"/>
      <c r="CQ126" s="47"/>
      <c r="CR126" s="47"/>
      <c r="CS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8"/>
      <c r="DE126" s="47"/>
      <c r="DF126" s="47"/>
      <c r="DG126" s="47"/>
      <c r="DH126" s="47"/>
      <c r="DI126" s="47"/>
      <c r="DJ126" s="48"/>
      <c r="DK126" s="47"/>
      <c r="DL126" s="47"/>
      <c r="DM126" s="47"/>
      <c r="DN126" s="47"/>
      <c r="DP126" s="45">
        <f t="shared" si="21"/>
        <v>24.296666666666667</v>
      </c>
      <c r="DQ126" s="45">
        <f t="shared" si="22"/>
        <v>28.974224999999997</v>
      </c>
      <c r="DR126" s="45">
        <f t="shared" si="29"/>
        <v>264.75</v>
      </c>
      <c r="DS126" s="48"/>
      <c r="DT126" s="45">
        <f t="shared" si="23"/>
        <v>69.265000000000015</v>
      </c>
      <c r="DU126" s="45">
        <f t="shared" si="24"/>
        <v>100.90366666666665</v>
      </c>
      <c r="DV126" s="45">
        <f t="shared" si="25"/>
        <v>31.65625</v>
      </c>
      <c r="DW126" s="45">
        <f t="shared" si="26"/>
        <v>0</v>
      </c>
      <c r="DX126" s="47">
        <f t="shared" si="27"/>
        <v>519.84580833333325</v>
      </c>
      <c r="DY126" s="50">
        <f t="shared" si="28"/>
        <v>0</v>
      </c>
      <c r="EA126" s="51">
        <f t="shared" si="35"/>
        <v>4.6738217904581554E-2</v>
      </c>
      <c r="EB126" s="51">
        <f t="shared" si="35"/>
        <v>5.5736190492510947E-2</v>
      </c>
      <c r="EC126" s="51">
        <f t="shared" si="35"/>
        <v>0.50928563000019067</v>
      </c>
      <c r="ED126" s="48"/>
      <c r="EE126" s="51">
        <f t="shared" si="36"/>
        <v>0.133241432150947</v>
      </c>
      <c r="EF126" s="51">
        <f t="shared" si="36"/>
        <v>0.19410306873526936</v>
      </c>
      <c r="EG126" s="51">
        <f t="shared" si="36"/>
        <v>6.0895460716500607E-2</v>
      </c>
      <c r="EH126" s="52">
        <f t="shared" si="30"/>
        <v>0</v>
      </c>
      <c r="EI126" s="51">
        <f t="shared" si="31"/>
        <v>1.0000000000000002</v>
      </c>
      <c r="EK126" s="53">
        <f>(EA126*'[2]Renewable Diesel'!BF135*'[2]Feedstock Conversion Rates'!B$2)+FB126</f>
        <v>22.026843396563571</v>
      </c>
      <c r="EL126" s="53">
        <f>(EB126*'[2]Renewable Diesel'!BF135*'[2]Feedstock Conversion Rates'!B$3)+FC126</f>
        <v>24.753179279303193</v>
      </c>
      <c r="EM126" s="53">
        <f>(EC126*'[2]Renewable Diesel'!BF135*'[2]Feedstock Conversion Rates'!B$4)+FD126</f>
        <v>211.77947875994383</v>
      </c>
      <c r="EN126" s="48"/>
      <c r="EO126" s="53">
        <f>(EE126*'[2]Renewable Diesel'!BF135*'[2]Feedstock Conversion Rates'!B$6)+FF126</f>
        <v>69.295226688505878</v>
      </c>
      <c r="EP126" s="53">
        <f>(EF126*'[2]Renewable Diesel'!BF135*'[2]Feedstock Conversion Rates'!B$7)+FG126</f>
        <v>99.010537523968921</v>
      </c>
      <c r="EQ126" s="53">
        <f>(EG126*'[2]Renewable Diesel'!BF135*'[2]Feedstock Conversion Rates'!B$8)+FH126</f>
        <v>31.65318283519581</v>
      </c>
      <c r="ER126" s="53">
        <f>(EH126*'[2]Renewable Diesel'!BF135*'[2]Feedstock Conversion Rates'!B$9)+FI126</f>
        <v>0</v>
      </c>
      <c r="ES126" s="53">
        <f t="shared" si="32"/>
        <v>458.51844848348122</v>
      </c>
      <c r="ET126" s="36">
        <f>ES126/'[2]Renewable Diesel'!BF135</f>
        <v>8.2698117731929397</v>
      </c>
    </row>
    <row r="127" spans="1:150" x14ac:dyDescent="0.25">
      <c r="A127" s="39">
        <v>44287</v>
      </c>
      <c r="B127" s="45">
        <f>50+40+14-20+15+10-2+5-4-2+3-8-2.5-25-12.5-45+1.125-17+25-20+30-10-10</f>
        <v>15.125</v>
      </c>
      <c r="C127" s="46"/>
      <c r="D127" s="45">
        <v>0</v>
      </c>
      <c r="E127" s="45">
        <f>('[2]Renewable Diesel'!B136*E$3*'[2]Feedstock Conversion Rates'!$B$2)/12-15+4+2.5-25+20</f>
        <v>24.296666666666667</v>
      </c>
      <c r="F127" s="45">
        <f>('[2]Renewable Diesel'!B136*'[2]RD Feedstock Breakdown'!F$3*'[2]Feedstock Conversion Rates'!B$8)/12+18.5-14+2-5-3+8+12.5-1.125</f>
        <v>40.53125</v>
      </c>
      <c r="G127" s="45">
        <f>('[2]Renewable Diesel'!B136*'[2]RD Feedstock Breakdown'!G$3*'[2]Feedstock Conversion Rates'!B$7)/12-55+25+45</f>
        <v>89.036999999999992</v>
      </c>
      <c r="H127" s="45">
        <f>('[2]Renewable Diesel'!B136*'[2]RD Feedstock Breakdown'!H$3*'[2]Feedstock Conversion Rates'!B$3)/12+6.5-50+2+17-30+20</f>
        <v>39.639224999999996</v>
      </c>
      <c r="I127" s="47">
        <f t="shared" si="33"/>
        <v>208.62914166666667</v>
      </c>
      <c r="J127" s="47"/>
      <c r="K127" s="48"/>
      <c r="L127" s="47"/>
      <c r="R127" s="45">
        <f>('[2]Renewable Diesel'!D136*'[2]RD Feedstock Breakdown'!R$3*'[2]Feedstock Conversion Rates'!B$7)/12</f>
        <v>2.2999999999999998</v>
      </c>
      <c r="S127" s="47">
        <f t="shared" si="19"/>
        <v>2.2999999999999998</v>
      </c>
      <c r="T127" s="48"/>
      <c r="U127" s="47"/>
      <c r="Y127" s="45">
        <f>20+20+10-50+35</f>
        <v>35</v>
      </c>
      <c r="Z127" s="45">
        <f>('[2]Renewable Diesel'!F136*'[2]RD Feedstock Breakdown'!Z$3*'[2]Feedstock Conversion Rates'!B$6)/12+17.5-10+10-20-30+50-35</f>
        <v>27.055000000000007</v>
      </c>
      <c r="AA127" s="45">
        <f>('[2]Renewable Diesel'!F136*'[2]RD Feedstock Breakdown'!AA$3*'[2]Feedstock Conversion Rates'!B$7)/12-17.5</f>
        <v>11.633333333333329</v>
      </c>
      <c r="AB127" s="47">
        <f t="shared" si="39"/>
        <v>73.688333333333333</v>
      </c>
      <c r="AC127" s="49"/>
      <c r="AG127" s="46"/>
      <c r="AH127" s="45">
        <v>0</v>
      </c>
      <c r="AI127" s="45">
        <f>('[2]Renewable Diesel'!H136*'[2]RD Feedstock Breakdown'!AI$3*'[2]Feedstock Conversion Rates'!B$6)/12-10+10</f>
        <v>39.083333333333336</v>
      </c>
      <c r="AJ127" s="47">
        <f t="shared" si="18"/>
        <v>39.083333333333336</v>
      </c>
      <c r="AK127" s="45">
        <f>('[2]Renewable Diesel'!J136*'[2]RD Feedstock Breakdown'!AK$3*'[2]Feedstock Conversion Rates'!B$4)/12</f>
        <v>62.5</v>
      </c>
      <c r="AL127" s="47">
        <f t="shared" si="20"/>
        <v>62.5</v>
      </c>
      <c r="AT127" s="49"/>
      <c r="AV127" s="45">
        <f>'[2]Renewable Diesel'!N136*'[2]RD Feedstock Breakdown'!$AV$3*'[2]Feedstock Conversion Rates'!$B$4/12</f>
        <v>0</v>
      </c>
      <c r="AW127" s="45">
        <f>'[2]Renewable Diesel'!N136*'[2]RD Feedstock Breakdown'!$AW$3*'[2]Feedstock Conversion Rates'!$B$7/12</f>
        <v>0</v>
      </c>
      <c r="AX127" s="47">
        <f t="shared" si="40"/>
        <v>0</v>
      </c>
      <c r="AY127" s="45">
        <f>('[2]Renewable Diesel'!O136*'[2]RD Feedstock Breakdown'!AY$3*'[2]Feedstock Conversion Rates'!B$4)/12</f>
        <v>28.168875000000003</v>
      </c>
      <c r="AZ127" s="45">
        <f>('[2]Renewable Diesel'!O136*'[2]RD Feedstock Breakdown'!AZ$3*'[2]Feedstock Conversion Rates'!B$3)/12</f>
        <v>3.3427065000000002</v>
      </c>
      <c r="BA127" s="47">
        <f>SUM(AY127:AZ127)</f>
        <v>31.511581500000005</v>
      </c>
      <c r="BH127" s="45">
        <f>('[2]Renewable Diesel'!T136*'[2]RD Feedstock Breakdown'!BH$3*'[2]Feedstock Conversion Rates'!B$7)/12</f>
        <v>0</v>
      </c>
      <c r="BI127" s="47">
        <f t="shared" si="41"/>
        <v>0</v>
      </c>
      <c r="BJ127" s="45">
        <f>('[2]Renewable Diesel'!W136*'[2]RD Feedstock Breakdown'!BJ$3*'[2]Feedstock Conversion Rates'!B$4)/12</f>
        <v>7.5</v>
      </c>
      <c r="BK127" s="45">
        <f>('[2]Renewable Diesel'!W136*'[2]RD Feedstock Breakdown'!BK$3*'[2]Feedstock Conversion Rates'!B$3)/12</f>
        <v>1.335</v>
      </c>
      <c r="BL127" s="45">
        <f>('[2]Renewable Diesel'!W136*'[2]RD Feedstock Breakdown'!BL$3*'[2]Feedstock Conversion Rates'!B$6)/12</f>
        <v>3.1266666666666669</v>
      </c>
      <c r="BM127" s="45">
        <f>('[2]Renewable Diesel'!W136*'[2]RD Feedstock Breakdown'!BM$3*'[2]Feedstock Conversion Rates'!B$7)/12</f>
        <v>1.5333333333333332</v>
      </c>
      <c r="BN127" s="47">
        <f t="shared" si="34"/>
        <v>13.495000000000001</v>
      </c>
      <c r="BO127" s="47"/>
      <c r="BP127" s="47"/>
      <c r="BQ127" s="47"/>
      <c r="BR127" s="47"/>
      <c r="BS127" s="47"/>
      <c r="BT127" s="47"/>
      <c r="BU127" s="47"/>
      <c r="BV127" s="47"/>
      <c r="BW127" s="47"/>
      <c r="BX127" s="48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8"/>
      <c r="CJ127" s="47"/>
      <c r="CK127" s="47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8"/>
      <c r="DE127" s="47"/>
      <c r="DF127" s="47"/>
      <c r="DG127" s="47"/>
      <c r="DH127" s="47"/>
      <c r="DI127" s="47"/>
      <c r="DJ127" s="48"/>
      <c r="DK127" s="47"/>
      <c r="DL127" s="47"/>
      <c r="DM127" s="47"/>
      <c r="DN127" s="47"/>
      <c r="DP127" s="45">
        <f t="shared" si="21"/>
        <v>24.296666666666667</v>
      </c>
      <c r="DQ127" s="45">
        <f t="shared" si="22"/>
        <v>44.316931499999995</v>
      </c>
      <c r="DR127" s="45">
        <f t="shared" si="29"/>
        <v>148.29387500000001</v>
      </c>
      <c r="DS127" s="48"/>
      <c r="DT127" s="45">
        <f t="shared" si="23"/>
        <v>69.265000000000015</v>
      </c>
      <c r="DU127" s="45">
        <f t="shared" si="24"/>
        <v>104.50366666666665</v>
      </c>
      <c r="DV127" s="45">
        <f t="shared" si="25"/>
        <v>40.53125</v>
      </c>
      <c r="DW127" s="45">
        <f t="shared" si="26"/>
        <v>0</v>
      </c>
      <c r="DX127" s="47">
        <f t="shared" si="27"/>
        <v>431.20738983333331</v>
      </c>
      <c r="DY127" s="50">
        <f t="shared" si="28"/>
        <v>0</v>
      </c>
      <c r="EA127" s="51">
        <f t="shared" si="35"/>
        <v>5.6345663918370259E-2</v>
      </c>
      <c r="EB127" s="51">
        <f t="shared" si="35"/>
        <v>0.10277405384246548</v>
      </c>
      <c r="EC127" s="51">
        <f t="shared" si="35"/>
        <v>0.34390383489790682</v>
      </c>
      <c r="ED127" s="48"/>
      <c r="EE127" s="51">
        <f t="shared" si="36"/>
        <v>0.16063036402685896</v>
      </c>
      <c r="EF127" s="51">
        <f t="shared" si="36"/>
        <v>0.24235128880109993</v>
      </c>
      <c r="EG127" s="51">
        <f t="shared" si="36"/>
        <v>9.3994794513298577E-2</v>
      </c>
      <c r="EH127" s="52">
        <f t="shared" si="30"/>
        <v>0</v>
      </c>
      <c r="EI127" s="51">
        <f t="shared" si="31"/>
        <v>1</v>
      </c>
      <c r="EK127" s="53">
        <f>(EA127*'[2]Renewable Diesel'!BF136*'[2]Feedstock Conversion Rates'!B$2)+FB127</f>
        <v>22.927611851197486</v>
      </c>
      <c r="EL127" s="53">
        <f>(EB127*'[2]Renewable Diesel'!BF136*'[2]Feedstock Conversion Rates'!B$3)+FC127</f>
        <v>39.408998466586418</v>
      </c>
      <c r="EM127" s="53">
        <f>(EC127*'[2]Renewable Diesel'!BF136*'[2]Feedstock Conversion Rates'!B$4)+FD127</f>
        <v>123.47461385484165</v>
      </c>
      <c r="EN127" s="48"/>
      <c r="EO127" s="53">
        <f>(EE127*'[2]Renewable Diesel'!BF136*'[2]Feedstock Conversion Rates'!B$6)+FF127</f>
        <v>72.128994248112278</v>
      </c>
      <c r="EP127" s="53">
        <f>(EF127*'[2]Renewable Diesel'!BF136*'[2]Feedstock Conversion Rates'!B$7)+FG127</f>
        <v>106.73640114522789</v>
      </c>
      <c r="EQ127" s="53">
        <f>(EG127*'[2]Renewable Diesel'!BF136*'[2]Feedstock Conversion Rates'!B$8)+FH127</f>
        <v>42.184652289280749</v>
      </c>
      <c r="ER127" s="53">
        <f>(EH127*'[2]Renewable Diesel'!BF136*'[2]Feedstock Conversion Rates'!B$9)+FI127</f>
        <v>0</v>
      </c>
      <c r="ES127" s="53">
        <f t="shared" si="32"/>
        <v>406.86127185524646</v>
      </c>
      <c r="ET127" s="36">
        <f>ES127/'[2]Renewable Diesel'!BF136</f>
        <v>8.4989829464228279</v>
      </c>
    </row>
    <row r="128" spans="1:150" x14ac:dyDescent="0.25">
      <c r="A128" s="39">
        <v>44317</v>
      </c>
      <c r="B128" s="45">
        <f>50+40+14-20+15+10-2+6-4-2+2-8-5-25+2-12.5-45+1.125-17+0.375+40+25-20+30-5+5-10</f>
        <v>65</v>
      </c>
      <c r="C128" s="46"/>
      <c r="D128" s="45">
        <v>0</v>
      </c>
      <c r="E128" s="45">
        <f>('[2]Renewable Diesel'!B137*E$3*'[2]Feedstock Conversion Rates'!$B$2)/12-15+4+5-2-25+20</f>
        <v>24.796666666666667</v>
      </c>
      <c r="F128" s="45">
        <f>('[2]Renewable Diesel'!B137*'[2]RD Feedstock Breakdown'!F$3*'[2]Feedstock Conversion Rates'!B$8)/12+18.5-14+2-6-2+8+12.5-1.125-0.375</f>
        <v>40.15625</v>
      </c>
      <c r="G128" s="45">
        <f>('[2]Renewable Diesel'!B137*'[2]RD Feedstock Breakdown'!G$3*'[2]Feedstock Conversion Rates'!B$7)/12-55+25+45-40</f>
        <v>49.036999999999992</v>
      </c>
      <c r="H128" s="45">
        <f>('[2]Renewable Diesel'!B137*'[2]RD Feedstock Breakdown'!H$3*'[2]Feedstock Conversion Rates'!B$3)/12+6.5-50+2+17-30+10</f>
        <v>29.639224999999996</v>
      </c>
      <c r="I128" s="47">
        <f t="shared" si="33"/>
        <v>208.62914166666667</v>
      </c>
      <c r="J128" s="47"/>
      <c r="K128" s="48"/>
      <c r="L128" s="47"/>
      <c r="R128" s="45">
        <f>('[2]Renewable Diesel'!D137*'[2]RD Feedstock Breakdown'!R$3*'[2]Feedstock Conversion Rates'!B$7)/12</f>
        <v>2.2999999999999998</v>
      </c>
      <c r="S128" s="47">
        <f t="shared" si="19"/>
        <v>2.2999999999999998</v>
      </c>
      <c r="T128" s="48"/>
      <c r="U128" s="47"/>
      <c r="Y128" s="45">
        <f>30-30</f>
        <v>0</v>
      </c>
      <c r="Z128" s="45">
        <f>('[2]Renewable Diesel'!F137*'[2]RD Feedstock Breakdown'!Z$3*'[2]Feedstock Conversion Rates'!B$6)/12+17.5-10+10-30+30</f>
        <v>62.055000000000007</v>
      </c>
      <c r="AA128" s="45">
        <f>('[2]Renewable Diesel'!F137*'[2]RD Feedstock Breakdown'!AA$3*'[2]Feedstock Conversion Rates'!B$7)/12-17.5</f>
        <v>11.633333333333329</v>
      </c>
      <c r="AB128" s="47">
        <f t="shared" si="39"/>
        <v>73.688333333333333</v>
      </c>
      <c r="AC128" s="49"/>
      <c r="AG128" s="46"/>
      <c r="AH128" s="45">
        <v>0</v>
      </c>
      <c r="AI128" s="45">
        <f>('[2]Renewable Diesel'!H137*'[2]RD Feedstock Breakdown'!AI$3*'[2]Feedstock Conversion Rates'!B$6)/12</f>
        <v>39.083333333333336</v>
      </c>
      <c r="AJ128" s="47">
        <f t="shared" ref="AJ128:AJ191" si="42">AI128+AG128</f>
        <v>39.083333333333336</v>
      </c>
      <c r="AK128" s="45">
        <f>('[2]Renewable Diesel'!J137*'[2]RD Feedstock Breakdown'!AK$3*'[2]Feedstock Conversion Rates'!B$4)/12</f>
        <v>62.5</v>
      </c>
      <c r="AL128" s="47">
        <f t="shared" si="20"/>
        <v>62.5</v>
      </c>
      <c r="AT128" s="49"/>
      <c r="AV128" s="45">
        <f>'[2]Renewable Diesel'!N137*'[2]RD Feedstock Breakdown'!$AV$3*'[2]Feedstock Conversion Rates'!$B$4/12</f>
        <v>78.749999999999986</v>
      </c>
      <c r="AW128" s="45">
        <f>'[2]Renewable Diesel'!N137*'[2]RD Feedstock Breakdown'!$AW$3*'[2]Feedstock Conversion Rates'!$B$7/12</f>
        <v>41.4</v>
      </c>
      <c r="AX128" s="47">
        <f t="shared" si="40"/>
        <v>120.14999999999998</v>
      </c>
      <c r="AY128" s="45">
        <f>('[2]Renewable Diesel'!O137*'[2]RD Feedstock Breakdown'!AY$3*'[2]Feedstock Conversion Rates'!B$4)/12</f>
        <v>28.168875000000003</v>
      </c>
      <c r="AZ128" s="45">
        <f>('[2]Renewable Diesel'!O137*'[2]RD Feedstock Breakdown'!AZ$3*'[2]Feedstock Conversion Rates'!B$3)/12</f>
        <v>3.3427065000000002</v>
      </c>
      <c r="BA128" s="47">
        <f t="shared" ref="BA128:BA159" si="43">SUM(AY128:AZ128)</f>
        <v>31.511581500000005</v>
      </c>
      <c r="BH128" s="45">
        <f>('[2]Renewable Diesel'!T137*'[2]RD Feedstock Breakdown'!BH$3*'[2]Feedstock Conversion Rates'!B$7)/12</f>
        <v>0</v>
      </c>
      <c r="BI128" s="47">
        <f t="shared" si="41"/>
        <v>0</v>
      </c>
      <c r="BJ128" s="45">
        <f>('[2]Renewable Diesel'!W137*'[2]RD Feedstock Breakdown'!BJ$3*'[2]Feedstock Conversion Rates'!B$4)/12</f>
        <v>7.5</v>
      </c>
      <c r="BK128" s="45">
        <f>('[2]Renewable Diesel'!W137*'[2]RD Feedstock Breakdown'!BK$3*'[2]Feedstock Conversion Rates'!B$3)/12</f>
        <v>1.335</v>
      </c>
      <c r="BL128" s="45">
        <f>('[2]Renewable Diesel'!W137*'[2]RD Feedstock Breakdown'!BL$3*'[2]Feedstock Conversion Rates'!B$6)/12</f>
        <v>3.1266666666666669</v>
      </c>
      <c r="BM128" s="45">
        <f>('[2]Renewable Diesel'!W137*'[2]RD Feedstock Breakdown'!BM$3*'[2]Feedstock Conversion Rates'!B$7)/12</f>
        <v>1.5333333333333332</v>
      </c>
      <c r="BN128" s="47">
        <f t="shared" si="34"/>
        <v>13.495000000000001</v>
      </c>
      <c r="BO128" s="47"/>
      <c r="BP128" s="47"/>
      <c r="BQ128" s="47"/>
      <c r="BR128" s="47"/>
      <c r="BS128" s="47"/>
      <c r="BT128" s="47"/>
      <c r="BU128" s="47"/>
      <c r="BV128" s="47"/>
      <c r="BW128" s="47"/>
      <c r="BX128" s="48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8"/>
      <c r="CJ128" s="47"/>
      <c r="CK128" s="47"/>
      <c r="CL128" s="47"/>
      <c r="CM128" s="47"/>
      <c r="CN128" s="47"/>
      <c r="CO128" s="47"/>
      <c r="CP128" s="47"/>
      <c r="CQ128" s="47"/>
      <c r="CR128" s="47"/>
      <c r="CS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8"/>
      <c r="DE128" s="47"/>
      <c r="DF128" s="47"/>
      <c r="DG128" s="47"/>
      <c r="DH128" s="47"/>
      <c r="DI128" s="47"/>
      <c r="DJ128" s="48"/>
      <c r="DK128" s="47"/>
      <c r="DL128" s="47"/>
      <c r="DM128" s="47"/>
      <c r="DN128" s="47"/>
      <c r="DP128" s="45">
        <f t="shared" si="21"/>
        <v>24.796666666666667</v>
      </c>
      <c r="DQ128" s="45">
        <f t="shared" si="22"/>
        <v>34.316931499999995</v>
      </c>
      <c r="DR128" s="45">
        <f t="shared" si="29"/>
        <v>241.91887500000001</v>
      </c>
      <c r="DS128" s="48"/>
      <c r="DT128" s="45">
        <f t="shared" si="23"/>
        <v>104.26500000000001</v>
      </c>
      <c r="DU128" s="45">
        <f t="shared" si="24"/>
        <v>105.90366666666665</v>
      </c>
      <c r="DV128" s="45">
        <f t="shared" si="25"/>
        <v>40.15625</v>
      </c>
      <c r="DW128" s="45">
        <f t="shared" si="26"/>
        <v>0</v>
      </c>
      <c r="DX128" s="47">
        <f t="shared" si="27"/>
        <v>551.3573898333334</v>
      </c>
      <c r="DY128" s="50">
        <f t="shared" si="28"/>
        <v>-1.1368683772161603E-13</v>
      </c>
      <c r="EA128" s="51">
        <f t="shared" si="35"/>
        <v>4.4973853844894156E-2</v>
      </c>
      <c r="EB128" s="51">
        <f t="shared" si="35"/>
        <v>6.2240811736237835E-2</v>
      </c>
      <c r="EC128" s="51">
        <f t="shared" si="35"/>
        <v>0.43876962467688746</v>
      </c>
      <c r="ED128" s="48"/>
      <c r="EE128" s="51">
        <f t="shared" si="36"/>
        <v>0.18910601711807595</v>
      </c>
      <c r="EF128" s="51">
        <f t="shared" si="36"/>
        <v>0.19207807607091229</v>
      </c>
      <c r="EG128" s="51">
        <f t="shared" si="36"/>
        <v>7.2831616552992237E-2</v>
      </c>
      <c r="EH128" s="52">
        <f t="shared" si="30"/>
        <v>0</v>
      </c>
      <c r="EI128" s="51">
        <f t="shared" si="31"/>
        <v>0.99999999999999989</v>
      </c>
      <c r="EK128" s="53">
        <f>(EA128*'[2]Renewable Diesel'!BF137*'[2]Feedstock Conversion Rates'!B$2)+FB128</f>
        <v>22.214094747103474</v>
      </c>
      <c r="EL128" s="53">
        <f>(EB128*'[2]Renewable Diesel'!BF137*'[2]Feedstock Conversion Rates'!B$3)+FC128</f>
        <v>28.970590945231024</v>
      </c>
      <c r="EM128" s="53">
        <f>(EC128*'[2]Renewable Diesel'!BF137*'[2]Feedstock Conversion Rates'!B$4)+FD128</f>
        <v>191.22620566198864</v>
      </c>
      <c r="EN128" s="48"/>
      <c r="EO128" s="53">
        <f>(EE128*'[2]Renewable Diesel'!BF137*'[2]Feedstock Conversion Rates'!B$6)+FF128</f>
        <v>103.07605204529671</v>
      </c>
      <c r="EP128" s="53">
        <f>(EF128*'[2]Renewable Diesel'!BF137*'[2]Feedstock Conversion Rates'!B$7)+FG128</f>
        <v>102.68694046007498</v>
      </c>
      <c r="EQ128" s="53">
        <f>(EG128*'[2]Renewable Diesel'!BF137*'[2]Feedstock Conversion Rates'!B$8)+FH128</f>
        <v>39.677181664278109</v>
      </c>
      <c r="ER128" s="53">
        <f>(EH128*'[2]Renewable Diesel'!BF137*'[2]Feedstock Conversion Rates'!B$9)+FI128</f>
        <v>0</v>
      </c>
      <c r="ES128" s="53">
        <f t="shared" si="32"/>
        <v>487.85106552397298</v>
      </c>
      <c r="ET128" s="36">
        <f>ES128/'[2]Renewable Diesel'!BF137</f>
        <v>8.3953279903697702</v>
      </c>
    </row>
    <row r="129" spans="1:150" x14ac:dyDescent="0.25">
      <c r="A129" s="39">
        <v>44348</v>
      </c>
      <c r="B129" s="45">
        <f>70+60+29-35+25+10-1+6+3-4-2+2-8-5+6-25+2-12.5-45+1.125+25-8-20+20-32-7+30-15-5-10</f>
        <v>54.625</v>
      </c>
      <c r="C129" s="46"/>
      <c r="D129" s="45">
        <v>0</v>
      </c>
      <c r="E129" s="45">
        <f>('[2]Renewable Diesel'!B138*E$3*'[2]Feedstock Conversion Rates'!$B$2)/12-25-3+4+5-2-15+20+5</f>
        <v>26.796666666666667</v>
      </c>
      <c r="F129" s="45">
        <f>('[2]Renewable Diesel'!B138*'[2]RD Feedstock Breakdown'!F$3*'[2]Feedstock Conversion Rates'!B$8)/12+28.5-29-1-6-2+8+12.5-1.125+7</f>
        <v>39.53125</v>
      </c>
      <c r="G129" s="45">
        <f>('[2]Renewable Diesel'!B138*'[2]RD Feedstock Breakdown'!G$3*'[2]Feedstock Conversion Rates'!B$7)/12-75-6+25+45-20</f>
        <v>43.036999999999992</v>
      </c>
      <c r="H129" s="45">
        <f>('[2]Renewable Diesel'!B138*'[2]RD Feedstock Breakdown'!H$3*'[2]Feedstock Conversion Rates'!B$3)/12+11.5-70+2+32-30+15+10</f>
        <v>44.639224999999996</v>
      </c>
      <c r="I129" s="47">
        <f t="shared" si="33"/>
        <v>208.62914166666667</v>
      </c>
      <c r="J129" s="47"/>
      <c r="K129" s="48"/>
      <c r="L129" s="47"/>
      <c r="R129" s="45">
        <f>('[2]Renewable Diesel'!D138*'[2]RD Feedstock Breakdown'!R$3*'[2]Feedstock Conversion Rates'!B$7)/12</f>
        <v>2.2999999999999998</v>
      </c>
      <c r="S129" s="47">
        <f t="shared" ref="S129:S192" si="44">R129</f>
        <v>2.2999999999999998</v>
      </c>
      <c r="T129" s="48"/>
      <c r="U129" s="47"/>
      <c r="Y129" s="45">
        <f>30</f>
        <v>30</v>
      </c>
      <c r="Z129" s="45">
        <f>('[2]Renewable Diesel'!F138*'[2]RD Feedstock Breakdown'!Z$3*'[2]Feedstock Conversion Rates'!B$6)/12+17.5-10+10-30</f>
        <v>32.055000000000007</v>
      </c>
      <c r="AA129" s="45">
        <f>('[2]Renewable Diesel'!F138*'[2]RD Feedstock Breakdown'!AA$3*'[2]Feedstock Conversion Rates'!B$7)/12-17.5</f>
        <v>11.633333333333329</v>
      </c>
      <c r="AB129" s="47">
        <f t="shared" si="39"/>
        <v>73.688333333333333</v>
      </c>
      <c r="AC129" s="49"/>
      <c r="AG129" s="46"/>
      <c r="AH129" s="45">
        <v>0</v>
      </c>
      <c r="AI129" s="45">
        <f>('[2]Renewable Diesel'!H138*'[2]RD Feedstock Breakdown'!AI$3*'[2]Feedstock Conversion Rates'!B$6)/12</f>
        <v>58.625000000000007</v>
      </c>
      <c r="AJ129" s="47">
        <f t="shared" si="42"/>
        <v>58.625000000000007</v>
      </c>
      <c r="AK129" s="45">
        <f>('[2]Renewable Diesel'!J138*'[2]RD Feedstock Breakdown'!AK$3*'[2]Feedstock Conversion Rates'!B$4)/12</f>
        <v>62.5</v>
      </c>
      <c r="AL129" s="47">
        <f t="shared" si="20"/>
        <v>62.5</v>
      </c>
      <c r="AT129" s="49"/>
      <c r="AV129" s="45">
        <f>'[2]Renewable Diesel'!N138*'[2]RD Feedstock Breakdown'!$AV$3*'[2]Feedstock Conversion Rates'!$B$4/12</f>
        <v>78.749999999999986</v>
      </c>
      <c r="AW129" s="45">
        <f>'[2]Renewable Diesel'!N138*'[2]RD Feedstock Breakdown'!$AW$3*'[2]Feedstock Conversion Rates'!$B$7/12</f>
        <v>41.4</v>
      </c>
      <c r="AX129" s="47">
        <f t="shared" si="40"/>
        <v>120.14999999999998</v>
      </c>
      <c r="AY129" s="45">
        <f>('[2]Renewable Diesel'!O138*'[2]RD Feedstock Breakdown'!AY$3*'[2]Feedstock Conversion Rates'!B$4)/12</f>
        <v>28.168875000000003</v>
      </c>
      <c r="AZ129" s="45">
        <f>('[2]Renewable Diesel'!O138*'[2]RD Feedstock Breakdown'!AZ$3*'[2]Feedstock Conversion Rates'!B$3)/12</f>
        <v>3.3427065000000002</v>
      </c>
      <c r="BA129" s="47">
        <f t="shared" si="43"/>
        <v>31.511581500000005</v>
      </c>
      <c r="BH129" s="45">
        <f>('[2]Renewable Diesel'!T138*'[2]RD Feedstock Breakdown'!BH$3*'[2]Feedstock Conversion Rates'!B$7)/12</f>
        <v>0</v>
      </c>
      <c r="BI129" s="47">
        <f t="shared" si="41"/>
        <v>0</v>
      </c>
      <c r="BJ129" s="45">
        <f>('[2]Renewable Diesel'!W138*'[2]RD Feedstock Breakdown'!BJ$3*'[2]Feedstock Conversion Rates'!B$4)/12</f>
        <v>7.5</v>
      </c>
      <c r="BK129" s="45">
        <f>('[2]Renewable Diesel'!W138*'[2]RD Feedstock Breakdown'!BK$3*'[2]Feedstock Conversion Rates'!B$3)/12</f>
        <v>1.335</v>
      </c>
      <c r="BL129" s="45">
        <f>('[2]Renewable Diesel'!W138*'[2]RD Feedstock Breakdown'!BL$3*'[2]Feedstock Conversion Rates'!B$6)/12</f>
        <v>3.1266666666666669</v>
      </c>
      <c r="BM129" s="45">
        <f>('[2]Renewable Diesel'!W138*'[2]RD Feedstock Breakdown'!BM$3*'[2]Feedstock Conversion Rates'!B$7)/12</f>
        <v>1.5333333333333332</v>
      </c>
      <c r="BN129" s="47">
        <f t="shared" si="34"/>
        <v>13.495000000000001</v>
      </c>
      <c r="BO129" s="47"/>
      <c r="BP129" s="47"/>
      <c r="BQ129" s="47"/>
      <c r="BR129" s="47"/>
      <c r="BS129" s="47"/>
      <c r="BT129" s="47"/>
      <c r="BU129" s="47"/>
      <c r="BV129" s="47"/>
      <c r="BW129" s="47"/>
      <c r="BX129" s="48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8"/>
      <c r="CJ129" s="47"/>
      <c r="CK129" s="47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8"/>
      <c r="DE129" s="47"/>
      <c r="DF129" s="47"/>
      <c r="DG129" s="47"/>
      <c r="DH129" s="47"/>
      <c r="DI129" s="47"/>
      <c r="DJ129" s="48"/>
      <c r="DK129" s="47"/>
      <c r="DL129" s="47"/>
      <c r="DM129" s="47"/>
      <c r="DN129" s="47"/>
      <c r="DP129" s="45">
        <f t="shared" si="21"/>
        <v>26.796666666666667</v>
      </c>
      <c r="DQ129" s="45">
        <f t="shared" si="22"/>
        <v>49.316931499999995</v>
      </c>
      <c r="DR129" s="45">
        <f t="shared" si="29"/>
        <v>261.54387500000001</v>
      </c>
      <c r="DS129" s="48"/>
      <c r="DT129" s="45">
        <f t="shared" si="23"/>
        <v>93.806666666666672</v>
      </c>
      <c r="DU129" s="45">
        <f t="shared" si="24"/>
        <v>99.903666666666652</v>
      </c>
      <c r="DV129" s="45">
        <f t="shared" si="25"/>
        <v>39.53125</v>
      </c>
      <c r="DW129" s="45">
        <f t="shared" si="26"/>
        <v>0</v>
      </c>
      <c r="DX129" s="47">
        <f t="shared" si="27"/>
        <v>570.89905650000003</v>
      </c>
      <c r="DY129" s="50">
        <f t="shared" si="28"/>
        <v>0</v>
      </c>
      <c r="EA129" s="51">
        <f t="shared" si="35"/>
        <v>4.6937661503503758E-2</v>
      </c>
      <c r="EB129" s="51">
        <f t="shared" si="35"/>
        <v>8.6384678584593158E-2</v>
      </c>
      <c r="EC129" s="51">
        <f t="shared" si="35"/>
        <v>0.4581263045054621</v>
      </c>
      <c r="ED129" s="48"/>
      <c r="EE129" s="51">
        <f t="shared" si="36"/>
        <v>0.16431392835322836</v>
      </c>
      <c r="EF129" s="51">
        <f t="shared" si="36"/>
        <v>0.17499357465949261</v>
      </c>
      <c r="EG129" s="51">
        <f t="shared" si="36"/>
        <v>6.9243852393719968E-2</v>
      </c>
      <c r="EH129" s="52">
        <f t="shared" si="30"/>
        <v>0</v>
      </c>
      <c r="EI129" s="51">
        <f t="shared" si="31"/>
        <v>0.99999999999999989</v>
      </c>
      <c r="EK129" s="53">
        <f>(EA129*'[2]Renewable Diesel'!BF138*'[2]Feedstock Conversion Rates'!B$2)+FB129</f>
        <v>25.939171000907059</v>
      </c>
      <c r="EL129" s="53">
        <f>(EB129*'[2]Renewable Diesel'!BF138*'[2]Feedstock Conversion Rates'!B$3)+FC129</f>
        <v>44.986784829291061</v>
      </c>
      <c r="EM129" s="53">
        <f>(EC129*'[2]Renewable Diesel'!BF138*'[2]Feedstock Conversion Rates'!B$4)+FD129</f>
        <v>223.38921903069502</v>
      </c>
      <c r="EN129" s="48"/>
      <c r="EO129" s="53">
        <f>(EE129*'[2]Renewable Diesel'!BF138*'[2]Feedstock Conversion Rates'!B$6)+FF129</f>
        <v>100.20581737389928</v>
      </c>
      <c r="EP129" s="53">
        <f>(EF129*'[2]Renewable Diesel'!BF138*'[2]Feedstock Conversion Rates'!B$7)+FG129</f>
        <v>104.67082516064515</v>
      </c>
      <c r="EQ129" s="53">
        <f>(EG129*'[2]Renewable Diesel'!BF138*'[2]Feedstock Conversion Rates'!B$8)+FH129</f>
        <v>42.205418999045385</v>
      </c>
      <c r="ER129" s="53">
        <f>(EH129*'[2]Renewable Diesel'!BF138*'[2]Feedstock Conversion Rates'!B$9)+FI129</f>
        <v>0</v>
      </c>
      <c r="ES129" s="53">
        <f t="shared" si="32"/>
        <v>541.397236394483</v>
      </c>
      <c r="ET129" s="36">
        <f>ES129/'[2]Renewable Diesel'!BF138</f>
        <v>8.3272253330450781</v>
      </c>
    </row>
    <row r="130" spans="1:150" x14ac:dyDescent="0.25">
      <c r="A130" s="39">
        <v>44378</v>
      </c>
      <c r="B130" s="45">
        <f>100+100+44+50-65+50+10-1+7+4-4-2+1-8-5+7-25+2-12.5-25-50-40-45+1.125+15+15+15-13-10-15-10-47-7+25+15-25-35</f>
        <v>16.625</v>
      </c>
      <c r="C130" s="46"/>
      <c r="D130" s="45">
        <v>0</v>
      </c>
      <c r="E130" s="45">
        <f>('[2]Renewable Diesel'!B139*E$3*'[2]Feedstock Conversion Rates'!$B$2)/12-50-4+4+5-2+25-15+20+25</f>
        <v>45.796666666666667</v>
      </c>
      <c r="F130" s="45">
        <f>('[2]Renewable Diesel'!B139*'[2]RD Feedstock Breakdown'!F$3*'[2]Feedstock Conversion Rates'!B$8)/12+28.5-44-1-7-1+8+12.5-1.125+15+7</f>
        <v>39.53125</v>
      </c>
      <c r="G130" s="45">
        <f>('[2]Renewable Diesel'!B139*'[2]RD Feedstock Breakdown'!G$3*'[2]Feedstock Conversion Rates'!B$7)/12-75-50-7+25+50+45-15</f>
        <v>47.036999999999992</v>
      </c>
      <c r="H130" s="45">
        <f>('[2]Renewable Diesel'!B139*'[2]RD Feedstock Breakdown'!H$3*'[2]Feedstock Conversion Rates'!B$3)/12+11.5-110+2+40-15+47-25+35</f>
        <v>59.639224999999996</v>
      </c>
      <c r="I130" s="47">
        <f t="shared" si="33"/>
        <v>208.62914166666667</v>
      </c>
      <c r="J130" s="47"/>
      <c r="K130" s="48"/>
      <c r="L130" s="47"/>
      <c r="R130" s="45">
        <f>('[2]Renewable Diesel'!D139*'[2]RD Feedstock Breakdown'!R$3*'[2]Feedstock Conversion Rates'!B$7)/12</f>
        <v>2.2999999999999998</v>
      </c>
      <c r="S130" s="47">
        <f t="shared" si="44"/>
        <v>2.2999999999999998</v>
      </c>
      <c r="T130" s="48"/>
      <c r="U130" s="47"/>
      <c r="Y130" s="45">
        <f>30</f>
        <v>30</v>
      </c>
      <c r="Z130" s="45">
        <f>('[2]Renewable Diesel'!F139*'[2]RD Feedstock Breakdown'!Z$3*'[2]Feedstock Conversion Rates'!B$6)/12+17.5-10+10-30</f>
        <v>32.055000000000007</v>
      </c>
      <c r="AA130" s="45">
        <f>('[2]Renewable Diesel'!F139*'[2]RD Feedstock Breakdown'!AA$3*'[2]Feedstock Conversion Rates'!B$7)/12-17.5</f>
        <v>11.633333333333329</v>
      </c>
      <c r="AB130" s="47">
        <f t="shared" si="39"/>
        <v>73.688333333333333</v>
      </c>
      <c r="AC130" s="49"/>
      <c r="AG130" s="46"/>
      <c r="AH130" s="45">
        <v>0</v>
      </c>
      <c r="AI130" s="45">
        <f>('[2]Renewable Diesel'!H139*'[2]RD Feedstock Breakdown'!AI$3*'[2]Feedstock Conversion Rates'!B$6)/12</f>
        <v>58.625000000000007</v>
      </c>
      <c r="AJ130" s="47">
        <f t="shared" si="42"/>
        <v>58.625000000000007</v>
      </c>
      <c r="AK130" s="45">
        <f>('[2]Renewable Diesel'!J139*'[2]RD Feedstock Breakdown'!AK$3*'[2]Feedstock Conversion Rates'!B$4)/12</f>
        <v>62.5</v>
      </c>
      <c r="AL130" s="47">
        <f t="shared" si="20"/>
        <v>62.5</v>
      </c>
      <c r="AT130" s="49"/>
      <c r="AV130" s="45">
        <f>'[2]Renewable Diesel'!N139*'[2]RD Feedstock Breakdown'!$AV$3*'[2]Feedstock Conversion Rates'!$B$4/12</f>
        <v>78.749999999999986</v>
      </c>
      <c r="AW130" s="45">
        <f>'[2]Renewable Diesel'!N139*'[2]RD Feedstock Breakdown'!$AW$3*'[2]Feedstock Conversion Rates'!$B$7/12</f>
        <v>41.4</v>
      </c>
      <c r="AX130" s="47">
        <f t="shared" si="40"/>
        <v>120.14999999999998</v>
      </c>
      <c r="AY130" s="45">
        <f>('[2]Renewable Diesel'!O139*'[2]RD Feedstock Breakdown'!AY$3*'[2]Feedstock Conversion Rates'!B$4)/12</f>
        <v>67.5</v>
      </c>
      <c r="AZ130" s="45">
        <f>('[2]Renewable Diesel'!O139*'[2]RD Feedstock Breakdown'!AZ$3*'[2]Feedstock Conversion Rates'!B$3)/12</f>
        <v>8.01</v>
      </c>
      <c r="BA130" s="47">
        <f t="shared" si="43"/>
        <v>75.510000000000005</v>
      </c>
      <c r="BF130" s="45"/>
      <c r="BG130" s="47"/>
      <c r="BH130" s="45">
        <f>('[2]Renewable Diesel'!T139*'[2]RD Feedstock Breakdown'!BH$3*'[2]Feedstock Conversion Rates'!B$7)/12</f>
        <v>0</v>
      </c>
      <c r="BI130" s="47">
        <f t="shared" si="41"/>
        <v>0</v>
      </c>
      <c r="BJ130" s="45">
        <f>('[2]Renewable Diesel'!W139*'[2]RD Feedstock Breakdown'!BJ$3*'[2]Feedstock Conversion Rates'!B$4)/12</f>
        <v>7.5</v>
      </c>
      <c r="BK130" s="45">
        <f>('[2]Renewable Diesel'!W139*'[2]RD Feedstock Breakdown'!BK$3*'[2]Feedstock Conversion Rates'!B$3)/12</f>
        <v>1.335</v>
      </c>
      <c r="BL130" s="45">
        <f>('[2]Renewable Diesel'!W139*'[2]RD Feedstock Breakdown'!BL$3*'[2]Feedstock Conversion Rates'!B$6)/12</f>
        <v>3.1266666666666669</v>
      </c>
      <c r="BM130" s="45">
        <f>('[2]Renewable Diesel'!W139*'[2]RD Feedstock Breakdown'!BM$3*'[2]Feedstock Conversion Rates'!B$7)/12</f>
        <v>1.5333333333333332</v>
      </c>
      <c r="BN130" s="47">
        <f t="shared" si="34"/>
        <v>13.495000000000001</v>
      </c>
      <c r="BO130" s="47"/>
      <c r="BP130" s="47"/>
      <c r="BQ130" s="47"/>
      <c r="BR130" s="47"/>
      <c r="BS130" s="47"/>
      <c r="BT130" s="47"/>
      <c r="BU130" s="47"/>
      <c r="BV130" s="47"/>
      <c r="BW130" s="47"/>
      <c r="BX130" s="48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8"/>
      <c r="CJ130" s="47"/>
      <c r="CK130" s="47"/>
      <c r="CL130" s="47"/>
      <c r="CM130" s="47"/>
      <c r="CN130" s="47"/>
      <c r="CO130" s="47"/>
      <c r="CP130" s="47"/>
      <c r="CQ130" s="47"/>
      <c r="CR130" s="47"/>
      <c r="CS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8"/>
      <c r="DE130" s="47"/>
      <c r="DF130" s="47"/>
      <c r="DG130" s="47"/>
      <c r="DH130" s="47"/>
      <c r="DI130" s="47"/>
      <c r="DJ130" s="48"/>
      <c r="DK130" s="47"/>
      <c r="DL130" s="47"/>
      <c r="DM130" s="47"/>
      <c r="DN130" s="47"/>
      <c r="DP130" s="45">
        <f t="shared" si="21"/>
        <v>45.796666666666667</v>
      </c>
      <c r="DQ130" s="45">
        <f t="shared" si="22"/>
        <v>68.984224999999995</v>
      </c>
      <c r="DR130" s="45">
        <f t="shared" si="29"/>
        <v>262.875</v>
      </c>
      <c r="DS130" s="48"/>
      <c r="DT130" s="45">
        <f t="shared" si="23"/>
        <v>93.806666666666672</v>
      </c>
      <c r="DU130" s="45">
        <f t="shared" si="24"/>
        <v>103.90366666666665</v>
      </c>
      <c r="DV130" s="45">
        <f t="shared" si="25"/>
        <v>39.53125</v>
      </c>
      <c r="DW130" s="45">
        <f t="shared" si="26"/>
        <v>0</v>
      </c>
      <c r="DX130" s="47">
        <f t="shared" si="27"/>
        <v>614.89747499999999</v>
      </c>
      <c r="DY130" s="50">
        <f t="shared" si="28"/>
        <v>0</v>
      </c>
      <c r="EA130" s="51">
        <f t="shared" si="35"/>
        <v>7.4478540778959393E-2</v>
      </c>
      <c r="EB130" s="51">
        <f t="shared" si="35"/>
        <v>0.1121881741342327</v>
      </c>
      <c r="EC130" s="51">
        <f t="shared" si="35"/>
        <v>0.42751029348429187</v>
      </c>
      <c r="ED130" s="48"/>
      <c r="EE130" s="51">
        <f t="shared" si="36"/>
        <v>0.15255659761274296</v>
      </c>
      <c r="EF130" s="51">
        <f t="shared" si="36"/>
        <v>0.16897722122971257</v>
      </c>
      <c r="EG130" s="51">
        <f t="shared" si="36"/>
        <v>6.4289172760060534E-2</v>
      </c>
      <c r="EH130" s="52">
        <f t="shared" si="30"/>
        <v>0</v>
      </c>
      <c r="EI130" s="51">
        <f t="shared" si="31"/>
        <v>1.0000000000000002</v>
      </c>
      <c r="EK130" s="53">
        <f>(EA130*'[2]Renewable Diesel'!BF139*'[2]Feedstock Conversion Rates'!B$2)+FB130</f>
        <v>41.370437561614104</v>
      </c>
      <c r="EL130" s="53">
        <f>(EB130*'[2]Renewable Diesel'!BF139*'[2]Feedstock Conversion Rates'!B$3)+FC130</f>
        <v>58.724540258144557</v>
      </c>
      <c r="EM130" s="53">
        <f>(EC130*'[2]Renewable Diesel'!BF139*'[2]Feedstock Conversion Rates'!B$4)+FD130</f>
        <v>209.53079889812122</v>
      </c>
      <c r="EN130" s="48"/>
      <c r="EO130" s="53">
        <f>(EE130*'[2]Renewable Diesel'!BF139*'[2]Feedstock Conversion Rates'!B$6)+FF130</f>
        <v>93.513403143450773</v>
      </c>
      <c r="EP130" s="53">
        <f>(EF130*'[2]Renewable Diesel'!BF139*'[2]Feedstock Conversion Rates'!B$7)+FG130</f>
        <v>101.59118375553342</v>
      </c>
      <c r="EQ130" s="53">
        <f>(EG130*'[2]Renewable Diesel'!BF139*'[2]Feedstock Conversion Rates'!B$8)+FH130</f>
        <v>39.386659029678334</v>
      </c>
      <c r="ER130" s="53">
        <f>(EH130*'[2]Renewable Diesel'!BF139*'[2]Feedstock Conversion Rates'!B$9)+FI130</f>
        <v>0</v>
      </c>
      <c r="ES130" s="53">
        <f t="shared" si="32"/>
        <v>544.11702264654241</v>
      </c>
      <c r="ET130" s="36">
        <f>ES130/'[2]Renewable Diesel'!BF139</f>
        <v>8.3263043881150001</v>
      </c>
    </row>
    <row r="131" spans="1:150" x14ac:dyDescent="0.25">
      <c r="A131" s="39">
        <v>44409</v>
      </c>
      <c r="B131" s="45">
        <f>85+120+49+75-60+55+10+4+7+8-2+1-8-5+17-25+2-12.5-40-75-60-45-75+1.125+75+15+15-15-20-47-15+25+4+5-25-20-5</f>
        <v>18.625</v>
      </c>
      <c r="C131" s="46"/>
      <c r="D131" s="45">
        <v>0</v>
      </c>
      <c r="E131" s="45">
        <f>('[2]Renewable Diesel'!B140*E$3*'[2]Feedstock Conversion Rates'!$B$2)/12-55-8+5-2+40-15+20-4+25</f>
        <v>43.796666666666667</v>
      </c>
      <c r="F131" s="45">
        <f>('[2]Renewable Diesel'!B140*'[2]RD Feedstock Breakdown'!F$3*'[2]Feedstock Conversion Rates'!B$8)/12+28.5-49-4-7-1+8+12.5-1.125+15+15-5</f>
        <v>34.53125</v>
      </c>
      <c r="G131" s="45">
        <f>('[2]Renewable Diesel'!B140*'[2]RD Feedstock Breakdown'!G$3*'[2]Feedstock Conversion Rates'!B$7)/12-65-75-17+25+75+45+75-75</f>
        <v>62.036999999999978</v>
      </c>
      <c r="H131" s="45">
        <f>('[2]Renewable Diesel'!B140*'[2]RD Feedstock Breakdown'!H$3*'[2]Feedstock Conversion Rates'!B$3)/12+11.5-130+2+60-15+47-25+25</f>
        <v>49.639224999999996</v>
      </c>
      <c r="I131" s="47">
        <f t="shared" si="33"/>
        <v>208.62914166666667</v>
      </c>
      <c r="J131" s="47"/>
      <c r="K131" s="48"/>
      <c r="L131" s="47"/>
      <c r="R131" s="45">
        <f>('[2]Renewable Diesel'!D140*'[2]RD Feedstock Breakdown'!R$3*'[2]Feedstock Conversion Rates'!B$7)/12</f>
        <v>2.2999999999999998</v>
      </c>
      <c r="S131" s="47">
        <f t="shared" si="44"/>
        <v>2.2999999999999998</v>
      </c>
      <c r="T131" s="48"/>
      <c r="U131" s="47"/>
      <c r="Y131" s="45">
        <f>15+30</f>
        <v>45</v>
      </c>
      <c r="Z131" s="45">
        <f>('[2]Renewable Diesel'!F140*'[2]RD Feedstock Breakdown'!Z$3*'[2]Feedstock Conversion Rates'!B$6)/12+17.5-10+10-15-30</f>
        <v>17.055000000000007</v>
      </c>
      <c r="AA131" s="45">
        <f>('[2]Renewable Diesel'!F140*'[2]RD Feedstock Breakdown'!AA$3*'[2]Feedstock Conversion Rates'!B$7)/12-17.5</f>
        <v>11.633333333333329</v>
      </c>
      <c r="AB131" s="47">
        <f t="shared" si="39"/>
        <v>73.688333333333333</v>
      </c>
      <c r="AC131" s="49"/>
      <c r="AG131" s="46"/>
      <c r="AH131" s="45">
        <v>0</v>
      </c>
      <c r="AI131" s="45">
        <f>('[2]Renewable Diesel'!H140*'[2]RD Feedstock Breakdown'!AI$3*'[2]Feedstock Conversion Rates'!B$6)/12</f>
        <v>58.625000000000007</v>
      </c>
      <c r="AJ131" s="47">
        <f t="shared" si="42"/>
        <v>58.625000000000007</v>
      </c>
      <c r="AK131" s="45">
        <f>('[2]Renewable Diesel'!J140*'[2]RD Feedstock Breakdown'!AK$3*'[2]Feedstock Conversion Rates'!B$4)/12</f>
        <v>62.5</v>
      </c>
      <c r="AL131" s="47">
        <f t="shared" si="20"/>
        <v>62.5</v>
      </c>
      <c r="AT131" s="49"/>
      <c r="AV131" s="45">
        <f>'[2]Renewable Diesel'!N140*'[2]RD Feedstock Breakdown'!$AV$3*'[2]Feedstock Conversion Rates'!$B$4/12</f>
        <v>78.749999999999986</v>
      </c>
      <c r="AW131" s="45">
        <f>'[2]Renewable Diesel'!N140*'[2]RD Feedstock Breakdown'!$AW$3*'[2]Feedstock Conversion Rates'!$B$7/12</f>
        <v>41.4</v>
      </c>
      <c r="AX131" s="47">
        <f t="shared" si="40"/>
        <v>120.14999999999998</v>
      </c>
      <c r="AY131" s="45">
        <f>('[2]Renewable Diesel'!O140*'[2]RD Feedstock Breakdown'!AY$3*'[2]Feedstock Conversion Rates'!B$4)/12</f>
        <v>67.5</v>
      </c>
      <c r="AZ131" s="45">
        <f>('[2]Renewable Diesel'!O140*'[2]RD Feedstock Breakdown'!AZ$3*'[2]Feedstock Conversion Rates'!B$3)/12</f>
        <v>8.01</v>
      </c>
      <c r="BA131" s="47">
        <f t="shared" si="43"/>
        <v>75.510000000000005</v>
      </c>
      <c r="BF131" s="45"/>
      <c r="BG131" s="47"/>
      <c r="BH131" s="45">
        <f>('[2]Renewable Diesel'!T140*'[2]RD Feedstock Breakdown'!BH$3*'[2]Feedstock Conversion Rates'!B$7)/12</f>
        <v>0</v>
      </c>
      <c r="BI131" s="47">
        <f t="shared" si="41"/>
        <v>0</v>
      </c>
      <c r="BJ131" s="45">
        <f>('[2]Renewable Diesel'!W140*'[2]RD Feedstock Breakdown'!BJ$3*'[2]Feedstock Conversion Rates'!B$4)/12</f>
        <v>7.5</v>
      </c>
      <c r="BK131" s="45">
        <f>('[2]Renewable Diesel'!W140*'[2]RD Feedstock Breakdown'!BK$3*'[2]Feedstock Conversion Rates'!B$3)/12</f>
        <v>1.335</v>
      </c>
      <c r="BL131" s="45">
        <f>('[2]Renewable Diesel'!W140*'[2]RD Feedstock Breakdown'!BL$3*'[2]Feedstock Conversion Rates'!B$6)/12</f>
        <v>3.1266666666666669</v>
      </c>
      <c r="BM131" s="45">
        <f>('[2]Renewable Diesel'!W140*'[2]RD Feedstock Breakdown'!BM$3*'[2]Feedstock Conversion Rates'!B$7)/12</f>
        <v>1.5333333333333332</v>
      </c>
      <c r="BN131" s="47">
        <f t="shared" si="34"/>
        <v>13.495000000000001</v>
      </c>
      <c r="BO131" s="47"/>
      <c r="BP131" s="47"/>
      <c r="BQ131" s="47"/>
      <c r="BR131" s="47"/>
      <c r="BS131" s="47"/>
      <c r="BT131" s="47"/>
      <c r="BU131" s="47"/>
      <c r="BV131" s="47"/>
      <c r="BW131" s="47"/>
      <c r="BX131" s="48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8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8"/>
      <c r="DE131" s="47"/>
      <c r="DF131" s="47"/>
      <c r="DG131" s="47"/>
      <c r="DH131" s="47"/>
      <c r="DI131" s="47"/>
      <c r="DJ131" s="48"/>
      <c r="DK131" s="47"/>
      <c r="DL131" s="47"/>
      <c r="DM131" s="47"/>
      <c r="DN131" s="47"/>
      <c r="DP131" s="45">
        <f t="shared" si="21"/>
        <v>43.796666666666667</v>
      </c>
      <c r="DQ131" s="45">
        <f t="shared" si="22"/>
        <v>58.984224999999995</v>
      </c>
      <c r="DR131" s="45">
        <f t="shared" si="29"/>
        <v>279.875</v>
      </c>
      <c r="DS131" s="48"/>
      <c r="DT131" s="45">
        <f t="shared" si="23"/>
        <v>78.806666666666672</v>
      </c>
      <c r="DU131" s="45">
        <f t="shared" si="24"/>
        <v>118.90366666666662</v>
      </c>
      <c r="DV131" s="45">
        <f t="shared" si="25"/>
        <v>34.53125</v>
      </c>
      <c r="DW131" s="45">
        <f t="shared" si="26"/>
        <v>0</v>
      </c>
      <c r="DX131" s="47">
        <f t="shared" si="27"/>
        <v>614.89747499999999</v>
      </c>
      <c r="DY131" s="50">
        <f t="shared" si="28"/>
        <v>0</v>
      </c>
      <c r="EA131" s="51">
        <f t="shared" si="35"/>
        <v>7.1225966030624324E-2</v>
      </c>
      <c r="EB131" s="51">
        <f t="shared" si="35"/>
        <v>9.5925300392557311E-2</v>
      </c>
      <c r="EC131" s="51">
        <f t="shared" si="35"/>
        <v>0.45515717884514001</v>
      </c>
      <c r="ED131" s="48"/>
      <c r="EE131" s="51">
        <f t="shared" si="36"/>
        <v>0.12816228700022989</v>
      </c>
      <c r="EF131" s="51">
        <f t="shared" si="36"/>
        <v>0.19337153184222561</v>
      </c>
      <c r="EG131" s="51">
        <f t="shared" si="36"/>
        <v>5.6157735889222835E-2</v>
      </c>
      <c r="EH131" s="52">
        <f t="shared" si="30"/>
        <v>0</v>
      </c>
      <c r="EI131" s="51">
        <f t="shared" si="31"/>
        <v>0.99999999999999989</v>
      </c>
      <c r="EK131" s="53">
        <f>(EA131*'[2]Renewable Diesel'!BF140*'[2]Feedstock Conversion Rates'!B$2)+FB131</f>
        <v>45.632908645469719</v>
      </c>
      <c r="EL131" s="53">
        <f>(EB131*'[2]Renewable Diesel'!BF140*'[2]Feedstock Conversion Rates'!B$3)+FC131</f>
        <v>57.914400035189715</v>
      </c>
      <c r="EM131" s="53">
        <f>(EC131*'[2]Renewable Diesel'!BF140*'[2]Feedstock Conversion Rates'!B$4)+FD131</f>
        <v>257.30222275926974</v>
      </c>
      <c r="EN131" s="48"/>
      <c r="EO131" s="53">
        <f>(EE131*'[2]Renewable Diesel'!BF140*'[2]Feedstock Conversion Rates'!B$6)+FF131</f>
        <v>90.611634529624979</v>
      </c>
      <c r="EP131" s="53">
        <f>(EF131*'[2]Renewable Diesel'!BF140*'[2]Feedstock Conversion Rates'!B$7)+FG131</f>
        <v>134.09149803474534</v>
      </c>
      <c r="EQ131" s="53">
        <f>(EG131*'[2]Renewable Diesel'!BF140*'[2]Feedstock Conversion Rates'!B$8)+FH131</f>
        <v>39.682748457597292</v>
      </c>
      <c r="ER131" s="53">
        <f>(EH131*'[2]Renewable Diesel'!BF140*'[2]Feedstock Conversion Rates'!B$9)+FI131</f>
        <v>0</v>
      </c>
      <c r="ES131" s="53">
        <f t="shared" si="32"/>
        <v>625.23541246189677</v>
      </c>
      <c r="ET131" s="36">
        <f>ES131/'[2]Renewable Diesel'!BF140</f>
        <v>8.2951203277153365</v>
      </c>
    </row>
    <row r="132" spans="1:150" x14ac:dyDescent="0.25">
      <c r="A132" s="39">
        <v>44440</v>
      </c>
      <c r="B132" s="45">
        <f>55+120+49-30+55+10+4+7+8-2+1-8-5+67+2-12.5-20-35-20-45+1.125-20-40-35+15+15-15-20-47-10+25+4-15-1</f>
        <v>57.625</v>
      </c>
      <c r="C132" s="46"/>
      <c r="D132" s="45">
        <v>1</v>
      </c>
      <c r="E132" s="45">
        <f>('[2]Renewable Diesel'!B141*E$3*'[2]Feedstock Conversion Rates'!$B$2)/12-55-8+5-2+40-15+20-4</f>
        <v>18.796666666666667</v>
      </c>
      <c r="F132" s="45">
        <f>('[2]Renewable Diesel'!B141*'[2]RD Feedstock Breakdown'!F$3*'[2]Feedstock Conversion Rates'!B$8)/12+28.5-49-4-7-1+8+12.5-1.125+15+10+15</f>
        <v>49.53125</v>
      </c>
      <c r="G132" s="45">
        <f>('[2]Renewable Diesel'!B141*'[2]RD Feedstock Breakdown'!G$3*'[2]Feedstock Conversion Rates'!B$7)/12-65-67+35+45+35</f>
        <v>57.036999999999992</v>
      </c>
      <c r="H132" s="45">
        <f>('[2]Renewable Diesel'!B141*'[2]RD Feedstock Breakdown'!H$3*'[2]Feedstock Conversion Rates'!B$3)/12+11.5-130+2+20+40-15+47-25</f>
        <v>24.639224999999996</v>
      </c>
      <c r="I132" s="47">
        <f t="shared" si="33"/>
        <v>208.62914166666667</v>
      </c>
      <c r="J132" s="47"/>
      <c r="K132" s="48"/>
      <c r="L132" s="47"/>
      <c r="R132" s="45">
        <f>('[2]Renewable Diesel'!D141*'[2]RD Feedstock Breakdown'!R$3*'[2]Feedstock Conversion Rates'!B$7)/12</f>
        <v>2.2999999999999998</v>
      </c>
      <c r="S132" s="47">
        <f t="shared" si="44"/>
        <v>2.2999999999999998</v>
      </c>
      <c r="T132" s="48"/>
      <c r="U132" s="47"/>
      <c r="Y132" s="45">
        <f>15+30-45</f>
        <v>0</v>
      </c>
      <c r="Z132" s="45">
        <f>('[2]Renewable Diesel'!F141*'[2]RD Feedstock Breakdown'!Z$3*'[2]Feedstock Conversion Rates'!B$6)/12+17.5-10+10-15-30+45</f>
        <v>62.055000000000007</v>
      </c>
      <c r="AA132" s="45">
        <f>('[2]Renewable Diesel'!F141*'[2]RD Feedstock Breakdown'!AA$3*'[2]Feedstock Conversion Rates'!B$7)/12-17.5</f>
        <v>11.633333333333329</v>
      </c>
      <c r="AB132" s="47">
        <f t="shared" si="39"/>
        <v>73.688333333333333</v>
      </c>
      <c r="AC132" s="49"/>
      <c r="AG132" s="46"/>
      <c r="AH132" s="45">
        <v>0</v>
      </c>
      <c r="AI132" s="45">
        <f>('[2]Renewable Diesel'!H141*'[2]RD Feedstock Breakdown'!AI$3*'[2]Feedstock Conversion Rates'!B$6)/12</f>
        <v>58.625000000000007</v>
      </c>
      <c r="AJ132" s="47">
        <f t="shared" si="42"/>
        <v>58.625000000000007</v>
      </c>
      <c r="AK132" s="45">
        <f>('[2]Renewable Diesel'!J141*'[2]RD Feedstock Breakdown'!AK$3*'[2]Feedstock Conversion Rates'!B$4)/12</f>
        <v>62.5</v>
      </c>
      <c r="AL132" s="47">
        <f t="shared" ref="AL132:AL195" si="45">AK132</f>
        <v>62.5</v>
      </c>
      <c r="AT132" s="49"/>
      <c r="AV132" s="45">
        <f>'[2]Renewable Diesel'!N141*'[2]RD Feedstock Breakdown'!$AV$3*'[2]Feedstock Conversion Rates'!$B$4/12</f>
        <v>78.749999999999986</v>
      </c>
      <c r="AW132" s="45">
        <f>'[2]Renewable Diesel'!N141*'[2]RD Feedstock Breakdown'!$AW$3*'[2]Feedstock Conversion Rates'!$B$7/12</f>
        <v>41.4</v>
      </c>
      <c r="AX132" s="47">
        <f t="shared" si="40"/>
        <v>120.14999999999998</v>
      </c>
      <c r="AY132" s="45">
        <f>('[2]Renewable Diesel'!O141*'[2]RD Feedstock Breakdown'!AY$3*'[2]Feedstock Conversion Rates'!B$4)/12</f>
        <v>67.5</v>
      </c>
      <c r="AZ132" s="45">
        <f>('[2]Renewable Diesel'!O141*'[2]RD Feedstock Breakdown'!AZ$3*'[2]Feedstock Conversion Rates'!B$3)/12</f>
        <v>8.01</v>
      </c>
      <c r="BA132" s="47">
        <f t="shared" si="43"/>
        <v>75.510000000000005</v>
      </c>
      <c r="BF132" s="45"/>
      <c r="BG132" s="47"/>
      <c r="BH132" s="45">
        <f>('[2]Renewable Diesel'!T141*'[2]RD Feedstock Breakdown'!BH$3*'[2]Feedstock Conversion Rates'!B$7)/12</f>
        <v>0</v>
      </c>
      <c r="BI132" s="47">
        <f t="shared" si="41"/>
        <v>0</v>
      </c>
      <c r="BJ132" s="45">
        <f>('[2]Renewable Diesel'!W141*'[2]RD Feedstock Breakdown'!BJ$3*'[2]Feedstock Conversion Rates'!B$4)/12</f>
        <v>7.5</v>
      </c>
      <c r="BK132" s="45">
        <f>('[2]Renewable Diesel'!W141*'[2]RD Feedstock Breakdown'!BK$3*'[2]Feedstock Conversion Rates'!B$3)/12</f>
        <v>1.335</v>
      </c>
      <c r="BL132" s="45">
        <f>('[2]Renewable Diesel'!W141*'[2]RD Feedstock Breakdown'!BL$3*'[2]Feedstock Conversion Rates'!B$6)/12</f>
        <v>3.1266666666666669</v>
      </c>
      <c r="BM132" s="45">
        <f>('[2]Renewable Diesel'!W141*'[2]RD Feedstock Breakdown'!BM$3*'[2]Feedstock Conversion Rates'!B$7)/12</f>
        <v>1.5333333333333332</v>
      </c>
      <c r="BN132" s="47">
        <f t="shared" si="34"/>
        <v>13.495000000000001</v>
      </c>
      <c r="BO132" s="47"/>
      <c r="BP132" s="47"/>
      <c r="BQ132" s="47"/>
      <c r="BR132" s="47"/>
      <c r="BS132" s="47"/>
      <c r="BT132" s="47"/>
      <c r="BU132" s="47"/>
      <c r="BV132" s="47"/>
      <c r="BW132" s="47"/>
      <c r="BX132" s="48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8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8"/>
      <c r="DE132" s="47"/>
      <c r="DF132" s="47"/>
      <c r="DG132" s="47"/>
      <c r="DH132" s="47"/>
      <c r="DI132" s="47"/>
      <c r="DJ132" s="48"/>
      <c r="DK132" s="47"/>
      <c r="DL132" s="47"/>
      <c r="DM132" s="47"/>
      <c r="DN132" s="47"/>
      <c r="DP132" s="45">
        <f t="shared" si="21"/>
        <v>18.796666666666667</v>
      </c>
      <c r="DQ132" s="45">
        <f t="shared" si="22"/>
        <v>33.984224999999995</v>
      </c>
      <c r="DR132" s="45">
        <f t="shared" si="29"/>
        <v>273.875</v>
      </c>
      <c r="DS132" s="48"/>
      <c r="DT132" s="45">
        <f t="shared" si="23"/>
        <v>123.80666666666667</v>
      </c>
      <c r="DU132" s="45">
        <f t="shared" si="24"/>
        <v>113.90366666666665</v>
      </c>
      <c r="DV132" s="45">
        <f t="shared" si="25"/>
        <v>49.53125</v>
      </c>
      <c r="DW132" s="45">
        <f t="shared" si="26"/>
        <v>1</v>
      </c>
      <c r="DX132" s="47">
        <f t="shared" si="27"/>
        <v>614.89747499999999</v>
      </c>
      <c r="DY132" s="50">
        <f t="shared" si="28"/>
        <v>0</v>
      </c>
      <c r="EA132" s="51">
        <f t="shared" si="35"/>
        <v>3.0568781676435845E-2</v>
      </c>
      <c r="EB132" s="51">
        <f t="shared" si="35"/>
        <v>5.5268116038368828E-2</v>
      </c>
      <c r="EC132" s="51">
        <f t="shared" si="35"/>
        <v>0.44539945460013475</v>
      </c>
      <c r="ED132" s="48"/>
      <c r="EE132" s="51">
        <f t="shared" si="36"/>
        <v>0.20134521883776912</v>
      </c>
      <c r="EF132" s="51">
        <f t="shared" si="36"/>
        <v>0.18524009497138796</v>
      </c>
      <c r="EG132" s="51">
        <f t="shared" si="36"/>
        <v>8.0552046501735919E-2</v>
      </c>
      <c r="EH132" s="52">
        <f t="shared" si="30"/>
        <v>1.6262873741675391E-3</v>
      </c>
      <c r="EI132" s="51">
        <f t="shared" si="31"/>
        <v>0.9983737126258323</v>
      </c>
      <c r="EK132" s="53">
        <f>(EA132*'[2]Renewable Diesel'!BF141*'[2]Feedstock Conversion Rates'!B$2)+FB132</f>
        <v>13.049667802948235</v>
      </c>
      <c r="EL132" s="53">
        <f>(EB132*'[2]Renewable Diesel'!BF141*'[2]Feedstock Conversion Rates'!B$3)+FC132</f>
        <v>22.233589202047256</v>
      </c>
      <c r="EM132" s="53">
        <f>(EC132*'[2]Renewable Diesel'!BF141*'[2]Feedstock Conversion Rates'!B$4)+FD132</f>
        <v>167.7696291884879</v>
      </c>
      <c r="EN132" s="48"/>
      <c r="EO132" s="53">
        <f>(EE132*'[2]Renewable Diesel'!BF141*'[2]Feedstock Conversion Rates'!B$6)+FF132</f>
        <v>94.852014713039011</v>
      </c>
      <c r="EP132" s="53">
        <f>(EF132*'[2]Renewable Diesel'!BF141*'[2]Feedstock Conversion Rates'!B$7)+FG132</f>
        <v>85.590432843624413</v>
      </c>
      <c r="EQ132" s="53">
        <f>(EG132*'[2]Renewable Diesel'!BF141*'[2]Feedstock Conversion Rates'!B$8)+FH132</f>
        <v>37.927154019818765</v>
      </c>
      <c r="ER132" s="53">
        <f>(EH132*'[2]Renewable Diesel'!BF141*'[2]Feedstock Conversion Rates'!B$9)+FI132</f>
        <v>0.75551209858196278</v>
      </c>
      <c r="ES132" s="53">
        <f t="shared" si="32"/>
        <v>422.17799986854754</v>
      </c>
      <c r="ET132" s="36">
        <f>ES132/'[2]Renewable Diesel'!BF141</f>
        <v>8.4060737838179183</v>
      </c>
    </row>
    <row r="133" spans="1:150" x14ac:dyDescent="0.25">
      <c r="A133" s="39">
        <v>44470</v>
      </c>
      <c r="B133" s="45">
        <f>55+120+49-30+55+10+4+7+5-2-1+1-8-1+67+2-12.5+1.125-40-85-60-35+15+15-15-20-47+18+7+4+30-10-5-75-5-1+30-10</f>
        <v>32.625</v>
      </c>
      <c r="C133" s="46"/>
      <c r="D133" s="45">
        <v>1</v>
      </c>
      <c r="E133" s="45">
        <f>('[2]Renewable Diesel'!B142*E$3*'[2]Feedstock Conversion Rates'!$B$2)/12-55-8+5-2+40-15+20-4+5+5</f>
        <v>54.863333333333337</v>
      </c>
      <c r="F133" s="45">
        <f>('[2]Renewable Diesel'!B142*'[2]RD Feedstock Breakdown'!F$3*'[2]Feedstock Conversion Rates'!B$8)/12+28.5-49-4-7-1+8+12.5-1.125+15+10</f>
        <v>50.15625</v>
      </c>
      <c r="G133" s="45">
        <f>('[2]Renewable Diesel'!B142*'[2]RD Feedstock Breakdown'!G$3*'[2]Feedstock Conversion Rates'!B$7)/12-65-67+85+35-30+10-30</f>
        <v>63.096999999999994</v>
      </c>
      <c r="H133" s="45">
        <f>('[2]Renewable Diesel'!B142*'[2]RD Feedstock Breakdown'!H$3*'[2]Feedstock Conversion Rates'!B$3)/12+11.5-130+2+60-15+47-42.5+18+75</f>
        <v>151.26972499999999</v>
      </c>
      <c r="I133" s="47">
        <f t="shared" si="33"/>
        <v>353.01130833333332</v>
      </c>
      <c r="J133" s="47"/>
      <c r="K133" s="48"/>
      <c r="L133" s="47"/>
      <c r="R133" s="45">
        <f>('[2]Renewable Diesel'!D142*'[2]RD Feedstock Breakdown'!R$3*'[2]Feedstock Conversion Rates'!B$7)/12</f>
        <v>2.2999999999999998</v>
      </c>
      <c r="S133" s="47">
        <f t="shared" si="44"/>
        <v>2.2999999999999998</v>
      </c>
      <c r="T133" s="48"/>
      <c r="U133" s="47"/>
      <c r="Y133" s="45">
        <f>20+30-50+5</f>
        <v>5</v>
      </c>
      <c r="Z133" s="45">
        <f>('[2]Renewable Diesel'!F142*'[2]RD Feedstock Breakdown'!Z$3*'[2]Feedstock Conversion Rates'!B$6)/12+17.5-10+10-20-30+50</f>
        <v>62.055000000000007</v>
      </c>
      <c r="AA133" s="45">
        <f>('[2]Renewable Diesel'!F142*'[2]RD Feedstock Breakdown'!AA$3*'[2]Feedstock Conversion Rates'!B$7)/12-17.5-5</f>
        <v>6.6333333333333293</v>
      </c>
      <c r="AB133" s="47">
        <f t="shared" si="39"/>
        <v>73.688333333333333</v>
      </c>
      <c r="AC133" s="49"/>
      <c r="AG133" s="46"/>
      <c r="AH133" s="45">
        <v>0</v>
      </c>
      <c r="AI133" s="45">
        <f>('[2]Renewable Diesel'!H142*'[2]RD Feedstock Breakdown'!AI$3*'[2]Feedstock Conversion Rates'!B$6)/12</f>
        <v>58.625000000000007</v>
      </c>
      <c r="AJ133" s="47">
        <f t="shared" si="42"/>
        <v>58.625000000000007</v>
      </c>
      <c r="AK133" s="45">
        <f>('[2]Renewable Diesel'!J142*'[2]RD Feedstock Breakdown'!AK$3*'[2]Feedstock Conversion Rates'!B$4)/12</f>
        <v>62.5</v>
      </c>
      <c r="AL133" s="47">
        <f t="shared" si="45"/>
        <v>62.5</v>
      </c>
      <c r="AT133" s="49"/>
      <c r="AV133" s="45">
        <f>'[2]Renewable Diesel'!N142*'[2]RD Feedstock Breakdown'!$AV$3*'[2]Feedstock Conversion Rates'!$B$4/12</f>
        <v>78.749999999999986</v>
      </c>
      <c r="AW133" s="45">
        <f>'[2]Renewable Diesel'!N142*'[2]RD Feedstock Breakdown'!$AW$3*'[2]Feedstock Conversion Rates'!$B$7/12</f>
        <v>41.4</v>
      </c>
      <c r="AX133" s="47">
        <f t="shared" si="40"/>
        <v>120.14999999999998</v>
      </c>
      <c r="AY133" s="45">
        <f>('[2]Renewable Diesel'!O142*'[2]RD Feedstock Breakdown'!AY$3*'[2]Feedstock Conversion Rates'!B$4)/12</f>
        <v>67.5</v>
      </c>
      <c r="AZ133" s="45">
        <f>('[2]Renewable Diesel'!O142*'[2]RD Feedstock Breakdown'!AZ$3*'[2]Feedstock Conversion Rates'!B$3)/12</f>
        <v>8.01</v>
      </c>
      <c r="BA133" s="47">
        <f t="shared" si="43"/>
        <v>75.510000000000005</v>
      </c>
      <c r="BF133" s="45"/>
      <c r="BG133" s="47"/>
      <c r="BH133" s="45">
        <f>('[2]Renewable Diesel'!T142*'[2]RD Feedstock Breakdown'!BH$3*'[2]Feedstock Conversion Rates'!B$7)/12</f>
        <v>0</v>
      </c>
      <c r="BI133" s="47">
        <f t="shared" si="41"/>
        <v>0</v>
      </c>
      <c r="BJ133" s="45">
        <f>('[2]Renewable Diesel'!W142*'[2]RD Feedstock Breakdown'!BJ$3*'[2]Feedstock Conversion Rates'!B$4)/12</f>
        <v>7.5</v>
      </c>
      <c r="BK133" s="45">
        <f>('[2]Renewable Diesel'!W142*'[2]RD Feedstock Breakdown'!BK$3*'[2]Feedstock Conversion Rates'!B$3)/12</f>
        <v>1.335</v>
      </c>
      <c r="BL133" s="45">
        <f>('[2]Renewable Diesel'!W142*'[2]RD Feedstock Breakdown'!BL$3*'[2]Feedstock Conversion Rates'!B$6)/12</f>
        <v>3.1266666666666669</v>
      </c>
      <c r="BM133" s="45">
        <f>('[2]Renewable Diesel'!W142*'[2]RD Feedstock Breakdown'!BM$3*'[2]Feedstock Conversion Rates'!B$7)/12</f>
        <v>1.5333333333333332</v>
      </c>
      <c r="BN133" s="47">
        <f t="shared" si="34"/>
        <v>13.495000000000001</v>
      </c>
      <c r="BO133" s="47"/>
      <c r="BP133" s="47"/>
      <c r="BQ133" s="47"/>
      <c r="BR133" s="47"/>
      <c r="BS133" s="47"/>
      <c r="BT133" s="47"/>
      <c r="BU133" s="47"/>
      <c r="BV133" s="47"/>
      <c r="BW133" s="47"/>
      <c r="BX133" s="48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8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8"/>
      <c r="DE133" s="47"/>
      <c r="DF133" s="47"/>
      <c r="DG133" s="47"/>
      <c r="DH133" s="47"/>
      <c r="DI133" s="47"/>
      <c r="DJ133" s="48"/>
      <c r="DK133" s="47"/>
      <c r="DL133" s="47"/>
      <c r="DM133" s="47"/>
      <c r="DN133" s="47"/>
      <c r="DP133" s="45">
        <f t="shared" si="21"/>
        <v>54.863333333333337</v>
      </c>
      <c r="DQ133" s="45">
        <f t="shared" si="22"/>
        <v>160.61472499999999</v>
      </c>
      <c r="DR133" s="45">
        <f t="shared" si="29"/>
        <v>253.875</v>
      </c>
      <c r="DS133" s="48"/>
      <c r="DT133" s="45">
        <f t="shared" si="23"/>
        <v>123.80666666666667</v>
      </c>
      <c r="DU133" s="45">
        <f t="shared" si="24"/>
        <v>114.96366666666665</v>
      </c>
      <c r="DV133" s="45">
        <f t="shared" si="25"/>
        <v>50.15625</v>
      </c>
      <c r="DW133" s="45">
        <f t="shared" si="26"/>
        <v>1</v>
      </c>
      <c r="DX133" s="47">
        <f t="shared" si="27"/>
        <v>759.27964166666663</v>
      </c>
      <c r="DY133" s="50">
        <f t="shared" si="28"/>
        <v>0</v>
      </c>
      <c r="EA133" s="51">
        <f t="shared" si="35"/>
        <v>7.2257084639994903E-2</v>
      </c>
      <c r="EB133" s="51">
        <f t="shared" si="35"/>
        <v>0.21153566642118912</v>
      </c>
      <c r="EC133" s="51">
        <f t="shared" si="35"/>
        <v>0.33436297520466685</v>
      </c>
      <c r="ED133" s="48"/>
      <c r="EE133" s="51">
        <f t="shared" si="36"/>
        <v>0.1630580617108385</v>
      </c>
      <c r="EF133" s="51">
        <f t="shared" si="36"/>
        <v>0.15141149631552633</v>
      </c>
      <c r="EG133" s="51">
        <f t="shared" si="36"/>
        <v>6.6057677893093344E-2</v>
      </c>
      <c r="EH133" s="52">
        <f t="shared" si="30"/>
        <v>1.3170378146909576E-3</v>
      </c>
      <c r="EI133" s="51">
        <f t="shared" si="31"/>
        <v>0.99868296218530894</v>
      </c>
      <c r="EK133" s="53">
        <f>(EA133*'[2]Renewable Diesel'!BF142*'[2]Feedstock Conversion Rates'!B$2)+FB133</f>
        <v>44.646492005759363</v>
      </c>
      <c r="EL133" s="53">
        <f>(EB133*'[2]Renewable Diesel'!BF142*'[2]Feedstock Conversion Rates'!B$3)+FC133</f>
        <v>123.16976113790439</v>
      </c>
      <c r="EM133" s="53">
        <f>(EC133*'[2]Renewable Diesel'!BF142*'[2]Feedstock Conversion Rates'!B$4)+FD133</f>
        <v>182.29192221251992</v>
      </c>
      <c r="EN133" s="48"/>
      <c r="EO133" s="53">
        <f>(EE133*'[2]Renewable Diesel'!BF142*'[2]Feedstock Conversion Rates'!B$6)+FF133</f>
        <v>111.18164463576758</v>
      </c>
      <c r="EP133" s="53">
        <f>(EF133*'[2]Renewable Diesel'!BF142*'[2]Feedstock Conversion Rates'!B$7)+FG133</f>
        <v>101.25923891030247</v>
      </c>
      <c r="EQ133" s="53">
        <f>(EG133*'[2]Renewable Diesel'!BF142*'[2]Feedstock Conversion Rates'!B$8)+FH133</f>
        <v>45.017622961455949</v>
      </c>
      <c r="ER133" s="53">
        <f>(EH133*'[2]Renewable Diesel'!BF142*'[2]Feedstock Conversion Rates'!B$9)+FI133</f>
        <v>0.88558032126876574</v>
      </c>
      <c r="ES133" s="53">
        <f t="shared" si="32"/>
        <v>608.45226218497839</v>
      </c>
      <c r="ET133" s="36">
        <f>ES133/'[2]Renewable Diesel'!BF142</f>
        <v>8.3702519364928314</v>
      </c>
    </row>
    <row r="134" spans="1:150" x14ac:dyDescent="0.25">
      <c r="A134" s="39">
        <v>44501</v>
      </c>
      <c r="B134" s="45">
        <f>55+120+49-30+55+10+4+7+5-2-1+1-8-1+67+2-12.5+1.125-40-85-60-35+15+15-15-20-47+18+7+4+30-10-5-25-50-15+38-1-0.5+30+75-50+30-10-30+35</f>
        <v>120.125</v>
      </c>
      <c r="C134" s="46"/>
      <c r="D134" s="45">
        <v>1</v>
      </c>
      <c r="E134" s="45">
        <f>('[2]Renewable Diesel'!B143*E$3*'[2]Feedstock Conversion Rates'!$B$2)/12-55-8+5-2+40-15+20-4+5+45-40-75+50</f>
        <v>55.929999999999993</v>
      </c>
      <c r="F134" s="45">
        <f>('[2]Renewable Diesel'!B143*'[2]RD Feedstock Breakdown'!F$3*'[2]Feedstock Conversion Rates'!B$8)/12+28.5-49-4-7-1+8+12.5-1.125+15-7.5-30+10-15+10</f>
        <v>23.28125</v>
      </c>
      <c r="G134" s="45">
        <f>('[2]Renewable Diesel'!B143*'[2]RD Feedstock Breakdown'!G$3*'[2]Feedstock Conversion Rates'!B$7)/12-65-67+85+35-30+10-20-30</f>
        <v>94.157000000000011</v>
      </c>
      <c r="H134" s="45">
        <f>('[2]Renewable Diesel'!B143*'[2]RD Feedstock Breakdown'!H$3*'[2]Feedstock Conversion Rates'!B$3)/12+11.5-130+2+60-15+47-42.5+18+50+15+7.5+40-38</f>
        <v>201.90022499999998</v>
      </c>
      <c r="I134" s="47">
        <f t="shared" si="33"/>
        <v>496.39347499999997</v>
      </c>
      <c r="J134" s="47"/>
      <c r="K134" s="48"/>
      <c r="L134" s="47"/>
      <c r="R134" s="45">
        <f>('[2]Renewable Diesel'!D143*'[2]RD Feedstock Breakdown'!R$3*'[2]Feedstock Conversion Rates'!B$7)/12</f>
        <v>2.2999999999999998</v>
      </c>
      <c r="S134" s="47">
        <f t="shared" si="44"/>
        <v>2.2999999999999998</v>
      </c>
      <c r="T134" s="48"/>
      <c r="U134" s="47"/>
      <c r="Y134" s="45">
        <f>30-30+25+30</f>
        <v>55</v>
      </c>
      <c r="Z134" s="45">
        <f>('[2]Renewable Diesel'!F143*'[2]RD Feedstock Breakdown'!Z$3*'[2]Feedstock Conversion Rates'!B$6)/12+17.5-10+10-25+5-30+30-30</f>
        <v>12.055000000000007</v>
      </c>
      <c r="AA134" s="45">
        <f>('[2]Renewable Diesel'!F143*'[2]RD Feedstock Breakdown'!AA$3*'[2]Feedstock Conversion Rates'!B$7)/12-17.5+10+10-25</f>
        <v>6.6333333333333293</v>
      </c>
      <c r="AB134" s="47">
        <f t="shared" si="39"/>
        <v>73.688333333333333</v>
      </c>
      <c r="AC134" s="49"/>
      <c r="AG134" s="46"/>
      <c r="AH134" s="45">
        <v>0</v>
      </c>
      <c r="AI134" s="45">
        <f>('[2]Renewable Diesel'!H143*'[2]RD Feedstock Breakdown'!AI$3*'[2]Feedstock Conversion Rates'!B$6)/12</f>
        <v>58.625000000000007</v>
      </c>
      <c r="AJ134" s="47">
        <f t="shared" si="42"/>
        <v>58.625000000000007</v>
      </c>
      <c r="AK134" s="45">
        <f>('[2]Renewable Diesel'!J143*'[2]RD Feedstock Breakdown'!AK$3*'[2]Feedstock Conversion Rates'!B$4)/12</f>
        <v>62.5</v>
      </c>
      <c r="AL134" s="47">
        <f t="shared" si="45"/>
        <v>62.5</v>
      </c>
      <c r="AT134" s="49"/>
      <c r="AV134" s="45">
        <f>'[2]Renewable Diesel'!N143*'[2]RD Feedstock Breakdown'!$AV$3*'[2]Feedstock Conversion Rates'!$B$4/12</f>
        <v>78.749999999999986</v>
      </c>
      <c r="AW134" s="45">
        <f>'[2]Renewable Diesel'!N143*'[2]RD Feedstock Breakdown'!$AW$3*'[2]Feedstock Conversion Rates'!$B$7/12</f>
        <v>41.4</v>
      </c>
      <c r="AX134" s="47">
        <f t="shared" si="40"/>
        <v>120.14999999999998</v>
      </c>
      <c r="AY134" s="45">
        <f>('[2]Renewable Diesel'!O143*'[2]RD Feedstock Breakdown'!AY$3*'[2]Feedstock Conversion Rates'!B$4)/12</f>
        <v>67.5</v>
      </c>
      <c r="AZ134" s="45">
        <f>('[2]Renewable Diesel'!O143*'[2]RD Feedstock Breakdown'!AZ$3*'[2]Feedstock Conversion Rates'!B$3)/12</f>
        <v>8.01</v>
      </c>
      <c r="BA134" s="47">
        <f t="shared" si="43"/>
        <v>75.510000000000005</v>
      </c>
      <c r="BF134" s="45"/>
      <c r="BG134" s="47"/>
      <c r="BH134" s="45">
        <f>('[2]Renewable Diesel'!T143*'[2]RD Feedstock Breakdown'!BH$3*'[2]Feedstock Conversion Rates'!B$7)/12</f>
        <v>0</v>
      </c>
      <c r="BI134" s="47">
        <f t="shared" si="41"/>
        <v>0</v>
      </c>
      <c r="BJ134" s="45">
        <f>('[2]Renewable Diesel'!W143*'[2]RD Feedstock Breakdown'!BJ$3*'[2]Feedstock Conversion Rates'!B$4)/12</f>
        <v>7.5</v>
      </c>
      <c r="BK134" s="45">
        <f>('[2]Renewable Diesel'!W143*'[2]RD Feedstock Breakdown'!BK$3*'[2]Feedstock Conversion Rates'!B$3)/12</f>
        <v>1.335</v>
      </c>
      <c r="BL134" s="45">
        <f>('[2]Renewable Diesel'!W143*'[2]RD Feedstock Breakdown'!BL$3*'[2]Feedstock Conversion Rates'!B$6)/12</f>
        <v>3.1266666666666669</v>
      </c>
      <c r="BM134" s="45">
        <f>('[2]Renewable Diesel'!W143*'[2]RD Feedstock Breakdown'!BM$3*'[2]Feedstock Conversion Rates'!B$7)/12</f>
        <v>1.5333333333333332</v>
      </c>
      <c r="BN134" s="47">
        <f t="shared" si="34"/>
        <v>13.495000000000001</v>
      </c>
      <c r="BO134" s="47"/>
      <c r="BP134" s="47"/>
      <c r="BQ134" s="47"/>
      <c r="BR134" s="47"/>
      <c r="BS134" s="47"/>
      <c r="BT134" s="47"/>
      <c r="BU134" s="47"/>
      <c r="BV134" s="47"/>
      <c r="BW134" s="47"/>
      <c r="BX134" s="48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8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8"/>
      <c r="DE134" s="47"/>
      <c r="DF134" s="47"/>
      <c r="DG134" s="47"/>
      <c r="DH134" s="47"/>
      <c r="DI134" s="47"/>
      <c r="DJ134" s="48"/>
      <c r="DK134" s="47"/>
      <c r="DL134" s="47"/>
      <c r="DM134" s="47"/>
      <c r="DN134" s="47"/>
      <c r="DP134" s="45">
        <f t="shared" si="21"/>
        <v>55.929999999999993</v>
      </c>
      <c r="DQ134" s="45">
        <f t="shared" si="22"/>
        <v>211.24522499999998</v>
      </c>
      <c r="DR134" s="45">
        <f t="shared" si="29"/>
        <v>391.375</v>
      </c>
      <c r="DS134" s="48"/>
      <c r="DT134" s="45">
        <f t="shared" si="23"/>
        <v>73.806666666666672</v>
      </c>
      <c r="DU134" s="45">
        <f t="shared" si="24"/>
        <v>146.02366666666666</v>
      </c>
      <c r="DV134" s="45">
        <f t="shared" si="25"/>
        <v>23.28125</v>
      </c>
      <c r="DW134" s="45">
        <f t="shared" si="26"/>
        <v>1</v>
      </c>
      <c r="DX134" s="47">
        <f t="shared" si="27"/>
        <v>902.66180833333328</v>
      </c>
      <c r="DY134" s="50">
        <f t="shared" si="28"/>
        <v>0</v>
      </c>
      <c r="EA134" s="51">
        <f t="shared" si="35"/>
        <v>6.1961190208400026E-2</v>
      </c>
      <c r="EB134" s="51">
        <f t="shared" si="35"/>
        <v>0.23402477323156198</v>
      </c>
      <c r="EC134" s="51">
        <f t="shared" si="35"/>
        <v>0.43357877378531312</v>
      </c>
      <c r="ED134" s="48"/>
      <c r="EE134" s="51">
        <f t="shared" si="36"/>
        <v>8.1765580403742391E-2</v>
      </c>
      <c r="EF134" s="51">
        <f t="shared" si="36"/>
        <v>0.16177007304239829</v>
      </c>
      <c r="EG134" s="51">
        <f t="shared" si="36"/>
        <v>2.5791774710161156E-2</v>
      </c>
      <c r="EH134" s="52">
        <f t="shared" si="30"/>
        <v>1.1078346184230294E-3</v>
      </c>
      <c r="EI134" s="51">
        <f t="shared" si="31"/>
        <v>0.99889216538157699</v>
      </c>
      <c r="EK134" s="53">
        <f>(EA134*'[2]Renewable Diesel'!BF143*'[2]Feedstock Conversion Rates'!B$2)+FB134</f>
        <v>53.462740703126194</v>
      </c>
      <c r="EL134" s="53">
        <f>(EB134*'[2]Renewable Diesel'!BF143*'[2]Feedstock Conversion Rates'!B$3)+FC134</f>
        <v>190.28602349255456</v>
      </c>
      <c r="EM134" s="53">
        <f>(EC134*'[2]Renewable Diesel'!BF143*'[2]Feedstock Conversion Rates'!B$4)+FD134</f>
        <v>330.09718254992083</v>
      </c>
      <c r="EN134" s="48"/>
      <c r="EO134" s="53">
        <f>(EE134*'[2]Renewable Diesel'!BF143*'[2]Feedstock Conversion Rates'!B$6)+FF134</f>
        <v>77.854891468706057</v>
      </c>
      <c r="EP134" s="53">
        <f>(EF134*'[2]Renewable Diesel'!BF143*'[2]Feedstock Conversion Rates'!B$7)+FG134</f>
        <v>151.07706888480672</v>
      </c>
      <c r="EQ134" s="53">
        <f>(EG134*'[2]Renewable Diesel'!BF143*'[2]Feedstock Conversion Rates'!B$8)+FH134</f>
        <v>24.545113482083508</v>
      </c>
      <c r="ER134" s="53">
        <f>(EH134*'[2]Renewable Diesel'!BF143*'[2]Feedstock Conversion Rates'!B$9)+FI134</f>
        <v>1.0402295968782771</v>
      </c>
      <c r="ES134" s="53">
        <f t="shared" si="32"/>
        <v>828.3632501780761</v>
      </c>
      <c r="ET134" s="36">
        <f>ES134/'[2]Renewable Diesel'!BF143</f>
        <v>8.1603405280514014</v>
      </c>
    </row>
    <row r="135" spans="1:150" x14ac:dyDescent="0.25">
      <c r="A135" s="39">
        <v>44531</v>
      </c>
      <c r="B135" s="45">
        <f>55+120+49-30+55+10+4+7+5-2-1-25+1-8-1+67+2-12.5+1.125-40-85-60-35+15+15-15-20+15-47+18+7+4+30-10-5-5-78.35-0.275+17.5+40-1-0.5+30+65-50+30-10+5</f>
        <v>126</v>
      </c>
      <c r="C135" s="46"/>
      <c r="D135" s="45">
        <v>1</v>
      </c>
      <c r="E135" s="45">
        <f>('[2]Renewable Diesel'!B144*E$3*'[2]Feedstock Conversion Rates'!$B$2)/12-55-8+5-2+40-15+20-4+5+5-65+50</f>
        <v>65.929999999999993</v>
      </c>
      <c r="F135" s="45">
        <f>('[2]Renewable Diesel'!B144*'[2]RD Feedstock Breakdown'!F$3*'[2]Feedstock Conversion Rates'!B$8)/12+28.5-49-4-7+25-1+8+12.5-1.125-17.5-30+5</f>
        <v>23.28125</v>
      </c>
      <c r="G135" s="45">
        <f>('[2]Renewable Diesel'!B144*'[2]RD Feedstock Breakdown'!G$3*'[2]Feedstock Conversion Rates'!B$7)/12-65-67+85+35-30+10-30</f>
        <v>114.15700000000001</v>
      </c>
      <c r="H135" s="45">
        <f>('[2]Renewable Diesel'!B144*'[2]RD Feedstock Breakdown'!H$3*'[2]Feedstock Conversion Rates'!B$3)/12+11.5-130+2+60-15+47-42.5+18+78.375+0.25-40</f>
        <v>166.02522499999998</v>
      </c>
      <c r="I135" s="47">
        <f t="shared" si="33"/>
        <v>496.39347499999997</v>
      </c>
      <c r="J135" s="47"/>
      <c r="K135" s="48"/>
      <c r="L135" s="47"/>
      <c r="R135" s="45">
        <f>('[2]Renewable Diesel'!D144*'[2]RD Feedstock Breakdown'!R$3*'[2]Feedstock Conversion Rates'!B$7)/12</f>
        <v>2.2999999999999998</v>
      </c>
      <c r="S135" s="47">
        <f t="shared" si="44"/>
        <v>2.2999999999999998</v>
      </c>
      <c r="T135" s="48"/>
      <c r="U135" s="47"/>
      <c r="Y135" s="45">
        <f>10+20-30+25+20</f>
        <v>45</v>
      </c>
      <c r="Z135" s="45">
        <f>('[2]Renewable Diesel'!F144*'[2]RD Feedstock Breakdown'!Z$3*'[2]Feedstock Conversion Rates'!B$6)/12+17.5-10+10-20-10-20+30-20</f>
        <v>22.055000000000007</v>
      </c>
      <c r="AA135" s="45">
        <f>('[2]Renewable Diesel'!F144*'[2]RD Feedstock Breakdown'!AA$3*'[2]Feedstock Conversion Rates'!B$7)/12-17.5+10+10-25</f>
        <v>6.6333333333333293</v>
      </c>
      <c r="AB135" s="47">
        <f t="shared" si="39"/>
        <v>73.688333333333333</v>
      </c>
      <c r="AC135" s="49"/>
      <c r="AG135" s="46"/>
      <c r="AH135" s="45">
        <v>0</v>
      </c>
      <c r="AI135" s="45">
        <f>('[2]Renewable Diesel'!H144*'[2]RD Feedstock Breakdown'!AI$3*'[2]Feedstock Conversion Rates'!B$6)/12</f>
        <v>58.625000000000007</v>
      </c>
      <c r="AJ135" s="47">
        <f t="shared" si="42"/>
        <v>58.625000000000007</v>
      </c>
      <c r="AK135" s="45">
        <f>('[2]Renewable Diesel'!J144*'[2]RD Feedstock Breakdown'!AK$3*'[2]Feedstock Conversion Rates'!B$4)/12</f>
        <v>62.5</v>
      </c>
      <c r="AL135" s="47">
        <f t="shared" si="45"/>
        <v>62.5</v>
      </c>
      <c r="AT135" s="49"/>
      <c r="AV135" s="45">
        <f>'[2]Renewable Diesel'!N144*'[2]RD Feedstock Breakdown'!$AV$3*'[2]Feedstock Conversion Rates'!$B$4/12</f>
        <v>78.749999999999986</v>
      </c>
      <c r="AW135" s="45">
        <f>'[2]Renewable Diesel'!N144*'[2]RD Feedstock Breakdown'!$AW$3*'[2]Feedstock Conversion Rates'!$B$7/12</f>
        <v>41.4</v>
      </c>
      <c r="AX135" s="47">
        <f t="shared" si="40"/>
        <v>120.14999999999998</v>
      </c>
      <c r="AY135" s="45">
        <f>('[2]Renewable Diesel'!O144*'[2]RD Feedstock Breakdown'!AY$3*'[2]Feedstock Conversion Rates'!B$4)/12-25</f>
        <v>42.5</v>
      </c>
      <c r="AZ135" s="45">
        <f>('[2]Renewable Diesel'!O144*'[2]RD Feedstock Breakdown'!AZ$3*'[2]Feedstock Conversion Rates'!B$3)/12+25</f>
        <v>33.01</v>
      </c>
      <c r="BA135" s="47">
        <f t="shared" si="43"/>
        <v>75.509999999999991</v>
      </c>
      <c r="BF135" s="45"/>
      <c r="BG135" s="47"/>
      <c r="BH135" s="45">
        <f>('[2]Renewable Diesel'!T144*'[2]RD Feedstock Breakdown'!BH$3*'[2]Feedstock Conversion Rates'!B$7)/12</f>
        <v>0</v>
      </c>
      <c r="BI135" s="47">
        <f t="shared" si="41"/>
        <v>0</v>
      </c>
      <c r="BJ135" s="45">
        <f>('[2]Renewable Diesel'!W144*'[2]RD Feedstock Breakdown'!BJ$3*'[2]Feedstock Conversion Rates'!B$4)/12</f>
        <v>7.5</v>
      </c>
      <c r="BK135" s="45">
        <f>('[2]Renewable Diesel'!W144*'[2]RD Feedstock Breakdown'!BK$3*'[2]Feedstock Conversion Rates'!B$3)/12</f>
        <v>1.335</v>
      </c>
      <c r="BL135" s="45">
        <f>('[2]Renewable Diesel'!W144*'[2]RD Feedstock Breakdown'!BL$3*'[2]Feedstock Conversion Rates'!B$6)/12</f>
        <v>3.1266666666666669</v>
      </c>
      <c r="BM135" s="45">
        <f>('[2]Renewable Diesel'!W144*'[2]RD Feedstock Breakdown'!BM$3*'[2]Feedstock Conversion Rates'!B$7)/12</f>
        <v>1.5333333333333332</v>
      </c>
      <c r="BN135" s="47">
        <f t="shared" si="34"/>
        <v>13.495000000000001</v>
      </c>
      <c r="BO135" s="47"/>
      <c r="BP135" s="47"/>
      <c r="BQ135" s="47"/>
      <c r="BR135" s="47"/>
      <c r="BS135" s="47"/>
      <c r="BT135" s="47"/>
      <c r="BU135" s="47"/>
      <c r="BV135" s="47"/>
      <c r="BW135" s="47"/>
      <c r="BX135" s="48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8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8"/>
      <c r="DE135" s="47"/>
      <c r="DF135" s="47"/>
      <c r="DG135" s="47"/>
      <c r="DH135" s="47"/>
      <c r="DI135" s="47"/>
      <c r="DJ135" s="48"/>
      <c r="DK135" s="47"/>
      <c r="DL135" s="47"/>
      <c r="DM135" s="47"/>
      <c r="DN135" s="47"/>
      <c r="DP135" s="45">
        <f t="shared" si="21"/>
        <v>65.929999999999993</v>
      </c>
      <c r="DQ135" s="45">
        <f t="shared" si="22"/>
        <v>200.37022499999998</v>
      </c>
      <c r="DR135" s="45">
        <f t="shared" si="29"/>
        <v>362.25</v>
      </c>
      <c r="DS135" s="48"/>
      <c r="DT135" s="45">
        <f t="shared" si="23"/>
        <v>83.806666666666672</v>
      </c>
      <c r="DU135" s="45">
        <f t="shared" si="24"/>
        <v>166.02366666666666</v>
      </c>
      <c r="DV135" s="45">
        <f t="shared" si="25"/>
        <v>23.28125</v>
      </c>
      <c r="DW135" s="45">
        <f t="shared" si="26"/>
        <v>1</v>
      </c>
      <c r="DX135" s="47">
        <f t="shared" si="27"/>
        <v>902.66180833333328</v>
      </c>
      <c r="DY135" s="50">
        <f t="shared" si="28"/>
        <v>0</v>
      </c>
      <c r="EA135" s="51">
        <f t="shared" si="35"/>
        <v>7.3039536392630319E-2</v>
      </c>
      <c r="EB135" s="51">
        <f t="shared" si="35"/>
        <v>0.22197707175621154</v>
      </c>
      <c r="EC135" s="51">
        <f t="shared" si="35"/>
        <v>0.40131309052374242</v>
      </c>
      <c r="ED135" s="48"/>
      <c r="EE135" s="51">
        <f t="shared" si="36"/>
        <v>9.2843926587972692E-2</v>
      </c>
      <c r="EF135" s="51">
        <f t="shared" si="36"/>
        <v>0.18392676541085889</v>
      </c>
      <c r="EG135" s="51">
        <f t="shared" si="36"/>
        <v>2.5791774710161156E-2</v>
      </c>
      <c r="EH135" s="52">
        <f t="shared" si="30"/>
        <v>1.1078346184230294E-3</v>
      </c>
      <c r="EI135" s="51">
        <f t="shared" si="31"/>
        <v>0.99889216538157688</v>
      </c>
      <c r="EK135" s="53">
        <f>(EA135*'[2]Renewable Diesel'!BF144*'[2]Feedstock Conversion Rates'!B$2)+FB135</f>
        <v>66.756164012782662</v>
      </c>
      <c r="EL135" s="53">
        <f>(EB135*'[2]Renewable Diesel'!BF144*'[2]Feedstock Conversion Rates'!B$3)+FC135</f>
        <v>191.1855538459848</v>
      </c>
      <c r="EM135" s="53">
        <f>(EC135*'[2]Renewable Diesel'!BF144*'[2]Feedstock Conversion Rates'!B$4)+FD135</f>
        <v>323.6376426017415</v>
      </c>
      <c r="EN135" s="48"/>
      <c r="EO135" s="53">
        <f>(EE135*'[2]Renewable Diesel'!BF144*'[2]Feedstock Conversion Rates'!B$6)+FF135</f>
        <v>93.642020807665929</v>
      </c>
      <c r="EP135" s="53">
        <f>(EF135*'[2]Renewable Diesel'!BF144*'[2]Feedstock Conversion Rates'!B$7)+FG135</f>
        <v>181.94796392329252</v>
      </c>
      <c r="EQ135" s="53">
        <f>(EG135*'[2]Renewable Diesel'!BF144*'[2]Feedstock Conversion Rates'!B$8)+FH135</f>
        <v>25.999616517673548</v>
      </c>
      <c r="ER135" s="53">
        <f>(EH135*'[2]Renewable Diesel'!BF144*'[2]Feedstock Conversion Rates'!B$9)+FI135</f>
        <v>1.1018718910756324</v>
      </c>
      <c r="ES135" s="53">
        <f t="shared" si="32"/>
        <v>884.27083360021663</v>
      </c>
      <c r="ET135" s="36">
        <f>ES135/'[2]Renewable Diesel'!BF144</f>
        <v>8.223768214335939</v>
      </c>
    </row>
    <row r="136" spans="1:150" x14ac:dyDescent="0.25">
      <c r="A136" s="39">
        <v>44562</v>
      </c>
      <c r="B136" s="45">
        <f>55+120+49+5+10+21-40-12.5-2+6+25+14-5-1-4-1-6-9-4+20-20+40+20-10+20-40-85-70+15+25+15-20-44-18+43-30+3.75+3-15-10-5-30-10-1+20-26+15-26+30+25+30-10+5</f>
        <v>80.25</v>
      </c>
      <c r="C136" s="46"/>
      <c r="D136" s="45">
        <v>1</v>
      </c>
      <c r="E136" s="45">
        <f>('[2]Renewable Diesel'!B145*E$3*'[2]Feedstock Conversion Rates'!$B$2)/12-30-21-14+5+1+9+40-25+20+5+1+26+13-1-25</f>
        <v>93.929999999999993</v>
      </c>
      <c r="F136" s="45">
        <f>('[2]Renewable Diesel'!B145*'[2]RD Feedstock Breakdown'!F$3*'[2]Feedstock Conversion Rates'!B$8)/12+28.5-49-5+2-6+1+6+20-20+32.5-3.75+10-15-30+10-5</f>
        <v>30.15625</v>
      </c>
      <c r="G136" s="45">
        <f>('[2]Renewable Diesel'!B145*'[2]RD Feedstock Breakdown'!G$3*'[2]Feedstock Conversion Rates'!B$7)/12-25-15-25+4+4-20-40-20+10+85-10-15+30+15+10-20.5-20</f>
        <v>123.65700000000001</v>
      </c>
      <c r="H136" s="45">
        <f>('[2]Renewable Diesel'!B145*'[2]RD Feedstock Breakdown'!H$3*'[2]Feedstock Conversion Rates'!B$3)/12+11.5-120-10-5+70-15+44-42.5+18-3+30+13</f>
        <v>167.40022499999998</v>
      </c>
      <c r="I136" s="47">
        <f t="shared" si="33"/>
        <v>496.39347499999997</v>
      </c>
      <c r="J136" s="47"/>
      <c r="K136" s="48"/>
      <c r="L136" s="47"/>
      <c r="R136" s="45">
        <f>('[2]Renewable Diesel'!D145*'[2]RD Feedstock Breakdown'!R$3*'[2]Feedstock Conversion Rates'!B$7)/12</f>
        <v>2.2999999999999998</v>
      </c>
      <c r="S136" s="47">
        <f t="shared" si="44"/>
        <v>2.2999999999999998</v>
      </c>
      <c r="T136" s="48"/>
      <c r="U136" s="47"/>
      <c r="V136" s="45"/>
      <c r="W136" s="45"/>
      <c r="X136" s="47"/>
      <c r="Y136" s="45">
        <f>12.5+15+1+8-20+27.5-5-39+19-10+16-25+30-30+25</f>
        <v>25</v>
      </c>
      <c r="Z136" s="45">
        <f>('[2]Renewable Diesel'!F145*'[2]RD Feedstock Breakdown'!Z$3*'[2]Feedstock Conversion Rates'!B$6)/12+5-15-1-8+20-27.5+5+10-16+25-30+30+40-40</f>
        <v>42.055000000000007</v>
      </c>
      <c r="AA136" s="45">
        <f>('[2]Renewable Diesel'!F145*'[2]RD Feedstock Breakdown'!AA$3*'[2]Feedstock Conversion Rates'!B$7)/12-17.5+10+10-25</f>
        <v>6.6333333333333293</v>
      </c>
      <c r="AB136" s="47">
        <f t="shared" si="39"/>
        <v>73.688333333333333</v>
      </c>
      <c r="AC136" s="49"/>
      <c r="AG136" s="46"/>
      <c r="AH136" s="45">
        <v>0</v>
      </c>
      <c r="AI136" s="45">
        <f>('[2]Renewable Diesel'!H145*'[2]RD Feedstock Breakdown'!AI$3*'[2]Feedstock Conversion Rates'!B$6)/12</f>
        <v>58.625000000000007</v>
      </c>
      <c r="AJ136" s="47">
        <f t="shared" si="42"/>
        <v>58.625000000000007</v>
      </c>
      <c r="AK136" s="45">
        <f>('[2]Renewable Diesel'!J145*'[2]RD Feedstock Breakdown'!AK$3*'[2]Feedstock Conversion Rates'!B$4)/12</f>
        <v>95.8125</v>
      </c>
      <c r="AL136" s="47">
        <f t="shared" si="45"/>
        <v>95.8125</v>
      </c>
      <c r="AM136" s="45"/>
      <c r="AN136" s="45"/>
      <c r="AO136" s="47"/>
      <c r="AP136" s="45">
        <f>('[2]Renewable Diesel'!L145*'[2]RD Feedstock Breakdown'!AP$3*'[2]Feedstock Conversion Rates'!B$4)/12</f>
        <v>0</v>
      </c>
      <c r="AQ136" s="45">
        <f>('[2]Renewable Diesel'!M145*'[2]RD Feedstock Breakdown'!AQ$3*'[2]Feedstock Conversion Rates'!B$6)/12</f>
        <v>0</v>
      </c>
      <c r="AR136" s="47">
        <f>SUM(AP136:AQ136)</f>
        <v>0</v>
      </c>
      <c r="AS136" s="45"/>
      <c r="AT136" s="46"/>
      <c r="AU136" s="47"/>
      <c r="AV136" s="45">
        <f>'[2]Renewable Diesel'!N145*'[2]RD Feedstock Breakdown'!$AV$3*'[2]Feedstock Conversion Rates'!$B$4/12+3</f>
        <v>81.749999999999986</v>
      </c>
      <c r="AW136" s="45">
        <f>'[2]Renewable Diesel'!N145*'[2]RD Feedstock Breakdown'!$AW$3*'[2]Feedstock Conversion Rates'!$B$7/12-3+25-25</f>
        <v>38.4</v>
      </c>
      <c r="AX136" s="47">
        <f t="shared" si="40"/>
        <v>120.14999999999998</v>
      </c>
      <c r="AY136" s="45">
        <f>('[2]Renewable Diesel'!O145*'[2]RD Feedstock Breakdown'!AY$3*'[2]Feedstock Conversion Rates'!B$4)/12+5-50</f>
        <v>22.5</v>
      </c>
      <c r="AZ136" s="45">
        <f>('[2]Renewable Diesel'!O145*'[2]RD Feedstock Breakdown'!AZ$3*'[2]Feedstock Conversion Rates'!B$3)/12-5+50</f>
        <v>53.01</v>
      </c>
      <c r="BA136" s="47">
        <f t="shared" si="43"/>
        <v>75.509999999999991</v>
      </c>
      <c r="BF136" s="45"/>
      <c r="BG136" s="47"/>
      <c r="BH136" s="45">
        <f>('[2]Renewable Diesel'!T145*'[2]RD Feedstock Breakdown'!BH$3*'[2]Feedstock Conversion Rates'!B$7)/12</f>
        <v>0</v>
      </c>
      <c r="BI136" s="47">
        <f t="shared" si="41"/>
        <v>0</v>
      </c>
      <c r="BJ136" s="45">
        <f>('[2]Renewable Diesel'!W145*'[2]RD Feedstock Breakdown'!BJ$3*'[2]Feedstock Conversion Rates'!B$4)/12</f>
        <v>7.5</v>
      </c>
      <c r="BK136" s="45">
        <f>('[2]Renewable Diesel'!W145*'[2]RD Feedstock Breakdown'!BK$3*'[2]Feedstock Conversion Rates'!B$3)/12</f>
        <v>1.335</v>
      </c>
      <c r="BL136" s="45">
        <f>('[2]Renewable Diesel'!W145*'[2]RD Feedstock Breakdown'!BL$3*'[2]Feedstock Conversion Rates'!B$6)/12</f>
        <v>3.1266666666666669</v>
      </c>
      <c r="BM136" s="45">
        <f>('[2]Renewable Diesel'!W145*'[2]RD Feedstock Breakdown'!BM$3*'[2]Feedstock Conversion Rates'!B$7)/12</f>
        <v>1.5333333333333332</v>
      </c>
      <c r="BN136" s="47">
        <f t="shared" si="34"/>
        <v>13.495000000000001</v>
      </c>
      <c r="BO136" s="47"/>
      <c r="BP136" s="47"/>
      <c r="BQ136" s="47"/>
      <c r="BR136" s="47"/>
      <c r="BS136" s="47"/>
      <c r="BT136" s="47"/>
      <c r="BU136" s="45"/>
      <c r="BV136" s="47"/>
      <c r="BW136" s="47"/>
      <c r="BX136" s="48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8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8"/>
      <c r="DE136" s="47"/>
      <c r="DF136" s="47"/>
      <c r="DG136" s="47"/>
      <c r="DH136" s="47"/>
      <c r="DI136" s="47"/>
      <c r="DJ136" s="48"/>
      <c r="DK136" s="47"/>
      <c r="DL136" s="47"/>
      <c r="DM136" s="47"/>
      <c r="DN136" s="47"/>
      <c r="DP136" s="45">
        <f t="shared" si="21"/>
        <v>93.929999999999993</v>
      </c>
      <c r="DQ136" s="45">
        <f t="shared" si="22"/>
        <v>221.74522499999998</v>
      </c>
      <c r="DR136" s="45">
        <f t="shared" si="29"/>
        <v>312.8125</v>
      </c>
      <c r="DS136" s="48"/>
      <c r="DT136" s="45">
        <f t="shared" si="23"/>
        <v>103.80666666666667</v>
      </c>
      <c r="DU136" s="45">
        <f t="shared" si="24"/>
        <v>172.52366666666668</v>
      </c>
      <c r="DV136" s="45">
        <f t="shared" si="25"/>
        <v>30.15625</v>
      </c>
      <c r="DW136" s="45">
        <f t="shared" si="26"/>
        <v>1</v>
      </c>
      <c r="DX136" s="47">
        <f t="shared" si="27"/>
        <v>935.97430833333328</v>
      </c>
      <c r="DY136" s="50">
        <f t="shared" si="28"/>
        <v>0</v>
      </c>
      <c r="EA136" s="51">
        <f t="shared" si="35"/>
        <v>0.10035531869166245</v>
      </c>
      <c r="EB136" s="51">
        <f t="shared" si="35"/>
        <v>0.23691379456222075</v>
      </c>
      <c r="EC136" s="51">
        <f t="shared" si="35"/>
        <v>0.33421056242133146</v>
      </c>
      <c r="ED136" s="48"/>
      <c r="EE136" s="51">
        <f t="shared" si="36"/>
        <v>0.11090760263656455</v>
      </c>
      <c r="EF136" s="51">
        <f t="shared" si="36"/>
        <v>0.18432521612038197</v>
      </c>
      <c r="EG136" s="51">
        <f t="shared" si="36"/>
        <v>3.2219100173484998E-2</v>
      </c>
      <c r="EH136" s="52">
        <f t="shared" si="30"/>
        <v>1.0684053943539067E-3</v>
      </c>
      <c r="EI136" s="51">
        <f t="shared" si="31"/>
        <v>0.99893159460564607</v>
      </c>
      <c r="EK136" s="53">
        <f>(EA136*'[2]Renewable Diesel'!BF145*'[2]Feedstock Conversion Rates'!B$2)+FB136</f>
        <v>71.134899185008777</v>
      </c>
      <c r="EL136" s="53">
        <f>(EB136*'[2]Renewable Diesel'!BF145*'[2]Feedstock Conversion Rates'!B$3)+FC136</f>
        <v>158.25092784151906</v>
      </c>
      <c r="EM136" s="53">
        <f>(EC136*'[2]Renewable Diesel'!BF145*'[2]Feedstock Conversion Rates'!B$4)+FD136</f>
        <v>209.02817791074608</v>
      </c>
      <c r="EN136" s="48"/>
      <c r="EO136" s="53">
        <f>(EE136*'[2]Renewable Diesel'!BF145*'[2]Feedstock Conversion Rates'!B$6)+FF136</f>
        <v>86.753610115732073</v>
      </c>
      <c r="EP136" s="53">
        <f>(EF136*'[2]Renewable Diesel'!BF145*'[2]Feedstock Conversion Rates'!B$7)+FG136</f>
        <v>141.4151632884624</v>
      </c>
      <c r="EQ136" s="53">
        <f>(EG136*'[2]Renewable Diesel'!BF145*'[2]Feedstock Conversion Rates'!B$8)+FH136</f>
        <v>25.188835125358384</v>
      </c>
      <c r="ER136" s="53">
        <f>(EH136*'[2]Renewable Diesel'!BF145*'[2]Feedstock Conversion Rates'!B$9)+FI136</f>
        <v>0.82414040175265846</v>
      </c>
      <c r="ES136" s="53">
        <f t="shared" si="32"/>
        <v>692.59575386857944</v>
      </c>
      <c r="ET136" s="36">
        <f>ES136/'[2]Renewable Diesel'!BF145</f>
        <v>8.3053210365451893</v>
      </c>
    </row>
    <row r="137" spans="1:150" x14ac:dyDescent="0.25">
      <c r="A137" s="39">
        <v>44593</v>
      </c>
      <c r="B137" s="45">
        <f>55+120+49+5+10+21-40-12.5-2+6+25+14-5-1-4-1-6-9-4+20-20+40+20-10+20-40-85-70+15+25+15-20-44-18+43-30+3.75+3-15-10-5-30-10-1+20-26+5-16+30+15-1+50-0.5+30+75+25+30-10+10</f>
        <v>253.75</v>
      </c>
      <c r="C137" s="46"/>
      <c r="D137" s="45">
        <v>1</v>
      </c>
      <c r="E137" s="45">
        <f>('[2]Renewable Diesel'!B146*E$3*'[2]Feedstock Conversion Rates'!$B$2)/12-30-21-14+5+1+9+40-25+20+5+1+26-75</f>
        <v>31.929999999999993</v>
      </c>
      <c r="F137" s="45">
        <f>('[2]Renewable Diesel'!B146*'[2]RD Feedstock Breakdown'!F$3*'[2]Feedstock Conversion Rates'!B$8)/12+28.5-49-5+2-6+1+6+20-20+32.5-3.75+10-5-15-30+10-10</f>
        <v>20.15625</v>
      </c>
      <c r="G137" s="45">
        <f>('[2]Renewable Diesel'!B146*'[2]RD Feedstock Breakdown'!G$3*'[2]Feedstock Conversion Rates'!B$7)/12-25-15-25+4+4-20-40-20+10+85-10-10+20+20+10-20-30-50-20</f>
        <v>44.157000000000011</v>
      </c>
      <c r="H137" s="45">
        <f>('[2]Renewable Diesel'!B146*'[2]RD Feedstock Breakdown'!H$3*'[2]Feedstock Conversion Rates'!B$3)/12+11.5-120-10-5+70-15+44-42.5+18-3+30+16-25</f>
        <v>145.40022499999998</v>
      </c>
      <c r="I137" s="47">
        <f t="shared" si="33"/>
        <v>496.39347499999997</v>
      </c>
      <c r="J137" s="47"/>
      <c r="K137" s="48"/>
      <c r="L137" s="47"/>
      <c r="R137" s="45">
        <f>('[2]Renewable Diesel'!D146*'[2]RD Feedstock Breakdown'!R$3*'[2]Feedstock Conversion Rates'!B$7)/12</f>
        <v>2.2999999999999998</v>
      </c>
      <c r="S137" s="47">
        <f t="shared" si="44"/>
        <v>2.2999999999999998</v>
      </c>
      <c r="T137" s="46"/>
      <c r="U137" s="45"/>
      <c r="V137" s="45"/>
      <c r="W137" s="45"/>
      <c r="X137" s="47"/>
      <c r="Y137" s="45">
        <f>12.5+15+1+8-20+27.5-5-39+19-10+16-25+20-20+35-15+5</f>
        <v>25</v>
      </c>
      <c r="Z137" s="45">
        <f>('[2]Renewable Diesel'!F146*'[2]RD Feedstock Breakdown'!Z$3*'[2]Feedstock Conversion Rates'!B$6)/12+5-15-1-8+20-27.5+5+10-16+15-20+20+15-5</f>
        <v>42.055000000000007</v>
      </c>
      <c r="AA137" s="45">
        <f>('[2]Renewable Diesel'!F146*'[2]RD Feedstock Breakdown'!AA$3*'[2]Feedstock Conversion Rates'!B$7)/12-17.5+10+10-25</f>
        <v>6.6333333333333293</v>
      </c>
      <c r="AB137" s="47">
        <f t="shared" si="39"/>
        <v>73.688333333333333</v>
      </c>
      <c r="AC137" s="49"/>
      <c r="AG137" s="46"/>
      <c r="AH137" s="45">
        <v>0</v>
      </c>
      <c r="AI137" s="45">
        <f>('[2]Renewable Diesel'!H146*'[2]RD Feedstock Breakdown'!AI$3*'[2]Feedstock Conversion Rates'!B$6)/12</f>
        <v>58.625000000000007</v>
      </c>
      <c r="AJ137" s="47">
        <f t="shared" si="42"/>
        <v>58.625000000000007</v>
      </c>
      <c r="AK137" s="45">
        <f>('[2]Renewable Diesel'!J146*'[2]RD Feedstock Breakdown'!AK$3*'[2]Feedstock Conversion Rates'!B$4)/12</f>
        <v>95.8125</v>
      </c>
      <c r="AL137" s="47">
        <f t="shared" si="45"/>
        <v>95.8125</v>
      </c>
      <c r="AM137" s="45"/>
      <c r="AN137" s="45"/>
      <c r="AO137" s="47"/>
      <c r="AP137" s="45">
        <f>('[2]Renewable Diesel'!L146*'[2]RD Feedstock Breakdown'!AP$3*'[2]Feedstock Conversion Rates'!B$4)/12</f>
        <v>0</v>
      </c>
      <c r="AQ137" s="45">
        <f>('[2]Renewable Diesel'!M146*'[2]RD Feedstock Breakdown'!AQ$3*'[2]Feedstock Conversion Rates'!B$6)/12</f>
        <v>0</v>
      </c>
      <c r="AR137" s="47">
        <f t="shared" ref="AR137:AR200" si="46">SUM(AP137:AQ137)</f>
        <v>0</v>
      </c>
      <c r="AS137" s="45"/>
      <c r="AT137" s="46"/>
      <c r="AU137" s="47"/>
      <c r="AV137" s="45">
        <f>'[2]Renewable Diesel'!N146*'[2]RD Feedstock Breakdown'!$AV$3*'[2]Feedstock Conversion Rates'!$B$4/12+3</f>
        <v>81.749999999999986</v>
      </c>
      <c r="AW137" s="45">
        <f>'[2]Renewable Diesel'!N146*'[2]RD Feedstock Breakdown'!$AW$3*'[2]Feedstock Conversion Rates'!$B$7/12-3</f>
        <v>38.4</v>
      </c>
      <c r="AX137" s="47">
        <f t="shared" si="40"/>
        <v>120.14999999999998</v>
      </c>
      <c r="AY137" s="45">
        <f>('[2]Renewable Diesel'!O146*'[2]RD Feedstock Breakdown'!AY$3*'[2]Feedstock Conversion Rates'!B$4)/12+5</f>
        <v>72.5</v>
      </c>
      <c r="AZ137" s="45">
        <f>('[2]Renewable Diesel'!O146*'[2]RD Feedstock Breakdown'!AZ$3*'[2]Feedstock Conversion Rates'!B$3)/12-5</f>
        <v>3.01</v>
      </c>
      <c r="BA137" s="47">
        <f t="shared" si="43"/>
        <v>75.510000000000005</v>
      </c>
      <c r="BF137" s="45"/>
      <c r="BG137" s="47"/>
      <c r="BH137" s="45">
        <f>('[2]Renewable Diesel'!T146*'[2]RD Feedstock Breakdown'!BH$3*'[2]Feedstock Conversion Rates'!B$7)/12</f>
        <v>0</v>
      </c>
      <c r="BI137" s="47">
        <f t="shared" si="41"/>
        <v>0</v>
      </c>
      <c r="BJ137" s="45">
        <f>('[2]Renewable Diesel'!W146*'[2]RD Feedstock Breakdown'!BJ$3*'[2]Feedstock Conversion Rates'!B$4)/12</f>
        <v>7.5</v>
      </c>
      <c r="BK137" s="45">
        <f>('[2]Renewable Diesel'!W146*'[2]RD Feedstock Breakdown'!BK$3*'[2]Feedstock Conversion Rates'!B$3)/12</f>
        <v>1.335</v>
      </c>
      <c r="BL137" s="45">
        <f>('[2]Renewable Diesel'!W146*'[2]RD Feedstock Breakdown'!BL$3*'[2]Feedstock Conversion Rates'!B$6)/12</f>
        <v>3.1266666666666669</v>
      </c>
      <c r="BM137" s="45">
        <f>('[2]Renewable Diesel'!W146*'[2]RD Feedstock Breakdown'!BM$3*'[2]Feedstock Conversion Rates'!B$7)/12</f>
        <v>1.5333333333333332</v>
      </c>
      <c r="BN137" s="47">
        <f t="shared" si="34"/>
        <v>13.495000000000001</v>
      </c>
      <c r="BO137" s="47"/>
      <c r="BP137" s="47"/>
      <c r="BQ137" s="47"/>
      <c r="BR137" s="47"/>
      <c r="BS137" s="47"/>
      <c r="BT137" s="47"/>
      <c r="BU137" s="45"/>
      <c r="BV137" s="47"/>
      <c r="BW137" s="47"/>
      <c r="BX137" s="48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8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8"/>
      <c r="DE137" s="47"/>
      <c r="DF137" s="47"/>
      <c r="DG137" s="47"/>
      <c r="DH137" s="47"/>
      <c r="DI137" s="47"/>
      <c r="DJ137" s="48"/>
      <c r="DK137" s="47"/>
      <c r="DL137" s="47"/>
      <c r="DM137" s="47"/>
      <c r="DN137" s="47"/>
      <c r="DP137" s="45">
        <f t="shared" si="21"/>
        <v>31.929999999999993</v>
      </c>
      <c r="DQ137" s="45">
        <f t="shared" si="22"/>
        <v>149.74522499999998</v>
      </c>
      <c r="DR137" s="45">
        <f t="shared" si="29"/>
        <v>536.3125</v>
      </c>
      <c r="DS137" s="48"/>
      <c r="DT137" s="45">
        <f t="shared" si="23"/>
        <v>103.80666666666667</v>
      </c>
      <c r="DU137" s="45">
        <f t="shared" si="24"/>
        <v>93.023666666666657</v>
      </c>
      <c r="DV137" s="45">
        <f t="shared" si="25"/>
        <v>20.15625</v>
      </c>
      <c r="DW137" s="45">
        <f t="shared" si="26"/>
        <v>1</v>
      </c>
      <c r="DX137" s="47">
        <f t="shared" si="27"/>
        <v>935.97430833333328</v>
      </c>
      <c r="DY137" s="50">
        <f t="shared" si="28"/>
        <v>0</v>
      </c>
      <c r="EA137" s="51">
        <f t="shared" si="35"/>
        <v>3.4114184241720233E-2</v>
      </c>
      <c r="EB137" s="51">
        <f t="shared" si="35"/>
        <v>0.15998860616873947</v>
      </c>
      <c r="EC137" s="51">
        <f t="shared" si="35"/>
        <v>0.57299916805942963</v>
      </c>
      <c r="ED137" s="48"/>
      <c r="EE137" s="51">
        <f t="shared" si="36"/>
        <v>0.11090760263656455</v>
      </c>
      <c r="EF137" s="51">
        <f t="shared" si="36"/>
        <v>9.9386987269246357E-2</v>
      </c>
      <c r="EG137" s="51">
        <f t="shared" si="36"/>
        <v>2.1535046229945932E-2</v>
      </c>
      <c r="EH137" s="52">
        <f t="shared" si="30"/>
        <v>1.0684053943539067E-3</v>
      </c>
      <c r="EI137" s="51">
        <f t="shared" si="31"/>
        <v>0.99893159460564607</v>
      </c>
      <c r="EK137" s="53">
        <f>(EA137*'[2]Renewable Diesel'!BF146*'[2]Feedstock Conversion Rates'!B$2)+FB137</f>
        <v>28.35637794861659</v>
      </c>
      <c r="EL137" s="53">
        <f>(EB137*'[2]Renewable Diesel'!BF146*'[2]Feedstock Conversion Rates'!B$3)+FC137</f>
        <v>125.31942996910907</v>
      </c>
      <c r="EM137" s="53">
        <f>(EC137*'[2]Renewable Diesel'!BF146*'[2]Feedstock Conversion Rates'!B$4)+FD137</f>
        <v>420.25423118312415</v>
      </c>
      <c r="EN137" s="48"/>
      <c r="EO137" s="53">
        <f>(EE137*'[2]Renewable Diesel'!BF146*'[2]Feedstock Conversion Rates'!B$6)+FF137</f>
        <v>101.73279958083766</v>
      </c>
      <c r="EP137" s="53">
        <f>(EF137*'[2]Renewable Diesel'!BF146*'[2]Feedstock Conversion Rates'!B$7)+FG137</f>
        <v>89.415784902740796</v>
      </c>
      <c r="EQ137" s="53">
        <f>(EG137*'[2]Renewable Diesel'!BF146*'[2]Feedstock Conversion Rates'!B$8)+FH137</f>
        <v>19.743035420778099</v>
      </c>
      <c r="ER137" s="53">
        <f>(EH137*'[2]Renewable Diesel'!BF146*'[2]Feedstock Conversion Rates'!B$9)+FI137</f>
        <v>0.96643943930547882</v>
      </c>
      <c r="ES137" s="53">
        <f t="shared" si="32"/>
        <v>785.788098444512</v>
      </c>
      <c r="ET137" s="36">
        <f>ES137/'[2]Renewable Diesel'!BF146</f>
        <v>8.035420465823508</v>
      </c>
    </row>
    <row r="138" spans="1:150" x14ac:dyDescent="0.25">
      <c r="A138" s="39">
        <v>44621</v>
      </c>
      <c r="B138" s="45">
        <f>55+120+49+5+10+21-40-12.5-2+6+25+14-5-1-4-1-6-9-4+20-20+40+20-10+20-40-85-70+15+25+15-20-44-18+43-30+3.75+3-15-10-5-30-10-1+20-26+5-16+30+10-1+50-0.5+30+60+25+30-10+10</f>
        <v>233.75</v>
      </c>
      <c r="C138" s="46"/>
      <c r="D138" s="45">
        <v>1</v>
      </c>
      <c r="E138" s="45">
        <f>('[2]Renewable Diesel'!B147*E$3*'[2]Feedstock Conversion Rates'!$B$2)/12-30-21-14+5+1+9+40-25+20+5+1+26-60</f>
        <v>46.929999999999993</v>
      </c>
      <c r="F138" s="45">
        <f>('[2]Renewable Diesel'!B147*'[2]RD Feedstock Breakdown'!F$3*'[2]Feedstock Conversion Rates'!B$8)/12+28.5-49-5+2-6+1+6+20-20+32.5-3.75+10-5-10-30+10-10</f>
        <v>25.15625</v>
      </c>
      <c r="G138" s="45">
        <f>('[2]Renewable Diesel'!B147*'[2]RD Feedstock Breakdown'!G$3*'[2]Feedstock Conversion Rates'!B$7)/12-25-15-25+4+4-20-40-20+10+85-10-10+10+30+10-20-30-50-20</f>
        <v>44.157000000000011</v>
      </c>
      <c r="H138" s="45">
        <f>('[2]Renewable Diesel'!B147*'[2]RD Feedstock Breakdown'!H$3*'[2]Feedstock Conversion Rates'!B$3)/12+11.5-120-10-5+70-15+44-42.5+18-3+30+16-25</f>
        <v>145.40022499999998</v>
      </c>
      <c r="I138" s="47">
        <f t="shared" si="33"/>
        <v>496.39347499999997</v>
      </c>
      <c r="J138" s="47"/>
      <c r="K138" s="48"/>
      <c r="L138" s="47"/>
      <c r="R138" s="45">
        <f>('[2]Renewable Diesel'!D147*'[2]RD Feedstock Breakdown'!R$3*'[2]Feedstock Conversion Rates'!B$7)/12</f>
        <v>2.2999999999999998</v>
      </c>
      <c r="S138" s="47">
        <f t="shared" si="44"/>
        <v>2.2999999999999998</v>
      </c>
      <c r="T138" s="46"/>
      <c r="U138" s="45"/>
      <c r="V138" s="45"/>
      <c r="W138" s="45"/>
      <c r="X138" s="47"/>
      <c r="Y138" s="45">
        <f>12.5+15+1+8-20+27.5-5-39+19-19+25-25+25+20</f>
        <v>45</v>
      </c>
      <c r="Z138" s="45">
        <f>('[2]Renewable Diesel'!F147*'[2]RD Feedstock Breakdown'!Z$3*'[2]Feedstock Conversion Rates'!B$6)/12+5-15-1-8+20-27.5+5+19-25+25-20</f>
        <v>22.055000000000007</v>
      </c>
      <c r="AA138" s="45">
        <f>('[2]Renewable Diesel'!F147*'[2]RD Feedstock Breakdown'!AA$3*'[2]Feedstock Conversion Rates'!B$7)/12-17.5+10+10-25</f>
        <v>6.6333333333333293</v>
      </c>
      <c r="AB138" s="47">
        <f t="shared" si="39"/>
        <v>73.688333333333333</v>
      </c>
      <c r="AC138" s="49"/>
      <c r="AG138" s="46"/>
      <c r="AH138" s="45">
        <v>0</v>
      </c>
      <c r="AI138" s="45">
        <f>('[2]Renewable Diesel'!H147*'[2]RD Feedstock Breakdown'!AI$3*'[2]Feedstock Conversion Rates'!B$6)/12</f>
        <v>58.625000000000007</v>
      </c>
      <c r="AJ138" s="47">
        <f t="shared" si="42"/>
        <v>58.625000000000007</v>
      </c>
      <c r="AK138" s="45">
        <f>('[2]Renewable Diesel'!J147*'[2]RD Feedstock Breakdown'!AK$3*'[2]Feedstock Conversion Rates'!B$4)/12</f>
        <v>95.8125</v>
      </c>
      <c r="AL138" s="47">
        <f t="shared" si="45"/>
        <v>95.8125</v>
      </c>
      <c r="AM138" s="45"/>
      <c r="AN138" s="45"/>
      <c r="AO138" s="47"/>
      <c r="AP138" s="45">
        <f>('[2]Renewable Diesel'!L147*'[2]RD Feedstock Breakdown'!AP$3*'[2]Feedstock Conversion Rates'!B$4)/12</f>
        <v>0</v>
      </c>
      <c r="AQ138" s="45">
        <f>('[2]Renewable Diesel'!M147*'[2]RD Feedstock Breakdown'!AQ$3*'[2]Feedstock Conversion Rates'!B$6)/12</f>
        <v>0</v>
      </c>
      <c r="AR138" s="47">
        <f t="shared" si="46"/>
        <v>0</v>
      </c>
      <c r="AS138" s="45"/>
      <c r="AT138" s="46"/>
      <c r="AU138" s="47"/>
      <c r="AV138" s="45">
        <f>'[2]Renewable Diesel'!N147*'[2]RD Feedstock Breakdown'!$AV$3*'[2]Feedstock Conversion Rates'!$B$4/12+3</f>
        <v>81.749999999999986</v>
      </c>
      <c r="AW138" s="45">
        <f>'[2]Renewable Diesel'!N147*'[2]RD Feedstock Breakdown'!$AW$3*'[2]Feedstock Conversion Rates'!$B$7/12-3</f>
        <v>38.4</v>
      </c>
      <c r="AX138" s="47">
        <f t="shared" si="40"/>
        <v>120.14999999999998</v>
      </c>
      <c r="AY138" s="45">
        <f>('[2]Renewable Diesel'!O147*'[2]RD Feedstock Breakdown'!AY$3*'[2]Feedstock Conversion Rates'!B$4)/12+5</f>
        <v>72.5</v>
      </c>
      <c r="AZ138" s="45">
        <f>('[2]Renewable Diesel'!O147*'[2]RD Feedstock Breakdown'!AZ$3*'[2]Feedstock Conversion Rates'!B$3)/12-5</f>
        <v>3.01</v>
      </c>
      <c r="BA138" s="47">
        <f t="shared" si="43"/>
        <v>75.510000000000005</v>
      </c>
      <c r="BF138" s="45"/>
      <c r="BG138" s="47"/>
      <c r="BH138" s="45">
        <f>('[2]Renewable Diesel'!T147*'[2]RD Feedstock Breakdown'!BH$3*'[2]Feedstock Conversion Rates'!B$7)/12</f>
        <v>0</v>
      </c>
      <c r="BI138" s="47">
        <f t="shared" si="41"/>
        <v>0</v>
      </c>
      <c r="BJ138" s="45">
        <f>('[2]Renewable Diesel'!W147*'[2]RD Feedstock Breakdown'!BJ$3*'[2]Feedstock Conversion Rates'!B$4)/12</f>
        <v>7.5</v>
      </c>
      <c r="BK138" s="45">
        <f>('[2]Renewable Diesel'!W147*'[2]RD Feedstock Breakdown'!BK$3*'[2]Feedstock Conversion Rates'!B$3)/12</f>
        <v>1.335</v>
      </c>
      <c r="BL138" s="45">
        <f>('[2]Renewable Diesel'!W147*'[2]RD Feedstock Breakdown'!BL$3*'[2]Feedstock Conversion Rates'!B$6)/12</f>
        <v>3.1266666666666669</v>
      </c>
      <c r="BM138" s="45">
        <f>('[2]Renewable Diesel'!W147*'[2]RD Feedstock Breakdown'!BM$3*'[2]Feedstock Conversion Rates'!B$7)/12</f>
        <v>1.5333333333333332</v>
      </c>
      <c r="BN138" s="47">
        <f t="shared" si="34"/>
        <v>13.495000000000001</v>
      </c>
      <c r="BO138" s="47"/>
      <c r="BP138" s="47"/>
      <c r="BQ138" s="47"/>
      <c r="BR138" s="47"/>
      <c r="BS138" s="47"/>
      <c r="BT138" s="45"/>
      <c r="BU138" s="45"/>
      <c r="BV138" s="47"/>
      <c r="BW138" s="47"/>
      <c r="BX138" s="48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8"/>
      <c r="CJ138" s="47"/>
      <c r="CK138" s="47"/>
      <c r="CL138" s="45"/>
      <c r="CM138" s="45"/>
      <c r="CN138" s="45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8"/>
      <c r="DE138" s="47"/>
      <c r="DF138" s="47"/>
      <c r="DG138" s="47"/>
      <c r="DH138" s="47"/>
      <c r="DI138" s="47"/>
      <c r="DJ138" s="48"/>
      <c r="DK138" s="47"/>
      <c r="DL138" s="47"/>
      <c r="DM138" s="47"/>
      <c r="DN138" s="47"/>
      <c r="DP138" s="45">
        <f t="shared" si="21"/>
        <v>46.929999999999993</v>
      </c>
      <c r="DQ138" s="45">
        <f t="shared" si="22"/>
        <v>149.74522499999998</v>
      </c>
      <c r="DR138" s="45">
        <f t="shared" si="29"/>
        <v>536.3125</v>
      </c>
      <c r="DS138" s="48"/>
      <c r="DT138" s="45">
        <f t="shared" si="23"/>
        <v>83.806666666666672</v>
      </c>
      <c r="DU138" s="45">
        <f t="shared" si="24"/>
        <v>93.023666666666657</v>
      </c>
      <c r="DV138" s="45">
        <f t="shared" si="25"/>
        <v>25.15625</v>
      </c>
      <c r="DW138" s="45">
        <f t="shared" si="26"/>
        <v>1</v>
      </c>
      <c r="DX138" s="47">
        <f t="shared" si="27"/>
        <v>935.97430833333328</v>
      </c>
      <c r="DY138" s="50">
        <f t="shared" si="28"/>
        <v>0</v>
      </c>
      <c r="EA138" s="51">
        <f t="shared" si="35"/>
        <v>5.0140265157028831E-2</v>
      </c>
      <c r="EB138" s="51">
        <f t="shared" si="35"/>
        <v>0.15998860616873947</v>
      </c>
      <c r="EC138" s="51">
        <f t="shared" si="35"/>
        <v>0.57299916805942963</v>
      </c>
      <c r="ED138" s="48"/>
      <c r="EE138" s="51">
        <f t="shared" si="36"/>
        <v>8.9539494749486415E-2</v>
      </c>
      <c r="EF138" s="51">
        <f t="shared" si="36"/>
        <v>9.9386987269246357E-2</v>
      </c>
      <c r="EG138" s="51">
        <f t="shared" si="36"/>
        <v>2.6877073201715465E-2</v>
      </c>
      <c r="EH138" s="52">
        <f t="shared" si="30"/>
        <v>1.0684053943539067E-3</v>
      </c>
      <c r="EI138" s="51">
        <f t="shared" si="31"/>
        <v>0.99893159460564618</v>
      </c>
      <c r="EK138" s="53">
        <f>(EA138*'[2]Renewable Diesel'!BF147*'[2]Feedstock Conversion Rates'!B$2)+FB138</f>
        <v>45.305871456119107</v>
      </c>
      <c r="EL138" s="53">
        <f>(EB138*'[2]Renewable Diesel'!BF147*'[2]Feedstock Conversion Rates'!B$3)+FC138</f>
        <v>136.22929444176245</v>
      </c>
      <c r="EM138" s="53">
        <f>(EC138*'[2]Renewable Diesel'!BF147*'[2]Feedstock Conversion Rates'!B$4)+FD138</f>
        <v>456.84007192144531</v>
      </c>
      <c r="EN138" s="48"/>
      <c r="EO138" s="53">
        <f>(EE138*'[2]Renewable Diesel'!BF147*'[2]Feedstock Conversion Rates'!B$6)+FF138</f>
        <v>89.282514759191855</v>
      </c>
      <c r="EP138" s="53">
        <f>(EF138*'[2]Renewable Diesel'!BF147*'[2]Feedstock Conversion Rates'!B$7)+FG138</f>
        <v>97.200005555877269</v>
      </c>
      <c r="EQ138" s="53">
        <f>(EG138*'[2]Renewable Diesel'!BF147*'[2]Feedstock Conversion Rates'!B$8)+FH138</f>
        <v>26.785649829329582</v>
      </c>
      <c r="ER138" s="53">
        <f>(EH138*'[2]Renewable Diesel'!BF147*'[2]Feedstock Conversion Rates'!B$9)+FI138</f>
        <v>1.0505742243619454</v>
      </c>
      <c r="ES138" s="53">
        <f t="shared" si="32"/>
        <v>852.6939821880876</v>
      </c>
      <c r="ET138" s="36">
        <f>ES138/'[2]Renewable Diesel'!BF147</f>
        <v>8.0212908044831774</v>
      </c>
    </row>
    <row r="139" spans="1:150" x14ac:dyDescent="0.25">
      <c r="A139" s="39">
        <v>44652</v>
      </c>
      <c r="B139" s="45">
        <f>55+120+49+5+10+21-40-12.5-2+6+25+14-5-1-4-1-6-9-4+20-20+40+20-10+20-35+10+10-20-48-18+3.75+3-39-10-5-30-10+12.5+20-26+8-50-3.5-12.5-1+25+42.5+30-25+30-10-10</f>
        <v>132.25</v>
      </c>
      <c r="C139" s="46"/>
      <c r="D139" s="45">
        <v>1</v>
      </c>
      <c r="E139" s="45">
        <f>('[2]Renewable Diesel'!B148*E$3*'[2]Feedstock Conversion Rates'!$B$2)/12-30-21-14+5+1+9-10+20+5+26+3.5</f>
        <v>84.429999999999993</v>
      </c>
      <c r="F139" s="45">
        <f>('[2]Renewable Diesel'!B148*'[2]RD Feedstock Breakdown'!F$3*'[2]Feedstock Conversion Rates'!B$8)/12+28.5-49-5+2-6+1+6+20-20+20-3.75+10-8-30+10+10</f>
        <v>39.65625</v>
      </c>
      <c r="G139" s="45">
        <f>('[2]Renewable Diesel'!B148*'[2]RD Feedstock Breakdown'!G$3*'[2]Feedstock Conversion Rates'!B$7)/12-25-15-25+4+4-20-40-20+10+35-10-10+39+10-20-25-20</f>
        <v>48.157000000000011</v>
      </c>
      <c r="H139" s="45">
        <f>('[2]Renewable Diesel'!B148*'[2]RD Feedstock Breakdown'!H$3*'[2]Feedstock Conversion Rates'!B$3)/12+11.5-120-10-5+48-42.5+18-3+30+50+12.5+25</f>
        <v>190.90022499999998</v>
      </c>
      <c r="I139" s="47">
        <f t="shared" si="33"/>
        <v>496.39347499999997</v>
      </c>
      <c r="J139" s="47"/>
      <c r="K139" s="48"/>
      <c r="L139" s="47"/>
      <c r="R139" s="45">
        <f>('[2]Renewable Diesel'!D148*'[2]RD Feedstock Breakdown'!R$3*'[2]Feedstock Conversion Rates'!B$7)/12</f>
        <v>2.2999999999999998</v>
      </c>
      <c r="S139" s="47">
        <f t="shared" si="44"/>
        <v>2.2999999999999998</v>
      </c>
      <c r="T139" s="46"/>
      <c r="U139" s="45"/>
      <c r="V139" s="45"/>
      <c r="W139" s="45"/>
      <c r="X139" s="47"/>
      <c r="Y139" s="45">
        <f>12.5+15+1+8-20+27.5-5-39+19-19+25-25+25</f>
        <v>25</v>
      </c>
      <c r="Z139" s="45">
        <f>('[2]Renewable Diesel'!F148*'[2]RD Feedstock Breakdown'!Z$3*'[2]Feedstock Conversion Rates'!B$6)/12+5-15-1-8+20-27.5+5+19-25+25</f>
        <v>42.055000000000007</v>
      </c>
      <c r="AA139" s="45">
        <f>('[2]Renewable Diesel'!F148*'[2]RD Feedstock Breakdown'!AA$3*'[2]Feedstock Conversion Rates'!B$7)/12-17.5+10+10-25</f>
        <v>6.6333333333333293</v>
      </c>
      <c r="AB139" s="47">
        <f t="shared" si="39"/>
        <v>73.688333333333333</v>
      </c>
      <c r="AC139" s="49"/>
      <c r="AG139" s="46"/>
      <c r="AH139" s="45">
        <v>0</v>
      </c>
      <c r="AI139" s="45">
        <f>('[2]Renewable Diesel'!H148*'[2]RD Feedstock Breakdown'!AI$3*'[2]Feedstock Conversion Rates'!B$6)/12</f>
        <v>58.625000000000007</v>
      </c>
      <c r="AJ139" s="47">
        <f t="shared" si="42"/>
        <v>58.625000000000007</v>
      </c>
      <c r="AK139" s="45">
        <f>('[2]Renewable Diesel'!J148*'[2]RD Feedstock Breakdown'!AK$3*'[2]Feedstock Conversion Rates'!B$4)/12</f>
        <v>95.8125</v>
      </c>
      <c r="AL139" s="47">
        <f t="shared" si="45"/>
        <v>95.8125</v>
      </c>
      <c r="AM139" s="45"/>
      <c r="AN139" s="45"/>
      <c r="AO139" s="47"/>
      <c r="AP139" s="45">
        <f>('[2]Renewable Diesel'!L148*'[2]RD Feedstock Breakdown'!AP$3*'[2]Feedstock Conversion Rates'!B$4)/12</f>
        <v>9.375</v>
      </c>
      <c r="AQ139" s="45">
        <f>('[2]Renewable Diesel'!M148*'[2]RD Feedstock Breakdown'!AQ$3*'[2]Feedstock Conversion Rates'!B$6)/12</f>
        <v>0</v>
      </c>
      <c r="AR139" s="47">
        <f t="shared" si="46"/>
        <v>9.375</v>
      </c>
      <c r="AS139" s="45"/>
      <c r="AT139" s="46"/>
      <c r="AU139" s="47"/>
      <c r="AV139" s="45">
        <f>'[2]Renewable Diesel'!N148*'[2]RD Feedstock Breakdown'!$AV$3*'[2]Feedstock Conversion Rates'!$B$4/12+3</f>
        <v>81.749999999999986</v>
      </c>
      <c r="AW139" s="45">
        <f>'[2]Renewable Diesel'!N148*'[2]RD Feedstock Breakdown'!$AW$3*'[2]Feedstock Conversion Rates'!$B$7/12-3</f>
        <v>38.4</v>
      </c>
      <c r="AX139" s="47">
        <f t="shared" si="40"/>
        <v>120.14999999999998</v>
      </c>
      <c r="AY139" s="45">
        <f>('[2]Renewable Diesel'!O148*'[2]RD Feedstock Breakdown'!AY$3*'[2]Feedstock Conversion Rates'!B$4)/12+5</f>
        <v>72.5</v>
      </c>
      <c r="AZ139" s="45">
        <f>('[2]Renewable Diesel'!O148*'[2]RD Feedstock Breakdown'!AZ$3*'[2]Feedstock Conversion Rates'!B$3)/12-5</f>
        <v>3.01</v>
      </c>
      <c r="BA139" s="47">
        <f t="shared" si="43"/>
        <v>75.510000000000005</v>
      </c>
      <c r="BF139" s="45">
        <f>('[2]Renewable Diesel'!R148*'[2]RD Feedstock Breakdown'!BF$3*'[2]Feedstock Conversion Rates'!B$4)/12</f>
        <v>23.4375</v>
      </c>
      <c r="BG139" s="47">
        <f t="shared" ref="BG139:BG202" si="47">BF139</f>
        <v>23.4375</v>
      </c>
      <c r="BH139" s="45">
        <f>('[2]Renewable Diesel'!T148*'[2]RD Feedstock Breakdown'!BH$3*'[2]Feedstock Conversion Rates'!B$7)/12</f>
        <v>0</v>
      </c>
      <c r="BI139" s="47">
        <f t="shared" si="41"/>
        <v>0</v>
      </c>
      <c r="BJ139" s="45">
        <f>('[2]Renewable Diesel'!W148*'[2]RD Feedstock Breakdown'!BJ$3*'[2]Feedstock Conversion Rates'!B$4)/12</f>
        <v>7.5</v>
      </c>
      <c r="BK139" s="45">
        <f>('[2]Renewable Diesel'!W148*'[2]RD Feedstock Breakdown'!BK$3*'[2]Feedstock Conversion Rates'!B$3)/12</f>
        <v>1.335</v>
      </c>
      <c r="BL139" s="45">
        <f>('[2]Renewable Diesel'!W148*'[2]RD Feedstock Breakdown'!BL$3*'[2]Feedstock Conversion Rates'!B$6)/12</f>
        <v>3.1266666666666669</v>
      </c>
      <c r="BM139" s="45">
        <f>('[2]Renewable Diesel'!W148*'[2]RD Feedstock Breakdown'!BM$3*'[2]Feedstock Conversion Rates'!B$7)/12</f>
        <v>1.5333333333333332</v>
      </c>
      <c r="BN139" s="47">
        <f t="shared" si="34"/>
        <v>13.495000000000001</v>
      </c>
      <c r="BO139" s="47"/>
      <c r="BP139" s="47"/>
      <c r="BQ139" s="47"/>
      <c r="BR139" s="47"/>
      <c r="BS139" s="47"/>
      <c r="BT139" s="45"/>
      <c r="BU139" s="45"/>
      <c r="BV139" s="47"/>
      <c r="BW139" s="47"/>
      <c r="BX139" s="48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8"/>
      <c r="CJ139" s="47"/>
      <c r="CK139" s="47"/>
      <c r="CL139" s="45"/>
      <c r="CM139" s="45"/>
      <c r="CN139" s="45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8"/>
      <c r="DE139" s="47"/>
      <c r="DF139" s="47"/>
      <c r="DG139" s="47"/>
      <c r="DH139" s="47"/>
      <c r="DI139" s="47"/>
      <c r="DJ139" s="48"/>
      <c r="DK139" s="47"/>
      <c r="DL139" s="47"/>
      <c r="DM139" s="47"/>
      <c r="DN139" s="47"/>
      <c r="DP139" s="45">
        <f t="shared" si="21"/>
        <v>84.429999999999993</v>
      </c>
      <c r="DQ139" s="45">
        <f t="shared" si="22"/>
        <v>195.24522499999998</v>
      </c>
      <c r="DR139" s="45">
        <f t="shared" si="29"/>
        <v>447.625</v>
      </c>
      <c r="DS139" s="48"/>
      <c r="DT139" s="45">
        <f t="shared" si="23"/>
        <v>103.80666666666667</v>
      </c>
      <c r="DU139" s="45">
        <f t="shared" si="24"/>
        <v>97.023666666666657</v>
      </c>
      <c r="DV139" s="45">
        <f t="shared" si="25"/>
        <v>39.65625</v>
      </c>
      <c r="DW139" s="45">
        <f t="shared" si="26"/>
        <v>1</v>
      </c>
      <c r="DX139" s="47">
        <f t="shared" si="27"/>
        <v>968.78680833333328</v>
      </c>
      <c r="DY139" s="50">
        <f t="shared" si="28"/>
        <v>0</v>
      </c>
      <c r="EA139" s="51">
        <f t="shared" si="35"/>
        <v>8.7150237052928486E-2</v>
      </c>
      <c r="EB139" s="51">
        <f t="shared" si="35"/>
        <v>0.20153580057091508</v>
      </c>
      <c r="EC139" s="51">
        <f t="shared" si="35"/>
        <v>0.46204696033183845</v>
      </c>
      <c r="ED139" s="48"/>
      <c r="EE139" s="51">
        <f t="shared" si="36"/>
        <v>0.10715119753256344</v>
      </c>
      <c r="EF139" s="51">
        <f t="shared" si="36"/>
        <v>0.10014965710937244</v>
      </c>
      <c r="EG139" s="51">
        <f t="shared" si="36"/>
        <v>4.0933928557742458E-2</v>
      </c>
      <c r="EH139" s="52">
        <f t="shared" si="30"/>
        <v>1.0322188446396838E-3</v>
      </c>
      <c r="EI139" s="51">
        <f t="shared" si="31"/>
        <v>0.99896778115536033</v>
      </c>
      <c r="EK139" s="53">
        <f>(EA139*'[2]Renewable Diesel'!BF148*'[2]Feedstock Conversion Rates'!B$2)+FB139</f>
        <v>75.260894988908674</v>
      </c>
      <c r="EL139" s="53">
        <f>(EB139*'[2]Renewable Diesel'!BF148*'[2]Feedstock Conversion Rates'!B$3)+FC139</f>
        <v>164.00859230444277</v>
      </c>
      <c r="EM139" s="53">
        <f>(EC139*'[2]Renewable Diesel'!BF148*'[2]Feedstock Conversion Rates'!B$4)+FD139</f>
        <v>352.0701951433166</v>
      </c>
      <c r="EN139" s="48"/>
      <c r="EO139" s="53">
        <f>(EE139*'[2]Renewable Diesel'!BF148*'[2]Feedstock Conversion Rates'!B$6)+FF139</f>
        <v>102.11316740664292</v>
      </c>
      <c r="EP139" s="53">
        <f>(EF139*'[2]Renewable Diesel'!BF148*'[2]Feedstock Conversion Rates'!B$7)+FG139</f>
        <v>93.609338043541371</v>
      </c>
      <c r="EQ139" s="53">
        <f>(EG139*'[2]Renewable Diesel'!BF148*'[2]Feedstock Conversion Rates'!B$8)+FH139</f>
        <v>38.988505099559198</v>
      </c>
      <c r="ER139" s="53">
        <f>(EH139*'[2]Renewable Diesel'!BF148*'[2]Feedstock Conversion Rates'!B$9)+FI139</f>
        <v>0.97005285080910109</v>
      </c>
      <c r="ES139" s="53">
        <f t="shared" si="32"/>
        <v>827.0207458372206</v>
      </c>
      <c r="ET139" s="36">
        <f>ES139/'[2]Renewable Diesel'!BF148</f>
        <v>8.1401896628151338</v>
      </c>
    </row>
    <row r="140" spans="1:150" x14ac:dyDescent="0.25">
      <c r="A140" s="39">
        <v>44682</v>
      </c>
      <c r="B140" s="45">
        <f>55+120+49+5+10+21-40-12.5-2+6+25+14-5-1-4-1-6-9-4+20-20+40+20-10+20+17.5+32.5+50-10-48-17+3.75+42+3-40-10-5-30-10-7+32.5+20-26-50-3.5-12.5-12.5-1-25-40-75+25+30-10+25</f>
        <v>139.25</v>
      </c>
      <c r="C140" s="46"/>
      <c r="D140" s="45">
        <v>1</v>
      </c>
      <c r="E140" s="45">
        <f>('[2]Renewable Diesel'!B149*E$3*'[2]Feedstock Conversion Rates'!$B$2)/12-30-21-14+5+1+9-32.5+10+5+7+26+3.5+40-25</f>
        <v>73.929999999999993</v>
      </c>
      <c r="F140" s="45">
        <f>('[2]Renewable Diesel'!B149*'[2]RD Feedstock Breakdown'!F$3*'[2]Feedstock Conversion Rates'!B$8)/12+28.5-49-5+2-6+1+6+20-20-3.75+10+12.5+10-25</f>
        <v>35.15625</v>
      </c>
      <c r="G140" s="45">
        <f>('[2]Renewable Diesel'!B149*'[2]RD Feedstock Breakdown'!G$3*'[2]Feedstock Conversion Rates'!B$7)/12-25-15-25+4+4-20-40-20+10-17-10.5+40+10-20+25-20</f>
        <v>56.657000000000011</v>
      </c>
      <c r="H140" s="45">
        <f>('[2]Renewable Diesel'!B149*'[2]RD Feedstock Breakdown'!H$3*'[2]Feedstock Conversion Rates'!B$3)/12+11.5-120-10-5-50+48-42.5+17-3+30+50+12.5+75</f>
        <v>189.90022499999998</v>
      </c>
      <c r="I140" s="47">
        <f t="shared" si="33"/>
        <v>495.89347499999997</v>
      </c>
      <c r="J140" s="47"/>
      <c r="K140" s="48"/>
      <c r="L140" s="47"/>
      <c r="R140" s="45">
        <f>('[2]Renewable Diesel'!D149*'[2]RD Feedstock Breakdown'!R$3*'[2]Feedstock Conversion Rates'!B$7)/12</f>
        <v>2.2999999999999998</v>
      </c>
      <c r="S140" s="47">
        <f t="shared" si="44"/>
        <v>2.2999999999999998</v>
      </c>
      <c r="T140" s="46"/>
      <c r="U140" s="45"/>
      <c r="V140" s="45"/>
      <c r="W140" s="45"/>
      <c r="X140" s="47"/>
      <c r="Y140" s="45">
        <f>12.5+15+1+8-20+27.5-5-39+19-19+30-25-5+25</f>
        <v>25</v>
      </c>
      <c r="Z140" s="45">
        <f>('[2]Renewable Diesel'!F149*'[2]RD Feedstock Breakdown'!Z$3*'[2]Feedstock Conversion Rates'!B$6)/12+5-15-1-8+20-27.5+5+19-30+25+5</f>
        <v>42.055000000000007</v>
      </c>
      <c r="AA140" s="45">
        <f>('[2]Renewable Diesel'!F149*'[2]RD Feedstock Breakdown'!AA$3*'[2]Feedstock Conversion Rates'!B$7)/12-17.5+10+10-25</f>
        <v>6.6333333333333293</v>
      </c>
      <c r="AB140" s="47">
        <f t="shared" si="39"/>
        <v>73.688333333333333</v>
      </c>
      <c r="AC140" s="49"/>
      <c r="AG140" s="46"/>
      <c r="AH140" s="45">
        <v>0</v>
      </c>
      <c r="AI140" s="45">
        <f>('[2]Renewable Diesel'!H149*'[2]RD Feedstock Breakdown'!AI$3*'[2]Feedstock Conversion Rates'!B$6)/12</f>
        <v>58.625000000000007</v>
      </c>
      <c r="AJ140" s="47">
        <f t="shared" si="42"/>
        <v>58.625000000000007</v>
      </c>
      <c r="AK140" s="45">
        <f>('[2]Renewable Diesel'!J149*'[2]RD Feedstock Breakdown'!AK$3*'[2]Feedstock Conversion Rates'!B$4)/12</f>
        <v>95.8125</v>
      </c>
      <c r="AL140" s="47">
        <f t="shared" si="45"/>
        <v>95.8125</v>
      </c>
      <c r="AM140" s="45"/>
      <c r="AN140" s="45"/>
      <c r="AO140" s="47"/>
      <c r="AP140" s="45">
        <f>('[2]Renewable Diesel'!L149*'[2]RD Feedstock Breakdown'!AP$3*'[2]Feedstock Conversion Rates'!B$4)/12+15-7.5</f>
        <v>28.59375</v>
      </c>
      <c r="AQ140" s="45">
        <f>('[2]Renewable Diesel'!L149*'[2]RD Feedstock Breakdown'!AQ$3*'[2]Feedstock Conversion Rates'!B$6)/12-15+7.55</f>
        <v>1.3437500000000009</v>
      </c>
      <c r="AR140" s="47">
        <f t="shared" si="46"/>
        <v>29.9375</v>
      </c>
      <c r="AS140" s="45"/>
      <c r="AT140" s="46"/>
      <c r="AU140" s="47"/>
      <c r="AV140" s="45">
        <f>'[2]Renewable Diesel'!N149*'[2]RD Feedstock Breakdown'!$AV$3*'[2]Feedstock Conversion Rates'!$B$4/12+3</f>
        <v>81.749999999999986</v>
      </c>
      <c r="AW140" s="45">
        <f>'[2]Renewable Diesel'!N149*'[2]RD Feedstock Breakdown'!$AW$3*'[2]Feedstock Conversion Rates'!$B$7/12-3</f>
        <v>38.4</v>
      </c>
      <c r="AX140" s="47">
        <f t="shared" si="40"/>
        <v>120.14999999999998</v>
      </c>
      <c r="AY140" s="45">
        <f>('[2]Renewable Diesel'!O149*'[2]RD Feedstock Breakdown'!AY$3*'[2]Feedstock Conversion Rates'!B$4)/12+5</f>
        <v>72.5</v>
      </c>
      <c r="AZ140" s="45">
        <f>('[2]Renewable Diesel'!O149*'[2]RD Feedstock Breakdown'!AZ$3*'[2]Feedstock Conversion Rates'!B$3)/12-5</f>
        <v>3.01</v>
      </c>
      <c r="BA140" s="47">
        <f t="shared" si="43"/>
        <v>75.510000000000005</v>
      </c>
      <c r="BF140" s="45">
        <f>('[2]Renewable Diesel'!R149*'[2]RD Feedstock Breakdown'!BF$3*'[2]Feedstock Conversion Rates'!B$4)/12</f>
        <v>31.25</v>
      </c>
      <c r="BG140" s="47">
        <f t="shared" si="47"/>
        <v>31.25</v>
      </c>
      <c r="BH140" s="45">
        <f>('[2]Renewable Diesel'!T149*'[2]RD Feedstock Breakdown'!BH$3*'[2]Feedstock Conversion Rates'!B$7)/12</f>
        <v>0</v>
      </c>
      <c r="BI140" s="47">
        <f t="shared" si="41"/>
        <v>0</v>
      </c>
      <c r="BJ140" s="45">
        <f>('[2]Renewable Diesel'!W149*'[2]RD Feedstock Breakdown'!BJ$3*'[2]Feedstock Conversion Rates'!B$4)/12</f>
        <v>7.5</v>
      </c>
      <c r="BK140" s="45">
        <f>('[2]Renewable Diesel'!W149*'[2]RD Feedstock Breakdown'!BK$3*'[2]Feedstock Conversion Rates'!B$3)/12</f>
        <v>1.335</v>
      </c>
      <c r="BL140" s="45">
        <f>('[2]Renewable Diesel'!W149*'[2]RD Feedstock Breakdown'!BL$3*'[2]Feedstock Conversion Rates'!B$6)/12</f>
        <v>3.1266666666666669</v>
      </c>
      <c r="BM140" s="45">
        <f>('[2]Renewable Diesel'!W149*'[2]RD Feedstock Breakdown'!BM$3*'[2]Feedstock Conversion Rates'!B$7)/12</f>
        <v>1.5333333333333332</v>
      </c>
      <c r="BN140" s="47">
        <f t="shared" si="34"/>
        <v>13.495000000000001</v>
      </c>
      <c r="BO140" s="47"/>
      <c r="BP140" s="47"/>
      <c r="BQ140" s="47"/>
      <c r="BR140" s="47"/>
      <c r="BS140" s="47"/>
      <c r="BT140" s="45"/>
      <c r="BU140" s="45"/>
      <c r="BV140" s="47"/>
      <c r="BW140" s="47"/>
      <c r="BX140" s="48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8"/>
      <c r="CJ140" s="47"/>
      <c r="CK140" s="47"/>
      <c r="CL140" s="45"/>
      <c r="CM140" s="45"/>
      <c r="CN140" s="45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8"/>
      <c r="DE140" s="47"/>
      <c r="DF140" s="47"/>
      <c r="DG140" s="47"/>
      <c r="DH140" s="47"/>
      <c r="DI140" s="47"/>
      <c r="DJ140" s="48"/>
      <c r="DK140" s="47"/>
      <c r="DL140" s="47"/>
      <c r="DM140" s="47"/>
      <c r="DN140" s="47"/>
      <c r="DP140" s="45">
        <f t="shared" ref="DP140:DP203" si="48">E140+M140</f>
        <v>73.929999999999993</v>
      </c>
      <c r="DQ140" s="45">
        <f t="shared" ref="DQ140:DQ203" si="49">H140+P140+AZ140+BC140+BK140+BZ140+CL140+CP140+CV140+CX140+DA140+DK140</f>
        <v>194.24522499999998</v>
      </c>
      <c r="DR140" s="45">
        <f t="shared" si="29"/>
        <v>481.65625</v>
      </c>
      <c r="DS140" s="48"/>
      <c r="DT140" s="45">
        <f t="shared" ref="DT140:DT203" si="50">V140+Z140+AE140+AI140+BD140+BL140+AN140+AQ140+CD140+CM140+CQ140+CY140+DB140+DL140</f>
        <v>105.15041666666667</v>
      </c>
      <c r="DU140" s="45">
        <f t="shared" ref="DU140:DU203" si="51">G140+O140+R140+AA140+AW140+BH140+BM140+BR140+BU140+BY140</f>
        <v>105.52366666666666</v>
      </c>
      <c r="DV140" s="45">
        <f>F140+N140+W140+DM140</f>
        <v>35.15625</v>
      </c>
      <c r="DW140" s="45">
        <f t="shared" ref="DW140:DW203" si="52">D140+L140</f>
        <v>1</v>
      </c>
      <c r="DX140" s="47">
        <f t="shared" ref="DX140:DX200" si="53">SUM(DP140:DW140)</f>
        <v>996.66180833333328</v>
      </c>
      <c r="DY140" s="50">
        <f t="shared" ref="DY140:DY200" si="54">I140+Q140+S140+X140+AB140+AF140+AJ140+AL140+AO140+AR140+AU140+AX140+BA140+BE140+BG140+BI140+BN140-DX140+BP140+BS140+BV140+CA140+CC140+CF140+CH140+CK140+CO140+CS140+CU140+CW140+CZ140+DN140+DG140+DI140</f>
        <v>0</v>
      </c>
      <c r="EA140" s="51">
        <f t="shared" si="35"/>
        <v>7.4177619109966064E-2</v>
      </c>
      <c r="EB140" s="51">
        <f t="shared" si="35"/>
        <v>0.1948958246176066</v>
      </c>
      <c r="EC140" s="51">
        <f t="shared" si="35"/>
        <v>0.48326949620498572</v>
      </c>
      <c r="ED140" s="48"/>
      <c r="EE140" s="51">
        <f t="shared" si="36"/>
        <v>0.10550260458209425</v>
      </c>
      <c r="EF140" s="51">
        <f t="shared" si="36"/>
        <v>0.10587710473538511</v>
      </c>
      <c r="EG140" s="51">
        <f t="shared" si="36"/>
        <v>3.527400137744819E-2</v>
      </c>
      <c r="EH140" s="52">
        <f t="shared" si="30"/>
        <v>1.0033493725140818E-3</v>
      </c>
      <c r="EI140" s="51">
        <f t="shared" si="31"/>
        <v>0.99899665062748599</v>
      </c>
      <c r="EK140" s="53">
        <f>(EA140*'[2]Renewable Diesel'!BF149*'[2]Feedstock Conversion Rates'!B$2)+FB140</f>
        <v>80.450008521143545</v>
      </c>
      <c r="EL140" s="53">
        <f>(EB140*'[2]Renewable Diesel'!BF149*'[2]Feedstock Conversion Rates'!B$3)+FC140</f>
        <v>199.19082494823553</v>
      </c>
      <c r="EM140" s="53">
        <f>(EC140*'[2]Renewable Diesel'!BF149*'[2]Feedstock Conversion Rates'!B$4)+FD140</f>
        <v>462.47144854944725</v>
      </c>
      <c r="EN140" s="48"/>
      <c r="EO140" s="53">
        <f>(EE140*'[2]Renewable Diesel'!BF149*'[2]Feedstock Conversion Rates'!B$6)+FF140</f>
        <v>126.2700344203396</v>
      </c>
      <c r="EP140" s="53">
        <f>(EF140*'[2]Renewable Diesel'!BF149*'[2]Feedstock Conversion Rates'!B$7)+FG140</f>
        <v>124.28655869883899</v>
      </c>
      <c r="EQ140" s="53">
        <f>(EG140*'[2]Renewable Diesel'!BF149*'[2]Feedstock Conversion Rates'!B$8)+FH140</f>
        <v>42.194931195916446</v>
      </c>
      <c r="ER140" s="53">
        <f>(EH140*'[2]Renewable Diesel'!BF149*'[2]Feedstock Conversion Rates'!B$9)+FI140</f>
        <v>1.1842085578895425</v>
      </c>
      <c r="ES140" s="53">
        <f t="shared" si="32"/>
        <v>1036.0480148918111</v>
      </c>
      <c r="ET140" s="36">
        <f>ES140/'[2]Renewable Diesel'!BF149</f>
        <v>8.1198050783140534</v>
      </c>
    </row>
    <row r="141" spans="1:150" x14ac:dyDescent="0.25">
      <c r="A141" s="39">
        <v>44713</v>
      </c>
      <c r="B141" s="45">
        <f>55+120+49+5+10+21-40-12.5-2+6+25+14-5-1-4-1-6-9-4+20-20+40+20-10+20+17.5+32.5+50-10-48-17+3.75+42+3-40-10-5-30-10-7+32.5+20-26-50-3.5-12.5-12.5-1-75-40-75+30-10+25</f>
        <v>64.25</v>
      </c>
      <c r="C141" s="46"/>
      <c r="D141" s="45">
        <v>1</v>
      </c>
      <c r="E141" s="45">
        <f>('[2]Renewable Diesel'!B150*E$3*'[2]Feedstock Conversion Rates'!$B$2)/12-30-21-14+5+1+9-32.5+10+5+7+26+3.5+40</f>
        <v>98.929999999999993</v>
      </c>
      <c r="F141" s="45">
        <f>('[2]Renewable Diesel'!B150*'[2]RD Feedstock Breakdown'!F$3*'[2]Feedstock Conversion Rates'!B$8)/12+28.5-49-5+2-6+1+6+20-20-3.75+10+12.5+10-25</f>
        <v>35.15625</v>
      </c>
      <c r="G141" s="45">
        <f>('[2]Renewable Diesel'!B150*'[2]RD Feedstock Breakdown'!G$3*'[2]Feedstock Conversion Rates'!B$7)/12-25-15-25+4+4-20-40-20+10-17-10.5+40+10-20+75-20</f>
        <v>106.65700000000001</v>
      </c>
      <c r="H141" s="45">
        <f>('[2]Renewable Diesel'!B150*'[2]RD Feedstock Breakdown'!H$3*'[2]Feedstock Conversion Rates'!B$3)/12+11.5-120-10-5-50+48-42.5+17-3+30+50+12.5+75</f>
        <v>189.90022499999998</v>
      </c>
      <c r="I141" s="47">
        <f t="shared" si="33"/>
        <v>495.89347499999997</v>
      </c>
      <c r="J141" s="47"/>
      <c r="K141" s="48"/>
      <c r="L141" s="47"/>
      <c r="R141" s="45">
        <f>('[2]Renewable Diesel'!D150*'[2]RD Feedstock Breakdown'!R$3*'[2]Feedstock Conversion Rates'!B$7)/12</f>
        <v>2.2999999999999998</v>
      </c>
      <c r="S141" s="47">
        <f t="shared" si="44"/>
        <v>2.2999999999999998</v>
      </c>
      <c r="T141" s="46"/>
      <c r="U141" s="45"/>
      <c r="V141" s="45"/>
      <c r="W141" s="45"/>
      <c r="X141" s="47"/>
      <c r="Y141" s="45">
        <f>12.5+15+1+8-20+27.5-5-39+19-19+25-25+25</f>
        <v>25</v>
      </c>
      <c r="Z141" s="45">
        <f>('[2]Renewable Diesel'!F150*'[2]RD Feedstock Breakdown'!Z$3*'[2]Feedstock Conversion Rates'!B$6)/12+5-15-1-8+20-27.5+5+19-25+25</f>
        <v>42.055000000000007</v>
      </c>
      <c r="AA141" s="45">
        <f>('[2]Renewable Diesel'!F150*'[2]RD Feedstock Breakdown'!AA$3*'[2]Feedstock Conversion Rates'!B$7)/12-17.5+10+10-25</f>
        <v>6.6333333333333293</v>
      </c>
      <c r="AB141" s="47">
        <f t="shared" si="39"/>
        <v>73.688333333333333</v>
      </c>
      <c r="AC141" s="46"/>
      <c r="AD141" s="45">
        <f>('[2]Renewable Diesel'!G150*'[2]RD Feedstock Breakdown'!AD$3*'[2]Feedstock Conversion Rates'!B$4)/12</f>
        <v>0</v>
      </c>
      <c r="AE141" s="45">
        <f>('[2]Renewable Diesel'!G150*'[2]RD Feedstock Breakdown'!AE$3*'[2]Feedstock Conversion Rates'!B$6)/12</f>
        <v>0</v>
      </c>
      <c r="AF141" s="47">
        <f t="shared" ref="AF141:AF147" si="55">SUM(AC141:AE141)</f>
        <v>0</v>
      </c>
      <c r="AG141" s="46"/>
      <c r="AH141" s="45">
        <v>0</v>
      </c>
      <c r="AI141" s="45">
        <f>('[2]Renewable Diesel'!H150*'[2]RD Feedstock Breakdown'!AI$3*'[2]Feedstock Conversion Rates'!B$6)/12</f>
        <v>58.625000000000007</v>
      </c>
      <c r="AJ141" s="47">
        <f t="shared" si="42"/>
        <v>58.625000000000007</v>
      </c>
      <c r="AK141" s="45">
        <f>('[2]Renewable Diesel'!J150*'[2]RD Feedstock Breakdown'!AK$3*'[2]Feedstock Conversion Rates'!B$4)/12</f>
        <v>95.8125</v>
      </c>
      <c r="AL141" s="47">
        <f t="shared" si="45"/>
        <v>95.8125</v>
      </c>
      <c r="AM141" s="45">
        <f>('[2]Renewable Diesel'!K150*'[2]RD Feedstock Breakdown'!AM$3*'[2]Feedstock Conversion Rates'!B$4)/12</f>
        <v>0</v>
      </c>
      <c r="AN141" s="45">
        <f>('[2]Renewable Diesel'!K150*'[2]RD Feedstock Breakdown'!AN$3*'[2]Feedstock Conversion Rates'!B$6)/12</f>
        <v>0</v>
      </c>
      <c r="AO141" s="47">
        <f t="shared" ref="AO141:AO204" si="56">SUM(AM141:AN141)</f>
        <v>0</v>
      </c>
      <c r="AP141" s="45">
        <f>('[2]Renewable Diesel'!L150*'[2]RD Feedstock Breakdown'!AP$3*'[2]Feedstock Conversion Rates'!B$4)/12+15-7.5</f>
        <v>49.6875</v>
      </c>
      <c r="AQ141" s="45">
        <f>('[2]Renewable Diesel'!L150*'[2]RD Feedstock Breakdown'!AQ$3*'[2]Feedstock Conversion Rates'!B$6)/12-15+7.55</f>
        <v>10.137500000000003</v>
      </c>
      <c r="AR141" s="47">
        <f t="shared" si="46"/>
        <v>59.825000000000003</v>
      </c>
      <c r="AS141" s="45"/>
      <c r="AT141" s="46"/>
      <c r="AU141" s="47"/>
      <c r="AV141" s="45">
        <f>'[2]Renewable Diesel'!N150*'[2]RD Feedstock Breakdown'!$AV$3*'[2]Feedstock Conversion Rates'!$B$4/12+3</f>
        <v>81.749999999999986</v>
      </c>
      <c r="AW141" s="45">
        <f>'[2]Renewable Diesel'!N150*'[2]RD Feedstock Breakdown'!$AW$3*'[2]Feedstock Conversion Rates'!$B$7/12-3</f>
        <v>38.4</v>
      </c>
      <c r="AX141" s="47">
        <f t="shared" si="40"/>
        <v>120.14999999999998</v>
      </c>
      <c r="AY141" s="45">
        <f>('[2]Renewable Diesel'!O150*'[2]RD Feedstock Breakdown'!AY$3*'[2]Feedstock Conversion Rates'!B$4)/12+5</f>
        <v>72.5</v>
      </c>
      <c r="AZ141" s="45">
        <f>('[2]Renewable Diesel'!O150*'[2]RD Feedstock Breakdown'!AZ$3*'[2]Feedstock Conversion Rates'!B$3)/12-5</f>
        <v>3.01</v>
      </c>
      <c r="BA141" s="47">
        <f t="shared" si="43"/>
        <v>75.510000000000005</v>
      </c>
      <c r="BF141" s="45">
        <f>('[2]Renewable Diesel'!R150*'[2]RD Feedstock Breakdown'!BF$3*'[2]Feedstock Conversion Rates'!B$4)/12</f>
        <v>46.875</v>
      </c>
      <c r="BG141" s="47">
        <f t="shared" si="47"/>
        <v>46.875</v>
      </c>
      <c r="BH141" s="45">
        <f>('[2]Renewable Diesel'!T150*'[2]RD Feedstock Breakdown'!BH$3*'[2]Feedstock Conversion Rates'!B$7)/12</f>
        <v>0</v>
      </c>
      <c r="BI141" s="47">
        <f t="shared" si="41"/>
        <v>0</v>
      </c>
      <c r="BJ141" s="45">
        <f>('[2]Renewable Diesel'!W150*'[2]RD Feedstock Breakdown'!BJ$3*'[2]Feedstock Conversion Rates'!B$4)/12</f>
        <v>7.5</v>
      </c>
      <c r="BK141" s="45">
        <f>('[2]Renewable Diesel'!W150*'[2]RD Feedstock Breakdown'!BK$3*'[2]Feedstock Conversion Rates'!B$3)/12</f>
        <v>1.335</v>
      </c>
      <c r="BL141" s="45">
        <f>('[2]Renewable Diesel'!W150*'[2]RD Feedstock Breakdown'!BL$3*'[2]Feedstock Conversion Rates'!B$6)/12</f>
        <v>3.1266666666666669</v>
      </c>
      <c r="BM141" s="45">
        <f>('[2]Renewable Diesel'!W150*'[2]RD Feedstock Breakdown'!BM$3*'[2]Feedstock Conversion Rates'!B$7)/12</f>
        <v>1.5333333333333332</v>
      </c>
      <c r="BN141" s="47">
        <f t="shared" si="34"/>
        <v>13.495000000000001</v>
      </c>
      <c r="BO141" s="47"/>
      <c r="BP141" s="47"/>
      <c r="BQ141" s="45"/>
      <c r="BR141" s="45"/>
      <c r="BS141" s="47"/>
      <c r="BT141" s="45"/>
      <c r="BU141" s="45"/>
      <c r="BV141" s="47"/>
      <c r="BW141" s="47"/>
      <c r="BX141" s="48"/>
      <c r="BY141" s="47"/>
      <c r="BZ141" s="47"/>
      <c r="CA141" s="47"/>
      <c r="CB141" s="47"/>
      <c r="CC141" s="47"/>
      <c r="CD141" s="47"/>
      <c r="CE141" s="47"/>
      <c r="CF141" s="47"/>
      <c r="CG141" s="45">
        <f>('[2]Renewable Diesel'!AD150*'[2]Feedstock Conversion Rates'!B$4)/12</f>
        <v>0</v>
      </c>
      <c r="CH141" s="47">
        <f>CG141</f>
        <v>0</v>
      </c>
      <c r="CI141" s="48"/>
      <c r="CJ141" s="47"/>
      <c r="CK141" s="47"/>
      <c r="CL141" s="45"/>
      <c r="CM141" s="45"/>
      <c r="CN141" s="45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8"/>
      <c r="DE141" s="47"/>
      <c r="DF141" s="47"/>
      <c r="DG141" s="47"/>
      <c r="DH141" s="47"/>
      <c r="DI141" s="47"/>
      <c r="DJ141" s="48"/>
      <c r="DK141" s="47"/>
      <c r="DL141" s="47"/>
      <c r="DM141" s="47"/>
      <c r="DN141" s="47"/>
      <c r="DP141" s="45">
        <f t="shared" si="48"/>
        <v>98.929999999999993</v>
      </c>
      <c r="DQ141" s="45">
        <f t="shared" si="49"/>
        <v>194.24522499999998</v>
      </c>
      <c r="DR141" s="45">
        <f t="shared" ref="DR141:DR204" si="57">AD141+AK141+AM141+AP141+AV141+AY141+BB141+BF141+BJ141+Y141+B141+BO141+BQ141+BW141+CB141+CE141+CG141+CJ141+BT141+CN141+CR141+CT141+DF141+DH141+AS141+J141+U141+AH141</f>
        <v>443.375</v>
      </c>
      <c r="DS141" s="48"/>
      <c r="DT141" s="45">
        <f t="shared" si="50"/>
        <v>113.94416666666667</v>
      </c>
      <c r="DU141" s="45">
        <f t="shared" si="51"/>
        <v>155.52366666666666</v>
      </c>
      <c r="DV141" s="45">
        <f t="shared" ref="DV141:DV204" si="58">F141+N141+W141+DM141</f>
        <v>35.15625</v>
      </c>
      <c r="DW141" s="45">
        <f t="shared" si="52"/>
        <v>1</v>
      </c>
      <c r="DX141" s="47">
        <f t="shared" si="53"/>
        <v>1042.1743083333333</v>
      </c>
      <c r="DY141" s="50">
        <f t="shared" si="54"/>
        <v>-2.2737367544323206E-13</v>
      </c>
      <c r="EA141" s="51">
        <f t="shared" si="35"/>
        <v>9.4926538880248254E-2</v>
      </c>
      <c r="EB141" s="51">
        <f t="shared" si="35"/>
        <v>0.18638458408233163</v>
      </c>
      <c r="EC141" s="51">
        <f t="shared" si="35"/>
        <v>0.42543267134367807</v>
      </c>
      <c r="ED141" s="48"/>
      <c r="EE141" s="51">
        <f t="shared" si="36"/>
        <v>0.10933311803558901</v>
      </c>
      <c r="EF141" s="51">
        <f t="shared" si="36"/>
        <v>0.14922999485122918</v>
      </c>
      <c r="EG141" s="51">
        <f t="shared" si="36"/>
        <v>3.3733560421598377E-2</v>
      </c>
      <c r="EH141" s="52">
        <f t="shared" ref="EH141:EH204" si="59">DW141/DX141</f>
        <v>9.5953238532546503E-4</v>
      </c>
      <c r="EI141" s="51">
        <f t="shared" ref="EI141:EI204" si="60">SUM(EA141:EG141)</f>
        <v>0.99904046761467458</v>
      </c>
      <c r="EK141" s="53">
        <f>(EA141*'[2]Renewable Diesel'!BF150*'[2]Feedstock Conversion Rates'!B$2)+FB141</f>
        <v>90.755674081411058</v>
      </c>
      <c r="EL141" s="53">
        <f>(EB141*'[2]Renewable Diesel'!BF150*'[2]Feedstock Conversion Rates'!B$3)+FC141</f>
        <v>167.92282031749434</v>
      </c>
      <c r="EM141" s="53">
        <f>(EC141*'[2]Renewable Diesel'!BF150*'[2]Feedstock Conversion Rates'!B$4)+FD141</f>
        <v>358.88831374393328</v>
      </c>
      <c r="EN141" s="48"/>
      <c r="EO141" s="53">
        <f>(EE141*'[2]Renewable Diesel'!BF150*'[2]Feedstock Conversion Rates'!B$6)+FF141</f>
        <v>115.35111237253138</v>
      </c>
      <c r="EP141" s="53">
        <f>(EF141*'[2]Renewable Diesel'!BF150*'[2]Feedstock Conversion Rates'!B$7)+FG141</f>
        <v>154.42270872013287</v>
      </c>
      <c r="EQ141" s="53">
        <f>(EG141*'[2]Renewable Diesel'!BF150*'[2]Feedstock Conversion Rates'!B$8)+FH141</f>
        <v>35.571376600113204</v>
      </c>
      <c r="ER141" s="53">
        <f>(EH141*'[2]Renewable Diesel'!BF150*'[2]Feedstock Conversion Rates'!B$9)+FI141</f>
        <v>0.99831727157414019</v>
      </c>
      <c r="ES141" s="53">
        <f t="shared" ref="ES141:ES204" si="61">SUM(EK141:ER141)</f>
        <v>923.91032310719027</v>
      </c>
      <c r="ET141" s="36">
        <f>ES141/'[2]Renewable Diesel'!BF150</f>
        <v>8.2141495373810507</v>
      </c>
    </row>
    <row r="142" spans="1:150" x14ac:dyDescent="0.25">
      <c r="A142" s="39">
        <v>44743</v>
      </c>
      <c r="B142" s="45">
        <f>55+120+49+5+10+21-40-12.5-2+6+25+14-5-1-4-1-6-9-4+20-20+40+20-10+20+17.5+32.5+50-10-48-17+3.75+42+3-40-10-5-30-10-7+32.5+20-26-50-3.5-12.5-12.5-1-75-80-10-44+30-10+15</f>
        <v>35.25</v>
      </c>
      <c r="C142" s="46"/>
      <c r="D142" s="45">
        <v>1</v>
      </c>
      <c r="E142" s="45">
        <f>('[2]Renewable Diesel'!B151*E$3*'[2]Feedstock Conversion Rates'!$B$2)/12-30-21-14+5+1+9-32.5+10+5+7+26+3.5+44</f>
        <v>102.92999999999999</v>
      </c>
      <c r="F142" s="45">
        <f>('[2]Renewable Diesel'!B151*'[2]RD Feedstock Breakdown'!F$3*'[2]Feedstock Conversion Rates'!B$8)/12+28.5-49-5+2-6+1+6+20-20-3.75+10+12.5+10-15</f>
        <v>45.15625</v>
      </c>
      <c r="G142" s="45">
        <f>('[2]Renewable Diesel'!B151*'[2]RD Feedstock Breakdown'!G$3*'[2]Feedstock Conversion Rates'!B$7)/12-25-15-25+4+4-20-40-20+10-17.5+40+10-20+80+10-10-20</f>
        <v>121.65700000000001</v>
      </c>
      <c r="H142" s="45">
        <f>('[2]Renewable Diesel'!B151*'[2]RD Feedstock Breakdown'!H$3*'[2]Feedstock Conversion Rates'!B$3)/12+11.5-120-10-5-50+48-42.5+17-3+30+50+12.5+75</f>
        <v>189.90022499999998</v>
      </c>
      <c r="I142" s="47">
        <f t="shared" si="33"/>
        <v>495.89347499999997</v>
      </c>
      <c r="J142" s="47"/>
      <c r="K142" s="48"/>
      <c r="L142" s="47"/>
      <c r="R142" s="45">
        <f>('[2]Renewable Diesel'!D151*'[2]RD Feedstock Breakdown'!R$3*'[2]Feedstock Conversion Rates'!B$7)/12</f>
        <v>2.2999999999999998</v>
      </c>
      <c r="S142" s="47">
        <f t="shared" si="44"/>
        <v>2.2999999999999998</v>
      </c>
      <c r="T142" s="46"/>
      <c r="U142" s="45">
        <v>0</v>
      </c>
      <c r="V142" s="45">
        <f>('[2]Renewable Diesel'!E151*'[2]RD Feedstock Breakdown'!V$3*'[2]Feedstock Conversion Rates'!B$6)/12-25+25</f>
        <v>2.6029499999999999</v>
      </c>
      <c r="W142" s="45">
        <f>('[2]Renewable Diesel'!E151*'[2]RD Feedstock Breakdown'!W$3*'[2]Feedstock Conversion Rates'!B$8)/12</f>
        <v>1.3046875000000002</v>
      </c>
      <c r="X142" s="47">
        <f t="shared" ref="X142:X205" si="62">SUM(T142:W142)</f>
        <v>3.9076374999999999</v>
      </c>
      <c r="Y142" s="45">
        <f>12.5+15+1+8-20+27.5-5-39+19-19+25-25+25-25</f>
        <v>0</v>
      </c>
      <c r="Z142" s="45">
        <f>('[2]Renewable Diesel'!F151*'[2]RD Feedstock Breakdown'!Z$3*'[2]Feedstock Conversion Rates'!B$6)/12+5-15-1-8+20-27.5+5+19-25+25+25</f>
        <v>67.055000000000007</v>
      </c>
      <c r="AA142" s="45">
        <f>('[2]Renewable Diesel'!F151*'[2]RD Feedstock Breakdown'!AA$3*'[2]Feedstock Conversion Rates'!B$7)/12-17.5+10+10-25</f>
        <v>6.6333333333333293</v>
      </c>
      <c r="AB142" s="47">
        <f t="shared" si="39"/>
        <v>73.688333333333333</v>
      </c>
      <c r="AC142" s="46"/>
      <c r="AD142" s="45">
        <f>('[2]Renewable Diesel'!G151*'[2]RD Feedstock Breakdown'!AD$3*'[2]Feedstock Conversion Rates'!B$4)/12</f>
        <v>0</v>
      </c>
      <c r="AE142" s="45">
        <f>('[2]Renewable Diesel'!G151*'[2]RD Feedstock Breakdown'!AE$3*'[2]Feedstock Conversion Rates'!B$6)/12</f>
        <v>0</v>
      </c>
      <c r="AF142" s="47">
        <f t="shared" si="55"/>
        <v>0</v>
      </c>
      <c r="AG142" s="46"/>
      <c r="AH142" s="45">
        <v>0</v>
      </c>
      <c r="AI142" s="45">
        <f>('[2]Renewable Diesel'!H151*'[2]RD Feedstock Breakdown'!AI$3*'[2]Feedstock Conversion Rates'!B$6)/12</f>
        <v>58.625000000000007</v>
      </c>
      <c r="AJ142" s="47">
        <f t="shared" si="42"/>
        <v>58.625000000000007</v>
      </c>
      <c r="AK142" s="45">
        <f>('[2]Renewable Diesel'!J151*'[2]RD Feedstock Breakdown'!AK$3*'[2]Feedstock Conversion Rates'!B$4)/12</f>
        <v>95.8125</v>
      </c>
      <c r="AL142" s="47">
        <f t="shared" si="45"/>
        <v>95.8125</v>
      </c>
      <c r="AM142" s="45">
        <f>('[2]Renewable Diesel'!K151*'[2]RD Feedstock Breakdown'!AM$3*'[2]Feedstock Conversion Rates'!B$4)/12</f>
        <v>0</v>
      </c>
      <c r="AN142" s="45">
        <f>('[2]Renewable Diesel'!K151*'[2]RD Feedstock Breakdown'!AN$3*'[2]Feedstock Conversion Rates'!B$6)/12</f>
        <v>0</v>
      </c>
      <c r="AO142" s="47">
        <f t="shared" si="56"/>
        <v>0</v>
      </c>
      <c r="AP142" s="45">
        <f>('[2]Renewable Diesel'!L151*'[2]RD Feedstock Breakdown'!AP$3*'[2]Feedstock Conversion Rates'!B$4)/12+15-7.5</f>
        <v>66.09375</v>
      </c>
      <c r="AQ142" s="45">
        <f>('[2]Renewable Diesel'!L151*'[2]RD Feedstock Breakdown'!AQ$3*'[2]Feedstock Conversion Rates'!B$6)/12-15+7.55</f>
        <v>16.977083333333333</v>
      </c>
      <c r="AR142" s="47">
        <f t="shared" si="46"/>
        <v>83.070833333333326</v>
      </c>
      <c r="AS142" s="45"/>
      <c r="AT142" s="46"/>
      <c r="AU142" s="47"/>
      <c r="AV142" s="45">
        <f>'[2]Renewable Diesel'!N151*'[2]RD Feedstock Breakdown'!$AV$3*'[2]Feedstock Conversion Rates'!$B$4/12+3</f>
        <v>81.749999999999986</v>
      </c>
      <c r="AW142" s="45">
        <f>'[2]Renewable Diesel'!N151*'[2]RD Feedstock Breakdown'!$AW$3*'[2]Feedstock Conversion Rates'!$B$7/12-3</f>
        <v>38.4</v>
      </c>
      <c r="AX142" s="47">
        <f t="shared" si="40"/>
        <v>120.14999999999998</v>
      </c>
      <c r="AY142" s="45">
        <f>('[2]Renewable Diesel'!O151*'[2]RD Feedstock Breakdown'!AY$3*'[2]Feedstock Conversion Rates'!B$4)/12+5</f>
        <v>72.5</v>
      </c>
      <c r="AZ142" s="45">
        <f>('[2]Renewable Diesel'!O151*'[2]RD Feedstock Breakdown'!AZ$3*'[2]Feedstock Conversion Rates'!B$3)/12-5</f>
        <v>3.01</v>
      </c>
      <c r="BA142" s="47">
        <f t="shared" si="43"/>
        <v>75.510000000000005</v>
      </c>
      <c r="BB142" s="45">
        <f>('[2]Renewable Diesel'!Q151*'[2]RD Feedstock Breakdown'!BB$3*'[2]Feedstock Conversion Rates'!B$4)/12</f>
        <v>0</v>
      </c>
      <c r="BC142" s="45">
        <f>('[2]Renewable Diesel'!Q151*'[2]RD Feedstock Breakdown'!BC$3*'[2]Feedstock Conversion Rates'!B$3)/12</f>
        <v>0</v>
      </c>
      <c r="BD142" s="45">
        <f>('[2]Renewable Diesel'!Q151*'[2]RD Feedstock Breakdown'!BD$3*'[2]Feedstock Conversion Rates'!B$6)/12</f>
        <v>0</v>
      </c>
      <c r="BE142" s="47">
        <f>SUM(BB142:BD142)</f>
        <v>0</v>
      </c>
      <c r="BF142" s="45">
        <f>('[2]Renewable Diesel'!R151*'[2]RD Feedstock Breakdown'!BF$3*'[2]Feedstock Conversion Rates'!B$4)/12</f>
        <v>62.5</v>
      </c>
      <c r="BG142" s="47">
        <f t="shared" si="47"/>
        <v>62.5</v>
      </c>
      <c r="BH142" s="45">
        <f>('[2]Renewable Diesel'!T151*'[2]RD Feedstock Breakdown'!BH$3*'[2]Feedstock Conversion Rates'!B$7)/12</f>
        <v>0</v>
      </c>
      <c r="BI142" s="47">
        <f t="shared" si="41"/>
        <v>0</v>
      </c>
      <c r="BJ142" s="45">
        <f>('[2]Renewable Diesel'!W151*'[2]RD Feedstock Breakdown'!BJ$3*'[2]Feedstock Conversion Rates'!B$4)/12</f>
        <v>7.5</v>
      </c>
      <c r="BK142" s="45">
        <f>('[2]Renewable Diesel'!W151*'[2]RD Feedstock Breakdown'!BK$3*'[2]Feedstock Conversion Rates'!B$3)/12</f>
        <v>1.335</v>
      </c>
      <c r="BL142" s="45">
        <f>('[2]Renewable Diesel'!W151*'[2]RD Feedstock Breakdown'!BL$3*'[2]Feedstock Conversion Rates'!B$6)/12</f>
        <v>3.1266666666666669</v>
      </c>
      <c r="BM142" s="45">
        <f>('[2]Renewable Diesel'!W151*'[2]RD Feedstock Breakdown'!BM$3*'[2]Feedstock Conversion Rates'!B$7)/12</f>
        <v>1.5333333333333332</v>
      </c>
      <c r="BN142" s="47">
        <f t="shared" si="34"/>
        <v>13.495000000000001</v>
      </c>
      <c r="BO142" s="47"/>
      <c r="BP142" s="47"/>
      <c r="BQ142" s="45"/>
      <c r="BR142" s="45"/>
      <c r="BS142" s="47"/>
      <c r="BT142" s="45"/>
      <c r="BU142" s="45"/>
      <c r="BV142" s="47"/>
      <c r="BW142" s="47"/>
      <c r="BX142" s="48"/>
      <c r="BY142" s="47"/>
      <c r="BZ142" s="47"/>
      <c r="CA142" s="47"/>
      <c r="CB142" s="47"/>
      <c r="CC142" s="47"/>
      <c r="CD142" s="47"/>
      <c r="CE142" s="47"/>
      <c r="CF142" s="47"/>
      <c r="CG142" s="45">
        <f>('[2]Renewable Diesel'!AD151*'[2]Feedstock Conversion Rates'!B$4)/12</f>
        <v>0</v>
      </c>
      <c r="CH142" s="47">
        <f t="shared" ref="CH142:CH205" si="63">CG142</f>
        <v>0</v>
      </c>
      <c r="CI142" s="48"/>
      <c r="CJ142" s="47"/>
      <c r="CK142" s="47"/>
      <c r="CL142" s="45"/>
      <c r="CM142" s="45"/>
      <c r="CN142" s="45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8"/>
      <c r="DE142" s="47"/>
      <c r="DF142" s="47"/>
      <c r="DG142" s="47"/>
      <c r="DH142" s="47"/>
      <c r="DI142" s="47"/>
      <c r="DJ142" s="48"/>
      <c r="DK142" s="47"/>
      <c r="DL142" s="47"/>
      <c r="DM142" s="47"/>
      <c r="DN142" s="47"/>
      <c r="DP142" s="45">
        <f t="shared" si="48"/>
        <v>102.92999999999999</v>
      </c>
      <c r="DQ142" s="45">
        <f t="shared" si="49"/>
        <v>194.24522499999998</v>
      </c>
      <c r="DR142" s="45">
        <f t="shared" si="57"/>
        <v>421.40625</v>
      </c>
      <c r="DS142" s="48"/>
      <c r="DT142" s="45">
        <f t="shared" si="50"/>
        <v>148.38669999999999</v>
      </c>
      <c r="DU142" s="45">
        <f t="shared" si="51"/>
        <v>170.52366666666668</v>
      </c>
      <c r="DV142" s="45">
        <f t="shared" si="58"/>
        <v>46.4609375</v>
      </c>
      <c r="DW142" s="45">
        <f t="shared" si="52"/>
        <v>1</v>
      </c>
      <c r="DX142" s="47">
        <f t="shared" si="53"/>
        <v>1084.9527791666667</v>
      </c>
      <c r="DY142" s="50">
        <f t="shared" si="54"/>
        <v>-2.2737367544323206E-13</v>
      </c>
      <c r="EA142" s="51">
        <f t="shared" si="35"/>
        <v>9.4870488353473531E-2</v>
      </c>
      <c r="EB142" s="51">
        <f t="shared" si="35"/>
        <v>0.17903564904381952</v>
      </c>
      <c r="EC142" s="51">
        <f t="shared" si="35"/>
        <v>0.38840976132037264</v>
      </c>
      <c r="ED142" s="48"/>
      <c r="EE142" s="51">
        <f t="shared" si="36"/>
        <v>0.13676788782823637</v>
      </c>
      <c r="EF142" s="51">
        <f t="shared" si="36"/>
        <v>0.15717151007958424</v>
      </c>
      <c r="EG142" s="51">
        <f t="shared" si="36"/>
        <v>4.2823004274606162E-2</v>
      </c>
      <c r="EH142" s="52">
        <f t="shared" si="59"/>
        <v>9.2169909990744722E-4</v>
      </c>
      <c r="EI142" s="51">
        <f t="shared" si="60"/>
        <v>0.99907830090009242</v>
      </c>
      <c r="EK142" s="53">
        <f>(EA142*'[2]Renewable Diesel'!BF151*'[2]Feedstock Conversion Rates'!B$2)+FB142</f>
        <v>84.935425970040384</v>
      </c>
      <c r="EL142" s="53">
        <f>(EB142*'[2]Renewable Diesel'!BF151*'[2]Feedstock Conversion Rates'!B$3)+FC142</f>
        <v>151.04655983615467</v>
      </c>
      <c r="EM142" s="53">
        <f>(EC142*'[2]Renewable Diesel'!BF151*'[2]Feedstock Conversion Rates'!B$4)+FD142</f>
        <v>306.82462110332546</v>
      </c>
      <c r="EN142" s="48"/>
      <c r="EO142" s="53">
        <f>(EE142*'[2]Renewable Diesel'!BF151*'[2]Feedstock Conversion Rates'!B$6)+FF142</f>
        <v>135.12191315943673</v>
      </c>
      <c r="EP142" s="53">
        <f>(EF142*'[2]Renewable Diesel'!BF151*'[2]Feedstock Conversion Rates'!B$7)+FG142</f>
        <v>152.30019539266536</v>
      </c>
      <c r="EQ142" s="53">
        <f>(EG142*'[2]Renewable Diesel'!BF151*'[2]Feedstock Conversion Rates'!B$8)+FH142</f>
        <v>42.285085782848462</v>
      </c>
      <c r="ER142" s="53">
        <f>(EH142*'[2]Renewable Diesel'!BF151*'[2]Feedstock Conversion Rates'!B$9)+FI142</f>
        <v>0.89798628447988482</v>
      </c>
      <c r="ES142" s="53">
        <f t="shared" si="61"/>
        <v>873.41178752895098</v>
      </c>
      <c r="ET142" s="36">
        <f>ES142/'[2]Renewable Diesel'!BF151</f>
        <v>8.2923999720579236</v>
      </c>
    </row>
    <row r="143" spans="1:150" x14ac:dyDescent="0.25">
      <c r="A143" s="39">
        <v>44774</v>
      </c>
      <c r="B143" s="45">
        <f>55+120+49+5+10+21-40-12.5-2+6+25+14-5-1-4-1-6-9-4+20-20+40+20-10+20+17.5+32.5+50-10-48-17+3.75+42+3-40-10-5-30-10-7+32.5+20-26-50-3.5-12.5-12.5-1-25-100-75+50+30-10+20</f>
        <v>99.25</v>
      </c>
      <c r="C143" s="46"/>
      <c r="D143" s="45">
        <v>1</v>
      </c>
      <c r="E143" s="45">
        <f>('[2]Renewable Diesel'!B152*E$3*'[2]Feedstock Conversion Rates'!$B$2)/12-30-21-14+5+1+9-32.5+10+5+7+26+3.5+75-50</f>
        <v>83.93</v>
      </c>
      <c r="F143" s="45">
        <f>('[2]Renewable Diesel'!B152*'[2]RD Feedstock Breakdown'!F$3*'[2]Feedstock Conversion Rates'!B$8)/12+28.5-49-5+2-6+1+6+20-20-3.75+10+12.5+10-20</f>
        <v>40.15625</v>
      </c>
      <c r="G143" s="45">
        <f>('[2]Renewable Diesel'!B152*'[2]RD Feedstock Breakdown'!G$3*'[2]Feedstock Conversion Rates'!B$7)/12-25-15-25+4+4-20-40-20+10-17.5+40+10-20+100-10-20</f>
        <v>131.65700000000001</v>
      </c>
      <c r="H143" s="45">
        <f>('[2]Renewable Diesel'!B152*'[2]RD Feedstock Breakdown'!H$3*'[2]Feedstock Conversion Rates'!B$3)/12+11.5-120-10-5-50+48-42.5+17-3+30+50+12.5+25</f>
        <v>139.90022499999998</v>
      </c>
      <c r="I143" s="47">
        <f t="shared" si="33"/>
        <v>495.89347499999997</v>
      </c>
      <c r="J143" s="47"/>
      <c r="K143" s="48"/>
      <c r="L143" s="47"/>
      <c r="R143" s="45">
        <f>('[2]Renewable Diesel'!D152*'[2]RD Feedstock Breakdown'!R$3*'[2]Feedstock Conversion Rates'!B$7)/12</f>
        <v>2.2999999999999998</v>
      </c>
      <c r="S143" s="47">
        <f t="shared" si="44"/>
        <v>2.2999999999999998</v>
      </c>
      <c r="T143" s="46"/>
      <c r="U143" s="45">
        <v>0</v>
      </c>
      <c r="V143" s="45">
        <f>('[2]Renewable Diesel'!E152*'[2]RD Feedstock Breakdown'!V$3*'[2]Feedstock Conversion Rates'!B$6)/12-25+25</f>
        <v>7.8088499999999996</v>
      </c>
      <c r="W143" s="45">
        <f>('[2]Renewable Diesel'!E152*'[2]RD Feedstock Breakdown'!W$3*'[2]Feedstock Conversion Rates'!B$8)/12</f>
        <v>3.9140625000000004</v>
      </c>
      <c r="X143" s="47">
        <f t="shared" si="62"/>
        <v>11.7229125</v>
      </c>
      <c r="Y143" s="45">
        <f>12.5+15+1+8-20+27.5-5-39+19-19+25-25+25</f>
        <v>25</v>
      </c>
      <c r="Z143" s="45">
        <f>('[2]Renewable Diesel'!F152*'[2]RD Feedstock Breakdown'!Z$3*'[2]Feedstock Conversion Rates'!B$6)/12+5-15-1-8+20-27.5+5+19-25+25</f>
        <v>42.055000000000007</v>
      </c>
      <c r="AA143" s="45">
        <f>('[2]Renewable Diesel'!F152*'[2]RD Feedstock Breakdown'!AA$3*'[2]Feedstock Conversion Rates'!B$7)/12-17.5+10+10-25</f>
        <v>6.6333333333333293</v>
      </c>
      <c r="AB143" s="47">
        <f t="shared" si="39"/>
        <v>73.688333333333333</v>
      </c>
      <c r="AC143" s="46"/>
      <c r="AD143" s="45">
        <f>('[2]Renewable Diesel'!G152*'[2]RD Feedstock Breakdown'!AD$3*'[2]Feedstock Conversion Rates'!B$4)/12</f>
        <v>0</v>
      </c>
      <c r="AE143" s="45">
        <f>('[2]Renewable Diesel'!G152*'[2]RD Feedstock Breakdown'!AE$3*'[2]Feedstock Conversion Rates'!B$6)/12</f>
        <v>0</v>
      </c>
      <c r="AF143" s="47">
        <f t="shared" si="55"/>
        <v>0</v>
      </c>
      <c r="AG143" s="46"/>
      <c r="AH143" s="45">
        <v>0</v>
      </c>
      <c r="AI143" s="45">
        <f>('[2]Renewable Diesel'!H152*'[2]RD Feedstock Breakdown'!AI$3*'[2]Feedstock Conversion Rates'!B$6)/12</f>
        <v>58.625000000000007</v>
      </c>
      <c r="AJ143" s="47">
        <f t="shared" si="42"/>
        <v>58.625000000000007</v>
      </c>
      <c r="AK143" s="45">
        <f>('[2]Renewable Diesel'!J152*'[2]RD Feedstock Breakdown'!AK$3*'[2]Feedstock Conversion Rates'!B$4)/12</f>
        <v>95.8125</v>
      </c>
      <c r="AL143" s="47">
        <f t="shared" si="45"/>
        <v>95.8125</v>
      </c>
      <c r="AM143" s="45">
        <f>('[2]Renewable Diesel'!K152*'[2]RD Feedstock Breakdown'!AM$3*'[2]Feedstock Conversion Rates'!B$4)/12</f>
        <v>0</v>
      </c>
      <c r="AN143" s="45">
        <f>('[2]Renewable Diesel'!K152*'[2]RD Feedstock Breakdown'!AN$3*'[2]Feedstock Conversion Rates'!B$6)/12</f>
        <v>0</v>
      </c>
      <c r="AO143" s="47">
        <f t="shared" si="56"/>
        <v>0</v>
      </c>
      <c r="AP143" s="45">
        <f>('[2]Renewable Diesel'!L152*'[2]RD Feedstock Breakdown'!AP$3*'[2]Feedstock Conversion Rates'!B$4)/12+15-7.5</f>
        <v>66.09375</v>
      </c>
      <c r="AQ143" s="45">
        <f>('[2]Renewable Diesel'!L152*'[2]RD Feedstock Breakdown'!AQ$3*'[2]Feedstock Conversion Rates'!B$6)/12-15+7.55</f>
        <v>16.977083333333333</v>
      </c>
      <c r="AR143" s="47">
        <f t="shared" si="46"/>
        <v>83.070833333333326</v>
      </c>
      <c r="AS143" s="45"/>
      <c r="AT143" s="46"/>
      <c r="AU143" s="47"/>
      <c r="AV143" s="45">
        <f>'[2]Renewable Diesel'!N152*'[2]RD Feedstock Breakdown'!$AV$3*'[2]Feedstock Conversion Rates'!$B$4/12+3</f>
        <v>81.749999999999986</v>
      </c>
      <c r="AW143" s="45">
        <f>'[2]Renewable Diesel'!N152*'[2]RD Feedstock Breakdown'!$AW$3*'[2]Feedstock Conversion Rates'!$B$7/12-3</f>
        <v>38.4</v>
      </c>
      <c r="AX143" s="47">
        <f t="shared" si="40"/>
        <v>120.14999999999998</v>
      </c>
      <c r="AY143" s="45">
        <f>('[2]Renewable Diesel'!O152*'[2]RD Feedstock Breakdown'!AY$3*'[2]Feedstock Conversion Rates'!B$4)/12+5</f>
        <v>72.5</v>
      </c>
      <c r="AZ143" s="45">
        <f>('[2]Renewable Diesel'!O152*'[2]RD Feedstock Breakdown'!AZ$3*'[2]Feedstock Conversion Rates'!B$3)/12-5</f>
        <v>3.01</v>
      </c>
      <c r="BA143" s="47">
        <f t="shared" si="43"/>
        <v>75.510000000000005</v>
      </c>
      <c r="BB143" s="45">
        <f>('[2]Renewable Diesel'!Q152*'[2]RD Feedstock Breakdown'!BB$3*'[2]Feedstock Conversion Rates'!B$4)/12</f>
        <v>0</v>
      </c>
      <c r="BC143" s="45">
        <f>('[2]Renewable Diesel'!Q152*'[2]RD Feedstock Breakdown'!BC$3*'[2]Feedstock Conversion Rates'!B$3)/12</f>
        <v>0</v>
      </c>
      <c r="BD143" s="45">
        <f>('[2]Renewable Diesel'!Q152*'[2]RD Feedstock Breakdown'!BD$3*'[2]Feedstock Conversion Rates'!B$6)/12</f>
        <v>0</v>
      </c>
      <c r="BE143" s="47">
        <f t="shared" ref="BE143:BE206" si="64">SUM(BB143:BD143)</f>
        <v>0</v>
      </c>
      <c r="BF143" s="45">
        <f>('[2]Renewable Diesel'!R152*'[2]RD Feedstock Breakdown'!BF$3*'[2]Feedstock Conversion Rates'!B$4)/12</f>
        <v>62.5</v>
      </c>
      <c r="BG143" s="47">
        <f t="shared" si="47"/>
        <v>62.5</v>
      </c>
      <c r="BH143" s="45">
        <f>('[2]Renewable Diesel'!T152*'[2]RD Feedstock Breakdown'!BH$3*'[2]Feedstock Conversion Rates'!B$7)/12</f>
        <v>0</v>
      </c>
      <c r="BI143" s="47">
        <f t="shared" si="41"/>
        <v>0</v>
      </c>
      <c r="BJ143" s="45">
        <f>('[2]Renewable Diesel'!W152*'[2]RD Feedstock Breakdown'!BJ$3*'[2]Feedstock Conversion Rates'!B$4)/12</f>
        <v>7.5</v>
      </c>
      <c r="BK143" s="45">
        <f>('[2]Renewable Diesel'!W152*'[2]RD Feedstock Breakdown'!BK$3*'[2]Feedstock Conversion Rates'!B$3)/12</f>
        <v>1.335</v>
      </c>
      <c r="BL143" s="45">
        <f>('[2]Renewable Diesel'!W152*'[2]RD Feedstock Breakdown'!BL$3*'[2]Feedstock Conversion Rates'!B$6)/12</f>
        <v>3.1266666666666669</v>
      </c>
      <c r="BM143" s="45">
        <f>('[2]Renewable Diesel'!W152*'[2]RD Feedstock Breakdown'!BM$3*'[2]Feedstock Conversion Rates'!B$7)/12</f>
        <v>1.5333333333333332</v>
      </c>
      <c r="BN143" s="47">
        <f t="shared" si="34"/>
        <v>13.495000000000001</v>
      </c>
      <c r="BO143" s="47"/>
      <c r="BP143" s="47"/>
      <c r="BQ143" s="45"/>
      <c r="BR143" s="45"/>
      <c r="BS143" s="47"/>
      <c r="BT143" s="45"/>
      <c r="BU143" s="45"/>
      <c r="BV143" s="47"/>
      <c r="BW143" s="47"/>
      <c r="BX143" s="48"/>
      <c r="BY143" s="47"/>
      <c r="BZ143" s="47"/>
      <c r="CA143" s="47"/>
      <c r="CB143" s="47"/>
      <c r="CC143" s="47"/>
      <c r="CD143" s="47"/>
      <c r="CE143" s="47"/>
      <c r="CF143" s="47"/>
      <c r="CG143" s="45">
        <f>('[2]Renewable Diesel'!AD152*'[2]Feedstock Conversion Rates'!B$4)/12</f>
        <v>0</v>
      </c>
      <c r="CH143" s="47">
        <f t="shared" si="63"/>
        <v>0</v>
      </c>
      <c r="CI143" s="48"/>
      <c r="CJ143" s="47"/>
      <c r="CK143" s="47"/>
      <c r="CL143" s="45">
        <f>(((CL$3*'[2]Renewable Diesel'!$AF153)*'[2]Feedstock Conversion Rates'!$B$3)/12)</f>
        <v>0</v>
      </c>
      <c r="CM143" s="45">
        <f>(((CM$3*'[2]Renewable Diesel'!$AF153)*'[2]Feedstock Conversion Rates'!$B$6)/12)</f>
        <v>0</v>
      </c>
      <c r="CN143" s="45">
        <f>(((CN$3*'[2]Renewable Diesel'!$AF153)*'[2]Feedstock Conversion Rates'!$B$4)/12)</f>
        <v>0</v>
      </c>
      <c r="CO143" s="47">
        <f t="shared" ref="CO143:CO206" si="65">SUM(CL143:CN143)</f>
        <v>0</v>
      </c>
      <c r="CP143" s="47"/>
      <c r="CQ143" s="47"/>
      <c r="CR143" s="47"/>
      <c r="CS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8"/>
      <c r="DE143" s="47"/>
      <c r="DF143" s="47"/>
      <c r="DG143" s="47"/>
      <c r="DH143" s="47"/>
      <c r="DI143" s="47"/>
      <c r="DJ143" s="48"/>
      <c r="DK143" s="47"/>
      <c r="DL143" s="47"/>
      <c r="DM143" s="47"/>
      <c r="DN143" s="47"/>
      <c r="DP143" s="45">
        <f t="shared" si="48"/>
        <v>83.93</v>
      </c>
      <c r="DQ143" s="45">
        <f t="shared" si="49"/>
        <v>144.24522499999998</v>
      </c>
      <c r="DR143" s="45">
        <f t="shared" si="57"/>
        <v>510.40625</v>
      </c>
      <c r="DS143" s="48"/>
      <c r="DT143" s="45">
        <f t="shared" si="50"/>
        <v>128.5926</v>
      </c>
      <c r="DU143" s="45">
        <f t="shared" si="51"/>
        <v>180.52366666666668</v>
      </c>
      <c r="DV143" s="45">
        <f t="shared" si="58"/>
        <v>44.0703125</v>
      </c>
      <c r="DW143" s="45">
        <f t="shared" si="52"/>
        <v>1</v>
      </c>
      <c r="DX143" s="47">
        <f t="shared" si="53"/>
        <v>1092.7680541666666</v>
      </c>
      <c r="DY143" s="50">
        <f t="shared" si="54"/>
        <v>-2.2737367544323206E-13</v>
      </c>
      <c r="EA143" s="51">
        <f t="shared" si="35"/>
        <v>7.6804953878345336E-2</v>
      </c>
      <c r="EB143" s="51">
        <f t="shared" si="35"/>
        <v>0.13199985527578389</v>
      </c>
      <c r="EC143" s="51">
        <f t="shared" si="35"/>
        <v>0.46707647432943161</v>
      </c>
      <c r="ED143" s="48"/>
      <c r="EE143" s="51">
        <f t="shared" si="36"/>
        <v>0.11767602421180162</v>
      </c>
      <c r="EF143" s="51">
        <f t="shared" si="36"/>
        <v>0.16519852129492579</v>
      </c>
      <c r="EG143" s="51">
        <f t="shared" si="36"/>
        <v>4.0329063731285184E-2</v>
      </c>
      <c r="EH143" s="52">
        <f t="shared" si="59"/>
        <v>9.1510727842660942E-4</v>
      </c>
      <c r="EI143" s="51">
        <f t="shared" si="60"/>
        <v>0.99908489272157341</v>
      </c>
      <c r="EK143" s="53">
        <f>(EA143*'[2]Renewable Diesel'!BF152*'[2]Feedstock Conversion Rates'!B$2)+FB143</f>
        <v>75.331307212925523</v>
      </c>
      <c r="EL143" s="53">
        <f>(EB143*'[2]Renewable Diesel'!BF152*'[2]Feedstock Conversion Rates'!B$3)+FC143</f>
        <v>122.00378842503939</v>
      </c>
      <c r="EM143" s="53">
        <f>(EC143*'[2]Renewable Diesel'!BF152*'[2]Feedstock Conversion Rates'!B$4)+FD143</f>
        <v>404.21888712036571</v>
      </c>
      <c r="EN143" s="48"/>
      <c r="EO143" s="53">
        <f>(EE143*'[2]Renewable Diesel'!BF152*'[2]Feedstock Conversion Rates'!B$6)+FF143</f>
        <v>127.36736691279847</v>
      </c>
      <c r="EP143" s="53">
        <f>(EF143*'[2]Renewable Diesel'!BF152*'[2]Feedstock Conversion Rates'!B$7)+FG143</f>
        <v>175.37243346263057</v>
      </c>
      <c r="EQ143" s="53">
        <f>(EG143*'[2]Renewable Diesel'!BF152*'[2]Feedstock Conversion Rates'!B$8)+FH143</f>
        <v>43.627141795865406</v>
      </c>
      <c r="ER143" s="53">
        <f>(EH143*'[2]Renewable Diesel'!BF152*'[2]Feedstock Conversion Rates'!B$9)+FI143</f>
        <v>0.97674475468991817</v>
      </c>
      <c r="ES143" s="53">
        <f t="shared" si="61"/>
        <v>948.89766968431502</v>
      </c>
      <c r="ET143" s="36">
        <f>ES143/'[2]Renewable Diesel'!BF152</f>
        <v>8.2234117240219629</v>
      </c>
    </row>
    <row r="144" spans="1:150" x14ac:dyDescent="0.25">
      <c r="A144" s="39">
        <v>44805</v>
      </c>
      <c r="B144" s="45">
        <f>55+120+49+5+10+21-40-12.5-2+6+25+14-5-1-4-1-6-9-4+20-20+40+20-10+20+17.5+32.5+50-10-48-17+3.75+42+3-40-10-5-30-10-7+32.5+20-26-50-3.5-12.5-12.5-1-25-75-75-34+50+30-10+20</f>
        <v>90.25</v>
      </c>
      <c r="C144" s="46"/>
      <c r="D144" s="45">
        <v>1</v>
      </c>
      <c r="E144" s="45">
        <f>('[2]Renewable Diesel'!B153*E$3*'[2]Feedstock Conversion Rates'!$B$2)/12-30-21-14+5+1+9-32.5+10+5+7+26+3.5+75-50</f>
        <v>83.93</v>
      </c>
      <c r="F144" s="45">
        <f>('[2]Renewable Diesel'!B153*'[2]RD Feedstock Breakdown'!F$3*'[2]Feedstock Conversion Rates'!B$8)/12+28.5-49-5+2-6+1+6+20-20-3.75+10+12.5+10-20</f>
        <v>40.15625</v>
      </c>
      <c r="G144" s="45">
        <f>('[2]Renewable Diesel'!B153*'[2]RD Feedstock Breakdown'!G$3*'[2]Feedstock Conversion Rates'!B$7)/12-25-15-25+4+4-20-40-20+10-17.5+40+10-20+75+34-10-20</f>
        <v>140.65700000000001</v>
      </c>
      <c r="H144" s="45">
        <f>('[2]Renewable Diesel'!B153*'[2]RD Feedstock Breakdown'!H$3*'[2]Feedstock Conversion Rates'!B$3)/12+11.5-120-10-5-50+48-42.5+17-3+30+50+12.5+25</f>
        <v>139.90022499999998</v>
      </c>
      <c r="I144" s="47">
        <f t="shared" si="33"/>
        <v>495.89347499999997</v>
      </c>
      <c r="J144" s="47"/>
      <c r="K144" s="48"/>
      <c r="L144" s="47"/>
      <c r="R144" s="45">
        <f>('[2]Renewable Diesel'!D153*'[2]RD Feedstock Breakdown'!R$3*'[2]Feedstock Conversion Rates'!B$7)/12</f>
        <v>2.2999999999999998</v>
      </c>
      <c r="S144" s="47">
        <f t="shared" si="44"/>
        <v>2.2999999999999998</v>
      </c>
      <c r="T144" s="46"/>
      <c r="U144" s="45">
        <v>0</v>
      </c>
      <c r="V144" s="45">
        <f>('[2]Renewable Diesel'!E153*'[2]RD Feedstock Breakdown'!V$3*'[2]Feedstock Conversion Rates'!B$6)/12-25+25-35+35</f>
        <v>7.8088499999999996</v>
      </c>
      <c r="W144" s="45">
        <f>('[2]Renewable Diesel'!E153*'[2]RD Feedstock Breakdown'!W$3*'[2]Feedstock Conversion Rates'!B$8)/12</f>
        <v>3.9140625000000004</v>
      </c>
      <c r="X144" s="47">
        <f t="shared" si="62"/>
        <v>11.7229125</v>
      </c>
      <c r="Y144" s="45">
        <f>12.5+15+1+8-20+27.5-5-39+19-19+25-25+20+25</f>
        <v>45</v>
      </c>
      <c r="Z144" s="45">
        <f>('[2]Renewable Diesel'!F153*'[2]RD Feedstock Breakdown'!Z$3*'[2]Feedstock Conversion Rates'!B$6)/12+5-15-1-8+20-27.5+5+19-25+25-20</f>
        <v>22.055000000000007</v>
      </c>
      <c r="AA144" s="45">
        <f>('[2]Renewable Diesel'!F153*'[2]RD Feedstock Breakdown'!AA$3*'[2]Feedstock Conversion Rates'!B$7)/12-17.5+10+10-25</f>
        <v>6.6333333333333293</v>
      </c>
      <c r="AB144" s="47">
        <f t="shared" si="39"/>
        <v>73.688333333333333</v>
      </c>
      <c r="AC144" s="46"/>
      <c r="AD144" s="45">
        <f>('[2]Renewable Diesel'!G153*'[2]RD Feedstock Breakdown'!AD$3*'[2]Feedstock Conversion Rates'!B$4)/12</f>
        <v>0</v>
      </c>
      <c r="AE144" s="45">
        <f>('[2]Renewable Diesel'!G153*'[2]RD Feedstock Breakdown'!AE$3*'[2]Feedstock Conversion Rates'!B$6)/12</f>
        <v>0</v>
      </c>
      <c r="AF144" s="47">
        <f t="shared" si="55"/>
        <v>0</v>
      </c>
      <c r="AG144" s="46"/>
      <c r="AH144" s="45">
        <v>0</v>
      </c>
      <c r="AI144" s="45">
        <f>('[2]Renewable Diesel'!H153*'[2]RD Feedstock Breakdown'!AI$3*'[2]Feedstock Conversion Rates'!B$6)/12</f>
        <v>58.625000000000007</v>
      </c>
      <c r="AJ144" s="47">
        <f t="shared" si="42"/>
        <v>58.625000000000007</v>
      </c>
      <c r="AK144" s="45">
        <f>('[2]Renewable Diesel'!J153*'[2]RD Feedstock Breakdown'!AK$3*'[2]Feedstock Conversion Rates'!B$4)/12</f>
        <v>95.8125</v>
      </c>
      <c r="AL144" s="47">
        <f t="shared" si="45"/>
        <v>95.8125</v>
      </c>
      <c r="AM144" s="45">
        <f>('[2]Renewable Diesel'!K153*'[2]RD Feedstock Breakdown'!AM$3*'[2]Feedstock Conversion Rates'!B$4)/12</f>
        <v>11.71875</v>
      </c>
      <c r="AN144" s="45">
        <f>('[2]Renewable Diesel'!K153*'[2]RD Feedstock Breakdown'!AN$3*'[2]Feedstock Conversion Rates'!B$6)/12</f>
        <v>4.885416666666667</v>
      </c>
      <c r="AO144" s="47">
        <f t="shared" si="56"/>
        <v>16.604166666666668</v>
      </c>
      <c r="AP144" s="45">
        <f>('[2]Renewable Diesel'!L153*'[2]RD Feedstock Breakdown'!AP$3*'[2]Feedstock Conversion Rates'!B$4)/12+15-7.5</f>
        <v>66.09375</v>
      </c>
      <c r="AQ144" s="45">
        <f>('[2]Renewable Diesel'!L153*'[2]RD Feedstock Breakdown'!AQ$3*'[2]Feedstock Conversion Rates'!B$6)/12-15+7.55</f>
        <v>16.977083333333333</v>
      </c>
      <c r="AR144" s="47">
        <f t="shared" si="46"/>
        <v>83.070833333333326</v>
      </c>
      <c r="AS144" s="45"/>
      <c r="AT144" s="46"/>
      <c r="AU144" s="47"/>
      <c r="AV144" s="45">
        <f>'[2]Renewable Diesel'!N153*'[2]RD Feedstock Breakdown'!$AV$3*'[2]Feedstock Conversion Rates'!$B$4/12+3</f>
        <v>81.749999999999986</v>
      </c>
      <c r="AW144" s="45">
        <f>'[2]Renewable Diesel'!N153*'[2]RD Feedstock Breakdown'!$AW$3*'[2]Feedstock Conversion Rates'!$B$7/12-3</f>
        <v>38.4</v>
      </c>
      <c r="AX144" s="47">
        <f t="shared" si="40"/>
        <v>120.14999999999998</v>
      </c>
      <c r="AY144" s="45">
        <f>('[2]Renewable Diesel'!O153*'[2]RD Feedstock Breakdown'!AY$3*'[2]Feedstock Conversion Rates'!B$4)/12+5</f>
        <v>72.5</v>
      </c>
      <c r="AZ144" s="45">
        <f>('[2]Renewable Diesel'!O153*'[2]RD Feedstock Breakdown'!AZ$3*'[2]Feedstock Conversion Rates'!B$3)/12-5</f>
        <v>3.01</v>
      </c>
      <c r="BA144" s="47">
        <f t="shared" si="43"/>
        <v>75.510000000000005</v>
      </c>
      <c r="BB144" s="45">
        <f>('[2]Renewable Diesel'!Q153*'[2]RD Feedstock Breakdown'!BB$3*'[2]Feedstock Conversion Rates'!B$4)/12</f>
        <v>0</v>
      </c>
      <c r="BC144" s="45">
        <f>('[2]Renewable Diesel'!Q153*'[2]RD Feedstock Breakdown'!BC$3*'[2]Feedstock Conversion Rates'!B$3)/12</f>
        <v>0</v>
      </c>
      <c r="BD144" s="45">
        <f>('[2]Renewable Diesel'!Q153*'[2]RD Feedstock Breakdown'!BD$3*'[2]Feedstock Conversion Rates'!B$6)/12</f>
        <v>0</v>
      </c>
      <c r="BE144" s="47">
        <f t="shared" si="64"/>
        <v>0</v>
      </c>
      <c r="BF144" s="45">
        <f>('[2]Renewable Diesel'!R153*'[2]RD Feedstock Breakdown'!BF$3*'[2]Feedstock Conversion Rates'!B$4)/12</f>
        <v>62.5</v>
      </c>
      <c r="BG144" s="47">
        <f t="shared" si="47"/>
        <v>62.5</v>
      </c>
      <c r="BH144" s="45">
        <f>('[2]Renewable Diesel'!T153*'[2]RD Feedstock Breakdown'!BH$3*'[2]Feedstock Conversion Rates'!B$7)/12</f>
        <v>0</v>
      </c>
      <c r="BI144" s="47">
        <f t="shared" si="41"/>
        <v>0</v>
      </c>
      <c r="BJ144" s="45">
        <f>('[2]Renewable Diesel'!W153*'[2]RD Feedstock Breakdown'!BJ$3*'[2]Feedstock Conversion Rates'!B$4)/12</f>
        <v>7.5</v>
      </c>
      <c r="BK144" s="45">
        <f>('[2]Renewable Diesel'!W153*'[2]RD Feedstock Breakdown'!BK$3*'[2]Feedstock Conversion Rates'!B$3)/12</f>
        <v>1.335</v>
      </c>
      <c r="BL144" s="45">
        <f>('[2]Renewable Diesel'!W153*'[2]RD Feedstock Breakdown'!BL$3*'[2]Feedstock Conversion Rates'!B$6)/12</f>
        <v>3.1266666666666669</v>
      </c>
      <c r="BM144" s="45">
        <f>('[2]Renewable Diesel'!W153*'[2]RD Feedstock Breakdown'!BM$3*'[2]Feedstock Conversion Rates'!B$7)/12</f>
        <v>1.5333333333333332</v>
      </c>
      <c r="BN144" s="47">
        <f t="shared" si="34"/>
        <v>13.495000000000001</v>
      </c>
      <c r="BO144" s="47"/>
      <c r="BP144" s="47"/>
      <c r="BQ144" s="45"/>
      <c r="BR144" s="45"/>
      <c r="BS144" s="47"/>
      <c r="BT144" s="45"/>
      <c r="BU144" s="45"/>
      <c r="BV144" s="47"/>
      <c r="BW144" s="47"/>
      <c r="BX144" s="48"/>
      <c r="BY144" s="47"/>
      <c r="BZ144" s="47"/>
      <c r="CA144" s="47"/>
      <c r="CB144" s="47"/>
      <c r="CC144" s="47"/>
      <c r="CD144" s="47"/>
      <c r="CE144" s="47"/>
      <c r="CF144" s="47"/>
      <c r="CG144" s="45">
        <f>('[2]Renewable Diesel'!AD153*'[2]Feedstock Conversion Rates'!B$4)/12</f>
        <v>0</v>
      </c>
      <c r="CH144" s="47">
        <f t="shared" si="63"/>
        <v>0</v>
      </c>
      <c r="CI144" s="48"/>
      <c r="CJ144" s="47"/>
      <c r="CK144" s="47"/>
      <c r="CL144" s="45">
        <f>(((CL$3*'[2]Renewable Diesel'!$AF154)*'[2]Feedstock Conversion Rates'!$B$3)/12)</f>
        <v>0</v>
      </c>
      <c r="CM144" s="45">
        <f>(((CM$3*'[2]Renewable Diesel'!$AF154)*'[2]Feedstock Conversion Rates'!$B$6)/12)</f>
        <v>0</v>
      </c>
      <c r="CN144" s="45">
        <f>(((CN$3*'[2]Renewable Diesel'!$AF154)*'[2]Feedstock Conversion Rates'!$B$4)/12)</f>
        <v>0</v>
      </c>
      <c r="CO144" s="47">
        <f t="shared" si="65"/>
        <v>0</v>
      </c>
      <c r="CP144" s="47"/>
      <c r="CQ144" s="47"/>
      <c r="CR144" s="47"/>
      <c r="CS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8"/>
      <c r="DE144" s="47"/>
      <c r="DF144" s="47"/>
      <c r="DG144" s="47"/>
      <c r="DH144" s="47"/>
      <c r="DI144" s="47"/>
      <c r="DJ144" s="48"/>
      <c r="DK144" s="47"/>
      <c r="DL144" s="47"/>
      <c r="DM144" s="47"/>
      <c r="DN144" s="47"/>
      <c r="DP144" s="45">
        <f t="shared" si="48"/>
        <v>83.93</v>
      </c>
      <c r="DQ144" s="45">
        <f t="shared" si="49"/>
        <v>144.24522499999998</v>
      </c>
      <c r="DR144" s="45">
        <f t="shared" si="57"/>
        <v>533.125</v>
      </c>
      <c r="DS144" s="48"/>
      <c r="DT144" s="45">
        <f t="shared" si="50"/>
        <v>113.47801666666669</v>
      </c>
      <c r="DU144" s="45">
        <f t="shared" si="51"/>
        <v>189.52366666666668</v>
      </c>
      <c r="DV144" s="45">
        <f t="shared" si="58"/>
        <v>44.0703125</v>
      </c>
      <c r="DW144" s="45">
        <f t="shared" si="52"/>
        <v>1</v>
      </c>
      <c r="DX144" s="47">
        <f t="shared" si="53"/>
        <v>1109.3722208333334</v>
      </c>
      <c r="DY144" s="50">
        <f t="shared" si="54"/>
        <v>-2.2737367544323206E-13</v>
      </c>
      <c r="EA144" s="51">
        <f t="shared" si="35"/>
        <v>7.5655400796816277E-2</v>
      </c>
      <c r="EB144" s="51">
        <f t="shared" si="35"/>
        <v>0.13002419052069511</v>
      </c>
      <c r="EC144" s="51">
        <f t="shared" si="35"/>
        <v>0.48056458417493952</v>
      </c>
      <c r="ED144" s="48"/>
      <c r="EE144" s="51">
        <f t="shared" si="36"/>
        <v>0.10229029944649666</v>
      </c>
      <c r="EF144" s="51">
        <f t="shared" si="36"/>
        <v>0.17083866272070625</v>
      </c>
      <c r="EG144" s="51">
        <f t="shared" si="36"/>
        <v>3.9725451631460046E-2</v>
      </c>
      <c r="EH144" s="52">
        <f t="shared" si="59"/>
        <v>9.014107088861702E-4</v>
      </c>
      <c r="EI144" s="51">
        <f t="shared" si="60"/>
        <v>0.99909858929111384</v>
      </c>
      <c r="EK144" s="53">
        <f>(EA144*'[2]Renewable Diesel'!BF153*'[2]Feedstock Conversion Rates'!B$2)+FB144</f>
        <v>76.59702391625072</v>
      </c>
      <c r="EL144" s="53">
        <f>(EB144*'[2]Renewable Diesel'!BF153*'[2]Feedstock Conversion Rates'!B$3)+FC144</f>
        <v>124.05369620696661</v>
      </c>
      <c r="EM144" s="53">
        <f>(EC144*'[2]Renewable Diesel'!BF153*'[2]Feedstock Conversion Rates'!B$4)+FD144</f>
        <v>429.30511114322678</v>
      </c>
      <c r="EN144" s="48"/>
      <c r="EO144" s="53">
        <f>(EE144*'[2]Renewable Diesel'!BF153*'[2]Feedstock Conversion Rates'!B$6)+FF144</f>
        <v>114.28528673722602</v>
      </c>
      <c r="EP144" s="53">
        <f>(EF144*'[2]Renewable Diesel'!BF153*'[2]Feedstock Conversion Rates'!B$7)+FG144</f>
        <v>187.20912976630689</v>
      </c>
      <c r="EQ144" s="53">
        <f>(EG144*'[2]Renewable Diesel'!BF153*'[2]Feedstock Conversion Rates'!B$8)+FH144</f>
        <v>44.360165078380383</v>
      </c>
      <c r="ER144" s="53">
        <f>(EH144*'[2]Renewable Diesel'!BF153*'[2]Feedstock Conversion Rates'!B$9)+FI144</f>
        <v>0.99315602108944989</v>
      </c>
      <c r="ES144" s="53">
        <f t="shared" si="61"/>
        <v>976.80356886944685</v>
      </c>
      <c r="ET144" s="36">
        <f>ES144/'[2]Renewable Diesel'!BF153</f>
        <v>8.2007619180965232</v>
      </c>
    </row>
    <row r="145" spans="1:150" x14ac:dyDescent="0.25">
      <c r="A145" s="39">
        <v>44835</v>
      </c>
      <c r="B145" s="45">
        <f>55+120+49+5+10+21-40-12.5-2+6+25+14-5-1-4-1-6-9-4+20-20+40+20-10+20+17.5+32.5+50-10-48-20-12+22.5+3.75+3+4-50-12.5-30-10+10-1.5+12-26-50-15+10-7.5-3-1-12.5-1-1+10-25-50+10-79+60+25-75-10-0.5+37+20-17.5-20</f>
        <v>29.75</v>
      </c>
      <c r="C145" s="46"/>
      <c r="D145" s="45">
        <f>1+0.5</f>
        <v>1.5</v>
      </c>
      <c r="E145" s="45">
        <f>('[2]Renewable Diesel'!B154*E$3*'[2]Feedstock Conversion Rates'!$B$2)/12-30-21-14+5+1+9-32.5+30-20+12-4+12.5+1.5+26+22.5+3+1-10+79-60-25+10+17.5</f>
        <v>103.43</v>
      </c>
      <c r="F145" s="45">
        <f>('[2]Renewable Diesel'!B154*'[2]RD Feedstock Breakdown'!F$3*'[2]Feedstock Conversion Rates'!B$8)/12+28.5-49-5+2-6+1+6+20-20-3.75+10+1+5-20+20-10</f>
        <v>33.65625</v>
      </c>
      <c r="G145" s="45">
        <f>('[2]Renewable Diesel'!B154*'[2]RD Feedstock Breakdown'!G$3*'[2]Feedstock Conversion Rates'!B$7)/12-25-15-25+4+4-20-40-20+10-17.5+20+50-12+7.5+50-75-37</f>
        <v>35.157000000000011</v>
      </c>
      <c r="H145" s="45">
        <f>('[2]Renewable Diesel'!B154*'[2]RD Feedstock Breakdown'!H$3*'[2]Feedstock Conversion Rates'!B$3)/12+11.5-120-10-5-50+48-22.5-3+30+50+15-10+12.5+25+75+75-5</f>
        <v>292.90022499999998</v>
      </c>
      <c r="I145" s="47">
        <f t="shared" si="33"/>
        <v>496.39347499999997</v>
      </c>
      <c r="J145" s="47"/>
      <c r="K145" s="48"/>
      <c r="L145" s="45">
        <v>1</v>
      </c>
      <c r="M145" s="45">
        <f>('[2]Renewable Diesel'!C154*'[2]RD Feedstock Breakdown'!M$3*'[2]Feedstock Conversion Rates'!B$2)/12-0.25</f>
        <v>29.585000000000004</v>
      </c>
      <c r="N145" s="45">
        <f>('[2]Renewable Diesel'!C154*'[2]RD Feedstock Breakdown'!N$3*'[2]Feedstock Conversion Rates'!B$8)/12-0.25</f>
        <v>13.8125</v>
      </c>
      <c r="O145" s="45">
        <f>('[2]Renewable Diesel'!C154*'[2]RD Feedstock Breakdown'!O$3*'[2]Feedstock Conversion Rates'!B$7)/12-0.25</f>
        <v>45.704000000000001</v>
      </c>
      <c r="P145" s="45">
        <f>('[2]Renewable Diesel'!C154*'[2]RD Feedstock Breakdown'!P$3*'[2]Feedstock Conversion Rates'!B$3)/12-0.25</f>
        <v>39.759950000000003</v>
      </c>
      <c r="Q145" s="47">
        <f t="shared" ref="Q145:Q159" si="66">SUM(J145:P145)</f>
        <v>129.86145000000002</v>
      </c>
      <c r="R145" s="45">
        <f>('[2]Renewable Diesel'!D154*'[2]RD Feedstock Breakdown'!R$3*'[2]Feedstock Conversion Rates'!B$7)/12</f>
        <v>2.2999999999999998</v>
      </c>
      <c r="S145" s="47">
        <f t="shared" si="44"/>
        <v>2.2999999999999998</v>
      </c>
      <c r="T145" s="46"/>
      <c r="U145" s="45">
        <v>0</v>
      </c>
      <c r="V145" s="45">
        <f>('[2]Renewable Diesel'!E154*'[2]RD Feedstock Breakdown'!V$3*'[2]Feedstock Conversion Rates'!B$6)/12-15-10-5+30-35+35</f>
        <v>7.8088499999999996</v>
      </c>
      <c r="W145" s="45">
        <f>('[2]Renewable Diesel'!E154*'[2]RD Feedstock Breakdown'!W$3*'[2]Feedstock Conversion Rates'!B$8)/12</f>
        <v>3.9140625000000004</v>
      </c>
      <c r="X145" s="47">
        <f t="shared" si="62"/>
        <v>11.7229125</v>
      </c>
      <c r="Y145" s="45">
        <f>12.5+15+1+8-20+27.5-5-39+19-19+25-25+7.5-7.5+15-15</f>
        <v>0</v>
      </c>
      <c r="Z145" s="45">
        <f>('[2]Renewable Diesel'!F154*'[2]RD Feedstock Breakdown'!Z$3*'[2]Feedstock Conversion Rates'!B$6)/12+5-15-1-8+20-27.5+5+19-25+25-7.5+7.5-15+15</f>
        <v>42.055000000000007</v>
      </c>
      <c r="AA145" s="45">
        <f>('[2]Renewable Diesel'!F154*'[2]RD Feedstock Breakdown'!AA$3*'[2]Feedstock Conversion Rates'!B$7)/12-17.5+2+37-19</f>
        <v>31.633333333333326</v>
      </c>
      <c r="AB145" s="47">
        <f t="shared" si="39"/>
        <v>73.688333333333333</v>
      </c>
      <c r="AC145" s="46"/>
      <c r="AD145" s="45">
        <f>('[2]Renewable Diesel'!G154*'[2]RD Feedstock Breakdown'!AD$3*'[2]Feedstock Conversion Rates'!B$4)/12</f>
        <v>0</v>
      </c>
      <c r="AE145" s="45">
        <f>('[2]Renewable Diesel'!G154*'[2]RD Feedstock Breakdown'!AE$3*'[2]Feedstock Conversion Rates'!B$6)/12</f>
        <v>0</v>
      </c>
      <c r="AF145" s="47">
        <f t="shared" si="55"/>
        <v>0</v>
      </c>
      <c r="AG145" s="46"/>
      <c r="AH145" s="45">
        <v>0</v>
      </c>
      <c r="AI145" s="45">
        <f>('[2]Renewable Diesel'!H154*'[2]RD Feedstock Breakdown'!AI$3*'[2]Feedstock Conversion Rates'!B$6)/12</f>
        <v>58.625000000000007</v>
      </c>
      <c r="AJ145" s="47">
        <f t="shared" si="42"/>
        <v>58.625000000000007</v>
      </c>
      <c r="AK145" s="45">
        <f>('[2]Renewable Diesel'!J154*'[2]RD Feedstock Breakdown'!AK$3*'[2]Feedstock Conversion Rates'!B$4)/12</f>
        <v>95.8125</v>
      </c>
      <c r="AL145" s="47">
        <f t="shared" si="45"/>
        <v>95.8125</v>
      </c>
      <c r="AM145" s="45">
        <f>('[2]Renewable Diesel'!K154*'[2]RD Feedstock Breakdown'!AM$3*'[2]Feedstock Conversion Rates'!B$4)/12</f>
        <v>11.71875</v>
      </c>
      <c r="AN145" s="45">
        <f>('[2]Renewable Diesel'!K154*'[2]RD Feedstock Breakdown'!AN$3*'[2]Feedstock Conversion Rates'!B$6)/12</f>
        <v>4.885416666666667</v>
      </c>
      <c r="AO145" s="47">
        <f t="shared" si="56"/>
        <v>16.604166666666668</v>
      </c>
      <c r="AP145" s="45">
        <f>('[2]Renewable Diesel'!L154*'[2]RD Feedstock Breakdown'!AP$3*'[2]Feedstock Conversion Rates'!B$4)/12+15-7.5-25+10</f>
        <v>51.09375</v>
      </c>
      <c r="AQ145" s="45">
        <f>('[2]Renewable Diesel'!L154*'[2]RD Feedstock Breakdown'!AQ$3*'[2]Feedstock Conversion Rates'!B$6)/12-15+7.55+25-10</f>
        <v>31.977083333333333</v>
      </c>
      <c r="AR145" s="47">
        <f t="shared" si="46"/>
        <v>83.070833333333326</v>
      </c>
      <c r="AS145" s="45"/>
      <c r="AT145" s="46"/>
      <c r="AU145" s="47"/>
      <c r="AV145" s="45">
        <f>'[2]Renewable Diesel'!N154*'[2]RD Feedstock Breakdown'!$AV$3*'[2]Feedstock Conversion Rates'!$B$4/12+25-22-81.5+40</f>
        <v>40.249999999999986</v>
      </c>
      <c r="AW145" s="45">
        <f>'[2]Renewable Diesel'!N154*'[2]RD Feedstock Breakdown'!$AW$3*'[2]Feedstock Conversion Rates'!$B$7/12-25+22+81.5-40</f>
        <v>79.900000000000006</v>
      </c>
      <c r="AX145" s="47">
        <f t="shared" si="40"/>
        <v>120.14999999999999</v>
      </c>
      <c r="AY145" s="45">
        <f>('[2]Renewable Diesel'!O154*'[2]RD Feedstock Breakdown'!AY$3*'[2]Feedstock Conversion Rates'!B$4)/12+5-50</f>
        <v>22.5</v>
      </c>
      <c r="AZ145" s="45">
        <f>('[2]Renewable Diesel'!O154*'[2]RD Feedstock Breakdown'!AZ$3*'[2]Feedstock Conversion Rates'!B$3)/12-5+50</f>
        <v>53.01</v>
      </c>
      <c r="BA145" s="47">
        <f t="shared" si="43"/>
        <v>75.509999999999991</v>
      </c>
      <c r="BB145" s="45">
        <f>('[2]Renewable Diesel'!Q154*'[2]RD Feedstock Breakdown'!BB$3*'[2]Feedstock Conversion Rates'!B$4)/12</f>
        <v>0</v>
      </c>
      <c r="BC145" s="45">
        <f>('[2]Renewable Diesel'!Q154*'[2]RD Feedstock Breakdown'!BC$3*'[2]Feedstock Conversion Rates'!B$3)/12</f>
        <v>0</v>
      </c>
      <c r="BD145" s="45">
        <f>('[2]Renewable Diesel'!Q154*'[2]RD Feedstock Breakdown'!BD$3*'[2]Feedstock Conversion Rates'!B$6)/12</f>
        <v>0</v>
      </c>
      <c r="BE145" s="47">
        <f t="shared" si="64"/>
        <v>0</v>
      </c>
      <c r="BF145" s="45">
        <f>('[2]Renewable Diesel'!R154*'[2]RD Feedstock Breakdown'!BF$3*'[2]Feedstock Conversion Rates'!B$4)/12</f>
        <v>62.5</v>
      </c>
      <c r="BG145" s="47">
        <f t="shared" si="47"/>
        <v>62.5</v>
      </c>
      <c r="BH145" s="45">
        <f>('[2]Renewable Diesel'!T154*'[2]RD Feedstock Breakdown'!BH$3*'[2]Feedstock Conversion Rates'!B$7)/12</f>
        <v>0</v>
      </c>
      <c r="BI145" s="47">
        <f t="shared" si="41"/>
        <v>0</v>
      </c>
      <c r="BJ145" s="45">
        <f>('[2]Renewable Diesel'!W154*'[2]RD Feedstock Breakdown'!BJ$3*'[2]Feedstock Conversion Rates'!B$4)/12-7.5</f>
        <v>0</v>
      </c>
      <c r="BK145" s="45">
        <f>('[2]Renewable Diesel'!W154*'[2]RD Feedstock Breakdown'!BK$3*'[2]Feedstock Conversion Rates'!B$3)/12</f>
        <v>1.335</v>
      </c>
      <c r="BL145" s="45">
        <f>('[2]Renewable Diesel'!W154*'[2]RD Feedstock Breakdown'!BL$3*'[2]Feedstock Conversion Rates'!B$6)/12</f>
        <v>3.1266666666666669</v>
      </c>
      <c r="BM145" s="45">
        <f>('[2]Renewable Diesel'!W154*'[2]RD Feedstock Breakdown'!BM$3*'[2]Feedstock Conversion Rates'!B$7)/12+7.5</f>
        <v>9.0333333333333332</v>
      </c>
      <c r="BN145" s="47">
        <f t="shared" si="34"/>
        <v>13.495000000000001</v>
      </c>
      <c r="BO145" s="47"/>
      <c r="BP145" s="47"/>
      <c r="BQ145" s="45"/>
      <c r="BR145" s="45"/>
      <c r="BS145" s="47"/>
      <c r="BT145" s="45"/>
      <c r="BU145" s="45">
        <f>('[2]Renewable Diesel'!Y154*'[2]Feedstock Conversion Rates'!B$7)/12</f>
        <v>0</v>
      </c>
      <c r="BV145" s="47">
        <f t="shared" ref="BV145:BV208" si="67">BU145</f>
        <v>0</v>
      </c>
      <c r="BW145" s="47"/>
      <c r="BX145" s="48"/>
      <c r="BY145" s="47"/>
      <c r="BZ145" s="47"/>
      <c r="CA145" s="47"/>
      <c r="CB145" s="47"/>
      <c r="CC145" s="47"/>
      <c r="CD145" s="47"/>
      <c r="CE145" s="47"/>
      <c r="CF145" s="47"/>
      <c r="CG145" s="45">
        <f>('[2]Renewable Diesel'!AD154*'[2]Feedstock Conversion Rates'!B$4)/12</f>
        <v>0</v>
      </c>
      <c r="CH145" s="47">
        <f t="shared" si="63"/>
        <v>0</v>
      </c>
      <c r="CI145" s="48"/>
      <c r="CJ145" s="47"/>
      <c r="CK145" s="47"/>
      <c r="CL145" s="45">
        <f>(((CL$3*'[2]Renewable Diesel'!$AF154)*'[2]Feedstock Conversion Rates'!$B$3)/12)</f>
        <v>0</v>
      </c>
      <c r="CM145" s="45">
        <f>(((CM$3*'[2]Renewable Diesel'!$AF154)*'[2]Feedstock Conversion Rates'!$B$6)/12)</f>
        <v>0</v>
      </c>
      <c r="CN145" s="45">
        <f>(((CN$3*'[2]Renewable Diesel'!$AF154)*'[2]Feedstock Conversion Rates'!$B$4)/12)</f>
        <v>0</v>
      </c>
      <c r="CO145" s="47">
        <f t="shared" si="65"/>
        <v>0</v>
      </c>
      <c r="CP145" s="47"/>
      <c r="CQ145" s="47"/>
      <c r="CR145" s="47"/>
      <c r="CS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8"/>
      <c r="DE145" s="47"/>
      <c r="DF145" s="47"/>
      <c r="DG145" s="47"/>
      <c r="DH145" s="47"/>
      <c r="DI145" s="47"/>
      <c r="DJ145" s="48"/>
      <c r="DK145" s="47"/>
      <c r="DL145" s="47"/>
      <c r="DM145" s="47"/>
      <c r="DN145" s="47"/>
      <c r="DP145" s="45">
        <f t="shared" si="48"/>
        <v>133.01500000000001</v>
      </c>
      <c r="DQ145" s="45">
        <f t="shared" si="49"/>
        <v>387.00517499999995</v>
      </c>
      <c r="DR145" s="45">
        <f t="shared" si="57"/>
        <v>313.625</v>
      </c>
      <c r="DS145" s="48"/>
      <c r="DT145" s="45">
        <f t="shared" si="50"/>
        <v>148.47801666666669</v>
      </c>
      <c r="DU145" s="45">
        <f t="shared" si="51"/>
        <v>203.72766666666669</v>
      </c>
      <c r="DV145" s="45">
        <f t="shared" si="58"/>
        <v>51.3828125</v>
      </c>
      <c r="DW145" s="45">
        <f t="shared" si="52"/>
        <v>2.5</v>
      </c>
      <c r="DX145" s="47">
        <f t="shared" si="53"/>
        <v>1239.7336708333335</v>
      </c>
      <c r="DY145" s="50">
        <f t="shared" si="54"/>
        <v>-2.2737367544323206E-13</v>
      </c>
      <c r="EA145" s="51">
        <f t="shared" si="35"/>
        <v>0.1072932058952541</v>
      </c>
      <c r="EB145" s="51">
        <f t="shared" si="35"/>
        <v>0.31216799551782759</v>
      </c>
      <c r="EC145" s="51">
        <f t="shared" si="35"/>
        <v>0.25297772205314484</v>
      </c>
      <c r="ED145" s="48"/>
      <c r="EE145" s="51">
        <f t="shared" si="36"/>
        <v>0.11976605956573046</v>
      </c>
      <c r="EF145" s="51">
        <f t="shared" si="36"/>
        <v>0.16433180082115822</v>
      </c>
      <c r="EG145" s="51">
        <f t="shared" si="36"/>
        <v>4.1446653994209187E-2</v>
      </c>
      <c r="EH145" s="52">
        <f t="shared" si="59"/>
        <v>2.0165621526755267E-3</v>
      </c>
      <c r="EI145" s="51">
        <f t="shared" si="60"/>
        <v>0.99798343784732435</v>
      </c>
      <c r="EK145" s="53">
        <f>(EA145*'[2]Renewable Diesel'!BF154*'[2]Feedstock Conversion Rates'!B$2)+FB145</f>
        <v>100.09430859068955</v>
      </c>
      <c r="EL145" s="53">
        <f>(EB145*'[2]Renewable Diesel'!BF154*'[2]Feedstock Conversion Rates'!B$3)+FC145</f>
        <v>274.43476605272457</v>
      </c>
      <c r="EM145" s="53">
        <f>(EC145*'[2]Renewable Diesel'!BF154*'[2]Feedstock Conversion Rates'!B$4)+FD145</f>
        <v>208.23885982621377</v>
      </c>
      <c r="EN145" s="48"/>
      <c r="EO145" s="53">
        <f>(EE145*'[2]Renewable Diesel'!BF154*'[2]Feedstock Conversion Rates'!B$6)+FF145</f>
        <v>123.2976603273716</v>
      </c>
      <c r="EP145" s="53">
        <f>(EF145*'[2]Renewable Diesel'!BF154*'[2]Feedstock Conversion Rates'!B$7)+FG145</f>
        <v>165.93105634641745</v>
      </c>
      <c r="EQ145" s="53">
        <f>(EG145*'[2]Renewable Diesel'!BF154*'[2]Feedstock Conversion Rates'!B$8)+FH145</f>
        <v>42.646067316317762</v>
      </c>
      <c r="ER145" s="53">
        <f>(EH145*'[2]Renewable Diesel'!BF154*'[2]Feedstock Conversion Rates'!B$9)+FI145</f>
        <v>2.0472533050537822</v>
      </c>
      <c r="ES145" s="53">
        <f t="shared" si="61"/>
        <v>916.68997176478842</v>
      </c>
      <c r="ET145" s="36">
        <f>ES145/'[2]Renewable Diesel'!BF154</f>
        <v>8.3522645969952123</v>
      </c>
    </row>
    <row r="146" spans="1:150" x14ac:dyDescent="0.25">
      <c r="A146" s="39">
        <v>44866</v>
      </c>
      <c r="B146" s="45">
        <f>55+120+49+5+10+21-40-12.5-2+6+25+14-5-1-4-1-6-9-4+20-20+40+20-10+20+17.5+32.5+50-10-48-20-12+22.5+3.75+3+4-50-12.5-30-10+10-1.5+12-26-50-15+10-7.5-3-1-12.5-1-1+10-50-40+10+25-75-10-0.5-3.5+53+20+12.5</f>
        <v>96.25</v>
      </c>
      <c r="C146" s="46"/>
      <c r="D146" s="45">
        <f t="shared" ref="D146:D156" si="68">1+0.5</f>
        <v>1.5</v>
      </c>
      <c r="E146" s="45">
        <f>('[2]Renewable Diesel'!B155*E$3*'[2]Feedstock Conversion Rates'!$B$2)/12-30-21-14+5+1+9-32.5+30-20+12-4+12.5+1.5+26+10+3+1-10+40-25+10</f>
        <v>94.429999999999993</v>
      </c>
      <c r="F146" s="45">
        <f>('[2]Renewable Diesel'!B155*'[2]RD Feedstock Breakdown'!F$3*'[2]Feedstock Conversion Rates'!B$8)/12+28.5-49-5+2-6+1+6+20-20-3.75+10+1+5-20-12.5-10</f>
        <v>1.15625</v>
      </c>
      <c r="G146" s="45">
        <f>('[2]Renewable Diesel'!B155*'[2]RD Feedstock Breakdown'!G$3*'[2]Feedstock Conversion Rates'!B$7)/12-25-15-25+4+4-20-40-20+10-17.5+20+50-12+7.5+50-75+16-53</f>
        <v>35.157000000000011</v>
      </c>
      <c r="H146" s="45">
        <f>('[2]Renewable Diesel'!B155*'[2]RD Feedstock Breakdown'!H$3*'[2]Feedstock Conversion Rates'!B$3)/12+11.5-120-10-5-50+48-22.5-3+30+50+15-10+12.5+75+75-5</f>
        <v>267.90022499999998</v>
      </c>
      <c r="I146" s="47">
        <f t="shared" si="33"/>
        <v>496.39347499999997</v>
      </c>
      <c r="J146" s="45">
        <v>10</v>
      </c>
      <c r="K146" s="46"/>
      <c r="L146" s="45">
        <v>1</v>
      </c>
      <c r="M146" s="45">
        <f>('[2]Renewable Diesel'!C155*'[2]RD Feedstock Breakdown'!M$3*'[2]Feedstock Conversion Rates'!B$2)/12-0.25</f>
        <v>43.508000000000003</v>
      </c>
      <c r="N146" s="45">
        <f>('[2]Renewable Diesel'!C155*'[2]RD Feedstock Breakdown'!N$3*'[2]Feedstock Conversion Rates'!B$8)/12-0.25-10</f>
        <v>10.375000000000004</v>
      </c>
      <c r="O146" s="45">
        <f>('[2]Renewable Diesel'!C155*'[2]RD Feedstock Breakdown'!O$3*'[2]Feedstock Conversion Rates'!B$7)/12-0.25</f>
        <v>67.149199999999993</v>
      </c>
      <c r="P146" s="45">
        <f>('[2]Renewable Diesel'!C155*'[2]RD Feedstock Breakdown'!P$3*'[2]Feedstock Conversion Rates'!B$3)/12-0.25</f>
        <v>58.431260000000002</v>
      </c>
      <c r="Q146" s="47">
        <f t="shared" si="66"/>
        <v>190.46346</v>
      </c>
      <c r="R146" s="45">
        <f>('[2]Renewable Diesel'!D155*'[2]RD Feedstock Breakdown'!R$3*'[2]Feedstock Conversion Rates'!B$7)/12</f>
        <v>2.2999999999999998</v>
      </c>
      <c r="S146" s="47">
        <f t="shared" si="44"/>
        <v>2.2999999999999998</v>
      </c>
      <c r="T146" s="46"/>
      <c r="U146" s="45">
        <v>32</v>
      </c>
      <c r="V146" s="45">
        <f>('[2]Renewable Diesel'!E155*'[2]RD Feedstock Breakdown'!V$3*'[2]Feedstock Conversion Rates'!B$6)/12-15-10-5+30-35+10+11-22</f>
        <v>8.2501500000000121</v>
      </c>
      <c r="W146" s="45">
        <f>('[2]Renewable Diesel'!E155*'[2]RD Feedstock Breakdown'!W$3*'[2]Feedstock Conversion Rates'!B$8)/12+3+11-10</f>
        <v>26.1796875</v>
      </c>
      <c r="X146" s="47">
        <f t="shared" si="62"/>
        <v>66.429837500000019</v>
      </c>
      <c r="Y146" s="45">
        <f>12.5+15+1+8-20+27.5-5-39+19-19+25-25+7.5-7.5+30</f>
        <v>30</v>
      </c>
      <c r="Z146" s="45">
        <f>('[2]Renewable Diesel'!F155*'[2]RD Feedstock Breakdown'!Z$3*'[2]Feedstock Conversion Rates'!B$6)/12+5-15-1-8+20-27.5+5+19-25+25-7.5+7.5-30</f>
        <v>12.055000000000007</v>
      </c>
      <c r="AA146" s="45">
        <f>('[2]Renewable Diesel'!F155*'[2]RD Feedstock Breakdown'!AA$3*'[2]Feedstock Conversion Rates'!B$7)/12-17.5+2+37-19</f>
        <v>31.633333333333326</v>
      </c>
      <c r="AB146" s="47">
        <f t="shared" si="39"/>
        <v>73.688333333333333</v>
      </c>
      <c r="AC146" s="46"/>
      <c r="AD146" s="45">
        <f>('[2]Renewable Diesel'!G155*'[2]RD Feedstock Breakdown'!AD$3*'[2]Feedstock Conversion Rates'!B$4)/12</f>
        <v>0</v>
      </c>
      <c r="AE146" s="45">
        <f>('[2]Renewable Diesel'!G155*'[2]RD Feedstock Breakdown'!AE$3*'[2]Feedstock Conversion Rates'!B$6)/12</f>
        <v>0</v>
      </c>
      <c r="AF146" s="47">
        <f t="shared" si="55"/>
        <v>0</v>
      </c>
      <c r="AG146" s="46"/>
      <c r="AH146" s="45">
        <v>0</v>
      </c>
      <c r="AI146" s="45">
        <f>('[2]Renewable Diesel'!H155*'[2]RD Feedstock Breakdown'!AI$3*'[2]Feedstock Conversion Rates'!B$6)/12</f>
        <v>58.625000000000007</v>
      </c>
      <c r="AJ146" s="47">
        <f t="shared" si="42"/>
        <v>58.625000000000007</v>
      </c>
      <c r="AK146" s="45">
        <f>('[2]Renewable Diesel'!J155*'[2]RD Feedstock Breakdown'!AK$3*'[2]Feedstock Conversion Rates'!B$4)/12</f>
        <v>95.8125</v>
      </c>
      <c r="AL146" s="47">
        <f t="shared" si="45"/>
        <v>95.8125</v>
      </c>
      <c r="AM146" s="45">
        <f>('[2]Renewable Diesel'!K155*'[2]RD Feedstock Breakdown'!AM$3*'[2]Feedstock Conversion Rates'!B$4)/12</f>
        <v>23.4375</v>
      </c>
      <c r="AN146" s="45">
        <f>('[2]Renewable Diesel'!K155*'[2]RD Feedstock Breakdown'!AN$3*'[2]Feedstock Conversion Rates'!B$6)/12</f>
        <v>9.7708333333333339</v>
      </c>
      <c r="AO146" s="47">
        <f t="shared" si="56"/>
        <v>33.208333333333336</v>
      </c>
      <c r="AP146" s="45">
        <f>('[2]Renewable Diesel'!L155*'[2]RD Feedstock Breakdown'!AP$3*'[2]Feedstock Conversion Rates'!B$4)/12+15-7.5-25+10</f>
        <v>51.09375</v>
      </c>
      <c r="AQ146" s="45">
        <f>('[2]Renewable Diesel'!L155*'[2]RD Feedstock Breakdown'!AQ$3*'[2]Feedstock Conversion Rates'!B$6)/12-15+7.55+25-10</f>
        <v>31.977083333333333</v>
      </c>
      <c r="AR146" s="47">
        <f t="shared" si="46"/>
        <v>83.070833333333326</v>
      </c>
      <c r="AS146" s="45"/>
      <c r="AT146" s="46"/>
      <c r="AU146" s="47"/>
      <c r="AV146" s="45">
        <f>'[2]Renewable Diesel'!N155*'[2]RD Feedstock Breakdown'!$AV$3*'[2]Feedstock Conversion Rates'!$B$4/12+25-22-81.5+100</f>
        <v>100.24999999999999</v>
      </c>
      <c r="AW146" s="45">
        <f>'[2]Renewable Diesel'!N155*'[2]RD Feedstock Breakdown'!$AW$3*'[2]Feedstock Conversion Rates'!$B$7/12-25+22+81.5-100</f>
        <v>19.900000000000006</v>
      </c>
      <c r="AX146" s="47">
        <f t="shared" si="40"/>
        <v>120.14999999999999</v>
      </c>
      <c r="AY146" s="45">
        <f>('[2]Renewable Diesel'!O155*'[2]RD Feedstock Breakdown'!AY$3*'[2]Feedstock Conversion Rates'!B$4)/12+5-50</f>
        <v>22.5</v>
      </c>
      <c r="AZ146" s="45">
        <f>('[2]Renewable Diesel'!O155*'[2]RD Feedstock Breakdown'!AZ$3*'[2]Feedstock Conversion Rates'!B$3)/12-5+50</f>
        <v>53.01</v>
      </c>
      <c r="BA146" s="47">
        <f t="shared" si="43"/>
        <v>75.509999999999991</v>
      </c>
      <c r="BB146" s="45">
        <f>('[2]Renewable Diesel'!Q155*'[2]RD Feedstock Breakdown'!BB$3*'[2]Feedstock Conversion Rates'!B$4)/12</f>
        <v>0</v>
      </c>
      <c r="BC146" s="45">
        <f>('[2]Renewable Diesel'!Q155*'[2]RD Feedstock Breakdown'!BC$3*'[2]Feedstock Conversion Rates'!B$3)/12</f>
        <v>0</v>
      </c>
      <c r="BD146" s="45">
        <f>('[2]Renewable Diesel'!Q155*'[2]RD Feedstock Breakdown'!BD$3*'[2]Feedstock Conversion Rates'!B$6)/12</f>
        <v>0</v>
      </c>
      <c r="BE146" s="47">
        <f t="shared" si="64"/>
        <v>0</v>
      </c>
      <c r="BF146" s="45">
        <f>('[2]Renewable Diesel'!R155*'[2]RD Feedstock Breakdown'!BF$3*'[2]Feedstock Conversion Rates'!B$4)/12</f>
        <v>62.5</v>
      </c>
      <c r="BG146" s="47">
        <f t="shared" si="47"/>
        <v>62.5</v>
      </c>
      <c r="BH146" s="45">
        <f>('[2]Renewable Diesel'!T155*'[2]RD Feedstock Breakdown'!BH$3*'[2]Feedstock Conversion Rates'!B$7)/12</f>
        <v>0</v>
      </c>
      <c r="BI146" s="47">
        <f t="shared" si="41"/>
        <v>0</v>
      </c>
      <c r="BJ146" s="45">
        <f>('[2]Renewable Diesel'!W155*'[2]RD Feedstock Breakdown'!BJ$3*'[2]Feedstock Conversion Rates'!B$4)/12-7.5</f>
        <v>0</v>
      </c>
      <c r="BK146" s="45">
        <f>('[2]Renewable Diesel'!W155*'[2]RD Feedstock Breakdown'!BK$3*'[2]Feedstock Conversion Rates'!B$3)/12</f>
        <v>1.335</v>
      </c>
      <c r="BL146" s="45">
        <f>('[2]Renewable Diesel'!W155*'[2]RD Feedstock Breakdown'!BL$3*'[2]Feedstock Conversion Rates'!B$6)/12</f>
        <v>3.1266666666666669</v>
      </c>
      <c r="BM146" s="45">
        <f>('[2]Renewable Diesel'!W155*'[2]RD Feedstock Breakdown'!BM$3*'[2]Feedstock Conversion Rates'!B$7)/12+7.5</f>
        <v>9.0333333333333332</v>
      </c>
      <c r="BN146" s="47">
        <f t="shared" si="34"/>
        <v>13.495000000000001</v>
      </c>
      <c r="BO146" s="47"/>
      <c r="BP146" s="47"/>
      <c r="BQ146" s="45"/>
      <c r="BR146" s="45"/>
      <c r="BS146" s="47"/>
      <c r="BT146" s="45"/>
      <c r="BU146" s="45">
        <f>('[2]Renewable Diesel'!Y155*'[2]Feedstock Conversion Rates'!B$7)/12</f>
        <v>0</v>
      </c>
      <c r="BV146" s="47">
        <f t="shared" si="67"/>
        <v>0</v>
      </c>
      <c r="BW146" s="47"/>
      <c r="BX146" s="48"/>
      <c r="BY146" s="47"/>
      <c r="BZ146" s="47"/>
      <c r="CA146" s="47"/>
      <c r="CB146" s="47"/>
      <c r="CC146" s="47"/>
      <c r="CD146" s="47"/>
      <c r="CE146" s="47"/>
      <c r="CF146" s="47"/>
      <c r="CG146" s="45">
        <f>('[2]Renewable Diesel'!AD155*'[2]Feedstock Conversion Rates'!B$4)/12</f>
        <v>0</v>
      </c>
      <c r="CH146" s="47">
        <f t="shared" si="63"/>
        <v>0</v>
      </c>
      <c r="CI146" s="48"/>
      <c r="CJ146" s="47"/>
      <c r="CK146" s="47"/>
      <c r="CL146" s="45">
        <f>(((CL$3*'[2]Renewable Diesel'!$AF155)*'[2]Feedstock Conversion Rates'!$B$3)/12)</f>
        <v>16.6875</v>
      </c>
      <c r="CM146" s="45">
        <f>(((CM$3*'[2]Renewable Diesel'!$AF155)*'[2]Feedstock Conversion Rates'!$B$6)/12)</f>
        <v>9.7708333333333339</v>
      </c>
      <c r="CN146" s="45">
        <f>(((CN$3*'[2]Renewable Diesel'!$AF155)*'[2]Feedstock Conversion Rates'!$B$4)/12)</f>
        <v>7.8125</v>
      </c>
      <c r="CO146" s="47">
        <f t="shared" si="65"/>
        <v>34.270833333333336</v>
      </c>
      <c r="CP146" s="47"/>
      <c r="CQ146" s="47"/>
      <c r="CR146" s="47"/>
      <c r="CS146" s="47"/>
      <c r="CT146" s="45">
        <f>('[2]Renewable Diesel'!AI155*'[2]Feedstock Conversion Rates'!$B$4*'[2]RD Feedstock Breakdown'!$CT$3)/12</f>
        <v>0</v>
      </c>
      <c r="CU146" s="47">
        <f>CT146</f>
        <v>0</v>
      </c>
      <c r="CV146" s="47"/>
      <c r="CW146" s="47"/>
      <c r="CX146" s="47"/>
      <c r="CY146" s="47"/>
      <c r="CZ146" s="47"/>
      <c r="DA146" s="47"/>
      <c r="DB146" s="47"/>
      <c r="DC146" s="47"/>
      <c r="DD146" s="48"/>
      <c r="DE146" s="47"/>
      <c r="DF146" s="47"/>
      <c r="DG146" s="47"/>
      <c r="DH146" s="47"/>
      <c r="DI146" s="47"/>
      <c r="DJ146" s="48"/>
      <c r="DK146" s="47"/>
      <c r="DL146" s="47"/>
      <c r="DM146" s="47"/>
      <c r="DN146" s="47"/>
      <c r="DP146" s="45">
        <f t="shared" si="48"/>
        <v>137.93799999999999</v>
      </c>
      <c r="DQ146" s="45">
        <f t="shared" si="49"/>
        <v>397.36398499999996</v>
      </c>
      <c r="DR146" s="45">
        <f t="shared" si="57"/>
        <v>531.65625</v>
      </c>
      <c r="DS146" s="48"/>
      <c r="DT146" s="45">
        <f t="shared" si="50"/>
        <v>133.5755666666667</v>
      </c>
      <c r="DU146" s="45">
        <f t="shared" si="51"/>
        <v>165.17286666666666</v>
      </c>
      <c r="DV146" s="45">
        <f t="shared" si="58"/>
        <v>37.7109375</v>
      </c>
      <c r="DW146" s="45">
        <f t="shared" si="52"/>
        <v>2.5</v>
      </c>
      <c r="DX146" s="47">
        <f t="shared" si="53"/>
        <v>1405.9176058333333</v>
      </c>
      <c r="DY146" s="50">
        <f t="shared" si="54"/>
        <v>7.815970093361102E-14</v>
      </c>
      <c r="EA146" s="51">
        <f t="shared" si="35"/>
        <v>9.8112435200809395E-2</v>
      </c>
      <c r="EB146" s="51">
        <f t="shared" si="35"/>
        <v>0.28263675150754608</v>
      </c>
      <c r="EC146" s="51">
        <f t="shared" si="35"/>
        <v>0.37815605110433909</v>
      </c>
      <c r="ED146" s="48"/>
      <c r="EE146" s="51">
        <f t="shared" si="36"/>
        <v>9.5009526954100629E-2</v>
      </c>
      <c r="EF146" s="51">
        <f t="shared" si="36"/>
        <v>0.11748403034526572</v>
      </c>
      <c r="EG146" s="51">
        <f t="shared" si="36"/>
        <v>2.6823006798927948E-2</v>
      </c>
      <c r="EH146" s="52">
        <f t="shared" si="59"/>
        <v>1.7781980890111753E-3</v>
      </c>
      <c r="EI146" s="51">
        <f t="shared" si="60"/>
        <v>0.99822180191098875</v>
      </c>
      <c r="EK146" s="53">
        <f>(EA146*'[2]Renewable Diesel'!BF155*'[2]Feedstock Conversion Rates'!B$2)+FB146</f>
        <v>136.63330526811129</v>
      </c>
      <c r="EL146" s="53">
        <f>(EB146*'[2]Renewable Diesel'!BF155*'[2]Feedstock Conversion Rates'!B$3)+FC146</f>
        <v>370.91529516425203</v>
      </c>
      <c r="EM146" s="53">
        <f>(EC146*'[2]Renewable Diesel'!BF155*'[2]Feedstock Conversion Rates'!B$4)+FD146</f>
        <v>464.67136580511425</v>
      </c>
      <c r="EN146" s="48"/>
      <c r="EO146" s="53">
        <f>(EE146*'[2]Renewable Diesel'!BF155*'[2]Feedstock Conversion Rates'!B$6)+FF146</f>
        <v>146.01033169864476</v>
      </c>
      <c r="EP146" s="53">
        <f>(EF146*'[2]Renewable Diesel'!BF155*'[2]Feedstock Conversion Rates'!B$7)+FG146</f>
        <v>177.08438092999711</v>
      </c>
      <c r="EQ146" s="53">
        <f>(EG146*'[2]Renewable Diesel'!BF155*'[2]Feedstock Conversion Rates'!B$8)+FH146</f>
        <v>41.199536434294487</v>
      </c>
      <c r="ER146" s="53">
        <f>(EH146*'[2]Renewable Diesel'!BF155*'[2]Feedstock Conversion Rates'!B$9)+FI146</f>
        <v>2.6948553905506341</v>
      </c>
      <c r="ES146" s="53">
        <f t="shared" si="61"/>
        <v>1339.2090706909644</v>
      </c>
      <c r="ET146" s="36">
        <f>ES146/'[2]Renewable Diesel'!BF155</f>
        <v>8.1740029251340776</v>
      </c>
    </row>
    <row r="147" spans="1:150" x14ac:dyDescent="0.25">
      <c r="A147" s="39">
        <v>44896</v>
      </c>
      <c r="B147" s="45">
        <f>55+120+49+5+10+21-40-12.5-2+6+25+14-5-1-4-1-6-9-4+20-20+40+20-10+20+17.5+32.5+50-10-48-20-12+22.5+3.75+3+4-50-12.5-30-10+10-1.5+12-26-50-15+10-7.5-3-1-12.5-1-1+10-150-4-0.5+110+20+20+15-25+15-50+20+50</f>
        <v>175.25</v>
      </c>
      <c r="C147" s="45">
        <f>12.5+15+5-10-22.5+25-15</f>
        <v>10</v>
      </c>
      <c r="D147" s="45">
        <f t="shared" si="68"/>
        <v>1.5</v>
      </c>
      <c r="E147" s="45">
        <f>('[2]Renewable Diesel'!B156*E$3*'[2]Feedstock Conversion Rates'!$B$2)/12-30-21-14+5+1+9-32.5+30-20+12-4+12.5+1.5+26+3+1-10+50+4-15</f>
        <v>98.429999999999993</v>
      </c>
      <c r="F147" s="45">
        <f>('[2]Renewable Diesel'!B156*'[2]RD Feedstock Breakdown'!F$3*'[2]Feedstock Conversion Rates'!B$8)/12+28.5-49-5+2-6+1+6+20-20-3.75+10+1+5-20-20</f>
        <v>3.65625</v>
      </c>
      <c r="G147" s="45">
        <f>('[2]Renewable Diesel'!B156*'[2]RD Feedstock Breakdown'!G$3*'[2]Feedstock Conversion Rates'!B$7)/12-25-15-25+4+4-20-40-20+10-17.5+20+50-12+7.5+150-50-75+22.5-110-20</f>
        <v>14.657000000000011</v>
      </c>
      <c r="H147" s="45">
        <f>('[2]Renewable Diesel'!B156*'[2]RD Feedstock Breakdown'!H$3*'[2]Feedstock Conversion Rates'!B$3)/12+11.5-120-10-5-50+48-22.5-3+30+50+15-10+12.5+75-5</f>
        <v>192.90022499999998</v>
      </c>
      <c r="I147" s="47">
        <f>SUM(B147:H147)</f>
        <v>496.39347499999997</v>
      </c>
      <c r="J147" s="47"/>
      <c r="K147" s="45">
        <v>44</v>
      </c>
      <c r="L147" s="45">
        <v>1</v>
      </c>
      <c r="M147" s="45">
        <f>('[2]Renewable Diesel'!C156*'[2]RD Feedstock Breakdown'!M$3*'[2]Feedstock Conversion Rates'!B$2)/12-0.25-7</f>
        <v>52.420000000000009</v>
      </c>
      <c r="N147" s="45">
        <f>('[2]Renewable Diesel'!C156*'[2]RD Feedstock Breakdown'!N$3*'[2]Feedstock Conversion Rates'!B$8)/12-0.25-10-9</f>
        <v>8.875</v>
      </c>
      <c r="O147" s="45">
        <f>('[2]Renewable Diesel'!C156*'[2]RD Feedstock Breakdown'!O$3*'[2]Feedstock Conversion Rates'!B$7)/12-0.25-9</f>
        <v>82.658000000000001</v>
      </c>
      <c r="P147" s="45">
        <f>('[2]Renewable Diesel'!C156*'[2]RD Feedstock Breakdown'!P$3*'[2]Feedstock Conversion Rates'!B$3)/12-0.25-9</f>
        <v>70.769900000000007</v>
      </c>
      <c r="Q147" s="47">
        <f t="shared" si="66"/>
        <v>259.72290000000004</v>
      </c>
      <c r="R147" s="45">
        <f>('[2]Renewable Diesel'!D156*'[2]RD Feedstock Breakdown'!R$3*'[2]Feedstock Conversion Rates'!B$7)/12</f>
        <v>2.2999999999999998</v>
      </c>
      <c r="S147" s="47">
        <f t="shared" si="44"/>
        <v>2.2999999999999998</v>
      </c>
      <c r="T147" s="45">
        <v>32</v>
      </c>
      <c r="U147" s="45">
        <v>0</v>
      </c>
      <c r="V147" s="45">
        <f>('[2]Renewable Diesel'!E156*'[2]RD Feedstock Breakdown'!V$3*'[2]Feedstock Conversion Rates'!B$6)/12-15-10-5+30-35+10</f>
        <v>19.250150000000012</v>
      </c>
      <c r="W147" s="45">
        <f>('[2]Renewable Diesel'!E156*'[2]RD Feedstock Breakdown'!W$3*'[2]Feedstock Conversion Rates'!B$8)/12+3-10</f>
        <v>15.1796875</v>
      </c>
      <c r="X147" s="47">
        <f t="shared" si="62"/>
        <v>66.429837500000019</v>
      </c>
      <c r="Y147" s="45">
        <f>12.5+15+1+8-20+27.5-5-39+19-19+25-25+7.5-7.5+20-20+15</f>
        <v>15</v>
      </c>
      <c r="Z147" s="45">
        <f>('[2]Renewable Diesel'!F156*'[2]RD Feedstock Breakdown'!Z$3*'[2]Feedstock Conversion Rates'!B$6)/12+5-15-1-8+20-27.5+5+19-25+25-7.5+7.5-15</f>
        <v>27.055000000000007</v>
      </c>
      <c r="AA147" s="45">
        <f>('[2]Renewable Diesel'!F156*'[2]RD Feedstock Breakdown'!AA$3*'[2]Feedstock Conversion Rates'!B$7)/12-17.5+2+37-19-20+20</f>
        <v>31.633333333333326</v>
      </c>
      <c r="AB147" s="47">
        <f t="shared" si="39"/>
        <v>73.688333333333333</v>
      </c>
      <c r="AC147" s="45">
        <f>('[2]Renewable Diesel'!G156*'[2]RD Feedstock Breakdown'!AC$3*'[2]Feedstock Conversion Rates'!B$5)/12</f>
        <v>0</v>
      </c>
      <c r="AD147" s="45">
        <f>('[2]Renewable Diesel'!G156*'[2]RD Feedstock Breakdown'!AD$3*'[2]Feedstock Conversion Rates'!B$4)/12</f>
        <v>0</v>
      </c>
      <c r="AE147" s="45">
        <f>('[2]Renewable Diesel'!G156*'[2]RD Feedstock Breakdown'!AE$3*'[2]Feedstock Conversion Rates'!B$6)/12</f>
        <v>0</v>
      </c>
      <c r="AF147" s="47">
        <f t="shared" si="55"/>
        <v>0</v>
      </c>
      <c r="AG147" s="45"/>
      <c r="AH147" s="45">
        <v>0</v>
      </c>
      <c r="AI147" s="45">
        <f>('[2]Renewable Diesel'!H156*'[2]RD Feedstock Breakdown'!AI$3*'[2]Feedstock Conversion Rates'!B$6)/12</f>
        <v>58.625000000000007</v>
      </c>
      <c r="AJ147" s="47">
        <f t="shared" si="42"/>
        <v>58.625000000000007</v>
      </c>
      <c r="AK147" s="45">
        <f>('[2]Renewable Diesel'!J156*'[2]RD Feedstock Breakdown'!AK$3*'[2]Feedstock Conversion Rates'!B$4)/12</f>
        <v>95.8125</v>
      </c>
      <c r="AL147" s="47">
        <f t="shared" si="45"/>
        <v>95.8125</v>
      </c>
      <c r="AM147" s="45">
        <f>('[2]Renewable Diesel'!K156*'[2]RD Feedstock Breakdown'!AM$3*'[2]Feedstock Conversion Rates'!B$4)/12</f>
        <v>58.59375</v>
      </c>
      <c r="AN147" s="45">
        <f>('[2]Renewable Diesel'!K156*'[2]RD Feedstock Breakdown'!AN$3*'[2]Feedstock Conversion Rates'!B$6)/12</f>
        <v>24.427083333333332</v>
      </c>
      <c r="AO147" s="47">
        <f t="shared" si="56"/>
        <v>83.020833333333329</v>
      </c>
      <c r="AP147" s="45">
        <f>('[2]Renewable Diesel'!L156*'[2]RD Feedstock Breakdown'!AP$3*'[2]Feedstock Conversion Rates'!B$4)/12+15-7.5-25+10</f>
        <v>51.09375</v>
      </c>
      <c r="AQ147" s="45">
        <f>('[2]Renewable Diesel'!L156*'[2]RD Feedstock Breakdown'!AQ$3*'[2]Feedstock Conversion Rates'!B$6)/12-15+7.55+25-10</f>
        <v>31.977083333333333</v>
      </c>
      <c r="AR147" s="47">
        <f t="shared" si="46"/>
        <v>83.070833333333326</v>
      </c>
      <c r="AS147" s="45"/>
      <c r="AT147" s="45"/>
      <c r="AU147" s="47"/>
      <c r="AV147" s="45">
        <f>'[2]Renewable Diesel'!N156*'[2]RD Feedstock Breakdown'!$AV$3*'[2]Feedstock Conversion Rates'!$B$4/12+25-22+20-101.5+50</f>
        <v>50.249999999999986</v>
      </c>
      <c r="AW147" s="45">
        <f>'[2]Renewable Diesel'!N156*'[2]RD Feedstock Breakdown'!$AW$3*'[2]Feedstock Conversion Rates'!$B$7/12-25+22-20+101.5-50</f>
        <v>69.900000000000006</v>
      </c>
      <c r="AX147" s="47">
        <f t="shared" si="40"/>
        <v>120.14999999999999</v>
      </c>
      <c r="AY147" s="45">
        <f>('[2]Renewable Diesel'!O156*'[2]RD Feedstock Breakdown'!AY$3*'[2]Feedstock Conversion Rates'!B$4)/12+5-50</f>
        <v>22.5</v>
      </c>
      <c r="AZ147" s="45">
        <f>('[2]Renewable Diesel'!O156*'[2]RD Feedstock Breakdown'!AZ$3*'[2]Feedstock Conversion Rates'!B$3)/12-5+50</f>
        <v>53.01</v>
      </c>
      <c r="BA147" s="47">
        <f t="shared" si="43"/>
        <v>75.509999999999991</v>
      </c>
      <c r="BB147" s="45">
        <f>('[2]Renewable Diesel'!Q156*'[2]RD Feedstock Breakdown'!BB$3*'[2]Feedstock Conversion Rates'!B$4)/12</f>
        <v>0</v>
      </c>
      <c r="BC147" s="45">
        <f>('[2]Renewable Diesel'!Q156*'[2]RD Feedstock Breakdown'!BC$3*'[2]Feedstock Conversion Rates'!B$3)/12</f>
        <v>0</v>
      </c>
      <c r="BD147" s="45">
        <f>('[2]Renewable Diesel'!Q156*'[2]RD Feedstock Breakdown'!BD$3*'[2]Feedstock Conversion Rates'!B$6)/12</f>
        <v>0</v>
      </c>
      <c r="BE147" s="47">
        <f t="shared" si="64"/>
        <v>0</v>
      </c>
      <c r="BF147" s="45">
        <f>('[2]Renewable Diesel'!R156*'[2]RD Feedstock Breakdown'!BF$3*'[2]Feedstock Conversion Rates'!B$4)/12</f>
        <v>62.5</v>
      </c>
      <c r="BG147" s="47">
        <f t="shared" si="47"/>
        <v>62.5</v>
      </c>
      <c r="BH147" s="45">
        <f>('[2]Renewable Diesel'!T156*'[2]RD Feedstock Breakdown'!BH$3*'[2]Feedstock Conversion Rates'!B$7)/12</f>
        <v>0</v>
      </c>
      <c r="BI147" s="47">
        <f t="shared" si="41"/>
        <v>0</v>
      </c>
      <c r="BJ147" s="45">
        <f>('[2]Renewable Diesel'!W156*'[2]RD Feedstock Breakdown'!BJ$3*'[2]Feedstock Conversion Rates'!B$4)/12-7.5</f>
        <v>0</v>
      </c>
      <c r="BK147" s="45">
        <f>('[2]Renewable Diesel'!W156*'[2]RD Feedstock Breakdown'!BK$3*'[2]Feedstock Conversion Rates'!B$3)/12</f>
        <v>1.335</v>
      </c>
      <c r="BL147" s="45">
        <f>('[2]Renewable Diesel'!W156*'[2]RD Feedstock Breakdown'!BL$3*'[2]Feedstock Conversion Rates'!B$6)/12</f>
        <v>3.1266666666666669</v>
      </c>
      <c r="BM147" s="45">
        <f>('[2]Renewable Diesel'!W156*'[2]RD Feedstock Breakdown'!BM$3*'[2]Feedstock Conversion Rates'!B$7)/12+7.5</f>
        <v>9.0333333333333332</v>
      </c>
      <c r="BN147" s="47">
        <f t="shared" si="34"/>
        <v>13.495000000000001</v>
      </c>
      <c r="BO147" s="47"/>
      <c r="BP147" s="47"/>
      <c r="BQ147" s="45"/>
      <c r="BR147" s="45"/>
      <c r="BS147" s="47"/>
      <c r="BT147" s="45"/>
      <c r="BU147" s="45">
        <f>('[2]Renewable Diesel'!Y156*'[2]Feedstock Conversion Rates'!B$7)/12</f>
        <v>0</v>
      </c>
      <c r="BV147" s="47">
        <f t="shared" si="67"/>
        <v>0</v>
      </c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5">
        <f>('[2]Renewable Diesel'!AD156*'[2]Feedstock Conversion Rates'!B$4)/12</f>
        <v>0</v>
      </c>
      <c r="CH147" s="47">
        <f t="shared" si="63"/>
        <v>0</v>
      </c>
      <c r="CI147" s="47"/>
      <c r="CJ147" s="47"/>
      <c r="CK147" s="47"/>
      <c r="CL147" s="45">
        <f>(((CL$3*'[2]Renewable Diesel'!$AF156)*'[2]Feedstock Conversion Rates'!$B$3)/12)</f>
        <v>20.024999999999999</v>
      </c>
      <c r="CM147" s="45">
        <f>(((CM$3*'[2]Renewable Diesel'!$AF156)*'[2]Feedstock Conversion Rates'!$B$6)/12)</f>
        <v>11.725000000000001</v>
      </c>
      <c r="CN147" s="45">
        <f>(((CN$3*'[2]Renewable Diesel'!$AF156)*'[2]Feedstock Conversion Rates'!$B$4)/12)</f>
        <v>9.375</v>
      </c>
      <c r="CO147" s="47">
        <f t="shared" si="65"/>
        <v>41.125</v>
      </c>
      <c r="CP147" s="47"/>
      <c r="CQ147" s="47"/>
      <c r="CR147" s="47"/>
      <c r="CS147" s="47"/>
      <c r="CT147" s="45">
        <f>('[2]Renewable Diesel'!AI156*'[2]Feedstock Conversion Rates'!$B$4*'[2]RD Feedstock Breakdown'!$CT$3)/12</f>
        <v>0</v>
      </c>
      <c r="CU147" s="47">
        <f t="shared" ref="CU147:CU210" si="69">CT147</f>
        <v>0</v>
      </c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  <c r="DL147" s="47"/>
      <c r="DM147" s="47"/>
      <c r="DN147" s="47"/>
      <c r="DP147" s="45">
        <f t="shared" si="48"/>
        <v>150.85</v>
      </c>
      <c r="DQ147" s="45">
        <f t="shared" si="49"/>
        <v>338.04012499999993</v>
      </c>
      <c r="DR147" s="45">
        <f t="shared" si="57"/>
        <v>540.375</v>
      </c>
      <c r="DS147" s="45">
        <f>AC147+C147+BX147+CI147+DD147+AG147+T147+DJ147+AT147+K147</f>
        <v>86</v>
      </c>
      <c r="DT147" s="45">
        <f t="shared" si="50"/>
        <v>176.18598333333335</v>
      </c>
      <c r="DU147" s="45">
        <f t="shared" si="51"/>
        <v>210.18166666666667</v>
      </c>
      <c r="DV147" s="45">
        <f t="shared" si="58"/>
        <v>27.7109375</v>
      </c>
      <c r="DW147" s="45">
        <f t="shared" si="52"/>
        <v>2.5</v>
      </c>
      <c r="DX147" s="47">
        <f t="shared" si="53"/>
        <v>1531.8437124999998</v>
      </c>
      <c r="DY147" s="50">
        <f t="shared" si="54"/>
        <v>0</v>
      </c>
      <c r="EA147" s="51">
        <f t="shared" si="35"/>
        <v>9.8476103514378605E-2</v>
      </c>
      <c r="EB147" s="51">
        <f t="shared" si="35"/>
        <v>0.22067533537629086</v>
      </c>
      <c r="EC147" s="51">
        <f t="shared" si="35"/>
        <v>0.35276118287426145</v>
      </c>
      <c r="ED147" s="51">
        <f t="shared" si="35"/>
        <v>5.6141497528913224E-2</v>
      </c>
      <c r="EE147" s="51">
        <f t="shared" si="36"/>
        <v>0.1150156389295056</v>
      </c>
      <c r="EF147" s="51">
        <f t="shared" si="36"/>
        <v>0.13720829674173873</v>
      </c>
      <c r="EG147" s="51">
        <f t="shared" si="36"/>
        <v>1.8089924757908358E-2</v>
      </c>
      <c r="EH147" s="52">
        <f t="shared" si="59"/>
        <v>1.6320202770032915E-3</v>
      </c>
      <c r="EI147" s="51">
        <f t="shared" si="60"/>
        <v>0.99836797972299685</v>
      </c>
      <c r="EK147" s="53">
        <f>(EA147*'[2]Renewable Diesel'!BF156*'[2]Feedstock Conversion Rates'!B$2)+FB147</f>
        <v>121.1100739483076</v>
      </c>
      <c r="EL147" s="53">
        <f>(EB147*'[2]Renewable Diesel'!BF156*'[2]Feedstock Conversion Rates'!B$3)+FC147</f>
        <v>255.75068099227789</v>
      </c>
      <c r="EM147" s="53">
        <f>(EC147*'[2]Renewable Diesel'!BF156*'[2]Feedstock Conversion Rates'!B$4)+FD147</f>
        <v>382.80053935434529</v>
      </c>
      <c r="EN147" s="53">
        <f>(ED147*'[2]Renewable Diesel'!BF156*'[2]Feedstock Conversion Rates'!B$5)+FE147</f>
        <v>61.328371397091871</v>
      </c>
      <c r="EO147" s="53">
        <f>(EE147*'[2]Renewable Diesel'!BF156*'[2]Feedstock Conversion Rates'!B$6)+FF147</f>
        <v>156.09544211823717</v>
      </c>
      <c r="EP147" s="53">
        <f>(EF147*'[2]Renewable Diesel'!BF156*'[2]Feedstock Conversion Rates'!B$7)+FG147</f>
        <v>182.64117309498923</v>
      </c>
      <c r="EQ147" s="53">
        <f>(EG147*'[2]Renewable Diesel'!BF156*'[2]Feedstock Conversion Rates'!B$8)+FH147</f>
        <v>24.537963962559687</v>
      </c>
      <c r="ER147" s="53">
        <f>(EH147*'[2]Renewable Diesel'!BF156*'[2]Feedstock Conversion Rates'!B$9)+FI147</f>
        <v>2.1842269960846288</v>
      </c>
      <c r="ES147" s="53">
        <f t="shared" si="61"/>
        <v>1186.4484718638932</v>
      </c>
      <c r="ET147" s="36">
        <f>ES147/'[2]Renewable Diesel'!BF156</f>
        <v>8.200085749486993</v>
      </c>
    </row>
    <row r="148" spans="1:150" x14ac:dyDescent="0.25">
      <c r="A148" s="39">
        <v>44927</v>
      </c>
      <c r="B148" s="45">
        <f>23-20+10+85-5-4-4-1.25+2.25-5+15-6-25-45+65+15-22.5-50+40+16.5+27.5+168+80+14-30+15-50-19+22.5-10+5+11-25-50-12.5-27.5-10+10+2+4-1.5+12-26-15-50-15+10-32.5-3-5-2.5-1+10-50-35-4-0.5-5+20+25+20+15+85-25+25+20-100</f>
        <v>80</v>
      </c>
      <c r="C148" s="45">
        <f>12.5+15+5-10-22.5+25+100</f>
        <v>125</v>
      </c>
      <c r="D148" s="45">
        <f t="shared" si="68"/>
        <v>1.5</v>
      </c>
      <c r="E148" s="45">
        <f>('[2]Renewable Diesel'!B157*E$3*'[2]Feedstock Conversion Rates'!$B$2)/12-40+1.25+6-43+30-15+12.5-4+1.5+26+7+3-10+75+4-15-25</f>
        <v>104.18</v>
      </c>
      <c r="F148" s="45">
        <f>('[2]Renewable Diesel'!B157*'[2]RD Feedstock Breakdown'!F$3*'[2]Feedstock Conversion Rates'!B$8)/12+28.5-49-5+2-6+1+6+20-20-3.75+10+2.5+5-20-20</f>
        <v>5.15625</v>
      </c>
      <c r="G148" s="45">
        <f>('[2]Renewable Diesel'!B157*'[2]RD Feedstock Breakdown'!G$3*'[2]Feedstock Conversion Rates'!B$7)/12-25-15-25+4+4-20-40-20+10-17.5+20+50-12+32.5+35-75-75+22.5+5-20</f>
        <v>14.657000000000011</v>
      </c>
      <c r="H148" s="45">
        <f>('[2]Renewable Diesel'!B157*'[2]RD Feedstock Breakdown'!H$3*'[2]Feedstock Conversion Rates'!B$3)/12-85+4-15+70-65-80+50-22.5-5+25+27.5+15+50+15-10+5+50+75-5-25-85</f>
        <v>165.40022499999998</v>
      </c>
      <c r="I148" s="47">
        <f t="shared" si="33"/>
        <v>495.89347499999997</v>
      </c>
      <c r="J148" s="47"/>
      <c r="K148" s="45">
        <v>96.5</v>
      </c>
      <c r="L148" s="45">
        <v>1</v>
      </c>
      <c r="M148" s="45">
        <f>('[2]Renewable Diesel'!C157*'[2]RD Feedstock Breakdown'!M$3*'[2]Feedstock Conversion Rates'!B$2)/12-0.25-18.75</f>
        <v>40.670000000000009</v>
      </c>
      <c r="N148" s="45">
        <f>('[2]Renewable Diesel'!C157*'[2]RD Feedstock Breakdown'!N$3*'[2]Feedstock Conversion Rates'!B$8)/12-0.25-20</f>
        <v>7.875</v>
      </c>
      <c r="O148" s="45">
        <f>('[2]Renewable Diesel'!C157*'[2]RD Feedstock Breakdown'!O$3*'[2]Feedstock Conversion Rates'!B$7)/12-0.25-37</f>
        <v>54.658000000000001</v>
      </c>
      <c r="P148" s="45">
        <f>('[2]Renewable Diesel'!C157*'[2]RD Feedstock Breakdown'!P$3*'[2]Feedstock Conversion Rates'!B$3)/12-0.25-20.75</f>
        <v>59.019900000000007</v>
      </c>
      <c r="Q148" s="47">
        <f t="shared" si="66"/>
        <v>259.72290000000004</v>
      </c>
      <c r="R148" s="45">
        <f>('[2]Renewable Diesel'!D157*'[2]RD Feedstock Breakdown'!R$3*'[2]Feedstock Conversion Rates'!B$7)/12</f>
        <v>2.2999999999999998</v>
      </c>
      <c r="S148" s="47">
        <f t="shared" si="44"/>
        <v>2.2999999999999998</v>
      </c>
      <c r="T148" s="45">
        <v>32</v>
      </c>
      <c r="U148" s="45">
        <v>0</v>
      </c>
      <c r="V148" s="45">
        <f>('[2]Renewable Diesel'!E157*'[2]RD Feedstock Breakdown'!V$3*'[2]Feedstock Conversion Rates'!B$6)/12-20-5-5+32.5-35+25-15</f>
        <v>21.750150000000012</v>
      </c>
      <c r="W148" s="45">
        <f>('[2]Renewable Diesel'!E157*'[2]RD Feedstock Breakdown'!W$3*'[2]Feedstock Conversion Rates'!B$8)/12-2.5+3-10</f>
        <v>12.6796875</v>
      </c>
      <c r="X148" s="47">
        <f t="shared" si="62"/>
        <v>66.429837500000019</v>
      </c>
      <c r="Y148" s="45">
        <f>30-30+50-20+20-2-35-13+7.5-5-2.5+53-53</f>
        <v>0</v>
      </c>
      <c r="Z148" s="45">
        <f>('[2]Renewable Diesel'!F157*'[2]RD Feedstock Breakdown'!Z$3*'[2]Feedstock Conversion Rates'!B$6)/12-30+20-20-7.5+2.5</f>
        <v>9.5550000000000068</v>
      </c>
      <c r="AA148" s="45">
        <f>('[2]Renewable Diesel'!F157*'[2]RD Feedstock Breakdown'!AA$3*'[2]Feedstock Conversion Rates'!B$7)/12+30-50+2+35+13+5-53+53</f>
        <v>64.133333333333326</v>
      </c>
      <c r="AB148" s="47">
        <f t="shared" si="39"/>
        <v>73.688333333333333</v>
      </c>
      <c r="AC148" s="45">
        <f>('[2]Renewable Diesel'!G157*'[2]RD Feedstock Breakdown'!AC$3*'[2]Feedstock Conversion Rates'!B$5)/12</f>
        <v>0</v>
      </c>
      <c r="AD148" s="45">
        <f>('[2]Renewable Diesel'!G157*'[2]RD Feedstock Breakdown'!AD$3*'[2]Feedstock Conversion Rates'!B$4)/12</f>
        <v>0</v>
      </c>
      <c r="AE148" s="45">
        <f>('[2]Renewable Diesel'!G157*'[2]RD Feedstock Breakdown'!AE$3*'[2]Feedstock Conversion Rates'!B$6)/12</f>
        <v>0</v>
      </c>
      <c r="AF148" s="47">
        <f>SUM(AC148:AE148)</f>
        <v>0</v>
      </c>
      <c r="AG148" s="45">
        <f>26-26+30-25</f>
        <v>5</v>
      </c>
      <c r="AH148" s="45">
        <v>0</v>
      </c>
      <c r="AI148" s="45">
        <f>('[2]Renewable Diesel'!H157*'[2]RD Feedstock Breakdown'!AI$3*'[2]Feedstock Conversion Rates'!B$6)/12-17.5+17.5-26+26-30+25</f>
        <v>53.625000000000007</v>
      </c>
      <c r="AJ148" s="47">
        <f t="shared" si="42"/>
        <v>58.625000000000007</v>
      </c>
      <c r="AK148" s="45">
        <f>('[2]Renewable Diesel'!J157*'[2]RD Feedstock Breakdown'!AK$3*'[2]Feedstock Conversion Rates'!B$4)/12</f>
        <v>95.8125</v>
      </c>
      <c r="AL148" s="47">
        <f t="shared" si="45"/>
        <v>95.8125</v>
      </c>
      <c r="AM148" s="45">
        <f>('[2]Renewable Diesel'!K157*'[2]RD Feedstock Breakdown'!AM$3*'[2]Feedstock Conversion Rates'!B$4)/12</f>
        <v>58.59375</v>
      </c>
      <c r="AN148" s="45">
        <f>('[2]Renewable Diesel'!K157*'[2]RD Feedstock Breakdown'!AN$3*'[2]Feedstock Conversion Rates'!B$6)/12</f>
        <v>24.427083333333332</v>
      </c>
      <c r="AO148" s="47">
        <f t="shared" si="56"/>
        <v>83.020833333333329</v>
      </c>
      <c r="AP148" s="45">
        <f>('[2]Renewable Diesel'!L157*'[2]RD Feedstock Breakdown'!AP$3*'[2]Feedstock Conversion Rates'!B$4)/12+15-5-40+10</f>
        <v>38.59375</v>
      </c>
      <c r="AQ148" s="45">
        <f>('[2]Renewable Diesel'!L157*'[2]RD Feedstock Breakdown'!AQ$3*'[2]Feedstock Conversion Rates'!B$6)/12-15+5+40-10</f>
        <v>44.427083333333329</v>
      </c>
      <c r="AR148" s="47">
        <f t="shared" si="46"/>
        <v>83.020833333333329</v>
      </c>
      <c r="AS148" s="45"/>
      <c r="AT148" s="45"/>
      <c r="AU148" s="47"/>
      <c r="AV148" s="45">
        <f>'[2]Renewable Diesel'!N157*'[2]RD Feedstock Breakdown'!$AV$3*'[2]Feedstock Conversion Rates'!$B$4/12-15-10+25+25-22-75-6.5+50</f>
        <v>50.249999999999986</v>
      </c>
      <c r="AW148" s="45">
        <f>'[2]Renewable Diesel'!N157*'[2]RD Feedstock Breakdown'!$AW$3*'[2]Feedstock Conversion Rates'!$B$7/12+15+10-25-25+22+75+6.5-50</f>
        <v>69.900000000000006</v>
      </c>
      <c r="AX148" s="47">
        <f t="shared" si="40"/>
        <v>120.14999999999999</v>
      </c>
      <c r="AY148" s="45">
        <f>('[2]Renewable Diesel'!O157*'[2]RD Feedstock Breakdown'!AY$3*'[2]Feedstock Conversion Rates'!B$4)/12+5-50</f>
        <v>22.5</v>
      </c>
      <c r="AZ148" s="45">
        <f>('[2]Renewable Diesel'!O157*'[2]RD Feedstock Breakdown'!AZ$3*'[2]Feedstock Conversion Rates'!B$3)/12-5+50</f>
        <v>53.01</v>
      </c>
      <c r="BA148" s="47">
        <f t="shared" si="43"/>
        <v>75.509999999999991</v>
      </c>
      <c r="BB148" s="45">
        <f>('[2]Renewable Diesel'!Q157*'[2]RD Feedstock Breakdown'!BB$3*'[2]Feedstock Conversion Rates'!B$4)/12</f>
        <v>0</v>
      </c>
      <c r="BC148" s="45">
        <f>('[2]Renewable Diesel'!Q157*'[2]RD Feedstock Breakdown'!BC$3*'[2]Feedstock Conversion Rates'!B$3)/12</f>
        <v>0</v>
      </c>
      <c r="BD148" s="45">
        <f>('[2]Renewable Diesel'!Q157*'[2]RD Feedstock Breakdown'!BD$3*'[2]Feedstock Conversion Rates'!B$6)/12</f>
        <v>0</v>
      </c>
      <c r="BE148" s="47">
        <f t="shared" si="64"/>
        <v>0</v>
      </c>
      <c r="BF148" s="45">
        <f>('[2]Renewable Diesel'!R157*'[2]RD Feedstock Breakdown'!BF$3*'[2]Feedstock Conversion Rates'!B$4)/12</f>
        <v>62.5</v>
      </c>
      <c r="BG148" s="47">
        <f t="shared" si="47"/>
        <v>62.5</v>
      </c>
      <c r="BH148" s="45">
        <f>('[2]Renewable Diesel'!T157*'[2]RD Feedstock Breakdown'!BH$3*'[2]Feedstock Conversion Rates'!B$7)/12</f>
        <v>0</v>
      </c>
      <c r="BI148" s="47">
        <f t="shared" si="41"/>
        <v>0</v>
      </c>
      <c r="BJ148" s="45">
        <f>('[2]Renewable Diesel'!W157*'[2]RD Feedstock Breakdown'!BJ$3*'[2]Feedstock Conversion Rates'!B$4)/12-7.5</f>
        <v>0</v>
      </c>
      <c r="BK148" s="45">
        <f>('[2]Renewable Diesel'!W157*'[2]RD Feedstock Breakdown'!BK$3*'[2]Feedstock Conversion Rates'!B$3)/12</f>
        <v>1.335</v>
      </c>
      <c r="BL148" s="45">
        <f>('[2]Renewable Diesel'!W157*'[2]RD Feedstock Breakdown'!BL$3*'[2]Feedstock Conversion Rates'!B$6)/12</f>
        <v>3.1266666666666669</v>
      </c>
      <c r="BM148" s="45">
        <f>('[2]Renewable Diesel'!W157*'[2]RD Feedstock Breakdown'!BM$3*'[2]Feedstock Conversion Rates'!B$7)/12+7.5</f>
        <v>9.0333333333333332</v>
      </c>
      <c r="BN148" s="47">
        <f t="shared" si="34"/>
        <v>13.495000000000001</v>
      </c>
      <c r="BO148" s="45">
        <f>('[2]Renewable Diesel'!P157*'[2]Feedstock Conversion Rates'!B$4)/12</f>
        <v>0</v>
      </c>
      <c r="BP148" s="47">
        <f>BO148</f>
        <v>0</v>
      </c>
      <c r="BQ148" s="45"/>
      <c r="BR148" s="45"/>
      <c r="BS148" s="47"/>
      <c r="BT148" s="47"/>
      <c r="BU148" s="45">
        <f>('[2]Renewable Diesel'!Y157*'[2]Feedstock Conversion Rates'!B$7)/12</f>
        <v>0</v>
      </c>
      <c r="BV148" s="47">
        <f t="shared" si="67"/>
        <v>0</v>
      </c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5">
        <f>('[2]Renewable Diesel'!AD157*'[2]Feedstock Conversion Rates'!B$4)/12</f>
        <v>0</v>
      </c>
      <c r="CH148" s="47">
        <f t="shared" si="63"/>
        <v>0</v>
      </c>
      <c r="CI148" s="45">
        <f>('[2]Renewable Diesel'!$AE157*'[2]RD Feedstock Breakdown'!CI$3*'[2]Feedstock Conversion Rates'!$B$5)/12</f>
        <v>0.17302083333333332</v>
      </c>
      <c r="CJ148" s="45">
        <f>('[2]Renewable Diesel'!$AE157*'[2]RD Feedstock Breakdown'!CJ$3*'[2]Feedstock Conversion Rates'!$B$4)/12</f>
        <v>0.171875</v>
      </c>
      <c r="CK148" s="47">
        <f>SUM(CI148:CJ148)</f>
        <v>0.34489583333333329</v>
      </c>
      <c r="CL148" s="45">
        <f>(((CL$3*'[2]Renewable Diesel'!$AF157)*'[2]Feedstock Conversion Rates'!$B$3)/12)</f>
        <v>24.03</v>
      </c>
      <c r="CM148" s="45">
        <f>(((CM$3*'[2]Renewable Diesel'!$AF157)*'[2]Feedstock Conversion Rates'!$B$6)/12)</f>
        <v>14.07</v>
      </c>
      <c r="CN148" s="45">
        <f>(((CN$3*'[2]Renewable Diesel'!$AF157)*'[2]Feedstock Conversion Rates'!$B$4)/12)</f>
        <v>11.25</v>
      </c>
      <c r="CO148" s="47">
        <f t="shared" si="65"/>
        <v>49.35</v>
      </c>
      <c r="CP148" s="47"/>
      <c r="CQ148" s="47"/>
      <c r="CR148" s="47"/>
      <c r="CS148" s="47"/>
      <c r="CT148" s="45">
        <f>('[2]Renewable Diesel'!AI157*'[2]Feedstock Conversion Rates'!$B$4*'[2]RD Feedstock Breakdown'!$CT$3)/12</f>
        <v>0</v>
      </c>
      <c r="CU148" s="47">
        <f t="shared" si="69"/>
        <v>0</v>
      </c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  <c r="DI148" s="47"/>
      <c r="DJ148" s="47"/>
      <c r="DK148" s="47"/>
      <c r="DL148" s="47"/>
      <c r="DM148" s="47"/>
      <c r="DN148" s="47"/>
      <c r="DP148" s="45">
        <f t="shared" si="48"/>
        <v>144.85000000000002</v>
      </c>
      <c r="DQ148" s="45">
        <f t="shared" si="49"/>
        <v>302.79512499999998</v>
      </c>
      <c r="DR148" s="45">
        <f t="shared" si="57"/>
        <v>419.671875</v>
      </c>
      <c r="DS148" s="45">
        <f t="shared" ref="DS148:DS211" si="70">AC148+C148+BX148+CI148+DD148+AG148+T148+DJ148+AT148+K148</f>
        <v>258.67302083333334</v>
      </c>
      <c r="DT148" s="45">
        <f t="shared" si="50"/>
        <v>170.98098333333334</v>
      </c>
      <c r="DU148" s="45">
        <f t="shared" si="51"/>
        <v>214.68166666666667</v>
      </c>
      <c r="DV148" s="45">
        <f t="shared" si="58"/>
        <v>25.7109375</v>
      </c>
      <c r="DW148" s="45">
        <f t="shared" si="52"/>
        <v>2.5</v>
      </c>
      <c r="DX148" s="47">
        <f t="shared" si="53"/>
        <v>1539.8636083333333</v>
      </c>
      <c r="DY148" s="50">
        <f t="shared" si="54"/>
        <v>-1.4210854715202004E-13</v>
      </c>
      <c r="EA148" s="51">
        <f t="shared" si="35"/>
        <v>9.4066772677859428E-2</v>
      </c>
      <c r="EB148" s="51">
        <f t="shared" si="35"/>
        <v>0.19663762645039021</v>
      </c>
      <c r="EC148" s="51">
        <f t="shared" si="35"/>
        <v>0.27253834218098744</v>
      </c>
      <c r="ED148" s="51">
        <f t="shared" si="35"/>
        <v>0.16798437175439668</v>
      </c>
      <c r="EE148" s="51">
        <f t="shared" si="36"/>
        <v>0.11103644660996573</v>
      </c>
      <c r="EF148" s="51">
        <f t="shared" si="36"/>
        <v>0.13941602717595666</v>
      </c>
      <c r="EG148" s="51">
        <f t="shared" si="36"/>
        <v>1.6696892738330346E-2</v>
      </c>
      <c r="EH148" s="52">
        <f t="shared" si="59"/>
        <v>1.6235204121135556E-3</v>
      </c>
      <c r="EI148" s="51">
        <f t="shared" si="60"/>
        <v>0.99837647958788656</v>
      </c>
      <c r="EK148" s="53">
        <f>(EA148*'[2]Renewable Diesel'!BF157*'[2]Feedstock Conversion Rates'!B$2)+FB148</f>
        <v>115.71408684497509</v>
      </c>
      <c r="EL148" s="53">
        <f>(EB148*'[2]Renewable Diesel'!BF157*'[2]Feedstock Conversion Rates'!B$3)+FC148</f>
        <v>227.94506912853902</v>
      </c>
      <c r="EM148" s="53">
        <f>(EC148*'[2]Renewable Diesel'!BF157*'[2]Feedstock Conversion Rates'!B$4)+FD148</f>
        <v>295.81482541864926</v>
      </c>
      <c r="EN148" s="53">
        <f>(ED148*'[2]Renewable Diesel'!BF157*'[2]Feedstock Conversion Rates'!B$5)+FE148</f>
        <v>183.54683229999458</v>
      </c>
      <c r="EO148" s="53">
        <f>(EE148*'[2]Renewable Diesel'!BF157*'[2]Feedstock Conversion Rates'!B$6)+FF148</f>
        <v>150.72991562312063</v>
      </c>
      <c r="EP148" s="53">
        <f>(EF148*'[2]Renewable Diesel'!BF157*'[2]Feedstock Conversion Rates'!B$7)+FG148</f>
        <v>185.62291684326911</v>
      </c>
      <c r="EQ148" s="53">
        <f>(EG148*'[2]Renewable Diesel'!BF157*'[2]Feedstock Conversion Rates'!B$8)+FH148</f>
        <v>22.653640084626534</v>
      </c>
      <c r="ER148" s="53">
        <f>(EH148*'[2]Renewable Diesel'!BF157*'[2]Feedstock Conversion Rates'!B$9)+FI148</f>
        <v>2.1733543895632792</v>
      </c>
      <c r="ES148" s="53">
        <f t="shared" si="61"/>
        <v>1184.2006406327373</v>
      </c>
      <c r="ET148" s="36">
        <f>ES148/'[2]Renewable Diesel'!BF157</f>
        <v>8.1826547811867076</v>
      </c>
    </row>
    <row r="149" spans="1:150" x14ac:dyDescent="0.25">
      <c r="A149" s="39">
        <v>44958</v>
      </c>
      <c r="B149" s="45">
        <f>23-20+10+85-5-4-4-1.25+2.25-5+15-6-25-45+65+15-22.5-50+40+16.5+27.5+168+80+14-30+15-50-19+22.5-10+5+11-25-50-12.5-27.5-10+10+2+4-1.5+12-26-15-50-15+10-32.5-3-5-2.5-1+10-50-35-4-0.5+20+20+25+20+15+85-25+12.5-52.5+10+20-150+20</f>
        <v>20</v>
      </c>
      <c r="C149" s="45">
        <f>40-10-2.5-27.5+25+25</f>
        <v>50</v>
      </c>
      <c r="D149" s="45">
        <f t="shared" si="68"/>
        <v>1.5</v>
      </c>
      <c r="E149" s="45">
        <f>('[2]Renewable Diesel'!B158*E$3*'[2]Feedstock Conversion Rates'!$B$2)/12-40+1.25+6-43+30-15+12.5-4+1.5+26+7+3-10+50+4-15</f>
        <v>104.17999999999999</v>
      </c>
      <c r="F149" s="45">
        <f>('[2]Renewable Diesel'!B158*'[2]RD Feedstock Breakdown'!F$3*'[2]Feedstock Conversion Rates'!B$8)/12+28.5-49-5+2-6+1+6+20-20-3.75+10+2.5+5-20-20</f>
        <v>5.15625</v>
      </c>
      <c r="G149" s="45">
        <f>('[2]Renewable Diesel'!B158*'[2]RD Feedstock Breakdown'!G$3*'[2]Feedstock Conversion Rates'!B$7)/12-25-15-25+4+4-20-40-20+10-17.5+20+50-12+32.5+35-75-75+22.5+5-20</f>
        <v>14.657000000000011</v>
      </c>
      <c r="H149" s="45">
        <f>('[2]Renewable Diesel'!B158*'[2]RD Feedstock Breakdown'!H$3*'[2]Feedstock Conversion Rates'!B$3)/12-85+4-15+70-65-80+50-22.5-5+25+27.5+15+50+15-10+5+50+75-5-25-85-12.5+30+22.5-25-30+150</f>
        <v>300.40022499999998</v>
      </c>
      <c r="I149" s="47">
        <f t="shared" si="33"/>
        <v>495.89347499999997</v>
      </c>
      <c r="J149" s="47"/>
      <c r="K149" s="45">
        <v>110</v>
      </c>
      <c r="L149" s="45">
        <v>1</v>
      </c>
      <c r="M149" s="45">
        <f>('[2]Renewable Diesel'!C158*'[2]RD Feedstock Breakdown'!M$3*'[2]Feedstock Conversion Rates'!B$2)/12-0.25-30</f>
        <v>47.652500000000003</v>
      </c>
      <c r="N149" s="45">
        <f>('[2]Renewable Diesel'!C158*'[2]RD Feedstock Breakdown'!N$3*'[2]Feedstock Conversion Rates'!B$8)/12-0.25-30</f>
        <v>6.46875</v>
      </c>
      <c r="O149" s="45">
        <f>('[2]Renewable Diesel'!C158*'[2]RD Feedstock Breakdown'!O$3*'[2]Feedstock Conversion Rates'!B$7)/12-0.25-25</f>
        <v>94.741</v>
      </c>
      <c r="P149" s="45">
        <f>('[2]Renewable Diesel'!C158*'[2]RD Feedstock Breakdown'!P$3*'[2]Feedstock Conversion Rates'!B$3)/12-0.25-25</f>
        <v>79.22042500000002</v>
      </c>
      <c r="Q149" s="47">
        <f t="shared" si="66"/>
        <v>339.08267500000005</v>
      </c>
      <c r="R149" s="45">
        <f>('[2]Renewable Diesel'!D158*'[2]RD Feedstock Breakdown'!R$3*'[2]Feedstock Conversion Rates'!B$7)/12</f>
        <v>2.2999999999999998</v>
      </c>
      <c r="S149" s="47">
        <f t="shared" si="44"/>
        <v>2.2999999999999998</v>
      </c>
      <c r="T149" s="45">
        <f>15+10+5-30+35-10-3-22+10</f>
        <v>10</v>
      </c>
      <c r="U149" s="45">
        <v>0</v>
      </c>
      <c r="V149" s="45">
        <f>('[2]Renewable Diesel'!E158*'[2]RD Feedstock Breakdown'!V$3*'[2]Feedstock Conversion Rates'!B$6)/12-20-5-5+32.5-35+25-15+22</f>
        <v>43.750150000000012</v>
      </c>
      <c r="W149" s="45">
        <f>('[2]Renewable Diesel'!E158*'[2]RD Feedstock Breakdown'!W$3*'[2]Feedstock Conversion Rates'!B$8)/12-2.5+3-10</f>
        <v>12.6796875</v>
      </c>
      <c r="X149" s="47">
        <f t="shared" si="62"/>
        <v>66.429837500000019</v>
      </c>
      <c r="Y149" s="45">
        <f>30-30+50-20+20-2-35-13+7.5-5-2.5+5-5</f>
        <v>0</v>
      </c>
      <c r="Z149" s="45">
        <f>('[2]Renewable Diesel'!F158*'[2]RD Feedstock Breakdown'!Z$3*'[2]Feedstock Conversion Rates'!B$6)/12-30+20-20-7.5+2.5+53-53</f>
        <v>9.5550000000000068</v>
      </c>
      <c r="AA149" s="45">
        <f>('[2]Renewable Diesel'!F158*'[2]RD Feedstock Breakdown'!AA$3*'[2]Feedstock Conversion Rates'!B$7)/12+30-50+2+35+13+5-5+5</f>
        <v>64.133333333333326</v>
      </c>
      <c r="AB149" s="47">
        <f t="shared" si="39"/>
        <v>73.688333333333333</v>
      </c>
      <c r="AC149" s="45">
        <f>('[2]Renewable Diesel'!G158*'[2]RD Feedstock Breakdown'!AC$3*'[2]Feedstock Conversion Rates'!B$5)/12</f>
        <v>0</v>
      </c>
      <c r="AD149" s="45">
        <f>('[2]Renewable Diesel'!G158*'[2]RD Feedstock Breakdown'!AD$3*'[2]Feedstock Conversion Rates'!B$4)/12</f>
        <v>0</v>
      </c>
      <c r="AE149" s="45">
        <f>('[2]Renewable Diesel'!G158*'[2]RD Feedstock Breakdown'!AE$3*'[2]Feedstock Conversion Rates'!B$6)/12</f>
        <v>0</v>
      </c>
      <c r="AF149" s="47">
        <f t="shared" ref="AF149:AF212" si="71">SUM(AC149:AE149)</f>
        <v>0</v>
      </c>
      <c r="AG149" s="45">
        <f>26-26+30</f>
        <v>30</v>
      </c>
      <c r="AH149" s="45">
        <v>0</v>
      </c>
      <c r="AI149" s="45">
        <f>('[2]Renewable Diesel'!H158*'[2]RD Feedstock Breakdown'!AI$3*'[2]Feedstock Conversion Rates'!B$6)/12-17.5+17.5-26+26-30</f>
        <v>28.625000000000007</v>
      </c>
      <c r="AJ149" s="47">
        <f t="shared" si="42"/>
        <v>58.625000000000007</v>
      </c>
      <c r="AK149" s="45">
        <f>('[2]Renewable Diesel'!J158*'[2]RD Feedstock Breakdown'!AK$3*'[2]Feedstock Conversion Rates'!B$4)/12</f>
        <v>95.8125</v>
      </c>
      <c r="AL149" s="47">
        <f t="shared" si="45"/>
        <v>95.8125</v>
      </c>
      <c r="AM149" s="45">
        <f>('[2]Renewable Diesel'!K158*'[2]RD Feedstock Breakdown'!AM$3*'[2]Feedstock Conversion Rates'!B$4)/12</f>
        <v>58.59375</v>
      </c>
      <c r="AN149" s="45">
        <f>('[2]Renewable Diesel'!K158*'[2]RD Feedstock Breakdown'!AN$3*'[2]Feedstock Conversion Rates'!B$6)/12</f>
        <v>24.427083333333332</v>
      </c>
      <c r="AO149" s="47">
        <f t="shared" si="56"/>
        <v>83.020833333333329</v>
      </c>
      <c r="AP149" s="45">
        <f>('[2]Renewable Diesel'!L158*'[2]RD Feedstock Breakdown'!AP$3*'[2]Feedstock Conversion Rates'!B$4)/12+15-5-40+10</f>
        <v>38.59375</v>
      </c>
      <c r="AQ149" s="45">
        <f>('[2]Renewable Diesel'!L158*'[2]RD Feedstock Breakdown'!AQ$3*'[2]Feedstock Conversion Rates'!B$6)/12-15+5+40-10</f>
        <v>44.427083333333329</v>
      </c>
      <c r="AR149" s="47">
        <f t="shared" si="46"/>
        <v>83.020833333333329</v>
      </c>
      <c r="AS149" s="45">
        <f>('[2]Renewable Diesel'!M158*'[2]RD Feedstock Breakdown'!AS$3*'[2]Feedstock Conversion Rates'!B$4)/12</f>
        <v>31.25</v>
      </c>
      <c r="AT149" s="45">
        <f>('[2]Renewable Diesel'!M158*'[2]RD Feedstock Breakdown'!AT$3*'[2]Feedstock Conversion Rates'!B$5)/12</f>
        <v>0</v>
      </c>
      <c r="AU149" s="47">
        <f>SUM(AS149:AT149)</f>
        <v>31.25</v>
      </c>
      <c r="AV149" s="45">
        <f>'[2]Renewable Diesel'!N158*'[2]RD Feedstock Breakdown'!$AV$3*'[2]Feedstock Conversion Rates'!$B$4/12-15-10+25+25-22-75-6.5+50+25</f>
        <v>75.249999999999986</v>
      </c>
      <c r="AW149" s="45">
        <f>'[2]Renewable Diesel'!N158*'[2]RD Feedstock Breakdown'!$AW$3*'[2]Feedstock Conversion Rates'!$B$7/12+15+10-25-25+22+75+6.5-50-25</f>
        <v>44.900000000000006</v>
      </c>
      <c r="AX149" s="47">
        <f t="shared" si="40"/>
        <v>120.14999999999999</v>
      </c>
      <c r="AY149" s="45">
        <f>('[2]Renewable Diesel'!O158*'[2]RD Feedstock Breakdown'!AY$3*'[2]Feedstock Conversion Rates'!B$4)/12+5-50</f>
        <v>22.5</v>
      </c>
      <c r="AZ149" s="45">
        <f>('[2]Renewable Diesel'!O158*'[2]RD Feedstock Breakdown'!AZ$3*'[2]Feedstock Conversion Rates'!B$3)/12-5+50</f>
        <v>53.01</v>
      </c>
      <c r="BA149" s="47">
        <f t="shared" si="43"/>
        <v>75.509999999999991</v>
      </c>
      <c r="BB149" s="45">
        <f>('[2]Renewable Diesel'!Q158*'[2]RD Feedstock Breakdown'!BB$3*'[2]Feedstock Conversion Rates'!B$4)/12</f>
        <v>0</v>
      </c>
      <c r="BC149" s="45">
        <f>('[2]Renewable Diesel'!Q158*'[2]RD Feedstock Breakdown'!BC$3*'[2]Feedstock Conversion Rates'!B$3)/12</f>
        <v>0</v>
      </c>
      <c r="BD149" s="45">
        <f>('[2]Renewable Diesel'!Q158*'[2]RD Feedstock Breakdown'!BD$3*'[2]Feedstock Conversion Rates'!B$6)/12</f>
        <v>0</v>
      </c>
      <c r="BE149" s="47">
        <f t="shared" si="64"/>
        <v>0</v>
      </c>
      <c r="BF149" s="45">
        <f>('[2]Renewable Diesel'!R158*'[2]RD Feedstock Breakdown'!BF$3*'[2]Feedstock Conversion Rates'!B$4)/12</f>
        <v>62.5</v>
      </c>
      <c r="BG149" s="47">
        <f t="shared" si="47"/>
        <v>62.5</v>
      </c>
      <c r="BH149" s="45">
        <f>('[2]Renewable Diesel'!T158*'[2]RD Feedstock Breakdown'!BH$3*'[2]Feedstock Conversion Rates'!B$7)/12</f>
        <v>0</v>
      </c>
      <c r="BI149" s="47">
        <f t="shared" si="41"/>
        <v>0</v>
      </c>
      <c r="BJ149" s="45">
        <f>('[2]Renewable Diesel'!W158*'[2]RD Feedstock Breakdown'!BJ$3*'[2]Feedstock Conversion Rates'!B$4)/12-7.5</f>
        <v>0</v>
      </c>
      <c r="BK149" s="45">
        <f>('[2]Renewable Diesel'!W158*'[2]RD Feedstock Breakdown'!BK$3*'[2]Feedstock Conversion Rates'!B$3)/12</f>
        <v>1.335</v>
      </c>
      <c r="BL149" s="45">
        <f>('[2]Renewable Diesel'!W158*'[2]RD Feedstock Breakdown'!BL$3*'[2]Feedstock Conversion Rates'!B$6)/12</f>
        <v>3.1266666666666669</v>
      </c>
      <c r="BM149" s="45">
        <f>('[2]Renewable Diesel'!W158*'[2]RD Feedstock Breakdown'!BM$3*'[2]Feedstock Conversion Rates'!B$7)/12+7.5</f>
        <v>9.0333333333333332</v>
      </c>
      <c r="BN149" s="47">
        <f t="shared" si="34"/>
        <v>13.495000000000001</v>
      </c>
      <c r="BO149" s="45">
        <f>('[2]Renewable Diesel'!P158*'[2]Feedstock Conversion Rates'!B$4)/12</f>
        <v>0</v>
      </c>
      <c r="BP149" s="47">
        <f t="shared" ref="BP149:BP212" si="72">BO149</f>
        <v>0</v>
      </c>
      <c r="BQ149" s="45"/>
      <c r="BR149" s="45"/>
      <c r="BS149" s="47"/>
      <c r="BT149" s="47"/>
      <c r="BU149" s="45">
        <f>('[2]Renewable Diesel'!Y158*'[2]Feedstock Conversion Rates'!B$7)/12</f>
        <v>0</v>
      </c>
      <c r="BV149" s="47">
        <f t="shared" si="67"/>
        <v>0</v>
      </c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5">
        <f>('[2]Renewable Diesel'!AD158*'[2]Feedstock Conversion Rates'!B$4)/12</f>
        <v>0</v>
      </c>
      <c r="CH149" s="47">
        <f>CG149</f>
        <v>0</v>
      </c>
      <c r="CI149" s="45">
        <f>('[2]Renewable Diesel'!$AE158*'[2]RD Feedstock Breakdown'!CI$3*'[2]Feedstock Conversion Rates'!$B$5)/12</f>
        <v>0.17302083333333332</v>
      </c>
      <c r="CJ149" s="45">
        <f>('[2]Renewable Diesel'!$AE158*'[2]RD Feedstock Breakdown'!CJ$3*'[2]Feedstock Conversion Rates'!$B$4)/12</f>
        <v>0.171875</v>
      </c>
      <c r="CK149" s="47">
        <f t="shared" ref="CK149:CK212" si="73">SUM(CI149:CJ149)</f>
        <v>0.34489583333333329</v>
      </c>
      <c r="CL149" s="45">
        <f>(((CL$3*'[2]Renewable Diesel'!$AF158)*'[2]Feedstock Conversion Rates'!$B$3)/12)</f>
        <v>30.037499999999998</v>
      </c>
      <c r="CM149" s="45">
        <f>(((CM$3*'[2]Renewable Diesel'!$AF158)*'[2]Feedstock Conversion Rates'!$B$6)/12)</f>
        <v>17.587500000000002</v>
      </c>
      <c r="CN149" s="45">
        <f>(((CN$3*'[2]Renewable Diesel'!$AF158)*'[2]Feedstock Conversion Rates'!$B$4)/12)</f>
        <v>14.0625</v>
      </c>
      <c r="CO149" s="47">
        <f t="shared" si="65"/>
        <v>61.6875</v>
      </c>
      <c r="CP149" s="47"/>
      <c r="CQ149" s="47"/>
      <c r="CR149" s="47"/>
      <c r="CS149" s="47"/>
      <c r="CT149" s="45">
        <f>('[2]Renewable Diesel'!AI158*'[2]Feedstock Conversion Rates'!$B$4*'[2]RD Feedstock Breakdown'!$CT$3)/12</f>
        <v>0</v>
      </c>
      <c r="CU149" s="47">
        <f t="shared" si="69"/>
        <v>0</v>
      </c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  <c r="DI149" s="47"/>
      <c r="DJ149" s="47"/>
      <c r="DK149" s="47"/>
      <c r="DL149" s="47"/>
      <c r="DM149" s="47"/>
      <c r="DN149" s="47"/>
      <c r="DP149" s="45">
        <f t="shared" si="48"/>
        <v>151.83249999999998</v>
      </c>
      <c r="DQ149" s="45">
        <f t="shared" si="49"/>
        <v>464.00315000000001</v>
      </c>
      <c r="DR149" s="45">
        <f t="shared" si="57"/>
        <v>418.734375</v>
      </c>
      <c r="DS149" s="45">
        <f t="shared" si="70"/>
        <v>200.17302083333334</v>
      </c>
      <c r="DT149" s="45">
        <f t="shared" si="50"/>
        <v>171.49848333333335</v>
      </c>
      <c r="DU149" s="45">
        <f t="shared" si="51"/>
        <v>229.76466666666667</v>
      </c>
      <c r="DV149" s="45">
        <f t="shared" si="58"/>
        <v>24.3046875</v>
      </c>
      <c r="DW149" s="45">
        <f t="shared" si="52"/>
        <v>2.5</v>
      </c>
      <c r="DX149" s="47">
        <f t="shared" si="53"/>
        <v>1662.8108833333333</v>
      </c>
      <c r="DY149" s="50">
        <f t="shared" si="54"/>
        <v>-2.3447910280083306E-13</v>
      </c>
      <c r="EA149" s="51">
        <f t="shared" si="35"/>
        <v>9.1310744668468155E-2</v>
      </c>
      <c r="EB149" s="51">
        <f t="shared" si="35"/>
        <v>0.27904745792247992</v>
      </c>
      <c r="EC149" s="51">
        <f t="shared" si="35"/>
        <v>0.25182321044266281</v>
      </c>
      <c r="ED149" s="51">
        <f t="shared" si="35"/>
        <v>0.12038231337051329</v>
      </c>
      <c r="EE149" s="51">
        <f t="shared" si="36"/>
        <v>0.10313769596548529</v>
      </c>
      <c r="EF149" s="51">
        <f t="shared" si="36"/>
        <v>0.13817847174903725</v>
      </c>
      <c r="EG149" s="51">
        <f t="shared" si="36"/>
        <v>1.461662762952207E-2</v>
      </c>
      <c r="EH149" s="52">
        <f t="shared" si="59"/>
        <v>1.5034782518312641E-3</v>
      </c>
      <c r="EI149" s="51">
        <f t="shared" si="60"/>
        <v>0.99849652174816894</v>
      </c>
      <c r="EK149" s="53">
        <f>(EA149*'[2]Renewable Diesel'!BF158*'[2]Feedstock Conversion Rates'!B$2)+FB149</f>
        <v>109.08695493980082</v>
      </c>
      <c r="EL149" s="53">
        <f>(EB149*'[2]Renewable Diesel'!BF158*'[2]Feedstock Conversion Rates'!B$3)+FC149</f>
        <v>314.15400107894823</v>
      </c>
      <c r="EM149" s="53">
        <f>(EC149*'[2]Renewable Diesel'!BF158*'[2]Feedstock Conversion Rates'!B$4)+FD149</f>
        <v>265.45384996065133</v>
      </c>
      <c r="EN149" s="53">
        <f>(ED149*'[2]Renewable Diesel'!BF158*'[2]Feedstock Conversion Rates'!B$5)+FE149</f>
        <v>127.74433362132834</v>
      </c>
      <c r="EO149" s="53">
        <f>(EE149*'[2]Renewable Diesel'!BF158*'[2]Feedstock Conversion Rates'!B$6)+FF149</f>
        <v>135.9728725022068</v>
      </c>
      <c r="EP149" s="53">
        <f>(EF149*'[2]Renewable Diesel'!BF158*'[2]Feedstock Conversion Rates'!B$7)+FG149</f>
        <v>178.67353139553765</v>
      </c>
      <c r="EQ149" s="53">
        <f>(EG149*'[2]Renewable Diesel'!BF158*'[2]Feedstock Conversion Rates'!B$8)+FH149</f>
        <v>19.259742136543952</v>
      </c>
      <c r="ER149" s="53">
        <f>(EH149*'[2]Renewable Diesel'!BF158*'[2]Feedstock Conversion Rates'!B$9)+FI149</f>
        <v>1.9546584969178649</v>
      </c>
      <c r="ES149" s="53">
        <f t="shared" si="61"/>
        <v>1152.2999441319348</v>
      </c>
      <c r="ET149" s="36">
        <f>ES149/'[2]Renewable Diesel'!BF158</f>
        <v>8.1984835980119932</v>
      </c>
    </row>
    <row r="150" spans="1:150" x14ac:dyDescent="0.25">
      <c r="A150" s="39">
        <v>44986</v>
      </c>
      <c r="B150" s="45">
        <f>23-20+10+85-5-4-4-1.25+2.25-5+15-6-25-45+65+15-22.5-50+40+16.5+27.5+168+80+14-30+15-50-19+22.5-10+5+11-25-50-12.5-27.5-10+10+2+4-1.5+12-26-15-50-15+10-32.5-3-5-2.5-1+10-50-35-4-0.5+20+20+25+20+15+85-25+12.5-52.5+10+20-150+20</f>
        <v>20</v>
      </c>
      <c r="C150" s="45">
        <f>40-10-2.5-27.5+25+25+50</f>
        <v>100</v>
      </c>
      <c r="D150" s="45">
        <f t="shared" si="68"/>
        <v>1.5</v>
      </c>
      <c r="E150" s="45">
        <f>('[2]Renewable Diesel'!B159*E$3*'[2]Feedstock Conversion Rates'!$B$2)/12-40+1.25+6-43+30-15+12.5-4+1.5+26+7+3-10+50+4-15</f>
        <v>104.17999999999999</v>
      </c>
      <c r="F150" s="45">
        <f>('[2]Renewable Diesel'!B159*'[2]RD Feedstock Breakdown'!F$3*'[2]Feedstock Conversion Rates'!B$8)/12+28.5-49-5+2-6+1+6+20-20-3.75+10+2.5+5-20-20</f>
        <v>5.15625</v>
      </c>
      <c r="G150" s="45">
        <f>('[2]Renewable Diesel'!B159*'[2]RD Feedstock Breakdown'!G$3*'[2]Feedstock Conversion Rates'!B$7)/12-25-15-25+4+4-20-40-20+10-17.5+20+50-12+32.5+35-75-75+22.5+5-20</f>
        <v>14.657000000000011</v>
      </c>
      <c r="H150" s="45">
        <f>('[2]Renewable Diesel'!B159*'[2]RD Feedstock Breakdown'!H$3*'[2]Feedstock Conversion Rates'!B$3)/12-85+4-15+70-65-80+50-22.5-5+25+27.5+15+50+15-10+5+50+75-5-25-85-12.5+30+22.5-25-30+150-50</f>
        <v>250.40022499999998</v>
      </c>
      <c r="I150" s="47">
        <f t="shared" si="33"/>
        <v>495.89347499999997</v>
      </c>
      <c r="J150" s="45">
        <f>120+40+59+10-15-1.75+7.5-2-15-25-75+25+2.5-7-1+15+20+25+15+20-217+17.5+2</f>
        <v>19.75</v>
      </c>
      <c r="K150" s="45">
        <v>137</v>
      </c>
      <c r="L150" s="45">
        <v>1</v>
      </c>
      <c r="M150" s="45">
        <f>('[2]Renewable Diesel'!C159*'[2]RD Feedstock Breakdown'!M$3*'[2]Feedstock Conversion Rates'!B$2)/12-15-40+2+117-25-2-50-18</f>
        <v>46.902500000000003</v>
      </c>
      <c r="N150" s="45">
        <f>('[2]Renewable Diesel'!C159*'[2]RD Feedstock Breakdown'!N$3*'[2]Feedstock Conversion Rates'!B$8)/12+1.75+7-15-20-2</f>
        <v>8.46875</v>
      </c>
      <c r="O150" s="45">
        <f>('[2]Renewable Diesel'!C159*'[2]RD Feedstock Breakdown'!O$3*'[2]Feedstock Conversion Rates'!B$7)/12+30-120+25-17.5+1</f>
        <v>38.490999999999985</v>
      </c>
      <c r="P150" s="45">
        <f>('[2]Renewable Diesel'!C159*'[2]RD Feedstock Breakdown'!P$3*'[2]Feedstock Conversion Rates'!B$3)/12-15-59-10+15-7.5+15+75-25-2.5-25-15-20+25+100-50-18</f>
        <v>87.470425000000034</v>
      </c>
      <c r="Q150" s="47">
        <f t="shared" si="66"/>
        <v>339.08267499999999</v>
      </c>
      <c r="R150" s="45">
        <f>('[2]Renewable Diesel'!D159*'[2]RD Feedstock Breakdown'!R$3*'[2]Feedstock Conversion Rates'!B$7)/12</f>
        <v>2.2999999999999998</v>
      </c>
      <c r="S150" s="47">
        <f t="shared" si="44"/>
        <v>2.2999999999999998</v>
      </c>
      <c r="T150" s="45">
        <f>15+10+5-30+35-10-3-22+10+20</f>
        <v>30</v>
      </c>
      <c r="U150" s="45">
        <v>0</v>
      </c>
      <c r="V150" s="45">
        <f>('[2]Renewable Diesel'!E159*'[2]RD Feedstock Breakdown'!V$3*'[2]Feedstock Conversion Rates'!B$6)/12-20-5-5+32.5-35+25-15+22-10</f>
        <v>33.750150000000012</v>
      </c>
      <c r="W150" s="45">
        <f>('[2]Renewable Diesel'!E159*'[2]RD Feedstock Breakdown'!W$3*'[2]Feedstock Conversion Rates'!B$8)/12-2.5+3-10-10</f>
        <v>2.6796875</v>
      </c>
      <c r="X150" s="47">
        <f t="shared" si="62"/>
        <v>66.429837500000019</v>
      </c>
      <c r="Y150" s="45">
        <f>30-30+50-20+20-2-35-13+7.5-5-2.5</f>
        <v>0</v>
      </c>
      <c r="Z150" s="45">
        <f>('[2]Renewable Diesel'!F159*'[2]RD Feedstock Breakdown'!Z$3*'[2]Feedstock Conversion Rates'!B$6)/12-30+20-20-7.5+2.5</f>
        <v>9.5550000000000068</v>
      </c>
      <c r="AA150" s="45">
        <f>('[2]Renewable Diesel'!F159*'[2]RD Feedstock Breakdown'!AA$3*'[2]Feedstock Conversion Rates'!B$7)/12+30-50+2+35+13+5</f>
        <v>64.133333333333326</v>
      </c>
      <c r="AB150" s="47">
        <f t="shared" si="39"/>
        <v>73.688333333333333</v>
      </c>
      <c r="AC150" s="45">
        <f>('[2]Renewable Diesel'!G159*'[2]RD Feedstock Breakdown'!AC$3*'[2]Feedstock Conversion Rates'!B$5)/12</f>
        <v>0</v>
      </c>
      <c r="AD150" s="45">
        <f>('[2]Renewable Diesel'!G159*'[2]RD Feedstock Breakdown'!AD$3*'[2]Feedstock Conversion Rates'!B$4)/12</f>
        <v>0</v>
      </c>
      <c r="AE150" s="45">
        <f>('[2]Renewable Diesel'!G159*'[2]RD Feedstock Breakdown'!AE$3*'[2]Feedstock Conversion Rates'!B$6)/12</f>
        <v>0</v>
      </c>
      <c r="AF150" s="47">
        <f t="shared" si="71"/>
        <v>0</v>
      </c>
      <c r="AG150" s="45">
        <f>26-26+30+20</f>
        <v>50</v>
      </c>
      <c r="AH150" s="45">
        <v>0</v>
      </c>
      <c r="AI150" s="45">
        <f>('[2]Renewable Diesel'!H159*'[2]RD Feedstock Breakdown'!AI$3*'[2]Feedstock Conversion Rates'!B$6)/12-17.5+17.5-26+26-30-20</f>
        <v>8.6250000000000071</v>
      </c>
      <c r="AJ150" s="47">
        <f t="shared" si="42"/>
        <v>58.625000000000007</v>
      </c>
      <c r="AK150" s="45">
        <f>('[2]Renewable Diesel'!J159*'[2]RD Feedstock Breakdown'!AK$3*'[2]Feedstock Conversion Rates'!B$4)/12</f>
        <v>95.8125</v>
      </c>
      <c r="AL150" s="47">
        <f t="shared" si="45"/>
        <v>95.8125</v>
      </c>
      <c r="AM150" s="45">
        <f>('[2]Renewable Diesel'!K159*'[2]RD Feedstock Breakdown'!AM$3*'[2]Feedstock Conversion Rates'!B$4)/12</f>
        <v>58.59375</v>
      </c>
      <c r="AN150" s="45">
        <f>('[2]Renewable Diesel'!K159*'[2]RD Feedstock Breakdown'!AN$3*'[2]Feedstock Conversion Rates'!B$6)/12</f>
        <v>24.427083333333332</v>
      </c>
      <c r="AO150" s="47">
        <f t="shared" si="56"/>
        <v>83.020833333333329</v>
      </c>
      <c r="AP150" s="45">
        <f>('[2]Renewable Diesel'!L159*'[2]RD Feedstock Breakdown'!AP$3*'[2]Feedstock Conversion Rates'!B$4)/12+15-5-40+10</f>
        <v>38.59375</v>
      </c>
      <c r="AQ150" s="45">
        <f>('[2]Renewable Diesel'!L159*'[2]RD Feedstock Breakdown'!AQ$3*'[2]Feedstock Conversion Rates'!B$6)/12-15+5+40-10</f>
        <v>44.427083333333329</v>
      </c>
      <c r="AR150" s="47">
        <f t="shared" si="46"/>
        <v>83.020833333333329</v>
      </c>
      <c r="AS150" s="45">
        <f>('[2]Renewable Diesel'!M159*'[2]RD Feedstock Breakdown'!AS$3*'[2]Feedstock Conversion Rates'!B$4)/12</f>
        <v>75</v>
      </c>
      <c r="AT150" s="45">
        <f>('[2]Renewable Diesel'!M159*'[2]RD Feedstock Breakdown'!AT$3*'[2]Feedstock Conversion Rates'!B$5)/12</f>
        <v>0</v>
      </c>
      <c r="AU150" s="47">
        <f t="shared" ref="AU150:AU213" si="74">SUM(AS150:AT150)</f>
        <v>75</v>
      </c>
      <c r="AV150" s="45">
        <f>'[2]Renewable Diesel'!N159*'[2]RD Feedstock Breakdown'!$AV$3*'[2]Feedstock Conversion Rates'!$B$4/12-15-10+25+25-22-75-6.5+50+25</f>
        <v>75.249999999999986</v>
      </c>
      <c r="AW150" s="45">
        <f>'[2]Renewable Diesel'!N159*'[2]RD Feedstock Breakdown'!$AW$3*'[2]Feedstock Conversion Rates'!$B$7/12+15+10-25-25+22+75+6.5-50-25</f>
        <v>44.900000000000006</v>
      </c>
      <c r="AX150" s="47">
        <f t="shared" si="40"/>
        <v>120.14999999999999</v>
      </c>
      <c r="AY150" s="45">
        <f>('[2]Renewable Diesel'!O159*'[2]RD Feedstock Breakdown'!AY$3*'[2]Feedstock Conversion Rates'!B$4)/12+5-50</f>
        <v>22.5</v>
      </c>
      <c r="AZ150" s="45">
        <f>('[2]Renewable Diesel'!O159*'[2]RD Feedstock Breakdown'!AZ$3*'[2]Feedstock Conversion Rates'!B$3)/12-5+50</f>
        <v>53.01</v>
      </c>
      <c r="BA150" s="47">
        <f t="shared" si="43"/>
        <v>75.509999999999991</v>
      </c>
      <c r="BB150" s="45">
        <f>('[2]Renewable Diesel'!Q159*'[2]RD Feedstock Breakdown'!BB$3*'[2]Feedstock Conversion Rates'!B$4)/12</f>
        <v>0</v>
      </c>
      <c r="BC150" s="45">
        <f>('[2]Renewable Diesel'!Q159*'[2]RD Feedstock Breakdown'!BC$3*'[2]Feedstock Conversion Rates'!B$3)/12</f>
        <v>0</v>
      </c>
      <c r="BD150" s="45">
        <f>('[2]Renewable Diesel'!Q159*'[2]RD Feedstock Breakdown'!BD$3*'[2]Feedstock Conversion Rates'!B$6)/12</f>
        <v>0</v>
      </c>
      <c r="BE150" s="47">
        <f t="shared" si="64"/>
        <v>0</v>
      </c>
      <c r="BF150" s="45">
        <f>('[2]Renewable Diesel'!R159*'[2]RD Feedstock Breakdown'!BF$3*'[2]Feedstock Conversion Rates'!B$4)/12</f>
        <v>62.5</v>
      </c>
      <c r="BG150" s="47">
        <f t="shared" si="47"/>
        <v>62.5</v>
      </c>
      <c r="BH150" s="45">
        <f>('[2]Renewable Diesel'!T159*'[2]RD Feedstock Breakdown'!BH$3*'[2]Feedstock Conversion Rates'!B$7)/12</f>
        <v>0</v>
      </c>
      <c r="BI150" s="47">
        <f t="shared" si="41"/>
        <v>0</v>
      </c>
      <c r="BJ150" s="45">
        <f>('[2]Renewable Diesel'!W159*'[2]RD Feedstock Breakdown'!BJ$3*'[2]Feedstock Conversion Rates'!B$4)/12-7.5</f>
        <v>0</v>
      </c>
      <c r="BK150" s="45">
        <f>('[2]Renewable Diesel'!W159*'[2]RD Feedstock Breakdown'!BK$3*'[2]Feedstock Conversion Rates'!B$3)/12</f>
        <v>1.335</v>
      </c>
      <c r="BL150" s="45">
        <f>('[2]Renewable Diesel'!W159*'[2]RD Feedstock Breakdown'!BL$3*'[2]Feedstock Conversion Rates'!B$6)/12</f>
        <v>3.1266666666666669</v>
      </c>
      <c r="BM150" s="45">
        <f>('[2]Renewable Diesel'!W159*'[2]RD Feedstock Breakdown'!BM$3*'[2]Feedstock Conversion Rates'!B$7)/12+7.5</f>
        <v>9.0333333333333332</v>
      </c>
      <c r="BN150" s="47">
        <f t="shared" si="34"/>
        <v>13.495000000000001</v>
      </c>
      <c r="BO150" s="45">
        <f>('[2]Renewable Diesel'!P159*'[2]Feedstock Conversion Rates'!B$4)/12</f>
        <v>0</v>
      </c>
      <c r="BP150" s="47">
        <f t="shared" si="72"/>
        <v>0</v>
      </c>
      <c r="BQ150" s="45"/>
      <c r="BR150" s="45"/>
      <c r="BS150" s="47"/>
      <c r="BT150" s="47"/>
      <c r="BU150" s="45">
        <f>('[2]Renewable Diesel'!Y159*'[2]Feedstock Conversion Rates'!B$7)/12</f>
        <v>0</v>
      </c>
      <c r="BV150" s="47">
        <f t="shared" si="67"/>
        <v>0</v>
      </c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5">
        <f>('[2]Renewable Diesel'!AD159*'[2]Feedstock Conversion Rates'!B$4)/12</f>
        <v>0</v>
      </c>
      <c r="CH150" s="47">
        <f t="shared" si="63"/>
        <v>0</v>
      </c>
      <c r="CI150" s="45">
        <f>('[2]Renewable Diesel'!$AE159*'[2]RD Feedstock Breakdown'!CI$3*'[2]Feedstock Conversion Rates'!$B$5)/12</f>
        <v>0.17302083333333332</v>
      </c>
      <c r="CJ150" s="45">
        <f>('[2]Renewable Diesel'!$AE159*'[2]RD Feedstock Breakdown'!CJ$3*'[2]Feedstock Conversion Rates'!$B$4)/12</f>
        <v>0.171875</v>
      </c>
      <c r="CK150" s="47">
        <f t="shared" si="73"/>
        <v>0.34489583333333329</v>
      </c>
      <c r="CL150" s="45">
        <f>(((CL$3*'[2]Renewable Diesel'!$AF159)*'[2]Feedstock Conversion Rates'!$B$3)/12)</f>
        <v>30.037499999999998</v>
      </c>
      <c r="CM150" s="45">
        <f>(((CM$3*'[2]Renewable Diesel'!$AF159)*'[2]Feedstock Conversion Rates'!$B$6)/12)</f>
        <v>17.587500000000002</v>
      </c>
      <c r="CN150" s="45">
        <f>(((CN$3*'[2]Renewable Diesel'!$AF159)*'[2]Feedstock Conversion Rates'!$B$4)/12)</f>
        <v>14.0625</v>
      </c>
      <c r="CO150" s="47">
        <f t="shared" si="65"/>
        <v>61.6875</v>
      </c>
      <c r="CP150" s="47"/>
      <c r="CQ150" s="47"/>
      <c r="CR150" s="47"/>
      <c r="CS150" s="47"/>
      <c r="CT150" s="45">
        <f>('[2]Renewable Diesel'!AI159*'[2]Feedstock Conversion Rates'!$B$4*'[2]RD Feedstock Breakdown'!$CT$3)/12</f>
        <v>0</v>
      </c>
      <c r="CU150" s="47">
        <f t="shared" si="69"/>
        <v>0</v>
      </c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  <c r="DI150" s="47"/>
      <c r="DJ150" s="47"/>
      <c r="DK150" s="47"/>
      <c r="DL150" s="47"/>
      <c r="DM150" s="47"/>
      <c r="DN150" s="47"/>
      <c r="DP150" s="45">
        <f t="shared" si="48"/>
        <v>151.08249999999998</v>
      </c>
      <c r="DQ150" s="45">
        <f t="shared" si="49"/>
        <v>422.25315000000001</v>
      </c>
      <c r="DR150" s="45">
        <f t="shared" si="57"/>
        <v>482.234375</v>
      </c>
      <c r="DS150" s="45">
        <f>AC150+C150+BX150+CI150+DD150+AG150+T150+DJ150+AT150+K150</f>
        <v>317.17302083333334</v>
      </c>
      <c r="DT150" s="45">
        <f t="shared" si="50"/>
        <v>141.49848333333335</v>
      </c>
      <c r="DU150" s="45">
        <f t="shared" si="51"/>
        <v>173.51466666666667</v>
      </c>
      <c r="DV150" s="45">
        <f t="shared" si="58"/>
        <v>16.3046875</v>
      </c>
      <c r="DW150" s="45">
        <f t="shared" si="52"/>
        <v>2.5</v>
      </c>
      <c r="DX150" s="47">
        <f t="shared" si="53"/>
        <v>1706.5608833333333</v>
      </c>
      <c r="DY150" s="50">
        <f t="shared" si="54"/>
        <v>-2.3447910280083306E-13</v>
      </c>
      <c r="EA150" s="51">
        <f t="shared" si="35"/>
        <v>8.8530389671711382E-2</v>
      </c>
      <c r="EB150" s="51">
        <f t="shared" si="35"/>
        <v>0.24742929134484537</v>
      </c>
      <c r="EC150" s="51">
        <f t="shared" si="35"/>
        <v>0.28257671889096486</v>
      </c>
      <c r="ED150" s="51">
        <f t="shared" si="35"/>
        <v>0.18585508664291917</v>
      </c>
      <c r="EE150" s="51">
        <f t="shared" si="36"/>
        <v>8.2914406813867664E-2</v>
      </c>
      <c r="EF150" s="51">
        <f t="shared" si="36"/>
        <v>0.10167505206597131</v>
      </c>
      <c r="EG150" s="51">
        <f t="shared" si="36"/>
        <v>9.5541200195289454E-3</v>
      </c>
      <c r="EH150" s="52">
        <f t="shared" si="59"/>
        <v>1.4649345501913092E-3</v>
      </c>
      <c r="EI150" s="51">
        <f t="shared" si="60"/>
        <v>0.99853506544980863</v>
      </c>
      <c r="EK150" s="53">
        <f>(EA150*'[2]Renewable Diesel'!BF159*'[2]Feedstock Conversion Rates'!B$2)+FB150</f>
        <v>131.82756742028801</v>
      </c>
      <c r="EL150" s="53">
        <f>(EB150*'[2]Renewable Diesel'!BF159*'[2]Feedstock Conversion Rates'!B$3)+FC150</f>
        <v>347.19907869302608</v>
      </c>
      <c r="EM150" s="53">
        <f>(EC150*'[2]Renewable Diesel'!BF159*'[2]Feedstock Conversion Rates'!B$4)+FD150</f>
        <v>371.2723254008647</v>
      </c>
      <c r="EN150" s="53">
        <f>(ED150*'[2]Renewable Diesel'!BF159*'[2]Feedstock Conversion Rates'!B$5)+FE150</f>
        <v>245.81950515770805</v>
      </c>
      <c r="EO150" s="53">
        <f>(EE150*'[2]Renewable Diesel'!BF159*'[2]Feedstock Conversion Rates'!B$6)+FF150</f>
        <v>136.24725874313631</v>
      </c>
      <c r="EP150" s="53">
        <f>(EF150*'[2]Renewable Diesel'!BF159*'[2]Feedstock Conversion Rates'!B$7)+FG150</f>
        <v>163.86913737185739</v>
      </c>
      <c r="EQ150" s="53">
        <f>(EG150*'[2]Renewable Diesel'!BF159*'[2]Feedstock Conversion Rates'!B$8)+FH150</f>
        <v>15.69122701761828</v>
      </c>
      <c r="ER150" s="53">
        <f>(EH150*'[2]Renewable Diesel'!BF159*'[2]Feedstock Conversion Rates'!B$9)+FI150</f>
        <v>2.3738588454061702</v>
      </c>
      <c r="ES150" s="53">
        <f t="shared" si="61"/>
        <v>1414.2999586499052</v>
      </c>
      <c r="ET150" s="36">
        <f>ES150/'[2]Renewable Diesel'!BF159</f>
        <v>8.0732163664114029</v>
      </c>
    </row>
    <row r="151" spans="1:150" x14ac:dyDescent="0.25">
      <c r="A151" s="39">
        <v>45017</v>
      </c>
      <c r="B151" s="45">
        <f>23-20+10+85-5-4-4-1.25+2.25-5+15-6-25-45+65+15-22.5-50+40+16.5+27.5+168+80+14-30+15-50-19+22.5-10+5+11-25-50-12.5-27.5-10+10+2+4-1.5+12-26-15-50-15+10-32.5-3-5-2.5-1+10-50-35-4-0.5+25+20+25+20+15+85-25-4+12.5-52.5+10+20-151+20-20</f>
        <v>0</v>
      </c>
      <c r="C151" s="45">
        <f>40-10-2.5-27.5+25+25+50-100</f>
        <v>0</v>
      </c>
      <c r="D151" s="45">
        <f t="shared" si="68"/>
        <v>1.5</v>
      </c>
      <c r="E151" s="45">
        <f>('[2]Renewable Diesel'!B160*E$3*'[2]Feedstock Conversion Rates'!$B$2)/12-40+1.25+6-43+30-15+12.5-4+1.5+26+2.5+3-10+50+4-15+4</f>
        <v>103.67999999999999</v>
      </c>
      <c r="F151" s="45">
        <f>('[2]Renewable Diesel'!B160*'[2]RD Feedstock Breakdown'!F$3*'[2]Feedstock Conversion Rates'!B$8)/12+28.5-49-5+2-6+1+6+20-20-3.75+10+2.5+5-20-20</f>
        <v>5.15625</v>
      </c>
      <c r="G151" s="45">
        <f>('[2]Renewable Diesel'!B160*'[2]RD Feedstock Breakdown'!G$3*'[2]Feedstock Conversion Rates'!B$7)/12-25-15-25+4+4-20-40-20+10-17.5+20+50-12+32.5+35-75-75+22.5+5-20+120</f>
        <v>134.65700000000001</v>
      </c>
      <c r="H151" s="45">
        <f>('[2]Renewable Diesel'!B160*'[2]RD Feedstock Breakdown'!H$3*'[2]Feedstock Conversion Rates'!B$3)/12-85+4-15+70-65-80+50-22.5-5+25+27.5+15+50+15-10+5+50+75-5-25-85-12.5+30+22.5-25-30+151-50</f>
        <v>251.40022499999998</v>
      </c>
      <c r="I151" s="47">
        <f t="shared" ref="I151:I214" si="75">SUM(B151:H151)</f>
        <v>496.39347499999997</v>
      </c>
      <c r="J151" s="45">
        <f>120+40+59+10-15-1.75+7.5-2-15-25-75+25+2.5-7-1+15+20+25+15+20-217+17.5+2</f>
        <v>19.75</v>
      </c>
      <c r="K151" s="45">
        <v>191</v>
      </c>
      <c r="L151" s="45">
        <v>1</v>
      </c>
      <c r="M151" s="45">
        <f>('[2]Renewable Diesel'!C160*'[2]RD Feedstock Breakdown'!M$3*'[2]Feedstock Conversion Rates'!B$2)/12-15-40+2+117-25-2-50-40</f>
        <v>24.902500000000003</v>
      </c>
      <c r="N151" s="45">
        <f>('[2]Renewable Diesel'!C160*'[2]RD Feedstock Breakdown'!N$3*'[2]Feedstock Conversion Rates'!B$8)/12+1.75+7-15-20+30-10-25</f>
        <v>5.46875</v>
      </c>
      <c r="O151" s="45">
        <f>('[2]Renewable Diesel'!C160*'[2]RD Feedstock Breakdown'!O$3*'[2]Feedstock Conversion Rates'!B$7)/12+30-120+25-17.5</f>
        <v>37.490999999999985</v>
      </c>
      <c r="P151" s="45">
        <f>('[2]Renewable Diesel'!C160*'[2]RD Feedstock Breakdown'!P$3*'[2]Feedstock Conversion Rates'!B$3)/12-15-59-10+15-7.5+15+75-25-2.5-25-15-20+25+100-96</f>
        <v>59.470425000000034</v>
      </c>
      <c r="Q151" s="47">
        <f t="shared" si="66"/>
        <v>339.08267500000005</v>
      </c>
      <c r="R151" s="45">
        <f>('[2]Renewable Diesel'!D160*'[2]RD Feedstock Breakdown'!R$3*'[2]Feedstock Conversion Rates'!B$7)/12</f>
        <v>2.2999999999999998</v>
      </c>
      <c r="S151" s="47">
        <f t="shared" si="44"/>
        <v>2.2999999999999998</v>
      </c>
      <c r="T151" s="45">
        <f>15+10+5-30+35-10-3-22+20+20</f>
        <v>40</v>
      </c>
      <c r="U151" s="45">
        <v>0</v>
      </c>
      <c r="V151" s="45">
        <f>('[2]Renewable Diesel'!E160*'[2]RD Feedstock Breakdown'!V$3*'[2]Feedstock Conversion Rates'!B$6)/12-20-5-5+32.5-35+25-15+22-20</f>
        <v>23.750150000000012</v>
      </c>
      <c r="W151" s="45">
        <f>('[2]Renewable Diesel'!E160*'[2]RD Feedstock Breakdown'!W$3*'[2]Feedstock Conversion Rates'!B$8)/12-2.5+3-20</f>
        <v>2.6796875</v>
      </c>
      <c r="X151" s="47">
        <f t="shared" si="62"/>
        <v>66.429837500000019</v>
      </c>
      <c r="Y151" s="45">
        <f>30-30+50-20+20-2-35-13+7.5-5-2.5+15</f>
        <v>15</v>
      </c>
      <c r="Z151" s="45">
        <f>('[2]Renewable Diesel'!F160*'[2]RD Feedstock Breakdown'!Z$3*'[2]Feedstock Conversion Rates'!B$6)/12-30+20-20-7.5+2.5</f>
        <v>9.5550000000000068</v>
      </c>
      <c r="AA151" s="45">
        <f>('[2]Renewable Diesel'!F160*'[2]RD Feedstock Breakdown'!AA$3*'[2]Feedstock Conversion Rates'!B$7)/12+30-50+2+35+13+5-15</f>
        <v>49.133333333333326</v>
      </c>
      <c r="AB151" s="47">
        <f t="shared" si="39"/>
        <v>73.688333333333333</v>
      </c>
      <c r="AC151" s="45">
        <f>('[2]Renewable Diesel'!G160*'[2]RD Feedstock Breakdown'!AC$3*'[2]Feedstock Conversion Rates'!B$5)/12</f>
        <v>0</v>
      </c>
      <c r="AD151" s="45">
        <f>('[2]Renewable Diesel'!G160*'[2]RD Feedstock Breakdown'!AD$3*'[2]Feedstock Conversion Rates'!B$4)/12</f>
        <v>0</v>
      </c>
      <c r="AE151" s="45">
        <f>('[2]Renewable Diesel'!G160*'[2]RD Feedstock Breakdown'!AE$3*'[2]Feedstock Conversion Rates'!B$6)/12</f>
        <v>0</v>
      </c>
      <c r="AF151" s="47">
        <f t="shared" si="71"/>
        <v>0</v>
      </c>
      <c r="AG151" s="45">
        <v>50</v>
      </c>
      <c r="AH151" s="45">
        <v>0</v>
      </c>
      <c r="AI151" s="45">
        <f>('[2]Renewable Diesel'!H160*'[2]RD Feedstock Breakdown'!AI$3*'[2]Feedstock Conversion Rates'!B$6)/12-17.5+17.5-26+26-30+30-50</f>
        <v>8.6250000000000071</v>
      </c>
      <c r="AJ151" s="47">
        <f t="shared" si="42"/>
        <v>58.625000000000007</v>
      </c>
      <c r="AK151" s="45">
        <f>('[2]Renewable Diesel'!J160*'[2]RD Feedstock Breakdown'!AK$3*'[2]Feedstock Conversion Rates'!B$4)/12</f>
        <v>95.8125</v>
      </c>
      <c r="AL151" s="47">
        <f t="shared" si="45"/>
        <v>95.8125</v>
      </c>
      <c r="AM151" s="45">
        <f>('[2]Renewable Diesel'!K160*'[2]RD Feedstock Breakdown'!AM$3*'[2]Feedstock Conversion Rates'!B$4)/12</f>
        <v>58.59375</v>
      </c>
      <c r="AN151" s="45">
        <f>('[2]Renewable Diesel'!K160*'[2]RD Feedstock Breakdown'!AN$3*'[2]Feedstock Conversion Rates'!B$6)/12</f>
        <v>24.427083333333332</v>
      </c>
      <c r="AO151" s="47">
        <f t="shared" si="56"/>
        <v>83.020833333333329</v>
      </c>
      <c r="AP151" s="45">
        <f>('[2]Renewable Diesel'!L160*'[2]RD Feedstock Breakdown'!AP$3*'[2]Feedstock Conversion Rates'!B$4)/12+15-5-40+10</f>
        <v>38.59375</v>
      </c>
      <c r="AQ151" s="45">
        <f>('[2]Renewable Diesel'!L160*'[2]RD Feedstock Breakdown'!AQ$3*'[2]Feedstock Conversion Rates'!B$6)/12-15+5+40-10</f>
        <v>44.427083333333329</v>
      </c>
      <c r="AR151" s="47">
        <f t="shared" si="46"/>
        <v>83.020833333333329</v>
      </c>
      <c r="AS151" s="45">
        <f>('[2]Renewable Diesel'!M160*'[2]RD Feedstock Breakdown'!AS$3*'[2]Feedstock Conversion Rates'!B$4)/12</f>
        <v>121.875</v>
      </c>
      <c r="AT151" s="45">
        <f>('[2]Renewable Diesel'!M160*'[2]RD Feedstock Breakdown'!AT$3*'[2]Feedstock Conversion Rates'!B$5)/12</f>
        <v>0</v>
      </c>
      <c r="AU151" s="47">
        <f t="shared" si="74"/>
        <v>121.875</v>
      </c>
      <c r="AV151" s="45">
        <f>'[2]Renewable Diesel'!N160*'[2]RD Feedstock Breakdown'!$AV$3*'[2]Feedstock Conversion Rates'!$B$4/12-15-10+25+25-22-75-6.5+50+25</f>
        <v>75.249999999999986</v>
      </c>
      <c r="AW151" s="45">
        <f>'[2]Renewable Diesel'!N160*'[2]RD Feedstock Breakdown'!$AW$3*'[2]Feedstock Conversion Rates'!$B$7/12+15+10-25-25+22+75+6.5-50-25</f>
        <v>44.900000000000006</v>
      </c>
      <c r="AX151" s="47">
        <f t="shared" si="40"/>
        <v>120.14999999999999</v>
      </c>
      <c r="AY151" s="45">
        <f>('[2]Renewable Diesel'!O160*'[2]RD Feedstock Breakdown'!AY$3*'[2]Feedstock Conversion Rates'!B$4)/12+5-50</f>
        <v>22.5</v>
      </c>
      <c r="AZ151" s="45">
        <f>('[2]Renewable Diesel'!O160*'[2]RD Feedstock Breakdown'!AZ$3*'[2]Feedstock Conversion Rates'!B$3)/12-5+50</f>
        <v>53.01</v>
      </c>
      <c r="BA151" s="47">
        <f t="shared" si="43"/>
        <v>75.509999999999991</v>
      </c>
      <c r="BB151" s="45">
        <f>('[2]Renewable Diesel'!Q160*'[2]RD Feedstock Breakdown'!BB$3*'[2]Feedstock Conversion Rates'!B$4)/12</f>
        <v>0</v>
      </c>
      <c r="BC151" s="45">
        <f>('[2]Renewable Diesel'!Q160*'[2]RD Feedstock Breakdown'!BC$3*'[2]Feedstock Conversion Rates'!B$3)/12</f>
        <v>0</v>
      </c>
      <c r="BD151" s="45">
        <f>('[2]Renewable Diesel'!Q160*'[2]RD Feedstock Breakdown'!BD$3*'[2]Feedstock Conversion Rates'!B$6)/12</f>
        <v>0</v>
      </c>
      <c r="BE151" s="47">
        <f t="shared" si="64"/>
        <v>0</v>
      </c>
      <c r="BF151" s="45">
        <f>('[2]Renewable Diesel'!R160*'[2]RD Feedstock Breakdown'!BF$3*'[2]Feedstock Conversion Rates'!B$4)/12</f>
        <v>62.5</v>
      </c>
      <c r="BG151" s="47">
        <f t="shared" si="47"/>
        <v>62.5</v>
      </c>
      <c r="BH151" s="45">
        <f>('[2]Renewable Diesel'!T160*'[2]RD Feedstock Breakdown'!BH$3*'[2]Feedstock Conversion Rates'!B$7)/12</f>
        <v>13.799999999999999</v>
      </c>
      <c r="BI151" s="47">
        <f t="shared" si="41"/>
        <v>13.799999999999999</v>
      </c>
      <c r="BJ151" s="45">
        <f>('[2]Renewable Diesel'!W160*'[2]RD Feedstock Breakdown'!BJ$3*'[2]Feedstock Conversion Rates'!B$4)/12-7.5</f>
        <v>0</v>
      </c>
      <c r="BK151" s="45">
        <f>('[2]Renewable Diesel'!W160*'[2]RD Feedstock Breakdown'!BK$3*'[2]Feedstock Conversion Rates'!B$3)/12</f>
        <v>1.335</v>
      </c>
      <c r="BL151" s="45">
        <f>('[2]Renewable Diesel'!W160*'[2]RD Feedstock Breakdown'!BL$3*'[2]Feedstock Conversion Rates'!B$6)/12</f>
        <v>3.1266666666666669</v>
      </c>
      <c r="BM151" s="45">
        <f>('[2]Renewable Diesel'!W160*'[2]RD Feedstock Breakdown'!BM$3*'[2]Feedstock Conversion Rates'!B$7)/12+7.5</f>
        <v>9.0333333333333332</v>
      </c>
      <c r="BN151" s="47">
        <f t="shared" si="34"/>
        <v>13.495000000000001</v>
      </c>
      <c r="BO151" s="45">
        <f>('[2]Renewable Diesel'!P160*'[2]Feedstock Conversion Rates'!B$4)/12</f>
        <v>0</v>
      </c>
      <c r="BP151" s="47">
        <f t="shared" si="72"/>
        <v>0</v>
      </c>
      <c r="BQ151" s="45"/>
      <c r="BR151" s="45"/>
      <c r="BS151" s="47"/>
      <c r="BT151" s="47"/>
      <c r="BU151" s="45">
        <f>('[2]Renewable Diesel'!Y160*'[2]Feedstock Conversion Rates'!B$7)/12</f>
        <v>0</v>
      </c>
      <c r="BV151" s="47">
        <f t="shared" si="67"/>
        <v>0</v>
      </c>
      <c r="BW151" s="47"/>
      <c r="BX151" s="47"/>
      <c r="BY151" s="47"/>
      <c r="BZ151" s="47"/>
      <c r="CA151" s="47"/>
      <c r="CB151" s="45">
        <f>('[2]Renewable Diesel'!AA160*'[2]Feedstock Conversion Rates'!B$4)/12</f>
        <v>47.8125</v>
      </c>
      <c r="CC151" s="47">
        <f>CB151</f>
        <v>47.8125</v>
      </c>
      <c r="CD151" s="45">
        <f>('[2]Renewable Diesel'!$AB160*'[2]RD Feedstock Breakdown'!CD$3*'[2]Feedstock Conversion Rates'!$B$6)/12</f>
        <v>0</v>
      </c>
      <c r="CE151" s="45">
        <f>('[2]Renewable Diesel'!$AB160*'[2]RD Feedstock Breakdown'!CE$3*'[2]Feedstock Conversion Rates'!$B$4)/12</f>
        <v>0</v>
      </c>
      <c r="CF151" s="47">
        <f>SUM(CD151:CE151)</f>
        <v>0</v>
      </c>
      <c r="CG151" s="45">
        <f>('[2]Renewable Diesel'!AD160*'[2]Feedstock Conversion Rates'!B$4)/12</f>
        <v>42.1875</v>
      </c>
      <c r="CH151" s="47">
        <f t="shared" si="63"/>
        <v>42.1875</v>
      </c>
      <c r="CI151" s="45">
        <f>('[2]Renewable Diesel'!$AE160*'[2]RD Feedstock Breakdown'!CI$3*'[2]Feedstock Conversion Rates'!$B$5)/12</f>
        <v>0.17302083333333332</v>
      </c>
      <c r="CJ151" s="45">
        <f>('[2]Renewable Diesel'!$AE160*'[2]RD Feedstock Breakdown'!CJ$3*'[2]Feedstock Conversion Rates'!$B$4)/12</f>
        <v>0.171875</v>
      </c>
      <c r="CK151" s="47">
        <f t="shared" si="73"/>
        <v>0.34489583333333329</v>
      </c>
      <c r="CL151" s="45">
        <f>(((CL$3*'[2]Renewable Diesel'!$AF160)*'[2]Feedstock Conversion Rates'!$B$3)/12)</f>
        <v>30.037499999999998</v>
      </c>
      <c r="CM151" s="45">
        <f>(((CM$3*'[2]Renewable Diesel'!$AF160)*'[2]Feedstock Conversion Rates'!$B$6)/12)</f>
        <v>17.587500000000002</v>
      </c>
      <c r="CN151" s="45">
        <f>(((CN$3*'[2]Renewable Diesel'!$AF160)*'[2]Feedstock Conversion Rates'!$B$4)/12)</f>
        <v>14.0625</v>
      </c>
      <c r="CO151" s="47">
        <f t="shared" si="65"/>
        <v>61.6875</v>
      </c>
      <c r="CP151" s="47"/>
      <c r="CQ151" s="47"/>
      <c r="CR151" s="47"/>
      <c r="CS151" s="47"/>
      <c r="CT151" s="45">
        <f>('[2]Renewable Diesel'!AI160*'[2]Feedstock Conversion Rates'!$B$4*'[2]RD Feedstock Breakdown'!$CT$3)/12</f>
        <v>0</v>
      </c>
      <c r="CU151" s="47">
        <f t="shared" si="69"/>
        <v>0</v>
      </c>
      <c r="CV151" s="47"/>
      <c r="CW151" s="47"/>
      <c r="CX151" s="47"/>
      <c r="CY151" s="47"/>
      <c r="CZ151" s="47"/>
      <c r="DA151" s="47"/>
      <c r="DB151" s="47"/>
      <c r="DC151" s="47"/>
      <c r="DD151" s="47"/>
      <c r="DE151" s="47"/>
      <c r="DF151" s="47"/>
      <c r="DG151" s="47"/>
      <c r="DH151" s="47"/>
      <c r="DI151" s="47"/>
      <c r="DJ151" s="47"/>
      <c r="DK151" s="47"/>
      <c r="DL151" s="47"/>
      <c r="DM151" s="47"/>
      <c r="DN151" s="47"/>
      <c r="DP151" s="45">
        <f t="shared" si="48"/>
        <v>128.58249999999998</v>
      </c>
      <c r="DQ151" s="45">
        <f t="shared" si="49"/>
        <v>395.25315000000001</v>
      </c>
      <c r="DR151" s="45">
        <f t="shared" si="57"/>
        <v>614.109375</v>
      </c>
      <c r="DS151" s="45">
        <f t="shared" si="70"/>
        <v>281.17302083333334</v>
      </c>
      <c r="DT151" s="45">
        <f t="shared" si="50"/>
        <v>131.49848333333335</v>
      </c>
      <c r="DU151" s="45">
        <f>G151+O151+R151+AA151+AW151+BH151+BM151+BR151+BU151+BY151</f>
        <v>291.31466666666671</v>
      </c>
      <c r="DV151" s="45">
        <f>F151+N151+W151+DM151</f>
        <v>13.3046875</v>
      </c>
      <c r="DW151" s="45">
        <f t="shared" si="52"/>
        <v>2.5</v>
      </c>
      <c r="DX151" s="47">
        <f t="shared" si="53"/>
        <v>1857.7358833333333</v>
      </c>
      <c r="DY151" s="50">
        <f t="shared" si="54"/>
        <v>-2.3447910280083306E-13</v>
      </c>
      <c r="EA151" s="51">
        <f t="shared" si="35"/>
        <v>6.9214629029657623E-2</v>
      </c>
      <c r="EB151" s="51">
        <f t="shared" si="35"/>
        <v>0.21276068010851884</v>
      </c>
      <c r="EC151" s="51">
        <f t="shared" si="35"/>
        <v>0.33056872104882007</v>
      </c>
      <c r="ED151" s="51">
        <f t="shared" si="35"/>
        <v>0.15135252721114745</v>
      </c>
      <c r="EE151" s="51">
        <f t="shared" si="36"/>
        <v>7.0784272680024768E-2</v>
      </c>
      <c r="EF151" s="51">
        <f t="shared" si="36"/>
        <v>0.15681167020575668</v>
      </c>
      <c r="EG151" s="51">
        <f t="shared" si="36"/>
        <v>7.1617755889644627E-3</v>
      </c>
      <c r="EH151" s="52">
        <f t="shared" si="59"/>
        <v>1.345724127110175E-3</v>
      </c>
      <c r="EI151" s="51">
        <f t="shared" si="60"/>
        <v>0.99865427587288991</v>
      </c>
      <c r="EK151" s="53">
        <f>(EA151*'[2]Renewable Diesel'!BF160*'[2]Feedstock Conversion Rates'!B$2)+FB151</f>
        <v>100.27062114872976</v>
      </c>
      <c r="EL151" s="53">
        <f>(EB151*'[2]Renewable Diesel'!BF160*'[2]Feedstock Conversion Rates'!B$3)+FC151</f>
        <v>290.45627943657269</v>
      </c>
      <c r="EM151" s="53">
        <f>(EC151*'[2]Renewable Diesel'!BF160*'[2]Feedstock Conversion Rates'!B$4)+FD151</f>
        <v>422.55175025767312</v>
      </c>
      <c r="EN151" s="53">
        <f>(ED151*'[2]Renewable Diesel'!BF160*'[2]Feedstock Conversion Rates'!B$5)+FE151</f>
        <v>194.75719575016194</v>
      </c>
      <c r="EO151" s="53">
        <f>(EE151*'[2]Renewable Diesel'!BF160*'[2]Feedstock Conversion Rates'!B$6)+FF151</f>
        <v>113.16092697185142</v>
      </c>
      <c r="EP151" s="53">
        <f>(EF151*'[2]Renewable Diesel'!BF160*'[2]Feedstock Conversion Rates'!B$7)+FG151</f>
        <v>245.87993627611192</v>
      </c>
      <c r="EQ151" s="53">
        <f>(EG151*'[2]Renewable Diesel'!BF160*'[2]Feedstock Conversion Rates'!B$8)+FH151</f>
        <v>11.443236373317834</v>
      </c>
      <c r="ER151" s="53">
        <f>(EH151*'[2]Renewable Diesel'!BF160*'[2]Feedstock Conversion Rates'!B$9)+FI151</f>
        <v>2.1215567611678705</v>
      </c>
      <c r="ES151" s="53">
        <f t="shared" si="61"/>
        <v>1380.6415029755865</v>
      </c>
      <c r="ET151" s="36">
        <f>ES151/'[2]Renewable Diesel'!BF160</f>
        <v>8.1007278206855435</v>
      </c>
    </row>
    <row r="152" spans="1:150" x14ac:dyDescent="0.25">
      <c r="A152" s="39">
        <v>45047</v>
      </c>
      <c r="B152" s="45">
        <f>23-20+10+85-5-4-4-1.25+2.25-5+15-6-25-45+65+15-22.5-50+40+16.5+27.5+168+80+14-30+15-50-19+22.5-10+5+11-25-50-12.5-27.5-10+10+2+4-1.5+12-26-15-50-15+10-32.5-3-5-2.5-1+10-50-35-4-0.5+25+20+25+20+15+85-25-4+12.5-52.5+10+20-151+20+50-10-15+49-75</f>
        <v>19</v>
      </c>
      <c r="C152" s="45">
        <f>40-10-2.5-27.5+25+25+25+40-100</f>
        <v>15</v>
      </c>
      <c r="D152" s="45">
        <f t="shared" si="68"/>
        <v>1.5</v>
      </c>
      <c r="E152" s="45">
        <f>('[2]Renewable Diesel'!B161*E$3*'[2]Feedstock Conversion Rates'!$B$2)/12-40+1.25+6-43+30-15+12.5-4+1.5+26+2.5+3-10+50+4-15+4-40+10-49</f>
        <v>24.679999999999993</v>
      </c>
      <c r="F152" s="45">
        <f>('[2]Renewable Diesel'!B161*'[2]RD Feedstock Breakdown'!F$3*'[2]Feedstock Conversion Rates'!B$8)/12+28.5-49-5+2-6+1+6+20-20-3.75+10+2.5+5-20-20</f>
        <v>5.15625</v>
      </c>
      <c r="G152" s="45">
        <f>('[2]Renewable Diesel'!B161*'[2]RD Feedstock Breakdown'!G$3*'[2]Feedstock Conversion Rates'!B$7)/12-25-15-25+4+4-20-40-20+10-17.5+20+50-12+32.5+35-75-75+22.5+5-20+15+100</f>
        <v>129.65700000000001</v>
      </c>
      <c r="H152" s="45">
        <f>('[2]Renewable Diesel'!B161*'[2]RD Feedstock Breakdown'!H$3*'[2]Feedstock Conversion Rates'!B$3)/12-85+4-15+70-65-80+50-22.5-5+25+27.5+15+50+15-10+5+50+75-5-25-85-12.5+30+22.5-25-30+151-25-50+75</f>
        <v>301.40022499999998</v>
      </c>
      <c r="I152" s="47">
        <f t="shared" si="75"/>
        <v>496.39347499999997</v>
      </c>
      <c r="J152" s="45">
        <f>120+40+59+10-15-1.75+7.5-2-15-25-75+25+2.5-7-1+15+20+25+15+20-217+17.5+2+37-30-5</f>
        <v>21.75</v>
      </c>
      <c r="K152" s="45">
        <v>165</v>
      </c>
      <c r="L152" s="45">
        <v>1</v>
      </c>
      <c r="M152" s="45">
        <f>('[2]Renewable Diesel'!C161*'[2]RD Feedstock Breakdown'!M$3*'[2]Feedstock Conversion Rates'!B$2)/12-15-40+2+117-25-2-37-50</f>
        <v>27.902500000000003</v>
      </c>
      <c r="N152" s="45">
        <f>('[2]Renewable Diesel'!C161*'[2]RD Feedstock Breakdown'!N$3*'[2]Feedstock Conversion Rates'!B$8)/12+1.75+7-15-20+30+5-40</f>
        <v>5.46875</v>
      </c>
      <c r="O152" s="45">
        <f>('[2]Renewable Diesel'!C161*'[2]RD Feedstock Breakdown'!O$3*'[2]Feedstock Conversion Rates'!B$7)/12+30-120+25-17.5</f>
        <v>37.490999999999985</v>
      </c>
      <c r="P152" s="45">
        <f>('[2]Renewable Diesel'!C161*'[2]RD Feedstock Breakdown'!P$3*'[2]Feedstock Conversion Rates'!B$3)/12-15-59-10+15-7.5+15+75-25-2.5-25-15-20+25+100-75</f>
        <v>80.470425000000034</v>
      </c>
      <c r="Q152" s="47">
        <f t="shared" si="66"/>
        <v>339.08267500000005</v>
      </c>
      <c r="R152" s="45">
        <f>('[2]Renewable Diesel'!D161*'[2]RD Feedstock Breakdown'!R$3*'[2]Feedstock Conversion Rates'!B$7)/12</f>
        <v>2.2999999999999998</v>
      </c>
      <c r="S152" s="47">
        <f t="shared" si="44"/>
        <v>2.2999999999999998</v>
      </c>
      <c r="T152" s="45">
        <f>15+10+5-30+35-10-3-22+20-20+50</f>
        <v>50</v>
      </c>
      <c r="U152" s="45">
        <v>0</v>
      </c>
      <c r="V152" s="45">
        <f>('[2]Renewable Diesel'!E161*'[2]RD Feedstock Breakdown'!V$3*'[2]Feedstock Conversion Rates'!B$6)/12-20-5-5+32.5-35+25-15+22+20-50</f>
        <v>13.750150000000012</v>
      </c>
      <c r="W152" s="45">
        <f>('[2]Renewable Diesel'!E161*'[2]RD Feedstock Breakdown'!W$3*'[2]Feedstock Conversion Rates'!B$8)/12-2.5+3-20</f>
        <v>2.6796875</v>
      </c>
      <c r="X152" s="47">
        <f t="shared" si="62"/>
        <v>66.429837500000019</v>
      </c>
      <c r="Y152" s="45">
        <f>30-30+50-20+20-2-35-13+7.5-5-2.5+15-15+20</f>
        <v>20</v>
      </c>
      <c r="Z152" s="45">
        <f>('[2]Renewable Diesel'!F161*'[2]RD Feedstock Breakdown'!Z$3*'[2]Feedstock Conversion Rates'!B$6)/12-30+20-20-7.5+1+17-20</f>
        <v>5.0550000000000068</v>
      </c>
      <c r="AA152" s="45">
        <f>('[2]Renewable Diesel'!F161*'[2]RD Feedstock Breakdown'!AA$3*'[2]Feedstock Conversion Rates'!B$7)/12+30-50+2+35+13+5-15</f>
        <v>49.133333333333326</v>
      </c>
      <c r="AB152" s="47">
        <f t="shared" si="39"/>
        <v>74.188333333333333</v>
      </c>
      <c r="AC152" s="45">
        <f>('[2]Renewable Diesel'!G161*'[2]RD Feedstock Breakdown'!AC$3*'[2]Feedstock Conversion Rates'!B$5)/12</f>
        <v>0</v>
      </c>
      <c r="AD152" s="45">
        <f>('[2]Renewable Diesel'!G161*'[2]RD Feedstock Breakdown'!AD$3*'[2]Feedstock Conversion Rates'!B$4)/12</f>
        <v>0</v>
      </c>
      <c r="AE152" s="45">
        <f>('[2]Renewable Diesel'!G161*'[2]RD Feedstock Breakdown'!AE$3*'[2]Feedstock Conversion Rates'!B$6)/12</f>
        <v>0</v>
      </c>
      <c r="AF152" s="47">
        <f t="shared" si="71"/>
        <v>0</v>
      </c>
      <c r="AG152" s="45">
        <f>26-26+30-30+50</f>
        <v>50</v>
      </c>
      <c r="AH152" s="45">
        <v>0</v>
      </c>
      <c r="AI152" s="45">
        <f>('[2]Renewable Diesel'!H161*'[2]RD Feedstock Breakdown'!AI$3*'[2]Feedstock Conversion Rates'!B$6)/12-17.5+17.5-26+26-30+30-50</f>
        <v>8.6250000000000071</v>
      </c>
      <c r="AJ152" s="47">
        <f t="shared" si="42"/>
        <v>58.625000000000007</v>
      </c>
      <c r="AK152" s="45">
        <f>('[2]Renewable Diesel'!J161*'[2]RD Feedstock Breakdown'!AK$3*'[2]Feedstock Conversion Rates'!B$4)/12</f>
        <v>95.8125</v>
      </c>
      <c r="AL152" s="47">
        <f t="shared" si="45"/>
        <v>95.8125</v>
      </c>
      <c r="AM152" s="45">
        <f>('[2]Renewable Diesel'!K161*'[2]RD Feedstock Breakdown'!AM$3*'[2]Feedstock Conversion Rates'!B$4)/12-40-10</f>
        <v>8.59375</v>
      </c>
      <c r="AN152" s="45">
        <f>('[2]Renewable Diesel'!K161*'[2]RD Feedstock Breakdown'!AN$3*'[2]Feedstock Conversion Rates'!B$6)/12+40+10</f>
        <v>74.427083333333329</v>
      </c>
      <c r="AO152" s="47">
        <f t="shared" si="56"/>
        <v>83.020833333333329</v>
      </c>
      <c r="AP152" s="45">
        <f>('[2]Renewable Diesel'!L161*'[2]RD Feedstock Breakdown'!AP$3*'[2]Feedstock Conversion Rates'!B$4)/12+15-5-40+10-20</f>
        <v>18.59375</v>
      </c>
      <c r="AQ152" s="45">
        <f>('[2]Renewable Diesel'!L161*'[2]RD Feedstock Breakdown'!AQ$3*'[2]Feedstock Conversion Rates'!B$6)/12-15+5+40-10+20</f>
        <v>64.427083333333329</v>
      </c>
      <c r="AR152" s="47">
        <f t="shared" si="46"/>
        <v>83.020833333333329</v>
      </c>
      <c r="AS152" s="45">
        <f>('[2]Renewable Diesel'!M161*'[2]RD Feedstock Breakdown'!AS$3*'[2]Feedstock Conversion Rates'!B$4)/12</f>
        <v>162.5</v>
      </c>
      <c r="AT152" s="45">
        <f>('[2]Renewable Diesel'!M161*'[2]RD Feedstock Breakdown'!AT$3*'[2]Feedstock Conversion Rates'!B$5)/12</f>
        <v>0</v>
      </c>
      <c r="AU152" s="47">
        <f t="shared" si="74"/>
        <v>162.5</v>
      </c>
      <c r="AV152" s="45">
        <f>'[2]Renewable Diesel'!N161*'[2]RD Feedstock Breakdown'!$AV$3*'[2]Feedstock Conversion Rates'!$B$4/12-15-10+25+25-22-75-6.5+50+25</f>
        <v>75.249999999999986</v>
      </c>
      <c r="AW152" s="45">
        <f>'[2]Renewable Diesel'!N161*'[2]RD Feedstock Breakdown'!$AW$3*'[2]Feedstock Conversion Rates'!$B$7/12+15+10-25-25+22+75+6.5-50-25</f>
        <v>44.900000000000006</v>
      </c>
      <c r="AX152" s="47">
        <f t="shared" si="40"/>
        <v>120.14999999999999</v>
      </c>
      <c r="AY152" s="45">
        <f>('[2]Renewable Diesel'!O161*'[2]RD Feedstock Breakdown'!AY$3*'[2]Feedstock Conversion Rates'!B$4)/12+5-50</f>
        <v>22.5</v>
      </c>
      <c r="AZ152" s="45">
        <f>('[2]Renewable Diesel'!O161*'[2]RD Feedstock Breakdown'!AZ$3*'[2]Feedstock Conversion Rates'!B$3)/12-5+50</f>
        <v>53.01</v>
      </c>
      <c r="BA152" s="47">
        <f t="shared" si="43"/>
        <v>75.509999999999991</v>
      </c>
      <c r="BB152" s="45">
        <f>('[2]Renewable Diesel'!Q161*'[2]RD Feedstock Breakdown'!BB$3*'[2]Feedstock Conversion Rates'!B$4)/12</f>
        <v>0</v>
      </c>
      <c r="BC152" s="45">
        <f>('[2]Renewable Diesel'!Q161*'[2]RD Feedstock Breakdown'!BC$3*'[2]Feedstock Conversion Rates'!B$3)/12</f>
        <v>0</v>
      </c>
      <c r="BD152" s="45">
        <f>('[2]Renewable Diesel'!Q161*'[2]RD Feedstock Breakdown'!BD$3*'[2]Feedstock Conversion Rates'!B$6)/12</f>
        <v>0</v>
      </c>
      <c r="BE152" s="47">
        <f t="shared" si="64"/>
        <v>0</v>
      </c>
      <c r="BF152" s="45">
        <f>('[2]Renewable Diesel'!R161*'[2]RD Feedstock Breakdown'!BF$3*'[2]Feedstock Conversion Rates'!B$4)/12</f>
        <v>62.5</v>
      </c>
      <c r="BG152" s="47">
        <f t="shared" si="47"/>
        <v>62.5</v>
      </c>
      <c r="BH152" s="45">
        <f>('[2]Renewable Diesel'!T161*'[2]RD Feedstock Breakdown'!BH$3*'[2]Feedstock Conversion Rates'!B$7)/12</f>
        <v>27.599999999999998</v>
      </c>
      <c r="BI152" s="47">
        <f t="shared" si="41"/>
        <v>27.599999999999998</v>
      </c>
      <c r="BJ152" s="45">
        <f>('[2]Renewable Diesel'!W161*'[2]RD Feedstock Breakdown'!BJ$3*'[2]Feedstock Conversion Rates'!B$4)/12-7.5</f>
        <v>0</v>
      </c>
      <c r="BK152" s="45">
        <f>('[2]Renewable Diesel'!W161*'[2]RD Feedstock Breakdown'!BK$3*'[2]Feedstock Conversion Rates'!B$3)/12</f>
        <v>1.335</v>
      </c>
      <c r="BL152" s="45">
        <f>('[2]Renewable Diesel'!W161*'[2]RD Feedstock Breakdown'!BL$3*'[2]Feedstock Conversion Rates'!B$6)/12</f>
        <v>3.1266666666666669</v>
      </c>
      <c r="BM152" s="45">
        <f>('[2]Renewable Diesel'!W161*'[2]RD Feedstock Breakdown'!BM$3*'[2]Feedstock Conversion Rates'!B$7)/12+7.5</f>
        <v>9.0333333333333332</v>
      </c>
      <c r="BN152" s="47">
        <f t="shared" si="34"/>
        <v>13.495000000000001</v>
      </c>
      <c r="BO152" s="45">
        <f>('[2]Renewable Diesel'!P161*'[2]Feedstock Conversion Rates'!B$4)/12</f>
        <v>0</v>
      </c>
      <c r="BP152" s="47">
        <f t="shared" si="72"/>
        <v>0</v>
      </c>
      <c r="BQ152" s="45"/>
      <c r="BR152" s="45"/>
      <c r="BS152" s="47"/>
      <c r="BT152" s="47"/>
      <c r="BU152" s="45">
        <f>('[2]Renewable Diesel'!Y161*'[2]Feedstock Conversion Rates'!B$7)/12</f>
        <v>0.67083333333333328</v>
      </c>
      <c r="BV152" s="47">
        <f t="shared" si="67"/>
        <v>0.67083333333333328</v>
      </c>
      <c r="BW152" s="47"/>
      <c r="BX152" s="47"/>
      <c r="BY152" s="47"/>
      <c r="BZ152" s="47"/>
      <c r="CA152" s="47"/>
      <c r="CB152" s="45">
        <f>('[2]Renewable Diesel'!AA161*'[2]Feedstock Conversion Rates'!B$4)/12</f>
        <v>95.625</v>
      </c>
      <c r="CC152" s="47">
        <f>CB152</f>
        <v>95.625</v>
      </c>
      <c r="CD152" s="45">
        <f>('[2]Renewable Diesel'!$AB161*'[2]RD Feedstock Breakdown'!CD$3*'[2]Feedstock Conversion Rates'!$B$6)/12</f>
        <v>0</v>
      </c>
      <c r="CE152" s="45">
        <f>('[2]Renewable Diesel'!$AB161*'[2]RD Feedstock Breakdown'!CE$3*'[2]Feedstock Conversion Rates'!$B$4)/12</f>
        <v>0</v>
      </c>
      <c r="CF152" s="47">
        <f t="shared" ref="CF152:CF215" si="76">SUM(CD152:CE152)</f>
        <v>0</v>
      </c>
      <c r="CG152" s="45">
        <f>('[2]Renewable Diesel'!AD161*'[2]Feedstock Conversion Rates'!B$4)/12</f>
        <v>75.625</v>
      </c>
      <c r="CH152" s="47">
        <f t="shared" si="63"/>
        <v>75.625</v>
      </c>
      <c r="CI152" s="45">
        <f>('[2]Renewable Diesel'!$AE161*'[2]RD Feedstock Breakdown'!CI$3*'[2]Feedstock Conversion Rates'!$B$5)/12</f>
        <v>0.17302083333333332</v>
      </c>
      <c r="CJ152" s="45">
        <f>('[2]Renewable Diesel'!$AE161*'[2]RD Feedstock Breakdown'!CJ$3*'[2]Feedstock Conversion Rates'!$B$4)/12</f>
        <v>0.171875</v>
      </c>
      <c r="CK152" s="47">
        <f t="shared" si="73"/>
        <v>0.34489583333333329</v>
      </c>
      <c r="CL152" s="45">
        <f>(((CL$3*'[2]Renewable Diesel'!$AF161)*'[2]Feedstock Conversion Rates'!$B$3)/12)</f>
        <v>30.037499999999998</v>
      </c>
      <c r="CM152" s="45">
        <f>(((CM$3*'[2]Renewable Diesel'!$AF161)*'[2]Feedstock Conversion Rates'!$B$6)/12)</f>
        <v>17.587500000000002</v>
      </c>
      <c r="CN152" s="45">
        <f>(((CN$3*'[2]Renewable Diesel'!$AF161)*'[2]Feedstock Conversion Rates'!$B$4)/12)</f>
        <v>14.0625</v>
      </c>
      <c r="CO152" s="47">
        <f t="shared" si="65"/>
        <v>61.6875</v>
      </c>
      <c r="CP152" s="47"/>
      <c r="CQ152" s="47"/>
      <c r="CR152" s="47"/>
      <c r="CS152" s="47"/>
      <c r="CT152" s="45">
        <f>('[2]Renewable Diesel'!AI161*'[2]Feedstock Conversion Rates'!$B$4*'[2]RD Feedstock Breakdown'!$CT$3)/12</f>
        <v>0</v>
      </c>
      <c r="CU152" s="47">
        <f t="shared" si="69"/>
        <v>0</v>
      </c>
      <c r="CV152" s="47"/>
      <c r="CW152" s="47"/>
      <c r="CX152" s="47"/>
      <c r="CY152" s="47"/>
      <c r="CZ152" s="47"/>
      <c r="DA152" s="47"/>
      <c r="DB152" s="47"/>
      <c r="DC152" s="47"/>
      <c r="DD152" s="47"/>
      <c r="DE152" s="47"/>
      <c r="DF152" s="47"/>
      <c r="DG152" s="47"/>
      <c r="DH152" s="47"/>
      <c r="DI152" s="47"/>
      <c r="DJ152" s="47"/>
      <c r="DK152" s="47"/>
      <c r="DL152" s="47"/>
      <c r="DM152" s="47"/>
      <c r="DN152" s="47"/>
      <c r="DP152" s="45">
        <f t="shared" si="48"/>
        <v>52.582499999999996</v>
      </c>
      <c r="DQ152" s="45">
        <f t="shared" si="49"/>
        <v>466.25315000000001</v>
      </c>
      <c r="DR152" s="45">
        <f t="shared" si="57"/>
        <v>691.984375</v>
      </c>
      <c r="DS152" s="45">
        <f t="shared" si="70"/>
        <v>280.17302083333334</v>
      </c>
      <c r="DT152" s="45">
        <f t="shared" si="50"/>
        <v>186.99848333333335</v>
      </c>
      <c r="DU152" s="45">
        <f t="shared" si="51"/>
        <v>300.78550000000007</v>
      </c>
      <c r="DV152" s="45">
        <f t="shared" si="58"/>
        <v>13.3046875</v>
      </c>
      <c r="DW152" s="45">
        <f t="shared" si="52"/>
        <v>2.5</v>
      </c>
      <c r="DX152" s="47">
        <f t="shared" si="53"/>
        <v>1994.5817166666666</v>
      </c>
      <c r="DY152" s="50">
        <f t="shared" si="54"/>
        <v>-2.6290081223123707E-13</v>
      </c>
      <c r="EA152" s="51">
        <f t="shared" si="35"/>
        <v>2.6362670208305912E-2</v>
      </c>
      <c r="EB152" s="51">
        <f t="shared" si="35"/>
        <v>0.23375986358643636</v>
      </c>
      <c r="EC152" s="51">
        <f t="shared" si="35"/>
        <v>0.34693207564162387</v>
      </c>
      <c r="ED152" s="51">
        <f t="shared" si="35"/>
        <v>0.14046705556970454</v>
      </c>
      <c r="EE152" s="51">
        <f t="shared" si="36"/>
        <v>9.3753232455095467E-2</v>
      </c>
      <c r="EF152" s="51">
        <f t="shared" si="36"/>
        <v>0.15080129206371704</v>
      </c>
      <c r="EG152" s="51">
        <f t="shared" si="36"/>
        <v>6.670414848800839E-3</v>
      </c>
      <c r="EH152" s="52">
        <f t="shared" si="59"/>
        <v>1.2533956263160707E-3</v>
      </c>
      <c r="EI152" s="51">
        <f t="shared" si="60"/>
        <v>0.99874660437368401</v>
      </c>
      <c r="EK152" s="53">
        <f>(EA152*'[2]Renewable Diesel'!BF161*'[2]Feedstock Conversion Rates'!B$2)+FB152</f>
        <v>50.138752358297914</v>
      </c>
      <c r="EL152" s="53">
        <f>(EB152*'[2]Renewable Diesel'!BF161*'[2]Feedstock Conversion Rates'!B$3)+FC152</f>
        <v>418.9552737692353</v>
      </c>
      <c r="EM152" s="53">
        <f>(EC152*'[2]Renewable Diesel'!BF161*'[2]Feedstock Conversion Rates'!B$4)+FD152</f>
        <v>582.19828024762035</v>
      </c>
      <c r="EN152" s="53">
        <f>(ED152*'[2]Renewable Diesel'!BF161*'[2]Feedstock Conversion Rates'!B$5)+FE152</f>
        <v>237.29393105678193</v>
      </c>
      <c r="EO152" s="53">
        <f>(EE152*'[2]Renewable Diesel'!BF161*'[2]Feedstock Conversion Rates'!B$6)+FF152</f>
        <v>196.76791746525399</v>
      </c>
      <c r="EP152" s="53">
        <f>(EF152*'[2]Renewable Diesel'!BF161*'[2]Feedstock Conversion Rates'!B$7)+FG152</f>
        <v>310.42600108332789</v>
      </c>
      <c r="EQ152" s="53">
        <f>(EG152*'[2]Renewable Diesel'!BF161*'[2]Feedstock Conversion Rates'!B$8)+FH152</f>
        <v>13.992306874219544</v>
      </c>
      <c r="ER152" s="53">
        <f>(EH152*'[2]Renewable Diesel'!BF161*'[2]Feedstock Conversion Rates'!B$9)+FI152</f>
        <v>2.5941501411745449</v>
      </c>
      <c r="ES152" s="53">
        <f t="shared" si="61"/>
        <v>1812.3666129959117</v>
      </c>
      <c r="ET152" s="36">
        <f>ES152/'[2]Renewable Diesel'!BF161</f>
        <v>8.0999222971273284</v>
      </c>
    </row>
    <row r="153" spans="1:150" x14ac:dyDescent="0.25">
      <c r="A153" s="39">
        <v>45078</v>
      </c>
      <c r="B153" s="45">
        <f>23-20+10+85-5-4-4-1.25+2.25-5+15-6-25-45+65+15-22.5-50+40+16.5+27.5+168+80+14-30+15-50-19+22.5-10+5+11-25-50-12.5-27.5-10+10+2+4-1.5+12-26-15-50-15+10-32.5-3-5-2.5-1+10+5-50-35-9-0.5+25+15+25+20+15+85-25+12.5-52.5+10+20-150+20-15+60-40-25</f>
        <v>0</v>
      </c>
      <c r="C153" s="45">
        <f>40-10-2.5-27.5+25+25+25+20+20-75-40</f>
        <v>0</v>
      </c>
      <c r="D153" s="45">
        <f t="shared" si="68"/>
        <v>1.5</v>
      </c>
      <c r="E153" s="45">
        <f>('[2]Renewable Diesel'!B162*E$3*'[2]Feedstock Conversion Rates'!$B$2)/12-40+1.25+6-43+30-15+12.5-4+1.5+26+2.5+3-10+50+9-15-20-60</f>
        <v>24.679999999999993</v>
      </c>
      <c r="F153" s="45">
        <f>('[2]Renewable Diesel'!B162*'[2]RD Feedstock Breakdown'!F$3*'[2]Feedstock Conversion Rates'!B$8)/12+28.5-49-5+2-6+1+6+20-20-3.75+10+2.5+5-20-20+40</f>
        <v>45.15625</v>
      </c>
      <c r="G153" s="45">
        <f>('[2]Renewable Diesel'!B162*'[2]RD Feedstock Breakdown'!G$3*'[2]Feedstock Conversion Rates'!B$7)/12-25-15-25+4+4-20-40-20+10-17.5+20+50-12+32.5+35-75-75+22.5+5-20+15+100</f>
        <v>129.65700000000001</v>
      </c>
      <c r="H153" s="45">
        <f>('[2]Renewable Diesel'!B162*'[2]RD Feedstock Breakdown'!H$3*'[2]Feedstock Conversion Rates'!B$3)/12-85+4-15+70-65-80+50-22.5-5+25+27.5+15+50+15-10+5+50+75-5-25-85-12.5+30+22.5-25-30+151-26-30+50</f>
        <v>295.40022499999998</v>
      </c>
      <c r="I153" s="47">
        <f t="shared" si="75"/>
        <v>496.39347499999997</v>
      </c>
      <c r="J153" s="45">
        <f>120+40+59+10-15-1.75+7.5-2-15-25-75+25+2.5-7-1+15+20+25+15+20-217+17.5+2+37-56.75</f>
        <v>0</v>
      </c>
      <c r="K153" s="45">
        <v>190</v>
      </c>
      <c r="L153" s="45">
        <v>1</v>
      </c>
      <c r="M153" s="45">
        <f>('[2]Renewable Diesel'!C162*'[2]RD Feedstock Breakdown'!M$3*'[2]Feedstock Conversion Rates'!B$2)/12-15-40+2+117-25-2-37-50</f>
        <v>27.902500000000003</v>
      </c>
      <c r="N153" s="45">
        <f>('[2]Renewable Diesel'!C162*'[2]RD Feedstock Breakdown'!N$3*'[2]Feedstock Conversion Rates'!B$8)/12+1.75+7-15-20-5</f>
        <v>5.46875</v>
      </c>
      <c r="O153" s="45">
        <f>('[2]Renewable Diesel'!C162*'[2]RD Feedstock Breakdown'!O$3*'[2]Feedstock Conversion Rates'!B$7)/12+30-120+25-17.5+56.75-60</f>
        <v>34.240999999999985</v>
      </c>
      <c r="P153" s="45">
        <f>('[2]Renewable Diesel'!C162*'[2]RD Feedstock Breakdown'!P$3*'[2]Feedstock Conversion Rates'!B$3)/12-15-59-10+15-7.5+15+75-25-2.5-25-15-20+25+100-75</f>
        <v>80.470425000000034</v>
      </c>
      <c r="Q153" s="47">
        <f t="shared" si="66"/>
        <v>339.08267500000005</v>
      </c>
      <c r="R153" s="45">
        <f>('[2]Renewable Diesel'!D162*'[2]RD Feedstock Breakdown'!R$3*'[2]Feedstock Conversion Rates'!B$7)/12</f>
        <v>2.2999999999999998</v>
      </c>
      <c r="S153" s="47">
        <f t="shared" si="44"/>
        <v>2.2999999999999998</v>
      </c>
      <c r="T153" s="45">
        <f>15+10+5-30+35-10-3-22+20-20+50</f>
        <v>50</v>
      </c>
      <c r="U153" s="45">
        <v>0</v>
      </c>
      <c r="V153" s="45">
        <f>('[2]Renewable Diesel'!E162*'[2]RD Feedstock Breakdown'!V$3*'[2]Feedstock Conversion Rates'!B$6)/12-20-5-5+32.5-35+25-15+22+20-50</f>
        <v>13.750150000000012</v>
      </c>
      <c r="W153" s="45">
        <f>('[2]Renewable Diesel'!E162*'[2]RD Feedstock Breakdown'!W$3*'[2]Feedstock Conversion Rates'!B$8)/12-2.5+3-20</f>
        <v>2.6796875</v>
      </c>
      <c r="X153" s="47">
        <f t="shared" si="62"/>
        <v>66.429837500000019</v>
      </c>
      <c r="Y153" s="45">
        <f>30-30+50-20+20-2-35-13+7.5-5-2.5</f>
        <v>0</v>
      </c>
      <c r="Z153" s="45">
        <f>('[2]Renewable Diesel'!F162*'[2]RD Feedstock Breakdown'!Z$3*'[2]Feedstock Conversion Rates'!B$6)/12-30+20-20-7.5+2.5+15</f>
        <v>24.555000000000007</v>
      </c>
      <c r="AA153" s="45">
        <f>('[2]Renewable Diesel'!F162*'[2]RD Feedstock Breakdown'!AA$3*'[2]Feedstock Conversion Rates'!B$7)/12+30-50+2+35+13+5-15</f>
        <v>49.133333333333326</v>
      </c>
      <c r="AB153" s="47">
        <f t="shared" si="39"/>
        <v>73.688333333333333</v>
      </c>
      <c r="AC153" s="45">
        <f>('[2]Renewable Diesel'!G162*'[2]RD Feedstock Breakdown'!AC$3*'[2]Feedstock Conversion Rates'!B$5)/12</f>
        <v>0</v>
      </c>
      <c r="AD153" s="45">
        <f>('[2]Renewable Diesel'!G162*'[2]RD Feedstock Breakdown'!AD$3*'[2]Feedstock Conversion Rates'!B$4)/12</f>
        <v>0</v>
      </c>
      <c r="AE153" s="45">
        <f>('[2]Renewable Diesel'!G162*'[2]RD Feedstock Breakdown'!AE$3*'[2]Feedstock Conversion Rates'!B$6)/12</f>
        <v>0</v>
      </c>
      <c r="AF153" s="47">
        <f t="shared" si="71"/>
        <v>0</v>
      </c>
      <c r="AG153" s="45">
        <f>26-26+30-30+50</f>
        <v>50</v>
      </c>
      <c r="AH153" s="45">
        <v>0</v>
      </c>
      <c r="AI153" s="45">
        <f>('[2]Renewable Diesel'!H162*'[2]RD Feedstock Breakdown'!AI$3*'[2]Feedstock Conversion Rates'!B$6)/12-17.5+17.5-26+26-30+30-50</f>
        <v>8.6250000000000071</v>
      </c>
      <c r="AJ153" s="47">
        <f t="shared" si="42"/>
        <v>58.625000000000007</v>
      </c>
      <c r="AK153" s="45">
        <f>('[2]Renewable Diesel'!J162*'[2]RD Feedstock Breakdown'!AK$3*'[2]Feedstock Conversion Rates'!B$4)/12</f>
        <v>95.8125</v>
      </c>
      <c r="AL153" s="47">
        <f t="shared" si="45"/>
        <v>95.8125</v>
      </c>
      <c r="AM153" s="45">
        <f>('[2]Renewable Diesel'!K162*'[2]RD Feedstock Breakdown'!AM$3*'[2]Feedstock Conversion Rates'!B$4)/12-40-10</f>
        <v>8.59375</v>
      </c>
      <c r="AN153" s="45">
        <f>('[2]Renewable Diesel'!K162*'[2]RD Feedstock Breakdown'!AN$3*'[2]Feedstock Conversion Rates'!B$6)/12+40+10</f>
        <v>74.427083333333329</v>
      </c>
      <c r="AO153" s="47">
        <f t="shared" si="56"/>
        <v>83.020833333333329</v>
      </c>
      <c r="AP153" s="45">
        <f>('[2]Renewable Diesel'!L162*'[2]RD Feedstock Breakdown'!AP$3*'[2]Feedstock Conversion Rates'!B$4)/12+15-5-40+10-20</f>
        <v>18.59375</v>
      </c>
      <c r="AQ153" s="45">
        <f>('[2]Renewable Diesel'!L162*'[2]RD Feedstock Breakdown'!AQ$3*'[2]Feedstock Conversion Rates'!B$6)/12-15+5+40-10+20</f>
        <v>64.427083333333329</v>
      </c>
      <c r="AR153" s="47">
        <f t="shared" si="46"/>
        <v>83.020833333333329</v>
      </c>
      <c r="AS153" s="45">
        <f>('[2]Renewable Diesel'!M162*'[2]RD Feedstock Breakdown'!AS$3*'[2]Feedstock Conversion Rates'!B$4)/12-59.5</f>
        <v>103</v>
      </c>
      <c r="AT153" s="45">
        <f>('[2]Renewable Diesel'!M162*'[2]RD Feedstock Breakdown'!AT$3*'[2]Feedstock Conversion Rates'!B$5)/12+59.5</f>
        <v>59.5</v>
      </c>
      <c r="AU153" s="47">
        <f t="shared" si="74"/>
        <v>162.5</v>
      </c>
      <c r="AV153" s="45">
        <f>'[2]Renewable Diesel'!N162*'[2]RD Feedstock Breakdown'!$AV$3*'[2]Feedstock Conversion Rates'!$B$4/12-15-10+25+25-22-75-6.5+50+25-75</f>
        <v>0.24999999999998579</v>
      </c>
      <c r="AW153" s="45">
        <f>'[2]Renewable Diesel'!N162*'[2]RD Feedstock Breakdown'!$AW$3*'[2]Feedstock Conversion Rates'!$B$7/12+15+10-25-25+22+75+6.5-50-25+75</f>
        <v>119.9</v>
      </c>
      <c r="AX153" s="47">
        <f t="shared" si="40"/>
        <v>120.14999999999999</v>
      </c>
      <c r="AY153" s="45">
        <f>('[2]Renewable Diesel'!O162*'[2]RD Feedstock Breakdown'!AY$3*'[2]Feedstock Conversion Rates'!B$4)/12+5-50</f>
        <v>22.5</v>
      </c>
      <c r="AZ153" s="45">
        <f>('[2]Renewable Diesel'!O162*'[2]RD Feedstock Breakdown'!AZ$3*'[2]Feedstock Conversion Rates'!B$3)/12-5+50</f>
        <v>53.01</v>
      </c>
      <c r="BA153" s="47">
        <f t="shared" si="43"/>
        <v>75.509999999999991</v>
      </c>
      <c r="BB153" s="45">
        <f>('[2]Renewable Diesel'!Q162*'[2]RD Feedstock Breakdown'!BB$3*'[2]Feedstock Conversion Rates'!B$4)/12</f>
        <v>0</v>
      </c>
      <c r="BC153" s="45">
        <f>('[2]Renewable Diesel'!Q162*'[2]RD Feedstock Breakdown'!BC$3*'[2]Feedstock Conversion Rates'!B$3)/12</f>
        <v>0</v>
      </c>
      <c r="BD153" s="45">
        <f>('[2]Renewable Diesel'!Q162*'[2]RD Feedstock Breakdown'!BD$3*'[2]Feedstock Conversion Rates'!B$6)/12</f>
        <v>0</v>
      </c>
      <c r="BE153" s="47">
        <f t="shared" si="64"/>
        <v>0</v>
      </c>
      <c r="BF153" s="45">
        <f>('[2]Renewable Diesel'!R162*'[2]RD Feedstock Breakdown'!BF$3*'[2]Feedstock Conversion Rates'!B$4)/12</f>
        <v>62.5</v>
      </c>
      <c r="BG153" s="47">
        <f t="shared" si="47"/>
        <v>62.5</v>
      </c>
      <c r="BH153" s="45">
        <f>('[2]Renewable Diesel'!T162*'[2]RD Feedstock Breakdown'!BH$3*'[2]Feedstock Conversion Rates'!B$7)/12</f>
        <v>27.599999999999998</v>
      </c>
      <c r="BI153" s="47">
        <f t="shared" si="41"/>
        <v>27.599999999999998</v>
      </c>
      <c r="BJ153" s="45">
        <f>('[2]Renewable Diesel'!W162*'[2]RD Feedstock Breakdown'!BJ$3*'[2]Feedstock Conversion Rates'!B$4)/12-7.5</f>
        <v>0</v>
      </c>
      <c r="BK153" s="45">
        <f>('[2]Renewable Diesel'!W162*'[2]RD Feedstock Breakdown'!BK$3*'[2]Feedstock Conversion Rates'!B$3)/12</f>
        <v>1.335</v>
      </c>
      <c r="BL153" s="45">
        <f>('[2]Renewable Diesel'!W162*'[2]RD Feedstock Breakdown'!BL$3*'[2]Feedstock Conversion Rates'!B$6)/12</f>
        <v>3.1266666666666669</v>
      </c>
      <c r="BM153" s="45">
        <f>('[2]Renewable Diesel'!W162*'[2]RD Feedstock Breakdown'!BM$3*'[2]Feedstock Conversion Rates'!B$7)/12+7.5</f>
        <v>9.0333333333333332</v>
      </c>
      <c r="BN153" s="47">
        <f t="shared" si="34"/>
        <v>13.495000000000001</v>
      </c>
      <c r="BO153" s="45">
        <f>('[2]Renewable Diesel'!P162*'[2]Feedstock Conversion Rates'!B$4)/12</f>
        <v>0</v>
      </c>
      <c r="BP153" s="47">
        <f t="shared" si="72"/>
        <v>0</v>
      </c>
      <c r="BQ153" s="45"/>
      <c r="BR153" s="45"/>
      <c r="BS153" s="47"/>
      <c r="BT153" s="47"/>
      <c r="BU153" s="45">
        <f>('[2]Renewable Diesel'!Y162*'[2]Feedstock Conversion Rates'!B$7)/12</f>
        <v>1.3416666666666666</v>
      </c>
      <c r="BV153" s="47">
        <f t="shared" si="67"/>
        <v>1.3416666666666666</v>
      </c>
      <c r="BW153" s="47"/>
      <c r="BX153" s="47"/>
      <c r="BY153" s="47"/>
      <c r="BZ153" s="47"/>
      <c r="CA153" s="47"/>
      <c r="CB153" s="45">
        <f>('[2]Renewable Diesel'!AA162*'[2]Feedstock Conversion Rates'!B$4)/12</f>
        <v>191.25</v>
      </c>
      <c r="CC153" s="47">
        <f>CB153</f>
        <v>191.25</v>
      </c>
      <c r="CD153" s="45">
        <f>('[2]Renewable Diesel'!$AB162*'[2]RD Feedstock Breakdown'!CD$3*'[2]Feedstock Conversion Rates'!$B$6)/12</f>
        <v>0</v>
      </c>
      <c r="CE153" s="45">
        <f>('[2]Renewable Diesel'!$AB162*'[2]RD Feedstock Breakdown'!CE$3*'[2]Feedstock Conversion Rates'!$B$4)/12</f>
        <v>0</v>
      </c>
      <c r="CF153" s="47">
        <f t="shared" si="76"/>
        <v>0</v>
      </c>
      <c r="CG153" s="45">
        <f>('[2]Renewable Diesel'!AD162*'[2]Feedstock Conversion Rates'!B$4)/12</f>
        <v>75.625</v>
      </c>
      <c r="CH153" s="47">
        <f t="shared" si="63"/>
        <v>75.625</v>
      </c>
      <c r="CI153" s="45">
        <f>('[2]Renewable Diesel'!$AE162*'[2]RD Feedstock Breakdown'!CI$3*'[2]Feedstock Conversion Rates'!$B$5)/12</f>
        <v>0.17302083333333332</v>
      </c>
      <c r="CJ153" s="45">
        <f>('[2]Renewable Diesel'!$AE162*'[2]RD Feedstock Breakdown'!CJ$3*'[2]Feedstock Conversion Rates'!$B$4)/12</f>
        <v>0.171875</v>
      </c>
      <c r="CK153" s="47">
        <f t="shared" si="73"/>
        <v>0.34489583333333329</v>
      </c>
      <c r="CL153" s="45">
        <f>(((CL$3*'[2]Renewable Diesel'!$AF162)*'[2]Feedstock Conversion Rates'!$B$3)/12)</f>
        <v>30.037499999999998</v>
      </c>
      <c r="CM153" s="45">
        <f>(((CM$3*'[2]Renewable Diesel'!$AF162)*'[2]Feedstock Conversion Rates'!$B$6)/12)</f>
        <v>17.587500000000002</v>
      </c>
      <c r="CN153" s="45">
        <f>(((CN$3*'[2]Renewable Diesel'!$AF162)*'[2]Feedstock Conversion Rates'!$B$4)/12)</f>
        <v>14.0625</v>
      </c>
      <c r="CO153" s="47">
        <f t="shared" si="65"/>
        <v>61.6875</v>
      </c>
      <c r="CP153" s="47"/>
      <c r="CQ153" s="47"/>
      <c r="CR153" s="47"/>
      <c r="CS153" s="47"/>
      <c r="CT153" s="45">
        <f>('[2]Renewable Diesel'!AI162*'[2]Feedstock Conversion Rates'!$B$4*'[2]RD Feedstock Breakdown'!$CT$3)/12</f>
        <v>0</v>
      </c>
      <c r="CU153" s="47">
        <f t="shared" si="69"/>
        <v>0</v>
      </c>
      <c r="CV153" s="47"/>
      <c r="CW153" s="47"/>
      <c r="CX153" s="47"/>
      <c r="CY153" s="47"/>
      <c r="CZ153" s="47"/>
      <c r="DA153" s="47"/>
      <c r="DB153" s="47"/>
      <c r="DC153" s="47"/>
      <c r="DD153" s="47"/>
      <c r="DE153" s="47"/>
      <c r="DF153" s="47"/>
      <c r="DG153" s="47"/>
      <c r="DH153" s="47"/>
      <c r="DI153" s="47"/>
      <c r="DJ153" s="45">
        <f>('[2]Renewable Diesel'!AT162*'[2]Feedstock Conversion Rates'!$B$4*0.25)/12</f>
        <v>0</v>
      </c>
      <c r="DK153" s="45">
        <f>('[2]Renewable Diesel'!$AT162*'[2]RD Feedstock Breakdown'!DK$3*'[2]Feedstock Conversion Rates'!$B$3)/12*0.5</f>
        <v>0</v>
      </c>
      <c r="DL153" s="45">
        <f>('[2]Renewable Diesel'!$AT162*'[2]RD Feedstock Breakdown'!$DL$3*'[2]Feedstock Conversion Rates'!$B$6)/12</f>
        <v>0</v>
      </c>
      <c r="DM153" s="45">
        <f>('[2]Renewable Diesel'!$AT162*'[2]RD Feedstock Breakdown'!$DM$3*'[2]Feedstock Conversion Rates'!$B$8)/12</f>
        <v>0</v>
      </c>
      <c r="DN153" s="47">
        <f>SUM(DJ153:DM153)</f>
        <v>0</v>
      </c>
      <c r="DP153" s="45">
        <f t="shared" si="48"/>
        <v>52.582499999999996</v>
      </c>
      <c r="DQ153" s="45">
        <f t="shared" si="49"/>
        <v>460.25315000000001</v>
      </c>
      <c r="DR153" s="45">
        <f t="shared" si="57"/>
        <v>592.359375</v>
      </c>
      <c r="DS153" s="45">
        <f t="shared" si="70"/>
        <v>349.67302083333334</v>
      </c>
      <c r="DT153" s="45">
        <f t="shared" si="50"/>
        <v>206.49848333333335</v>
      </c>
      <c r="DU153" s="45">
        <f t="shared" si="51"/>
        <v>373.20633333333336</v>
      </c>
      <c r="DV153" s="45">
        <f t="shared" si="58"/>
        <v>53.3046875</v>
      </c>
      <c r="DW153" s="45">
        <f t="shared" si="52"/>
        <v>2.5</v>
      </c>
      <c r="DX153" s="47">
        <f t="shared" si="53"/>
        <v>2090.3775500000002</v>
      </c>
      <c r="DY153" s="50">
        <f t="shared" si="54"/>
        <v>-5.1869619710487314E-13</v>
      </c>
      <c r="EA153" s="51">
        <f t="shared" si="35"/>
        <v>2.5154546842506988E-2</v>
      </c>
      <c r="EB153" s="51">
        <f t="shared" si="35"/>
        <v>0.22017704409425942</v>
      </c>
      <c r="EC153" s="51">
        <f t="shared" si="35"/>
        <v>0.28337434785405152</v>
      </c>
      <c r="ED153" s="51">
        <f t="shared" si="35"/>
        <v>0.16727744747992213</v>
      </c>
      <c r="EE153" s="51">
        <f t="shared" si="36"/>
        <v>9.8785256918461142E-2</v>
      </c>
      <c r="EF153" s="51">
        <f t="shared" si="36"/>
        <v>0.17853537191562996</v>
      </c>
      <c r="EG153" s="51">
        <f t="shared" si="36"/>
        <v>2.5500028690989336E-2</v>
      </c>
      <c r="EH153" s="52">
        <f t="shared" si="59"/>
        <v>1.1959562041794793E-3</v>
      </c>
      <c r="EI153" s="51">
        <f t="shared" si="60"/>
        <v>0.99880404379582055</v>
      </c>
      <c r="EK153" s="53">
        <f>(EA153*'[2]Renewable Diesel'!BF162*'[2]Feedstock Conversion Rates'!B$2)+FB153</f>
        <v>41.440825897249994</v>
      </c>
      <c r="EL153" s="53">
        <f>(EB153*'[2]Renewable Diesel'!BF162*'[2]Feedstock Conversion Rates'!B$3)+FC153</f>
        <v>341.82004853787788</v>
      </c>
      <c r="EM153" s="53">
        <f>(EC153*'[2]Renewable Diesel'!BF162*'[2]Feedstock Conversion Rates'!B$4)+FD153</f>
        <v>411.92179898778932</v>
      </c>
      <c r="EN153" s="53">
        <f>(ED153*'[2]Renewable Diesel'!BF162*'[2]Feedstock Conversion Rates'!B$5)+FE153</f>
        <v>244.78078485911661</v>
      </c>
      <c r="EO153" s="53">
        <f>(EE153*'[2]Renewable Diesel'!BF162*'[2]Feedstock Conversion Rates'!B$6)+FF153</f>
        <v>179.59239847118343</v>
      </c>
      <c r="EP153" s="53">
        <f>(EF153*'[2]Renewable Diesel'!BF162*'[2]Feedstock Conversion Rates'!B$7)+FG153</f>
        <v>318.35016433546832</v>
      </c>
      <c r="EQ153" s="53">
        <f>(EG153*'[2]Renewable Diesel'!BF162*'[2]Feedstock Conversion Rates'!B$8)+FH153</f>
        <v>46.334547270147297</v>
      </c>
      <c r="ER153" s="53">
        <f>(EH153*'[2]Renewable Diesel'!BF162*'[2]Feedstock Conversion Rates'!B$9)+FI153</f>
        <v>2.1441244405825155</v>
      </c>
      <c r="ES153" s="53">
        <f t="shared" si="61"/>
        <v>1586.3846927994155</v>
      </c>
      <c r="ET153" s="36">
        <f>ES153/'[2]Renewable Diesel'!BF162</f>
        <v>8.1849406041207722</v>
      </c>
    </row>
    <row r="154" spans="1:150" x14ac:dyDescent="0.25">
      <c r="A154" s="39">
        <v>45108</v>
      </c>
      <c r="B154" s="45">
        <f>23-20+10+85-5-4-4-1.25+2.25-5+15-6-25-45+65+15-22.5-50+40+16.5+27.5+168+80+14-30+15-50-19+22.5-10+5+11-25-50-12.5-27.5-10+10+2+4-1.5+12-26-15-50-15+10-32.5-3-5-2.5-1+10+5-50-35-9-0.5+25+15+25+20+15+85-25+12.5-52.5+10+20-150+20+30-15+50-75-10</f>
        <v>0</v>
      </c>
      <c r="C154" s="45">
        <f>40-10-2.5-27.5+25+25+25+30+20-90-35</f>
        <v>0</v>
      </c>
      <c r="D154" s="45">
        <f t="shared" si="68"/>
        <v>1.5</v>
      </c>
      <c r="E154" s="45">
        <f>('[2]Renewable Diesel'!B163*E$3*'[2]Feedstock Conversion Rates'!$B$2)/12-40+1.25+6-43+30-15+12.5-4+1.5+26+2.5+3-10+50+9-15-30-50</f>
        <v>24.679999999999993</v>
      </c>
      <c r="F154" s="45">
        <f>('[2]Renewable Diesel'!B163*'[2]RD Feedstock Breakdown'!F$3*'[2]Feedstock Conversion Rates'!B$8)/12+28.5-49-5+2-6+1+6+20-20-3.75+10+2.5+5-20-20+35</f>
        <v>40.15625</v>
      </c>
      <c r="G154" s="45">
        <f>('[2]Renewable Diesel'!B163*'[2]RD Feedstock Breakdown'!G$3*'[2]Feedstock Conversion Rates'!B$7)/12-25-15-25+4+4-20-40-20+10-17.5+20+50-12+32.5+35-75-75+22.5+5-20+15+100</f>
        <v>129.65700000000001</v>
      </c>
      <c r="H154" s="45">
        <f>('[2]Renewable Diesel'!B163*'[2]RD Feedstock Breakdown'!H$3*'[2]Feedstock Conversion Rates'!B$3)/12-85+4-15+70-65-80+50-22.5-5+25+27.5+15+50+15-10+5+50+75-5-25-85-12.5+30+22.5-25-30+151-26-50+75</f>
        <v>300.40022499999998</v>
      </c>
      <c r="I154" s="47">
        <f t="shared" si="75"/>
        <v>496.39347499999997</v>
      </c>
      <c r="J154" s="45">
        <f>120+40+59+10-15-1.75+7.5-2-15-25-75+25+2.5-7-1+15+20+25+15+20-217+17.5+2+37-56.75</f>
        <v>0</v>
      </c>
      <c r="K154" s="45">
        <v>190</v>
      </c>
      <c r="L154" s="45">
        <v>1</v>
      </c>
      <c r="M154" s="45">
        <f>('[2]Renewable Diesel'!C163*'[2]RD Feedstock Breakdown'!M$3*'[2]Feedstock Conversion Rates'!B$2)/12-15-40+2+117-25-2-37-50</f>
        <v>27.902500000000003</v>
      </c>
      <c r="N154" s="45">
        <f>('[2]Renewable Diesel'!C163*'[2]RD Feedstock Breakdown'!N$3*'[2]Feedstock Conversion Rates'!B$8)/12+1.75+7-15-20-5</f>
        <v>5.46875</v>
      </c>
      <c r="O154" s="45">
        <f>('[2]Renewable Diesel'!C163*'[2]RD Feedstock Breakdown'!O$3*'[2]Feedstock Conversion Rates'!B$7)/12+30-120+25-17.5+56.75-60</f>
        <v>34.240999999999985</v>
      </c>
      <c r="P154" s="45">
        <f>('[2]Renewable Diesel'!C163*'[2]RD Feedstock Breakdown'!P$3*'[2]Feedstock Conversion Rates'!B$3)/12-15-59-10+15-7.5+15+75-25-2.5-25-15-20+25+100-75</f>
        <v>80.470425000000034</v>
      </c>
      <c r="Q154" s="47">
        <f t="shared" si="66"/>
        <v>339.08267500000005</v>
      </c>
      <c r="R154" s="45">
        <f>('[2]Renewable Diesel'!D163*'[2]RD Feedstock Breakdown'!R$3*'[2]Feedstock Conversion Rates'!B$7)/12</f>
        <v>2.2999999999999998</v>
      </c>
      <c r="S154" s="47">
        <f t="shared" si="44"/>
        <v>2.2999999999999998</v>
      </c>
      <c r="T154" s="45">
        <f>15+10+5-30+35-10-3-22+20-20+50</f>
        <v>50</v>
      </c>
      <c r="U154" s="45">
        <v>0</v>
      </c>
      <c r="V154" s="45">
        <f>('[2]Renewable Diesel'!E163*'[2]RD Feedstock Breakdown'!V$3*'[2]Feedstock Conversion Rates'!B$6)/12-20-5-5+32.5-35+25-15+22+20-50</f>
        <v>13.750150000000012</v>
      </c>
      <c r="W154" s="45">
        <f>('[2]Renewable Diesel'!E163*'[2]RD Feedstock Breakdown'!W$3*'[2]Feedstock Conversion Rates'!B$8)/12-2.5+3-20</f>
        <v>2.6796875</v>
      </c>
      <c r="X154" s="47">
        <f t="shared" si="62"/>
        <v>66.429837500000019</v>
      </c>
      <c r="Y154" s="45">
        <f>30-30+50-20+20-2-35-13+7.5-5-2.5+15-15</f>
        <v>0</v>
      </c>
      <c r="Z154" s="45">
        <f>('[2]Renewable Diesel'!F163*'[2]RD Feedstock Breakdown'!Z$3*'[2]Feedstock Conversion Rates'!B$6)/12-30+20-20-7.5+2.5+15</f>
        <v>24.555000000000007</v>
      </c>
      <c r="AA154" s="45">
        <f>('[2]Renewable Diesel'!F163*'[2]RD Feedstock Breakdown'!AA$3*'[2]Feedstock Conversion Rates'!B$7)/12+30-50+2+35+13+5-15</f>
        <v>49.133333333333326</v>
      </c>
      <c r="AB154" s="47">
        <f t="shared" si="39"/>
        <v>73.688333333333333</v>
      </c>
      <c r="AC154" s="45">
        <f>('[2]Renewable Diesel'!G163*'[2]RD Feedstock Breakdown'!AC$3*'[2]Feedstock Conversion Rates'!B$5)/12</f>
        <v>0</v>
      </c>
      <c r="AD154" s="45">
        <f>('[2]Renewable Diesel'!G163*'[2]RD Feedstock Breakdown'!AD$3*'[2]Feedstock Conversion Rates'!B$4)/12</f>
        <v>0</v>
      </c>
      <c r="AE154" s="45">
        <f>('[2]Renewable Diesel'!G163*'[2]RD Feedstock Breakdown'!AE$3*'[2]Feedstock Conversion Rates'!B$6)/12</f>
        <v>0</v>
      </c>
      <c r="AF154" s="47">
        <f t="shared" si="71"/>
        <v>0</v>
      </c>
      <c r="AG154" s="45">
        <f>26-26+30-30+50</f>
        <v>50</v>
      </c>
      <c r="AH154" s="45">
        <v>0</v>
      </c>
      <c r="AI154" s="45">
        <f>('[2]Renewable Diesel'!H163*'[2]RD Feedstock Breakdown'!AI$3*'[2]Feedstock Conversion Rates'!B$6)/12-17.5+17.5-26+26-30+30-50</f>
        <v>8.6250000000000071</v>
      </c>
      <c r="AJ154" s="47">
        <f t="shared" si="42"/>
        <v>58.625000000000007</v>
      </c>
      <c r="AK154" s="45">
        <f>('[2]Renewable Diesel'!J163*'[2]RD Feedstock Breakdown'!AK$3*'[2]Feedstock Conversion Rates'!B$4)/12</f>
        <v>95.8125</v>
      </c>
      <c r="AL154" s="47">
        <f t="shared" si="45"/>
        <v>95.8125</v>
      </c>
      <c r="AM154" s="45">
        <f>('[2]Renewable Diesel'!K163*'[2]RD Feedstock Breakdown'!AM$3*'[2]Feedstock Conversion Rates'!B$4)/12-40-10</f>
        <v>8.59375</v>
      </c>
      <c r="AN154" s="45">
        <f>('[2]Renewable Diesel'!K163*'[2]RD Feedstock Breakdown'!AN$3*'[2]Feedstock Conversion Rates'!B$6)/12+40+10</f>
        <v>74.427083333333329</v>
      </c>
      <c r="AO154" s="47">
        <f t="shared" si="56"/>
        <v>83.020833333333329</v>
      </c>
      <c r="AP154" s="45">
        <f>('[2]Renewable Diesel'!L163*'[2]RD Feedstock Breakdown'!AP$3*'[2]Feedstock Conversion Rates'!B$4)/12+15-5-40+10-20</f>
        <v>18.59375</v>
      </c>
      <c r="AQ154" s="45">
        <f>('[2]Renewable Diesel'!L163*'[2]RD Feedstock Breakdown'!AQ$3*'[2]Feedstock Conversion Rates'!B$6)/12-15+5+40-10+20</f>
        <v>64.427083333333329</v>
      </c>
      <c r="AR154" s="47">
        <f t="shared" si="46"/>
        <v>83.020833333333329</v>
      </c>
      <c r="AS154" s="45">
        <f>('[2]Renewable Diesel'!M163*'[2]RD Feedstock Breakdown'!AS$3*'[2]Feedstock Conversion Rates'!B$4)/12-68</f>
        <v>94.5</v>
      </c>
      <c r="AT154" s="45">
        <f>('[2]Renewable Diesel'!M163*'[2]RD Feedstock Breakdown'!AT$3*'[2]Feedstock Conversion Rates'!B$5)/12+68</f>
        <v>68</v>
      </c>
      <c r="AU154" s="47">
        <f t="shared" si="74"/>
        <v>162.5</v>
      </c>
      <c r="AV154" s="45">
        <f>'[2]Renewable Diesel'!N163*'[2]RD Feedstock Breakdown'!$AV$3*'[2]Feedstock Conversion Rates'!$B$4/12-15-10+25+25-22-75-6.5+50+25-50</f>
        <v>25.249999999999986</v>
      </c>
      <c r="AW154" s="45">
        <f>'[2]Renewable Diesel'!N163*'[2]RD Feedstock Breakdown'!$AW$3*'[2]Feedstock Conversion Rates'!$B$7/12+15+10-25-25+22+75+6.5-50-25+50</f>
        <v>94.9</v>
      </c>
      <c r="AX154" s="47">
        <f t="shared" si="40"/>
        <v>120.14999999999999</v>
      </c>
      <c r="AY154" s="45">
        <f>('[2]Renewable Diesel'!O163*'[2]RD Feedstock Breakdown'!AY$3*'[2]Feedstock Conversion Rates'!B$4)/12+5-50</f>
        <v>22.5</v>
      </c>
      <c r="AZ154" s="45">
        <f>('[2]Renewable Diesel'!O163*'[2]RD Feedstock Breakdown'!AZ$3*'[2]Feedstock Conversion Rates'!B$3)/12-5+50</f>
        <v>53.01</v>
      </c>
      <c r="BA154" s="47">
        <f t="shared" si="43"/>
        <v>75.509999999999991</v>
      </c>
      <c r="BB154" s="45">
        <f>('[2]Renewable Diesel'!Q163*'[2]RD Feedstock Breakdown'!BB$3*'[2]Feedstock Conversion Rates'!B$4)/12</f>
        <v>0</v>
      </c>
      <c r="BC154" s="45">
        <f>('[2]Renewable Diesel'!Q163*'[2]RD Feedstock Breakdown'!BC$3*'[2]Feedstock Conversion Rates'!B$3)/12</f>
        <v>0</v>
      </c>
      <c r="BD154" s="45">
        <f>('[2]Renewable Diesel'!Q163*'[2]RD Feedstock Breakdown'!BD$3*'[2]Feedstock Conversion Rates'!B$6)/12</f>
        <v>0</v>
      </c>
      <c r="BE154" s="47">
        <f t="shared" si="64"/>
        <v>0</v>
      </c>
      <c r="BF154" s="45">
        <f>('[2]Renewable Diesel'!R163*'[2]RD Feedstock Breakdown'!BF$3*'[2]Feedstock Conversion Rates'!B$4)/12</f>
        <v>62.5</v>
      </c>
      <c r="BG154" s="47">
        <f t="shared" si="47"/>
        <v>62.5</v>
      </c>
      <c r="BH154" s="45">
        <f>('[2]Renewable Diesel'!T163*'[2]RD Feedstock Breakdown'!BH$3*'[2]Feedstock Conversion Rates'!B$7)/12</f>
        <v>27.599999999999998</v>
      </c>
      <c r="BI154" s="47">
        <f t="shared" si="41"/>
        <v>27.599999999999998</v>
      </c>
      <c r="BJ154" s="45">
        <f>('[2]Renewable Diesel'!W163*'[2]RD Feedstock Breakdown'!BJ$3*'[2]Feedstock Conversion Rates'!B$4)/12-7.5</f>
        <v>0</v>
      </c>
      <c r="BK154" s="45">
        <f>('[2]Renewable Diesel'!W163*'[2]RD Feedstock Breakdown'!BK$3*'[2]Feedstock Conversion Rates'!B$3)/12</f>
        <v>1.335</v>
      </c>
      <c r="BL154" s="45">
        <f>('[2]Renewable Diesel'!W163*'[2]RD Feedstock Breakdown'!BL$3*'[2]Feedstock Conversion Rates'!B$6)/12</f>
        <v>3.1266666666666669</v>
      </c>
      <c r="BM154" s="45">
        <f>('[2]Renewable Diesel'!W163*'[2]RD Feedstock Breakdown'!BM$3*'[2]Feedstock Conversion Rates'!B$7)/12+7.5</f>
        <v>9.0333333333333332</v>
      </c>
      <c r="BN154" s="47">
        <f t="shared" si="34"/>
        <v>13.495000000000001</v>
      </c>
      <c r="BO154" s="45">
        <f>('[2]Renewable Diesel'!P163*'[2]Feedstock Conversion Rates'!B$4)/12</f>
        <v>0</v>
      </c>
      <c r="BP154" s="47">
        <f t="shared" si="72"/>
        <v>0</v>
      </c>
      <c r="BQ154" s="45"/>
      <c r="BR154" s="45"/>
      <c r="BS154" s="47"/>
      <c r="BT154" s="47"/>
      <c r="BU154" s="45">
        <f>('[2]Renewable Diesel'!Y163*'[2]Feedstock Conversion Rates'!B$7)/12</f>
        <v>2.6833333333333331</v>
      </c>
      <c r="BV154" s="47">
        <f t="shared" si="67"/>
        <v>2.6833333333333331</v>
      </c>
      <c r="BW154" s="47"/>
      <c r="BX154" s="47"/>
      <c r="BY154" s="47"/>
      <c r="BZ154" s="47"/>
      <c r="CA154" s="47"/>
      <c r="CB154" s="45">
        <f>('[2]Renewable Diesel'!AA163*'[2]Feedstock Conversion Rates'!B$4)/12</f>
        <v>191.25</v>
      </c>
      <c r="CC154" s="47">
        <f>CB154</f>
        <v>191.25</v>
      </c>
      <c r="CD154" s="45">
        <f>('[2]Renewable Diesel'!$AB163*'[2]RD Feedstock Breakdown'!CD$3*'[2]Feedstock Conversion Rates'!$B$6)/12</f>
        <v>0</v>
      </c>
      <c r="CE154" s="45">
        <f>('[2]Renewable Diesel'!$AB163*'[2]RD Feedstock Breakdown'!CE$3*'[2]Feedstock Conversion Rates'!$B$4)/12</f>
        <v>0</v>
      </c>
      <c r="CF154" s="47">
        <f t="shared" si="76"/>
        <v>0</v>
      </c>
      <c r="CG154" s="45">
        <f>('[2]Renewable Diesel'!AD163*'[2]Feedstock Conversion Rates'!B$4)/12</f>
        <v>75.625</v>
      </c>
      <c r="CH154" s="47">
        <f t="shared" si="63"/>
        <v>75.625</v>
      </c>
      <c r="CI154" s="45">
        <f>('[2]Renewable Diesel'!$AE163*'[2]RD Feedstock Breakdown'!CI$3*'[2]Feedstock Conversion Rates'!$B$5)/12</f>
        <v>0.17302083333333332</v>
      </c>
      <c r="CJ154" s="45">
        <f>('[2]Renewable Diesel'!$AE163*'[2]RD Feedstock Breakdown'!CJ$3*'[2]Feedstock Conversion Rates'!$B$4)/12</f>
        <v>0.171875</v>
      </c>
      <c r="CK154" s="47">
        <f t="shared" si="73"/>
        <v>0.34489583333333329</v>
      </c>
      <c r="CL154" s="45">
        <f>(((CL$3*'[2]Renewable Diesel'!$AF163)*'[2]Feedstock Conversion Rates'!$B$3)/12)</f>
        <v>30.037499999999998</v>
      </c>
      <c r="CM154" s="45">
        <f>(((CM$3*'[2]Renewable Diesel'!$AF163)*'[2]Feedstock Conversion Rates'!$B$6)/12)</f>
        <v>17.587500000000002</v>
      </c>
      <c r="CN154" s="45">
        <f>(((CN$3*'[2]Renewable Diesel'!$AF163)*'[2]Feedstock Conversion Rates'!$B$4)/12)</f>
        <v>14.0625</v>
      </c>
      <c r="CO154" s="47">
        <f t="shared" si="65"/>
        <v>61.6875</v>
      </c>
      <c r="CP154" s="47"/>
      <c r="CQ154" s="47"/>
      <c r="CR154" s="47"/>
      <c r="CS154" s="47"/>
      <c r="CT154" s="45">
        <f>('[2]Renewable Diesel'!AI163*'[2]Feedstock Conversion Rates'!$B$4*'[2]RD Feedstock Breakdown'!$CT$3)/12</f>
        <v>0</v>
      </c>
      <c r="CU154" s="47">
        <f t="shared" si="69"/>
        <v>0</v>
      </c>
      <c r="CV154" s="47"/>
      <c r="CW154" s="47"/>
      <c r="CX154" s="47"/>
      <c r="CY154" s="47"/>
      <c r="CZ154" s="47"/>
      <c r="DA154" s="47"/>
      <c r="DB154" s="47"/>
      <c r="DC154" s="47"/>
      <c r="DD154" s="47"/>
      <c r="DE154" s="47"/>
      <c r="DF154" s="47"/>
      <c r="DG154" s="47"/>
      <c r="DH154" s="47"/>
      <c r="DI154" s="47"/>
      <c r="DJ154" s="45">
        <f>('[2]Renewable Diesel'!AT163*'[2]Feedstock Conversion Rates'!$B$4*0.25)/12</f>
        <v>0</v>
      </c>
      <c r="DK154" s="45">
        <f>('[2]Renewable Diesel'!$AT163*'[2]RD Feedstock Breakdown'!DK$3*'[2]Feedstock Conversion Rates'!$B$3)/12*0.5</f>
        <v>0</v>
      </c>
      <c r="DL154" s="45">
        <f>('[2]Renewable Diesel'!$AT163*'[2]RD Feedstock Breakdown'!$DL$3*'[2]Feedstock Conversion Rates'!$B$6)/12</f>
        <v>0</v>
      </c>
      <c r="DM154" s="45">
        <f>('[2]Renewable Diesel'!$AT163*'[2]RD Feedstock Breakdown'!$DM$3*'[2]Feedstock Conversion Rates'!$B$8)/12</f>
        <v>0</v>
      </c>
      <c r="DN154" s="47">
        <f t="shared" ref="DN154:DN217" si="77">SUM(DJ154:DM154)</f>
        <v>0</v>
      </c>
      <c r="DP154" s="45">
        <f t="shared" si="48"/>
        <v>52.582499999999996</v>
      </c>
      <c r="DQ154" s="45">
        <f t="shared" si="49"/>
        <v>465.25315000000001</v>
      </c>
      <c r="DR154" s="45">
        <f t="shared" si="57"/>
        <v>608.859375</v>
      </c>
      <c r="DS154" s="45">
        <f t="shared" si="70"/>
        <v>358.17302083333334</v>
      </c>
      <c r="DT154" s="45">
        <f t="shared" si="50"/>
        <v>206.49848333333335</v>
      </c>
      <c r="DU154" s="45">
        <f t="shared" si="51"/>
        <v>349.54800000000006</v>
      </c>
      <c r="DV154" s="45">
        <f t="shared" si="58"/>
        <v>48.3046875</v>
      </c>
      <c r="DW154" s="45">
        <f t="shared" si="52"/>
        <v>2.5</v>
      </c>
      <c r="DX154" s="47">
        <f t="shared" si="53"/>
        <v>2091.7192166666664</v>
      </c>
      <c r="DY154" s="50">
        <f t="shared" si="54"/>
        <v>-6.3948846218409017E-14</v>
      </c>
      <c r="EA154" s="51">
        <f t="shared" si="35"/>
        <v>2.513841225965056E-2</v>
      </c>
      <c r="EB154" s="51">
        <f t="shared" si="35"/>
        <v>0.2224261967346749</v>
      </c>
      <c r="EC154" s="51">
        <f t="shared" si="35"/>
        <v>0.29108083443927502</v>
      </c>
      <c r="ED154" s="51">
        <f t="shared" si="35"/>
        <v>0.1712337956162743</v>
      </c>
      <c r="EE154" s="51">
        <f t="shared" si="36"/>
        <v>9.8721894261891596E-2</v>
      </c>
      <c r="EF154" s="51">
        <f t="shared" si="36"/>
        <v>0.16711038327459396</v>
      </c>
      <c r="EG154" s="51">
        <f t="shared" si="36"/>
        <v>2.3093294317474242E-2</v>
      </c>
      <c r="EH154" s="52">
        <f t="shared" si="59"/>
        <v>1.1951890961655761E-3</v>
      </c>
      <c r="EI154" s="51">
        <f t="shared" si="60"/>
        <v>0.99880481090383444</v>
      </c>
      <c r="EK154" s="53">
        <f>(EA154*'[2]Renewable Diesel'!BF163*'[2]Feedstock Conversion Rates'!B$2)+FB154</f>
        <v>38.489662378712509</v>
      </c>
      <c r="EL154" s="53">
        <f>(EB154*'[2]Renewable Diesel'!BF163*'[2]Feedstock Conversion Rates'!B$3)+FC154</f>
        <v>320.92665067991476</v>
      </c>
      <c r="EM154" s="53">
        <f>(EC154*'[2]Renewable Diesel'!BF163*'[2]Feedstock Conversion Rates'!B$4)+FD154</f>
        <v>393.24409171912902</v>
      </c>
      <c r="EN154" s="53">
        <f>(ED154*'[2]Renewable Diesel'!BF163*'[2]Feedstock Conversion Rates'!B$5)+FE154</f>
        <v>232.87548199057764</v>
      </c>
      <c r="EO154" s="53">
        <f>(EE154*'[2]Renewable Diesel'!BF163*'[2]Feedstock Conversion Rates'!B$6)+FF154</f>
        <v>166.8029203876886</v>
      </c>
      <c r="EP154" s="53">
        <f>(EF154*'[2]Renewable Diesel'!BF163*'[2]Feedstock Conversion Rates'!B$7)+FG154</f>
        <v>276.93547662618391</v>
      </c>
      <c r="EQ154" s="53">
        <f>(EG154*'[2]Renewable Diesel'!BF163*'[2]Feedstock Conversion Rates'!B$8)+FH154</f>
        <v>38.998194290992615</v>
      </c>
      <c r="ER154" s="53">
        <f>(EH154*'[2]Renewable Diesel'!BF163*'[2]Feedstock Conversion Rates'!B$9)+FI154</f>
        <v>1.9914329415293657</v>
      </c>
      <c r="ES154" s="53">
        <f t="shared" si="61"/>
        <v>1470.2639110147286</v>
      </c>
      <c r="ET154" s="36">
        <f>ES154/'[2]Renewable Diesel'!BF163</f>
        <v>8.1622137829178705</v>
      </c>
    </row>
    <row r="155" spans="1:150" x14ac:dyDescent="0.25">
      <c r="A155" s="39">
        <v>45139</v>
      </c>
      <c r="B155" s="45">
        <f>23-20+10+85-5-4-4-1.25+2.25-5+15-6-25-45+65+15-22.5-50+40+16.5+27.5+168+80+14-30+15-50-19+22.5-10+5+11-25-50-12.5-27.5-10+10+2+4-1.5+12-26-15-50-15+10-32.5-3-5-2.5-1+10-50-35-4-0.5+25+20+25+20+15+85-25+12.5-52.5+10+20-155+20-15+50-50</f>
        <v>5</v>
      </c>
      <c r="C155" s="45">
        <f>40-10-2.5-27.5+25+25+25+25+25-125</f>
        <v>0</v>
      </c>
      <c r="D155" s="45">
        <f t="shared" si="68"/>
        <v>1.5</v>
      </c>
      <c r="E155" s="45">
        <f>('[2]Renewable Diesel'!B164*E$3*'[2]Feedstock Conversion Rates'!$B$2)/12-40+1.25+6-43+30-15+12.5-4+1.5+26+2.5+3-10+50+4-15-25-50</f>
        <v>24.679999999999993</v>
      </c>
      <c r="F155" s="45">
        <f>('[2]Renewable Diesel'!B164*'[2]RD Feedstock Breakdown'!F$3*'[2]Feedstock Conversion Rates'!B$8)/12+28.5-49-5+2-6+1+6+20-20-3.75+10+2.5+5-20-20</f>
        <v>5.15625</v>
      </c>
      <c r="G155" s="45">
        <f>('[2]Renewable Diesel'!B164*'[2]RD Feedstock Breakdown'!G$3*'[2]Feedstock Conversion Rates'!B$7)/12-25-15-25+4+4-20-40-20+10-17.5+20+50-12+32.5+35-75-75+22.5+5-20+15+125</f>
        <v>154.65700000000001</v>
      </c>
      <c r="H155" s="45">
        <f>('[2]Renewable Diesel'!B164*'[2]RD Feedstock Breakdown'!H$3*'[2]Feedstock Conversion Rates'!B$3)/12-85+4-15+70-65-80+50-22.5-5+25+27.5+15+50+15-10+5+50+75-5-25-85-12.5+30+22.5-25-30+150-20-25+50</f>
        <v>305.40022499999998</v>
      </c>
      <c r="I155" s="47">
        <f t="shared" si="75"/>
        <v>496.39347499999997</v>
      </c>
      <c r="J155" s="45">
        <f>120+40+59+10-15-1.75+7.5-2-15-25-75+25+2.5-7-1+15+20+25+15+20-217+17.5+2+37</f>
        <v>56.75</v>
      </c>
      <c r="K155" s="45"/>
      <c r="L155" s="45">
        <v>1</v>
      </c>
      <c r="M155" s="45">
        <f>('[2]Renewable Diesel'!C164*'[2]RD Feedstock Breakdown'!M$3*'[2]Feedstock Conversion Rates'!B$2)/12-15-40+2+117-25-2-37</f>
        <v>77.902500000000003</v>
      </c>
      <c r="N155" s="45">
        <f>('[2]Renewable Diesel'!C164*'[2]RD Feedstock Breakdown'!N$3*'[2]Feedstock Conversion Rates'!B$8)/12+1.75+7-15-20</f>
        <v>10.46875</v>
      </c>
      <c r="O155" s="45">
        <f>('[2]Renewable Diesel'!C164*'[2]RD Feedstock Breakdown'!O$3*'[2]Feedstock Conversion Rates'!B$7)/12+30-120+25-17.5</f>
        <v>37.490999999999985</v>
      </c>
      <c r="P155" s="45">
        <f>('[2]Renewable Diesel'!C164*'[2]RD Feedstock Breakdown'!P$3*'[2]Feedstock Conversion Rates'!B$3)/12-15-59-10+15-7.5+15+75-25-2.5-25-15-20+25+100</f>
        <v>155.47042500000003</v>
      </c>
      <c r="Q155" s="47">
        <f t="shared" si="66"/>
        <v>339.08267499999999</v>
      </c>
      <c r="R155" s="45">
        <f>('[2]Renewable Diesel'!D164*'[2]RD Feedstock Breakdown'!R$3*'[2]Feedstock Conversion Rates'!B$7)/12</f>
        <v>2.2999999999999998</v>
      </c>
      <c r="S155" s="47">
        <f t="shared" si="44"/>
        <v>2.2999999999999998</v>
      </c>
      <c r="T155" s="45">
        <f>15+10+5-30+35-10-3-22+20-20</f>
        <v>0</v>
      </c>
      <c r="U155" s="45">
        <v>0</v>
      </c>
      <c r="V155" s="45">
        <f>('[2]Renewable Diesel'!E164*'[2]RD Feedstock Breakdown'!V$3*'[2]Feedstock Conversion Rates'!B$6)/12-20-5-5+32.5-35+25-15+22+20</f>
        <v>63.750150000000012</v>
      </c>
      <c r="W155" s="45">
        <f>('[2]Renewable Diesel'!E164*'[2]RD Feedstock Breakdown'!W$3*'[2]Feedstock Conversion Rates'!B$8)/12-2.5+3-20</f>
        <v>2.6796875</v>
      </c>
      <c r="X155" s="47">
        <f t="shared" si="62"/>
        <v>66.429837500000019</v>
      </c>
      <c r="Y155" s="45">
        <f>30-30+50-20+20-2-35-13+7.5-5-2.5</f>
        <v>0</v>
      </c>
      <c r="Z155" s="45">
        <f>('[2]Renewable Diesel'!F164*'[2]RD Feedstock Breakdown'!Z$3*'[2]Feedstock Conversion Rates'!B$6)/12-30+20-20-7.5+2.5+15</f>
        <v>24.555000000000007</v>
      </c>
      <c r="AA155" s="45">
        <f>('[2]Renewable Diesel'!F164*'[2]RD Feedstock Breakdown'!AA$3*'[2]Feedstock Conversion Rates'!B$7)/12+30-50+2+35+13+5-15</f>
        <v>49.133333333333326</v>
      </c>
      <c r="AB155" s="47">
        <f t="shared" si="39"/>
        <v>73.688333333333333</v>
      </c>
      <c r="AC155" s="45">
        <f>('[2]Renewable Diesel'!G164*'[2]RD Feedstock Breakdown'!AC$3*'[2]Feedstock Conversion Rates'!B$5)/12</f>
        <v>0</v>
      </c>
      <c r="AD155" s="45">
        <f>('[2]Renewable Diesel'!G164*'[2]RD Feedstock Breakdown'!AD$3*'[2]Feedstock Conversion Rates'!B$4)/12</f>
        <v>0</v>
      </c>
      <c r="AE155" s="45">
        <f>('[2]Renewable Diesel'!G164*'[2]RD Feedstock Breakdown'!AE$3*'[2]Feedstock Conversion Rates'!B$6)/12</f>
        <v>0</v>
      </c>
      <c r="AF155" s="47">
        <f t="shared" si="71"/>
        <v>0</v>
      </c>
      <c r="AG155" s="45">
        <f>26-26</f>
        <v>0</v>
      </c>
      <c r="AH155" s="45">
        <v>0</v>
      </c>
      <c r="AI155" s="45">
        <f>('[2]Renewable Diesel'!H164*'[2]RD Feedstock Breakdown'!AI$3*'[2]Feedstock Conversion Rates'!B$6)/12-17.5+17.5-26+26</f>
        <v>58.625000000000007</v>
      </c>
      <c r="AJ155" s="47">
        <f t="shared" si="42"/>
        <v>58.625000000000007</v>
      </c>
      <c r="AK155" s="45">
        <f>('[2]Renewable Diesel'!J164*'[2]RD Feedstock Breakdown'!AK$3*'[2]Feedstock Conversion Rates'!B$4)/12</f>
        <v>95.8125</v>
      </c>
      <c r="AL155" s="47">
        <f t="shared" si="45"/>
        <v>95.8125</v>
      </c>
      <c r="AM155" s="45">
        <f>('[2]Renewable Diesel'!K164*'[2]RD Feedstock Breakdown'!AM$3*'[2]Feedstock Conversion Rates'!B$4)/12-40-10</f>
        <v>8.59375</v>
      </c>
      <c r="AN155" s="45">
        <f>('[2]Renewable Diesel'!K164*'[2]RD Feedstock Breakdown'!AN$3*'[2]Feedstock Conversion Rates'!B$6)/12+40+10</f>
        <v>74.427083333333329</v>
      </c>
      <c r="AO155" s="47">
        <f t="shared" si="56"/>
        <v>83.020833333333329</v>
      </c>
      <c r="AP155" s="45">
        <f>('[2]Renewable Diesel'!L164*'[2]RD Feedstock Breakdown'!AP$3*'[2]Feedstock Conversion Rates'!B$4)/12+15-5-40+10-20</f>
        <v>18.59375</v>
      </c>
      <c r="AQ155" s="45">
        <f>('[2]Renewable Diesel'!L164*'[2]RD Feedstock Breakdown'!AQ$3*'[2]Feedstock Conversion Rates'!B$6)/12-15+5+40-10+20</f>
        <v>64.427083333333329</v>
      </c>
      <c r="AR155" s="47">
        <f t="shared" si="46"/>
        <v>83.020833333333329</v>
      </c>
      <c r="AS155" s="45">
        <f>('[2]Renewable Diesel'!M164*'[2]RD Feedstock Breakdown'!AS$3*'[2]Feedstock Conversion Rates'!B$4)/12</f>
        <v>162.5</v>
      </c>
      <c r="AT155" s="45">
        <f>('[2]Renewable Diesel'!M164*'[2]RD Feedstock Breakdown'!AT$3*'[2]Feedstock Conversion Rates'!B$5)/12</f>
        <v>0</v>
      </c>
      <c r="AU155" s="47">
        <f t="shared" si="74"/>
        <v>162.5</v>
      </c>
      <c r="AV155" s="45">
        <f>'[2]Renewable Diesel'!N164*'[2]RD Feedstock Breakdown'!$AV$3*'[2]Feedstock Conversion Rates'!$B$4/12-15-10+25+25-22-75-6.5+50+25</f>
        <v>75.249999999999986</v>
      </c>
      <c r="AW155" s="45">
        <f>'[2]Renewable Diesel'!N164*'[2]RD Feedstock Breakdown'!$AW$3*'[2]Feedstock Conversion Rates'!$B$7/12+15+10-25-25+22+75+6.5-50-25</f>
        <v>44.900000000000006</v>
      </c>
      <c r="AX155" s="47">
        <f t="shared" si="40"/>
        <v>120.14999999999999</v>
      </c>
      <c r="AY155" s="45">
        <f>('[2]Renewable Diesel'!O164*'[2]RD Feedstock Breakdown'!AY$3*'[2]Feedstock Conversion Rates'!B$4)/12+5-50</f>
        <v>22.5</v>
      </c>
      <c r="AZ155" s="45">
        <f>('[2]Renewable Diesel'!O164*'[2]RD Feedstock Breakdown'!AZ$3*'[2]Feedstock Conversion Rates'!B$3)/12-5+50</f>
        <v>53.01</v>
      </c>
      <c r="BA155" s="47">
        <f t="shared" si="43"/>
        <v>75.509999999999991</v>
      </c>
      <c r="BB155" s="45">
        <f>('[2]Renewable Diesel'!Q164*'[2]RD Feedstock Breakdown'!BB$3*'[2]Feedstock Conversion Rates'!B$4)/12</f>
        <v>0</v>
      </c>
      <c r="BC155" s="45">
        <f>('[2]Renewable Diesel'!Q164*'[2]RD Feedstock Breakdown'!BC$3*'[2]Feedstock Conversion Rates'!B$3)/12</f>
        <v>0</v>
      </c>
      <c r="BD155" s="45">
        <f>('[2]Renewable Diesel'!Q164*'[2]RD Feedstock Breakdown'!BD$3*'[2]Feedstock Conversion Rates'!B$6)/12</f>
        <v>0</v>
      </c>
      <c r="BE155" s="47">
        <f t="shared" si="64"/>
        <v>0</v>
      </c>
      <c r="BF155" s="45">
        <f>('[2]Renewable Diesel'!R164*'[2]RD Feedstock Breakdown'!BF$3*'[2]Feedstock Conversion Rates'!B$4)/12</f>
        <v>62.5</v>
      </c>
      <c r="BG155" s="47">
        <f t="shared" si="47"/>
        <v>62.5</v>
      </c>
      <c r="BH155" s="45">
        <f>('[2]Renewable Diesel'!T164*'[2]RD Feedstock Breakdown'!BH$3*'[2]Feedstock Conversion Rates'!B$7)/12</f>
        <v>27.599999999999998</v>
      </c>
      <c r="BI155" s="47">
        <f t="shared" si="41"/>
        <v>27.599999999999998</v>
      </c>
      <c r="BJ155" s="45">
        <f>('[2]Renewable Diesel'!W164*'[2]RD Feedstock Breakdown'!BJ$3*'[2]Feedstock Conversion Rates'!B$4)/12-7.5</f>
        <v>0</v>
      </c>
      <c r="BK155" s="45">
        <f>('[2]Renewable Diesel'!W164*'[2]RD Feedstock Breakdown'!BK$3*'[2]Feedstock Conversion Rates'!B$3)/12</f>
        <v>1.335</v>
      </c>
      <c r="BL155" s="45">
        <f>('[2]Renewable Diesel'!W164*'[2]RD Feedstock Breakdown'!BL$3*'[2]Feedstock Conversion Rates'!B$6)/12</f>
        <v>3.1266666666666669</v>
      </c>
      <c r="BM155" s="45">
        <f>('[2]Renewable Diesel'!W164*'[2]RD Feedstock Breakdown'!BM$3*'[2]Feedstock Conversion Rates'!B$7)/12+7.5</f>
        <v>9.0333333333333332</v>
      </c>
      <c r="BN155" s="47">
        <f t="shared" si="34"/>
        <v>13.495000000000001</v>
      </c>
      <c r="BO155" s="45">
        <f>('[2]Renewable Diesel'!P164*'[2]Feedstock Conversion Rates'!B$4)/12</f>
        <v>0</v>
      </c>
      <c r="BP155" s="47">
        <f t="shared" si="72"/>
        <v>0</v>
      </c>
      <c r="BQ155" s="45"/>
      <c r="BR155" s="45"/>
      <c r="BS155" s="47"/>
      <c r="BT155" s="47"/>
      <c r="BU155" s="45">
        <f>('[2]Renewable Diesel'!Y164*'[2]Feedstock Conversion Rates'!B$7)/12</f>
        <v>2.6833333333333331</v>
      </c>
      <c r="BV155" s="47">
        <f t="shared" si="67"/>
        <v>2.6833333333333331</v>
      </c>
      <c r="BW155" s="47"/>
      <c r="BX155" s="47"/>
      <c r="BY155" s="47"/>
      <c r="BZ155" s="47"/>
      <c r="CA155" s="47"/>
      <c r="CB155" s="45">
        <f>('[2]Renewable Diesel'!AA164*'[2]Feedstock Conversion Rates'!B$4)/12</f>
        <v>191.25</v>
      </c>
      <c r="CC155" s="47">
        <f>CB155</f>
        <v>191.25</v>
      </c>
      <c r="CD155" s="45">
        <f>('[2]Renewable Diesel'!$AB164*'[2]RD Feedstock Breakdown'!CD$3*'[2]Feedstock Conversion Rates'!$B$6)/12</f>
        <v>0</v>
      </c>
      <c r="CE155" s="45">
        <f>('[2]Renewable Diesel'!$AB164*'[2]RD Feedstock Breakdown'!CE$3*'[2]Feedstock Conversion Rates'!$B$4)/12</f>
        <v>0</v>
      </c>
      <c r="CF155" s="47">
        <f t="shared" si="76"/>
        <v>0</v>
      </c>
      <c r="CG155" s="45">
        <f>('[2]Renewable Diesel'!AD164*'[2]Feedstock Conversion Rates'!B$4)/12</f>
        <v>75.625</v>
      </c>
      <c r="CH155" s="47">
        <f t="shared" si="63"/>
        <v>75.625</v>
      </c>
      <c r="CI155" s="45">
        <f>('[2]Renewable Diesel'!$AE164*'[2]RD Feedstock Breakdown'!CI$3*'[2]Feedstock Conversion Rates'!$B$5)/12</f>
        <v>0.17302083333333332</v>
      </c>
      <c r="CJ155" s="45">
        <f>('[2]Renewable Diesel'!$AE164*'[2]RD Feedstock Breakdown'!CJ$3*'[2]Feedstock Conversion Rates'!$B$4)/12</f>
        <v>0.171875</v>
      </c>
      <c r="CK155" s="47">
        <f t="shared" si="73"/>
        <v>0.34489583333333329</v>
      </c>
      <c r="CL155" s="45">
        <f>(((CL$3*'[2]Renewable Diesel'!$AF164)*'[2]Feedstock Conversion Rates'!$B$3)/12)</f>
        <v>30.037499999999998</v>
      </c>
      <c r="CM155" s="45">
        <f>(((CM$3*'[2]Renewable Diesel'!$AF164)*'[2]Feedstock Conversion Rates'!$B$6)/12)</f>
        <v>17.587500000000002</v>
      </c>
      <c r="CN155" s="45">
        <f>(((CN$3*'[2]Renewable Diesel'!$AF164)*'[2]Feedstock Conversion Rates'!$B$4)/12)</f>
        <v>14.0625</v>
      </c>
      <c r="CO155" s="47">
        <f t="shared" si="65"/>
        <v>61.6875</v>
      </c>
      <c r="CP155" s="47"/>
      <c r="CQ155" s="47"/>
      <c r="CR155" s="47"/>
      <c r="CS155" s="47"/>
      <c r="CT155" s="45">
        <f>('[2]Renewable Diesel'!AI164*'[2]Feedstock Conversion Rates'!$B$4*'[2]RD Feedstock Breakdown'!$CT$3)/12</f>
        <v>6.25</v>
      </c>
      <c r="CU155" s="47">
        <f t="shared" si="69"/>
        <v>6.25</v>
      </c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  <c r="DI155" s="47"/>
      <c r="DJ155" s="45">
        <f>('[2]Renewable Diesel'!AT164*'[2]Feedstock Conversion Rates'!$B$4*0.25)/12</f>
        <v>0</v>
      </c>
      <c r="DK155" s="45">
        <f>('[2]Renewable Diesel'!$AT164*'[2]RD Feedstock Breakdown'!DK$3*'[2]Feedstock Conversion Rates'!$B$3)/12*0.5</f>
        <v>0</v>
      </c>
      <c r="DL155" s="45">
        <f>('[2]Renewable Diesel'!$AT164*'[2]RD Feedstock Breakdown'!$DL$3*'[2]Feedstock Conversion Rates'!$B$6)/12</f>
        <v>0</v>
      </c>
      <c r="DM155" s="45">
        <f>('[2]Renewable Diesel'!$AT164*'[2]RD Feedstock Breakdown'!$DM$3*'[2]Feedstock Conversion Rates'!$B$8)/12</f>
        <v>0</v>
      </c>
      <c r="DN155" s="47">
        <f t="shared" si="77"/>
        <v>0</v>
      </c>
      <c r="DP155" s="45">
        <f t="shared" si="48"/>
        <v>102.5825</v>
      </c>
      <c r="DQ155" s="45">
        <f t="shared" si="49"/>
        <v>545.25315000000012</v>
      </c>
      <c r="DR155" s="45">
        <f t="shared" si="57"/>
        <v>794.859375</v>
      </c>
      <c r="DS155" s="45">
        <f t="shared" si="70"/>
        <v>0.17302083333333332</v>
      </c>
      <c r="DT155" s="45">
        <f t="shared" si="50"/>
        <v>306.4984833333333</v>
      </c>
      <c r="DU155" s="45">
        <f t="shared" si="51"/>
        <v>327.79800000000006</v>
      </c>
      <c r="DV155" s="45">
        <f t="shared" si="58"/>
        <v>18.3046875</v>
      </c>
      <c r="DW155" s="45">
        <f t="shared" si="52"/>
        <v>2.5</v>
      </c>
      <c r="DX155" s="47">
        <f t="shared" si="53"/>
        <v>2097.9692166666669</v>
      </c>
      <c r="DY155" s="50">
        <f t="shared" si="54"/>
        <v>-5.1159076974727213E-13</v>
      </c>
      <c r="EA155" s="51">
        <f t="shared" si="35"/>
        <v>4.8896093987016151E-2</v>
      </c>
      <c r="EB155" s="51">
        <f t="shared" si="35"/>
        <v>0.25989568658510587</v>
      </c>
      <c r="EC155" s="51">
        <f t="shared" si="35"/>
        <v>0.37887084742973626</v>
      </c>
      <c r="ED155" s="51">
        <f t="shared" si="35"/>
        <v>8.2470625383262484E-5</v>
      </c>
      <c r="EE155" s="51">
        <f t="shared" si="36"/>
        <v>0.14609293639699333</v>
      </c>
      <c r="EF155" s="51">
        <f t="shared" si="36"/>
        <v>0.15624538119811784</v>
      </c>
      <c r="EG155" s="51">
        <f t="shared" si="36"/>
        <v>8.724955235083565E-3</v>
      </c>
      <c r="EH155" s="52">
        <f t="shared" si="59"/>
        <v>1.1916285425636964E-3</v>
      </c>
      <c r="EI155" s="51">
        <f t="shared" si="60"/>
        <v>0.99880837145743628</v>
      </c>
      <c r="EK155" s="53">
        <f>(EA155*'[2]Renewable Diesel'!BF164*'[2]Feedstock Conversion Rates'!B$2)+FB155</f>
        <v>95.775302037441691</v>
      </c>
      <c r="EL155" s="53">
        <f>(EB155*'[2]Renewable Diesel'!BF164*'[2]Feedstock Conversion Rates'!B$3)+FC155</f>
        <v>479.72463928025024</v>
      </c>
      <c r="EM155" s="53">
        <f>(EC155*'[2]Renewable Diesel'!BF164*'[2]Feedstock Conversion Rates'!B$4)+FD155</f>
        <v>654.80636146158236</v>
      </c>
      <c r="EN155" s="53">
        <f>(ED155*'[2]Renewable Diesel'!BF164*'[2]Feedstock Conversion Rates'!B$5)+FE155</f>
        <v>0.14348505769455283</v>
      </c>
      <c r="EO155" s="53">
        <f>(EE155*'[2]Renewable Diesel'!BF164*'[2]Feedstock Conversion Rates'!B$6)+FF155</f>
        <v>315.78572490974909</v>
      </c>
      <c r="EP155" s="53">
        <f>(EF155*'[2]Renewable Diesel'!BF164*'[2]Feedstock Conversion Rates'!B$7)+FG155</f>
        <v>331.24966861034687</v>
      </c>
      <c r="EQ155" s="53">
        <f>(EG155*'[2]Renewable Diesel'!BF164*'[2]Feedstock Conversion Rates'!B$8)+FH155</f>
        <v>18.849286736358728</v>
      </c>
      <c r="ER155" s="53">
        <f>(EH155*'[2]Renewable Diesel'!BF164*'[2]Feedstock Conversion Rates'!B$9)+FI155</f>
        <v>2.5400546872498198</v>
      </c>
      <c r="ES155" s="53">
        <f t="shared" si="61"/>
        <v>1898.8745227806733</v>
      </c>
      <c r="ET155" s="36">
        <f>ES155/'[2]Renewable Diesel'!BF164</f>
        <v>8.2401635271551044</v>
      </c>
    </row>
    <row r="156" spans="1:150" x14ac:dyDescent="0.25">
      <c r="A156" s="39">
        <v>45170</v>
      </c>
      <c r="B156" s="45">
        <f>23-20+10+85-5-4-4-1.25+2.25-5+15-6-25-45+65+15-22.5-50+40+16.5+27.5+168+80+14-30+15-50-19+22.5-10+5+11-25-50-12.5-27.5-10+10+2+4-1.5+12-26-15-50-15+10-32.5-3-5-2.5-1+5+10-50-35-9-0.5+25+15+25+20+15+85-25+12.5-52.5+10+20-150+20-20+55-25-25</f>
        <v>5</v>
      </c>
      <c r="C156" s="45">
        <f>40-10-2.5-27.5+25+25+25-70+120-15-100</f>
        <v>10</v>
      </c>
      <c r="D156" s="45">
        <f t="shared" si="68"/>
        <v>1.5</v>
      </c>
      <c r="E156" s="45">
        <f>('[2]Renewable Diesel'!B165*E$3*'[2]Feedstock Conversion Rates'!$B$2)/12-40+1.25+6-43+30-15+12.5-4+1.5+26+2.5+3-10+50+9-15-25-55</f>
        <v>24.679999999999993</v>
      </c>
      <c r="F156" s="45">
        <f>('[2]Renewable Diesel'!B165*'[2]RD Feedstock Breakdown'!F$3*'[2]Feedstock Conversion Rates'!B$8)/12+28.5-49-5+2-6+1+6+20-20-3.75+10+2.5+5-20-20</f>
        <v>5.15625</v>
      </c>
      <c r="G156" s="45">
        <f>('[2]Renewable Diesel'!B165*'[2]RD Feedstock Breakdown'!G$3*'[2]Feedstock Conversion Rates'!B$7)/12-25-15-25+4+4-20-40-20+10-17.5+20+50-12+32.5+35-75-75+22.5+5-20+15+125</f>
        <v>154.65700000000001</v>
      </c>
      <c r="H156" s="45">
        <f>('[2]Renewable Diesel'!B165*'[2]RD Feedstock Breakdown'!H$3*'[2]Feedstock Conversion Rates'!B$3)/12-85+4-15+70-65-80+50-22.5-5+25+27.5+15+50+15-10+5+50+75-5-25-85-12.5+30+22.5-25-30+150+90-120+25</f>
        <v>295.40022499999998</v>
      </c>
      <c r="I156" s="47">
        <f t="shared" si="75"/>
        <v>496.39347499999997</v>
      </c>
      <c r="J156" s="45">
        <f>120+40+59+10-15-1.75+7.5-2-15-25-75+25+2.5-7-1+15+20+25+15+20-217+17.5+2+37</f>
        <v>56.75</v>
      </c>
      <c r="K156" s="45"/>
      <c r="L156" s="45">
        <v>1</v>
      </c>
      <c r="M156" s="45">
        <f>('[2]Renewable Diesel'!C165*'[2]RD Feedstock Breakdown'!M$3*'[2]Feedstock Conversion Rates'!B$2)/12-15-40+2+117-25-2-37</f>
        <v>77.902500000000003</v>
      </c>
      <c r="N156" s="45">
        <f>('[2]Renewable Diesel'!C165*'[2]RD Feedstock Breakdown'!N$3*'[2]Feedstock Conversion Rates'!B$8)/12+1.75+7-15-20</f>
        <v>10.46875</v>
      </c>
      <c r="O156" s="45">
        <f>('[2]Renewable Diesel'!C165*'[2]RD Feedstock Breakdown'!O$3*'[2]Feedstock Conversion Rates'!B$7)/12+30-120+25-17.5</f>
        <v>37.490999999999985</v>
      </c>
      <c r="P156" s="45">
        <f>('[2]Renewable Diesel'!C165*'[2]RD Feedstock Breakdown'!P$3*'[2]Feedstock Conversion Rates'!B$3)/12-15-59-10+15-7.5+15+75-25-2.5-25-15-20+25+100</f>
        <v>155.47042500000003</v>
      </c>
      <c r="Q156" s="47">
        <f t="shared" si="66"/>
        <v>339.08267499999999</v>
      </c>
      <c r="R156" s="45">
        <f>('[2]Renewable Diesel'!D165*'[2]RD Feedstock Breakdown'!R$3*'[2]Feedstock Conversion Rates'!B$7)/12</f>
        <v>2.2999999999999998</v>
      </c>
      <c r="S156" s="47">
        <f t="shared" si="44"/>
        <v>2.2999999999999998</v>
      </c>
      <c r="T156" s="45">
        <f>15+10+5-30+35-10-3-22+20-20</f>
        <v>0</v>
      </c>
      <c r="U156" s="45">
        <v>0</v>
      </c>
      <c r="V156" s="45">
        <f>('[2]Renewable Diesel'!E165*'[2]RD Feedstock Breakdown'!V$3*'[2]Feedstock Conversion Rates'!B$6)/12-20-5-5+32.5-35+25-15+22+20</f>
        <v>63.750150000000012</v>
      </c>
      <c r="W156" s="45">
        <f>('[2]Renewable Diesel'!E165*'[2]RD Feedstock Breakdown'!W$3*'[2]Feedstock Conversion Rates'!B$8)/12-2.5+3-20</f>
        <v>2.6796875</v>
      </c>
      <c r="X156" s="47">
        <f t="shared" si="62"/>
        <v>66.429837500000019</v>
      </c>
      <c r="Y156" s="45">
        <f>30-30+50-20+20-2-35-13+7.5-5-2.5</f>
        <v>0</v>
      </c>
      <c r="Z156" s="45">
        <f>('[2]Renewable Diesel'!F165*'[2]RD Feedstock Breakdown'!Z$3*'[2]Feedstock Conversion Rates'!B$6)/12-30+20-20-7.5+2.5+15</f>
        <v>24.555000000000007</v>
      </c>
      <c r="AA156" s="45">
        <f>('[2]Renewable Diesel'!F165*'[2]RD Feedstock Breakdown'!AA$3*'[2]Feedstock Conversion Rates'!B$7)/12+30-50+2+35+13+5-15</f>
        <v>49.133333333333326</v>
      </c>
      <c r="AB156" s="47">
        <f t="shared" si="39"/>
        <v>73.688333333333333</v>
      </c>
      <c r="AC156" s="45">
        <f>('[2]Renewable Diesel'!G165*'[2]RD Feedstock Breakdown'!AC$3*'[2]Feedstock Conversion Rates'!B$5)/12</f>
        <v>0</v>
      </c>
      <c r="AD156" s="45">
        <f>('[2]Renewable Diesel'!G165*'[2]RD Feedstock Breakdown'!AD$3*'[2]Feedstock Conversion Rates'!B$4)/12</f>
        <v>0</v>
      </c>
      <c r="AE156" s="45">
        <f>('[2]Renewable Diesel'!G165*'[2]RD Feedstock Breakdown'!AE$3*'[2]Feedstock Conversion Rates'!B$6)/12</f>
        <v>0</v>
      </c>
      <c r="AF156" s="47">
        <f t="shared" si="71"/>
        <v>0</v>
      </c>
      <c r="AG156" s="45">
        <f>26-26</f>
        <v>0</v>
      </c>
      <c r="AH156" s="45">
        <v>0</v>
      </c>
      <c r="AI156" s="45">
        <f>('[2]Renewable Diesel'!H165*'[2]RD Feedstock Breakdown'!AI$3*'[2]Feedstock Conversion Rates'!B$6)/12-17.5+17.5-26+26</f>
        <v>58.625000000000007</v>
      </c>
      <c r="AJ156" s="47">
        <f t="shared" si="42"/>
        <v>58.625000000000007</v>
      </c>
      <c r="AK156" s="45">
        <f>('[2]Renewable Diesel'!J165*'[2]RD Feedstock Breakdown'!AK$3*'[2]Feedstock Conversion Rates'!B$4)/12</f>
        <v>95.8125</v>
      </c>
      <c r="AL156" s="47">
        <f t="shared" si="45"/>
        <v>95.8125</v>
      </c>
      <c r="AM156" s="45">
        <f>('[2]Renewable Diesel'!K165*'[2]RD Feedstock Breakdown'!AM$3*'[2]Feedstock Conversion Rates'!B$4)/12-40-10</f>
        <v>8.59375</v>
      </c>
      <c r="AN156" s="45">
        <f>('[2]Renewable Diesel'!K165*'[2]RD Feedstock Breakdown'!AN$3*'[2]Feedstock Conversion Rates'!B$6)/12+40+10</f>
        <v>74.427083333333329</v>
      </c>
      <c r="AO156" s="47">
        <f t="shared" si="56"/>
        <v>83.020833333333329</v>
      </c>
      <c r="AP156" s="45">
        <f>('[2]Renewable Diesel'!L165*'[2]RD Feedstock Breakdown'!AP$3*'[2]Feedstock Conversion Rates'!B$4)/12+15-5-40+10-20</f>
        <v>18.59375</v>
      </c>
      <c r="AQ156" s="45">
        <f>('[2]Renewable Diesel'!L165*'[2]RD Feedstock Breakdown'!AQ$3*'[2]Feedstock Conversion Rates'!B$6)/12-15+5+40-10+20</f>
        <v>64.427083333333329</v>
      </c>
      <c r="AR156" s="47">
        <f t="shared" si="46"/>
        <v>83.020833333333329</v>
      </c>
      <c r="AS156" s="45">
        <f>('[2]Renewable Diesel'!M165*'[2]RD Feedstock Breakdown'!AS$3*'[2]Feedstock Conversion Rates'!B$4)/12</f>
        <v>162.5</v>
      </c>
      <c r="AT156" s="45">
        <f>('[2]Renewable Diesel'!M165*'[2]RD Feedstock Breakdown'!AT$3*'[2]Feedstock Conversion Rates'!B$5)/12</f>
        <v>0</v>
      </c>
      <c r="AU156" s="47">
        <f t="shared" si="74"/>
        <v>162.5</v>
      </c>
      <c r="AV156" s="45">
        <f>'[2]Renewable Diesel'!N165*'[2]RD Feedstock Breakdown'!$AV$3*'[2]Feedstock Conversion Rates'!$B$4/12-15-10+25+25-22-75-6.5+50+25</f>
        <v>75.249999999999986</v>
      </c>
      <c r="AW156" s="45">
        <f>'[2]Renewable Diesel'!N165*'[2]RD Feedstock Breakdown'!$AW$3*'[2]Feedstock Conversion Rates'!$B$7/12+15+10-25-25+22+75+6.5-50-25</f>
        <v>44.900000000000006</v>
      </c>
      <c r="AX156" s="47">
        <f t="shared" si="40"/>
        <v>120.14999999999999</v>
      </c>
      <c r="AY156" s="45">
        <f>('[2]Renewable Diesel'!O165*'[2]RD Feedstock Breakdown'!AY$3*'[2]Feedstock Conversion Rates'!B$4)/12+5-50</f>
        <v>22.5</v>
      </c>
      <c r="AZ156" s="45">
        <f>('[2]Renewable Diesel'!O165*'[2]RD Feedstock Breakdown'!AZ$3*'[2]Feedstock Conversion Rates'!B$3)/12-5+50</f>
        <v>53.01</v>
      </c>
      <c r="BA156" s="47">
        <f t="shared" si="43"/>
        <v>75.509999999999991</v>
      </c>
      <c r="BB156" s="45">
        <f>('[2]Renewable Diesel'!Q165*'[2]RD Feedstock Breakdown'!BB$3*'[2]Feedstock Conversion Rates'!B$4)/12</f>
        <v>5.3125</v>
      </c>
      <c r="BC156" s="45">
        <f>('[2]Renewable Diesel'!Q165*'[2]RD Feedstock Breakdown'!BC$3*'[2]Feedstock Conversion Rates'!B$3)/12</f>
        <v>0.66749999999999998</v>
      </c>
      <c r="BD156" s="45">
        <f>('[2]Renewable Diesel'!Q165*'[2]RD Feedstock Breakdown'!BD$3*'[2]Feedstock Conversion Rates'!B$6)/12</f>
        <v>0.39083333333333337</v>
      </c>
      <c r="BE156" s="47">
        <f t="shared" si="64"/>
        <v>6.3708333333333336</v>
      </c>
      <c r="BF156" s="45">
        <f>('[2]Renewable Diesel'!R165*'[2]RD Feedstock Breakdown'!BF$3*'[2]Feedstock Conversion Rates'!B$4)/12</f>
        <v>62.5</v>
      </c>
      <c r="BG156" s="47">
        <f t="shared" si="47"/>
        <v>62.5</v>
      </c>
      <c r="BH156" s="45">
        <f>('[2]Renewable Diesel'!T165*'[2]RD Feedstock Breakdown'!BH$3*'[2]Feedstock Conversion Rates'!B$7)/12</f>
        <v>27.599999999999998</v>
      </c>
      <c r="BI156" s="47">
        <f t="shared" si="41"/>
        <v>27.599999999999998</v>
      </c>
      <c r="BJ156" s="45">
        <f>('[2]Renewable Diesel'!W165*'[2]RD Feedstock Breakdown'!BJ$3*'[2]Feedstock Conversion Rates'!B$4)/12-7.5</f>
        <v>0</v>
      </c>
      <c r="BK156" s="45">
        <f>('[2]Renewable Diesel'!W165*'[2]RD Feedstock Breakdown'!BK$3*'[2]Feedstock Conversion Rates'!B$3)/12</f>
        <v>1.335</v>
      </c>
      <c r="BL156" s="45">
        <f>('[2]Renewable Diesel'!W165*'[2]RD Feedstock Breakdown'!BL$3*'[2]Feedstock Conversion Rates'!B$6)/12</f>
        <v>3.1266666666666669</v>
      </c>
      <c r="BM156" s="45">
        <f>('[2]Renewable Diesel'!W165*'[2]RD Feedstock Breakdown'!BM$3*'[2]Feedstock Conversion Rates'!B$7)/12+7.5</f>
        <v>9.0333333333333332</v>
      </c>
      <c r="BN156" s="47">
        <f t="shared" ref="BN156:BN216" si="78">SUM(BJ156:BM156)</f>
        <v>13.495000000000001</v>
      </c>
      <c r="BO156" s="45">
        <f>('[2]Renewable Diesel'!P165*'[2]Feedstock Conversion Rates'!B$4)/12</f>
        <v>7.8125</v>
      </c>
      <c r="BP156" s="47">
        <f t="shared" si="72"/>
        <v>7.8125</v>
      </c>
      <c r="BQ156" s="45"/>
      <c r="BR156" s="45"/>
      <c r="BS156" s="47"/>
      <c r="BT156" s="47"/>
      <c r="BU156" s="45">
        <f>('[2]Renewable Diesel'!Y165*'[2]Feedstock Conversion Rates'!B$7)/12</f>
        <v>2.6833333333333331</v>
      </c>
      <c r="BV156" s="47">
        <f t="shared" si="67"/>
        <v>2.6833333333333331</v>
      </c>
      <c r="BW156" s="47"/>
      <c r="BX156" s="47"/>
      <c r="BY156" s="47"/>
      <c r="BZ156" s="47"/>
      <c r="CA156" s="47"/>
      <c r="CB156" s="45">
        <f>('[2]Renewable Diesel'!AA165*'[2]Feedstock Conversion Rates'!B$4)/12</f>
        <v>191.25</v>
      </c>
      <c r="CC156" s="47">
        <f t="shared" ref="CC156:CC219" si="79">CB156</f>
        <v>191.25</v>
      </c>
      <c r="CD156" s="45">
        <f>('[2]Renewable Diesel'!$AB165*'[2]RD Feedstock Breakdown'!CD$3*'[2]Feedstock Conversion Rates'!$B$6)/12</f>
        <v>0</v>
      </c>
      <c r="CE156" s="45">
        <f>('[2]Renewable Diesel'!$AB165*'[2]RD Feedstock Breakdown'!CE$3*'[2]Feedstock Conversion Rates'!$B$4)/12</f>
        <v>0</v>
      </c>
      <c r="CF156" s="47">
        <f t="shared" si="76"/>
        <v>0</v>
      </c>
      <c r="CG156" s="45">
        <f>('[2]Renewable Diesel'!AD165*'[2]Feedstock Conversion Rates'!B$4)/12</f>
        <v>93.75</v>
      </c>
      <c r="CH156" s="47">
        <f t="shared" si="63"/>
        <v>93.75</v>
      </c>
      <c r="CI156" s="45">
        <f>('[2]Renewable Diesel'!$AE165*'[2]RD Feedstock Breakdown'!CI$3*'[2]Feedstock Conversion Rates'!$B$5)/12</f>
        <v>0.17302083333333332</v>
      </c>
      <c r="CJ156" s="45">
        <f>('[2]Renewable Diesel'!$AE165*'[2]RD Feedstock Breakdown'!CJ$3*'[2]Feedstock Conversion Rates'!$B$4)/12</f>
        <v>0.171875</v>
      </c>
      <c r="CK156" s="47">
        <f t="shared" si="73"/>
        <v>0.34489583333333329</v>
      </c>
      <c r="CL156" s="45">
        <f>(((CL$3*'[2]Renewable Diesel'!$AF165)*'[2]Feedstock Conversion Rates'!$B$3)/12)</f>
        <v>30.037499999999998</v>
      </c>
      <c r="CM156" s="45">
        <f>(((CM$3*'[2]Renewable Diesel'!$AF165)*'[2]Feedstock Conversion Rates'!$B$6)/12)</f>
        <v>17.587500000000002</v>
      </c>
      <c r="CN156" s="45">
        <f>(((CN$3*'[2]Renewable Diesel'!$AF165)*'[2]Feedstock Conversion Rates'!$B$4)/12)</f>
        <v>14.0625</v>
      </c>
      <c r="CO156" s="47">
        <f t="shared" si="65"/>
        <v>61.6875</v>
      </c>
      <c r="CP156" s="47"/>
      <c r="CQ156" s="47"/>
      <c r="CR156" s="47"/>
      <c r="CS156" s="47"/>
      <c r="CT156" s="45">
        <f>('[2]Renewable Diesel'!AI165*'[2]Feedstock Conversion Rates'!$B$4*'[2]RD Feedstock Breakdown'!$CT$3)/12</f>
        <v>14.0625</v>
      </c>
      <c r="CU156" s="47">
        <f t="shared" si="69"/>
        <v>14.0625</v>
      </c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  <c r="DI156" s="47"/>
      <c r="DJ156" s="45">
        <f>('[2]Renewable Diesel'!AT165*'[2]Feedstock Conversion Rates'!$B$4*0.25)/12</f>
        <v>0</v>
      </c>
      <c r="DK156" s="45">
        <f>('[2]Renewable Diesel'!$AT165*'[2]RD Feedstock Breakdown'!DK$3*'[2]Feedstock Conversion Rates'!$B$3)/12*0.5</f>
        <v>0</v>
      </c>
      <c r="DL156" s="45">
        <f>('[2]Renewable Diesel'!$AT165*'[2]RD Feedstock Breakdown'!$DL$3*'[2]Feedstock Conversion Rates'!$B$6)/12</f>
        <v>0</v>
      </c>
      <c r="DM156" s="45">
        <f>('[2]Renewable Diesel'!$AT165*'[2]RD Feedstock Breakdown'!$DM$3*'[2]Feedstock Conversion Rates'!$B$8)/12</f>
        <v>0</v>
      </c>
      <c r="DN156" s="47">
        <f t="shared" si="77"/>
        <v>0</v>
      </c>
      <c r="DP156" s="45">
        <f t="shared" si="48"/>
        <v>102.5825</v>
      </c>
      <c r="DQ156" s="45">
        <f t="shared" si="49"/>
        <v>535.92065000000002</v>
      </c>
      <c r="DR156" s="45">
        <f t="shared" si="57"/>
        <v>833.921875</v>
      </c>
      <c r="DS156" s="45">
        <f t="shared" si="70"/>
        <v>10.173020833333334</v>
      </c>
      <c r="DT156" s="45">
        <f t="shared" si="50"/>
        <v>306.88931666666667</v>
      </c>
      <c r="DU156" s="45">
        <f t="shared" si="51"/>
        <v>327.79800000000006</v>
      </c>
      <c r="DV156" s="45">
        <f t="shared" si="58"/>
        <v>18.3046875</v>
      </c>
      <c r="DW156" s="45">
        <f t="shared" si="52"/>
        <v>2.5</v>
      </c>
      <c r="DX156" s="47">
        <f t="shared" si="53"/>
        <v>2138.0900500000002</v>
      </c>
      <c r="DY156" s="50">
        <f t="shared" si="54"/>
        <v>-5.1159076974727213E-13</v>
      </c>
      <c r="EA156" s="51">
        <f t="shared" ref="EA156:EG192" si="80">DP156/$DX156</f>
        <v>4.7978568535969747E-2</v>
      </c>
      <c r="EB156" s="51">
        <f t="shared" si="80"/>
        <v>0.25065391890299471</v>
      </c>
      <c r="EC156" s="51">
        <f t="shared" si="80"/>
        <v>0.39003122202453538</v>
      </c>
      <c r="ED156" s="51">
        <f t="shared" si="80"/>
        <v>4.7579945631070746E-3</v>
      </c>
      <c r="EE156" s="51">
        <f t="shared" si="80"/>
        <v>0.14353432712839509</v>
      </c>
      <c r="EF156" s="51">
        <f t="shared" si="80"/>
        <v>0.15331346778401594</v>
      </c>
      <c r="EG156" s="51">
        <f t="shared" si="80"/>
        <v>8.5612331903420057E-3</v>
      </c>
      <c r="EH156" s="52">
        <f t="shared" si="59"/>
        <v>1.1692678706399667E-3</v>
      </c>
      <c r="EI156" s="51">
        <f t="shared" si="60"/>
        <v>0.99883073212935991</v>
      </c>
      <c r="EK156" s="53">
        <f>(EA156*'[2]Renewable Diesel'!BF165*'[2]Feedstock Conversion Rates'!B$2)+FB156</f>
        <v>92.682846139308992</v>
      </c>
      <c r="EL156" s="53">
        <f>(EB156*'[2]Renewable Diesel'!BF165*'[2]Feedstock Conversion Rates'!B$3)+FC156</f>
        <v>456.28917406345363</v>
      </c>
      <c r="EM156" s="53">
        <f>(EC156*'[2]Renewable Diesel'!BF165*'[2]Feedstock Conversion Rates'!B$4)+FD156</f>
        <v>664.80424937313649</v>
      </c>
      <c r="EN156" s="53">
        <f>(ED156*'[2]Renewable Diesel'!BF165*'[2]Feedstock Conversion Rates'!B$5)+FE156</f>
        <v>8.1640196756894703</v>
      </c>
      <c r="EO156" s="53">
        <f>(EE156*'[2]Renewable Diesel'!BF165*'[2]Feedstock Conversion Rates'!B$6)+FF156</f>
        <v>305.97910202746607</v>
      </c>
      <c r="EP156" s="53">
        <f>(EF156*'[2]Renewable Diesel'!BF165*'[2]Feedstock Conversion Rates'!B$7)+FG156</f>
        <v>320.55406160460637</v>
      </c>
      <c r="EQ156" s="53">
        <f>(EG156*'[2]Renewable Diesel'!BF165*'[2]Feedstock Conversion Rates'!B$8)+FH156</f>
        <v>18.240668577987794</v>
      </c>
      <c r="ER156" s="53">
        <f>(EH156*'[2]Renewable Diesel'!BF165*'[2]Feedstock Conversion Rates'!B$9)+FI156</f>
        <v>2.4580397321197953</v>
      </c>
      <c r="ES156" s="53">
        <f t="shared" si="61"/>
        <v>1869.1721611937687</v>
      </c>
      <c r="ET156" s="36">
        <f>ES156/'[2]Renewable Diesel'!BF165</f>
        <v>8.2246259281443734</v>
      </c>
    </row>
    <row r="157" spans="1:150" x14ac:dyDescent="0.25">
      <c r="A157" s="39">
        <v>45200</v>
      </c>
      <c r="B157" s="45">
        <f>23-20+10+85-5-4-4-1.25+2.25-5+15-6-25-45+65+15-22.5-50+40+16.5+27.5+168+80+14-30+15-50+20-19+22.5-7-15+12+20-25-20-50-20-17.5-27.5-15+10-15-53-35-50+47-30-30-5.5+50+25-30+20+2+45+25+25+20+2.5+65-6-15+12.5-65-2.5-179+100-100+10+100.5+11+100-40-40-65-75</f>
        <v>1.5</v>
      </c>
      <c r="C157" s="45">
        <f>40-10-10-1+6+5+20+65+25-5-100+4+65-75+200</f>
        <v>229</v>
      </c>
      <c r="D157" s="45">
        <v>1</v>
      </c>
      <c r="E157" s="45">
        <f>('[2]Renewable Diesel'!B166*E$3*'[2]Feedstock Conversion Rates'!$B$2)/12-40+1.25+6-43+30-15+17.5+53+10-25+30-2.5-5+79-100+25-65-11</f>
        <v>35.180000000000007</v>
      </c>
      <c r="F157" s="45">
        <f>('[2]Renewable Diesel'!B166*'[2]RD Feedstock Breakdown'!F$3*'[2]Feedstock Conversion Rates'!B$8)/12-23+5-2.25+5+22.5-16.5-14-20+15+15+5.5-2-25+15-30+5</f>
        <v>9.15625</v>
      </c>
      <c r="G157" s="45">
        <f>('[2]Renewable Diesel'!B166*'[2]RD Feedstock Breakdown'!G$3*'[2]Feedstock Conversion Rates'!B$7)/12-25-15-25+4+4-20-40-20+10-17.5+20+50-12+32.5+35-75-75+22.5+5-20+40-4+150-100</f>
        <v>100.65700000000001</v>
      </c>
      <c r="H157" s="45">
        <f>('[2]Renewable Diesel'!B166*'[2]RD Feedstock Breakdown'!H$3*'[2]Feedstock Conversion Rates'!B$3)/12-85+4-15+70-65-80+50-22.5-5+25+27.5+35+50-25-65-12.5+65+12-10+100+75-125+40-100</f>
        <v>119.90022499999998</v>
      </c>
      <c r="I157" s="47">
        <f t="shared" si="75"/>
        <v>496.39347499999997</v>
      </c>
      <c r="J157" s="45">
        <f>120+40+59+10-15-1.75+7.5-2-15-25-75+25+2.5-7-1+15+20+25+15+20-217+17.5+2-19.5</f>
        <v>0.25</v>
      </c>
      <c r="K157" s="45"/>
      <c r="L157" s="45">
        <v>1</v>
      </c>
      <c r="M157" s="45">
        <f>('[2]Renewable Diesel'!C166*'[2]RD Feedstock Breakdown'!M$3*'[2]Feedstock Conversion Rates'!B$2)/12-15-40+2+117-25-2</f>
        <v>114.9025</v>
      </c>
      <c r="N157" s="45">
        <f>('[2]Renewable Diesel'!C166*'[2]RD Feedstock Breakdown'!N$3*'[2]Feedstock Conversion Rates'!B$8)/12+1.75+7-15-20+19.5</f>
        <v>29.96875</v>
      </c>
      <c r="O157" s="45">
        <f>('[2]Renewable Diesel'!C166*'[2]RD Feedstock Breakdown'!O$3*'[2]Feedstock Conversion Rates'!B$7)/12+30-120+25-17.5</f>
        <v>37.490999999999985</v>
      </c>
      <c r="P157" s="45">
        <f>('[2]Renewable Diesel'!C166*'[2]RD Feedstock Breakdown'!P$3*'[2]Feedstock Conversion Rates'!B$3)/12-15-59-10+15-7.5+15+75-25-2.5-25-15-20+25+100</f>
        <v>155.47042500000003</v>
      </c>
      <c r="Q157" s="47">
        <f t="shared" si="66"/>
        <v>339.08267499999999</v>
      </c>
      <c r="R157" s="45">
        <f>('[2]Renewable Diesel'!D166*'[2]RD Feedstock Breakdown'!R$3*'[2]Feedstock Conversion Rates'!B$7)/12</f>
        <v>2.2999999999999998</v>
      </c>
      <c r="S157" s="47">
        <f t="shared" si="44"/>
        <v>2.2999999999999998</v>
      </c>
      <c r="T157" s="45">
        <f>20+2.5-20-2.5+35-20+10</f>
        <v>25</v>
      </c>
      <c r="U157" s="45">
        <v>0</v>
      </c>
      <c r="V157" s="45">
        <f>('[2]Renewable Diesel'!E166*'[2]RD Feedstock Breakdown'!V$3*'[2]Feedstock Conversion Rates'!B$6)/12-20+20+2.5-35+20</f>
        <v>31.750150000000012</v>
      </c>
      <c r="W157" s="45">
        <f>('[2]Renewable Diesel'!E166*'[2]RD Feedstock Breakdown'!W$3*'[2]Feedstock Conversion Rates'!B$8)/12-2.5-10</f>
        <v>9.6796875</v>
      </c>
      <c r="X157" s="47">
        <f t="shared" si="62"/>
        <v>66.429837500000019</v>
      </c>
      <c r="Y157" s="45">
        <f>30-30+50-20+20-2-35-13</f>
        <v>0</v>
      </c>
      <c r="Z157" s="45">
        <f>('[2]Renewable Diesel'!F166*'[2]RD Feedstock Breakdown'!Z$3*'[2]Feedstock Conversion Rates'!B$6)/12-30+20-20</f>
        <v>14.555000000000007</v>
      </c>
      <c r="AA157" s="45">
        <f>('[2]Renewable Diesel'!F166*'[2]RD Feedstock Breakdown'!AA$3*'[2]Feedstock Conversion Rates'!B$7)/12+30-50+2+35+13</f>
        <v>59.133333333333326</v>
      </c>
      <c r="AB157" s="47">
        <f t="shared" si="39"/>
        <v>73.688333333333333</v>
      </c>
      <c r="AC157" s="45">
        <f>('[2]Renewable Diesel'!G166*'[2]RD Feedstock Breakdown'!AC$3*'[2]Feedstock Conversion Rates'!B$5)/12</f>
        <v>0</v>
      </c>
      <c r="AD157" s="45">
        <f>('[2]Renewable Diesel'!G166*'[2]RD Feedstock Breakdown'!AD$3*'[2]Feedstock Conversion Rates'!B$4)/12</f>
        <v>0</v>
      </c>
      <c r="AE157" s="45">
        <f>('[2]Renewable Diesel'!G166*'[2]RD Feedstock Breakdown'!AE$3*'[2]Feedstock Conversion Rates'!B$6)/12</f>
        <v>0</v>
      </c>
      <c r="AF157" s="47">
        <f t="shared" si="71"/>
        <v>0</v>
      </c>
      <c r="AG157" s="45">
        <f>26-26</f>
        <v>0</v>
      </c>
      <c r="AH157" s="45">
        <v>0</v>
      </c>
      <c r="AI157" s="45">
        <f>('[2]Renewable Diesel'!H166*'[2]RD Feedstock Breakdown'!AI$3*'[2]Feedstock Conversion Rates'!B$6)/12-17.5+17.5-26+26-30+30</f>
        <v>58.625000000000007</v>
      </c>
      <c r="AJ157" s="47">
        <f t="shared" si="42"/>
        <v>58.625000000000007</v>
      </c>
      <c r="AK157" s="45">
        <f>('[2]Renewable Diesel'!J166*'[2]RD Feedstock Breakdown'!AK$3*'[2]Feedstock Conversion Rates'!B$4)/12</f>
        <v>95.8125</v>
      </c>
      <c r="AL157" s="47">
        <f t="shared" si="45"/>
        <v>95.8125</v>
      </c>
      <c r="AM157" s="45">
        <f>('[2]Renewable Diesel'!K166*'[2]RD Feedstock Breakdown'!AM$3*'[2]Feedstock Conversion Rates'!B$4)/12+20-30</f>
        <v>48.59375</v>
      </c>
      <c r="AN157" s="45">
        <f>('[2]Renewable Diesel'!K166*'[2]RD Feedstock Breakdown'!AN$3*'[2]Feedstock Conversion Rates'!B$6)/12-20+30</f>
        <v>34.427083333333329</v>
      </c>
      <c r="AO157" s="47">
        <f t="shared" si="56"/>
        <v>83.020833333333329</v>
      </c>
      <c r="AP157" s="45">
        <f>('[2]Renewable Diesel'!L166*'[2]RD Feedstock Breakdown'!AP$3*'[2]Feedstock Conversion Rates'!B$4)/12+15-5+10</f>
        <v>78.59375</v>
      </c>
      <c r="AQ157" s="45">
        <f>('[2]Renewable Diesel'!L166*'[2]RD Feedstock Breakdown'!AQ$3*'[2]Feedstock Conversion Rates'!B$6)/12-15+5-10</f>
        <v>4.4270833333333321</v>
      </c>
      <c r="AR157" s="47">
        <f t="shared" si="46"/>
        <v>83.020833333333329</v>
      </c>
      <c r="AS157" s="45">
        <f>('[2]Renewable Diesel'!M166*'[2]RD Feedstock Breakdown'!AS$3*'[2]Feedstock Conversion Rates'!B$4)/12</f>
        <v>337.5</v>
      </c>
      <c r="AT157" s="45">
        <f>('[2]Renewable Diesel'!M166*'[2]RD Feedstock Breakdown'!AT$3*'[2]Feedstock Conversion Rates'!B$5)/12</f>
        <v>0</v>
      </c>
      <c r="AU157" s="47">
        <f t="shared" si="74"/>
        <v>337.5</v>
      </c>
      <c r="AV157" s="45">
        <f>'[2]Renewable Diesel'!N166*'[2]RD Feedstock Breakdown'!$AV$3*'[2]Feedstock Conversion Rates'!$B$4/12-15-10+25+25-22-75+75+22.5</f>
        <v>104.24999999999999</v>
      </c>
      <c r="AW157" s="45">
        <f>'[2]Renewable Diesel'!N166*'[2]RD Feedstock Breakdown'!$AW$3*'[2]Feedstock Conversion Rates'!$B$7/12+15+10-25-25+22+75-75-22.5</f>
        <v>15.900000000000006</v>
      </c>
      <c r="AX157" s="47">
        <f t="shared" si="40"/>
        <v>120.14999999999999</v>
      </c>
      <c r="AY157" s="45">
        <f>('[2]Renewable Diesel'!O166*'[2]RD Feedstock Breakdown'!AY$3*'[2]Feedstock Conversion Rates'!B$4)/12+5-70</f>
        <v>2.5</v>
      </c>
      <c r="AZ157" s="45">
        <f>('[2]Renewable Diesel'!O166*'[2]RD Feedstock Breakdown'!AZ$3*'[2]Feedstock Conversion Rates'!B$3)/12-5+70</f>
        <v>73.010000000000005</v>
      </c>
      <c r="BA157" s="47">
        <f t="shared" si="43"/>
        <v>75.510000000000005</v>
      </c>
      <c r="BB157" s="45">
        <f>('[2]Renewable Diesel'!Q166*'[2]RD Feedstock Breakdown'!BB$3*'[2]Feedstock Conversion Rates'!B$4)/12</f>
        <v>11.156249999999998</v>
      </c>
      <c r="BC157" s="45">
        <f>('[2]Renewable Diesel'!Q166*'[2]RD Feedstock Breakdown'!BC$3*'[2]Feedstock Conversion Rates'!B$3)/12</f>
        <v>1.4017500000000001</v>
      </c>
      <c r="BD157" s="45">
        <f>('[2]Renewable Diesel'!Q166*'[2]RD Feedstock Breakdown'!BD$3*'[2]Feedstock Conversion Rates'!B$6)/12</f>
        <v>0.8207500000000002</v>
      </c>
      <c r="BE157" s="47">
        <f t="shared" si="64"/>
        <v>13.378749999999998</v>
      </c>
      <c r="BF157" s="45">
        <f>('[2]Renewable Diesel'!R166*'[2]RD Feedstock Breakdown'!BF$3*'[2]Feedstock Conversion Rates'!B$4)/12</f>
        <v>62.5</v>
      </c>
      <c r="BG157" s="47">
        <f t="shared" si="47"/>
        <v>62.5</v>
      </c>
      <c r="BH157" s="45">
        <f>('[2]Renewable Diesel'!T166*'[2]RD Feedstock Breakdown'!BH$3*'[2]Feedstock Conversion Rates'!B$7)/12</f>
        <v>27.599999999999998</v>
      </c>
      <c r="BI157" s="47">
        <f t="shared" si="41"/>
        <v>27.599999999999998</v>
      </c>
      <c r="BJ157" s="45">
        <f>('[2]Renewable Diesel'!W166*'[2]RD Feedstock Breakdown'!BJ$3*'[2]Feedstock Conversion Rates'!B$4)/12</f>
        <v>7.5</v>
      </c>
      <c r="BK157" s="45">
        <f>('[2]Renewable Diesel'!W166*'[2]RD Feedstock Breakdown'!BK$3*'[2]Feedstock Conversion Rates'!B$3)/12</f>
        <v>1.335</v>
      </c>
      <c r="BL157" s="45">
        <f>('[2]Renewable Diesel'!W166*'[2]RD Feedstock Breakdown'!BL$3*'[2]Feedstock Conversion Rates'!B$6)/12</f>
        <v>3.1266666666666669</v>
      </c>
      <c r="BM157" s="45">
        <f>('[2]Renewable Diesel'!W166*'[2]RD Feedstock Breakdown'!BM$3*'[2]Feedstock Conversion Rates'!B$7)/12</f>
        <v>1.5333333333333332</v>
      </c>
      <c r="BN157" s="47">
        <f t="shared" si="78"/>
        <v>13.495000000000001</v>
      </c>
      <c r="BO157" s="45">
        <f>('[2]Renewable Diesel'!P166*'[2]Feedstock Conversion Rates'!B$4)/12</f>
        <v>31.25</v>
      </c>
      <c r="BP157" s="47">
        <f t="shared" si="72"/>
        <v>31.25</v>
      </c>
      <c r="BQ157" s="45"/>
      <c r="BR157" s="45"/>
      <c r="BS157" s="47"/>
      <c r="BT157" s="47"/>
      <c r="BU157" s="45">
        <f>('[2]Renewable Diesel'!Y166*'[2]Feedstock Conversion Rates'!B$7)/12</f>
        <v>2.6833333333333331</v>
      </c>
      <c r="BV157" s="47">
        <f t="shared" si="67"/>
        <v>2.6833333333333331</v>
      </c>
      <c r="BW157" s="47"/>
      <c r="BX157" s="47"/>
      <c r="BY157" s="47"/>
      <c r="BZ157" s="47"/>
      <c r="CA157" s="47"/>
      <c r="CB157" s="45">
        <f>('[2]Renewable Diesel'!AA166*'[2]Feedstock Conversion Rates'!B$4)/12</f>
        <v>191.25</v>
      </c>
      <c r="CC157" s="47">
        <f t="shared" si="79"/>
        <v>191.25</v>
      </c>
      <c r="CD157" s="45">
        <f>('[2]Renewable Diesel'!$AB166*'[2]RD Feedstock Breakdown'!CD$3*'[2]Feedstock Conversion Rates'!$B$6)/12</f>
        <v>0</v>
      </c>
      <c r="CE157" s="45">
        <f>('[2]Renewable Diesel'!$AB166*'[2]RD Feedstock Breakdown'!CE$3*'[2]Feedstock Conversion Rates'!$B$4)/12</f>
        <v>0</v>
      </c>
      <c r="CF157" s="47">
        <f t="shared" si="76"/>
        <v>0</v>
      </c>
      <c r="CG157" s="45">
        <f>('[2]Renewable Diesel'!AD166*'[2]Feedstock Conversion Rates'!B$4)/12</f>
        <v>84.375</v>
      </c>
      <c r="CH157" s="47">
        <f t="shared" si="63"/>
        <v>84.375</v>
      </c>
      <c r="CI157" s="45">
        <f>('[2]Renewable Diesel'!$AE166*'[2]RD Feedstock Breakdown'!CI$3*'[2]Feedstock Conversion Rates'!$B$5)/12</f>
        <v>0.17302083333333332</v>
      </c>
      <c r="CJ157" s="45">
        <f>('[2]Renewable Diesel'!$AE166*'[2]RD Feedstock Breakdown'!CJ$3*'[2]Feedstock Conversion Rates'!$B$4)/12</f>
        <v>0.171875</v>
      </c>
      <c r="CK157" s="47">
        <f t="shared" si="73"/>
        <v>0.34489583333333329</v>
      </c>
      <c r="CL157" s="45">
        <f>(((CL$3*'[2]Renewable Diesel'!$AF166)*'[2]Feedstock Conversion Rates'!$B$3)/12)</f>
        <v>30.037499999999998</v>
      </c>
      <c r="CM157" s="45">
        <f>(((CM$3*'[2]Renewable Diesel'!$AF166)*'[2]Feedstock Conversion Rates'!$B$6)/12)</f>
        <v>17.587500000000002</v>
      </c>
      <c r="CN157" s="45">
        <f>(((CN$3*'[2]Renewable Diesel'!$AF166)*'[2]Feedstock Conversion Rates'!$B$4)/12)</f>
        <v>14.0625</v>
      </c>
      <c r="CO157" s="47">
        <f t="shared" si="65"/>
        <v>61.6875</v>
      </c>
      <c r="CP157" s="47"/>
      <c r="CQ157" s="47"/>
      <c r="CR157" s="47"/>
      <c r="CS157" s="47"/>
      <c r="CT157" s="45">
        <f>('[2]Renewable Diesel'!AI166*'[2]Feedstock Conversion Rates'!$B$4*'[2]RD Feedstock Breakdown'!$CT$3)/12</f>
        <v>18.75</v>
      </c>
      <c r="CU157" s="47">
        <f t="shared" si="69"/>
        <v>18.75</v>
      </c>
      <c r="CV157" s="47"/>
      <c r="CW157" s="47"/>
      <c r="CX157" s="47"/>
      <c r="CY157" s="47"/>
      <c r="CZ157" s="47"/>
      <c r="DA157" s="47"/>
      <c r="DB157" s="47"/>
      <c r="DC157" s="47"/>
      <c r="DD157" s="47"/>
      <c r="DE157" s="47"/>
      <c r="DF157" s="47"/>
      <c r="DG157" s="47"/>
      <c r="DH157" s="47"/>
      <c r="DI157" s="47"/>
      <c r="DJ157" s="45">
        <f>('[2]Renewable Diesel'!AT166*'[2]Feedstock Conversion Rates'!$B$4*0.25)/12</f>
        <v>0</v>
      </c>
      <c r="DK157" s="45">
        <f>('[2]Renewable Diesel'!$AT166*'[2]RD Feedstock Breakdown'!DK$3*'[2]Feedstock Conversion Rates'!$B$3)/12*0.5</f>
        <v>0</v>
      </c>
      <c r="DL157" s="45">
        <f>('[2]Renewable Diesel'!$AT166*'[2]RD Feedstock Breakdown'!$DL$3*'[2]Feedstock Conversion Rates'!$B$6)/12</f>
        <v>0</v>
      </c>
      <c r="DM157" s="45">
        <f>('[2]Renewable Diesel'!$AT166*'[2]RD Feedstock Breakdown'!$DM$3*'[2]Feedstock Conversion Rates'!$B$8)/12</f>
        <v>0</v>
      </c>
      <c r="DN157" s="47">
        <f t="shared" si="77"/>
        <v>0</v>
      </c>
      <c r="DP157" s="45">
        <f t="shared" si="48"/>
        <v>150.08250000000001</v>
      </c>
      <c r="DQ157" s="45">
        <f t="shared" si="49"/>
        <v>381.1549</v>
      </c>
      <c r="DR157" s="45">
        <f t="shared" si="57"/>
        <v>1090.015625</v>
      </c>
      <c r="DS157" s="45">
        <f t="shared" si="70"/>
        <v>254.17302083333334</v>
      </c>
      <c r="DT157" s="45">
        <f t="shared" si="50"/>
        <v>165.31923333333339</v>
      </c>
      <c r="DU157" s="45">
        <f t="shared" si="51"/>
        <v>247.298</v>
      </c>
      <c r="DV157" s="45">
        <f t="shared" si="58"/>
        <v>48.8046875</v>
      </c>
      <c r="DW157" s="45">
        <f t="shared" si="52"/>
        <v>2</v>
      </c>
      <c r="DX157" s="47">
        <f t="shared" si="53"/>
        <v>2338.8479666666667</v>
      </c>
      <c r="DY157" s="50">
        <f t="shared" si="54"/>
        <v>-2.8421709430404007E-13</v>
      </c>
      <c r="EA157" s="51">
        <f t="shared" si="80"/>
        <v>6.4169412522310315E-2</v>
      </c>
      <c r="EB157" s="51">
        <f t="shared" si="80"/>
        <v>0.16296694160211839</v>
      </c>
      <c r="EC157" s="51">
        <f t="shared" si="80"/>
        <v>0.46604808886038607</v>
      </c>
      <c r="ED157" s="51">
        <f t="shared" si="80"/>
        <v>0.10867445189076634</v>
      </c>
      <c r="EE157" s="51">
        <f t="shared" si="80"/>
        <v>7.0684044319882344E-2</v>
      </c>
      <c r="EF157" s="51">
        <f t="shared" si="80"/>
        <v>0.10573496162405539</v>
      </c>
      <c r="EG157" s="51">
        <f t="shared" si="80"/>
        <v>2.086697733053448E-2</v>
      </c>
      <c r="EH157" s="52">
        <f t="shared" si="59"/>
        <v>8.5512184994666679E-4</v>
      </c>
      <c r="EI157" s="51">
        <f t="shared" si="60"/>
        <v>0.99914487815005315</v>
      </c>
      <c r="EK157" s="53">
        <f>(EA157*'[2]Renewable Diesel'!BF166*'[2]Feedstock Conversion Rates'!B$2)+FB157</f>
        <v>113.77447636725756</v>
      </c>
      <c r="EL157" s="53">
        <f>(EB157*'[2]Renewable Diesel'!BF166*'[2]Feedstock Conversion Rates'!B$3)+FC157</f>
        <v>272.28886880069956</v>
      </c>
      <c r="EM157" s="53">
        <f>(EC157*'[2]Renewable Diesel'!BF166*'[2]Feedstock Conversion Rates'!B$4)+FD157</f>
        <v>729.10462167280912</v>
      </c>
      <c r="EN157" s="53">
        <f>(ED157*'[2]Renewable Diesel'!BF166*'[2]Feedstock Conversion Rates'!B$5)+FE157</f>
        <v>171.14817262864162</v>
      </c>
      <c r="EO157" s="53">
        <f>(EE157*'[2]Renewable Diesel'!BF166*'[2]Feedstock Conversion Rates'!B$6)+FF157</f>
        <v>138.29996980224337</v>
      </c>
      <c r="EP157" s="53">
        <f>(EF157*'[2]Renewable Diesel'!BF166*'[2]Feedstock Conversion Rates'!B$7)+FG157</f>
        <v>202.91039473494635</v>
      </c>
      <c r="EQ157" s="53">
        <f>(EG157*'[2]Renewable Diesel'!BF166*'[2]Feedstock Conversion Rates'!B$8)+FH157</f>
        <v>40.806437081517956</v>
      </c>
      <c r="ER157" s="53">
        <f>(EH157*'[2]Renewable Diesel'!BF166*'[2]Feedstock Conversion Rates'!B$9)+FI157</f>
        <v>1.6499378775354061</v>
      </c>
      <c r="ES157" s="53">
        <f t="shared" si="61"/>
        <v>1669.9828789656508</v>
      </c>
      <c r="ET157" s="36">
        <f>ES157/'[2]Renewable Diesel'!BF166</f>
        <v>8.0059737591483611</v>
      </c>
    </row>
    <row r="158" spans="1:150" x14ac:dyDescent="0.25">
      <c r="A158" s="39">
        <v>45231</v>
      </c>
      <c r="B158" s="45">
        <f>23-20+10+85-5-4-4-1.25+2.25-5+15-6-25-45+65+15-22.5-50+40+16.5+27.5+168+80+14-30+15-50+20-19+22.5-7-15+12+20-25-20-50-20-17.5-27.5-15+10-15-53-35-50+47-30-30-5.5+50+25-30+20+2+45+25+25+20+2.5+65-6-15+12.5-65-2.5-179+100-100+10+100.5+11+100-40-40-65-75</f>
        <v>1.5</v>
      </c>
      <c r="C158" s="45">
        <f t="shared" ref="C158:C159" si="81">40-10-10-1+6+5+20+65+25-5-100+4+65-75+200</f>
        <v>229</v>
      </c>
      <c r="D158" s="45">
        <v>1</v>
      </c>
      <c r="E158" s="45">
        <f>('[2]Renewable Diesel'!B167*E$3*'[2]Feedstock Conversion Rates'!$B$2)/12-40+1.25+6-43+30-15+17.5+53+10-25+30-2.5-5+79-100+25-65-11</f>
        <v>35.180000000000007</v>
      </c>
      <c r="F158" s="45">
        <f>('[2]Renewable Diesel'!B167*'[2]RD Feedstock Breakdown'!F$3*'[2]Feedstock Conversion Rates'!B$8)/12-23+5-2.25+5+22.5-16.5-14-20+15+15+5.5-2-25+15-30+5</f>
        <v>9.15625</v>
      </c>
      <c r="G158" s="45">
        <f>('[2]Renewable Diesel'!B167*'[2]RD Feedstock Breakdown'!G$3*'[2]Feedstock Conversion Rates'!B$7)/12-25-15-25+4+4-20-40-20+10-17.5+20+50-12+32.5+35-75-75+22.5+5-20+40-4+150-100</f>
        <v>100.65700000000001</v>
      </c>
      <c r="H158" s="45">
        <f>('[2]Renewable Diesel'!B167*'[2]RD Feedstock Breakdown'!H$3*'[2]Feedstock Conversion Rates'!B$3)/12-85+4-15+70-65-80+50-22.5-5+25+27.5+35+50-25-65-12.5+65+12-10+100+75-125+40-100</f>
        <v>119.90022499999998</v>
      </c>
      <c r="I158" s="47">
        <f t="shared" si="75"/>
        <v>496.39347499999997</v>
      </c>
      <c r="J158" s="45">
        <f t="shared" ref="J158:J168" si="82">120+40+59+10-15-1.75+7.5-2-15-25-75+25+2.5-7-1+15+20+25+15+20-217+17.5+2-19.5</f>
        <v>0.25</v>
      </c>
      <c r="K158" s="45"/>
      <c r="L158" s="45">
        <v>1</v>
      </c>
      <c r="M158" s="45">
        <f>('[2]Renewable Diesel'!C167*'[2]RD Feedstock Breakdown'!M$3*'[2]Feedstock Conversion Rates'!B$2)/12-15-40+2+117-25-2</f>
        <v>114.9025</v>
      </c>
      <c r="N158" s="45">
        <f>('[2]Renewable Diesel'!C167*'[2]RD Feedstock Breakdown'!N$3*'[2]Feedstock Conversion Rates'!B$8)/12+1.75+7-15-20+19.5</f>
        <v>29.96875</v>
      </c>
      <c r="O158" s="45">
        <f>('[2]Renewable Diesel'!C167*'[2]RD Feedstock Breakdown'!O$3*'[2]Feedstock Conversion Rates'!B$7)/12+30-120+25-17.5</f>
        <v>37.490999999999985</v>
      </c>
      <c r="P158" s="45">
        <f>('[2]Renewable Diesel'!C167*'[2]RD Feedstock Breakdown'!P$3*'[2]Feedstock Conversion Rates'!B$3)/12-15-59-10+15-7.5+15+75-25-2.5-25-15-20+25+100</f>
        <v>155.47042500000003</v>
      </c>
      <c r="Q158" s="47">
        <f t="shared" si="66"/>
        <v>339.08267499999999</v>
      </c>
      <c r="R158" s="45">
        <f>('[2]Renewable Diesel'!D167*'[2]RD Feedstock Breakdown'!R$3*'[2]Feedstock Conversion Rates'!B$7)/12</f>
        <v>2.2999999999999998</v>
      </c>
      <c r="S158" s="47">
        <f t="shared" si="44"/>
        <v>2.2999999999999998</v>
      </c>
      <c r="T158" s="45">
        <f>20+2.5-20-2.5+35-20+10</f>
        <v>25</v>
      </c>
      <c r="U158" s="45">
        <v>0</v>
      </c>
      <c r="V158" s="45">
        <f>('[2]Renewable Diesel'!E167*'[2]RD Feedstock Breakdown'!V$3*'[2]Feedstock Conversion Rates'!B$6)/12-20+20+2.5-35+20</f>
        <v>31.750150000000012</v>
      </c>
      <c r="W158" s="45">
        <f>('[2]Renewable Diesel'!E167*'[2]RD Feedstock Breakdown'!W$3*'[2]Feedstock Conversion Rates'!B$8)/12-2.5-10</f>
        <v>9.6796875</v>
      </c>
      <c r="X158" s="47">
        <f t="shared" si="62"/>
        <v>66.429837500000019</v>
      </c>
      <c r="Y158" s="45">
        <f>30-30+50-20+20-2-35-13</f>
        <v>0</v>
      </c>
      <c r="Z158" s="45">
        <f>('[2]Renewable Diesel'!F167*'[2]RD Feedstock Breakdown'!Z$3*'[2]Feedstock Conversion Rates'!B$6)/12-30+20-20</f>
        <v>14.555000000000007</v>
      </c>
      <c r="AA158" s="45">
        <f>('[2]Renewable Diesel'!F167*'[2]RD Feedstock Breakdown'!AA$3*'[2]Feedstock Conversion Rates'!B$7)/12+30-50+2+35+13</f>
        <v>59.133333333333326</v>
      </c>
      <c r="AB158" s="47">
        <f t="shared" si="39"/>
        <v>73.688333333333333</v>
      </c>
      <c r="AC158" s="45">
        <f>('[2]Renewable Diesel'!G167*'[2]RD Feedstock Breakdown'!AC$3*'[2]Feedstock Conversion Rates'!B$5)/12</f>
        <v>0</v>
      </c>
      <c r="AD158" s="45">
        <f>('[2]Renewable Diesel'!G167*'[2]RD Feedstock Breakdown'!AD$3*'[2]Feedstock Conversion Rates'!B$4)/12</f>
        <v>0</v>
      </c>
      <c r="AE158" s="45">
        <f>('[2]Renewable Diesel'!G167*'[2]RD Feedstock Breakdown'!AE$3*'[2]Feedstock Conversion Rates'!B$6)/12</f>
        <v>0</v>
      </c>
      <c r="AF158" s="47">
        <f t="shared" si="71"/>
        <v>0</v>
      </c>
      <c r="AG158" s="45">
        <f>130+23-3-51-99+50-15+60-90</f>
        <v>5</v>
      </c>
      <c r="AH158" s="45">
        <v>0</v>
      </c>
      <c r="AI158" s="45">
        <f>('[2]Renewable Diesel'!H167*'[2]RD Feedstock Breakdown'!AI$3*'[2]Feedstock Conversion Rates'!B$6)/12-130-23+3+51+99-50+10+15-60+90</f>
        <v>98.800000000000011</v>
      </c>
      <c r="AJ158" s="47">
        <f t="shared" si="42"/>
        <v>103.80000000000001</v>
      </c>
      <c r="AK158" s="45">
        <f>('[2]Renewable Diesel'!J167*'[2]RD Feedstock Breakdown'!AK$3*'[2]Feedstock Conversion Rates'!B$4)/12</f>
        <v>95.8125</v>
      </c>
      <c r="AL158" s="47">
        <f t="shared" si="45"/>
        <v>95.8125</v>
      </c>
      <c r="AM158" s="45">
        <f>('[2]Renewable Diesel'!K167*'[2]RD Feedstock Breakdown'!AM$3*'[2]Feedstock Conversion Rates'!B$4)/12+20-30</f>
        <v>48.59375</v>
      </c>
      <c r="AN158" s="45">
        <f>('[2]Renewable Diesel'!K167*'[2]RD Feedstock Breakdown'!AN$3*'[2]Feedstock Conversion Rates'!B$6)/12-20+30</f>
        <v>34.427083333333329</v>
      </c>
      <c r="AO158" s="47">
        <f t="shared" si="56"/>
        <v>83.020833333333329</v>
      </c>
      <c r="AP158" s="45">
        <f>('[2]Renewable Diesel'!L167*'[2]RD Feedstock Breakdown'!AP$3*'[2]Feedstock Conversion Rates'!B$4)/12+15-5+10</f>
        <v>78.59375</v>
      </c>
      <c r="AQ158" s="45">
        <f>('[2]Renewable Diesel'!L167*'[2]RD Feedstock Breakdown'!AQ$3*'[2]Feedstock Conversion Rates'!B$6)/12-15+5-10</f>
        <v>4.4270833333333321</v>
      </c>
      <c r="AR158" s="47">
        <f t="shared" si="46"/>
        <v>83.020833333333329</v>
      </c>
      <c r="AS158" s="45">
        <f>('[2]Renewable Diesel'!M167*'[2]RD Feedstock Breakdown'!AS$3*'[2]Feedstock Conversion Rates'!B$4)/12</f>
        <v>406.25</v>
      </c>
      <c r="AT158" s="45">
        <f>('[2]Renewable Diesel'!M167*'[2]RD Feedstock Breakdown'!AT$3*'[2]Feedstock Conversion Rates'!B$5)/12</f>
        <v>0</v>
      </c>
      <c r="AU158" s="47">
        <f t="shared" si="74"/>
        <v>406.25</v>
      </c>
      <c r="AV158" s="45">
        <f>'[2]Renewable Diesel'!N167*'[2]RD Feedstock Breakdown'!$AV$3*'[2]Feedstock Conversion Rates'!$B$4/12-15-10+25+25-22-75+75+22.5</f>
        <v>104.24999999999999</v>
      </c>
      <c r="AW158" s="45">
        <f>'[2]Renewable Diesel'!N167*'[2]RD Feedstock Breakdown'!$AW$3*'[2]Feedstock Conversion Rates'!$B$7/12+15+10-25-25+22+75-75-22.5</f>
        <v>15.900000000000006</v>
      </c>
      <c r="AX158" s="47">
        <f t="shared" si="40"/>
        <v>120.14999999999999</v>
      </c>
      <c r="AY158" s="45">
        <f>('[2]Renewable Diesel'!O167*'[2]RD Feedstock Breakdown'!AY$3*'[2]Feedstock Conversion Rates'!B$4)/12+5-70</f>
        <v>2.5</v>
      </c>
      <c r="AZ158" s="45">
        <f>('[2]Renewable Diesel'!O167*'[2]RD Feedstock Breakdown'!AZ$3*'[2]Feedstock Conversion Rates'!B$3)/12-5+70</f>
        <v>73.010000000000005</v>
      </c>
      <c r="BA158" s="47">
        <f t="shared" si="43"/>
        <v>75.510000000000005</v>
      </c>
      <c r="BB158" s="45">
        <f>('[2]Renewable Diesel'!Q167*'[2]RD Feedstock Breakdown'!BB$3*'[2]Feedstock Conversion Rates'!B$4)/12</f>
        <v>11.156249999999998</v>
      </c>
      <c r="BC158" s="45">
        <f>('[2]Renewable Diesel'!Q167*'[2]RD Feedstock Breakdown'!BC$3*'[2]Feedstock Conversion Rates'!B$3)/12</f>
        <v>1.4017500000000001</v>
      </c>
      <c r="BD158" s="45">
        <f>('[2]Renewable Diesel'!Q167*'[2]RD Feedstock Breakdown'!BD$3*'[2]Feedstock Conversion Rates'!B$6)/12</f>
        <v>0.8207500000000002</v>
      </c>
      <c r="BE158" s="47">
        <f t="shared" si="64"/>
        <v>13.378749999999998</v>
      </c>
      <c r="BF158" s="45">
        <f>('[2]Renewable Diesel'!R167*'[2]RD Feedstock Breakdown'!BF$3*'[2]Feedstock Conversion Rates'!B$4)/12</f>
        <v>62.5</v>
      </c>
      <c r="BG158" s="47">
        <f t="shared" si="47"/>
        <v>62.5</v>
      </c>
      <c r="BH158" s="45">
        <f>('[2]Renewable Diesel'!T167*'[2]RD Feedstock Breakdown'!BH$3*'[2]Feedstock Conversion Rates'!B$7)/12</f>
        <v>27.599999999999998</v>
      </c>
      <c r="BI158" s="47">
        <f t="shared" si="41"/>
        <v>27.599999999999998</v>
      </c>
      <c r="BJ158" s="45">
        <f>('[2]Renewable Diesel'!W167*'[2]RD Feedstock Breakdown'!BJ$3*'[2]Feedstock Conversion Rates'!B$4)/12</f>
        <v>7.5</v>
      </c>
      <c r="BK158" s="45">
        <f>('[2]Renewable Diesel'!W167*'[2]RD Feedstock Breakdown'!BK$3*'[2]Feedstock Conversion Rates'!B$3)/12</f>
        <v>1.335</v>
      </c>
      <c r="BL158" s="45">
        <f>('[2]Renewable Diesel'!W167*'[2]RD Feedstock Breakdown'!BL$3*'[2]Feedstock Conversion Rates'!B$6)/12</f>
        <v>3.1266666666666669</v>
      </c>
      <c r="BM158" s="45">
        <f>('[2]Renewable Diesel'!W167*'[2]RD Feedstock Breakdown'!BM$3*'[2]Feedstock Conversion Rates'!B$7)/12</f>
        <v>1.5333333333333332</v>
      </c>
      <c r="BN158" s="47">
        <f t="shared" si="78"/>
        <v>13.495000000000001</v>
      </c>
      <c r="BO158" s="45">
        <f>('[2]Renewable Diesel'!P167*'[2]Feedstock Conversion Rates'!B$4)/12</f>
        <v>31.25</v>
      </c>
      <c r="BP158" s="47">
        <f t="shared" si="72"/>
        <v>31.25</v>
      </c>
      <c r="BQ158" s="45"/>
      <c r="BR158" s="45"/>
      <c r="BS158" s="47"/>
      <c r="BT158" s="47"/>
      <c r="BU158" s="45">
        <f>('[2]Renewable Diesel'!Y167*'[2]Feedstock Conversion Rates'!B$7)/12</f>
        <v>2.6833333333333331</v>
      </c>
      <c r="BV158" s="47">
        <f t="shared" si="67"/>
        <v>2.6833333333333331</v>
      </c>
      <c r="BW158" s="47"/>
      <c r="BX158" s="47"/>
      <c r="BY158" s="47"/>
      <c r="BZ158" s="47"/>
      <c r="CA158" s="47"/>
      <c r="CB158" s="45">
        <f>('[2]Renewable Diesel'!AA167*'[2]Feedstock Conversion Rates'!B$4)/12</f>
        <v>191.25</v>
      </c>
      <c r="CC158" s="47">
        <f t="shared" si="79"/>
        <v>191.25</v>
      </c>
      <c r="CD158" s="45">
        <f>('[2]Renewable Diesel'!$AB167*'[2]RD Feedstock Breakdown'!CD$3*'[2]Feedstock Conversion Rates'!$B$6)/12</f>
        <v>0</v>
      </c>
      <c r="CE158" s="45">
        <f>('[2]Renewable Diesel'!$AB167*'[2]RD Feedstock Breakdown'!CE$3*'[2]Feedstock Conversion Rates'!$B$4)/12</f>
        <v>0</v>
      </c>
      <c r="CF158" s="47">
        <f t="shared" si="76"/>
        <v>0</v>
      </c>
      <c r="CG158" s="45">
        <f>('[2]Renewable Diesel'!AD167*'[2]Feedstock Conversion Rates'!B$4)/12</f>
        <v>46.875</v>
      </c>
      <c r="CH158" s="47">
        <f t="shared" si="63"/>
        <v>46.875</v>
      </c>
      <c r="CI158" s="45">
        <f>('[2]Renewable Diesel'!$AE167*'[2]RD Feedstock Breakdown'!CI$3*'[2]Feedstock Conversion Rates'!$B$5)/12</f>
        <v>0.17302083333333332</v>
      </c>
      <c r="CJ158" s="45">
        <f>('[2]Renewable Diesel'!$AE167*'[2]RD Feedstock Breakdown'!CJ$3*'[2]Feedstock Conversion Rates'!$B$4)/12</f>
        <v>0.171875</v>
      </c>
      <c r="CK158" s="47">
        <f t="shared" si="73"/>
        <v>0.34489583333333329</v>
      </c>
      <c r="CL158" s="45">
        <f>(((CL$3*'[2]Renewable Diesel'!$AF167)*'[2]Feedstock Conversion Rates'!$B$3)/12)</f>
        <v>30.037499999999998</v>
      </c>
      <c r="CM158" s="45">
        <f>(((CM$3*'[2]Renewable Diesel'!$AF167)*'[2]Feedstock Conversion Rates'!$B$6)/12)-10</f>
        <v>7.5875000000000021</v>
      </c>
      <c r="CN158" s="45">
        <f>(((CN$3*'[2]Renewable Diesel'!$AF167)*'[2]Feedstock Conversion Rates'!$B$4)/12)+10</f>
        <v>24.0625</v>
      </c>
      <c r="CO158" s="47">
        <f t="shared" si="65"/>
        <v>61.6875</v>
      </c>
      <c r="CP158" s="47"/>
      <c r="CQ158" s="47"/>
      <c r="CR158" s="47"/>
      <c r="CS158" s="47"/>
      <c r="CT158" s="45">
        <f>('[2]Renewable Diesel'!AI167*'[2]Feedstock Conversion Rates'!$B$4*'[2]RD Feedstock Breakdown'!$CT$3)/12</f>
        <v>29.375</v>
      </c>
      <c r="CU158" s="47">
        <f t="shared" si="69"/>
        <v>29.375</v>
      </c>
      <c r="CV158" s="47"/>
      <c r="CW158" s="47"/>
      <c r="CX158" s="47"/>
      <c r="CY158" s="47"/>
      <c r="CZ158" s="47"/>
      <c r="DA158" s="47"/>
      <c r="DB158" s="47"/>
      <c r="DC158" s="47"/>
      <c r="DD158" s="47"/>
      <c r="DE158" s="47"/>
      <c r="DF158" s="47"/>
      <c r="DG158" s="47"/>
      <c r="DH158" s="47"/>
      <c r="DI158" s="47"/>
      <c r="DJ158" s="45">
        <f>('[2]Renewable Diesel'!AT167*'[2]Feedstock Conversion Rates'!$B$4*0.25)/12</f>
        <v>0</v>
      </c>
      <c r="DK158" s="45">
        <f>('[2]Renewable Diesel'!$AT167*'[2]RD Feedstock Breakdown'!DK$3*'[2]Feedstock Conversion Rates'!$B$3)/12*0.5</f>
        <v>0</v>
      </c>
      <c r="DL158" s="45">
        <f>('[2]Renewable Diesel'!$AT167*'[2]RD Feedstock Breakdown'!$DL$3*'[2]Feedstock Conversion Rates'!$B$6)/12</f>
        <v>0</v>
      </c>
      <c r="DM158" s="45">
        <f>('[2]Renewable Diesel'!$AT167*'[2]RD Feedstock Breakdown'!$DM$3*'[2]Feedstock Conversion Rates'!$B$8)/12</f>
        <v>0</v>
      </c>
      <c r="DN158" s="47">
        <f t="shared" si="77"/>
        <v>0</v>
      </c>
      <c r="DP158" s="45">
        <f t="shared" si="48"/>
        <v>150.08250000000001</v>
      </c>
      <c r="DQ158" s="45">
        <f t="shared" si="49"/>
        <v>381.1549</v>
      </c>
      <c r="DR158" s="45">
        <f t="shared" si="57"/>
        <v>1141.890625</v>
      </c>
      <c r="DS158" s="45">
        <f t="shared" si="70"/>
        <v>259.17302083333334</v>
      </c>
      <c r="DT158" s="45">
        <f t="shared" si="50"/>
        <v>195.4942333333334</v>
      </c>
      <c r="DU158" s="45">
        <f t="shared" si="51"/>
        <v>247.298</v>
      </c>
      <c r="DV158" s="45">
        <f t="shared" si="58"/>
        <v>48.8046875</v>
      </c>
      <c r="DW158" s="45">
        <f t="shared" si="52"/>
        <v>2</v>
      </c>
      <c r="DX158" s="47">
        <f t="shared" si="53"/>
        <v>2425.8979666666664</v>
      </c>
      <c r="DY158" s="50">
        <f t="shared" si="54"/>
        <v>-5.6843418860808015E-14</v>
      </c>
      <c r="EA158" s="51">
        <f t="shared" si="80"/>
        <v>6.1866781728756148E-2</v>
      </c>
      <c r="EB158" s="51">
        <f t="shared" si="80"/>
        <v>0.15711909785048805</v>
      </c>
      <c r="EC158" s="51">
        <f t="shared" si="80"/>
        <v>0.47070843072968488</v>
      </c>
      <c r="ED158" s="51">
        <f t="shared" si="80"/>
        <v>0.10683591164778174</v>
      </c>
      <c r="EE158" s="51">
        <f t="shared" si="80"/>
        <v>8.0586337933229127E-2</v>
      </c>
      <c r="EF158" s="51">
        <f t="shared" si="80"/>
        <v>0.10194080847505829</v>
      </c>
      <c r="EG158" s="51">
        <f t="shared" si="80"/>
        <v>2.0118194652292261E-2</v>
      </c>
      <c r="EH158" s="52">
        <f t="shared" si="59"/>
        <v>8.2443698270959166E-4</v>
      </c>
      <c r="EI158" s="51">
        <f t="shared" si="60"/>
        <v>0.99917556301729038</v>
      </c>
      <c r="EK158" s="53">
        <f>(EA158*'[2]Renewable Diesel'!BF167*'[2]Feedstock Conversion Rates'!B$2)+FB158</f>
        <v>105.70883590780215</v>
      </c>
      <c r="EL158" s="53">
        <f>(EB158*'[2]Renewable Diesel'!BF167*'[2]Feedstock Conversion Rates'!B$3)+FC158</f>
        <v>252.98590923559368</v>
      </c>
      <c r="EM158" s="53">
        <f>(EC158*'[2]Renewable Diesel'!BF167*'[2]Feedstock Conversion Rates'!B$4)+FD158</f>
        <v>709.65632844748689</v>
      </c>
      <c r="EN158" s="53">
        <f>(ED158*'[2]Renewable Diesel'!BF167*'[2]Feedstock Conversion Rates'!B$5)+FE158</f>
        <v>162.14331639092745</v>
      </c>
      <c r="EO158" s="53">
        <f>(EE158*'[2]Renewable Diesel'!BF167*'[2]Feedstock Conversion Rates'!B$6)+FF158</f>
        <v>151.94943821485572</v>
      </c>
      <c r="EP158" s="53">
        <f>(EF158*'[2]Renewable Diesel'!BF167*'[2]Feedstock Conversion Rates'!B$7)+FG158</f>
        <v>188.52577753718936</v>
      </c>
      <c r="EQ158" s="53">
        <v>60</v>
      </c>
      <c r="ER158" s="53">
        <f>(EH158*'[2]Renewable Diesel'!BF167*'[2]Feedstock Conversion Rates'!B$9)+FI158</f>
        <v>1.5329713475583249</v>
      </c>
      <c r="ES158" s="53">
        <f t="shared" si="61"/>
        <v>1632.5025770814134</v>
      </c>
      <c r="ET158" s="36">
        <f>ES158/'[2]Renewable Diesel'!BF167</f>
        <v>8.1211781190755019</v>
      </c>
    </row>
    <row r="159" spans="1:150" x14ac:dyDescent="0.25">
      <c r="A159" s="39">
        <v>45261</v>
      </c>
      <c r="B159" s="45">
        <f>23-20+10+85-5-4-4-1.25+2.25-5+15-6-25-45+65+15-22.5-50+40+16.5+27.5+168+80+14-30+15-50+20-19+22.5-7-15+12+20-25-20-50-20-17.5-27.5-15+10-15-53-35-50+47-30-30-5.5+50+25-30+20+2+45+25+25+20+2.5+65-6-15+12.5-65-2.5-179+100-100+10+100.5+11+100-40-40-65-75</f>
        <v>1.5</v>
      </c>
      <c r="C159" s="45">
        <f t="shared" si="81"/>
        <v>229</v>
      </c>
      <c r="D159" s="45">
        <v>1</v>
      </c>
      <c r="E159" s="45">
        <f>('[2]Renewable Diesel'!B168*E$3*'[2]Feedstock Conversion Rates'!$B$2)/12-40+1.25+6-43+30-15+17.5+53+10-25+30-2.5-5+79-100+25-65-11</f>
        <v>35.180000000000007</v>
      </c>
      <c r="F159" s="45">
        <f>('[2]Renewable Diesel'!B168*'[2]RD Feedstock Breakdown'!F$3*'[2]Feedstock Conversion Rates'!B$8)/12-23+5-2.25+5+22.5-16.5-14-20+15+15+5.5-2-25+15-30+5</f>
        <v>9.15625</v>
      </c>
      <c r="G159" s="45">
        <f>('[2]Renewable Diesel'!B168*'[2]RD Feedstock Breakdown'!G$3*'[2]Feedstock Conversion Rates'!B$7)/12-25-15-25+4+4-20-40-20+10-17.5+20+50-12+32.5+35-75-75+22.5+5-20+40-4+150-100</f>
        <v>100.65700000000001</v>
      </c>
      <c r="H159" s="45">
        <f>('[2]Renewable Diesel'!B168*'[2]RD Feedstock Breakdown'!H$3*'[2]Feedstock Conversion Rates'!B$3)/12-85+4-15+70-65-80+50-22.5-5+25+27.5+35+50-25-65-12.5+65+12-10+100+75-125+40-100</f>
        <v>119.90022499999998</v>
      </c>
      <c r="I159" s="47">
        <f t="shared" si="75"/>
        <v>496.39347499999997</v>
      </c>
      <c r="J159" s="45">
        <f t="shared" si="82"/>
        <v>0.25</v>
      </c>
      <c r="K159" s="45"/>
      <c r="L159" s="45">
        <v>1</v>
      </c>
      <c r="M159" s="45">
        <f>('[2]Renewable Diesel'!C168*'[2]RD Feedstock Breakdown'!M$3*'[2]Feedstock Conversion Rates'!B$2)/12-15-40+2+117-25-2</f>
        <v>114.9025</v>
      </c>
      <c r="N159" s="45">
        <f>('[2]Renewable Diesel'!C168*'[2]RD Feedstock Breakdown'!N$3*'[2]Feedstock Conversion Rates'!B$8)/12+1.75+7-15-20+19.5</f>
        <v>29.96875</v>
      </c>
      <c r="O159" s="45">
        <f>('[2]Renewable Diesel'!C168*'[2]RD Feedstock Breakdown'!O$3*'[2]Feedstock Conversion Rates'!B$7)/12+30-120+25-17.5</f>
        <v>37.490999999999985</v>
      </c>
      <c r="P159" s="45">
        <f>('[2]Renewable Diesel'!C168*'[2]RD Feedstock Breakdown'!P$3*'[2]Feedstock Conversion Rates'!B$3)/12-15-59-10+15-7.5+15+75-25-2.5-25-15-20+25+100</f>
        <v>155.47042500000003</v>
      </c>
      <c r="Q159" s="47">
        <f t="shared" si="66"/>
        <v>339.08267499999999</v>
      </c>
      <c r="R159" s="45">
        <f>('[2]Renewable Diesel'!D168*'[2]RD Feedstock Breakdown'!R$3*'[2]Feedstock Conversion Rates'!B$7)/12</f>
        <v>2.2999999999999998</v>
      </c>
      <c r="S159" s="47">
        <f t="shared" si="44"/>
        <v>2.2999999999999998</v>
      </c>
      <c r="T159" s="45">
        <f>20+2.5-20-2.5+35-20+10</f>
        <v>25</v>
      </c>
      <c r="U159" s="45">
        <v>0</v>
      </c>
      <c r="V159" s="45">
        <f>('[2]Renewable Diesel'!E168*'[2]RD Feedstock Breakdown'!V$3*'[2]Feedstock Conversion Rates'!B$6)/12-20+20+2.5-35+20</f>
        <v>31.750150000000012</v>
      </c>
      <c r="W159" s="45">
        <f>('[2]Renewable Diesel'!E168*'[2]RD Feedstock Breakdown'!W$3*'[2]Feedstock Conversion Rates'!B$8)/12-2.5-10</f>
        <v>9.6796875</v>
      </c>
      <c r="X159" s="47">
        <f t="shared" si="62"/>
        <v>66.429837500000019</v>
      </c>
      <c r="Y159" s="45">
        <f>30-30+50-20+20-2-35-13</f>
        <v>0</v>
      </c>
      <c r="Z159" s="45">
        <f>('[2]Renewable Diesel'!F168*'[2]RD Feedstock Breakdown'!Z$3*'[2]Feedstock Conversion Rates'!B$6)/12-30+20-20</f>
        <v>14.555000000000007</v>
      </c>
      <c r="AA159" s="45">
        <f>('[2]Renewable Diesel'!F168*'[2]RD Feedstock Breakdown'!AA$3*'[2]Feedstock Conversion Rates'!B$7)/12+30-50+2+35+13</f>
        <v>59.133333333333326</v>
      </c>
      <c r="AB159" s="47">
        <f t="shared" si="39"/>
        <v>73.688333333333333</v>
      </c>
      <c r="AC159" s="45">
        <f>('[2]Renewable Diesel'!G168*'[2]RD Feedstock Breakdown'!AC$3*'[2]Feedstock Conversion Rates'!B$5)/12</f>
        <v>0</v>
      </c>
      <c r="AD159" s="45">
        <f>('[2]Renewable Diesel'!G168*'[2]RD Feedstock Breakdown'!AD$3*'[2]Feedstock Conversion Rates'!B$4)/12</f>
        <v>0</v>
      </c>
      <c r="AE159" s="45">
        <f>('[2]Renewable Diesel'!G168*'[2]RD Feedstock Breakdown'!AE$3*'[2]Feedstock Conversion Rates'!B$6)/12</f>
        <v>0</v>
      </c>
      <c r="AF159" s="47">
        <f t="shared" si="71"/>
        <v>0</v>
      </c>
      <c r="AG159" s="45">
        <f>130+23-3-51-99+50+150-80-10-15+60-45-30</f>
        <v>80</v>
      </c>
      <c r="AH159" s="45">
        <v>0</v>
      </c>
      <c r="AI159" s="45">
        <f>('[2]Renewable Diesel'!H168*'[2]RD Feedstock Breakdown'!AI$3*'[2]Feedstock Conversion Rates'!B$6)/12-130-23+3+51+99-50-150+80+10+15-60+45+30</f>
        <v>41.158333333333346</v>
      </c>
      <c r="AJ159" s="47">
        <f t="shared" si="42"/>
        <v>121.15833333333335</v>
      </c>
      <c r="AK159" s="45">
        <f>('[2]Renewable Diesel'!J168*'[2]RD Feedstock Breakdown'!AK$3*'[2]Feedstock Conversion Rates'!B$4)/12</f>
        <v>95.8125</v>
      </c>
      <c r="AL159" s="47">
        <f t="shared" si="45"/>
        <v>95.8125</v>
      </c>
      <c r="AM159" s="45">
        <f>('[2]Renewable Diesel'!K168*'[2]RD Feedstock Breakdown'!AM$3*'[2]Feedstock Conversion Rates'!B$4)/12+20-30</f>
        <v>48.59375</v>
      </c>
      <c r="AN159" s="45">
        <f>('[2]Renewable Diesel'!K168*'[2]RD Feedstock Breakdown'!AN$3*'[2]Feedstock Conversion Rates'!B$6)/12-20+30</f>
        <v>34.427083333333329</v>
      </c>
      <c r="AO159" s="47">
        <f t="shared" si="56"/>
        <v>83.020833333333329</v>
      </c>
      <c r="AP159" s="45">
        <f>('[2]Renewable Diesel'!L168*'[2]RD Feedstock Breakdown'!AP$3*'[2]Feedstock Conversion Rates'!B$4)/12+15-5+10</f>
        <v>78.59375</v>
      </c>
      <c r="AQ159" s="45">
        <f>('[2]Renewable Diesel'!L168*'[2]RD Feedstock Breakdown'!AQ$3*'[2]Feedstock Conversion Rates'!B$6)/12-15+5-10</f>
        <v>4.4270833333333321</v>
      </c>
      <c r="AR159" s="47">
        <f t="shared" si="46"/>
        <v>83.020833333333329</v>
      </c>
      <c r="AS159" s="45">
        <f>('[2]Renewable Diesel'!M168*'[2]RD Feedstock Breakdown'!AS$3*'[2]Feedstock Conversion Rates'!B$4)/12</f>
        <v>456.25</v>
      </c>
      <c r="AT159" s="45">
        <f>('[2]Renewable Diesel'!M168*'[2]RD Feedstock Breakdown'!AT$3*'[2]Feedstock Conversion Rates'!B$5)/12</f>
        <v>0</v>
      </c>
      <c r="AU159" s="47">
        <f t="shared" si="74"/>
        <v>456.25</v>
      </c>
      <c r="AV159" s="45">
        <f>'[2]Renewable Diesel'!N168*'[2]RD Feedstock Breakdown'!$AV$3*'[2]Feedstock Conversion Rates'!$B$4/12-15-10+25+25-22-75+75+22.5</f>
        <v>104.24999999999999</v>
      </c>
      <c r="AW159" s="45">
        <f>'[2]Renewable Diesel'!N168*'[2]RD Feedstock Breakdown'!$AW$3*'[2]Feedstock Conversion Rates'!$B$7/12+15+10-25-25+22+75-75-22.5</f>
        <v>15.900000000000006</v>
      </c>
      <c r="AX159" s="47">
        <f t="shared" si="40"/>
        <v>120.14999999999999</v>
      </c>
      <c r="AY159" s="45">
        <f>('[2]Renewable Diesel'!O168*'[2]RD Feedstock Breakdown'!AY$3*'[2]Feedstock Conversion Rates'!B$4)/12+5-70</f>
        <v>2.5</v>
      </c>
      <c r="AZ159" s="45">
        <f>('[2]Renewable Diesel'!O168*'[2]RD Feedstock Breakdown'!AZ$3*'[2]Feedstock Conversion Rates'!B$3)/12-5+70</f>
        <v>73.010000000000005</v>
      </c>
      <c r="BA159" s="47">
        <f t="shared" si="43"/>
        <v>75.510000000000005</v>
      </c>
      <c r="BB159" s="45">
        <f>('[2]Renewable Diesel'!Q168*'[2]RD Feedstock Breakdown'!BB$3*'[2]Feedstock Conversion Rates'!B$4)/12</f>
        <v>11.156249999999998</v>
      </c>
      <c r="BC159" s="45">
        <f>('[2]Renewable Diesel'!Q168*'[2]RD Feedstock Breakdown'!BC$3*'[2]Feedstock Conversion Rates'!B$3)/12</f>
        <v>1.4017500000000001</v>
      </c>
      <c r="BD159" s="45">
        <f>('[2]Renewable Diesel'!Q168*'[2]RD Feedstock Breakdown'!BD$3*'[2]Feedstock Conversion Rates'!B$6)/12</f>
        <v>0.8207500000000002</v>
      </c>
      <c r="BE159" s="47">
        <f t="shared" si="64"/>
        <v>13.378749999999998</v>
      </c>
      <c r="BF159" s="45">
        <f>('[2]Renewable Diesel'!R168*'[2]RD Feedstock Breakdown'!BF$3*'[2]Feedstock Conversion Rates'!B$4)/12</f>
        <v>62.5</v>
      </c>
      <c r="BG159" s="47">
        <f t="shared" si="47"/>
        <v>62.5</v>
      </c>
      <c r="BH159" s="45">
        <f>('[2]Renewable Diesel'!T168*'[2]RD Feedstock Breakdown'!BH$3*'[2]Feedstock Conversion Rates'!B$7)/12</f>
        <v>27.599999999999998</v>
      </c>
      <c r="BI159" s="47">
        <f t="shared" si="41"/>
        <v>27.599999999999998</v>
      </c>
      <c r="BJ159" s="45">
        <f>('[2]Renewable Diesel'!W168*'[2]RD Feedstock Breakdown'!BJ$3*'[2]Feedstock Conversion Rates'!B$4)/12</f>
        <v>7.5</v>
      </c>
      <c r="BK159" s="45">
        <f>('[2]Renewable Diesel'!W168*'[2]RD Feedstock Breakdown'!BK$3*'[2]Feedstock Conversion Rates'!B$3)/12</f>
        <v>1.335</v>
      </c>
      <c r="BL159" s="45">
        <f>('[2]Renewable Diesel'!W168*'[2]RD Feedstock Breakdown'!BL$3*'[2]Feedstock Conversion Rates'!B$6)/12</f>
        <v>3.1266666666666669</v>
      </c>
      <c r="BM159" s="45">
        <f>('[2]Renewable Diesel'!W168*'[2]RD Feedstock Breakdown'!BM$3*'[2]Feedstock Conversion Rates'!B$7)/12</f>
        <v>1.5333333333333332</v>
      </c>
      <c r="BN159" s="47">
        <f t="shared" si="78"/>
        <v>13.495000000000001</v>
      </c>
      <c r="BO159" s="45">
        <f>('[2]Renewable Diesel'!P168*'[2]Feedstock Conversion Rates'!B$4)/12</f>
        <v>31.25</v>
      </c>
      <c r="BP159" s="47">
        <f t="shared" si="72"/>
        <v>31.25</v>
      </c>
      <c r="BQ159" s="45"/>
      <c r="BR159" s="45"/>
      <c r="BS159" s="47"/>
      <c r="BT159" s="47"/>
      <c r="BU159" s="45">
        <f>('[2]Renewable Diesel'!Y168*'[2]Feedstock Conversion Rates'!B$7)/12</f>
        <v>2.6833333333333331</v>
      </c>
      <c r="BV159" s="47">
        <f t="shared" si="67"/>
        <v>2.6833333333333331</v>
      </c>
      <c r="BW159" s="47"/>
      <c r="BX159" s="47"/>
      <c r="BY159" s="47"/>
      <c r="BZ159" s="47"/>
      <c r="CA159" s="47"/>
      <c r="CB159" s="45">
        <f>('[2]Renewable Diesel'!AA168*'[2]Feedstock Conversion Rates'!B$4)/12</f>
        <v>191.25</v>
      </c>
      <c r="CC159" s="47">
        <f t="shared" si="79"/>
        <v>191.25</v>
      </c>
      <c r="CD159" s="45">
        <f>('[2]Renewable Diesel'!$AB168*'[2]RD Feedstock Breakdown'!CD$3*'[2]Feedstock Conversion Rates'!$B$6)/12</f>
        <v>0</v>
      </c>
      <c r="CE159" s="45">
        <f>('[2]Renewable Diesel'!$AB168*'[2]RD Feedstock Breakdown'!CE$3*'[2]Feedstock Conversion Rates'!$B$4)/12</f>
        <v>0</v>
      </c>
      <c r="CF159" s="47">
        <f t="shared" si="76"/>
        <v>0</v>
      </c>
      <c r="CG159" s="45">
        <f>('[2]Renewable Diesel'!AD168*'[2]Feedstock Conversion Rates'!B$4)/12</f>
        <v>112.5</v>
      </c>
      <c r="CH159" s="47">
        <f t="shared" si="63"/>
        <v>112.5</v>
      </c>
      <c r="CI159" s="45">
        <f>('[2]Renewable Diesel'!$AE168*'[2]RD Feedstock Breakdown'!CI$3*'[2]Feedstock Conversion Rates'!$B$5)/12</f>
        <v>0.17302083333333332</v>
      </c>
      <c r="CJ159" s="45">
        <f>('[2]Renewable Diesel'!$AE168*'[2]RD Feedstock Breakdown'!CJ$3*'[2]Feedstock Conversion Rates'!$B$4)/12</f>
        <v>0.171875</v>
      </c>
      <c r="CK159" s="47">
        <f t="shared" si="73"/>
        <v>0.34489583333333329</v>
      </c>
      <c r="CL159" s="45">
        <f>(((CL$3*'[2]Renewable Diesel'!$AF168)*'[2]Feedstock Conversion Rates'!$B$3)/12)</f>
        <v>30.037499999999998</v>
      </c>
      <c r="CM159" s="45">
        <f>(((CM$3*'[2]Renewable Diesel'!$AF168)*'[2]Feedstock Conversion Rates'!$B$6)/12)-10</f>
        <v>7.5875000000000021</v>
      </c>
      <c r="CN159" s="45">
        <f>(((CN$3*'[2]Renewable Diesel'!$AF168)*'[2]Feedstock Conversion Rates'!$B$4)/12)+10</f>
        <v>24.0625</v>
      </c>
      <c r="CO159" s="47">
        <f t="shared" si="65"/>
        <v>61.6875</v>
      </c>
      <c r="CP159" s="47"/>
      <c r="CQ159" s="47"/>
      <c r="CR159" s="47"/>
      <c r="CS159" s="47"/>
      <c r="CT159" s="45">
        <f>('[2]Renewable Diesel'!AI168*'[2]Feedstock Conversion Rates'!$B$4*'[2]RD Feedstock Breakdown'!$CT$3)/12</f>
        <v>29.375</v>
      </c>
      <c r="CU159" s="47">
        <f t="shared" si="69"/>
        <v>29.375</v>
      </c>
      <c r="CV159" s="47"/>
      <c r="CW159" s="47"/>
      <c r="CX159" s="47"/>
      <c r="CY159" s="47"/>
      <c r="CZ159" s="47"/>
      <c r="DA159" s="47"/>
      <c r="DB159" s="47"/>
      <c r="DC159" s="47"/>
      <c r="DD159" s="47"/>
      <c r="DE159" s="47"/>
      <c r="DF159" s="47"/>
      <c r="DG159" s="47"/>
      <c r="DH159" s="47"/>
      <c r="DI159" s="47"/>
      <c r="DJ159" s="45">
        <f>('[2]Renewable Diesel'!AT168*'[2]Feedstock Conversion Rates'!$B$4*0.25)/12</f>
        <v>0</v>
      </c>
      <c r="DK159" s="45">
        <f>('[2]Renewable Diesel'!$AT168*'[2]RD Feedstock Breakdown'!DK$3*'[2]Feedstock Conversion Rates'!$B$3)/12*0.5</f>
        <v>0</v>
      </c>
      <c r="DL159" s="45">
        <f>('[2]Renewable Diesel'!$AT168*'[2]RD Feedstock Breakdown'!$DL$3*'[2]Feedstock Conversion Rates'!$B$6)/12</f>
        <v>0</v>
      </c>
      <c r="DM159" s="45">
        <f>('[2]Renewable Diesel'!$AT168*'[2]RD Feedstock Breakdown'!$DM$3*'[2]Feedstock Conversion Rates'!$B$8)/12</f>
        <v>0</v>
      </c>
      <c r="DN159" s="47">
        <f t="shared" si="77"/>
        <v>0</v>
      </c>
      <c r="DP159" s="45">
        <f t="shared" si="48"/>
        <v>150.08250000000001</v>
      </c>
      <c r="DQ159" s="45">
        <f t="shared" si="49"/>
        <v>381.1549</v>
      </c>
      <c r="DR159" s="45">
        <f t="shared" si="57"/>
        <v>1257.515625</v>
      </c>
      <c r="DS159" s="45">
        <f t="shared" si="70"/>
        <v>334.17302083333334</v>
      </c>
      <c r="DT159" s="45">
        <f t="shared" si="50"/>
        <v>137.85256666666669</v>
      </c>
      <c r="DU159" s="45">
        <f t="shared" si="51"/>
        <v>247.298</v>
      </c>
      <c r="DV159" s="45">
        <f t="shared" si="58"/>
        <v>48.8046875</v>
      </c>
      <c r="DW159" s="45">
        <f t="shared" si="52"/>
        <v>2</v>
      </c>
      <c r="DX159" s="47">
        <f t="shared" si="53"/>
        <v>2558.8813</v>
      </c>
      <c r="DY159" s="50">
        <f t="shared" si="54"/>
        <v>-5.6843418860808015E-14</v>
      </c>
      <c r="EA159" s="51">
        <f t="shared" si="80"/>
        <v>5.8651606856480611E-2</v>
      </c>
      <c r="EB159" s="51">
        <f t="shared" si="80"/>
        <v>0.14895372442637336</v>
      </c>
      <c r="EC159" s="51">
        <f t="shared" si="80"/>
        <v>0.49143179286979821</v>
      </c>
      <c r="ED159" s="51">
        <f t="shared" si="80"/>
        <v>0.13059340456055282</v>
      </c>
      <c r="EE159" s="51">
        <f t="shared" si="80"/>
        <v>5.3872200584945733E-2</v>
      </c>
      <c r="EF159" s="51">
        <f t="shared" si="80"/>
        <v>9.6643013491872404E-2</v>
      </c>
      <c r="EG159" s="51">
        <f t="shared" si="80"/>
        <v>1.9072665660575971E-2</v>
      </c>
      <c r="EH159" s="52">
        <f t="shared" si="59"/>
        <v>7.8159154940090421E-4</v>
      </c>
      <c r="EI159" s="51">
        <f t="shared" si="60"/>
        <v>0.99921840845059906</v>
      </c>
      <c r="EK159" s="53">
        <f>(EA159*'[2]Renewable Diesel'!BF168*'[2]Feedstock Conversion Rates'!B$2)+FB159</f>
        <v>135.28671324640237</v>
      </c>
      <c r="EL159" s="53">
        <f>(EB159*'[2]Renewable Diesel'!BF168*'[2]Feedstock Conversion Rates'!B$3)+FC159</f>
        <v>323.77267107536107</v>
      </c>
      <c r="EM159" s="53">
        <f>(EC159*'[2]Renewable Diesel'!BF168*'[2]Feedstock Conversion Rates'!B$4)+FD159</f>
        <v>1000.1861080067461</v>
      </c>
      <c r="EN159" s="53">
        <f>(ED159*'[2]Renewable Diesel'!BF168*'[2]Feedstock Conversion Rates'!B$5)+FE159</f>
        <v>267.56204151515271</v>
      </c>
      <c r="EO159" s="53">
        <f>(EE159*'[2]Renewable Diesel'!BF168*'[2]Feedstock Conversion Rates'!B$6)+FF159</f>
        <v>137.12727941738117</v>
      </c>
      <c r="EP159" s="53">
        <f>(EF159*'[2]Renewable Diesel'!BF168*'[2]Feedstock Conversion Rates'!B$7)+FG159</f>
        <v>241.27626216103576</v>
      </c>
      <c r="EQ159" s="53">
        <f>(EG159*'[2]Renewable Diesel'!BF168*'[2]Feedstock Conversion Rates'!B$8)+FH159</f>
        <v>48.522031727349798</v>
      </c>
      <c r="ER159" s="53">
        <f>(EH159*'[2]Renewable Diesel'!BF168*'[2]Feedstock Conversion Rates'!B$9)+FI159</f>
        <v>1.9619046348496121</v>
      </c>
      <c r="ES159" s="53">
        <f t="shared" si="61"/>
        <v>2155.6950117842789</v>
      </c>
      <c r="ET159" s="36">
        <f>ES159/'[2]Renewable Diesel'!BF168</f>
        <v>7.9438495699028735</v>
      </c>
    </row>
    <row r="160" spans="1:150" x14ac:dyDescent="0.25">
      <c r="A160" s="39">
        <v>45292</v>
      </c>
      <c r="B160" s="45">
        <f>23-20+10+85-5-4-4-1.25+2.25-5+15-6-25-45+65+15-22.5-50+40+16.5+27.5+168+80+14-30+15-50+20-19+22.5-7-15+12+20-25-20-50-20-17.5-27.5-15+10-15-53-35-50+47-30-30-5.5+50+25-30+20+2+45+25+25+20+2.5+65-6-15+12.5-65-2.5-179+100-100+10+100.5+11+100-40-40-65-2.5-50-3</f>
        <v>21</v>
      </c>
      <c r="C160" s="45">
        <f>40-10-10-1+6+5+20+65+25-5-100+4+65-50+200</f>
        <v>254</v>
      </c>
      <c r="D160" s="45">
        <v>1</v>
      </c>
      <c r="E160" s="45">
        <f>('[2]Renewable Diesel'!B169*E$3*'[2]Feedstock Conversion Rates'!$B$2)/12-40+1.25+6-43+30-15+17.5+53+10-25+30-2.5-5+79-100+25-65-11</f>
        <v>35.180000000000007</v>
      </c>
      <c r="F160" s="45">
        <f>('[2]Renewable Diesel'!B169*'[2]RD Feedstock Breakdown'!F$3*'[2]Feedstock Conversion Rates'!B$8)/12-23+5-2.25+5+22.5-16.5-14-20+15+15+1-2-20+20-1-30+3+3</f>
        <v>14.65625</v>
      </c>
      <c r="G160" s="45">
        <f>('[2]Renewable Diesel'!B169*'[2]RD Feedstock Breakdown'!G$3*'[2]Feedstock Conversion Rates'!B$7)/12-25-15-25+4+4-20-40-20+10-17.5+20+50-12+32.5+35-75-75+22.5+5-20+40-4+100-100</f>
        <v>50.657000000000011</v>
      </c>
      <c r="H160" s="45">
        <f>('[2]Renewable Diesel'!B169*'[2]RD Feedstock Breakdown'!H$3*'[2]Feedstock Conversion Rates'!B$3)/12-85+4-15+70-65-80+50-22.5-5+25+27.5+35+50-25-65-12.5+65+12-10+100+75-125+40-100</f>
        <v>119.90022499999998</v>
      </c>
      <c r="I160" s="47">
        <f t="shared" si="75"/>
        <v>496.39347499999997</v>
      </c>
      <c r="J160" s="45">
        <f t="shared" si="82"/>
        <v>0.25</v>
      </c>
      <c r="K160" s="45"/>
      <c r="L160" s="45">
        <v>1</v>
      </c>
      <c r="M160" s="45">
        <f>('[2]Renewable Diesel'!C169*'[2]RD Feedstock Breakdown'!M$3*'[2]Feedstock Conversion Rates'!B$2)/12-15-40+2+117-25-2</f>
        <v>114.9025</v>
      </c>
      <c r="N160" s="45">
        <f>('[2]Renewable Diesel'!C169*'[2]RD Feedstock Breakdown'!N$3*'[2]Feedstock Conversion Rates'!B$8)/12+1.75+7-15-20+19.5</f>
        <v>29.96875</v>
      </c>
      <c r="O160" s="45">
        <f>('[2]Renewable Diesel'!C169*'[2]RD Feedstock Breakdown'!O$3*'[2]Feedstock Conversion Rates'!B$7)/12+30-120+25-17.5</f>
        <v>37.490999999999985</v>
      </c>
      <c r="P160" s="45">
        <f>('[2]Renewable Diesel'!C169*'[2]RD Feedstock Breakdown'!P$3*'[2]Feedstock Conversion Rates'!B$3)/12-15-59-10+15-7.5+15+75-25-2.5-25-15-20+25+100</f>
        <v>155.47042500000003</v>
      </c>
      <c r="Q160" s="47">
        <f>SUM(J160:P160)</f>
        <v>339.08267499999999</v>
      </c>
      <c r="R160" s="45">
        <f>('[2]Renewable Diesel'!D169*'[2]RD Feedstock Breakdown'!R$3*'[2]Feedstock Conversion Rates'!B$7)/12</f>
        <v>2.2999999999999998</v>
      </c>
      <c r="S160" s="47">
        <f t="shared" si="44"/>
        <v>2.2999999999999998</v>
      </c>
      <c r="T160" s="45">
        <f>20+2.5-20-2.5+35-20+10</f>
        <v>25</v>
      </c>
      <c r="U160" s="45">
        <v>0</v>
      </c>
      <c r="V160" s="45">
        <f>('[2]Renewable Diesel'!E169*'[2]RD Feedstock Breakdown'!V$3*'[2]Feedstock Conversion Rates'!B$6)/12-20+20-35+20</f>
        <v>29.250150000000012</v>
      </c>
      <c r="W160" s="45">
        <f>('[2]Renewable Diesel'!E169*'[2]RD Feedstock Breakdown'!W$3*'[2]Feedstock Conversion Rates'!B$8)/12-10</f>
        <v>12.1796875</v>
      </c>
      <c r="X160" s="47">
        <f t="shared" si="62"/>
        <v>66.429837500000019</v>
      </c>
      <c r="Y160" s="45">
        <v>78</v>
      </c>
      <c r="Z160" s="45">
        <f>('[2]Renewable Diesel'!F169*'[2]RD Feedstock Breakdown'!Z$3*'[2]Feedstock Conversion Rates'!B$6)/12-78</f>
        <v>-33.444999999999993</v>
      </c>
      <c r="AA160" s="45">
        <f>('[2]Renewable Diesel'!F169*'[2]RD Feedstock Breakdown'!AA$3*'[2]Feedstock Conversion Rates'!B$7)/12</f>
        <v>29.133333333333329</v>
      </c>
      <c r="AB160" s="47">
        <f t="shared" si="39"/>
        <v>73.688333333333333</v>
      </c>
      <c r="AC160" s="45">
        <f>('[2]Renewable Diesel'!G169*'[2]RD Feedstock Breakdown'!AC$3*'[2]Feedstock Conversion Rates'!B$5)/12</f>
        <v>0</v>
      </c>
      <c r="AD160" s="45">
        <f>('[2]Renewable Diesel'!G169*'[2]RD Feedstock Breakdown'!AD$3*'[2]Feedstock Conversion Rates'!B$4)/12</f>
        <v>0</v>
      </c>
      <c r="AE160" s="45">
        <f>('[2]Renewable Diesel'!G169*'[2]RD Feedstock Breakdown'!AE$3*'[2]Feedstock Conversion Rates'!B$6)/12</f>
        <v>0</v>
      </c>
      <c r="AF160" s="47">
        <f t="shared" si="71"/>
        <v>0</v>
      </c>
      <c r="AG160" s="45">
        <f>130+23-3-51-99+50+150-80-10-15+60-15-140+85</f>
        <v>85</v>
      </c>
      <c r="AH160" s="45">
        <v>0</v>
      </c>
      <c r="AI160" s="45">
        <f>('[2]Renewable Diesel'!H169*'[2]RD Feedstock Breakdown'!AI$3*'[2]Feedstock Conversion Rates'!B$6)/12-130-23+3+51+99-50-150+80+10+15-60+15+140-85</f>
        <v>63.51666666666668</v>
      </c>
      <c r="AJ160" s="47">
        <f t="shared" si="42"/>
        <v>148.51666666666668</v>
      </c>
      <c r="AK160" s="45">
        <f>('[2]Renewable Diesel'!J169*'[2]RD Feedstock Breakdown'!AK$3*'[2]Feedstock Conversion Rates'!B$4)/12</f>
        <v>95.8125</v>
      </c>
      <c r="AL160" s="47">
        <f t="shared" si="45"/>
        <v>95.8125</v>
      </c>
      <c r="AM160" s="45">
        <f>('[2]Renewable Diesel'!K169*'[2]RD Feedstock Breakdown'!AM$3*'[2]Feedstock Conversion Rates'!B$4)/12+20-30</f>
        <v>48.59375</v>
      </c>
      <c r="AN160" s="45">
        <f>('[2]Renewable Diesel'!K169*'[2]RD Feedstock Breakdown'!AN$3*'[2]Feedstock Conversion Rates'!B$6)/12-20+30</f>
        <v>34.427083333333329</v>
      </c>
      <c r="AO160" s="47">
        <f t="shared" si="56"/>
        <v>83.020833333333329</v>
      </c>
      <c r="AP160" s="45">
        <f>('[2]Renewable Diesel'!L169*'[2]RD Feedstock Breakdown'!AP$3*'[2]Feedstock Conversion Rates'!B$4)/12+15-10+15</f>
        <v>78.59375</v>
      </c>
      <c r="AQ160" s="45">
        <f>('[2]Renewable Diesel'!L169*'[2]RD Feedstock Breakdown'!AQ$3*'[2]Feedstock Conversion Rates'!B$6)/12-15+10-15</f>
        <v>4.4270833333333321</v>
      </c>
      <c r="AR160" s="47">
        <f t="shared" si="46"/>
        <v>83.020833333333329</v>
      </c>
      <c r="AS160" s="45">
        <f>('[2]Renewable Diesel'!M169*'[2]RD Feedstock Breakdown'!AS$3*'[2]Feedstock Conversion Rates'!B$4)/12</f>
        <v>456.25</v>
      </c>
      <c r="AT160" s="45">
        <f>('[2]Renewable Diesel'!M169*'[2]RD Feedstock Breakdown'!AT$3*'[2]Feedstock Conversion Rates'!B$5)/12</f>
        <v>0</v>
      </c>
      <c r="AU160" s="47">
        <f t="shared" si="74"/>
        <v>456.25</v>
      </c>
      <c r="AV160" s="45">
        <f>'[2]Renewable Diesel'!N169*'[2]RD Feedstock Breakdown'!$AV$3*'[2]Feedstock Conversion Rates'!$B$4/12-15-10+25+25-22-75+75+22.5</f>
        <v>104.24999999999999</v>
      </c>
      <c r="AW160" s="45">
        <f>'[2]Renewable Diesel'!N169*'[2]RD Feedstock Breakdown'!$AW$3*'[2]Feedstock Conversion Rates'!$B$7/12+15+10-25-25+22+75-75-22.5</f>
        <v>15.900000000000006</v>
      </c>
      <c r="AX160" s="47">
        <f t="shared" si="40"/>
        <v>120.14999999999999</v>
      </c>
      <c r="AY160" s="45">
        <f>('[2]Renewable Diesel'!O169*'[2]RD Feedstock Breakdown'!AY$3*'[2]Feedstock Conversion Rates'!B$4)/12-60</f>
        <v>7.5</v>
      </c>
      <c r="AZ160" s="45">
        <f>('[2]Renewable Diesel'!O169*'[2]RD Feedstock Breakdown'!AZ$3*'[2]Feedstock Conversion Rates'!B$3)/12+60</f>
        <v>68.010000000000005</v>
      </c>
      <c r="BA160" s="47">
        <f>SUM(AY160:AZ160)</f>
        <v>75.510000000000005</v>
      </c>
      <c r="BB160" s="45">
        <f>('[2]Renewable Diesel'!Q169*'[2]RD Feedstock Breakdown'!BB$3*'[2]Feedstock Conversion Rates'!B$4)/12</f>
        <v>11.156249999999998</v>
      </c>
      <c r="BC160" s="45">
        <f>('[2]Renewable Diesel'!Q169*'[2]RD Feedstock Breakdown'!BC$3*'[2]Feedstock Conversion Rates'!B$3)/12</f>
        <v>1.4017500000000001</v>
      </c>
      <c r="BD160" s="45">
        <f>('[2]Renewable Diesel'!Q169*'[2]RD Feedstock Breakdown'!BD$3*'[2]Feedstock Conversion Rates'!B$6)/12</f>
        <v>0.8207500000000002</v>
      </c>
      <c r="BE160" s="47">
        <f t="shared" si="64"/>
        <v>13.378749999999998</v>
      </c>
      <c r="BF160" s="45">
        <f>('[2]Renewable Diesel'!R169*'[2]RD Feedstock Breakdown'!BF$3*'[2]Feedstock Conversion Rates'!B$4)/12</f>
        <v>62.5</v>
      </c>
      <c r="BG160" s="47">
        <f t="shared" si="47"/>
        <v>62.5</v>
      </c>
      <c r="BH160" s="45">
        <f>('[2]Renewable Diesel'!T169*'[2]RD Feedstock Breakdown'!BH$3*'[2]Feedstock Conversion Rates'!B$7)/12</f>
        <v>27.599999999999998</v>
      </c>
      <c r="BI160" s="47">
        <f t="shared" si="41"/>
        <v>27.599999999999998</v>
      </c>
      <c r="BJ160" s="45">
        <f>('[2]Renewable Diesel'!W169*'[2]RD Feedstock Breakdown'!BJ$3*'[2]Feedstock Conversion Rates'!B$4)/12</f>
        <v>7.5</v>
      </c>
      <c r="BK160" s="45">
        <f>('[2]Renewable Diesel'!W169*'[2]RD Feedstock Breakdown'!BK$3*'[2]Feedstock Conversion Rates'!B$3)/12</f>
        <v>1.335</v>
      </c>
      <c r="BL160" s="45">
        <f>('[2]Renewable Diesel'!W169*'[2]RD Feedstock Breakdown'!BL$3*'[2]Feedstock Conversion Rates'!B$6)/12</f>
        <v>3.1266666666666669</v>
      </c>
      <c r="BM160" s="45">
        <f>('[2]Renewable Diesel'!W169*'[2]RD Feedstock Breakdown'!BM$3*'[2]Feedstock Conversion Rates'!B$7)/12</f>
        <v>1.5333333333333332</v>
      </c>
      <c r="BN160" s="47">
        <f t="shared" si="78"/>
        <v>13.495000000000001</v>
      </c>
      <c r="BO160" s="45">
        <f>('[2]Renewable Diesel'!P169*'[2]Feedstock Conversion Rates'!B$4)/12</f>
        <v>31.25</v>
      </c>
      <c r="BP160" s="47">
        <f t="shared" si="72"/>
        <v>31.25</v>
      </c>
      <c r="BQ160" s="45"/>
      <c r="BR160" s="45"/>
      <c r="BS160" s="47"/>
      <c r="BT160" s="47"/>
      <c r="BU160" s="45">
        <f>('[2]Renewable Diesel'!Y169*'[2]Feedstock Conversion Rates'!B$7)/12</f>
        <v>2.6833333333333331</v>
      </c>
      <c r="BV160" s="47">
        <f t="shared" si="67"/>
        <v>2.6833333333333331</v>
      </c>
      <c r="BW160" s="45"/>
      <c r="BX160" s="45"/>
      <c r="BY160" s="45"/>
      <c r="BZ160" s="45"/>
      <c r="CA160" s="47"/>
      <c r="CB160" s="45">
        <f>('[2]Renewable Diesel'!AA169*'[2]Feedstock Conversion Rates'!B$4)/12</f>
        <v>191.25</v>
      </c>
      <c r="CC160" s="47">
        <f t="shared" si="79"/>
        <v>191.25</v>
      </c>
      <c r="CD160" s="45">
        <f>('[2]Renewable Diesel'!$AB169*'[2]RD Feedstock Breakdown'!CD$3*'[2]Feedstock Conversion Rates'!$B$6)/12</f>
        <v>0</v>
      </c>
      <c r="CE160" s="45">
        <f>('[2]Renewable Diesel'!$AB169*'[2]RD Feedstock Breakdown'!CE$3*'[2]Feedstock Conversion Rates'!$B$4)/12</f>
        <v>0</v>
      </c>
      <c r="CF160" s="47">
        <f t="shared" si="76"/>
        <v>0</v>
      </c>
      <c r="CG160" s="45">
        <f>('[2]Renewable Diesel'!AD169*'[2]Feedstock Conversion Rates'!B$4)/12</f>
        <v>112.5</v>
      </c>
      <c r="CH160" s="47">
        <f t="shared" si="63"/>
        <v>112.5</v>
      </c>
      <c r="CI160" s="45">
        <f>('[2]Renewable Diesel'!$AE169*'[2]RD Feedstock Breakdown'!CI$3*'[2]Feedstock Conversion Rates'!$B$5)/12</f>
        <v>0.17302083333333332</v>
      </c>
      <c r="CJ160" s="45">
        <f>('[2]Renewable Diesel'!$AE169*'[2]RD Feedstock Breakdown'!CJ$3*'[2]Feedstock Conversion Rates'!$B$4)/12</f>
        <v>0.171875</v>
      </c>
      <c r="CK160" s="47">
        <f t="shared" si="73"/>
        <v>0.34489583333333329</v>
      </c>
      <c r="CL160" s="45">
        <f>(((CL$3*'[2]Renewable Diesel'!$AF169)*'[2]Feedstock Conversion Rates'!$B$3)/12)</f>
        <v>30.037499999999998</v>
      </c>
      <c r="CM160" s="45">
        <f>(((CM$3*'[2]Renewable Diesel'!$AF169)*'[2]Feedstock Conversion Rates'!$B$6)/12)-10</f>
        <v>7.5875000000000021</v>
      </c>
      <c r="CN160" s="45">
        <f>(((CN$3*'[2]Renewable Diesel'!$AF169)*'[2]Feedstock Conversion Rates'!$B$4)/12)+10</f>
        <v>24.0625</v>
      </c>
      <c r="CO160" s="47">
        <f t="shared" si="65"/>
        <v>61.6875</v>
      </c>
      <c r="CP160" s="47"/>
      <c r="CQ160" s="47"/>
      <c r="CR160" s="47"/>
      <c r="CS160" s="47"/>
      <c r="CT160" s="45">
        <f>('[2]Renewable Diesel'!AI169*'[2]Feedstock Conversion Rates'!$B$4*'[2]RD Feedstock Breakdown'!$CT$3)/12</f>
        <v>29.375</v>
      </c>
      <c r="CU160" s="47">
        <f t="shared" si="69"/>
        <v>29.375</v>
      </c>
      <c r="CV160" s="47"/>
      <c r="CW160" s="47"/>
      <c r="CX160" s="47"/>
      <c r="CY160" s="47"/>
      <c r="CZ160" s="47"/>
      <c r="DA160" s="47"/>
      <c r="DB160" s="47"/>
      <c r="DC160" s="47"/>
      <c r="DD160" s="47"/>
      <c r="DE160" s="47"/>
      <c r="DF160" s="47"/>
      <c r="DG160" s="47"/>
      <c r="DH160" s="47"/>
      <c r="DI160" s="47"/>
      <c r="DJ160" s="45">
        <f>('[2]Renewable Diesel'!AT169*'[2]Feedstock Conversion Rates'!$B$4*0.25)/12</f>
        <v>0</v>
      </c>
      <c r="DK160" s="45">
        <f>('[2]Renewable Diesel'!$AT169*'[2]RD Feedstock Breakdown'!DK$3*'[2]Feedstock Conversion Rates'!$B$3)/12*0.5</f>
        <v>0</v>
      </c>
      <c r="DL160" s="45">
        <f>('[2]Renewable Diesel'!$AT169*'[2]RD Feedstock Breakdown'!$DL$3*'[2]Feedstock Conversion Rates'!$B$6)/12</f>
        <v>0</v>
      </c>
      <c r="DM160" s="45">
        <f>('[2]Renewable Diesel'!$AT169*'[2]RD Feedstock Breakdown'!$DM$3*'[2]Feedstock Conversion Rates'!$B$8)/12</f>
        <v>0</v>
      </c>
      <c r="DN160" s="47">
        <f t="shared" si="77"/>
        <v>0</v>
      </c>
      <c r="DP160" s="45">
        <f t="shared" si="48"/>
        <v>150.08250000000001</v>
      </c>
      <c r="DQ160" s="45">
        <f t="shared" si="49"/>
        <v>376.1549</v>
      </c>
      <c r="DR160" s="45">
        <f t="shared" si="57"/>
        <v>1360.015625</v>
      </c>
      <c r="DS160" s="45">
        <f t="shared" si="70"/>
        <v>364.17302083333334</v>
      </c>
      <c r="DT160" s="45">
        <f t="shared" si="50"/>
        <v>109.71090000000002</v>
      </c>
      <c r="DU160" s="45">
        <f t="shared" si="51"/>
        <v>167.298</v>
      </c>
      <c r="DV160" s="45">
        <f t="shared" si="58"/>
        <v>56.8046875</v>
      </c>
      <c r="DW160" s="45">
        <f t="shared" si="52"/>
        <v>2</v>
      </c>
      <c r="DX160" s="47">
        <f t="shared" si="53"/>
        <v>2586.2396333333336</v>
      </c>
      <c r="DY160" s="50">
        <f t="shared" si="54"/>
        <v>-5.1159076974727213E-13</v>
      </c>
      <c r="EA160" s="51">
        <f t="shared" si="80"/>
        <v>5.803116542861219E-2</v>
      </c>
      <c r="EB160" s="51">
        <f t="shared" si="80"/>
        <v>0.14544472026174321</v>
      </c>
      <c r="EC160" s="51">
        <f t="shared" si="80"/>
        <v>0.52586605180399038</v>
      </c>
      <c r="ED160" s="51">
        <f t="shared" si="80"/>
        <v>0.14081178562868155</v>
      </c>
      <c r="EE160" s="51">
        <f t="shared" si="80"/>
        <v>4.2421011025415553E-2</v>
      </c>
      <c r="EF160" s="51">
        <f t="shared" si="80"/>
        <v>6.4687741168197227E-2</v>
      </c>
      <c r="EG160" s="51">
        <f t="shared" si="80"/>
        <v>2.1964201138927716E-2</v>
      </c>
      <c r="EH160" s="52">
        <f t="shared" si="59"/>
        <v>7.7332354443205816E-4</v>
      </c>
      <c r="EI160" s="51">
        <f t="shared" si="60"/>
        <v>0.99922667645556773</v>
      </c>
      <c r="EK160" s="53">
        <f>(EA160*'[2]Renewable Diesel'!BF169*'[2]Feedstock Conversion Rates'!B$2)+FB160</f>
        <v>111.40061511855859</v>
      </c>
      <c r="EL160" s="53">
        <f>(EB160*'[2]Renewable Diesel'!BF169*'[2]Feedstock Conversion Rates'!B$3)+FC160</f>
        <v>263.11029858383984</v>
      </c>
      <c r="EM160" s="53">
        <f>(EC160*'[2]Renewable Diesel'!BF169*'[2]Feedstock Conversion Rates'!B$4)+FD160</f>
        <v>890.72526108199827</v>
      </c>
      <c r="EN160" s="53">
        <f>(ED160*'[2]Renewable Diesel'!BF169*'[2]Feedstock Conversion Rates'!B$5)+FE160</f>
        <v>240.10064574652426</v>
      </c>
      <c r="EO160" s="53">
        <f>(EE160*'[2]Renewable Diesel'!BF169*'[2]Feedstock Conversion Rates'!B$6)+FF160</f>
        <v>89.865133525640189</v>
      </c>
      <c r="EP160" s="53">
        <f>(EF160*'[2]Renewable Diesel'!BF169*'[2]Feedstock Conversion Rates'!B$7)+FG160</f>
        <v>134.40554439729709</v>
      </c>
      <c r="EQ160" s="53">
        <f>(EG160*'[2]Renewable Diesel'!BF169*'[2]Feedstock Conversion Rates'!B$8)+FH160</f>
        <v>46.504401469761454</v>
      </c>
      <c r="ER160" s="53">
        <f>(EH160*'[2]Renewable Diesel'!BF169*'[2]Feedstock Conversion Rates'!B$9)+FI160</f>
        <v>1.6155125502098031</v>
      </c>
      <c r="ES160" s="53">
        <f t="shared" si="61"/>
        <v>1777.7274124738292</v>
      </c>
      <c r="ET160" s="36">
        <f>ES160/'[2]Renewable Diesel'!BF169</f>
        <v>7.8715054160954949</v>
      </c>
    </row>
    <row r="161" spans="1:150" x14ac:dyDescent="0.25">
      <c r="A161" s="39">
        <v>45323</v>
      </c>
      <c r="B161" s="45">
        <f t="shared" ref="B161:B168" si="83">23-20+10+85-5-4-4-1.25+2.25-5+15-6-25-45+65+15-22.5-50+40+16.5+27.5+168+80+14-30+15-50+20-19+22.5-7-15+12+20-25-20-50-20-17.5-27.5-15+10-15-53-35-50+47-30-30-5.5+50+25-30+20+2+45+25+25+20+2.5+65-6-15+12.5-65-2.5-179+100-100+10+100.5+11+100-40-40-65-2.5-50-3</f>
        <v>21</v>
      </c>
      <c r="C161" s="45">
        <f t="shared" ref="C161:C168" si="84">40-10-10-1+6+5+20+65+25-5-100+4+65-50+200</f>
        <v>254</v>
      </c>
      <c r="D161" s="45">
        <v>1</v>
      </c>
      <c r="E161" s="45">
        <f>('[2]Renewable Diesel'!B170*E$3*'[2]Feedstock Conversion Rates'!$B$2)/12-40+1.25+6-43+30-15+17.5+53+10-25+30-2.5-5+79-100+25-65-11</f>
        <v>35.180000000000007</v>
      </c>
      <c r="F161" s="45">
        <f>('[2]Renewable Diesel'!B170*'[2]RD Feedstock Breakdown'!F$3*'[2]Feedstock Conversion Rates'!B$8)/12-23+5-2.25+5+22.5-16.5-14-20+15+15+1-2-20+20-1-30+3+3</f>
        <v>14.65625</v>
      </c>
      <c r="G161" s="45">
        <f>('[2]Renewable Diesel'!B170*'[2]RD Feedstock Breakdown'!G$3*'[2]Feedstock Conversion Rates'!B$7)/12-25-15-25+4+4-20-40-20+10-17.5+20+50-12+32.5+35-75-75+22.5+5-20+40-4+100-100</f>
        <v>50.657000000000011</v>
      </c>
      <c r="H161" s="45">
        <f>('[2]Renewable Diesel'!B170*'[2]RD Feedstock Breakdown'!H$3*'[2]Feedstock Conversion Rates'!B$3)/12-85+4-15+70-65-80+50-22.5-5+25+27.5+35+50-25-65-12.5+65+12-10+100+75-125+40-100</f>
        <v>119.90022499999998</v>
      </c>
      <c r="I161" s="47">
        <f t="shared" si="75"/>
        <v>496.39347499999997</v>
      </c>
      <c r="J161" s="45">
        <f t="shared" si="82"/>
        <v>0.25</v>
      </c>
      <c r="K161" s="45"/>
      <c r="L161" s="45">
        <v>1</v>
      </c>
      <c r="M161" s="45">
        <f>('[2]Renewable Diesel'!C170*'[2]RD Feedstock Breakdown'!M$3*'[2]Feedstock Conversion Rates'!B$2)/12-15-40+2+117-25-2</f>
        <v>114.9025</v>
      </c>
      <c r="N161" s="45">
        <f>('[2]Renewable Diesel'!C170*'[2]RD Feedstock Breakdown'!N$3*'[2]Feedstock Conversion Rates'!B$8)/12+1.75+7-15-20+19.5</f>
        <v>29.96875</v>
      </c>
      <c r="O161" s="45">
        <f>('[2]Renewable Diesel'!C170*'[2]RD Feedstock Breakdown'!O$3*'[2]Feedstock Conversion Rates'!B$7)/12+30-120+25-17.5</f>
        <v>37.490999999999985</v>
      </c>
      <c r="P161" s="45">
        <f>('[2]Renewable Diesel'!C170*'[2]RD Feedstock Breakdown'!P$3*'[2]Feedstock Conversion Rates'!B$3)/12-15-59-10+15-7.5+15+75-25-2.5-25-15-20+25+100</f>
        <v>155.47042500000003</v>
      </c>
      <c r="Q161" s="47">
        <f t="shared" ref="Q161:Q224" si="85">SUM(J161:P161)</f>
        <v>339.08267499999999</v>
      </c>
      <c r="R161" s="45">
        <f>('[2]Renewable Diesel'!D170*'[2]RD Feedstock Breakdown'!R$3*'[2]Feedstock Conversion Rates'!B$7)/12</f>
        <v>2.2999999999999998</v>
      </c>
      <c r="S161" s="47">
        <f t="shared" si="44"/>
        <v>2.2999999999999998</v>
      </c>
      <c r="T161" s="45">
        <f t="shared" ref="T161:T168" si="86">20+2.5-20-2.5+35-20+10</f>
        <v>25</v>
      </c>
      <c r="U161" s="45">
        <v>0</v>
      </c>
      <c r="V161" s="45">
        <f>('[2]Renewable Diesel'!E170*'[2]RD Feedstock Breakdown'!V$3*'[2]Feedstock Conversion Rates'!B$6)/12-20+20-35+20</f>
        <v>29.250150000000012</v>
      </c>
      <c r="W161" s="45">
        <f>('[2]Renewable Diesel'!E170*'[2]RD Feedstock Breakdown'!W$3*'[2]Feedstock Conversion Rates'!B$8)/12-10</f>
        <v>12.1796875</v>
      </c>
      <c r="X161" s="47">
        <f t="shared" si="62"/>
        <v>66.429837500000019</v>
      </c>
      <c r="Y161" s="45">
        <f>50+32-14+73+11-15-75-62+41+24-65+40-40+70-70+40</f>
        <v>40</v>
      </c>
      <c r="Z161" s="45">
        <f>('[2]Renewable Diesel'!F170*'[2]RD Feedstock Breakdown'!Z$3*'[2]Feedstock Conversion Rates'!B$6)/12-25-16-21+15-42+100-65-19+10-26</f>
        <v>-44.444999999999993</v>
      </c>
      <c r="AA161" s="45">
        <f>('[2]Renewable Diesel'!F170*'[2]RD Feedstock Breakdown'!AA$3*'[2]Feedstock Conversion Rates'!B$7)/12+14-73+75+62-24+25+40-70</f>
        <v>78.133333333333326</v>
      </c>
      <c r="AB161" s="47">
        <f t="shared" si="39"/>
        <v>73.688333333333333</v>
      </c>
      <c r="AC161" s="45">
        <f>('[2]Renewable Diesel'!G170*'[2]RD Feedstock Breakdown'!AC$3*'[2]Feedstock Conversion Rates'!B$5)/12</f>
        <v>0</v>
      </c>
      <c r="AD161" s="45">
        <f>('[2]Renewable Diesel'!G170*'[2]RD Feedstock Breakdown'!AD$3*'[2]Feedstock Conversion Rates'!B$4)/12</f>
        <v>0</v>
      </c>
      <c r="AE161" s="45">
        <f>('[2]Renewable Diesel'!G170*'[2]RD Feedstock Breakdown'!AE$3*'[2]Feedstock Conversion Rates'!B$6)/12</f>
        <v>0</v>
      </c>
      <c r="AF161" s="47">
        <f t="shared" si="71"/>
        <v>0</v>
      </c>
      <c r="AG161" s="45">
        <f>130+23-3-51-99+50+150-80-10-15+60-15-140+70+15</f>
        <v>85</v>
      </c>
      <c r="AH161" s="45">
        <v>0</v>
      </c>
      <c r="AI161" s="45">
        <f>('[2]Renewable Diesel'!H170*'[2]RD Feedstock Breakdown'!AI$3*'[2]Feedstock Conversion Rates'!B$6)/12-130-23+3+51+99-50-150+80+10+15-60+15+140-85</f>
        <v>63.51666666666668</v>
      </c>
      <c r="AJ161" s="47">
        <f t="shared" si="42"/>
        <v>148.51666666666668</v>
      </c>
      <c r="AK161" s="45">
        <f>('[2]Renewable Diesel'!J170*'[2]RD Feedstock Breakdown'!AK$3*'[2]Feedstock Conversion Rates'!B$4)/12</f>
        <v>95.8125</v>
      </c>
      <c r="AL161" s="47">
        <f t="shared" si="45"/>
        <v>95.8125</v>
      </c>
      <c r="AM161" s="45">
        <f>('[2]Renewable Diesel'!K170*'[2]RD Feedstock Breakdown'!AM$3*'[2]Feedstock Conversion Rates'!B$4)/12+20-30</f>
        <v>48.59375</v>
      </c>
      <c r="AN161" s="45">
        <f>('[2]Renewable Diesel'!K170*'[2]RD Feedstock Breakdown'!AN$3*'[2]Feedstock Conversion Rates'!B$6)/12-20+30</f>
        <v>34.427083333333329</v>
      </c>
      <c r="AO161" s="47">
        <f t="shared" si="56"/>
        <v>83.020833333333329</v>
      </c>
      <c r="AP161" s="45">
        <f>('[2]Renewable Diesel'!L170*'[2]RD Feedstock Breakdown'!AP$3*'[2]Feedstock Conversion Rates'!B$4)/12+15-10+15</f>
        <v>78.59375</v>
      </c>
      <c r="AQ161" s="45">
        <f>('[2]Renewable Diesel'!L170*'[2]RD Feedstock Breakdown'!AQ$3*'[2]Feedstock Conversion Rates'!B$6)/12-15+10-15</f>
        <v>4.4270833333333321</v>
      </c>
      <c r="AR161" s="47">
        <f t="shared" si="46"/>
        <v>83.020833333333329</v>
      </c>
      <c r="AS161" s="45">
        <f>('[2]Renewable Diesel'!M170*'[2]RD Feedstock Breakdown'!AS$3*'[2]Feedstock Conversion Rates'!B$4)/12</f>
        <v>456.25</v>
      </c>
      <c r="AT161" s="45">
        <f>('[2]Renewable Diesel'!M170*'[2]RD Feedstock Breakdown'!AT$3*'[2]Feedstock Conversion Rates'!B$5)/12</f>
        <v>0</v>
      </c>
      <c r="AU161" s="47">
        <f t="shared" si="74"/>
        <v>456.25</v>
      </c>
      <c r="AV161" s="45">
        <f>'[2]Renewable Diesel'!N170*'[2]RD Feedstock Breakdown'!$AV$3*'[2]Feedstock Conversion Rates'!$B$4/12-15-10+25+25-22-75+75+22.5</f>
        <v>104.24999999999999</v>
      </c>
      <c r="AW161" s="45">
        <f>'[2]Renewable Diesel'!N170*'[2]RD Feedstock Breakdown'!$AW$3*'[2]Feedstock Conversion Rates'!$B$7/12+15+10-25-25+22+75-75-22.5</f>
        <v>15.900000000000006</v>
      </c>
      <c r="AX161" s="47">
        <f t="shared" si="40"/>
        <v>120.14999999999999</v>
      </c>
      <c r="AY161" s="45">
        <f>('[2]Renewable Diesel'!O170*'[2]RD Feedstock Breakdown'!AY$3*'[2]Feedstock Conversion Rates'!B$4)/12-60</f>
        <v>7.5</v>
      </c>
      <c r="AZ161" s="45">
        <f>('[2]Renewable Diesel'!O170*'[2]RD Feedstock Breakdown'!AZ$3*'[2]Feedstock Conversion Rates'!B$3)/12+60</f>
        <v>68.010000000000005</v>
      </c>
      <c r="BA161" s="47">
        <f t="shared" ref="BA161:BA224" si="87">SUM(AY161:AZ161)</f>
        <v>75.510000000000005</v>
      </c>
      <c r="BB161" s="45">
        <f>('[2]Renewable Diesel'!Q170*'[2]RD Feedstock Breakdown'!BB$3*'[2]Feedstock Conversion Rates'!B$4)/12</f>
        <v>11.156249999999998</v>
      </c>
      <c r="BC161" s="45">
        <f>('[2]Renewable Diesel'!Q170*'[2]RD Feedstock Breakdown'!BC$3*'[2]Feedstock Conversion Rates'!B$3)/12</f>
        <v>1.4017500000000001</v>
      </c>
      <c r="BD161" s="45">
        <f>('[2]Renewable Diesel'!Q170*'[2]RD Feedstock Breakdown'!BD$3*'[2]Feedstock Conversion Rates'!B$6)/12</f>
        <v>0.8207500000000002</v>
      </c>
      <c r="BE161" s="47">
        <f t="shared" si="64"/>
        <v>13.378749999999998</v>
      </c>
      <c r="BF161" s="45">
        <f>('[2]Renewable Diesel'!R170*'[2]RD Feedstock Breakdown'!BF$3*'[2]Feedstock Conversion Rates'!B$4)/12</f>
        <v>62.5</v>
      </c>
      <c r="BG161" s="47">
        <f t="shared" si="47"/>
        <v>62.5</v>
      </c>
      <c r="BH161" s="45">
        <f>('[2]Renewable Diesel'!T170*'[2]RD Feedstock Breakdown'!BH$3*'[2]Feedstock Conversion Rates'!B$7)/12</f>
        <v>27.599999999999998</v>
      </c>
      <c r="BI161" s="47">
        <f t="shared" si="41"/>
        <v>27.599999999999998</v>
      </c>
      <c r="BJ161" s="45">
        <f>('[2]Renewable Diesel'!W170*'[2]RD Feedstock Breakdown'!BJ$3*'[2]Feedstock Conversion Rates'!B$4)/12</f>
        <v>7.5</v>
      </c>
      <c r="BK161" s="45">
        <f>('[2]Renewable Diesel'!W170*'[2]RD Feedstock Breakdown'!BK$3*'[2]Feedstock Conversion Rates'!B$3)/12</f>
        <v>1.335</v>
      </c>
      <c r="BL161" s="45">
        <f>('[2]Renewable Diesel'!W170*'[2]RD Feedstock Breakdown'!BL$3*'[2]Feedstock Conversion Rates'!B$6)/12</f>
        <v>3.1266666666666669</v>
      </c>
      <c r="BM161" s="45">
        <f>('[2]Renewable Diesel'!W170*'[2]RD Feedstock Breakdown'!BM$3*'[2]Feedstock Conversion Rates'!B$7)/12</f>
        <v>1.5333333333333332</v>
      </c>
      <c r="BN161" s="47">
        <f t="shared" si="78"/>
        <v>13.495000000000001</v>
      </c>
      <c r="BO161" s="45">
        <f>('[2]Renewable Diesel'!P170*'[2]Feedstock Conversion Rates'!B$4)/12</f>
        <v>31.25</v>
      </c>
      <c r="BP161" s="47">
        <f t="shared" si="72"/>
        <v>31.25</v>
      </c>
      <c r="BQ161" s="45"/>
      <c r="BR161" s="45"/>
      <c r="BS161" s="47"/>
      <c r="BT161" s="47"/>
      <c r="BU161" s="45">
        <f>('[2]Renewable Diesel'!Y170*'[2]Feedstock Conversion Rates'!B$7)/12</f>
        <v>2.6833333333333331</v>
      </c>
      <c r="BV161" s="47">
        <f t="shared" si="67"/>
        <v>2.6833333333333331</v>
      </c>
      <c r="BW161" s="45"/>
      <c r="BX161" s="45"/>
      <c r="BY161" s="45"/>
      <c r="BZ161" s="45"/>
      <c r="CA161" s="47"/>
      <c r="CB161" s="45">
        <f>('[2]Renewable Diesel'!AA170*'[2]Feedstock Conversion Rates'!B$4)/12</f>
        <v>191.25</v>
      </c>
      <c r="CC161" s="47">
        <f t="shared" si="79"/>
        <v>191.25</v>
      </c>
      <c r="CD161" s="45">
        <f>('[2]Renewable Diesel'!$AB170*'[2]RD Feedstock Breakdown'!CD$3*'[2]Feedstock Conversion Rates'!$B$6)/12</f>
        <v>0</v>
      </c>
      <c r="CE161" s="45">
        <f>('[2]Renewable Diesel'!$AB170*'[2]RD Feedstock Breakdown'!CE$3*'[2]Feedstock Conversion Rates'!$B$4)/12</f>
        <v>0</v>
      </c>
      <c r="CF161" s="47">
        <f t="shared" si="76"/>
        <v>0</v>
      </c>
      <c r="CG161" s="45">
        <f>('[2]Renewable Diesel'!AD170*'[2]Feedstock Conversion Rates'!B$4)/12</f>
        <v>112.5</v>
      </c>
      <c r="CH161" s="47">
        <f t="shared" si="63"/>
        <v>112.5</v>
      </c>
      <c r="CI161" s="45">
        <f>('[2]Renewable Diesel'!$AE170*'[2]RD Feedstock Breakdown'!CI$3*'[2]Feedstock Conversion Rates'!$B$5)/12</f>
        <v>0.17302083333333332</v>
      </c>
      <c r="CJ161" s="45">
        <f>('[2]Renewable Diesel'!$AE170*'[2]RD Feedstock Breakdown'!CJ$3*'[2]Feedstock Conversion Rates'!$B$4)/12</f>
        <v>0.171875</v>
      </c>
      <c r="CK161" s="47">
        <f t="shared" si="73"/>
        <v>0.34489583333333329</v>
      </c>
      <c r="CL161" s="45">
        <f>(((CL$3*'[2]Renewable Diesel'!$AF170)*'[2]Feedstock Conversion Rates'!$B$3)/12)</f>
        <v>30.037499999999998</v>
      </c>
      <c r="CM161" s="45">
        <f>(((CM$3*'[2]Renewable Diesel'!$AF170)*'[2]Feedstock Conversion Rates'!$B$6)/12)-10</f>
        <v>7.5875000000000021</v>
      </c>
      <c r="CN161" s="45">
        <f>(((CN$3*'[2]Renewable Diesel'!$AF170)*'[2]Feedstock Conversion Rates'!$B$4)/12)+10</f>
        <v>24.0625</v>
      </c>
      <c r="CO161" s="47">
        <f t="shared" si="65"/>
        <v>61.6875</v>
      </c>
      <c r="CP161" s="47"/>
      <c r="CQ161" s="47"/>
      <c r="CR161" s="47"/>
      <c r="CS161" s="47"/>
      <c r="CT161" s="45">
        <f>('[2]Renewable Diesel'!AI170*'[2]Feedstock Conversion Rates'!$B$4*'[2]RD Feedstock Breakdown'!$CT$3)/12</f>
        <v>29.375</v>
      </c>
      <c r="CU161" s="47">
        <f t="shared" si="69"/>
        <v>29.375</v>
      </c>
      <c r="CV161" s="47"/>
      <c r="CW161" s="47"/>
      <c r="CX161" s="47"/>
      <c r="CY161" s="47"/>
      <c r="CZ161" s="47"/>
      <c r="DA161" s="47"/>
      <c r="DB161" s="47"/>
      <c r="DC161" s="47"/>
      <c r="DD161" s="47"/>
      <c r="DE161" s="47"/>
      <c r="DF161" s="47"/>
      <c r="DG161" s="47"/>
      <c r="DH161" s="47"/>
      <c r="DI161" s="47"/>
      <c r="DJ161" s="45">
        <f>('[2]Renewable Diesel'!AT170*'[2]Feedstock Conversion Rates'!$B$4*0.25)/12</f>
        <v>0</v>
      </c>
      <c r="DK161" s="45">
        <f>('[2]Renewable Diesel'!$AT170*'[2]RD Feedstock Breakdown'!DK$3*'[2]Feedstock Conversion Rates'!$B$3)/12*0.5</f>
        <v>0</v>
      </c>
      <c r="DL161" s="45">
        <f>('[2]Renewable Diesel'!$AT170*'[2]RD Feedstock Breakdown'!$DL$3*'[2]Feedstock Conversion Rates'!$B$6)/12</f>
        <v>0</v>
      </c>
      <c r="DM161" s="45">
        <f>('[2]Renewable Diesel'!$AT170*'[2]RD Feedstock Breakdown'!$DM$3*'[2]Feedstock Conversion Rates'!$B$8)/12</f>
        <v>0</v>
      </c>
      <c r="DN161" s="47">
        <f t="shared" si="77"/>
        <v>0</v>
      </c>
      <c r="DP161" s="45">
        <f t="shared" si="48"/>
        <v>150.08250000000001</v>
      </c>
      <c r="DQ161" s="45">
        <f t="shared" si="49"/>
        <v>376.1549</v>
      </c>
      <c r="DR161" s="45">
        <f t="shared" si="57"/>
        <v>1322.015625</v>
      </c>
      <c r="DS161" s="45">
        <f t="shared" si="70"/>
        <v>364.17302083333334</v>
      </c>
      <c r="DT161" s="45">
        <f t="shared" si="50"/>
        <v>98.710900000000024</v>
      </c>
      <c r="DU161" s="45">
        <f t="shared" si="51"/>
        <v>216.29799999999997</v>
      </c>
      <c r="DV161" s="45">
        <f t="shared" si="58"/>
        <v>56.8046875</v>
      </c>
      <c r="DW161" s="45">
        <f t="shared" si="52"/>
        <v>2</v>
      </c>
      <c r="DX161" s="47">
        <f t="shared" si="53"/>
        <v>2586.2396333333331</v>
      </c>
      <c r="DY161" s="50">
        <f t="shared" si="54"/>
        <v>-5.6843418860808015E-14</v>
      </c>
      <c r="EA161" s="51">
        <f t="shared" si="80"/>
        <v>5.8031165428612197E-2</v>
      </c>
      <c r="EB161" s="51">
        <f t="shared" si="80"/>
        <v>0.14544472026174321</v>
      </c>
      <c r="EC161" s="51">
        <f t="shared" si="80"/>
        <v>0.51117290445978136</v>
      </c>
      <c r="ED161" s="51">
        <f t="shared" si="80"/>
        <v>0.14081178562868157</v>
      </c>
      <c r="EE161" s="51">
        <f t="shared" si="80"/>
        <v>3.8167731531039244E-2</v>
      </c>
      <c r="EF161" s="51">
        <f t="shared" si="80"/>
        <v>8.3634168006782666E-2</v>
      </c>
      <c r="EG161" s="51">
        <f t="shared" si="80"/>
        <v>2.1964201138927719E-2</v>
      </c>
      <c r="EH161" s="52">
        <f t="shared" si="59"/>
        <v>7.7332354443205827E-4</v>
      </c>
      <c r="EI161" s="51">
        <f t="shared" si="60"/>
        <v>0.99922667645556806</v>
      </c>
      <c r="EK161" s="53">
        <f>(EA161*'[2]Renewable Diesel'!BF170*'[2]Feedstock Conversion Rates'!B$2)+FB161</f>
        <v>112.16516980390169</v>
      </c>
      <c r="EL161" s="53">
        <f>(EB161*'[2]Renewable Diesel'!BF170*'[2]Feedstock Conversion Rates'!B$3)+FC161</f>
        <v>264.91605352810302</v>
      </c>
      <c r="EM161" s="53">
        <f>(EC161*'[2]Renewable Diesel'!BF170*'[2]Feedstock Conversion Rates'!B$4)+FD161</f>
        <v>871.77997431727965</v>
      </c>
      <c r="EN161" s="53">
        <f>(ED161*'[2]Renewable Diesel'!BF170*'[2]Feedstock Conversion Rates'!B$5)+FE161</f>
        <v>241.74848291029616</v>
      </c>
      <c r="EO161" s="53">
        <f>(EE161*'[2]Renewable Diesel'!BF170*'[2]Feedstock Conversion Rates'!B$6)+FF161</f>
        <v>81.409856098175126</v>
      </c>
      <c r="EP161" s="53">
        <f>(EF161*'[2]Renewable Diesel'!BF170*'[2]Feedstock Conversion Rates'!B$7)+FG161</f>
        <v>174.96426962335249</v>
      </c>
      <c r="EQ161" s="53">
        <f>(EG161*'[2]Renewable Diesel'!BF170*'[2]Feedstock Conversion Rates'!B$8)+FH161</f>
        <v>46.823566296588872</v>
      </c>
      <c r="ER161" s="53">
        <f>(EH161*'[2]Renewable Diesel'!BF170*'[2]Feedstock Conversion Rates'!B$9)+FI161</f>
        <v>1.6265999906891846</v>
      </c>
      <c r="ES161" s="53">
        <f t="shared" si="61"/>
        <v>1795.4339725683863</v>
      </c>
      <c r="ET161" s="36">
        <f>ES161/'[2]Renewable Diesel'!BF170</f>
        <v>7.8957181762716653</v>
      </c>
    </row>
    <row r="162" spans="1:150" x14ac:dyDescent="0.25">
      <c r="A162" s="39">
        <v>45352</v>
      </c>
      <c r="B162" s="45">
        <f t="shared" si="83"/>
        <v>21</v>
      </c>
      <c r="C162" s="45">
        <f t="shared" si="84"/>
        <v>254</v>
      </c>
      <c r="D162" s="45">
        <v>1</v>
      </c>
      <c r="E162" s="45">
        <f>('[2]Renewable Diesel'!B171*E$3*'[2]Feedstock Conversion Rates'!$B$2)/12-40+1.25+6-43+30-15+17.5+53+10-25+30-2.5-5+79-100+25-65-11</f>
        <v>35.180000000000007</v>
      </c>
      <c r="F162" s="45">
        <f>('[2]Renewable Diesel'!B171*'[2]RD Feedstock Breakdown'!F$3*'[2]Feedstock Conversion Rates'!B$8)/12-23+5-2.25+5+22.5-16.5-14-20+15+15+1-2-20+20-1-30+3+3</f>
        <v>14.65625</v>
      </c>
      <c r="G162" s="45">
        <f>('[2]Renewable Diesel'!B171*'[2]RD Feedstock Breakdown'!G$3*'[2]Feedstock Conversion Rates'!B$7)/12-25-15-25+4+4-20-40-20+10-17.5+20+50-12+32.5+35-75-75+22.5+5-20+40-4+100-100</f>
        <v>50.657000000000011</v>
      </c>
      <c r="H162" s="45">
        <f>('[2]Renewable Diesel'!B171*'[2]RD Feedstock Breakdown'!H$3*'[2]Feedstock Conversion Rates'!B$3)/12-85+4-15+70-65-80+50-22.5-5+25+27.5+35+50-25-65-12.5+65+12-10+100+75-125+40-100</f>
        <v>119.90022499999998</v>
      </c>
      <c r="I162" s="47">
        <f t="shared" si="75"/>
        <v>496.39347499999997</v>
      </c>
      <c r="J162" s="45">
        <f t="shared" si="82"/>
        <v>0.25</v>
      </c>
      <c r="K162" s="45"/>
      <c r="L162" s="45">
        <v>1</v>
      </c>
      <c r="M162" s="45">
        <f>('[2]Renewable Diesel'!C171*'[2]RD Feedstock Breakdown'!M$3*'[2]Feedstock Conversion Rates'!B$2)/12-15-40+2+117-25-2</f>
        <v>114.9025</v>
      </c>
      <c r="N162" s="45">
        <f>('[2]Renewable Diesel'!C171*'[2]RD Feedstock Breakdown'!N$3*'[2]Feedstock Conversion Rates'!B$8)/12+1.75+7-15-20+19.5</f>
        <v>29.96875</v>
      </c>
      <c r="O162" s="45">
        <f>('[2]Renewable Diesel'!C171*'[2]RD Feedstock Breakdown'!O$3*'[2]Feedstock Conversion Rates'!B$7)/12+30-120+25-17.5</f>
        <v>37.490999999999985</v>
      </c>
      <c r="P162" s="45">
        <f>('[2]Renewable Diesel'!C171*'[2]RD Feedstock Breakdown'!P$3*'[2]Feedstock Conversion Rates'!B$3)/12-15-59-10+15-7.5+15+75-25-2.5-25-15-20+25+100</f>
        <v>155.47042500000003</v>
      </c>
      <c r="Q162" s="47">
        <f t="shared" si="85"/>
        <v>339.08267499999999</v>
      </c>
      <c r="R162" s="45">
        <f>('[2]Renewable Diesel'!D171*'[2]RD Feedstock Breakdown'!R$3*'[2]Feedstock Conversion Rates'!B$7)/12</f>
        <v>2.2999999999999998</v>
      </c>
      <c r="S162" s="47">
        <f t="shared" si="44"/>
        <v>2.2999999999999998</v>
      </c>
      <c r="T162" s="45">
        <f t="shared" si="86"/>
        <v>25</v>
      </c>
      <c r="U162" s="45">
        <v>0</v>
      </c>
      <c r="V162" s="45">
        <f>('[2]Renewable Diesel'!E171*'[2]RD Feedstock Breakdown'!V$3*'[2]Feedstock Conversion Rates'!B$6)/12-20+20-35+20</f>
        <v>29.250150000000012</v>
      </c>
      <c r="W162" s="45">
        <f>('[2]Renewable Diesel'!E171*'[2]RD Feedstock Breakdown'!W$3*'[2]Feedstock Conversion Rates'!B$8)/12-10</f>
        <v>12.1796875</v>
      </c>
      <c r="X162" s="47">
        <f t="shared" si="62"/>
        <v>66.429837500000019</v>
      </c>
      <c r="Y162" s="45">
        <f>50+32-14+73+11-15-75-62+41+24-65+40-40+70-70+40</f>
        <v>40</v>
      </c>
      <c r="Z162" s="45">
        <f>('[2]Renewable Diesel'!F171*'[2]RD Feedstock Breakdown'!Z$3*'[2]Feedstock Conversion Rates'!B$6)/12-25-16-21+15-42+100-65-19+10-26</f>
        <v>-44.444999999999993</v>
      </c>
      <c r="AA162" s="45">
        <f>('[2]Renewable Diesel'!F171*'[2]RD Feedstock Breakdown'!AA$3*'[2]Feedstock Conversion Rates'!B$7)/12+14-73+75+62-24+25+40-70</f>
        <v>78.133333333333326</v>
      </c>
      <c r="AB162" s="47">
        <f t="shared" si="39"/>
        <v>73.688333333333333</v>
      </c>
      <c r="AC162" s="45">
        <f>('[2]Renewable Diesel'!G171*'[2]RD Feedstock Breakdown'!AC$3*'[2]Feedstock Conversion Rates'!B$5)/12</f>
        <v>0</v>
      </c>
      <c r="AD162" s="45">
        <f>('[2]Renewable Diesel'!G171*'[2]RD Feedstock Breakdown'!AD$3*'[2]Feedstock Conversion Rates'!B$4)/12</f>
        <v>0</v>
      </c>
      <c r="AE162" s="45">
        <f>('[2]Renewable Diesel'!G171*'[2]RD Feedstock Breakdown'!AE$3*'[2]Feedstock Conversion Rates'!B$6)/12</f>
        <v>0</v>
      </c>
      <c r="AF162" s="47">
        <f t="shared" si="71"/>
        <v>0</v>
      </c>
      <c r="AG162" s="45">
        <f t="shared" ref="AG162:AG168" si="88">130+23-3-51-99+50+150-80-10-15+60-15-140+70+65</f>
        <v>135</v>
      </c>
      <c r="AH162" s="45">
        <v>0</v>
      </c>
      <c r="AI162" s="45">
        <f>('[2]Renewable Diesel'!H171*'[2]RD Feedstock Breakdown'!AI$3*'[2]Feedstock Conversion Rates'!B$6)/12-130-23+3+51+99-50-150+80+10+15-60+15+140-70-65</f>
        <v>13.51666666666668</v>
      </c>
      <c r="AJ162" s="47">
        <f t="shared" si="42"/>
        <v>148.51666666666668</v>
      </c>
      <c r="AK162" s="45">
        <f>('[2]Renewable Diesel'!J171*'[2]RD Feedstock Breakdown'!AK$3*'[2]Feedstock Conversion Rates'!B$4)/12</f>
        <v>95.8125</v>
      </c>
      <c r="AL162" s="47">
        <f t="shared" si="45"/>
        <v>95.8125</v>
      </c>
      <c r="AM162" s="45">
        <f>('[2]Renewable Diesel'!K171*'[2]RD Feedstock Breakdown'!AM$3*'[2]Feedstock Conversion Rates'!B$4)/12+20-30</f>
        <v>48.59375</v>
      </c>
      <c r="AN162" s="45">
        <f>('[2]Renewable Diesel'!K171*'[2]RD Feedstock Breakdown'!AN$3*'[2]Feedstock Conversion Rates'!B$6)/12-20+30</f>
        <v>34.427083333333329</v>
      </c>
      <c r="AO162" s="47">
        <f t="shared" si="56"/>
        <v>83.020833333333329</v>
      </c>
      <c r="AP162" s="45">
        <f>('[2]Renewable Diesel'!L171*'[2]RD Feedstock Breakdown'!AP$3*'[2]Feedstock Conversion Rates'!B$4)/12+15-10+15</f>
        <v>78.59375</v>
      </c>
      <c r="AQ162" s="45">
        <f>('[2]Renewable Diesel'!L171*'[2]RD Feedstock Breakdown'!AQ$3*'[2]Feedstock Conversion Rates'!B$6)/12-15+10-15</f>
        <v>4.4270833333333321</v>
      </c>
      <c r="AR162" s="47">
        <f t="shared" si="46"/>
        <v>83.020833333333329</v>
      </c>
      <c r="AS162" s="45">
        <f>('[2]Renewable Diesel'!M171*'[2]RD Feedstock Breakdown'!AS$3*'[2]Feedstock Conversion Rates'!B$4)/12</f>
        <v>456.25</v>
      </c>
      <c r="AT162" s="45">
        <f>('[2]Renewable Diesel'!M171*'[2]RD Feedstock Breakdown'!AT$3*'[2]Feedstock Conversion Rates'!B$5)/12</f>
        <v>0</v>
      </c>
      <c r="AU162" s="47">
        <f t="shared" si="74"/>
        <v>456.25</v>
      </c>
      <c r="AV162" s="45">
        <f>'[2]Renewable Diesel'!N171*'[2]RD Feedstock Breakdown'!$AV$3*'[2]Feedstock Conversion Rates'!$B$4/12-15-10+25+25-22-75+75+22.5</f>
        <v>104.24999999999999</v>
      </c>
      <c r="AW162" s="45">
        <f>'[2]Renewable Diesel'!N171*'[2]RD Feedstock Breakdown'!$AW$3*'[2]Feedstock Conversion Rates'!$B$7/12+15+10-25-25+22+75-75-22.5</f>
        <v>15.900000000000006</v>
      </c>
      <c r="AX162" s="47">
        <f t="shared" si="40"/>
        <v>120.14999999999999</v>
      </c>
      <c r="AY162" s="45">
        <f>('[2]Renewable Diesel'!O171*'[2]RD Feedstock Breakdown'!AY$3*'[2]Feedstock Conversion Rates'!B$4)/12-60</f>
        <v>7.5</v>
      </c>
      <c r="AZ162" s="45">
        <f>('[2]Renewable Diesel'!O171*'[2]RD Feedstock Breakdown'!AZ$3*'[2]Feedstock Conversion Rates'!B$3)/12+60</f>
        <v>68.010000000000005</v>
      </c>
      <c r="BA162" s="47">
        <f t="shared" si="87"/>
        <v>75.510000000000005</v>
      </c>
      <c r="BB162" s="45">
        <f>('[2]Renewable Diesel'!Q171*'[2]RD Feedstock Breakdown'!BB$3*'[2]Feedstock Conversion Rates'!B$4)/12</f>
        <v>11.156249999999998</v>
      </c>
      <c r="BC162" s="45">
        <f>('[2]Renewable Diesel'!Q171*'[2]RD Feedstock Breakdown'!BC$3*'[2]Feedstock Conversion Rates'!B$3)/12</f>
        <v>1.4017500000000001</v>
      </c>
      <c r="BD162" s="45">
        <f>('[2]Renewable Diesel'!Q171*'[2]RD Feedstock Breakdown'!BD$3*'[2]Feedstock Conversion Rates'!B$6)/12</f>
        <v>0.8207500000000002</v>
      </c>
      <c r="BE162" s="47">
        <f t="shared" si="64"/>
        <v>13.378749999999998</v>
      </c>
      <c r="BF162" s="45">
        <f>('[2]Renewable Diesel'!R171*'[2]RD Feedstock Breakdown'!BF$3*'[2]Feedstock Conversion Rates'!B$4)/12</f>
        <v>62.5</v>
      </c>
      <c r="BG162" s="47">
        <f t="shared" si="47"/>
        <v>62.5</v>
      </c>
      <c r="BH162" s="45">
        <f>('[2]Renewable Diesel'!T171*'[2]RD Feedstock Breakdown'!BH$3*'[2]Feedstock Conversion Rates'!B$7)/12</f>
        <v>27.599999999999998</v>
      </c>
      <c r="BI162" s="47">
        <f t="shared" si="41"/>
        <v>27.599999999999998</v>
      </c>
      <c r="BJ162" s="45">
        <f>('[2]Renewable Diesel'!W171*'[2]RD Feedstock Breakdown'!BJ$3*'[2]Feedstock Conversion Rates'!B$4)/12</f>
        <v>7.5</v>
      </c>
      <c r="BK162" s="45">
        <f>('[2]Renewable Diesel'!W171*'[2]RD Feedstock Breakdown'!BK$3*'[2]Feedstock Conversion Rates'!B$3)/12</f>
        <v>1.335</v>
      </c>
      <c r="BL162" s="45">
        <f>('[2]Renewable Diesel'!W171*'[2]RD Feedstock Breakdown'!BL$3*'[2]Feedstock Conversion Rates'!B$6)/12</f>
        <v>3.1266666666666669</v>
      </c>
      <c r="BM162" s="45">
        <f>('[2]Renewable Diesel'!W171*'[2]RD Feedstock Breakdown'!BM$3*'[2]Feedstock Conversion Rates'!B$7)/12</f>
        <v>1.5333333333333332</v>
      </c>
      <c r="BN162" s="47">
        <f t="shared" si="78"/>
        <v>13.495000000000001</v>
      </c>
      <c r="BO162" s="45">
        <f>('[2]Renewable Diesel'!P171*'[2]Feedstock Conversion Rates'!B$4)/12</f>
        <v>31.25</v>
      </c>
      <c r="BP162" s="47">
        <f t="shared" si="72"/>
        <v>31.25</v>
      </c>
      <c r="BQ162" s="45"/>
      <c r="BR162" s="45"/>
      <c r="BS162" s="47"/>
      <c r="BT162" s="47"/>
      <c r="BU162" s="45">
        <f>('[2]Renewable Diesel'!Y171*'[2]Feedstock Conversion Rates'!B$7)/12</f>
        <v>2.6833333333333331</v>
      </c>
      <c r="BV162" s="47">
        <f t="shared" si="67"/>
        <v>2.6833333333333331</v>
      </c>
      <c r="BW162" s="45"/>
      <c r="BX162" s="45"/>
      <c r="BY162" s="45"/>
      <c r="BZ162" s="45"/>
      <c r="CA162" s="47"/>
      <c r="CB162" s="45">
        <f>('[2]Renewable Diesel'!AA171*'[2]Feedstock Conversion Rates'!B$4)/12</f>
        <v>191.25</v>
      </c>
      <c r="CC162" s="47">
        <f t="shared" si="79"/>
        <v>191.25</v>
      </c>
      <c r="CD162" s="45">
        <f>('[2]Renewable Diesel'!$AB171*'[2]RD Feedstock Breakdown'!CD$3*'[2]Feedstock Conversion Rates'!$B$6)/12</f>
        <v>0</v>
      </c>
      <c r="CE162" s="45">
        <f>('[2]Renewable Diesel'!$AB171*'[2]RD Feedstock Breakdown'!CE$3*'[2]Feedstock Conversion Rates'!$B$4)/12</f>
        <v>0</v>
      </c>
      <c r="CF162" s="47">
        <f t="shared" si="76"/>
        <v>0</v>
      </c>
      <c r="CG162" s="45">
        <f>('[2]Renewable Diesel'!AD171*'[2]Feedstock Conversion Rates'!B$4)/12</f>
        <v>112.5</v>
      </c>
      <c r="CH162" s="47">
        <f t="shared" si="63"/>
        <v>112.5</v>
      </c>
      <c r="CI162" s="45">
        <f>('[2]Renewable Diesel'!$AE171*'[2]RD Feedstock Breakdown'!CI$3*'[2]Feedstock Conversion Rates'!$B$5)/12</f>
        <v>0.17302083333333332</v>
      </c>
      <c r="CJ162" s="45">
        <f>('[2]Renewable Diesel'!$AE171*'[2]RD Feedstock Breakdown'!CJ$3*'[2]Feedstock Conversion Rates'!$B$4)/12</f>
        <v>0.171875</v>
      </c>
      <c r="CK162" s="47">
        <f t="shared" si="73"/>
        <v>0.34489583333333329</v>
      </c>
      <c r="CL162" s="45">
        <f>(((CL$3*'[2]Renewable Diesel'!$AF171)*'[2]Feedstock Conversion Rates'!$B$3)/12)</f>
        <v>30.037499999999998</v>
      </c>
      <c r="CM162" s="45">
        <f>(((CM$3*'[2]Renewable Diesel'!$AF171)*'[2]Feedstock Conversion Rates'!$B$6)/12)-10</f>
        <v>7.5875000000000021</v>
      </c>
      <c r="CN162" s="45">
        <f>(((CN$3*'[2]Renewable Diesel'!$AF171)*'[2]Feedstock Conversion Rates'!$B$4)/12)+10</f>
        <v>24.0625</v>
      </c>
      <c r="CO162" s="47">
        <f t="shared" si="65"/>
        <v>61.6875</v>
      </c>
      <c r="CP162" s="47"/>
      <c r="CQ162" s="47"/>
      <c r="CR162" s="47"/>
      <c r="CS162" s="47"/>
      <c r="CT162" s="45">
        <f>('[2]Renewable Diesel'!AI171*'[2]Feedstock Conversion Rates'!$B$4*'[2]RD Feedstock Breakdown'!$CT$3)/12</f>
        <v>29.375</v>
      </c>
      <c r="CU162" s="47">
        <f t="shared" si="69"/>
        <v>29.375</v>
      </c>
      <c r="CV162" s="47"/>
      <c r="CW162" s="47"/>
      <c r="CX162" s="47"/>
      <c r="CY162" s="47"/>
      <c r="CZ162" s="47"/>
      <c r="DA162" s="47"/>
      <c r="DB162" s="47"/>
      <c r="DC162" s="47"/>
      <c r="DD162" s="47"/>
      <c r="DE162" s="47"/>
      <c r="DF162" s="47"/>
      <c r="DG162" s="47"/>
      <c r="DH162" s="47"/>
      <c r="DI162" s="47"/>
      <c r="DJ162" s="45">
        <f>('[2]Renewable Diesel'!AT171*'[2]Feedstock Conversion Rates'!$B$4*0.25)/12</f>
        <v>0</v>
      </c>
      <c r="DK162" s="45">
        <f>('[2]Renewable Diesel'!$AT171*'[2]RD Feedstock Breakdown'!DK$3*'[2]Feedstock Conversion Rates'!$B$3)/12*0.5</f>
        <v>0</v>
      </c>
      <c r="DL162" s="45">
        <f>('[2]Renewable Diesel'!$AT171*'[2]RD Feedstock Breakdown'!$DL$3*'[2]Feedstock Conversion Rates'!$B$6)/12</f>
        <v>0</v>
      </c>
      <c r="DM162" s="45">
        <f>('[2]Renewable Diesel'!$AT171*'[2]RD Feedstock Breakdown'!$DM$3*'[2]Feedstock Conversion Rates'!$B$8)/12</f>
        <v>0</v>
      </c>
      <c r="DN162" s="47">
        <f t="shared" si="77"/>
        <v>0</v>
      </c>
      <c r="DP162" s="45">
        <f t="shared" si="48"/>
        <v>150.08250000000001</v>
      </c>
      <c r="DQ162" s="45">
        <f t="shared" si="49"/>
        <v>376.1549</v>
      </c>
      <c r="DR162" s="45">
        <f t="shared" si="57"/>
        <v>1322.015625</v>
      </c>
      <c r="DS162" s="45">
        <f t="shared" si="70"/>
        <v>414.17302083333334</v>
      </c>
      <c r="DT162" s="45">
        <f t="shared" si="50"/>
        <v>48.710900000000038</v>
      </c>
      <c r="DU162" s="45">
        <f t="shared" si="51"/>
        <v>216.29799999999997</v>
      </c>
      <c r="DV162" s="45">
        <f t="shared" si="58"/>
        <v>56.8046875</v>
      </c>
      <c r="DW162" s="45">
        <f t="shared" si="52"/>
        <v>2</v>
      </c>
      <c r="DX162" s="47">
        <f t="shared" si="53"/>
        <v>2586.2396333333331</v>
      </c>
      <c r="DY162" s="50">
        <f t="shared" si="54"/>
        <v>-5.6843418860808015E-14</v>
      </c>
      <c r="EA162" s="51">
        <f t="shared" si="80"/>
        <v>5.8031165428612197E-2</v>
      </c>
      <c r="EB162" s="51">
        <f t="shared" si="80"/>
        <v>0.14544472026174321</v>
      </c>
      <c r="EC162" s="51">
        <f t="shared" si="80"/>
        <v>0.51117290445978136</v>
      </c>
      <c r="ED162" s="51">
        <f t="shared" si="80"/>
        <v>0.16014487423948304</v>
      </c>
      <c r="EE162" s="51">
        <f t="shared" si="80"/>
        <v>1.8834642920237787E-2</v>
      </c>
      <c r="EF162" s="51">
        <f t="shared" si="80"/>
        <v>8.3634168006782666E-2</v>
      </c>
      <c r="EG162" s="51">
        <f t="shared" si="80"/>
        <v>2.1964201138927719E-2</v>
      </c>
      <c r="EH162" s="52">
        <f t="shared" si="59"/>
        <v>7.7332354443205827E-4</v>
      </c>
      <c r="EI162" s="51">
        <f t="shared" si="60"/>
        <v>0.99922667645556806</v>
      </c>
      <c r="EK162" s="53">
        <f>(EA162*'[2]Renewable Diesel'!BF171*'[2]Feedstock Conversion Rates'!B$2)+FB162</f>
        <v>104.60747638984432</v>
      </c>
      <c r="EL162" s="53">
        <f>(EB162*'[2]Renewable Diesel'!BF171*'[2]Feedstock Conversion Rates'!B$3)+FC162</f>
        <v>247.06599975002038</v>
      </c>
      <c r="EM162" s="53">
        <f>(EC162*'[2]Renewable Diesel'!BF171*'[2]Feedstock Conversion Rates'!B$4)+FD162</f>
        <v>813.03940643935687</v>
      </c>
      <c r="EN162" s="53">
        <f>(ED162*'[2]Renewable Diesel'!BF171*'[2]Feedstock Conversion Rates'!B$5)+FE162</f>
        <v>256.41445319655151</v>
      </c>
      <c r="EO162" s="53">
        <f>(EE162*'[2]Renewable Diesel'!BF171*'[2]Feedstock Conversion Rates'!B$6)+FF162</f>
        <v>37.466466492323576</v>
      </c>
      <c r="EP162" s="53">
        <f>(EF162*'[2]Renewable Diesel'!BF171*'[2]Feedstock Conversion Rates'!B$7)+FG162</f>
        <v>163.17517047127529</v>
      </c>
      <c r="EQ162" s="53">
        <f>(EG162*'[2]Renewable Diesel'!BF171*'[2]Feedstock Conversion Rates'!B$8)+FH162</f>
        <v>43.668592615890191</v>
      </c>
      <c r="ER162" s="53">
        <f>(EH162*'[2]Renewable Diesel'!BF171*'[2]Feedstock Conversion Rates'!B$9)+FI162</f>
        <v>1.5169996213550152</v>
      </c>
      <c r="ES162" s="53">
        <f t="shared" si="61"/>
        <v>1666.9545649766173</v>
      </c>
      <c r="ET162" s="36">
        <f>ES162/'[2]Renewable Diesel'!BF171</f>
        <v>7.8603386241138997</v>
      </c>
    </row>
    <row r="163" spans="1:150" x14ac:dyDescent="0.25">
      <c r="A163" s="39">
        <v>45383</v>
      </c>
      <c r="B163" s="45">
        <f t="shared" si="83"/>
        <v>21</v>
      </c>
      <c r="C163" s="45">
        <f t="shared" si="84"/>
        <v>254</v>
      </c>
      <c r="D163" s="45">
        <v>1</v>
      </c>
      <c r="E163" s="45">
        <f>('[2]Renewable Diesel'!B172*E$3*'[2]Feedstock Conversion Rates'!$B$2)/12-40+1.25+6-43+30-15+17.5+53+10-25+30-2.5-5+79-100+25-65-11</f>
        <v>35.180000000000007</v>
      </c>
      <c r="F163" s="45">
        <f>('[2]Renewable Diesel'!B172*'[2]RD Feedstock Breakdown'!F$3*'[2]Feedstock Conversion Rates'!B$8)/12-23+5-2.25+5+22.5-16.5-14-20+15+15+1-2-20+20-1-30+3+3</f>
        <v>14.65625</v>
      </c>
      <c r="G163" s="45">
        <f>('[2]Renewable Diesel'!B172*'[2]RD Feedstock Breakdown'!G$3*'[2]Feedstock Conversion Rates'!B$7)/12-25-15-25+4+4-20-40-20+10-17.5+20+50-12+32.5+35-75-75+22.5+5-20+40-4+100-100</f>
        <v>50.657000000000011</v>
      </c>
      <c r="H163" s="45">
        <f>('[2]Renewable Diesel'!B172*'[2]RD Feedstock Breakdown'!H$3*'[2]Feedstock Conversion Rates'!B$3)/12-85+4-15+70-65-80+50-22.5-5+25+27.5+35+50-25-65-12.5+65+12-10+100+75-125+40-100</f>
        <v>119.90022499999998</v>
      </c>
      <c r="I163" s="47">
        <f t="shared" si="75"/>
        <v>496.39347499999997</v>
      </c>
      <c r="J163" s="45">
        <f t="shared" si="82"/>
        <v>0.25</v>
      </c>
      <c r="K163" s="45"/>
      <c r="L163" s="45">
        <v>1</v>
      </c>
      <c r="M163" s="45">
        <f>('[2]Renewable Diesel'!C172*'[2]RD Feedstock Breakdown'!M$3*'[2]Feedstock Conversion Rates'!B$2)/12-15-40+2+117-25-2</f>
        <v>75.951250000000002</v>
      </c>
      <c r="N163" s="45">
        <f>('[2]Renewable Diesel'!C172*'[2]RD Feedstock Breakdown'!N$3*'[2]Feedstock Conversion Rates'!B$8)/12+1.75+7-15-20+19.5</f>
        <v>11.609375</v>
      </c>
      <c r="O163" s="45">
        <f>('[2]Renewable Diesel'!C172*'[2]RD Feedstock Breakdown'!O$3*'[2]Feedstock Conversion Rates'!B$7)/12+30-120+25-17.5</f>
        <v>-22.504500000000007</v>
      </c>
      <c r="P163" s="45">
        <f>('[2]Renewable Diesel'!C172*'[2]RD Feedstock Breakdown'!P$3*'[2]Feedstock Conversion Rates'!B$3)/12-15-59-10+15-7.5+15+75-25-2.5-25-15-20+25+100</f>
        <v>103.23521250000002</v>
      </c>
      <c r="Q163" s="47">
        <f t="shared" si="85"/>
        <v>169.5413375</v>
      </c>
      <c r="R163" s="45">
        <f>('[2]Renewable Diesel'!D172*'[2]RD Feedstock Breakdown'!R$3*'[2]Feedstock Conversion Rates'!B$7)/12</f>
        <v>2.2999999999999998</v>
      </c>
      <c r="S163" s="47">
        <f t="shared" si="44"/>
        <v>2.2999999999999998</v>
      </c>
      <c r="T163" s="45">
        <f t="shared" si="86"/>
        <v>25</v>
      </c>
      <c r="U163" s="45">
        <v>0</v>
      </c>
      <c r="V163" s="45">
        <f>('[2]Renewable Diesel'!E172*'[2]RD Feedstock Breakdown'!V$3*'[2]Feedstock Conversion Rates'!B$6)/12-20+20-35+20</f>
        <v>29.250150000000012</v>
      </c>
      <c r="W163" s="45">
        <f>('[2]Renewable Diesel'!E172*'[2]RD Feedstock Breakdown'!W$3*'[2]Feedstock Conversion Rates'!B$8)/12-10</f>
        <v>12.1796875</v>
      </c>
      <c r="X163" s="47">
        <f t="shared" si="62"/>
        <v>66.429837500000019</v>
      </c>
      <c r="Y163" s="45">
        <f t="shared" ref="Y163:Y168" si="89">50+32-14+73+11-15-75-62+41+24-65+40-40+70-70</f>
        <v>0</v>
      </c>
      <c r="Z163" s="45">
        <f>('[2]Renewable Diesel'!F172*'[2]RD Feedstock Breakdown'!Z$3*'[2]Feedstock Conversion Rates'!B$6)/12-50-32-11+15-41+40-40+70</f>
        <v>-4.4449999999999932</v>
      </c>
      <c r="AA163" s="45">
        <f>('[2]Renewable Diesel'!F172*'[2]RD Feedstock Breakdown'!AA$3*'[2]Feedstock Conversion Rates'!B$7)/12+14-73+75+62-24+25+40-70</f>
        <v>78.133333333333326</v>
      </c>
      <c r="AB163" s="47">
        <f t="shared" si="39"/>
        <v>73.688333333333333</v>
      </c>
      <c r="AC163" s="45">
        <f>('[2]Renewable Diesel'!G172*'[2]RD Feedstock Breakdown'!AC$3*'[2]Feedstock Conversion Rates'!B$5)/12</f>
        <v>0</v>
      </c>
      <c r="AD163" s="45">
        <f>('[2]Renewable Diesel'!G172*'[2]RD Feedstock Breakdown'!AD$3*'[2]Feedstock Conversion Rates'!B$4)/12</f>
        <v>0</v>
      </c>
      <c r="AE163" s="45">
        <f>('[2]Renewable Diesel'!G172*'[2]RD Feedstock Breakdown'!AE$3*'[2]Feedstock Conversion Rates'!B$6)/12</f>
        <v>0</v>
      </c>
      <c r="AF163" s="47">
        <f t="shared" si="71"/>
        <v>0</v>
      </c>
      <c r="AG163" s="45">
        <f t="shared" si="88"/>
        <v>135</v>
      </c>
      <c r="AH163" s="45">
        <v>0</v>
      </c>
      <c r="AI163" s="45">
        <f>('[2]Renewable Diesel'!H172*'[2]RD Feedstock Breakdown'!AI$3*'[2]Feedstock Conversion Rates'!B$6)/12-130-23+3+51+99-50-150+80+10+15-60+15+140-70-65</f>
        <v>13.51666666666668</v>
      </c>
      <c r="AJ163" s="47">
        <f t="shared" si="42"/>
        <v>148.51666666666668</v>
      </c>
      <c r="AK163" s="45">
        <f>('[2]Renewable Diesel'!J172*'[2]RD Feedstock Breakdown'!AK$3*'[2]Feedstock Conversion Rates'!B$4)/12</f>
        <v>95.8125</v>
      </c>
      <c r="AL163" s="47">
        <f t="shared" si="45"/>
        <v>95.8125</v>
      </c>
      <c r="AM163" s="45">
        <f>('[2]Renewable Diesel'!K172*'[2]RD Feedstock Breakdown'!AM$3*'[2]Feedstock Conversion Rates'!B$4)/12+20-30</f>
        <v>48.59375</v>
      </c>
      <c r="AN163" s="45">
        <f>('[2]Renewable Diesel'!K172*'[2]RD Feedstock Breakdown'!AN$3*'[2]Feedstock Conversion Rates'!B$6)/12-20+30</f>
        <v>34.427083333333329</v>
      </c>
      <c r="AO163" s="47">
        <f t="shared" si="56"/>
        <v>83.020833333333329</v>
      </c>
      <c r="AP163" s="45">
        <f>('[2]Renewable Diesel'!L172*'[2]RD Feedstock Breakdown'!AP$3*'[2]Feedstock Conversion Rates'!B$4)/12+15-10+15</f>
        <v>78.59375</v>
      </c>
      <c r="AQ163" s="45">
        <f>('[2]Renewable Diesel'!L172*'[2]RD Feedstock Breakdown'!AQ$3*'[2]Feedstock Conversion Rates'!B$6)/12-15+10-15</f>
        <v>4.4270833333333321</v>
      </c>
      <c r="AR163" s="47">
        <f t="shared" si="46"/>
        <v>83.020833333333329</v>
      </c>
      <c r="AS163" s="45">
        <f>('[2]Renewable Diesel'!M172*'[2]RD Feedstock Breakdown'!AS$3*'[2]Feedstock Conversion Rates'!B$4)/12</f>
        <v>456.25</v>
      </c>
      <c r="AT163" s="45">
        <f>('[2]Renewable Diesel'!M172*'[2]RD Feedstock Breakdown'!AT$3*'[2]Feedstock Conversion Rates'!B$5)/12</f>
        <v>0</v>
      </c>
      <c r="AU163" s="47">
        <f t="shared" si="74"/>
        <v>456.25</v>
      </c>
      <c r="AV163" s="45">
        <f>'[2]Renewable Diesel'!N172*'[2]RD Feedstock Breakdown'!$AV$3*'[2]Feedstock Conversion Rates'!$B$4/12-15-10+25+25-22-75+75+22.5</f>
        <v>104.24999999999999</v>
      </c>
      <c r="AW163" s="45">
        <f>'[2]Renewable Diesel'!N172*'[2]RD Feedstock Breakdown'!$AW$3*'[2]Feedstock Conversion Rates'!$B$7/12+15+10-25-25+22+75-75-22.5</f>
        <v>15.900000000000006</v>
      </c>
      <c r="AX163" s="47">
        <f t="shared" si="40"/>
        <v>120.14999999999999</v>
      </c>
      <c r="AY163" s="45">
        <f>('[2]Renewable Diesel'!O172*'[2]RD Feedstock Breakdown'!AY$3*'[2]Feedstock Conversion Rates'!B$4)/12-125</f>
        <v>15.625</v>
      </c>
      <c r="AZ163" s="45">
        <f>('[2]Renewable Diesel'!O172*'[2]RD Feedstock Breakdown'!AZ$3*'[2]Feedstock Conversion Rates'!B$3)/12+125</f>
        <v>141.6875</v>
      </c>
      <c r="BA163" s="47">
        <f t="shared" si="87"/>
        <v>157.3125</v>
      </c>
      <c r="BB163" s="45">
        <f>('[2]Renewable Diesel'!Q172*'[2]RD Feedstock Breakdown'!BB$3*'[2]Feedstock Conversion Rates'!B$4)/12</f>
        <v>11.156249999999998</v>
      </c>
      <c r="BC163" s="45">
        <f>('[2]Renewable Diesel'!Q172*'[2]RD Feedstock Breakdown'!BC$3*'[2]Feedstock Conversion Rates'!B$3)/12</f>
        <v>1.4017500000000001</v>
      </c>
      <c r="BD163" s="45">
        <f>('[2]Renewable Diesel'!Q172*'[2]RD Feedstock Breakdown'!BD$3*'[2]Feedstock Conversion Rates'!B$6)/12</f>
        <v>0.8207500000000002</v>
      </c>
      <c r="BE163" s="47">
        <f t="shared" si="64"/>
        <v>13.378749999999998</v>
      </c>
      <c r="BF163" s="45">
        <f>('[2]Renewable Diesel'!R172*'[2]RD Feedstock Breakdown'!BF$3*'[2]Feedstock Conversion Rates'!B$4)/12</f>
        <v>62.5</v>
      </c>
      <c r="BG163" s="47">
        <f t="shared" si="47"/>
        <v>62.5</v>
      </c>
      <c r="BH163" s="45">
        <f>('[2]Renewable Diesel'!T172*'[2]RD Feedstock Breakdown'!BH$3*'[2]Feedstock Conversion Rates'!B$7)/12</f>
        <v>27.599999999999998</v>
      </c>
      <c r="BI163" s="47">
        <f t="shared" si="41"/>
        <v>27.599999999999998</v>
      </c>
      <c r="BJ163" s="45">
        <f>('[2]Renewable Diesel'!W172*'[2]RD Feedstock Breakdown'!BJ$3*'[2]Feedstock Conversion Rates'!B$4)/12</f>
        <v>7.5</v>
      </c>
      <c r="BK163" s="45">
        <f>('[2]Renewable Diesel'!W172*'[2]RD Feedstock Breakdown'!BK$3*'[2]Feedstock Conversion Rates'!B$3)/12</f>
        <v>1.335</v>
      </c>
      <c r="BL163" s="45">
        <f>('[2]Renewable Diesel'!W172*'[2]RD Feedstock Breakdown'!BL$3*'[2]Feedstock Conversion Rates'!B$6)/12</f>
        <v>3.1266666666666669</v>
      </c>
      <c r="BM163" s="45">
        <f>('[2]Renewable Diesel'!W172*'[2]RD Feedstock Breakdown'!BM$3*'[2]Feedstock Conversion Rates'!B$7)/12</f>
        <v>1.5333333333333332</v>
      </c>
      <c r="BN163" s="47">
        <f t="shared" si="78"/>
        <v>13.495000000000001</v>
      </c>
      <c r="BO163" s="45">
        <f>('[2]Renewable Diesel'!P172*'[2]Feedstock Conversion Rates'!B$4)/12</f>
        <v>31.25</v>
      </c>
      <c r="BP163" s="47">
        <f t="shared" si="72"/>
        <v>31.25</v>
      </c>
      <c r="BQ163" s="45"/>
      <c r="BR163" s="45"/>
      <c r="BS163" s="47"/>
      <c r="BT163" s="47"/>
      <c r="BU163" s="45">
        <f>('[2]Renewable Diesel'!Y172*'[2]Feedstock Conversion Rates'!B$7)/12</f>
        <v>2.6833333333333331</v>
      </c>
      <c r="BV163" s="47">
        <f t="shared" si="67"/>
        <v>2.6833333333333331</v>
      </c>
      <c r="BW163" s="45"/>
      <c r="BX163" s="45"/>
      <c r="BY163" s="45"/>
      <c r="BZ163" s="45"/>
      <c r="CA163" s="47"/>
      <c r="CB163" s="45">
        <f>('[2]Renewable Diesel'!AA172*'[2]Feedstock Conversion Rates'!B$4)/12</f>
        <v>191.25</v>
      </c>
      <c r="CC163" s="47">
        <f t="shared" si="79"/>
        <v>191.25</v>
      </c>
      <c r="CD163" s="45">
        <f>('[2]Renewable Diesel'!$AB172*'[2]RD Feedstock Breakdown'!CD$3*'[2]Feedstock Conversion Rates'!$B$6)/12</f>
        <v>0</v>
      </c>
      <c r="CE163" s="45">
        <f>('[2]Renewable Diesel'!$AB172*'[2]RD Feedstock Breakdown'!CE$3*'[2]Feedstock Conversion Rates'!$B$4)/12</f>
        <v>0</v>
      </c>
      <c r="CF163" s="47">
        <f t="shared" si="76"/>
        <v>0</v>
      </c>
      <c r="CG163" s="45">
        <f>('[2]Renewable Diesel'!AD172*'[2]Feedstock Conversion Rates'!B$4)/12</f>
        <v>112.5</v>
      </c>
      <c r="CH163" s="47">
        <f t="shared" si="63"/>
        <v>112.5</v>
      </c>
      <c r="CI163" s="45">
        <f>('[2]Renewable Diesel'!$AE172*'[2]RD Feedstock Breakdown'!CI$3*'[2]Feedstock Conversion Rates'!$B$5)/12</f>
        <v>0.17302083333333332</v>
      </c>
      <c r="CJ163" s="45">
        <f>('[2]Renewable Diesel'!$AE172*'[2]RD Feedstock Breakdown'!CJ$3*'[2]Feedstock Conversion Rates'!$B$4)/12</f>
        <v>0.171875</v>
      </c>
      <c r="CK163" s="47">
        <f t="shared" si="73"/>
        <v>0.34489583333333329</v>
      </c>
      <c r="CL163" s="45">
        <f>(((CL$3*'[2]Renewable Diesel'!$AF172)*'[2]Feedstock Conversion Rates'!$B$3)/12)</f>
        <v>30.037499999999998</v>
      </c>
      <c r="CM163" s="45">
        <f>(((CM$3*'[2]Renewable Diesel'!$AF172)*'[2]Feedstock Conversion Rates'!$B$6)/12)-10</f>
        <v>7.5875000000000021</v>
      </c>
      <c r="CN163" s="45">
        <f>(((CN$3*'[2]Renewable Diesel'!$AF172)*'[2]Feedstock Conversion Rates'!$B$4)/12)+10</f>
        <v>24.0625</v>
      </c>
      <c r="CO163" s="47">
        <f t="shared" si="65"/>
        <v>61.6875</v>
      </c>
      <c r="CP163" s="47"/>
      <c r="CQ163" s="47"/>
      <c r="CR163" s="47"/>
      <c r="CS163" s="47"/>
      <c r="CT163" s="45">
        <f>('[2]Renewable Diesel'!AI172*'[2]Feedstock Conversion Rates'!$B$4*'[2]RD Feedstock Breakdown'!$CT$3)/12</f>
        <v>29.375</v>
      </c>
      <c r="CU163" s="47">
        <f t="shared" si="69"/>
        <v>29.375</v>
      </c>
      <c r="CV163" s="47"/>
      <c r="CW163" s="47"/>
      <c r="CX163" s="47"/>
      <c r="CY163" s="47"/>
      <c r="CZ163" s="47"/>
      <c r="DA163" s="47"/>
      <c r="DB163" s="47"/>
      <c r="DC163" s="47"/>
      <c r="DD163" s="47"/>
      <c r="DE163" s="47"/>
      <c r="DF163" s="47"/>
      <c r="DG163" s="47"/>
      <c r="DH163" s="47"/>
      <c r="DI163" s="47"/>
      <c r="DJ163" s="45">
        <f>('[2]Renewable Diesel'!AT172*'[2]Feedstock Conversion Rates'!$B$4*0.25)/12</f>
        <v>0</v>
      </c>
      <c r="DK163" s="45">
        <f>('[2]Renewable Diesel'!$AT172*'[2]RD Feedstock Breakdown'!DK$3*'[2]Feedstock Conversion Rates'!$B$3)/12*0.5</f>
        <v>0</v>
      </c>
      <c r="DL163" s="45">
        <f>('[2]Renewable Diesel'!$AT172*'[2]RD Feedstock Breakdown'!$DL$3*'[2]Feedstock Conversion Rates'!$B$6)/12</f>
        <v>0</v>
      </c>
      <c r="DM163" s="45">
        <f>('[2]Renewable Diesel'!$AT172*'[2]RD Feedstock Breakdown'!$DM$3*'[2]Feedstock Conversion Rates'!$B$8)/12</f>
        <v>0</v>
      </c>
      <c r="DN163" s="47">
        <f t="shared" si="77"/>
        <v>0</v>
      </c>
      <c r="DP163" s="45">
        <f t="shared" si="48"/>
        <v>111.13125000000001</v>
      </c>
      <c r="DQ163" s="45">
        <f t="shared" si="49"/>
        <v>397.59718749999996</v>
      </c>
      <c r="DR163" s="45">
        <f t="shared" si="57"/>
        <v>1290.140625</v>
      </c>
      <c r="DS163" s="45">
        <f t="shared" si="70"/>
        <v>414.17302083333334</v>
      </c>
      <c r="DT163" s="45">
        <f t="shared" si="50"/>
        <v>88.710900000000024</v>
      </c>
      <c r="DU163" s="45">
        <f t="shared" si="51"/>
        <v>156.30250000000001</v>
      </c>
      <c r="DV163" s="45">
        <f t="shared" si="58"/>
        <v>38.4453125</v>
      </c>
      <c r="DW163" s="45">
        <f t="shared" si="52"/>
        <v>2</v>
      </c>
      <c r="DX163" s="47">
        <f t="shared" si="53"/>
        <v>2498.5007958333335</v>
      </c>
      <c r="DY163" s="50">
        <f t="shared" si="54"/>
        <v>-5.1159076974727213E-13</v>
      </c>
      <c r="EA163" s="51">
        <f t="shared" si="80"/>
        <v>4.447917334480337E-2</v>
      </c>
      <c r="EB163" s="51">
        <f t="shared" si="80"/>
        <v>0.15913430492520136</v>
      </c>
      <c r="EC163" s="51">
        <f t="shared" si="80"/>
        <v>0.51636590516662007</v>
      </c>
      <c r="ED163" s="51">
        <f t="shared" si="80"/>
        <v>0.16576861673369722</v>
      </c>
      <c r="EE163" s="51">
        <f t="shared" si="80"/>
        <v>3.5505652088620596E-2</v>
      </c>
      <c r="EF163" s="51">
        <f t="shared" si="80"/>
        <v>6.255851519465612E-2</v>
      </c>
      <c r="EG163" s="51">
        <f t="shared" si="80"/>
        <v>1.5387352513200702E-2</v>
      </c>
      <c r="EH163" s="52">
        <f t="shared" si="59"/>
        <v>8.0048003320044294E-4</v>
      </c>
      <c r="EI163" s="51">
        <f t="shared" si="60"/>
        <v>0.99919951996679945</v>
      </c>
      <c r="EK163" s="53">
        <f>(EA163*'[2]Renewable Diesel'!BF172*'[2]Feedstock Conversion Rates'!B$2)+FB163</f>
        <v>106.56486946691754</v>
      </c>
      <c r="EL163" s="53">
        <f>(EB163*'[2]Renewable Diesel'!BF172*'[2]Feedstock Conversion Rates'!B$3)+FC163</f>
        <v>359.28141461207753</v>
      </c>
      <c r="EM163" s="53">
        <f>(EC163*'[2]Renewable Diesel'!BF172*'[2]Feedstock Conversion Rates'!B$4)+FD163</f>
        <v>1091.5842141910291</v>
      </c>
      <c r="EN163" s="53">
        <f>(ED163*'[2]Renewable Diesel'!BF172*'[2]Feedstock Conversion Rates'!B$5)+FE163</f>
        <v>352.76678697619923</v>
      </c>
      <c r="EO163" s="53">
        <f>(EE163*'[2]Renewable Diesel'!BF172*'[2]Feedstock Conversion Rates'!B$6)+FF163</f>
        <v>93.872580385356471</v>
      </c>
      <c r="EP163" s="53">
        <f>(EF163*'[2]Renewable Diesel'!BF172*'[2]Feedstock Conversion Rates'!B$7)+FG163</f>
        <v>162.22309544228264</v>
      </c>
      <c r="EQ163" s="53">
        <f>(EG163*'[2]Renewable Diesel'!BF172*'[2]Feedstock Conversion Rates'!B$8)+FH163</f>
        <v>40.660583254869067</v>
      </c>
      <c r="ER163" s="53">
        <f>(EH163*'[2]Renewable Diesel'!BF172*'[2]Feedstock Conversion Rates'!B$9)+FI163</f>
        <v>2.0870394613025525</v>
      </c>
      <c r="ES163" s="53">
        <f t="shared" si="61"/>
        <v>2209.0405837900339</v>
      </c>
      <c r="ET163" s="36">
        <f>ES163/'[2]Renewable Diesel'!BF172</f>
        <v>7.8372783274712132</v>
      </c>
    </row>
    <row r="164" spans="1:150" x14ac:dyDescent="0.25">
      <c r="A164" s="39">
        <v>45413</v>
      </c>
      <c r="B164" s="45">
        <f t="shared" si="83"/>
        <v>21</v>
      </c>
      <c r="C164" s="45">
        <f t="shared" si="84"/>
        <v>254</v>
      </c>
      <c r="D164" s="45">
        <v>1</v>
      </c>
      <c r="E164" s="45">
        <f>('[2]Renewable Diesel'!B173*E$3*'[2]Feedstock Conversion Rates'!$B$2)/12-40+1.25+6-43+30-15+17.5+53+10-25+30-2.5-5+79-100+25-65-11</f>
        <v>35.180000000000007</v>
      </c>
      <c r="F164" s="45">
        <f>('[2]Renewable Diesel'!B173*'[2]RD Feedstock Breakdown'!F$3*'[2]Feedstock Conversion Rates'!B$8)/12-23+5-2.25+5+22.5-16.5-14-20+15+15+1-2-20+20-1-30+3+3</f>
        <v>14.65625</v>
      </c>
      <c r="G164" s="45">
        <f>('[2]Renewable Diesel'!B173*'[2]RD Feedstock Breakdown'!G$3*'[2]Feedstock Conversion Rates'!B$7)/12-25-15-25+4+4-20-40-20+10-17.5+20+50-12+32.5+35-75-75+22.5+5-20+40-4+100-100</f>
        <v>50.657000000000011</v>
      </c>
      <c r="H164" s="45">
        <f>('[2]Renewable Diesel'!B173*'[2]RD Feedstock Breakdown'!H$3*'[2]Feedstock Conversion Rates'!B$3)/12-85+4-15+70-65-80+50-22.5-5+25+27.5+35+50-25-65-12.5+65+12-10+100+75-125+40-100</f>
        <v>119.90022499999998</v>
      </c>
      <c r="I164" s="47">
        <f t="shared" si="75"/>
        <v>496.39347499999997</v>
      </c>
      <c r="J164" s="45">
        <f t="shared" si="82"/>
        <v>0.25</v>
      </c>
      <c r="K164" s="45"/>
      <c r="L164" s="45">
        <v>1</v>
      </c>
      <c r="M164" s="45">
        <f>('[2]Renewable Diesel'!C173*'[2]RD Feedstock Breakdown'!M$3*'[2]Feedstock Conversion Rates'!B$2)/12-15-40+2+117-25-2</f>
        <v>75.951250000000002</v>
      </c>
      <c r="N164" s="45">
        <f>('[2]Renewable Diesel'!C173*'[2]RD Feedstock Breakdown'!N$3*'[2]Feedstock Conversion Rates'!B$8)/12+1.75+7-15-20+19.5</f>
        <v>11.609375</v>
      </c>
      <c r="O164" s="45">
        <f>('[2]Renewable Diesel'!C173*'[2]RD Feedstock Breakdown'!O$3*'[2]Feedstock Conversion Rates'!B$7)/12+30-120+25-17.5</f>
        <v>-22.504500000000007</v>
      </c>
      <c r="P164" s="45">
        <f>('[2]Renewable Diesel'!C173*'[2]RD Feedstock Breakdown'!P$3*'[2]Feedstock Conversion Rates'!B$3)/12-15-59-10+15-7.5+15+75-25-2.5-25-15-20+25+100</f>
        <v>103.23521250000002</v>
      </c>
      <c r="Q164" s="47">
        <f>SUM(J164:P164)</f>
        <v>169.5413375</v>
      </c>
      <c r="R164" s="45">
        <f>('[2]Renewable Diesel'!D173*'[2]RD Feedstock Breakdown'!R$3*'[2]Feedstock Conversion Rates'!B$7)/12</f>
        <v>2.2999999999999998</v>
      </c>
      <c r="S164" s="47">
        <f t="shared" si="44"/>
        <v>2.2999999999999998</v>
      </c>
      <c r="T164" s="45">
        <f t="shared" si="86"/>
        <v>25</v>
      </c>
      <c r="U164" s="45">
        <v>0</v>
      </c>
      <c r="V164" s="45">
        <f>('[2]Renewable Diesel'!E173*'[2]RD Feedstock Breakdown'!V$3*'[2]Feedstock Conversion Rates'!B$6)/12-20+20-35+20</f>
        <v>29.250150000000012</v>
      </c>
      <c r="W164" s="45">
        <f>('[2]Renewable Diesel'!E173*'[2]RD Feedstock Breakdown'!W$3*'[2]Feedstock Conversion Rates'!B$8)/12-10</f>
        <v>12.1796875</v>
      </c>
      <c r="X164" s="47">
        <f>SUM(T164:W164)</f>
        <v>66.429837500000019</v>
      </c>
      <c r="Y164" s="45">
        <f t="shared" si="89"/>
        <v>0</v>
      </c>
      <c r="Z164" s="45">
        <f>('[2]Renewable Diesel'!F173*'[2]RD Feedstock Breakdown'!Z$3*'[2]Feedstock Conversion Rates'!B$6)/12-50-32-11+15-41+40-40+70</f>
        <v>-4.4449999999999932</v>
      </c>
      <c r="AA164" s="45">
        <f>('[2]Renewable Diesel'!F173*'[2]RD Feedstock Breakdown'!AA$3*'[2]Feedstock Conversion Rates'!B$7)/12+14-73+75+62-24+25+40-70</f>
        <v>78.133333333333326</v>
      </c>
      <c r="AB164" s="47">
        <f>SUM(Y164:AA164)</f>
        <v>73.688333333333333</v>
      </c>
      <c r="AC164" s="45">
        <f>('[2]Renewable Diesel'!G173*'[2]RD Feedstock Breakdown'!AC$3*'[2]Feedstock Conversion Rates'!B$5)/12</f>
        <v>0</v>
      </c>
      <c r="AD164" s="45">
        <f>('[2]Renewable Diesel'!G173*'[2]RD Feedstock Breakdown'!AD$3*'[2]Feedstock Conversion Rates'!B$4)/12</f>
        <v>0</v>
      </c>
      <c r="AE164" s="45">
        <f>('[2]Renewable Diesel'!G173*'[2]RD Feedstock Breakdown'!AE$3*'[2]Feedstock Conversion Rates'!B$6)/12</f>
        <v>0</v>
      </c>
      <c r="AF164" s="47">
        <f>SUM(AC164:AE164)</f>
        <v>0</v>
      </c>
      <c r="AG164" s="45">
        <f t="shared" si="88"/>
        <v>135</v>
      </c>
      <c r="AH164" s="45">
        <v>0</v>
      </c>
      <c r="AI164" s="45">
        <f>('[2]Renewable Diesel'!H173*'[2]RD Feedstock Breakdown'!AI$3*'[2]Feedstock Conversion Rates'!B$6)/12-130-23+3+51+99-50-150+80+10+15-60+15+140-70-65</f>
        <v>13.51666666666668</v>
      </c>
      <c r="AJ164" s="47">
        <f t="shared" si="42"/>
        <v>148.51666666666668</v>
      </c>
      <c r="AK164" s="45">
        <f>('[2]Renewable Diesel'!J173*'[2]RD Feedstock Breakdown'!AK$3*'[2]Feedstock Conversion Rates'!B$4)/12</f>
        <v>95.8125</v>
      </c>
      <c r="AL164" s="47">
        <f t="shared" si="45"/>
        <v>95.8125</v>
      </c>
      <c r="AM164" s="45">
        <f>('[2]Renewable Diesel'!K173*'[2]RD Feedstock Breakdown'!AM$3*'[2]Feedstock Conversion Rates'!B$4)/12+20-30</f>
        <v>48.59375</v>
      </c>
      <c r="AN164" s="45">
        <f>('[2]Renewable Diesel'!K173*'[2]RD Feedstock Breakdown'!AN$3*'[2]Feedstock Conversion Rates'!B$6)/12-20+30</f>
        <v>34.427083333333329</v>
      </c>
      <c r="AO164" s="47">
        <f t="shared" si="56"/>
        <v>83.020833333333329</v>
      </c>
      <c r="AP164" s="45">
        <f>('[2]Renewable Diesel'!L173*'[2]RD Feedstock Breakdown'!AP$3*'[2]Feedstock Conversion Rates'!B$4)/12+15-10+15</f>
        <v>78.59375</v>
      </c>
      <c r="AQ164" s="45">
        <f>('[2]Renewable Diesel'!L173*'[2]RD Feedstock Breakdown'!AQ$3*'[2]Feedstock Conversion Rates'!B$6)/12-15+10-15</f>
        <v>4.4270833333333321</v>
      </c>
      <c r="AR164" s="47">
        <f t="shared" si="46"/>
        <v>83.020833333333329</v>
      </c>
      <c r="AS164" s="45">
        <f>('[2]Renewable Diesel'!M173*'[2]RD Feedstock Breakdown'!AS$3*'[2]Feedstock Conversion Rates'!B$4)/12</f>
        <v>456.25</v>
      </c>
      <c r="AT164" s="45">
        <f>('[2]Renewable Diesel'!M173*'[2]RD Feedstock Breakdown'!AT$3*'[2]Feedstock Conversion Rates'!B$5)/12</f>
        <v>0</v>
      </c>
      <c r="AU164" s="47">
        <f t="shared" si="74"/>
        <v>456.25</v>
      </c>
      <c r="AV164" s="45">
        <f>'[2]Renewable Diesel'!N173*'[2]RD Feedstock Breakdown'!$AV$3*'[2]Feedstock Conversion Rates'!$B$4/12-15-10+25+25-22-75+75+22.5</f>
        <v>104.24999999999999</v>
      </c>
      <c r="AW164" s="45">
        <f>'[2]Renewable Diesel'!N173*'[2]RD Feedstock Breakdown'!$AW$3*'[2]Feedstock Conversion Rates'!$B$7/12+15+10-25-25+22+75-75-22.5</f>
        <v>15.900000000000006</v>
      </c>
      <c r="AX164" s="47">
        <f t="shared" si="40"/>
        <v>120.14999999999999</v>
      </c>
      <c r="AY164" s="45">
        <f>('[2]Renewable Diesel'!O173*'[2]RD Feedstock Breakdown'!AY$3*'[2]Feedstock Conversion Rates'!B$4)/12-250+120</f>
        <v>123.125</v>
      </c>
      <c r="AZ164" s="45">
        <f>('[2]Renewable Diesel'!O173*'[2]RD Feedstock Breakdown'!AZ$3*'[2]Feedstock Conversion Rates'!B$3)/12+120</f>
        <v>150.03749999999999</v>
      </c>
      <c r="BA164" s="47">
        <f t="shared" si="87"/>
        <v>273.16250000000002</v>
      </c>
      <c r="BB164" s="45">
        <f>('[2]Renewable Diesel'!Q173*'[2]RD Feedstock Breakdown'!BB$3*'[2]Feedstock Conversion Rates'!B$4)/12</f>
        <v>11.156249999999998</v>
      </c>
      <c r="BC164" s="45">
        <f>('[2]Renewable Diesel'!Q173*'[2]RD Feedstock Breakdown'!BC$3*'[2]Feedstock Conversion Rates'!B$3)/12</f>
        <v>1.4017500000000001</v>
      </c>
      <c r="BD164" s="45">
        <f>('[2]Renewable Diesel'!Q173*'[2]RD Feedstock Breakdown'!BD$3*'[2]Feedstock Conversion Rates'!B$6)/12</f>
        <v>0.8207500000000002</v>
      </c>
      <c r="BE164" s="47">
        <f t="shared" si="64"/>
        <v>13.378749999999998</v>
      </c>
      <c r="BF164" s="45">
        <f>('[2]Renewable Diesel'!R173*'[2]RD Feedstock Breakdown'!BF$3*'[2]Feedstock Conversion Rates'!B$4)/12</f>
        <v>62.5</v>
      </c>
      <c r="BG164" s="47">
        <f t="shared" si="47"/>
        <v>62.5</v>
      </c>
      <c r="BH164" s="45">
        <f>('[2]Renewable Diesel'!T173*'[2]RD Feedstock Breakdown'!BH$3*'[2]Feedstock Conversion Rates'!B$7)/12</f>
        <v>27.599999999999998</v>
      </c>
      <c r="BI164" s="47">
        <f t="shared" si="41"/>
        <v>27.599999999999998</v>
      </c>
      <c r="BJ164" s="45">
        <f>('[2]Renewable Diesel'!W173*'[2]RD Feedstock Breakdown'!BJ$3*'[2]Feedstock Conversion Rates'!B$4)/12</f>
        <v>7.5</v>
      </c>
      <c r="BK164" s="45">
        <f>('[2]Renewable Diesel'!W173*'[2]RD Feedstock Breakdown'!BK$3*'[2]Feedstock Conversion Rates'!B$3)/12</f>
        <v>1.335</v>
      </c>
      <c r="BL164" s="45">
        <f>('[2]Renewable Diesel'!W173*'[2]RD Feedstock Breakdown'!BL$3*'[2]Feedstock Conversion Rates'!B$6)/12</f>
        <v>3.1266666666666669</v>
      </c>
      <c r="BM164" s="45">
        <f>('[2]Renewable Diesel'!W173*'[2]RD Feedstock Breakdown'!BM$3*'[2]Feedstock Conversion Rates'!B$7)/12</f>
        <v>1.5333333333333332</v>
      </c>
      <c r="BN164" s="47">
        <f t="shared" si="78"/>
        <v>13.495000000000001</v>
      </c>
      <c r="BO164" s="45">
        <f>('[2]Renewable Diesel'!P173*'[2]Feedstock Conversion Rates'!B$4)/12</f>
        <v>31.25</v>
      </c>
      <c r="BP164" s="47">
        <f t="shared" si="72"/>
        <v>31.25</v>
      </c>
      <c r="BQ164" s="45"/>
      <c r="BR164" s="45"/>
      <c r="BS164" s="47"/>
      <c r="BT164" s="47"/>
      <c r="BU164" s="45">
        <f>('[2]Renewable Diesel'!Y173*'[2]Feedstock Conversion Rates'!B$7)/12</f>
        <v>2.6833333333333331</v>
      </c>
      <c r="BV164" s="47">
        <f t="shared" si="67"/>
        <v>2.6833333333333331</v>
      </c>
      <c r="BW164" s="45"/>
      <c r="BX164" s="45"/>
      <c r="BY164" s="45"/>
      <c r="BZ164" s="45"/>
      <c r="CA164" s="47"/>
      <c r="CB164" s="45">
        <f>('[2]Renewable Diesel'!AA173*'[2]Feedstock Conversion Rates'!B$4)/12</f>
        <v>191.25</v>
      </c>
      <c r="CC164" s="47">
        <f t="shared" si="79"/>
        <v>191.25</v>
      </c>
      <c r="CD164" s="45">
        <f>('[2]Renewable Diesel'!$AB173*'[2]RD Feedstock Breakdown'!CD$3*'[2]Feedstock Conversion Rates'!$B$6)/12</f>
        <v>0</v>
      </c>
      <c r="CE164" s="45">
        <f>('[2]Renewable Diesel'!$AB173*'[2]RD Feedstock Breakdown'!CE$3*'[2]Feedstock Conversion Rates'!$B$4)/12</f>
        <v>0</v>
      </c>
      <c r="CF164" s="47">
        <f t="shared" si="76"/>
        <v>0</v>
      </c>
      <c r="CG164" s="45">
        <f>('[2]Renewable Diesel'!AD173*'[2]Feedstock Conversion Rates'!B$4)/12</f>
        <v>112.5</v>
      </c>
      <c r="CH164" s="47">
        <f t="shared" si="63"/>
        <v>112.5</v>
      </c>
      <c r="CI164" s="45">
        <f>('[2]Renewable Diesel'!$AE173*'[2]RD Feedstock Breakdown'!CI$3*'[2]Feedstock Conversion Rates'!$B$5)/12</f>
        <v>0.17302083333333332</v>
      </c>
      <c r="CJ164" s="45">
        <f>('[2]Renewable Diesel'!$AE173*'[2]RD Feedstock Breakdown'!CJ$3*'[2]Feedstock Conversion Rates'!$B$4)/12</f>
        <v>0.171875</v>
      </c>
      <c r="CK164" s="47">
        <f t="shared" si="73"/>
        <v>0.34489583333333329</v>
      </c>
      <c r="CL164" s="45">
        <f>(((CL$3*'[2]Renewable Diesel'!$AF173)*'[2]Feedstock Conversion Rates'!$B$3)/12)</f>
        <v>30.037499999999998</v>
      </c>
      <c r="CM164" s="45">
        <f>(((CM$3*'[2]Renewable Diesel'!$AF173)*'[2]Feedstock Conversion Rates'!$B$6)/12)-10</f>
        <v>7.5875000000000021</v>
      </c>
      <c r="CN164" s="45">
        <f>(((CN$3*'[2]Renewable Diesel'!$AF173)*'[2]Feedstock Conversion Rates'!$B$4)/12)+10</f>
        <v>24.0625</v>
      </c>
      <c r="CO164" s="47">
        <f t="shared" si="65"/>
        <v>61.6875</v>
      </c>
      <c r="CP164" s="47"/>
      <c r="CQ164" s="47"/>
      <c r="CR164" s="47"/>
      <c r="CS164" s="47"/>
      <c r="CT164" s="45">
        <f>('[2]Renewable Diesel'!AI173*'[2]Feedstock Conversion Rates'!$B$4*'[2]RD Feedstock Breakdown'!$CT$3)/12</f>
        <v>29.375</v>
      </c>
      <c r="CU164" s="47">
        <f t="shared" si="69"/>
        <v>29.375</v>
      </c>
      <c r="CV164" s="47"/>
      <c r="CW164" s="47"/>
      <c r="CX164" s="47"/>
      <c r="CY164" s="47"/>
      <c r="CZ164" s="47"/>
      <c r="DA164" s="47"/>
      <c r="DB164" s="47"/>
      <c r="DC164" s="47"/>
      <c r="DD164" s="47"/>
      <c r="DE164" s="47"/>
      <c r="DF164" s="47"/>
      <c r="DG164" s="47"/>
      <c r="DH164" s="47"/>
      <c r="DI164" s="47"/>
      <c r="DJ164" s="45">
        <f>('[2]Renewable Diesel'!AT173*'[2]Feedstock Conversion Rates'!$B$4*0.25)/12</f>
        <v>0</v>
      </c>
      <c r="DK164" s="45">
        <f>('[2]Renewable Diesel'!$AT173*'[2]RD Feedstock Breakdown'!DK$3*'[2]Feedstock Conversion Rates'!$B$3)/12*0.5</f>
        <v>0</v>
      </c>
      <c r="DL164" s="45">
        <f>('[2]Renewable Diesel'!$AT173*'[2]RD Feedstock Breakdown'!$DL$3*'[2]Feedstock Conversion Rates'!$B$6)/12</f>
        <v>0</v>
      </c>
      <c r="DM164" s="45">
        <f>('[2]Renewable Diesel'!$AT173*'[2]RD Feedstock Breakdown'!$DM$3*'[2]Feedstock Conversion Rates'!$B$8)/12</f>
        <v>0</v>
      </c>
      <c r="DN164" s="47">
        <f t="shared" si="77"/>
        <v>0</v>
      </c>
      <c r="DP164" s="45">
        <f t="shared" si="48"/>
        <v>111.13125000000001</v>
      </c>
      <c r="DQ164" s="45">
        <f t="shared" si="49"/>
        <v>405.94718749999998</v>
      </c>
      <c r="DR164" s="45">
        <f t="shared" si="57"/>
        <v>1397.640625</v>
      </c>
      <c r="DS164" s="45">
        <f t="shared" si="70"/>
        <v>414.17302083333334</v>
      </c>
      <c r="DT164" s="45">
        <f t="shared" si="50"/>
        <v>88.710900000000024</v>
      </c>
      <c r="DU164" s="45">
        <f t="shared" si="51"/>
        <v>156.30250000000001</v>
      </c>
      <c r="DV164" s="45">
        <f t="shared" si="58"/>
        <v>38.4453125</v>
      </c>
      <c r="DW164" s="45">
        <f t="shared" si="52"/>
        <v>2</v>
      </c>
      <c r="DX164" s="47">
        <f t="shared" si="53"/>
        <v>2614.350795833333</v>
      </c>
      <c r="DY164" s="50">
        <f t="shared" si="54"/>
        <v>-5.6843418860808015E-14</v>
      </c>
      <c r="EA164" s="51">
        <f t="shared" si="80"/>
        <v>4.2508163088563852E-2</v>
      </c>
      <c r="EB164" s="51">
        <f t="shared" si="80"/>
        <v>0.15527647940245257</v>
      </c>
      <c r="EC164" s="51">
        <f t="shared" si="80"/>
        <v>0.53460332378788422</v>
      </c>
      <c r="ED164" s="51">
        <f t="shared" si="80"/>
        <v>0.15842289469853427</v>
      </c>
      <c r="EE164" s="51">
        <f t="shared" si="80"/>
        <v>3.3932286417486343E-2</v>
      </c>
      <c r="EF164" s="51">
        <f t="shared" si="80"/>
        <v>5.9786353173839499E-2</v>
      </c>
      <c r="EG164" s="51">
        <f t="shared" si="80"/>
        <v>1.4705491153395667E-2</v>
      </c>
      <c r="EH164" s="52">
        <f t="shared" si="59"/>
        <v>7.6500827784379004E-4</v>
      </c>
      <c r="EI164" s="51">
        <f t="shared" si="60"/>
        <v>0.99923499172215635</v>
      </c>
      <c r="EK164" s="53">
        <f>(EA164*'[2]Renewable Diesel'!BF173*'[2]Feedstock Conversion Rates'!B$2)+FB164</f>
        <v>80.300072050053487</v>
      </c>
      <c r="EL164" s="53">
        <f>(EB164*'[2]Renewable Diesel'!BF173*'[2]Feedstock Conversion Rates'!B$3)+FC164</f>
        <v>276.41579941278246</v>
      </c>
      <c r="EM164" s="53">
        <f>(EC164*'[2]Renewable Diesel'!BF173*'[2]Feedstock Conversion Rates'!B$4)+FD164</f>
        <v>891.08183199580606</v>
      </c>
      <c r="EN164" s="53">
        <f>(ED164*'[2]Renewable Diesel'!BF173*'[2]Feedstock Conversion Rates'!B$5)+FE164</f>
        <v>265.82117120547576</v>
      </c>
      <c r="EO164" s="53">
        <f>(EE164*'[2]Renewable Diesel'!BF173*'[2]Feedstock Conversion Rates'!B$6)+FF164</f>
        <v>70.736022163558161</v>
      </c>
      <c r="EP164" s="53">
        <f>(EF164*'[2]Renewable Diesel'!BF173*'[2]Feedstock Conversion Rates'!B$7)+FG164</f>
        <v>122.24034353311913</v>
      </c>
      <c r="EQ164" s="53">
        <f>(EG164*'[2]Renewable Diesel'!BF173*'[2]Feedstock Conversion Rates'!B$8)+FH164</f>
        <v>30.639063148074328</v>
      </c>
      <c r="ER164" s="53">
        <f>(EH164*'[2]Renewable Diesel'!BF173*'[2]Feedstock Conversion Rates'!B$9)+FI164</f>
        <v>1.5726516623372488</v>
      </c>
      <c r="ES164" s="53">
        <f t="shared" si="61"/>
        <v>1738.8069551712065</v>
      </c>
      <c r="ET164" s="36">
        <f>ES164/'[2]Renewable Diesel'!BF173</f>
        <v>7.8239613715779877</v>
      </c>
    </row>
    <row r="165" spans="1:150" x14ac:dyDescent="0.25">
      <c r="A165" s="39">
        <v>45444</v>
      </c>
      <c r="B165" s="45">
        <f t="shared" si="83"/>
        <v>21</v>
      </c>
      <c r="C165" s="45">
        <f t="shared" si="84"/>
        <v>254</v>
      </c>
      <c r="D165" s="45">
        <v>1</v>
      </c>
      <c r="E165" s="45">
        <f>('[2]Renewable Diesel'!B174*E$3*'[2]Feedstock Conversion Rates'!$B$2)/12-40+1.25+6-43+30-15+17.5+53+10-25+30-2.5-5+79-100+25-65-11</f>
        <v>35.180000000000007</v>
      </c>
      <c r="F165" s="45">
        <f>('[2]Renewable Diesel'!B174*'[2]RD Feedstock Breakdown'!F$3*'[2]Feedstock Conversion Rates'!B$8)/12-23+5-2.25+5+22.5-16.5-14-20+15+15+1-2-20+20-1-30+3+3</f>
        <v>14.65625</v>
      </c>
      <c r="G165" s="45">
        <f>('[2]Renewable Diesel'!B174*'[2]RD Feedstock Breakdown'!G$3*'[2]Feedstock Conversion Rates'!B$7)/12-25-15-25+4+4-20-40-20+10-17.5+20+50-12+32.5+35-75-75+22.5+5-20+40-4+100-100</f>
        <v>50.657000000000011</v>
      </c>
      <c r="H165" s="45">
        <f>('[2]Renewable Diesel'!B174*'[2]RD Feedstock Breakdown'!H$3*'[2]Feedstock Conversion Rates'!B$3)/12-85+4-15+70-65-80+50-22.5-5+25+27.5+35+50-25-65-12.5+65+12-10+100+75-125+40-100</f>
        <v>119.90022499999998</v>
      </c>
      <c r="I165" s="47">
        <f t="shared" si="75"/>
        <v>496.39347499999997</v>
      </c>
      <c r="J165" s="45">
        <f t="shared" si="82"/>
        <v>0.25</v>
      </c>
      <c r="K165" s="45"/>
      <c r="L165" s="45">
        <v>1</v>
      </c>
      <c r="M165" s="45">
        <f>('[2]Renewable Diesel'!C174*'[2]RD Feedstock Breakdown'!M$3*'[2]Feedstock Conversion Rates'!B$2)/12-15-40+2+117-25-2</f>
        <v>75.951250000000002</v>
      </c>
      <c r="N165" s="45">
        <f>('[2]Renewable Diesel'!C174*'[2]RD Feedstock Breakdown'!N$3*'[2]Feedstock Conversion Rates'!B$8)/12+1.75+7-15-20+19.5</f>
        <v>11.609375</v>
      </c>
      <c r="O165" s="45">
        <f>('[2]Renewable Diesel'!C174*'[2]RD Feedstock Breakdown'!O$3*'[2]Feedstock Conversion Rates'!B$7)/12+30-120+25-17.5</f>
        <v>-22.504500000000007</v>
      </c>
      <c r="P165" s="45">
        <f>('[2]Renewable Diesel'!C174*'[2]RD Feedstock Breakdown'!P$3*'[2]Feedstock Conversion Rates'!B$3)/12-15-59-10+15-7.5+15+75-25-2.5-25-15-20+25+100</f>
        <v>103.23521250000002</v>
      </c>
      <c r="Q165" s="47">
        <f t="shared" si="85"/>
        <v>169.5413375</v>
      </c>
      <c r="R165" s="45">
        <f>('[2]Renewable Diesel'!D174*'[2]RD Feedstock Breakdown'!R$3*'[2]Feedstock Conversion Rates'!B$7)/12</f>
        <v>2.2999999999999998</v>
      </c>
      <c r="S165" s="47">
        <f t="shared" si="44"/>
        <v>2.2999999999999998</v>
      </c>
      <c r="T165" s="45">
        <f t="shared" si="86"/>
        <v>25</v>
      </c>
      <c r="U165" s="45">
        <v>0</v>
      </c>
      <c r="V165" s="45">
        <f>('[2]Renewable Diesel'!E174*'[2]RD Feedstock Breakdown'!V$3*'[2]Feedstock Conversion Rates'!B$6)/12-20+20-35+20</f>
        <v>29.250150000000012</v>
      </c>
      <c r="W165" s="45">
        <f>('[2]Renewable Diesel'!E174*'[2]RD Feedstock Breakdown'!W$3*'[2]Feedstock Conversion Rates'!B$8)/12-10</f>
        <v>12.1796875</v>
      </c>
      <c r="X165" s="47">
        <f t="shared" si="62"/>
        <v>66.429837500000019</v>
      </c>
      <c r="Y165" s="45">
        <f t="shared" si="89"/>
        <v>0</v>
      </c>
      <c r="Z165" s="45">
        <f>('[2]Renewable Diesel'!F174*'[2]RD Feedstock Breakdown'!Z$3*'[2]Feedstock Conversion Rates'!B$6)/12-50-32-11+15-41+40-40+70</f>
        <v>-4.4449999999999932</v>
      </c>
      <c r="AA165" s="45">
        <f>('[2]Renewable Diesel'!F174*'[2]RD Feedstock Breakdown'!AA$3*'[2]Feedstock Conversion Rates'!B$7)/12+14-73+75+62-24+25+40-70</f>
        <v>78.133333333333326</v>
      </c>
      <c r="AB165" s="47">
        <f t="shared" si="39"/>
        <v>73.688333333333333</v>
      </c>
      <c r="AC165" s="45">
        <f>('[2]Renewable Diesel'!G174*'[2]RD Feedstock Breakdown'!AC$3*'[2]Feedstock Conversion Rates'!B$5)/12</f>
        <v>0</v>
      </c>
      <c r="AD165" s="45">
        <f>('[2]Renewable Diesel'!G174*'[2]RD Feedstock Breakdown'!AD$3*'[2]Feedstock Conversion Rates'!B$4)/12</f>
        <v>0</v>
      </c>
      <c r="AE165" s="45">
        <f>('[2]Renewable Diesel'!G174*'[2]RD Feedstock Breakdown'!AE$3*'[2]Feedstock Conversion Rates'!B$6)/12</f>
        <v>0</v>
      </c>
      <c r="AF165" s="47">
        <f t="shared" si="71"/>
        <v>0</v>
      </c>
      <c r="AG165" s="45">
        <f t="shared" si="88"/>
        <v>135</v>
      </c>
      <c r="AH165" s="45">
        <v>0</v>
      </c>
      <c r="AI165" s="45">
        <f>('[2]Renewable Diesel'!H174*'[2]RD Feedstock Breakdown'!AI$3*'[2]Feedstock Conversion Rates'!B$6)/12-130-23+3+51+99-50-150+80+10+15-60+15+140-70-65</f>
        <v>13.51666666666668</v>
      </c>
      <c r="AJ165" s="47">
        <f t="shared" si="42"/>
        <v>148.51666666666668</v>
      </c>
      <c r="AK165" s="45">
        <f>('[2]Renewable Diesel'!J174*'[2]RD Feedstock Breakdown'!AK$3*'[2]Feedstock Conversion Rates'!B$4)/12</f>
        <v>95.8125</v>
      </c>
      <c r="AL165" s="47">
        <f t="shared" si="45"/>
        <v>95.8125</v>
      </c>
      <c r="AM165" s="45">
        <f>('[2]Renewable Diesel'!K174*'[2]RD Feedstock Breakdown'!AM$3*'[2]Feedstock Conversion Rates'!B$4)/12+20-30</f>
        <v>48.59375</v>
      </c>
      <c r="AN165" s="45">
        <f>('[2]Renewable Diesel'!K174*'[2]RD Feedstock Breakdown'!AN$3*'[2]Feedstock Conversion Rates'!B$6)/12-20+30</f>
        <v>34.427083333333329</v>
      </c>
      <c r="AO165" s="47">
        <f t="shared" si="56"/>
        <v>83.020833333333329</v>
      </c>
      <c r="AP165" s="45">
        <f>('[2]Renewable Diesel'!L174*'[2]RD Feedstock Breakdown'!AP$3*'[2]Feedstock Conversion Rates'!B$4)/12+15-10+15</f>
        <v>78.59375</v>
      </c>
      <c r="AQ165" s="45">
        <f>('[2]Renewable Diesel'!L174*'[2]RD Feedstock Breakdown'!AQ$3*'[2]Feedstock Conversion Rates'!B$6)/12-15+10-15</f>
        <v>4.4270833333333321</v>
      </c>
      <c r="AR165" s="47">
        <f t="shared" si="46"/>
        <v>83.020833333333329</v>
      </c>
      <c r="AS165" s="45">
        <f>('[2]Renewable Diesel'!M174*'[2]RD Feedstock Breakdown'!AS$3*'[2]Feedstock Conversion Rates'!B$4)/12</f>
        <v>456.25</v>
      </c>
      <c r="AT165" s="45">
        <f>('[2]Renewable Diesel'!M174*'[2]RD Feedstock Breakdown'!AT$3*'[2]Feedstock Conversion Rates'!B$5)/12</f>
        <v>0</v>
      </c>
      <c r="AU165" s="47">
        <f t="shared" si="74"/>
        <v>456.25</v>
      </c>
      <c r="AV165" s="45">
        <f>'[2]Renewable Diesel'!N174*'[2]RD Feedstock Breakdown'!$AV$3*'[2]Feedstock Conversion Rates'!$B$4/12-15-10+25+25-22-75+75+22.5</f>
        <v>104.24999999999999</v>
      </c>
      <c r="AW165" s="45">
        <f>'[2]Renewable Diesel'!N174*'[2]RD Feedstock Breakdown'!$AW$3*'[2]Feedstock Conversion Rates'!$B$7/12+15+10-25-25+22+75-75-22.5</f>
        <v>15.900000000000006</v>
      </c>
      <c r="AX165" s="47">
        <f t="shared" si="40"/>
        <v>120.14999999999999</v>
      </c>
      <c r="AY165" s="45">
        <f>('[2]Renewable Diesel'!O174*'[2]RD Feedstock Breakdown'!AY$3*'[2]Feedstock Conversion Rates'!B$4)/12+34-152</f>
        <v>239.75</v>
      </c>
      <c r="AZ165" s="45">
        <f>('[2]Renewable Diesel'!O174*'[2]RD Feedstock Breakdown'!AZ$3*'[2]Feedstock Conversion Rates'!B$3)/12-34+152</f>
        <v>160.453</v>
      </c>
      <c r="BA165" s="47">
        <f t="shared" si="87"/>
        <v>400.20299999999997</v>
      </c>
      <c r="BB165" s="45">
        <f>('[2]Renewable Diesel'!Q174*'[2]RD Feedstock Breakdown'!BB$3*'[2]Feedstock Conversion Rates'!B$4)/12</f>
        <v>11.156249999999998</v>
      </c>
      <c r="BC165" s="45">
        <f>('[2]Renewable Diesel'!Q174*'[2]RD Feedstock Breakdown'!BC$3*'[2]Feedstock Conversion Rates'!B$3)/12</f>
        <v>1.4017500000000001</v>
      </c>
      <c r="BD165" s="45">
        <f>('[2]Renewable Diesel'!Q174*'[2]RD Feedstock Breakdown'!BD$3*'[2]Feedstock Conversion Rates'!B$6)/12</f>
        <v>0.8207500000000002</v>
      </c>
      <c r="BE165" s="47">
        <f t="shared" si="64"/>
        <v>13.378749999999998</v>
      </c>
      <c r="BF165" s="45">
        <f>('[2]Renewable Diesel'!R174*'[2]RD Feedstock Breakdown'!BF$3*'[2]Feedstock Conversion Rates'!B$4)/12</f>
        <v>62.5</v>
      </c>
      <c r="BG165" s="47">
        <f t="shared" si="47"/>
        <v>62.5</v>
      </c>
      <c r="BH165" s="45">
        <f>('[2]Renewable Diesel'!T174*'[2]RD Feedstock Breakdown'!BH$3*'[2]Feedstock Conversion Rates'!B$7)/12</f>
        <v>27.599999999999998</v>
      </c>
      <c r="BI165" s="47">
        <f t="shared" si="41"/>
        <v>27.599999999999998</v>
      </c>
      <c r="BJ165" s="45">
        <f>('[2]Renewable Diesel'!W174*'[2]RD Feedstock Breakdown'!BJ$3*'[2]Feedstock Conversion Rates'!B$4)/12</f>
        <v>7.5</v>
      </c>
      <c r="BK165" s="45">
        <f>('[2]Renewable Diesel'!W174*'[2]RD Feedstock Breakdown'!BK$3*'[2]Feedstock Conversion Rates'!B$3)/12</f>
        <v>1.335</v>
      </c>
      <c r="BL165" s="45">
        <f>('[2]Renewable Diesel'!W174*'[2]RD Feedstock Breakdown'!BL$3*'[2]Feedstock Conversion Rates'!B$6)/12</f>
        <v>3.1266666666666669</v>
      </c>
      <c r="BM165" s="45">
        <f>('[2]Renewable Diesel'!W174*'[2]RD Feedstock Breakdown'!BM$3*'[2]Feedstock Conversion Rates'!B$7)/12</f>
        <v>1.5333333333333332</v>
      </c>
      <c r="BN165" s="47">
        <f t="shared" si="78"/>
        <v>13.495000000000001</v>
      </c>
      <c r="BO165" s="45">
        <f>('[2]Renewable Diesel'!P174*'[2]Feedstock Conversion Rates'!B$4)/12</f>
        <v>31.25</v>
      </c>
      <c r="BP165" s="47">
        <f t="shared" si="72"/>
        <v>31.25</v>
      </c>
      <c r="BQ165" s="45">
        <f>('[2]Renewable Diesel'!$S174*'[2]RD Feedstock Breakdown'!BQ$3*'[2]Feedstock Conversion Rates'!B$4)/12+10</f>
        <v>38.125</v>
      </c>
      <c r="BR165" s="45">
        <f>('[2]Renewable Diesel'!$S174*'[2]RD Feedstock Breakdown'!BR$3*'[2]Feedstock Conversion Rates'!B$7)/12-10</f>
        <v>1.5</v>
      </c>
      <c r="BS165" s="47">
        <f t="shared" ref="BS165:BS228" si="90">SUM(BQ165:BR165)</f>
        <v>39.625</v>
      </c>
      <c r="BT165" s="47"/>
      <c r="BU165" s="45">
        <f>('[2]Renewable Diesel'!Y174*'[2]Feedstock Conversion Rates'!B$7)/12</f>
        <v>2.6833333333333331</v>
      </c>
      <c r="BV165" s="47">
        <f t="shared" si="67"/>
        <v>2.6833333333333331</v>
      </c>
      <c r="BW165" s="45">
        <f>('[2]Renewable Diesel'!$Z174*'[2]RD Feedstock Breakdown'!BW$3*'[2]Feedstock Conversion Rates'!$B$4)/12</f>
        <v>5.859375</v>
      </c>
      <c r="BX165" s="45">
        <f>('[2]Renewable Diesel'!$Z174*'[2]RD Feedstock Breakdown'!BX$3*'[2]Feedstock Conversion Rates'!$B$5)/12</f>
        <v>0.58984375</v>
      </c>
      <c r="BY165" s="45">
        <f>('[2]Renewable Diesel'!$Z174*'[2]RD Feedstock Breakdown'!BY$3*'[2]Feedstock Conversion Rates'!$B$7)/12</f>
        <v>5.0312499999999991</v>
      </c>
      <c r="BZ165" s="45">
        <f>('[2]Renewable Diesel'!$Z174*'[2]RD Feedstock Breakdown'!BZ$3*'[2]Feedstock Conversion Rates'!$B$3)/12</f>
        <v>1.2515624999999999</v>
      </c>
      <c r="CA165" s="47">
        <f>SUM(BW165:BZ165)</f>
        <v>12.73203125</v>
      </c>
      <c r="CB165" s="45">
        <f>('[2]Renewable Diesel'!AA174*'[2]Feedstock Conversion Rates'!B$4)/12</f>
        <v>191.25</v>
      </c>
      <c r="CC165" s="47">
        <f t="shared" si="79"/>
        <v>191.25</v>
      </c>
      <c r="CD165" s="45">
        <f>('[2]Renewable Diesel'!$AB174*'[2]RD Feedstock Breakdown'!CD$3*'[2]Feedstock Conversion Rates'!$B$6)/12</f>
        <v>0</v>
      </c>
      <c r="CE165" s="45">
        <f>('[2]Renewable Diesel'!$AB174*'[2]RD Feedstock Breakdown'!CE$3*'[2]Feedstock Conversion Rates'!$B$4)/12</f>
        <v>0</v>
      </c>
      <c r="CF165" s="47">
        <f t="shared" si="76"/>
        <v>0</v>
      </c>
      <c r="CG165" s="45">
        <f>('[2]Renewable Diesel'!AD174*'[2]Feedstock Conversion Rates'!B$4)/12</f>
        <v>112.5</v>
      </c>
      <c r="CH165" s="47">
        <f t="shared" si="63"/>
        <v>112.5</v>
      </c>
      <c r="CI165" s="45">
        <f>('[2]Renewable Diesel'!$AE174*'[2]RD Feedstock Breakdown'!CI$3*'[2]Feedstock Conversion Rates'!$B$5)/12</f>
        <v>0.34604166666666664</v>
      </c>
      <c r="CJ165" s="45">
        <f>('[2]Renewable Diesel'!$AE174*'[2]RD Feedstock Breakdown'!CJ$3*'[2]Feedstock Conversion Rates'!$B$4)/12</f>
        <v>0.34375</v>
      </c>
      <c r="CK165" s="47">
        <f t="shared" si="73"/>
        <v>0.68979166666666658</v>
      </c>
      <c r="CL165" s="45">
        <f>(((CL$3*'[2]Renewable Diesel'!$AF174)*'[2]Feedstock Conversion Rates'!$B$3)/12)</f>
        <v>30.037499999999998</v>
      </c>
      <c r="CM165" s="45">
        <f>(((CM$3*'[2]Renewable Diesel'!$AF174)*'[2]Feedstock Conversion Rates'!$B$6)/12)-10</f>
        <v>7.5875000000000021</v>
      </c>
      <c r="CN165" s="45">
        <f>(((CN$3*'[2]Renewable Diesel'!$AF174)*'[2]Feedstock Conversion Rates'!$B$4)/12)+10</f>
        <v>24.0625</v>
      </c>
      <c r="CO165" s="47">
        <f t="shared" si="65"/>
        <v>61.6875</v>
      </c>
      <c r="CP165" s="47"/>
      <c r="CQ165" s="47"/>
      <c r="CR165" s="47"/>
      <c r="CS165" s="47"/>
      <c r="CT165" s="45">
        <f>('[2]Renewable Diesel'!AI174*'[2]Feedstock Conversion Rates'!$B$4*'[2]RD Feedstock Breakdown'!$CT$3)/12</f>
        <v>29.375</v>
      </c>
      <c r="CU165" s="47">
        <f t="shared" si="69"/>
        <v>29.375</v>
      </c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5">
        <f>('[2]Renewable Diesel'!AT174*'[2]Feedstock Conversion Rates'!$B$4*0.25)/12</f>
        <v>0</v>
      </c>
      <c r="DK165" s="45">
        <f>('[2]Renewable Diesel'!$AT174*'[2]RD Feedstock Breakdown'!DK$3*'[2]Feedstock Conversion Rates'!$B$3)/12*0.5</f>
        <v>0</v>
      </c>
      <c r="DL165" s="45">
        <f>('[2]Renewable Diesel'!$AT174*'[2]RD Feedstock Breakdown'!$DL$3*'[2]Feedstock Conversion Rates'!$B$6)/12</f>
        <v>0</v>
      </c>
      <c r="DM165" s="45">
        <f>('[2]Renewable Diesel'!$AT174*'[2]RD Feedstock Breakdown'!$DM$3*'[2]Feedstock Conversion Rates'!$B$8)/12</f>
        <v>0</v>
      </c>
      <c r="DN165" s="47">
        <f t="shared" si="77"/>
        <v>0</v>
      </c>
      <c r="DP165" s="45">
        <f t="shared" si="48"/>
        <v>111.13125000000001</v>
      </c>
      <c r="DQ165" s="45">
        <f t="shared" si="49"/>
        <v>417.61424999999997</v>
      </c>
      <c r="DR165" s="45">
        <f t="shared" si="57"/>
        <v>1558.421875</v>
      </c>
      <c r="DS165" s="45">
        <f t="shared" si="70"/>
        <v>414.93588541666668</v>
      </c>
      <c r="DT165" s="45">
        <f t="shared" si="50"/>
        <v>88.710900000000024</v>
      </c>
      <c r="DU165" s="45">
        <f t="shared" si="51"/>
        <v>162.83375000000001</v>
      </c>
      <c r="DV165" s="45">
        <f t="shared" si="58"/>
        <v>38.4453125</v>
      </c>
      <c r="DW165" s="45">
        <f t="shared" si="52"/>
        <v>2</v>
      </c>
      <c r="DX165" s="47">
        <f t="shared" si="53"/>
        <v>2794.0932229166665</v>
      </c>
      <c r="DY165" s="50">
        <f t="shared" si="54"/>
        <v>-1.8474111129762605E-13</v>
      </c>
      <c r="EA165" s="51">
        <f t="shared" si="80"/>
        <v>3.9773637145862149E-2</v>
      </c>
      <c r="EB165" s="51">
        <f t="shared" si="80"/>
        <v>0.14946324860416271</v>
      </c>
      <c r="EC165" s="51">
        <f t="shared" si="80"/>
        <v>0.55775586233776842</v>
      </c>
      <c r="ED165" s="51">
        <f t="shared" si="80"/>
        <v>0.14850466763722653</v>
      </c>
      <c r="EE165" s="51">
        <f t="shared" si="80"/>
        <v>3.1749441741030206E-2</v>
      </c>
      <c r="EF165" s="51">
        <f t="shared" si="80"/>
        <v>5.8277851527810856E-2</v>
      </c>
      <c r="EG165" s="51">
        <f t="shared" si="80"/>
        <v>1.375949527548982E-2</v>
      </c>
      <c r="EH165" s="52">
        <f t="shared" si="59"/>
        <v>7.1579573064933842E-4</v>
      </c>
      <c r="EI165" s="51">
        <f t="shared" si="60"/>
        <v>0.99928420426935061</v>
      </c>
      <c r="EK165" s="53">
        <f>(EA165*'[2]Renewable Diesel'!BF174*'[2]Feedstock Conversion Rates'!B$2)+FB165</f>
        <v>94.457854046674782</v>
      </c>
      <c r="EL165" s="53">
        <f>(EB165*'[2]Renewable Diesel'!BF174*'[2]Feedstock Conversion Rates'!B$3)+FC165</f>
        <v>334.49588180720116</v>
      </c>
      <c r="EM165" s="53">
        <f>(EC165*'[2]Renewable Diesel'!BF174*'[2]Feedstock Conversion Rates'!B$4)+FD165</f>
        <v>1168.7705198495041</v>
      </c>
      <c r="EN165" s="53">
        <f>(ED165*'[2]Renewable Diesel'!BF174*'[2]Feedstock Conversion Rates'!B$5)+FE165</f>
        <v>313.26429460743384</v>
      </c>
      <c r="EO165" s="53">
        <f>(EE165*'[2]Renewable Diesel'!BF174*'[2]Feedstock Conversion Rates'!B$6)+FF165</f>
        <v>83.207557437842681</v>
      </c>
      <c r="EP165" s="53">
        <f>(EF165*'[2]Renewable Diesel'!BF174*'[2]Feedstock Conversion Rates'!B$7)+FG165</f>
        <v>149.80116874588973</v>
      </c>
      <c r="EQ165" s="53">
        <f>(EG165*'[2]Renewable Diesel'!BF174*'[2]Feedstock Conversion Rates'!B$8)+FH165</f>
        <v>36.04106548202941</v>
      </c>
      <c r="ER165" s="53">
        <f>(EH165*'[2]Renewable Diesel'!BF174*'[2]Feedstock Conversion Rates'!B$9)+FI165</f>
        <v>1.8499273711076751</v>
      </c>
      <c r="ES165" s="53">
        <f t="shared" si="61"/>
        <v>2181.8882693476835</v>
      </c>
      <c r="ET165" s="36">
        <f>ES165/'[2]Renewable Diesel'!BF174</f>
        <v>7.8092381215564419</v>
      </c>
    </row>
    <row r="166" spans="1:150" x14ac:dyDescent="0.25">
      <c r="A166" s="39">
        <v>45474</v>
      </c>
      <c r="B166" s="45">
        <f t="shared" si="83"/>
        <v>21</v>
      </c>
      <c r="C166" s="45">
        <f t="shared" si="84"/>
        <v>254</v>
      </c>
      <c r="D166" s="45">
        <v>1</v>
      </c>
      <c r="E166" s="45">
        <f>('[2]Renewable Diesel'!B175*E$3*'[2]Feedstock Conversion Rates'!$B$2)/12-40+1.25+6-43+30-15+17.5+53+10-25+30-2.5-5+79-100+25-65-11</f>
        <v>35.180000000000007</v>
      </c>
      <c r="F166" s="45">
        <f>('[2]Renewable Diesel'!B175*'[2]RD Feedstock Breakdown'!F$3*'[2]Feedstock Conversion Rates'!B$8)/12-23+5-2.25+5+22.5-16.5-14-20+15+15+1-2-20+20-1-30+3+3</f>
        <v>14.65625</v>
      </c>
      <c r="G166" s="45">
        <f>('[2]Renewable Diesel'!B175*'[2]RD Feedstock Breakdown'!G$3*'[2]Feedstock Conversion Rates'!B$7)/12-25-15-25+4+4-20-40-20+10-17.5+20+50-12+32.5+35-75-75+22.5+5-20+40-4+100-100</f>
        <v>50.657000000000011</v>
      </c>
      <c r="H166" s="45">
        <f>('[2]Renewable Diesel'!B175*'[2]RD Feedstock Breakdown'!H$3*'[2]Feedstock Conversion Rates'!B$3)/12-85+4-15+70-65-80+50-22.5-5+25+27.5+35+50-25-65-12.5+65+12-10+100+75-125+40-100</f>
        <v>119.90022499999998</v>
      </c>
      <c r="I166" s="47">
        <f t="shared" si="75"/>
        <v>496.39347499999997</v>
      </c>
      <c r="J166" s="45">
        <f t="shared" si="82"/>
        <v>0.25</v>
      </c>
      <c r="K166" s="45"/>
      <c r="L166" s="45">
        <v>1</v>
      </c>
      <c r="M166" s="45">
        <f>('[2]Renewable Diesel'!C175*'[2]RD Feedstock Breakdown'!M$3*'[2]Feedstock Conversion Rates'!B$2)/12-15-40+2+117-25-2</f>
        <v>75.951250000000002</v>
      </c>
      <c r="N166" s="45">
        <f>('[2]Renewable Diesel'!C175*'[2]RD Feedstock Breakdown'!N$3*'[2]Feedstock Conversion Rates'!B$8)/12+1.75+7-15-20+19.5</f>
        <v>11.609375</v>
      </c>
      <c r="O166" s="45">
        <f>('[2]Renewable Diesel'!C175*'[2]RD Feedstock Breakdown'!O$3*'[2]Feedstock Conversion Rates'!B$7)/12+30-120+25-17.5</f>
        <v>-22.504500000000007</v>
      </c>
      <c r="P166" s="45">
        <f>('[2]Renewable Diesel'!C175*'[2]RD Feedstock Breakdown'!P$3*'[2]Feedstock Conversion Rates'!B$3)/12-15-59-10+15-7.5+15+75-25-2.5-25-15-20+25+100</f>
        <v>103.23521250000002</v>
      </c>
      <c r="Q166" s="47">
        <f t="shared" si="85"/>
        <v>169.5413375</v>
      </c>
      <c r="R166" s="45">
        <f>('[2]Renewable Diesel'!D175*'[2]RD Feedstock Breakdown'!R$3*'[2]Feedstock Conversion Rates'!B$7)/12</f>
        <v>2.2999999999999998</v>
      </c>
      <c r="S166" s="47">
        <f t="shared" si="44"/>
        <v>2.2999999999999998</v>
      </c>
      <c r="T166" s="45">
        <f t="shared" si="86"/>
        <v>25</v>
      </c>
      <c r="U166" s="45">
        <v>0</v>
      </c>
      <c r="V166" s="45">
        <f>('[2]Renewable Diesel'!E175*'[2]RD Feedstock Breakdown'!V$3*'[2]Feedstock Conversion Rates'!B$6)/12-20+20-35+20</f>
        <v>29.250150000000012</v>
      </c>
      <c r="W166" s="45">
        <f>('[2]Renewable Diesel'!E175*'[2]RD Feedstock Breakdown'!W$3*'[2]Feedstock Conversion Rates'!B$8)/12-10</f>
        <v>12.1796875</v>
      </c>
      <c r="X166" s="47">
        <f t="shared" si="62"/>
        <v>66.429837500000019</v>
      </c>
      <c r="Y166" s="45">
        <f t="shared" si="89"/>
        <v>0</v>
      </c>
      <c r="Z166" s="45">
        <f>('[2]Renewable Diesel'!F175*'[2]RD Feedstock Breakdown'!Z$3*'[2]Feedstock Conversion Rates'!B$6)/12-50-32-11+15-41+40-40+70</f>
        <v>-4.4449999999999932</v>
      </c>
      <c r="AA166" s="45">
        <f>('[2]Renewable Diesel'!F175*'[2]RD Feedstock Breakdown'!AA$3*'[2]Feedstock Conversion Rates'!B$7)/12+14-73+75+62-24+25+40-70</f>
        <v>78.133333333333326</v>
      </c>
      <c r="AB166" s="47">
        <f t="shared" si="39"/>
        <v>73.688333333333333</v>
      </c>
      <c r="AC166" s="45">
        <f>('[2]Renewable Diesel'!G175*'[2]RD Feedstock Breakdown'!AC$3*'[2]Feedstock Conversion Rates'!B$5)/12</f>
        <v>7.864583333333333</v>
      </c>
      <c r="AD166" s="45">
        <f>('[2]Renewable Diesel'!G175*'[2]RD Feedstock Breakdown'!AD$3*'[2]Feedstock Conversion Rates'!B$4)/12</f>
        <v>3.90625</v>
      </c>
      <c r="AE166" s="45">
        <f>('[2]Renewable Diesel'!G175*'[2]RD Feedstock Breakdown'!AE$3*'[2]Feedstock Conversion Rates'!B$6)/12</f>
        <v>4.885416666666667</v>
      </c>
      <c r="AF166" s="47">
        <f t="shared" si="71"/>
        <v>16.65625</v>
      </c>
      <c r="AG166" s="45">
        <f t="shared" si="88"/>
        <v>135</v>
      </c>
      <c r="AH166" s="45">
        <v>0</v>
      </c>
      <c r="AI166" s="45">
        <f>('[2]Renewable Diesel'!H175*'[2]RD Feedstock Breakdown'!AI$3*'[2]Feedstock Conversion Rates'!B$6)/12-130-23+3+51+99-50-150+80+10+15-60+15+140-70-65</f>
        <v>13.51666666666668</v>
      </c>
      <c r="AJ166" s="47">
        <f t="shared" si="42"/>
        <v>148.51666666666668</v>
      </c>
      <c r="AK166" s="45">
        <f>('[2]Renewable Diesel'!J175*'[2]RD Feedstock Breakdown'!AK$3*'[2]Feedstock Conversion Rates'!B$4)/12</f>
        <v>95.8125</v>
      </c>
      <c r="AL166" s="47">
        <f t="shared" si="45"/>
        <v>95.8125</v>
      </c>
      <c r="AM166" s="45">
        <f>('[2]Renewable Diesel'!K175*'[2]RD Feedstock Breakdown'!AM$3*'[2]Feedstock Conversion Rates'!B$4)/12+20-30</f>
        <v>48.59375</v>
      </c>
      <c r="AN166" s="45">
        <f>('[2]Renewable Diesel'!K175*'[2]RD Feedstock Breakdown'!AN$3*'[2]Feedstock Conversion Rates'!B$6)/12-20+30</f>
        <v>34.427083333333329</v>
      </c>
      <c r="AO166" s="47">
        <f t="shared" si="56"/>
        <v>83.020833333333329</v>
      </c>
      <c r="AP166" s="45">
        <f>('[2]Renewable Diesel'!L175*'[2]RD Feedstock Breakdown'!AP$3*'[2]Feedstock Conversion Rates'!B$4)/12+15-10+15</f>
        <v>78.59375</v>
      </c>
      <c r="AQ166" s="45">
        <f>('[2]Renewable Diesel'!L175*'[2]RD Feedstock Breakdown'!AQ$3*'[2]Feedstock Conversion Rates'!B$6)/12-15+10-15</f>
        <v>4.4270833333333321</v>
      </c>
      <c r="AR166" s="47">
        <f t="shared" si="46"/>
        <v>83.020833333333329</v>
      </c>
      <c r="AS166" s="45">
        <f>('[2]Renewable Diesel'!M175*'[2]RD Feedstock Breakdown'!AS$3*'[2]Feedstock Conversion Rates'!B$4)/12</f>
        <v>456.25</v>
      </c>
      <c r="AT166" s="45">
        <f>('[2]Renewable Diesel'!M175*'[2]RD Feedstock Breakdown'!AT$3*'[2]Feedstock Conversion Rates'!B$5)/12</f>
        <v>0</v>
      </c>
      <c r="AU166" s="47">
        <f t="shared" si="74"/>
        <v>456.25</v>
      </c>
      <c r="AV166" s="45">
        <f>'[2]Renewable Diesel'!N175*'[2]RD Feedstock Breakdown'!$AV$3*'[2]Feedstock Conversion Rates'!$B$4/12-15-10+25+25-22-75+75+22.5</f>
        <v>104.24999999999999</v>
      </c>
      <c r="AW166" s="45">
        <f>'[2]Renewable Diesel'!N175*'[2]RD Feedstock Breakdown'!$AW$3*'[2]Feedstock Conversion Rates'!$B$7/12+15+10-25-25+22+75-75-22.5</f>
        <v>15.900000000000006</v>
      </c>
      <c r="AX166" s="47">
        <f t="shared" si="40"/>
        <v>120.14999999999999</v>
      </c>
      <c r="AY166" s="45">
        <f>('[2]Renewable Diesel'!O175*'[2]RD Feedstock Breakdown'!AY$3*'[2]Feedstock Conversion Rates'!B$4)/12+34-152</f>
        <v>239.75</v>
      </c>
      <c r="AZ166" s="45">
        <f>('[2]Renewable Diesel'!O175*'[2]RD Feedstock Breakdown'!AZ$3*'[2]Feedstock Conversion Rates'!B$3)/12-34+152</f>
        <v>160.453</v>
      </c>
      <c r="BA166" s="47">
        <f t="shared" si="87"/>
        <v>400.20299999999997</v>
      </c>
      <c r="BB166" s="45">
        <f>('[2]Renewable Diesel'!Q175*'[2]RD Feedstock Breakdown'!BB$3*'[2]Feedstock Conversion Rates'!B$4)/12</f>
        <v>11.156249999999998</v>
      </c>
      <c r="BC166" s="45">
        <f>('[2]Renewable Diesel'!Q175*'[2]RD Feedstock Breakdown'!BC$3*'[2]Feedstock Conversion Rates'!B$3)/12</f>
        <v>1.4017500000000001</v>
      </c>
      <c r="BD166" s="45">
        <f>('[2]Renewable Diesel'!Q175*'[2]RD Feedstock Breakdown'!BD$3*'[2]Feedstock Conversion Rates'!B$6)/12</f>
        <v>0.8207500000000002</v>
      </c>
      <c r="BE166" s="47">
        <f t="shared" si="64"/>
        <v>13.378749999999998</v>
      </c>
      <c r="BF166" s="45">
        <f>('[2]Renewable Diesel'!R175*'[2]RD Feedstock Breakdown'!BF$3*'[2]Feedstock Conversion Rates'!B$4)/12</f>
        <v>62.5</v>
      </c>
      <c r="BG166" s="47">
        <f t="shared" si="47"/>
        <v>62.5</v>
      </c>
      <c r="BH166" s="45">
        <f>('[2]Renewable Diesel'!T175*'[2]RD Feedstock Breakdown'!BH$3*'[2]Feedstock Conversion Rates'!B$7)/12</f>
        <v>27.599999999999998</v>
      </c>
      <c r="BI166" s="47">
        <f t="shared" si="41"/>
        <v>27.599999999999998</v>
      </c>
      <c r="BJ166" s="45">
        <f>('[2]Renewable Diesel'!W175*'[2]RD Feedstock Breakdown'!BJ$3*'[2]Feedstock Conversion Rates'!B$4)/12</f>
        <v>7.5</v>
      </c>
      <c r="BK166" s="45">
        <f>('[2]Renewable Diesel'!W175*'[2]RD Feedstock Breakdown'!BK$3*'[2]Feedstock Conversion Rates'!B$3)/12</f>
        <v>1.335</v>
      </c>
      <c r="BL166" s="45">
        <f>('[2]Renewable Diesel'!W175*'[2]RD Feedstock Breakdown'!BL$3*'[2]Feedstock Conversion Rates'!B$6)/12</f>
        <v>3.1266666666666669</v>
      </c>
      <c r="BM166" s="45">
        <f>('[2]Renewable Diesel'!W175*'[2]RD Feedstock Breakdown'!BM$3*'[2]Feedstock Conversion Rates'!B$7)/12</f>
        <v>1.5333333333333332</v>
      </c>
      <c r="BN166" s="47">
        <f t="shared" si="78"/>
        <v>13.495000000000001</v>
      </c>
      <c r="BO166" s="45">
        <f>('[2]Renewable Diesel'!P175*'[2]Feedstock Conversion Rates'!B$4)/12</f>
        <v>31.25</v>
      </c>
      <c r="BP166" s="47">
        <f t="shared" si="72"/>
        <v>31.25</v>
      </c>
      <c r="BQ166" s="45">
        <f>('[2]Renewable Diesel'!$S175*'[2]RD Feedstock Breakdown'!BQ$3*'[2]Feedstock Conversion Rates'!B$4)/12+10</f>
        <v>38.125</v>
      </c>
      <c r="BR166" s="45">
        <f>('[2]Renewable Diesel'!$S175*'[2]RD Feedstock Breakdown'!BR$3*'[2]Feedstock Conversion Rates'!B$7)/12-10</f>
        <v>1.5</v>
      </c>
      <c r="BS166" s="47">
        <f t="shared" si="90"/>
        <v>39.625</v>
      </c>
      <c r="BT166" s="47"/>
      <c r="BU166" s="45">
        <f>('[2]Renewable Diesel'!Y175*'[2]Feedstock Conversion Rates'!B$7)/12</f>
        <v>2.6833333333333331</v>
      </c>
      <c r="BV166" s="47">
        <f t="shared" si="67"/>
        <v>2.6833333333333331</v>
      </c>
      <c r="BW166" s="45">
        <f>('[2]Renewable Diesel'!$Z175*'[2]RD Feedstock Breakdown'!BW$3*'[2]Feedstock Conversion Rates'!$B$4)/12</f>
        <v>17.96875</v>
      </c>
      <c r="BX166" s="45">
        <f>('[2]Renewable Diesel'!$Z175*'[2]RD Feedstock Breakdown'!BX$3*'[2]Feedstock Conversion Rates'!$B$5)/12</f>
        <v>1.8088541666666667</v>
      </c>
      <c r="BY166" s="45">
        <f>('[2]Renewable Diesel'!$Z175*'[2]RD Feedstock Breakdown'!BY$3*'[2]Feedstock Conversion Rates'!$B$7)/12</f>
        <v>15.429166666666665</v>
      </c>
      <c r="BZ166" s="45">
        <f>('[2]Renewable Diesel'!$Z175*'[2]RD Feedstock Breakdown'!BZ$3*'[2]Feedstock Conversion Rates'!$B$3)/12</f>
        <v>3.8381249999999998</v>
      </c>
      <c r="CA166" s="47">
        <f t="shared" ref="CA166:CA229" si="91">SUM(BW166:BZ166)</f>
        <v>39.044895833333328</v>
      </c>
      <c r="CB166" s="45">
        <f>('[2]Renewable Diesel'!AA175*'[2]Feedstock Conversion Rates'!B$4)/12</f>
        <v>191.25</v>
      </c>
      <c r="CC166" s="47">
        <f t="shared" si="79"/>
        <v>191.25</v>
      </c>
      <c r="CD166" s="45">
        <f>('[2]Renewable Diesel'!$AB175*'[2]RD Feedstock Breakdown'!CD$3*'[2]Feedstock Conversion Rates'!$B$6)/12</f>
        <v>16.415000000000003</v>
      </c>
      <c r="CE166" s="45">
        <f>('[2]Renewable Diesel'!$AB175*'[2]RD Feedstock Breakdown'!CE$3*'[2]Feedstock Conversion Rates'!$B$4)/12</f>
        <v>5.625</v>
      </c>
      <c r="CF166" s="47">
        <f t="shared" si="76"/>
        <v>22.040000000000003</v>
      </c>
      <c r="CG166" s="45">
        <f>('[2]Renewable Diesel'!AD175*'[2]Feedstock Conversion Rates'!B$4)/12</f>
        <v>112.5</v>
      </c>
      <c r="CH166" s="47">
        <f t="shared" si="63"/>
        <v>112.5</v>
      </c>
      <c r="CI166" s="45">
        <f>('[2]Renewable Diesel'!$AE175*'[2]RD Feedstock Breakdown'!CI$3*'[2]Feedstock Conversion Rates'!$B$5)/12</f>
        <v>0.34604166666666664</v>
      </c>
      <c r="CJ166" s="45">
        <f>('[2]Renewable Diesel'!$AE175*'[2]RD Feedstock Breakdown'!CJ$3*'[2]Feedstock Conversion Rates'!$B$4)/12</f>
        <v>0.34375</v>
      </c>
      <c r="CK166" s="47">
        <f t="shared" si="73"/>
        <v>0.68979166666666658</v>
      </c>
      <c r="CL166" s="45">
        <f>(((CL$3*'[2]Renewable Diesel'!$AF175)*'[2]Feedstock Conversion Rates'!$B$3)/12)</f>
        <v>30.037499999999998</v>
      </c>
      <c r="CM166" s="45">
        <f>(((CM$3*'[2]Renewable Diesel'!$AF175)*'[2]Feedstock Conversion Rates'!$B$6)/12)-10</f>
        <v>7.5875000000000021</v>
      </c>
      <c r="CN166" s="45">
        <f>(((CN$3*'[2]Renewable Diesel'!$AF175)*'[2]Feedstock Conversion Rates'!$B$4)/12)+10</f>
        <v>24.0625</v>
      </c>
      <c r="CO166" s="47">
        <f t="shared" si="65"/>
        <v>61.6875</v>
      </c>
      <c r="CP166" s="47"/>
      <c r="CQ166" s="47"/>
      <c r="CR166" s="47"/>
      <c r="CS166" s="47"/>
      <c r="CT166" s="45">
        <f>('[2]Renewable Diesel'!AI175*'[2]Feedstock Conversion Rates'!$B$4*'[2]RD Feedstock Breakdown'!$CT$3)/12</f>
        <v>29.375</v>
      </c>
      <c r="CU166" s="47">
        <f t="shared" si="69"/>
        <v>29.375</v>
      </c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  <c r="DI166" s="47"/>
      <c r="DJ166" s="45">
        <f>('[2]Renewable Diesel'!AT175*'[2]Feedstock Conversion Rates'!$B$4*0.25)/12</f>
        <v>0</v>
      </c>
      <c r="DK166" s="45">
        <f>('[2]Renewable Diesel'!$AT175*'[2]RD Feedstock Breakdown'!DK$3*'[2]Feedstock Conversion Rates'!$B$3)/12*0.5</f>
        <v>0</v>
      </c>
      <c r="DL166" s="45">
        <f>('[2]Renewable Diesel'!$AT175*'[2]RD Feedstock Breakdown'!$DL$3*'[2]Feedstock Conversion Rates'!$B$6)/12</f>
        <v>0</v>
      </c>
      <c r="DM166" s="45">
        <f>('[2]Renewable Diesel'!$AT175*'[2]RD Feedstock Breakdown'!$DM$3*'[2]Feedstock Conversion Rates'!$B$8)/12</f>
        <v>0</v>
      </c>
      <c r="DN166" s="47">
        <f t="shared" si="77"/>
        <v>0</v>
      </c>
      <c r="DP166" s="45">
        <f t="shared" si="48"/>
        <v>111.13125000000001</v>
      </c>
      <c r="DQ166" s="45">
        <f t="shared" si="49"/>
        <v>420.20081249999998</v>
      </c>
      <c r="DR166" s="45">
        <f t="shared" si="57"/>
        <v>1580.0625</v>
      </c>
      <c r="DS166" s="45">
        <f t="shared" si="70"/>
        <v>424.01947916666666</v>
      </c>
      <c r="DT166" s="45">
        <f t="shared" si="50"/>
        <v>110.01131666666669</v>
      </c>
      <c r="DU166" s="45">
        <f t="shared" si="51"/>
        <v>173.23166666666668</v>
      </c>
      <c r="DV166" s="45">
        <f t="shared" si="58"/>
        <v>38.4453125</v>
      </c>
      <c r="DW166" s="45">
        <f t="shared" si="52"/>
        <v>2</v>
      </c>
      <c r="DX166" s="47">
        <f t="shared" si="53"/>
        <v>2859.1023375</v>
      </c>
      <c r="DY166" s="50">
        <f t="shared" si="54"/>
        <v>-3.2684965844964609E-13</v>
      </c>
      <c r="EA166" s="51">
        <f t="shared" si="80"/>
        <v>3.8869280243103578E-2</v>
      </c>
      <c r="EB166" s="51">
        <f t="shared" si="80"/>
        <v>0.14696949003491205</v>
      </c>
      <c r="EC166" s="51">
        <f t="shared" si="80"/>
        <v>0.55264286250824002</v>
      </c>
      <c r="ED166" s="51">
        <f t="shared" si="80"/>
        <v>0.14830510737766367</v>
      </c>
      <c r="EE166" s="51">
        <f t="shared" si="80"/>
        <v>3.8477572216900992E-2</v>
      </c>
      <c r="EF166" s="51">
        <f t="shared" si="80"/>
        <v>6.0589529935518333E-2</v>
      </c>
      <c r="EG166" s="51">
        <f t="shared" si="80"/>
        <v>1.3446637427332032E-2</v>
      </c>
      <c r="EH166" s="52">
        <f t="shared" si="59"/>
        <v>6.9952025632940467E-4</v>
      </c>
      <c r="EI166" s="51">
        <f t="shared" si="60"/>
        <v>0.99930047974367064</v>
      </c>
      <c r="EK166" s="53">
        <f>(EA166*'[2]Renewable Diesel'!BF175*'[2]Feedstock Conversion Rates'!B$2)+FB166</f>
        <v>95.467973041426021</v>
      </c>
      <c r="EL166" s="53">
        <f>(EB166*'[2]Renewable Diesel'!BF175*'[2]Feedstock Conversion Rates'!B$3)+FC166</f>
        <v>340.16684396500409</v>
      </c>
      <c r="EM166" s="53">
        <f>(EC166*'[2]Renewable Diesel'!BF175*'[2]Feedstock Conversion Rates'!B$4)+FD166</f>
        <v>1197.6725783603904</v>
      </c>
      <c r="EN166" s="53">
        <f>(ED166*'[2]Renewable Diesel'!BF175*'[2]Feedstock Conversion Rates'!B$5)+FE166</f>
        <v>323.5454797354505</v>
      </c>
      <c r="EO166" s="53">
        <f>(EE166*'[2]Renewable Diesel'!BF175*'[2]Feedstock Conversion Rates'!B$6)+FF166</f>
        <v>104.29002647643522</v>
      </c>
      <c r="EP166" s="53">
        <f>(EF166*'[2]Renewable Diesel'!BF175*'[2]Feedstock Conversion Rates'!B$7)+FG166</f>
        <v>161.07112346986915</v>
      </c>
      <c r="EQ166" s="53">
        <f>(EG166*'[2]Renewable Diesel'!BF175*'[2]Feedstock Conversion Rates'!B$8)+FH166</f>
        <v>36.426483562949201</v>
      </c>
      <c r="ER166" s="53">
        <f>(EH166*'[2]Renewable Diesel'!BF175*'[2]Feedstock Conversion Rates'!B$9)+FI166</f>
        <v>1.8697102340080194</v>
      </c>
      <c r="ES166" s="53">
        <f t="shared" si="61"/>
        <v>2260.5102188455326</v>
      </c>
      <c r="ET166" s="36">
        <f>ES166/'[2]Renewable Diesel'!BF175</f>
        <v>7.8230156178127714</v>
      </c>
    </row>
    <row r="167" spans="1:150" x14ac:dyDescent="0.25">
      <c r="A167" s="39">
        <v>45505</v>
      </c>
      <c r="B167" s="45">
        <f t="shared" si="83"/>
        <v>21</v>
      </c>
      <c r="C167" s="45">
        <f t="shared" si="84"/>
        <v>254</v>
      </c>
      <c r="D167" s="45">
        <v>1</v>
      </c>
      <c r="E167" s="45">
        <f>('[2]Renewable Diesel'!B176*E$3*'[2]Feedstock Conversion Rates'!$B$2)/12-40+1.25+6-43+30-15+17.5+53+10-25+30-2.5-5+79-100+25-65-11</f>
        <v>35.180000000000007</v>
      </c>
      <c r="F167" s="45">
        <f>('[2]Renewable Diesel'!B176*'[2]RD Feedstock Breakdown'!F$3*'[2]Feedstock Conversion Rates'!B$8)/12-23+5-2.25+5+22.5-16.5-14-20+15+15+1-2-20+20-1-30+3+3</f>
        <v>14.65625</v>
      </c>
      <c r="G167" s="45">
        <f>('[2]Renewable Diesel'!B176*'[2]RD Feedstock Breakdown'!G$3*'[2]Feedstock Conversion Rates'!B$7)/12-25-15-25+4+4-20-40-20+10-17.5+20+50-12+32.5+35-75-75+22.5+5-20+40-4+100-100</f>
        <v>50.657000000000011</v>
      </c>
      <c r="H167" s="45">
        <f>('[2]Renewable Diesel'!B176*'[2]RD Feedstock Breakdown'!H$3*'[2]Feedstock Conversion Rates'!B$3)/12-85+4-15+70-65-80+50-22.5-5+25+27.5+35+50-25-65-12.5+65+12-10+100+75-125+40-100</f>
        <v>119.90022499999998</v>
      </c>
      <c r="I167" s="47">
        <f t="shared" si="75"/>
        <v>496.39347499999997</v>
      </c>
      <c r="J167" s="45">
        <f t="shared" si="82"/>
        <v>0.25</v>
      </c>
      <c r="K167" s="45"/>
      <c r="L167" s="45">
        <v>1</v>
      </c>
      <c r="M167" s="45">
        <f>('[2]Renewable Diesel'!C176*'[2]RD Feedstock Breakdown'!M$3*'[2]Feedstock Conversion Rates'!B$2)/12-15-40+2+117-25-2</f>
        <v>75.951250000000002</v>
      </c>
      <c r="N167" s="45">
        <f>('[2]Renewable Diesel'!C176*'[2]RD Feedstock Breakdown'!N$3*'[2]Feedstock Conversion Rates'!B$8)/12+1.75+7-15-20+19.5</f>
        <v>11.609375</v>
      </c>
      <c r="O167" s="45">
        <f>('[2]Renewable Diesel'!C176*'[2]RD Feedstock Breakdown'!O$3*'[2]Feedstock Conversion Rates'!B$7)/12+30-120+25-17.5</f>
        <v>-22.504500000000007</v>
      </c>
      <c r="P167" s="45">
        <f>('[2]Renewable Diesel'!C176*'[2]RD Feedstock Breakdown'!P$3*'[2]Feedstock Conversion Rates'!B$3)/12-15-59-10+15-7.5+15+75-25-2.5-25-15-20+25+100</f>
        <v>103.23521250000002</v>
      </c>
      <c r="Q167" s="47">
        <f t="shared" si="85"/>
        <v>169.5413375</v>
      </c>
      <c r="R167" s="45">
        <f>('[2]Renewable Diesel'!D176*'[2]RD Feedstock Breakdown'!R$3*'[2]Feedstock Conversion Rates'!B$7)/12</f>
        <v>2.2999999999999998</v>
      </c>
      <c r="S167" s="47">
        <f t="shared" si="44"/>
        <v>2.2999999999999998</v>
      </c>
      <c r="T167" s="45">
        <f t="shared" si="86"/>
        <v>25</v>
      </c>
      <c r="U167" s="45">
        <v>0</v>
      </c>
      <c r="V167" s="45">
        <f>('[2]Renewable Diesel'!E176*'[2]RD Feedstock Breakdown'!V$3*'[2]Feedstock Conversion Rates'!B$6)/12-20+20-35+20</f>
        <v>29.250150000000012</v>
      </c>
      <c r="W167" s="45">
        <f>('[2]Renewable Diesel'!E176*'[2]RD Feedstock Breakdown'!W$3*'[2]Feedstock Conversion Rates'!B$8)/12-10</f>
        <v>12.1796875</v>
      </c>
      <c r="X167" s="47">
        <f t="shared" si="62"/>
        <v>66.429837500000019</v>
      </c>
      <c r="Y167" s="45">
        <f t="shared" si="89"/>
        <v>0</v>
      </c>
      <c r="Z167" s="45">
        <f>('[2]Renewable Diesel'!F176*'[2]RD Feedstock Breakdown'!Z$3*'[2]Feedstock Conversion Rates'!B$6)/12-50-32-11+15-41+40-40+70</f>
        <v>-4.4449999999999932</v>
      </c>
      <c r="AA167" s="45">
        <f>('[2]Renewable Diesel'!F176*'[2]RD Feedstock Breakdown'!AA$3*'[2]Feedstock Conversion Rates'!B$7)/12+14-73+75+62-24+25+40-70</f>
        <v>78.133333333333326</v>
      </c>
      <c r="AB167" s="47">
        <f t="shared" si="39"/>
        <v>73.688333333333333</v>
      </c>
      <c r="AC167" s="45">
        <f>('[2]Renewable Diesel'!G176*'[2]RD Feedstock Breakdown'!AC$3*'[2]Feedstock Conversion Rates'!B$5)/12</f>
        <v>7.864583333333333</v>
      </c>
      <c r="AD167" s="45">
        <f>('[2]Renewable Diesel'!G176*'[2]RD Feedstock Breakdown'!AD$3*'[2]Feedstock Conversion Rates'!B$4)/12</f>
        <v>3.90625</v>
      </c>
      <c r="AE167" s="45">
        <f>('[2]Renewable Diesel'!G176*'[2]RD Feedstock Breakdown'!AE$3*'[2]Feedstock Conversion Rates'!B$6)/12</f>
        <v>4.885416666666667</v>
      </c>
      <c r="AF167" s="47">
        <f t="shared" si="71"/>
        <v>16.65625</v>
      </c>
      <c r="AG167" s="45">
        <f t="shared" si="88"/>
        <v>135</v>
      </c>
      <c r="AH167" s="45">
        <v>0</v>
      </c>
      <c r="AI167" s="45">
        <f>('[2]Renewable Diesel'!H176*'[2]RD Feedstock Breakdown'!AI$3*'[2]Feedstock Conversion Rates'!B$6)/12-130-23+3+51+99-50-150+80+10+15-60+15+140-70-65</f>
        <v>13.51666666666668</v>
      </c>
      <c r="AJ167" s="47">
        <f t="shared" si="42"/>
        <v>148.51666666666668</v>
      </c>
      <c r="AK167" s="45">
        <f>('[2]Renewable Diesel'!J176*'[2]RD Feedstock Breakdown'!AK$3*'[2]Feedstock Conversion Rates'!B$4)/12</f>
        <v>95.8125</v>
      </c>
      <c r="AL167" s="47">
        <f t="shared" si="45"/>
        <v>95.8125</v>
      </c>
      <c r="AM167" s="45">
        <f>('[2]Renewable Diesel'!K176*'[2]RD Feedstock Breakdown'!AM$3*'[2]Feedstock Conversion Rates'!B$4)/12+20-30</f>
        <v>48.59375</v>
      </c>
      <c r="AN167" s="45">
        <f>('[2]Renewable Diesel'!K176*'[2]RD Feedstock Breakdown'!AN$3*'[2]Feedstock Conversion Rates'!B$6)/12-20+30</f>
        <v>34.427083333333329</v>
      </c>
      <c r="AO167" s="47">
        <f t="shared" si="56"/>
        <v>83.020833333333329</v>
      </c>
      <c r="AP167" s="45">
        <f>('[2]Renewable Diesel'!L176*'[2]RD Feedstock Breakdown'!AP$3*'[2]Feedstock Conversion Rates'!B$4)/12+15-10+15</f>
        <v>78.59375</v>
      </c>
      <c r="AQ167" s="45">
        <f>('[2]Renewable Diesel'!L176*'[2]RD Feedstock Breakdown'!AQ$3*'[2]Feedstock Conversion Rates'!B$6)/12-15+10-15</f>
        <v>4.4270833333333321</v>
      </c>
      <c r="AR167" s="47">
        <f t="shared" si="46"/>
        <v>83.020833333333329</v>
      </c>
      <c r="AS167" s="45">
        <f>('[2]Renewable Diesel'!M176*'[2]RD Feedstock Breakdown'!AS$3*'[2]Feedstock Conversion Rates'!B$4)/12</f>
        <v>456.25</v>
      </c>
      <c r="AT167" s="45">
        <f>('[2]Renewable Diesel'!M176*'[2]RD Feedstock Breakdown'!AT$3*'[2]Feedstock Conversion Rates'!B$5)/12</f>
        <v>0</v>
      </c>
      <c r="AU167" s="47">
        <f t="shared" si="74"/>
        <v>456.25</v>
      </c>
      <c r="AV167" s="45">
        <f>'[2]Renewable Diesel'!N176*'[2]RD Feedstock Breakdown'!$AV$3*'[2]Feedstock Conversion Rates'!$B$4/12-15-10+25+25-22-75+75+22.5</f>
        <v>104.24999999999999</v>
      </c>
      <c r="AW167" s="45">
        <f>'[2]Renewable Diesel'!N176*'[2]RD Feedstock Breakdown'!$AW$3*'[2]Feedstock Conversion Rates'!$B$7/12+15+10-25-25+22+75-75-22.5</f>
        <v>15.900000000000006</v>
      </c>
      <c r="AX167" s="47">
        <f t="shared" si="40"/>
        <v>120.14999999999999</v>
      </c>
      <c r="AY167" s="45">
        <f>('[2]Renewable Diesel'!O176*'[2]RD Feedstock Breakdown'!AY$3*'[2]Feedstock Conversion Rates'!B$4)/12+34-152</f>
        <v>239.75</v>
      </c>
      <c r="AZ167" s="45">
        <f>('[2]Renewable Diesel'!O176*'[2]RD Feedstock Breakdown'!AZ$3*'[2]Feedstock Conversion Rates'!B$3)/12-34+152</f>
        <v>160.453</v>
      </c>
      <c r="BA167" s="47">
        <f t="shared" si="87"/>
        <v>400.20299999999997</v>
      </c>
      <c r="BB167" s="45">
        <f>('[2]Renewable Diesel'!Q176*'[2]RD Feedstock Breakdown'!BB$3*'[2]Feedstock Conversion Rates'!B$4)/12</f>
        <v>11.156249999999998</v>
      </c>
      <c r="BC167" s="45">
        <f>('[2]Renewable Diesel'!Q176*'[2]RD Feedstock Breakdown'!BC$3*'[2]Feedstock Conversion Rates'!B$3)/12</f>
        <v>1.4017500000000001</v>
      </c>
      <c r="BD167" s="45">
        <f>('[2]Renewable Diesel'!Q176*'[2]RD Feedstock Breakdown'!BD$3*'[2]Feedstock Conversion Rates'!B$6)/12</f>
        <v>0.8207500000000002</v>
      </c>
      <c r="BE167" s="47">
        <f t="shared" si="64"/>
        <v>13.378749999999998</v>
      </c>
      <c r="BF167" s="45">
        <f>('[2]Renewable Diesel'!R176*'[2]RD Feedstock Breakdown'!BF$3*'[2]Feedstock Conversion Rates'!B$4)/12</f>
        <v>62.5</v>
      </c>
      <c r="BG167" s="47">
        <f t="shared" si="47"/>
        <v>62.5</v>
      </c>
      <c r="BH167" s="45">
        <f>('[2]Renewable Diesel'!T176*'[2]RD Feedstock Breakdown'!BH$3*'[2]Feedstock Conversion Rates'!B$7)/12</f>
        <v>27.599999999999998</v>
      </c>
      <c r="BI167" s="47">
        <f t="shared" si="41"/>
        <v>27.599999999999998</v>
      </c>
      <c r="BJ167" s="45">
        <f>('[2]Renewable Diesel'!W176*'[2]RD Feedstock Breakdown'!BJ$3*'[2]Feedstock Conversion Rates'!B$4)/12</f>
        <v>7.5</v>
      </c>
      <c r="BK167" s="45">
        <f>('[2]Renewable Diesel'!W176*'[2]RD Feedstock Breakdown'!BK$3*'[2]Feedstock Conversion Rates'!B$3)/12</f>
        <v>1.335</v>
      </c>
      <c r="BL167" s="45">
        <f>('[2]Renewable Diesel'!W176*'[2]RD Feedstock Breakdown'!BL$3*'[2]Feedstock Conversion Rates'!B$6)/12</f>
        <v>3.1266666666666669</v>
      </c>
      <c r="BM167" s="45">
        <f>('[2]Renewable Diesel'!W176*'[2]RD Feedstock Breakdown'!BM$3*'[2]Feedstock Conversion Rates'!B$7)/12</f>
        <v>1.5333333333333332</v>
      </c>
      <c r="BN167" s="47">
        <f t="shared" si="78"/>
        <v>13.495000000000001</v>
      </c>
      <c r="BO167" s="45">
        <f>('[2]Renewable Diesel'!P176*'[2]Feedstock Conversion Rates'!B$4)/12</f>
        <v>31.25</v>
      </c>
      <c r="BP167" s="47">
        <f t="shared" si="72"/>
        <v>31.25</v>
      </c>
      <c r="BQ167" s="45">
        <f>('[2]Renewable Diesel'!$S176*'[2]RD Feedstock Breakdown'!BQ$3*'[2]Feedstock Conversion Rates'!B$4)/12+10</f>
        <v>38.125</v>
      </c>
      <c r="BR167" s="45">
        <f>('[2]Renewable Diesel'!$S176*'[2]RD Feedstock Breakdown'!BR$3*'[2]Feedstock Conversion Rates'!B$7)/12-10</f>
        <v>1.5</v>
      </c>
      <c r="BS167" s="47">
        <f t="shared" si="90"/>
        <v>39.625</v>
      </c>
      <c r="BT167" s="47"/>
      <c r="BU167" s="45">
        <f>('[2]Renewable Diesel'!Y176*'[2]Feedstock Conversion Rates'!B$7)/12</f>
        <v>2.6833333333333331</v>
      </c>
      <c r="BV167" s="47">
        <f t="shared" si="67"/>
        <v>2.6833333333333331</v>
      </c>
      <c r="BW167" s="45">
        <f>('[2]Renewable Diesel'!$Z176*'[2]RD Feedstock Breakdown'!BW$3*'[2]Feedstock Conversion Rates'!$B$4)/12</f>
        <v>17.96875</v>
      </c>
      <c r="BX167" s="45">
        <f>('[2]Renewable Diesel'!$Z176*'[2]RD Feedstock Breakdown'!BX$3*'[2]Feedstock Conversion Rates'!$B$5)/12</f>
        <v>1.8088541666666667</v>
      </c>
      <c r="BY167" s="45">
        <f>('[2]Renewable Diesel'!$Z176*'[2]RD Feedstock Breakdown'!BY$3*'[2]Feedstock Conversion Rates'!$B$7)/12</f>
        <v>15.429166666666665</v>
      </c>
      <c r="BZ167" s="45">
        <f>('[2]Renewable Diesel'!$Z176*'[2]RD Feedstock Breakdown'!BZ$3*'[2]Feedstock Conversion Rates'!$B$3)/12</f>
        <v>3.8381249999999998</v>
      </c>
      <c r="CA167" s="47">
        <f t="shared" si="91"/>
        <v>39.044895833333328</v>
      </c>
      <c r="CB167" s="45">
        <f>('[2]Renewable Diesel'!AA176*'[2]Feedstock Conversion Rates'!B$4)/12</f>
        <v>191.25</v>
      </c>
      <c r="CC167" s="47">
        <f t="shared" si="79"/>
        <v>191.25</v>
      </c>
      <c r="CD167" s="45">
        <f>('[2]Renewable Diesel'!$AB176*'[2]RD Feedstock Breakdown'!CD$3*'[2]Feedstock Conversion Rates'!$B$6)/12</f>
        <v>32.830000000000005</v>
      </c>
      <c r="CE167" s="45">
        <f>('[2]Renewable Diesel'!$AB176*'[2]RD Feedstock Breakdown'!CE$3*'[2]Feedstock Conversion Rates'!$B$4)/12</f>
        <v>11.25</v>
      </c>
      <c r="CF167" s="47">
        <f t="shared" si="76"/>
        <v>44.080000000000005</v>
      </c>
      <c r="CG167" s="45">
        <f>('[2]Renewable Diesel'!AD176*'[2]Feedstock Conversion Rates'!B$4)/12</f>
        <v>112.5</v>
      </c>
      <c r="CH167" s="47">
        <f t="shared" si="63"/>
        <v>112.5</v>
      </c>
      <c r="CI167" s="45">
        <f>('[2]Renewable Diesel'!$AE176*'[2]RD Feedstock Breakdown'!CI$3*'[2]Feedstock Conversion Rates'!$B$5)/12</f>
        <v>0.34604166666666664</v>
      </c>
      <c r="CJ167" s="45">
        <f>('[2]Renewable Diesel'!$AE176*'[2]RD Feedstock Breakdown'!CJ$3*'[2]Feedstock Conversion Rates'!$B$4)/12</f>
        <v>0.34375</v>
      </c>
      <c r="CK167" s="47">
        <f t="shared" si="73"/>
        <v>0.68979166666666658</v>
      </c>
      <c r="CL167" s="45">
        <f>(((CL$3*'[2]Renewable Diesel'!$AF176)*'[2]Feedstock Conversion Rates'!$B$3)/12)</f>
        <v>30.037499999999998</v>
      </c>
      <c r="CM167" s="45">
        <f>(((CM$3*'[2]Renewable Diesel'!$AF176)*'[2]Feedstock Conversion Rates'!$B$6)/12)-10</f>
        <v>7.5875000000000021</v>
      </c>
      <c r="CN167" s="45">
        <f>(((CN$3*'[2]Renewable Diesel'!$AF176)*'[2]Feedstock Conversion Rates'!$B$4)/12)+10</f>
        <v>24.0625</v>
      </c>
      <c r="CO167" s="47">
        <f t="shared" si="65"/>
        <v>61.6875</v>
      </c>
      <c r="CP167" s="47"/>
      <c r="CQ167" s="47"/>
      <c r="CR167" s="47"/>
      <c r="CS167" s="47"/>
      <c r="CT167" s="45">
        <f>('[2]Renewable Diesel'!AI176*'[2]Feedstock Conversion Rates'!$B$4*'[2]RD Feedstock Breakdown'!$CT$3)/12</f>
        <v>29.375</v>
      </c>
      <c r="CU167" s="47">
        <f t="shared" si="69"/>
        <v>29.375</v>
      </c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5">
        <f>('[2]Renewable Diesel'!AT176*'[2]Feedstock Conversion Rates'!$B$4*0.25)/12</f>
        <v>0</v>
      </c>
      <c r="DK167" s="45">
        <f>('[2]Renewable Diesel'!$AT176*'[2]RD Feedstock Breakdown'!DK$3*'[2]Feedstock Conversion Rates'!$B$3)/12*0.5</f>
        <v>0</v>
      </c>
      <c r="DL167" s="45">
        <f>('[2]Renewable Diesel'!$AT176*'[2]RD Feedstock Breakdown'!$DL$3*'[2]Feedstock Conversion Rates'!$B$6)/12</f>
        <v>0</v>
      </c>
      <c r="DM167" s="45">
        <f>('[2]Renewable Diesel'!$AT176*'[2]RD Feedstock Breakdown'!$DM$3*'[2]Feedstock Conversion Rates'!$B$8)/12</f>
        <v>0</v>
      </c>
      <c r="DN167" s="47">
        <f t="shared" si="77"/>
        <v>0</v>
      </c>
      <c r="DP167" s="45">
        <f t="shared" si="48"/>
        <v>111.13125000000001</v>
      </c>
      <c r="DQ167" s="45">
        <f t="shared" si="49"/>
        <v>420.20081249999998</v>
      </c>
      <c r="DR167" s="45">
        <f t="shared" si="57"/>
        <v>1585.6875</v>
      </c>
      <c r="DS167" s="45">
        <f t="shared" si="70"/>
        <v>424.01947916666666</v>
      </c>
      <c r="DT167" s="45">
        <f t="shared" si="50"/>
        <v>126.42631666666668</v>
      </c>
      <c r="DU167" s="45">
        <f t="shared" si="51"/>
        <v>173.23166666666668</v>
      </c>
      <c r="DV167" s="45">
        <f t="shared" si="58"/>
        <v>38.4453125</v>
      </c>
      <c r="DW167" s="45">
        <f t="shared" si="52"/>
        <v>2</v>
      </c>
      <c r="DX167" s="47">
        <f t="shared" si="53"/>
        <v>2881.1423374999999</v>
      </c>
      <c r="DY167" s="50">
        <f t="shared" si="54"/>
        <v>-2.7000623958883807E-13</v>
      </c>
      <c r="EA167" s="51">
        <f t="shared" si="80"/>
        <v>3.8571940217445089E-2</v>
      </c>
      <c r="EB167" s="51">
        <f t="shared" si="80"/>
        <v>0.14584521112712989</v>
      </c>
      <c r="EC167" s="51">
        <f t="shared" si="80"/>
        <v>0.55036763694775281</v>
      </c>
      <c r="ED167" s="51">
        <f t="shared" si="80"/>
        <v>0.1471706113397345</v>
      </c>
      <c r="EE167" s="51">
        <f t="shared" si="80"/>
        <v>4.3880621592742357E-2</v>
      </c>
      <c r="EF167" s="51">
        <f t="shared" si="80"/>
        <v>6.0126035569968324E-2</v>
      </c>
      <c r="EG167" s="51">
        <f t="shared" si="80"/>
        <v>1.3343774099463421E-2</v>
      </c>
      <c r="EH167" s="52">
        <f t="shared" si="59"/>
        <v>6.9416910576359191E-4</v>
      </c>
      <c r="EI167" s="51">
        <f t="shared" si="60"/>
        <v>0.9993058308942363</v>
      </c>
      <c r="EK167" s="53">
        <f>(EA167*'[2]Renewable Diesel'!BF176*'[2]Feedstock Conversion Rates'!B$2)+FB167</f>
        <v>83.818746435123856</v>
      </c>
      <c r="EL167" s="53">
        <f>(EB167*'[2]Renewable Diesel'!BF176*'[2]Feedstock Conversion Rates'!B$3)+FC167</f>
        <v>298.65888560938407</v>
      </c>
      <c r="EM167" s="53">
        <f>(EC167*'[2]Renewable Diesel'!BF176*'[2]Feedstock Conversion Rates'!B$4)+FD167</f>
        <v>1055.2731844329176</v>
      </c>
      <c r="EN167" s="53">
        <f>(ED167*'[2]Renewable Diesel'!BF176*'[2]Feedstock Conversion Rates'!B$5)+FE167</f>
        <v>284.0656993357187</v>
      </c>
      <c r="EO167" s="53">
        <f>(EE167*'[2]Renewable Diesel'!BF176*'[2]Feedstock Conversion Rates'!B$6)+FF167</f>
        <v>105.22679916380366</v>
      </c>
      <c r="EP167" s="53">
        <f>(EF167*'[2]Renewable Diesel'!BF176*'[2]Feedstock Conversion Rates'!B$7)+FG167</f>
        <v>141.41684615303555</v>
      </c>
      <c r="EQ167" s="53">
        <f>(EG167*'[2]Renewable Diesel'!BF176*'[2]Feedstock Conversion Rates'!B$8)+FH167</f>
        <v>31.981638365372792</v>
      </c>
      <c r="ER167" s="53">
        <f>(EH167*'[2]Renewable Diesel'!BF176*'[2]Feedstock Conversion Rates'!B$9)+FI167</f>
        <v>1.6415637937915657</v>
      </c>
      <c r="ES167" s="53">
        <f t="shared" si="61"/>
        <v>2002.0833632891479</v>
      </c>
      <c r="ET167" s="36">
        <f>ES167/'[2]Renewable Diesel'!BF176</f>
        <v>7.8312557298941501</v>
      </c>
    </row>
    <row r="168" spans="1:150" x14ac:dyDescent="0.25">
      <c r="A168" s="39">
        <v>45536</v>
      </c>
      <c r="B168" s="45">
        <f t="shared" si="83"/>
        <v>21</v>
      </c>
      <c r="C168" s="45">
        <f t="shared" si="84"/>
        <v>254</v>
      </c>
      <c r="D168" s="45">
        <v>1</v>
      </c>
      <c r="E168" s="45">
        <f>('[2]Renewable Diesel'!B177*E$3*'[2]Feedstock Conversion Rates'!$B$2)/12-40+1.25+6-43+30-15+17.5+53+10-25+30-2.5-5+79-100+25-65-11</f>
        <v>35.180000000000007</v>
      </c>
      <c r="F168" s="45">
        <f>('[2]Renewable Diesel'!B177*'[2]RD Feedstock Breakdown'!F$3*'[2]Feedstock Conversion Rates'!B$8)/12-23+5-2.25+5+22.5-16.5-14-20+15+15+1-2-20+20-1-30+3+3</f>
        <v>14.65625</v>
      </c>
      <c r="G168" s="45">
        <f>('[2]Renewable Diesel'!B177*'[2]RD Feedstock Breakdown'!G$3*'[2]Feedstock Conversion Rates'!B$7)/12-25-15-25+4+4-20-40-20+10-17.5+20+50-12+32.5+35-75-75+22.5+5-20+40-4+100-100</f>
        <v>50.657000000000011</v>
      </c>
      <c r="H168" s="45">
        <f>('[2]Renewable Diesel'!B177*'[2]RD Feedstock Breakdown'!H$3*'[2]Feedstock Conversion Rates'!B$3)/12-85+4-15+70-65-80+50-22.5-5+25+27.5+35+50-25-65-12.5+65+12-10+100+75-125+40-100</f>
        <v>119.90022499999998</v>
      </c>
      <c r="I168" s="47">
        <f t="shared" si="75"/>
        <v>496.39347499999997</v>
      </c>
      <c r="J168" s="45">
        <f t="shared" si="82"/>
        <v>0.25</v>
      </c>
      <c r="K168" s="45"/>
      <c r="L168" s="45">
        <v>1</v>
      </c>
      <c r="M168" s="45">
        <f>('[2]Renewable Diesel'!C177*'[2]RD Feedstock Breakdown'!M$3*'[2]Feedstock Conversion Rates'!B$2)/12-15-40+2+117-25-2</f>
        <v>75.951250000000002</v>
      </c>
      <c r="N168" s="45">
        <f>('[2]Renewable Diesel'!C177*'[2]RD Feedstock Breakdown'!N$3*'[2]Feedstock Conversion Rates'!B$8)/12+1.75+7-15-20+19.5</f>
        <v>11.609375</v>
      </c>
      <c r="O168" s="45">
        <f>('[2]Renewable Diesel'!C177*'[2]RD Feedstock Breakdown'!O$3*'[2]Feedstock Conversion Rates'!B$7)/12+30-120+25-17.5</f>
        <v>-22.504500000000007</v>
      </c>
      <c r="P168" s="45">
        <f>('[2]Renewable Diesel'!C177*'[2]RD Feedstock Breakdown'!P$3*'[2]Feedstock Conversion Rates'!B$3)/12-15-59-10+15-7.5+15+75-25-2.5-25-15-20+25+100</f>
        <v>103.23521250000002</v>
      </c>
      <c r="Q168" s="47">
        <f t="shared" si="85"/>
        <v>169.5413375</v>
      </c>
      <c r="R168" s="45">
        <f>('[2]Renewable Diesel'!D177*'[2]RD Feedstock Breakdown'!R$3*'[2]Feedstock Conversion Rates'!B$7)/12</f>
        <v>2.2999999999999998</v>
      </c>
      <c r="S168" s="47">
        <f t="shared" si="44"/>
        <v>2.2999999999999998</v>
      </c>
      <c r="T168" s="45">
        <f t="shared" si="86"/>
        <v>25</v>
      </c>
      <c r="U168" s="45">
        <v>0</v>
      </c>
      <c r="V168" s="45">
        <f>('[2]Renewable Diesel'!E177*'[2]RD Feedstock Breakdown'!V$3*'[2]Feedstock Conversion Rates'!B$6)/12-20+20-35+20</f>
        <v>29.250150000000012</v>
      </c>
      <c r="W168" s="45">
        <f>('[2]Renewable Diesel'!E177*'[2]RD Feedstock Breakdown'!W$3*'[2]Feedstock Conversion Rates'!B$8)/12-10</f>
        <v>12.1796875</v>
      </c>
      <c r="X168" s="47">
        <f t="shared" si="62"/>
        <v>66.429837500000019</v>
      </c>
      <c r="Y168" s="45">
        <f t="shared" si="89"/>
        <v>0</v>
      </c>
      <c r="Z168" s="45">
        <f>('[2]Renewable Diesel'!F177*'[2]RD Feedstock Breakdown'!Z$3*'[2]Feedstock Conversion Rates'!B$6)/12-50-32-11+15-41+40-40+70</f>
        <v>-4.4449999999999932</v>
      </c>
      <c r="AA168" s="45">
        <f>('[2]Renewable Diesel'!F177*'[2]RD Feedstock Breakdown'!AA$3*'[2]Feedstock Conversion Rates'!B$7)/12+14-73+75+62-24+25+40-70</f>
        <v>78.133333333333326</v>
      </c>
      <c r="AB168" s="47">
        <f t="shared" si="39"/>
        <v>73.688333333333333</v>
      </c>
      <c r="AC168" s="45">
        <f>('[2]Renewable Diesel'!G177*'[2]RD Feedstock Breakdown'!AC$3*'[2]Feedstock Conversion Rates'!B$5)/12</f>
        <v>7.864583333333333</v>
      </c>
      <c r="AD168" s="45">
        <f>('[2]Renewable Diesel'!G177*'[2]RD Feedstock Breakdown'!AD$3*'[2]Feedstock Conversion Rates'!B$4)/12</f>
        <v>3.90625</v>
      </c>
      <c r="AE168" s="45">
        <f>('[2]Renewable Diesel'!G177*'[2]RD Feedstock Breakdown'!AE$3*'[2]Feedstock Conversion Rates'!B$6)/12</f>
        <v>4.885416666666667</v>
      </c>
      <c r="AF168" s="47">
        <f t="shared" si="71"/>
        <v>16.65625</v>
      </c>
      <c r="AG168" s="45">
        <f t="shared" si="88"/>
        <v>135</v>
      </c>
      <c r="AH168" s="45">
        <v>0</v>
      </c>
      <c r="AI168" s="45">
        <f>('[2]Renewable Diesel'!H177*'[2]RD Feedstock Breakdown'!AI$3*'[2]Feedstock Conversion Rates'!B$6)/12-130-23+3+51+99-50-150+80+10+15-60+15+140-70-65</f>
        <v>13.51666666666668</v>
      </c>
      <c r="AJ168" s="47">
        <f t="shared" si="42"/>
        <v>148.51666666666668</v>
      </c>
      <c r="AK168" s="45">
        <f>('[2]Renewable Diesel'!J177*'[2]RD Feedstock Breakdown'!AK$3*'[2]Feedstock Conversion Rates'!B$4)/12</f>
        <v>95.8125</v>
      </c>
      <c r="AL168" s="47">
        <f t="shared" si="45"/>
        <v>95.8125</v>
      </c>
      <c r="AM168" s="45">
        <f>('[2]Renewable Diesel'!K177*'[2]RD Feedstock Breakdown'!AM$3*'[2]Feedstock Conversion Rates'!B$4)/12+20-30</f>
        <v>48.59375</v>
      </c>
      <c r="AN168" s="45">
        <f>('[2]Renewable Diesel'!K177*'[2]RD Feedstock Breakdown'!AN$3*'[2]Feedstock Conversion Rates'!B$6)/12-20+30</f>
        <v>34.427083333333329</v>
      </c>
      <c r="AO168" s="47">
        <f t="shared" si="56"/>
        <v>83.020833333333329</v>
      </c>
      <c r="AP168" s="45">
        <f>('[2]Renewable Diesel'!L177*'[2]RD Feedstock Breakdown'!AP$3*'[2]Feedstock Conversion Rates'!B$4)/12+15-10+15</f>
        <v>78.59375</v>
      </c>
      <c r="AQ168" s="45">
        <f>('[2]Renewable Diesel'!L177*'[2]RD Feedstock Breakdown'!AQ$3*'[2]Feedstock Conversion Rates'!B$6)/12-15+10-15</f>
        <v>4.4270833333333321</v>
      </c>
      <c r="AR168" s="47">
        <f t="shared" si="46"/>
        <v>83.020833333333329</v>
      </c>
      <c r="AS168" s="45">
        <f>('[2]Renewable Diesel'!M177*'[2]RD Feedstock Breakdown'!AS$3*'[2]Feedstock Conversion Rates'!B$4)/12</f>
        <v>456.25</v>
      </c>
      <c r="AT168" s="45">
        <f>('[2]Renewable Diesel'!M177*'[2]RD Feedstock Breakdown'!AT$3*'[2]Feedstock Conversion Rates'!B$5)/12</f>
        <v>0</v>
      </c>
      <c r="AU168" s="47">
        <f t="shared" si="74"/>
        <v>456.25</v>
      </c>
      <c r="AV168" s="45">
        <f>'[2]Renewable Diesel'!N177*'[2]RD Feedstock Breakdown'!$AV$3*'[2]Feedstock Conversion Rates'!$B$4/12-15-10+25+25-22-75+75+22.5</f>
        <v>104.24999999999999</v>
      </c>
      <c r="AW168" s="45">
        <f>'[2]Renewable Diesel'!N177*'[2]RD Feedstock Breakdown'!$AW$3*'[2]Feedstock Conversion Rates'!$B$7/12+15+10-25-25+22+75-75-22.5</f>
        <v>15.900000000000006</v>
      </c>
      <c r="AX168" s="47">
        <f t="shared" si="40"/>
        <v>120.14999999999999</v>
      </c>
      <c r="AY168" s="45">
        <f>('[2]Renewable Diesel'!O177*'[2]RD Feedstock Breakdown'!AY$3*'[2]Feedstock Conversion Rates'!B$4)/12+34-152</f>
        <v>239.75</v>
      </c>
      <c r="AZ168" s="45">
        <f>('[2]Renewable Diesel'!O177*'[2]RD Feedstock Breakdown'!AZ$3*'[2]Feedstock Conversion Rates'!B$3)/12-34+152</f>
        <v>160.453</v>
      </c>
      <c r="BA168" s="47">
        <f t="shared" si="87"/>
        <v>400.20299999999997</v>
      </c>
      <c r="BB168" s="45">
        <f>('[2]Renewable Diesel'!Q177*'[2]RD Feedstock Breakdown'!BB$3*'[2]Feedstock Conversion Rates'!B$4)/12</f>
        <v>11.156249999999998</v>
      </c>
      <c r="BC168" s="45">
        <f>('[2]Renewable Diesel'!Q177*'[2]RD Feedstock Breakdown'!BC$3*'[2]Feedstock Conversion Rates'!B$3)/12</f>
        <v>1.4017500000000001</v>
      </c>
      <c r="BD168" s="45">
        <f>('[2]Renewable Diesel'!Q177*'[2]RD Feedstock Breakdown'!BD$3*'[2]Feedstock Conversion Rates'!B$6)/12</f>
        <v>0.8207500000000002</v>
      </c>
      <c r="BE168" s="47">
        <f t="shared" si="64"/>
        <v>13.378749999999998</v>
      </c>
      <c r="BF168" s="45">
        <f>('[2]Renewable Diesel'!R177*'[2]RD Feedstock Breakdown'!BF$3*'[2]Feedstock Conversion Rates'!B$4)/12</f>
        <v>62.5</v>
      </c>
      <c r="BG168" s="47">
        <f t="shared" si="47"/>
        <v>62.5</v>
      </c>
      <c r="BH168" s="45">
        <f>('[2]Renewable Diesel'!T177*'[2]RD Feedstock Breakdown'!BH$3*'[2]Feedstock Conversion Rates'!B$7)/12</f>
        <v>27.599999999999998</v>
      </c>
      <c r="BI168" s="47">
        <f t="shared" si="41"/>
        <v>27.599999999999998</v>
      </c>
      <c r="BJ168" s="45">
        <f>('[2]Renewable Diesel'!W177*'[2]RD Feedstock Breakdown'!BJ$3*'[2]Feedstock Conversion Rates'!B$4)/12</f>
        <v>7.5</v>
      </c>
      <c r="BK168" s="45">
        <f>('[2]Renewable Diesel'!W177*'[2]RD Feedstock Breakdown'!BK$3*'[2]Feedstock Conversion Rates'!B$3)/12</f>
        <v>1.335</v>
      </c>
      <c r="BL168" s="45">
        <f>('[2]Renewable Diesel'!W177*'[2]RD Feedstock Breakdown'!BL$3*'[2]Feedstock Conversion Rates'!B$6)/12</f>
        <v>3.1266666666666669</v>
      </c>
      <c r="BM168" s="45">
        <f>('[2]Renewable Diesel'!W177*'[2]RD Feedstock Breakdown'!BM$3*'[2]Feedstock Conversion Rates'!B$7)/12</f>
        <v>1.5333333333333332</v>
      </c>
      <c r="BN168" s="47">
        <f t="shared" si="78"/>
        <v>13.495000000000001</v>
      </c>
      <c r="BO168" s="45">
        <f>('[2]Renewable Diesel'!P177*'[2]Feedstock Conversion Rates'!B$4)/12</f>
        <v>31.25</v>
      </c>
      <c r="BP168" s="47">
        <f t="shared" si="72"/>
        <v>31.25</v>
      </c>
      <c r="BQ168" s="45">
        <f>('[2]Renewable Diesel'!$S177*'[2]RD Feedstock Breakdown'!BQ$3*'[2]Feedstock Conversion Rates'!B$4)/12+10</f>
        <v>38.125</v>
      </c>
      <c r="BR168" s="45">
        <f>('[2]Renewable Diesel'!$S177*'[2]RD Feedstock Breakdown'!BR$3*'[2]Feedstock Conversion Rates'!B$7)/12-10</f>
        <v>1.5</v>
      </c>
      <c r="BS168" s="47">
        <f t="shared" si="90"/>
        <v>39.625</v>
      </c>
      <c r="BT168" s="47"/>
      <c r="BU168" s="45">
        <f>('[2]Renewable Diesel'!Y177*'[2]Feedstock Conversion Rates'!B$7)/12</f>
        <v>2.6833333333333331</v>
      </c>
      <c r="BV168" s="47">
        <f t="shared" si="67"/>
        <v>2.6833333333333331</v>
      </c>
      <c r="BW168" s="45">
        <f>('[2]Renewable Diesel'!$Z177*'[2]RD Feedstock Breakdown'!BW$3*'[2]Feedstock Conversion Rates'!$B$4)/12</f>
        <v>17.96875</v>
      </c>
      <c r="BX168" s="45">
        <f>('[2]Renewable Diesel'!$Z177*'[2]RD Feedstock Breakdown'!BX$3*'[2]Feedstock Conversion Rates'!$B$5)/12</f>
        <v>1.8088541666666667</v>
      </c>
      <c r="BY168" s="45">
        <f>('[2]Renewable Diesel'!$Z177*'[2]RD Feedstock Breakdown'!BY$3*'[2]Feedstock Conversion Rates'!$B$7)/12</f>
        <v>15.429166666666665</v>
      </c>
      <c r="BZ168" s="45">
        <f>('[2]Renewable Diesel'!$Z177*'[2]RD Feedstock Breakdown'!BZ$3*'[2]Feedstock Conversion Rates'!$B$3)/12</f>
        <v>3.8381249999999998</v>
      </c>
      <c r="CA168" s="47">
        <f t="shared" si="91"/>
        <v>39.044895833333328</v>
      </c>
      <c r="CB168" s="45">
        <f>('[2]Renewable Diesel'!AA177*'[2]Feedstock Conversion Rates'!B$4)/12</f>
        <v>191.25</v>
      </c>
      <c r="CC168" s="47">
        <f t="shared" si="79"/>
        <v>191.25</v>
      </c>
      <c r="CD168" s="45">
        <f>('[2]Renewable Diesel'!$AB177*'[2]RD Feedstock Breakdown'!CD$3*'[2]Feedstock Conversion Rates'!$B$6)/12</f>
        <v>32.830000000000005</v>
      </c>
      <c r="CE168" s="45">
        <f>('[2]Renewable Diesel'!$AB177*'[2]RD Feedstock Breakdown'!CE$3*'[2]Feedstock Conversion Rates'!$B$4)/12</f>
        <v>11.25</v>
      </c>
      <c r="CF168" s="47">
        <f t="shared" si="76"/>
        <v>44.080000000000005</v>
      </c>
      <c r="CG168" s="45">
        <f>('[2]Renewable Diesel'!AD177*'[2]Feedstock Conversion Rates'!B$4)/12</f>
        <v>112.5</v>
      </c>
      <c r="CH168" s="47">
        <f t="shared" si="63"/>
        <v>112.5</v>
      </c>
      <c r="CI168" s="45">
        <f>('[2]Renewable Diesel'!$AE177*'[2]RD Feedstock Breakdown'!CI$3*'[2]Feedstock Conversion Rates'!$B$5)/12</f>
        <v>0.34604166666666664</v>
      </c>
      <c r="CJ168" s="45">
        <f>('[2]Renewable Diesel'!$AE177*'[2]RD Feedstock Breakdown'!CJ$3*'[2]Feedstock Conversion Rates'!$B$4)/12</f>
        <v>0.34375</v>
      </c>
      <c r="CK168" s="47">
        <f t="shared" si="73"/>
        <v>0.68979166666666658</v>
      </c>
      <c r="CL168" s="45">
        <f>(((CL$3*'[2]Renewable Diesel'!$AF177)*'[2]Feedstock Conversion Rates'!$B$3)/12)</f>
        <v>56.737500000000004</v>
      </c>
      <c r="CM168" s="45">
        <f>(((CM$3*'[2]Renewable Diesel'!$AF177)*'[2]Feedstock Conversion Rates'!$B$6)/12)</f>
        <v>33.220833333333339</v>
      </c>
      <c r="CN168" s="45">
        <f>(((CN$3*'[2]Renewable Diesel'!$AF177)*'[2]Feedstock Conversion Rates'!$B$4)/12)</f>
        <v>26.5625</v>
      </c>
      <c r="CO168" s="47">
        <f t="shared" si="65"/>
        <v>116.52083333333334</v>
      </c>
      <c r="CP168" s="47"/>
      <c r="CQ168" s="47"/>
      <c r="CR168" s="47"/>
      <c r="CS168" s="47"/>
      <c r="CT168" s="45">
        <f>('[2]Renewable Diesel'!AI177*'[2]Feedstock Conversion Rates'!$B$4*'[2]RD Feedstock Breakdown'!$CT$3)/12</f>
        <v>29.375</v>
      </c>
      <c r="CU168" s="47">
        <f t="shared" si="69"/>
        <v>29.375</v>
      </c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  <c r="DI168" s="47"/>
      <c r="DJ168" s="45">
        <f>('[2]Renewable Diesel'!AT177*'[2]Feedstock Conversion Rates'!$B$4*0.25)/12</f>
        <v>0</v>
      </c>
      <c r="DK168" s="45">
        <f>('[2]Renewable Diesel'!$AT177*'[2]RD Feedstock Breakdown'!DK$3*'[2]Feedstock Conversion Rates'!$B$3)/12*0.5</f>
        <v>0</v>
      </c>
      <c r="DL168" s="45">
        <f>('[2]Renewable Diesel'!$AT177*'[2]RD Feedstock Breakdown'!$DL$3*'[2]Feedstock Conversion Rates'!$B$6)/12</f>
        <v>0</v>
      </c>
      <c r="DM168" s="45">
        <f>('[2]Renewable Diesel'!$AT177*'[2]RD Feedstock Breakdown'!$DM$3*'[2]Feedstock Conversion Rates'!$B$8)/12</f>
        <v>0</v>
      </c>
      <c r="DN168" s="47">
        <f t="shared" si="77"/>
        <v>0</v>
      </c>
      <c r="DP168" s="45">
        <f t="shared" si="48"/>
        <v>111.13125000000001</v>
      </c>
      <c r="DQ168" s="45">
        <f t="shared" si="49"/>
        <v>446.90081249999997</v>
      </c>
      <c r="DR168" s="45">
        <f t="shared" si="57"/>
        <v>1588.1875</v>
      </c>
      <c r="DS168" s="45">
        <f t="shared" si="70"/>
        <v>424.01947916666666</v>
      </c>
      <c r="DT168" s="45">
        <f t="shared" si="50"/>
        <v>152.05965</v>
      </c>
      <c r="DU168" s="45">
        <f t="shared" si="51"/>
        <v>173.23166666666668</v>
      </c>
      <c r="DV168" s="45">
        <f t="shared" si="58"/>
        <v>38.4453125</v>
      </c>
      <c r="DW168" s="45">
        <f t="shared" si="52"/>
        <v>2</v>
      </c>
      <c r="DX168" s="47">
        <f t="shared" si="53"/>
        <v>2935.9756708333334</v>
      </c>
      <c r="DY168" s="50">
        <f t="shared" si="54"/>
        <v>-4.8316906031686813E-13</v>
      </c>
      <c r="EA168" s="51">
        <f t="shared" si="80"/>
        <v>3.7851556844971074E-2</v>
      </c>
      <c r="EB168" s="51">
        <f t="shared" si="80"/>
        <v>0.15221543452815933</v>
      </c>
      <c r="EC168" s="51">
        <f t="shared" si="80"/>
        <v>0.54094027950484225</v>
      </c>
      <c r="ED168" s="51">
        <f t="shared" si="80"/>
        <v>0.14442200028391752</v>
      </c>
      <c r="EE168" s="51">
        <f t="shared" si="80"/>
        <v>5.1791863097026318E-2</v>
      </c>
      <c r="EF168" s="51">
        <f t="shared" si="80"/>
        <v>5.900310019173198E-2</v>
      </c>
      <c r="EG168" s="51">
        <f t="shared" si="80"/>
        <v>1.3094560994467595E-2</v>
      </c>
      <c r="EH168" s="52">
        <f t="shared" si="59"/>
        <v>6.8120455488390665E-4</v>
      </c>
      <c r="EI168" s="51">
        <f t="shared" si="60"/>
        <v>0.99931879544511604</v>
      </c>
      <c r="EK168" s="53">
        <f>(EA168*'[2]Renewable Diesel'!BF177*'[2]Feedstock Conversion Rates'!B$2)+FB168</f>
        <v>83.766359108299753</v>
      </c>
      <c r="EL168" s="53">
        <f>(EB168*'[2]Renewable Diesel'!BF177*'[2]Feedstock Conversion Rates'!B$3)+FC168</f>
        <v>317.43745939496193</v>
      </c>
      <c r="EM168" s="53">
        <f>(EC168*'[2]Renewable Diesel'!BF177*'[2]Feedstock Conversion Rates'!B$4)+FD168</f>
        <v>1056.2763382432363</v>
      </c>
      <c r="EN168" s="53">
        <f>(ED168*'[2]Renewable Diesel'!BF177*'[2]Feedstock Conversion Rates'!B$5)+FE168</f>
        <v>283.88815620529107</v>
      </c>
      <c r="EO168" s="53">
        <f>(EE168*'[2]Renewable Diesel'!BF177*'[2]Feedstock Conversion Rates'!B$6)+FF168</f>
        <v>126.48276156155968</v>
      </c>
      <c r="EP168" s="53">
        <f>(EF168*'[2]Renewable Diesel'!BF177*'[2]Feedstock Conversion Rates'!B$7)+FG168</f>
        <v>141.32845959450373</v>
      </c>
      <c r="EQ168" s="53">
        <f>(EG168*'[2]Renewable Diesel'!BF177*'[2]Feedstock Conversion Rates'!B$8)+FH168</f>
        <v>31.961649608529314</v>
      </c>
      <c r="ER168" s="53">
        <f>(EH168*'[2]Renewable Diesel'!BF177*'[2]Feedstock Conversion Rates'!B$9)+FI168</f>
        <v>1.6405378044678709</v>
      </c>
      <c r="ES168" s="53">
        <f t="shared" si="61"/>
        <v>2042.7817215208497</v>
      </c>
      <c r="ET168" s="36">
        <f>ES168/'[2]Renewable Diesel'!BF177</f>
        <v>7.8461209112525552</v>
      </c>
    </row>
    <row r="169" spans="1:150" x14ac:dyDescent="0.25">
      <c r="A169" s="39">
        <v>45566</v>
      </c>
      <c r="B169" s="45">
        <f>85-2-4-0.5+0.75-3-10-7+35-4-5-80+100-7.5+35+124-5+72-17-7+20-20-5-70-23-30-10-20-68-45-17-11.5+75-12.5+30-2.5+5+10+29+12-1+30+15-22.5-12-7.5+2.5-150</f>
        <v>0.75</v>
      </c>
      <c r="C169" s="45">
        <f>5+36+5-10-1-2.5+5+7.5+5+4-10+27.5+51+3-3+160</f>
        <v>282.5</v>
      </c>
      <c r="D169" s="45">
        <v>1</v>
      </c>
      <c r="E169" s="45">
        <f>('[2]Renewable Diesel'!B178*E$3*'[2]Feedstock Conversion Rates'!$B$2)/12-40+0.5+7+7.5-36+5+23+68+10+12.5-12-5-4-51-3</f>
        <v>72.430000000000007</v>
      </c>
      <c r="F169" s="45">
        <f>('[2]Renewable Diesel'!B178*'[2]RD Feedstock Breakdown'!F$3*'[2]Feedstock Conversion Rates'!B$8)/12-20+2-0.75+3+4+5-35+7+10+17+2.5-5-29+22.5-27.5</f>
        <v>9.65625</v>
      </c>
      <c r="G169" s="45">
        <f>('[2]Renewable Diesel'!B178*'[2]RD Feedstock Breakdown'!G$3*'[2]Feedstock Conversion Rates'!B$7)/12+20+80-100-124-20+20+70+20-75-30-10-15</f>
        <v>12.157000000000039</v>
      </c>
      <c r="H169" s="45">
        <f>('[2]Renewable Diesel'!B178*'[2]RD Feedstock Breakdown'!H$3*'[2]Feedstock Conversion Rates'!B$3)/12-85+4+10-72+17+30+45+11.5+2.5+1-30-7.5-5+12+7.5-2.5+160+3-160</f>
        <v>117.90022499999998</v>
      </c>
      <c r="I169" s="47">
        <f t="shared" si="75"/>
        <v>496.39347500000002</v>
      </c>
      <c r="J169" s="45">
        <f>22+10-4-25+7+145+30+37+10-15-1.75+7.5-25-25-15-15-5-25-75-10+15-9.25-1+27.5-5+17+23+20+45+15+3.5+10+18-38.5-8-25-15-65</f>
        <v>55</v>
      </c>
      <c r="K169" s="45">
        <v>65</v>
      </c>
      <c r="L169" s="45">
        <v>1</v>
      </c>
      <c r="M169" s="45">
        <f>('[2]Renewable Diesel'!C178*'[2]RD Feedstock Breakdown'!M$3*'[2]Feedstock Conversion Rates'!B$2)/12-15-10-30+10-3.5+38.5+25</f>
        <v>22.79025</v>
      </c>
      <c r="N169" s="45">
        <f>('[2]Renewable Diesel'!C178*'[2]RD Feedstock Breakdown'!N$3*'[2]Feedstock Conversion Rates'!B$8)/12+4-7+1.75+5+9.25-27.5+5-17</f>
        <v>-22.828125</v>
      </c>
      <c r="O169" s="45">
        <f>('[2]Renewable Diesel'!C178*'[2]RD Feedstock Breakdown'!O$3*'[2]Feedstock Conversion Rates'!B$7)/12+30+25-145+25+15-5-10-18+8</f>
        <v>-63.000900000000001</v>
      </c>
      <c r="P169" s="45">
        <f>('[2]Renewable Diesel'!C178*'[2]RD Feedstock Breakdown'!P$3*'[2]Feedstock Conversion Rates'!B$3)/12-15-59-10+15-7.5+25+15+25+75-15-23-20-45-10+15</f>
        <v>-24.052957499999991</v>
      </c>
      <c r="Q169" s="47">
        <f t="shared" si="85"/>
        <v>33.908267500000022</v>
      </c>
      <c r="R169" s="45">
        <f>('[2]Renewable Diesel'!D178*'[2]RD Feedstock Breakdown'!R$3*'[2]Feedstock Conversion Rates'!B$7)/12</f>
        <v>2.2999999999999998</v>
      </c>
      <c r="S169" s="47">
        <f t="shared" si="44"/>
        <v>2.2999999999999998</v>
      </c>
      <c r="T169" s="45">
        <f>5.825+20-25+4</f>
        <v>4.8249999999999993</v>
      </c>
      <c r="U169" s="45">
        <v>0</v>
      </c>
      <c r="V169" s="45">
        <f>('[2]Renewable Diesel'!E178*'[2]RD Feedstock Breakdown'!V$3*'[2]Feedstock Conversion Rates'!B$6)/12-20+25</f>
        <v>49.250150000000012</v>
      </c>
      <c r="W169" s="45">
        <f>('[2]Renewable Diesel'!E178*'[2]RD Feedstock Breakdown'!W$3*'[2]Feedstock Conversion Rates'!B$8)/12-5.825-4</f>
        <v>12.354687500000001</v>
      </c>
      <c r="X169" s="47">
        <f t="shared" si="62"/>
        <v>66.429837500000005</v>
      </c>
      <c r="Y169" s="45">
        <f>50+32-80+171+60-15-75-70-25-32.5+50+5-10+25+20-15-5</f>
        <v>85.5</v>
      </c>
      <c r="Z169" s="45">
        <f>('[2]Renewable Diesel'!F178*'[2]RD Feedstock Breakdown'!Z$3*'[2]Feedstock Conversion Rates'!B$6)/12-50-32-60+15+25+32.5-50-5+10-25+15+5</f>
        <v>-74.944999999999993</v>
      </c>
      <c r="AA169" s="45">
        <f>('[2]Renewable Diesel'!F178*'[2]RD Feedstock Breakdown'!AA$3*'[2]Feedstock Conversion Rates'!B$7)/12+80-171+75+70-20</f>
        <v>63.133333333333326</v>
      </c>
      <c r="AB169" s="47">
        <f t="shared" si="39"/>
        <v>73.688333333333333</v>
      </c>
      <c r="AC169" s="45">
        <f>('[2]Renewable Diesel'!G178*'[2]RD Feedstock Breakdown'!AC$3*'[2]Feedstock Conversion Rates'!B$5)/12</f>
        <v>7.864583333333333</v>
      </c>
      <c r="AD169" s="45">
        <f>('[2]Renewable Diesel'!G178*'[2]RD Feedstock Breakdown'!AD$3*'[2]Feedstock Conversion Rates'!B$4)/12</f>
        <v>3.90625</v>
      </c>
      <c r="AE169" s="45">
        <f>('[2]Renewable Diesel'!G178*'[2]RD Feedstock Breakdown'!AE$3*'[2]Feedstock Conversion Rates'!B$6)/12</f>
        <v>4.885416666666667</v>
      </c>
      <c r="AF169" s="47">
        <f t="shared" si="71"/>
        <v>16.65625</v>
      </c>
      <c r="AG169" s="45">
        <f>130+20-51-5+100+25-100+10+25-15-22.5+22.5</f>
        <v>139</v>
      </c>
      <c r="AH169" s="45">
        <v>0</v>
      </c>
      <c r="AI169" s="45">
        <f>('[2]Renewable Diesel'!H178*'[2]RD Feedstock Breakdown'!AI$3*'[2]Feedstock Conversion Rates'!B$6)/12-130-20+51+5-100-25+100-10-25+15+22.5-22.5</f>
        <v>9.5166666666666799</v>
      </c>
      <c r="AJ169" s="47">
        <f t="shared" si="42"/>
        <v>148.51666666666668</v>
      </c>
      <c r="AK169" s="45">
        <f>('[2]Renewable Diesel'!J178*'[2]RD Feedstock Breakdown'!AK$3*'[2]Feedstock Conversion Rates'!B$4)/12</f>
        <v>95.8125</v>
      </c>
      <c r="AL169" s="47">
        <f t="shared" si="45"/>
        <v>95.8125</v>
      </c>
      <c r="AM169" s="45">
        <f>('[2]Renewable Diesel'!K178*'[2]RD Feedstock Breakdown'!AM$3*'[2]Feedstock Conversion Rates'!B$4)/12+5+15-10+10-30</f>
        <v>48.59375</v>
      </c>
      <c r="AN169" s="45">
        <f>('[2]Renewable Diesel'!K178*'[2]RD Feedstock Breakdown'!AN$3*'[2]Feedstock Conversion Rates'!B$6)/12-5-15+10-10+30</f>
        <v>34.427083333333329</v>
      </c>
      <c r="AO169" s="47">
        <f t="shared" si="56"/>
        <v>83.020833333333329</v>
      </c>
      <c r="AP169" s="45">
        <f>('[2]Renewable Diesel'!L178*'[2]RD Feedstock Breakdown'!AP$3*'[2]Feedstock Conversion Rates'!B$4)/12+15-10-5+10+5+5</f>
        <v>78.59375</v>
      </c>
      <c r="AQ169" s="45">
        <f>('[2]Renewable Diesel'!L178*'[2]RD Feedstock Breakdown'!AQ$3*'[2]Feedstock Conversion Rates'!B$6)/12-15+10+5-10-5-5</f>
        <v>4.4270833333333321</v>
      </c>
      <c r="AR169" s="47">
        <f t="shared" si="46"/>
        <v>83.020833333333329</v>
      </c>
      <c r="AS169" s="45">
        <f>('[2]Renewable Diesel'!M178*'[2]RD Feedstock Breakdown'!AS$3*'[2]Feedstock Conversion Rates'!B$4)/12</f>
        <v>456.25</v>
      </c>
      <c r="AT169" s="45">
        <f>('[2]Renewable Diesel'!M178*'[2]RD Feedstock Breakdown'!AT$3*'[2]Feedstock Conversion Rates'!B$5)/12</f>
        <v>0</v>
      </c>
      <c r="AU169" s="47">
        <f t="shared" si="74"/>
        <v>456.25</v>
      </c>
      <c r="AV169" s="45">
        <f>'[2]Renewable Diesel'!N178*'[2]RD Feedstock Breakdown'!$AV$3*'[2]Feedstock Conversion Rates'!$B$4/12-15-10+25+25-22+22.5</f>
        <v>104.24999999999999</v>
      </c>
      <c r="AW169" s="45">
        <f>'[2]Renewable Diesel'!N178*'[2]RD Feedstock Breakdown'!$AW$3*'[2]Feedstock Conversion Rates'!$B$7/12+15+10-25-25+22-22.5</f>
        <v>15.900000000000006</v>
      </c>
      <c r="AX169" s="47">
        <f t="shared" si="40"/>
        <v>120.14999999999999</v>
      </c>
      <c r="AY169" s="45">
        <f>('[2]Renewable Diesel'!O178*'[2]RD Feedstock Breakdown'!AY$3*'[2]Feedstock Conversion Rates'!B$4)/12+34-152</f>
        <v>92.9375</v>
      </c>
      <c r="AZ169" s="45">
        <f>('[2]Renewable Diesel'!O178*'[2]RD Feedstock Breakdown'!AZ$3*'[2]Feedstock Conversion Rates'!B$3)/12-34+152</f>
        <v>143.03125</v>
      </c>
      <c r="BA169" s="47">
        <f t="shared" si="87"/>
        <v>235.96875</v>
      </c>
      <c r="BB169" s="45">
        <f>('[2]Renewable Diesel'!Q178*'[2]RD Feedstock Breakdown'!BB$3*'[2]Feedstock Conversion Rates'!B$4)/12</f>
        <v>11.156249999999998</v>
      </c>
      <c r="BC169" s="45">
        <f>('[2]Renewable Diesel'!Q178*'[2]RD Feedstock Breakdown'!BC$3*'[2]Feedstock Conversion Rates'!B$3)/12</f>
        <v>1.4017500000000001</v>
      </c>
      <c r="BD169" s="45">
        <f>('[2]Renewable Diesel'!Q178*'[2]RD Feedstock Breakdown'!BD$3*'[2]Feedstock Conversion Rates'!B$6)/12</f>
        <v>0.8207500000000002</v>
      </c>
      <c r="BE169" s="47">
        <f t="shared" si="64"/>
        <v>13.378749999999998</v>
      </c>
      <c r="BF169" s="45">
        <f>('[2]Renewable Diesel'!R178*'[2]RD Feedstock Breakdown'!BF$3*'[2]Feedstock Conversion Rates'!B$4)/12</f>
        <v>62.5</v>
      </c>
      <c r="BG169" s="47">
        <f t="shared" si="47"/>
        <v>62.5</v>
      </c>
      <c r="BH169" s="45">
        <f>('[2]Renewable Diesel'!T178*'[2]RD Feedstock Breakdown'!BH$3*'[2]Feedstock Conversion Rates'!B$7)/12</f>
        <v>27.599999999999998</v>
      </c>
      <c r="BI169" s="47">
        <f t="shared" si="41"/>
        <v>27.599999999999998</v>
      </c>
      <c r="BJ169" s="45">
        <f>('[2]Renewable Diesel'!W178*'[2]RD Feedstock Breakdown'!BJ$3*'[2]Feedstock Conversion Rates'!B$4)/12</f>
        <v>7.5</v>
      </c>
      <c r="BK169" s="45">
        <f>('[2]Renewable Diesel'!W178*'[2]RD Feedstock Breakdown'!BK$3*'[2]Feedstock Conversion Rates'!B$3)/12</f>
        <v>1.335</v>
      </c>
      <c r="BL169" s="45">
        <f>('[2]Renewable Diesel'!W178*'[2]RD Feedstock Breakdown'!BL$3*'[2]Feedstock Conversion Rates'!B$6)/12</f>
        <v>3.1266666666666669</v>
      </c>
      <c r="BM169" s="45">
        <f>('[2]Renewable Diesel'!W178*'[2]RD Feedstock Breakdown'!BM$3*'[2]Feedstock Conversion Rates'!B$7)/12</f>
        <v>1.5333333333333332</v>
      </c>
      <c r="BN169" s="47">
        <f t="shared" si="78"/>
        <v>13.495000000000001</v>
      </c>
      <c r="BO169" s="45">
        <f>('[2]Renewable Diesel'!P178*'[2]Feedstock Conversion Rates'!B$4)/12</f>
        <v>31.25</v>
      </c>
      <c r="BP169" s="47">
        <f t="shared" si="72"/>
        <v>31.25</v>
      </c>
      <c r="BQ169" s="45">
        <f>('[2]Renewable Diesel'!$S178*'[2]RD Feedstock Breakdown'!BQ$3*'[2]Feedstock Conversion Rates'!B$4)/12+10</f>
        <v>38.125</v>
      </c>
      <c r="BR169" s="45">
        <f>('[2]Renewable Diesel'!$S178*'[2]RD Feedstock Breakdown'!BR$3*'[2]Feedstock Conversion Rates'!B$7)/12-10</f>
        <v>1.5</v>
      </c>
      <c r="BS169" s="47">
        <f t="shared" si="90"/>
        <v>39.625</v>
      </c>
      <c r="BT169" s="47"/>
      <c r="BU169" s="45">
        <f>('[2]Renewable Diesel'!Y178*'[2]Feedstock Conversion Rates'!B$7)/12</f>
        <v>2.6833333333333331</v>
      </c>
      <c r="BV169" s="47">
        <f t="shared" si="67"/>
        <v>2.6833333333333331</v>
      </c>
      <c r="BW169" s="45">
        <f>('[2]Renewable Diesel'!$Z178*'[2]RD Feedstock Breakdown'!BW$3*'[2]Feedstock Conversion Rates'!$B$4)/12</f>
        <v>17.96875</v>
      </c>
      <c r="BX169" s="45">
        <f>('[2]Renewable Diesel'!$Z178*'[2]RD Feedstock Breakdown'!BX$3*'[2]Feedstock Conversion Rates'!$B$5)/12</f>
        <v>1.8088541666666667</v>
      </c>
      <c r="BY169" s="45">
        <f>('[2]Renewable Diesel'!$Z178*'[2]RD Feedstock Breakdown'!BY$3*'[2]Feedstock Conversion Rates'!$B$7)/12</f>
        <v>15.429166666666665</v>
      </c>
      <c r="BZ169" s="45">
        <f>('[2]Renewable Diesel'!$Z178*'[2]RD Feedstock Breakdown'!BZ$3*'[2]Feedstock Conversion Rates'!$B$3)/12</f>
        <v>3.8381249999999998</v>
      </c>
      <c r="CA169" s="47">
        <f t="shared" si="91"/>
        <v>39.044895833333328</v>
      </c>
      <c r="CB169" s="45">
        <f>('[2]Renewable Diesel'!AA178*'[2]Feedstock Conversion Rates'!B$4)/12</f>
        <v>191.25</v>
      </c>
      <c r="CC169" s="47">
        <f t="shared" si="79"/>
        <v>191.25</v>
      </c>
      <c r="CD169" s="45">
        <f>('[2]Renewable Diesel'!$AB178*'[2]RD Feedstock Breakdown'!CD$3*'[2]Feedstock Conversion Rates'!$B$6)/12-15+15</f>
        <v>32.830000000000005</v>
      </c>
      <c r="CE169" s="45">
        <f>('[2]Renewable Diesel'!$AB178*'[2]RD Feedstock Breakdown'!CE$3*'[2]Feedstock Conversion Rates'!$B$4)/12+15</f>
        <v>26.25</v>
      </c>
      <c r="CF169" s="47">
        <f t="shared" si="76"/>
        <v>59.080000000000005</v>
      </c>
      <c r="CG169" s="45">
        <f>('[2]Renewable Diesel'!AD178*'[2]Feedstock Conversion Rates'!B$4)/12</f>
        <v>112.5</v>
      </c>
      <c r="CH169" s="47">
        <f t="shared" si="63"/>
        <v>112.5</v>
      </c>
      <c r="CI169" s="45">
        <f>('[2]Renewable Diesel'!$AE178*'[2]RD Feedstock Breakdown'!CI$3*'[2]Feedstock Conversion Rates'!$B$5)/12</f>
        <v>0.34604166666666664</v>
      </c>
      <c r="CJ169" s="45">
        <f>('[2]Renewable Diesel'!$AE178*'[2]RD Feedstock Breakdown'!CJ$3*'[2]Feedstock Conversion Rates'!$B$4)/12</f>
        <v>0.34375</v>
      </c>
      <c r="CK169" s="47">
        <f t="shared" si="73"/>
        <v>0.68979166666666658</v>
      </c>
      <c r="CL169" s="45">
        <f>(((CL$3*'[2]Renewable Diesel'!$AF178)*'[2]Feedstock Conversion Rates'!$B$3)/12)-20</f>
        <v>71.78125</v>
      </c>
      <c r="CM169" s="45">
        <f>(((CM$3*'[2]Renewable Diesel'!$AF178)*'[2]Feedstock Conversion Rates'!$B$6)/12)-20+20</f>
        <v>53.739583333333336</v>
      </c>
      <c r="CN169" s="45">
        <f>(((CN$3*'[2]Renewable Diesel'!$AF178)*'[2]Feedstock Conversion Rates'!$B$4)/12)</f>
        <v>42.96875</v>
      </c>
      <c r="CO169" s="47">
        <f t="shared" si="65"/>
        <v>168.48958333333334</v>
      </c>
      <c r="CP169" s="47"/>
      <c r="CQ169" s="47"/>
      <c r="CR169" s="47"/>
      <c r="CS169" s="47"/>
      <c r="CT169" s="45">
        <f>('[2]Renewable Diesel'!AI178*'[2]Feedstock Conversion Rates'!$B$4*'[2]RD Feedstock Breakdown'!$CT$3)/12</f>
        <v>29.375</v>
      </c>
      <c r="CU169" s="47">
        <f t="shared" si="69"/>
        <v>29.375</v>
      </c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  <c r="DI169" s="47"/>
      <c r="DJ169" s="45">
        <f>('[2]Renewable Diesel'!AT178*'[2]Feedstock Conversion Rates'!$B$4*0.25)/12</f>
        <v>0</v>
      </c>
      <c r="DK169" s="45">
        <f>('[2]Renewable Diesel'!$AT178*'[2]RD Feedstock Breakdown'!DK$3*'[2]Feedstock Conversion Rates'!$B$3)/12*0.5</f>
        <v>0</v>
      </c>
      <c r="DL169" s="45">
        <f>('[2]Renewable Diesel'!$AT178*'[2]RD Feedstock Breakdown'!$DL$3*'[2]Feedstock Conversion Rates'!$B$6)/12</f>
        <v>0</v>
      </c>
      <c r="DM169" s="45">
        <f>('[2]Renewable Diesel'!$AT178*'[2]RD Feedstock Breakdown'!$DM$3*'[2]Feedstock Conversion Rates'!$B$8)/12</f>
        <v>0</v>
      </c>
      <c r="DN169" s="47">
        <f t="shared" si="77"/>
        <v>0</v>
      </c>
      <c r="DP169" s="45">
        <f t="shared" si="48"/>
        <v>95.220250000000007</v>
      </c>
      <c r="DQ169" s="45">
        <f t="shared" si="49"/>
        <v>315.23464249999995</v>
      </c>
      <c r="DR169" s="45">
        <f t="shared" si="57"/>
        <v>1592.78125</v>
      </c>
      <c r="DS169" s="45">
        <f t="shared" si="70"/>
        <v>501.34447916666664</v>
      </c>
      <c r="DT169" s="45">
        <f t="shared" si="50"/>
        <v>118.07840000000004</v>
      </c>
      <c r="DU169" s="45">
        <f t="shared" si="51"/>
        <v>79.235266666666689</v>
      </c>
      <c r="DV169" s="45">
        <f t="shared" si="58"/>
        <v>-0.81718749999999929</v>
      </c>
      <c r="DW169" s="45">
        <f t="shared" si="52"/>
        <v>2</v>
      </c>
      <c r="DX169" s="47">
        <f t="shared" si="53"/>
        <v>2703.0771008333331</v>
      </c>
      <c r="DY169" s="50">
        <f t="shared" si="54"/>
        <v>1.4210854715202004E-13</v>
      </c>
      <c r="EA169" s="51">
        <f t="shared" si="80"/>
        <v>3.5226612652167602E-2</v>
      </c>
      <c r="EB169" s="51">
        <f t="shared" si="80"/>
        <v>0.11662066257851694</v>
      </c>
      <c r="EC169" s="51">
        <f t="shared" si="80"/>
        <v>0.58924743563879867</v>
      </c>
      <c r="ED169" s="51">
        <f t="shared" si="80"/>
        <v>0.18547176438737425</v>
      </c>
      <c r="EE169" s="51">
        <f t="shared" si="80"/>
        <v>4.3682956717585888E-2</v>
      </c>
      <c r="EF169" s="51">
        <f t="shared" si="80"/>
        <v>2.9312988017337428E-2</v>
      </c>
      <c r="EG169" s="51">
        <f t="shared" si="80"/>
        <v>-3.0231749577104854E-4</v>
      </c>
      <c r="EH169" s="52">
        <f t="shared" si="59"/>
        <v>7.3989750399032972E-4</v>
      </c>
      <c r="EI169" s="51">
        <f t="shared" si="60"/>
        <v>0.99926010249600972</v>
      </c>
      <c r="EK169" s="53">
        <f>(EA169*'[2]Renewable Diesel'!BF178*'[2]Feedstock Conversion Rates'!B$2)+FB169</f>
        <v>86.483816480465066</v>
      </c>
      <c r="EL169" s="53">
        <f>(EB169*'[2]Renewable Diesel'!BF178*'[2]Feedstock Conversion Rates'!B$3)+FC169</f>
        <v>269.80690335949311</v>
      </c>
      <c r="EM169" s="53">
        <f>(EC169*'[2]Renewable Diesel'!BF178*'[2]Feedstock Conversion Rates'!B$4)+FD169</f>
        <v>1276.4505694941531</v>
      </c>
      <c r="EN169" s="53">
        <f>(ED169*'[2]Renewable Diesel'!BF178*'[2]Feedstock Conversion Rates'!B$5)+FE169</f>
        <v>404.45461186295449</v>
      </c>
      <c r="EO169" s="53">
        <f>(EE169*'[2]Renewable Diesel'!BF178*'[2]Feedstock Conversion Rates'!B$6)+FF169</f>
        <v>118.34772162434821</v>
      </c>
      <c r="EP169" s="53">
        <f>(EF169*'[2]Renewable Diesel'!BF178*'[2]Feedstock Conversion Rates'!B$7)+FG169</f>
        <v>77.892017843908988</v>
      </c>
      <c r="EQ169" s="53">
        <f>(EG169*'[2]Renewable Diesel'!BF178*'[2]Feedstock Conversion Rates'!B$8)+FH169</f>
        <v>-0.81861480488807103</v>
      </c>
      <c r="ER169" s="53">
        <f>(EH169*'[2]Renewable Diesel'!BF178*'[2]Feedstock Conversion Rates'!B$9)+FI169</f>
        <v>1.9767799698916038</v>
      </c>
      <c r="ES169" s="53">
        <f t="shared" si="61"/>
        <v>2234.5938058303263</v>
      </c>
      <c r="ET169" s="36">
        <f>ES169/'[2]Renewable Diesel'!BF178</f>
        <v>7.7366607523725275</v>
      </c>
    </row>
    <row r="170" spans="1:150" x14ac:dyDescent="0.25">
      <c r="A170" s="39">
        <v>45597</v>
      </c>
      <c r="B170" s="45">
        <f>85-2-4-0.5+0.75-3-10-7+35-4-5-80+100-7.5+35+124-5+72-17-7+20-20-5-70-23-30-10-20-68-45-17-11.5+75-12.5+30-2.5+5+10+29+12-1+30+15-22.5-12-7.5+2.5-150</f>
        <v>0.75</v>
      </c>
      <c r="C170" s="45">
        <f t="shared" ref="C170:C171" si="92">5+36+5-10-1-2.5+5+7.5+5+4-10+27.5+51+3-3+160</f>
        <v>282.5</v>
      </c>
      <c r="D170" s="45">
        <v>1</v>
      </c>
      <c r="E170" s="45">
        <f>('[2]Renewable Diesel'!B179*E$3*'[2]Feedstock Conversion Rates'!$B$2)/12-40+0.5+7+7.5-36+5+23+68+10+12.5-12-5-4-51-3</f>
        <v>72.430000000000007</v>
      </c>
      <c r="F170" s="45">
        <f>('[2]Renewable Diesel'!B179*'[2]RD Feedstock Breakdown'!F$3*'[2]Feedstock Conversion Rates'!B$8)/12-20+2-0.75+3+4+5-35+7+10+17+2.5-5-29+22.5-27.5</f>
        <v>9.65625</v>
      </c>
      <c r="G170" s="45">
        <f>('[2]Renewable Diesel'!B179*'[2]RD Feedstock Breakdown'!G$3*'[2]Feedstock Conversion Rates'!B$7)/12+20+80-100-124-20+20+70+20-75-30-10-15</f>
        <v>12.157000000000039</v>
      </c>
      <c r="H170" s="45">
        <f>('[2]Renewable Diesel'!B179*'[2]RD Feedstock Breakdown'!H$3*'[2]Feedstock Conversion Rates'!B$3)/12-85+4+10-72+17+30+45+11.5+2.5+1-30-7.5-5+12+7.5-2.5+160+3-160</f>
        <v>117.90022499999998</v>
      </c>
      <c r="I170" s="47">
        <f t="shared" si="75"/>
        <v>496.39347500000002</v>
      </c>
      <c r="J170" s="45">
        <f>22+10-4-25+7+145+30+37+10-15-1.75+7.5-25-25-15-15-5-25-75-10+15-9.25-1+27.5-5+17+23+20+45+15+3.5+10+18-38.5-8-25-15-65</f>
        <v>55</v>
      </c>
      <c r="K170" s="45">
        <v>65</v>
      </c>
      <c r="L170" s="45">
        <v>1</v>
      </c>
      <c r="M170" s="45">
        <f>('[2]Renewable Diesel'!C179*'[2]RD Feedstock Breakdown'!M$3*'[2]Feedstock Conversion Rates'!B$2)/12-15-10-30+10-3.5+38.5+25</f>
        <v>22.79025</v>
      </c>
      <c r="N170" s="45">
        <f>('[2]Renewable Diesel'!C179*'[2]RD Feedstock Breakdown'!N$3*'[2]Feedstock Conversion Rates'!B$8)/12+4-7+1.75+5+9.25-27.5+5-17</f>
        <v>-22.828125</v>
      </c>
      <c r="O170" s="45">
        <f>('[2]Renewable Diesel'!C179*'[2]RD Feedstock Breakdown'!O$3*'[2]Feedstock Conversion Rates'!B$7)/12+30+25-145+25+15-5-10-18+8</f>
        <v>-63.000900000000001</v>
      </c>
      <c r="P170" s="45">
        <f>('[2]Renewable Diesel'!C179*'[2]RD Feedstock Breakdown'!P$3*'[2]Feedstock Conversion Rates'!B$3)/12-15-59-10+15-7.5+25+15+25+75-15-23-20-45-10+15</f>
        <v>-24.052957499999991</v>
      </c>
      <c r="Q170" s="47">
        <f t="shared" si="85"/>
        <v>33.908267500000022</v>
      </c>
      <c r="R170" s="45">
        <f>('[2]Renewable Diesel'!D179*'[2]RD Feedstock Breakdown'!R$3*'[2]Feedstock Conversion Rates'!B$7)/12</f>
        <v>2.2999999999999998</v>
      </c>
      <c r="S170" s="47">
        <f t="shared" si="44"/>
        <v>2.2999999999999998</v>
      </c>
      <c r="T170" s="45">
        <f>5.825+20-25+4</f>
        <v>4.8249999999999993</v>
      </c>
      <c r="U170" s="45">
        <v>0</v>
      </c>
      <c r="V170" s="45">
        <f>('[2]Renewable Diesel'!E179*'[2]RD Feedstock Breakdown'!V$3*'[2]Feedstock Conversion Rates'!B$6)/12-20+25</f>
        <v>49.250150000000012</v>
      </c>
      <c r="W170" s="45">
        <f>('[2]Renewable Diesel'!E179*'[2]RD Feedstock Breakdown'!W$3*'[2]Feedstock Conversion Rates'!B$8)/12-5.825-4</f>
        <v>12.354687500000001</v>
      </c>
      <c r="X170" s="47">
        <f t="shared" si="62"/>
        <v>66.429837500000005</v>
      </c>
      <c r="Y170" s="45">
        <f t="shared" ref="Y170:Y180" si="93">50+32-80+171+60-15-75-70-25-32.5+50+5-10+25+20-15-5</f>
        <v>85.5</v>
      </c>
      <c r="Z170" s="45">
        <f>('[2]Renewable Diesel'!F179*'[2]RD Feedstock Breakdown'!Z$3*'[2]Feedstock Conversion Rates'!B$6)/12-50-32-60+15+25+32.5-50-5+10-25+15+5</f>
        <v>-74.944999999999993</v>
      </c>
      <c r="AA170" s="45">
        <f>('[2]Renewable Diesel'!F179*'[2]RD Feedstock Breakdown'!AA$3*'[2]Feedstock Conversion Rates'!B$7)/12+80-171+75+70-20</f>
        <v>63.133333333333326</v>
      </c>
      <c r="AB170" s="47">
        <f t="shared" si="39"/>
        <v>73.688333333333333</v>
      </c>
      <c r="AC170" s="45">
        <f>('[2]Renewable Diesel'!G179*'[2]RD Feedstock Breakdown'!AC$3*'[2]Feedstock Conversion Rates'!B$5)/12</f>
        <v>7.864583333333333</v>
      </c>
      <c r="AD170" s="45">
        <f>('[2]Renewable Diesel'!G179*'[2]RD Feedstock Breakdown'!AD$3*'[2]Feedstock Conversion Rates'!B$4)/12</f>
        <v>3.90625</v>
      </c>
      <c r="AE170" s="45">
        <f>('[2]Renewable Diesel'!G179*'[2]RD Feedstock Breakdown'!AE$3*'[2]Feedstock Conversion Rates'!B$6)/12</f>
        <v>4.885416666666667</v>
      </c>
      <c r="AF170" s="47">
        <f t="shared" si="71"/>
        <v>16.65625</v>
      </c>
      <c r="AG170" s="45">
        <f t="shared" ref="AG170:AG179" si="94">130+20-51-5+100+25-100+10+25-15-22.5+22.5</f>
        <v>139</v>
      </c>
      <c r="AH170" s="45">
        <v>0</v>
      </c>
      <c r="AI170" s="45">
        <f>('[2]Renewable Diesel'!H179*'[2]RD Feedstock Breakdown'!AI$3*'[2]Feedstock Conversion Rates'!B$6)/12-130-20+51+5-100-25+100-10-25+15+22.5-22.5</f>
        <v>9.5166666666666799</v>
      </c>
      <c r="AJ170" s="47">
        <f t="shared" si="42"/>
        <v>148.51666666666668</v>
      </c>
      <c r="AK170" s="45">
        <f>('[2]Renewable Diesel'!J179*'[2]RD Feedstock Breakdown'!AK$3*'[2]Feedstock Conversion Rates'!B$4)/12</f>
        <v>95.8125</v>
      </c>
      <c r="AL170" s="47">
        <f t="shared" si="45"/>
        <v>95.8125</v>
      </c>
      <c r="AM170" s="45">
        <f>('[2]Renewable Diesel'!K179*'[2]RD Feedstock Breakdown'!AM$3*'[2]Feedstock Conversion Rates'!B$4)/12+5+15-10+10-30</f>
        <v>48.59375</v>
      </c>
      <c r="AN170" s="45">
        <f>('[2]Renewable Diesel'!K179*'[2]RD Feedstock Breakdown'!AN$3*'[2]Feedstock Conversion Rates'!B$6)/12-5-15+10-10+30</f>
        <v>34.427083333333329</v>
      </c>
      <c r="AO170" s="47">
        <f t="shared" si="56"/>
        <v>83.020833333333329</v>
      </c>
      <c r="AP170" s="45">
        <f>('[2]Renewable Diesel'!L179*'[2]RD Feedstock Breakdown'!AP$3*'[2]Feedstock Conversion Rates'!B$4)/12+15-10-5+10+5+5</f>
        <v>78.59375</v>
      </c>
      <c r="AQ170" s="45">
        <f>('[2]Renewable Diesel'!L179*'[2]RD Feedstock Breakdown'!AQ$3*'[2]Feedstock Conversion Rates'!B$6)/12-15+10+5-10-5-5</f>
        <v>4.4270833333333321</v>
      </c>
      <c r="AR170" s="47">
        <f t="shared" si="46"/>
        <v>83.020833333333329</v>
      </c>
      <c r="AS170" s="45">
        <f>('[2]Renewable Diesel'!M179*'[2]RD Feedstock Breakdown'!AS$3*'[2]Feedstock Conversion Rates'!B$4)/12</f>
        <v>456.25</v>
      </c>
      <c r="AT170" s="45">
        <f>('[2]Renewable Diesel'!M179*'[2]RD Feedstock Breakdown'!AT$3*'[2]Feedstock Conversion Rates'!B$5)/12</f>
        <v>0</v>
      </c>
      <c r="AU170" s="47">
        <f t="shared" si="74"/>
        <v>456.25</v>
      </c>
      <c r="AV170" s="45">
        <f>'[2]Renewable Diesel'!N179*'[2]RD Feedstock Breakdown'!$AV$3*'[2]Feedstock Conversion Rates'!$B$4/12-15-10+25+25-22+22.5</f>
        <v>104.24999999999999</v>
      </c>
      <c r="AW170" s="45">
        <f>'[2]Renewable Diesel'!N179*'[2]RD Feedstock Breakdown'!$AW$3*'[2]Feedstock Conversion Rates'!$B$7/12+15+10-25-25+22-22.5</f>
        <v>15.900000000000006</v>
      </c>
      <c r="AX170" s="47">
        <f t="shared" si="40"/>
        <v>120.14999999999999</v>
      </c>
      <c r="AY170" s="45">
        <f>('[2]Renewable Diesel'!O179*'[2]RD Feedstock Breakdown'!AY$3*'[2]Feedstock Conversion Rates'!B$4)/12+34-100</f>
        <v>144.9375</v>
      </c>
      <c r="AZ170" s="45">
        <f>('[2]Renewable Diesel'!O179*'[2]RD Feedstock Breakdown'!AZ$3*'[2]Feedstock Conversion Rates'!B$3)/12-34+100</f>
        <v>91.03125</v>
      </c>
      <c r="BA170" s="47">
        <f t="shared" si="87"/>
        <v>235.96875</v>
      </c>
      <c r="BB170" s="45">
        <f>('[2]Renewable Diesel'!Q179*'[2]RD Feedstock Breakdown'!BB$3*'[2]Feedstock Conversion Rates'!B$4)/12</f>
        <v>11.156249999999998</v>
      </c>
      <c r="BC170" s="45">
        <f>('[2]Renewable Diesel'!Q179*'[2]RD Feedstock Breakdown'!BC$3*'[2]Feedstock Conversion Rates'!B$3)/12</f>
        <v>1.4017500000000001</v>
      </c>
      <c r="BD170" s="45">
        <f>('[2]Renewable Diesel'!Q179*'[2]RD Feedstock Breakdown'!BD$3*'[2]Feedstock Conversion Rates'!B$6)/12</f>
        <v>0.8207500000000002</v>
      </c>
      <c r="BE170" s="47">
        <f t="shared" si="64"/>
        <v>13.378749999999998</v>
      </c>
      <c r="BF170" s="45">
        <f>('[2]Renewable Diesel'!R179*'[2]RD Feedstock Breakdown'!BF$3*'[2]Feedstock Conversion Rates'!B$4)/12</f>
        <v>62.5</v>
      </c>
      <c r="BG170" s="47">
        <f t="shared" si="47"/>
        <v>62.5</v>
      </c>
      <c r="BH170" s="45">
        <f>('[2]Renewable Diesel'!T179*'[2]RD Feedstock Breakdown'!BH$3*'[2]Feedstock Conversion Rates'!B$7)/12</f>
        <v>27.599999999999998</v>
      </c>
      <c r="BI170" s="47">
        <f t="shared" si="41"/>
        <v>27.599999999999998</v>
      </c>
      <c r="BJ170" s="45">
        <f>('[2]Renewable Diesel'!W179*'[2]RD Feedstock Breakdown'!BJ$3*'[2]Feedstock Conversion Rates'!B$4)/12</f>
        <v>7.5</v>
      </c>
      <c r="BK170" s="45">
        <f>('[2]Renewable Diesel'!W179*'[2]RD Feedstock Breakdown'!BK$3*'[2]Feedstock Conversion Rates'!B$3)/12</f>
        <v>1.335</v>
      </c>
      <c r="BL170" s="45">
        <f>('[2]Renewable Diesel'!W179*'[2]RD Feedstock Breakdown'!BL$3*'[2]Feedstock Conversion Rates'!B$6)/12</f>
        <v>3.1266666666666669</v>
      </c>
      <c r="BM170" s="45">
        <f>('[2]Renewable Diesel'!W179*'[2]RD Feedstock Breakdown'!BM$3*'[2]Feedstock Conversion Rates'!B$7)/12</f>
        <v>1.5333333333333332</v>
      </c>
      <c r="BN170" s="47">
        <f t="shared" si="78"/>
        <v>13.495000000000001</v>
      </c>
      <c r="BO170" s="45">
        <f>('[2]Renewable Diesel'!P179*'[2]Feedstock Conversion Rates'!B$4)/12</f>
        <v>31.25</v>
      </c>
      <c r="BP170" s="47">
        <f t="shared" si="72"/>
        <v>31.25</v>
      </c>
      <c r="BQ170" s="45">
        <f>('[2]Renewable Diesel'!$S179*'[2]RD Feedstock Breakdown'!BQ$3*'[2]Feedstock Conversion Rates'!B$4)/12+10</f>
        <v>38.125</v>
      </c>
      <c r="BR170" s="45">
        <f>('[2]Renewable Diesel'!$S179*'[2]RD Feedstock Breakdown'!BR$3*'[2]Feedstock Conversion Rates'!B$7)/12-10</f>
        <v>1.5</v>
      </c>
      <c r="BS170" s="47">
        <f t="shared" si="90"/>
        <v>39.625</v>
      </c>
      <c r="BT170" s="47"/>
      <c r="BU170" s="45">
        <f>('[2]Renewable Diesel'!Y179*'[2]Feedstock Conversion Rates'!B$7)/12</f>
        <v>2.6833333333333331</v>
      </c>
      <c r="BV170" s="47">
        <f t="shared" si="67"/>
        <v>2.6833333333333331</v>
      </c>
      <c r="BW170" s="45">
        <f>('[2]Renewable Diesel'!$Z179*'[2]RD Feedstock Breakdown'!BW$3*'[2]Feedstock Conversion Rates'!$B$4)/12</f>
        <v>17.96875</v>
      </c>
      <c r="BX170" s="45">
        <f>('[2]Renewable Diesel'!$Z179*'[2]RD Feedstock Breakdown'!BX$3*'[2]Feedstock Conversion Rates'!$B$5)/12</f>
        <v>1.8088541666666667</v>
      </c>
      <c r="BY170" s="45">
        <f>('[2]Renewable Diesel'!$Z179*'[2]RD Feedstock Breakdown'!BY$3*'[2]Feedstock Conversion Rates'!$B$7)/12</f>
        <v>15.429166666666665</v>
      </c>
      <c r="BZ170" s="45">
        <f>('[2]Renewable Diesel'!$Z179*'[2]RD Feedstock Breakdown'!BZ$3*'[2]Feedstock Conversion Rates'!$B$3)/12</f>
        <v>3.8381249999999998</v>
      </c>
      <c r="CA170" s="47">
        <f t="shared" si="91"/>
        <v>39.044895833333328</v>
      </c>
      <c r="CB170" s="45">
        <f>('[2]Renewable Diesel'!AA179*'[2]Feedstock Conversion Rates'!B$4)/12</f>
        <v>191.25</v>
      </c>
      <c r="CC170" s="47">
        <f t="shared" si="79"/>
        <v>191.25</v>
      </c>
      <c r="CD170" s="45">
        <f>('[2]Renewable Diesel'!$AB179*'[2]RD Feedstock Breakdown'!CD$3*'[2]Feedstock Conversion Rates'!$B$6)/12-15</f>
        <v>17.830000000000005</v>
      </c>
      <c r="CE170" s="45">
        <f>('[2]Renewable Diesel'!$AB179*'[2]RD Feedstock Breakdown'!CE$3*'[2]Feedstock Conversion Rates'!$B$4)/12+15</f>
        <v>26.25</v>
      </c>
      <c r="CF170" s="47">
        <f t="shared" si="76"/>
        <v>44.080000000000005</v>
      </c>
      <c r="CG170" s="45">
        <f>('[2]Renewable Diesel'!AD179*'[2]Feedstock Conversion Rates'!B$4)/12</f>
        <v>112.5</v>
      </c>
      <c r="CH170" s="47">
        <f t="shared" si="63"/>
        <v>112.5</v>
      </c>
      <c r="CI170" s="45">
        <f>('[2]Renewable Diesel'!$AE179*'[2]RD Feedstock Breakdown'!CI$3*'[2]Feedstock Conversion Rates'!$B$5)/12</f>
        <v>0.34604166666666664</v>
      </c>
      <c r="CJ170" s="45">
        <f>('[2]Renewable Diesel'!$AE179*'[2]RD Feedstock Breakdown'!CJ$3*'[2]Feedstock Conversion Rates'!$B$4)/12</f>
        <v>0.34375</v>
      </c>
      <c r="CK170" s="47">
        <f t="shared" si="73"/>
        <v>0.68979166666666658</v>
      </c>
      <c r="CL170" s="45">
        <f>(((CL$3*'[2]Renewable Diesel'!$AF179)*'[2]Feedstock Conversion Rates'!$B$3)/12)</f>
        <v>91.78125</v>
      </c>
      <c r="CM170" s="45">
        <f>(((CM$3*'[2]Renewable Diesel'!$AF179)*'[2]Feedstock Conversion Rates'!$B$6)/12)</f>
        <v>53.739583333333336</v>
      </c>
      <c r="CN170" s="45">
        <f>(((CN$3*'[2]Renewable Diesel'!$AF179)*'[2]Feedstock Conversion Rates'!$B$4)/12)</f>
        <v>42.96875</v>
      </c>
      <c r="CO170" s="47">
        <f t="shared" si="65"/>
        <v>188.48958333333334</v>
      </c>
      <c r="CP170" s="47"/>
      <c r="CQ170" s="47"/>
      <c r="CR170" s="47"/>
      <c r="CS170" s="47"/>
      <c r="CT170" s="45">
        <f>('[2]Renewable Diesel'!AI179*'[2]Feedstock Conversion Rates'!$B$4*'[2]RD Feedstock Breakdown'!$CT$3)/12</f>
        <v>29.375</v>
      </c>
      <c r="CU170" s="47">
        <f t="shared" si="69"/>
        <v>29.375</v>
      </c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  <c r="DI170" s="47"/>
      <c r="DJ170" s="45">
        <f>('[2]Renewable Diesel'!AT179*'[2]Feedstock Conversion Rates'!$B$4*0.25)/12</f>
        <v>0</v>
      </c>
      <c r="DK170" s="45">
        <f>('[2]Renewable Diesel'!$AT179*'[2]RD Feedstock Breakdown'!DK$3*'[2]Feedstock Conversion Rates'!$B$3)/12*0.5</f>
        <v>0</v>
      </c>
      <c r="DL170" s="45">
        <f>('[2]Renewable Diesel'!$AT179*'[2]RD Feedstock Breakdown'!$DL$3*'[2]Feedstock Conversion Rates'!$B$6)/12</f>
        <v>0</v>
      </c>
      <c r="DM170" s="45">
        <f>('[2]Renewable Diesel'!$AT179*'[2]RD Feedstock Breakdown'!$DM$3*'[2]Feedstock Conversion Rates'!$B$8)/12</f>
        <v>0</v>
      </c>
      <c r="DN170" s="47">
        <f t="shared" si="77"/>
        <v>0</v>
      </c>
      <c r="DP170" s="45">
        <f t="shared" si="48"/>
        <v>95.220250000000007</v>
      </c>
      <c r="DQ170" s="45">
        <f t="shared" si="49"/>
        <v>283.23464249999995</v>
      </c>
      <c r="DR170" s="45">
        <f t="shared" si="57"/>
        <v>1644.78125</v>
      </c>
      <c r="DS170" s="45">
        <f t="shared" si="70"/>
        <v>501.34447916666664</v>
      </c>
      <c r="DT170" s="45">
        <f t="shared" si="50"/>
        <v>103.07840000000004</v>
      </c>
      <c r="DU170" s="45">
        <f t="shared" si="51"/>
        <v>79.235266666666689</v>
      </c>
      <c r="DV170" s="45">
        <f t="shared" si="58"/>
        <v>-0.81718749999999929</v>
      </c>
      <c r="DW170" s="45">
        <f t="shared" si="52"/>
        <v>2</v>
      </c>
      <c r="DX170" s="47">
        <f t="shared" si="53"/>
        <v>2708.0771008333331</v>
      </c>
      <c r="DY170" s="50">
        <f t="shared" si="54"/>
        <v>1.4210854715202004E-13</v>
      </c>
      <c r="EA170" s="51">
        <f t="shared" si="80"/>
        <v>3.5161572752377954E-2</v>
      </c>
      <c r="EB170" s="51">
        <f t="shared" si="80"/>
        <v>0.10458883996059144</v>
      </c>
      <c r="EC170" s="51">
        <f t="shared" si="80"/>
        <v>0.60736130795311027</v>
      </c>
      <c r="ED170" s="51">
        <f t="shared" si="80"/>
        <v>0.18512932257814677</v>
      </c>
      <c r="EE170" s="51">
        <f t="shared" si="80"/>
        <v>3.8063318052606633E-2</v>
      </c>
      <c r="EF170" s="51">
        <f t="shared" si="80"/>
        <v>2.9258866611399027E-2</v>
      </c>
      <c r="EG170" s="51">
        <f t="shared" si="80"/>
        <v>-3.0175931835490697E-4</v>
      </c>
      <c r="EH170" s="52">
        <f t="shared" si="59"/>
        <v>7.3853141012290868E-4</v>
      </c>
      <c r="EI170" s="51">
        <f t="shared" si="60"/>
        <v>0.99926146858987719</v>
      </c>
      <c r="EK170" s="53">
        <f>(EA170*'[2]Renewable Diesel'!BF179*'[2]Feedstock Conversion Rates'!B$2)+FB170</f>
        <v>76.628979469406701</v>
      </c>
      <c r="EL170" s="53">
        <f>(EB170*'[2]Renewable Diesel'!BF179*'[2]Feedstock Conversion Rates'!B$3)+FC170</f>
        <v>214.79476162748932</v>
      </c>
      <c r="EM170" s="53">
        <f>(EC170*'[2]Renewable Diesel'!BF179*'[2]Feedstock Conversion Rates'!B$4)+FD170</f>
        <v>1167.922993127992</v>
      </c>
      <c r="EN170" s="53">
        <f>(ED170*'[2]Renewable Diesel'!BF179*'[2]Feedstock Conversion Rates'!B$5)+FE170</f>
        <v>358.36698020552637</v>
      </c>
      <c r="EO170" s="53">
        <f>(EE170*'[2]Renewable Diesel'!BF179*'[2]Feedstock Conversion Rates'!B$6)+FF170</f>
        <v>91.540926941414725</v>
      </c>
      <c r="EP170" s="53">
        <f>(EF170*'[2]Renewable Diesel'!BF179*'[2]Feedstock Conversion Rates'!B$7)+FG170</f>
        <v>69.016216895791032</v>
      </c>
      <c r="EQ170" s="53">
        <f>(EG170*'[2]Renewable Diesel'!BF179*'[2]Feedstock Conversion Rates'!B$8)+FH170</f>
        <v>-0.72533358991262509</v>
      </c>
      <c r="ER170" s="53">
        <f>(EH170*'[2]Renewable Diesel'!BF179*'[2]Feedstock Conversion Rates'!B$9)+FI170</f>
        <v>1.751525752365173</v>
      </c>
      <c r="ES170" s="53">
        <f t="shared" si="61"/>
        <v>1979.2970504300724</v>
      </c>
      <c r="ET170" s="36">
        <f>ES170/'[2]Renewable Diesel'!BF179</f>
        <v>7.7197840896852652</v>
      </c>
    </row>
    <row r="171" spans="1:150" x14ac:dyDescent="0.25">
      <c r="A171" s="39">
        <v>45627</v>
      </c>
      <c r="B171" s="45">
        <f>85-2-4-0.5+0.75-3-10-7+35-4-5-80+100-7.5+35+124-5+72-17-7+20-20-5-70-23-30-10-20-68-45-17-11.5+75-12.5+30-2.5+5+10+29+12-1+30+15-22.5-12-7.5+2.5-150</f>
        <v>0.75</v>
      </c>
      <c r="C171" s="45">
        <f t="shared" si="92"/>
        <v>282.5</v>
      </c>
      <c r="D171" s="45">
        <v>1</v>
      </c>
      <c r="E171" s="45">
        <f>('[2]Renewable Diesel'!B180*E$3*'[2]Feedstock Conversion Rates'!$B$2)/12-40+0.5+7+7.5-36+5+23+68+10+12.5-12-5-4-51-3</f>
        <v>72.430000000000007</v>
      </c>
      <c r="F171" s="45">
        <f>('[2]Renewable Diesel'!B180*'[2]RD Feedstock Breakdown'!F$3*'[2]Feedstock Conversion Rates'!B$8)/12-20+2-0.75+3+4+5-35+7+10+17+2.5-5-29+22.5-27.5</f>
        <v>9.65625</v>
      </c>
      <c r="G171" s="45">
        <f>('[2]Renewable Diesel'!B180*'[2]RD Feedstock Breakdown'!G$3*'[2]Feedstock Conversion Rates'!B$7)/12+20+80-100-124-20+20+70+20-75-30-10-15</f>
        <v>12.157000000000039</v>
      </c>
      <c r="H171" s="45">
        <f>('[2]Renewable Diesel'!B180*'[2]RD Feedstock Breakdown'!H$3*'[2]Feedstock Conversion Rates'!B$3)/12-85+4+10-72+17+30+45+11.5+2.5+1-30-7.5-5+12+7.5-2.5+160+3-160</f>
        <v>117.90022499999998</v>
      </c>
      <c r="I171" s="47">
        <f t="shared" si="75"/>
        <v>496.39347500000002</v>
      </c>
      <c r="J171" s="45">
        <f t="shared" ref="J171:J180" si="95">22+10-4-25+7+145+30+37+10-15-1.75+7.5-25-25-15-15-5-25-75-10+15-9.25-1+27.5-5+17+23+20+45+15+3.5+10+18-38.5-8-25-15-65</f>
        <v>55</v>
      </c>
      <c r="K171" s="45">
        <v>65</v>
      </c>
      <c r="L171" s="45">
        <v>1</v>
      </c>
      <c r="M171" s="45">
        <f>('[2]Renewable Diesel'!C180*'[2]RD Feedstock Breakdown'!M$3*'[2]Feedstock Conversion Rates'!B$2)/12-15-10-30+10-3.5+38.5+25</f>
        <v>22.79025</v>
      </c>
      <c r="N171" s="45">
        <f>('[2]Renewable Diesel'!C180*'[2]RD Feedstock Breakdown'!N$3*'[2]Feedstock Conversion Rates'!B$8)/12+4-7+1.75+5+9.25-27.5+5-17</f>
        <v>-22.828125</v>
      </c>
      <c r="O171" s="45">
        <f>('[2]Renewable Diesel'!C180*'[2]RD Feedstock Breakdown'!O$3*'[2]Feedstock Conversion Rates'!B$7)/12+30+25-145+25+15-5-10-18+8</f>
        <v>-63.000900000000001</v>
      </c>
      <c r="P171" s="45">
        <f>('[2]Renewable Diesel'!C180*'[2]RD Feedstock Breakdown'!P$3*'[2]Feedstock Conversion Rates'!B$3)/12-15-59-10+15-7.5+25+15+25+75-15-23-20-45-10+15</f>
        <v>-24.052957499999991</v>
      </c>
      <c r="Q171" s="47">
        <f t="shared" si="85"/>
        <v>33.908267500000022</v>
      </c>
      <c r="R171" s="45">
        <f>('[2]Renewable Diesel'!D180*'[2]RD Feedstock Breakdown'!R$3*'[2]Feedstock Conversion Rates'!B$7)/12</f>
        <v>2.2999999999999998</v>
      </c>
      <c r="S171" s="47">
        <f t="shared" si="44"/>
        <v>2.2999999999999998</v>
      </c>
      <c r="T171" s="45">
        <f>5.825+20-25+4</f>
        <v>4.8249999999999993</v>
      </c>
      <c r="U171" s="45">
        <v>0</v>
      </c>
      <c r="V171" s="45">
        <f>('[2]Renewable Diesel'!E180*'[2]RD Feedstock Breakdown'!V$3*'[2]Feedstock Conversion Rates'!B$6)/12-20+25</f>
        <v>49.250150000000012</v>
      </c>
      <c r="W171" s="45">
        <f>('[2]Renewable Diesel'!E180*'[2]RD Feedstock Breakdown'!W$3*'[2]Feedstock Conversion Rates'!B$8)/12-5.825-4</f>
        <v>12.354687500000001</v>
      </c>
      <c r="X171" s="47">
        <f t="shared" si="62"/>
        <v>66.429837500000005</v>
      </c>
      <c r="Y171" s="45">
        <f t="shared" si="93"/>
        <v>85.5</v>
      </c>
      <c r="Z171" s="45">
        <f>('[2]Renewable Diesel'!F180*'[2]RD Feedstock Breakdown'!Z$3*'[2]Feedstock Conversion Rates'!B$6)/12-50-32-60+15+25+32.5-50-5+10-25+15+5</f>
        <v>-74.944999999999993</v>
      </c>
      <c r="AA171" s="45">
        <f>('[2]Renewable Diesel'!F180*'[2]RD Feedstock Breakdown'!AA$3*'[2]Feedstock Conversion Rates'!B$7)/12+80-171+75+70-20</f>
        <v>63.133333333333326</v>
      </c>
      <c r="AB171" s="47">
        <f t="shared" si="39"/>
        <v>73.688333333333333</v>
      </c>
      <c r="AC171" s="45">
        <f>('[2]Renewable Diesel'!G180*'[2]RD Feedstock Breakdown'!AC$3*'[2]Feedstock Conversion Rates'!B$5)/12</f>
        <v>7.864583333333333</v>
      </c>
      <c r="AD171" s="45">
        <f>('[2]Renewable Diesel'!G180*'[2]RD Feedstock Breakdown'!AD$3*'[2]Feedstock Conversion Rates'!B$4)/12</f>
        <v>3.90625</v>
      </c>
      <c r="AE171" s="45">
        <f>('[2]Renewable Diesel'!G180*'[2]RD Feedstock Breakdown'!AE$3*'[2]Feedstock Conversion Rates'!B$6)/12</f>
        <v>4.885416666666667</v>
      </c>
      <c r="AF171" s="47">
        <f t="shared" si="71"/>
        <v>16.65625</v>
      </c>
      <c r="AG171" s="45">
        <f t="shared" si="94"/>
        <v>139</v>
      </c>
      <c r="AH171" s="45">
        <v>0</v>
      </c>
      <c r="AI171" s="45">
        <f>('[2]Renewable Diesel'!H180*'[2]RD Feedstock Breakdown'!AI$3*'[2]Feedstock Conversion Rates'!B$6)/12-130-20+51+5-100-25+100-10-25+15+22.5-22.5</f>
        <v>9.5166666666666799</v>
      </c>
      <c r="AJ171" s="47">
        <f t="shared" si="42"/>
        <v>148.51666666666668</v>
      </c>
      <c r="AK171" s="45">
        <f>('[2]Renewable Diesel'!J180*'[2]RD Feedstock Breakdown'!AK$3*'[2]Feedstock Conversion Rates'!B$4)/12</f>
        <v>95.8125</v>
      </c>
      <c r="AL171" s="47">
        <f t="shared" si="45"/>
        <v>95.8125</v>
      </c>
      <c r="AM171" s="45">
        <f>('[2]Renewable Diesel'!K180*'[2]RD Feedstock Breakdown'!AM$3*'[2]Feedstock Conversion Rates'!B$4)/12+5+15-10+10-30</f>
        <v>48.59375</v>
      </c>
      <c r="AN171" s="45">
        <f>('[2]Renewable Diesel'!K180*'[2]RD Feedstock Breakdown'!AN$3*'[2]Feedstock Conversion Rates'!B$6)/12-5-15+10-10+30</f>
        <v>34.427083333333329</v>
      </c>
      <c r="AO171" s="47">
        <f t="shared" si="56"/>
        <v>83.020833333333329</v>
      </c>
      <c r="AP171" s="45">
        <f>('[2]Renewable Diesel'!L180*'[2]RD Feedstock Breakdown'!AP$3*'[2]Feedstock Conversion Rates'!B$4)/12+15-10-5+10+5+5</f>
        <v>78.59375</v>
      </c>
      <c r="AQ171" s="45">
        <f>('[2]Renewable Diesel'!L180*'[2]RD Feedstock Breakdown'!AQ$3*'[2]Feedstock Conversion Rates'!B$6)/12-15+10+5-10-5-5</f>
        <v>4.4270833333333321</v>
      </c>
      <c r="AR171" s="47">
        <f t="shared" si="46"/>
        <v>83.020833333333329</v>
      </c>
      <c r="AS171" s="45">
        <f>('[2]Renewable Diesel'!M180*'[2]RD Feedstock Breakdown'!AS$3*'[2]Feedstock Conversion Rates'!B$4)/12</f>
        <v>456.25</v>
      </c>
      <c r="AT171" s="45">
        <f>('[2]Renewable Diesel'!M180*'[2]RD Feedstock Breakdown'!AT$3*'[2]Feedstock Conversion Rates'!B$5)/12</f>
        <v>0</v>
      </c>
      <c r="AU171" s="47">
        <f t="shared" si="74"/>
        <v>456.25</v>
      </c>
      <c r="AV171" s="45">
        <f>'[2]Renewable Diesel'!N180*'[2]RD Feedstock Breakdown'!$AV$3*'[2]Feedstock Conversion Rates'!$B$4/12-15-10+25+25-22+22.5</f>
        <v>104.24999999999999</v>
      </c>
      <c r="AW171" s="45">
        <f>'[2]Renewable Diesel'!N180*'[2]RD Feedstock Breakdown'!$AW$3*'[2]Feedstock Conversion Rates'!$B$7/12+15+10-25-25+22-22.5</f>
        <v>15.900000000000006</v>
      </c>
      <c r="AX171" s="47">
        <f t="shared" si="40"/>
        <v>120.14999999999999</v>
      </c>
      <c r="AY171" s="45">
        <f>('[2]Renewable Diesel'!O180*'[2]RD Feedstock Breakdown'!AY$3*'[2]Feedstock Conversion Rates'!B$4)/12+34-100</f>
        <v>144.9375</v>
      </c>
      <c r="AZ171" s="45">
        <f>('[2]Renewable Diesel'!O180*'[2]RD Feedstock Breakdown'!AZ$3*'[2]Feedstock Conversion Rates'!B$3)/12-34+100</f>
        <v>91.03125</v>
      </c>
      <c r="BA171" s="47">
        <f t="shared" si="87"/>
        <v>235.96875</v>
      </c>
      <c r="BB171" s="45">
        <f>('[2]Renewable Diesel'!Q180*'[2]RD Feedstock Breakdown'!BB$3*'[2]Feedstock Conversion Rates'!B$4)/12</f>
        <v>11.156249999999998</v>
      </c>
      <c r="BC171" s="45">
        <f>('[2]Renewable Diesel'!Q180*'[2]RD Feedstock Breakdown'!BC$3*'[2]Feedstock Conversion Rates'!B$3)/12</f>
        <v>1.4017500000000001</v>
      </c>
      <c r="BD171" s="45">
        <f>('[2]Renewable Diesel'!Q180*'[2]RD Feedstock Breakdown'!BD$3*'[2]Feedstock Conversion Rates'!B$6)/12</f>
        <v>0.8207500000000002</v>
      </c>
      <c r="BE171" s="47">
        <f t="shared" si="64"/>
        <v>13.378749999999998</v>
      </c>
      <c r="BF171" s="45">
        <f>('[2]Renewable Diesel'!R180*'[2]RD Feedstock Breakdown'!BF$3*'[2]Feedstock Conversion Rates'!B$4)/12</f>
        <v>62.5</v>
      </c>
      <c r="BG171" s="47">
        <f t="shared" si="47"/>
        <v>62.5</v>
      </c>
      <c r="BH171" s="45">
        <f>('[2]Renewable Diesel'!T180*'[2]RD Feedstock Breakdown'!BH$3*'[2]Feedstock Conversion Rates'!B$7)/12</f>
        <v>27.599999999999998</v>
      </c>
      <c r="BI171" s="47">
        <f t="shared" si="41"/>
        <v>27.599999999999998</v>
      </c>
      <c r="BJ171" s="45">
        <f>('[2]Renewable Diesel'!W180*'[2]RD Feedstock Breakdown'!BJ$3*'[2]Feedstock Conversion Rates'!B$4)/12</f>
        <v>7.5</v>
      </c>
      <c r="BK171" s="45">
        <f>('[2]Renewable Diesel'!W180*'[2]RD Feedstock Breakdown'!BK$3*'[2]Feedstock Conversion Rates'!B$3)/12</f>
        <v>1.335</v>
      </c>
      <c r="BL171" s="45">
        <f>('[2]Renewable Diesel'!W180*'[2]RD Feedstock Breakdown'!BL$3*'[2]Feedstock Conversion Rates'!B$6)/12</f>
        <v>3.1266666666666669</v>
      </c>
      <c r="BM171" s="45">
        <f>('[2]Renewable Diesel'!W180*'[2]RD Feedstock Breakdown'!BM$3*'[2]Feedstock Conversion Rates'!B$7)/12</f>
        <v>1.5333333333333332</v>
      </c>
      <c r="BN171" s="47">
        <f t="shared" si="78"/>
        <v>13.495000000000001</v>
      </c>
      <c r="BO171" s="45">
        <f>('[2]Renewable Diesel'!P180*'[2]Feedstock Conversion Rates'!B$4)/12</f>
        <v>31.25</v>
      </c>
      <c r="BP171" s="47">
        <f t="shared" si="72"/>
        <v>31.25</v>
      </c>
      <c r="BQ171" s="45">
        <f>('[2]Renewable Diesel'!$S180*'[2]RD Feedstock Breakdown'!BQ$3*'[2]Feedstock Conversion Rates'!B$4)/12+10</f>
        <v>38.125</v>
      </c>
      <c r="BR171" s="45">
        <f>('[2]Renewable Diesel'!$S180*'[2]RD Feedstock Breakdown'!BR$3*'[2]Feedstock Conversion Rates'!B$7)/12-10</f>
        <v>1.5</v>
      </c>
      <c r="BS171" s="47">
        <f t="shared" si="90"/>
        <v>39.625</v>
      </c>
      <c r="BT171" s="47"/>
      <c r="BU171" s="45">
        <f>('[2]Renewable Diesel'!Y180*'[2]Feedstock Conversion Rates'!B$7)/12</f>
        <v>2.6833333333333331</v>
      </c>
      <c r="BV171" s="47">
        <f t="shared" si="67"/>
        <v>2.6833333333333331</v>
      </c>
      <c r="BW171" s="45">
        <f>('[2]Renewable Diesel'!$Z180*'[2]RD Feedstock Breakdown'!BW$3*'[2]Feedstock Conversion Rates'!$B$4)/12</f>
        <v>17.96875</v>
      </c>
      <c r="BX171" s="45">
        <f>('[2]Renewable Diesel'!$Z180*'[2]RD Feedstock Breakdown'!BX$3*'[2]Feedstock Conversion Rates'!$B$5)/12</f>
        <v>1.8088541666666667</v>
      </c>
      <c r="BY171" s="45">
        <f>('[2]Renewable Diesel'!$Z180*'[2]RD Feedstock Breakdown'!BY$3*'[2]Feedstock Conversion Rates'!$B$7)/12</f>
        <v>15.429166666666665</v>
      </c>
      <c r="BZ171" s="45">
        <f>('[2]Renewable Diesel'!$Z180*'[2]RD Feedstock Breakdown'!BZ$3*'[2]Feedstock Conversion Rates'!$B$3)/12</f>
        <v>3.8381249999999998</v>
      </c>
      <c r="CA171" s="47">
        <f t="shared" si="91"/>
        <v>39.044895833333328</v>
      </c>
      <c r="CB171" s="45">
        <f>('[2]Renewable Diesel'!AA180*'[2]Feedstock Conversion Rates'!B$4)/12</f>
        <v>191.25</v>
      </c>
      <c r="CC171" s="47">
        <f t="shared" si="79"/>
        <v>191.25</v>
      </c>
      <c r="CD171" s="45">
        <f>('[2]Renewable Diesel'!$AB180*'[2]RD Feedstock Breakdown'!CD$3*'[2]Feedstock Conversion Rates'!$B$6)/12-15</f>
        <v>17.830000000000005</v>
      </c>
      <c r="CE171" s="45">
        <f>('[2]Renewable Diesel'!$AB180*'[2]RD Feedstock Breakdown'!CE$3*'[2]Feedstock Conversion Rates'!$B$4)/12+15</f>
        <v>26.25</v>
      </c>
      <c r="CF171" s="47">
        <f t="shared" si="76"/>
        <v>44.080000000000005</v>
      </c>
      <c r="CG171" s="45">
        <f>('[2]Renewable Diesel'!AD180*'[2]Feedstock Conversion Rates'!B$4)/12</f>
        <v>112.5</v>
      </c>
      <c r="CH171" s="47">
        <f t="shared" si="63"/>
        <v>112.5</v>
      </c>
      <c r="CI171" s="45">
        <f>('[2]Renewable Diesel'!$AE180*'[2]RD Feedstock Breakdown'!CI$3*'[2]Feedstock Conversion Rates'!$B$5)/12</f>
        <v>0.34604166666666664</v>
      </c>
      <c r="CJ171" s="45">
        <f>('[2]Renewable Diesel'!$AE180*'[2]RD Feedstock Breakdown'!CJ$3*'[2]Feedstock Conversion Rates'!$B$4)/12</f>
        <v>0.34375</v>
      </c>
      <c r="CK171" s="47">
        <f t="shared" si="73"/>
        <v>0.68979166666666658</v>
      </c>
      <c r="CL171" s="45">
        <f>(((CL$3*'[2]Renewable Diesel'!$AF180)*'[2]Feedstock Conversion Rates'!$B$3)/12)</f>
        <v>91.78125</v>
      </c>
      <c r="CM171" s="45">
        <f>(((CM$3*'[2]Renewable Diesel'!$AF180)*'[2]Feedstock Conversion Rates'!$B$6)/12)</f>
        <v>53.739583333333336</v>
      </c>
      <c r="CN171" s="45">
        <f>(((CN$3*'[2]Renewable Diesel'!$AF180)*'[2]Feedstock Conversion Rates'!$B$4)/12)</f>
        <v>42.96875</v>
      </c>
      <c r="CO171" s="47">
        <f t="shared" si="65"/>
        <v>188.48958333333334</v>
      </c>
      <c r="CP171" s="47"/>
      <c r="CQ171" s="47"/>
      <c r="CR171" s="47"/>
      <c r="CS171" s="47"/>
      <c r="CT171" s="45">
        <f>('[2]Renewable Diesel'!AI180*'[2]Feedstock Conversion Rates'!$B$4*'[2]RD Feedstock Breakdown'!$CT$3)/12</f>
        <v>29.375</v>
      </c>
      <c r="CU171" s="47">
        <f t="shared" si="69"/>
        <v>29.375</v>
      </c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  <c r="DI171" s="47"/>
      <c r="DJ171" s="45">
        <f>('[2]Renewable Diesel'!AT180*'[2]Feedstock Conversion Rates'!$B$4*0.25)/12</f>
        <v>0</v>
      </c>
      <c r="DK171" s="45">
        <f>('[2]Renewable Diesel'!$AT180*'[2]RD Feedstock Breakdown'!DK$3*'[2]Feedstock Conversion Rates'!$B$3)/12*0.5</f>
        <v>0</v>
      </c>
      <c r="DL171" s="45">
        <f>('[2]Renewable Diesel'!$AT180*'[2]RD Feedstock Breakdown'!$DL$3*'[2]Feedstock Conversion Rates'!$B$6)/12</f>
        <v>0</v>
      </c>
      <c r="DM171" s="45">
        <f>('[2]Renewable Diesel'!$AT180*'[2]RD Feedstock Breakdown'!$DM$3*'[2]Feedstock Conversion Rates'!$B$8)/12</f>
        <v>0</v>
      </c>
      <c r="DN171" s="47">
        <f t="shared" si="77"/>
        <v>0</v>
      </c>
      <c r="DP171" s="45">
        <f t="shared" si="48"/>
        <v>95.220250000000007</v>
      </c>
      <c r="DQ171" s="45">
        <f t="shared" si="49"/>
        <v>283.23464249999995</v>
      </c>
      <c r="DR171" s="45">
        <f t="shared" si="57"/>
        <v>1644.78125</v>
      </c>
      <c r="DS171" s="45">
        <f t="shared" si="70"/>
        <v>501.34447916666664</v>
      </c>
      <c r="DT171" s="45">
        <f t="shared" si="50"/>
        <v>103.07840000000004</v>
      </c>
      <c r="DU171" s="45">
        <f t="shared" si="51"/>
        <v>79.235266666666689</v>
      </c>
      <c r="DV171" s="45">
        <f t="shared" si="58"/>
        <v>-0.81718749999999929</v>
      </c>
      <c r="DW171" s="45">
        <f t="shared" si="52"/>
        <v>2</v>
      </c>
      <c r="DX171" s="47">
        <f t="shared" si="53"/>
        <v>2708.0771008333331</v>
      </c>
      <c r="DY171" s="50">
        <f t="shared" si="54"/>
        <v>1.4210854715202004E-13</v>
      </c>
      <c r="EA171" s="51">
        <f t="shared" si="80"/>
        <v>3.5161572752377954E-2</v>
      </c>
      <c r="EB171" s="51">
        <f t="shared" si="80"/>
        <v>0.10458883996059144</v>
      </c>
      <c r="EC171" s="51">
        <f t="shared" si="80"/>
        <v>0.60736130795311027</v>
      </c>
      <c r="ED171" s="51">
        <f t="shared" si="80"/>
        <v>0.18512932257814677</v>
      </c>
      <c r="EE171" s="51">
        <f t="shared" si="80"/>
        <v>3.8063318052606633E-2</v>
      </c>
      <c r="EF171" s="51">
        <f t="shared" si="80"/>
        <v>2.9258866611399027E-2</v>
      </c>
      <c r="EG171" s="51">
        <f t="shared" si="80"/>
        <v>-3.0175931835490697E-4</v>
      </c>
      <c r="EH171" s="52">
        <f t="shared" si="59"/>
        <v>7.3853141012290868E-4</v>
      </c>
      <c r="EI171" s="51">
        <f t="shared" si="60"/>
        <v>0.99926146858987719</v>
      </c>
      <c r="EK171" s="53">
        <f>(EA171*'[2]Renewable Diesel'!BF180*'[2]Feedstock Conversion Rates'!B$2)+FB171</f>
        <v>92.606487631870692</v>
      </c>
      <c r="EL171" s="53">
        <f>(EB171*'[2]Renewable Diesel'!BF180*'[2]Feedstock Conversion Rates'!B$3)+FC171</f>
        <v>259.58049518313271</v>
      </c>
      <c r="EM171" s="53">
        <f>(EC171*'[2]Renewable Diesel'!BF180*'[2]Feedstock Conversion Rates'!B$4)+FD171</f>
        <v>1411.4405146327883</v>
      </c>
      <c r="EN171" s="53">
        <f>(ED171*'[2]Renewable Diesel'!BF180*'[2]Feedstock Conversion Rates'!B$5)+FE171</f>
        <v>433.08820696644563</v>
      </c>
      <c r="EO171" s="53">
        <f>(EE171*'[2]Renewable Diesel'!BF180*'[2]Feedstock Conversion Rates'!B$6)+FF171</f>
        <v>110.62764736407021</v>
      </c>
      <c r="EP171" s="53">
        <f>(EF171*'[2]Renewable Diesel'!BF180*'[2]Feedstock Conversion Rates'!B$7)+FG171</f>
        <v>83.40642770676925</v>
      </c>
      <c r="EQ171" s="53">
        <f>(EG171*'[2]Renewable Diesel'!BF180*'[2]Feedstock Conversion Rates'!B$8)+FH171</f>
        <v>-0.87656910725322945</v>
      </c>
      <c r="ER171" s="53">
        <f>(EH171*'[2]Renewable Diesel'!BF180*'[2]Feedstock Conversion Rates'!B$9)+FI171</f>
        <v>2.1167272361765699</v>
      </c>
      <c r="ES171" s="53">
        <f t="shared" si="61"/>
        <v>2391.9899376140002</v>
      </c>
      <c r="ET171" s="36">
        <f>ES171/'[2]Renewable Diesel'!BF180</f>
        <v>7.7197840896852661</v>
      </c>
    </row>
    <row r="172" spans="1:150" x14ac:dyDescent="0.25">
      <c r="A172" s="39">
        <v>45658</v>
      </c>
      <c r="B172" s="45">
        <f>85-2-4-0.5+0.75-3-10-7+35-4-5-80+100-7.5+35+124-5+72-17-7+20-20-5-70-23-30-10-20-68-45-17-11.5+75-10+30-2.5+5+10+29+5-11+30+15+7.5-22.5-12-7.5+2.5-140</f>
        <v>3.75</v>
      </c>
      <c r="C172" s="45">
        <f>50-1-2.5+5+5+4-20+27.5+51+3-3+160</f>
        <v>279</v>
      </c>
      <c r="D172" s="45">
        <v>1</v>
      </c>
      <c r="E172" s="45">
        <f>('[2]Renewable Diesel'!B181*E$3*'[2]Feedstock Conversion Rates'!$B$2)/12-40+0.5+7+7.5-36+5+23+68+10+12.5-12-5-4-51-3</f>
        <v>72.430000000000007</v>
      </c>
      <c r="F172" s="45">
        <f>('[2]Renewable Diesel'!B181*'[2]RD Feedstock Breakdown'!F$3*'[2]Feedstock Conversion Rates'!B$8)/12-20+2-0.75+3+4+5-35+7+10+17+2.5-5-29+22.5-27.5</f>
        <v>9.65625</v>
      </c>
      <c r="G172" s="45">
        <f>('[2]Renewable Diesel'!B181*'[2]RD Feedstock Breakdown'!G$3*'[2]Feedstock Conversion Rates'!B$7)/12+20+80-100-124-20+20+70+20-75-30-10-15</f>
        <v>12.157000000000039</v>
      </c>
      <c r="H172" s="45">
        <f>('[2]Renewable Diesel'!B181*'[2]RD Feedstock Breakdown'!H$3*'[2]Feedstock Conversion Rates'!B$3)/12-85+4+10-72+17+30+45+11.5+2.5+1-30-7.5-5+12+7.5-2.5+160+3-160</f>
        <v>117.90022499999998</v>
      </c>
      <c r="I172" s="47">
        <f t="shared" si="75"/>
        <v>495.89347500000002</v>
      </c>
      <c r="J172" s="45">
        <f t="shared" si="95"/>
        <v>55</v>
      </c>
      <c r="K172" s="45">
        <v>65</v>
      </c>
      <c r="L172" s="45">
        <v>1</v>
      </c>
      <c r="M172" s="45">
        <f>('[2]Renewable Diesel'!C181*'[2]RD Feedstock Breakdown'!M$3*'[2]Feedstock Conversion Rates'!B$2)/12-15-10-30+10-3.5+38.5+25</f>
        <v>22.79025</v>
      </c>
      <c r="N172" s="45">
        <f>('[2]Renewable Diesel'!C181*'[2]RD Feedstock Breakdown'!N$3*'[2]Feedstock Conversion Rates'!B$8)/12+4-7+1.75+5+9.25-30+5-15</f>
        <v>-23.328125</v>
      </c>
      <c r="O172" s="45">
        <f>('[2]Renewable Diesel'!C181*'[2]RD Feedstock Breakdown'!O$3*'[2]Feedstock Conversion Rates'!B$7)/12+30+25-145+25+15-5-10-18+8</f>
        <v>-63.000900000000001</v>
      </c>
      <c r="P172" s="45">
        <f>('[2]Renewable Diesel'!C181*'[2]RD Feedstock Breakdown'!P$3*'[2]Feedstock Conversion Rates'!B$3)/12-15-59-10+15-7.5+25+15+25+75-15-23-20-45-10+15</f>
        <v>-24.052957499999991</v>
      </c>
      <c r="Q172" s="47">
        <f t="shared" si="85"/>
        <v>33.408267500000022</v>
      </c>
      <c r="R172" s="45">
        <f>('[2]Renewable Diesel'!D181*'[2]RD Feedstock Breakdown'!R$3*'[2]Feedstock Conversion Rates'!B$7)/12</f>
        <v>2.2999999999999998</v>
      </c>
      <c r="S172" s="47">
        <f t="shared" si="44"/>
        <v>2.2999999999999998</v>
      </c>
      <c r="T172" s="45">
        <f>5.825+20-25+10+4-10</f>
        <v>4.8249999999999993</v>
      </c>
      <c r="U172" s="45">
        <v>0</v>
      </c>
      <c r="V172" s="45">
        <f>('[2]Renewable Diesel'!E181*'[2]RD Feedstock Breakdown'!V$3*'[2]Feedstock Conversion Rates'!B$6)/12-5+10</f>
        <v>49.250150000000012</v>
      </c>
      <c r="W172" s="45">
        <f>('[2]Renewable Diesel'!E181*'[2]RD Feedstock Breakdown'!W$3*'[2]Feedstock Conversion Rates'!B$8)/12-5.825-4</f>
        <v>12.354687500000001</v>
      </c>
      <c r="X172" s="47">
        <f t="shared" si="62"/>
        <v>66.429837500000005</v>
      </c>
      <c r="Y172" s="45">
        <f t="shared" si="93"/>
        <v>85.5</v>
      </c>
      <c r="Z172" s="45">
        <f>('[2]Renewable Diesel'!F181*'[2]RD Feedstock Breakdown'!Z$3*'[2]Feedstock Conversion Rates'!B$6)/12-50-32-60+15+25+32.5-50-5+10-25+15+5</f>
        <v>39.960000000000008</v>
      </c>
      <c r="AA172" s="45">
        <f>('[2]Renewable Diesel'!F181*'[2]RD Feedstock Breakdown'!AA$3*'[2]Feedstock Conversion Rates'!B$7)/12+80-171+75+70-20</f>
        <v>138.26666666666665</v>
      </c>
      <c r="AB172" s="47">
        <f t="shared" si="39"/>
        <v>263.72666666666669</v>
      </c>
      <c r="AC172" s="45">
        <f>('[2]Renewable Diesel'!G181*'[2]RD Feedstock Breakdown'!AC$3*'[2]Feedstock Conversion Rates'!B$5)/12</f>
        <v>7.864583333333333</v>
      </c>
      <c r="AD172" s="45">
        <f>('[2]Renewable Diesel'!G181*'[2]RD Feedstock Breakdown'!AD$3*'[2]Feedstock Conversion Rates'!B$4)/12</f>
        <v>3.90625</v>
      </c>
      <c r="AE172" s="45">
        <f>('[2]Renewable Diesel'!G181*'[2]RD Feedstock Breakdown'!AE$3*'[2]Feedstock Conversion Rates'!B$6)/12</f>
        <v>4.885416666666667</v>
      </c>
      <c r="AF172" s="47">
        <f t="shared" si="71"/>
        <v>16.65625</v>
      </c>
      <c r="AG172" s="45">
        <f t="shared" si="94"/>
        <v>139</v>
      </c>
      <c r="AH172" s="45">
        <v>0</v>
      </c>
      <c r="AI172" s="45">
        <f>('[2]Renewable Diesel'!H181*'[2]RD Feedstock Breakdown'!AI$3*'[2]Feedstock Conversion Rates'!B$6)/12-130-20+51+5-100-25+100-10-25+15+22.5-22.5</f>
        <v>9.5166666666666799</v>
      </c>
      <c r="AJ172" s="47">
        <f t="shared" si="42"/>
        <v>148.51666666666668</v>
      </c>
      <c r="AK172" s="45">
        <f>('[2]Renewable Diesel'!J181*'[2]RD Feedstock Breakdown'!AK$3*'[2]Feedstock Conversion Rates'!B$4)/12</f>
        <v>95.8125</v>
      </c>
      <c r="AL172" s="47">
        <f t="shared" si="45"/>
        <v>95.8125</v>
      </c>
      <c r="AM172" s="45">
        <f>('[2]Renewable Diesel'!K181*'[2]RD Feedstock Breakdown'!AM$3*'[2]Feedstock Conversion Rates'!B$4)/12+5+15-10+10-30</f>
        <v>48.59375</v>
      </c>
      <c r="AN172" s="45">
        <f>('[2]Renewable Diesel'!K181*'[2]RD Feedstock Breakdown'!AN$3*'[2]Feedstock Conversion Rates'!B$6)/12-5-15+10-10+30</f>
        <v>34.427083333333329</v>
      </c>
      <c r="AO172" s="47">
        <f t="shared" si="56"/>
        <v>83.020833333333329</v>
      </c>
      <c r="AP172" s="45">
        <f>('[2]Renewable Diesel'!L181*'[2]RD Feedstock Breakdown'!AP$3*'[2]Feedstock Conversion Rates'!B$4)/12+15-10-5+10+5+5</f>
        <v>78.59375</v>
      </c>
      <c r="AQ172" s="45">
        <f>('[2]Renewable Diesel'!L181*'[2]RD Feedstock Breakdown'!AQ$3*'[2]Feedstock Conversion Rates'!B$6)/12-15+10+5-10-5-5</f>
        <v>4.4270833333333321</v>
      </c>
      <c r="AR172" s="47">
        <f t="shared" si="46"/>
        <v>83.020833333333329</v>
      </c>
      <c r="AS172" s="45">
        <f>('[2]Renewable Diesel'!M181*'[2]RD Feedstock Breakdown'!AS$3*'[2]Feedstock Conversion Rates'!B$4)/12</f>
        <v>456.25</v>
      </c>
      <c r="AT172" s="45">
        <f>('[2]Renewable Diesel'!M181*'[2]RD Feedstock Breakdown'!AT$3*'[2]Feedstock Conversion Rates'!B$5)/12</f>
        <v>0</v>
      </c>
      <c r="AU172" s="47">
        <f t="shared" si="74"/>
        <v>456.25</v>
      </c>
      <c r="AV172" s="45">
        <f>'[2]Renewable Diesel'!N181*'[2]RD Feedstock Breakdown'!$AV$3*'[2]Feedstock Conversion Rates'!$B$4/12-15-10+25+25-22+22.5</f>
        <v>104.24999999999999</v>
      </c>
      <c r="AW172" s="45">
        <f>'[2]Renewable Diesel'!N181*'[2]RD Feedstock Breakdown'!$AW$3*'[2]Feedstock Conversion Rates'!$B$7/12+15+10-25-25+22-22.5</f>
        <v>15.900000000000006</v>
      </c>
      <c r="AX172" s="47">
        <f t="shared" si="40"/>
        <v>120.14999999999999</v>
      </c>
      <c r="AY172" s="45">
        <f>('[2]Renewable Diesel'!O181*'[2]RD Feedstock Breakdown'!AY$3*'[2]Feedstock Conversion Rates'!B$4)/12+34-100</f>
        <v>144.9375</v>
      </c>
      <c r="AZ172" s="45">
        <f>('[2]Renewable Diesel'!O181*'[2]RD Feedstock Breakdown'!AZ$3*'[2]Feedstock Conversion Rates'!B$3)/12-34+100</f>
        <v>91.03125</v>
      </c>
      <c r="BA172" s="47">
        <f t="shared" si="87"/>
        <v>235.96875</v>
      </c>
      <c r="BB172" s="45">
        <f>('[2]Renewable Diesel'!Q181*'[2]RD Feedstock Breakdown'!BB$3*'[2]Feedstock Conversion Rates'!B$4)/12</f>
        <v>11.156249999999998</v>
      </c>
      <c r="BC172" s="45">
        <f>('[2]Renewable Diesel'!Q181*'[2]RD Feedstock Breakdown'!BC$3*'[2]Feedstock Conversion Rates'!B$3)/12</f>
        <v>1.4017500000000001</v>
      </c>
      <c r="BD172" s="45">
        <f>('[2]Renewable Diesel'!Q181*'[2]RD Feedstock Breakdown'!BD$3*'[2]Feedstock Conversion Rates'!B$6)/12</f>
        <v>0.8207500000000002</v>
      </c>
      <c r="BE172" s="47">
        <f t="shared" si="64"/>
        <v>13.378749999999998</v>
      </c>
      <c r="BF172" s="45">
        <f>('[2]Renewable Diesel'!R181*'[2]RD Feedstock Breakdown'!BF$3*'[2]Feedstock Conversion Rates'!B$4)/12</f>
        <v>62.5</v>
      </c>
      <c r="BG172" s="47">
        <f t="shared" si="47"/>
        <v>62.5</v>
      </c>
      <c r="BH172" s="45">
        <f>('[2]Renewable Diesel'!T181*'[2]RD Feedstock Breakdown'!BH$3*'[2]Feedstock Conversion Rates'!B$7)/12</f>
        <v>27.599999999999998</v>
      </c>
      <c r="BI172" s="47">
        <f t="shared" si="41"/>
        <v>27.599999999999998</v>
      </c>
      <c r="BJ172" s="45">
        <f>('[2]Renewable Diesel'!W181*'[2]RD Feedstock Breakdown'!BJ$3*'[2]Feedstock Conversion Rates'!B$4)/12</f>
        <v>7.5</v>
      </c>
      <c r="BK172" s="45">
        <f>('[2]Renewable Diesel'!W181*'[2]RD Feedstock Breakdown'!BK$3*'[2]Feedstock Conversion Rates'!B$3)/12</f>
        <v>1.335</v>
      </c>
      <c r="BL172" s="45">
        <f>('[2]Renewable Diesel'!W181*'[2]RD Feedstock Breakdown'!BL$3*'[2]Feedstock Conversion Rates'!B$6)/12</f>
        <v>3.1266666666666669</v>
      </c>
      <c r="BM172" s="45">
        <f>('[2]Renewable Diesel'!W181*'[2]RD Feedstock Breakdown'!BM$3*'[2]Feedstock Conversion Rates'!B$7)/12</f>
        <v>1.5333333333333332</v>
      </c>
      <c r="BN172" s="47">
        <f t="shared" si="78"/>
        <v>13.495000000000001</v>
      </c>
      <c r="BO172" s="45">
        <f>('[2]Renewable Diesel'!P181*'[2]Feedstock Conversion Rates'!B$4)/12</f>
        <v>31.25</v>
      </c>
      <c r="BP172" s="47">
        <f t="shared" si="72"/>
        <v>31.25</v>
      </c>
      <c r="BQ172" s="45">
        <f>('[2]Renewable Diesel'!$S181*'[2]RD Feedstock Breakdown'!BQ$3*'[2]Feedstock Conversion Rates'!B$4)/12+10</f>
        <v>38.125</v>
      </c>
      <c r="BR172" s="45">
        <f>('[2]Renewable Diesel'!$S181*'[2]RD Feedstock Breakdown'!BR$3*'[2]Feedstock Conversion Rates'!B$7)/12-10</f>
        <v>1.5</v>
      </c>
      <c r="BS172" s="47">
        <f t="shared" si="90"/>
        <v>39.625</v>
      </c>
      <c r="BT172" s="47"/>
      <c r="BU172" s="45">
        <f>('[2]Renewable Diesel'!Y181*'[2]Feedstock Conversion Rates'!B$7)/12</f>
        <v>2.6833333333333331</v>
      </c>
      <c r="BV172" s="47">
        <f t="shared" si="67"/>
        <v>2.6833333333333331</v>
      </c>
      <c r="BW172" s="45">
        <f>('[2]Renewable Diesel'!$Z181*'[2]RD Feedstock Breakdown'!BW$3*'[2]Feedstock Conversion Rates'!$B$4)/12</f>
        <v>17.96875</v>
      </c>
      <c r="BX172" s="45">
        <f>('[2]Renewable Diesel'!$Z181*'[2]RD Feedstock Breakdown'!BX$3*'[2]Feedstock Conversion Rates'!$B$5)/12</f>
        <v>1.8088541666666667</v>
      </c>
      <c r="BY172" s="45">
        <f>('[2]Renewable Diesel'!$Z181*'[2]RD Feedstock Breakdown'!BY$3*'[2]Feedstock Conversion Rates'!$B$7)/12</f>
        <v>15.429166666666665</v>
      </c>
      <c r="BZ172" s="45">
        <f>('[2]Renewable Diesel'!$Z181*'[2]RD Feedstock Breakdown'!BZ$3*'[2]Feedstock Conversion Rates'!$B$3)/12</f>
        <v>3.8381249999999998</v>
      </c>
      <c r="CA172" s="47">
        <f t="shared" si="91"/>
        <v>39.044895833333328</v>
      </c>
      <c r="CB172" s="45">
        <f>('[2]Renewable Diesel'!AA181*'[2]Feedstock Conversion Rates'!B$4)/12</f>
        <v>191.25</v>
      </c>
      <c r="CC172" s="47">
        <f t="shared" si="79"/>
        <v>191.25</v>
      </c>
      <c r="CD172" s="45">
        <f>('[2]Renewable Diesel'!$AB181*'[2]RD Feedstock Breakdown'!CD$3*'[2]Feedstock Conversion Rates'!$B$6)/12-15</f>
        <v>17.830000000000005</v>
      </c>
      <c r="CE172" s="45">
        <f>('[2]Renewable Diesel'!$AB181*'[2]RD Feedstock Breakdown'!CE$3*'[2]Feedstock Conversion Rates'!$B$4)/12+15</f>
        <v>26.25</v>
      </c>
      <c r="CF172" s="47">
        <f t="shared" si="76"/>
        <v>44.080000000000005</v>
      </c>
      <c r="CG172" s="45">
        <f>('[2]Renewable Diesel'!AD181*'[2]Feedstock Conversion Rates'!B$4)/12</f>
        <v>112.5</v>
      </c>
      <c r="CH172" s="47">
        <f t="shared" si="63"/>
        <v>112.5</v>
      </c>
      <c r="CI172" s="45">
        <f>('[2]Renewable Diesel'!$AE181*'[2]RD Feedstock Breakdown'!CI$3*'[2]Feedstock Conversion Rates'!$B$5)/12</f>
        <v>0.34604166666666664</v>
      </c>
      <c r="CJ172" s="45">
        <f>('[2]Renewable Diesel'!$AE181*'[2]RD Feedstock Breakdown'!CJ$3*'[2]Feedstock Conversion Rates'!$B$4)/12</f>
        <v>0.34375</v>
      </c>
      <c r="CK172" s="47">
        <f t="shared" si="73"/>
        <v>0.68979166666666658</v>
      </c>
      <c r="CL172" s="45">
        <f>(((CL$3*'[2]Renewable Diesel'!$AF181)*'[2]Feedstock Conversion Rates'!$B$3)/12)</f>
        <v>91.78125</v>
      </c>
      <c r="CM172" s="45">
        <f>(((CM$3*'[2]Renewable Diesel'!$AF181)*'[2]Feedstock Conversion Rates'!$B$6)/12)</f>
        <v>53.739583333333336</v>
      </c>
      <c r="CN172" s="45">
        <f>(((CN$3*'[2]Renewable Diesel'!$AF181)*'[2]Feedstock Conversion Rates'!$B$4)/12)</f>
        <v>42.96875</v>
      </c>
      <c r="CO172" s="47">
        <f t="shared" si="65"/>
        <v>188.48958333333334</v>
      </c>
      <c r="CP172" s="47"/>
      <c r="CQ172" s="47"/>
      <c r="CR172" s="47"/>
      <c r="CS172" s="47"/>
      <c r="CT172" s="45">
        <f>('[2]Renewable Diesel'!AI181*'[2]Feedstock Conversion Rates'!$B$4*'[2]RD Feedstock Breakdown'!$CT$3)/12</f>
        <v>29.375</v>
      </c>
      <c r="CU172" s="47">
        <f t="shared" si="69"/>
        <v>29.375</v>
      </c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5">
        <f>('[2]Renewable Diesel'!AT181*'[2]Feedstock Conversion Rates'!$B$4*0.25)/12</f>
        <v>0</v>
      </c>
      <c r="DK172" s="45">
        <f>('[2]Renewable Diesel'!$AT181*'[2]RD Feedstock Breakdown'!DK$3*'[2]Feedstock Conversion Rates'!$B$3)/12*0.5</f>
        <v>0</v>
      </c>
      <c r="DL172" s="45">
        <f>('[2]Renewable Diesel'!$AT181*'[2]RD Feedstock Breakdown'!$DL$3*'[2]Feedstock Conversion Rates'!$B$6)/12</f>
        <v>0</v>
      </c>
      <c r="DM172" s="45">
        <f>('[2]Renewable Diesel'!$AT181*'[2]RD Feedstock Breakdown'!$DM$3*'[2]Feedstock Conversion Rates'!$B$8)/12</f>
        <v>0</v>
      </c>
      <c r="DN172" s="47">
        <f t="shared" si="77"/>
        <v>0</v>
      </c>
      <c r="DP172" s="45">
        <f t="shared" si="48"/>
        <v>95.220250000000007</v>
      </c>
      <c r="DQ172" s="45">
        <f t="shared" si="49"/>
        <v>283.23464249999995</v>
      </c>
      <c r="DR172" s="45">
        <f t="shared" si="57"/>
        <v>1647.78125</v>
      </c>
      <c r="DS172" s="45">
        <f t="shared" si="70"/>
        <v>497.84447916666664</v>
      </c>
      <c r="DT172" s="45">
        <f t="shared" si="50"/>
        <v>217.98340000000007</v>
      </c>
      <c r="DU172" s="45">
        <f t="shared" si="51"/>
        <v>154.36860000000004</v>
      </c>
      <c r="DV172" s="45">
        <f t="shared" si="58"/>
        <v>-1.3171874999999993</v>
      </c>
      <c r="DW172" s="45">
        <f t="shared" si="52"/>
        <v>2</v>
      </c>
      <c r="DX172" s="47">
        <f t="shared" si="53"/>
        <v>2897.115434166667</v>
      </c>
      <c r="DY172" s="50">
        <f t="shared" si="54"/>
        <v>-5.4001247917767614E-13</v>
      </c>
      <c r="EA172" s="51">
        <f t="shared" si="80"/>
        <v>3.2867261303100054E-2</v>
      </c>
      <c r="EB172" s="51">
        <f t="shared" si="80"/>
        <v>9.7764362151303172E-2</v>
      </c>
      <c r="EC172" s="51">
        <f t="shared" si="80"/>
        <v>0.5687661701591713</v>
      </c>
      <c r="ED172" s="51">
        <f t="shared" si="80"/>
        <v>0.17184143693254936</v>
      </c>
      <c r="EE172" s="51">
        <f t="shared" si="80"/>
        <v>7.5241530740973506E-2</v>
      </c>
      <c r="EF172" s="51">
        <f t="shared" si="80"/>
        <v>5.3283551694032857E-2</v>
      </c>
      <c r="EG172" s="51">
        <f t="shared" si="80"/>
        <v>-4.5465482129774994E-4</v>
      </c>
      <c r="EH172" s="52">
        <f t="shared" si="59"/>
        <v>6.9034184016740247E-4</v>
      </c>
      <c r="EI172" s="51">
        <f t="shared" si="60"/>
        <v>0.99930965815983253</v>
      </c>
      <c r="EK172" s="53">
        <f>(EA172*'[2]Renewable Diesel'!BF181*'[2]Feedstock Conversion Rates'!B$2)+FB172</f>
        <v>61.580961686097197</v>
      </c>
      <c r="EL172" s="53">
        <f>(EB172*'[2]Renewable Diesel'!BF181*'[2]Feedstock Conversion Rates'!B$3)+FC172</f>
        <v>172.61443487496328</v>
      </c>
      <c r="EM172" s="53">
        <f>(EC172*'[2]Renewable Diesel'!BF181*'[2]Feedstock Conversion Rates'!B$4)+FD172</f>
        <v>940.28399504726588</v>
      </c>
      <c r="EN172" s="53">
        <f>(ED172*'[2]Renewable Diesel'!BF181*'[2]Feedstock Conversion Rates'!B$5)+FE172</f>
        <v>285.98211307171124</v>
      </c>
      <c r="EO172" s="53">
        <f>(EE172*'[2]Renewable Diesel'!BF181*'[2]Feedstock Conversion Rates'!B$6)+FF172</f>
        <v>155.56951018768632</v>
      </c>
      <c r="EP172" s="53">
        <f>(EF172*'[2]Renewable Diesel'!BF181*'[2]Feedstock Conversion Rates'!B$7)+FG172</f>
        <v>108.05503704202253</v>
      </c>
      <c r="EQ172" s="53">
        <f>(EG172*'[2]Renewable Diesel'!BF181*'[2]Feedstock Conversion Rates'!B$8)+FH172</f>
        <v>-0.93954395093881538</v>
      </c>
      <c r="ER172" s="53">
        <f>(EH172*'[2]Renewable Diesel'!BF181*'[2]Feedstock Conversion Rates'!B$9)+FI172</f>
        <v>1.4075698384013386</v>
      </c>
      <c r="ES172" s="53">
        <f t="shared" si="61"/>
        <v>1724.5540777972089</v>
      </c>
      <c r="ET172" s="36">
        <f>ES172/'[2]Renewable Diesel'!BF181</f>
        <v>7.8237108939501372</v>
      </c>
    </row>
    <row r="173" spans="1:150" x14ac:dyDescent="0.25">
      <c r="A173" s="39">
        <v>45689</v>
      </c>
      <c r="B173" s="45">
        <f t="shared" ref="B173:B180" si="96">85-2-4-0.5+0.75-3-10-7+35-4-5-80+100-7.5+35+124-5+72-17-7+20-20-5-70-23-30-10-20-68-45-17-11.5+75-10+30-2.5+5+10+29+5-11+30+15+7.5-22.5-12-7.5+2.5-140</f>
        <v>3.75</v>
      </c>
      <c r="C173" s="45">
        <f t="shared" ref="C173:C180" si="97">50-1-2.5+5+5+4-20+27.5+51+3-3+160</f>
        <v>279</v>
      </c>
      <c r="D173" s="45">
        <v>1</v>
      </c>
      <c r="E173" s="45">
        <f>('[2]Renewable Diesel'!B182*E$3*'[2]Feedstock Conversion Rates'!$B$2)/12-40+0.5+7+7.5-36+5+23+68+10+12.5-12-5-4-51-3</f>
        <v>72.430000000000007</v>
      </c>
      <c r="F173" s="45">
        <f>('[2]Renewable Diesel'!B182*'[2]RD Feedstock Breakdown'!F$3*'[2]Feedstock Conversion Rates'!B$8)/12-20+2-0.75+3+4+5-35+7+10+17+2.5-5-29+22.5-27.5</f>
        <v>9.65625</v>
      </c>
      <c r="G173" s="45">
        <f>('[2]Renewable Diesel'!B182*'[2]RD Feedstock Breakdown'!G$3*'[2]Feedstock Conversion Rates'!B$7)/12+20+80-100-124-20+20+70+20-75-30-10-15</f>
        <v>12.157000000000039</v>
      </c>
      <c r="H173" s="45">
        <f>('[2]Renewable Diesel'!B182*'[2]RD Feedstock Breakdown'!H$3*'[2]Feedstock Conversion Rates'!B$3)/12-85+4+10-72+17+30+45+11.5+2.5+1-30-7.5-5+12+7.5-2.5+160+3-160</f>
        <v>117.90022499999998</v>
      </c>
      <c r="I173" s="47">
        <f t="shared" si="75"/>
        <v>495.89347500000002</v>
      </c>
      <c r="J173" s="45">
        <f t="shared" si="95"/>
        <v>55</v>
      </c>
      <c r="K173" s="45">
        <v>65</v>
      </c>
      <c r="L173" s="45">
        <v>1</v>
      </c>
      <c r="M173" s="45">
        <f>('[2]Renewable Diesel'!C182*'[2]RD Feedstock Breakdown'!M$3*'[2]Feedstock Conversion Rates'!B$2)/12-15-10-30+10-3.5+38.5+25</f>
        <v>22.79025</v>
      </c>
      <c r="N173" s="45">
        <f>('[2]Renewable Diesel'!C182*'[2]RD Feedstock Breakdown'!N$3*'[2]Feedstock Conversion Rates'!B$8)/12+4-7+1.75+5+9.25-30+5-15</f>
        <v>-23.328125</v>
      </c>
      <c r="O173" s="45">
        <f>('[2]Renewable Diesel'!C182*'[2]RD Feedstock Breakdown'!O$3*'[2]Feedstock Conversion Rates'!B$7)/12+30+25-145+25+15-5-10-18+8</f>
        <v>-63.000900000000001</v>
      </c>
      <c r="P173" s="45">
        <f>('[2]Renewable Diesel'!C182*'[2]RD Feedstock Breakdown'!P$3*'[2]Feedstock Conversion Rates'!B$3)/12-15-59-10+15-7.5+25+15+25+75-15-23-20-45-10+15</f>
        <v>-24.052957499999991</v>
      </c>
      <c r="Q173" s="47">
        <f t="shared" si="85"/>
        <v>33.408267500000022</v>
      </c>
      <c r="R173" s="45">
        <f>('[2]Renewable Diesel'!D182*'[2]RD Feedstock Breakdown'!R$3*'[2]Feedstock Conversion Rates'!B$7)/12</f>
        <v>2.2999999999999998</v>
      </c>
      <c r="S173" s="47">
        <f t="shared" si="44"/>
        <v>2.2999999999999998</v>
      </c>
      <c r="T173" s="45">
        <f t="shared" ref="T173:T180" si="98">5.825+20-25+10+4-10</f>
        <v>4.8249999999999993</v>
      </c>
      <c r="U173" s="45">
        <v>0</v>
      </c>
      <c r="V173" s="45">
        <f>('[2]Renewable Diesel'!E182*'[2]RD Feedstock Breakdown'!V$3*'[2]Feedstock Conversion Rates'!B$6)/12-5+10</f>
        <v>49.250150000000012</v>
      </c>
      <c r="W173" s="45">
        <f>('[2]Renewable Diesel'!E182*'[2]RD Feedstock Breakdown'!W$3*'[2]Feedstock Conversion Rates'!B$8)/12-5.825-4</f>
        <v>12.354687500000001</v>
      </c>
      <c r="X173" s="47">
        <f t="shared" si="62"/>
        <v>66.429837500000005</v>
      </c>
      <c r="Y173" s="45">
        <f t="shared" si="93"/>
        <v>85.5</v>
      </c>
      <c r="Z173" s="45">
        <f>('[2]Renewable Diesel'!F182*'[2]RD Feedstock Breakdown'!Z$3*'[2]Feedstock Conversion Rates'!B$6)/12-50-32-60+15+25+32.5-50-5+10-25+15+5</f>
        <v>39.960000000000008</v>
      </c>
      <c r="AA173" s="45">
        <f>('[2]Renewable Diesel'!F182*'[2]RD Feedstock Breakdown'!AA$3*'[2]Feedstock Conversion Rates'!B$7)/12+80-171+75+70-20</f>
        <v>138.26666666666665</v>
      </c>
      <c r="AB173" s="47">
        <f t="shared" si="39"/>
        <v>263.72666666666669</v>
      </c>
      <c r="AC173" s="45">
        <f>('[2]Renewable Diesel'!G182*'[2]RD Feedstock Breakdown'!AC$3*'[2]Feedstock Conversion Rates'!B$5)/12</f>
        <v>7.864583333333333</v>
      </c>
      <c r="AD173" s="45">
        <f>('[2]Renewable Diesel'!G182*'[2]RD Feedstock Breakdown'!AD$3*'[2]Feedstock Conversion Rates'!B$4)/12</f>
        <v>3.90625</v>
      </c>
      <c r="AE173" s="45">
        <f>('[2]Renewable Diesel'!G182*'[2]RD Feedstock Breakdown'!AE$3*'[2]Feedstock Conversion Rates'!B$6)/12</f>
        <v>4.885416666666667</v>
      </c>
      <c r="AF173" s="47">
        <f t="shared" si="71"/>
        <v>16.65625</v>
      </c>
      <c r="AG173" s="45">
        <f t="shared" si="94"/>
        <v>139</v>
      </c>
      <c r="AH173" s="45">
        <v>0</v>
      </c>
      <c r="AI173" s="45">
        <f>('[2]Renewable Diesel'!H182*'[2]RD Feedstock Breakdown'!AI$3*'[2]Feedstock Conversion Rates'!B$6)/12-130-20+51+5-100-25+100-10-25+15+22.5-22.5</f>
        <v>9.5166666666666799</v>
      </c>
      <c r="AJ173" s="47">
        <f t="shared" si="42"/>
        <v>148.51666666666668</v>
      </c>
      <c r="AK173" s="45">
        <f>('[2]Renewable Diesel'!J182*'[2]RD Feedstock Breakdown'!AK$3*'[2]Feedstock Conversion Rates'!B$4)/12</f>
        <v>95.8125</v>
      </c>
      <c r="AL173" s="47">
        <f t="shared" si="45"/>
        <v>95.8125</v>
      </c>
      <c r="AM173" s="45">
        <f>('[2]Renewable Diesel'!K182*'[2]RD Feedstock Breakdown'!AM$3*'[2]Feedstock Conversion Rates'!B$4)/12+5+15-10+10-30</f>
        <v>48.59375</v>
      </c>
      <c r="AN173" s="45">
        <f>('[2]Renewable Diesel'!K182*'[2]RD Feedstock Breakdown'!AN$3*'[2]Feedstock Conversion Rates'!B$6)/12-5-15+10-10+30</f>
        <v>34.427083333333329</v>
      </c>
      <c r="AO173" s="47">
        <f t="shared" si="56"/>
        <v>83.020833333333329</v>
      </c>
      <c r="AP173" s="45">
        <f>('[2]Renewable Diesel'!L182*'[2]RD Feedstock Breakdown'!AP$3*'[2]Feedstock Conversion Rates'!B$4)/12+15-10-5+10+5+5</f>
        <v>78.59375</v>
      </c>
      <c r="AQ173" s="45">
        <f>('[2]Renewable Diesel'!L182*'[2]RD Feedstock Breakdown'!AQ$3*'[2]Feedstock Conversion Rates'!B$6)/12-15+10+5-10-5-5</f>
        <v>4.4270833333333321</v>
      </c>
      <c r="AR173" s="47">
        <f t="shared" si="46"/>
        <v>83.020833333333329</v>
      </c>
      <c r="AS173" s="45">
        <f>('[2]Renewable Diesel'!M182*'[2]RD Feedstock Breakdown'!AS$3*'[2]Feedstock Conversion Rates'!B$4)/12</f>
        <v>456.25</v>
      </c>
      <c r="AT173" s="45">
        <f>('[2]Renewable Diesel'!M182*'[2]RD Feedstock Breakdown'!AT$3*'[2]Feedstock Conversion Rates'!B$5)/12</f>
        <v>0</v>
      </c>
      <c r="AU173" s="47">
        <f t="shared" si="74"/>
        <v>456.25</v>
      </c>
      <c r="AV173" s="45">
        <f>'[2]Renewable Diesel'!N182*'[2]RD Feedstock Breakdown'!$AV$3*'[2]Feedstock Conversion Rates'!$B$4/12-15-10+25+25-22+22.5</f>
        <v>104.24999999999999</v>
      </c>
      <c r="AW173" s="45">
        <f>'[2]Renewable Diesel'!N182*'[2]RD Feedstock Breakdown'!$AW$3*'[2]Feedstock Conversion Rates'!$B$7/12+15+10-25-25+22-22.5</f>
        <v>15.900000000000006</v>
      </c>
      <c r="AX173" s="47">
        <f t="shared" si="40"/>
        <v>120.14999999999999</v>
      </c>
      <c r="AY173" s="45">
        <f>('[2]Renewable Diesel'!O182*'[2]RD Feedstock Breakdown'!AY$3*'[2]Feedstock Conversion Rates'!B$4)/12+34-100</f>
        <v>144.9375</v>
      </c>
      <c r="AZ173" s="45">
        <f>('[2]Renewable Diesel'!O182*'[2]RD Feedstock Breakdown'!AZ$3*'[2]Feedstock Conversion Rates'!B$3)/12-34+100</f>
        <v>91.03125</v>
      </c>
      <c r="BA173" s="47">
        <f t="shared" si="87"/>
        <v>235.96875</v>
      </c>
      <c r="BB173" s="45">
        <f>('[2]Renewable Diesel'!Q182*'[2]RD Feedstock Breakdown'!BB$3*'[2]Feedstock Conversion Rates'!B$4)/12</f>
        <v>11.156249999999998</v>
      </c>
      <c r="BC173" s="45">
        <f>('[2]Renewable Diesel'!Q182*'[2]RD Feedstock Breakdown'!BC$3*'[2]Feedstock Conversion Rates'!B$3)/12</f>
        <v>1.4017500000000001</v>
      </c>
      <c r="BD173" s="45">
        <f>('[2]Renewable Diesel'!Q182*'[2]RD Feedstock Breakdown'!BD$3*'[2]Feedstock Conversion Rates'!B$6)/12</f>
        <v>0.8207500000000002</v>
      </c>
      <c r="BE173" s="47">
        <f t="shared" si="64"/>
        <v>13.378749999999998</v>
      </c>
      <c r="BF173" s="45">
        <f>('[2]Renewable Diesel'!R182*'[2]RD Feedstock Breakdown'!BF$3*'[2]Feedstock Conversion Rates'!B$4)/12</f>
        <v>62.5</v>
      </c>
      <c r="BG173" s="47">
        <f t="shared" si="47"/>
        <v>62.5</v>
      </c>
      <c r="BH173" s="45">
        <f>('[2]Renewable Diesel'!T182*'[2]RD Feedstock Breakdown'!BH$3*'[2]Feedstock Conversion Rates'!B$7)/12</f>
        <v>27.599999999999998</v>
      </c>
      <c r="BI173" s="47">
        <f t="shared" si="41"/>
        <v>27.599999999999998</v>
      </c>
      <c r="BJ173" s="45">
        <f>('[2]Renewable Diesel'!W182*'[2]RD Feedstock Breakdown'!BJ$3*'[2]Feedstock Conversion Rates'!B$4)/12</f>
        <v>7.5</v>
      </c>
      <c r="BK173" s="45">
        <f>('[2]Renewable Diesel'!W182*'[2]RD Feedstock Breakdown'!BK$3*'[2]Feedstock Conversion Rates'!B$3)/12</f>
        <v>1.335</v>
      </c>
      <c r="BL173" s="45">
        <f>('[2]Renewable Diesel'!W182*'[2]RD Feedstock Breakdown'!BL$3*'[2]Feedstock Conversion Rates'!B$6)/12</f>
        <v>3.1266666666666669</v>
      </c>
      <c r="BM173" s="45">
        <f>('[2]Renewable Diesel'!W182*'[2]RD Feedstock Breakdown'!BM$3*'[2]Feedstock Conversion Rates'!B$7)/12</f>
        <v>1.5333333333333332</v>
      </c>
      <c r="BN173" s="47">
        <f t="shared" si="78"/>
        <v>13.495000000000001</v>
      </c>
      <c r="BO173" s="45">
        <f>('[2]Renewable Diesel'!P182*'[2]Feedstock Conversion Rates'!B$4)/12</f>
        <v>31.25</v>
      </c>
      <c r="BP173" s="47">
        <f t="shared" si="72"/>
        <v>31.25</v>
      </c>
      <c r="BQ173" s="45">
        <f>('[2]Renewable Diesel'!$S182*'[2]RD Feedstock Breakdown'!BQ$3*'[2]Feedstock Conversion Rates'!B$4)/12+10</f>
        <v>38.125</v>
      </c>
      <c r="BR173" s="45">
        <f>('[2]Renewable Diesel'!$S182*'[2]RD Feedstock Breakdown'!BR$3*'[2]Feedstock Conversion Rates'!B$7)/12-10</f>
        <v>1.5</v>
      </c>
      <c r="BS173" s="47">
        <f t="shared" si="90"/>
        <v>39.625</v>
      </c>
      <c r="BT173" s="47"/>
      <c r="BU173" s="45">
        <f>('[2]Renewable Diesel'!Y182*'[2]Feedstock Conversion Rates'!B$7)/12</f>
        <v>2.6833333333333331</v>
      </c>
      <c r="BV173" s="47">
        <f t="shared" si="67"/>
        <v>2.6833333333333331</v>
      </c>
      <c r="BW173" s="45">
        <f>('[2]Renewable Diesel'!$Z182*'[2]RD Feedstock Breakdown'!BW$3*'[2]Feedstock Conversion Rates'!$B$4)/12</f>
        <v>17.96875</v>
      </c>
      <c r="BX173" s="45">
        <f>('[2]Renewable Diesel'!$Z182*'[2]RD Feedstock Breakdown'!BX$3*'[2]Feedstock Conversion Rates'!$B$5)/12</f>
        <v>1.8088541666666667</v>
      </c>
      <c r="BY173" s="45">
        <f>('[2]Renewable Diesel'!$Z182*'[2]RD Feedstock Breakdown'!BY$3*'[2]Feedstock Conversion Rates'!$B$7)/12</f>
        <v>15.429166666666665</v>
      </c>
      <c r="BZ173" s="45">
        <f>('[2]Renewable Diesel'!$Z182*'[2]RD Feedstock Breakdown'!BZ$3*'[2]Feedstock Conversion Rates'!$B$3)/12</f>
        <v>3.8381249999999998</v>
      </c>
      <c r="CA173" s="47">
        <f t="shared" si="91"/>
        <v>39.044895833333328</v>
      </c>
      <c r="CB173" s="45">
        <f>('[2]Renewable Diesel'!AA182*'[2]Feedstock Conversion Rates'!B$4)/12</f>
        <v>191.25</v>
      </c>
      <c r="CC173" s="47">
        <f t="shared" si="79"/>
        <v>191.25</v>
      </c>
      <c r="CD173" s="45">
        <f>('[2]Renewable Diesel'!$AB182*'[2]RD Feedstock Breakdown'!CD$3*'[2]Feedstock Conversion Rates'!$B$6)/12-15</f>
        <v>17.830000000000005</v>
      </c>
      <c r="CE173" s="45">
        <f>('[2]Renewable Diesel'!$AB182*'[2]RD Feedstock Breakdown'!CE$3*'[2]Feedstock Conversion Rates'!$B$4)/12+15</f>
        <v>26.25</v>
      </c>
      <c r="CF173" s="47">
        <f t="shared" si="76"/>
        <v>44.080000000000005</v>
      </c>
      <c r="CG173" s="45">
        <f>('[2]Renewable Diesel'!AD182*'[2]Feedstock Conversion Rates'!B$4)/12</f>
        <v>112.5</v>
      </c>
      <c r="CH173" s="47">
        <f t="shared" si="63"/>
        <v>112.5</v>
      </c>
      <c r="CI173" s="45">
        <f>('[2]Renewable Diesel'!$AE182*'[2]RD Feedstock Breakdown'!CI$3*'[2]Feedstock Conversion Rates'!$B$5)/12</f>
        <v>0.34604166666666664</v>
      </c>
      <c r="CJ173" s="45">
        <f>('[2]Renewable Diesel'!$AE182*'[2]RD Feedstock Breakdown'!CJ$3*'[2]Feedstock Conversion Rates'!$B$4)/12</f>
        <v>0.34375</v>
      </c>
      <c r="CK173" s="47">
        <f t="shared" si="73"/>
        <v>0.68979166666666658</v>
      </c>
      <c r="CL173" s="45">
        <f>(((CL$3*'[2]Renewable Diesel'!$AF182)*'[2]Feedstock Conversion Rates'!$B$3)/12)</f>
        <v>91.78125</v>
      </c>
      <c r="CM173" s="45">
        <f>(((CM$3*'[2]Renewable Diesel'!$AF182)*'[2]Feedstock Conversion Rates'!$B$6)/12)</f>
        <v>53.739583333333336</v>
      </c>
      <c r="CN173" s="45">
        <f>(((CN$3*'[2]Renewable Diesel'!$AF182)*'[2]Feedstock Conversion Rates'!$B$4)/12)</f>
        <v>42.96875</v>
      </c>
      <c r="CO173" s="47">
        <f t="shared" si="65"/>
        <v>188.48958333333334</v>
      </c>
      <c r="CP173" s="47"/>
      <c r="CQ173" s="47"/>
      <c r="CR173" s="47"/>
      <c r="CS173" s="47"/>
      <c r="CT173" s="45">
        <f>('[2]Renewable Diesel'!AI182*'[2]Feedstock Conversion Rates'!$B$4*'[2]RD Feedstock Breakdown'!$CT$3)/12</f>
        <v>29.375</v>
      </c>
      <c r="CU173" s="47">
        <f t="shared" si="69"/>
        <v>29.375</v>
      </c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5">
        <f>('[2]Renewable Diesel'!AT182*'[2]Feedstock Conversion Rates'!$B$4*0.25)/12</f>
        <v>0</v>
      </c>
      <c r="DK173" s="45">
        <f>('[2]Renewable Diesel'!$AT182*'[2]RD Feedstock Breakdown'!DK$3*'[2]Feedstock Conversion Rates'!$B$3)/12*0.5</f>
        <v>0</v>
      </c>
      <c r="DL173" s="45">
        <f>('[2]Renewable Diesel'!$AT182*'[2]RD Feedstock Breakdown'!$DL$3*'[2]Feedstock Conversion Rates'!$B$6)/12</f>
        <v>0</v>
      </c>
      <c r="DM173" s="45">
        <f>('[2]Renewable Diesel'!$AT182*'[2]RD Feedstock Breakdown'!$DM$3*'[2]Feedstock Conversion Rates'!$B$8)/12</f>
        <v>0</v>
      </c>
      <c r="DN173" s="47">
        <f t="shared" si="77"/>
        <v>0</v>
      </c>
      <c r="DP173" s="45">
        <f t="shared" si="48"/>
        <v>95.220250000000007</v>
      </c>
      <c r="DQ173" s="45">
        <f t="shared" si="49"/>
        <v>283.23464249999995</v>
      </c>
      <c r="DR173" s="45">
        <f t="shared" si="57"/>
        <v>1647.78125</v>
      </c>
      <c r="DS173" s="45">
        <f t="shared" si="70"/>
        <v>497.84447916666664</v>
      </c>
      <c r="DT173" s="45">
        <f t="shared" si="50"/>
        <v>217.98340000000007</v>
      </c>
      <c r="DU173" s="45">
        <f t="shared" si="51"/>
        <v>154.36860000000004</v>
      </c>
      <c r="DV173" s="45">
        <f t="shared" si="58"/>
        <v>-1.3171874999999993</v>
      </c>
      <c r="DW173" s="45">
        <f t="shared" si="52"/>
        <v>2</v>
      </c>
      <c r="DX173" s="47">
        <f t="shared" si="53"/>
        <v>2897.115434166667</v>
      </c>
      <c r="DY173" s="50">
        <f t="shared" si="54"/>
        <v>-5.4001247917767614E-13</v>
      </c>
      <c r="EA173" s="51">
        <f t="shared" si="80"/>
        <v>3.2867261303100054E-2</v>
      </c>
      <c r="EB173" s="51">
        <f t="shared" si="80"/>
        <v>9.7764362151303172E-2</v>
      </c>
      <c r="EC173" s="51">
        <f t="shared" si="80"/>
        <v>0.5687661701591713</v>
      </c>
      <c r="ED173" s="51">
        <f t="shared" si="80"/>
        <v>0.17184143693254936</v>
      </c>
      <c r="EE173" s="51">
        <f t="shared" si="80"/>
        <v>7.5241530740973506E-2</v>
      </c>
      <c r="EF173" s="51">
        <f t="shared" si="80"/>
        <v>5.3283551694032857E-2</v>
      </c>
      <c r="EG173" s="51">
        <f t="shared" si="80"/>
        <v>-4.5465482129774994E-4</v>
      </c>
      <c r="EH173" s="52">
        <f t="shared" si="59"/>
        <v>6.9034184016740247E-4</v>
      </c>
      <c r="EI173" s="51">
        <f t="shared" si="60"/>
        <v>0.99930965815983253</v>
      </c>
      <c r="EK173" s="53">
        <f>(EA173*'[2]Renewable Diesel'!BF182*'[2]Feedstock Conversion Rates'!B$2)+FB173</f>
        <v>55.090774145607433</v>
      </c>
      <c r="EL173" s="53">
        <f>(EB173*'[2]Renewable Diesel'!BF182*'[2]Feedstock Conversion Rates'!B$3)+FC173</f>
        <v>154.42212309774899</v>
      </c>
      <c r="EM173" s="53">
        <f>(EC173*'[2]Renewable Diesel'!BF182*'[2]Feedstock Conversion Rates'!B$4)+FD173</f>
        <v>841.1848692446323</v>
      </c>
      <c r="EN173" s="53">
        <f>(ED173*'[2]Renewable Diesel'!BF182*'[2]Feedstock Conversion Rates'!B$5)+FE173</f>
        <v>255.84166874864067</v>
      </c>
      <c r="EO173" s="53">
        <f>(EE173*'[2]Renewable Diesel'!BF182*'[2]Feedstock Conversion Rates'!B$6)+FF173</f>
        <v>139.17361007415874</v>
      </c>
      <c r="EP173" s="53">
        <f>(EF173*'[2]Renewable Diesel'!BF182*'[2]Feedstock Conversion Rates'!B$7)+FG173</f>
        <v>96.666818412503744</v>
      </c>
      <c r="EQ173" s="53">
        <f>(EG173*'[2]Renewable Diesel'!BF182*'[2]Feedstock Conversion Rates'!B$8)+FH173</f>
        <v>-0.84052282042759263</v>
      </c>
      <c r="ER173" s="53">
        <f>(EH173*'[2]Renewable Diesel'!BF182*'[2]Feedstock Conversion Rates'!B$9)+FI173</f>
        <v>1.2592221676694602</v>
      </c>
      <c r="ES173" s="53">
        <f t="shared" si="61"/>
        <v>1542.7985630705334</v>
      </c>
      <c r="ET173" s="36">
        <f>ES173/'[2]Renewable Diesel'!BF182</f>
        <v>7.8237108939501354</v>
      </c>
    </row>
    <row r="174" spans="1:150" x14ac:dyDescent="0.25">
      <c r="A174" s="39">
        <v>45717</v>
      </c>
      <c r="B174" s="45">
        <f t="shared" si="96"/>
        <v>3.75</v>
      </c>
      <c r="C174" s="45">
        <f t="shared" si="97"/>
        <v>279</v>
      </c>
      <c r="D174" s="45">
        <v>1</v>
      </c>
      <c r="E174" s="45">
        <f>('[2]Renewable Diesel'!B183*E$3*'[2]Feedstock Conversion Rates'!$B$2)/12-40+0.5+7+7.5-36+5+23+68+10+12.5-12-5-4-51-3</f>
        <v>72.430000000000007</v>
      </c>
      <c r="F174" s="45">
        <f>('[2]Renewable Diesel'!B183*'[2]RD Feedstock Breakdown'!F$3*'[2]Feedstock Conversion Rates'!B$8)/12-20+2-0.75+3+4+5-35+7+10+17+2.5-5-29+22.5-27.5</f>
        <v>9.65625</v>
      </c>
      <c r="G174" s="45">
        <f>('[2]Renewable Diesel'!B183*'[2]RD Feedstock Breakdown'!G$3*'[2]Feedstock Conversion Rates'!B$7)/12+20+80-100-124-20+20+70+20-75-30-10-15</f>
        <v>12.157000000000039</v>
      </c>
      <c r="H174" s="45">
        <f>('[2]Renewable Diesel'!B183*'[2]RD Feedstock Breakdown'!H$3*'[2]Feedstock Conversion Rates'!B$3)/12-85+4+10-72+17+30+45+11.5+2.5+1-30-7.5-5+12+7.5-2.5+160+3-160</f>
        <v>117.90022499999998</v>
      </c>
      <c r="I174" s="47">
        <f t="shared" si="75"/>
        <v>495.89347500000002</v>
      </c>
      <c r="J174" s="45">
        <f t="shared" si="95"/>
        <v>55</v>
      </c>
      <c r="K174" s="45">
        <v>65</v>
      </c>
      <c r="L174" s="45">
        <v>1</v>
      </c>
      <c r="M174" s="45">
        <f>('[2]Renewable Diesel'!C183*'[2]RD Feedstock Breakdown'!M$3*'[2]Feedstock Conversion Rates'!B$2)/12-15-10-30+10-3.5+38.5+25</f>
        <v>22.79025</v>
      </c>
      <c r="N174" s="45">
        <f>('[2]Renewable Diesel'!C183*'[2]RD Feedstock Breakdown'!N$3*'[2]Feedstock Conversion Rates'!B$8)/12+4-7+1.75+5+9.25-30+5-15</f>
        <v>-23.328125</v>
      </c>
      <c r="O174" s="45">
        <f>('[2]Renewable Diesel'!C183*'[2]RD Feedstock Breakdown'!O$3*'[2]Feedstock Conversion Rates'!B$7)/12+30+25-145+25+15-5-10-18+8</f>
        <v>-63.000900000000001</v>
      </c>
      <c r="P174" s="45">
        <f>('[2]Renewable Diesel'!C183*'[2]RD Feedstock Breakdown'!P$3*'[2]Feedstock Conversion Rates'!B$3)/12-15-59-10+15-7.5+25+15+25+75-15-23-20-45-10+15</f>
        <v>-24.052957499999991</v>
      </c>
      <c r="Q174" s="47">
        <f t="shared" si="85"/>
        <v>33.408267500000022</v>
      </c>
      <c r="R174" s="45">
        <f>('[2]Renewable Diesel'!D183*'[2]RD Feedstock Breakdown'!R$3*'[2]Feedstock Conversion Rates'!B$7)/12</f>
        <v>2.2999999999999998</v>
      </c>
      <c r="S174" s="47">
        <f t="shared" si="44"/>
        <v>2.2999999999999998</v>
      </c>
      <c r="T174" s="45">
        <f t="shared" si="98"/>
        <v>4.8249999999999993</v>
      </c>
      <c r="U174" s="45">
        <v>0</v>
      </c>
      <c r="V174" s="45">
        <f>('[2]Renewable Diesel'!E183*'[2]RD Feedstock Breakdown'!V$3*'[2]Feedstock Conversion Rates'!B$6)/12-5+10</f>
        <v>49.250150000000012</v>
      </c>
      <c r="W174" s="45">
        <f>('[2]Renewable Diesel'!E183*'[2]RD Feedstock Breakdown'!W$3*'[2]Feedstock Conversion Rates'!B$8)/12-5.825-4</f>
        <v>12.354687500000001</v>
      </c>
      <c r="X174" s="47">
        <f t="shared" si="62"/>
        <v>66.429837500000005</v>
      </c>
      <c r="Y174" s="45">
        <f t="shared" si="93"/>
        <v>85.5</v>
      </c>
      <c r="Z174" s="45">
        <f>('[2]Renewable Diesel'!F183*'[2]RD Feedstock Breakdown'!Z$3*'[2]Feedstock Conversion Rates'!B$6)/12-50-32-60+15+25+32.5-50-5+10-25+15+5</f>
        <v>39.960000000000008</v>
      </c>
      <c r="AA174" s="45">
        <f>('[2]Renewable Diesel'!F183*'[2]RD Feedstock Breakdown'!AA$3*'[2]Feedstock Conversion Rates'!B$7)/12+80-171+75+70-20</f>
        <v>138.26666666666665</v>
      </c>
      <c r="AB174" s="47">
        <f t="shared" si="39"/>
        <v>263.72666666666669</v>
      </c>
      <c r="AC174" s="45">
        <f>('[2]Renewable Diesel'!G183*'[2]RD Feedstock Breakdown'!AC$3*'[2]Feedstock Conversion Rates'!B$5)/12</f>
        <v>7.864583333333333</v>
      </c>
      <c r="AD174" s="45">
        <f>('[2]Renewable Diesel'!G183*'[2]RD Feedstock Breakdown'!AD$3*'[2]Feedstock Conversion Rates'!B$4)/12</f>
        <v>3.90625</v>
      </c>
      <c r="AE174" s="45">
        <f>('[2]Renewable Diesel'!G183*'[2]RD Feedstock Breakdown'!AE$3*'[2]Feedstock Conversion Rates'!B$6)/12</f>
        <v>4.885416666666667</v>
      </c>
      <c r="AF174" s="47">
        <f t="shared" si="71"/>
        <v>16.65625</v>
      </c>
      <c r="AG174" s="45">
        <f t="shared" si="94"/>
        <v>139</v>
      </c>
      <c r="AH174" s="45">
        <v>0</v>
      </c>
      <c r="AI174" s="45">
        <f>('[2]Renewable Diesel'!H183*'[2]RD Feedstock Breakdown'!AI$3*'[2]Feedstock Conversion Rates'!B$6)/12-130-20+51+5-100-25+100-10-25+15+22.5-22.5</f>
        <v>9.5166666666666799</v>
      </c>
      <c r="AJ174" s="47">
        <f t="shared" si="42"/>
        <v>148.51666666666668</v>
      </c>
      <c r="AK174" s="45">
        <f>('[2]Renewable Diesel'!J183*'[2]RD Feedstock Breakdown'!AK$3*'[2]Feedstock Conversion Rates'!B$4)/12</f>
        <v>95.8125</v>
      </c>
      <c r="AL174" s="47">
        <f t="shared" si="45"/>
        <v>95.8125</v>
      </c>
      <c r="AM174" s="45">
        <f>('[2]Renewable Diesel'!K183*'[2]RD Feedstock Breakdown'!AM$3*'[2]Feedstock Conversion Rates'!B$4)/12+5+15-10+10-30</f>
        <v>48.59375</v>
      </c>
      <c r="AN174" s="45">
        <f>('[2]Renewable Diesel'!K183*'[2]RD Feedstock Breakdown'!AN$3*'[2]Feedstock Conversion Rates'!B$6)/12-5-15+10-10+30</f>
        <v>34.427083333333329</v>
      </c>
      <c r="AO174" s="47">
        <f t="shared" si="56"/>
        <v>83.020833333333329</v>
      </c>
      <c r="AP174" s="45">
        <f>('[2]Renewable Diesel'!L183*'[2]RD Feedstock Breakdown'!AP$3*'[2]Feedstock Conversion Rates'!B$4)/12+15-10-5+10+5+5</f>
        <v>78.59375</v>
      </c>
      <c r="AQ174" s="45">
        <f>('[2]Renewable Diesel'!L183*'[2]RD Feedstock Breakdown'!AQ$3*'[2]Feedstock Conversion Rates'!B$6)/12-15+10+5-10-5-5</f>
        <v>4.4270833333333321</v>
      </c>
      <c r="AR174" s="47">
        <f t="shared" si="46"/>
        <v>83.020833333333329</v>
      </c>
      <c r="AS174" s="45">
        <f>('[2]Renewable Diesel'!M183*'[2]RD Feedstock Breakdown'!AS$3*'[2]Feedstock Conversion Rates'!B$4)/12</f>
        <v>456.25</v>
      </c>
      <c r="AT174" s="45">
        <f>('[2]Renewable Diesel'!M183*'[2]RD Feedstock Breakdown'!AT$3*'[2]Feedstock Conversion Rates'!B$5)/12</f>
        <v>0</v>
      </c>
      <c r="AU174" s="47">
        <f t="shared" si="74"/>
        <v>456.25</v>
      </c>
      <c r="AV174" s="45">
        <f>'[2]Renewable Diesel'!N183*'[2]RD Feedstock Breakdown'!$AV$3*'[2]Feedstock Conversion Rates'!$B$4/12-15-10+25+25-22+22.5</f>
        <v>104.24999999999999</v>
      </c>
      <c r="AW174" s="45">
        <f>'[2]Renewable Diesel'!N183*'[2]RD Feedstock Breakdown'!$AW$3*'[2]Feedstock Conversion Rates'!$B$7/12+15+10-25-25+22-22.5</f>
        <v>15.900000000000006</v>
      </c>
      <c r="AX174" s="47">
        <f t="shared" si="40"/>
        <v>120.14999999999999</v>
      </c>
      <c r="AY174" s="45">
        <f>('[2]Renewable Diesel'!O183*'[2]RD Feedstock Breakdown'!AY$3*'[2]Feedstock Conversion Rates'!B$4)/12+34-100</f>
        <v>144.9375</v>
      </c>
      <c r="AZ174" s="45">
        <f>('[2]Renewable Diesel'!O183*'[2]RD Feedstock Breakdown'!AZ$3*'[2]Feedstock Conversion Rates'!B$3)/12-34+100</f>
        <v>91.03125</v>
      </c>
      <c r="BA174" s="47">
        <f t="shared" si="87"/>
        <v>235.96875</v>
      </c>
      <c r="BB174" s="45">
        <f>('[2]Renewable Diesel'!Q183*'[2]RD Feedstock Breakdown'!BB$3*'[2]Feedstock Conversion Rates'!B$4)/12</f>
        <v>11.156249999999998</v>
      </c>
      <c r="BC174" s="45">
        <f>('[2]Renewable Diesel'!Q183*'[2]RD Feedstock Breakdown'!BC$3*'[2]Feedstock Conversion Rates'!B$3)/12</f>
        <v>1.4017500000000001</v>
      </c>
      <c r="BD174" s="45">
        <f>('[2]Renewable Diesel'!Q183*'[2]RD Feedstock Breakdown'!BD$3*'[2]Feedstock Conversion Rates'!B$6)/12</f>
        <v>0.8207500000000002</v>
      </c>
      <c r="BE174" s="47">
        <f t="shared" si="64"/>
        <v>13.378749999999998</v>
      </c>
      <c r="BF174" s="45">
        <f>('[2]Renewable Diesel'!R183*'[2]RD Feedstock Breakdown'!BF$3*'[2]Feedstock Conversion Rates'!B$4)/12</f>
        <v>62.5</v>
      </c>
      <c r="BG174" s="47">
        <f t="shared" si="47"/>
        <v>62.5</v>
      </c>
      <c r="BH174" s="45">
        <f>('[2]Renewable Diesel'!T183*'[2]RD Feedstock Breakdown'!BH$3*'[2]Feedstock Conversion Rates'!B$7)/12</f>
        <v>27.599999999999998</v>
      </c>
      <c r="BI174" s="47">
        <f t="shared" si="41"/>
        <v>27.599999999999998</v>
      </c>
      <c r="BJ174" s="45">
        <f>('[2]Renewable Diesel'!W183*'[2]RD Feedstock Breakdown'!BJ$3*'[2]Feedstock Conversion Rates'!B$4)/12</f>
        <v>7.5</v>
      </c>
      <c r="BK174" s="45">
        <f>('[2]Renewable Diesel'!W183*'[2]RD Feedstock Breakdown'!BK$3*'[2]Feedstock Conversion Rates'!B$3)/12</f>
        <v>1.335</v>
      </c>
      <c r="BL174" s="45">
        <f>('[2]Renewable Diesel'!W183*'[2]RD Feedstock Breakdown'!BL$3*'[2]Feedstock Conversion Rates'!B$6)/12</f>
        <v>3.1266666666666669</v>
      </c>
      <c r="BM174" s="45">
        <f>('[2]Renewable Diesel'!W183*'[2]RD Feedstock Breakdown'!BM$3*'[2]Feedstock Conversion Rates'!B$7)/12</f>
        <v>1.5333333333333332</v>
      </c>
      <c r="BN174" s="47">
        <f t="shared" si="78"/>
        <v>13.495000000000001</v>
      </c>
      <c r="BO174" s="45">
        <f>('[2]Renewable Diesel'!P183*'[2]Feedstock Conversion Rates'!B$4)/12</f>
        <v>31.25</v>
      </c>
      <c r="BP174" s="47">
        <f t="shared" si="72"/>
        <v>31.25</v>
      </c>
      <c r="BQ174" s="45">
        <f>('[2]Renewable Diesel'!$S183*'[2]RD Feedstock Breakdown'!BQ$3*'[2]Feedstock Conversion Rates'!B$4)/12+10</f>
        <v>38.125</v>
      </c>
      <c r="BR174" s="45">
        <f>('[2]Renewable Diesel'!$S183*'[2]RD Feedstock Breakdown'!BR$3*'[2]Feedstock Conversion Rates'!B$7)/12-10</f>
        <v>1.5</v>
      </c>
      <c r="BS174" s="47">
        <f t="shared" si="90"/>
        <v>39.625</v>
      </c>
      <c r="BT174" s="47"/>
      <c r="BU174" s="45">
        <f>('[2]Renewable Diesel'!Y183*'[2]Feedstock Conversion Rates'!B$7)/12</f>
        <v>2.6833333333333331</v>
      </c>
      <c r="BV174" s="47">
        <f t="shared" si="67"/>
        <v>2.6833333333333331</v>
      </c>
      <c r="BW174" s="45">
        <f>('[2]Renewable Diesel'!$Z183*'[2]RD Feedstock Breakdown'!BW$3*'[2]Feedstock Conversion Rates'!$B$4)/12</f>
        <v>17.96875</v>
      </c>
      <c r="BX174" s="45">
        <f>('[2]Renewable Diesel'!$Z183*'[2]RD Feedstock Breakdown'!BX$3*'[2]Feedstock Conversion Rates'!$B$5)/12</f>
        <v>1.8088541666666667</v>
      </c>
      <c r="BY174" s="45">
        <f>('[2]Renewable Diesel'!$Z183*'[2]RD Feedstock Breakdown'!BY$3*'[2]Feedstock Conversion Rates'!$B$7)/12</f>
        <v>15.429166666666665</v>
      </c>
      <c r="BZ174" s="45">
        <f>('[2]Renewable Diesel'!$Z183*'[2]RD Feedstock Breakdown'!BZ$3*'[2]Feedstock Conversion Rates'!$B$3)/12</f>
        <v>3.8381249999999998</v>
      </c>
      <c r="CA174" s="47">
        <f t="shared" si="91"/>
        <v>39.044895833333328</v>
      </c>
      <c r="CB174" s="45">
        <f>('[2]Renewable Diesel'!AA183*'[2]Feedstock Conversion Rates'!B$4)/12</f>
        <v>191.25</v>
      </c>
      <c r="CC174" s="47">
        <f t="shared" si="79"/>
        <v>191.25</v>
      </c>
      <c r="CD174" s="45">
        <f>('[2]Renewable Diesel'!$AB183*'[2]RD Feedstock Breakdown'!CD$3*'[2]Feedstock Conversion Rates'!$B$6)/12-15</f>
        <v>17.830000000000005</v>
      </c>
      <c r="CE174" s="45">
        <f>('[2]Renewable Diesel'!$AB183*'[2]RD Feedstock Breakdown'!CE$3*'[2]Feedstock Conversion Rates'!$B$4)/12+15</f>
        <v>26.25</v>
      </c>
      <c r="CF174" s="47">
        <f t="shared" si="76"/>
        <v>44.080000000000005</v>
      </c>
      <c r="CG174" s="45">
        <f>('[2]Renewable Diesel'!AD183*'[2]Feedstock Conversion Rates'!B$4)/12</f>
        <v>112.5</v>
      </c>
      <c r="CH174" s="47">
        <f t="shared" si="63"/>
        <v>112.5</v>
      </c>
      <c r="CI174" s="45">
        <f>('[2]Renewable Diesel'!$AE183*'[2]RD Feedstock Breakdown'!CI$3*'[2]Feedstock Conversion Rates'!$B$5)/12</f>
        <v>0.34604166666666664</v>
      </c>
      <c r="CJ174" s="45">
        <f>('[2]Renewable Diesel'!$AE183*'[2]RD Feedstock Breakdown'!CJ$3*'[2]Feedstock Conversion Rates'!$B$4)/12</f>
        <v>0.34375</v>
      </c>
      <c r="CK174" s="47">
        <f t="shared" si="73"/>
        <v>0.68979166666666658</v>
      </c>
      <c r="CL174" s="45">
        <f>(((CL$3*'[2]Renewable Diesel'!$AF183)*'[2]Feedstock Conversion Rates'!$B$3)/12)</f>
        <v>91.78125</v>
      </c>
      <c r="CM174" s="45">
        <f>(((CM$3*'[2]Renewable Diesel'!$AF183)*'[2]Feedstock Conversion Rates'!$B$6)/12)</f>
        <v>53.739583333333336</v>
      </c>
      <c r="CN174" s="45">
        <f>(((CN$3*'[2]Renewable Diesel'!$AF183)*'[2]Feedstock Conversion Rates'!$B$4)/12)</f>
        <v>42.96875</v>
      </c>
      <c r="CO174" s="47">
        <f t="shared" si="65"/>
        <v>188.48958333333334</v>
      </c>
      <c r="CP174" s="47"/>
      <c r="CQ174" s="47"/>
      <c r="CR174" s="47"/>
      <c r="CS174" s="47"/>
      <c r="CT174" s="45">
        <f>('[2]Renewable Diesel'!AI183*'[2]Feedstock Conversion Rates'!$B$4*'[2]RD Feedstock Breakdown'!$CT$3)/12</f>
        <v>29.375</v>
      </c>
      <c r="CU174" s="47">
        <f t="shared" si="69"/>
        <v>29.375</v>
      </c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5">
        <f>('[2]Renewable Diesel'!AT183*'[2]Feedstock Conversion Rates'!$B$4*0.25)/12</f>
        <v>0</v>
      </c>
      <c r="DK174" s="45">
        <f>('[2]Renewable Diesel'!$AT183*'[2]RD Feedstock Breakdown'!DK$3*'[2]Feedstock Conversion Rates'!$B$3)/12*0.5</f>
        <v>0</v>
      </c>
      <c r="DL174" s="45">
        <f>('[2]Renewable Diesel'!$AT183*'[2]RD Feedstock Breakdown'!$DL$3*'[2]Feedstock Conversion Rates'!$B$6)/12</f>
        <v>0</v>
      </c>
      <c r="DM174" s="45">
        <f>('[2]Renewable Diesel'!$AT183*'[2]RD Feedstock Breakdown'!$DM$3*'[2]Feedstock Conversion Rates'!$B$8)/12</f>
        <v>0</v>
      </c>
      <c r="DN174" s="47">
        <f t="shared" si="77"/>
        <v>0</v>
      </c>
      <c r="DP174" s="45">
        <f t="shared" si="48"/>
        <v>95.220250000000007</v>
      </c>
      <c r="DQ174" s="45">
        <f t="shared" si="49"/>
        <v>283.23464249999995</v>
      </c>
      <c r="DR174" s="45">
        <f t="shared" si="57"/>
        <v>1647.78125</v>
      </c>
      <c r="DS174" s="45">
        <f t="shared" si="70"/>
        <v>497.84447916666664</v>
      </c>
      <c r="DT174" s="45">
        <f t="shared" si="50"/>
        <v>217.98340000000007</v>
      </c>
      <c r="DU174" s="45">
        <f t="shared" si="51"/>
        <v>154.36860000000004</v>
      </c>
      <c r="DV174" s="45">
        <f t="shared" si="58"/>
        <v>-1.3171874999999993</v>
      </c>
      <c r="DW174" s="45">
        <f t="shared" si="52"/>
        <v>2</v>
      </c>
      <c r="DX174" s="47">
        <f t="shared" si="53"/>
        <v>2897.115434166667</v>
      </c>
      <c r="DY174" s="50">
        <f t="shared" si="54"/>
        <v>-5.4001247917767614E-13</v>
      </c>
      <c r="EA174" s="51">
        <f t="shared" si="80"/>
        <v>3.2867261303100054E-2</v>
      </c>
      <c r="EB174" s="51">
        <f t="shared" si="80"/>
        <v>9.7764362151303172E-2</v>
      </c>
      <c r="EC174" s="51">
        <f t="shared" si="80"/>
        <v>0.5687661701591713</v>
      </c>
      <c r="ED174" s="51">
        <f t="shared" si="80"/>
        <v>0.17184143693254936</v>
      </c>
      <c r="EE174" s="51">
        <f t="shared" si="80"/>
        <v>7.5241530740973506E-2</v>
      </c>
      <c r="EF174" s="51">
        <f t="shared" si="80"/>
        <v>5.3283551694032857E-2</v>
      </c>
      <c r="EG174" s="51">
        <f t="shared" si="80"/>
        <v>-4.5465482129774994E-4</v>
      </c>
      <c r="EH174" s="52">
        <f t="shared" si="59"/>
        <v>6.9034184016740247E-4</v>
      </c>
      <c r="EI174" s="51">
        <f t="shared" si="60"/>
        <v>0.99930965815983253</v>
      </c>
      <c r="EK174" s="53">
        <f>(EA174*'[2]Renewable Diesel'!BF183*'[2]Feedstock Conversion Rates'!B$2)+FB174</f>
        <v>63.326077535936257</v>
      </c>
      <c r="EL174" s="53">
        <f>(EB174*'[2]Renewable Diesel'!BF183*'[2]Feedstock Conversion Rates'!B$3)+FC174</f>
        <v>177.50607959702549</v>
      </c>
      <c r="EM174" s="53">
        <f>(EC174*'[2]Renewable Diesel'!BF183*'[2]Feedstock Conversion Rates'!B$4)+FD174</f>
        <v>966.93029056098862</v>
      </c>
      <c r="EN174" s="53">
        <f>(ED174*'[2]Renewable Diesel'!BF183*'[2]Feedstock Conversion Rates'!B$5)+FE174</f>
        <v>294.08643467740296</v>
      </c>
      <c r="EO174" s="53">
        <f>(EE174*'[2]Renewable Diesel'!BF183*'[2]Feedstock Conversion Rates'!B$6)+FF174</f>
        <v>159.97812626880744</v>
      </c>
      <c r="EP174" s="53">
        <f>(EF174*'[2]Renewable Diesel'!BF183*'[2]Feedstock Conversion Rates'!B$7)+FG174</f>
        <v>111.11716131929818</v>
      </c>
      <c r="EQ174" s="53">
        <f>(EG174*'[2]Renewable Diesel'!BF183*'[2]Feedstock Conversion Rates'!B$8)+FH174</f>
        <v>-0.96616927466729996</v>
      </c>
      <c r="ER174" s="53">
        <f>(EH174*'[2]Renewable Diesel'!BF183*'[2]Feedstock Conversion Rates'!B$9)+FI174</f>
        <v>1.4474583423722689</v>
      </c>
      <c r="ES174" s="53">
        <f t="shared" si="61"/>
        <v>1773.4254590271642</v>
      </c>
      <c r="ET174" s="36">
        <f>ES174/'[2]Renewable Diesel'!BF183</f>
        <v>7.8237108939501381</v>
      </c>
    </row>
    <row r="175" spans="1:150" x14ac:dyDescent="0.25">
      <c r="A175" s="39">
        <v>45748</v>
      </c>
      <c r="B175" s="45">
        <f t="shared" si="96"/>
        <v>3.75</v>
      </c>
      <c r="C175" s="45">
        <f t="shared" si="97"/>
        <v>279</v>
      </c>
      <c r="D175" s="45">
        <v>1</v>
      </c>
      <c r="E175" s="45">
        <f>('[2]Renewable Diesel'!B184*E$3*'[2]Feedstock Conversion Rates'!$B$2)/12-40+0.5+7+7.5-36+5+23+68+10+12.5-12-5-4-51-3</f>
        <v>72.430000000000007</v>
      </c>
      <c r="F175" s="45">
        <f>('[2]Renewable Diesel'!B184*'[2]RD Feedstock Breakdown'!F$3*'[2]Feedstock Conversion Rates'!B$8)/12-20+2-0.75+3+4+5-35+7+10+17+2.5-5-29+22.5-27.5</f>
        <v>9.65625</v>
      </c>
      <c r="G175" s="45">
        <f>('[2]Renewable Diesel'!B184*'[2]RD Feedstock Breakdown'!G$3*'[2]Feedstock Conversion Rates'!B$7)/12+20+80-100-124-20+20+70+20-75-30-10-15</f>
        <v>12.157000000000039</v>
      </c>
      <c r="H175" s="45">
        <f>('[2]Renewable Diesel'!B184*'[2]RD Feedstock Breakdown'!H$3*'[2]Feedstock Conversion Rates'!B$3)/12-85+4+10-72+17+30+45+11.5+2.5+1-30-7.5-5+12+7.5-2.5+160+3-160</f>
        <v>117.90022499999998</v>
      </c>
      <c r="I175" s="47">
        <f t="shared" si="75"/>
        <v>495.89347500000002</v>
      </c>
      <c r="J175" s="45">
        <f t="shared" si="95"/>
        <v>55</v>
      </c>
      <c r="K175" s="45">
        <v>65</v>
      </c>
      <c r="L175" s="45">
        <v>1</v>
      </c>
      <c r="M175" s="45">
        <f>('[2]Renewable Diesel'!C184*'[2]RD Feedstock Breakdown'!M$3*'[2]Feedstock Conversion Rates'!B$2)/12-15-10-30+10-3.5+38.5+25</f>
        <v>22.79025</v>
      </c>
      <c r="N175" s="45">
        <f>('[2]Renewable Diesel'!C184*'[2]RD Feedstock Breakdown'!N$3*'[2]Feedstock Conversion Rates'!B$8)/12+4-7+1.75+5+9.25-30+5-15</f>
        <v>-23.328125</v>
      </c>
      <c r="O175" s="45">
        <f>('[2]Renewable Diesel'!C184*'[2]RD Feedstock Breakdown'!O$3*'[2]Feedstock Conversion Rates'!B$7)/12+30+25-145+25+15-5-10-18+8</f>
        <v>-63.000900000000001</v>
      </c>
      <c r="P175" s="45">
        <f>('[2]Renewable Diesel'!C184*'[2]RD Feedstock Breakdown'!P$3*'[2]Feedstock Conversion Rates'!B$3)/12-15-59-10+15-7.5+25+15+25+75-15-23-20-45-10+15</f>
        <v>-24.052957499999991</v>
      </c>
      <c r="Q175" s="47">
        <f t="shared" si="85"/>
        <v>33.408267500000022</v>
      </c>
      <c r="R175" s="45">
        <f>('[2]Renewable Diesel'!D184*'[2]RD Feedstock Breakdown'!R$3*'[2]Feedstock Conversion Rates'!B$7)/12</f>
        <v>2.2999999999999998</v>
      </c>
      <c r="S175" s="47">
        <f t="shared" si="44"/>
        <v>2.2999999999999998</v>
      </c>
      <c r="T175" s="45">
        <f t="shared" si="98"/>
        <v>4.8249999999999993</v>
      </c>
      <c r="U175" s="45">
        <v>0</v>
      </c>
      <c r="V175" s="45">
        <f>('[2]Renewable Diesel'!E184*'[2]RD Feedstock Breakdown'!V$3*'[2]Feedstock Conversion Rates'!B$6)/12-5+10</f>
        <v>49.250150000000012</v>
      </c>
      <c r="W175" s="45">
        <f>('[2]Renewable Diesel'!E184*'[2]RD Feedstock Breakdown'!W$3*'[2]Feedstock Conversion Rates'!B$8)/12-5.825-4</f>
        <v>12.354687500000001</v>
      </c>
      <c r="X175" s="47">
        <f t="shared" si="62"/>
        <v>66.429837500000005</v>
      </c>
      <c r="Y175" s="45">
        <f t="shared" si="93"/>
        <v>85.5</v>
      </c>
      <c r="Z175" s="45">
        <f>('[2]Renewable Diesel'!F184*'[2]RD Feedstock Breakdown'!Z$3*'[2]Feedstock Conversion Rates'!B$6)/12-50-32-60+15+25+32.5-50-5+10-25+15+5</f>
        <v>39.960000000000008</v>
      </c>
      <c r="AA175" s="45">
        <f>('[2]Renewable Diesel'!F184*'[2]RD Feedstock Breakdown'!AA$3*'[2]Feedstock Conversion Rates'!B$7)/12+80-171+75+70-20</f>
        <v>138.26666666666665</v>
      </c>
      <c r="AB175" s="47">
        <f t="shared" si="39"/>
        <v>263.72666666666669</v>
      </c>
      <c r="AC175" s="45">
        <f>('[2]Renewable Diesel'!G184*'[2]RD Feedstock Breakdown'!AC$3*'[2]Feedstock Conversion Rates'!B$5)/12</f>
        <v>7.864583333333333</v>
      </c>
      <c r="AD175" s="45">
        <f>('[2]Renewable Diesel'!G184*'[2]RD Feedstock Breakdown'!AD$3*'[2]Feedstock Conversion Rates'!B$4)/12</f>
        <v>3.90625</v>
      </c>
      <c r="AE175" s="45">
        <f>('[2]Renewable Diesel'!G184*'[2]RD Feedstock Breakdown'!AE$3*'[2]Feedstock Conversion Rates'!B$6)/12</f>
        <v>4.885416666666667</v>
      </c>
      <c r="AF175" s="47">
        <f t="shared" si="71"/>
        <v>16.65625</v>
      </c>
      <c r="AG175" s="45">
        <f t="shared" si="94"/>
        <v>139</v>
      </c>
      <c r="AH175" s="45">
        <v>0</v>
      </c>
      <c r="AI175" s="45">
        <f>('[2]Renewable Diesel'!H184*'[2]RD Feedstock Breakdown'!AI$3*'[2]Feedstock Conversion Rates'!B$6)/12-130-20+51+5-100-25+100-10-25+15+22.5-22.5</f>
        <v>9.5166666666666799</v>
      </c>
      <c r="AJ175" s="47">
        <f t="shared" si="42"/>
        <v>148.51666666666668</v>
      </c>
      <c r="AK175" s="45">
        <f>('[2]Renewable Diesel'!J184*'[2]RD Feedstock Breakdown'!AK$3*'[2]Feedstock Conversion Rates'!B$4)/12</f>
        <v>95.8125</v>
      </c>
      <c r="AL175" s="47">
        <f t="shared" si="45"/>
        <v>95.8125</v>
      </c>
      <c r="AM175" s="45">
        <f>('[2]Renewable Diesel'!K184*'[2]RD Feedstock Breakdown'!AM$3*'[2]Feedstock Conversion Rates'!B$4)/12+5+15-10+10-30</f>
        <v>48.59375</v>
      </c>
      <c r="AN175" s="45">
        <f>('[2]Renewable Diesel'!K184*'[2]RD Feedstock Breakdown'!AN$3*'[2]Feedstock Conversion Rates'!B$6)/12-5-15+10-10+30</f>
        <v>34.427083333333329</v>
      </c>
      <c r="AO175" s="47">
        <f t="shared" si="56"/>
        <v>83.020833333333329</v>
      </c>
      <c r="AP175" s="45">
        <f>('[2]Renewable Diesel'!L184*'[2]RD Feedstock Breakdown'!AP$3*'[2]Feedstock Conversion Rates'!B$4)/12+15-10-5+10+5+5</f>
        <v>78.59375</v>
      </c>
      <c r="AQ175" s="45">
        <f>('[2]Renewable Diesel'!L184*'[2]RD Feedstock Breakdown'!AQ$3*'[2]Feedstock Conversion Rates'!B$6)/12-15+10+5-10-5-5</f>
        <v>4.4270833333333321</v>
      </c>
      <c r="AR175" s="47">
        <f t="shared" si="46"/>
        <v>83.020833333333329</v>
      </c>
      <c r="AS175" s="45">
        <f>('[2]Renewable Diesel'!M184*'[2]RD Feedstock Breakdown'!AS$3*'[2]Feedstock Conversion Rates'!B$4)/12</f>
        <v>456.25</v>
      </c>
      <c r="AT175" s="45">
        <f>('[2]Renewable Diesel'!M184*'[2]RD Feedstock Breakdown'!AT$3*'[2]Feedstock Conversion Rates'!B$5)/12</f>
        <v>0</v>
      </c>
      <c r="AU175" s="47">
        <f t="shared" si="74"/>
        <v>456.25</v>
      </c>
      <c r="AV175" s="45">
        <f>'[2]Renewable Diesel'!N184*'[2]RD Feedstock Breakdown'!$AV$3*'[2]Feedstock Conversion Rates'!$B$4/12-15-10+25+25-22+22.5</f>
        <v>104.24999999999999</v>
      </c>
      <c r="AW175" s="45">
        <f>'[2]Renewable Diesel'!N184*'[2]RD Feedstock Breakdown'!$AW$3*'[2]Feedstock Conversion Rates'!$B$7/12+15+10-25-25+22-22.5</f>
        <v>15.900000000000006</v>
      </c>
      <c r="AX175" s="47">
        <f t="shared" si="40"/>
        <v>120.14999999999999</v>
      </c>
      <c r="AY175" s="45">
        <f>('[2]Renewable Diesel'!O184*'[2]RD Feedstock Breakdown'!AY$3*'[2]Feedstock Conversion Rates'!B$4)/12+34-100</f>
        <v>144.9375</v>
      </c>
      <c r="AZ175" s="45">
        <f>('[2]Renewable Diesel'!O184*'[2]RD Feedstock Breakdown'!AZ$3*'[2]Feedstock Conversion Rates'!B$3)/12-34+100</f>
        <v>91.03125</v>
      </c>
      <c r="BA175" s="47">
        <f t="shared" si="87"/>
        <v>235.96875</v>
      </c>
      <c r="BB175" s="45">
        <f>('[2]Renewable Diesel'!Q184*'[2]RD Feedstock Breakdown'!BB$3*'[2]Feedstock Conversion Rates'!B$4)/12</f>
        <v>11.156249999999998</v>
      </c>
      <c r="BC175" s="45">
        <f>('[2]Renewable Diesel'!Q184*'[2]RD Feedstock Breakdown'!BC$3*'[2]Feedstock Conversion Rates'!B$3)/12</f>
        <v>1.4017500000000001</v>
      </c>
      <c r="BD175" s="45">
        <f>('[2]Renewable Diesel'!Q184*'[2]RD Feedstock Breakdown'!BD$3*'[2]Feedstock Conversion Rates'!B$6)/12</f>
        <v>0.8207500000000002</v>
      </c>
      <c r="BE175" s="47">
        <f t="shared" si="64"/>
        <v>13.378749999999998</v>
      </c>
      <c r="BF175" s="45">
        <f>('[2]Renewable Diesel'!R184*'[2]RD Feedstock Breakdown'!BF$3*'[2]Feedstock Conversion Rates'!B$4)/12</f>
        <v>62.5</v>
      </c>
      <c r="BG175" s="47">
        <f t="shared" si="47"/>
        <v>62.5</v>
      </c>
      <c r="BH175" s="45">
        <f>('[2]Renewable Diesel'!T184*'[2]RD Feedstock Breakdown'!BH$3*'[2]Feedstock Conversion Rates'!B$7)/12</f>
        <v>27.599999999999998</v>
      </c>
      <c r="BI175" s="47">
        <f t="shared" si="41"/>
        <v>27.599999999999998</v>
      </c>
      <c r="BJ175" s="45">
        <f>('[2]Renewable Diesel'!W184*'[2]RD Feedstock Breakdown'!BJ$3*'[2]Feedstock Conversion Rates'!B$4)/12</f>
        <v>7.5</v>
      </c>
      <c r="BK175" s="45">
        <f>('[2]Renewable Diesel'!W184*'[2]RD Feedstock Breakdown'!BK$3*'[2]Feedstock Conversion Rates'!B$3)/12</f>
        <v>1.335</v>
      </c>
      <c r="BL175" s="45">
        <f>('[2]Renewable Diesel'!W184*'[2]RD Feedstock Breakdown'!BL$3*'[2]Feedstock Conversion Rates'!B$6)/12</f>
        <v>3.1266666666666669</v>
      </c>
      <c r="BM175" s="45">
        <f>('[2]Renewable Diesel'!W184*'[2]RD Feedstock Breakdown'!BM$3*'[2]Feedstock Conversion Rates'!B$7)/12</f>
        <v>1.5333333333333332</v>
      </c>
      <c r="BN175" s="47">
        <f t="shared" si="78"/>
        <v>13.495000000000001</v>
      </c>
      <c r="BO175" s="45">
        <f>('[2]Renewable Diesel'!P184*'[2]Feedstock Conversion Rates'!B$4)/12</f>
        <v>31.25</v>
      </c>
      <c r="BP175" s="47">
        <f t="shared" si="72"/>
        <v>31.25</v>
      </c>
      <c r="BQ175" s="45">
        <f>('[2]Renewable Diesel'!$S184*'[2]RD Feedstock Breakdown'!BQ$3*'[2]Feedstock Conversion Rates'!B$4)/12+10</f>
        <v>38.125</v>
      </c>
      <c r="BR175" s="45">
        <f>('[2]Renewable Diesel'!$S184*'[2]RD Feedstock Breakdown'!BR$3*'[2]Feedstock Conversion Rates'!B$7)/12-10</f>
        <v>1.5</v>
      </c>
      <c r="BS175" s="47">
        <f t="shared" si="90"/>
        <v>39.625</v>
      </c>
      <c r="BT175" s="47"/>
      <c r="BU175" s="45">
        <f>('[2]Renewable Diesel'!Y184*'[2]Feedstock Conversion Rates'!B$7)/12</f>
        <v>2.6833333333333331</v>
      </c>
      <c r="BV175" s="47">
        <f t="shared" si="67"/>
        <v>2.6833333333333331</v>
      </c>
      <c r="BW175" s="45">
        <f>('[2]Renewable Diesel'!$Z184*'[2]RD Feedstock Breakdown'!BW$3*'[2]Feedstock Conversion Rates'!$B$4)/12</f>
        <v>17.96875</v>
      </c>
      <c r="BX175" s="45">
        <f>('[2]Renewable Diesel'!$Z184*'[2]RD Feedstock Breakdown'!BX$3*'[2]Feedstock Conversion Rates'!$B$5)/12</f>
        <v>1.8088541666666667</v>
      </c>
      <c r="BY175" s="45">
        <f>('[2]Renewable Diesel'!$Z184*'[2]RD Feedstock Breakdown'!BY$3*'[2]Feedstock Conversion Rates'!$B$7)/12</f>
        <v>15.429166666666665</v>
      </c>
      <c r="BZ175" s="45">
        <f>('[2]Renewable Diesel'!$Z184*'[2]RD Feedstock Breakdown'!BZ$3*'[2]Feedstock Conversion Rates'!$B$3)/12</f>
        <v>3.8381249999999998</v>
      </c>
      <c r="CA175" s="47">
        <f t="shared" si="91"/>
        <v>39.044895833333328</v>
      </c>
      <c r="CB175" s="45">
        <f>('[2]Renewable Diesel'!AA184*'[2]Feedstock Conversion Rates'!B$4)/12</f>
        <v>191.25</v>
      </c>
      <c r="CC175" s="47">
        <f t="shared" si="79"/>
        <v>191.25</v>
      </c>
      <c r="CD175" s="45">
        <f>('[2]Renewable Diesel'!$AB184*'[2]RD Feedstock Breakdown'!CD$3*'[2]Feedstock Conversion Rates'!$B$6)/12-15</f>
        <v>17.830000000000005</v>
      </c>
      <c r="CE175" s="45">
        <f>('[2]Renewable Diesel'!$AB184*'[2]RD Feedstock Breakdown'!CE$3*'[2]Feedstock Conversion Rates'!$B$4)/12+15</f>
        <v>26.25</v>
      </c>
      <c r="CF175" s="47">
        <f t="shared" si="76"/>
        <v>44.080000000000005</v>
      </c>
      <c r="CG175" s="45">
        <f>('[2]Renewable Diesel'!AD184*'[2]Feedstock Conversion Rates'!B$4)/12</f>
        <v>112.5</v>
      </c>
      <c r="CH175" s="47">
        <f t="shared" si="63"/>
        <v>112.5</v>
      </c>
      <c r="CI175" s="45">
        <f>('[2]Renewable Diesel'!$AE184*'[2]RD Feedstock Breakdown'!CI$3*'[2]Feedstock Conversion Rates'!$B$5)/12</f>
        <v>0.34604166666666664</v>
      </c>
      <c r="CJ175" s="45">
        <f>('[2]Renewable Diesel'!$AE184*'[2]RD Feedstock Breakdown'!CJ$3*'[2]Feedstock Conversion Rates'!$B$4)/12</f>
        <v>0.34375</v>
      </c>
      <c r="CK175" s="47">
        <f t="shared" si="73"/>
        <v>0.68979166666666658</v>
      </c>
      <c r="CL175" s="45">
        <f>(((CL$3*'[2]Renewable Diesel'!$AF184)*'[2]Feedstock Conversion Rates'!$B$3)/12)</f>
        <v>91.78125</v>
      </c>
      <c r="CM175" s="45">
        <f>(((CM$3*'[2]Renewable Diesel'!$AF184)*'[2]Feedstock Conversion Rates'!$B$6)/12)</f>
        <v>53.739583333333336</v>
      </c>
      <c r="CN175" s="45">
        <f>(((CN$3*'[2]Renewable Diesel'!$AF184)*'[2]Feedstock Conversion Rates'!$B$4)/12)</f>
        <v>42.96875</v>
      </c>
      <c r="CO175" s="47">
        <f t="shared" si="65"/>
        <v>188.48958333333334</v>
      </c>
      <c r="CP175" s="47"/>
      <c r="CQ175" s="47"/>
      <c r="CR175" s="47"/>
      <c r="CS175" s="47"/>
      <c r="CT175" s="45">
        <f>('[2]Renewable Diesel'!AI184*'[2]Feedstock Conversion Rates'!$B$4*'[2]RD Feedstock Breakdown'!$CT$3)/12</f>
        <v>29.375</v>
      </c>
      <c r="CU175" s="47">
        <f t="shared" si="69"/>
        <v>29.375</v>
      </c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5">
        <f>('[2]Renewable Diesel'!AT184*'[2]Feedstock Conversion Rates'!$B$4*0.25)/12</f>
        <v>0</v>
      </c>
      <c r="DK175" s="45">
        <f>('[2]Renewable Diesel'!$AT184*'[2]RD Feedstock Breakdown'!DK$3*'[2]Feedstock Conversion Rates'!$B$3)/12*0.5</f>
        <v>0</v>
      </c>
      <c r="DL175" s="45">
        <f>('[2]Renewable Diesel'!$AT184*'[2]RD Feedstock Breakdown'!$DL$3*'[2]Feedstock Conversion Rates'!$B$6)/12</f>
        <v>0</v>
      </c>
      <c r="DM175" s="45">
        <f>('[2]Renewable Diesel'!$AT184*'[2]RD Feedstock Breakdown'!$DM$3*'[2]Feedstock Conversion Rates'!$B$8)/12</f>
        <v>0</v>
      </c>
      <c r="DN175" s="47">
        <f t="shared" si="77"/>
        <v>0</v>
      </c>
      <c r="DP175" s="45">
        <f t="shared" si="48"/>
        <v>95.220250000000007</v>
      </c>
      <c r="DQ175" s="45">
        <f t="shared" si="49"/>
        <v>283.23464249999995</v>
      </c>
      <c r="DR175" s="45">
        <f t="shared" si="57"/>
        <v>1647.78125</v>
      </c>
      <c r="DS175" s="45">
        <f t="shared" si="70"/>
        <v>497.84447916666664</v>
      </c>
      <c r="DT175" s="45">
        <f t="shared" si="50"/>
        <v>217.98340000000007</v>
      </c>
      <c r="DU175" s="45">
        <f t="shared" si="51"/>
        <v>154.36860000000004</v>
      </c>
      <c r="DV175" s="45">
        <f t="shared" si="58"/>
        <v>-1.3171874999999993</v>
      </c>
      <c r="DW175" s="45">
        <f t="shared" si="52"/>
        <v>2</v>
      </c>
      <c r="DX175" s="47">
        <f t="shared" si="53"/>
        <v>2897.115434166667</v>
      </c>
      <c r="DY175" s="50">
        <f t="shared" si="54"/>
        <v>-5.4001247917767614E-13</v>
      </c>
      <c r="EA175" s="51">
        <f t="shared" si="80"/>
        <v>3.2867261303100054E-2</v>
      </c>
      <c r="EB175" s="51">
        <f t="shared" si="80"/>
        <v>9.7764362151303172E-2</v>
      </c>
      <c r="EC175" s="51">
        <f t="shared" si="80"/>
        <v>0.5687661701591713</v>
      </c>
      <c r="ED175" s="51">
        <f t="shared" si="80"/>
        <v>0.17184143693254936</v>
      </c>
      <c r="EE175" s="51">
        <f t="shared" si="80"/>
        <v>7.5241530740973506E-2</v>
      </c>
      <c r="EF175" s="51">
        <f t="shared" si="80"/>
        <v>5.3283551694032857E-2</v>
      </c>
      <c r="EG175" s="51">
        <f t="shared" si="80"/>
        <v>-4.5465482129774994E-4</v>
      </c>
      <c r="EH175" s="52">
        <f t="shared" si="59"/>
        <v>6.9034184016740247E-4</v>
      </c>
      <c r="EI175" s="51">
        <f t="shared" si="60"/>
        <v>0.99930965815983253</v>
      </c>
      <c r="EK175" s="53">
        <f>(EA175*'[2]Renewable Diesel'!BF184*'[2]Feedstock Conversion Rates'!B$2)+FB175</f>
        <v>57.531377883595148</v>
      </c>
      <c r="EL175" s="53">
        <f>(EB175*'[2]Renewable Diesel'!BF184*'[2]Feedstock Conversion Rates'!B$3)+FC175</f>
        <v>161.26325424366908</v>
      </c>
      <c r="EM175" s="53">
        <f>(EC175*'[2]Renewable Diesel'!BF184*'[2]Feedstock Conversion Rates'!B$4)+FD175</f>
        <v>878.45061778523154</v>
      </c>
      <c r="EN175" s="53">
        <f>(ED175*'[2]Renewable Diesel'!BF184*'[2]Feedstock Conversion Rates'!B$5)+FE175</f>
        <v>267.17583754123393</v>
      </c>
      <c r="EO175" s="53">
        <f>(EE175*'[2]Renewable Diesel'!BF184*'[2]Feedstock Conversion Rates'!B$6)+FF175</f>
        <v>145.3392092737358</v>
      </c>
      <c r="EP175" s="53">
        <f>(EF175*'[2]Renewable Diesel'!BF184*'[2]Feedstock Conversion Rates'!B$7)+FG175</f>
        <v>100.94930313006053</v>
      </c>
      <c r="EQ175" s="53">
        <f>(EG175*'[2]Renewable Diesel'!BF184*'[2]Feedstock Conversion Rates'!B$8)+FH175</f>
        <v>-0.87775923921484122</v>
      </c>
      <c r="ER175" s="53">
        <f>(EH175*'[2]Renewable Diesel'!BF184*'[2]Feedstock Conversion Rates'!B$9)+FI175</f>
        <v>1.3150075941230497</v>
      </c>
      <c r="ES175" s="53">
        <f t="shared" si="61"/>
        <v>1611.1468482124344</v>
      </c>
      <c r="ET175" s="36">
        <f>ES175/'[2]Renewable Diesel'!BF184</f>
        <v>7.8237108939501372</v>
      </c>
    </row>
    <row r="176" spans="1:150" x14ac:dyDescent="0.25">
      <c r="A176" s="39">
        <v>45778</v>
      </c>
      <c r="B176" s="45">
        <f t="shared" si="96"/>
        <v>3.75</v>
      </c>
      <c r="C176" s="45">
        <f t="shared" si="97"/>
        <v>279</v>
      </c>
      <c r="D176" s="45">
        <v>1</v>
      </c>
      <c r="E176" s="45">
        <f>('[2]Renewable Diesel'!B185*E$3*'[2]Feedstock Conversion Rates'!$B$2)/12-40+0.5+7+7.5-36+5+23+68+10+12.5-12-5-4-51-3</f>
        <v>72.430000000000007</v>
      </c>
      <c r="F176" s="45">
        <f>('[2]Renewable Diesel'!B185*'[2]RD Feedstock Breakdown'!F$3*'[2]Feedstock Conversion Rates'!B$8)/12-20+2-0.75+3+4+5-35+7+10+17+2.5-5-29+22.5-27.5</f>
        <v>9.65625</v>
      </c>
      <c r="G176" s="45">
        <f>('[2]Renewable Diesel'!B185*'[2]RD Feedstock Breakdown'!G$3*'[2]Feedstock Conversion Rates'!B$7)/12+20+80-100-124-20+20+70+20-75-30-10-15</f>
        <v>12.157000000000039</v>
      </c>
      <c r="H176" s="45">
        <f>('[2]Renewable Diesel'!B185*'[2]RD Feedstock Breakdown'!H$3*'[2]Feedstock Conversion Rates'!B$3)/12-85+4+10-72+17+30+45+11.5+2.5+1-30-7.5-5+12+7.5-2.5+160+3-160</f>
        <v>117.90022499999998</v>
      </c>
      <c r="I176" s="47">
        <f t="shared" si="75"/>
        <v>495.89347500000002</v>
      </c>
      <c r="J176" s="45">
        <f t="shared" si="95"/>
        <v>55</v>
      </c>
      <c r="K176" s="45">
        <v>65</v>
      </c>
      <c r="L176" s="45">
        <v>1</v>
      </c>
      <c r="M176" s="45">
        <f>('[2]Renewable Diesel'!C185*'[2]RD Feedstock Breakdown'!M$3*'[2]Feedstock Conversion Rates'!B$2)/12-15-10-30+10-3.5+38.5+25</f>
        <v>22.79025</v>
      </c>
      <c r="N176" s="45">
        <f>('[2]Renewable Diesel'!C185*'[2]RD Feedstock Breakdown'!N$3*'[2]Feedstock Conversion Rates'!B$8)/12+4-7+1.75+5+9.25-30+5-15</f>
        <v>-23.328125</v>
      </c>
      <c r="O176" s="45">
        <f>('[2]Renewable Diesel'!C185*'[2]RD Feedstock Breakdown'!O$3*'[2]Feedstock Conversion Rates'!B$7)/12+30+25-145+25+15-5-10-18+8</f>
        <v>-63.000900000000001</v>
      </c>
      <c r="P176" s="45">
        <f>('[2]Renewable Diesel'!C185*'[2]RD Feedstock Breakdown'!P$3*'[2]Feedstock Conversion Rates'!B$3)/12-15-59-10+15-7.5+25+15+25+75-15-23-20-45-10+15</f>
        <v>-24.052957499999991</v>
      </c>
      <c r="Q176" s="47">
        <f t="shared" si="85"/>
        <v>33.408267500000022</v>
      </c>
      <c r="R176" s="45">
        <f>('[2]Renewable Diesel'!D185*'[2]RD Feedstock Breakdown'!R$3*'[2]Feedstock Conversion Rates'!B$7)/12</f>
        <v>2.2999999999999998</v>
      </c>
      <c r="S176" s="47">
        <f t="shared" si="44"/>
        <v>2.2999999999999998</v>
      </c>
      <c r="T176" s="45">
        <f t="shared" si="98"/>
        <v>4.8249999999999993</v>
      </c>
      <c r="U176" s="45">
        <v>0</v>
      </c>
      <c r="V176" s="45">
        <f>('[2]Renewable Diesel'!E185*'[2]RD Feedstock Breakdown'!V$3*'[2]Feedstock Conversion Rates'!B$6)/12-5+10</f>
        <v>49.250150000000012</v>
      </c>
      <c r="W176" s="45">
        <f>('[2]Renewable Diesel'!E185*'[2]RD Feedstock Breakdown'!W$3*'[2]Feedstock Conversion Rates'!B$8)/12-5.825-4</f>
        <v>12.354687500000001</v>
      </c>
      <c r="X176" s="47">
        <f t="shared" si="62"/>
        <v>66.429837500000005</v>
      </c>
      <c r="Y176" s="45">
        <f t="shared" si="93"/>
        <v>85.5</v>
      </c>
      <c r="Z176" s="45">
        <f>('[2]Renewable Diesel'!F185*'[2]RD Feedstock Breakdown'!Z$3*'[2]Feedstock Conversion Rates'!B$6)/12-50-32-60+15+25+32.5-50-5+10-25+15+5</f>
        <v>39.960000000000008</v>
      </c>
      <c r="AA176" s="45">
        <f>('[2]Renewable Diesel'!F185*'[2]RD Feedstock Breakdown'!AA$3*'[2]Feedstock Conversion Rates'!B$7)/12+80-171+75+70-20</f>
        <v>138.26666666666665</v>
      </c>
      <c r="AB176" s="47">
        <f t="shared" si="39"/>
        <v>263.72666666666669</v>
      </c>
      <c r="AC176" s="45">
        <f>('[2]Renewable Diesel'!G185*'[2]RD Feedstock Breakdown'!AC$3*'[2]Feedstock Conversion Rates'!B$5)/12</f>
        <v>7.864583333333333</v>
      </c>
      <c r="AD176" s="45">
        <f>('[2]Renewable Diesel'!G185*'[2]RD Feedstock Breakdown'!AD$3*'[2]Feedstock Conversion Rates'!B$4)/12</f>
        <v>3.90625</v>
      </c>
      <c r="AE176" s="45">
        <f>('[2]Renewable Diesel'!G185*'[2]RD Feedstock Breakdown'!AE$3*'[2]Feedstock Conversion Rates'!B$6)/12</f>
        <v>4.885416666666667</v>
      </c>
      <c r="AF176" s="47">
        <f t="shared" si="71"/>
        <v>16.65625</v>
      </c>
      <c r="AG176" s="45">
        <f t="shared" si="94"/>
        <v>139</v>
      </c>
      <c r="AH176" s="45">
        <v>0</v>
      </c>
      <c r="AI176" s="45">
        <f>('[2]Renewable Diesel'!H185*'[2]RD Feedstock Breakdown'!AI$3*'[2]Feedstock Conversion Rates'!B$6)/12-130-20+51+5-100-25+100-10-25+15+22.5-22.5</f>
        <v>9.5166666666666799</v>
      </c>
      <c r="AJ176" s="47">
        <f t="shared" si="42"/>
        <v>148.51666666666668</v>
      </c>
      <c r="AK176" s="45">
        <f>('[2]Renewable Diesel'!J185*'[2]RD Feedstock Breakdown'!AK$3*'[2]Feedstock Conversion Rates'!B$4)/12</f>
        <v>95.8125</v>
      </c>
      <c r="AL176" s="47">
        <f t="shared" si="45"/>
        <v>95.8125</v>
      </c>
      <c r="AM176" s="45">
        <f>('[2]Renewable Diesel'!K185*'[2]RD Feedstock Breakdown'!AM$3*'[2]Feedstock Conversion Rates'!B$4)/12+5+15-10+10-30</f>
        <v>48.59375</v>
      </c>
      <c r="AN176" s="45">
        <f>('[2]Renewable Diesel'!K185*'[2]RD Feedstock Breakdown'!AN$3*'[2]Feedstock Conversion Rates'!B$6)/12-5-15+10-10+30</f>
        <v>34.427083333333329</v>
      </c>
      <c r="AO176" s="47">
        <f t="shared" si="56"/>
        <v>83.020833333333329</v>
      </c>
      <c r="AP176" s="45">
        <f>('[2]Renewable Diesel'!L185*'[2]RD Feedstock Breakdown'!AP$3*'[2]Feedstock Conversion Rates'!B$4)/12+15-10-5+10+5+5</f>
        <v>78.59375</v>
      </c>
      <c r="AQ176" s="45">
        <f>('[2]Renewable Diesel'!L185*'[2]RD Feedstock Breakdown'!AQ$3*'[2]Feedstock Conversion Rates'!B$6)/12-15+10+5-10-5-5</f>
        <v>4.4270833333333321</v>
      </c>
      <c r="AR176" s="47">
        <f t="shared" si="46"/>
        <v>83.020833333333329</v>
      </c>
      <c r="AS176" s="45">
        <f>('[2]Renewable Diesel'!M185*'[2]RD Feedstock Breakdown'!AS$3*'[2]Feedstock Conversion Rates'!B$4)/12</f>
        <v>456.25</v>
      </c>
      <c r="AT176" s="45">
        <f>('[2]Renewable Diesel'!M185*'[2]RD Feedstock Breakdown'!AT$3*'[2]Feedstock Conversion Rates'!B$5)/12</f>
        <v>0</v>
      </c>
      <c r="AU176" s="47">
        <f t="shared" si="74"/>
        <v>456.25</v>
      </c>
      <c r="AV176" s="45">
        <f>'[2]Renewable Diesel'!N185*'[2]RD Feedstock Breakdown'!$AV$3*'[2]Feedstock Conversion Rates'!$B$4/12-15-10+25+25-22+22.5</f>
        <v>104.24999999999999</v>
      </c>
      <c r="AW176" s="45">
        <f>'[2]Renewable Diesel'!N185*'[2]RD Feedstock Breakdown'!$AW$3*'[2]Feedstock Conversion Rates'!$B$7/12+15+10-25-25+22-22.5</f>
        <v>15.900000000000006</v>
      </c>
      <c r="AX176" s="47">
        <f t="shared" si="40"/>
        <v>120.14999999999999</v>
      </c>
      <c r="AY176" s="45">
        <f>('[2]Renewable Diesel'!O185*'[2]RD Feedstock Breakdown'!AY$3*'[2]Feedstock Conversion Rates'!B$4)/12+34-100</f>
        <v>144.9375</v>
      </c>
      <c r="AZ176" s="45">
        <f>('[2]Renewable Diesel'!O185*'[2]RD Feedstock Breakdown'!AZ$3*'[2]Feedstock Conversion Rates'!B$3)/12-34+100</f>
        <v>91.03125</v>
      </c>
      <c r="BA176" s="47">
        <f t="shared" si="87"/>
        <v>235.96875</v>
      </c>
      <c r="BB176" s="45">
        <f>('[2]Renewable Diesel'!Q185*'[2]RD Feedstock Breakdown'!BB$3*'[2]Feedstock Conversion Rates'!B$4)/12</f>
        <v>11.156249999999998</v>
      </c>
      <c r="BC176" s="45">
        <f>('[2]Renewable Diesel'!Q185*'[2]RD Feedstock Breakdown'!BC$3*'[2]Feedstock Conversion Rates'!B$3)/12</f>
        <v>1.4017500000000001</v>
      </c>
      <c r="BD176" s="45">
        <f>('[2]Renewable Diesel'!Q185*'[2]RD Feedstock Breakdown'!BD$3*'[2]Feedstock Conversion Rates'!B$6)/12</f>
        <v>0.8207500000000002</v>
      </c>
      <c r="BE176" s="47">
        <f t="shared" si="64"/>
        <v>13.378749999999998</v>
      </c>
      <c r="BF176" s="45">
        <f>('[2]Renewable Diesel'!R185*'[2]RD Feedstock Breakdown'!BF$3*'[2]Feedstock Conversion Rates'!B$4)/12</f>
        <v>62.5</v>
      </c>
      <c r="BG176" s="47">
        <f t="shared" si="47"/>
        <v>62.5</v>
      </c>
      <c r="BH176" s="45">
        <f>('[2]Renewable Diesel'!T185*'[2]RD Feedstock Breakdown'!BH$3*'[2]Feedstock Conversion Rates'!B$7)/12</f>
        <v>27.599999999999998</v>
      </c>
      <c r="BI176" s="47">
        <f t="shared" si="41"/>
        <v>27.599999999999998</v>
      </c>
      <c r="BJ176" s="45">
        <f>('[2]Renewable Diesel'!W185*'[2]RD Feedstock Breakdown'!BJ$3*'[2]Feedstock Conversion Rates'!B$4)/12</f>
        <v>7.5</v>
      </c>
      <c r="BK176" s="45">
        <f>('[2]Renewable Diesel'!W185*'[2]RD Feedstock Breakdown'!BK$3*'[2]Feedstock Conversion Rates'!B$3)/12</f>
        <v>1.335</v>
      </c>
      <c r="BL176" s="45">
        <f>('[2]Renewable Diesel'!W185*'[2]RD Feedstock Breakdown'!BL$3*'[2]Feedstock Conversion Rates'!B$6)/12</f>
        <v>3.1266666666666669</v>
      </c>
      <c r="BM176" s="45">
        <f>('[2]Renewable Diesel'!W185*'[2]RD Feedstock Breakdown'!BM$3*'[2]Feedstock Conversion Rates'!B$7)/12</f>
        <v>1.5333333333333332</v>
      </c>
      <c r="BN176" s="47">
        <f t="shared" si="78"/>
        <v>13.495000000000001</v>
      </c>
      <c r="BO176" s="45">
        <f>('[2]Renewable Diesel'!P185*'[2]Feedstock Conversion Rates'!B$4)/12</f>
        <v>31.25</v>
      </c>
      <c r="BP176" s="47">
        <f t="shared" si="72"/>
        <v>31.25</v>
      </c>
      <c r="BQ176" s="45">
        <f>('[2]Renewable Diesel'!$S185*'[2]RD Feedstock Breakdown'!BQ$3*'[2]Feedstock Conversion Rates'!B$4)/12+10</f>
        <v>38.125</v>
      </c>
      <c r="BR176" s="45">
        <f>('[2]Renewable Diesel'!$S185*'[2]RD Feedstock Breakdown'!BR$3*'[2]Feedstock Conversion Rates'!B$7)/12-10</f>
        <v>1.5</v>
      </c>
      <c r="BS176" s="47">
        <f t="shared" si="90"/>
        <v>39.625</v>
      </c>
      <c r="BT176" s="47"/>
      <c r="BU176" s="45">
        <f>('[2]Renewable Diesel'!Y185*'[2]Feedstock Conversion Rates'!B$7)/12</f>
        <v>2.6833333333333331</v>
      </c>
      <c r="BV176" s="47">
        <f t="shared" si="67"/>
        <v>2.6833333333333331</v>
      </c>
      <c r="BW176" s="45">
        <f>('[2]Renewable Diesel'!$Z185*'[2]RD Feedstock Breakdown'!BW$3*'[2]Feedstock Conversion Rates'!$B$4)/12</f>
        <v>17.96875</v>
      </c>
      <c r="BX176" s="45">
        <f>('[2]Renewable Diesel'!$Z185*'[2]RD Feedstock Breakdown'!BX$3*'[2]Feedstock Conversion Rates'!$B$5)/12</f>
        <v>1.8088541666666667</v>
      </c>
      <c r="BY176" s="45">
        <f>('[2]Renewable Diesel'!$Z185*'[2]RD Feedstock Breakdown'!BY$3*'[2]Feedstock Conversion Rates'!$B$7)/12</f>
        <v>15.429166666666665</v>
      </c>
      <c r="BZ176" s="45">
        <f>('[2]Renewable Diesel'!$Z185*'[2]RD Feedstock Breakdown'!BZ$3*'[2]Feedstock Conversion Rates'!$B$3)/12</f>
        <v>3.8381249999999998</v>
      </c>
      <c r="CA176" s="47">
        <f t="shared" si="91"/>
        <v>39.044895833333328</v>
      </c>
      <c r="CB176" s="45">
        <f>('[2]Renewable Diesel'!AA185*'[2]Feedstock Conversion Rates'!B$4)/12</f>
        <v>191.25</v>
      </c>
      <c r="CC176" s="47">
        <f t="shared" si="79"/>
        <v>191.25</v>
      </c>
      <c r="CD176" s="45">
        <f>('[2]Renewable Diesel'!$AB185*'[2]RD Feedstock Breakdown'!CD$3*'[2]Feedstock Conversion Rates'!$B$6)/12-15</f>
        <v>17.830000000000005</v>
      </c>
      <c r="CE176" s="45">
        <f>('[2]Renewable Diesel'!$AB185*'[2]RD Feedstock Breakdown'!CE$3*'[2]Feedstock Conversion Rates'!$B$4)/12+15</f>
        <v>26.25</v>
      </c>
      <c r="CF176" s="47">
        <f t="shared" si="76"/>
        <v>44.080000000000005</v>
      </c>
      <c r="CG176" s="45">
        <f>('[2]Renewable Diesel'!AD185*'[2]Feedstock Conversion Rates'!B$4)/12</f>
        <v>112.5</v>
      </c>
      <c r="CH176" s="47">
        <f t="shared" si="63"/>
        <v>112.5</v>
      </c>
      <c r="CI176" s="45">
        <f>('[2]Renewable Diesel'!$AE185*'[2]RD Feedstock Breakdown'!CI$3*'[2]Feedstock Conversion Rates'!$B$5)/12</f>
        <v>0.34604166666666664</v>
      </c>
      <c r="CJ176" s="45">
        <f>('[2]Renewable Diesel'!$AE185*'[2]RD Feedstock Breakdown'!CJ$3*'[2]Feedstock Conversion Rates'!$B$4)/12</f>
        <v>0.34375</v>
      </c>
      <c r="CK176" s="47">
        <f t="shared" si="73"/>
        <v>0.68979166666666658</v>
      </c>
      <c r="CL176" s="45">
        <f>(((CL$3*'[2]Renewable Diesel'!$AF185)*'[2]Feedstock Conversion Rates'!$B$3)/12)</f>
        <v>91.78125</v>
      </c>
      <c r="CM176" s="45">
        <f>(((CM$3*'[2]Renewable Diesel'!$AF185)*'[2]Feedstock Conversion Rates'!$B$6)/12)</f>
        <v>53.739583333333336</v>
      </c>
      <c r="CN176" s="45">
        <f>(((CN$3*'[2]Renewable Diesel'!$AF185)*'[2]Feedstock Conversion Rates'!$B$4)/12)</f>
        <v>42.96875</v>
      </c>
      <c r="CO176" s="47">
        <f t="shared" si="65"/>
        <v>188.48958333333334</v>
      </c>
      <c r="CP176" s="47"/>
      <c r="CQ176" s="47"/>
      <c r="CR176" s="47"/>
      <c r="CS176" s="47"/>
      <c r="CT176" s="45">
        <f>('[2]Renewable Diesel'!AI185*'[2]Feedstock Conversion Rates'!$B$4*'[2]RD Feedstock Breakdown'!$CT$3)/12</f>
        <v>29.375</v>
      </c>
      <c r="CU176" s="47">
        <f t="shared" si="69"/>
        <v>29.375</v>
      </c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5">
        <f>('[2]Renewable Diesel'!AT185*'[2]Feedstock Conversion Rates'!$B$4*0.25)/12</f>
        <v>4.296875</v>
      </c>
      <c r="DK176" s="45">
        <f>('[2]Renewable Diesel'!$AT185*'[2]RD Feedstock Breakdown'!DK$3*'[2]Feedstock Conversion Rates'!$B$3)/12*0.5</f>
        <v>4.5890624999999998</v>
      </c>
      <c r="DL176" s="45">
        <f>('[2]Renewable Diesel'!$AT185*'[2]RD Feedstock Breakdown'!$DL$3*'[2]Feedstock Conversion Rates'!$B$6)/12</f>
        <v>5.3739583333333343</v>
      </c>
      <c r="DM176" s="45">
        <f>('[2]Renewable Diesel'!$AT185*'[2]RD Feedstock Breakdown'!$DM$3*'[2]Feedstock Conversion Rates'!$B$8)/12</f>
        <v>5.37109375</v>
      </c>
      <c r="DN176" s="47">
        <f t="shared" si="77"/>
        <v>19.630989583333335</v>
      </c>
      <c r="DP176" s="45">
        <f t="shared" si="48"/>
        <v>95.220250000000007</v>
      </c>
      <c r="DQ176" s="45">
        <f t="shared" si="49"/>
        <v>287.82370499999996</v>
      </c>
      <c r="DR176" s="45">
        <f t="shared" si="57"/>
        <v>1647.78125</v>
      </c>
      <c r="DS176" s="45">
        <f t="shared" si="70"/>
        <v>502.14135416666664</v>
      </c>
      <c r="DT176" s="45">
        <f t="shared" si="50"/>
        <v>223.35735833333342</v>
      </c>
      <c r="DU176" s="45">
        <f t="shared" si="51"/>
        <v>154.36860000000004</v>
      </c>
      <c r="DV176" s="45">
        <f t="shared" si="58"/>
        <v>4.0539062500000007</v>
      </c>
      <c r="DW176" s="45">
        <f t="shared" si="52"/>
        <v>2</v>
      </c>
      <c r="DX176" s="47">
        <f t="shared" si="53"/>
        <v>2916.7464237500003</v>
      </c>
      <c r="DY176" s="50">
        <f t="shared" si="54"/>
        <v>-5.0803805606847163E-13</v>
      </c>
      <c r="EA176" s="51">
        <f t="shared" si="80"/>
        <v>3.264605014157429E-2</v>
      </c>
      <c r="EB176" s="51">
        <f t="shared" si="80"/>
        <v>9.8679714717863951E-2</v>
      </c>
      <c r="EC176" s="51">
        <f t="shared" si="80"/>
        <v>0.56493812303418611</v>
      </c>
      <c r="ED176" s="51">
        <f t="shared" si="80"/>
        <v>0.17215804228914555</v>
      </c>
      <c r="EE176" s="51">
        <f t="shared" si="80"/>
        <v>7.6577571678708878E-2</v>
      </c>
      <c r="EF176" s="51">
        <f t="shared" si="80"/>
        <v>5.2924929895527752E-2</v>
      </c>
      <c r="EG176" s="51">
        <f t="shared" si="80"/>
        <v>1.3898727078194126E-3</v>
      </c>
      <c r="EH176" s="52">
        <f t="shared" si="59"/>
        <v>6.8569553517396325E-4</v>
      </c>
      <c r="EI176" s="51">
        <f t="shared" si="60"/>
        <v>0.99931430446482594</v>
      </c>
      <c r="EK176" s="53">
        <f>(EA176*'[2]Renewable Diesel'!BF185*'[2]Feedstock Conversion Rates'!B$2)+FB176</f>
        <v>56.844426892016017</v>
      </c>
      <c r="EL176" s="53">
        <f>(EB176*'[2]Renewable Diesel'!BF185*'[2]Feedstock Conversion Rates'!B$3)+FC176</f>
        <v>161.91933986960581</v>
      </c>
      <c r="EM176" s="53">
        <f>(EC176*'[2]Renewable Diesel'!BF185*'[2]Feedstock Conversion Rates'!B$4)+FD176</f>
        <v>867.96151522694004</v>
      </c>
      <c r="EN176" s="53">
        <f>(ED176*'[2]Renewable Diesel'!BF185*'[2]Feedstock Conversion Rates'!B$5)+FE176</f>
        <v>266.26408476534419</v>
      </c>
      <c r="EO176" s="53">
        <f>(EE176*'[2]Renewable Diesel'!BF185*'[2]Feedstock Conversion Rates'!B$6)+FF176</f>
        <v>147.14406581429367</v>
      </c>
      <c r="EP176" s="53">
        <f>(EF176*'[2]Renewable Diesel'!BF185*'[2]Feedstock Conversion Rates'!B$7)+FG176</f>
        <v>99.743922232965915</v>
      </c>
      <c r="EQ176" s="53">
        <f>(EG176*'[2]Renewable Diesel'!BF185*'[2]Feedstock Conversion Rates'!B$8)+FH176</f>
        <v>2.6692215754806372</v>
      </c>
      <c r="ER176" s="53">
        <f>(EH176*'[2]Renewable Diesel'!BF185*'[2]Feedstock Conversion Rates'!B$9)+FI176</f>
        <v>1.2993058013979617</v>
      </c>
      <c r="ES176" s="53">
        <f t="shared" si="61"/>
        <v>1603.8458821780441</v>
      </c>
      <c r="ET176" s="36">
        <f>ES176/'[2]Renewable Diesel'!BF185</f>
        <v>7.8293248008542262</v>
      </c>
    </row>
    <row r="177" spans="1:150" x14ac:dyDescent="0.25">
      <c r="A177" s="39">
        <v>45809</v>
      </c>
      <c r="B177" s="45">
        <f t="shared" si="96"/>
        <v>3.75</v>
      </c>
      <c r="C177" s="45">
        <f t="shared" si="97"/>
        <v>279</v>
      </c>
      <c r="D177" s="45">
        <v>1</v>
      </c>
      <c r="E177" s="45">
        <f>('[2]Renewable Diesel'!B186*E$3*'[2]Feedstock Conversion Rates'!$B$2)/12-40+0.5+7+7.5-36+5+23+68+10+12.5-12-5-4-51-3</f>
        <v>72.430000000000007</v>
      </c>
      <c r="F177" s="45">
        <f>('[2]Renewable Diesel'!B186*'[2]RD Feedstock Breakdown'!F$3*'[2]Feedstock Conversion Rates'!B$8)/12-20+2-0.75+3+4+5-35+7+10+17+2.5-5-29+22.5-27.5</f>
        <v>9.65625</v>
      </c>
      <c r="G177" s="45">
        <f>('[2]Renewable Diesel'!B186*'[2]RD Feedstock Breakdown'!G$3*'[2]Feedstock Conversion Rates'!B$7)/12+20+80-100-124-20+20+70+20-75-30-10-15</f>
        <v>12.157000000000039</v>
      </c>
      <c r="H177" s="45">
        <f>('[2]Renewable Diesel'!B186*'[2]RD Feedstock Breakdown'!H$3*'[2]Feedstock Conversion Rates'!B$3)/12-85+4+10-72+17+30+45+11.5+2.5+1-30-7.5-5+12+7.5-2.5+160+3-160</f>
        <v>117.90022499999998</v>
      </c>
      <c r="I177" s="47">
        <f t="shared" si="75"/>
        <v>495.89347500000002</v>
      </c>
      <c r="J177" s="45">
        <f t="shared" si="95"/>
        <v>55</v>
      </c>
      <c r="K177" s="45">
        <v>65</v>
      </c>
      <c r="L177" s="45">
        <v>1</v>
      </c>
      <c r="M177" s="45">
        <f>('[2]Renewable Diesel'!C186*'[2]RD Feedstock Breakdown'!M$3*'[2]Feedstock Conversion Rates'!B$2)/12-15-10-30+10-3.5+38.5+25</f>
        <v>22.79025</v>
      </c>
      <c r="N177" s="45">
        <f>('[2]Renewable Diesel'!C186*'[2]RD Feedstock Breakdown'!N$3*'[2]Feedstock Conversion Rates'!B$8)/12+4-7+1.75+5+9.25-30+5-15</f>
        <v>-23.328125</v>
      </c>
      <c r="O177" s="45">
        <f>('[2]Renewable Diesel'!C186*'[2]RD Feedstock Breakdown'!O$3*'[2]Feedstock Conversion Rates'!B$7)/12+30+25-145+25+15-5-10-18+8</f>
        <v>-63.000900000000001</v>
      </c>
      <c r="P177" s="45">
        <f>('[2]Renewable Diesel'!C186*'[2]RD Feedstock Breakdown'!P$3*'[2]Feedstock Conversion Rates'!B$3)/12-15-59-10+15-7.5+25+15+25+75-15-23-20-45-10+15</f>
        <v>-24.052957499999991</v>
      </c>
      <c r="Q177" s="47">
        <f t="shared" si="85"/>
        <v>33.408267500000022</v>
      </c>
      <c r="R177" s="45">
        <f>('[2]Renewable Diesel'!D186*'[2]RD Feedstock Breakdown'!R$3*'[2]Feedstock Conversion Rates'!B$7)/12</f>
        <v>2.2999999999999998</v>
      </c>
      <c r="S177" s="47">
        <f t="shared" si="44"/>
        <v>2.2999999999999998</v>
      </c>
      <c r="T177" s="45">
        <f t="shared" si="98"/>
        <v>4.8249999999999993</v>
      </c>
      <c r="U177" s="45">
        <v>0</v>
      </c>
      <c r="V177" s="45">
        <f>('[2]Renewable Diesel'!E186*'[2]RD Feedstock Breakdown'!V$3*'[2]Feedstock Conversion Rates'!B$6)/12-5+10</f>
        <v>49.250150000000012</v>
      </c>
      <c r="W177" s="45">
        <f>('[2]Renewable Diesel'!E186*'[2]RD Feedstock Breakdown'!W$3*'[2]Feedstock Conversion Rates'!B$8)/12-5.825-4</f>
        <v>12.354687500000001</v>
      </c>
      <c r="X177" s="47">
        <f t="shared" si="62"/>
        <v>66.429837500000005</v>
      </c>
      <c r="Y177" s="45">
        <f t="shared" si="93"/>
        <v>85.5</v>
      </c>
      <c r="Z177" s="45">
        <f>('[2]Renewable Diesel'!F186*'[2]RD Feedstock Breakdown'!Z$3*'[2]Feedstock Conversion Rates'!B$6)/12-50-32-60+15+25+32.5-50-5+10-25+15+5</f>
        <v>39.960000000000008</v>
      </c>
      <c r="AA177" s="45">
        <f>('[2]Renewable Diesel'!F186*'[2]RD Feedstock Breakdown'!AA$3*'[2]Feedstock Conversion Rates'!B$7)/12+80-171+75+70-20</f>
        <v>138.26666666666665</v>
      </c>
      <c r="AB177" s="47">
        <f t="shared" si="39"/>
        <v>263.72666666666669</v>
      </c>
      <c r="AC177" s="45">
        <f>('[2]Renewable Diesel'!G186*'[2]RD Feedstock Breakdown'!AC$3*'[2]Feedstock Conversion Rates'!B$5)/12</f>
        <v>7.864583333333333</v>
      </c>
      <c r="AD177" s="45">
        <f>('[2]Renewable Diesel'!G186*'[2]RD Feedstock Breakdown'!AD$3*'[2]Feedstock Conversion Rates'!B$4)/12</f>
        <v>3.90625</v>
      </c>
      <c r="AE177" s="45">
        <f>('[2]Renewable Diesel'!G186*'[2]RD Feedstock Breakdown'!AE$3*'[2]Feedstock Conversion Rates'!B$6)/12</f>
        <v>4.885416666666667</v>
      </c>
      <c r="AF177" s="47">
        <f t="shared" si="71"/>
        <v>16.65625</v>
      </c>
      <c r="AG177" s="45">
        <f t="shared" si="94"/>
        <v>139</v>
      </c>
      <c r="AH177" s="45">
        <v>0</v>
      </c>
      <c r="AI177" s="45">
        <f>('[2]Renewable Diesel'!H186*'[2]RD Feedstock Breakdown'!AI$3*'[2]Feedstock Conversion Rates'!B$6)/12-130-20+51+5-100-25+100-10-25+15+22.5-22.5</f>
        <v>9.5166666666666799</v>
      </c>
      <c r="AJ177" s="47">
        <f t="shared" si="42"/>
        <v>148.51666666666668</v>
      </c>
      <c r="AK177" s="45">
        <f>('[2]Renewable Diesel'!J186*'[2]RD Feedstock Breakdown'!AK$3*'[2]Feedstock Conversion Rates'!B$4)/12</f>
        <v>95.8125</v>
      </c>
      <c r="AL177" s="47">
        <f t="shared" si="45"/>
        <v>95.8125</v>
      </c>
      <c r="AM177" s="45">
        <f>('[2]Renewable Diesel'!K186*'[2]RD Feedstock Breakdown'!AM$3*'[2]Feedstock Conversion Rates'!B$4)/12+5+15-10+10-30</f>
        <v>48.59375</v>
      </c>
      <c r="AN177" s="45">
        <f>('[2]Renewable Diesel'!K186*'[2]RD Feedstock Breakdown'!AN$3*'[2]Feedstock Conversion Rates'!B$6)/12-5-15+10-10+30</f>
        <v>34.427083333333329</v>
      </c>
      <c r="AO177" s="47">
        <f t="shared" si="56"/>
        <v>83.020833333333329</v>
      </c>
      <c r="AP177" s="45">
        <f>('[2]Renewable Diesel'!L186*'[2]RD Feedstock Breakdown'!AP$3*'[2]Feedstock Conversion Rates'!B$4)/12+15-10-5+10+5+5</f>
        <v>78.59375</v>
      </c>
      <c r="AQ177" s="45">
        <f>('[2]Renewable Diesel'!L186*'[2]RD Feedstock Breakdown'!AQ$3*'[2]Feedstock Conversion Rates'!B$6)/12-15+10+5-10-5-5</f>
        <v>4.4270833333333321</v>
      </c>
      <c r="AR177" s="47">
        <f t="shared" si="46"/>
        <v>83.020833333333329</v>
      </c>
      <c r="AS177" s="45">
        <f>('[2]Renewable Diesel'!M186*'[2]RD Feedstock Breakdown'!AS$3*'[2]Feedstock Conversion Rates'!B$4)/12</f>
        <v>456.25</v>
      </c>
      <c r="AT177" s="45">
        <f>('[2]Renewable Diesel'!M186*'[2]RD Feedstock Breakdown'!AT$3*'[2]Feedstock Conversion Rates'!B$5)/12</f>
        <v>0</v>
      </c>
      <c r="AU177" s="47">
        <f t="shared" si="74"/>
        <v>456.25</v>
      </c>
      <c r="AV177" s="45">
        <f>'[2]Renewable Diesel'!N186*'[2]RD Feedstock Breakdown'!$AV$3*'[2]Feedstock Conversion Rates'!$B$4/12-15-10+25+25-22+22.5</f>
        <v>104.24999999999999</v>
      </c>
      <c r="AW177" s="45">
        <f>'[2]Renewable Diesel'!N186*'[2]RD Feedstock Breakdown'!$AW$3*'[2]Feedstock Conversion Rates'!$B$7/12+15+10-25-25+22-22.5</f>
        <v>15.900000000000006</v>
      </c>
      <c r="AX177" s="47">
        <f t="shared" si="40"/>
        <v>120.14999999999999</v>
      </c>
      <c r="AY177" s="45">
        <f>('[2]Renewable Diesel'!O186*'[2]RD Feedstock Breakdown'!AY$3*'[2]Feedstock Conversion Rates'!B$4)/12+34-100</f>
        <v>144.9375</v>
      </c>
      <c r="AZ177" s="45">
        <f>('[2]Renewable Diesel'!O186*'[2]RD Feedstock Breakdown'!AZ$3*'[2]Feedstock Conversion Rates'!B$3)/12-34+100</f>
        <v>91.03125</v>
      </c>
      <c r="BA177" s="47">
        <f t="shared" si="87"/>
        <v>235.96875</v>
      </c>
      <c r="BB177" s="45">
        <f>('[2]Renewable Diesel'!Q186*'[2]RD Feedstock Breakdown'!BB$3*'[2]Feedstock Conversion Rates'!B$4)/12</f>
        <v>11.156249999999998</v>
      </c>
      <c r="BC177" s="45">
        <f>('[2]Renewable Diesel'!Q186*'[2]RD Feedstock Breakdown'!BC$3*'[2]Feedstock Conversion Rates'!B$3)/12</f>
        <v>1.4017500000000001</v>
      </c>
      <c r="BD177" s="45">
        <f>('[2]Renewable Diesel'!Q186*'[2]RD Feedstock Breakdown'!BD$3*'[2]Feedstock Conversion Rates'!B$6)/12</f>
        <v>0.8207500000000002</v>
      </c>
      <c r="BE177" s="47">
        <f t="shared" si="64"/>
        <v>13.378749999999998</v>
      </c>
      <c r="BF177" s="45">
        <f>('[2]Renewable Diesel'!R186*'[2]RD Feedstock Breakdown'!BF$3*'[2]Feedstock Conversion Rates'!B$4)/12</f>
        <v>62.5</v>
      </c>
      <c r="BG177" s="47">
        <f t="shared" si="47"/>
        <v>62.5</v>
      </c>
      <c r="BH177" s="45">
        <f>('[2]Renewable Diesel'!T186*'[2]RD Feedstock Breakdown'!BH$3*'[2]Feedstock Conversion Rates'!B$7)/12</f>
        <v>27.599999999999998</v>
      </c>
      <c r="BI177" s="47">
        <f t="shared" si="41"/>
        <v>27.599999999999998</v>
      </c>
      <c r="BJ177" s="45">
        <f>('[2]Renewable Diesel'!W186*'[2]RD Feedstock Breakdown'!BJ$3*'[2]Feedstock Conversion Rates'!B$4)/12</f>
        <v>7.5</v>
      </c>
      <c r="BK177" s="45">
        <f>('[2]Renewable Diesel'!W186*'[2]RD Feedstock Breakdown'!BK$3*'[2]Feedstock Conversion Rates'!B$3)/12</f>
        <v>1.335</v>
      </c>
      <c r="BL177" s="45">
        <f>('[2]Renewable Diesel'!W186*'[2]RD Feedstock Breakdown'!BL$3*'[2]Feedstock Conversion Rates'!B$6)/12</f>
        <v>3.1266666666666669</v>
      </c>
      <c r="BM177" s="45">
        <f>('[2]Renewable Diesel'!W186*'[2]RD Feedstock Breakdown'!BM$3*'[2]Feedstock Conversion Rates'!B$7)/12</f>
        <v>1.5333333333333332</v>
      </c>
      <c r="BN177" s="47">
        <f t="shared" si="78"/>
        <v>13.495000000000001</v>
      </c>
      <c r="BO177" s="45">
        <f>('[2]Renewable Diesel'!P186*'[2]Feedstock Conversion Rates'!B$4)/12</f>
        <v>31.25</v>
      </c>
      <c r="BP177" s="47">
        <f t="shared" si="72"/>
        <v>31.25</v>
      </c>
      <c r="BQ177" s="45">
        <f>('[2]Renewable Diesel'!$S186*'[2]RD Feedstock Breakdown'!BQ$3*'[2]Feedstock Conversion Rates'!B$4)/12+10</f>
        <v>38.125</v>
      </c>
      <c r="BR177" s="45">
        <f>('[2]Renewable Diesel'!$S186*'[2]RD Feedstock Breakdown'!BR$3*'[2]Feedstock Conversion Rates'!B$7)/12-10</f>
        <v>1.5</v>
      </c>
      <c r="BS177" s="47">
        <f t="shared" si="90"/>
        <v>39.625</v>
      </c>
      <c r="BT177" s="47"/>
      <c r="BU177" s="45">
        <f>('[2]Renewable Diesel'!Y186*'[2]Feedstock Conversion Rates'!B$7)/12</f>
        <v>2.6833333333333331</v>
      </c>
      <c r="BV177" s="47">
        <f t="shared" si="67"/>
        <v>2.6833333333333331</v>
      </c>
      <c r="BW177" s="45">
        <f>('[2]Renewable Diesel'!$Z186*'[2]RD Feedstock Breakdown'!BW$3*'[2]Feedstock Conversion Rates'!$B$4)/12</f>
        <v>17.96875</v>
      </c>
      <c r="BX177" s="45">
        <f>('[2]Renewable Diesel'!$Z186*'[2]RD Feedstock Breakdown'!BX$3*'[2]Feedstock Conversion Rates'!$B$5)/12</f>
        <v>1.8088541666666667</v>
      </c>
      <c r="BY177" s="45">
        <f>('[2]Renewable Diesel'!$Z186*'[2]RD Feedstock Breakdown'!BY$3*'[2]Feedstock Conversion Rates'!$B$7)/12</f>
        <v>15.429166666666665</v>
      </c>
      <c r="BZ177" s="45">
        <f>('[2]Renewable Diesel'!$Z186*'[2]RD Feedstock Breakdown'!BZ$3*'[2]Feedstock Conversion Rates'!$B$3)/12</f>
        <v>3.8381249999999998</v>
      </c>
      <c r="CA177" s="47">
        <f t="shared" si="91"/>
        <v>39.044895833333328</v>
      </c>
      <c r="CB177" s="45">
        <f>('[2]Renewable Diesel'!AA186*'[2]Feedstock Conversion Rates'!B$4)/12</f>
        <v>191.25</v>
      </c>
      <c r="CC177" s="47">
        <f t="shared" si="79"/>
        <v>191.25</v>
      </c>
      <c r="CD177" s="45">
        <f>('[2]Renewable Diesel'!$AB186*'[2]RD Feedstock Breakdown'!CD$3*'[2]Feedstock Conversion Rates'!$B$6)/12-15</f>
        <v>17.830000000000005</v>
      </c>
      <c r="CE177" s="45">
        <f>('[2]Renewable Diesel'!$AB186*'[2]RD Feedstock Breakdown'!CE$3*'[2]Feedstock Conversion Rates'!$B$4)/12+15</f>
        <v>26.25</v>
      </c>
      <c r="CF177" s="47">
        <f t="shared" si="76"/>
        <v>44.080000000000005</v>
      </c>
      <c r="CG177" s="45">
        <f>('[2]Renewable Diesel'!AD186*'[2]Feedstock Conversion Rates'!B$4)/12</f>
        <v>112.5</v>
      </c>
      <c r="CH177" s="47">
        <f t="shared" si="63"/>
        <v>112.5</v>
      </c>
      <c r="CI177" s="45">
        <f>('[2]Renewable Diesel'!$AE186*'[2]RD Feedstock Breakdown'!CI$3*'[2]Feedstock Conversion Rates'!$B$5)/12</f>
        <v>0.34604166666666664</v>
      </c>
      <c r="CJ177" s="45">
        <f>('[2]Renewable Diesel'!$AE186*'[2]RD Feedstock Breakdown'!CJ$3*'[2]Feedstock Conversion Rates'!$B$4)/12</f>
        <v>0.34375</v>
      </c>
      <c r="CK177" s="47">
        <f t="shared" si="73"/>
        <v>0.68979166666666658</v>
      </c>
      <c r="CL177" s="45">
        <f>(((CL$3*'[2]Renewable Diesel'!$AF186)*'[2]Feedstock Conversion Rates'!$B$3)/12)</f>
        <v>91.78125</v>
      </c>
      <c r="CM177" s="45">
        <f>(((CM$3*'[2]Renewable Diesel'!$AF186)*'[2]Feedstock Conversion Rates'!$B$6)/12)</f>
        <v>53.739583333333336</v>
      </c>
      <c r="CN177" s="45">
        <f>(((CN$3*'[2]Renewable Diesel'!$AF186)*'[2]Feedstock Conversion Rates'!$B$4)/12)</f>
        <v>42.96875</v>
      </c>
      <c r="CO177" s="47">
        <f t="shared" si="65"/>
        <v>188.48958333333334</v>
      </c>
      <c r="CP177" s="45">
        <f>('[2]Renewable Diesel'!$AG186*'[2]RD Feedstock Breakdown'!CP$3*'[2]Feedstock Conversion Rates'!$B$3)/12</f>
        <v>3.0037500000000001</v>
      </c>
      <c r="CQ177" s="45">
        <f>('[2]Renewable Diesel'!$AG186*'[2]RD Feedstock Breakdown'!CQ$3*'[2]Feedstock Conversion Rates'!$B$6)/12</f>
        <v>1.75875</v>
      </c>
      <c r="CR177" s="45">
        <f>('[2]Renewable Diesel'!$AG186*'[2]RD Feedstock Breakdown'!CR$3*'[2]Feedstock Conversion Rates'!$B$4)/12</f>
        <v>1.40625</v>
      </c>
      <c r="CS177" s="47">
        <f t="shared" ref="CS177:CS240" si="99">SUM(CP177:CR177)</f>
        <v>6.1687500000000002</v>
      </c>
      <c r="CT177" s="45">
        <f>('[2]Renewable Diesel'!AI186*'[2]Feedstock Conversion Rates'!$B$4*'[2]RD Feedstock Breakdown'!$CT$3)/12</f>
        <v>29.375</v>
      </c>
      <c r="CU177" s="47">
        <f t="shared" si="69"/>
        <v>29.375</v>
      </c>
      <c r="CV177" s="47"/>
      <c r="CW177" s="47"/>
      <c r="CX177" s="45">
        <f>('[2]Renewable Diesel'!AO186*'[2]RD Feedstock Breakdown'!$CX$3*'[2]Feedstock Conversion Rates'!$B$3)/12</f>
        <v>1.66875</v>
      </c>
      <c r="CY177" s="45">
        <f>('[2]Renewable Diesel'!AO186*'[2]RD Feedstock Breakdown'!$CY$3*'[2]Feedstock Conversion Rates'!$B$6)/12</f>
        <v>1.9541666666666668</v>
      </c>
      <c r="CZ177" s="47">
        <f>CY177+CX177</f>
        <v>3.6229166666666668</v>
      </c>
      <c r="DA177" s="47"/>
      <c r="DB177" s="47"/>
      <c r="DC177" s="47"/>
      <c r="DD177" s="47"/>
      <c r="DE177" s="47"/>
      <c r="DF177" s="45">
        <f>('[2]Renewable Diesel'!AR186*'[2]Feedstock Conversion Rates'!$B$4*$DF$3)/12</f>
        <v>37.5</v>
      </c>
      <c r="DG177" s="47">
        <f>DF177</f>
        <v>37.5</v>
      </c>
      <c r="DH177" s="47"/>
      <c r="DI177" s="47"/>
      <c r="DJ177" s="45">
        <f>('[2]Renewable Diesel'!AT186*'[2]Feedstock Conversion Rates'!$B$4*0.25)/12</f>
        <v>8.59375</v>
      </c>
      <c r="DK177" s="45">
        <f>('[2]Renewable Diesel'!$AT186*'[2]RD Feedstock Breakdown'!DK$3*'[2]Feedstock Conversion Rates'!$B$3)/12*0.5</f>
        <v>9.1781249999999996</v>
      </c>
      <c r="DL177" s="45">
        <f>('[2]Renewable Diesel'!$AT186*'[2]RD Feedstock Breakdown'!$DL$3*'[2]Feedstock Conversion Rates'!$B$6)/12</f>
        <v>10.747916666666669</v>
      </c>
      <c r="DM177" s="45">
        <f>('[2]Renewable Diesel'!$AT186*'[2]RD Feedstock Breakdown'!$DM$3*'[2]Feedstock Conversion Rates'!$B$8)/12</f>
        <v>10.7421875</v>
      </c>
      <c r="DN177" s="47">
        <f t="shared" si="77"/>
        <v>39.26197916666667</v>
      </c>
      <c r="DP177" s="45">
        <f t="shared" si="48"/>
        <v>95.220250000000007</v>
      </c>
      <c r="DQ177" s="45">
        <f t="shared" si="49"/>
        <v>297.08526749999999</v>
      </c>
      <c r="DR177" s="45">
        <f t="shared" si="57"/>
        <v>1686.6875</v>
      </c>
      <c r="DS177" s="45">
        <f t="shared" si="70"/>
        <v>506.43822916666664</v>
      </c>
      <c r="DT177" s="45">
        <f t="shared" si="50"/>
        <v>232.44423333333341</v>
      </c>
      <c r="DU177" s="45">
        <f t="shared" si="51"/>
        <v>154.36860000000004</v>
      </c>
      <c r="DV177" s="45">
        <f t="shared" si="58"/>
        <v>9.4250000000000007</v>
      </c>
      <c r="DW177" s="45">
        <f t="shared" si="52"/>
        <v>2</v>
      </c>
      <c r="DX177" s="47">
        <f t="shared" si="53"/>
        <v>2983.6690800000006</v>
      </c>
      <c r="DY177" s="50">
        <f t="shared" si="54"/>
        <v>-7.744915819785092E-13</v>
      </c>
      <c r="EA177" s="51">
        <f t="shared" si="80"/>
        <v>3.1913810629428108E-2</v>
      </c>
      <c r="EB177" s="51">
        <f t="shared" si="80"/>
        <v>9.9570448174500614E-2</v>
      </c>
      <c r="EC177" s="51">
        <f t="shared" si="80"/>
        <v>0.56530649169712877</v>
      </c>
      <c r="ED177" s="51">
        <f t="shared" si="80"/>
        <v>0.16973672870138351</v>
      </c>
      <c r="EE177" s="51">
        <f t="shared" si="80"/>
        <v>7.7905500610454217E-2</v>
      </c>
      <c r="EF177" s="51">
        <f t="shared" si="80"/>
        <v>5.1737842187244178E-2</v>
      </c>
      <c r="EG177" s="51">
        <f t="shared" si="80"/>
        <v>3.1588623762525297E-3</v>
      </c>
      <c r="EH177" s="52">
        <f t="shared" si="59"/>
        <v>6.7031562360796377E-4</v>
      </c>
      <c r="EI177" s="51">
        <f t="shared" si="60"/>
        <v>0.99932968437639202</v>
      </c>
      <c r="EK177" s="53">
        <f>(EA177*'[2]Renewable Diesel'!BF186*'[2]Feedstock Conversion Rates'!B$2)+FB177</f>
        <v>54.555253222131377</v>
      </c>
      <c r="EL177" s="53">
        <f>(EB177*'[2]Renewable Diesel'!BF186*'[2]Feedstock Conversion Rates'!B$3)+FC177</f>
        <v>160.39911381453538</v>
      </c>
      <c r="EM177" s="53">
        <f>(EC177*'[2]Renewable Diesel'!BF186*'[2]Feedstock Conversion Rates'!B$4)+FD177</f>
        <v>852.67636010849515</v>
      </c>
      <c r="EN177" s="53">
        <f>(ED177*'[2]Renewable Diesel'!BF186*'[2]Feedstock Conversion Rates'!B$5)+FE177</f>
        <v>257.72809638501269</v>
      </c>
      <c r="EO177" s="53">
        <f>(EE177*'[2]Renewable Diesel'!BF186*'[2]Feedstock Conversion Rates'!B$6)+FF177</f>
        <v>146.96365606776607</v>
      </c>
      <c r="EP177" s="53">
        <f>(EF177*'[2]Renewable Diesel'!BF186*'[2]Feedstock Conversion Rates'!B$7)+FG177</f>
        <v>95.727149208928324</v>
      </c>
      <c r="EQ177" s="53">
        <f>(EG177*'[2]Renewable Diesel'!BF186*'[2]Feedstock Conversion Rates'!B$8)+FH177</f>
        <v>5.9558118308982602</v>
      </c>
      <c r="ER177" s="53">
        <f>(EH177*'[2]Renewable Diesel'!BF186*'[2]Feedstock Conversion Rates'!B$9)+FI177</f>
        <v>1.2469816459387337</v>
      </c>
      <c r="ES177" s="53">
        <f t="shared" si="61"/>
        <v>1575.252422283706</v>
      </c>
      <c r="ET177" s="36">
        <f>ES177/'[2]Renewable Diesel'!BF186</f>
        <v>7.8326941677962481</v>
      </c>
    </row>
    <row r="178" spans="1:150" x14ac:dyDescent="0.25">
      <c r="A178" s="39">
        <v>45839</v>
      </c>
      <c r="B178" s="45">
        <f t="shared" si="96"/>
        <v>3.75</v>
      </c>
      <c r="C178" s="45">
        <f t="shared" si="97"/>
        <v>279</v>
      </c>
      <c r="D178" s="45">
        <v>1</v>
      </c>
      <c r="E178" s="45">
        <f>('[2]Renewable Diesel'!B187*E$3*'[2]Feedstock Conversion Rates'!$B$2)/12-40+0.5+7+7.5-36+5+23+68+10+12.5-12-5-4-51-3</f>
        <v>72.430000000000007</v>
      </c>
      <c r="F178" s="45">
        <f>('[2]Renewable Diesel'!B187*'[2]RD Feedstock Breakdown'!F$3*'[2]Feedstock Conversion Rates'!B$8)/12-20+2-0.75+3+4+5-35+7+10+17+2.5-5-29+22.5-27.5</f>
        <v>9.65625</v>
      </c>
      <c r="G178" s="45">
        <f>('[2]Renewable Diesel'!B187*'[2]RD Feedstock Breakdown'!G$3*'[2]Feedstock Conversion Rates'!B$7)/12+20+80-100-124-20+20+70+20-75-30-10-15</f>
        <v>12.157000000000039</v>
      </c>
      <c r="H178" s="45">
        <f>('[2]Renewable Diesel'!B187*'[2]RD Feedstock Breakdown'!H$3*'[2]Feedstock Conversion Rates'!B$3)/12-85+4+10-72+17+30+45+11.5+2.5+1-30-7.5-5+12+7.5-2.5+160+3-160</f>
        <v>117.90022499999998</v>
      </c>
      <c r="I178" s="47">
        <f t="shared" si="75"/>
        <v>495.89347500000002</v>
      </c>
      <c r="J178" s="45">
        <f t="shared" si="95"/>
        <v>55</v>
      </c>
      <c r="K178" s="45">
        <v>65</v>
      </c>
      <c r="L178" s="45">
        <v>1</v>
      </c>
      <c r="M178" s="45">
        <f>('[2]Renewable Diesel'!C187*'[2]RD Feedstock Breakdown'!M$3*'[2]Feedstock Conversion Rates'!B$2)/12-15-10-30+10-3.5+38.5+25</f>
        <v>22.79025</v>
      </c>
      <c r="N178" s="45">
        <f>('[2]Renewable Diesel'!C187*'[2]RD Feedstock Breakdown'!N$3*'[2]Feedstock Conversion Rates'!B$8)/12+4-7+1.75+5+9.25-30+5-15</f>
        <v>-23.328125</v>
      </c>
      <c r="O178" s="45">
        <f>('[2]Renewable Diesel'!C187*'[2]RD Feedstock Breakdown'!O$3*'[2]Feedstock Conversion Rates'!B$7)/12+30+25-145+25+15-5-10-18+8</f>
        <v>-63.000900000000001</v>
      </c>
      <c r="P178" s="45">
        <f>('[2]Renewable Diesel'!C187*'[2]RD Feedstock Breakdown'!P$3*'[2]Feedstock Conversion Rates'!B$3)/12-15-59-10+15-7.5+25+15+25+75-15-23-20-45-10+15</f>
        <v>-24.052957499999991</v>
      </c>
      <c r="Q178" s="47">
        <f t="shared" si="85"/>
        <v>33.408267500000022</v>
      </c>
      <c r="R178" s="45">
        <f>('[2]Renewable Diesel'!D187*'[2]RD Feedstock Breakdown'!R$3*'[2]Feedstock Conversion Rates'!B$7)/12</f>
        <v>2.2999999999999998</v>
      </c>
      <c r="S178" s="47">
        <f t="shared" si="44"/>
        <v>2.2999999999999998</v>
      </c>
      <c r="T178" s="45">
        <f t="shared" si="98"/>
        <v>4.8249999999999993</v>
      </c>
      <c r="U178" s="45">
        <v>0</v>
      </c>
      <c r="V178" s="45">
        <f>('[2]Renewable Diesel'!E187*'[2]RD Feedstock Breakdown'!V$3*'[2]Feedstock Conversion Rates'!B$6)/12-5+10</f>
        <v>49.250150000000012</v>
      </c>
      <c r="W178" s="45">
        <f>('[2]Renewable Diesel'!E187*'[2]RD Feedstock Breakdown'!W$3*'[2]Feedstock Conversion Rates'!B$8)/12-5.825-4</f>
        <v>12.354687500000001</v>
      </c>
      <c r="X178" s="47">
        <f t="shared" si="62"/>
        <v>66.429837500000005</v>
      </c>
      <c r="Y178" s="45">
        <f t="shared" si="93"/>
        <v>85.5</v>
      </c>
      <c r="Z178" s="45">
        <f>('[2]Renewable Diesel'!F187*'[2]RD Feedstock Breakdown'!Z$3*'[2]Feedstock Conversion Rates'!B$6)/12-50-32-60+15+25+32.5-50-5+10-25+15+5</f>
        <v>39.960000000000008</v>
      </c>
      <c r="AA178" s="45">
        <f>('[2]Renewable Diesel'!F187*'[2]RD Feedstock Breakdown'!AA$3*'[2]Feedstock Conversion Rates'!B$7)/12+80-171+75+70-20</f>
        <v>138.26666666666665</v>
      </c>
      <c r="AB178" s="47">
        <f t="shared" si="39"/>
        <v>263.72666666666669</v>
      </c>
      <c r="AC178" s="45">
        <f>('[2]Renewable Diesel'!G187*'[2]RD Feedstock Breakdown'!AC$3*'[2]Feedstock Conversion Rates'!B$5)/12</f>
        <v>7.864583333333333</v>
      </c>
      <c r="AD178" s="45">
        <f>('[2]Renewable Diesel'!G187*'[2]RD Feedstock Breakdown'!AD$3*'[2]Feedstock Conversion Rates'!B$4)/12</f>
        <v>3.90625</v>
      </c>
      <c r="AE178" s="45">
        <f>('[2]Renewable Diesel'!G187*'[2]RD Feedstock Breakdown'!AE$3*'[2]Feedstock Conversion Rates'!B$6)/12</f>
        <v>4.885416666666667</v>
      </c>
      <c r="AF178" s="47">
        <f t="shared" si="71"/>
        <v>16.65625</v>
      </c>
      <c r="AG178" s="45">
        <f t="shared" si="94"/>
        <v>139</v>
      </c>
      <c r="AH178" s="45">
        <v>0</v>
      </c>
      <c r="AI178" s="45">
        <f>('[2]Renewable Diesel'!H187*'[2]RD Feedstock Breakdown'!AI$3*'[2]Feedstock Conversion Rates'!B$6)/12-130-20+51+5-100-25+100-10-25+15+22.5-22.5</f>
        <v>9.5166666666666799</v>
      </c>
      <c r="AJ178" s="47">
        <f t="shared" si="42"/>
        <v>148.51666666666668</v>
      </c>
      <c r="AK178" s="45">
        <f>('[2]Renewable Diesel'!J187*'[2]RD Feedstock Breakdown'!AK$3*'[2]Feedstock Conversion Rates'!B$4)/12</f>
        <v>95.8125</v>
      </c>
      <c r="AL178" s="47">
        <f t="shared" si="45"/>
        <v>95.8125</v>
      </c>
      <c r="AM178" s="45">
        <f>('[2]Renewable Diesel'!K187*'[2]RD Feedstock Breakdown'!AM$3*'[2]Feedstock Conversion Rates'!B$4)/12+5+15-10+10-30</f>
        <v>48.59375</v>
      </c>
      <c r="AN178" s="45">
        <f>('[2]Renewable Diesel'!K187*'[2]RD Feedstock Breakdown'!AN$3*'[2]Feedstock Conversion Rates'!B$6)/12-5-15+10-10+30</f>
        <v>34.427083333333329</v>
      </c>
      <c r="AO178" s="47">
        <f t="shared" si="56"/>
        <v>83.020833333333329</v>
      </c>
      <c r="AP178" s="45">
        <f>('[2]Renewable Diesel'!L187*'[2]RD Feedstock Breakdown'!AP$3*'[2]Feedstock Conversion Rates'!B$4)/12+15-10-5+10+5+5</f>
        <v>78.59375</v>
      </c>
      <c r="AQ178" s="45">
        <f>('[2]Renewable Diesel'!L187*'[2]RD Feedstock Breakdown'!AQ$3*'[2]Feedstock Conversion Rates'!B$6)/12-15+10+5-10-5-5</f>
        <v>4.4270833333333321</v>
      </c>
      <c r="AR178" s="47">
        <f t="shared" si="46"/>
        <v>83.020833333333329</v>
      </c>
      <c r="AS178" s="45">
        <f>('[2]Renewable Diesel'!M187*'[2]RD Feedstock Breakdown'!AS$3*'[2]Feedstock Conversion Rates'!B$4)/12</f>
        <v>456.25</v>
      </c>
      <c r="AT178" s="45">
        <f>('[2]Renewable Diesel'!M187*'[2]RD Feedstock Breakdown'!AT$3*'[2]Feedstock Conversion Rates'!B$5)/12</f>
        <v>0</v>
      </c>
      <c r="AU178" s="47">
        <f t="shared" si="74"/>
        <v>456.25</v>
      </c>
      <c r="AV178" s="45">
        <f>'[2]Renewable Diesel'!N187*'[2]RD Feedstock Breakdown'!$AV$3*'[2]Feedstock Conversion Rates'!$B$4/12-15-10+25+25-22+22.5</f>
        <v>104.24999999999999</v>
      </c>
      <c r="AW178" s="45">
        <f>'[2]Renewable Diesel'!N187*'[2]RD Feedstock Breakdown'!$AW$3*'[2]Feedstock Conversion Rates'!$B$7/12+15+10-25-25+22-22.5</f>
        <v>15.900000000000006</v>
      </c>
      <c r="AX178" s="47">
        <f t="shared" si="40"/>
        <v>120.14999999999999</v>
      </c>
      <c r="AY178" s="45">
        <f>('[2]Renewable Diesel'!O187*'[2]RD Feedstock Breakdown'!AY$3*'[2]Feedstock Conversion Rates'!B$4)/12+34-100</f>
        <v>144.9375</v>
      </c>
      <c r="AZ178" s="45">
        <f>('[2]Renewable Diesel'!O187*'[2]RD Feedstock Breakdown'!AZ$3*'[2]Feedstock Conversion Rates'!B$3)/12-34+100</f>
        <v>91.03125</v>
      </c>
      <c r="BA178" s="47">
        <f t="shared" si="87"/>
        <v>235.96875</v>
      </c>
      <c r="BB178" s="45">
        <f>('[2]Renewable Diesel'!Q187*'[2]RD Feedstock Breakdown'!BB$3*'[2]Feedstock Conversion Rates'!B$4)/12</f>
        <v>11.156249999999998</v>
      </c>
      <c r="BC178" s="45">
        <f>('[2]Renewable Diesel'!Q187*'[2]RD Feedstock Breakdown'!BC$3*'[2]Feedstock Conversion Rates'!B$3)/12</f>
        <v>1.4017500000000001</v>
      </c>
      <c r="BD178" s="45">
        <f>('[2]Renewable Diesel'!Q187*'[2]RD Feedstock Breakdown'!BD$3*'[2]Feedstock Conversion Rates'!B$6)/12</f>
        <v>0.8207500000000002</v>
      </c>
      <c r="BE178" s="47">
        <f t="shared" si="64"/>
        <v>13.378749999999998</v>
      </c>
      <c r="BF178" s="45">
        <f>('[2]Renewable Diesel'!R187*'[2]RD Feedstock Breakdown'!BF$3*'[2]Feedstock Conversion Rates'!B$4)/12</f>
        <v>62.5</v>
      </c>
      <c r="BG178" s="47">
        <f t="shared" si="47"/>
        <v>62.5</v>
      </c>
      <c r="BH178" s="45">
        <f>('[2]Renewable Diesel'!T187*'[2]RD Feedstock Breakdown'!BH$3*'[2]Feedstock Conversion Rates'!B$7)/12</f>
        <v>27.599999999999998</v>
      </c>
      <c r="BI178" s="47">
        <f t="shared" si="41"/>
        <v>27.599999999999998</v>
      </c>
      <c r="BJ178" s="45">
        <f>('[2]Renewable Diesel'!W187*'[2]RD Feedstock Breakdown'!BJ$3*'[2]Feedstock Conversion Rates'!B$4)/12</f>
        <v>7.5</v>
      </c>
      <c r="BK178" s="45">
        <f>('[2]Renewable Diesel'!W187*'[2]RD Feedstock Breakdown'!BK$3*'[2]Feedstock Conversion Rates'!B$3)/12</f>
        <v>1.335</v>
      </c>
      <c r="BL178" s="45">
        <f>('[2]Renewable Diesel'!W187*'[2]RD Feedstock Breakdown'!BL$3*'[2]Feedstock Conversion Rates'!B$6)/12</f>
        <v>3.1266666666666669</v>
      </c>
      <c r="BM178" s="45">
        <f>('[2]Renewable Diesel'!W187*'[2]RD Feedstock Breakdown'!BM$3*'[2]Feedstock Conversion Rates'!B$7)/12</f>
        <v>1.5333333333333332</v>
      </c>
      <c r="BN178" s="47">
        <f t="shared" si="78"/>
        <v>13.495000000000001</v>
      </c>
      <c r="BO178" s="45">
        <f>('[2]Renewable Diesel'!P187*'[2]Feedstock Conversion Rates'!B$4)/12</f>
        <v>31.25</v>
      </c>
      <c r="BP178" s="47">
        <f t="shared" si="72"/>
        <v>31.25</v>
      </c>
      <c r="BQ178" s="45">
        <f>('[2]Renewable Diesel'!$S187*'[2]RD Feedstock Breakdown'!BQ$3*'[2]Feedstock Conversion Rates'!B$4)/12+10</f>
        <v>38.125</v>
      </c>
      <c r="BR178" s="45">
        <f>('[2]Renewable Diesel'!$S187*'[2]RD Feedstock Breakdown'!BR$3*'[2]Feedstock Conversion Rates'!B$7)/12-10</f>
        <v>1.5</v>
      </c>
      <c r="BS178" s="47">
        <f t="shared" si="90"/>
        <v>39.625</v>
      </c>
      <c r="BT178" s="47"/>
      <c r="BU178" s="45">
        <f>('[2]Renewable Diesel'!Y187*'[2]Feedstock Conversion Rates'!B$7)/12</f>
        <v>2.6833333333333331</v>
      </c>
      <c r="BV178" s="47">
        <f t="shared" si="67"/>
        <v>2.6833333333333331</v>
      </c>
      <c r="BW178" s="45">
        <f>('[2]Renewable Diesel'!$Z187*'[2]RD Feedstock Breakdown'!BW$3*'[2]Feedstock Conversion Rates'!$B$4)/12</f>
        <v>17.96875</v>
      </c>
      <c r="BX178" s="45">
        <f>('[2]Renewable Diesel'!$Z187*'[2]RD Feedstock Breakdown'!BX$3*'[2]Feedstock Conversion Rates'!$B$5)/12</f>
        <v>1.8088541666666667</v>
      </c>
      <c r="BY178" s="45">
        <f>('[2]Renewable Diesel'!$Z187*'[2]RD Feedstock Breakdown'!BY$3*'[2]Feedstock Conversion Rates'!$B$7)/12</f>
        <v>15.429166666666665</v>
      </c>
      <c r="BZ178" s="45">
        <f>('[2]Renewable Diesel'!$Z187*'[2]RD Feedstock Breakdown'!BZ$3*'[2]Feedstock Conversion Rates'!$B$3)/12</f>
        <v>3.8381249999999998</v>
      </c>
      <c r="CA178" s="47">
        <f t="shared" si="91"/>
        <v>39.044895833333328</v>
      </c>
      <c r="CB178" s="45">
        <f>('[2]Renewable Diesel'!AA187*'[2]Feedstock Conversion Rates'!B$4)/12</f>
        <v>191.25</v>
      </c>
      <c r="CC178" s="47">
        <f t="shared" si="79"/>
        <v>191.25</v>
      </c>
      <c r="CD178" s="45">
        <f>('[2]Renewable Diesel'!$AB187*'[2]RD Feedstock Breakdown'!CD$3*'[2]Feedstock Conversion Rates'!$B$6)/12-15</f>
        <v>17.830000000000005</v>
      </c>
      <c r="CE178" s="45">
        <f>('[2]Renewable Diesel'!$AB187*'[2]RD Feedstock Breakdown'!CE$3*'[2]Feedstock Conversion Rates'!$B$4)/12+15</f>
        <v>26.25</v>
      </c>
      <c r="CF178" s="47">
        <f t="shared" si="76"/>
        <v>44.080000000000005</v>
      </c>
      <c r="CG178" s="45">
        <f>('[2]Renewable Diesel'!AD187*'[2]Feedstock Conversion Rates'!B$4)/12</f>
        <v>112.5</v>
      </c>
      <c r="CH178" s="47">
        <f t="shared" si="63"/>
        <v>112.5</v>
      </c>
      <c r="CI178" s="45">
        <f>('[2]Renewable Diesel'!$AE187*'[2]RD Feedstock Breakdown'!CI$3*'[2]Feedstock Conversion Rates'!$B$5)/12</f>
        <v>0.34604166666666664</v>
      </c>
      <c r="CJ178" s="45">
        <f>('[2]Renewable Diesel'!$AE187*'[2]RD Feedstock Breakdown'!CJ$3*'[2]Feedstock Conversion Rates'!$B$4)/12</f>
        <v>0.34375</v>
      </c>
      <c r="CK178" s="47">
        <f t="shared" si="73"/>
        <v>0.68979166666666658</v>
      </c>
      <c r="CL178" s="45">
        <f>(((CL$3*'[2]Renewable Diesel'!$AF187)*'[2]Feedstock Conversion Rates'!$B$3)/12)</f>
        <v>91.78125</v>
      </c>
      <c r="CM178" s="45">
        <f>(((CM$3*'[2]Renewable Diesel'!$AF187)*'[2]Feedstock Conversion Rates'!$B$6)/12)</f>
        <v>53.739583333333336</v>
      </c>
      <c r="CN178" s="45">
        <f>(((CN$3*'[2]Renewable Diesel'!$AF187)*'[2]Feedstock Conversion Rates'!$B$4)/12)</f>
        <v>42.96875</v>
      </c>
      <c r="CO178" s="47">
        <f t="shared" si="65"/>
        <v>188.48958333333334</v>
      </c>
      <c r="CP178" s="45">
        <f>('[2]Renewable Diesel'!$AG187*'[2]RD Feedstock Breakdown'!CP$3*'[2]Feedstock Conversion Rates'!$B$3)/12</f>
        <v>6.0075000000000003</v>
      </c>
      <c r="CQ178" s="45">
        <f>('[2]Renewable Diesel'!$AG187*'[2]RD Feedstock Breakdown'!CQ$3*'[2]Feedstock Conversion Rates'!$B$6)/12</f>
        <v>3.5175000000000001</v>
      </c>
      <c r="CR178" s="45">
        <f>('[2]Renewable Diesel'!$AG187*'[2]RD Feedstock Breakdown'!CR$3*'[2]Feedstock Conversion Rates'!$B$4)/12</f>
        <v>2.8125</v>
      </c>
      <c r="CS178" s="47">
        <f t="shared" si="99"/>
        <v>12.3375</v>
      </c>
      <c r="CT178" s="45">
        <f>('[2]Renewable Diesel'!AI187*'[2]Feedstock Conversion Rates'!$B$4*'[2]RD Feedstock Breakdown'!$CT$3)/12</f>
        <v>29.375</v>
      </c>
      <c r="CU178" s="47">
        <f t="shared" si="69"/>
        <v>29.375</v>
      </c>
      <c r="CV178" s="47"/>
      <c r="CW178" s="47"/>
      <c r="CX178" s="45">
        <f>('[2]Renewable Diesel'!AO187*'[2]RD Feedstock Breakdown'!$CX$3*'[2]Feedstock Conversion Rates'!$B$3)/12</f>
        <v>3.3374999999999999</v>
      </c>
      <c r="CY178" s="45">
        <f>('[2]Renewable Diesel'!AO187*'[2]RD Feedstock Breakdown'!$CY$3*'[2]Feedstock Conversion Rates'!$B$6)/12</f>
        <v>3.9083333333333337</v>
      </c>
      <c r="CZ178" s="47">
        <f t="shared" ref="CZ178:CZ241" si="100">CY178+CX178</f>
        <v>7.2458333333333336</v>
      </c>
      <c r="DA178" s="47"/>
      <c r="DB178" s="47"/>
      <c r="DC178" s="47"/>
      <c r="DD178" s="47"/>
      <c r="DE178" s="47"/>
      <c r="DF178" s="45">
        <f>('[2]Renewable Diesel'!AR187*'[2]Feedstock Conversion Rates'!$B$4*$DF$3)/12</f>
        <v>56.25</v>
      </c>
      <c r="DG178" s="47">
        <f t="shared" ref="DG178:DG241" si="101">DF178</f>
        <v>56.25</v>
      </c>
      <c r="DH178" s="47"/>
      <c r="DI178" s="47"/>
      <c r="DJ178" s="45">
        <f>('[2]Renewable Diesel'!AT187*'[2]Feedstock Conversion Rates'!$B$4*0.25)/12</f>
        <v>8.59375</v>
      </c>
      <c r="DK178" s="45">
        <f>('[2]Renewable Diesel'!$AT187*'[2]RD Feedstock Breakdown'!DK$3*'[2]Feedstock Conversion Rates'!$B$3)/12*0.5</f>
        <v>9.1781249999999996</v>
      </c>
      <c r="DL178" s="45">
        <f>('[2]Renewable Diesel'!$AT187*'[2]RD Feedstock Breakdown'!$DL$3*'[2]Feedstock Conversion Rates'!$B$6)/12</f>
        <v>10.747916666666669</v>
      </c>
      <c r="DM178" s="45">
        <f>('[2]Renewable Diesel'!$AT187*'[2]RD Feedstock Breakdown'!$DM$3*'[2]Feedstock Conversion Rates'!$B$8)/12</f>
        <v>10.7421875</v>
      </c>
      <c r="DN178" s="47">
        <f t="shared" si="77"/>
        <v>39.26197916666667</v>
      </c>
      <c r="DP178" s="45">
        <f t="shared" si="48"/>
        <v>95.220250000000007</v>
      </c>
      <c r="DQ178" s="45">
        <f t="shared" si="49"/>
        <v>301.75776749999994</v>
      </c>
      <c r="DR178" s="45">
        <f t="shared" si="57"/>
        <v>1706.84375</v>
      </c>
      <c r="DS178" s="45">
        <f t="shared" si="70"/>
        <v>506.43822916666664</v>
      </c>
      <c r="DT178" s="45">
        <f t="shared" si="50"/>
        <v>236.15715000000009</v>
      </c>
      <c r="DU178" s="45">
        <f t="shared" si="51"/>
        <v>154.36860000000004</v>
      </c>
      <c r="DV178" s="45">
        <f t="shared" si="58"/>
        <v>9.4250000000000007</v>
      </c>
      <c r="DW178" s="45">
        <f t="shared" si="52"/>
        <v>2</v>
      </c>
      <c r="DX178" s="47">
        <f t="shared" si="53"/>
        <v>3012.2107466666671</v>
      </c>
      <c r="DY178" s="50">
        <f t="shared" si="54"/>
        <v>-6.1817218011128716E-13</v>
      </c>
      <c r="EA178" s="51">
        <f t="shared" si="80"/>
        <v>3.1611416998419309E-2</v>
      </c>
      <c r="EB178" s="51">
        <f t="shared" si="80"/>
        <v>0.10017817240507729</v>
      </c>
      <c r="EC178" s="51">
        <f t="shared" si="80"/>
        <v>0.56664154454956539</v>
      </c>
      <c r="ED178" s="51">
        <f t="shared" si="80"/>
        <v>0.16812841854677488</v>
      </c>
      <c r="EE178" s="51">
        <f t="shared" si="80"/>
        <v>7.8399942720253954E-2</v>
      </c>
      <c r="EF178" s="51">
        <f t="shared" si="80"/>
        <v>5.1247609474478303E-2</v>
      </c>
      <c r="EG178" s="51">
        <f t="shared" si="80"/>
        <v>3.1289311381780872E-3</v>
      </c>
      <c r="EH178" s="52">
        <f t="shared" si="59"/>
        <v>6.6396416725264442E-4</v>
      </c>
      <c r="EI178" s="51">
        <f t="shared" si="60"/>
        <v>0.99933603583274722</v>
      </c>
      <c r="EK178" s="53">
        <f>(EA178*'[2]Renewable Diesel'!BF187*'[2]Feedstock Conversion Rates'!B$2)+FB178</f>
        <v>53.291212194212662</v>
      </c>
      <c r="EL178" s="53">
        <f>(EB178*'[2]Renewable Diesel'!BF187*'[2]Feedstock Conversion Rates'!B$3)+FC178</f>
        <v>159.14695372656433</v>
      </c>
      <c r="EM178" s="53">
        <f>(EC178*'[2]Renewable Diesel'!BF187*'[2]Feedstock Conversion Rates'!B$4)+FD178</f>
        <v>842.87347241803934</v>
      </c>
      <c r="EN178" s="53">
        <f>(ED178*'[2]Renewable Diesel'!BF187*'[2]Feedstock Conversion Rates'!B$5)+FE178</f>
        <v>251.75655618242979</v>
      </c>
      <c r="EO178" s="53">
        <f>(EE178*'[2]Renewable Diesel'!BF187*'[2]Feedstock Conversion Rates'!B$6)+FF178</f>
        <v>145.85163212455609</v>
      </c>
      <c r="EP178" s="53">
        <f>(EF178*'[2]Renewable Diesel'!BF187*'[2]Feedstock Conversion Rates'!B$7)+FG178</f>
        <v>93.509158512540267</v>
      </c>
      <c r="EQ178" s="53">
        <f>(EG178*'[2]Renewable Diesel'!BF187*'[2]Feedstock Conversion Rates'!B$8)+FH178</f>
        <v>5.8178161281166059</v>
      </c>
      <c r="ER178" s="53">
        <f>(EH178*'[2]Renewable Diesel'!BF187*'[2]Feedstock Conversion Rates'!B$9)+FI178</f>
        <v>1.2180891769566862</v>
      </c>
      <c r="ES178" s="53">
        <f t="shared" si="61"/>
        <v>1553.4648904634162</v>
      </c>
      <c r="ET178" s="36">
        <f>ES178/'[2]Renewable Diesel'!BF187</f>
        <v>7.8326502174498147</v>
      </c>
    </row>
    <row r="179" spans="1:150" x14ac:dyDescent="0.25">
      <c r="A179" s="39">
        <v>45870</v>
      </c>
      <c r="B179" s="45">
        <f t="shared" si="96"/>
        <v>3.75</v>
      </c>
      <c r="C179" s="45">
        <f t="shared" si="97"/>
        <v>279</v>
      </c>
      <c r="D179" s="45">
        <v>1</v>
      </c>
      <c r="E179" s="45">
        <f>('[2]Renewable Diesel'!B188*E$3*'[2]Feedstock Conversion Rates'!$B$2)/12-40+0.5+7+7.5-36+5+23+68+10+12.5-12-5-4-51-3</f>
        <v>72.430000000000007</v>
      </c>
      <c r="F179" s="45">
        <f>('[2]Renewable Diesel'!B188*'[2]RD Feedstock Breakdown'!F$3*'[2]Feedstock Conversion Rates'!B$8)/12-20+2-0.75+3+4+5-35+7+10+17+2.5-5-29+22.5-27.5</f>
        <v>9.65625</v>
      </c>
      <c r="G179" s="45">
        <f>('[2]Renewable Diesel'!B188*'[2]RD Feedstock Breakdown'!G$3*'[2]Feedstock Conversion Rates'!B$7)/12+20+80-100-124-20+20+70+20-75-30-10-15</f>
        <v>12.157000000000039</v>
      </c>
      <c r="H179" s="45">
        <f>('[2]Renewable Diesel'!B188*'[2]RD Feedstock Breakdown'!H$3*'[2]Feedstock Conversion Rates'!B$3)/12-85+4+10-72+17+30+45+11.5+2.5+1-30-7.5-5+12+7.5-2.5+160+3-160</f>
        <v>117.90022499999998</v>
      </c>
      <c r="I179" s="47">
        <f t="shared" si="75"/>
        <v>495.89347500000002</v>
      </c>
      <c r="J179" s="45">
        <f t="shared" si="95"/>
        <v>55</v>
      </c>
      <c r="K179" s="45">
        <v>65</v>
      </c>
      <c r="L179" s="45">
        <v>1</v>
      </c>
      <c r="M179" s="45">
        <f>('[2]Renewable Diesel'!C188*'[2]RD Feedstock Breakdown'!M$3*'[2]Feedstock Conversion Rates'!B$2)/12-15-10-30+10-3.5+38.5+25</f>
        <v>22.79025</v>
      </c>
      <c r="N179" s="45">
        <f>('[2]Renewable Diesel'!C188*'[2]RD Feedstock Breakdown'!N$3*'[2]Feedstock Conversion Rates'!B$8)/12+4-7+1.75+5+9.25-30+5-15</f>
        <v>-23.328125</v>
      </c>
      <c r="O179" s="45">
        <f>('[2]Renewable Diesel'!C188*'[2]RD Feedstock Breakdown'!O$3*'[2]Feedstock Conversion Rates'!B$7)/12+30+25-145+25+15-5-10-18+8</f>
        <v>-63.000900000000001</v>
      </c>
      <c r="P179" s="45">
        <f>('[2]Renewable Diesel'!C188*'[2]RD Feedstock Breakdown'!P$3*'[2]Feedstock Conversion Rates'!B$3)/12-15-59-10+15-7.5+25+15+25+75-15-23-20-45-10+15</f>
        <v>-24.052957499999991</v>
      </c>
      <c r="Q179" s="47">
        <f t="shared" si="85"/>
        <v>33.408267500000022</v>
      </c>
      <c r="R179" s="45">
        <f>('[2]Renewable Diesel'!D188*'[2]RD Feedstock Breakdown'!R$3*'[2]Feedstock Conversion Rates'!B$7)/12</f>
        <v>2.2999999999999998</v>
      </c>
      <c r="S179" s="47">
        <f t="shared" si="44"/>
        <v>2.2999999999999998</v>
      </c>
      <c r="T179" s="45">
        <f t="shared" si="98"/>
        <v>4.8249999999999993</v>
      </c>
      <c r="U179" s="45">
        <v>0</v>
      </c>
      <c r="V179" s="45">
        <f>('[2]Renewable Diesel'!E188*'[2]RD Feedstock Breakdown'!V$3*'[2]Feedstock Conversion Rates'!B$6)/12-5+10</f>
        <v>49.250150000000012</v>
      </c>
      <c r="W179" s="45">
        <f>('[2]Renewable Diesel'!E188*'[2]RD Feedstock Breakdown'!W$3*'[2]Feedstock Conversion Rates'!B$8)/12-5.825-4</f>
        <v>12.354687500000001</v>
      </c>
      <c r="X179" s="47">
        <f t="shared" si="62"/>
        <v>66.429837500000005</v>
      </c>
      <c r="Y179" s="45">
        <f t="shared" si="93"/>
        <v>85.5</v>
      </c>
      <c r="Z179" s="45">
        <f>('[2]Renewable Diesel'!F188*'[2]RD Feedstock Breakdown'!Z$3*'[2]Feedstock Conversion Rates'!B$6)/12-50-32-60+15+25+32.5-50-5+10-25+15+5</f>
        <v>39.960000000000008</v>
      </c>
      <c r="AA179" s="45">
        <f>('[2]Renewable Diesel'!F188*'[2]RD Feedstock Breakdown'!AA$3*'[2]Feedstock Conversion Rates'!B$7)/12+80-171+75+70-20</f>
        <v>138.26666666666665</v>
      </c>
      <c r="AB179" s="47">
        <f t="shared" ref="AB179:AB242" si="102">SUM(Y179:AA179)</f>
        <v>263.72666666666669</v>
      </c>
      <c r="AC179" s="45">
        <f>('[2]Renewable Diesel'!G188*'[2]RD Feedstock Breakdown'!AC$3*'[2]Feedstock Conversion Rates'!B$5)/12</f>
        <v>7.864583333333333</v>
      </c>
      <c r="AD179" s="45">
        <f>('[2]Renewable Diesel'!G188*'[2]RD Feedstock Breakdown'!AD$3*'[2]Feedstock Conversion Rates'!B$4)/12</f>
        <v>3.90625</v>
      </c>
      <c r="AE179" s="45">
        <f>('[2]Renewable Diesel'!G188*'[2]RD Feedstock Breakdown'!AE$3*'[2]Feedstock Conversion Rates'!B$6)/12</f>
        <v>4.885416666666667</v>
      </c>
      <c r="AF179" s="47">
        <f t="shared" si="71"/>
        <v>16.65625</v>
      </c>
      <c r="AG179" s="45">
        <f t="shared" si="94"/>
        <v>139</v>
      </c>
      <c r="AH179" s="45">
        <v>0</v>
      </c>
      <c r="AI179" s="45">
        <f>('[2]Renewable Diesel'!H188*'[2]RD Feedstock Breakdown'!AI$3*'[2]Feedstock Conversion Rates'!B$6)/12-130-20+51+5-100-25+100-10-25+15+22.5-22.5</f>
        <v>9.5166666666666799</v>
      </c>
      <c r="AJ179" s="47">
        <f t="shared" si="42"/>
        <v>148.51666666666668</v>
      </c>
      <c r="AK179" s="45">
        <f>('[2]Renewable Diesel'!J188*'[2]RD Feedstock Breakdown'!AK$3*'[2]Feedstock Conversion Rates'!B$4)/12</f>
        <v>95.8125</v>
      </c>
      <c r="AL179" s="47">
        <f t="shared" si="45"/>
        <v>95.8125</v>
      </c>
      <c r="AM179" s="45">
        <f>('[2]Renewable Diesel'!K188*'[2]RD Feedstock Breakdown'!AM$3*'[2]Feedstock Conversion Rates'!B$4)/12+5+15-10+10-30</f>
        <v>48.59375</v>
      </c>
      <c r="AN179" s="45">
        <f>('[2]Renewable Diesel'!K188*'[2]RD Feedstock Breakdown'!AN$3*'[2]Feedstock Conversion Rates'!B$6)/12-5-15+10-10+30</f>
        <v>34.427083333333329</v>
      </c>
      <c r="AO179" s="47">
        <f t="shared" si="56"/>
        <v>83.020833333333329</v>
      </c>
      <c r="AP179" s="45">
        <f>('[2]Renewable Diesel'!L188*'[2]RD Feedstock Breakdown'!AP$3*'[2]Feedstock Conversion Rates'!B$4)/12+15-10-5+10+5+5</f>
        <v>78.59375</v>
      </c>
      <c r="AQ179" s="45">
        <f>('[2]Renewable Diesel'!L188*'[2]RD Feedstock Breakdown'!AQ$3*'[2]Feedstock Conversion Rates'!B$6)/12-15+10+5-10-5-5</f>
        <v>4.4270833333333321</v>
      </c>
      <c r="AR179" s="47">
        <f t="shared" si="46"/>
        <v>83.020833333333329</v>
      </c>
      <c r="AS179" s="45">
        <f>('[2]Renewable Diesel'!M188*'[2]RD Feedstock Breakdown'!AS$3*'[2]Feedstock Conversion Rates'!B$4)/12</f>
        <v>456.25</v>
      </c>
      <c r="AT179" s="45">
        <f>('[2]Renewable Diesel'!M188*'[2]RD Feedstock Breakdown'!AT$3*'[2]Feedstock Conversion Rates'!B$5)/12</f>
        <v>0</v>
      </c>
      <c r="AU179" s="47">
        <f t="shared" si="74"/>
        <v>456.25</v>
      </c>
      <c r="AV179" s="45">
        <f>'[2]Renewable Diesel'!N188*'[2]RD Feedstock Breakdown'!$AV$3*'[2]Feedstock Conversion Rates'!$B$4/12-15-10+25+25-22+22.5</f>
        <v>104.24999999999999</v>
      </c>
      <c r="AW179" s="45">
        <f>'[2]Renewable Diesel'!N188*'[2]RD Feedstock Breakdown'!$AW$3*'[2]Feedstock Conversion Rates'!$B$7/12+15+10-25-25+22-22.5</f>
        <v>15.900000000000006</v>
      </c>
      <c r="AX179" s="47">
        <f t="shared" si="40"/>
        <v>120.14999999999999</v>
      </c>
      <c r="AY179" s="45">
        <f>('[2]Renewable Diesel'!O188*'[2]RD Feedstock Breakdown'!AY$3*'[2]Feedstock Conversion Rates'!B$4)/12+34-100</f>
        <v>144.9375</v>
      </c>
      <c r="AZ179" s="45">
        <f>('[2]Renewable Diesel'!O188*'[2]RD Feedstock Breakdown'!AZ$3*'[2]Feedstock Conversion Rates'!B$3)/12-34+100</f>
        <v>91.03125</v>
      </c>
      <c r="BA179" s="47">
        <f t="shared" si="87"/>
        <v>235.96875</v>
      </c>
      <c r="BB179" s="45">
        <f>('[2]Renewable Diesel'!Q188*'[2]RD Feedstock Breakdown'!BB$3*'[2]Feedstock Conversion Rates'!B$4)/12</f>
        <v>11.156249999999998</v>
      </c>
      <c r="BC179" s="45">
        <f>('[2]Renewable Diesel'!Q188*'[2]RD Feedstock Breakdown'!BC$3*'[2]Feedstock Conversion Rates'!B$3)/12</f>
        <v>1.4017500000000001</v>
      </c>
      <c r="BD179" s="45">
        <f>('[2]Renewable Diesel'!Q188*'[2]RD Feedstock Breakdown'!BD$3*'[2]Feedstock Conversion Rates'!B$6)/12</f>
        <v>0.8207500000000002</v>
      </c>
      <c r="BE179" s="47">
        <f t="shared" si="64"/>
        <v>13.378749999999998</v>
      </c>
      <c r="BF179" s="45">
        <f>('[2]Renewable Diesel'!R188*'[2]RD Feedstock Breakdown'!BF$3*'[2]Feedstock Conversion Rates'!B$4)/12</f>
        <v>62.5</v>
      </c>
      <c r="BG179" s="47">
        <f t="shared" si="47"/>
        <v>62.5</v>
      </c>
      <c r="BH179" s="45">
        <f>('[2]Renewable Diesel'!T188*'[2]RD Feedstock Breakdown'!BH$3*'[2]Feedstock Conversion Rates'!B$7)/12</f>
        <v>27.599999999999998</v>
      </c>
      <c r="BI179" s="47">
        <f t="shared" si="41"/>
        <v>27.599999999999998</v>
      </c>
      <c r="BJ179" s="45">
        <f>('[2]Renewable Diesel'!W188*'[2]RD Feedstock Breakdown'!BJ$3*'[2]Feedstock Conversion Rates'!B$4)/12</f>
        <v>7.5</v>
      </c>
      <c r="BK179" s="45">
        <f>('[2]Renewable Diesel'!W188*'[2]RD Feedstock Breakdown'!BK$3*'[2]Feedstock Conversion Rates'!B$3)/12</f>
        <v>1.335</v>
      </c>
      <c r="BL179" s="45">
        <f>('[2]Renewable Diesel'!W188*'[2]RD Feedstock Breakdown'!BL$3*'[2]Feedstock Conversion Rates'!B$6)/12</f>
        <v>3.1266666666666669</v>
      </c>
      <c r="BM179" s="45">
        <f>('[2]Renewable Diesel'!W188*'[2]RD Feedstock Breakdown'!BM$3*'[2]Feedstock Conversion Rates'!B$7)/12</f>
        <v>1.5333333333333332</v>
      </c>
      <c r="BN179" s="47">
        <f t="shared" si="78"/>
        <v>13.495000000000001</v>
      </c>
      <c r="BO179" s="45">
        <f>('[2]Renewable Diesel'!P188*'[2]Feedstock Conversion Rates'!B$4)/12</f>
        <v>31.25</v>
      </c>
      <c r="BP179" s="47">
        <f t="shared" si="72"/>
        <v>31.25</v>
      </c>
      <c r="BQ179" s="45">
        <f>('[2]Renewable Diesel'!$S188*'[2]RD Feedstock Breakdown'!BQ$3*'[2]Feedstock Conversion Rates'!B$4)/12+10</f>
        <v>38.125</v>
      </c>
      <c r="BR179" s="45">
        <f>('[2]Renewable Diesel'!$S188*'[2]RD Feedstock Breakdown'!BR$3*'[2]Feedstock Conversion Rates'!B$7)/12-10</f>
        <v>1.5</v>
      </c>
      <c r="BS179" s="47">
        <f t="shared" si="90"/>
        <v>39.625</v>
      </c>
      <c r="BT179" s="47"/>
      <c r="BU179" s="45">
        <f>('[2]Renewable Diesel'!Y188*'[2]Feedstock Conversion Rates'!B$7)/12</f>
        <v>2.6833333333333331</v>
      </c>
      <c r="BV179" s="47">
        <f t="shared" si="67"/>
        <v>2.6833333333333331</v>
      </c>
      <c r="BW179" s="45">
        <f>('[2]Renewable Diesel'!$Z188*'[2]RD Feedstock Breakdown'!BW$3*'[2]Feedstock Conversion Rates'!$B$4)/12</f>
        <v>17.96875</v>
      </c>
      <c r="BX179" s="45">
        <f>('[2]Renewable Diesel'!$Z188*'[2]RD Feedstock Breakdown'!BX$3*'[2]Feedstock Conversion Rates'!$B$5)/12</f>
        <v>1.8088541666666667</v>
      </c>
      <c r="BY179" s="45">
        <f>('[2]Renewable Diesel'!$Z188*'[2]RD Feedstock Breakdown'!BY$3*'[2]Feedstock Conversion Rates'!$B$7)/12</f>
        <v>15.429166666666665</v>
      </c>
      <c r="BZ179" s="45">
        <f>('[2]Renewable Diesel'!$Z188*'[2]RD Feedstock Breakdown'!BZ$3*'[2]Feedstock Conversion Rates'!$B$3)/12</f>
        <v>3.8381249999999998</v>
      </c>
      <c r="CA179" s="47">
        <f t="shared" si="91"/>
        <v>39.044895833333328</v>
      </c>
      <c r="CB179" s="45">
        <f>('[2]Renewable Diesel'!AA188*'[2]Feedstock Conversion Rates'!B$4)/12</f>
        <v>191.25</v>
      </c>
      <c r="CC179" s="47">
        <f t="shared" si="79"/>
        <v>191.25</v>
      </c>
      <c r="CD179" s="45">
        <f>('[2]Renewable Diesel'!$AB188*'[2]RD Feedstock Breakdown'!CD$3*'[2]Feedstock Conversion Rates'!$B$6)/12-15</f>
        <v>17.830000000000005</v>
      </c>
      <c r="CE179" s="45">
        <f>('[2]Renewable Diesel'!$AB188*'[2]RD Feedstock Breakdown'!CE$3*'[2]Feedstock Conversion Rates'!$B$4)/12+15</f>
        <v>26.25</v>
      </c>
      <c r="CF179" s="47">
        <f t="shared" si="76"/>
        <v>44.080000000000005</v>
      </c>
      <c r="CG179" s="45">
        <f>('[2]Renewable Diesel'!AD188*'[2]Feedstock Conversion Rates'!B$4)/12</f>
        <v>112.5</v>
      </c>
      <c r="CH179" s="47">
        <f t="shared" si="63"/>
        <v>112.5</v>
      </c>
      <c r="CI179" s="45">
        <f>('[2]Renewable Diesel'!$AE188*'[2]RD Feedstock Breakdown'!CI$3*'[2]Feedstock Conversion Rates'!$B$5)/12</f>
        <v>0.34604166666666664</v>
      </c>
      <c r="CJ179" s="45">
        <f>('[2]Renewable Diesel'!$AE188*'[2]RD Feedstock Breakdown'!CJ$3*'[2]Feedstock Conversion Rates'!$B$4)/12</f>
        <v>0.34375</v>
      </c>
      <c r="CK179" s="47">
        <f t="shared" si="73"/>
        <v>0.68979166666666658</v>
      </c>
      <c r="CL179" s="45">
        <f>(((CL$3*'[2]Renewable Diesel'!$AF188)*'[2]Feedstock Conversion Rates'!$B$3)/12)</f>
        <v>91.78125</v>
      </c>
      <c r="CM179" s="45">
        <f>(((CM$3*'[2]Renewable Diesel'!$AF188)*'[2]Feedstock Conversion Rates'!$B$6)/12)</f>
        <v>53.739583333333336</v>
      </c>
      <c r="CN179" s="45">
        <f>(((CN$3*'[2]Renewable Diesel'!$AF188)*'[2]Feedstock Conversion Rates'!$B$4)/12)</f>
        <v>42.96875</v>
      </c>
      <c r="CO179" s="47">
        <f t="shared" si="65"/>
        <v>188.48958333333334</v>
      </c>
      <c r="CP179" s="45">
        <f>('[2]Renewable Diesel'!$AG188*'[2]RD Feedstock Breakdown'!CP$3*'[2]Feedstock Conversion Rates'!$B$3)/12</f>
        <v>6.0075000000000003</v>
      </c>
      <c r="CQ179" s="45">
        <f>('[2]Renewable Diesel'!$AG188*'[2]RD Feedstock Breakdown'!CQ$3*'[2]Feedstock Conversion Rates'!$B$6)/12</f>
        <v>3.5175000000000001</v>
      </c>
      <c r="CR179" s="45">
        <f>('[2]Renewable Diesel'!$AG188*'[2]RD Feedstock Breakdown'!CR$3*'[2]Feedstock Conversion Rates'!$B$4)/12</f>
        <v>2.8125</v>
      </c>
      <c r="CS179" s="47">
        <f t="shared" si="99"/>
        <v>12.3375</v>
      </c>
      <c r="CT179" s="45">
        <f>('[2]Renewable Diesel'!AI188*'[2]Feedstock Conversion Rates'!$B$4*'[2]RD Feedstock Breakdown'!$CT$3)/12</f>
        <v>29.375</v>
      </c>
      <c r="CU179" s="47">
        <f t="shared" si="69"/>
        <v>29.375</v>
      </c>
      <c r="CV179" s="47"/>
      <c r="CW179" s="47"/>
      <c r="CX179" s="45">
        <f>('[2]Renewable Diesel'!AO188*'[2]RD Feedstock Breakdown'!$CX$3*'[2]Feedstock Conversion Rates'!$B$3)/12</f>
        <v>6.3412499999999996</v>
      </c>
      <c r="CY179" s="45">
        <f>('[2]Renewable Diesel'!AO188*'[2]RD Feedstock Breakdown'!$CY$3*'[2]Feedstock Conversion Rates'!$B$6)/12</f>
        <v>7.4258333333333342</v>
      </c>
      <c r="CZ179" s="47">
        <f t="shared" si="100"/>
        <v>13.767083333333334</v>
      </c>
      <c r="DA179" s="47"/>
      <c r="DB179" s="47"/>
      <c r="DC179" s="47"/>
      <c r="DD179" s="47"/>
      <c r="DE179" s="47"/>
      <c r="DF179" s="45">
        <f>('[2]Renewable Diesel'!AR188*'[2]Feedstock Conversion Rates'!$B$4*$DF$3)/12</f>
        <v>75</v>
      </c>
      <c r="DG179" s="47">
        <f t="shared" si="101"/>
        <v>75</v>
      </c>
      <c r="DH179" s="47"/>
      <c r="DI179" s="47"/>
      <c r="DJ179" s="45">
        <f>('[2]Renewable Diesel'!AT188*'[2]Feedstock Conversion Rates'!$B$4*0.25)/12</f>
        <v>8.59375</v>
      </c>
      <c r="DK179" s="45">
        <f>('[2]Renewable Diesel'!$AT188*'[2]RD Feedstock Breakdown'!DK$3*'[2]Feedstock Conversion Rates'!$B$3)/12*0.5</f>
        <v>9.1781249999999996</v>
      </c>
      <c r="DL179" s="45">
        <f>('[2]Renewable Diesel'!$AT188*'[2]RD Feedstock Breakdown'!$DL$3*'[2]Feedstock Conversion Rates'!$B$6)/12</f>
        <v>10.747916666666669</v>
      </c>
      <c r="DM179" s="45">
        <f>('[2]Renewable Diesel'!$AT188*'[2]RD Feedstock Breakdown'!$DM$3*'[2]Feedstock Conversion Rates'!$B$8)/12</f>
        <v>10.7421875</v>
      </c>
      <c r="DN179" s="47">
        <f t="shared" si="77"/>
        <v>39.26197916666667</v>
      </c>
      <c r="DP179" s="45">
        <f t="shared" si="48"/>
        <v>95.220250000000007</v>
      </c>
      <c r="DQ179" s="45">
        <f t="shared" si="49"/>
        <v>304.76151749999997</v>
      </c>
      <c r="DR179" s="45">
        <f t="shared" si="57"/>
        <v>1725.59375</v>
      </c>
      <c r="DS179" s="45">
        <f t="shared" si="70"/>
        <v>506.43822916666664</v>
      </c>
      <c r="DT179" s="45">
        <f t="shared" si="50"/>
        <v>239.6746500000001</v>
      </c>
      <c r="DU179" s="45">
        <f t="shared" si="51"/>
        <v>154.36860000000004</v>
      </c>
      <c r="DV179" s="45">
        <f t="shared" si="58"/>
        <v>9.4250000000000007</v>
      </c>
      <c r="DW179" s="45">
        <f t="shared" si="52"/>
        <v>2</v>
      </c>
      <c r="DX179" s="47">
        <f t="shared" si="53"/>
        <v>3037.4819966666669</v>
      </c>
      <c r="DY179" s="50">
        <f t="shared" si="54"/>
        <v>-3.979039320256561E-13</v>
      </c>
      <c r="EA179" s="51">
        <f t="shared" si="80"/>
        <v>3.1348416255469073E-2</v>
      </c>
      <c r="EB179" s="51">
        <f t="shared" si="80"/>
        <v>0.10033360455615714</v>
      </c>
      <c r="EC179" s="51">
        <f t="shared" si="80"/>
        <v>0.5681000749613222</v>
      </c>
      <c r="ED179" s="51">
        <f t="shared" si="80"/>
        <v>0.16672962332696359</v>
      </c>
      <c r="EE179" s="51">
        <f t="shared" si="80"/>
        <v>7.8905702243838513E-2</v>
      </c>
      <c r="EF179" s="51">
        <f t="shared" si="80"/>
        <v>5.0821239490276539E-2</v>
      </c>
      <c r="EG179" s="51">
        <f t="shared" si="80"/>
        <v>3.1028990493912382E-3</v>
      </c>
      <c r="EH179" s="52">
        <f t="shared" si="59"/>
        <v>6.5844011658169508E-4</v>
      </c>
      <c r="EI179" s="51">
        <f t="shared" si="60"/>
        <v>0.99934155988341822</v>
      </c>
      <c r="EK179" s="53">
        <f>(EA179*'[2]Renewable Diesel'!BF188*'[2]Feedstock Conversion Rates'!B$2)+FB179</f>
        <v>53.781601101499525</v>
      </c>
      <c r="EL179" s="53">
        <f>(EB179*'[2]Renewable Diesel'!BF188*'[2]Feedstock Conversion Rates'!B$3)+FC179</f>
        <v>162.21018798470985</v>
      </c>
      <c r="EM179" s="53">
        <f>(EC179*'[2]Renewable Diesel'!BF188*'[2]Feedstock Conversion Rates'!B$4)+FD179</f>
        <v>859.97397111131716</v>
      </c>
      <c r="EN179" s="53">
        <f>(ED179*'[2]Renewable Diesel'!BF188*'[2]Feedstock Conversion Rates'!B$5)+FE179</f>
        <v>254.07323500066869</v>
      </c>
      <c r="EO179" s="53">
        <f>(EE179*'[2]Renewable Diesel'!BF188*'[2]Feedstock Conversion Rates'!B$6)+FF179</f>
        <v>149.38618082966656</v>
      </c>
      <c r="EP179" s="53">
        <f>(EF179*'[2]Renewable Diesel'!BF188*'[2]Feedstock Conversion Rates'!B$7)+FG179</f>
        <v>94.369635356211305</v>
      </c>
      <c r="EQ179" s="53">
        <f>(EG179*'[2]Renewable Diesel'!BF188*'[2]Feedstock Conversion Rates'!B$8)+FH179</f>
        <v>5.8713520184894072</v>
      </c>
      <c r="ER179" s="53">
        <f>(EH179*'[2]Renewable Diesel'!BF188*'[2]Feedstock Conversion Rates'!B$9)+FI179</f>
        <v>1.2292981060816017</v>
      </c>
      <c r="ES179" s="53">
        <f t="shared" si="61"/>
        <v>1580.8954615086443</v>
      </c>
      <c r="ET179" s="36">
        <f>ES179/'[2]Renewable Diesel'!BF188</f>
        <v>7.8325640690189715</v>
      </c>
    </row>
    <row r="180" spans="1:150" x14ac:dyDescent="0.25">
      <c r="A180" s="39">
        <v>45901</v>
      </c>
      <c r="B180" s="45">
        <f t="shared" si="96"/>
        <v>3.75</v>
      </c>
      <c r="C180" s="45">
        <f t="shared" si="97"/>
        <v>279</v>
      </c>
      <c r="D180" s="45">
        <v>1</v>
      </c>
      <c r="E180" s="45">
        <f>('[2]Renewable Diesel'!B189*E$3*'[2]Feedstock Conversion Rates'!$B$2)/12-40+0.5+7+7.5-36+5+23+68+10+12.5-12-5-4-51-3</f>
        <v>72.430000000000007</v>
      </c>
      <c r="F180" s="45">
        <f>('[2]Renewable Diesel'!B189*'[2]RD Feedstock Breakdown'!F$3*'[2]Feedstock Conversion Rates'!B$8)/12-20+2-0.75+3+4+5-35+7+10+17+2.5-5-29+22.5-27.5</f>
        <v>9.65625</v>
      </c>
      <c r="G180" s="45">
        <f>('[2]Renewable Diesel'!B189*'[2]RD Feedstock Breakdown'!G$3*'[2]Feedstock Conversion Rates'!B$7)/12+20+80-100-124-20+20+70+20-75-30-10-15</f>
        <v>12.157000000000039</v>
      </c>
      <c r="H180" s="45">
        <f>('[2]Renewable Diesel'!B189*'[2]RD Feedstock Breakdown'!H$3*'[2]Feedstock Conversion Rates'!B$3)/12-85+4+10-72+17+30+45+11.5+2.5+1-30-7.5-5+12+7.5-2.5+160+3-160</f>
        <v>117.90022499999998</v>
      </c>
      <c r="I180" s="47">
        <f t="shared" si="75"/>
        <v>495.89347500000002</v>
      </c>
      <c r="J180" s="45">
        <f t="shared" si="95"/>
        <v>55</v>
      </c>
      <c r="K180" s="45">
        <v>65</v>
      </c>
      <c r="L180" s="45">
        <v>1</v>
      </c>
      <c r="M180" s="45">
        <f>('[2]Renewable Diesel'!C189*'[2]RD Feedstock Breakdown'!M$3*'[2]Feedstock Conversion Rates'!B$2)/12-15-10-30+10-3.5+38.5+25</f>
        <v>22.79025</v>
      </c>
      <c r="N180" s="45">
        <f>('[2]Renewable Diesel'!C189*'[2]RD Feedstock Breakdown'!N$3*'[2]Feedstock Conversion Rates'!B$8)/12+4-7+1.75+5+9.25-30+5-15</f>
        <v>-23.328125</v>
      </c>
      <c r="O180" s="45">
        <f>('[2]Renewable Diesel'!C189*'[2]RD Feedstock Breakdown'!O$3*'[2]Feedstock Conversion Rates'!B$7)/12+30+25-145+25+15-5-10-18+8</f>
        <v>-63.000900000000001</v>
      </c>
      <c r="P180" s="45">
        <f>('[2]Renewable Diesel'!C189*'[2]RD Feedstock Breakdown'!P$3*'[2]Feedstock Conversion Rates'!B$3)/12-15-59-10+15-7.5+25+15+25+75-15-23-20-45-10+15</f>
        <v>-24.052957499999991</v>
      </c>
      <c r="Q180" s="47">
        <f t="shared" si="85"/>
        <v>33.408267500000022</v>
      </c>
      <c r="R180" s="45">
        <f>('[2]Renewable Diesel'!D189*'[2]RD Feedstock Breakdown'!R$3*'[2]Feedstock Conversion Rates'!B$7)/12</f>
        <v>2.2999999999999998</v>
      </c>
      <c r="S180" s="47">
        <f t="shared" si="44"/>
        <v>2.2999999999999998</v>
      </c>
      <c r="T180" s="45">
        <f t="shared" si="98"/>
        <v>4.8249999999999993</v>
      </c>
      <c r="U180" s="45">
        <v>0</v>
      </c>
      <c r="V180" s="45">
        <f>('[2]Renewable Diesel'!E189*'[2]RD Feedstock Breakdown'!V$3*'[2]Feedstock Conversion Rates'!B$6)/12-5+10</f>
        <v>49.250150000000012</v>
      </c>
      <c r="W180" s="45">
        <f>('[2]Renewable Diesel'!E189*'[2]RD Feedstock Breakdown'!W$3*'[2]Feedstock Conversion Rates'!B$8)/12-5.825-4</f>
        <v>12.354687500000001</v>
      </c>
      <c r="X180" s="47">
        <f t="shared" si="62"/>
        <v>66.429837500000005</v>
      </c>
      <c r="Y180" s="45">
        <f t="shared" si="93"/>
        <v>85.5</v>
      </c>
      <c r="Z180" s="45">
        <f>('[2]Renewable Diesel'!F189*'[2]RD Feedstock Breakdown'!Z$3*'[2]Feedstock Conversion Rates'!B$6)/12-50-32-60+15+25+32.5-50-5+10-25+15+5</f>
        <v>39.960000000000008</v>
      </c>
      <c r="AA180" s="45">
        <f>('[2]Renewable Diesel'!F189*'[2]RD Feedstock Breakdown'!AA$3*'[2]Feedstock Conversion Rates'!B$7)/12+80-171+75+70-20</f>
        <v>138.26666666666665</v>
      </c>
      <c r="AB180" s="47">
        <f t="shared" si="102"/>
        <v>263.72666666666669</v>
      </c>
      <c r="AC180" s="45">
        <f>('[2]Renewable Diesel'!G189*'[2]RD Feedstock Breakdown'!AC$3*'[2]Feedstock Conversion Rates'!B$5)/12</f>
        <v>7.864583333333333</v>
      </c>
      <c r="AD180" s="45">
        <f>('[2]Renewable Diesel'!G189*'[2]RD Feedstock Breakdown'!AD$3*'[2]Feedstock Conversion Rates'!B$4)/12</f>
        <v>3.90625</v>
      </c>
      <c r="AE180" s="45">
        <f>('[2]Renewable Diesel'!G189*'[2]RD Feedstock Breakdown'!AE$3*'[2]Feedstock Conversion Rates'!B$6)/12</f>
        <v>4.885416666666667</v>
      </c>
      <c r="AF180" s="47">
        <f t="shared" si="71"/>
        <v>16.65625</v>
      </c>
      <c r="AG180" s="45">
        <f>130+20-51-5+100+25-100+10+25-15-22.5+22.5</f>
        <v>139</v>
      </c>
      <c r="AH180" s="45">
        <v>0</v>
      </c>
      <c r="AI180" s="45">
        <f>('[2]Renewable Diesel'!H189*'[2]RD Feedstock Breakdown'!AI$3*'[2]Feedstock Conversion Rates'!B$6)/12-130-20+51+5-100-25+100-10-25+15+22.5-22.5</f>
        <v>9.5166666666666799</v>
      </c>
      <c r="AJ180" s="47">
        <f t="shared" si="42"/>
        <v>148.51666666666668</v>
      </c>
      <c r="AK180" s="45">
        <f>('[2]Renewable Diesel'!J189*'[2]RD Feedstock Breakdown'!AK$3*'[2]Feedstock Conversion Rates'!B$4)/12</f>
        <v>95.8125</v>
      </c>
      <c r="AL180" s="47">
        <f t="shared" si="45"/>
        <v>95.8125</v>
      </c>
      <c r="AM180" s="45">
        <f>('[2]Renewable Diesel'!K189*'[2]RD Feedstock Breakdown'!AM$3*'[2]Feedstock Conversion Rates'!B$4)/12+5+15-10+10-30</f>
        <v>48.59375</v>
      </c>
      <c r="AN180" s="45">
        <f>('[2]Renewable Diesel'!K189*'[2]RD Feedstock Breakdown'!AN$3*'[2]Feedstock Conversion Rates'!B$6)/12-5-15+10-10+30</f>
        <v>34.427083333333329</v>
      </c>
      <c r="AO180" s="47">
        <f t="shared" si="56"/>
        <v>83.020833333333329</v>
      </c>
      <c r="AP180" s="45">
        <f>('[2]Renewable Diesel'!L189*'[2]RD Feedstock Breakdown'!AP$3*'[2]Feedstock Conversion Rates'!B$4)/12+15-10-5+10+5+5</f>
        <v>78.59375</v>
      </c>
      <c r="AQ180" s="45">
        <f>('[2]Renewable Diesel'!L189*'[2]RD Feedstock Breakdown'!AQ$3*'[2]Feedstock Conversion Rates'!B$6)/12-15+10+5-10-5-5</f>
        <v>4.4270833333333321</v>
      </c>
      <c r="AR180" s="47">
        <f t="shared" si="46"/>
        <v>83.020833333333329</v>
      </c>
      <c r="AS180" s="45">
        <f>('[2]Renewable Diesel'!M189*'[2]RD Feedstock Breakdown'!AS$3*'[2]Feedstock Conversion Rates'!B$4)/12</f>
        <v>456.25</v>
      </c>
      <c r="AT180" s="45">
        <f>('[2]Renewable Diesel'!M189*'[2]RD Feedstock Breakdown'!AT$3*'[2]Feedstock Conversion Rates'!B$5)/12</f>
        <v>0</v>
      </c>
      <c r="AU180" s="47">
        <f t="shared" si="74"/>
        <v>456.25</v>
      </c>
      <c r="AV180" s="45">
        <f>'[2]Renewable Diesel'!N189*'[2]RD Feedstock Breakdown'!$AV$3*'[2]Feedstock Conversion Rates'!$B$4/12-15-10+25+25-22+22.5</f>
        <v>104.24999999999999</v>
      </c>
      <c r="AW180" s="45">
        <f>'[2]Renewable Diesel'!N189*'[2]RD Feedstock Breakdown'!$AW$3*'[2]Feedstock Conversion Rates'!$B$7/12+15+10-25-25+22-22.5</f>
        <v>15.900000000000006</v>
      </c>
      <c r="AX180" s="47">
        <f t="shared" si="40"/>
        <v>120.14999999999999</v>
      </c>
      <c r="AY180" s="45">
        <f>('[2]Renewable Diesel'!O189*'[2]RD Feedstock Breakdown'!AY$3*'[2]Feedstock Conversion Rates'!B$4)/12+34-100</f>
        <v>144.9375</v>
      </c>
      <c r="AZ180" s="45">
        <f>('[2]Renewable Diesel'!O189*'[2]RD Feedstock Breakdown'!AZ$3*'[2]Feedstock Conversion Rates'!B$3)/12-34+100</f>
        <v>91.03125</v>
      </c>
      <c r="BA180" s="47">
        <f t="shared" si="87"/>
        <v>235.96875</v>
      </c>
      <c r="BB180" s="45">
        <f>('[2]Renewable Diesel'!Q189*'[2]RD Feedstock Breakdown'!BB$3*'[2]Feedstock Conversion Rates'!B$4)/12</f>
        <v>11.156249999999998</v>
      </c>
      <c r="BC180" s="45">
        <f>('[2]Renewable Diesel'!Q189*'[2]RD Feedstock Breakdown'!BC$3*'[2]Feedstock Conversion Rates'!B$3)/12</f>
        <v>1.4017500000000001</v>
      </c>
      <c r="BD180" s="45">
        <f>('[2]Renewable Diesel'!Q189*'[2]RD Feedstock Breakdown'!BD$3*'[2]Feedstock Conversion Rates'!B$6)/12</f>
        <v>0.8207500000000002</v>
      </c>
      <c r="BE180" s="47">
        <f t="shared" si="64"/>
        <v>13.378749999999998</v>
      </c>
      <c r="BF180" s="45">
        <f>('[2]Renewable Diesel'!R189*'[2]RD Feedstock Breakdown'!BF$3*'[2]Feedstock Conversion Rates'!B$4)/12</f>
        <v>62.5</v>
      </c>
      <c r="BG180" s="47">
        <f t="shared" si="47"/>
        <v>62.5</v>
      </c>
      <c r="BH180" s="45">
        <f>('[2]Renewable Diesel'!T189*'[2]RD Feedstock Breakdown'!BH$3*'[2]Feedstock Conversion Rates'!B$7)/12</f>
        <v>27.599999999999998</v>
      </c>
      <c r="BI180" s="47">
        <f t="shared" si="41"/>
        <v>27.599999999999998</v>
      </c>
      <c r="BJ180" s="45">
        <f>('[2]Renewable Diesel'!W189*'[2]RD Feedstock Breakdown'!BJ$3*'[2]Feedstock Conversion Rates'!B$4)/12</f>
        <v>7.5</v>
      </c>
      <c r="BK180" s="45">
        <f>('[2]Renewable Diesel'!W189*'[2]RD Feedstock Breakdown'!BK$3*'[2]Feedstock Conversion Rates'!B$3)/12</f>
        <v>1.335</v>
      </c>
      <c r="BL180" s="45">
        <f>('[2]Renewable Diesel'!W189*'[2]RD Feedstock Breakdown'!BL$3*'[2]Feedstock Conversion Rates'!B$6)/12</f>
        <v>3.1266666666666669</v>
      </c>
      <c r="BM180" s="45">
        <f>('[2]Renewable Diesel'!W189*'[2]RD Feedstock Breakdown'!BM$3*'[2]Feedstock Conversion Rates'!B$7)/12</f>
        <v>1.5333333333333332</v>
      </c>
      <c r="BN180" s="47">
        <f t="shared" si="78"/>
        <v>13.495000000000001</v>
      </c>
      <c r="BO180" s="45">
        <f>('[2]Renewable Diesel'!P189*'[2]Feedstock Conversion Rates'!B$4)/12</f>
        <v>31.25</v>
      </c>
      <c r="BP180" s="47">
        <f t="shared" si="72"/>
        <v>31.25</v>
      </c>
      <c r="BQ180" s="45">
        <f>('[2]Renewable Diesel'!$S189*'[2]RD Feedstock Breakdown'!BQ$3*'[2]Feedstock Conversion Rates'!B$4)/12+10</f>
        <v>38.125</v>
      </c>
      <c r="BR180" s="45">
        <f>('[2]Renewable Diesel'!$S189*'[2]RD Feedstock Breakdown'!BR$3*'[2]Feedstock Conversion Rates'!B$7)/12-10</f>
        <v>1.5</v>
      </c>
      <c r="BS180" s="47">
        <f t="shared" si="90"/>
        <v>39.625</v>
      </c>
      <c r="BT180" s="47"/>
      <c r="BU180" s="45">
        <f>('[2]Renewable Diesel'!Y189*'[2]Feedstock Conversion Rates'!B$7)/12</f>
        <v>2.6833333333333331</v>
      </c>
      <c r="BV180" s="47">
        <f t="shared" si="67"/>
        <v>2.6833333333333331</v>
      </c>
      <c r="BW180" s="45">
        <f>('[2]Renewable Diesel'!$Z189*'[2]RD Feedstock Breakdown'!BW$3*'[2]Feedstock Conversion Rates'!$B$4)/12</f>
        <v>17.96875</v>
      </c>
      <c r="BX180" s="45">
        <f>('[2]Renewable Diesel'!$Z189*'[2]RD Feedstock Breakdown'!BX$3*'[2]Feedstock Conversion Rates'!$B$5)/12</f>
        <v>1.8088541666666667</v>
      </c>
      <c r="BY180" s="45">
        <f>('[2]Renewable Diesel'!$Z189*'[2]RD Feedstock Breakdown'!BY$3*'[2]Feedstock Conversion Rates'!$B$7)/12</f>
        <v>15.429166666666665</v>
      </c>
      <c r="BZ180" s="45">
        <f>('[2]Renewable Diesel'!$Z189*'[2]RD Feedstock Breakdown'!BZ$3*'[2]Feedstock Conversion Rates'!$B$3)/12</f>
        <v>3.8381249999999998</v>
      </c>
      <c r="CA180" s="47">
        <f t="shared" si="91"/>
        <v>39.044895833333328</v>
      </c>
      <c r="CB180" s="45">
        <f>('[2]Renewable Diesel'!AA189*'[2]Feedstock Conversion Rates'!B$4)/12</f>
        <v>191.25</v>
      </c>
      <c r="CC180" s="47">
        <f t="shared" si="79"/>
        <v>191.25</v>
      </c>
      <c r="CD180" s="45">
        <f>('[2]Renewable Diesel'!$AB189*'[2]RD Feedstock Breakdown'!CD$3*'[2]Feedstock Conversion Rates'!$B$6)/12-15</f>
        <v>17.830000000000005</v>
      </c>
      <c r="CE180" s="45">
        <f>('[2]Renewable Diesel'!$AB189*'[2]RD Feedstock Breakdown'!CE$3*'[2]Feedstock Conversion Rates'!$B$4)/12+15</f>
        <v>26.25</v>
      </c>
      <c r="CF180" s="47">
        <f t="shared" si="76"/>
        <v>44.080000000000005</v>
      </c>
      <c r="CG180" s="45">
        <f>('[2]Renewable Diesel'!AD189*'[2]Feedstock Conversion Rates'!B$4)/12</f>
        <v>112.5</v>
      </c>
      <c r="CH180" s="47">
        <f t="shared" si="63"/>
        <v>112.5</v>
      </c>
      <c r="CI180" s="45">
        <f>('[2]Renewable Diesel'!$AE189*'[2]RD Feedstock Breakdown'!CI$3*'[2]Feedstock Conversion Rates'!$B$5)/12</f>
        <v>0.34604166666666664</v>
      </c>
      <c r="CJ180" s="45">
        <f>('[2]Renewable Diesel'!$AE189*'[2]RD Feedstock Breakdown'!CJ$3*'[2]Feedstock Conversion Rates'!$B$4)/12</f>
        <v>0.34375</v>
      </c>
      <c r="CK180" s="47">
        <f t="shared" si="73"/>
        <v>0.68979166666666658</v>
      </c>
      <c r="CL180" s="45">
        <f>(((CL$3*'[2]Renewable Diesel'!$AF189)*'[2]Feedstock Conversion Rates'!$B$3)/12)</f>
        <v>91.78125</v>
      </c>
      <c r="CM180" s="45">
        <f>(((CM$3*'[2]Renewable Diesel'!$AF189)*'[2]Feedstock Conversion Rates'!$B$6)/12)</f>
        <v>53.739583333333336</v>
      </c>
      <c r="CN180" s="45">
        <f>(((CN$3*'[2]Renewable Diesel'!$AF189)*'[2]Feedstock Conversion Rates'!$B$4)/12)</f>
        <v>42.96875</v>
      </c>
      <c r="CO180" s="47">
        <f t="shared" si="65"/>
        <v>188.48958333333334</v>
      </c>
      <c r="CP180" s="45">
        <f>('[2]Renewable Diesel'!$AG189*'[2]RD Feedstock Breakdown'!CP$3*'[2]Feedstock Conversion Rates'!$B$3)/12</f>
        <v>6.0075000000000003</v>
      </c>
      <c r="CQ180" s="45">
        <f>('[2]Renewable Diesel'!$AG189*'[2]RD Feedstock Breakdown'!CQ$3*'[2]Feedstock Conversion Rates'!$B$6)/12</f>
        <v>3.5175000000000001</v>
      </c>
      <c r="CR180" s="45">
        <f>('[2]Renewable Diesel'!$AG189*'[2]RD Feedstock Breakdown'!CR$3*'[2]Feedstock Conversion Rates'!$B$4)/12</f>
        <v>2.8125</v>
      </c>
      <c r="CS180" s="47">
        <f t="shared" si="99"/>
        <v>12.3375</v>
      </c>
      <c r="CT180" s="45">
        <f>('[2]Renewable Diesel'!AI189*'[2]Feedstock Conversion Rates'!$B$4*'[2]RD Feedstock Breakdown'!$CT$3)/12</f>
        <v>29.375</v>
      </c>
      <c r="CU180" s="47">
        <f t="shared" si="69"/>
        <v>29.375</v>
      </c>
      <c r="CV180" s="47"/>
      <c r="CW180" s="47"/>
      <c r="CX180" s="45">
        <f>('[2]Renewable Diesel'!AO189*'[2]RD Feedstock Breakdown'!$CX$3*'[2]Feedstock Conversion Rates'!$B$3)/12</f>
        <v>6.3412499999999996</v>
      </c>
      <c r="CY180" s="45">
        <f>('[2]Renewable Diesel'!AO189*'[2]RD Feedstock Breakdown'!$CY$3*'[2]Feedstock Conversion Rates'!$B$6)/12</f>
        <v>7.4258333333333342</v>
      </c>
      <c r="CZ180" s="47">
        <f t="shared" si="100"/>
        <v>13.767083333333334</v>
      </c>
      <c r="DA180" s="47"/>
      <c r="DB180" s="47"/>
      <c r="DC180" s="47"/>
      <c r="DD180" s="47"/>
      <c r="DE180" s="47"/>
      <c r="DF180" s="45">
        <f>('[2]Renewable Diesel'!AR189*'[2]Feedstock Conversion Rates'!$B$4*$DF$3)/12</f>
        <v>75</v>
      </c>
      <c r="DG180" s="47">
        <f t="shared" si="101"/>
        <v>75</v>
      </c>
      <c r="DH180" s="47"/>
      <c r="DI180" s="47"/>
      <c r="DJ180" s="45">
        <f>('[2]Renewable Diesel'!AT189*'[2]Feedstock Conversion Rates'!$B$4*0.25)/12</f>
        <v>8.59375</v>
      </c>
      <c r="DK180" s="45">
        <f>('[2]Renewable Diesel'!$AT189*'[2]RD Feedstock Breakdown'!DK$3*'[2]Feedstock Conversion Rates'!$B$3)/12*0.5</f>
        <v>9.1781249999999996</v>
      </c>
      <c r="DL180" s="45">
        <f>('[2]Renewable Diesel'!$AT189*'[2]RD Feedstock Breakdown'!$DL$3*'[2]Feedstock Conversion Rates'!$B$6)/12</f>
        <v>10.747916666666669</v>
      </c>
      <c r="DM180" s="45">
        <f>('[2]Renewable Diesel'!$AT189*'[2]RD Feedstock Breakdown'!$DM$3*'[2]Feedstock Conversion Rates'!$B$8)/12</f>
        <v>10.7421875</v>
      </c>
      <c r="DN180" s="47">
        <f t="shared" si="77"/>
        <v>39.26197916666667</v>
      </c>
      <c r="DP180" s="45">
        <f t="shared" si="48"/>
        <v>95.220250000000007</v>
      </c>
      <c r="DQ180" s="45">
        <f t="shared" si="49"/>
        <v>304.76151749999997</v>
      </c>
      <c r="DR180" s="45">
        <f t="shared" si="57"/>
        <v>1725.59375</v>
      </c>
      <c r="DS180" s="45">
        <f t="shared" si="70"/>
        <v>506.43822916666664</v>
      </c>
      <c r="DT180" s="45">
        <f t="shared" si="50"/>
        <v>239.6746500000001</v>
      </c>
      <c r="DU180" s="45">
        <f t="shared" si="51"/>
        <v>154.36860000000004</v>
      </c>
      <c r="DV180" s="45">
        <f t="shared" si="58"/>
        <v>9.4250000000000007</v>
      </c>
      <c r="DW180" s="45">
        <f t="shared" si="52"/>
        <v>2</v>
      </c>
      <c r="DX180" s="47">
        <f t="shared" si="53"/>
        <v>3037.4819966666669</v>
      </c>
      <c r="DY180" s="50">
        <f t="shared" si="54"/>
        <v>-3.979039320256561E-13</v>
      </c>
      <c r="EA180" s="51">
        <f t="shared" si="80"/>
        <v>3.1348416255469073E-2</v>
      </c>
      <c r="EB180" s="51">
        <f t="shared" si="80"/>
        <v>0.10033360455615714</v>
      </c>
      <c r="EC180" s="51">
        <f t="shared" si="80"/>
        <v>0.5681000749613222</v>
      </c>
      <c r="ED180" s="51">
        <f t="shared" si="80"/>
        <v>0.16672962332696359</v>
      </c>
      <c r="EE180" s="51">
        <f t="shared" si="80"/>
        <v>7.8905702243838513E-2</v>
      </c>
      <c r="EF180" s="51">
        <f t="shared" si="80"/>
        <v>5.0821239490276539E-2</v>
      </c>
      <c r="EG180" s="51">
        <f t="shared" si="80"/>
        <v>3.1028990493912382E-3</v>
      </c>
      <c r="EH180" s="52">
        <f t="shared" si="59"/>
        <v>6.5844011658169508E-4</v>
      </c>
      <c r="EI180" s="51">
        <f t="shared" si="60"/>
        <v>0.99934155988341822</v>
      </c>
      <c r="EK180" s="53">
        <f>(EA180*'[2]Renewable Diesel'!BF189*'[2]Feedstock Conversion Rates'!B$2)+FB180</f>
        <v>54.85501840360503</v>
      </c>
      <c r="EL180" s="53">
        <f>(EB180*'[2]Renewable Diesel'!BF189*'[2]Feedstock Conversion Rates'!B$3)+FC180</f>
        <v>165.44771194819256</v>
      </c>
      <c r="EM180" s="53">
        <f>(EC180*'[2]Renewable Diesel'!BF189*'[2]Feedstock Conversion Rates'!B$4)+FD180</f>
        <v>877.13803690789166</v>
      </c>
      <c r="EN180" s="53">
        <f>(ED180*'[2]Renewable Diesel'!BF189*'[2]Feedstock Conversion Rates'!B$5)+FE180</f>
        <v>259.14423699514134</v>
      </c>
      <c r="EO180" s="53">
        <f>(EE180*'[2]Renewable Diesel'!BF189*'[2]Feedstock Conversion Rates'!B$6)+FF180</f>
        <v>152.36775274113486</v>
      </c>
      <c r="EP180" s="53">
        <f>(EF180*'[2]Renewable Diesel'!BF189*'[2]Feedstock Conversion Rates'!B$7)+FG180</f>
        <v>96.253141932997096</v>
      </c>
      <c r="EQ180" s="53">
        <f>(EG180*'[2]Renewable Diesel'!BF189*'[2]Feedstock Conversion Rates'!B$8)+FH180</f>
        <v>5.9885372772827319</v>
      </c>
      <c r="ER180" s="53">
        <f>(EH180*'[2]Renewable Diesel'!BF189*'[2]Feedstock Conversion Rates'!B$9)+FI180</f>
        <v>1.2538334458537141</v>
      </c>
      <c r="ES180" s="53">
        <f t="shared" si="61"/>
        <v>1612.4482696520988</v>
      </c>
      <c r="ET180" s="36">
        <f>ES180/'[2]Renewable Diesel'!BF189</f>
        <v>7.8325640690189697</v>
      </c>
    </row>
    <row r="181" spans="1:150" x14ac:dyDescent="0.25">
      <c r="A181" s="39">
        <v>45931</v>
      </c>
      <c r="B181" s="45">
        <f>22+85-4-4-3+3-5-10-14-20+0.75-4+35-14-5+35+109+41+72-17-14+20-6.5+6-14+0.25-20-70-21-30-20-73-45-14+10+80-20-0.25+12.5-2+15+33+11+8.5+12.5+10+7.5-9-4-165</f>
        <v>1.25</v>
      </c>
      <c r="C181" s="45">
        <f>50-1-5+3+5-10+20+47+4-6</f>
        <v>107</v>
      </c>
      <c r="D181" s="45">
        <f>1+0.25</f>
        <v>1.25</v>
      </c>
      <c r="E181" s="45">
        <f>('[2]Renewable Diesel'!B190*E$3*'[2]Feedstock Conversion Rates'!$B$2)/12-50+3+14-0.75+14-41+7.25+21+73+20.5-11-8.5-3+4-47-4</f>
        <v>81.430000000000007</v>
      </c>
      <c r="F181" s="45">
        <f>('[2]Renewable Diesel'!B190*'[2]RD Feedstock Breakdown'!F$3*'[2]Feedstock Conversion Rates'!B$8)/12-22+4-3+5+4+5-35+14+6.5+14+2-33+9-20</f>
        <v>4.40625</v>
      </c>
      <c r="G181" s="45">
        <f>('[2]Renewable Diesel'!B190*'[2]RD Feedstock Breakdown'!G$3*'[2]Feedstock Conversion Rates'!B$7)/12+20+80-100-124-20+20+70+20-10-80-12.5-15-10</f>
        <v>14.657000000000039</v>
      </c>
      <c r="H181" s="45">
        <f>('[2]Renewable Diesel'!B190*'[2]RD Feedstock Breakdown'!H$3*'[2]Feedstock Conversion Rates'!B$3)/12-85+4+10-72+17+30+45+5-12.5-7.5-5+175+6</f>
        <v>286.40022499999998</v>
      </c>
      <c r="I181" s="47">
        <f t="shared" si="75"/>
        <v>496.39347500000002</v>
      </c>
      <c r="J181" s="45">
        <f>2+10+12+15-6-20-5-5+7+105+30+87+5-10-5-25-27.5+1-1-15-17.5-6-10-77.5-7.5-1+17.5+15+90+2+2.5+2.5+7.5+27.5-32-11-25+5-50</f>
        <v>86.5</v>
      </c>
      <c r="K181" s="45">
        <v>50</v>
      </c>
      <c r="L181" s="45">
        <v>1</v>
      </c>
      <c r="M181" s="45">
        <f>('[2]Renewable Diesel'!C190*'[2]RD Feedstock Breakdown'!M$3*'[2]Feedstock Conversion Rates'!B$2)/12-10-15-30+10-2+32+25</f>
        <v>17.79025</v>
      </c>
      <c r="N181" s="45">
        <f>('[2]Renewable Diesel'!C190*'[2]RD Feedstock Breakdown'!N$3*'[2]Feedstock Conversion Rates'!B$8)/12-2+6+5-5-7-1+1+6+7.5-17.5-15-7.5</f>
        <v>-25.828125</v>
      </c>
      <c r="O181" s="45">
        <f>('[2]Renewable Diesel'!C190*'[2]RD Feedstock Breakdown'!O$3*'[2]Feedstock Conversion Rates'!B$7)/12+15-105-5+5+25+15-2.5-27.5+11</f>
        <v>-57.000900000000001</v>
      </c>
      <c r="P181" s="45">
        <f>('[2]Renewable Diesel'!C190*'[2]RD Feedstock Breakdown'!P$3*'[2]Feedstock Conversion Rates'!B$3)/12-5-10-12+20-77+10+27.5+17.5+77.5-90-2.5-5</f>
        <v>-38.552957499999991</v>
      </c>
      <c r="Q181" s="47">
        <f t="shared" si="85"/>
        <v>33.908267500000022</v>
      </c>
      <c r="R181" s="45">
        <f>('[2]Renewable Diesel'!D190*'[2]RD Feedstock Breakdown'!R$3*'[2]Feedstock Conversion Rates'!B$7)/12</f>
        <v>2.2999999999999998</v>
      </c>
      <c r="S181" s="47">
        <f t="shared" si="44"/>
        <v>2.2999999999999998</v>
      </c>
      <c r="T181" s="45">
        <f t="shared" ref="T181:T192" si="103">5.825+20-25</f>
        <v>0.82499999999999929</v>
      </c>
      <c r="U181" s="45">
        <v>0</v>
      </c>
      <c r="V181" s="45">
        <f>('[2]Renewable Diesel'!E190*'[2]RD Feedstock Breakdown'!V$3*'[2]Feedstock Conversion Rates'!B$6)/12-20+25</f>
        <v>49.250150000000012</v>
      </c>
      <c r="W181" s="45">
        <f>('[2]Renewable Diesel'!E190*'[2]RD Feedstock Breakdown'!W$3*'[2]Feedstock Conversion Rates'!B$8)/12-5.825</f>
        <v>16.354687500000001</v>
      </c>
      <c r="X181" s="47">
        <f t="shared" si="62"/>
        <v>66.429837500000005</v>
      </c>
      <c r="Y181" s="45">
        <f>50+32-80+171+60-15-75-50-20-30-22.5+15+25+20-20+65+10-5</f>
        <v>130.5</v>
      </c>
      <c r="Z181" s="45">
        <f>('[2]Renewable Diesel'!F190*'[2]RD Feedstock Breakdown'!Z$3*'[2]Feedstock Conversion Rates'!B$6)/12-50-32-60+15+30+22.5-15-25-20+20-10+5</f>
        <v>39.960000000000008</v>
      </c>
      <c r="AA181" s="45">
        <f>('[2]Renewable Diesel'!F190*'[2]RD Feedstock Breakdown'!AA$3*'[2]Feedstock Conversion Rates'!B$7)/12+80-171+75+50+20-65</f>
        <v>93.266666666666652</v>
      </c>
      <c r="AB181" s="47">
        <f t="shared" si="102"/>
        <v>263.72666666666669</v>
      </c>
      <c r="AC181" s="45">
        <f>('[2]Renewable Diesel'!G190*'[2]RD Feedstock Breakdown'!AC$3*'[2]Feedstock Conversion Rates'!B$5)/12</f>
        <v>7.864583333333333</v>
      </c>
      <c r="AD181" s="45">
        <f>('[2]Renewable Diesel'!G190*'[2]RD Feedstock Breakdown'!AD$3*'[2]Feedstock Conversion Rates'!B$4)/12</f>
        <v>3.90625</v>
      </c>
      <c r="AE181" s="45">
        <f>('[2]Renewable Diesel'!G190*'[2]RD Feedstock Breakdown'!AE$3*'[2]Feedstock Conversion Rates'!B$6)/12</f>
        <v>4.885416666666667</v>
      </c>
      <c r="AF181" s="47">
        <f t="shared" si="71"/>
        <v>16.65625</v>
      </c>
      <c r="AG181" s="45">
        <f>130+20-51-5+100+25-100+10+25-15</f>
        <v>139</v>
      </c>
      <c r="AH181" s="45">
        <v>0</v>
      </c>
      <c r="AI181" s="45">
        <f>('[2]Renewable Diesel'!H190*'[2]RD Feedstock Breakdown'!AI$3*'[2]Feedstock Conversion Rates'!B$6)/12-130-20+51+5-100-25+100-10-25+15</f>
        <v>9.5166666666666799</v>
      </c>
      <c r="AJ181" s="47">
        <f t="shared" si="42"/>
        <v>148.51666666666668</v>
      </c>
      <c r="AK181" s="45">
        <f>('[2]Renewable Diesel'!J190*'[2]RD Feedstock Breakdown'!AK$3*'[2]Feedstock Conversion Rates'!B$4)/12</f>
        <v>95.8125</v>
      </c>
      <c r="AL181" s="47">
        <f t="shared" si="45"/>
        <v>95.8125</v>
      </c>
      <c r="AM181" s="45">
        <f>('[2]Renewable Diesel'!K190*'[2]RD Feedstock Breakdown'!AM$3*'[2]Feedstock Conversion Rates'!B$4)/12+5+15-10+4-25</f>
        <v>47.59375</v>
      </c>
      <c r="AN181" s="45">
        <f>('[2]Renewable Diesel'!K190*'[2]RD Feedstock Breakdown'!AN$3*'[2]Feedstock Conversion Rates'!B$6)/12-5-15+10-4+25</f>
        <v>35.427083333333329</v>
      </c>
      <c r="AO181" s="47">
        <f t="shared" si="56"/>
        <v>83.020833333333329</v>
      </c>
      <c r="AP181" s="45">
        <f>('[2]Renewable Diesel'!L190*'[2]RD Feedstock Breakdown'!AP$3*'[2]Feedstock Conversion Rates'!B$4)/12+15-10+14</f>
        <v>77.59375</v>
      </c>
      <c r="AQ181" s="45">
        <f>('[2]Renewable Diesel'!L190*'[2]RD Feedstock Breakdown'!AQ$3*'[2]Feedstock Conversion Rates'!B$6)/12-15+10-14</f>
        <v>5.4270833333333321</v>
      </c>
      <c r="AR181" s="47">
        <f t="shared" si="46"/>
        <v>83.020833333333329</v>
      </c>
      <c r="AS181" s="45">
        <f>('[2]Renewable Diesel'!M190*'[2]RD Feedstock Breakdown'!AS$3*'[2]Feedstock Conversion Rates'!B$4)/12</f>
        <v>456.25</v>
      </c>
      <c r="AT181" s="45">
        <f>('[2]Renewable Diesel'!M190*'[2]RD Feedstock Breakdown'!AT$3*'[2]Feedstock Conversion Rates'!B$5)/12</f>
        <v>0</v>
      </c>
      <c r="AU181" s="47">
        <f t="shared" si="74"/>
        <v>456.25</v>
      </c>
      <c r="AV181" s="45">
        <f>'[2]Renewable Diesel'!N190*'[2]RD Feedstock Breakdown'!$AV$3*'[2]Feedstock Conversion Rates'!$B$4/12-15-10+25+25-22-17.5</f>
        <v>64.249999999999986</v>
      </c>
      <c r="AW181" s="45">
        <f>'[2]Renewable Diesel'!N190*'[2]RD Feedstock Breakdown'!$AW$3*'[2]Feedstock Conversion Rates'!$B$7/12+15+10-25-25+22+17.5</f>
        <v>55.900000000000006</v>
      </c>
      <c r="AX181" s="47">
        <f t="shared" si="40"/>
        <v>120.14999999999999</v>
      </c>
      <c r="AY181" s="45">
        <f>('[2]Renewable Diesel'!O190*'[2]RD Feedstock Breakdown'!AY$3*'[2]Feedstock Conversion Rates'!B$4)/12+13+21-100</f>
        <v>144.9375</v>
      </c>
      <c r="AZ181" s="45">
        <f>('[2]Renewable Diesel'!O190*'[2]RD Feedstock Breakdown'!AZ$3*'[2]Feedstock Conversion Rates'!B$3)/12-13-21+100</f>
        <v>91.03125</v>
      </c>
      <c r="BA181" s="47">
        <f t="shared" si="87"/>
        <v>235.96875</v>
      </c>
      <c r="BB181" s="45">
        <f>('[2]Renewable Diesel'!Q190*'[2]RD Feedstock Breakdown'!BB$3*'[2]Feedstock Conversion Rates'!B$4)/12</f>
        <v>11.156249999999998</v>
      </c>
      <c r="BC181" s="45">
        <f>('[2]Renewable Diesel'!Q190*'[2]RD Feedstock Breakdown'!BC$3*'[2]Feedstock Conversion Rates'!B$3)/12</f>
        <v>1.4017500000000001</v>
      </c>
      <c r="BD181" s="45">
        <f>('[2]Renewable Diesel'!Q190*'[2]RD Feedstock Breakdown'!BD$3*'[2]Feedstock Conversion Rates'!B$6)/12</f>
        <v>0.8207500000000002</v>
      </c>
      <c r="BE181" s="47">
        <f t="shared" si="64"/>
        <v>13.378749999999998</v>
      </c>
      <c r="BF181" s="45">
        <f>('[2]Renewable Diesel'!R190*'[2]RD Feedstock Breakdown'!BF$3*'[2]Feedstock Conversion Rates'!B$4)/12</f>
        <v>62.5</v>
      </c>
      <c r="BG181" s="47">
        <f t="shared" si="47"/>
        <v>62.5</v>
      </c>
      <c r="BH181" s="45">
        <f>('[2]Renewable Diesel'!T190*'[2]RD Feedstock Breakdown'!BH$3*'[2]Feedstock Conversion Rates'!B$7)/12</f>
        <v>27.599999999999998</v>
      </c>
      <c r="BI181" s="47">
        <f t="shared" si="41"/>
        <v>27.599999999999998</v>
      </c>
      <c r="BJ181" s="45">
        <f>('[2]Renewable Diesel'!W190*'[2]RD Feedstock Breakdown'!BJ$3*'[2]Feedstock Conversion Rates'!B$4)/12</f>
        <v>7.5</v>
      </c>
      <c r="BK181" s="45">
        <f>('[2]Renewable Diesel'!W190*'[2]RD Feedstock Breakdown'!BK$3*'[2]Feedstock Conversion Rates'!B$3)/12</f>
        <v>1.335</v>
      </c>
      <c r="BL181" s="45">
        <f>('[2]Renewable Diesel'!W190*'[2]RD Feedstock Breakdown'!BL$3*'[2]Feedstock Conversion Rates'!B$6)/12</f>
        <v>3.1266666666666669</v>
      </c>
      <c r="BM181" s="45">
        <f>('[2]Renewable Diesel'!W190*'[2]RD Feedstock Breakdown'!BM$3*'[2]Feedstock Conversion Rates'!B$7)/12</f>
        <v>1.5333333333333332</v>
      </c>
      <c r="BN181" s="47">
        <f t="shared" si="78"/>
        <v>13.495000000000001</v>
      </c>
      <c r="BO181" s="45">
        <f>('[2]Renewable Diesel'!P190*'[2]Feedstock Conversion Rates'!B$4)/12</f>
        <v>31.25</v>
      </c>
      <c r="BP181" s="47">
        <f t="shared" si="72"/>
        <v>31.25</v>
      </c>
      <c r="BQ181" s="45">
        <f>('[2]Renewable Diesel'!$S190*'[2]RD Feedstock Breakdown'!BQ$3*'[2]Feedstock Conversion Rates'!B$4)/12+10</f>
        <v>38.125</v>
      </c>
      <c r="BR181" s="45">
        <f>('[2]Renewable Diesel'!$S190*'[2]RD Feedstock Breakdown'!BR$3*'[2]Feedstock Conversion Rates'!B$7)/12-10</f>
        <v>1.5</v>
      </c>
      <c r="BS181" s="47">
        <f t="shared" si="90"/>
        <v>39.625</v>
      </c>
      <c r="BT181" s="47"/>
      <c r="BU181" s="45">
        <f>('[2]Renewable Diesel'!Y190*'[2]Feedstock Conversion Rates'!B$7)/12</f>
        <v>2.6833333333333331</v>
      </c>
      <c r="BV181" s="47">
        <f t="shared" si="67"/>
        <v>2.6833333333333331</v>
      </c>
      <c r="BW181" s="45">
        <f>('[2]Renewable Diesel'!$Z190*'[2]RD Feedstock Breakdown'!BW$3*'[2]Feedstock Conversion Rates'!$B$4)/12</f>
        <v>17.96875</v>
      </c>
      <c r="BX181" s="45">
        <f>('[2]Renewable Diesel'!$Z190*'[2]RD Feedstock Breakdown'!BX$3*'[2]Feedstock Conversion Rates'!$B$5)/12</f>
        <v>1.8088541666666667</v>
      </c>
      <c r="BY181" s="45">
        <f>('[2]Renewable Diesel'!$Z190*'[2]RD Feedstock Breakdown'!BY$3*'[2]Feedstock Conversion Rates'!$B$7)/12</f>
        <v>15.429166666666665</v>
      </c>
      <c r="BZ181" s="45">
        <f>('[2]Renewable Diesel'!$Z190*'[2]RD Feedstock Breakdown'!BZ$3*'[2]Feedstock Conversion Rates'!$B$3)/12</f>
        <v>3.8381249999999998</v>
      </c>
      <c r="CA181" s="47">
        <f t="shared" si="91"/>
        <v>39.044895833333328</v>
      </c>
      <c r="CB181" s="45">
        <f>('[2]Renewable Diesel'!AA190*'[2]Feedstock Conversion Rates'!B$4)/12</f>
        <v>191.25</v>
      </c>
      <c r="CC181" s="47">
        <f t="shared" si="79"/>
        <v>191.25</v>
      </c>
      <c r="CD181" s="45">
        <f>('[2]Renewable Diesel'!$AB190*'[2]RD Feedstock Breakdown'!CD$3*'[2]Feedstock Conversion Rates'!$B$6)/12-15</f>
        <v>17.830000000000005</v>
      </c>
      <c r="CE181" s="45">
        <f>('[2]Renewable Diesel'!$AB190*'[2]RD Feedstock Breakdown'!CE$3*'[2]Feedstock Conversion Rates'!$B$4)/12+15</f>
        <v>26.25</v>
      </c>
      <c r="CF181" s="47">
        <f t="shared" si="76"/>
        <v>44.080000000000005</v>
      </c>
      <c r="CG181" s="45">
        <f>('[2]Renewable Diesel'!AD190*'[2]Feedstock Conversion Rates'!B$4)/12</f>
        <v>112.5</v>
      </c>
      <c r="CH181" s="47">
        <f t="shared" si="63"/>
        <v>112.5</v>
      </c>
      <c r="CI181" s="45">
        <f>('[2]Renewable Diesel'!$AE190*'[2]RD Feedstock Breakdown'!CI$3*'[2]Feedstock Conversion Rates'!$B$5)/12</f>
        <v>0.34604166666666664</v>
      </c>
      <c r="CJ181" s="45">
        <f>('[2]Renewable Diesel'!$AE190*'[2]RD Feedstock Breakdown'!CJ$3*'[2]Feedstock Conversion Rates'!$B$4)/12</f>
        <v>0.34375</v>
      </c>
      <c r="CK181" s="47">
        <f t="shared" si="73"/>
        <v>0.68979166666666658</v>
      </c>
      <c r="CL181" s="45">
        <f>(((CL$3*'[2]Renewable Diesel'!$AF190)*'[2]Feedstock Conversion Rates'!$B$3)/12)</f>
        <v>91.78125</v>
      </c>
      <c r="CM181" s="45">
        <f>(((CM$3*'[2]Renewable Diesel'!$AF190)*'[2]Feedstock Conversion Rates'!$B$6)/12)-32.5</f>
        <v>21.239583333333336</v>
      </c>
      <c r="CN181" s="45">
        <f>(((CN$3*'[2]Renewable Diesel'!$AF190)*'[2]Feedstock Conversion Rates'!$B$4)/12)+32.5</f>
        <v>75.46875</v>
      </c>
      <c r="CO181" s="47">
        <f t="shared" si="65"/>
        <v>188.48958333333334</v>
      </c>
      <c r="CP181" s="45">
        <f>('[2]Renewable Diesel'!$AG190*'[2]RD Feedstock Breakdown'!CP$3*'[2]Feedstock Conversion Rates'!$B$3)/12</f>
        <v>6.0075000000000003</v>
      </c>
      <c r="CQ181" s="45">
        <f>('[2]Renewable Diesel'!$AG190*'[2]RD Feedstock Breakdown'!CQ$3*'[2]Feedstock Conversion Rates'!$B$6)/12</f>
        <v>3.5175000000000001</v>
      </c>
      <c r="CR181" s="45">
        <f>('[2]Renewable Diesel'!$AG190*'[2]RD Feedstock Breakdown'!CR$3*'[2]Feedstock Conversion Rates'!$B$4)/12</f>
        <v>2.8125</v>
      </c>
      <c r="CS181" s="47">
        <f t="shared" si="99"/>
        <v>12.3375</v>
      </c>
      <c r="CT181" s="45">
        <f>('[2]Renewable Diesel'!AI190*'[2]Feedstock Conversion Rates'!$B$4*'[2]RD Feedstock Breakdown'!$CT$3)/12</f>
        <v>29.375</v>
      </c>
      <c r="CU181" s="47">
        <f t="shared" si="69"/>
        <v>29.375</v>
      </c>
      <c r="CV181" s="47"/>
      <c r="CW181" s="47"/>
      <c r="CX181" s="45">
        <f>('[2]Renewable Diesel'!AO190*'[2]RD Feedstock Breakdown'!$CX$3*'[2]Feedstock Conversion Rates'!$B$3)/12</f>
        <v>6.3412499999999996</v>
      </c>
      <c r="CY181" s="45">
        <f>('[2]Renewable Diesel'!AO190*'[2]RD Feedstock Breakdown'!$CY$3*'[2]Feedstock Conversion Rates'!$B$6)/12</f>
        <v>7.4258333333333342</v>
      </c>
      <c r="CZ181" s="47">
        <f t="shared" si="100"/>
        <v>13.767083333333334</v>
      </c>
      <c r="DA181" s="47"/>
      <c r="DB181" s="47"/>
      <c r="DC181" s="47"/>
      <c r="DD181" s="47"/>
      <c r="DE181" s="47"/>
      <c r="DF181" s="45">
        <f>('[2]Renewable Diesel'!AR190*'[2]Feedstock Conversion Rates'!$B$4*$DF$3)/12</f>
        <v>75</v>
      </c>
      <c r="DG181" s="47">
        <f t="shared" si="101"/>
        <v>75</v>
      </c>
      <c r="DH181" s="47"/>
      <c r="DI181" s="47"/>
      <c r="DJ181" s="45">
        <f>('[2]Renewable Diesel'!AT190*'[2]Feedstock Conversion Rates'!$B$4*0.25)/12</f>
        <v>8.59375</v>
      </c>
      <c r="DK181" s="45">
        <f>('[2]Renewable Diesel'!$AT190*'[2]RD Feedstock Breakdown'!DK$3*'[2]Feedstock Conversion Rates'!$B$3)/12*0.5</f>
        <v>9.1781249999999996</v>
      </c>
      <c r="DL181" s="45">
        <f>('[2]Renewable Diesel'!$AT190*'[2]RD Feedstock Breakdown'!$DL$3*'[2]Feedstock Conversion Rates'!$B$6)/12</f>
        <v>10.747916666666669</v>
      </c>
      <c r="DM181" s="45">
        <f>('[2]Renewable Diesel'!$AT190*'[2]RD Feedstock Breakdown'!$DM$3*'[2]Feedstock Conversion Rates'!$B$8)/12</f>
        <v>10.7421875</v>
      </c>
      <c r="DN181" s="47">
        <f t="shared" si="77"/>
        <v>39.26197916666667</v>
      </c>
      <c r="DP181" s="45">
        <f t="shared" si="48"/>
        <v>99.220250000000007</v>
      </c>
      <c r="DQ181" s="45">
        <f t="shared" si="49"/>
        <v>458.76151749999997</v>
      </c>
      <c r="DR181" s="45">
        <f t="shared" si="57"/>
        <v>1790.09375</v>
      </c>
      <c r="DS181" s="45">
        <f t="shared" si="70"/>
        <v>315.43822916666664</v>
      </c>
      <c r="DT181" s="45">
        <f t="shared" si="50"/>
        <v>209.1746500000001</v>
      </c>
      <c r="DU181" s="45">
        <f t="shared" si="51"/>
        <v>157.86860000000004</v>
      </c>
      <c r="DV181" s="45">
        <f t="shared" si="58"/>
        <v>5.6750000000000007</v>
      </c>
      <c r="DW181" s="45">
        <f t="shared" si="52"/>
        <v>2.25</v>
      </c>
      <c r="DX181" s="47">
        <f t="shared" si="53"/>
        <v>3038.4819966666669</v>
      </c>
      <c r="DY181" s="50">
        <f t="shared" si="54"/>
        <v>-3.979039320256561E-13</v>
      </c>
      <c r="EA181" s="51">
        <f t="shared" si="80"/>
        <v>3.2654545957109003E-2</v>
      </c>
      <c r="EB181" s="51">
        <f t="shared" si="80"/>
        <v>0.15098378664190842</v>
      </c>
      <c r="EC181" s="51">
        <f t="shared" si="80"/>
        <v>0.58914081174869637</v>
      </c>
      <c r="ED181" s="51">
        <f t="shared" si="80"/>
        <v>0.10381441440584958</v>
      </c>
      <c r="EE181" s="51">
        <f t="shared" si="80"/>
        <v>6.884182635588193E-2</v>
      </c>
      <c r="EF181" s="51">
        <f t="shared" si="80"/>
        <v>5.1956404603742276E-2</v>
      </c>
      <c r="EG181" s="51">
        <f t="shared" si="80"/>
        <v>1.867708943553293E-3</v>
      </c>
      <c r="EH181" s="52">
        <f t="shared" si="59"/>
        <v>7.4050134325901471E-4</v>
      </c>
      <c r="EI181" s="51">
        <f t="shared" si="60"/>
        <v>0.9992594986567408</v>
      </c>
      <c r="EK181" s="53">
        <f>(EA181*'[2]Renewable Diesel'!BF190*'[2]Feedstock Conversion Rates'!B$2)+FB181</f>
        <v>62.82631243237411</v>
      </c>
      <c r="EL181" s="53">
        <f>(EB181*'[2]Renewable Diesel'!BF190*'[2]Feedstock Conversion Rates'!B$3)+FC181</f>
        <v>273.74224443041027</v>
      </c>
      <c r="EM181" s="53">
        <f>(EC181*'[2]Renewable Diesel'!BF190*'[2]Feedstock Conversion Rates'!B$4)+FD181</f>
        <v>1000.1367061492</v>
      </c>
      <c r="EN181" s="53">
        <f>(ED181*'[2]Renewable Diesel'!BF190*'[2]Feedstock Conversion Rates'!B$5)+FE181</f>
        <v>177.41225034854651</v>
      </c>
      <c r="EO181" s="53">
        <f>(EE181*'[2]Renewable Diesel'!BF190*'[2]Feedstock Conversion Rates'!B$6)+FF181</f>
        <v>146.16191227774922</v>
      </c>
      <c r="EP181" s="53">
        <f>(EF181*'[2]Renewable Diesel'!BF190*'[2]Feedstock Conversion Rates'!B$7)+FG181</f>
        <v>108.19468129697287</v>
      </c>
      <c r="EQ181" s="53">
        <f>(EG181*'[2]Renewable Diesel'!BF190*'[2]Feedstock Conversion Rates'!B$8)+FH181</f>
        <v>3.9633230154822274</v>
      </c>
      <c r="ER181" s="53">
        <f>(EH181*'[2]Renewable Diesel'!BF190*'[2]Feedstock Conversion Rates'!B$9)+FI181</f>
        <v>1.5504100606820341</v>
      </c>
      <c r="ES181" s="53">
        <f t="shared" si="61"/>
        <v>1773.9878400114171</v>
      </c>
      <c r="ET181" s="36">
        <f>ES181/'[2]Renewable Diesel'!BF190</f>
        <v>7.8373933508600588</v>
      </c>
    </row>
    <row r="182" spans="1:150" x14ac:dyDescent="0.25">
      <c r="A182" s="39">
        <v>45962</v>
      </c>
      <c r="B182" s="45">
        <f t="shared" ref="B182:B192" si="104">22+85-4-4-3+3-5-10-14-20+0.75-4+35-14-5+35+109+41+72-17-14+20-6.5+6-14+0.25-20-70-21-30-20-73-45-14+10+80-20-0.25+12.5-2+15+33+11+8.5+12.5+10+7.5-9-4-165</f>
        <v>1.25</v>
      </c>
      <c r="C182" s="45">
        <f t="shared" ref="C182:C192" si="105">50-1-5+3+5-10+20+47+4-6</f>
        <v>107</v>
      </c>
      <c r="D182" s="45">
        <f t="shared" ref="D182:D192" si="106">1+0.25</f>
        <v>1.25</v>
      </c>
      <c r="E182" s="45">
        <f>('[2]Renewable Diesel'!B191*E$3*'[2]Feedstock Conversion Rates'!$B$2)/12-50+3+14-0.75+14-41+7.25+21+73+20.5-11-8.5-3+4-47-4</f>
        <v>81.430000000000007</v>
      </c>
      <c r="F182" s="45">
        <f>('[2]Renewable Diesel'!B191*'[2]RD Feedstock Breakdown'!F$3*'[2]Feedstock Conversion Rates'!B$8)/12-22+4-3+5+4+5-35+14+6.5+14+2-33+9-20</f>
        <v>4.40625</v>
      </c>
      <c r="G182" s="45">
        <f>('[2]Renewable Diesel'!B191*'[2]RD Feedstock Breakdown'!G$3*'[2]Feedstock Conversion Rates'!B$7)/12+20+80-100-124-20+20+70+20-10-80-12.5-15-10</f>
        <v>14.657000000000039</v>
      </c>
      <c r="H182" s="45">
        <f>('[2]Renewable Diesel'!B191*'[2]RD Feedstock Breakdown'!H$3*'[2]Feedstock Conversion Rates'!B$3)/12-85+4+10-72+17+30+45+5-12.5-7.5-5+175+6</f>
        <v>286.40022499999998</v>
      </c>
      <c r="I182" s="47">
        <f t="shared" si="75"/>
        <v>496.39347500000002</v>
      </c>
      <c r="J182" s="45">
        <f>2+10+12+15-6-20-5-5+7+105+30+87+5-10-5-25-27.5+1-1-15-17.5-6-10-77.5-7.5-1+17.5+15+90+2+2.5+2.5+7.5+27.5-32-11-25+5-50</f>
        <v>86.5</v>
      </c>
      <c r="K182" s="45">
        <v>50</v>
      </c>
      <c r="L182" s="45">
        <v>1</v>
      </c>
      <c r="M182" s="45">
        <f>('[2]Renewable Diesel'!C191*'[2]RD Feedstock Breakdown'!M$3*'[2]Feedstock Conversion Rates'!B$2)/12-10-15-30+10-2+32+25</f>
        <v>17.79025</v>
      </c>
      <c r="N182" s="45">
        <f>('[2]Renewable Diesel'!C191*'[2]RD Feedstock Breakdown'!N$3*'[2]Feedstock Conversion Rates'!B$8)/12-2+6+5-5-7-1+1+6+7.5-17.5-15-7.5</f>
        <v>-25.828125</v>
      </c>
      <c r="O182" s="45">
        <f>('[2]Renewable Diesel'!C191*'[2]RD Feedstock Breakdown'!O$3*'[2]Feedstock Conversion Rates'!B$7)/12+15-105-5+5+25+15-2.5-27.5+11</f>
        <v>-57.000900000000001</v>
      </c>
      <c r="P182" s="45">
        <f>('[2]Renewable Diesel'!C191*'[2]RD Feedstock Breakdown'!P$3*'[2]Feedstock Conversion Rates'!B$3)/12-5-10-12+20-77+10+27.5+17.5+77.5-90-2.5-5</f>
        <v>-38.552957499999991</v>
      </c>
      <c r="Q182" s="47">
        <f t="shared" si="85"/>
        <v>33.908267500000022</v>
      </c>
      <c r="R182" s="45">
        <f>('[2]Renewable Diesel'!D191*'[2]RD Feedstock Breakdown'!R$3*'[2]Feedstock Conversion Rates'!B$7)/12</f>
        <v>2.2999999999999998</v>
      </c>
      <c r="S182" s="47">
        <f t="shared" si="44"/>
        <v>2.2999999999999998</v>
      </c>
      <c r="T182" s="45">
        <f t="shared" si="103"/>
        <v>0.82499999999999929</v>
      </c>
      <c r="U182" s="45">
        <v>0</v>
      </c>
      <c r="V182" s="45">
        <f>('[2]Renewable Diesel'!E191*'[2]RD Feedstock Breakdown'!V$3*'[2]Feedstock Conversion Rates'!B$6)/12-20+25</f>
        <v>49.250150000000012</v>
      </c>
      <c r="W182" s="45">
        <f>('[2]Renewable Diesel'!E191*'[2]RD Feedstock Breakdown'!W$3*'[2]Feedstock Conversion Rates'!B$8)/12-5.825</f>
        <v>16.354687500000001</v>
      </c>
      <c r="X182" s="47">
        <f t="shared" si="62"/>
        <v>66.429837500000005</v>
      </c>
      <c r="Y182" s="45">
        <f t="shared" ref="Y182:Y192" si="107">50+32-80+171+60-15-75-50-20-30-22.5+15+25+20-20+65+10-5</f>
        <v>130.5</v>
      </c>
      <c r="Z182" s="45">
        <f>('[2]Renewable Diesel'!F191*'[2]RD Feedstock Breakdown'!Z$3*'[2]Feedstock Conversion Rates'!B$6)/12-50-32-60+15+30+22.5-15-25-20+20-10+5</f>
        <v>39.960000000000008</v>
      </c>
      <c r="AA182" s="45">
        <f>('[2]Renewable Diesel'!F191*'[2]RD Feedstock Breakdown'!AA$3*'[2]Feedstock Conversion Rates'!B$7)/12+80-171+75+50+20-65</f>
        <v>93.266666666666652</v>
      </c>
      <c r="AB182" s="47">
        <f t="shared" si="102"/>
        <v>263.72666666666669</v>
      </c>
      <c r="AC182" s="45">
        <f>('[2]Renewable Diesel'!G191*'[2]RD Feedstock Breakdown'!AC$3*'[2]Feedstock Conversion Rates'!B$5)/12</f>
        <v>7.864583333333333</v>
      </c>
      <c r="AD182" s="45">
        <f>('[2]Renewable Diesel'!G191*'[2]RD Feedstock Breakdown'!AD$3*'[2]Feedstock Conversion Rates'!B$4)/12</f>
        <v>3.90625</v>
      </c>
      <c r="AE182" s="45">
        <f>('[2]Renewable Diesel'!G191*'[2]RD Feedstock Breakdown'!AE$3*'[2]Feedstock Conversion Rates'!B$6)/12</f>
        <v>4.885416666666667</v>
      </c>
      <c r="AF182" s="47">
        <f t="shared" si="71"/>
        <v>16.65625</v>
      </c>
      <c r="AG182" s="45">
        <f>130+20-51-5+100+25-100+10+25-15</f>
        <v>139</v>
      </c>
      <c r="AH182" s="45">
        <v>0</v>
      </c>
      <c r="AI182" s="45">
        <f>('[2]Renewable Diesel'!H191*'[2]RD Feedstock Breakdown'!AI$3*'[2]Feedstock Conversion Rates'!B$6)/12-130-20+51+5-100-25+100-10-25+15</f>
        <v>9.5166666666666799</v>
      </c>
      <c r="AJ182" s="47">
        <f t="shared" si="42"/>
        <v>148.51666666666668</v>
      </c>
      <c r="AK182" s="45">
        <f>('[2]Renewable Diesel'!J191*'[2]RD Feedstock Breakdown'!AK$3*'[2]Feedstock Conversion Rates'!B$4)/12</f>
        <v>95.8125</v>
      </c>
      <c r="AL182" s="47">
        <f t="shared" si="45"/>
        <v>95.8125</v>
      </c>
      <c r="AM182" s="45">
        <f>('[2]Renewable Diesel'!K191*'[2]RD Feedstock Breakdown'!AM$3*'[2]Feedstock Conversion Rates'!B$4)/12+5+15-10+4-25</f>
        <v>47.59375</v>
      </c>
      <c r="AN182" s="45">
        <f>('[2]Renewable Diesel'!K191*'[2]RD Feedstock Breakdown'!AN$3*'[2]Feedstock Conversion Rates'!B$6)/12-5-15+10-4+25</f>
        <v>35.427083333333329</v>
      </c>
      <c r="AO182" s="47">
        <f t="shared" si="56"/>
        <v>83.020833333333329</v>
      </c>
      <c r="AP182" s="45">
        <f>('[2]Renewable Diesel'!L191*'[2]RD Feedstock Breakdown'!AP$3*'[2]Feedstock Conversion Rates'!B$4)/12+15-10+14</f>
        <v>77.59375</v>
      </c>
      <c r="AQ182" s="45">
        <f>('[2]Renewable Diesel'!L191*'[2]RD Feedstock Breakdown'!AQ$3*'[2]Feedstock Conversion Rates'!B$6)/12-15+10-14</f>
        <v>5.4270833333333321</v>
      </c>
      <c r="AR182" s="47">
        <f t="shared" si="46"/>
        <v>83.020833333333329</v>
      </c>
      <c r="AS182" s="45">
        <f>('[2]Renewable Diesel'!M191*'[2]RD Feedstock Breakdown'!AS$3*'[2]Feedstock Conversion Rates'!B$4)/12</f>
        <v>456.25</v>
      </c>
      <c r="AT182" s="45">
        <f>('[2]Renewable Diesel'!M191*'[2]RD Feedstock Breakdown'!AT$3*'[2]Feedstock Conversion Rates'!B$5)/12</f>
        <v>0</v>
      </c>
      <c r="AU182" s="47">
        <f t="shared" si="74"/>
        <v>456.25</v>
      </c>
      <c r="AV182" s="45">
        <f>'[2]Renewable Diesel'!N191*'[2]RD Feedstock Breakdown'!$AV$3*'[2]Feedstock Conversion Rates'!$B$4/12-15-10+25+25-22-17.5</f>
        <v>64.249999999999986</v>
      </c>
      <c r="AW182" s="45">
        <f>'[2]Renewable Diesel'!N191*'[2]RD Feedstock Breakdown'!$AW$3*'[2]Feedstock Conversion Rates'!$B$7/12+15+10-25-25+22+17.5</f>
        <v>55.900000000000006</v>
      </c>
      <c r="AX182" s="47">
        <f t="shared" si="40"/>
        <v>120.14999999999999</v>
      </c>
      <c r="AY182" s="45">
        <f>('[2]Renewable Diesel'!O191*'[2]RD Feedstock Breakdown'!AY$3*'[2]Feedstock Conversion Rates'!B$4)/12+13+21-100</f>
        <v>144.9375</v>
      </c>
      <c r="AZ182" s="45">
        <f>('[2]Renewable Diesel'!O191*'[2]RD Feedstock Breakdown'!AZ$3*'[2]Feedstock Conversion Rates'!B$3)/12-13-21+100</f>
        <v>91.03125</v>
      </c>
      <c r="BA182" s="47">
        <f t="shared" si="87"/>
        <v>235.96875</v>
      </c>
      <c r="BB182" s="45">
        <f>('[2]Renewable Diesel'!Q191*'[2]RD Feedstock Breakdown'!BB$3*'[2]Feedstock Conversion Rates'!B$4)/12</f>
        <v>11.156249999999998</v>
      </c>
      <c r="BC182" s="45">
        <f>('[2]Renewable Diesel'!Q191*'[2]RD Feedstock Breakdown'!BC$3*'[2]Feedstock Conversion Rates'!B$3)/12</f>
        <v>1.4017500000000001</v>
      </c>
      <c r="BD182" s="45">
        <f>('[2]Renewable Diesel'!Q191*'[2]RD Feedstock Breakdown'!BD$3*'[2]Feedstock Conversion Rates'!B$6)/12</f>
        <v>0.8207500000000002</v>
      </c>
      <c r="BE182" s="47">
        <f t="shared" si="64"/>
        <v>13.378749999999998</v>
      </c>
      <c r="BF182" s="45">
        <f>('[2]Renewable Diesel'!R191*'[2]RD Feedstock Breakdown'!BF$3*'[2]Feedstock Conversion Rates'!B$4)/12</f>
        <v>62.5</v>
      </c>
      <c r="BG182" s="47">
        <f t="shared" si="47"/>
        <v>62.5</v>
      </c>
      <c r="BH182" s="45">
        <f>('[2]Renewable Diesel'!T191*'[2]RD Feedstock Breakdown'!BH$3*'[2]Feedstock Conversion Rates'!B$7)/12</f>
        <v>27.599999999999998</v>
      </c>
      <c r="BI182" s="47">
        <f t="shared" si="41"/>
        <v>27.599999999999998</v>
      </c>
      <c r="BJ182" s="45">
        <f>('[2]Renewable Diesel'!W191*'[2]RD Feedstock Breakdown'!BJ$3*'[2]Feedstock Conversion Rates'!B$4)/12</f>
        <v>7.5</v>
      </c>
      <c r="BK182" s="45">
        <f>('[2]Renewable Diesel'!W191*'[2]RD Feedstock Breakdown'!BK$3*'[2]Feedstock Conversion Rates'!B$3)/12</f>
        <v>1.335</v>
      </c>
      <c r="BL182" s="45">
        <f>('[2]Renewable Diesel'!W191*'[2]RD Feedstock Breakdown'!BL$3*'[2]Feedstock Conversion Rates'!B$6)/12</f>
        <v>3.1266666666666669</v>
      </c>
      <c r="BM182" s="45">
        <f>('[2]Renewable Diesel'!W191*'[2]RD Feedstock Breakdown'!BM$3*'[2]Feedstock Conversion Rates'!B$7)/12</f>
        <v>1.5333333333333332</v>
      </c>
      <c r="BN182" s="47">
        <f t="shared" si="78"/>
        <v>13.495000000000001</v>
      </c>
      <c r="BO182" s="45">
        <f>('[2]Renewable Diesel'!P191*'[2]Feedstock Conversion Rates'!B$4)/12</f>
        <v>31.25</v>
      </c>
      <c r="BP182" s="47">
        <f t="shared" si="72"/>
        <v>31.25</v>
      </c>
      <c r="BQ182" s="45">
        <f>('[2]Renewable Diesel'!$S191*'[2]RD Feedstock Breakdown'!BQ$3*'[2]Feedstock Conversion Rates'!B$4)/12+10</f>
        <v>38.125</v>
      </c>
      <c r="BR182" s="45">
        <f>('[2]Renewable Diesel'!$S191*'[2]RD Feedstock Breakdown'!BR$3*'[2]Feedstock Conversion Rates'!B$7)/12-10</f>
        <v>1.5</v>
      </c>
      <c r="BS182" s="47">
        <f t="shared" si="90"/>
        <v>39.625</v>
      </c>
      <c r="BT182" s="47"/>
      <c r="BU182" s="45">
        <f>('[2]Renewable Diesel'!Y191*'[2]Feedstock Conversion Rates'!B$7)/12</f>
        <v>2.6833333333333331</v>
      </c>
      <c r="BV182" s="47">
        <f t="shared" si="67"/>
        <v>2.6833333333333331</v>
      </c>
      <c r="BW182" s="45">
        <f>('[2]Renewable Diesel'!$Z191*'[2]RD Feedstock Breakdown'!BW$3*'[2]Feedstock Conversion Rates'!$B$4)/12</f>
        <v>17.96875</v>
      </c>
      <c r="BX182" s="45">
        <f>('[2]Renewable Diesel'!$Z191*'[2]RD Feedstock Breakdown'!BX$3*'[2]Feedstock Conversion Rates'!$B$5)/12</f>
        <v>1.8088541666666667</v>
      </c>
      <c r="BY182" s="45">
        <f>('[2]Renewable Diesel'!$Z191*'[2]RD Feedstock Breakdown'!BY$3*'[2]Feedstock Conversion Rates'!$B$7)/12</f>
        <v>15.429166666666665</v>
      </c>
      <c r="BZ182" s="45">
        <f>('[2]Renewable Diesel'!$Z191*'[2]RD Feedstock Breakdown'!BZ$3*'[2]Feedstock Conversion Rates'!$B$3)/12</f>
        <v>3.8381249999999998</v>
      </c>
      <c r="CA182" s="47">
        <f t="shared" si="91"/>
        <v>39.044895833333328</v>
      </c>
      <c r="CB182" s="45">
        <f>('[2]Renewable Diesel'!AA191*'[2]Feedstock Conversion Rates'!B$4)/12</f>
        <v>191.25</v>
      </c>
      <c r="CC182" s="47">
        <f t="shared" si="79"/>
        <v>191.25</v>
      </c>
      <c r="CD182" s="45">
        <f>('[2]Renewable Diesel'!$AB191*'[2]RD Feedstock Breakdown'!CD$3*'[2]Feedstock Conversion Rates'!$B$6)/12-15</f>
        <v>17.830000000000005</v>
      </c>
      <c r="CE182" s="45">
        <f>('[2]Renewable Diesel'!$AB191*'[2]RD Feedstock Breakdown'!CE$3*'[2]Feedstock Conversion Rates'!$B$4)/12+15</f>
        <v>26.25</v>
      </c>
      <c r="CF182" s="47">
        <f t="shared" si="76"/>
        <v>44.080000000000005</v>
      </c>
      <c r="CG182" s="45">
        <f>('[2]Renewable Diesel'!AD191*'[2]Feedstock Conversion Rates'!B$4)/12</f>
        <v>112.5</v>
      </c>
      <c r="CH182" s="47">
        <f t="shared" si="63"/>
        <v>112.5</v>
      </c>
      <c r="CI182" s="45">
        <f>('[2]Renewable Diesel'!$AE191*'[2]RD Feedstock Breakdown'!CI$3*'[2]Feedstock Conversion Rates'!$B$5)/12</f>
        <v>0.34604166666666664</v>
      </c>
      <c r="CJ182" s="45">
        <f>('[2]Renewable Diesel'!$AE191*'[2]RD Feedstock Breakdown'!CJ$3*'[2]Feedstock Conversion Rates'!$B$4)/12</f>
        <v>0.34375</v>
      </c>
      <c r="CK182" s="47">
        <f t="shared" si="73"/>
        <v>0.68979166666666658</v>
      </c>
      <c r="CL182" s="45">
        <f>(((CL$3*'[2]Renewable Diesel'!$AF191)*'[2]Feedstock Conversion Rates'!$B$3)/12)</f>
        <v>91.78125</v>
      </c>
      <c r="CM182" s="45">
        <f>(((CM$3*'[2]Renewable Diesel'!$AF191)*'[2]Feedstock Conversion Rates'!$B$6)/12)-32.5</f>
        <v>21.239583333333336</v>
      </c>
      <c r="CN182" s="45">
        <f>(((CN$3*'[2]Renewable Diesel'!$AF191)*'[2]Feedstock Conversion Rates'!$B$4)/12)+32.5</f>
        <v>75.46875</v>
      </c>
      <c r="CO182" s="47">
        <f t="shared" si="65"/>
        <v>188.48958333333334</v>
      </c>
      <c r="CP182" s="45">
        <f>('[2]Renewable Diesel'!$AG191*'[2]RD Feedstock Breakdown'!CP$3*'[2]Feedstock Conversion Rates'!$B$3)/12</f>
        <v>6.0075000000000003</v>
      </c>
      <c r="CQ182" s="45">
        <f>('[2]Renewable Diesel'!$AG191*'[2]RD Feedstock Breakdown'!CQ$3*'[2]Feedstock Conversion Rates'!$B$6)/12</f>
        <v>3.5175000000000001</v>
      </c>
      <c r="CR182" s="45">
        <f>('[2]Renewable Diesel'!$AG191*'[2]RD Feedstock Breakdown'!CR$3*'[2]Feedstock Conversion Rates'!$B$4)/12</f>
        <v>2.8125</v>
      </c>
      <c r="CS182" s="47">
        <f t="shared" si="99"/>
        <v>12.3375</v>
      </c>
      <c r="CT182" s="45">
        <f>('[2]Renewable Diesel'!AI191*'[2]Feedstock Conversion Rates'!$B$4*'[2]RD Feedstock Breakdown'!$CT$3)/12</f>
        <v>29.375</v>
      </c>
      <c r="CU182" s="47">
        <f t="shared" si="69"/>
        <v>29.375</v>
      </c>
      <c r="CV182" s="47"/>
      <c r="CW182" s="47"/>
      <c r="CX182" s="45">
        <f>('[2]Renewable Diesel'!AO191*'[2]RD Feedstock Breakdown'!$CX$3*'[2]Feedstock Conversion Rates'!$B$3)/12</f>
        <v>6.3412499999999996</v>
      </c>
      <c r="CY182" s="45">
        <f>('[2]Renewable Diesel'!AO191*'[2]RD Feedstock Breakdown'!$CY$3*'[2]Feedstock Conversion Rates'!$B$6)/12</f>
        <v>7.4258333333333342</v>
      </c>
      <c r="CZ182" s="47">
        <f t="shared" si="100"/>
        <v>13.767083333333334</v>
      </c>
      <c r="DA182" s="47"/>
      <c r="DB182" s="47"/>
      <c r="DC182" s="47"/>
      <c r="DD182" s="47"/>
      <c r="DE182" s="47"/>
      <c r="DF182" s="45">
        <f>('[2]Renewable Diesel'!AR191*'[2]Feedstock Conversion Rates'!$B$4*$DF$3)/12</f>
        <v>75</v>
      </c>
      <c r="DG182" s="47">
        <f t="shared" si="101"/>
        <v>75</v>
      </c>
      <c r="DH182" s="47"/>
      <c r="DI182" s="47"/>
      <c r="DJ182" s="45">
        <f>('[2]Renewable Diesel'!AT191*'[2]Feedstock Conversion Rates'!$B$4*0.25)/12</f>
        <v>8.59375</v>
      </c>
      <c r="DK182" s="45">
        <f>('[2]Renewable Diesel'!$AT191*'[2]RD Feedstock Breakdown'!DK$3*'[2]Feedstock Conversion Rates'!$B$3)/12*0.5</f>
        <v>9.1781249999999996</v>
      </c>
      <c r="DL182" s="45">
        <f>('[2]Renewable Diesel'!$AT191*'[2]RD Feedstock Breakdown'!$DL$3*'[2]Feedstock Conversion Rates'!$B$6)/12</f>
        <v>10.747916666666669</v>
      </c>
      <c r="DM182" s="45">
        <f>('[2]Renewable Diesel'!$AT191*'[2]RD Feedstock Breakdown'!$DM$3*'[2]Feedstock Conversion Rates'!$B$8)/12</f>
        <v>10.7421875</v>
      </c>
      <c r="DN182" s="47">
        <f t="shared" si="77"/>
        <v>39.26197916666667</v>
      </c>
      <c r="DP182" s="45">
        <f t="shared" si="48"/>
        <v>99.220250000000007</v>
      </c>
      <c r="DQ182" s="45">
        <f t="shared" si="49"/>
        <v>458.76151749999997</v>
      </c>
      <c r="DR182" s="45">
        <f t="shared" si="57"/>
        <v>1790.09375</v>
      </c>
      <c r="DS182" s="45">
        <f t="shared" si="70"/>
        <v>315.43822916666664</v>
      </c>
      <c r="DT182" s="45">
        <f t="shared" si="50"/>
        <v>209.1746500000001</v>
      </c>
      <c r="DU182" s="45">
        <f t="shared" si="51"/>
        <v>157.86860000000004</v>
      </c>
      <c r="DV182" s="45">
        <f t="shared" si="58"/>
        <v>5.6750000000000007</v>
      </c>
      <c r="DW182" s="45">
        <f t="shared" si="52"/>
        <v>2.25</v>
      </c>
      <c r="DX182" s="47">
        <f t="shared" si="53"/>
        <v>3038.4819966666669</v>
      </c>
      <c r="DY182" s="50">
        <f t="shared" si="54"/>
        <v>-3.979039320256561E-13</v>
      </c>
      <c r="EA182" s="51">
        <f t="shared" si="80"/>
        <v>3.2654545957109003E-2</v>
      </c>
      <c r="EB182" s="51">
        <f t="shared" si="80"/>
        <v>0.15098378664190842</v>
      </c>
      <c r="EC182" s="51">
        <f t="shared" si="80"/>
        <v>0.58914081174869637</v>
      </c>
      <c r="ED182" s="51">
        <f t="shared" si="80"/>
        <v>0.10381441440584958</v>
      </c>
      <c r="EE182" s="51">
        <f t="shared" si="80"/>
        <v>6.884182635588193E-2</v>
      </c>
      <c r="EF182" s="51">
        <f t="shared" si="80"/>
        <v>5.1956404603742276E-2</v>
      </c>
      <c r="EG182" s="51">
        <f t="shared" si="80"/>
        <v>1.867708943553293E-3</v>
      </c>
      <c r="EH182" s="52">
        <f t="shared" si="59"/>
        <v>7.4050134325901471E-4</v>
      </c>
      <c r="EI182" s="51">
        <f t="shared" si="60"/>
        <v>0.9992594986567408</v>
      </c>
      <c r="EK182" s="53">
        <f>(EA182*'[2]Renewable Diesel'!BF191*'[2]Feedstock Conversion Rates'!B$2)+FB182</f>
        <v>68.114920542303665</v>
      </c>
      <c r="EL182" s="53">
        <f>(EB182*'[2]Renewable Diesel'!BF191*'[2]Feedstock Conversion Rates'!B$3)+FC182</f>
        <v>296.78538348911752</v>
      </c>
      <c r="EM182" s="53">
        <f>(EC182*'[2]Renewable Diesel'!BF191*'[2]Feedstock Conversion Rates'!B$4)+FD182</f>
        <v>1084.3264491151315</v>
      </c>
      <c r="EN182" s="53">
        <f>(ED182*'[2]Renewable Diesel'!BF191*'[2]Feedstock Conversion Rates'!B$5)+FE182</f>
        <v>192.34650050056865</v>
      </c>
      <c r="EO182" s="53">
        <f>(EE182*'[2]Renewable Diesel'!BF191*'[2]Feedstock Conversion Rates'!B$6)+FF182</f>
        <v>158.46556411895764</v>
      </c>
      <c r="EP182" s="53">
        <f>(EF182*'[2]Renewable Diesel'!BF191*'[2]Feedstock Conversion Rates'!B$7)+FG182</f>
        <v>117.30231863561703</v>
      </c>
      <c r="EQ182" s="53">
        <f>(EG182*'[2]Renewable Diesel'!BF191*'[2]Feedstock Conversion Rates'!B$8)+FH182</f>
        <v>4.2969485527841575</v>
      </c>
      <c r="ER182" s="53">
        <f>(EH182*'[2]Renewable Diesel'!BF191*'[2]Feedstock Conversion Rates'!B$9)+FI182</f>
        <v>1.6809208435560934</v>
      </c>
      <c r="ES182" s="53">
        <f t="shared" si="61"/>
        <v>1923.3190057980364</v>
      </c>
      <c r="ET182" s="36">
        <f>ES182/'[2]Renewable Diesel'!BF191</f>
        <v>7.8373933508600597</v>
      </c>
    </row>
    <row r="183" spans="1:150" x14ac:dyDescent="0.25">
      <c r="A183" s="39">
        <v>45992</v>
      </c>
      <c r="B183" s="45">
        <f t="shared" si="104"/>
        <v>1.25</v>
      </c>
      <c r="C183" s="45">
        <f t="shared" si="105"/>
        <v>107</v>
      </c>
      <c r="D183" s="45">
        <f t="shared" si="106"/>
        <v>1.25</v>
      </c>
      <c r="E183" s="45">
        <f>('[2]Renewable Diesel'!B192*E$3*'[2]Feedstock Conversion Rates'!$B$2)/12-50+3+14-0.75+14-41+7.25+21+73+20.5-11-8.5-3+4-47-4</f>
        <v>81.430000000000007</v>
      </c>
      <c r="F183" s="45">
        <f>('[2]Renewable Diesel'!B192*'[2]RD Feedstock Breakdown'!F$3*'[2]Feedstock Conversion Rates'!B$8)/12-22+4-3+5+4+5-35+14+6.5+14+2-33+9-20</f>
        <v>4.40625</v>
      </c>
      <c r="G183" s="45">
        <f>('[2]Renewable Diesel'!B192*'[2]RD Feedstock Breakdown'!G$3*'[2]Feedstock Conversion Rates'!B$7)/12+20+80-100-124-20+20+70+20-10-80-12.5-15-10</f>
        <v>14.657000000000039</v>
      </c>
      <c r="H183" s="45">
        <f>('[2]Renewable Diesel'!B192*'[2]RD Feedstock Breakdown'!H$3*'[2]Feedstock Conversion Rates'!B$3)/12-85+4+10-72+17+30+45+5-12.5-7.5-5+175+6</f>
        <v>286.40022499999998</v>
      </c>
      <c r="I183" s="47">
        <f t="shared" si="75"/>
        <v>496.39347500000002</v>
      </c>
      <c r="J183" s="45">
        <f t="shared" ref="J183:J192" si="108">2+10+12+15-6-20-5-5+7+105+30+87+5-10-5-25-27.5+1-1-15-17.5-6-10-77.5-7.5-1+17.5+15+90+2+2.5+2.5+7.5+27.5-32-11-25+5-50</f>
        <v>86.5</v>
      </c>
      <c r="K183" s="45">
        <v>50</v>
      </c>
      <c r="L183" s="45">
        <v>1</v>
      </c>
      <c r="M183" s="45">
        <f>('[2]Renewable Diesel'!C192*'[2]RD Feedstock Breakdown'!M$3*'[2]Feedstock Conversion Rates'!B$2)/12-10-15-30+10-2+32+25</f>
        <v>17.79025</v>
      </c>
      <c r="N183" s="45">
        <f>('[2]Renewable Diesel'!C192*'[2]RD Feedstock Breakdown'!N$3*'[2]Feedstock Conversion Rates'!B$8)/12-2+6+5-5-7-1+1+6+7.5-17.5-15-7.5</f>
        <v>-25.828125</v>
      </c>
      <c r="O183" s="45">
        <f>('[2]Renewable Diesel'!C192*'[2]RD Feedstock Breakdown'!O$3*'[2]Feedstock Conversion Rates'!B$7)/12+15-105-5+5+25+15-2.5-27.5+11</f>
        <v>-57.000900000000001</v>
      </c>
      <c r="P183" s="45">
        <f>('[2]Renewable Diesel'!C192*'[2]RD Feedstock Breakdown'!P$3*'[2]Feedstock Conversion Rates'!B$3)/12-5-10-12+20-77+10+27.5+17.5+77.5-90-2.5-5</f>
        <v>-38.552957499999991</v>
      </c>
      <c r="Q183" s="47">
        <f t="shared" si="85"/>
        <v>33.908267500000022</v>
      </c>
      <c r="R183" s="45">
        <f>('[2]Renewable Diesel'!D192*'[2]RD Feedstock Breakdown'!R$3*'[2]Feedstock Conversion Rates'!B$7)/12</f>
        <v>2.2999999999999998</v>
      </c>
      <c r="S183" s="47">
        <f t="shared" si="44"/>
        <v>2.2999999999999998</v>
      </c>
      <c r="T183" s="45">
        <f t="shared" si="103"/>
        <v>0.82499999999999929</v>
      </c>
      <c r="U183" s="45">
        <v>0</v>
      </c>
      <c r="V183" s="45">
        <f>('[2]Renewable Diesel'!E192*'[2]RD Feedstock Breakdown'!V$3*'[2]Feedstock Conversion Rates'!B$6)/12-20+25</f>
        <v>49.250150000000012</v>
      </c>
      <c r="W183" s="45">
        <f>('[2]Renewable Diesel'!E192*'[2]RD Feedstock Breakdown'!W$3*'[2]Feedstock Conversion Rates'!B$8)/12-5.825</f>
        <v>16.354687500000001</v>
      </c>
      <c r="X183" s="47">
        <f t="shared" si="62"/>
        <v>66.429837500000005</v>
      </c>
      <c r="Y183" s="45">
        <f t="shared" si="107"/>
        <v>130.5</v>
      </c>
      <c r="Z183" s="45">
        <f>('[2]Renewable Diesel'!F192*'[2]RD Feedstock Breakdown'!Z$3*'[2]Feedstock Conversion Rates'!B$6)/12-50-32-60+15+30+22.5-15-25-20+20-10+5</f>
        <v>39.960000000000008</v>
      </c>
      <c r="AA183" s="45">
        <f>('[2]Renewable Diesel'!F192*'[2]RD Feedstock Breakdown'!AA$3*'[2]Feedstock Conversion Rates'!B$7)/12+80-171+75+50+20-65</f>
        <v>93.266666666666652</v>
      </c>
      <c r="AB183" s="47">
        <f t="shared" si="102"/>
        <v>263.72666666666669</v>
      </c>
      <c r="AC183" s="45">
        <f>('[2]Renewable Diesel'!G192*'[2]RD Feedstock Breakdown'!AC$3*'[2]Feedstock Conversion Rates'!B$5)/12</f>
        <v>7.864583333333333</v>
      </c>
      <c r="AD183" s="45">
        <f>('[2]Renewable Diesel'!G192*'[2]RD Feedstock Breakdown'!AD$3*'[2]Feedstock Conversion Rates'!B$4)/12</f>
        <v>3.90625</v>
      </c>
      <c r="AE183" s="45">
        <f>('[2]Renewable Diesel'!G192*'[2]RD Feedstock Breakdown'!AE$3*'[2]Feedstock Conversion Rates'!B$6)/12</f>
        <v>4.885416666666667</v>
      </c>
      <c r="AF183" s="47">
        <f t="shared" si="71"/>
        <v>16.65625</v>
      </c>
      <c r="AG183" s="45">
        <f>130+20-51-5+100+25-100+10+25-15</f>
        <v>139</v>
      </c>
      <c r="AH183" s="45">
        <v>0</v>
      </c>
      <c r="AI183" s="45">
        <f>('[2]Renewable Diesel'!H192*'[2]RD Feedstock Breakdown'!AI$3*'[2]Feedstock Conversion Rates'!B$6)/12-130-20+51+5-100-25+100-10-25+15</f>
        <v>9.5166666666666799</v>
      </c>
      <c r="AJ183" s="47">
        <f t="shared" si="42"/>
        <v>148.51666666666668</v>
      </c>
      <c r="AK183" s="45">
        <f>('[2]Renewable Diesel'!J192*'[2]RD Feedstock Breakdown'!AK$3*'[2]Feedstock Conversion Rates'!B$4)/12</f>
        <v>95.8125</v>
      </c>
      <c r="AL183" s="47">
        <f t="shared" si="45"/>
        <v>95.8125</v>
      </c>
      <c r="AM183" s="45">
        <f>('[2]Renewable Diesel'!K192*'[2]RD Feedstock Breakdown'!AM$3*'[2]Feedstock Conversion Rates'!B$4)/12+5+15-10+4-25</f>
        <v>47.59375</v>
      </c>
      <c r="AN183" s="45">
        <f>('[2]Renewable Diesel'!K192*'[2]RD Feedstock Breakdown'!AN$3*'[2]Feedstock Conversion Rates'!B$6)/12-5-15+10-4+25</f>
        <v>35.427083333333329</v>
      </c>
      <c r="AO183" s="47">
        <f t="shared" si="56"/>
        <v>83.020833333333329</v>
      </c>
      <c r="AP183" s="45">
        <f>('[2]Renewable Diesel'!L192*'[2]RD Feedstock Breakdown'!AP$3*'[2]Feedstock Conversion Rates'!B$4)/12+15-10+14</f>
        <v>77.59375</v>
      </c>
      <c r="AQ183" s="45">
        <f>('[2]Renewable Diesel'!L192*'[2]RD Feedstock Breakdown'!AQ$3*'[2]Feedstock Conversion Rates'!B$6)/12-15+10-14</f>
        <v>5.4270833333333321</v>
      </c>
      <c r="AR183" s="47">
        <f t="shared" si="46"/>
        <v>83.020833333333329</v>
      </c>
      <c r="AS183" s="45">
        <f>('[2]Renewable Diesel'!M192*'[2]RD Feedstock Breakdown'!AS$3*'[2]Feedstock Conversion Rates'!B$4)/12</f>
        <v>456.25</v>
      </c>
      <c r="AT183" s="45">
        <f>('[2]Renewable Diesel'!M192*'[2]RD Feedstock Breakdown'!AT$3*'[2]Feedstock Conversion Rates'!B$5)/12</f>
        <v>0</v>
      </c>
      <c r="AU183" s="47">
        <f t="shared" si="74"/>
        <v>456.25</v>
      </c>
      <c r="AV183" s="45">
        <f>'[2]Renewable Diesel'!N192*'[2]RD Feedstock Breakdown'!$AV$3*'[2]Feedstock Conversion Rates'!$B$4/12-15-10+25+25-22-17.5</f>
        <v>64.249999999999986</v>
      </c>
      <c r="AW183" s="45">
        <f>'[2]Renewable Diesel'!N192*'[2]RD Feedstock Breakdown'!$AW$3*'[2]Feedstock Conversion Rates'!$B$7/12+15+10-25-25+22+17.5</f>
        <v>55.900000000000006</v>
      </c>
      <c r="AX183" s="47">
        <f t="shared" ref="AX183:AX246" si="109">SUM(AV183:AW183)</f>
        <v>120.14999999999999</v>
      </c>
      <c r="AY183" s="45">
        <f>('[2]Renewable Diesel'!O192*'[2]RD Feedstock Breakdown'!AY$3*'[2]Feedstock Conversion Rates'!B$4)/12+13+21-100</f>
        <v>144.9375</v>
      </c>
      <c r="AZ183" s="45">
        <f>('[2]Renewable Diesel'!O192*'[2]RD Feedstock Breakdown'!AZ$3*'[2]Feedstock Conversion Rates'!B$3)/12-13-21+100</f>
        <v>91.03125</v>
      </c>
      <c r="BA183" s="47">
        <f t="shared" si="87"/>
        <v>235.96875</v>
      </c>
      <c r="BB183" s="45">
        <f>('[2]Renewable Diesel'!Q192*'[2]RD Feedstock Breakdown'!BB$3*'[2]Feedstock Conversion Rates'!B$4)/12</f>
        <v>11.156249999999998</v>
      </c>
      <c r="BC183" s="45">
        <f>('[2]Renewable Diesel'!Q192*'[2]RD Feedstock Breakdown'!BC$3*'[2]Feedstock Conversion Rates'!B$3)/12</f>
        <v>1.4017500000000001</v>
      </c>
      <c r="BD183" s="45">
        <f>('[2]Renewable Diesel'!Q192*'[2]RD Feedstock Breakdown'!BD$3*'[2]Feedstock Conversion Rates'!B$6)/12</f>
        <v>0.8207500000000002</v>
      </c>
      <c r="BE183" s="47">
        <f t="shared" si="64"/>
        <v>13.378749999999998</v>
      </c>
      <c r="BF183" s="45">
        <f>('[2]Renewable Diesel'!R192*'[2]RD Feedstock Breakdown'!BF$3*'[2]Feedstock Conversion Rates'!B$4)/12</f>
        <v>62.5</v>
      </c>
      <c r="BG183" s="47">
        <f t="shared" si="47"/>
        <v>62.5</v>
      </c>
      <c r="BH183" s="45">
        <f>('[2]Renewable Diesel'!T192*'[2]RD Feedstock Breakdown'!BH$3*'[2]Feedstock Conversion Rates'!B$7)/12</f>
        <v>27.599999999999998</v>
      </c>
      <c r="BI183" s="47">
        <f t="shared" si="41"/>
        <v>27.599999999999998</v>
      </c>
      <c r="BJ183" s="45">
        <f>('[2]Renewable Diesel'!W192*'[2]RD Feedstock Breakdown'!BJ$3*'[2]Feedstock Conversion Rates'!B$4)/12</f>
        <v>7.5</v>
      </c>
      <c r="BK183" s="45">
        <f>('[2]Renewable Diesel'!W192*'[2]RD Feedstock Breakdown'!BK$3*'[2]Feedstock Conversion Rates'!B$3)/12</f>
        <v>1.335</v>
      </c>
      <c r="BL183" s="45">
        <f>('[2]Renewable Diesel'!W192*'[2]RD Feedstock Breakdown'!BL$3*'[2]Feedstock Conversion Rates'!B$6)/12</f>
        <v>3.1266666666666669</v>
      </c>
      <c r="BM183" s="45">
        <f>('[2]Renewable Diesel'!W192*'[2]RD Feedstock Breakdown'!BM$3*'[2]Feedstock Conversion Rates'!B$7)/12</f>
        <v>1.5333333333333332</v>
      </c>
      <c r="BN183" s="47">
        <f t="shared" si="78"/>
        <v>13.495000000000001</v>
      </c>
      <c r="BO183" s="45">
        <f>('[2]Renewable Diesel'!P192*'[2]Feedstock Conversion Rates'!B$4)/12</f>
        <v>31.25</v>
      </c>
      <c r="BP183" s="47">
        <f t="shared" si="72"/>
        <v>31.25</v>
      </c>
      <c r="BQ183" s="45">
        <f>('[2]Renewable Diesel'!$S192*'[2]RD Feedstock Breakdown'!BQ$3*'[2]Feedstock Conversion Rates'!B$4)/12+10</f>
        <v>38.125</v>
      </c>
      <c r="BR183" s="45">
        <f>('[2]Renewable Diesel'!$S192*'[2]RD Feedstock Breakdown'!BR$3*'[2]Feedstock Conversion Rates'!B$7)/12-10</f>
        <v>1.5</v>
      </c>
      <c r="BS183" s="47">
        <f t="shared" si="90"/>
        <v>39.625</v>
      </c>
      <c r="BT183" s="47"/>
      <c r="BU183" s="45">
        <f>('[2]Renewable Diesel'!Y192*'[2]Feedstock Conversion Rates'!B$7)/12</f>
        <v>2.6833333333333331</v>
      </c>
      <c r="BV183" s="47">
        <f t="shared" si="67"/>
        <v>2.6833333333333331</v>
      </c>
      <c r="BW183" s="45">
        <f>('[2]Renewable Diesel'!$Z192*'[2]RD Feedstock Breakdown'!BW$3*'[2]Feedstock Conversion Rates'!$B$4)/12</f>
        <v>17.96875</v>
      </c>
      <c r="BX183" s="45">
        <f>('[2]Renewable Diesel'!$Z192*'[2]RD Feedstock Breakdown'!BX$3*'[2]Feedstock Conversion Rates'!$B$5)/12</f>
        <v>1.8088541666666667</v>
      </c>
      <c r="BY183" s="45">
        <f>('[2]Renewable Diesel'!$Z192*'[2]RD Feedstock Breakdown'!BY$3*'[2]Feedstock Conversion Rates'!$B$7)/12</f>
        <v>15.429166666666665</v>
      </c>
      <c r="BZ183" s="45">
        <f>('[2]Renewable Diesel'!$Z192*'[2]RD Feedstock Breakdown'!BZ$3*'[2]Feedstock Conversion Rates'!$B$3)/12</f>
        <v>3.8381249999999998</v>
      </c>
      <c r="CA183" s="47">
        <f t="shared" si="91"/>
        <v>39.044895833333328</v>
      </c>
      <c r="CB183" s="45">
        <f>('[2]Renewable Diesel'!AA192*'[2]Feedstock Conversion Rates'!B$4)/12</f>
        <v>191.25</v>
      </c>
      <c r="CC183" s="47">
        <f t="shared" si="79"/>
        <v>191.25</v>
      </c>
      <c r="CD183" s="45">
        <f>('[2]Renewable Diesel'!$AB192*'[2]RD Feedstock Breakdown'!CD$3*'[2]Feedstock Conversion Rates'!$B$6)/12-15</f>
        <v>17.830000000000005</v>
      </c>
      <c r="CE183" s="45">
        <f>('[2]Renewable Diesel'!$AB192*'[2]RD Feedstock Breakdown'!CE$3*'[2]Feedstock Conversion Rates'!$B$4)/12+15</f>
        <v>26.25</v>
      </c>
      <c r="CF183" s="47">
        <f t="shared" si="76"/>
        <v>44.080000000000005</v>
      </c>
      <c r="CG183" s="45">
        <f>('[2]Renewable Diesel'!AD192*'[2]Feedstock Conversion Rates'!B$4)/12</f>
        <v>112.5</v>
      </c>
      <c r="CH183" s="47">
        <f t="shared" si="63"/>
        <v>112.5</v>
      </c>
      <c r="CI183" s="45">
        <f>('[2]Renewable Diesel'!$AE192*'[2]RD Feedstock Breakdown'!CI$3*'[2]Feedstock Conversion Rates'!$B$5)/12</f>
        <v>0.34604166666666664</v>
      </c>
      <c r="CJ183" s="45">
        <f>('[2]Renewable Diesel'!$AE192*'[2]RD Feedstock Breakdown'!CJ$3*'[2]Feedstock Conversion Rates'!$B$4)/12</f>
        <v>0.34375</v>
      </c>
      <c r="CK183" s="47">
        <f t="shared" si="73"/>
        <v>0.68979166666666658</v>
      </c>
      <c r="CL183" s="45">
        <f>(((CL$3*'[2]Renewable Diesel'!$AF192)*'[2]Feedstock Conversion Rates'!$B$3)/12)</f>
        <v>91.78125</v>
      </c>
      <c r="CM183" s="45">
        <f>(((CM$3*'[2]Renewable Diesel'!$AF192)*'[2]Feedstock Conversion Rates'!$B$6)/12)-32.5</f>
        <v>21.239583333333336</v>
      </c>
      <c r="CN183" s="45">
        <f>(((CN$3*'[2]Renewable Diesel'!$AF192)*'[2]Feedstock Conversion Rates'!$B$4)/12)+32.5</f>
        <v>75.46875</v>
      </c>
      <c r="CO183" s="47">
        <f t="shared" si="65"/>
        <v>188.48958333333334</v>
      </c>
      <c r="CP183" s="45">
        <f>('[2]Renewable Diesel'!$AG192*'[2]RD Feedstock Breakdown'!CP$3*'[2]Feedstock Conversion Rates'!$B$3)/12</f>
        <v>6.0075000000000003</v>
      </c>
      <c r="CQ183" s="45">
        <f>('[2]Renewable Diesel'!$AG192*'[2]RD Feedstock Breakdown'!CQ$3*'[2]Feedstock Conversion Rates'!$B$6)/12</f>
        <v>3.5175000000000001</v>
      </c>
      <c r="CR183" s="45">
        <f>('[2]Renewable Diesel'!$AG192*'[2]RD Feedstock Breakdown'!CR$3*'[2]Feedstock Conversion Rates'!$B$4)/12</f>
        <v>2.8125</v>
      </c>
      <c r="CS183" s="47">
        <f t="shared" si="99"/>
        <v>12.3375</v>
      </c>
      <c r="CT183" s="45">
        <f>('[2]Renewable Diesel'!AI192*'[2]Feedstock Conversion Rates'!$B$4*'[2]RD Feedstock Breakdown'!$CT$3)/12</f>
        <v>29.375</v>
      </c>
      <c r="CU183" s="47">
        <f t="shared" si="69"/>
        <v>29.375</v>
      </c>
      <c r="CV183" s="47"/>
      <c r="CW183" s="47"/>
      <c r="CX183" s="45">
        <f>('[2]Renewable Diesel'!AO192*'[2]RD Feedstock Breakdown'!$CX$3*'[2]Feedstock Conversion Rates'!$B$3)/12</f>
        <v>6.3412499999999996</v>
      </c>
      <c r="CY183" s="45">
        <f>('[2]Renewable Diesel'!AO192*'[2]RD Feedstock Breakdown'!$CY$3*'[2]Feedstock Conversion Rates'!$B$6)/12</f>
        <v>7.4258333333333342</v>
      </c>
      <c r="CZ183" s="47">
        <f t="shared" si="100"/>
        <v>13.767083333333334</v>
      </c>
      <c r="DA183" s="47"/>
      <c r="DB183" s="47"/>
      <c r="DC183" s="47"/>
      <c r="DD183" s="47"/>
      <c r="DE183" s="47"/>
      <c r="DF183" s="45">
        <f>('[2]Renewable Diesel'!AR192*'[2]Feedstock Conversion Rates'!$B$4*$DF$3)/12</f>
        <v>75</v>
      </c>
      <c r="DG183" s="47">
        <f t="shared" si="101"/>
        <v>75</v>
      </c>
      <c r="DH183" s="47"/>
      <c r="DI183" s="47"/>
      <c r="DJ183" s="45">
        <f>('[2]Renewable Diesel'!AT192*'[2]Feedstock Conversion Rates'!$B$4*0.25)/12</f>
        <v>8.59375</v>
      </c>
      <c r="DK183" s="45">
        <f>('[2]Renewable Diesel'!$AT192*'[2]RD Feedstock Breakdown'!DK$3*'[2]Feedstock Conversion Rates'!$B$3)/12*0.5</f>
        <v>9.1781249999999996</v>
      </c>
      <c r="DL183" s="45">
        <f>('[2]Renewable Diesel'!$AT192*'[2]RD Feedstock Breakdown'!$DL$3*'[2]Feedstock Conversion Rates'!$B$6)/12</f>
        <v>10.747916666666669</v>
      </c>
      <c r="DM183" s="45">
        <f>('[2]Renewable Diesel'!$AT192*'[2]RD Feedstock Breakdown'!$DM$3*'[2]Feedstock Conversion Rates'!$B$8)/12</f>
        <v>10.7421875</v>
      </c>
      <c r="DN183" s="47">
        <f t="shared" si="77"/>
        <v>39.26197916666667</v>
      </c>
      <c r="DP183" s="45">
        <f t="shared" si="48"/>
        <v>99.220250000000007</v>
      </c>
      <c r="DQ183" s="45">
        <f t="shared" si="49"/>
        <v>458.76151749999997</v>
      </c>
      <c r="DR183" s="45">
        <f t="shared" si="57"/>
        <v>1790.09375</v>
      </c>
      <c r="DS183" s="45">
        <f t="shared" si="70"/>
        <v>315.43822916666664</v>
      </c>
      <c r="DT183" s="45">
        <f t="shared" si="50"/>
        <v>209.1746500000001</v>
      </c>
      <c r="DU183" s="45">
        <f t="shared" si="51"/>
        <v>157.86860000000004</v>
      </c>
      <c r="DV183" s="45">
        <f t="shared" si="58"/>
        <v>5.6750000000000007</v>
      </c>
      <c r="DW183" s="45">
        <f t="shared" si="52"/>
        <v>2.25</v>
      </c>
      <c r="DX183" s="47">
        <f t="shared" si="53"/>
        <v>3038.4819966666669</v>
      </c>
      <c r="DY183" s="50">
        <f t="shared" si="54"/>
        <v>-3.979039320256561E-13</v>
      </c>
      <c r="EA183" s="51">
        <f t="shared" si="80"/>
        <v>3.2654545957109003E-2</v>
      </c>
      <c r="EB183" s="51">
        <f t="shared" si="80"/>
        <v>0.15098378664190842</v>
      </c>
      <c r="EC183" s="51">
        <f t="shared" si="80"/>
        <v>0.58914081174869637</v>
      </c>
      <c r="ED183" s="51">
        <f t="shared" si="80"/>
        <v>0.10381441440584958</v>
      </c>
      <c r="EE183" s="51">
        <f t="shared" si="80"/>
        <v>6.884182635588193E-2</v>
      </c>
      <c r="EF183" s="51">
        <f t="shared" si="80"/>
        <v>5.1956404603742276E-2</v>
      </c>
      <c r="EG183" s="51">
        <f t="shared" si="80"/>
        <v>1.867708943553293E-3</v>
      </c>
      <c r="EH183" s="52">
        <f t="shared" si="59"/>
        <v>7.4050134325901471E-4</v>
      </c>
      <c r="EI183" s="51">
        <f t="shared" si="60"/>
        <v>0.9992594986567408</v>
      </c>
      <c r="EK183" s="53">
        <f>(EA183*'[2]Renewable Diesel'!BF192*'[2]Feedstock Conversion Rates'!B$2)+FB183</f>
        <v>81.879837779110204</v>
      </c>
      <c r="EL183" s="53">
        <f>(EB183*'[2]Renewable Diesel'!BF192*'[2]Feedstock Conversion Rates'!B$3)+FC183</f>
        <v>356.76088090285094</v>
      </c>
      <c r="EM183" s="53">
        <f>(EC183*'[2]Renewable Diesel'!BF192*'[2]Feedstock Conversion Rates'!B$4)+FD183</f>
        <v>1303.4511828873794</v>
      </c>
      <c r="EN183" s="53">
        <f>(ED183*'[2]Renewable Diesel'!BF192*'[2]Feedstock Conversion Rates'!B$5)+FE183</f>
        <v>231.21659884466567</v>
      </c>
      <c r="EO183" s="53">
        <f>(EE183*'[2]Renewable Diesel'!BF192*'[2]Feedstock Conversion Rates'!B$6)+FF183</f>
        <v>190.48887645074859</v>
      </c>
      <c r="EP183" s="53">
        <f>(EF183*'[2]Renewable Diesel'!BF192*'[2]Feedstock Conversion Rates'!B$7)+FG183</f>
        <v>141.00720876614247</v>
      </c>
      <c r="EQ183" s="53">
        <f>(EG183*'[2]Renewable Diesel'!BF192*'[2]Feedstock Conversion Rates'!B$8)+FH183</f>
        <v>5.1652919455237187</v>
      </c>
      <c r="ER183" s="53">
        <f>(EH183*'[2]Renewable Diesel'!BF192*'[2]Feedstock Conversion Rates'!B$9)+FI183</f>
        <v>2.0206075980727145</v>
      </c>
      <c r="ES183" s="53">
        <f t="shared" si="61"/>
        <v>2311.9904851744936</v>
      </c>
      <c r="ET183" s="36">
        <f>ES183/'[2]Renewable Diesel'!BF192</f>
        <v>7.8373933508600588</v>
      </c>
    </row>
    <row r="184" spans="1:150" x14ac:dyDescent="0.25">
      <c r="A184" s="39">
        <v>46023</v>
      </c>
      <c r="B184" s="45">
        <f t="shared" si="104"/>
        <v>1.25</v>
      </c>
      <c r="C184" s="45">
        <f t="shared" si="105"/>
        <v>107</v>
      </c>
      <c r="D184" s="45">
        <f t="shared" si="106"/>
        <v>1.25</v>
      </c>
      <c r="E184" s="45">
        <f>('[2]Renewable Diesel'!B193*E$3*'[2]Feedstock Conversion Rates'!$B$2)/12-50+3+14-0.75+14-41+7.25+21+73+20.5-11-8.5-3+4-47-4</f>
        <v>81.430000000000007</v>
      </c>
      <c r="F184" s="45">
        <f>('[2]Renewable Diesel'!B193*'[2]RD Feedstock Breakdown'!F$3*'[2]Feedstock Conversion Rates'!B$8)/12-22+4-3+5+4+5-35+14+6.5+14+2-33+9-20</f>
        <v>4.40625</v>
      </c>
      <c r="G184" s="45">
        <f>('[2]Renewable Diesel'!B193*'[2]RD Feedstock Breakdown'!G$3*'[2]Feedstock Conversion Rates'!B$7)/12+20+80-100-124-20+20+70+20-10-80-12.5-15-10</f>
        <v>14.657000000000039</v>
      </c>
      <c r="H184" s="45">
        <f>('[2]Renewable Diesel'!B193*'[2]RD Feedstock Breakdown'!H$3*'[2]Feedstock Conversion Rates'!B$3)/12-85+4+10-72+17+30+45+5-12.5-7.5-5+175+6</f>
        <v>286.40022499999998</v>
      </c>
      <c r="I184" s="47">
        <f t="shared" si="75"/>
        <v>496.39347500000002</v>
      </c>
      <c r="J184" s="45">
        <f t="shared" si="108"/>
        <v>86.5</v>
      </c>
      <c r="K184" s="45">
        <v>50</v>
      </c>
      <c r="L184" s="45">
        <v>1</v>
      </c>
      <c r="M184" s="45">
        <f>('[2]Renewable Diesel'!C193*'[2]RD Feedstock Breakdown'!M$3*'[2]Feedstock Conversion Rates'!B$2)/12-10-15-30+10-2+32+25</f>
        <v>17.79025</v>
      </c>
      <c r="N184" s="45">
        <f>('[2]Renewable Diesel'!C193*'[2]RD Feedstock Breakdown'!N$3*'[2]Feedstock Conversion Rates'!B$8)/12-2+6+5-5-7-1+1+6+7.5-17.5-15-7.5</f>
        <v>-25.828125</v>
      </c>
      <c r="O184" s="45">
        <f>('[2]Renewable Diesel'!C193*'[2]RD Feedstock Breakdown'!O$3*'[2]Feedstock Conversion Rates'!B$7)/12+15-105-5+5+25+15-2.5-27.5+11</f>
        <v>-57.000900000000001</v>
      </c>
      <c r="P184" s="45">
        <f>('[2]Renewable Diesel'!C193*'[2]RD Feedstock Breakdown'!P$3*'[2]Feedstock Conversion Rates'!B$3)/12-5-10-12+20-77+10+27.5+17.5+77.5-90-2.5-5</f>
        <v>-38.552957499999991</v>
      </c>
      <c r="Q184" s="47">
        <f t="shared" si="85"/>
        <v>33.908267500000022</v>
      </c>
      <c r="R184" s="45">
        <f>('[2]Renewable Diesel'!D193*'[2]RD Feedstock Breakdown'!R$3*'[2]Feedstock Conversion Rates'!B$7)/12</f>
        <v>2.2999999999999998</v>
      </c>
      <c r="S184" s="47">
        <f t="shared" si="44"/>
        <v>2.2999999999999998</v>
      </c>
      <c r="T184" s="45">
        <f t="shared" si="103"/>
        <v>0.82499999999999929</v>
      </c>
      <c r="U184" s="45">
        <v>0</v>
      </c>
      <c r="V184" s="45">
        <f>('[2]Renewable Diesel'!E193*'[2]RD Feedstock Breakdown'!V$3*'[2]Feedstock Conversion Rates'!B$6)/12-20+25</f>
        <v>49.250150000000012</v>
      </c>
      <c r="W184" s="45">
        <f>('[2]Renewable Diesel'!E193*'[2]RD Feedstock Breakdown'!W$3*'[2]Feedstock Conversion Rates'!B$8)/12-5.825</f>
        <v>16.354687500000001</v>
      </c>
      <c r="X184" s="47">
        <f t="shared" si="62"/>
        <v>66.429837500000005</v>
      </c>
      <c r="Y184" s="45">
        <f t="shared" si="107"/>
        <v>130.5</v>
      </c>
      <c r="Z184" s="45">
        <f>('[2]Renewable Diesel'!F193*'[2]RD Feedstock Breakdown'!Z$3*'[2]Feedstock Conversion Rates'!B$6)/12-50-32-60+15+30+22.5-15-25-20+20-10+5</f>
        <v>39.960000000000008</v>
      </c>
      <c r="AA184" s="45">
        <f>('[2]Renewable Diesel'!F193*'[2]RD Feedstock Breakdown'!AA$3*'[2]Feedstock Conversion Rates'!B$7)/12+80-171+75+50+20-65</f>
        <v>93.266666666666652</v>
      </c>
      <c r="AB184" s="47">
        <f t="shared" si="102"/>
        <v>263.72666666666669</v>
      </c>
      <c r="AC184" s="45">
        <f>('[2]Renewable Diesel'!G193*'[2]RD Feedstock Breakdown'!AC$3*'[2]Feedstock Conversion Rates'!B$5)/12</f>
        <v>7.864583333333333</v>
      </c>
      <c r="AD184" s="45">
        <f>('[2]Renewable Diesel'!G193*'[2]RD Feedstock Breakdown'!AD$3*'[2]Feedstock Conversion Rates'!B$4)/12</f>
        <v>3.90625</v>
      </c>
      <c r="AE184" s="45">
        <f>('[2]Renewable Diesel'!G193*'[2]RD Feedstock Breakdown'!AE$3*'[2]Feedstock Conversion Rates'!B$6)/12</f>
        <v>4.885416666666667</v>
      </c>
      <c r="AF184" s="47">
        <f t="shared" si="71"/>
        <v>16.65625</v>
      </c>
      <c r="AG184" s="45">
        <f>130+20-51-5+100+25-100+10+25-15</f>
        <v>139</v>
      </c>
      <c r="AH184" s="45">
        <v>0</v>
      </c>
      <c r="AI184" s="45">
        <f>('[2]Renewable Diesel'!H193*'[2]RD Feedstock Breakdown'!AI$3*'[2]Feedstock Conversion Rates'!B$6)/12-130-20+51+5-100-25+100-10-25+15</f>
        <v>9.5166666666666799</v>
      </c>
      <c r="AJ184" s="47">
        <f t="shared" si="42"/>
        <v>148.51666666666668</v>
      </c>
      <c r="AK184" s="45">
        <f>('[2]Renewable Diesel'!J193*'[2]RD Feedstock Breakdown'!AK$3*'[2]Feedstock Conversion Rates'!B$4)/12</f>
        <v>95.8125</v>
      </c>
      <c r="AL184" s="47">
        <f t="shared" si="45"/>
        <v>95.8125</v>
      </c>
      <c r="AM184" s="45">
        <f>('[2]Renewable Diesel'!K193*'[2]RD Feedstock Breakdown'!AM$3*'[2]Feedstock Conversion Rates'!B$4)/12+5+15-10+4-25</f>
        <v>47.59375</v>
      </c>
      <c r="AN184" s="45">
        <f>('[2]Renewable Diesel'!K193*'[2]RD Feedstock Breakdown'!AN$3*'[2]Feedstock Conversion Rates'!B$6)/12-5-15+10-4+25</f>
        <v>35.427083333333329</v>
      </c>
      <c r="AO184" s="47">
        <f t="shared" si="56"/>
        <v>83.020833333333329</v>
      </c>
      <c r="AP184" s="45">
        <f>('[2]Renewable Diesel'!L193*'[2]RD Feedstock Breakdown'!AP$3*'[2]Feedstock Conversion Rates'!B$4)/12+15-10+14</f>
        <v>77.59375</v>
      </c>
      <c r="AQ184" s="45">
        <f>('[2]Renewable Diesel'!L193*'[2]RD Feedstock Breakdown'!AQ$3*'[2]Feedstock Conversion Rates'!B$6)/12-15+10-14</f>
        <v>5.4270833333333321</v>
      </c>
      <c r="AR184" s="47">
        <f t="shared" si="46"/>
        <v>83.020833333333329</v>
      </c>
      <c r="AS184" s="45">
        <f>('[2]Renewable Diesel'!M193*'[2]RD Feedstock Breakdown'!AS$3*'[2]Feedstock Conversion Rates'!B$4)/12</f>
        <v>456.25</v>
      </c>
      <c r="AT184" s="45">
        <f>('[2]Renewable Diesel'!M193*'[2]RD Feedstock Breakdown'!AT$3*'[2]Feedstock Conversion Rates'!B$5)/12</f>
        <v>0</v>
      </c>
      <c r="AU184" s="47">
        <f t="shared" si="74"/>
        <v>456.25</v>
      </c>
      <c r="AV184" s="45">
        <f>'[2]Renewable Diesel'!N193*'[2]RD Feedstock Breakdown'!$AV$3*'[2]Feedstock Conversion Rates'!$B$4/12-15-10+25+25-22-17.5</f>
        <v>64.249999999999986</v>
      </c>
      <c r="AW184" s="45">
        <f>'[2]Renewable Diesel'!N193*'[2]RD Feedstock Breakdown'!$AW$3*'[2]Feedstock Conversion Rates'!$B$7/12+15+10-25-25+22+17.5</f>
        <v>55.900000000000006</v>
      </c>
      <c r="AX184" s="47">
        <f t="shared" si="109"/>
        <v>120.14999999999999</v>
      </c>
      <c r="AY184" s="45">
        <f>('[2]Renewable Diesel'!O193*'[2]RD Feedstock Breakdown'!AY$3*'[2]Feedstock Conversion Rates'!B$4)/12+13+21-100</f>
        <v>144.9375</v>
      </c>
      <c r="AZ184" s="45">
        <f>('[2]Renewable Diesel'!O193*'[2]RD Feedstock Breakdown'!AZ$3*'[2]Feedstock Conversion Rates'!B$3)/12-13-21+100</f>
        <v>91.03125</v>
      </c>
      <c r="BA184" s="47">
        <f t="shared" si="87"/>
        <v>235.96875</v>
      </c>
      <c r="BB184" s="45">
        <f>('[2]Renewable Diesel'!Q193*'[2]RD Feedstock Breakdown'!BB$3*'[2]Feedstock Conversion Rates'!B$4)/12</f>
        <v>11.156249999999998</v>
      </c>
      <c r="BC184" s="45">
        <f>('[2]Renewable Diesel'!Q193*'[2]RD Feedstock Breakdown'!BC$3*'[2]Feedstock Conversion Rates'!B$3)/12</f>
        <v>1.4017500000000001</v>
      </c>
      <c r="BD184" s="45">
        <f>('[2]Renewable Diesel'!Q193*'[2]RD Feedstock Breakdown'!BD$3*'[2]Feedstock Conversion Rates'!B$6)/12</f>
        <v>0.8207500000000002</v>
      </c>
      <c r="BE184" s="47">
        <f t="shared" si="64"/>
        <v>13.378749999999998</v>
      </c>
      <c r="BF184" s="45">
        <f>('[2]Renewable Diesel'!R193*'[2]RD Feedstock Breakdown'!BF$3*'[2]Feedstock Conversion Rates'!B$4)/12</f>
        <v>62.5</v>
      </c>
      <c r="BG184" s="47">
        <f t="shared" si="47"/>
        <v>62.5</v>
      </c>
      <c r="BH184" s="45">
        <f>('[2]Renewable Diesel'!T193*'[2]RD Feedstock Breakdown'!BH$3*'[2]Feedstock Conversion Rates'!B$7)/12</f>
        <v>27.599999999999998</v>
      </c>
      <c r="BI184" s="47">
        <f t="shared" si="41"/>
        <v>27.599999999999998</v>
      </c>
      <c r="BJ184" s="45">
        <f>('[2]Renewable Diesel'!W193*'[2]RD Feedstock Breakdown'!BJ$3*'[2]Feedstock Conversion Rates'!B$4)/12</f>
        <v>7.5</v>
      </c>
      <c r="BK184" s="45">
        <f>('[2]Renewable Diesel'!W193*'[2]RD Feedstock Breakdown'!BK$3*'[2]Feedstock Conversion Rates'!B$3)/12</f>
        <v>1.335</v>
      </c>
      <c r="BL184" s="45">
        <f>('[2]Renewable Diesel'!W193*'[2]RD Feedstock Breakdown'!BL$3*'[2]Feedstock Conversion Rates'!B$6)/12</f>
        <v>3.1266666666666669</v>
      </c>
      <c r="BM184" s="45">
        <f>('[2]Renewable Diesel'!W193*'[2]RD Feedstock Breakdown'!BM$3*'[2]Feedstock Conversion Rates'!B$7)/12</f>
        <v>1.5333333333333332</v>
      </c>
      <c r="BN184" s="47">
        <f t="shared" si="78"/>
        <v>13.495000000000001</v>
      </c>
      <c r="BO184" s="45">
        <f>('[2]Renewable Diesel'!P193*'[2]Feedstock Conversion Rates'!B$4)/12</f>
        <v>31.25</v>
      </c>
      <c r="BP184" s="47">
        <f t="shared" si="72"/>
        <v>31.25</v>
      </c>
      <c r="BQ184" s="45">
        <f>('[2]Renewable Diesel'!$S193*'[2]RD Feedstock Breakdown'!BQ$3*'[2]Feedstock Conversion Rates'!B$4)/12+10</f>
        <v>38.125</v>
      </c>
      <c r="BR184" s="45">
        <f>('[2]Renewable Diesel'!$S193*'[2]RD Feedstock Breakdown'!BR$3*'[2]Feedstock Conversion Rates'!B$7)/12-10</f>
        <v>1.5</v>
      </c>
      <c r="BS184" s="47">
        <f t="shared" si="90"/>
        <v>39.625</v>
      </c>
      <c r="BT184" s="47"/>
      <c r="BU184" s="45">
        <f>('[2]Renewable Diesel'!Y193*'[2]Feedstock Conversion Rates'!B$7)/12</f>
        <v>2.6833333333333331</v>
      </c>
      <c r="BV184" s="47">
        <f t="shared" si="67"/>
        <v>2.6833333333333331</v>
      </c>
      <c r="BW184" s="45">
        <f>('[2]Renewable Diesel'!$Z193*'[2]RD Feedstock Breakdown'!BW$3*'[2]Feedstock Conversion Rates'!$B$4)/12</f>
        <v>17.96875</v>
      </c>
      <c r="BX184" s="45">
        <f>('[2]Renewable Diesel'!$Z193*'[2]RD Feedstock Breakdown'!BX$3*'[2]Feedstock Conversion Rates'!$B$5)/12</f>
        <v>1.8088541666666667</v>
      </c>
      <c r="BY184" s="45">
        <f>('[2]Renewable Diesel'!$Z193*'[2]RD Feedstock Breakdown'!BY$3*'[2]Feedstock Conversion Rates'!$B$7)/12</f>
        <v>15.429166666666665</v>
      </c>
      <c r="BZ184" s="45">
        <f>('[2]Renewable Diesel'!$Z193*'[2]RD Feedstock Breakdown'!BZ$3*'[2]Feedstock Conversion Rates'!$B$3)/12</f>
        <v>3.8381249999999998</v>
      </c>
      <c r="CA184" s="47">
        <f t="shared" si="91"/>
        <v>39.044895833333328</v>
      </c>
      <c r="CB184" s="45">
        <f>('[2]Renewable Diesel'!AA193*'[2]Feedstock Conversion Rates'!B$4)/12</f>
        <v>191.25</v>
      </c>
      <c r="CC184" s="47">
        <f t="shared" si="79"/>
        <v>191.25</v>
      </c>
      <c r="CD184" s="45">
        <f>('[2]Renewable Diesel'!$AB193*'[2]RD Feedstock Breakdown'!CD$3*'[2]Feedstock Conversion Rates'!$B$6)/12-15</f>
        <v>17.830000000000005</v>
      </c>
      <c r="CE184" s="45">
        <f>('[2]Renewable Diesel'!$AB193*'[2]RD Feedstock Breakdown'!CE$3*'[2]Feedstock Conversion Rates'!$B$4)/12+15</f>
        <v>26.25</v>
      </c>
      <c r="CF184" s="47">
        <f t="shared" si="76"/>
        <v>44.080000000000005</v>
      </c>
      <c r="CG184" s="45">
        <f>('[2]Renewable Diesel'!AD193*'[2]Feedstock Conversion Rates'!B$4)/12</f>
        <v>112.5</v>
      </c>
      <c r="CH184" s="47">
        <f t="shared" si="63"/>
        <v>112.5</v>
      </c>
      <c r="CI184" s="45">
        <f>('[2]Renewable Diesel'!$AE193*'[2]RD Feedstock Breakdown'!CI$3*'[2]Feedstock Conversion Rates'!$B$5)/12</f>
        <v>0.34604166666666664</v>
      </c>
      <c r="CJ184" s="45">
        <f>('[2]Renewable Diesel'!$AE193*'[2]RD Feedstock Breakdown'!CJ$3*'[2]Feedstock Conversion Rates'!$B$4)/12</f>
        <v>0.34375</v>
      </c>
      <c r="CK184" s="47">
        <f t="shared" si="73"/>
        <v>0.68979166666666658</v>
      </c>
      <c r="CL184" s="45">
        <f>(((CL$3*'[2]Renewable Diesel'!$AF193)*'[2]Feedstock Conversion Rates'!$B$3)/12)</f>
        <v>91.78125</v>
      </c>
      <c r="CM184" s="45">
        <f>(((CM$3*'[2]Renewable Diesel'!$AF193)*'[2]Feedstock Conversion Rates'!$B$6)/12)-32.5</f>
        <v>21.239583333333336</v>
      </c>
      <c r="CN184" s="45">
        <f>(((CN$3*'[2]Renewable Diesel'!$AF193)*'[2]Feedstock Conversion Rates'!$B$4)/12)+32.5</f>
        <v>75.46875</v>
      </c>
      <c r="CO184" s="47">
        <f t="shared" si="65"/>
        <v>188.48958333333334</v>
      </c>
      <c r="CP184" s="45">
        <f>('[2]Renewable Diesel'!$AG193*'[2]RD Feedstock Breakdown'!CP$3*'[2]Feedstock Conversion Rates'!$B$3)/12</f>
        <v>6.0075000000000003</v>
      </c>
      <c r="CQ184" s="45">
        <f>('[2]Renewable Diesel'!$AG193*'[2]RD Feedstock Breakdown'!CQ$3*'[2]Feedstock Conversion Rates'!$B$6)/12</f>
        <v>3.5175000000000001</v>
      </c>
      <c r="CR184" s="45">
        <f>('[2]Renewable Diesel'!$AG193*'[2]RD Feedstock Breakdown'!CR$3*'[2]Feedstock Conversion Rates'!$B$4)/12</f>
        <v>2.8125</v>
      </c>
      <c r="CS184" s="47">
        <f t="shared" si="99"/>
        <v>12.3375</v>
      </c>
      <c r="CT184" s="45">
        <f>('[2]Renewable Diesel'!AI193*'[2]Feedstock Conversion Rates'!$B$4*'[2]RD Feedstock Breakdown'!$CT$3)/12</f>
        <v>29.375</v>
      </c>
      <c r="CU184" s="47">
        <f t="shared" si="69"/>
        <v>29.375</v>
      </c>
      <c r="CV184" s="47"/>
      <c r="CW184" s="47"/>
      <c r="CX184" s="45">
        <f>('[2]Renewable Diesel'!AO193*'[2]RD Feedstock Breakdown'!$CX$3*'[2]Feedstock Conversion Rates'!$B$3)/12</f>
        <v>6.3412499999999996</v>
      </c>
      <c r="CY184" s="45">
        <f>('[2]Renewable Diesel'!AO193*'[2]RD Feedstock Breakdown'!$CY$3*'[2]Feedstock Conversion Rates'!$B$6)/12</f>
        <v>7.4258333333333342</v>
      </c>
      <c r="CZ184" s="47">
        <f t="shared" si="100"/>
        <v>13.767083333333334</v>
      </c>
      <c r="DA184" s="47"/>
      <c r="DB184" s="47"/>
      <c r="DC184" s="47"/>
      <c r="DD184" s="47"/>
      <c r="DE184" s="47"/>
      <c r="DF184" s="45">
        <f>('[2]Renewable Diesel'!AR193*'[2]Feedstock Conversion Rates'!$B$4*$DF$3)/12</f>
        <v>75</v>
      </c>
      <c r="DG184" s="47">
        <f t="shared" si="101"/>
        <v>75</v>
      </c>
      <c r="DH184" s="45">
        <f>('[2]Renewable Diesel'!AS193*'[2]Feedstock Conversion Rates'!$B$4*$DH$3)/12</f>
        <v>37.5</v>
      </c>
      <c r="DI184" s="47">
        <f>DH184</f>
        <v>37.5</v>
      </c>
      <c r="DJ184" s="45">
        <f>('[2]Renewable Diesel'!AT193*'[2]Feedstock Conversion Rates'!$B$4*0.25)/12</f>
        <v>8.59375</v>
      </c>
      <c r="DK184" s="45">
        <f>('[2]Renewable Diesel'!$AT193*'[2]RD Feedstock Breakdown'!DK$3*'[2]Feedstock Conversion Rates'!$B$3)/12*0.5</f>
        <v>9.1781249999999996</v>
      </c>
      <c r="DL184" s="45">
        <f>('[2]Renewable Diesel'!$AT193*'[2]RD Feedstock Breakdown'!$DL$3*'[2]Feedstock Conversion Rates'!$B$6)/12</f>
        <v>10.747916666666669</v>
      </c>
      <c r="DM184" s="45">
        <f>('[2]Renewable Diesel'!$AT193*'[2]RD Feedstock Breakdown'!$DM$3*'[2]Feedstock Conversion Rates'!$B$8)/12</f>
        <v>10.7421875</v>
      </c>
      <c r="DN184" s="47">
        <f t="shared" si="77"/>
        <v>39.26197916666667</v>
      </c>
      <c r="DP184" s="45">
        <f t="shared" si="48"/>
        <v>99.220250000000007</v>
      </c>
      <c r="DQ184" s="45">
        <f t="shared" si="49"/>
        <v>458.76151749999997</v>
      </c>
      <c r="DR184" s="45">
        <f t="shared" si="57"/>
        <v>1827.59375</v>
      </c>
      <c r="DS184" s="45">
        <f t="shared" si="70"/>
        <v>315.43822916666664</v>
      </c>
      <c r="DT184" s="45">
        <f t="shared" si="50"/>
        <v>209.1746500000001</v>
      </c>
      <c r="DU184" s="45">
        <f t="shared" si="51"/>
        <v>157.86860000000004</v>
      </c>
      <c r="DV184" s="45">
        <f t="shared" si="58"/>
        <v>5.6750000000000007</v>
      </c>
      <c r="DW184" s="45">
        <f t="shared" si="52"/>
        <v>2.25</v>
      </c>
      <c r="DX184" s="47">
        <f t="shared" si="53"/>
        <v>3075.9819966666669</v>
      </c>
      <c r="DY184" s="50">
        <f t="shared" si="54"/>
        <v>-3.979039320256561E-13</v>
      </c>
      <c r="EA184" s="51">
        <f t="shared" si="80"/>
        <v>3.2256446919234731E-2</v>
      </c>
      <c r="EB184" s="51">
        <f t="shared" si="80"/>
        <v>0.14914310876888864</v>
      </c>
      <c r="EC184" s="51">
        <f t="shared" si="80"/>
        <v>0.59414969007637197</v>
      </c>
      <c r="ED184" s="51">
        <f t="shared" si="80"/>
        <v>0.10254878913741886</v>
      </c>
      <c r="EE184" s="51">
        <f t="shared" si="80"/>
        <v>6.8002559906616911E-2</v>
      </c>
      <c r="EF184" s="51">
        <f t="shared" si="80"/>
        <v>5.1322992192762075E-2</v>
      </c>
      <c r="EG184" s="51">
        <f t="shared" si="80"/>
        <v>1.8449392766764559E-3</v>
      </c>
      <c r="EH184" s="52">
        <f t="shared" si="59"/>
        <v>7.3147372203031277E-4</v>
      </c>
      <c r="EI184" s="51">
        <f t="shared" si="60"/>
        <v>0.99926852627796958</v>
      </c>
      <c r="EK184" s="53">
        <f>(EA184*'[2]Renewable Diesel'!BF193*'[2]Feedstock Conversion Rates'!B$2)+FB184</f>
        <v>52.438704942539488</v>
      </c>
      <c r="EL184" s="53">
        <f>(EB184*'[2]Renewable Diesel'!BF193*'[2]Feedstock Conversion Rates'!B$3)+FC184</f>
        <v>228.48211569708332</v>
      </c>
      <c r="EM184" s="53">
        <f>(EC184*'[2]Renewable Diesel'!BF193*'[2]Feedstock Conversion Rates'!B$4)+FD184</f>
        <v>852.26301566831432</v>
      </c>
      <c r="EN184" s="53">
        <f>(ED184*'[2]Renewable Diesel'!BF193*'[2]Feedstock Conversion Rates'!B$5)+FE184</f>
        <v>148.07917716376181</v>
      </c>
      <c r="EO184" s="53">
        <f>(EE184*'[2]Renewable Diesel'!BF193*'[2]Feedstock Conversion Rates'!B$6)+FF184</f>
        <v>121.99572273194133</v>
      </c>
      <c r="EP184" s="53">
        <f>(EF184*'[2]Renewable Diesel'!BF193*'[2]Feedstock Conversion Rates'!B$7)+FG184</f>
        <v>90.305936306401492</v>
      </c>
      <c r="EQ184" s="53">
        <f>(EG184*'[2]Renewable Diesel'!BF193*'[2]Feedstock Conversion Rates'!B$8)+FH184</f>
        <v>3.3080331815520303</v>
      </c>
      <c r="ER184" s="53">
        <f>(EH184*'[2]Renewable Diesel'!BF193*'[2]Feedstock Conversion Rates'!B$9)+FI184</f>
        <v>1.2940676058229965</v>
      </c>
      <c r="ES184" s="53">
        <f t="shared" si="61"/>
        <v>1498.1667732974167</v>
      </c>
      <c r="ET184" s="36">
        <f>ES184/'[2]Renewable Diesel'!BF193</f>
        <v>7.8332801113576958</v>
      </c>
    </row>
    <row r="185" spans="1:150" x14ac:dyDescent="0.25">
      <c r="A185" s="39">
        <v>46054</v>
      </c>
      <c r="B185" s="45">
        <f t="shared" si="104"/>
        <v>1.25</v>
      </c>
      <c r="C185" s="45">
        <f t="shared" si="105"/>
        <v>107</v>
      </c>
      <c r="D185" s="45">
        <f t="shared" si="106"/>
        <v>1.25</v>
      </c>
      <c r="E185" s="45">
        <f>('[2]Renewable Diesel'!B194*E$3*'[2]Feedstock Conversion Rates'!$B$2)/12-50+3+14-0.75+14-41+7.25+21+73+20.5-11-8.5-3+4-47-4</f>
        <v>81.430000000000007</v>
      </c>
      <c r="F185" s="45">
        <f>('[2]Renewable Diesel'!B194*'[2]RD Feedstock Breakdown'!F$3*'[2]Feedstock Conversion Rates'!B$8)/12-22+4-3+5+4+5-35+14+6.5+14+2-33+9-20</f>
        <v>4.40625</v>
      </c>
      <c r="G185" s="45">
        <f>('[2]Renewable Diesel'!B194*'[2]RD Feedstock Breakdown'!G$3*'[2]Feedstock Conversion Rates'!B$7)/12+20+80-100-124-20+20+70+20-10-80-12.5-15-10</f>
        <v>14.657000000000039</v>
      </c>
      <c r="H185" s="45">
        <f>('[2]Renewable Diesel'!B194*'[2]RD Feedstock Breakdown'!H$3*'[2]Feedstock Conversion Rates'!B$3)/12-85+4+10-72+17+30+45+5-12.5-7.5-5+175+6</f>
        <v>286.40022499999998</v>
      </c>
      <c r="I185" s="47">
        <f t="shared" si="75"/>
        <v>496.39347500000002</v>
      </c>
      <c r="J185" s="45">
        <f t="shared" si="108"/>
        <v>86.5</v>
      </c>
      <c r="K185" s="45">
        <v>50</v>
      </c>
      <c r="L185" s="45">
        <v>1</v>
      </c>
      <c r="M185" s="45">
        <f>('[2]Renewable Diesel'!C194*'[2]RD Feedstock Breakdown'!M$3*'[2]Feedstock Conversion Rates'!B$2)/12-10-15-30+10-2+32+25</f>
        <v>17.79025</v>
      </c>
      <c r="N185" s="45">
        <f>('[2]Renewable Diesel'!C194*'[2]RD Feedstock Breakdown'!N$3*'[2]Feedstock Conversion Rates'!B$8)/12-2+6+5-5-7-1+1+6+7.5-17.5-15-7.5</f>
        <v>-25.828125</v>
      </c>
      <c r="O185" s="45">
        <f>('[2]Renewable Diesel'!C194*'[2]RD Feedstock Breakdown'!O$3*'[2]Feedstock Conversion Rates'!B$7)/12+15-105-5+5+25+15-2.5-27.5+11</f>
        <v>-57.000900000000001</v>
      </c>
      <c r="P185" s="45">
        <f>('[2]Renewable Diesel'!C194*'[2]RD Feedstock Breakdown'!P$3*'[2]Feedstock Conversion Rates'!B$3)/12-5-10-12+20-77+10+27.5+17.5+77.5-90-2.5-5</f>
        <v>-38.552957499999991</v>
      </c>
      <c r="Q185" s="47">
        <f t="shared" si="85"/>
        <v>33.908267500000022</v>
      </c>
      <c r="R185" s="45">
        <f>('[2]Renewable Diesel'!D194*'[2]RD Feedstock Breakdown'!R$3*'[2]Feedstock Conversion Rates'!B$7)/12</f>
        <v>2.2999999999999998</v>
      </c>
      <c r="S185" s="47">
        <f t="shared" si="44"/>
        <v>2.2999999999999998</v>
      </c>
      <c r="T185" s="45">
        <f t="shared" si="103"/>
        <v>0.82499999999999929</v>
      </c>
      <c r="U185" s="45">
        <v>0</v>
      </c>
      <c r="V185" s="45">
        <f>('[2]Renewable Diesel'!E194*'[2]RD Feedstock Breakdown'!V$3*'[2]Feedstock Conversion Rates'!B$6)/12-20+25</f>
        <v>49.250150000000012</v>
      </c>
      <c r="W185" s="45">
        <f>('[2]Renewable Diesel'!E194*'[2]RD Feedstock Breakdown'!W$3*'[2]Feedstock Conversion Rates'!B$8)/12-5.825</f>
        <v>16.354687500000001</v>
      </c>
      <c r="X185" s="47">
        <f t="shared" si="62"/>
        <v>66.429837500000005</v>
      </c>
      <c r="Y185" s="45">
        <f t="shared" si="107"/>
        <v>130.5</v>
      </c>
      <c r="Z185" s="45">
        <f>('[2]Renewable Diesel'!F194*'[2]RD Feedstock Breakdown'!Z$3*'[2]Feedstock Conversion Rates'!B$6)/12-50-32-60+15+30+22.5-15-25-20+20-10+5</f>
        <v>39.960000000000008</v>
      </c>
      <c r="AA185" s="45">
        <f>('[2]Renewable Diesel'!F194*'[2]RD Feedstock Breakdown'!AA$3*'[2]Feedstock Conversion Rates'!B$7)/12+80-171+75+50+20-65</f>
        <v>93.266666666666652</v>
      </c>
      <c r="AB185" s="47">
        <f t="shared" si="102"/>
        <v>263.72666666666669</v>
      </c>
      <c r="AC185" s="45">
        <f>('[2]Renewable Diesel'!G194*'[2]RD Feedstock Breakdown'!AC$3*'[2]Feedstock Conversion Rates'!B$5)/12</f>
        <v>7.864583333333333</v>
      </c>
      <c r="AD185" s="45">
        <f>('[2]Renewable Diesel'!G194*'[2]RD Feedstock Breakdown'!AD$3*'[2]Feedstock Conversion Rates'!B$4)/12</f>
        <v>3.90625</v>
      </c>
      <c r="AE185" s="45">
        <f>('[2]Renewable Diesel'!G194*'[2]RD Feedstock Breakdown'!AE$3*'[2]Feedstock Conversion Rates'!B$6)/12</f>
        <v>4.885416666666667</v>
      </c>
      <c r="AF185" s="47">
        <f t="shared" si="71"/>
        <v>16.65625</v>
      </c>
      <c r="AG185" s="45">
        <f>130+20-51+120-100+40-20</f>
        <v>139</v>
      </c>
      <c r="AH185" s="45">
        <v>0</v>
      </c>
      <c r="AI185" s="45">
        <f>('[2]Renewable Diesel'!H194*'[2]RD Feedstock Breakdown'!AI$3*'[2]Feedstock Conversion Rates'!B$6)/12-130-20+51-120+100-40+20</f>
        <v>9.5166666666666799</v>
      </c>
      <c r="AJ185" s="47">
        <f t="shared" si="42"/>
        <v>148.51666666666668</v>
      </c>
      <c r="AK185" s="45">
        <f>('[2]Renewable Diesel'!J194*'[2]RD Feedstock Breakdown'!AK$3*'[2]Feedstock Conversion Rates'!B$4)/12</f>
        <v>95.8125</v>
      </c>
      <c r="AL185" s="47">
        <f t="shared" si="45"/>
        <v>95.8125</v>
      </c>
      <c r="AM185" s="45">
        <f>('[2]Renewable Diesel'!K194*'[2]RD Feedstock Breakdown'!AM$3*'[2]Feedstock Conversion Rates'!B$4)/12+5+15-10+4-25</f>
        <v>47.59375</v>
      </c>
      <c r="AN185" s="45">
        <f>('[2]Renewable Diesel'!K194*'[2]RD Feedstock Breakdown'!AN$3*'[2]Feedstock Conversion Rates'!B$6)/12-5-15+10-4+25</f>
        <v>35.427083333333329</v>
      </c>
      <c r="AO185" s="47">
        <f t="shared" si="56"/>
        <v>83.020833333333329</v>
      </c>
      <c r="AP185" s="45">
        <f>('[2]Renewable Diesel'!L194*'[2]RD Feedstock Breakdown'!AP$3*'[2]Feedstock Conversion Rates'!B$4)/12+15-10+14</f>
        <v>77.59375</v>
      </c>
      <c r="AQ185" s="45">
        <f>('[2]Renewable Diesel'!L194*'[2]RD Feedstock Breakdown'!AQ$3*'[2]Feedstock Conversion Rates'!B$6)/12-15+10-14</f>
        <v>5.4270833333333321</v>
      </c>
      <c r="AR185" s="47">
        <f t="shared" si="46"/>
        <v>83.020833333333329</v>
      </c>
      <c r="AS185" s="45">
        <f>('[2]Renewable Diesel'!M194*'[2]RD Feedstock Breakdown'!AS$3*'[2]Feedstock Conversion Rates'!B$4)/12</f>
        <v>456.25</v>
      </c>
      <c r="AT185" s="45">
        <f>('[2]Renewable Diesel'!M194*'[2]RD Feedstock Breakdown'!AT$3*'[2]Feedstock Conversion Rates'!B$5)/12</f>
        <v>0</v>
      </c>
      <c r="AU185" s="47">
        <f t="shared" si="74"/>
        <v>456.25</v>
      </c>
      <c r="AV185" s="45">
        <f>'[2]Renewable Diesel'!N194*'[2]RD Feedstock Breakdown'!$AV$3*'[2]Feedstock Conversion Rates'!$B$4/12-15-10+25+25-22-17.5</f>
        <v>64.249999999999986</v>
      </c>
      <c r="AW185" s="45">
        <f>'[2]Renewable Diesel'!N194*'[2]RD Feedstock Breakdown'!$AW$3*'[2]Feedstock Conversion Rates'!$B$7/12+15+10-25-25+22+17.5</f>
        <v>55.900000000000006</v>
      </c>
      <c r="AX185" s="47">
        <f t="shared" si="109"/>
        <v>120.14999999999999</v>
      </c>
      <c r="AY185" s="45">
        <f>('[2]Renewable Diesel'!O194*'[2]RD Feedstock Breakdown'!AY$3*'[2]Feedstock Conversion Rates'!B$4)/12+13+21-100</f>
        <v>144.9375</v>
      </c>
      <c r="AZ185" s="45">
        <f>('[2]Renewable Diesel'!O194*'[2]RD Feedstock Breakdown'!AZ$3*'[2]Feedstock Conversion Rates'!B$3)/12-13-21+100</f>
        <v>91.03125</v>
      </c>
      <c r="BA185" s="47">
        <f t="shared" si="87"/>
        <v>235.96875</v>
      </c>
      <c r="BB185" s="45">
        <f>('[2]Renewable Diesel'!Q194*'[2]RD Feedstock Breakdown'!BB$3*'[2]Feedstock Conversion Rates'!B$4)/12</f>
        <v>11.156249999999998</v>
      </c>
      <c r="BC185" s="45">
        <f>('[2]Renewable Diesel'!Q194*'[2]RD Feedstock Breakdown'!BC$3*'[2]Feedstock Conversion Rates'!B$3)/12</f>
        <v>1.4017500000000001</v>
      </c>
      <c r="BD185" s="45">
        <f>('[2]Renewable Diesel'!Q194*'[2]RD Feedstock Breakdown'!BD$3*'[2]Feedstock Conversion Rates'!B$6)/12</f>
        <v>0.8207500000000002</v>
      </c>
      <c r="BE185" s="47">
        <f t="shared" si="64"/>
        <v>13.378749999999998</v>
      </c>
      <c r="BF185" s="45">
        <f>('[2]Renewable Diesel'!R194*'[2]RD Feedstock Breakdown'!BF$3*'[2]Feedstock Conversion Rates'!B$4)/12</f>
        <v>62.5</v>
      </c>
      <c r="BG185" s="47">
        <f t="shared" si="47"/>
        <v>62.5</v>
      </c>
      <c r="BH185" s="45">
        <f>('[2]Renewable Diesel'!T194*'[2]RD Feedstock Breakdown'!BH$3*'[2]Feedstock Conversion Rates'!B$7)/12</f>
        <v>27.599999999999998</v>
      </c>
      <c r="BI185" s="47">
        <f t="shared" si="41"/>
        <v>27.599999999999998</v>
      </c>
      <c r="BJ185" s="45">
        <f>('[2]Renewable Diesel'!W194*'[2]RD Feedstock Breakdown'!BJ$3*'[2]Feedstock Conversion Rates'!B$4)/12</f>
        <v>7.5</v>
      </c>
      <c r="BK185" s="45">
        <f>('[2]Renewable Diesel'!W194*'[2]RD Feedstock Breakdown'!BK$3*'[2]Feedstock Conversion Rates'!B$3)/12</f>
        <v>1.335</v>
      </c>
      <c r="BL185" s="45">
        <f>('[2]Renewable Diesel'!W194*'[2]RD Feedstock Breakdown'!BL$3*'[2]Feedstock Conversion Rates'!B$6)/12</f>
        <v>3.1266666666666669</v>
      </c>
      <c r="BM185" s="45">
        <f>('[2]Renewable Diesel'!W194*'[2]RD Feedstock Breakdown'!BM$3*'[2]Feedstock Conversion Rates'!B$7)/12</f>
        <v>1.5333333333333332</v>
      </c>
      <c r="BN185" s="47">
        <f t="shared" si="78"/>
        <v>13.495000000000001</v>
      </c>
      <c r="BO185" s="45">
        <f>('[2]Renewable Diesel'!P194*'[2]Feedstock Conversion Rates'!B$4)/12</f>
        <v>31.25</v>
      </c>
      <c r="BP185" s="47">
        <f t="shared" si="72"/>
        <v>31.25</v>
      </c>
      <c r="BQ185" s="45">
        <f>('[2]Renewable Diesel'!$S194*'[2]RD Feedstock Breakdown'!BQ$3*'[2]Feedstock Conversion Rates'!B$4)/12+10</f>
        <v>38.125</v>
      </c>
      <c r="BR185" s="45">
        <f>('[2]Renewable Diesel'!$S194*'[2]RD Feedstock Breakdown'!BR$3*'[2]Feedstock Conversion Rates'!B$7)/12-10</f>
        <v>1.5</v>
      </c>
      <c r="BS185" s="47">
        <f t="shared" si="90"/>
        <v>39.625</v>
      </c>
      <c r="BT185" s="47"/>
      <c r="BU185" s="45">
        <f>('[2]Renewable Diesel'!Y194*'[2]Feedstock Conversion Rates'!B$7)/12</f>
        <v>2.6833333333333331</v>
      </c>
      <c r="BV185" s="47">
        <f t="shared" si="67"/>
        <v>2.6833333333333331</v>
      </c>
      <c r="BW185" s="45">
        <f>('[2]Renewable Diesel'!$Z194*'[2]RD Feedstock Breakdown'!BW$3*'[2]Feedstock Conversion Rates'!$B$4)/12</f>
        <v>23.828125</v>
      </c>
      <c r="BX185" s="45">
        <f>('[2]Renewable Diesel'!$Z194*'[2]RD Feedstock Breakdown'!BX$3*'[2]Feedstock Conversion Rates'!$B$5)/12</f>
        <v>2.3986979166666669</v>
      </c>
      <c r="BY185" s="45">
        <f>('[2]Renewable Diesel'!$Z194*'[2]RD Feedstock Breakdown'!BY$3*'[2]Feedstock Conversion Rates'!$B$7)/12</f>
        <v>20.460416666666664</v>
      </c>
      <c r="BZ185" s="45">
        <f>('[2]Renewable Diesel'!$Z194*'[2]RD Feedstock Breakdown'!BZ$3*'[2]Feedstock Conversion Rates'!$B$3)/12</f>
        <v>5.0896875000000001</v>
      </c>
      <c r="CA185" s="47">
        <f t="shared" si="91"/>
        <v>51.776927083333334</v>
      </c>
      <c r="CB185" s="45">
        <f>('[2]Renewable Diesel'!AA194*'[2]Feedstock Conversion Rates'!B$4)/12</f>
        <v>191.25</v>
      </c>
      <c r="CC185" s="47">
        <f t="shared" si="79"/>
        <v>191.25</v>
      </c>
      <c r="CD185" s="45">
        <f>('[2]Renewable Diesel'!$AB194*'[2]RD Feedstock Breakdown'!CD$3*'[2]Feedstock Conversion Rates'!$B$6)/12-15</f>
        <v>17.830000000000005</v>
      </c>
      <c r="CE185" s="45">
        <f>('[2]Renewable Diesel'!$AB194*'[2]RD Feedstock Breakdown'!CE$3*'[2]Feedstock Conversion Rates'!$B$4)/12+15</f>
        <v>26.25</v>
      </c>
      <c r="CF185" s="47">
        <f t="shared" si="76"/>
        <v>44.080000000000005</v>
      </c>
      <c r="CG185" s="45">
        <f>('[2]Renewable Diesel'!AD194*'[2]Feedstock Conversion Rates'!B$4)/12</f>
        <v>112.5</v>
      </c>
      <c r="CH185" s="47">
        <f t="shared" si="63"/>
        <v>112.5</v>
      </c>
      <c r="CI185" s="45">
        <f>('[2]Renewable Diesel'!$AE194*'[2]RD Feedstock Breakdown'!CI$3*'[2]Feedstock Conversion Rates'!$B$5)/12</f>
        <v>0.34604166666666664</v>
      </c>
      <c r="CJ185" s="45">
        <f>('[2]Renewable Diesel'!$AE194*'[2]RD Feedstock Breakdown'!CJ$3*'[2]Feedstock Conversion Rates'!$B$4)/12</f>
        <v>0.34375</v>
      </c>
      <c r="CK185" s="47">
        <f t="shared" si="73"/>
        <v>0.68979166666666658</v>
      </c>
      <c r="CL185" s="45">
        <f>(((CL$3*'[2]Renewable Diesel'!$AF194)*'[2]Feedstock Conversion Rates'!$B$3)/12)</f>
        <v>91.78125</v>
      </c>
      <c r="CM185" s="45">
        <f>(((CM$3*'[2]Renewable Diesel'!$AF194)*'[2]Feedstock Conversion Rates'!$B$6)/12)-32.5</f>
        <v>21.239583333333336</v>
      </c>
      <c r="CN185" s="45">
        <f>(((CN$3*'[2]Renewable Diesel'!$AF194)*'[2]Feedstock Conversion Rates'!$B$4)/12)+32.5</f>
        <v>75.46875</v>
      </c>
      <c r="CO185" s="47">
        <f t="shared" si="65"/>
        <v>188.48958333333334</v>
      </c>
      <c r="CP185" s="45">
        <f>('[2]Renewable Diesel'!$AG194*'[2]RD Feedstock Breakdown'!CP$3*'[2]Feedstock Conversion Rates'!$B$3)/12</f>
        <v>6.0075000000000003</v>
      </c>
      <c r="CQ185" s="45">
        <f>('[2]Renewable Diesel'!$AG194*'[2]RD Feedstock Breakdown'!CQ$3*'[2]Feedstock Conversion Rates'!$B$6)/12</f>
        <v>3.5175000000000001</v>
      </c>
      <c r="CR185" s="45">
        <f>('[2]Renewable Diesel'!$AG194*'[2]RD Feedstock Breakdown'!CR$3*'[2]Feedstock Conversion Rates'!$B$4)/12</f>
        <v>2.8125</v>
      </c>
      <c r="CS185" s="47">
        <f t="shared" si="99"/>
        <v>12.3375</v>
      </c>
      <c r="CT185" s="45">
        <f>('[2]Renewable Diesel'!AI194*'[2]Feedstock Conversion Rates'!$B$4*'[2]RD Feedstock Breakdown'!$CT$3)/12</f>
        <v>29.375</v>
      </c>
      <c r="CU185" s="47">
        <f t="shared" si="69"/>
        <v>29.375</v>
      </c>
      <c r="CV185" s="47"/>
      <c r="CW185" s="47"/>
      <c r="CX185" s="45">
        <f>('[2]Renewable Diesel'!AO194*'[2]RD Feedstock Breakdown'!$CX$3*'[2]Feedstock Conversion Rates'!$B$3)/12</f>
        <v>6.3412499999999996</v>
      </c>
      <c r="CY185" s="45">
        <f>('[2]Renewable Diesel'!AO194*'[2]RD Feedstock Breakdown'!$CY$3*'[2]Feedstock Conversion Rates'!$B$6)/12</f>
        <v>7.4258333333333342</v>
      </c>
      <c r="CZ185" s="47">
        <f t="shared" si="100"/>
        <v>13.767083333333334</v>
      </c>
      <c r="DA185" s="47"/>
      <c r="DB185" s="47"/>
      <c r="DC185" s="47"/>
      <c r="DD185" s="47"/>
      <c r="DE185" s="47"/>
      <c r="DF185" s="45">
        <f>('[2]Renewable Diesel'!AR194*'[2]Feedstock Conversion Rates'!$B$4*$DF$3)/12</f>
        <v>75</v>
      </c>
      <c r="DG185" s="47">
        <f t="shared" si="101"/>
        <v>75</v>
      </c>
      <c r="DH185" s="45">
        <f>('[2]Renewable Diesel'!AS194*'[2]Feedstock Conversion Rates'!$B$4*$DH$3)/12</f>
        <v>56.25</v>
      </c>
      <c r="DI185" s="47">
        <f t="shared" ref="DI185:DI248" si="110">DH185</f>
        <v>56.25</v>
      </c>
      <c r="DJ185" s="45">
        <f>('[2]Renewable Diesel'!AT194*'[2]Feedstock Conversion Rates'!$B$4*0.25)/12</f>
        <v>8.59375</v>
      </c>
      <c r="DK185" s="45">
        <f>('[2]Renewable Diesel'!$AT194*'[2]RD Feedstock Breakdown'!DK$3*'[2]Feedstock Conversion Rates'!$B$3)/12*0.5</f>
        <v>9.1781249999999996</v>
      </c>
      <c r="DL185" s="45">
        <f>('[2]Renewable Diesel'!$AT194*'[2]RD Feedstock Breakdown'!$DL$3*'[2]Feedstock Conversion Rates'!$B$6)/12</f>
        <v>10.747916666666669</v>
      </c>
      <c r="DM185" s="45">
        <f>('[2]Renewable Diesel'!$AT194*'[2]RD Feedstock Breakdown'!$DM$3*'[2]Feedstock Conversion Rates'!$B$8)/12</f>
        <v>10.7421875</v>
      </c>
      <c r="DN185" s="47">
        <f t="shared" si="77"/>
        <v>39.26197916666667</v>
      </c>
      <c r="DP185" s="45">
        <f t="shared" si="48"/>
        <v>99.220250000000007</v>
      </c>
      <c r="DQ185" s="45">
        <f t="shared" si="49"/>
        <v>460.01308</v>
      </c>
      <c r="DR185" s="45">
        <f t="shared" si="57"/>
        <v>1852.203125</v>
      </c>
      <c r="DS185" s="45">
        <f t="shared" si="70"/>
        <v>316.02807291666664</v>
      </c>
      <c r="DT185" s="45">
        <f t="shared" si="50"/>
        <v>209.1746500000001</v>
      </c>
      <c r="DU185" s="45">
        <f t="shared" si="51"/>
        <v>162.89985000000004</v>
      </c>
      <c r="DV185" s="45">
        <f t="shared" si="58"/>
        <v>5.6750000000000007</v>
      </c>
      <c r="DW185" s="45">
        <f t="shared" si="52"/>
        <v>2.25</v>
      </c>
      <c r="DX185" s="47">
        <f t="shared" si="53"/>
        <v>3107.464027916667</v>
      </c>
      <c r="DY185" s="50">
        <f t="shared" si="54"/>
        <v>-3.4106051316484809E-13</v>
      </c>
      <c r="EA185" s="51">
        <f t="shared" si="80"/>
        <v>3.1929653604556803E-2</v>
      </c>
      <c r="EB185" s="51">
        <f t="shared" si="80"/>
        <v>0.14803488499540443</v>
      </c>
      <c r="EC185" s="51">
        <f t="shared" si="80"/>
        <v>0.5960497397106701</v>
      </c>
      <c r="ED185" s="51">
        <f t="shared" si="80"/>
        <v>0.10169967216918709</v>
      </c>
      <c r="EE185" s="51">
        <f t="shared" si="80"/>
        <v>6.7313619118621548E-2</v>
      </c>
      <c r="EF185" s="51">
        <f t="shared" si="80"/>
        <v>5.2422119302604694E-2</v>
      </c>
      <c r="EG185" s="51">
        <f t="shared" si="80"/>
        <v>1.8262480109237768E-3</v>
      </c>
      <c r="EH185" s="52">
        <f t="shared" si="59"/>
        <v>7.2406308803145327E-4</v>
      </c>
      <c r="EI185" s="51">
        <f t="shared" si="60"/>
        <v>0.99927593691196837</v>
      </c>
      <c r="EK185" s="53">
        <f>(EA185*'[2]Renewable Diesel'!BF194*'[2]Feedstock Conversion Rates'!B$2)+FB185</f>
        <v>62.367280033279556</v>
      </c>
      <c r="EL185" s="53">
        <f>(EB185*'[2]Renewable Diesel'!BF194*'[2]Feedstock Conversion Rates'!B$3)+FC185</f>
        <v>272.4835306602584</v>
      </c>
      <c r="EM185" s="53">
        <f>(EC185*'[2]Renewable Diesel'!BF194*'[2]Feedstock Conversion Rates'!B$4)+FD185</f>
        <v>1027.2766986642209</v>
      </c>
      <c r="EN185" s="53">
        <f>(ED185*'[2]Renewable Diesel'!BF194*'[2]Feedstock Conversion Rates'!B$5)+FE185</f>
        <v>176.44533305020531</v>
      </c>
      <c r="EO185" s="53">
        <f>(EE185*'[2]Renewable Diesel'!BF194*'[2]Feedstock Conversion Rates'!B$6)+FF185</f>
        <v>145.09399899983205</v>
      </c>
      <c r="EP185" s="53">
        <f>(EF185*'[2]Renewable Diesel'!BF194*'[2]Feedstock Conversion Rates'!B$7)+FG185</f>
        <v>110.82712648752644</v>
      </c>
      <c r="EQ185" s="53">
        <f>(EG185*'[2]Renewable Diesel'!BF194*'[2]Feedstock Conversion Rates'!B$8)+FH185</f>
        <v>3.9343655038641181</v>
      </c>
      <c r="ER185" s="53">
        <f>(EH185*'[2]Renewable Diesel'!BF194*'[2]Feedstock Conversion Rates'!B$9)+FI185</f>
        <v>1.5390821882957428</v>
      </c>
      <c r="ES185" s="53">
        <f t="shared" si="61"/>
        <v>1799.9674155874825</v>
      </c>
      <c r="ET185" s="36">
        <f>ES185/'[2]Renewable Diesel'!BF194</f>
        <v>7.8328709607426452</v>
      </c>
    </row>
    <row r="186" spans="1:150" x14ac:dyDescent="0.25">
      <c r="A186" s="39">
        <v>46082</v>
      </c>
      <c r="B186" s="45">
        <f t="shared" si="104"/>
        <v>1.25</v>
      </c>
      <c r="C186" s="45">
        <f t="shared" si="105"/>
        <v>107</v>
      </c>
      <c r="D186" s="45">
        <f t="shared" si="106"/>
        <v>1.25</v>
      </c>
      <c r="E186" s="45">
        <f>('[2]Renewable Diesel'!B195*E$3*'[2]Feedstock Conversion Rates'!$B$2)/12-50+3+14-0.75+14-41+7.25+21+73+20.5-11-8.5-3+4-47-4</f>
        <v>81.430000000000007</v>
      </c>
      <c r="F186" s="45">
        <f>('[2]Renewable Diesel'!B195*'[2]RD Feedstock Breakdown'!F$3*'[2]Feedstock Conversion Rates'!B$8)/12-22+4-3+5+4+5-35+14+6.5+14+2-33+9-20</f>
        <v>4.40625</v>
      </c>
      <c r="G186" s="45">
        <f>('[2]Renewable Diesel'!B195*'[2]RD Feedstock Breakdown'!G$3*'[2]Feedstock Conversion Rates'!B$7)/12+20+80-100-124-20+20+70+20-10-80-12.5-15-10</f>
        <v>14.657000000000039</v>
      </c>
      <c r="H186" s="45">
        <f>('[2]Renewable Diesel'!B195*'[2]RD Feedstock Breakdown'!H$3*'[2]Feedstock Conversion Rates'!B$3)/12-85+4+10-72+17+30+45+5-12.5-7.5-5+175+6</f>
        <v>286.40022499999998</v>
      </c>
      <c r="I186" s="47">
        <f t="shared" si="75"/>
        <v>496.39347500000002</v>
      </c>
      <c r="J186" s="45">
        <f t="shared" si="108"/>
        <v>86.5</v>
      </c>
      <c r="K186" s="45">
        <v>50</v>
      </c>
      <c r="L186" s="45">
        <v>1</v>
      </c>
      <c r="M186" s="45">
        <f>('[2]Renewable Diesel'!C195*'[2]RD Feedstock Breakdown'!M$3*'[2]Feedstock Conversion Rates'!B$2)/12-10-15-30+10-2+32+25</f>
        <v>17.79025</v>
      </c>
      <c r="N186" s="45">
        <f>('[2]Renewable Diesel'!C195*'[2]RD Feedstock Breakdown'!N$3*'[2]Feedstock Conversion Rates'!B$8)/12-2+6+5-5-7-1+1+6+7.5-17.5-15-7.5</f>
        <v>-25.828125</v>
      </c>
      <c r="O186" s="45">
        <f>('[2]Renewable Diesel'!C195*'[2]RD Feedstock Breakdown'!O$3*'[2]Feedstock Conversion Rates'!B$7)/12+15-105-5+5+25+15-2.5-27.5+11</f>
        <v>-57.000900000000001</v>
      </c>
      <c r="P186" s="45">
        <f>('[2]Renewable Diesel'!C195*'[2]RD Feedstock Breakdown'!P$3*'[2]Feedstock Conversion Rates'!B$3)/12-5-10-12+20-77+10+27.5+17.5+77.5-90-2.5-5</f>
        <v>-38.552957499999991</v>
      </c>
      <c r="Q186" s="47">
        <f t="shared" si="85"/>
        <v>33.908267500000022</v>
      </c>
      <c r="R186" s="45">
        <f>('[2]Renewable Diesel'!D195*'[2]RD Feedstock Breakdown'!R$3*'[2]Feedstock Conversion Rates'!B$7)/12</f>
        <v>2.2999999999999998</v>
      </c>
      <c r="S186" s="47">
        <f t="shared" si="44"/>
        <v>2.2999999999999998</v>
      </c>
      <c r="T186" s="45">
        <f t="shared" si="103"/>
        <v>0.82499999999999929</v>
      </c>
      <c r="U186" s="45">
        <v>0</v>
      </c>
      <c r="V186" s="45">
        <f>('[2]Renewable Diesel'!E195*'[2]RD Feedstock Breakdown'!V$3*'[2]Feedstock Conversion Rates'!B$6)/12-20+25</f>
        <v>49.250150000000012</v>
      </c>
      <c r="W186" s="45">
        <f>('[2]Renewable Diesel'!E195*'[2]RD Feedstock Breakdown'!W$3*'[2]Feedstock Conversion Rates'!B$8)/12-5.825</f>
        <v>16.354687500000001</v>
      </c>
      <c r="X186" s="47">
        <f t="shared" si="62"/>
        <v>66.429837500000005</v>
      </c>
      <c r="Y186" s="45">
        <f t="shared" si="107"/>
        <v>130.5</v>
      </c>
      <c r="Z186" s="45">
        <f>('[2]Renewable Diesel'!F195*'[2]RD Feedstock Breakdown'!Z$3*'[2]Feedstock Conversion Rates'!B$6)/12-50-32-60+15+30+22.5-15-25-20+20-10+5</f>
        <v>39.960000000000008</v>
      </c>
      <c r="AA186" s="45">
        <f>('[2]Renewable Diesel'!F195*'[2]RD Feedstock Breakdown'!AA$3*'[2]Feedstock Conversion Rates'!B$7)/12+80-171+75+50+20-65</f>
        <v>93.266666666666652</v>
      </c>
      <c r="AB186" s="47">
        <f t="shared" si="102"/>
        <v>263.72666666666669</v>
      </c>
      <c r="AC186" s="45">
        <f>('[2]Renewable Diesel'!G195*'[2]RD Feedstock Breakdown'!AC$3*'[2]Feedstock Conversion Rates'!B$5)/12</f>
        <v>7.864583333333333</v>
      </c>
      <c r="AD186" s="45">
        <f>('[2]Renewable Diesel'!G195*'[2]RD Feedstock Breakdown'!AD$3*'[2]Feedstock Conversion Rates'!B$4)/12</f>
        <v>3.90625</v>
      </c>
      <c r="AE186" s="45">
        <f>('[2]Renewable Diesel'!G195*'[2]RD Feedstock Breakdown'!AE$3*'[2]Feedstock Conversion Rates'!B$6)/12</f>
        <v>4.885416666666667</v>
      </c>
      <c r="AF186" s="47">
        <f t="shared" si="71"/>
        <v>16.65625</v>
      </c>
      <c r="AG186" s="45">
        <f t="shared" ref="AG186:AG204" si="111">130+20-51+120-100+40-20</f>
        <v>139</v>
      </c>
      <c r="AH186" s="45">
        <v>0</v>
      </c>
      <c r="AI186" s="45">
        <f>('[2]Renewable Diesel'!H195*'[2]RD Feedstock Breakdown'!AI$3*'[2]Feedstock Conversion Rates'!B$6)/12-130-20+51-120+100-40+20</f>
        <v>9.5166666666666799</v>
      </c>
      <c r="AJ186" s="47">
        <f t="shared" si="42"/>
        <v>148.51666666666668</v>
      </c>
      <c r="AK186" s="45">
        <f>('[2]Renewable Diesel'!J195*'[2]RD Feedstock Breakdown'!AK$3*'[2]Feedstock Conversion Rates'!B$4)/12</f>
        <v>95.8125</v>
      </c>
      <c r="AL186" s="47">
        <f t="shared" si="45"/>
        <v>95.8125</v>
      </c>
      <c r="AM186" s="45">
        <f>('[2]Renewable Diesel'!K195*'[2]RD Feedstock Breakdown'!AM$3*'[2]Feedstock Conversion Rates'!B$4)/12+5+15-10+4-25</f>
        <v>47.59375</v>
      </c>
      <c r="AN186" s="45">
        <f>('[2]Renewable Diesel'!K195*'[2]RD Feedstock Breakdown'!AN$3*'[2]Feedstock Conversion Rates'!B$6)/12-5-15+10-4+25</f>
        <v>35.427083333333329</v>
      </c>
      <c r="AO186" s="47">
        <f t="shared" si="56"/>
        <v>83.020833333333329</v>
      </c>
      <c r="AP186" s="45">
        <f>('[2]Renewable Diesel'!L195*'[2]RD Feedstock Breakdown'!AP$3*'[2]Feedstock Conversion Rates'!B$4)/12+15-10+14</f>
        <v>77.59375</v>
      </c>
      <c r="AQ186" s="45">
        <f>('[2]Renewable Diesel'!L195*'[2]RD Feedstock Breakdown'!AQ$3*'[2]Feedstock Conversion Rates'!B$6)/12-15+10-14</f>
        <v>5.4270833333333321</v>
      </c>
      <c r="AR186" s="47">
        <f t="shared" si="46"/>
        <v>83.020833333333329</v>
      </c>
      <c r="AS186" s="45">
        <f>('[2]Renewable Diesel'!M195*'[2]RD Feedstock Breakdown'!AS$3*'[2]Feedstock Conversion Rates'!B$4)/12</f>
        <v>456.25</v>
      </c>
      <c r="AT186" s="45">
        <f>('[2]Renewable Diesel'!M195*'[2]RD Feedstock Breakdown'!AT$3*'[2]Feedstock Conversion Rates'!B$5)/12</f>
        <v>0</v>
      </c>
      <c r="AU186" s="47">
        <f t="shared" si="74"/>
        <v>456.25</v>
      </c>
      <c r="AV186" s="45">
        <f>'[2]Renewable Diesel'!N195*'[2]RD Feedstock Breakdown'!$AV$3*'[2]Feedstock Conversion Rates'!$B$4/12-15-10+25+25-22-17.5</f>
        <v>64.249999999999986</v>
      </c>
      <c r="AW186" s="45">
        <f>'[2]Renewable Diesel'!N195*'[2]RD Feedstock Breakdown'!$AW$3*'[2]Feedstock Conversion Rates'!$B$7/12+15+10-25-25+22+17.5</f>
        <v>55.900000000000006</v>
      </c>
      <c r="AX186" s="47">
        <f t="shared" si="109"/>
        <v>120.14999999999999</v>
      </c>
      <c r="AY186" s="45">
        <f>('[2]Renewable Diesel'!O195*'[2]RD Feedstock Breakdown'!AY$3*'[2]Feedstock Conversion Rates'!B$4)/12+13+21-100</f>
        <v>144.9375</v>
      </c>
      <c r="AZ186" s="45">
        <f>('[2]Renewable Diesel'!O195*'[2]RD Feedstock Breakdown'!AZ$3*'[2]Feedstock Conversion Rates'!B$3)/12-13-21+100</f>
        <v>91.03125</v>
      </c>
      <c r="BA186" s="47">
        <f t="shared" si="87"/>
        <v>235.96875</v>
      </c>
      <c r="BB186" s="45">
        <f>('[2]Renewable Diesel'!Q195*'[2]RD Feedstock Breakdown'!BB$3*'[2]Feedstock Conversion Rates'!B$4)/12</f>
        <v>11.156249999999998</v>
      </c>
      <c r="BC186" s="45">
        <f>('[2]Renewable Diesel'!Q195*'[2]RD Feedstock Breakdown'!BC$3*'[2]Feedstock Conversion Rates'!B$3)/12</f>
        <v>1.4017500000000001</v>
      </c>
      <c r="BD186" s="45">
        <f>('[2]Renewable Diesel'!Q195*'[2]RD Feedstock Breakdown'!BD$3*'[2]Feedstock Conversion Rates'!B$6)/12</f>
        <v>0.8207500000000002</v>
      </c>
      <c r="BE186" s="47">
        <f t="shared" si="64"/>
        <v>13.378749999999998</v>
      </c>
      <c r="BF186" s="45">
        <f>('[2]Renewable Diesel'!R195*'[2]RD Feedstock Breakdown'!BF$3*'[2]Feedstock Conversion Rates'!B$4)/12</f>
        <v>62.5</v>
      </c>
      <c r="BG186" s="47">
        <f t="shared" si="47"/>
        <v>62.5</v>
      </c>
      <c r="BH186" s="45">
        <f>('[2]Renewable Diesel'!T195*'[2]RD Feedstock Breakdown'!BH$3*'[2]Feedstock Conversion Rates'!B$7)/12</f>
        <v>27.599999999999998</v>
      </c>
      <c r="BI186" s="47">
        <f t="shared" si="41"/>
        <v>27.599999999999998</v>
      </c>
      <c r="BJ186" s="45">
        <f>('[2]Renewable Diesel'!W195*'[2]RD Feedstock Breakdown'!BJ$3*'[2]Feedstock Conversion Rates'!B$4)/12</f>
        <v>7.5</v>
      </c>
      <c r="BK186" s="45">
        <f>('[2]Renewable Diesel'!W195*'[2]RD Feedstock Breakdown'!BK$3*'[2]Feedstock Conversion Rates'!B$3)/12</f>
        <v>1.335</v>
      </c>
      <c r="BL186" s="45">
        <f>('[2]Renewable Diesel'!W195*'[2]RD Feedstock Breakdown'!BL$3*'[2]Feedstock Conversion Rates'!B$6)/12</f>
        <v>3.1266666666666669</v>
      </c>
      <c r="BM186" s="45">
        <f>('[2]Renewable Diesel'!W195*'[2]RD Feedstock Breakdown'!BM$3*'[2]Feedstock Conversion Rates'!B$7)/12</f>
        <v>1.5333333333333332</v>
      </c>
      <c r="BN186" s="47">
        <f t="shared" si="78"/>
        <v>13.495000000000001</v>
      </c>
      <c r="BO186" s="45">
        <f>('[2]Renewable Diesel'!P195*'[2]Feedstock Conversion Rates'!B$4)/12</f>
        <v>31.25</v>
      </c>
      <c r="BP186" s="47">
        <f t="shared" si="72"/>
        <v>31.25</v>
      </c>
      <c r="BQ186" s="45">
        <f>('[2]Renewable Diesel'!$S195*'[2]RD Feedstock Breakdown'!BQ$3*'[2]Feedstock Conversion Rates'!B$4)/12+10</f>
        <v>38.125</v>
      </c>
      <c r="BR186" s="45">
        <f>('[2]Renewable Diesel'!$S195*'[2]RD Feedstock Breakdown'!BR$3*'[2]Feedstock Conversion Rates'!B$7)/12-10</f>
        <v>1.5</v>
      </c>
      <c r="BS186" s="47">
        <f t="shared" si="90"/>
        <v>39.625</v>
      </c>
      <c r="BT186" s="47"/>
      <c r="BU186" s="45">
        <f>('[2]Renewable Diesel'!Y195*'[2]Feedstock Conversion Rates'!B$7)/12</f>
        <v>2.6833333333333331</v>
      </c>
      <c r="BV186" s="47">
        <f t="shared" si="67"/>
        <v>2.6833333333333331</v>
      </c>
      <c r="BW186" s="45">
        <f>('[2]Renewable Diesel'!$Z195*'[2]RD Feedstock Breakdown'!BW$3*'[2]Feedstock Conversion Rates'!$B$4)/12</f>
        <v>35.9375</v>
      </c>
      <c r="BX186" s="45">
        <f>('[2]Renewable Diesel'!$Z195*'[2]RD Feedstock Breakdown'!BX$3*'[2]Feedstock Conversion Rates'!$B$5)/12</f>
        <v>3.6177083333333333</v>
      </c>
      <c r="BY186" s="45">
        <f>('[2]Renewable Diesel'!$Z195*'[2]RD Feedstock Breakdown'!BY$3*'[2]Feedstock Conversion Rates'!$B$7)/12</f>
        <v>30.858333333333331</v>
      </c>
      <c r="BZ186" s="45">
        <f>('[2]Renewable Diesel'!$Z195*'[2]RD Feedstock Breakdown'!BZ$3*'[2]Feedstock Conversion Rates'!$B$3)/12</f>
        <v>7.6762499999999996</v>
      </c>
      <c r="CA186" s="47">
        <f t="shared" si="91"/>
        <v>78.089791666666656</v>
      </c>
      <c r="CB186" s="45">
        <f>('[2]Renewable Diesel'!AA195*'[2]Feedstock Conversion Rates'!B$4)/12</f>
        <v>191.25</v>
      </c>
      <c r="CC186" s="47">
        <f t="shared" si="79"/>
        <v>191.25</v>
      </c>
      <c r="CD186" s="45">
        <f>('[2]Renewable Diesel'!$AB195*'[2]RD Feedstock Breakdown'!CD$3*'[2]Feedstock Conversion Rates'!$B$6)/12-15</f>
        <v>17.830000000000005</v>
      </c>
      <c r="CE186" s="45">
        <f>('[2]Renewable Diesel'!$AB195*'[2]RD Feedstock Breakdown'!CE$3*'[2]Feedstock Conversion Rates'!$B$4)/12+15</f>
        <v>26.25</v>
      </c>
      <c r="CF186" s="47">
        <f t="shared" si="76"/>
        <v>44.080000000000005</v>
      </c>
      <c r="CG186" s="45">
        <f>('[2]Renewable Diesel'!AD195*'[2]Feedstock Conversion Rates'!B$4)/12</f>
        <v>112.5</v>
      </c>
      <c r="CH186" s="47">
        <f t="shared" si="63"/>
        <v>112.5</v>
      </c>
      <c r="CI186" s="45">
        <f>('[2]Renewable Diesel'!$AE195*'[2]RD Feedstock Breakdown'!CI$3*'[2]Feedstock Conversion Rates'!$B$5)/12</f>
        <v>0.34604166666666664</v>
      </c>
      <c r="CJ186" s="45">
        <f>('[2]Renewable Diesel'!$AE195*'[2]RD Feedstock Breakdown'!CJ$3*'[2]Feedstock Conversion Rates'!$B$4)/12</f>
        <v>0.34375</v>
      </c>
      <c r="CK186" s="47">
        <f t="shared" si="73"/>
        <v>0.68979166666666658</v>
      </c>
      <c r="CL186" s="45">
        <f>(((CL$3*'[2]Renewable Diesel'!$AF195)*'[2]Feedstock Conversion Rates'!$B$3)/12)</f>
        <v>91.78125</v>
      </c>
      <c r="CM186" s="45">
        <f>(((CM$3*'[2]Renewable Diesel'!$AF195)*'[2]Feedstock Conversion Rates'!$B$6)/12)-32.5</f>
        <v>21.239583333333336</v>
      </c>
      <c r="CN186" s="45">
        <f>(((CN$3*'[2]Renewable Diesel'!$AF195)*'[2]Feedstock Conversion Rates'!$B$4)/12)+32.5</f>
        <v>75.46875</v>
      </c>
      <c r="CO186" s="47">
        <f t="shared" si="65"/>
        <v>188.48958333333334</v>
      </c>
      <c r="CP186" s="45">
        <f>('[2]Renewable Diesel'!$AG195*'[2]RD Feedstock Breakdown'!CP$3*'[2]Feedstock Conversion Rates'!$B$3)/12</f>
        <v>6.0075000000000003</v>
      </c>
      <c r="CQ186" s="45">
        <f>('[2]Renewable Diesel'!$AG195*'[2]RD Feedstock Breakdown'!CQ$3*'[2]Feedstock Conversion Rates'!$B$6)/12</f>
        <v>3.5175000000000001</v>
      </c>
      <c r="CR186" s="45">
        <f>('[2]Renewable Diesel'!$AG195*'[2]RD Feedstock Breakdown'!CR$3*'[2]Feedstock Conversion Rates'!$B$4)/12</f>
        <v>2.8125</v>
      </c>
      <c r="CS186" s="47">
        <f t="shared" si="99"/>
        <v>12.3375</v>
      </c>
      <c r="CT186" s="45">
        <f>('[2]Renewable Diesel'!AI195*'[2]Feedstock Conversion Rates'!$B$4*'[2]RD Feedstock Breakdown'!$CT$3)/12</f>
        <v>29.375</v>
      </c>
      <c r="CU186" s="47">
        <f t="shared" si="69"/>
        <v>29.375</v>
      </c>
      <c r="CV186" s="47"/>
      <c r="CW186" s="47"/>
      <c r="CX186" s="45">
        <f>('[2]Renewable Diesel'!AO195*'[2]RD Feedstock Breakdown'!$CX$3*'[2]Feedstock Conversion Rates'!$B$3)/12</f>
        <v>6.3412499999999996</v>
      </c>
      <c r="CY186" s="45">
        <f>('[2]Renewable Diesel'!AO195*'[2]RD Feedstock Breakdown'!$CY$3*'[2]Feedstock Conversion Rates'!$B$6)/12</f>
        <v>7.4258333333333342</v>
      </c>
      <c r="CZ186" s="47">
        <f t="shared" si="100"/>
        <v>13.767083333333334</v>
      </c>
      <c r="DA186" s="47"/>
      <c r="DB186" s="47"/>
      <c r="DC186" s="47"/>
      <c r="DD186" s="47"/>
      <c r="DE186" s="47"/>
      <c r="DF186" s="45">
        <f>('[2]Renewable Diesel'!AR195*'[2]Feedstock Conversion Rates'!$B$4*$DF$3)/12</f>
        <v>75</v>
      </c>
      <c r="DG186" s="47">
        <f t="shared" si="101"/>
        <v>75</v>
      </c>
      <c r="DH186" s="45">
        <f>('[2]Renewable Diesel'!AS195*'[2]Feedstock Conversion Rates'!$B$4*$DH$3)/12</f>
        <v>75</v>
      </c>
      <c r="DI186" s="47">
        <f t="shared" si="110"/>
        <v>75</v>
      </c>
      <c r="DJ186" s="45">
        <f>('[2]Renewable Diesel'!AT195*'[2]Feedstock Conversion Rates'!$B$4*0.25)/12</f>
        <v>8.59375</v>
      </c>
      <c r="DK186" s="45">
        <f>('[2]Renewable Diesel'!$AT195*'[2]RD Feedstock Breakdown'!DK$3*'[2]Feedstock Conversion Rates'!$B$3)/12*0.5</f>
        <v>9.1781249999999996</v>
      </c>
      <c r="DL186" s="45">
        <f>('[2]Renewable Diesel'!$AT195*'[2]RD Feedstock Breakdown'!$DL$3*'[2]Feedstock Conversion Rates'!$B$6)/12</f>
        <v>10.747916666666669</v>
      </c>
      <c r="DM186" s="45">
        <f>('[2]Renewable Diesel'!$AT195*'[2]RD Feedstock Breakdown'!$DM$3*'[2]Feedstock Conversion Rates'!$B$8)/12</f>
        <v>10.7421875</v>
      </c>
      <c r="DN186" s="47">
        <f t="shared" si="77"/>
        <v>39.26197916666667</v>
      </c>
      <c r="DP186" s="45">
        <f t="shared" si="48"/>
        <v>99.220250000000007</v>
      </c>
      <c r="DQ186" s="45">
        <f t="shared" si="49"/>
        <v>462.59964249999996</v>
      </c>
      <c r="DR186" s="45">
        <f t="shared" si="57"/>
        <v>1883.0625</v>
      </c>
      <c r="DS186" s="45">
        <f t="shared" si="70"/>
        <v>317.24708333333331</v>
      </c>
      <c r="DT186" s="45">
        <f t="shared" si="50"/>
        <v>209.1746500000001</v>
      </c>
      <c r="DU186" s="45">
        <f t="shared" si="51"/>
        <v>173.29776666666669</v>
      </c>
      <c r="DV186" s="45">
        <f t="shared" si="58"/>
        <v>5.6750000000000007</v>
      </c>
      <c r="DW186" s="45">
        <f t="shared" si="52"/>
        <v>2.25</v>
      </c>
      <c r="DX186" s="47">
        <f t="shared" si="53"/>
        <v>3152.5268924999996</v>
      </c>
      <c r="DY186" s="50">
        <f t="shared" si="54"/>
        <v>3.4106051316484809E-13</v>
      </c>
      <c r="EA186" s="51">
        <f t="shared" si="80"/>
        <v>3.1473244601354346E-2</v>
      </c>
      <c r="EB186" s="51">
        <f t="shared" si="80"/>
        <v>0.14673931683201336</v>
      </c>
      <c r="EC186" s="51">
        <f t="shared" si="80"/>
        <v>0.59731845729211341</v>
      </c>
      <c r="ED186" s="51">
        <f t="shared" si="80"/>
        <v>0.10063263348778344</v>
      </c>
      <c r="EE186" s="51">
        <f t="shared" si="80"/>
        <v>6.6351424470838236E-2</v>
      </c>
      <c r="EF186" s="51">
        <f t="shared" si="80"/>
        <v>5.4971066885725769E-2</v>
      </c>
      <c r="EG186" s="51">
        <f t="shared" si="80"/>
        <v>1.8001432481039499E-3</v>
      </c>
      <c r="EH186" s="52">
        <f t="shared" si="59"/>
        <v>7.1371318206764518E-4</v>
      </c>
      <c r="EI186" s="51">
        <f t="shared" si="60"/>
        <v>0.99928628681793241</v>
      </c>
      <c r="EK186" s="53">
        <f>(EA186*'[2]Renewable Diesel'!BF195*'[2]Feedstock Conversion Rates'!B$2)+FB186</f>
        <v>56.897933948970341</v>
      </c>
      <c r="EL186" s="53">
        <f>(EB186*'[2]Renewable Diesel'!BF195*'[2]Feedstock Conversion Rates'!B$3)+FC186</f>
        <v>249.9856405252855</v>
      </c>
      <c r="EM186" s="53">
        <f>(EC186*'[2]Renewable Diesel'!BF195*'[2]Feedstock Conversion Rates'!B$4)+FD186</f>
        <v>952.80329913781804</v>
      </c>
      <c r="EN186" s="53">
        <f>(ED186*'[2]Renewable Diesel'!BF195*'[2]Feedstock Conversion Rates'!B$5)+FE186</f>
        <v>161.59273953615238</v>
      </c>
      <c r="EO186" s="53">
        <f>(EE186*'[2]Renewable Diesel'!BF195*'[2]Feedstock Conversion Rates'!B$6)+FF186</f>
        <v>132.36987034033237</v>
      </c>
      <c r="EP186" s="53">
        <f>(EF186*'[2]Renewable Diesel'!BF195*'[2]Feedstock Conversion Rates'!B$7)+FG186</f>
        <v>107.56179652961318</v>
      </c>
      <c r="EQ186" s="53">
        <f>(EG186*'[2]Renewable Diesel'!BF195*'[2]Feedstock Conversion Rates'!B$8)+FH186</f>
        <v>3.5893383269322698</v>
      </c>
      <c r="ER186" s="53">
        <f>(EH186*'[2]Renewable Diesel'!BF195*'[2]Feedstock Conversion Rates'!B$9)+FI186</f>
        <v>1.4041112045444295</v>
      </c>
      <c r="ES186" s="53">
        <f t="shared" si="61"/>
        <v>1666.2047295496486</v>
      </c>
      <c r="ET186" s="36">
        <f>ES186/'[2]Renewable Diesel'!BF195</f>
        <v>7.834157686229795</v>
      </c>
    </row>
    <row r="187" spans="1:150" x14ac:dyDescent="0.25">
      <c r="A187" s="39">
        <v>46113</v>
      </c>
      <c r="B187" s="45">
        <f t="shared" si="104"/>
        <v>1.25</v>
      </c>
      <c r="C187" s="45">
        <f t="shared" si="105"/>
        <v>107</v>
      </c>
      <c r="D187" s="45">
        <f t="shared" si="106"/>
        <v>1.25</v>
      </c>
      <c r="E187" s="45">
        <f>('[2]Renewable Diesel'!B196*E$3*'[2]Feedstock Conversion Rates'!$B$2)/12-50+3+14-0.75+14-41+7.25+21+73+20.5-11-8.5-3+4-47-4</f>
        <v>81.430000000000007</v>
      </c>
      <c r="F187" s="45">
        <f>('[2]Renewable Diesel'!B196*'[2]RD Feedstock Breakdown'!F$3*'[2]Feedstock Conversion Rates'!B$8)/12-22+4-3+5+4+5-35+14+6.5+14+2-33+9-20</f>
        <v>4.40625</v>
      </c>
      <c r="G187" s="45">
        <f>('[2]Renewable Diesel'!B196*'[2]RD Feedstock Breakdown'!G$3*'[2]Feedstock Conversion Rates'!B$7)/12+20+80-100-124-20+20+70+20-10-80-12.5-15-10</f>
        <v>14.657000000000039</v>
      </c>
      <c r="H187" s="45">
        <f>('[2]Renewable Diesel'!B196*'[2]RD Feedstock Breakdown'!H$3*'[2]Feedstock Conversion Rates'!B$3)/12-85+4+10-72+17+30+45+5-12.5-7.5-5+175+6</f>
        <v>286.40022499999998</v>
      </c>
      <c r="I187" s="47">
        <f t="shared" si="75"/>
        <v>496.39347500000002</v>
      </c>
      <c r="J187" s="45">
        <f t="shared" si="108"/>
        <v>86.5</v>
      </c>
      <c r="K187" s="45">
        <v>50</v>
      </c>
      <c r="L187" s="45">
        <v>1</v>
      </c>
      <c r="M187" s="45">
        <f>('[2]Renewable Diesel'!C196*'[2]RD Feedstock Breakdown'!M$3*'[2]Feedstock Conversion Rates'!B$2)/12-10-15-30+10-2+32+25</f>
        <v>17.79025</v>
      </c>
      <c r="N187" s="45">
        <f>('[2]Renewable Diesel'!C196*'[2]RD Feedstock Breakdown'!N$3*'[2]Feedstock Conversion Rates'!B$8)/12-2+6+5-5-7-1+1+6+7.5-17.5-15-7.5</f>
        <v>-25.828125</v>
      </c>
      <c r="O187" s="45">
        <f>('[2]Renewable Diesel'!C196*'[2]RD Feedstock Breakdown'!O$3*'[2]Feedstock Conversion Rates'!B$7)/12+15-105-5+5+25+15-2.5-27.5+11</f>
        <v>-57.000900000000001</v>
      </c>
      <c r="P187" s="45">
        <f>('[2]Renewable Diesel'!C196*'[2]RD Feedstock Breakdown'!P$3*'[2]Feedstock Conversion Rates'!B$3)/12-5-10-12+20-77+10+27.5+17.5+77.5-90-2.5-5</f>
        <v>-38.552957499999991</v>
      </c>
      <c r="Q187" s="47">
        <f t="shared" si="85"/>
        <v>33.908267500000022</v>
      </c>
      <c r="R187" s="45">
        <f>('[2]Renewable Diesel'!D196*'[2]RD Feedstock Breakdown'!R$3*'[2]Feedstock Conversion Rates'!B$7)/12</f>
        <v>2.2999999999999998</v>
      </c>
      <c r="S187" s="47">
        <f t="shared" si="44"/>
        <v>2.2999999999999998</v>
      </c>
      <c r="T187" s="45">
        <f t="shared" si="103"/>
        <v>0.82499999999999929</v>
      </c>
      <c r="U187" s="45">
        <v>0</v>
      </c>
      <c r="V187" s="45">
        <f>('[2]Renewable Diesel'!E196*'[2]RD Feedstock Breakdown'!V$3*'[2]Feedstock Conversion Rates'!B$6)/12-20+25</f>
        <v>49.250150000000012</v>
      </c>
      <c r="W187" s="45">
        <f>('[2]Renewable Diesel'!E196*'[2]RD Feedstock Breakdown'!W$3*'[2]Feedstock Conversion Rates'!B$8)/12-5.825</f>
        <v>16.354687500000001</v>
      </c>
      <c r="X187" s="47">
        <f t="shared" si="62"/>
        <v>66.429837500000005</v>
      </c>
      <c r="Y187" s="45">
        <f t="shared" si="107"/>
        <v>130.5</v>
      </c>
      <c r="Z187" s="45">
        <f>('[2]Renewable Diesel'!F196*'[2]RD Feedstock Breakdown'!Z$3*'[2]Feedstock Conversion Rates'!B$6)/12-50-32-60+15+30+22.5-15-25-20+20-10+5</f>
        <v>39.960000000000008</v>
      </c>
      <c r="AA187" s="45">
        <f>('[2]Renewable Diesel'!F196*'[2]RD Feedstock Breakdown'!AA$3*'[2]Feedstock Conversion Rates'!B$7)/12+80-171+75+50+20-65</f>
        <v>93.266666666666652</v>
      </c>
      <c r="AB187" s="47">
        <f t="shared" si="102"/>
        <v>263.72666666666669</v>
      </c>
      <c r="AC187" s="45">
        <f>('[2]Renewable Diesel'!G196*'[2]RD Feedstock Breakdown'!AC$3*'[2]Feedstock Conversion Rates'!B$5)/12</f>
        <v>7.864583333333333</v>
      </c>
      <c r="AD187" s="45">
        <f>('[2]Renewable Diesel'!G196*'[2]RD Feedstock Breakdown'!AD$3*'[2]Feedstock Conversion Rates'!B$4)/12</f>
        <v>3.90625</v>
      </c>
      <c r="AE187" s="45">
        <f>('[2]Renewable Diesel'!G196*'[2]RD Feedstock Breakdown'!AE$3*'[2]Feedstock Conversion Rates'!B$6)/12</f>
        <v>4.885416666666667</v>
      </c>
      <c r="AF187" s="47">
        <f t="shared" si="71"/>
        <v>16.65625</v>
      </c>
      <c r="AG187" s="45">
        <f t="shared" si="111"/>
        <v>139</v>
      </c>
      <c r="AH187" s="45">
        <v>0</v>
      </c>
      <c r="AI187" s="45">
        <f>('[2]Renewable Diesel'!H196*'[2]RD Feedstock Breakdown'!AI$3*'[2]Feedstock Conversion Rates'!B$6)/12-130-20+51-120+100-40+20</f>
        <v>9.5166666666666799</v>
      </c>
      <c r="AJ187" s="47">
        <f t="shared" si="42"/>
        <v>148.51666666666668</v>
      </c>
      <c r="AK187" s="45">
        <f>('[2]Renewable Diesel'!J196*'[2]RD Feedstock Breakdown'!AK$3*'[2]Feedstock Conversion Rates'!B$4)/12</f>
        <v>95.8125</v>
      </c>
      <c r="AL187" s="47">
        <f t="shared" si="45"/>
        <v>95.8125</v>
      </c>
      <c r="AM187" s="45">
        <f>('[2]Renewable Diesel'!K196*'[2]RD Feedstock Breakdown'!AM$3*'[2]Feedstock Conversion Rates'!B$4)/12+5+15-10+4-25</f>
        <v>47.59375</v>
      </c>
      <c r="AN187" s="45">
        <f>('[2]Renewable Diesel'!K196*'[2]RD Feedstock Breakdown'!AN$3*'[2]Feedstock Conversion Rates'!B$6)/12-5-15+10-4+25</f>
        <v>35.427083333333329</v>
      </c>
      <c r="AO187" s="47">
        <f t="shared" si="56"/>
        <v>83.020833333333329</v>
      </c>
      <c r="AP187" s="45">
        <f>('[2]Renewable Diesel'!L196*'[2]RD Feedstock Breakdown'!AP$3*'[2]Feedstock Conversion Rates'!B$4)/12+15-10+14</f>
        <v>77.59375</v>
      </c>
      <c r="AQ187" s="45">
        <f>('[2]Renewable Diesel'!L196*'[2]RD Feedstock Breakdown'!AQ$3*'[2]Feedstock Conversion Rates'!B$6)/12-15+10-14</f>
        <v>5.4270833333333321</v>
      </c>
      <c r="AR187" s="47">
        <f t="shared" si="46"/>
        <v>83.020833333333329</v>
      </c>
      <c r="AS187" s="45">
        <f>('[2]Renewable Diesel'!M196*'[2]RD Feedstock Breakdown'!AS$3*'[2]Feedstock Conversion Rates'!B$4)/12</f>
        <v>456.25</v>
      </c>
      <c r="AT187" s="45">
        <f>('[2]Renewable Diesel'!M196*'[2]RD Feedstock Breakdown'!AT$3*'[2]Feedstock Conversion Rates'!B$5)/12</f>
        <v>0</v>
      </c>
      <c r="AU187" s="47">
        <f t="shared" si="74"/>
        <v>456.25</v>
      </c>
      <c r="AV187" s="45">
        <f>'[2]Renewable Diesel'!N196*'[2]RD Feedstock Breakdown'!$AV$3*'[2]Feedstock Conversion Rates'!$B$4/12-15-10+25+25-22-17.5</f>
        <v>64.249999999999986</v>
      </c>
      <c r="AW187" s="45">
        <f>'[2]Renewable Diesel'!N196*'[2]RD Feedstock Breakdown'!$AW$3*'[2]Feedstock Conversion Rates'!$B$7/12+15+10-25-25+22+17.5</f>
        <v>55.900000000000006</v>
      </c>
      <c r="AX187" s="47">
        <f t="shared" si="109"/>
        <v>120.14999999999999</v>
      </c>
      <c r="AY187" s="45">
        <f>('[2]Renewable Diesel'!O196*'[2]RD Feedstock Breakdown'!AY$3*'[2]Feedstock Conversion Rates'!B$4)/12+13+21-100</f>
        <v>144.9375</v>
      </c>
      <c r="AZ187" s="45">
        <f>('[2]Renewable Diesel'!O196*'[2]RD Feedstock Breakdown'!AZ$3*'[2]Feedstock Conversion Rates'!B$3)/12-13-21+100</f>
        <v>91.03125</v>
      </c>
      <c r="BA187" s="47">
        <f t="shared" si="87"/>
        <v>235.96875</v>
      </c>
      <c r="BB187" s="45">
        <f>('[2]Renewable Diesel'!Q196*'[2]RD Feedstock Breakdown'!BB$3*'[2]Feedstock Conversion Rates'!B$4)/12</f>
        <v>11.156249999999998</v>
      </c>
      <c r="BC187" s="45">
        <f>('[2]Renewable Diesel'!Q196*'[2]RD Feedstock Breakdown'!BC$3*'[2]Feedstock Conversion Rates'!B$3)/12</f>
        <v>1.4017500000000001</v>
      </c>
      <c r="BD187" s="45">
        <f>('[2]Renewable Diesel'!Q196*'[2]RD Feedstock Breakdown'!BD$3*'[2]Feedstock Conversion Rates'!B$6)/12</f>
        <v>0.8207500000000002</v>
      </c>
      <c r="BE187" s="47">
        <f t="shared" si="64"/>
        <v>13.378749999999998</v>
      </c>
      <c r="BF187" s="45">
        <f>('[2]Renewable Diesel'!R196*'[2]RD Feedstock Breakdown'!BF$3*'[2]Feedstock Conversion Rates'!B$4)/12</f>
        <v>62.5</v>
      </c>
      <c r="BG187" s="47">
        <f t="shared" si="47"/>
        <v>62.5</v>
      </c>
      <c r="BH187" s="45">
        <f>('[2]Renewable Diesel'!T196*'[2]RD Feedstock Breakdown'!BH$3*'[2]Feedstock Conversion Rates'!B$7)/12</f>
        <v>27.599999999999998</v>
      </c>
      <c r="BI187" s="47">
        <f t="shared" si="41"/>
        <v>27.599999999999998</v>
      </c>
      <c r="BJ187" s="45">
        <f>('[2]Renewable Diesel'!W196*'[2]RD Feedstock Breakdown'!BJ$3*'[2]Feedstock Conversion Rates'!B$4)/12</f>
        <v>7.5</v>
      </c>
      <c r="BK187" s="45">
        <f>('[2]Renewable Diesel'!W196*'[2]RD Feedstock Breakdown'!BK$3*'[2]Feedstock Conversion Rates'!B$3)/12</f>
        <v>1.335</v>
      </c>
      <c r="BL187" s="45">
        <f>('[2]Renewable Diesel'!W196*'[2]RD Feedstock Breakdown'!BL$3*'[2]Feedstock Conversion Rates'!B$6)/12</f>
        <v>3.1266666666666669</v>
      </c>
      <c r="BM187" s="45">
        <f>('[2]Renewable Diesel'!W196*'[2]RD Feedstock Breakdown'!BM$3*'[2]Feedstock Conversion Rates'!B$7)/12</f>
        <v>1.5333333333333332</v>
      </c>
      <c r="BN187" s="47">
        <f t="shared" si="78"/>
        <v>13.495000000000001</v>
      </c>
      <c r="BO187" s="45">
        <f>('[2]Renewable Diesel'!P196*'[2]Feedstock Conversion Rates'!B$4)/12</f>
        <v>31.25</v>
      </c>
      <c r="BP187" s="47">
        <f t="shared" si="72"/>
        <v>31.25</v>
      </c>
      <c r="BQ187" s="45">
        <f>('[2]Renewable Diesel'!$S196*'[2]RD Feedstock Breakdown'!BQ$3*'[2]Feedstock Conversion Rates'!B$4)/12+10</f>
        <v>38.125</v>
      </c>
      <c r="BR187" s="45">
        <f>('[2]Renewable Diesel'!$S196*'[2]RD Feedstock Breakdown'!BR$3*'[2]Feedstock Conversion Rates'!B$7)/12-10</f>
        <v>1.5</v>
      </c>
      <c r="BS187" s="47">
        <f t="shared" si="90"/>
        <v>39.625</v>
      </c>
      <c r="BT187" s="47"/>
      <c r="BU187" s="45">
        <f>('[2]Renewable Diesel'!Y196*'[2]Feedstock Conversion Rates'!B$7)/12</f>
        <v>2.6833333333333331</v>
      </c>
      <c r="BV187" s="47">
        <f t="shared" si="67"/>
        <v>2.6833333333333331</v>
      </c>
      <c r="BW187" s="45">
        <f>('[2]Renewable Diesel'!$Z196*'[2]RD Feedstock Breakdown'!BW$3*'[2]Feedstock Conversion Rates'!$B$4)/12</f>
        <v>35.9375</v>
      </c>
      <c r="BX187" s="45">
        <f>('[2]Renewable Diesel'!$Z196*'[2]RD Feedstock Breakdown'!BX$3*'[2]Feedstock Conversion Rates'!$B$5)/12</f>
        <v>3.6177083333333333</v>
      </c>
      <c r="BY187" s="45">
        <f>('[2]Renewable Diesel'!$Z196*'[2]RD Feedstock Breakdown'!BY$3*'[2]Feedstock Conversion Rates'!$B$7)/12</f>
        <v>30.858333333333331</v>
      </c>
      <c r="BZ187" s="45">
        <f>('[2]Renewable Diesel'!$Z196*'[2]RD Feedstock Breakdown'!BZ$3*'[2]Feedstock Conversion Rates'!$B$3)/12</f>
        <v>7.6762499999999996</v>
      </c>
      <c r="CA187" s="47">
        <f t="shared" si="91"/>
        <v>78.089791666666656</v>
      </c>
      <c r="CB187" s="45">
        <f>('[2]Renewable Diesel'!AA196*'[2]Feedstock Conversion Rates'!B$4)/12</f>
        <v>191.25</v>
      </c>
      <c r="CC187" s="47">
        <f t="shared" si="79"/>
        <v>191.25</v>
      </c>
      <c r="CD187" s="45">
        <f>('[2]Renewable Diesel'!$AB196*'[2]RD Feedstock Breakdown'!CD$3*'[2]Feedstock Conversion Rates'!$B$6)/12-15</f>
        <v>17.830000000000005</v>
      </c>
      <c r="CE187" s="45">
        <f>('[2]Renewable Diesel'!$AB196*'[2]RD Feedstock Breakdown'!CE$3*'[2]Feedstock Conversion Rates'!$B$4)/12+15</f>
        <v>26.25</v>
      </c>
      <c r="CF187" s="47">
        <f t="shared" si="76"/>
        <v>44.080000000000005</v>
      </c>
      <c r="CG187" s="45">
        <f>('[2]Renewable Diesel'!AD196*'[2]Feedstock Conversion Rates'!B$4)/12</f>
        <v>112.5</v>
      </c>
      <c r="CH187" s="47">
        <f t="shared" si="63"/>
        <v>112.5</v>
      </c>
      <c r="CI187" s="45">
        <f>('[2]Renewable Diesel'!$AE196*'[2]RD Feedstock Breakdown'!CI$3*'[2]Feedstock Conversion Rates'!$B$5)/12</f>
        <v>0.34604166666666664</v>
      </c>
      <c r="CJ187" s="45">
        <f>('[2]Renewable Diesel'!$AE196*'[2]RD Feedstock Breakdown'!CJ$3*'[2]Feedstock Conversion Rates'!$B$4)/12</f>
        <v>0.34375</v>
      </c>
      <c r="CK187" s="47">
        <f t="shared" si="73"/>
        <v>0.68979166666666658</v>
      </c>
      <c r="CL187" s="45">
        <f>(((CL$3*'[2]Renewable Diesel'!$AF196)*'[2]Feedstock Conversion Rates'!$B$3)/12)</f>
        <v>91.78125</v>
      </c>
      <c r="CM187" s="45">
        <f>(((CM$3*'[2]Renewable Diesel'!$AF196)*'[2]Feedstock Conversion Rates'!$B$6)/12)-32.5</f>
        <v>21.239583333333336</v>
      </c>
      <c r="CN187" s="45">
        <f>(((CN$3*'[2]Renewable Diesel'!$AF196)*'[2]Feedstock Conversion Rates'!$B$4)/12)+32.5</f>
        <v>75.46875</v>
      </c>
      <c r="CO187" s="47">
        <f t="shared" si="65"/>
        <v>188.48958333333334</v>
      </c>
      <c r="CP187" s="45">
        <f>('[2]Renewable Diesel'!$AG196*'[2]RD Feedstock Breakdown'!CP$3*'[2]Feedstock Conversion Rates'!$B$3)/12</f>
        <v>6.0075000000000003</v>
      </c>
      <c r="CQ187" s="45">
        <f>('[2]Renewable Diesel'!$AG196*'[2]RD Feedstock Breakdown'!CQ$3*'[2]Feedstock Conversion Rates'!$B$6)/12</f>
        <v>3.5175000000000001</v>
      </c>
      <c r="CR187" s="45">
        <f>('[2]Renewable Diesel'!$AG196*'[2]RD Feedstock Breakdown'!CR$3*'[2]Feedstock Conversion Rates'!$B$4)/12</f>
        <v>2.8125</v>
      </c>
      <c r="CS187" s="47">
        <f t="shared" si="99"/>
        <v>12.3375</v>
      </c>
      <c r="CT187" s="45">
        <f>('[2]Renewable Diesel'!AI196*'[2]Feedstock Conversion Rates'!$B$4*'[2]RD Feedstock Breakdown'!$CT$3)/12</f>
        <v>29.375</v>
      </c>
      <c r="CU187" s="47">
        <f t="shared" si="69"/>
        <v>29.375</v>
      </c>
      <c r="CV187" s="47"/>
      <c r="CW187" s="47"/>
      <c r="CX187" s="45">
        <f>('[2]Renewable Diesel'!AO196*'[2]RD Feedstock Breakdown'!$CX$3*'[2]Feedstock Conversion Rates'!$B$3)/12</f>
        <v>6.3412499999999996</v>
      </c>
      <c r="CY187" s="45">
        <f>('[2]Renewable Diesel'!AO196*'[2]RD Feedstock Breakdown'!$CY$3*'[2]Feedstock Conversion Rates'!$B$6)/12</f>
        <v>7.4258333333333342</v>
      </c>
      <c r="CZ187" s="47">
        <f t="shared" si="100"/>
        <v>13.767083333333334</v>
      </c>
      <c r="DA187" s="47"/>
      <c r="DB187" s="47"/>
      <c r="DC187" s="47"/>
      <c r="DD187" s="47"/>
      <c r="DE187" s="47"/>
      <c r="DF187" s="45">
        <f>('[2]Renewable Diesel'!AR196*'[2]Feedstock Conversion Rates'!$B$4*$DF$3)/12</f>
        <v>75</v>
      </c>
      <c r="DG187" s="47">
        <f t="shared" si="101"/>
        <v>75</v>
      </c>
      <c r="DH187" s="45">
        <f>('[2]Renewable Diesel'!AS196*'[2]Feedstock Conversion Rates'!$B$4*$DH$3)/12</f>
        <v>75</v>
      </c>
      <c r="DI187" s="47">
        <f t="shared" si="110"/>
        <v>75</v>
      </c>
      <c r="DJ187" s="45">
        <f>('[2]Renewable Diesel'!AT196*'[2]Feedstock Conversion Rates'!$B$4*0.25)/12</f>
        <v>8.59375</v>
      </c>
      <c r="DK187" s="45">
        <f>('[2]Renewable Diesel'!$AT196*'[2]RD Feedstock Breakdown'!DK$3*'[2]Feedstock Conversion Rates'!$B$3)/12*0.5</f>
        <v>9.1781249999999996</v>
      </c>
      <c r="DL187" s="45">
        <f>('[2]Renewable Diesel'!$AT196*'[2]RD Feedstock Breakdown'!$DL$3*'[2]Feedstock Conversion Rates'!$B$6)/12</f>
        <v>10.747916666666669</v>
      </c>
      <c r="DM187" s="45">
        <f>('[2]Renewable Diesel'!$AT196*'[2]RD Feedstock Breakdown'!$DM$3*'[2]Feedstock Conversion Rates'!$B$8)/12</f>
        <v>10.7421875</v>
      </c>
      <c r="DN187" s="47">
        <f t="shared" si="77"/>
        <v>39.26197916666667</v>
      </c>
      <c r="DP187" s="45">
        <f t="shared" si="48"/>
        <v>99.220250000000007</v>
      </c>
      <c r="DQ187" s="45">
        <f t="shared" si="49"/>
        <v>462.59964249999996</v>
      </c>
      <c r="DR187" s="45">
        <f t="shared" si="57"/>
        <v>1883.0625</v>
      </c>
      <c r="DS187" s="45">
        <f t="shared" si="70"/>
        <v>317.24708333333331</v>
      </c>
      <c r="DT187" s="45">
        <f t="shared" si="50"/>
        <v>209.1746500000001</v>
      </c>
      <c r="DU187" s="45">
        <f t="shared" si="51"/>
        <v>173.29776666666669</v>
      </c>
      <c r="DV187" s="45">
        <f t="shared" si="58"/>
        <v>5.6750000000000007</v>
      </c>
      <c r="DW187" s="45">
        <f t="shared" si="52"/>
        <v>2.25</v>
      </c>
      <c r="DX187" s="47">
        <f t="shared" si="53"/>
        <v>3152.5268924999996</v>
      </c>
      <c r="DY187" s="50">
        <f t="shared" si="54"/>
        <v>3.4106051316484809E-13</v>
      </c>
      <c r="EA187" s="51">
        <f t="shared" si="80"/>
        <v>3.1473244601354346E-2</v>
      </c>
      <c r="EB187" s="51">
        <f t="shared" si="80"/>
        <v>0.14673931683201336</v>
      </c>
      <c r="EC187" s="51">
        <f t="shared" si="80"/>
        <v>0.59731845729211341</v>
      </c>
      <c r="ED187" s="51">
        <f t="shared" si="80"/>
        <v>0.10063263348778344</v>
      </c>
      <c r="EE187" s="51">
        <f t="shared" si="80"/>
        <v>6.6351424470838236E-2</v>
      </c>
      <c r="EF187" s="51">
        <f t="shared" si="80"/>
        <v>5.4971066885725769E-2</v>
      </c>
      <c r="EG187" s="51">
        <f t="shared" si="80"/>
        <v>1.8001432481039499E-3</v>
      </c>
      <c r="EH187" s="52">
        <f t="shared" si="59"/>
        <v>7.1371318206764518E-4</v>
      </c>
      <c r="EI187" s="51">
        <f t="shared" si="60"/>
        <v>0.99928628681793241</v>
      </c>
      <c r="EK187" s="53">
        <f>(EA187*'[2]Renewable Diesel'!BF196*'[2]Feedstock Conversion Rates'!B$2)+FB187</f>
        <v>58.228513189231975</v>
      </c>
      <c r="EL187" s="53">
        <f>(EB187*'[2]Renewable Diesel'!BF196*'[2]Feedstock Conversion Rates'!B$3)+FC187</f>
        <v>255.83164723520878</v>
      </c>
      <c r="EM187" s="53">
        <f>(EC187*'[2]Renewable Diesel'!BF196*'[2]Feedstock Conversion Rates'!B$4)+FD187</f>
        <v>975.08495686940807</v>
      </c>
      <c r="EN187" s="53">
        <f>(ED187*'[2]Renewable Diesel'!BF196*'[2]Feedstock Conversion Rates'!B$5)+FE187</f>
        <v>165.37164554698651</v>
      </c>
      <c r="EO187" s="53">
        <f>(EE187*'[2]Renewable Diesel'!BF196*'[2]Feedstock Conversion Rates'!B$6)+FF187</f>
        <v>135.46538874121021</v>
      </c>
      <c r="EP187" s="53">
        <f>(EF187*'[2]Renewable Diesel'!BF196*'[2]Feedstock Conversion Rates'!B$7)+FG187</f>
        <v>110.07716894429359</v>
      </c>
      <c r="EQ187" s="53">
        <f>(EG187*'[2]Renewable Diesel'!BF196*'[2]Feedstock Conversion Rates'!B$8)+FH187</f>
        <v>3.6732763319286343</v>
      </c>
      <c r="ER187" s="53">
        <f>(EH187*'[2]Renewable Diesel'!BF196*'[2]Feedstock Conversion Rates'!B$9)+FI187</f>
        <v>1.4369468646487344</v>
      </c>
      <c r="ES187" s="53">
        <f t="shared" si="61"/>
        <v>1705.1695437229166</v>
      </c>
      <c r="ET187" s="36">
        <f>ES187/'[2]Renewable Diesel'!BF196</f>
        <v>7.834157686229795</v>
      </c>
    </row>
    <row r="188" spans="1:150" x14ac:dyDescent="0.25">
      <c r="A188" s="39">
        <v>46143</v>
      </c>
      <c r="B188" s="45">
        <f t="shared" si="104"/>
        <v>1.25</v>
      </c>
      <c r="C188" s="45">
        <f t="shared" si="105"/>
        <v>107</v>
      </c>
      <c r="D188" s="45">
        <f t="shared" si="106"/>
        <v>1.25</v>
      </c>
      <c r="E188" s="45">
        <f>('[2]Renewable Diesel'!B197*E$3*'[2]Feedstock Conversion Rates'!$B$2)/12-50+3+14-0.75+14-41+7.25+21+73+20.5-11-8.5-3+4-47-4</f>
        <v>81.430000000000007</v>
      </c>
      <c r="F188" s="45">
        <f>('[2]Renewable Diesel'!B197*'[2]RD Feedstock Breakdown'!F$3*'[2]Feedstock Conversion Rates'!B$8)/12-22+4-3+5+4+5-35+14+6.5+14+2-33+9-20</f>
        <v>4.40625</v>
      </c>
      <c r="G188" s="45">
        <f>('[2]Renewable Diesel'!B197*'[2]RD Feedstock Breakdown'!G$3*'[2]Feedstock Conversion Rates'!B$7)/12+20+80-100-124-20+20+70+20-10-80-12.5-15-10</f>
        <v>14.657000000000039</v>
      </c>
      <c r="H188" s="45">
        <f>('[2]Renewable Diesel'!B197*'[2]RD Feedstock Breakdown'!H$3*'[2]Feedstock Conversion Rates'!B$3)/12-85+4+10-72+17+30+45+5-12.5-7.5-5+175+6</f>
        <v>286.40022499999998</v>
      </c>
      <c r="I188" s="47">
        <f t="shared" si="75"/>
        <v>496.39347500000002</v>
      </c>
      <c r="J188" s="45">
        <f t="shared" si="108"/>
        <v>86.5</v>
      </c>
      <c r="K188" s="45">
        <v>50</v>
      </c>
      <c r="L188" s="45">
        <v>1</v>
      </c>
      <c r="M188" s="45">
        <f>('[2]Renewable Diesel'!C197*'[2]RD Feedstock Breakdown'!M$3*'[2]Feedstock Conversion Rates'!B$2)/12-10-15-30+10-2+32+25</f>
        <v>17.79025</v>
      </c>
      <c r="N188" s="45">
        <f>('[2]Renewable Diesel'!C197*'[2]RD Feedstock Breakdown'!N$3*'[2]Feedstock Conversion Rates'!B$8)/12-2+6+5-5-7-1+1+6+7.5-17.5-15-7.5</f>
        <v>-25.828125</v>
      </c>
      <c r="O188" s="45">
        <f>('[2]Renewable Diesel'!C197*'[2]RD Feedstock Breakdown'!O$3*'[2]Feedstock Conversion Rates'!B$7)/12+15-105-5+5+25+15-2.5-27.5+11</f>
        <v>-57.000900000000001</v>
      </c>
      <c r="P188" s="45">
        <f>('[2]Renewable Diesel'!C197*'[2]RD Feedstock Breakdown'!P$3*'[2]Feedstock Conversion Rates'!B$3)/12-5-10-12+20-77+10+27.5+17.5+77.5-90-2.5-5</f>
        <v>-38.552957499999991</v>
      </c>
      <c r="Q188" s="47">
        <f t="shared" si="85"/>
        <v>33.908267500000022</v>
      </c>
      <c r="R188" s="45">
        <f>('[2]Renewable Diesel'!D197*'[2]RD Feedstock Breakdown'!R$3*'[2]Feedstock Conversion Rates'!B$7)/12</f>
        <v>2.2999999999999998</v>
      </c>
      <c r="S188" s="47">
        <f t="shared" si="44"/>
        <v>2.2999999999999998</v>
      </c>
      <c r="T188" s="45">
        <f t="shared" si="103"/>
        <v>0.82499999999999929</v>
      </c>
      <c r="U188" s="45">
        <v>0</v>
      </c>
      <c r="V188" s="45">
        <f>('[2]Renewable Diesel'!E197*'[2]RD Feedstock Breakdown'!V$3*'[2]Feedstock Conversion Rates'!B$6)/12-20+25</f>
        <v>49.250150000000012</v>
      </c>
      <c r="W188" s="45">
        <f>('[2]Renewable Diesel'!E197*'[2]RD Feedstock Breakdown'!W$3*'[2]Feedstock Conversion Rates'!B$8)/12-5.825</f>
        <v>16.354687500000001</v>
      </c>
      <c r="X188" s="47">
        <f t="shared" si="62"/>
        <v>66.429837500000005</v>
      </c>
      <c r="Y188" s="45">
        <f t="shared" si="107"/>
        <v>130.5</v>
      </c>
      <c r="Z188" s="45">
        <f>('[2]Renewable Diesel'!F197*'[2]RD Feedstock Breakdown'!Z$3*'[2]Feedstock Conversion Rates'!B$6)/12-50-32-60+15+30+22.5-15-25-20+20-10+5</f>
        <v>39.960000000000008</v>
      </c>
      <c r="AA188" s="45">
        <f>('[2]Renewable Diesel'!F197*'[2]RD Feedstock Breakdown'!AA$3*'[2]Feedstock Conversion Rates'!B$7)/12+80-171+75+50+20-65</f>
        <v>93.266666666666652</v>
      </c>
      <c r="AB188" s="47">
        <f t="shared" si="102"/>
        <v>263.72666666666669</v>
      </c>
      <c r="AC188" s="45">
        <f>('[2]Renewable Diesel'!G197*'[2]RD Feedstock Breakdown'!AC$3*'[2]Feedstock Conversion Rates'!B$5)/12</f>
        <v>7.864583333333333</v>
      </c>
      <c r="AD188" s="45">
        <f>('[2]Renewable Diesel'!G197*'[2]RD Feedstock Breakdown'!AD$3*'[2]Feedstock Conversion Rates'!B$4)/12</f>
        <v>3.90625</v>
      </c>
      <c r="AE188" s="45">
        <f>('[2]Renewable Diesel'!G197*'[2]RD Feedstock Breakdown'!AE$3*'[2]Feedstock Conversion Rates'!B$6)/12</f>
        <v>4.885416666666667</v>
      </c>
      <c r="AF188" s="47">
        <f t="shared" si="71"/>
        <v>16.65625</v>
      </c>
      <c r="AG188" s="45">
        <f t="shared" si="111"/>
        <v>139</v>
      </c>
      <c r="AH188" s="45">
        <v>0</v>
      </c>
      <c r="AI188" s="45">
        <f>('[2]Renewable Diesel'!H197*'[2]RD Feedstock Breakdown'!AI$3*'[2]Feedstock Conversion Rates'!B$6)/12-130-20+51-120+100-40+20</f>
        <v>9.5166666666666799</v>
      </c>
      <c r="AJ188" s="47">
        <f t="shared" si="42"/>
        <v>148.51666666666668</v>
      </c>
      <c r="AK188" s="45">
        <f>('[2]Renewable Diesel'!J197*'[2]RD Feedstock Breakdown'!AK$3*'[2]Feedstock Conversion Rates'!B$4)/12</f>
        <v>95.8125</v>
      </c>
      <c r="AL188" s="47">
        <f t="shared" si="45"/>
        <v>95.8125</v>
      </c>
      <c r="AM188" s="45">
        <f>('[2]Renewable Diesel'!K197*'[2]RD Feedstock Breakdown'!AM$3*'[2]Feedstock Conversion Rates'!B$4)/12+5+15-10+4-25</f>
        <v>47.59375</v>
      </c>
      <c r="AN188" s="45">
        <f>('[2]Renewable Diesel'!K197*'[2]RD Feedstock Breakdown'!AN$3*'[2]Feedstock Conversion Rates'!B$6)/12-5-15+10-4+25</f>
        <v>35.427083333333329</v>
      </c>
      <c r="AO188" s="47">
        <f t="shared" si="56"/>
        <v>83.020833333333329</v>
      </c>
      <c r="AP188" s="45">
        <f>('[2]Renewable Diesel'!L197*'[2]RD Feedstock Breakdown'!AP$3*'[2]Feedstock Conversion Rates'!B$4)/12+15-10+14</f>
        <v>77.59375</v>
      </c>
      <c r="AQ188" s="45">
        <f>('[2]Renewable Diesel'!L197*'[2]RD Feedstock Breakdown'!AQ$3*'[2]Feedstock Conversion Rates'!B$6)/12-15+10-14</f>
        <v>5.4270833333333321</v>
      </c>
      <c r="AR188" s="47">
        <f t="shared" si="46"/>
        <v>83.020833333333329</v>
      </c>
      <c r="AS188" s="45">
        <f>('[2]Renewable Diesel'!M197*'[2]RD Feedstock Breakdown'!AS$3*'[2]Feedstock Conversion Rates'!B$4)/12</f>
        <v>456.25</v>
      </c>
      <c r="AT188" s="45">
        <f>('[2]Renewable Diesel'!M197*'[2]RD Feedstock Breakdown'!AT$3*'[2]Feedstock Conversion Rates'!B$5)/12</f>
        <v>0</v>
      </c>
      <c r="AU188" s="47">
        <f t="shared" si="74"/>
        <v>456.25</v>
      </c>
      <c r="AV188" s="45">
        <f>'[2]Renewable Diesel'!N197*'[2]RD Feedstock Breakdown'!$AV$3*'[2]Feedstock Conversion Rates'!$B$4/12-15-10+25+25-22-17.5</f>
        <v>64.249999999999986</v>
      </c>
      <c r="AW188" s="45">
        <f>'[2]Renewable Diesel'!N197*'[2]RD Feedstock Breakdown'!$AW$3*'[2]Feedstock Conversion Rates'!$B$7/12+15+10-25-25+22+17.5</f>
        <v>55.900000000000006</v>
      </c>
      <c r="AX188" s="47">
        <f t="shared" si="109"/>
        <v>120.14999999999999</v>
      </c>
      <c r="AY188" s="45">
        <f>('[2]Renewable Diesel'!O197*'[2]RD Feedstock Breakdown'!AY$3*'[2]Feedstock Conversion Rates'!B$4)/12+13+21-100</f>
        <v>144.9375</v>
      </c>
      <c r="AZ188" s="45">
        <f>('[2]Renewable Diesel'!O197*'[2]RD Feedstock Breakdown'!AZ$3*'[2]Feedstock Conversion Rates'!B$3)/12-13-21+100</f>
        <v>91.03125</v>
      </c>
      <c r="BA188" s="47">
        <f t="shared" si="87"/>
        <v>235.96875</v>
      </c>
      <c r="BB188" s="45">
        <f>('[2]Renewable Diesel'!Q197*'[2]RD Feedstock Breakdown'!BB$3*'[2]Feedstock Conversion Rates'!B$4)/12</f>
        <v>11.156249999999998</v>
      </c>
      <c r="BC188" s="45">
        <f>('[2]Renewable Diesel'!Q197*'[2]RD Feedstock Breakdown'!BC$3*'[2]Feedstock Conversion Rates'!B$3)/12</f>
        <v>1.4017500000000001</v>
      </c>
      <c r="BD188" s="45">
        <f>('[2]Renewable Diesel'!Q197*'[2]RD Feedstock Breakdown'!BD$3*'[2]Feedstock Conversion Rates'!B$6)/12</f>
        <v>0.8207500000000002</v>
      </c>
      <c r="BE188" s="47">
        <f t="shared" si="64"/>
        <v>13.378749999999998</v>
      </c>
      <c r="BF188" s="45">
        <f>('[2]Renewable Diesel'!R197*'[2]RD Feedstock Breakdown'!BF$3*'[2]Feedstock Conversion Rates'!B$4)/12</f>
        <v>62.5</v>
      </c>
      <c r="BG188" s="47">
        <f t="shared" si="47"/>
        <v>62.5</v>
      </c>
      <c r="BH188" s="45">
        <f>('[2]Renewable Diesel'!T197*'[2]RD Feedstock Breakdown'!BH$3*'[2]Feedstock Conversion Rates'!B$7)/12</f>
        <v>27.599999999999998</v>
      </c>
      <c r="BI188" s="47">
        <f t="shared" si="41"/>
        <v>27.599999999999998</v>
      </c>
      <c r="BJ188" s="45">
        <f>('[2]Renewable Diesel'!W197*'[2]RD Feedstock Breakdown'!BJ$3*'[2]Feedstock Conversion Rates'!B$4)/12</f>
        <v>7.5</v>
      </c>
      <c r="BK188" s="45">
        <f>('[2]Renewable Diesel'!W197*'[2]RD Feedstock Breakdown'!BK$3*'[2]Feedstock Conversion Rates'!B$3)/12</f>
        <v>1.335</v>
      </c>
      <c r="BL188" s="45">
        <f>('[2]Renewable Diesel'!W197*'[2]RD Feedstock Breakdown'!BL$3*'[2]Feedstock Conversion Rates'!B$6)/12</f>
        <v>3.1266666666666669</v>
      </c>
      <c r="BM188" s="45">
        <f>('[2]Renewable Diesel'!W197*'[2]RD Feedstock Breakdown'!BM$3*'[2]Feedstock Conversion Rates'!B$7)/12</f>
        <v>1.5333333333333332</v>
      </c>
      <c r="BN188" s="47">
        <f t="shared" si="78"/>
        <v>13.495000000000001</v>
      </c>
      <c r="BO188" s="45">
        <f>('[2]Renewable Diesel'!P197*'[2]Feedstock Conversion Rates'!B$4)/12</f>
        <v>31.25</v>
      </c>
      <c r="BP188" s="47">
        <f t="shared" si="72"/>
        <v>31.25</v>
      </c>
      <c r="BQ188" s="45">
        <f>('[2]Renewable Diesel'!$S197*'[2]RD Feedstock Breakdown'!BQ$3*'[2]Feedstock Conversion Rates'!B$4)/12+10</f>
        <v>38.125</v>
      </c>
      <c r="BR188" s="45">
        <f>('[2]Renewable Diesel'!$S197*'[2]RD Feedstock Breakdown'!BR$3*'[2]Feedstock Conversion Rates'!B$7)/12-10</f>
        <v>1.5</v>
      </c>
      <c r="BS188" s="47">
        <f t="shared" si="90"/>
        <v>39.625</v>
      </c>
      <c r="BT188" s="47"/>
      <c r="BU188" s="45">
        <f>('[2]Renewable Diesel'!Y197*'[2]Feedstock Conversion Rates'!B$7)/12</f>
        <v>2.6833333333333331</v>
      </c>
      <c r="BV188" s="47">
        <f t="shared" si="67"/>
        <v>2.6833333333333331</v>
      </c>
      <c r="BW188" s="45">
        <f>('[2]Renewable Diesel'!$Z197*'[2]RD Feedstock Breakdown'!BW$3*'[2]Feedstock Conversion Rates'!$B$4)/12</f>
        <v>35.9375</v>
      </c>
      <c r="BX188" s="45">
        <f>('[2]Renewable Diesel'!$Z197*'[2]RD Feedstock Breakdown'!BX$3*'[2]Feedstock Conversion Rates'!$B$5)/12</f>
        <v>3.6177083333333333</v>
      </c>
      <c r="BY188" s="45">
        <f>('[2]Renewable Diesel'!$Z197*'[2]RD Feedstock Breakdown'!BY$3*'[2]Feedstock Conversion Rates'!$B$7)/12</f>
        <v>30.858333333333331</v>
      </c>
      <c r="BZ188" s="45">
        <f>('[2]Renewable Diesel'!$Z197*'[2]RD Feedstock Breakdown'!BZ$3*'[2]Feedstock Conversion Rates'!$B$3)/12</f>
        <v>7.6762499999999996</v>
      </c>
      <c r="CA188" s="47">
        <f t="shared" si="91"/>
        <v>78.089791666666656</v>
      </c>
      <c r="CB188" s="45">
        <f>('[2]Renewable Diesel'!AA197*'[2]Feedstock Conversion Rates'!B$4)/12</f>
        <v>191.25</v>
      </c>
      <c r="CC188" s="47">
        <f t="shared" si="79"/>
        <v>191.25</v>
      </c>
      <c r="CD188" s="45">
        <f>('[2]Renewable Diesel'!$AB197*'[2]RD Feedstock Breakdown'!CD$3*'[2]Feedstock Conversion Rates'!$B$6)/12-15</f>
        <v>17.830000000000005</v>
      </c>
      <c r="CE188" s="45">
        <f>('[2]Renewable Diesel'!$AB197*'[2]RD Feedstock Breakdown'!CE$3*'[2]Feedstock Conversion Rates'!$B$4)/12+15</f>
        <v>26.25</v>
      </c>
      <c r="CF188" s="47">
        <f t="shared" si="76"/>
        <v>44.080000000000005</v>
      </c>
      <c r="CG188" s="45">
        <f>('[2]Renewable Diesel'!AD197*'[2]Feedstock Conversion Rates'!B$4)/12</f>
        <v>112.5</v>
      </c>
      <c r="CH188" s="47">
        <f t="shared" si="63"/>
        <v>112.5</v>
      </c>
      <c r="CI188" s="45">
        <f>('[2]Renewable Diesel'!$AE197*'[2]RD Feedstock Breakdown'!CI$3*'[2]Feedstock Conversion Rates'!$B$5)/12</f>
        <v>0.34604166666666664</v>
      </c>
      <c r="CJ188" s="45">
        <f>('[2]Renewable Diesel'!$AE197*'[2]RD Feedstock Breakdown'!CJ$3*'[2]Feedstock Conversion Rates'!$B$4)/12</f>
        <v>0.34375</v>
      </c>
      <c r="CK188" s="47">
        <f t="shared" si="73"/>
        <v>0.68979166666666658</v>
      </c>
      <c r="CL188" s="45">
        <f>(((CL$3*'[2]Renewable Diesel'!$AF197)*'[2]Feedstock Conversion Rates'!$B$3)/12)</f>
        <v>91.78125</v>
      </c>
      <c r="CM188" s="45">
        <f>(((CM$3*'[2]Renewable Diesel'!$AF197)*'[2]Feedstock Conversion Rates'!$B$6)/12)-32.5</f>
        <v>21.239583333333336</v>
      </c>
      <c r="CN188" s="45">
        <f>(((CN$3*'[2]Renewable Diesel'!$AF197)*'[2]Feedstock Conversion Rates'!$B$4)/12)+32.5</f>
        <v>75.46875</v>
      </c>
      <c r="CO188" s="47">
        <f t="shared" si="65"/>
        <v>188.48958333333334</v>
      </c>
      <c r="CP188" s="45">
        <f>('[2]Renewable Diesel'!$AG197*'[2]RD Feedstock Breakdown'!CP$3*'[2]Feedstock Conversion Rates'!$B$3)/12</f>
        <v>6.0075000000000003</v>
      </c>
      <c r="CQ188" s="45">
        <f>('[2]Renewable Diesel'!$AG197*'[2]RD Feedstock Breakdown'!CQ$3*'[2]Feedstock Conversion Rates'!$B$6)/12</f>
        <v>3.5175000000000001</v>
      </c>
      <c r="CR188" s="45">
        <f>('[2]Renewable Diesel'!$AG197*'[2]RD Feedstock Breakdown'!CR$3*'[2]Feedstock Conversion Rates'!$B$4)/12</f>
        <v>2.8125</v>
      </c>
      <c r="CS188" s="47">
        <f t="shared" si="99"/>
        <v>12.3375</v>
      </c>
      <c r="CT188" s="45">
        <f>('[2]Renewable Diesel'!AI197*'[2]Feedstock Conversion Rates'!$B$4*'[2]RD Feedstock Breakdown'!$CT$3)/12</f>
        <v>29.375</v>
      </c>
      <c r="CU188" s="47">
        <f t="shared" si="69"/>
        <v>29.375</v>
      </c>
      <c r="CV188" s="47"/>
      <c r="CW188" s="47"/>
      <c r="CX188" s="45">
        <f>('[2]Renewable Diesel'!AO197*'[2]RD Feedstock Breakdown'!$CX$3*'[2]Feedstock Conversion Rates'!$B$3)/12</f>
        <v>6.3412499999999996</v>
      </c>
      <c r="CY188" s="45">
        <f>('[2]Renewable Diesel'!AO197*'[2]RD Feedstock Breakdown'!$CY$3*'[2]Feedstock Conversion Rates'!$B$6)/12</f>
        <v>7.4258333333333342</v>
      </c>
      <c r="CZ188" s="47">
        <f t="shared" si="100"/>
        <v>13.767083333333334</v>
      </c>
      <c r="DA188" s="47"/>
      <c r="DB188" s="47"/>
      <c r="DC188" s="47"/>
      <c r="DD188" s="47"/>
      <c r="DE188" s="47"/>
      <c r="DF188" s="45">
        <f>('[2]Renewable Diesel'!AR197*'[2]Feedstock Conversion Rates'!$B$4*$DF$3)/12</f>
        <v>75</v>
      </c>
      <c r="DG188" s="47">
        <f t="shared" si="101"/>
        <v>75</v>
      </c>
      <c r="DH188" s="45">
        <f>('[2]Renewable Diesel'!AS197*'[2]Feedstock Conversion Rates'!$B$4*$DH$3)/12</f>
        <v>75</v>
      </c>
      <c r="DI188" s="47">
        <f t="shared" si="110"/>
        <v>75</v>
      </c>
      <c r="DJ188" s="45">
        <f>('[2]Renewable Diesel'!AT197*'[2]Feedstock Conversion Rates'!$B$4*0.25)/12</f>
        <v>8.59375</v>
      </c>
      <c r="DK188" s="45">
        <f>('[2]Renewable Diesel'!$AT197*'[2]RD Feedstock Breakdown'!DK$3*'[2]Feedstock Conversion Rates'!$B$3)/12*0.5</f>
        <v>9.1781249999999996</v>
      </c>
      <c r="DL188" s="45">
        <f>('[2]Renewable Diesel'!$AT197*'[2]RD Feedstock Breakdown'!$DL$3*'[2]Feedstock Conversion Rates'!$B$6)/12</f>
        <v>10.747916666666669</v>
      </c>
      <c r="DM188" s="45">
        <f>('[2]Renewable Diesel'!$AT197*'[2]RD Feedstock Breakdown'!$DM$3*'[2]Feedstock Conversion Rates'!$B$8)/12</f>
        <v>10.7421875</v>
      </c>
      <c r="DN188" s="47">
        <f t="shared" si="77"/>
        <v>39.26197916666667</v>
      </c>
      <c r="DP188" s="45">
        <f t="shared" si="48"/>
        <v>99.220250000000007</v>
      </c>
      <c r="DQ188" s="45">
        <f t="shared" si="49"/>
        <v>462.59964249999996</v>
      </c>
      <c r="DR188" s="45">
        <f t="shared" si="57"/>
        <v>1883.0625</v>
      </c>
      <c r="DS188" s="45">
        <f t="shared" si="70"/>
        <v>317.24708333333331</v>
      </c>
      <c r="DT188" s="45">
        <f t="shared" si="50"/>
        <v>209.1746500000001</v>
      </c>
      <c r="DU188" s="45">
        <f t="shared" si="51"/>
        <v>173.29776666666669</v>
      </c>
      <c r="DV188" s="45">
        <f t="shared" si="58"/>
        <v>5.6750000000000007</v>
      </c>
      <c r="DW188" s="45">
        <f t="shared" si="52"/>
        <v>2.25</v>
      </c>
      <c r="DX188" s="47">
        <f t="shared" si="53"/>
        <v>3152.5268924999996</v>
      </c>
      <c r="DY188" s="50">
        <f t="shared" si="54"/>
        <v>3.4106051316484809E-13</v>
      </c>
      <c r="EA188" s="51">
        <f t="shared" si="80"/>
        <v>3.1473244601354346E-2</v>
      </c>
      <c r="EB188" s="51">
        <f t="shared" si="80"/>
        <v>0.14673931683201336</v>
      </c>
      <c r="EC188" s="51">
        <f t="shared" si="80"/>
        <v>0.59731845729211341</v>
      </c>
      <c r="ED188" s="51">
        <f t="shared" si="80"/>
        <v>0.10063263348778344</v>
      </c>
      <c r="EE188" s="51">
        <f t="shared" si="80"/>
        <v>6.6351424470838236E-2</v>
      </c>
      <c r="EF188" s="51">
        <f t="shared" si="80"/>
        <v>5.4971066885725769E-2</v>
      </c>
      <c r="EG188" s="51">
        <f t="shared" si="80"/>
        <v>1.8001432481039499E-3</v>
      </c>
      <c r="EH188" s="52">
        <f t="shared" si="59"/>
        <v>7.1371318206764518E-4</v>
      </c>
      <c r="EI188" s="51">
        <f t="shared" si="60"/>
        <v>0.99928628681793241</v>
      </c>
      <c r="EK188" s="53">
        <f>(EA188*'[2]Renewable Diesel'!BF197*'[2]Feedstock Conversion Rates'!B$2)+FB188</f>
        <v>66.588362363685903</v>
      </c>
      <c r="EL188" s="53">
        <f>(EB188*'[2]Renewable Diesel'!BF197*'[2]Feedstock Conversion Rates'!B$3)+FC188</f>
        <v>292.56131570515612</v>
      </c>
      <c r="EM188" s="53">
        <f>(EC188*'[2]Renewable Diesel'!BF197*'[2]Feedstock Conversion Rates'!B$4)+FD188</f>
        <v>1115.0775949300105</v>
      </c>
      <c r="EN188" s="53">
        <f>(ED188*'[2]Renewable Diesel'!BF197*'[2]Feedstock Conversion Rates'!B$5)+FE188</f>
        <v>189.11400025920889</v>
      </c>
      <c r="EO188" s="53">
        <f>(EE188*'[2]Renewable Diesel'!BF197*'[2]Feedstock Conversion Rates'!B$6)+FF188</f>
        <v>154.91411164703069</v>
      </c>
      <c r="EP188" s="53">
        <f>(EF188*'[2]Renewable Diesel'!BF197*'[2]Feedstock Conversion Rates'!B$7)+FG188</f>
        <v>125.88091318441535</v>
      </c>
      <c r="EQ188" s="53">
        <f>(EG188*'[2]Renewable Diesel'!BF197*'[2]Feedstock Conversion Rates'!B$8)+FH188</f>
        <v>4.2006474501163726</v>
      </c>
      <c r="ER188" s="53">
        <f>(EH188*'[2]Renewable Diesel'!BF197*'[2]Feedstock Conversion Rates'!B$9)+FI188</f>
        <v>1.6432488703538934</v>
      </c>
      <c r="ES188" s="53">
        <f t="shared" si="61"/>
        <v>1949.9801944099779</v>
      </c>
      <c r="ET188" s="36">
        <f>ES188/'[2]Renewable Diesel'!BF197</f>
        <v>7.8341576862297959</v>
      </c>
    </row>
    <row r="189" spans="1:150" x14ac:dyDescent="0.25">
      <c r="A189" s="39">
        <v>46174</v>
      </c>
      <c r="B189" s="45">
        <f t="shared" si="104"/>
        <v>1.25</v>
      </c>
      <c r="C189" s="45">
        <f t="shared" si="105"/>
        <v>107</v>
      </c>
      <c r="D189" s="45">
        <f t="shared" si="106"/>
        <v>1.25</v>
      </c>
      <c r="E189" s="45">
        <f>('[2]Renewable Diesel'!B198*E$3*'[2]Feedstock Conversion Rates'!$B$2)/12-50+3+14-0.75+14-41+7.25+21+73+20.5-11-8.5-3+4-47-4</f>
        <v>81.430000000000007</v>
      </c>
      <c r="F189" s="45">
        <f>('[2]Renewable Diesel'!B198*'[2]RD Feedstock Breakdown'!F$3*'[2]Feedstock Conversion Rates'!B$8)/12-22+4-3+5+4+5-35+14+6.5+14+2-33+9-20</f>
        <v>4.40625</v>
      </c>
      <c r="G189" s="45">
        <f>('[2]Renewable Diesel'!B198*'[2]RD Feedstock Breakdown'!G$3*'[2]Feedstock Conversion Rates'!B$7)/12+20+80-100-124-20+20+70+20-10-80-12.5-15-10</f>
        <v>14.657000000000039</v>
      </c>
      <c r="H189" s="45">
        <f>('[2]Renewable Diesel'!B198*'[2]RD Feedstock Breakdown'!H$3*'[2]Feedstock Conversion Rates'!B$3)/12-85+4+10-72+17+30+45+5-12.5-7.5-5+175+6</f>
        <v>286.40022499999998</v>
      </c>
      <c r="I189" s="47">
        <f t="shared" si="75"/>
        <v>496.39347500000002</v>
      </c>
      <c r="J189" s="45">
        <f t="shared" si="108"/>
        <v>86.5</v>
      </c>
      <c r="K189" s="45">
        <v>50</v>
      </c>
      <c r="L189" s="45">
        <v>1</v>
      </c>
      <c r="M189" s="45">
        <f>('[2]Renewable Diesel'!C198*'[2]RD Feedstock Breakdown'!M$3*'[2]Feedstock Conversion Rates'!B$2)/12-10-15-30+10-2+32+25</f>
        <v>17.79025</v>
      </c>
      <c r="N189" s="45">
        <f>('[2]Renewable Diesel'!C198*'[2]RD Feedstock Breakdown'!N$3*'[2]Feedstock Conversion Rates'!B$8)/12-2+6+5-5-7-1+1+6+7.5-17.5-15-7.5</f>
        <v>-25.828125</v>
      </c>
      <c r="O189" s="45">
        <f>('[2]Renewable Diesel'!C198*'[2]RD Feedstock Breakdown'!O$3*'[2]Feedstock Conversion Rates'!B$7)/12+15-105-5+5+25+15-2.5-27.5+11</f>
        <v>-57.000900000000001</v>
      </c>
      <c r="P189" s="45">
        <f>('[2]Renewable Diesel'!C198*'[2]RD Feedstock Breakdown'!P$3*'[2]Feedstock Conversion Rates'!B$3)/12-5-10-12+20-77+10+27.5+17.5+77.5-90-2.5-5</f>
        <v>-38.552957499999991</v>
      </c>
      <c r="Q189" s="47">
        <f t="shared" si="85"/>
        <v>33.908267500000022</v>
      </c>
      <c r="R189" s="45">
        <f>('[2]Renewable Diesel'!D198*'[2]RD Feedstock Breakdown'!R$3*'[2]Feedstock Conversion Rates'!B$7)/12</f>
        <v>2.2999999999999998</v>
      </c>
      <c r="S189" s="47">
        <f t="shared" si="44"/>
        <v>2.2999999999999998</v>
      </c>
      <c r="T189" s="45">
        <f t="shared" si="103"/>
        <v>0.82499999999999929</v>
      </c>
      <c r="U189" s="45">
        <v>0</v>
      </c>
      <c r="V189" s="45">
        <f>('[2]Renewable Diesel'!E198*'[2]RD Feedstock Breakdown'!V$3*'[2]Feedstock Conversion Rates'!B$6)/12-20+25</f>
        <v>49.250150000000012</v>
      </c>
      <c r="W189" s="45">
        <f>('[2]Renewable Diesel'!E198*'[2]RD Feedstock Breakdown'!W$3*'[2]Feedstock Conversion Rates'!B$8)/12-5.825</f>
        <v>16.354687500000001</v>
      </c>
      <c r="X189" s="47">
        <f t="shared" si="62"/>
        <v>66.429837500000005</v>
      </c>
      <c r="Y189" s="45">
        <f t="shared" si="107"/>
        <v>130.5</v>
      </c>
      <c r="Z189" s="45">
        <f>('[2]Renewable Diesel'!F198*'[2]RD Feedstock Breakdown'!Z$3*'[2]Feedstock Conversion Rates'!B$6)/12-50-32-60+15+30+22.5-15-25-20+20-10+5</f>
        <v>39.960000000000008</v>
      </c>
      <c r="AA189" s="45">
        <f>('[2]Renewable Diesel'!F198*'[2]RD Feedstock Breakdown'!AA$3*'[2]Feedstock Conversion Rates'!B$7)/12+80-171+75+50+20-65</f>
        <v>93.266666666666652</v>
      </c>
      <c r="AB189" s="47">
        <f t="shared" si="102"/>
        <v>263.72666666666669</v>
      </c>
      <c r="AC189" s="45">
        <f>('[2]Renewable Diesel'!G198*'[2]RD Feedstock Breakdown'!AC$3*'[2]Feedstock Conversion Rates'!B$5)/12</f>
        <v>7.864583333333333</v>
      </c>
      <c r="AD189" s="45">
        <f>('[2]Renewable Diesel'!G198*'[2]RD Feedstock Breakdown'!AD$3*'[2]Feedstock Conversion Rates'!B$4)/12</f>
        <v>3.90625</v>
      </c>
      <c r="AE189" s="45">
        <f>('[2]Renewable Diesel'!G198*'[2]RD Feedstock Breakdown'!AE$3*'[2]Feedstock Conversion Rates'!B$6)/12</f>
        <v>4.885416666666667</v>
      </c>
      <c r="AF189" s="47">
        <f t="shared" si="71"/>
        <v>16.65625</v>
      </c>
      <c r="AG189" s="45">
        <f t="shared" si="111"/>
        <v>139</v>
      </c>
      <c r="AH189" s="45">
        <v>0</v>
      </c>
      <c r="AI189" s="45">
        <f>('[2]Renewable Diesel'!H198*'[2]RD Feedstock Breakdown'!AI$3*'[2]Feedstock Conversion Rates'!B$6)/12-130-20+51-120+100-40+20</f>
        <v>9.5166666666666799</v>
      </c>
      <c r="AJ189" s="47">
        <f t="shared" si="42"/>
        <v>148.51666666666668</v>
      </c>
      <c r="AK189" s="45">
        <f>('[2]Renewable Diesel'!J198*'[2]RD Feedstock Breakdown'!AK$3*'[2]Feedstock Conversion Rates'!B$4)/12</f>
        <v>95.8125</v>
      </c>
      <c r="AL189" s="47">
        <f t="shared" si="45"/>
        <v>95.8125</v>
      </c>
      <c r="AM189" s="45">
        <f>('[2]Renewable Diesel'!K198*'[2]RD Feedstock Breakdown'!AM$3*'[2]Feedstock Conversion Rates'!B$4)/12+5+15-10+4-25</f>
        <v>47.59375</v>
      </c>
      <c r="AN189" s="45">
        <f>('[2]Renewable Diesel'!K198*'[2]RD Feedstock Breakdown'!AN$3*'[2]Feedstock Conversion Rates'!B$6)/12-5-15+10-4+25</f>
        <v>35.427083333333329</v>
      </c>
      <c r="AO189" s="47">
        <f t="shared" si="56"/>
        <v>83.020833333333329</v>
      </c>
      <c r="AP189" s="45">
        <f>('[2]Renewable Diesel'!L198*'[2]RD Feedstock Breakdown'!AP$3*'[2]Feedstock Conversion Rates'!B$4)/12+15-10+14</f>
        <v>77.59375</v>
      </c>
      <c r="AQ189" s="45">
        <f>('[2]Renewable Diesel'!L198*'[2]RD Feedstock Breakdown'!AQ$3*'[2]Feedstock Conversion Rates'!B$6)/12-15+10-14</f>
        <v>5.4270833333333321</v>
      </c>
      <c r="AR189" s="47">
        <f t="shared" si="46"/>
        <v>83.020833333333329</v>
      </c>
      <c r="AS189" s="45">
        <f>('[2]Renewable Diesel'!M198*'[2]RD Feedstock Breakdown'!AS$3*'[2]Feedstock Conversion Rates'!B$4)/12</f>
        <v>456.25</v>
      </c>
      <c r="AT189" s="45">
        <f>('[2]Renewable Diesel'!M198*'[2]RD Feedstock Breakdown'!AT$3*'[2]Feedstock Conversion Rates'!B$5)/12</f>
        <v>0</v>
      </c>
      <c r="AU189" s="47">
        <f t="shared" si="74"/>
        <v>456.25</v>
      </c>
      <c r="AV189" s="45">
        <f>'[2]Renewable Diesel'!N198*'[2]RD Feedstock Breakdown'!$AV$3*'[2]Feedstock Conversion Rates'!$B$4/12-15-10+25+25-22-17.5</f>
        <v>64.249999999999986</v>
      </c>
      <c r="AW189" s="45">
        <f>'[2]Renewable Diesel'!N198*'[2]RD Feedstock Breakdown'!$AW$3*'[2]Feedstock Conversion Rates'!$B$7/12+15+10-25-25+22+17.5</f>
        <v>55.900000000000006</v>
      </c>
      <c r="AX189" s="47">
        <f t="shared" si="109"/>
        <v>120.14999999999999</v>
      </c>
      <c r="AY189" s="45">
        <f>('[2]Renewable Diesel'!O198*'[2]RD Feedstock Breakdown'!AY$3*'[2]Feedstock Conversion Rates'!B$4)/12+13+21-100</f>
        <v>144.9375</v>
      </c>
      <c r="AZ189" s="45">
        <f>('[2]Renewable Diesel'!O198*'[2]RD Feedstock Breakdown'!AZ$3*'[2]Feedstock Conversion Rates'!B$3)/12-13-21+100</f>
        <v>91.03125</v>
      </c>
      <c r="BA189" s="47">
        <f t="shared" si="87"/>
        <v>235.96875</v>
      </c>
      <c r="BB189" s="45">
        <f>('[2]Renewable Diesel'!Q198*'[2]RD Feedstock Breakdown'!BB$3*'[2]Feedstock Conversion Rates'!B$4)/12</f>
        <v>11.156249999999998</v>
      </c>
      <c r="BC189" s="45">
        <f>('[2]Renewable Diesel'!Q198*'[2]RD Feedstock Breakdown'!BC$3*'[2]Feedstock Conversion Rates'!B$3)/12</f>
        <v>1.4017500000000001</v>
      </c>
      <c r="BD189" s="45">
        <f>('[2]Renewable Diesel'!Q198*'[2]RD Feedstock Breakdown'!BD$3*'[2]Feedstock Conversion Rates'!B$6)/12</f>
        <v>0.8207500000000002</v>
      </c>
      <c r="BE189" s="47">
        <f t="shared" si="64"/>
        <v>13.378749999999998</v>
      </c>
      <c r="BF189" s="45">
        <f>('[2]Renewable Diesel'!R198*'[2]RD Feedstock Breakdown'!BF$3*'[2]Feedstock Conversion Rates'!B$4)/12</f>
        <v>62.5</v>
      </c>
      <c r="BG189" s="47">
        <f t="shared" si="47"/>
        <v>62.5</v>
      </c>
      <c r="BH189" s="45">
        <f>('[2]Renewable Diesel'!T198*'[2]RD Feedstock Breakdown'!BH$3*'[2]Feedstock Conversion Rates'!B$7)/12</f>
        <v>27.599999999999998</v>
      </c>
      <c r="BI189" s="47">
        <f t="shared" ref="BI189:BI252" si="112">BH189</f>
        <v>27.599999999999998</v>
      </c>
      <c r="BJ189" s="45">
        <f>('[2]Renewable Diesel'!W198*'[2]RD Feedstock Breakdown'!BJ$3*'[2]Feedstock Conversion Rates'!B$4)/12</f>
        <v>7.5</v>
      </c>
      <c r="BK189" s="45">
        <f>('[2]Renewable Diesel'!W198*'[2]RD Feedstock Breakdown'!BK$3*'[2]Feedstock Conversion Rates'!B$3)/12</f>
        <v>1.335</v>
      </c>
      <c r="BL189" s="45">
        <f>('[2]Renewable Diesel'!W198*'[2]RD Feedstock Breakdown'!BL$3*'[2]Feedstock Conversion Rates'!B$6)/12</f>
        <v>3.1266666666666669</v>
      </c>
      <c r="BM189" s="45">
        <f>('[2]Renewable Diesel'!W198*'[2]RD Feedstock Breakdown'!BM$3*'[2]Feedstock Conversion Rates'!B$7)/12</f>
        <v>1.5333333333333332</v>
      </c>
      <c r="BN189" s="47">
        <f t="shared" si="78"/>
        <v>13.495000000000001</v>
      </c>
      <c r="BO189" s="45">
        <f>('[2]Renewable Diesel'!P198*'[2]Feedstock Conversion Rates'!B$4)/12</f>
        <v>31.25</v>
      </c>
      <c r="BP189" s="47">
        <f t="shared" si="72"/>
        <v>31.25</v>
      </c>
      <c r="BQ189" s="45">
        <f>('[2]Renewable Diesel'!$S198*'[2]RD Feedstock Breakdown'!BQ$3*'[2]Feedstock Conversion Rates'!B$4)/12+10</f>
        <v>38.125</v>
      </c>
      <c r="BR189" s="45">
        <f>('[2]Renewable Diesel'!$S198*'[2]RD Feedstock Breakdown'!BR$3*'[2]Feedstock Conversion Rates'!B$7)/12-10</f>
        <v>1.5</v>
      </c>
      <c r="BS189" s="47">
        <f t="shared" si="90"/>
        <v>39.625</v>
      </c>
      <c r="BT189" s="47"/>
      <c r="BU189" s="45">
        <f>('[2]Renewable Diesel'!Y198*'[2]Feedstock Conversion Rates'!B$7)/12</f>
        <v>2.6833333333333331</v>
      </c>
      <c r="BV189" s="47">
        <f t="shared" si="67"/>
        <v>2.6833333333333331</v>
      </c>
      <c r="BW189" s="45">
        <f>('[2]Renewable Diesel'!$Z198*'[2]RD Feedstock Breakdown'!BW$3*'[2]Feedstock Conversion Rates'!$B$4)/12</f>
        <v>35.9375</v>
      </c>
      <c r="BX189" s="45">
        <f>('[2]Renewable Diesel'!$Z198*'[2]RD Feedstock Breakdown'!BX$3*'[2]Feedstock Conversion Rates'!$B$5)/12</f>
        <v>3.6177083333333333</v>
      </c>
      <c r="BY189" s="45">
        <f>('[2]Renewable Diesel'!$Z198*'[2]RD Feedstock Breakdown'!BY$3*'[2]Feedstock Conversion Rates'!$B$7)/12</f>
        <v>30.858333333333331</v>
      </c>
      <c r="BZ189" s="45">
        <f>('[2]Renewable Diesel'!$Z198*'[2]RD Feedstock Breakdown'!BZ$3*'[2]Feedstock Conversion Rates'!$B$3)/12</f>
        <v>7.6762499999999996</v>
      </c>
      <c r="CA189" s="47">
        <f t="shared" si="91"/>
        <v>78.089791666666656</v>
      </c>
      <c r="CB189" s="45">
        <f>('[2]Renewable Diesel'!AA198*'[2]Feedstock Conversion Rates'!B$4)/12</f>
        <v>191.25</v>
      </c>
      <c r="CC189" s="47">
        <f t="shared" si="79"/>
        <v>191.25</v>
      </c>
      <c r="CD189" s="45">
        <f>('[2]Renewable Diesel'!$AB198*'[2]RD Feedstock Breakdown'!CD$3*'[2]Feedstock Conversion Rates'!$B$6)/12-15</f>
        <v>17.830000000000005</v>
      </c>
      <c r="CE189" s="45">
        <f>('[2]Renewable Diesel'!$AB198*'[2]RD Feedstock Breakdown'!CE$3*'[2]Feedstock Conversion Rates'!$B$4)/12+15</f>
        <v>26.25</v>
      </c>
      <c r="CF189" s="47">
        <f t="shared" si="76"/>
        <v>44.080000000000005</v>
      </c>
      <c r="CG189" s="45">
        <f>('[2]Renewable Diesel'!AD198*'[2]Feedstock Conversion Rates'!B$4)/12</f>
        <v>112.5</v>
      </c>
      <c r="CH189" s="47">
        <f t="shared" si="63"/>
        <v>112.5</v>
      </c>
      <c r="CI189" s="45">
        <f>('[2]Renewable Diesel'!$AE198*'[2]RD Feedstock Breakdown'!CI$3*'[2]Feedstock Conversion Rates'!$B$5)/12</f>
        <v>0.34604166666666664</v>
      </c>
      <c r="CJ189" s="45">
        <f>('[2]Renewable Diesel'!$AE198*'[2]RD Feedstock Breakdown'!CJ$3*'[2]Feedstock Conversion Rates'!$B$4)/12</f>
        <v>0.34375</v>
      </c>
      <c r="CK189" s="47">
        <f t="shared" si="73"/>
        <v>0.68979166666666658</v>
      </c>
      <c r="CL189" s="45">
        <f>(((CL$3*'[2]Renewable Diesel'!$AF198)*'[2]Feedstock Conversion Rates'!$B$3)/12)</f>
        <v>91.78125</v>
      </c>
      <c r="CM189" s="45">
        <f>(((CM$3*'[2]Renewable Diesel'!$AF198)*'[2]Feedstock Conversion Rates'!$B$6)/12)-32.5</f>
        <v>21.239583333333336</v>
      </c>
      <c r="CN189" s="45">
        <f>(((CN$3*'[2]Renewable Diesel'!$AF198)*'[2]Feedstock Conversion Rates'!$B$4)/12)+32.5</f>
        <v>75.46875</v>
      </c>
      <c r="CO189" s="47">
        <f t="shared" si="65"/>
        <v>188.48958333333334</v>
      </c>
      <c r="CP189" s="45">
        <f>('[2]Renewable Diesel'!$AG198*'[2]RD Feedstock Breakdown'!CP$3*'[2]Feedstock Conversion Rates'!$B$3)/12</f>
        <v>6.0075000000000003</v>
      </c>
      <c r="CQ189" s="45">
        <f>('[2]Renewable Diesel'!$AG198*'[2]RD Feedstock Breakdown'!CQ$3*'[2]Feedstock Conversion Rates'!$B$6)/12</f>
        <v>3.5175000000000001</v>
      </c>
      <c r="CR189" s="45">
        <f>('[2]Renewable Diesel'!$AG198*'[2]RD Feedstock Breakdown'!CR$3*'[2]Feedstock Conversion Rates'!$B$4)/12</f>
        <v>2.8125</v>
      </c>
      <c r="CS189" s="47">
        <f t="shared" si="99"/>
        <v>12.3375</v>
      </c>
      <c r="CT189" s="45">
        <f>('[2]Renewable Diesel'!AI198*'[2]Feedstock Conversion Rates'!$B$4*'[2]RD Feedstock Breakdown'!$CT$3)/12</f>
        <v>29.375</v>
      </c>
      <c r="CU189" s="47">
        <f t="shared" si="69"/>
        <v>29.375</v>
      </c>
      <c r="CV189" s="47"/>
      <c r="CW189" s="47"/>
      <c r="CX189" s="45">
        <f>('[2]Renewable Diesel'!AO198*'[2]RD Feedstock Breakdown'!$CX$3*'[2]Feedstock Conversion Rates'!$B$3)/12</f>
        <v>6.3412499999999996</v>
      </c>
      <c r="CY189" s="45">
        <f>('[2]Renewable Diesel'!AO198*'[2]RD Feedstock Breakdown'!$CY$3*'[2]Feedstock Conversion Rates'!$B$6)/12</f>
        <v>7.4258333333333342</v>
      </c>
      <c r="CZ189" s="47">
        <f t="shared" si="100"/>
        <v>13.767083333333334</v>
      </c>
      <c r="DA189" s="47"/>
      <c r="DB189" s="47"/>
      <c r="DC189" s="47"/>
      <c r="DD189" s="47"/>
      <c r="DE189" s="47"/>
      <c r="DF189" s="45">
        <f>('[2]Renewable Diesel'!AR198*'[2]Feedstock Conversion Rates'!$B$4*$DF$3)/12</f>
        <v>75</v>
      </c>
      <c r="DG189" s="47">
        <f t="shared" si="101"/>
        <v>75</v>
      </c>
      <c r="DH189" s="45">
        <f>('[2]Renewable Diesel'!AS198*'[2]Feedstock Conversion Rates'!$B$4*$DH$3)/12</f>
        <v>75</v>
      </c>
      <c r="DI189" s="47">
        <f t="shared" si="110"/>
        <v>75</v>
      </c>
      <c r="DJ189" s="45">
        <f>('[2]Renewable Diesel'!AT198*'[2]Feedstock Conversion Rates'!$B$4*0.25)/12</f>
        <v>8.59375</v>
      </c>
      <c r="DK189" s="45">
        <f>('[2]Renewable Diesel'!$AT198*'[2]RD Feedstock Breakdown'!DK$3*'[2]Feedstock Conversion Rates'!$B$3)/12*0.5</f>
        <v>9.1781249999999996</v>
      </c>
      <c r="DL189" s="45">
        <f>('[2]Renewable Diesel'!$AT198*'[2]RD Feedstock Breakdown'!$DL$3*'[2]Feedstock Conversion Rates'!$B$6)/12</f>
        <v>10.747916666666669</v>
      </c>
      <c r="DM189" s="45">
        <f>('[2]Renewable Diesel'!$AT198*'[2]RD Feedstock Breakdown'!$DM$3*'[2]Feedstock Conversion Rates'!$B$8)/12</f>
        <v>10.7421875</v>
      </c>
      <c r="DN189" s="47">
        <f t="shared" si="77"/>
        <v>39.26197916666667</v>
      </c>
      <c r="DP189" s="45">
        <f t="shared" si="48"/>
        <v>99.220250000000007</v>
      </c>
      <c r="DQ189" s="45">
        <f t="shared" si="49"/>
        <v>462.59964249999996</v>
      </c>
      <c r="DR189" s="45">
        <f t="shared" si="57"/>
        <v>1883.0625</v>
      </c>
      <c r="DS189" s="45">
        <f t="shared" si="70"/>
        <v>317.24708333333331</v>
      </c>
      <c r="DT189" s="45">
        <f t="shared" si="50"/>
        <v>209.1746500000001</v>
      </c>
      <c r="DU189" s="45">
        <f t="shared" si="51"/>
        <v>173.29776666666669</v>
      </c>
      <c r="DV189" s="45">
        <f t="shared" si="58"/>
        <v>5.6750000000000007</v>
      </c>
      <c r="DW189" s="45">
        <f t="shared" si="52"/>
        <v>2.25</v>
      </c>
      <c r="DX189" s="47">
        <f t="shared" si="53"/>
        <v>3152.5268924999996</v>
      </c>
      <c r="DY189" s="50">
        <f t="shared" si="54"/>
        <v>3.4106051316484809E-13</v>
      </c>
      <c r="EA189" s="51">
        <f t="shared" si="80"/>
        <v>3.1473244601354346E-2</v>
      </c>
      <c r="EB189" s="51">
        <f t="shared" si="80"/>
        <v>0.14673931683201336</v>
      </c>
      <c r="EC189" s="51">
        <f t="shared" si="80"/>
        <v>0.59731845729211341</v>
      </c>
      <c r="ED189" s="51">
        <f t="shared" si="80"/>
        <v>0.10063263348778344</v>
      </c>
      <c r="EE189" s="51">
        <f t="shared" si="80"/>
        <v>6.6351424470838236E-2</v>
      </c>
      <c r="EF189" s="51">
        <f t="shared" si="80"/>
        <v>5.4971066885725769E-2</v>
      </c>
      <c r="EG189" s="51">
        <f t="shared" si="80"/>
        <v>1.8001432481039499E-3</v>
      </c>
      <c r="EH189" s="52">
        <f t="shared" si="59"/>
        <v>7.1371318206764518E-4</v>
      </c>
      <c r="EI189" s="51">
        <f t="shared" si="60"/>
        <v>0.99928628681793241</v>
      </c>
      <c r="EK189" s="53">
        <f>(EA189*'[2]Renewable Diesel'!BF198*'[2]Feedstock Conversion Rates'!B$2)+FB189</f>
        <v>65.692971864141086</v>
      </c>
      <c r="EL189" s="53">
        <f>(EB189*'[2]Renewable Diesel'!BF198*'[2]Feedstock Conversion Rates'!B$3)+FC189</f>
        <v>288.6273456641751</v>
      </c>
      <c r="EM189" s="53">
        <f>(EC189*'[2]Renewable Diesel'!BF198*'[2]Feedstock Conversion Rates'!B$4)+FD189</f>
        <v>1100.0835351676981</v>
      </c>
      <c r="EN189" s="53">
        <f>(ED189*'[2]Renewable Diesel'!BF198*'[2]Feedstock Conversion Rates'!B$5)+FE189</f>
        <v>186.57105021280023</v>
      </c>
      <c r="EO189" s="53">
        <f>(EE189*'[2]Renewable Diesel'!BF198*'[2]Feedstock Conversion Rates'!B$6)+FF189</f>
        <v>152.83103558252876</v>
      </c>
      <c r="EP189" s="53">
        <f>(EF189*'[2]Renewable Diesel'!BF198*'[2]Feedstock Conversion Rates'!B$7)+FG189</f>
        <v>124.18823642021218</v>
      </c>
      <c r="EQ189" s="53">
        <f>(EG189*'[2]Renewable Diesel'!BF198*'[2]Feedstock Conversion Rates'!B$8)+FH189</f>
        <v>4.1441628079768247</v>
      </c>
      <c r="ER189" s="53">
        <f>(EH189*'[2]Renewable Diesel'!BF198*'[2]Feedstock Conversion Rates'!B$9)+FI189</f>
        <v>1.6211526755433567</v>
      </c>
      <c r="ES189" s="53">
        <f t="shared" si="61"/>
        <v>1923.7594903950755</v>
      </c>
      <c r="ET189" s="36">
        <f>ES189/'[2]Renewable Diesel'!BF198</f>
        <v>7.8341576862297941</v>
      </c>
    </row>
    <row r="190" spans="1:150" x14ac:dyDescent="0.25">
      <c r="A190" s="39">
        <v>46204</v>
      </c>
      <c r="B190" s="45">
        <f t="shared" si="104"/>
        <v>1.25</v>
      </c>
      <c r="C190" s="45">
        <f t="shared" si="105"/>
        <v>107</v>
      </c>
      <c r="D190" s="45">
        <f t="shared" si="106"/>
        <v>1.25</v>
      </c>
      <c r="E190" s="45">
        <f>('[2]Renewable Diesel'!B199*E$3*'[2]Feedstock Conversion Rates'!$B$2)/12-50+3+14-0.75+14-41+7.25+21+73+20.5-11-8.5-3+4-47-4</f>
        <v>81.430000000000007</v>
      </c>
      <c r="F190" s="45">
        <f>('[2]Renewable Diesel'!B199*'[2]RD Feedstock Breakdown'!F$3*'[2]Feedstock Conversion Rates'!B$8)/12-22+4-3+5+4+5-35+14+6.5+14+2-33+9-20</f>
        <v>4.40625</v>
      </c>
      <c r="G190" s="45">
        <f>('[2]Renewable Diesel'!B199*'[2]RD Feedstock Breakdown'!G$3*'[2]Feedstock Conversion Rates'!B$7)/12+20+80-100-124-20+20+70+20-10-80-12.5-15-10</f>
        <v>14.657000000000039</v>
      </c>
      <c r="H190" s="45">
        <f>('[2]Renewable Diesel'!B199*'[2]RD Feedstock Breakdown'!H$3*'[2]Feedstock Conversion Rates'!B$3)/12-85+4+10-72+17+30+45+5-12.5-7.5-5+175+6</f>
        <v>286.40022499999998</v>
      </c>
      <c r="I190" s="47">
        <f t="shared" si="75"/>
        <v>496.39347500000002</v>
      </c>
      <c r="J190" s="45">
        <f t="shared" si="108"/>
        <v>86.5</v>
      </c>
      <c r="K190" s="45">
        <v>50</v>
      </c>
      <c r="L190" s="45">
        <v>1</v>
      </c>
      <c r="M190" s="45">
        <f>('[2]Renewable Diesel'!C199*'[2]RD Feedstock Breakdown'!M$3*'[2]Feedstock Conversion Rates'!B$2)/12-10-15-30+10-2+32+25</f>
        <v>17.79025</v>
      </c>
      <c r="N190" s="45">
        <f>('[2]Renewable Diesel'!C199*'[2]RD Feedstock Breakdown'!N$3*'[2]Feedstock Conversion Rates'!B$8)/12-2+6+5-5-7-1+1+6+7.5-17.5-15-7.5</f>
        <v>-25.828125</v>
      </c>
      <c r="O190" s="45">
        <f>('[2]Renewable Diesel'!C199*'[2]RD Feedstock Breakdown'!O$3*'[2]Feedstock Conversion Rates'!B$7)/12+15-105-5+5+25+15-2.5-27.5+11</f>
        <v>-57.000900000000001</v>
      </c>
      <c r="P190" s="45">
        <f>('[2]Renewable Diesel'!C199*'[2]RD Feedstock Breakdown'!P$3*'[2]Feedstock Conversion Rates'!B$3)/12-5-10-12+20-77+10+27.5+17.5+77.5-90-2.5-5</f>
        <v>-38.552957499999991</v>
      </c>
      <c r="Q190" s="47">
        <f t="shared" si="85"/>
        <v>33.908267500000022</v>
      </c>
      <c r="R190" s="45">
        <f>('[2]Renewable Diesel'!D199*'[2]RD Feedstock Breakdown'!R$3*'[2]Feedstock Conversion Rates'!B$7)/12</f>
        <v>2.2999999999999998</v>
      </c>
      <c r="S190" s="47">
        <f t="shared" si="44"/>
        <v>2.2999999999999998</v>
      </c>
      <c r="T190" s="45">
        <f t="shared" si="103"/>
        <v>0.82499999999999929</v>
      </c>
      <c r="U190" s="45">
        <v>0</v>
      </c>
      <c r="V190" s="45">
        <f>('[2]Renewable Diesel'!E199*'[2]RD Feedstock Breakdown'!V$3*'[2]Feedstock Conversion Rates'!B$6)/12-20+25</f>
        <v>49.250150000000012</v>
      </c>
      <c r="W190" s="45">
        <f>('[2]Renewable Diesel'!E199*'[2]RD Feedstock Breakdown'!W$3*'[2]Feedstock Conversion Rates'!B$8)/12-5.825</f>
        <v>16.354687500000001</v>
      </c>
      <c r="X190" s="47">
        <f t="shared" si="62"/>
        <v>66.429837500000005</v>
      </c>
      <c r="Y190" s="45">
        <f t="shared" si="107"/>
        <v>130.5</v>
      </c>
      <c r="Z190" s="45">
        <f>('[2]Renewable Diesel'!F199*'[2]RD Feedstock Breakdown'!Z$3*'[2]Feedstock Conversion Rates'!B$6)/12-50-32-60+15+30+22.5-15-25-20+20-10+5</f>
        <v>39.960000000000008</v>
      </c>
      <c r="AA190" s="45">
        <f>('[2]Renewable Diesel'!F199*'[2]RD Feedstock Breakdown'!AA$3*'[2]Feedstock Conversion Rates'!B$7)/12+80-171+75+50+20-65</f>
        <v>93.266666666666652</v>
      </c>
      <c r="AB190" s="47">
        <f t="shared" si="102"/>
        <v>263.72666666666669</v>
      </c>
      <c r="AC190" s="45">
        <f>('[2]Renewable Diesel'!G199*'[2]RD Feedstock Breakdown'!AC$3*'[2]Feedstock Conversion Rates'!B$5)/12</f>
        <v>7.864583333333333</v>
      </c>
      <c r="AD190" s="45">
        <f>('[2]Renewable Diesel'!G199*'[2]RD Feedstock Breakdown'!AD$3*'[2]Feedstock Conversion Rates'!B$4)/12</f>
        <v>3.90625</v>
      </c>
      <c r="AE190" s="45">
        <f>('[2]Renewable Diesel'!G199*'[2]RD Feedstock Breakdown'!AE$3*'[2]Feedstock Conversion Rates'!B$6)/12</f>
        <v>4.885416666666667</v>
      </c>
      <c r="AF190" s="47">
        <f t="shared" si="71"/>
        <v>16.65625</v>
      </c>
      <c r="AG190" s="45">
        <f t="shared" si="111"/>
        <v>139</v>
      </c>
      <c r="AH190" s="45">
        <v>0</v>
      </c>
      <c r="AI190" s="45">
        <f>('[2]Renewable Diesel'!H199*'[2]RD Feedstock Breakdown'!AI$3*'[2]Feedstock Conversion Rates'!B$6)/12-130-20+51-120+100-40+20</f>
        <v>9.5166666666666799</v>
      </c>
      <c r="AJ190" s="47">
        <f t="shared" si="42"/>
        <v>148.51666666666668</v>
      </c>
      <c r="AK190" s="45">
        <f>('[2]Renewable Diesel'!J199*'[2]RD Feedstock Breakdown'!AK$3*'[2]Feedstock Conversion Rates'!B$4)/12</f>
        <v>95.8125</v>
      </c>
      <c r="AL190" s="47">
        <f t="shared" si="45"/>
        <v>95.8125</v>
      </c>
      <c r="AM190" s="45">
        <f>('[2]Renewable Diesel'!K199*'[2]RD Feedstock Breakdown'!AM$3*'[2]Feedstock Conversion Rates'!B$4)/12+5+15-10+4-25</f>
        <v>47.59375</v>
      </c>
      <c r="AN190" s="45">
        <f>('[2]Renewable Diesel'!K199*'[2]RD Feedstock Breakdown'!AN$3*'[2]Feedstock Conversion Rates'!B$6)/12-5-15+10-4+25</f>
        <v>35.427083333333329</v>
      </c>
      <c r="AO190" s="47">
        <f t="shared" si="56"/>
        <v>83.020833333333329</v>
      </c>
      <c r="AP190" s="45">
        <f>('[2]Renewable Diesel'!L199*'[2]RD Feedstock Breakdown'!AP$3*'[2]Feedstock Conversion Rates'!B$4)/12+15-10+14</f>
        <v>77.59375</v>
      </c>
      <c r="AQ190" s="45">
        <f>('[2]Renewable Diesel'!L199*'[2]RD Feedstock Breakdown'!AQ$3*'[2]Feedstock Conversion Rates'!B$6)/12-15+10-14</f>
        <v>5.4270833333333321</v>
      </c>
      <c r="AR190" s="47">
        <f t="shared" si="46"/>
        <v>83.020833333333329</v>
      </c>
      <c r="AS190" s="45">
        <f>('[2]Renewable Diesel'!M199*'[2]RD Feedstock Breakdown'!AS$3*'[2]Feedstock Conversion Rates'!B$4)/12</f>
        <v>456.25</v>
      </c>
      <c r="AT190" s="45">
        <f>('[2]Renewable Diesel'!M199*'[2]RD Feedstock Breakdown'!AT$3*'[2]Feedstock Conversion Rates'!B$5)/12</f>
        <v>0</v>
      </c>
      <c r="AU190" s="47">
        <f t="shared" si="74"/>
        <v>456.25</v>
      </c>
      <c r="AV190" s="45">
        <f>'[2]Renewable Diesel'!N199*'[2]RD Feedstock Breakdown'!$AV$3*'[2]Feedstock Conversion Rates'!$B$4/12-15-10+25+25-22-17.5</f>
        <v>64.249999999999986</v>
      </c>
      <c r="AW190" s="45">
        <f>'[2]Renewable Diesel'!N199*'[2]RD Feedstock Breakdown'!$AW$3*'[2]Feedstock Conversion Rates'!$B$7/12+15+10-25-25+22+17.5</f>
        <v>55.900000000000006</v>
      </c>
      <c r="AX190" s="47">
        <f t="shared" si="109"/>
        <v>120.14999999999999</v>
      </c>
      <c r="AY190" s="45">
        <f>('[2]Renewable Diesel'!O199*'[2]RD Feedstock Breakdown'!AY$3*'[2]Feedstock Conversion Rates'!B$4)/12+13+21-100</f>
        <v>144.9375</v>
      </c>
      <c r="AZ190" s="45">
        <f>('[2]Renewable Diesel'!O199*'[2]RD Feedstock Breakdown'!AZ$3*'[2]Feedstock Conversion Rates'!B$3)/12-13-21+100</f>
        <v>91.03125</v>
      </c>
      <c r="BA190" s="47">
        <f t="shared" si="87"/>
        <v>235.96875</v>
      </c>
      <c r="BB190" s="45">
        <f>('[2]Renewable Diesel'!Q199*'[2]RD Feedstock Breakdown'!BB$3*'[2]Feedstock Conversion Rates'!B$4)/12</f>
        <v>11.156249999999998</v>
      </c>
      <c r="BC190" s="45">
        <f>('[2]Renewable Diesel'!Q199*'[2]RD Feedstock Breakdown'!BC$3*'[2]Feedstock Conversion Rates'!B$3)/12</f>
        <v>1.4017500000000001</v>
      </c>
      <c r="BD190" s="45">
        <f>('[2]Renewable Diesel'!Q199*'[2]RD Feedstock Breakdown'!BD$3*'[2]Feedstock Conversion Rates'!B$6)/12</f>
        <v>0.8207500000000002</v>
      </c>
      <c r="BE190" s="47">
        <f t="shared" si="64"/>
        <v>13.378749999999998</v>
      </c>
      <c r="BF190" s="45">
        <f>('[2]Renewable Diesel'!R199*'[2]RD Feedstock Breakdown'!BF$3*'[2]Feedstock Conversion Rates'!B$4)/12</f>
        <v>62.5</v>
      </c>
      <c r="BG190" s="47">
        <f t="shared" si="47"/>
        <v>62.5</v>
      </c>
      <c r="BH190" s="45">
        <f>('[2]Renewable Diesel'!T199*'[2]RD Feedstock Breakdown'!BH$3*'[2]Feedstock Conversion Rates'!B$7)/12</f>
        <v>27.599999999999998</v>
      </c>
      <c r="BI190" s="47">
        <f t="shared" si="112"/>
        <v>27.599999999999998</v>
      </c>
      <c r="BJ190" s="45">
        <f>('[2]Renewable Diesel'!W199*'[2]RD Feedstock Breakdown'!BJ$3*'[2]Feedstock Conversion Rates'!B$4)/12</f>
        <v>7.5</v>
      </c>
      <c r="BK190" s="45">
        <f>('[2]Renewable Diesel'!W199*'[2]RD Feedstock Breakdown'!BK$3*'[2]Feedstock Conversion Rates'!B$3)/12</f>
        <v>1.335</v>
      </c>
      <c r="BL190" s="45">
        <f>('[2]Renewable Diesel'!W199*'[2]RD Feedstock Breakdown'!BL$3*'[2]Feedstock Conversion Rates'!B$6)/12</f>
        <v>3.1266666666666669</v>
      </c>
      <c r="BM190" s="45">
        <f>('[2]Renewable Diesel'!W199*'[2]RD Feedstock Breakdown'!BM$3*'[2]Feedstock Conversion Rates'!B$7)/12</f>
        <v>1.5333333333333332</v>
      </c>
      <c r="BN190" s="47">
        <f t="shared" si="78"/>
        <v>13.495000000000001</v>
      </c>
      <c r="BO190" s="45">
        <f>('[2]Renewable Diesel'!P199*'[2]Feedstock Conversion Rates'!B$4)/12</f>
        <v>31.25</v>
      </c>
      <c r="BP190" s="47">
        <f t="shared" si="72"/>
        <v>31.25</v>
      </c>
      <c r="BQ190" s="45">
        <f>('[2]Renewable Diesel'!$S199*'[2]RD Feedstock Breakdown'!BQ$3*'[2]Feedstock Conversion Rates'!B$4)/12+10</f>
        <v>38.125</v>
      </c>
      <c r="BR190" s="45">
        <f>('[2]Renewable Diesel'!$S199*'[2]RD Feedstock Breakdown'!BR$3*'[2]Feedstock Conversion Rates'!B$7)/12-10</f>
        <v>1.5</v>
      </c>
      <c r="BS190" s="47">
        <f t="shared" si="90"/>
        <v>39.625</v>
      </c>
      <c r="BT190" s="47"/>
      <c r="BU190" s="45">
        <f>('[2]Renewable Diesel'!Y199*'[2]Feedstock Conversion Rates'!B$7)/12</f>
        <v>2.6833333333333331</v>
      </c>
      <c r="BV190" s="47">
        <f t="shared" si="67"/>
        <v>2.6833333333333331</v>
      </c>
      <c r="BW190" s="45">
        <f>('[2]Renewable Diesel'!$Z199*'[2]RD Feedstock Breakdown'!BW$3*'[2]Feedstock Conversion Rates'!$B$4)/12</f>
        <v>35.9375</v>
      </c>
      <c r="BX190" s="45">
        <f>('[2]Renewable Diesel'!$Z199*'[2]RD Feedstock Breakdown'!BX$3*'[2]Feedstock Conversion Rates'!$B$5)/12</f>
        <v>3.6177083333333333</v>
      </c>
      <c r="BY190" s="45">
        <f>('[2]Renewable Diesel'!$Z199*'[2]RD Feedstock Breakdown'!BY$3*'[2]Feedstock Conversion Rates'!$B$7)/12</f>
        <v>30.858333333333331</v>
      </c>
      <c r="BZ190" s="45">
        <f>('[2]Renewable Diesel'!$Z199*'[2]RD Feedstock Breakdown'!BZ$3*'[2]Feedstock Conversion Rates'!$B$3)/12</f>
        <v>7.6762499999999996</v>
      </c>
      <c r="CA190" s="47">
        <f t="shared" si="91"/>
        <v>78.089791666666656</v>
      </c>
      <c r="CB190" s="45">
        <f>('[2]Renewable Diesel'!AA199*'[2]Feedstock Conversion Rates'!B$4)/12</f>
        <v>191.25</v>
      </c>
      <c r="CC190" s="47">
        <f t="shared" si="79"/>
        <v>191.25</v>
      </c>
      <c r="CD190" s="45">
        <f>('[2]Renewable Diesel'!$AB199*'[2]RD Feedstock Breakdown'!CD$3*'[2]Feedstock Conversion Rates'!$B$6)/12-15</f>
        <v>17.830000000000005</v>
      </c>
      <c r="CE190" s="45">
        <f>('[2]Renewable Diesel'!$AB199*'[2]RD Feedstock Breakdown'!CE$3*'[2]Feedstock Conversion Rates'!$B$4)/12+15</f>
        <v>26.25</v>
      </c>
      <c r="CF190" s="47">
        <f t="shared" si="76"/>
        <v>44.080000000000005</v>
      </c>
      <c r="CG190" s="45">
        <f>('[2]Renewable Diesel'!AD199*'[2]Feedstock Conversion Rates'!B$4)/12</f>
        <v>112.5</v>
      </c>
      <c r="CH190" s="47">
        <f t="shared" si="63"/>
        <v>112.5</v>
      </c>
      <c r="CI190" s="45">
        <f>('[2]Renewable Diesel'!$AE199*'[2]RD Feedstock Breakdown'!CI$3*'[2]Feedstock Conversion Rates'!$B$5)/12</f>
        <v>0.34604166666666664</v>
      </c>
      <c r="CJ190" s="45">
        <f>('[2]Renewable Diesel'!$AE199*'[2]RD Feedstock Breakdown'!CJ$3*'[2]Feedstock Conversion Rates'!$B$4)/12</f>
        <v>0.34375</v>
      </c>
      <c r="CK190" s="47">
        <f t="shared" si="73"/>
        <v>0.68979166666666658</v>
      </c>
      <c r="CL190" s="45">
        <f>(((CL$3*'[2]Renewable Diesel'!$AF199)*'[2]Feedstock Conversion Rates'!$B$3)/12)</f>
        <v>91.78125</v>
      </c>
      <c r="CM190" s="45">
        <f>(((CM$3*'[2]Renewable Diesel'!$AF199)*'[2]Feedstock Conversion Rates'!$B$6)/12)-32.5</f>
        <v>21.239583333333336</v>
      </c>
      <c r="CN190" s="45">
        <f>(((CN$3*'[2]Renewable Diesel'!$AF199)*'[2]Feedstock Conversion Rates'!$B$4)/12)+32.5</f>
        <v>75.46875</v>
      </c>
      <c r="CO190" s="47">
        <f t="shared" si="65"/>
        <v>188.48958333333334</v>
      </c>
      <c r="CP190" s="45">
        <f>('[2]Renewable Diesel'!$AG199*'[2]RD Feedstock Breakdown'!CP$3*'[2]Feedstock Conversion Rates'!$B$3)/12</f>
        <v>6.0075000000000003</v>
      </c>
      <c r="CQ190" s="45">
        <f>('[2]Renewable Diesel'!$AG199*'[2]RD Feedstock Breakdown'!CQ$3*'[2]Feedstock Conversion Rates'!$B$6)/12</f>
        <v>3.5175000000000001</v>
      </c>
      <c r="CR190" s="45">
        <f>('[2]Renewable Diesel'!$AG199*'[2]RD Feedstock Breakdown'!CR$3*'[2]Feedstock Conversion Rates'!$B$4)/12</f>
        <v>2.8125</v>
      </c>
      <c r="CS190" s="47">
        <f t="shared" si="99"/>
        <v>12.3375</v>
      </c>
      <c r="CT190" s="45">
        <f>('[2]Renewable Diesel'!AI199*'[2]Feedstock Conversion Rates'!$B$4*'[2]RD Feedstock Breakdown'!$CT$3)/12</f>
        <v>29.375</v>
      </c>
      <c r="CU190" s="47">
        <f t="shared" si="69"/>
        <v>29.375</v>
      </c>
      <c r="CV190" s="47"/>
      <c r="CW190" s="47"/>
      <c r="CX190" s="45">
        <f>('[2]Renewable Diesel'!AO199*'[2]RD Feedstock Breakdown'!$CX$3*'[2]Feedstock Conversion Rates'!$B$3)/12</f>
        <v>6.3412499999999996</v>
      </c>
      <c r="CY190" s="45">
        <f>('[2]Renewable Diesel'!AO199*'[2]RD Feedstock Breakdown'!$CY$3*'[2]Feedstock Conversion Rates'!$B$6)/12</f>
        <v>7.4258333333333342</v>
      </c>
      <c r="CZ190" s="47">
        <f t="shared" si="100"/>
        <v>13.767083333333334</v>
      </c>
      <c r="DA190" s="47"/>
      <c r="DB190" s="47"/>
      <c r="DC190" s="47"/>
      <c r="DD190" s="47"/>
      <c r="DE190" s="47"/>
      <c r="DF190" s="45">
        <f>('[2]Renewable Diesel'!AR199*'[2]Feedstock Conversion Rates'!$B$4*$DF$3)/12</f>
        <v>75</v>
      </c>
      <c r="DG190" s="47">
        <f t="shared" si="101"/>
        <v>75</v>
      </c>
      <c r="DH190" s="45">
        <f>('[2]Renewable Diesel'!AS199*'[2]Feedstock Conversion Rates'!$B$4*$DH$3)/12</f>
        <v>75</v>
      </c>
      <c r="DI190" s="47">
        <f t="shared" si="110"/>
        <v>75</v>
      </c>
      <c r="DJ190" s="45">
        <f>('[2]Renewable Diesel'!AT199*'[2]Feedstock Conversion Rates'!$B$4*0.25)/12</f>
        <v>8.59375</v>
      </c>
      <c r="DK190" s="45">
        <f>('[2]Renewable Diesel'!$AT199*'[2]RD Feedstock Breakdown'!DK$3*'[2]Feedstock Conversion Rates'!$B$3)/12*0.5</f>
        <v>9.1781249999999996</v>
      </c>
      <c r="DL190" s="45">
        <f>('[2]Renewable Diesel'!$AT199*'[2]RD Feedstock Breakdown'!$DL$3*'[2]Feedstock Conversion Rates'!$B$6)/12</f>
        <v>10.747916666666669</v>
      </c>
      <c r="DM190" s="45">
        <f>('[2]Renewable Diesel'!$AT199*'[2]RD Feedstock Breakdown'!$DM$3*'[2]Feedstock Conversion Rates'!$B$8)/12</f>
        <v>10.7421875</v>
      </c>
      <c r="DN190" s="47">
        <f t="shared" si="77"/>
        <v>39.26197916666667</v>
      </c>
      <c r="DP190" s="45">
        <f t="shared" si="48"/>
        <v>99.220250000000007</v>
      </c>
      <c r="DQ190" s="45">
        <f t="shared" si="49"/>
        <v>462.59964249999996</v>
      </c>
      <c r="DR190" s="45">
        <f t="shared" si="57"/>
        <v>1883.0625</v>
      </c>
      <c r="DS190" s="45">
        <f t="shared" si="70"/>
        <v>317.24708333333331</v>
      </c>
      <c r="DT190" s="45">
        <f t="shared" si="50"/>
        <v>209.1746500000001</v>
      </c>
      <c r="DU190" s="45">
        <f t="shared" si="51"/>
        <v>173.29776666666669</v>
      </c>
      <c r="DV190" s="45">
        <f t="shared" si="58"/>
        <v>5.6750000000000007</v>
      </c>
      <c r="DW190" s="45">
        <f t="shared" si="52"/>
        <v>2.25</v>
      </c>
      <c r="DX190" s="47">
        <f t="shared" si="53"/>
        <v>3152.5268924999996</v>
      </c>
      <c r="DY190" s="50">
        <f t="shared" si="54"/>
        <v>3.4106051316484809E-13</v>
      </c>
      <c r="EA190" s="51">
        <f t="shared" si="80"/>
        <v>3.1473244601354346E-2</v>
      </c>
      <c r="EB190" s="51">
        <f t="shared" si="80"/>
        <v>0.14673931683201336</v>
      </c>
      <c r="EC190" s="51">
        <f t="shared" si="80"/>
        <v>0.59731845729211341</v>
      </c>
      <c r="ED190" s="51">
        <f t="shared" si="80"/>
        <v>0.10063263348778344</v>
      </c>
      <c r="EE190" s="51">
        <f t="shared" si="80"/>
        <v>6.6351424470838236E-2</v>
      </c>
      <c r="EF190" s="51">
        <f t="shared" si="80"/>
        <v>5.4971066885725769E-2</v>
      </c>
      <c r="EG190" s="51">
        <f t="shared" si="80"/>
        <v>1.8001432481039499E-3</v>
      </c>
      <c r="EH190" s="52">
        <f t="shared" si="59"/>
        <v>7.1371318206764518E-4</v>
      </c>
      <c r="EI190" s="51">
        <f t="shared" si="60"/>
        <v>0.99928628681793241</v>
      </c>
      <c r="EK190" s="53">
        <f>(EA190*'[2]Renewable Diesel'!BF199*'[2]Feedstock Conversion Rates'!B$2)+FB190</f>
        <v>65.487777237113093</v>
      </c>
      <c r="EL190" s="53">
        <f>(EB190*'[2]Renewable Diesel'!BF199*'[2]Feedstock Conversion Rates'!B$3)+FC190</f>
        <v>287.72580659746757</v>
      </c>
      <c r="EM190" s="53">
        <f>(EC190*'[2]Renewable Diesel'!BF199*'[2]Feedstock Conversion Rates'!B$4)+FD190</f>
        <v>1096.6473802139351</v>
      </c>
      <c r="EN190" s="53">
        <f>(ED190*'[2]Renewable Diesel'!BF199*'[2]Feedstock Conversion Rates'!B$5)+FE190</f>
        <v>185.98828806981464</v>
      </c>
      <c r="EO190" s="53">
        <f>(EE190*'[2]Renewable Diesel'!BF199*'[2]Feedstock Conversion Rates'!B$6)+FF190</f>
        <v>152.35366172571014</v>
      </c>
      <c r="EP190" s="53">
        <f>(EF190*'[2]Renewable Diesel'!BF199*'[2]Feedstock Conversion Rates'!B$7)+FG190</f>
        <v>123.80032949302655</v>
      </c>
      <c r="EQ190" s="53">
        <f>(EG190*'[2]Renewable Diesel'!BF199*'[2]Feedstock Conversion Rates'!B$8)+FH190</f>
        <v>4.1312183495728911</v>
      </c>
      <c r="ER190" s="53">
        <f>(EH190*'[2]Renewable Diesel'!BF199*'[2]Feedstock Conversion Rates'!B$9)+FI190</f>
        <v>1.6160889402734482</v>
      </c>
      <c r="ES190" s="53">
        <f t="shared" si="61"/>
        <v>1917.7505506269135</v>
      </c>
      <c r="ET190" s="36">
        <f>ES190/'[2]Renewable Diesel'!BF199</f>
        <v>7.834157686229795</v>
      </c>
    </row>
    <row r="191" spans="1:150" x14ac:dyDescent="0.25">
      <c r="A191" s="39">
        <v>46235</v>
      </c>
      <c r="B191" s="45">
        <f t="shared" si="104"/>
        <v>1.25</v>
      </c>
      <c r="C191" s="45">
        <f t="shared" si="105"/>
        <v>107</v>
      </c>
      <c r="D191" s="45">
        <f t="shared" si="106"/>
        <v>1.25</v>
      </c>
      <c r="E191" s="45">
        <f>('[2]Renewable Diesel'!B200*E$3*'[2]Feedstock Conversion Rates'!$B$2)/12-50+3+14-0.75+14-41+7.25+21+73+20.5-11-8.5-3+4-47-4</f>
        <v>81.430000000000007</v>
      </c>
      <c r="F191" s="45">
        <f>('[2]Renewable Diesel'!B200*'[2]RD Feedstock Breakdown'!F$3*'[2]Feedstock Conversion Rates'!B$8)/12-22+4-3+5+4+5-35+14+6.5+14+2-33+9-20</f>
        <v>4.40625</v>
      </c>
      <c r="G191" s="45">
        <f>('[2]Renewable Diesel'!B200*'[2]RD Feedstock Breakdown'!G$3*'[2]Feedstock Conversion Rates'!B$7)/12+20+80-100-124-20+20+70+20-10-80-12.5-15-10</f>
        <v>14.657000000000039</v>
      </c>
      <c r="H191" s="45">
        <f>('[2]Renewable Diesel'!B200*'[2]RD Feedstock Breakdown'!H$3*'[2]Feedstock Conversion Rates'!B$3)/12-85+4+10-72+17+30+45+5-12.5-7.5-5+175+6</f>
        <v>286.40022499999998</v>
      </c>
      <c r="I191" s="47">
        <f t="shared" si="75"/>
        <v>496.39347500000002</v>
      </c>
      <c r="J191" s="45">
        <f t="shared" si="108"/>
        <v>86.5</v>
      </c>
      <c r="K191" s="45">
        <v>50</v>
      </c>
      <c r="L191" s="45">
        <v>1</v>
      </c>
      <c r="M191" s="45">
        <f>('[2]Renewable Diesel'!C200*'[2]RD Feedstock Breakdown'!M$3*'[2]Feedstock Conversion Rates'!B$2)/12-10-15-30+10-2+32+25</f>
        <v>17.79025</v>
      </c>
      <c r="N191" s="45">
        <f>('[2]Renewable Diesel'!C200*'[2]RD Feedstock Breakdown'!N$3*'[2]Feedstock Conversion Rates'!B$8)/12-2+6+5-5-7-1+1+6+7.5-17.5-15-7.5</f>
        <v>-25.828125</v>
      </c>
      <c r="O191" s="45">
        <f>('[2]Renewable Diesel'!C200*'[2]RD Feedstock Breakdown'!O$3*'[2]Feedstock Conversion Rates'!B$7)/12+15-105-5+5+25+15-2.5-27.5+11</f>
        <v>-57.000900000000001</v>
      </c>
      <c r="P191" s="45">
        <f>('[2]Renewable Diesel'!C200*'[2]RD Feedstock Breakdown'!P$3*'[2]Feedstock Conversion Rates'!B$3)/12-5-10-12+20-77+10+27.5+17.5+77.5-90-2.5-5</f>
        <v>-38.552957499999991</v>
      </c>
      <c r="Q191" s="47">
        <f t="shared" si="85"/>
        <v>33.908267500000022</v>
      </c>
      <c r="R191" s="45">
        <f>('[2]Renewable Diesel'!D200*'[2]RD Feedstock Breakdown'!R$3*'[2]Feedstock Conversion Rates'!B$7)/12</f>
        <v>2.2999999999999998</v>
      </c>
      <c r="S191" s="47">
        <f t="shared" si="44"/>
        <v>2.2999999999999998</v>
      </c>
      <c r="T191" s="45">
        <f t="shared" si="103"/>
        <v>0.82499999999999929</v>
      </c>
      <c r="U191" s="45">
        <v>0</v>
      </c>
      <c r="V191" s="45">
        <f>('[2]Renewable Diesel'!E200*'[2]RD Feedstock Breakdown'!V$3*'[2]Feedstock Conversion Rates'!B$6)/12-20+25</f>
        <v>49.250150000000012</v>
      </c>
      <c r="W191" s="45">
        <f>('[2]Renewable Diesel'!E200*'[2]RD Feedstock Breakdown'!W$3*'[2]Feedstock Conversion Rates'!B$8)/12-5.825</f>
        <v>16.354687500000001</v>
      </c>
      <c r="X191" s="47">
        <f t="shared" si="62"/>
        <v>66.429837500000005</v>
      </c>
      <c r="Y191" s="45">
        <f t="shared" si="107"/>
        <v>130.5</v>
      </c>
      <c r="Z191" s="45">
        <f>('[2]Renewable Diesel'!F200*'[2]RD Feedstock Breakdown'!Z$3*'[2]Feedstock Conversion Rates'!B$6)/12-50-32-60+15+30+22.5-15-25-20+20-10+5</f>
        <v>39.960000000000008</v>
      </c>
      <c r="AA191" s="45">
        <f>('[2]Renewable Diesel'!F200*'[2]RD Feedstock Breakdown'!AA$3*'[2]Feedstock Conversion Rates'!B$7)/12+80-171+75+50+20-65</f>
        <v>93.266666666666652</v>
      </c>
      <c r="AB191" s="47">
        <f t="shared" si="102"/>
        <v>263.72666666666669</v>
      </c>
      <c r="AC191" s="45">
        <f>('[2]Renewable Diesel'!G200*'[2]RD Feedstock Breakdown'!AC$3*'[2]Feedstock Conversion Rates'!B$5)/12</f>
        <v>7.864583333333333</v>
      </c>
      <c r="AD191" s="45">
        <f>('[2]Renewable Diesel'!G200*'[2]RD Feedstock Breakdown'!AD$3*'[2]Feedstock Conversion Rates'!B$4)/12</f>
        <v>3.90625</v>
      </c>
      <c r="AE191" s="45">
        <f>('[2]Renewable Diesel'!G200*'[2]RD Feedstock Breakdown'!AE$3*'[2]Feedstock Conversion Rates'!B$6)/12</f>
        <v>4.885416666666667</v>
      </c>
      <c r="AF191" s="47">
        <f t="shared" si="71"/>
        <v>16.65625</v>
      </c>
      <c r="AG191" s="45">
        <f t="shared" si="111"/>
        <v>139</v>
      </c>
      <c r="AH191" s="45">
        <v>0</v>
      </c>
      <c r="AI191" s="45">
        <f>('[2]Renewable Diesel'!H200*'[2]RD Feedstock Breakdown'!AI$3*'[2]Feedstock Conversion Rates'!B$6)/12-130-20+51-120+100-40+20</f>
        <v>9.5166666666666799</v>
      </c>
      <c r="AJ191" s="47">
        <f t="shared" si="42"/>
        <v>148.51666666666668</v>
      </c>
      <c r="AK191" s="45">
        <f>('[2]Renewable Diesel'!J200*'[2]RD Feedstock Breakdown'!AK$3*'[2]Feedstock Conversion Rates'!B$4)/12</f>
        <v>95.8125</v>
      </c>
      <c r="AL191" s="47">
        <f t="shared" si="45"/>
        <v>95.8125</v>
      </c>
      <c r="AM191" s="45">
        <f>('[2]Renewable Diesel'!K200*'[2]RD Feedstock Breakdown'!AM$3*'[2]Feedstock Conversion Rates'!B$4)/12+5+15-10+4-25</f>
        <v>47.59375</v>
      </c>
      <c r="AN191" s="45">
        <f>('[2]Renewable Diesel'!K200*'[2]RD Feedstock Breakdown'!AN$3*'[2]Feedstock Conversion Rates'!B$6)/12-5-15+10-4+25</f>
        <v>35.427083333333329</v>
      </c>
      <c r="AO191" s="47">
        <f t="shared" si="56"/>
        <v>83.020833333333329</v>
      </c>
      <c r="AP191" s="45">
        <f>('[2]Renewable Diesel'!L200*'[2]RD Feedstock Breakdown'!AP$3*'[2]Feedstock Conversion Rates'!B$4)/12+15-10+14</f>
        <v>77.59375</v>
      </c>
      <c r="AQ191" s="45">
        <f>('[2]Renewable Diesel'!L200*'[2]RD Feedstock Breakdown'!AQ$3*'[2]Feedstock Conversion Rates'!B$6)/12-15+10-14</f>
        <v>5.4270833333333321</v>
      </c>
      <c r="AR191" s="47">
        <f t="shared" si="46"/>
        <v>83.020833333333329</v>
      </c>
      <c r="AS191" s="45">
        <f>('[2]Renewable Diesel'!M200*'[2]RD Feedstock Breakdown'!AS$3*'[2]Feedstock Conversion Rates'!B$4)/12</f>
        <v>456.25</v>
      </c>
      <c r="AT191" s="45">
        <f>('[2]Renewable Diesel'!M200*'[2]RD Feedstock Breakdown'!AT$3*'[2]Feedstock Conversion Rates'!B$5)/12</f>
        <v>0</v>
      </c>
      <c r="AU191" s="47">
        <f t="shared" si="74"/>
        <v>456.25</v>
      </c>
      <c r="AV191" s="45">
        <f>'[2]Renewable Diesel'!N200*'[2]RD Feedstock Breakdown'!$AV$3*'[2]Feedstock Conversion Rates'!$B$4/12-15-10+25+25-22-17.5</f>
        <v>64.249999999999986</v>
      </c>
      <c r="AW191" s="45">
        <f>'[2]Renewable Diesel'!N200*'[2]RD Feedstock Breakdown'!$AW$3*'[2]Feedstock Conversion Rates'!$B$7/12+15+10-25-25+22+17.5</f>
        <v>55.900000000000006</v>
      </c>
      <c r="AX191" s="47">
        <f t="shared" si="109"/>
        <v>120.14999999999999</v>
      </c>
      <c r="AY191" s="45">
        <f>('[2]Renewable Diesel'!O200*'[2]RD Feedstock Breakdown'!AY$3*'[2]Feedstock Conversion Rates'!B$4)/12+13+21-100</f>
        <v>144.9375</v>
      </c>
      <c r="AZ191" s="45">
        <f>('[2]Renewable Diesel'!O200*'[2]RD Feedstock Breakdown'!AZ$3*'[2]Feedstock Conversion Rates'!B$3)/12-13-21+100</f>
        <v>91.03125</v>
      </c>
      <c r="BA191" s="47">
        <f t="shared" si="87"/>
        <v>235.96875</v>
      </c>
      <c r="BB191" s="45">
        <f>('[2]Renewable Diesel'!Q200*'[2]RD Feedstock Breakdown'!BB$3*'[2]Feedstock Conversion Rates'!B$4)/12</f>
        <v>11.156249999999998</v>
      </c>
      <c r="BC191" s="45">
        <f>('[2]Renewable Diesel'!Q200*'[2]RD Feedstock Breakdown'!BC$3*'[2]Feedstock Conversion Rates'!B$3)/12</f>
        <v>1.4017500000000001</v>
      </c>
      <c r="BD191" s="45">
        <f>('[2]Renewable Diesel'!Q200*'[2]RD Feedstock Breakdown'!BD$3*'[2]Feedstock Conversion Rates'!B$6)/12</f>
        <v>0.8207500000000002</v>
      </c>
      <c r="BE191" s="47">
        <f t="shared" si="64"/>
        <v>13.378749999999998</v>
      </c>
      <c r="BF191" s="45">
        <f>('[2]Renewable Diesel'!R200*'[2]RD Feedstock Breakdown'!BF$3*'[2]Feedstock Conversion Rates'!B$4)/12</f>
        <v>62.5</v>
      </c>
      <c r="BG191" s="47">
        <f t="shared" si="47"/>
        <v>62.5</v>
      </c>
      <c r="BH191" s="45">
        <f>('[2]Renewable Diesel'!T200*'[2]RD Feedstock Breakdown'!BH$3*'[2]Feedstock Conversion Rates'!B$7)/12</f>
        <v>27.599999999999998</v>
      </c>
      <c r="BI191" s="47">
        <f t="shared" si="112"/>
        <v>27.599999999999998</v>
      </c>
      <c r="BJ191" s="45">
        <f>('[2]Renewable Diesel'!W200*'[2]RD Feedstock Breakdown'!BJ$3*'[2]Feedstock Conversion Rates'!B$4)/12</f>
        <v>7.5</v>
      </c>
      <c r="BK191" s="45">
        <f>('[2]Renewable Diesel'!W200*'[2]RD Feedstock Breakdown'!BK$3*'[2]Feedstock Conversion Rates'!B$3)/12</f>
        <v>1.335</v>
      </c>
      <c r="BL191" s="45">
        <f>('[2]Renewable Diesel'!W200*'[2]RD Feedstock Breakdown'!BL$3*'[2]Feedstock Conversion Rates'!B$6)/12</f>
        <v>3.1266666666666669</v>
      </c>
      <c r="BM191" s="45">
        <f>('[2]Renewable Diesel'!W200*'[2]RD Feedstock Breakdown'!BM$3*'[2]Feedstock Conversion Rates'!B$7)/12</f>
        <v>1.5333333333333332</v>
      </c>
      <c r="BN191" s="47">
        <f t="shared" si="78"/>
        <v>13.495000000000001</v>
      </c>
      <c r="BO191" s="45">
        <f>('[2]Renewable Diesel'!P200*'[2]Feedstock Conversion Rates'!B$4)/12</f>
        <v>31.25</v>
      </c>
      <c r="BP191" s="47">
        <f t="shared" si="72"/>
        <v>31.25</v>
      </c>
      <c r="BQ191" s="45">
        <f>('[2]Renewable Diesel'!$S200*'[2]RD Feedstock Breakdown'!BQ$3*'[2]Feedstock Conversion Rates'!B$4)/12+10</f>
        <v>38.125</v>
      </c>
      <c r="BR191" s="45">
        <f>('[2]Renewable Diesel'!$S200*'[2]RD Feedstock Breakdown'!BR$3*'[2]Feedstock Conversion Rates'!B$7)/12-10</f>
        <v>1.5</v>
      </c>
      <c r="BS191" s="47">
        <f t="shared" si="90"/>
        <v>39.625</v>
      </c>
      <c r="BT191" s="47"/>
      <c r="BU191" s="45">
        <f>('[2]Renewable Diesel'!Y200*'[2]Feedstock Conversion Rates'!B$7)/12</f>
        <v>2.6833333333333331</v>
      </c>
      <c r="BV191" s="47">
        <f t="shared" si="67"/>
        <v>2.6833333333333331</v>
      </c>
      <c r="BW191" s="45">
        <f>('[2]Renewable Diesel'!$Z200*'[2]RD Feedstock Breakdown'!BW$3*'[2]Feedstock Conversion Rates'!$B$4)/12</f>
        <v>35.9375</v>
      </c>
      <c r="BX191" s="45">
        <f>('[2]Renewable Diesel'!$Z200*'[2]RD Feedstock Breakdown'!BX$3*'[2]Feedstock Conversion Rates'!$B$5)/12</f>
        <v>3.6177083333333333</v>
      </c>
      <c r="BY191" s="45">
        <f>('[2]Renewable Diesel'!$Z200*'[2]RD Feedstock Breakdown'!BY$3*'[2]Feedstock Conversion Rates'!$B$7)/12</f>
        <v>30.858333333333331</v>
      </c>
      <c r="BZ191" s="45">
        <f>('[2]Renewable Diesel'!$Z200*'[2]RD Feedstock Breakdown'!BZ$3*'[2]Feedstock Conversion Rates'!$B$3)/12</f>
        <v>7.6762499999999996</v>
      </c>
      <c r="CA191" s="47">
        <f t="shared" si="91"/>
        <v>78.089791666666656</v>
      </c>
      <c r="CB191" s="45">
        <f>('[2]Renewable Diesel'!AA200*'[2]Feedstock Conversion Rates'!B$4)/12</f>
        <v>191.25</v>
      </c>
      <c r="CC191" s="47">
        <f t="shared" si="79"/>
        <v>191.25</v>
      </c>
      <c r="CD191" s="45">
        <f>('[2]Renewable Diesel'!$AB200*'[2]RD Feedstock Breakdown'!CD$3*'[2]Feedstock Conversion Rates'!$B$6)/12-15</f>
        <v>17.830000000000005</v>
      </c>
      <c r="CE191" s="45">
        <f>('[2]Renewable Diesel'!$AB200*'[2]RD Feedstock Breakdown'!CE$3*'[2]Feedstock Conversion Rates'!$B$4)/12+15</f>
        <v>26.25</v>
      </c>
      <c r="CF191" s="47">
        <f t="shared" si="76"/>
        <v>44.080000000000005</v>
      </c>
      <c r="CG191" s="45">
        <f>('[2]Renewable Diesel'!AD200*'[2]Feedstock Conversion Rates'!B$4)/12</f>
        <v>112.5</v>
      </c>
      <c r="CH191" s="47">
        <f t="shared" si="63"/>
        <v>112.5</v>
      </c>
      <c r="CI191" s="45">
        <f>('[2]Renewable Diesel'!$AE200*'[2]RD Feedstock Breakdown'!CI$3*'[2]Feedstock Conversion Rates'!$B$5)/12</f>
        <v>0.34604166666666664</v>
      </c>
      <c r="CJ191" s="45">
        <f>('[2]Renewable Diesel'!$AE200*'[2]RD Feedstock Breakdown'!CJ$3*'[2]Feedstock Conversion Rates'!$B$4)/12</f>
        <v>0.34375</v>
      </c>
      <c r="CK191" s="47">
        <f t="shared" si="73"/>
        <v>0.68979166666666658</v>
      </c>
      <c r="CL191" s="45">
        <f>(((CL$3*'[2]Renewable Diesel'!$AF200)*'[2]Feedstock Conversion Rates'!$B$3)/12)</f>
        <v>91.78125</v>
      </c>
      <c r="CM191" s="45">
        <f>(((CM$3*'[2]Renewable Diesel'!$AF200)*'[2]Feedstock Conversion Rates'!$B$6)/12)-32.5</f>
        <v>21.239583333333336</v>
      </c>
      <c r="CN191" s="45">
        <f>(((CN$3*'[2]Renewable Diesel'!$AF200)*'[2]Feedstock Conversion Rates'!$B$4)/12)+32.5</f>
        <v>75.46875</v>
      </c>
      <c r="CO191" s="47">
        <f t="shared" si="65"/>
        <v>188.48958333333334</v>
      </c>
      <c r="CP191" s="45">
        <f>('[2]Renewable Diesel'!$AG200*'[2]RD Feedstock Breakdown'!CP$3*'[2]Feedstock Conversion Rates'!$B$3)/12</f>
        <v>6.0075000000000003</v>
      </c>
      <c r="CQ191" s="45">
        <f>('[2]Renewable Diesel'!$AG200*'[2]RD Feedstock Breakdown'!CQ$3*'[2]Feedstock Conversion Rates'!$B$6)/12</f>
        <v>3.5175000000000001</v>
      </c>
      <c r="CR191" s="45">
        <f>('[2]Renewable Diesel'!$AG200*'[2]RD Feedstock Breakdown'!CR$3*'[2]Feedstock Conversion Rates'!$B$4)/12</f>
        <v>2.8125</v>
      </c>
      <c r="CS191" s="47">
        <f t="shared" si="99"/>
        <v>12.3375</v>
      </c>
      <c r="CT191" s="45">
        <f>('[2]Renewable Diesel'!AI200*'[2]Feedstock Conversion Rates'!$B$4*'[2]RD Feedstock Breakdown'!$CT$3)/12</f>
        <v>29.375</v>
      </c>
      <c r="CU191" s="47">
        <f t="shared" si="69"/>
        <v>29.375</v>
      </c>
      <c r="CV191" s="47"/>
      <c r="CW191" s="47"/>
      <c r="CX191" s="45">
        <f>('[2]Renewable Diesel'!AO200*'[2]RD Feedstock Breakdown'!$CX$3*'[2]Feedstock Conversion Rates'!$B$3)/12</f>
        <v>6.3412499999999996</v>
      </c>
      <c r="CY191" s="45">
        <f>('[2]Renewable Diesel'!AO200*'[2]RD Feedstock Breakdown'!$CY$3*'[2]Feedstock Conversion Rates'!$B$6)/12</f>
        <v>7.4258333333333342</v>
      </c>
      <c r="CZ191" s="47">
        <f t="shared" si="100"/>
        <v>13.767083333333334</v>
      </c>
      <c r="DA191" s="47"/>
      <c r="DB191" s="47"/>
      <c r="DC191" s="47"/>
      <c r="DD191" s="47"/>
      <c r="DE191" s="47"/>
      <c r="DF191" s="45">
        <f>('[2]Renewable Diesel'!AR200*'[2]Feedstock Conversion Rates'!$B$4*$DF$3)/12</f>
        <v>75</v>
      </c>
      <c r="DG191" s="47">
        <f t="shared" si="101"/>
        <v>75</v>
      </c>
      <c r="DH191" s="45">
        <f>('[2]Renewable Diesel'!AS200*'[2]Feedstock Conversion Rates'!$B$4*$DH$3)/12</f>
        <v>75</v>
      </c>
      <c r="DI191" s="47">
        <f t="shared" si="110"/>
        <v>75</v>
      </c>
      <c r="DJ191" s="45">
        <f>('[2]Renewable Diesel'!AT200*'[2]Feedstock Conversion Rates'!$B$4*0.25)/12</f>
        <v>8.59375</v>
      </c>
      <c r="DK191" s="45">
        <f>('[2]Renewable Diesel'!$AT200*'[2]RD Feedstock Breakdown'!DK$3*'[2]Feedstock Conversion Rates'!$B$3)/12*0.5</f>
        <v>9.1781249999999996</v>
      </c>
      <c r="DL191" s="45">
        <f>('[2]Renewable Diesel'!$AT200*'[2]RD Feedstock Breakdown'!$DL$3*'[2]Feedstock Conversion Rates'!$B$6)/12</f>
        <v>10.747916666666669</v>
      </c>
      <c r="DM191" s="45">
        <f>('[2]Renewable Diesel'!$AT200*'[2]RD Feedstock Breakdown'!$DM$3*'[2]Feedstock Conversion Rates'!$B$8)/12</f>
        <v>10.7421875</v>
      </c>
      <c r="DN191" s="47">
        <f t="shared" si="77"/>
        <v>39.26197916666667</v>
      </c>
      <c r="DP191" s="45">
        <f t="shared" si="48"/>
        <v>99.220250000000007</v>
      </c>
      <c r="DQ191" s="45">
        <f t="shared" si="49"/>
        <v>462.59964249999996</v>
      </c>
      <c r="DR191" s="45">
        <f t="shared" si="57"/>
        <v>1883.0625</v>
      </c>
      <c r="DS191" s="45">
        <f t="shared" si="70"/>
        <v>317.24708333333331</v>
      </c>
      <c r="DT191" s="45">
        <f t="shared" si="50"/>
        <v>209.1746500000001</v>
      </c>
      <c r="DU191" s="45">
        <f t="shared" si="51"/>
        <v>173.29776666666669</v>
      </c>
      <c r="DV191" s="45">
        <f t="shared" si="58"/>
        <v>5.6750000000000007</v>
      </c>
      <c r="DW191" s="45">
        <f t="shared" si="52"/>
        <v>2.25</v>
      </c>
      <c r="DX191" s="47">
        <f t="shared" si="53"/>
        <v>3152.5268924999996</v>
      </c>
      <c r="DY191" s="50">
        <f t="shared" si="54"/>
        <v>3.4106051316484809E-13</v>
      </c>
      <c r="EA191" s="51">
        <f t="shared" si="80"/>
        <v>3.1473244601354346E-2</v>
      </c>
      <c r="EB191" s="51">
        <f t="shared" si="80"/>
        <v>0.14673931683201336</v>
      </c>
      <c r="EC191" s="51">
        <f t="shared" si="80"/>
        <v>0.59731845729211341</v>
      </c>
      <c r="ED191" s="51">
        <f t="shared" si="80"/>
        <v>0.10063263348778344</v>
      </c>
      <c r="EE191" s="51">
        <f t="shared" si="80"/>
        <v>6.6351424470838236E-2</v>
      </c>
      <c r="EF191" s="51">
        <f t="shared" si="80"/>
        <v>5.4971066885725769E-2</v>
      </c>
      <c r="EG191" s="51">
        <f t="shared" si="80"/>
        <v>1.8001432481039499E-3</v>
      </c>
      <c r="EH191" s="52">
        <f t="shared" si="59"/>
        <v>7.1371318206764518E-4</v>
      </c>
      <c r="EI191" s="51">
        <f t="shared" si="60"/>
        <v>0.99928628681793241</v>
      </c>
      <c r="EK191" s="53">
        <f>(EA191*'[2]Renewable Diesel'!BF200*'[2]Feedstock Conversion Rates'!B$2)+FB191</f>
        <v>67.066042211519814</v>
      </c>
      <c r="EL191" s="53">
        <f>(EB191*'[2]Renewable Diesel'!BF200*'[2]Feedstock Conversion Rates'!B$3)+FC191</f>
        <v>294.66004046436933</v>
      </c>
      <c r="EM191" s="53">
        <f>(EC191*'[2]Renewable Diesel'!BF200*'[2]Feedstock Conversion Rates'!B$4)+FD191</f>
        <v>1123.0767418824464</v>
      </c>
      <c r="EN191" s="53">
        <f>(ED191*'[2]Renewable Diesel'!BF200*'[2]Feedstock Conversion Rates'!B$5)+FE191</f>
        <v>190.47063291483261</v>
      </c>
      <c r="EO191" s="53">
        <f>(EE191*'[2]Renewable Diesel'!BF200*'[2]Feedstock Conversion Rates'!B$6)+FF191</f>
        <v>156.0254071745392</v>
      </c>
      <c r="EP191" s="53">
        <f>(EF191*'[2]Renewable Diesel'!BF200*'[2]Feedstock Conversion Rates'!B$7)+FG191</f>
        <v>126.78393547420693</v>
      </c>
      <c r="EQ191" s="53">
        <f>(EG191*'[2]Renewable Diesel'!BF200*'[2]Feedstock Conversion Rates'!B$8)+FH191</f>
        <v>4.230781313805891</v>
      </c>
      <c r="ER191" s="53">
        <f>(EH191*'[2]Renewable Diesel'!BF200*'[2]Feedstock Conversion Rates'!B$9)+FI191</f>
        <v>1.6550369192333172</v>
      </c>
      <c r="ES191" s="53">
        <f t="shared" si="61"/>
        <v>1963.9686183549532</v>
      </c>
      <c r="ET191" s="36">
        <f>ES191/'[2]Renewable Diesel'!BF200</f>
        <v>7.8341576862297932</v>
      </c>
    </row>
    <row r="192" spans="1:150" x14ac:dyDescent="0.25">
      <c r="A192" s="39">
        <v>46266</v>
      </c>
      <c r="B192" s="45">
        <f t="shared" si="104"/>
        <v>1.25</v>
      </c>
      <c r="C192" s="45">
        <f t="shared" si="105"/>
        <v>107</v>
      </c>
      <c r="D192" s="45">
        <f t="shared" si="106"/>
        <v>1.25</v>
      </c>
      <c r="E192" s="45">
        <f>('[2]Renewable Diesel'!B201*E$3*'[2]Feedstock Conversion Rates'!$B$2)/12-50+3+14-0.75+14-41+7.25+21+73+20.5-11-8.5-3+4-47-4</f>
        <v>81.430000000000007</v>
      </c>
      <c r="F192" s="45">
        <f>('[2]Renewable Diesel'!B201*'[2]RD Feedstock Breakdown'!F$3*'[2]Feedstock Conversion Rates'!B$8)/12-22+4-3+5+4+5-35+14+6.5+14+2-33+9-20</f>
        <v>4.40625</v>
      </c>
      <c r="G192" s="45">
        <f>('[2]Renewable Diesel'!B201*'[2]RD Feedstock Breakdown'!G$3*'[2]Feedstock Conversion Rates'!B$7)/12+20+80-100-124-20+20+70+20-10-80-12.5-15-10</f>
        <v>14.657000000000039</v>
      </c>
      <c r="H192" s="45">
        <f>('[2]Renewable Diesel'!B201*'[2]RD Feedstock Breakdown'!H$3*'[2]Feedstock Conversion Rates'!B$3)/12-85+4+10-72+17+30+45+5-12.5-7.5-5+175+6</f>
        <v>286.40022499999998</v>
      </c>
      <c r="I192" s="47">
        <f t="shared" si="75"/>
        <v>496.39347500000002</v>
      </c>
      <c r="J192" s="45">
        <f t="shared" si="108"/>
        <v>86.5</v>
      </c>
      <c r="K192" s="45">
        <v>50</v>
      </c>
      <c r="L192" s="45">
        <v>1</v>
      </c>
      <c r="M192" s="45">
        <f>('[2]Renewable Diesel'!C201*'[2]RD Feedstock Breakdown'!M$3*'[2]Feedstock Conversion Rates'!B$2)/12-10-15-30+10-2+32+25</f>
        <v>17.79025</v>
      </c>
      <c r="N192" s="45">
        <f>('[2]Renewable Diesel'!C201*'[2]RD Feedstock Breakdown'!N$3*'[2]Feedstock Conversion Rates'!B$8)/12-2+6+5-5-7-1+1+6+7.5-17.5-15-7.5</f>
        <v>-25.828125</v>
      </c>
      <c r="O192" s="45">
        <f>('[2]Renewable Diesel'!C201*'[2]RD Feedstock Breakdown'!O$3*'[2]Feedstock Conversion Rates'!B$7)/12+15-105-5+5+25+15-2.5-27.5+11</f>
        <v>-57.000900000000001</v>
      </c>
      <c r="P192" s="45">
        <f>('[2]Renewable Diesel'!C201*'[2]RD Feedstock Breakdown'!P$3*'[2]Feedstock Conversion Rates'!B$3)/12-5-10-12+20-77+10+27.5+17.5+77.5-90-2.5-5</f>
        <v>-38.552957499999991</v>
      </c>
      <c r="Q192" s="47">
        <f t="shared" si="85"/>
        <v>33.908267500000022</v>
      </c>
      <c r="R192" s="45">
        <f>('[2]Renewable Diesel'!D201*'[2]RD Feedstock Breakdown'!R$3*'[2]Feedstock Conversion Rates'!B$7)/12</f>
        <v>2.2999999999999998</v>
      </c>
      <c r="S192" s="47">
        <f t="shared" si="44"/>
        <v>2.2999999999999998</v>
      </c>
      <c r="T192" s="45">
        <f t="shared" si="103"/>
        <v>0.82499999999999929</v>
      </c>
      <c r="U192" s="45">
        <v>0</v>
      </c>
      <c r="V192" s="45">
        <f>('[2]Renewable Diesel'!E201*'[2]RD Feedstock Breakdown'!V$3*'[2]Feedstock Conversion Rates'!B$6)/12-20+25</f>
        <v>49.250150000000012</v>
      </c>
      <c r="W192" s="45">
        <f>('[2]Renewable Diesel'!E201*'[2]RD Feedstock Breakdown'!W$3*'[2]Feedstock Conversion Rates'!B$8)/12-5.825</f>
        <v>16.354687500000001</v>
      </c>
      <c r="X192" s="47">
        <f t="shared" si="62"/>
        <v>66.429837500000005</v>
      </c>
      <c r="Y192" s="45">
        <f t="shared" si="107"/>
        <v>130.5</v>
      </c>
      <c r="Z192" s="45">
        <f>('[2]Renewable Diesel'!F201*'[2]RD Feedstock Breakdown'!Z$3*'[2]Feedstock Conversion Rates'!B$6)/12-50-32-60+15+30+22.5-15-25-20+20-10+5</f>
        <v>39.960000000000008</v>
      </c>
      <c r="AA192" s="45">
        <f>('[2]Renewable Diesel'!F201*'[2]RD Feedstock Breakdown'!AA$3*'[2]Feedstock Conversion Rates'!B$7)/12+80-171+75+50+20-65</f>
        <v>93.266666666666652</v>
      </c>
      <c r="AB192" s="47">
        <f t="shared" si="102"/>
        <v>263.72666666666669</v>
      </c>
      <c r="AC192" s="45">
        <f>('[2]Renewable Diesel'!G201*'[2]RD Feedstock Breakdown'!AC$3*'[2]Feedstock Conversion Rates'!B$5)/12</f>
        <v>11.796875</v>
      </c>
      <c r="AD192" s="45">
        <f>('[2]Renewable Diesel'!G201*'[2]RD Feedstock Breakdown'!AD$3*'[2]Feedstock Conversion Rates'!B$4)/12</f>
        <v>5.859375</v>
      </c>
      <c r="AE192" s="45">
        <f>('[2]Renewable Diesel'!G201*'[2]RD Feedstock Breakdown'!AE$3*'[2]Feedstock Conversion Rates'!B$6)/12</f>
        <v>7.3281250000000009</v>
      </c>
      <c r="AF192" s="47">
        <f t="shared" si="71"/>
        <v>24.984375</v>
      </c>
      <c r="AG192" s="45">
        <f t="shared" si="111"/>
        <v>139</v>
      </c>
      <c r="AH192" s="45">
        <v>0</v>
      </c>
      <c r="AI192" s="45">
        <f>('[2]Renewable Diesel'!H201*'[2]RD Feedstock Breakdown'!AI$3*'[2]Feedstock Conversion Rates'!B$6)/12-130-20+51-120+100-40+20</f>
        <v>9.5166666666666799</v>
      </c>
      <c r="AJ192" s="47">
        <f t="shared" ref="AJ192:AJ255" si="113">AI192+AG192</f>
        <v>148.51666666666668</v>
      </c>
      <c r="AK192" s="45">
        <f>('[2]Renewable Diesel'!J201*'[2]RD Feedstock Breakdown'!AK$3*'[2]Feedstock Conversion Rates'!B$4)/12</f>
        <v>95.8125</v>
      </c>
      <c r="AL192" s="47">
        <f t="shared" si="45"/>
        <v>95.8125</v>
      </c>
      <c r="AM192" s="45">
        <f>('[2]Renewable Diesel'!K201*'[2]RD Feedstock Breakdown'!AM$3*'[2]Feedstock Conversion Rates'!B$4)/12+5+15-10+4-25</f>
        <v>47.59375</v>
      </c>
      <c r="AN192" s="45">
        <f>('[2]Renewable Diesel'!K201*'[2]RD Feedstock Breakdown'!AN$3*'[2]Feedstock Conversion Rates'!B$6)/12-5-15+10-4+25</f>
        <v>35.427083333333329</v>
      </c>
      <c r="AO192" s="47">
        <f t="shared" si="56"/>
        <v>83.020833333333329</v>
      </c>
      <c r="AP192" s="45">
        <f>('[2]Renewable Diesel'!L201*'[2]RD Feedstock Breakdown'!AP$3*'[2]Feedstock Conversion Rates'!B$4)/12+15-10+14</f>
        <v>77.59375</v>
      </c>
      <c r="AQ192" s="45">
        <f>('[2]Renewable Diesel'!L201*'[2]RD Feedstock Breakdown'!AQ$3*'[2]Feedstock Conversion Rates'!B$6)/12-15+10-14</f>
        <v>5.4270833333333321</v>
      </c>
      <c r="AR192" s="47">
        <f t="shared" si="46"/>
        <v>83.020833333333329</v>
      </c>
      <c r="AS192" s="45">
        <f>('[2]Renewable Diesel'!M201*'[2]RD Feedstock Breakdown'!AS$3*'[2]Feedstock Conversion Rates'!B$4)/12</f>
        <v>456.25</v>
      </c>
      <c r="AT192" s="45">
        <f>('[2]Renewable Diesel'!M201*'[2]RD Feedstock Breakdown'!AT$3*'[2]Feedstock Conversion Rates'!B$5)/12</f>
        <v>0</v>
      </c>
      <c r="AU192" s="47">
        <f t="shared" si="74"/>
        <v>456.25</v>
      </c>
      <c r="AV192" s="45">
        <f>'[2]Renewable Diesel'!N201*'[2]RD Feedstock Breakdown'!$AV$3*'[2]Feedstock Conversion Rates'!$B$4/12-15-10+25+25-22-17.5</f>
        <v>64.249999999999986</v>
      </c>
      <c r="AW192" s="45">
        <f>'[2]Renewable Diesel'!N201*'[2]RD Feedstock Breakdown'!$AW$3*'[2]Feedstock Conversion Rates'!$B$7/12+15+10-25-25+22+17.5</f>
        <v>55.900000000000006</v>
      </c>
      <c r="AX192" s="47">
        <f t="shared" si="109"/>
        <v>120.14999999999999</v>
      </c>
      <c r="AY192" s="45">
        <f>('[2]Renewable Diesel'!O201*'[2]RD Feedstock Breakdown'!AY$3*'[2]Feedstock Conversion Rates'!B$4)/12+13+21-100</f>
        <v>144.9375</v>
      </c>
      <c r="AZ192" s="45">
        <f>('[2]Renewable Diesel'!O201*'[2]RD Feedstock Breakdown'!AZ$3*'[2]Feedstock Conversion Rates'!B$3)/12-13-21+100</f>
        <v>91.03125</v>
      </c>
      <c r="BA192" s="47">
        <f t="shared" si="87"/>
        <v>235.96875</v>
      </c>
      <c r="BB192" s="45">
        <f>('[2]Renewable Diesel'!Q201*'[2]RD Feedstock Breakdown'!BB$3*'[2]Feedstock Conversion Rates'!B$4)/12</f>
        <v>11.156249999999998</v>
      </c>
      <c r="BC192" s="45">
        <f>('[2]Renewable Diesel'!Q201*'[2]RD Feedstock Breakdown'!BC$3*'[2]Feedstock Conversion Rates'!B$3)/12</f>
        <v>1.4017500000000001</v>
      </c>
      <c r="BD192" s="45">
        <f>('[2]Renewable Diesel'!Q201*'[2]RD Feedstock Breakdown'!BD$3*'[2]Feedstock Conversion Rates'!B$6)/12</f>
        <v>0.8207500000000002</v>
      </c>
      <c r="BE192" s="47">
        <f t="shared" si="64"/>
        <v>13.378749999999998</v>
      </c>
      <c r="BF192" s="45">
        <f>('[2]Renewable Diesel'!R201*'[2]RD Feedstock Breakdown'!BF$3*'[2]Feedstock Conversion Rates'!B$4)/12</f>
        <v>62.5</v>
      </c>
      <c r="BG192" s="47">
        <f t="shared" si="47"/>
        <v>62.5</v>
      </c>
      <c r="BH192" s="45">
        <f>('[2]Renewable Diesel'!T201*'[2]RD Feedstock Breakdown'!BH$3*'[2]Feedstock Conversion Rates'!B$7)/12</f>
        <v>27.599999999999998</v>
      </c>
      <c r="BI192" s="47">
        <f t="shared" si="112"/>
        <v>27.599999999999998</v>
      </c>
      <c r="BJ192" s="45">
        <f>('[2]Renewable Diesel'!W201*'[2]RD Feedstock Breakdown'!BJ$3*'[2]Feedstock Conversion Rates'!B$4)/12</f>
        <v>7.5</v>
      </c>
      <c r="BK192" s="45">
        <f>('[2]Renewable Diesel'!W201*'[2]RD Feedstock Breakdown'!BK$3*'[2]Feedstock Conversion Rates'!B$3)/12</f>
        <v>1.335</v>
      </c>
      <c r="BL192" s="45">
        <f>('[2]Renewable Diesel'!W201*'[2]RD Feedstock Breakdown'!BL$3*'[2]Feedstock Conversion Rates'!B$6)/12</f>
        <v>3.1266666666666669</v>
      </c>
      <c r="BM192" s="45">
        <f>('[2]Renewable Diesel'!W201*'[2]RD Feedstock Breakdown'!BM$3*'[2]Feedstock Conversion Rates'!B$7)/12</f>
        <v>1.5333333333333332</v>
      </c>
      <c r="BN192" s="47">
        <f t="shared" si="78"/>
        <v>13.495000000000001</v>
      </c>
      <c r="BO192" s="45">
        <f>('[2]Renewable Diesel'!P201*'[2]Feedstock Conversion Rates'!B$4)/12</f>
        <v>31.25</v>
      </c>
      <c r="BP192" s="47">
        <f t="shared" si="72"/>
        <v>31.25</v>
      </c>
      <c r="BQ192" s="45">
        <f>('[2]Renewable Diesel'!$S201*'[2]RD Feedstock Breakdown'!BQ$3*'[2]Feedstock Conversion Rates'!B$4)/12+10</f>
        <v>38.125</v>
      </c>
      <c r="BR192" s="45">
        <f>('[2]Renewable Diesel'!$S201*'[2]RD Feedstock Breakdown'!BR$3*'[2]Feedstock Conversion Rates'!B$7)/12-10</f>
        <v>1.5</v>
      </c>
      <c r="BS192" s="47">
        <f t="shared" si="90"/>
        <v>39.625</v>
      </c>
      <c r="BT192" s="47"/>
      <c r="BU192" s="45">
        <f>('[2]Renewable Diesel'!Y201*'[2]Feedstock Conversion Rates'!B$7)/12</f>
        <v>2.6833333333333331</v>
      </c>
      <c r="BV192" s="47">
        <f t="shared" si="67"/>
        <v>2.6833333333333331</v>
      </c>
      <c r="BW192" s="45">
        <f>('[2]Renewable Diesel'!$Z201*'[2]RD Feedstock Breakdown'!BW$3*'[2]Feedstock Conversion Rates'!$B$4)/12</f>
        <v>35.9375</v>
      </c>
      <c r="BX192" s="45">
        <f>('[2]Renewable Diesel'!$Z201*'[2]RD Feedstock Breakdown'!BX$3*'[2]Feedstock Conversion Rates'!$B$5)/12</f>
        <v>3.6177083333333333</v>
      </c>
      <c r="BY192" s="45">
        <f>('[2]Renewable Diesel'!$Z201*'[2]RD Feedstock Breakdown'!BY$3*'[2]Feedstock Conversion Rates'!$B$7)/12</f>
        <v>30.858333333333331</v>
      </c>
      <c r="BZ192" s="45">
        <f>('[2]Renewable Diesel'!$Z201*'[2]RD Feedstock Breakdown'!BZ$3*'[2]Feedstock Conversion Rates'!$B$3)/12</f>
        <v>7.6762499999999996</v>
      </c>
      <c r="CA192" s="47">
        <f t="shared" si="91"/>
        <v>78.089791666666656</v>
      </c>
      <c r="CB192" s="45">
        <f>('[2]Renewable Diesel'!AA201*'[2]Feedstock Conversion Rates'!B$4)/12</f>
        <v>191.25</v>
      </c>
      <c r="CC192" s="47">
        <f t="shared" si="79"/>
        <v>191.25</v>
      </c>
      <c r="CD192" s="45">
        <f>('[2]Renewable Diesel'!$AB201*'[2]RD Feedstock Breakdown'!CD$3*'[2]Feedstock Conversion Rates'!$B$6)/12-15</f>
        <v>17.830000000000005</v>
      </c>
      <c r="CE192" s="45">
        <f>('[2]Renewable Diesel'!$AB201*'[2]RD Feedstock Breakdown'!CE$3*'[2]Feedstock Conversion Rates'!$B$4)/12+15</f>
        <v>26.25</v>
      </c>
      <c r="CF192" s="47">
        <f t="shared" si="76"/>
        <v>44.080000000000005</v>
      </c>
      <c r="CG192" s="45">
        <f>('[2]Renewable Diesel'!AD201*'[2]Feedstock Conversion Rates'!B$4)/12</f>
        <v>112.5</v>
      </c>
      <c r="CH192" s="47">
        <f t="shared" si="63"/>
        <v>112.5</v>
      </c>
      <c r="CI192" s="45">
        <f>('[2]Renewable Diesel'!$AE201*'[2]RD Feedstock Breakdown'!CI$3*'[2]Feedstock Conversion Rates'!$B$5)/12</f>
        <v>0.34604166666666664</v>
      </c>
      <c r="CJ192" s="45">
        <f>('[2]Renewable Diesel'!$AE201*'[2]RD Feedstock Breakdown'!CJ$3*'[2]Feedstock Conversion Rates'!$B$4)/12</f>
        <v>0.34375</v>
      </c>
      <c r="CK192" s="47">
        <f t="shared" si="73"/>
        <v>0.68979166666666658</v>
      </c>
      <c r="CL192" s="45">
        <f>(((CL$3*'[2]Renewable Diesel'!$AF201)*'[2]Feedstock Conversion Rates'!$B$3)/12)</f>
        <v>91.78125</v>
      </c>
      <c r="CM192" s="45">
        <f>(((CM$3*'[2]Renewable Diesel'!$AF201)*'[2]Feedstock Conversion Rates'!$B$6)/12)-32.5</f>
        <v>21.239583333333336</v>
      </c>
      <c r="CN192" s="45">
        <f>(((CN$3*'[2]Renewable Diesel'!$AF201)*'[2]Feedstock Conversion Rates'!$B$4)/12)+32.5</f>
        <v>75.46875</v>
      </c>
      <c r="CO192" s="47">
        <f t="shared" si="65"/>
        <v>188.48958333333334</v>
      </c>
      <c r="CP192" s="45">
        <f>('[2]Renewable Diesel'!$AG201*'[2]RD Feedstock Breakdown'!CP$3*'[2]Feedstock Conversion Rates'!$B$3)/12</f>
        <v>6.0075000000000003</v>
      </c>
      <c r="CQ192" s="45">
        <f>('[2]Renewable Diesel'!$AG201*'[2]RD Feedstock Breakdown'!CQ$3*'[2]Feedstock Conversion Rates'!$B$6)/12</f>
        <v>3.5175000000000001</v>
      </c>
      <c r="CR192" s="45">
        <f>('[2]Renewable Diesel'!$AG201*'[2]RD Feedstock Breakdown'!CR$3*'[2]Feedstock Conversion Rates'!$B$4)/12</f>
        <v>2.8125</v>
      </c>
      <c r="CS192" s="47">
        <f t="shared" si="99"/>
        <v>12.3375</v>
      </c>
      <c r="CT192" s="45">
        <f>('[2]Renewable Diesel'!AI201*'[2]Feedstock Conversion Rates'!$B$4*'[2]RD Feedstock Breakdown'!$CT$3)/12</f>
        <v>29.375</v>
      </c>
      <c r="CU192" s="47">
        <f t="shared" si="69"/>
        <v>29.375</v>
      </c>
      <c r="CV192" s="47"/>
      <c r="CW192" s="47"/>
      <c r="CX192" s="45">
        <f>('[2]Renewable Diesel'!AO201*'[2]RD Feedstock Breakdown'!$CX$3*'[2]Feedstock Conversion Rates'!$B$3)/12</f>
        <v>6.3412499999999996</v>
      </c>
      <c r="CY192" s="45">
        <f>('[2]Renewable Diesel'!AO201*'[2]RD Feedstock Breakdown'!$CY$3*'[2]Feedstock Conversion Rates'!$B$6)/12</f>
        <v>7.4258333333333342</v>
      </c>
      <c r="CZ192" s="47">
        <f t="shared" si="100"/>
        <v>13.767083333333334</v>
      </c>
      <c r="DA192" s="47"/>
      <c r="DB192" s="47"/>
      <c r="DC192" s="47"/>
      <c r="DD192" s="47"/>
      <c r="DE192" s="47"/>
      <c r="DF192" s="45">
        <f>('[2]Renewable Diesel'!AR201*'[2]Feedstock Conversion Rates'!$B$4*$DF$3)/12</f>
        <v>75</v>
      </c>
      <c r="DG192" s="47">
        <f t="shared" si="101"/>
        <v>75</v>
      </c>
      <c r="DH192" s="45">
        <f>('[2]Renewable Diesel'!AS201*'[2]Feedstock Conversion Rates'!$B$4*$DH$3)/12</f>
        <v>75</v>
      </c>
      <c r="DI192" s="47">
        <f t="shared" si="110"/>
        <v>75</v>
      </c>
      <c r="DJ192" s="45">
        <f>('[2]Renewable Diesel'!AT201*'[2]Feedstock Conversion Rates'!$B$4*0.25)/12</f>
        <v>8.59375</v>
      </c>
      <c r="DK192" s="45">
        <f>('[2]Renewable Diesel'!$AT201*'[2]RD Feedstock Breakdown'!DK$3*'[2]Feedstock Conversion Rates'!$B$3)/12*0.5</f>
        <v>9.1781249999999996</v>
      </c>
      <c r="DL192" s="45">
        <f>('[2]Renewable Diesel'!$AT201*'[2]RD Feedstock Breakdown'!$DL$3*'[2]Feedstock Conversion Rates'!$B$6)/12</f>
        <v>10.747916666666669</v>
      </c>
      <c r="DM192" s="45">
        <f>('[2]Renewable Diesel'!$AT201*'[2]RD Feedstock Breakdown'!$DM$3*'[2]Feedstock Conversion Rates'!$B$8)/12</f>
        <v>10.7421875</v>
      </c>
      <c r="DN192" s="47">
        <f t="shared" si="77"/>
        <v>39.26197916666667</v>
      </c>
      <c r="DP192" s="45">
        <f t="shared" si="48"/>
        <v>99.220250000000007</v>
      </c>
      <c r="DQ192" s="45">
        <f t="shared" si="49"/>
        <v>462.59964249999996</v>
      </c>
      <c r="DR192" s="45">
        <f t="shared" si="57"/>
        <v>1885.015625</v>
      </c>
      <c r="DS192" s="45">
        <f t="shared" si="70"/>
        <v>321.17937499999999</v>
      </c>
      <c r="DT192" s="45">
        <f t="shared" si="50"/>
        <v>211.61735833333344</v>
      </c>
      <c r="DU192" s="45">
        <f t="shared" si="51"/>
        <v>173.29776666666669</v>
      </c>
      <c r="DV192" s="45">
        <f t="shared" si="58"/>
        <v>5.6750000000000007</v>
      </c>
      <c r="DW192" s="45">
        <f t="shared" si="52"/>
        <v>2.25</v>
      </c>
      <c r="DX192" s="47">
        <f t="shared" si="53"/>
        <v>3160.8550175</v>
      </c>
      <c r="DY192" s="50">
        <f t="shared" si="54"/>
        <v>-1.1368683772161603E-13</v>
      </c>
      <c r="EA192" s="51">
        <f t="shared" si="80"/>
        <v>3.1390319850378906E-2</v>
      </c>
      <c r="EB192" s="51">
        <f t="shared" si="80"/>
        <v>0.14635269252744204</v>
      </c>
      <c r="EC192" s="51">
        <f t="shared" si="80"/>
        <v>0.59636257106499824</v>
      </c>
      <c r="ED192" s="51">
        <f t="shared" ref="ED192:EG249" si="114">DS192/$DX192</f>
        <v>0.1016115491605271</v>
      </c>
      <c r="EE192" s="51">
        <f t="shared" si="114"/>
        <v>6.6949403614439407E-2</v>
      </c>
      <c r="EF192" s="51">
        <f t="shared" si="114"/>
        <v>5.4826230784774263E-2</v>
      </c>
      <c r="EG192" s="51">
        <f t="shared" si="114"/>
        <v>1.7954002852331081E-3</v>
      </c>
      <c r="EH192" s="52">
        <f t="shared" si="59"/>
        <v>7.1183271220695901E-4</v>
      </c>
      <c r="EI192" s="51">
        <f t="shared" si="60"/>
        <v>0.99928816728779302</v>
      </c>
      <c r="EK192" s="53">
        <f>(EA192*'[2]Renewable Diesel'!BF201*'[2]Feedstock Conversion Rates'!B$2)+FB192</f>
        <v>70.314644508125951</v>
      </c>
      <c r="EL192" s="53">
        <f>(EB192*'[2]Renewable Diesel'!BF201*'[2]Feedstock Conversion Rates'!B$3)+FC192</f>
        <v>308.93303544969416</v>
      </c>
      <c r="EM192" s="53">
        <f>(EC192*'[2]Renewable Diesel'!BF201*'[2]Feedstock Conversion Rates'!B$4)+FD192</f>
        <v>1178.6985806900291</v>
      </c>
      <c r="EN192" s="53">
        <f>(ED192*'[2]Renewable Diesel'!BF201*'[2]Feedstock Conversion Rates'!B$5)+FE192</f>
        <v>202.17206313562519</v>
      </c>
      <c r="EO192" s="53">
        <f>(EE192*'[2]Renewable Diesel'!BF201*'[2]Feedstock Conversion Rates'!B$6)+FF192</f>
        <v>165.49339670117396</v>
      </c>
      <c r="EP192" s="53">
        <f>(EF192*'[2]Renewable Diesel'!BF201*'[2]Feedstock Conversion Rates'!B$7)+FG192</f>
        <v>132.92520414569452</v>
      </c>
      <c r="EQ192" s="53">
        <f>(EG192*'[2]Renewable Diesel'!BF201*'[2]Feedstock Conversion Rates'!B$8)+FH192</f>
        <v>4.4357155165596547</v>
      </c>
      <c r="ER192" s="53">
        <f>(EH192*'[2]Renewable Diesel'!BF201*'[2]Feedstock Conversion Rates'!B$9)+FI192</f>
        <v>1.7352050126453624</v>
      </c>
      <c r="ES192" s="53">
        <f t="shared" si="61"/>
        <v>2064.707845159548</v>
      </c>
      <c r="ET192" s="36">
        <f>ES192/'[2]Renewable Diesel'!BF201</f>
        <v>7.8347923244078377</v>
      </c>
    </row>
    <row r="193" spans="1:150" x14ac:dyDescent="0.25">
      <c r="A193" s="39">
        <v>46296</v>
      </c>
      <c r="B193" s="45">
        <f>22+85-4+1-4-2+3-10-10-15-21+0.5+7.5-17+48+144+20+72-17-14+30-10-11-3-30-70-15-30+4-72-45-14+5-15+65-25-0.5-5-2+10+33+19+25+12.5+7.5-7.5+5+8-9-145+40-9</f>
        <v>35</v>
      </c>
      <c r="C193" s="45">
        <f>50-1+5+10-40+15+15+30+17-40+1</f>
        <v>62</v>
      </c>
      <c r="D193" s="45">
        <f t="shared" ref="D193:D204" si="115">1+0.5</f>
        <v>1.5</v>
      </c>
      <c r="E193" s="45">
        <f>('[2]Renewable Diesel'!B202*E$3*'[2]Feedstock Conversion Rates'!$B$2)/12-50+2+15-0.5-7.5-20+14+15+72+25-19-5-5+9-47-1</f>
        <v>86.93</v>
      </c>
      <c r="F193" s="45">
        <f>('[2]Renewable Diesel'!B202*'[2]RD Feedstock Breakdown'!F$3*'[2]Feedstock Conversion Rates'!B$8)/12-22+4-3+10+17-48+14+10-4+14+2-33+7.5-15</f>
        <v>7.40625</v>
      </c>
      <c r="G193" s="45">
        <f>('[2]Renewable Diesel'!B202*'[2]RD Feedstock Breakdown'!G$3*'[2]Feedstock Conversion Rates'!B$7)/12-1+21-144-30+30+70-5-65+5-10-10-2.5-15</f>
        <v>19.657000000000011</v>
      </c>
      <c r="H193" s="45">
        <f>('[2]Renewable Diesel'!B202*'[2]RD Feedstock Breakdown'!H$3*'[2]Feedstock Conversion Rates'!B$3)/12-85+4+10-72+17+30+45+15-25-7.5-18+185+9</f>
        <v>283.90022499999998</v>
      </c>
      <c r="I193" s="47">
        <f t="shared" si="75"/>
        <v>496.39347499999997</v>
      </c>
      <c r="J193" s="45">
        <f>2+27+25-8-40-6+9+7+90+36+3+97+2-6-32.5-3-12-15-7-15-10-50-7.5-1+9+11+70+10+2+5-5+15+10-30-6-24</f>
        <v>152</v>
      </c>
      <c r="K193" s="45"/>
      <c r="L193" s="45">
        <v>1</v>
      </c>
      <c r="M193" s="45">
        <f>('[2]Renewable Diesel'!C202*'[2]RD Feedstock Breakdown'!M$3*'[2]Feedstock Conversion Rates'!B$2)/12-10-15-30+10-2+30+24</f>
        <v>14.79025</v>
      </c>
      <c r="N193" s="45">
        <f>('[2]Renewable Diesel'!C202*'[2]RD Feedstock Breakdown'!N$3*'[2]Feedstock Conversion Rates'!B$8)/12-2+8-9-7+6+7.5-9-11-15</f>
        <v>-27.828125</v>
      </c>
      <c r="O193" s="45">
        <f>('[2]Renewable Diesel'!C202*'[2]RD Feedstock Breakdown'!O$3*'[2]Feedstock Conversion Rates'!B$7)/12-90-2+12+15-10+5-10+6</f>
        <v>-62.000900000000001</v>
      </c>
      <c r="P193" s="45">
        <f>('[2]Renewable Diesel'!C202*'[2]RD Feedstock Breakdown'!P$3*'[2]Feedstock Conversion Rates'!B$3)/12-27+40-97+32.5+7+15+50-70-5</f>
        <v>-44.052957499999991</v>
      </c>
      <c r="Q193" s="47">
        <f t="shared" si="85"/>
        <v>33.908267500000022</v>
      </c>
      <c r="R193" s="45">
        <f>('[2]Renewable Diesel'!D202*'[2]RD Feedstock Breakdown'!R$3*'[2]Feedstock Conversion Rates'!B$7)/12</f>
        <v>2.2999999999999998</v>
      </c>
      <c r="S193" s="47">
        <f t="shared" ref="S193:S256" si="116">R193</f>
        <v>2.2999999999999998</v>
      </c>
      <c r="T193" s="45">
        <f>5.825+20-25+10</f>
        <v>10.824999999999999</v>
      </c>
      <c r="U193" s="45">
        <v>0</v>
      </c>
      <c r="V193" s="45">
        <f>('[2]Renewable Diesel'!E202*'[2]RD Feedstock Breakdown'!V$3*'[2]Feedstock Conversion Rates'!B$6)/12-20+25-10</f>
        <v>39.250150000000012</v>
      </c>
      <c r="W193" s="45">
        <f>('[2]Renewable Diesel'!E202*'[2]RD Feedstock Breakdown'!W$3*'[2]Feedstock Conversion Rates'!B$8)/12-5.825</f>
        <v>16.354687500000001</v>
      </c>
      <c r="X193" s="47">
        <f t="shared" si="62"/>
        <v>66.429837500000005</v>
      </c>
      <c r="Y193" s="45">
        <f>50+32-80+171+60-15-75-50-20-30-22.5+22.5+15-40+55+16-3</f>
        <v>86</v>
      </c>
      <c r="Z193" s="45">
        <f>('[2]Renewable Diesel'!F202*'[2]RD Feedstock Breakdown'!Z$3*'[2]Feedstock Conversion Rates'!B$6)/12-50-32-60+15+30+22.5-22.5-15+40-16+3</f>
        <v>74.460000000000008</v>
      </c>
      <c r="AA193" s="45">
        <f>('[2]Renewable Diesel'!F202*'[2]RD Feedstock Breakdown'!AA$3*'[2]Feedstock Conversion Rates'!B$7)/12+80-171+75+30+40-55</f>
        <v>103.26666666666665</v>
      </c>
      <c r="AB193" s="47">
        <f t="shared" si="102"/>
        <v>263.72666666666669</v>
      </c>
      <c r="AC193" s="45">
        <f>('[2]Renewable Diesel'!G202*'[2]RD Feedstock Breakdown'!AC$3*'[2]Feedstock Conversion Rates'!B$5)/12</f>
        <v>11.796875</v>
      </c>
      <c r="AD193" s="45">
        <f>('[2]Renewable Diesel'!G202*'[2]RD Feedstock Breakdown'!AD$3*'[2]Feedstock Conversion Rates'!B$4)/12</f>
        <v>5.859375</v>
      </c>
      <c r="AE193" s="45">
        <f>('[2]Renewable Diesel'!G202*'[2]RD Feedstock Breakdown'!AE$3*'[2]Feedstock Conversion Rates'!B$6)/12</f>
        <v>7.3281250000000009</v>
      </c>
      <c r="AF193" s="47">
        <f t="shared" si="71"/>
        <v>24.984375</v>
      </c>
      <c r="AG193" s="45">
        <f t="shared" si="111"/>
        <v>139</v>
      </c>
      <c r="AH193" s="45">
        <v>0</v>
      </c>
      <c r="AI193" s="45">
        <f>('[2]Renewable Diesel'!H202*'[2]RD Feedstock Breakdown'!AI$3*'[2]Feedstock Conversion Rates'!B$6)/12-130-20+51-120+100-40+20</f>
        <v>9.5166666666666799</v>
      </c>
      <c r="AJ193" s="47">
        <f t="shared" si="113"/>
        <v>148.51666666666668</v>
      </c>
      <c r="AK193" s="45">
        <f>('[2]Renewable Diesel'!J202*'[2]RD Feedstock Breakdown'!AK$3*'[2]Feedstock Conversion Rates'!B$4)/12</f>
        <v>95.8125</v>
      </c>
      <c r="AL193" s="47">
        <f t="shared" si="45"/>
        <v>95.8125</v>
      </c>
      <c r="AM193" s="45">
        <f>('[2]Renewable Diesel'!K202*'[2]RD Feedstock Breakdown'!AM$3*'[2]Feedstock Conversion Rates'!B$4)/12+5+15-10+4+5-30</f>
        <v>47.59375</v>
      </c>
      <c r="AN193" s="45">
        <f>('[2]Renewable Diesel'!K202*'[2]RD Feedstock Breakdown'!AN$3*'[2]Feedstock Conversion Rates'!B$6)/12-5-15+10-4-5+30</f>
        <v>35.427083333333329</v>
      </c>
      <c r="AO193" s="47">
        <f t="shared" si="56"/>
        <v>83.020833333333329</v>
      </c>
      <c r="AP193" s="45">
        <f>('[2]Renewable Diesel'!L202*'[2]RD Feedstock Breakdown'!AP$3*'[2]Feedstock Conversion Rates'!B$4)/12+15-10+7.5+7</f>
        <v>78.09375</v>
      </c>
      <c r="AQ193" s="45">
        <f>('[2]Renewable Diesel'!L202*'[2]RD Feedstock Breakdown'!AQ$3*'[2]Feedstock Conversion Rates'!B$6)/12-15+10-7.5-7</f>
        <v>4.9270833333333321</v>
      </c>
      <c r="AR193" s="47">
        <f t="shared" si="46"/>
        <v>83.020833333333329</v>
      </c>
      <c r="AS193" s="45">
        <f>('[2]Renewable Diesel'!M202*'[2]RD Feedstock Breakdown'!AS$3*'[2]Feedstock Conversion Rates'!B$4)/12</f>
        <v>456.25</v>
      </c>
      <c r="AT193" s="45">
        <f>('[2]Renewable Diesel'!M202*'[2]RD Feedstock Breakdown'!AT$3*'[2]Feedstock Conversion Rates'!B$5)/12</f>
        <v>0</v>
      </c>
      <c r="AU193" s="47">
        <f t="shared" si="74"/>
        <v>456.25</v>
      </c>
      <c r="AV193" s="45">
        <f>'[2]Renewable Diesel'!N202*'[2]RD Feedstock Breakdown'!$AV$3*'[2]Feedstock Conversion Rates'!$B$4/12-15-10+25+25-22-7.5</f>
        <v>74.249999999999986</v>
      </c>
      <c r="AW193" s="45">
        <f>'[2]Renewable Diesel'!N202*'[2]RD Feedstock Breakdown'!$AW$3*'[2]Feedstock Conversion Rates'!$B$7/12+15+10-25-25+22+7.5</f>
        <v>45.900000000000006</v>
      </c>
      <c r="AX193" s="47">
        <f t="shared" si="109"/>
        <v>120.14999999999999</v>
      </c>
      <c r="AY193" s="45">
        <f>('[2]Renewable Diesel'!O202*'[2]RD Feedstock Breakdown'!AY$3*'[2]Feedstock Conversion Rates'!B$4)/12+32+2-135</f>
        <v>109.9375</v>
      </c>
      <c r="AZ193" s="45">
        <f>('[2]Renewable Diesel'!O202*'[2]RD Feedstock Breakdown'!AZ$3*'[2]Feedstock Conversion Rates'!B$3)/12-32-2+135</f>
        <v>126.03125</v>
      </c>
      <c r="BA193" s="47">
        <f t="shared" si="87"/>
        <v>235.96875</v>
      </c>
      <c r="BB193" s="45">
        <f>('[2]Renewable Diesel'!Q202*'[2]RD Feedstock Breakdown'!BB$3*'[2]Feedstock Conversion Rates'!B$4)/12</f>
        <v>11.156249999999998</v>
      </c>
      <c r="BC193" s="45">
        <f>('[2]Renewable Diesel'!Q202*'[2]RD Feedstock Breakdown'!BC$3*'[2]Feedstock Conversion Rates'!B$3)/12</f>
        <v>1.4017500000000001</v>
      </c>
      <c r="BD193" s="45">
        <f>('[2]Renewable Diesel'!Q202*'[2]RD Feedstock Breakdown'!BD$3*'[2]Feedstock Conversion Rates'!B$6)/12</f>
        <v>0.8207500000000002</v>
      </c>
      <c r="BE193" s="47">
        <f t="shared" si="64"/>
        <v>13.378749999999998</v>
      </c>
      <c r="BF193" s="45">
        <f>('[2]Renewable Diesel'!R202*'[2]RD Feedstock Breakdown'!BF$3*'[2]Feedstock Conversion Rates'!B$4)/12</f>
        <v>62.5</v>
      </c>
      <c r="BG193" s="47">
        <f t="shared" si="47"/>
        <v>62.5</v>
      </c>
      <c r="BH193" s="45">
        <f>('[2]Renewable Diesel'!T202*'[2]RD Feedstock Breakdown'!BH$3*'[2]Feedstock Conversion Rates'!B$7)/12</f>
        <v>27.599999999999998</v>
      </c>
      <c r="BI193" s="47">
        <f t="shared" si="112"/>
        <v>27.599999999999998</v>
      </c>
      <c r="BJ193" s="45">
        <f>('[2]Renewable Diesel'!W202*'[2]RD Feedstock Breakdown'!BJ$3*'[2]Feedstock Conversion Rates'!B$4)/12</f>
        <v>7.5</v>
      </c>
      <c r="BK193" s="45">
        <f>('[2]Renewable Diesel'!W202*'[2]RD Feedstock Breakdown'!BK$3*'[2]Feedstock Conversion Rates'!B$3)/12</f>
        <v>1.335</v>
      </c>
      <c r="BL193" s="45">
        <f>('[2]Renewable Diesel'!W202*'[2]RD Feedstock Breakdown'!BL$3*'[2]Feedstock Conversion Rates'!B$6)/12</f>
        <v>3.1266666666666669</v>
      </c>
      <c r="BM193" s="45">
        <f>('[2]Renewable Diesel'!W202*'[2]RD Feedstock Breakdown'!BM$3*'[2]Feedstock Conversion Rates'!B$7)/12</f>
        <v>1.5333333333333332</v>
      </c>
      <c r="BN193" s="47">
        <f t="shared" si="78"/>
        <v>13.495000000000001</v>
      </c>
      <c r="BO193" s="45">
        <f>('[2]Renewable Diesel'!P202*'[2]Feedstock Conversion Rates'!B$4)/12</f>
        <v>31.25</v>
      </c>
      <c r="BP193" s="47">
        <f t="shared" si="72"/>
        <v>31.25</v>
      </c>
      <c r="BQ193" s="45">
        <f>('[2]Renewable Diesel'!$S202*'[2]RD Feedstock Breakdown'!BQ$3*'[2]Feedstock Conversion Rates'!B$4)/12+10</f>
        <v>38.125</v>
      </c>
      <c r="BR193" s="45">
        <f>('[2]Renewable Diesel'!$S202*'[2]RD Feedstock Breakdown'!BR$3*'[2]Feedstock Conversion Rates'!B$7)/12-10</f>
        <v>1.5</v>
      </c>
      <c r="BS193" s="47">
        <f t="shared" si="90"/>
        <v>39.625</v>
      </c>
      <c r="BT193" s="47"/>
      <c r="BU193" s="45">
        <f>('[2]Renewable Diesel'!Y202*'[2]Feedstock Conversion Rates'!B$7)/12</f>
        <v>2.6833333333333331</v>
      </c>
      <c r="BV193" s="47">
        <f t="shared" si="67"/>
        <v>2.6833333333333331</v>
      </c>
      <c r="BW193" s="45">
        <f>('[2]Renewable Diesel'!$Z202*'[2]RD Feedstock Breakdown'!BW$3*'[2]Feedstock Conversion Rates'!$B$4)/12</f>
        <v>35.9375</v>
      </c>
      <c r="BX193" s="45">
        <f>('[2]Renewable Diesel'!$Z202*'[2]RD Feedstock Breakdown'!BX$3*'[2]Feedstock Conversion Rates'!$B$5)/12</f>
        <v>3.6177083333333333</v>
      </c>
      <c r="BY193" s="45">
        <f>('[2]Renewable Diesel'!$Z202*'[2]RD Feedstock Breakdown'!BY$3*'[2]Feedstock Conversion Rates'!$B$7)/12</f>
        <v>30.858333333333331</v>
      </c>
      <c r="BZ193" s="45">
        <f>('[2]Renewable Diesel'!$Z202*'[2]RD Feedstock Breakdown'!BZ$3*'[2]Feedstock Conversion Rates'!$B$3)/12</f>
        <v>7.6762499999999996</v>
      </c>
      <c r="CA193" s="47">
        <f t="shared" si="91"/>
        <v>78.089791666666656</v>
      </c>
      <c r="CB193" s="45">
        <f>('[2]Renewable Diesel'!AA202*'[2]Feedstock Conversion Rates'!B$4)/12</f>
        <v>191.25</v>
      </c>
      <c r="CC193" s="47">
        <f t="shared" si="79"/>
        <v>191.25</v>
      </c>
      <c r="CD193" s="45">
        <f>('[2]Renewable Diesel'!$AB202*'[2]RD Feedstock Breakdown'!CD$3*'[2]Feedstock Conversion Rates'!$B$6)/12-15</f>
        <v>17.830000000000005</v>
      </c>
      <c r="CE193" s="45">
        <f>('[2]Renewable Diesel'!$AB202*'[2]RD Feedstock Breakdown'!CE$3*'[2]Feedstock Conversion Rates'!$B$4)/12+15</f>
        <v>26.25</v>
      </c>
      <c r="CF193" s="47">
        <f t="shared" si="76"/>
        <v>44.080000000000005</v>
      </c>
      <c r="CG193" s="45">
        <f>('[2]Renewable Diesel'!AD202*'[2]Feedstock Conversion Rates'!B$4)/12</f>
        <v>112.5</v>
      </c>
      <c r="CH193" s="47">
        <f t="shared" si="63"/>
        <v>112.5</v>
      </c>
      <c r="CI193" s="45">
        <f>('[2]Renewable Diesel'!$AE202*'[2]RD Feedstock Breakdown'!CI$3*'[2]Feedstock Conversion Rates'!$B$5)/12</f>
        <v>0.34604166666666664</v>
      </c>
      <c r="CJ193" s="45">
        <f>('[2]Renewable Diesel'!$AE202*'[2]RD Feedstock Breakdown'!CJ$3*'[2]Feedstock Conversion Rates'!$B$4)/12</f>
        <v>0.34375</v>
      </c>
      <c r="CK193" s="47">
        <f t="shared" si="73"/>
        <v>0.68979166666666658</v>
      </c>
      <c r="CL193" s="45">
        <f>(((CL$3*'[2]Renewable Diesel'!$AF202)*'[2]Feedstock Conversion Rates'!$B$3)/12)</f>
        <v>91.78125</v>
      </c>
      <c r="CM193" s="45">
        <f>(((CM$3*'[2]Renewable Diesel'!$AF202)*'[2]Feedstock Conversion Rates'!$B$6)/12)-45</f>
        <v>8.7395833333333357</v>
      </c>
      <c r="CN193" s="45">
        <f>(((CN$3*'[2]Renewable Diesel'!$AF202)*'[2]Feedstock Conversion Rates'!$B$4)/12)+45</f>
        <v>87.96875</v>
      </c>
      <c r="CO193" s="47">
        <f t="shared" si="65"/>
        <v>188.48958333333334</v>
      </c>
      <c r="CP193" s="45">
        <f>('[2]Renewable Diesel'!$AG202*'[2]RD Feedstock Breakdown'!CP$3*'[2]Feedstock Conversion Rates'!$B$3)/12</f>
        <v>6.0075000000000003</v>
      </c>
      <c r="CQ193" s="45">
        <f>('[2]Renewable Diesel'!$AG202*'[2]RD Feedstock Breakdown'!CQ$3*'[2]Feedstock Conversion Rates'!$B$6)/12</f>
        <v>3.5175000000000001</v>
      </c>
      <c r="CR193" s="45">
        <f>('[2]Renewable Diesel'!$AG202*'[2]RD Feedstock Breakdown'!CR$3*'[2]Feedstock Conversion Rates'!$B$4)/12</f>
        <v>2.8125</v>
      </c>
      <c r="CS193" s="47">
        <f t="shared" si="99"/>
        <v>12.3375</v>
      </c>
      <c r="CT193" s="45">
        <f>('[2]Renewable Diesel'!AI202*'[2]Feedstock Conversion Rates'!$B$4*'[2]RD Feedstock Breakdown'!$CT$3)/12</f>
        <v>29.375</v>
      </c>
      <c r="CU193" s="47">
        <f t="shared" si="69"/>
        <v>29.375</v>
      </c>
      <c r="CV193" s="47"/>
      <c r="CW193" s="47"/>
      <c r="CX193" s="45">
        <f>('[2]Renewable Diesel'!AO202*'[2]RD Feedstock Breakdown'!$CX$3*'[2]Feedstock Conversion Rates'!$B$3)/12</f>
        <v>6.3412499999999996</v>
      </c>
      <c r="CY193" s="45">
        <f>('[2]Renewable Diesel'!AO202*'[2]RD Feedstock Breakdown'!$CY$3*'[2]Feedstock Conversion Rates'!$B$6)/12</f>
        <v>7.4258333333333342</v>
      </c>
      <c r="CZ193" s="47">
        <f t="shared" si="100"/>
        <v>13.767083333333334</v>
      </c>
      <c r="DA193" s="47"/>
      <c r="DB193" s="47"/>
      <c r="DC193" s="47"/>
      <c r="DD193" s="47"/>
      <c r="DE193" s="47"/>
      <c r="DF193" s="45">
        <f>('[2]Renewable Diesel'!AR202*'[2]Feedstock Conversion Rates'!$B$4*$DF$3)/12</f>
        <v>75</v>
      </c>
      <c r="DG193" s="47">
        <f t="shared" si="101"/>
        <v>75</v>
      </c>
      <c r="DH193" s="45">
        <f>('[2]Renewable Diesel'!AS202*'[2]Feedstock Conversion Rates'!$B$4*$DH$3)/12</f>
        <v>75</v>
      </c>
      <c r="DI193" s="47">
        <f t="shared" si="110"/>
        <v>75</v>
      </c>
      <c r="DJ193" s="45">
        <f>('[2]Renewable Diesel'!AT202*'[2]Feedstock Conversion Rates'!$B$4*0.25)/12</f>
        <v>8.59375</v>
      </c>
      <c r="DK193" s="45">
        <f>('[2]Renewable Diesel'!$AT202*'[2]RD Feedstock Breakdown'!DK$3*'[2]Feedstock Conversion Rates'!$B$3)/12*0.5</f>
        <v>9.1781249999999996</v>
      </c>
      <c r="DL193" s="45">
        <f>('[2]Renewable Diesel'!$AT202*'[2]RD Feedstock Breakdown'!$DL$3*'[2]Feedstock Conversion Rates'!$B$6)/12</f>
        <v>10.747916666666669</v>
      </c>
      <c r="DM193" s="45">
        <f>('[2]Renewable Diesel'!$AT202*'[2]RD Feedstock Breakdown'!$DM$3*'[2]Feedstock Conversion Rates'!$B$8)/12</f>
        <v>10.7421875</v>
      </c>
      <c r="DN193" s="47">
        <f t="shared" si="77"/>
        <v>39.26197916666667</v>
      </c>
      <c r="DP193" s="45">
        <f t="shared" si="48"/>
        <v>101.72025000000001</v>
      </c>
      <c r="DQ193" s="45">
        <f t="shared" si="49"/>
        <v>489.59964249999996</v>
      </c>
      <c r="DR193" s="45">
        <f t="shared" si="57"/>
        <v>1927.765625</v>
      </c>
      <c r="DS193" s="45">
        <f t="shared" si="70"/>
        <v>236.17937499999999</v>
      </c>
      <c r="DT193" s="45">
        <f t="shared" si="50"/>
        <v>223.11735833333344</v>
      </c>
      <c r="DU193" s="45">
        <f t="shared" si="51"/>
        <v>173.29776666666666</v>
      </c>
      <c r="DV193" s="45">
        <f t="shared" si="58"/>
        <v>6.6750000000000007</v>
      </c>
      <c r="DW193" s="45">
        <f t="shared" si="52"/>
        <v>2.5</v>
      </c>
      <c r="DX193" s="47">
        <f t="shared" si="53"/>
        <v>3160.8550175</v>
      </c>
      <c r="DY193" s="50">
        <f t="shared" si="54"/>
        <v>-1.1368683772161603E-13</v>
      </c>
      <c r="EA193" s="51">
        <f t="shared" ref="EA193:EG256" si="117">DP193/$DX193</f>
        <v>3.2181245086164413E-2</v>
      </c>
      <c r="EB193" s="51">
        <f t="shared" si="117"/>
        <v>0.15489468507392556</v>
      </c>
      <c r="EC193" s="51">
        <f t="shared" si="117"/>
        <v>0.60988739259693048</v>
      </c>
      <c r="ED193" s="51">
        <f t="shared" si="114"/>
        <v>7.472009114381975E-2</v>
      </c>
      <c r="EE193" s="51">
        <f t="shared" si="114"/>
        <v>7.0587659699052757E-2</v>
      </c>
      <c r="EF193" s="51">
        <f t="shared" si="114"/>
        <v>5.4826230784774256E-2</v>
      </c>
      <c r="EG193" s="51">
        <f t="shared" si="114"/>
        <v>2.1117703795473122E-3</v>
      </c>
      <c r="EH193" s="52">
        <f t="shared" si="59"/>
        <v>7.9092523578551009E-4</v>
      </c>
      <c r="EI193" s="51">
        <f t="shared" si="60"/>
        <v>0.9992090747642145</v>
      </c>
      <c r="EK193" s="53">
        <f>(EA193*'[2]Renewable Diesel'!BF202*'[2]Feedstock Conversion Rates'!B$2)+FB193</f>
        <v>77.753070085347744</v>
      </c>
      <c r="EL193" s="53">
        <f>(EB193*'[2]Renewable Diesel'!BF202*'[2]Feedstock Conversion Rates'!B$3)+FC193</f>
        <v>352.66698881858969</v>
      </c>
      <c r="EM193" s="53">
        <f>(EC193*'[2]Renewable Diesel'!BF202*'[2]Feedstock Conversion Rates'!B$4)+FD193</f>
        <v>1300.189626902757</v>
      </c>
      <c r="EN193" s="53">
        <f>(ED193*'[2]Renewable Diesel'!BF202*'[2]Feedstock Conversion Rates'!B$5)+FE193</f>
        <v>160.35411978732225</v>
      </c>
      <c r="EO193" s="53">
        <f>(EE193*'[2]Renewable Diesel'!BF202*'[2]Feedstock Conversion Rates'!B$6)+FF193</f>
        <v>188.20337155453737</v>
      </c>
      <c r="EP193" s="53">
        <f>(EF193*'[2]Renewable Diesel'!BF202*'[2]Feedstock Conversion Rates'!B$7)+FG193</f>
        <v>143.37452590038876</v>
      </c>
      <c r="EQ193" s="53">
        <f>(EG193*'[2]Renewable Diesel'!BF202*'[2]Feedstock Conversion Rates'!B$8)+FH193</f>
        <v>5.6274772507523476</v>
      </c>
      <c r="ER193" s="53">
        <f>(EH193*'[2]Renewable Diesel'!BF202*'[2]Feedstock Conversion Rates'!B$9)+FI193</f>
        <v>2.0795671238735265</v>
      </c>
      <c r="ES193" s="53">
        <f t="shared" si="61"/>
        <v>2230.2487474235681</v>
      </c>
      <c r="ET193" s="36">
        <f>ES193/'[2]Renewable Diesel'!BF202</f>
        <v>7.8461666202236673</v>
      </c>
    </row>
    <row r="194" spans="1:150" x14ac:dyDescent="0.25">
      <c r="A194" s="39">
        <v>46327</v>
      </c>
      <c r="B194" s="45">
        <f t="shared" ref="B194:B204" si="118">22+85-4+1-4-2+3-10-10-15-21+0.5+7.5-17+48+144+20+72-17-14+30-10-11-3-30-70-15-30+4-72-45-14+5-15+65-25-0.5-5-2+10+33+19+25+12.5+7.5-7.5+5+8-9-145+40-9</f>
        <v>35</v>
      </c>
      <c r="C194" s="45">
        <f t="shared" ref="C194:C204" si="119">50-1+5+10-40+15+15+30+17-40+1</f>
        <v>62</v>
      </c>
      <c r="D194" s="45">
        <f t="shared" si="115"/>
        <v>1.5</v>
      </c>
      <c r="E194" s="45">
        <f>('[2]Renewable Diesel'!B203*E$3*'[2]Feedstock Conversion Rates'!$B$2)/12-50+2+15-0.5-7.5-20+14+15+72+25-19-5-5+9-47-1</f>
        <v>86.93</v>
      </c>
      <c r="F194" s="45">
        <f>('[2]Renewable Diesel'!B203*'[2]RD Feedstock Breakdown'!F$3*'[2]Feedstock Conversion Rates'!B$8)/12-22+4-3+10+17-48+14+10-4+14+2-33+7.5-15</f>
        <v>7.40625</v>
      </c>
      <c r="G194" s="45">
        <f>('[2]Renewable Diesel'!B203*'[2]RD Feedstock Breakdown'!G$3*'[2]Feedstock Conversion Rates'!B$7)/12-1+21-144-30+30+70-5-65+5-10-10-2.5-15</f>
        <v>19.657000000000011</v>
      </c>
      <c r="H194" s="45">
        <f>('[2]Renewable Diesel'!B203*'[2]RD Feedstock Breakdown'!H$3*'[2]Feedstock Conversion Rates'!B$3)/12-85+4+10-72+17+30+45+15-25-7.5-18+185+9</f>
        <v>283.90022499999998</v>
      </c>
      <c r="I194" s="47">
        <f t="shared" si="75"/>
        <v>496.39347499999997</v>
      </c>
      <c r="J194" s="45">
        <f t="shared" ref="J194:J204" si="120">2+27+25-8-40-6+9+7+90+36+3+97+2-6-32.5-3-12-15-7-15-10-50-7.5-1+9+11+70+10+2+5-5+15+10-30-6-24</f>
        <v>152</v>
      </c>
      <c r="K194" s="45"/>
      <c r="L194" s="45">
        <v>1</v>
      </c>
      <c r="M194" s="45">
        <f>('[2]Renewable Diesel'!C203*'[2]RD Feedstock Breakdown'!M$3*'[2]Feedstock Conversion Rates'!B$2)/12-10-15-30+10-2+30+24</f>
        <v>14.79025</v>
      </c>
      <c r="N194" s="45">
        <f>('[2]Renewable Diesel'!C203*'[2]RD Feedstock Breakdown'!N$3*'[2]Feedstock Conversion Rates'!B$8)/12-2+8-9-7+6+7.5-9-11-15</f>
        <v>-27.828125</v>
      </c>
      <c r="O194" s="45">
        <f>('[2]Renewable Diesel'!C203*'[2]RD Feedstock Breakdown'!O$3*'[2]Feedstock Conversion Rates'!B$7)/12-90-2+12+15-10+5-10+6</f>
        <v>-62.000900000000001</v>
      </c>
      <c r="P194" s="45">
        <f>('[2]Renewable Diesel'!C203*'[2]RD Feedstock Breakdown'!P$3*'[2]Feedstock Conversion Rates'!B$3)/12-27+40-97+32.5+7+15+50-70-5</f>
        <v>-44.052957499999991</v>
      </c>
      <c r="Q194" s="47">
        <f t="shared" si="85"/>
        <v>33.908267500000022</v>
      </c>
      <c r="R194" s="45">
        <f>('[2]Renewable Diesel'!D203*'[2]RD Feedstock Breakdown'!R$3*'[2]Feedstock Conversion Rates'!B$7)/12</f>
        <v>2.2999999999999998</v>
      </c>
      <c r="S194" s="47">
        <f t="shared" si="116"/>
        <v>2.2999999999999998</v>
      </c>
      <c r="T194" s="45">
        <f t="shared" ref="T194:T204" si="121">5.825+20-25+10</f>
        <v>10.824999999999999</v>
      </c>
      <c r="U194" s="45">
        <v>0</v>
      </c>
      <c r="V194" s="45">
        <f>('[2]Renewable Diesel'!E203*'[2]RD Feedstock Breakdown'!V$3*'[2]Feedstock Conversion Rates'!B$6)/12-20+25-10</f>
        <v>39.250150000000012</v>
      </c>
      <c r="W194" s="45">
        <f>('[2]Renewable Diesel'!E203*'[2]RD Feedstock Breakdown'!W$3*'[2]Feedstock Conversion Rates'!B$8)/12-5.825</f>
        <v>16.354687500000001</v>
      </c>
      <c r="X194" s="47">
        <f t="shared" si="62"/>
        <v>66.429837500000005</v>
      </c>
      <c r="Y194" s="45">
        <f t="shared" ref="Y194:Y204" si="122">50+32-80+171+60-15-75-50-20-30-22.5+22.5+15-40+55+16-3</f>
        <v>86</v>
      </c>
      <c r="Z194" s="45">
        <f>('[2]Renewable Diesel'!F203*'[2]RD Feedstock Breakdown'!Z$3*'[2]Feedstock Conversion Rates'!B$6)/12-50-32-60+15+30+22.5-22.5-15+40-16+3</f>
        <v>74.460000000000008</v>
      </c>
      <c r="AA194" s="45">
        <f>('[2]Renewable Diesel'!F203*'[2]RD Feedstock Breakdown'!AA$3*'[2]Feedstock Conversion Rates'!B$7)/12+80-171+75+30+40-55</f>
        <v>103.26666666666665</v>
      </c>
      <c r="AB194" s="47">
        <f t="shared" si="102"/>
        <v>263.72666666666669</v>
      </c>
      <c r="AC194" s="45">
        <f>('[2]Renewable Diesel'!G203*'[2]RD Feedstock Breakdown'!AC$3*'[2]Feedstock Conversion Rates'!B$5)/12</f>
        <v>11.796875</v>
      </c>
      <c r="AD194" s="45">
        <f>('[2]Renewable Diesel'!G203*'[2]RD Feedstock Breakdown'!AD$3*'[2]Feedstock Conversion Rates'!B$4)/12</f>
        <v>5.859375</v>
      </c>
      <c r="AE194" s="45">
        <f>('[2]Renewable Diesel'!G203*'[2]RD Feedstock Breakdown'!AE$3*'[2]Feedstock Conversion Rates'!B$6)/12</f>
        <v>7.3281250000000009</v>
      </c>
      <c r="AF194" s="47">
        <f t="shared" si="71"/>
        <v>24.984375</v>
      </c>
      <c r="AG194" s="45">
        <f t="shared" si="111"/>
        <v>139</v>
      </c>
      <c r="AH194" s="45">
        <v>0</v>
      </c>
      <c r="AI194" s="45">
        <f>('[2]Renewable Diesel'!H203*'[2]RD Feedstock Breakdown'!AI$3*'[2]Feedstock Conversion Rates'!B$6)/12-130-20+51-120+100-40+20</f>
        <v>9.5166666666666799</v>
      </c>
      <c r="AJ194" s="47">
        <f t="shared" si="113"/>
        <v>148.51666666666668</v>
      </c>
      <c r="AK194" s="45">
        <f>('[2]Renewable Diesel'!J203*'[2]RD Feedstock Breakdown'!AK$3*'[2]Feedstock Conversion Rates'!B$4)/12</f>
        <v>95.8125</v>
      </c>
      <c r="AL194" s="47">
        <f t="shared" si="45"/>
        <v>95.8125</v>
      </c>
      <c r="AM194" s="45">
        <f>('[2]Renewable Diesel'!K203*'[2]RD Feedstock Breakdown'!AM$3*'[2]Feedstock Conversion Rates'!B$4)/12+5+15-10+4+5-30</f>
        <v>47.59375</v>
      </c>
      <c r="AN194" s="45">
        <f>('[2]Renewable Diesel'!K203*'[2]RD Feedstock Breakdown'!AN$3*'[2]Feedstock Conversion Rates'!B$6)/12-5-15+10-4-5+30</f>
        <v>35.427083333333329</v>
      </c>
      <c r="AO194" s="47">
        <f t="shared" si="56"/>
        <v>83.020833333333329</v>
      </c>
      <c r="AP194" s="45">
        <f>('[2]Renewable Diesel'!L203*'[2]RD Feedstock Breakdown'!AP$3*'[2]Feedstock Conversion Rates'!B$4)/12+15-10+7.5+7</f>
        <v>78.09375</v>
      </c>
      <c r="AQ194" s="45">
        <f>('[2]Renewable Diesel'!L203*'[2]RD Feedstock Breakdown'!AQ$3*'[2]Feedstock Conversion Rates'!B$6)/12-15+10-7.5-7</f>
        <v>4.9270833333333321</v>
      </c>
      <c r="AR194" s="47">
        <f t="shared" si="46"/>
        <v>83.020833333333329</v>
      </c>
      <c r="AS194" s="45">
        <f>('[2]Renewable Diesel'!M203*'[2]RD Feedstock Breakdown'!AS$3*'[2]Feedstock Conversion Rates'!B$4)/12</f>
        <v>456.25</v>
      </c>
      <c r="AT194" s="45">
        <f>('[2]Renewable Diesel'!M203*'[2]RD Feedstock Breakdown'!AT$3*'[2]Feedstock Conversion Rates'!B$5)/12</f>
        <v>0</v>
      </c>
      <c r="AU194" s="47">
        <f t="shared" si="74"/>
        <v>456.25</v>
      </c>
      <c r="AV194" s="45">
        <f>'[2]Renewable Diesel'!N203*'[2]RD Feedstock Breakdown'!$AV$3*'[2]Feedstock Conversion Rates'!$B$4/12-15-10+25+25-22-7.5</f>
        <v>74.249999999999986</v>
      </c>
      <c r="AW194" s="45">
        <f>'[2]Renewable Diesel'!N203*'[2]RD Feedstock Breakdown'!$AW$3*'[2]Feedstock Conversion Rates'!$B$7/12+15+10-25-25+22+7.5</f>
        <v>45.900000000000006</v>
      </c>
      <c r="AX194" s="47">
        <f t="shared" si="109"/>
        <v>120.14999999999999</v>
      </c>
      <c r="AY194" s="45">
        <f>('[2]Renewable Diesel'!O203*'[2]RD Feedstock Breakdown'!AY$3*'[2]Feedstock Conversion Rates'!B$4)/12+32+2-135</f>
        <v>109.9375</v>
      </c>
      <c r="AZ194" s="45">
        <f>('[2]Renewable Diesel'!O203*'[2]RD Feedstock Breakdown'!AZ$3*'[2]Feedstock Conversion Rates'!B$3)/12-32-2+135</f>
        <v>126.03125</v>
      </c>
      <c r="BA194" s="47">
        <f t="shared" si="87"/>
        <v>235.96875</v>
      </c>
      <c r="BB194" s="45">
        <f>('[2]Renewable Diesel'!Q203*'[2]RD Feedstock Breakdown'!BB$3*'[2]Feedstock Conversion Rates'!B$4)/12</f>
        <v>11.156249999999998</v>
      </c>
      <c r="BC194" s="45">
        <f>('[2]Renewable Diesel'!Q203*'[2]RD Feedstock Breakdown'!BC$3*'[2]Feedstock Conversion Rates'!B$3)/12</f>
        <v>1.4017500000000001</v>
      </c>
      <c r="BD194" s="45">
        <f>('[2]Renewable Diesel'!Q203*'[2]RD Feedstock Breakdown'!BD$3*'[2]Feedstock Conversion Rates'!B$6)/12</f>
        <v>0.8207500000000002</v>
      </c>
      <c r="BE194" s="47">
        <f t="shared" si="64"/>
        <v>13.378749999999998</v>
      </c>
      <c r="BF194" s="45">
        <f>('[2]Renewable Diesel'!R203*'[2]RD Feedstock Breakdown'!BF$3*'[2]Feedstock Conversion Rates'!B$4)/12</f>
        <v>62.5</v>
      </c>
      <c r="BG194" s="47">
        <f t="shared" si="47"/>
        <v>62.5</v>
      </c>
      <c r="BH194" s="45">
        <f>('[2]Renewable Diesel'!T203*'[2]RD Feedstock Breakdown'!BH$3*'[2]Feedstock Conversion Rates'!B$7)/12</f>
        <v>27.599999999999998</v>
      </c>
      <c r="BI194" s="47">
        <f t="shared" si="112"/>
        <v>27.599999999999998</v>
      </c>
      <c r="BJ194" s="45">
        <f>('[2]Renewable Diesel'!W203*'[2]RD Feedstock Breakdown'!BJ$3*'[2]Feedstock Conversion Rates'!B$4)/12</f>
        <v>7.5</v>
      </c>
      <c r="BK194" s="45">
        <f>('[2]Renewable Diesel'!W203*'[2]RD Feedstock Breakdown'!BK$3*'[2]Feedstock Conversion Rates'!B$3)/12</f>
        <v>1.335</v>
      </c>
      <c r="BL194" s="45">
        <f>('[2]Renewable Diesel'!W203*'[2]RD Feedstock Breakdown'!BL$3*'[2]Feedstock Conversion Rates'!B$6)/12</f>
        <v>3.1266666666666669</v>
      </c>
      <c r="BM194" s="45">
        <f>('[2]Renewable Diesel'!W203*'[2]RD Feedstock Breakdown'!BM$3*'[2]Feedstock Conversion Rates'!B$7)/12</f>
        <v>1.5333333333333332</v>
      </c>
      <c r="BN194" s="47">
        <f t="shared" si="78"/>
        <v>13.495000000000001</v>
      </c>
      <c r="BO194" s="45">
        <f>('[2]Renewable Diesel'!P203*'[2]Feedstock Conversion Rates'!B$4)/12</f>
        <v>31.25</v>
      </c>
      <c r="BP194" s="47">
        <f t="shared" si="72"/>
        <v>31.25</v>
      </c>
      <c r="BQ194" s="45">
        <f>('[2]Renewable Diesel'!$S203*'[2]RD Feedstock Breakdown'!BQ$3*'[2]Feedstock Conversion Rates'!B$4)/12+10</f>
        <v>38.125</v>
      </c>
      <c r="BR194" s="45">
        <f>('[2]Renewable Diesel'!$S203*'[2]RD Feedstock Breakdown'!BR$3*'[2]Feedstock Conversion Rates'!B$7)/12-10</f>
        <v>1.5</v>
      </c>
      <c r="BS194" s="47">
        <f t="shared" si="90"/>
        <v>39.625</v>
      </c>
      <c r="BT194" s="47"/>
      <c r="BU194" s="45">
        <f>('[2]Renewable Diesel'!Y203*'[2]Feedstock Conversion Rates'!B$7)/12</f>
        <v>2.6833333333333331</v>
      </c>
      <c r="BV194" s="47">
        <f t="shared" si="67"/>
        <v>2.6833333333333331</v>
      </c>
      <c r="BW194" s="45">
        <f>('[2]Renewable Diesel'!$Z203*'[2]RD Feedstock Breakdown'!BW$3*'[2]Feedstock Conversion Rates'!$B$4)/12</f>
        <v>35.9375</v>
      </c>
      <c r="BX194" s="45">
        <f>('[2]Renewable Diesel'!$Z203*'[2]RD Feedstock Breakdown'!BX$3*'[2]Feedstock Conversion Rates'!$B$5)/12</f>
        <v>3.6177083333333333</v>
      </c>
      <c r="BY194" s="45">
        <f>('[2]Renewable Diesel'!$Z203*'[2]RD Feedstock Breakdown'!BY$3*'[2]Feedstock Conversion Rates'!$B$7)/12</f>
        <v>30.858333333333331</v>
      </c>
      <c r="BZ194" s="45">
        <f>('[2]Renewable Diesel'!$Z203*'[2]RD Feedstock Breakdown'!BZ$3*'[2]Feedstock Conversion Rates'!$B$3)/12</f>
        <v>7.6762499999999996</v>
      </c>
      <c r="CA194" s="47">
        <f t="shared" si="91"/>
        <v>78.089791666666656</v>
      </c>
      <c r="CB194" s="45">
        <f>('[2]Renewable Diesel'!AA203*'[2]Feedstock Conversion Rates'!B$4)/12</f>
        <v>191.25</v>
      </c>
      <c r="CC194" s="47">
        <f t="shared" si="79"/>
        <v>191.25</v>
      </c>
      <c r="CD194" s="45">
        <f>('[2]Renewable Diesel'!$AB203*'[2]RD Feedstock Breakdown'!CD$3*'[2]Feedstock Conversion Rates'!$B$6)/12-15</f>
        <v>17.830000000000005</v>
      </c>
      <c r="CE194" s="45">
        <f>('[2]Renewable Diesel'!$AB203*'[2]RD Feedstock Breakdown'!CE$3*'[2]Feedstock Conversion Rates'!$B$4)/12+15</f>
        <v>26.25</v>
      </c>
      <c r="CF194" s="47">
        <f t="shared" si="76"/>
        <v>44.080000000000005</v>
      </c>
      <c r="CG194" s="45">
        <f>('[2]Renewable Diesel'!AD203*'[2]Feedstock Conversion Rates'!B$4)/12</f>
        <v>112.5</v>
      </c>
      <c r="CH194" s="47">
        <f t="shared" si="63"/>
        <v>112.5</v>
      </c>
      <c r="CI194" s="45">
        <f>('[2]Renewable Diesel'!$AE203*'[2]RD Feedstock Breakdown'!CI$3*'[2]Feedstock Conversion Rates'!$B$5)/12</f>
        <v>0.34604166666666664</v>
      </c>
      <c r="CJ194" s="45">
        <f>('[2]Renewable Diesel'!$AE203*'[2]RD Feedstock Breakdown'!CJ$3*'[2]Feedstock Conversion Rates'!$B$4)/12</f>
        <v>0.34375</v>
      </c>
      <c r="CK194" s="47">
        <f t="shared" si="73"/>
        <v>0.68979166666666658</v>
      </c>
      <c r="CL194" s="45">
        <f>(((CL$3*'[2]Renewable Diesel'!$AF203)*'[2]Feedstock Conversion Rates'!$B$3)/12)</f>
        <v>91.78125</v>
      </c>
      <c r="CM194" s="45">
        <f>(((CM$3*'[2]Renewable Diesel'!$AF203)*'[2]Feedstock Conversion Rates'!$B$6)/12)-45</f>
        <v>8.7395833333333357</v>
      </c>
      <c r="CN194" s="45">
        <f>(((CN$3*'[2]Renewable Diesel'!$AF203)*'[2]Feedstock Conversion Rates'!$B$4)/12)+45</f>
        <v>87.96875</v>
      </c>
      <c r="CO194" s="47">
        <f t="shared" si="65"/>
        <v>188.48958333333334</v>
      </c>
      <c r="CP194" s="45">
        <f>('[2]Renewable Diesel'!$AG203*'[2]RD Feedstock Breakdown'!CP$3*'[2]Feedstock Conversion Rates'!$B$3)/12</f>
        <v>6.0075000000000003</v>
      </c>
      <c r="CQ194" s="45">
        <f>('[2]Renewable Diesel'!$AG203*'[2]RD Feedstock Breakdown'!CQ$3*'[2]Feedstock Conversion Rates'!$B$6)/12</f>
        <v>3.5175000000000001</v>
      </c>
      <c r="CR194" s="45">
        <f>('[2]Renewable Diesel'!$AG203*'[2]RD Feedstock Breakdown'!CR$3*'[2]Feedstock Conversion Rates'!$B$4)/12</f>
        <v>2.8125</v>
      </c>
      <c r="CS194" s="47">
        <f t="shared" si="99"/>
        <v>12.3375</v>
      </c>
      <c r="CT194" s="45">
        <f>('[2]Renewable Diesel'!AI203*'[2]Feedstock Conversion Rates'!$B$4*'[2]RD Feedstock Breakdown'!$CT$3)/12</f>
        <v>29.375</v>
      </c>
      <c r="CU194" s="47">
        <f t="shared" si="69"/>
        <v>29.375</v>
      </c>
      <c r="CV194" s="47"/>
      <c r="CW194" s="47"/>
      <c r="CX194" s="45">
        <f>('[2]Renewable Diesel'!AO203*'[2]RD Feedstock Breakdown'!$CX$3*'[2]Feedstock Conversion Rates'!$B$3)/12</f>
        <v>6.3412499999999996</v>
      </c>
      <c r="CY194" s="45">
        <f>('[2]Renewable Diesel'!AO203*'[2]RD Feedstock Breakdown'!$CY$3*'[2]Feedstock Conversion Rates'!$B$6)/12</f>
        <v>7.4258333333333342</v>
      </c>
      <c r="CZ194" s="47">
        <f t="shared" si="100"/>
        <v>13.767083333333334</v>
      </c>
      <c r="DA194" s="47"/>
      <c r="DB194" s="47"/>
      <c r="DC194" s="47"/>
      <c r="DD194" s="47"/>
      <c r="DE194" s="47"/>
      <c r="DF194" s="45">
        <f>('[2]Renewable Diesel'!AR203*'[2]Feedstock Conversion Rates'!$B$4*$DF$3)/12</f>
        <v>75</v>
      </c>
      <c r="DG194" s="47">
        <f t="shared" si="101"/>
        <v>75</v>
      </c>
      <c r="DH194" s="45">
        <f>('[2]Renewable Diesel'!AS203*'[2]Feedstock Conversion Rates'!$B$4*$DH$3)/12</f>
        <v>75</v>
      </c>
      <c r="DI194" s="47">
        <f t="shared" si="110"/>
        <v>75</v>
      </c>
      <c r="DJ194" s="45">
        <f>('[2]Renewable Diesel'!AT203*'[2]Feedstock Conversion Rates'!$B$4*0.25)/12</f>
        <v>8.59375</v>
      </c>
      <c r="DK194" s="45">
        <f>('[2]Renewable Diesel'!$AT203*'[2]RD Feedstock Breakdown'!DK$3*'[2]Feedstock Conversion Rates'!$B$3)/12*0.5</f>
        <v>9.1781249999999996</v>
      </c>
      <c r="DL194" s="45">
        <f>('[2]Renewable Diesel'!$AT203*'[2]RD Feedstock Breakdown'!$DL$3*'[2]Feedstock Conversion Rates'!$B$6)/12</f>
        <v>10.747916666666669</v>
      </c>
      <c r="DM194" s="45">
        <f>('[2]Renewable Diesel'!$AT203*'[2]RD Feedstock Breakdown'!$DM$3*'[2]Feedstock Conversion Rates'!$B$8)/12</f>
        <v>10.7421875</v>
      </c>
      <c r="DN194" s="47">
        <f t="shared" si="77"/>
        <v>39.26197916666667</v>
      </c>
      <c r="DP194" s="45">
        <f t="shared" si="48"/>
        <v>101.72025000000001</v>
      </c>
      <c r="DQ194" s="45">
        <f t="shared" si="49"/>
        <v>489.59964249999996</v>
      </c>
      <c r="DR194" s="45">
        <f t="shared" si="57"/>
        <v>1927.765625</v>
      </c>
      <c r="DS194" s="45">
        <f t="shared" si="70"/>
        <v>236.17937499999999</v>
      </c>
      <c r="DT194" s="45">
        <f t="shared" si="50"/>
        <v>223.11735833333344</v>
      </c>
      <c r="DU194" s="45">
        <f t="shared" si="51"/>
        <v>173.29776666666666</v>
      </c>
      <c r="DV194" s="45">
        <f t="shared" si="58"/>
        <v>6.6750000000000007</v>
      </c>
      <c r="DW194" s="45">
        <f t="shared" si="52"/>
        <v>2.5</v>
      </c>
      <c r="DX194" s="47">
        <f t="shared" si="53"/>
        <v>3160.8550175</v>
      </c>
      <c r="DY194" s="50">
        <f t="shared" si="54"/>
        <v>-1.1368683772161603E-13</v>
      </c>
      <c r="EA194" s="51">
        <f t="shared" si="117"/>
        <v>3.2181245086164413E-2</v>
      </c>
      <c r="EB194" s="51">
        <f t="shared" si="117"/>
        <v>0.15489468507392556</v>
      </c>
      <c r="EC194" s="51">
        <f t="shared" si="117"/>
        <v>0.60988739259693048</v>
      </c>
      <c r="ED194" s="51">
        <f t="shared" si="114"/>
        <v>7.472009114381975E-2</v>
      </c>
      <c r="EE194" s="51">
        <f t="shared" si="114"/>
        <v>7.0587659699052757E-2</v>
      </c>
      <c r="EF194" s="51">
        <f t="shared" si="114"/>
        <v>5.4826230784774256E-2</v>
      </c>
      <c r="EG194" s="51">
        <f t="shared" si="114"/>
        <v>2.1117703795473122E-3</v>
      </c>
      <c r="EH194" s="52">
        <f t="shared" si="59"/>
        <v>7.9092523578551009E-4</v>
      </c>
      <c r="EI194" s="51">
        <f t="shared" si="60"/>
        <v>0.9992090747642145</v>
      </c>
      <c r="EK194" s="53">
        <f>(EA194*'[2]Renewable Diesel'!BF203*'[2]Feedstock Conversion Rates'!B$2)+FB194</f>
        <v>89.230321149159877</v>
      </c>
      <c r="EL194" s="53">
        <f>(EB194*'[2]Renewable Diesel'!BF203*'[2]Feedstock Conversion Rates'!B$3)+FC194</f>
        <v>404.72470908798306</v>
      </c>
      <c r="EM194" s="53">
        <f>(EC194*'[2]Renewable Diesel'!BF203*'[2]Feedstock Conversion Rates'!B$4)+FD194</f>
        <v>1492.1126308709215</v>
      </c>
      <c r="EN194" s="53">
        <f>(ED194*'[2]Renewable Diesel'!BF203*'[2]Feedstock Conversion Rates'!B$5)+FE194</f>
        <v>184.02423969249784</v>
      </c>
      <c r="EO194" s="53">
        <f>(EE194*'[2]Renewable Diesel'!BF203*'[2]Feedstock Conversion Rates'!B$6)+FF194</f>
        <v>215.98436263329862</v>
      </c>
      <c r="EP194" s="53">
        <f>(EF194*'[2]Renewable Diesel'!BF203*'[2]Feedstock Conversion Rates'!B$7)+FG194</f>
        <v>164.53826166165862</v>
      </c>
      <c r="EQ194" s="53">
        <f>(EG194*'[2]Renewable Diesel'!BF203*'[2]Feedstock Conversion Rates'!B$8)+FH194</f>
        <v>6.4581578810075797</v>
      </c>
      <c r="ER194" s="53">
        <f>(EH194*'[2]Renewable Diesel'!BF203*'[2]Feedstock Conversion Rates'!B$9)+FI194</f>
        <v>2.3865352469141614</v>
      </c>
      <c r="ES194" s="53">
        <f t="shared" si="61"/>
        <v>2559.459218223441</v>
      </c>
      <c r="ET194" s="36">
        <f>ES194/'[2]Renewable Diesel'!BF203</f>
        <v>7.8461666202236682</v>
      </c>
    </row>
    <row r="195" spans="1:150" x14ac:dyDescent="0.25">
      <c r="A195" s="39">
        <v>46357</v>
      </c>
      <c r="B195" s="45">
        <f t="shared" si="118"/>
        <v>35</v>
      </c>
      <c r="C195" s="45">
        <f t="shared" si="119"/>
        <v>62</v>
      </c>
      <c r="D195" s="45">
        <f t="shared" si="115"/>
        <v>1.5</v>
      </c>
      <c r="E195" s="45">
        <f>('[2]Renewable Diesel'!B204*E$3*'[2]Feedstock Conversion Rates'!$B$2)/12-50+2+15-0.5-7.5-20+14+15+72+25-19-5-5+9-47-1</f>
        <v>86.93</v>
      </c>
      <c r="F195" s="45">
        <f>('[2]Renewable Diesel'!B204*'[2]RD Feedstock Breakdown'!F$3*'[2]Feedstock Conversion Rates'!B$8)/12-22+4-3+10+17-48+14+10-4+14+2-33+7.5-15</f>
        <v>7.40625</v>
      </c>
      <c r="G195" s="45">
        <f>('[2]Renewable Diesel'!B204*'[2]RD Feedstock Breakdown'!G$3*'[2]Feedstock Conversion Rates'!B$7)/12-1+21-144-30+30+70-5-65+5-10-10-2.5-15</f>
        <v>19.657000000000011</v>
      </c>
      <c r="H195" s="45">
        <f>('[2]Renewable Diesel'!B204*'[2]RD Feedstock Breakdown'!H$3*'[2]Feedstock Conversion Rates'!B$3)/12-85+4+10-72+17+30+45+15-25-7.5-18+185+9</f>
        <v>283.90022499999998</v>
      </c>
      <c r="I195" s="47">
        <f t="shared" si="75"/>
        <v>496.39347499999997</v>
      </c>
      <c r="J195" s="45">
        <f t="shared" si="120"/>
        <v>152</v>
      </c>
      <c r="K195" s="45"/>
      <c r="L195" s="45">
        <v>1</v>
      </c>
      <c r="M195" s="45">
        <f>('[2]Renewable Diesel'!C204*'[2]RD Feedstock Breakdown'!M$3*'[2]Feedstock Conversion Rates'!B$2)/12-10-15-30+10-2+30+24</f>
        <v>14.79025</v>
      </c>
      <c r="N195" s="45">
        <f>('[2]Renewable Diesel'!C204*'[2]RD Feedstock Breakdown'!N$3*'[2]Feedstock Conversion Rates'!B$8)/12-2+8-9-7+6+7.5-9-11-15</f>
        <v>-27.828125</v>
      </c>
      <c r="O195" s="45">
        <f>('[2]Renewable Diesel'!C204*'[2]RD Feedstock Breakdown'!O$3*'[2]Feedstock Conversion Rates'!B$7)/12-90-2+12+15-10+5-10+6</f>
        <v>-62.000900000000001</v>
      </c>
      <c r="P195" s="45">
        <f>('[2]Renewable Diesel'!C204*'[2]RD Feedstock Breakdown'!P$3*'[2]Feedstock Conversion Rates'!B$3)/12-27+40-97+32.5+7+15+50-70-5</f>
        <v>-44.052957499999991</v>
      </c>
      <c r="Q195" s="47">
        <f t="shared" si="85"/>
        <v>33.908267500000022</v>
      </c>
      <c r="R195" s="45">
        <f>('[2]Renewable Diesel'!D204*'[2]RD Feedstock Breakdown'!R$3*'[2]Feedstock Conversion Rates'!B$7)/12</f>
        <v>2.2999999999999998</v>
      </c>
      <c r="S195" s="47">
        <f t="shared" si="116"/>
        <v>2.2999999999999998</v>
      </c>
      <c r="T195" s="45">
        <f t="shared" si="121"/>
        <v>10.824999999999999</v>
      </c>
      <c r="U195" s="45">
        <v>0</v>
      </c>
      <c r="V195" s="45">
        <f>('[2]Renewable Diesel'!E204*'[2]RD Feedstock Breakdown'!V$3*'[2]Feedstock Conversion Rates'!B$6)/12-20+25-10</f>
        <v>39.250150000000012</v>
      </c>
      <c r="W195" s="45">
        <f>('[2]Renewable Diesel'!E204*'[2]RD Feedstock Breakdown'!W$3*'[2]Feedstock Conversion Rates'!B$8)/12-5.825</f>
        <v>16.354687500000001</v>
      </c>
      <c r="X195" s="47">
        <f t="shared" si="62"/>
        <v>66.429837500000005</v>
      </c>
      <c r="Y195" s="45">
        <f t="shared" si="122"/>
        <v>86</v>
      </c>
      <c r="Z195" s="45">
        <f>('[2]Renewable Diesel'!F204*'[2]RD Feedstock Breakdown'!Z$3*'[2]Feedstock Conversion Rates'!B$6)/12-50-32-60+15+30+22.5-22.5-15+40-16+3</f>
        <v>74.460000000000008</v>
      </c>
      <c r="AA195" s="45">
        <f>('[2]Renewable Diesel'!F204*'[2]RD Feedstock Breakdown'!AA$3*'[2]Feedstock Conversion Rates'!B$7)/12+80-171+75+30+40-55</f>
        <v>103.26666666666665</v>
      </c>
      <c r="AB195" s="47">
        <f t="shared" si="102"/>
        <v>263.72666666666669</v>
      </c>
      <c r="AC195" s="45">
        <f>('[2]Renewable Diesel'!G204*'[2]RD Feedstock Breakdown'!AC$3*'[2]Feedstock Conversion Rates'!B$5)/12</f>
        <v>11.796875</v>
      </c>
      <c r="AD195" s="45">
        <f>('[2]Renewable Diesel'!G204*'[2]RD Feedstock Breakdown'!AD$3*'[2]Feedstock Conversion Rates'!B$4)/12</f>
        <v>5.859375</v>
      </c>
      <c r="AE195" s="45">
        <f>('[2]Renewable Diesel'!G204*'[2]RD Feedstock Breakdown'!AE$3*'[2]Feedstock Conversion Rates'!B$6)/12</f>
        <v>7.3281250000000009</v>
      </c>
      <c r="AF195" s="47">
        <f t="shared" si="71"/>
        <v>24.984375</v>
      </c>
      <c r="AG195" s="45">
        <f t="shared" si="111"/>
        <v>139</v>
      </c>
      <c r="AH195" s="45">
        <v>0</v>
      </c>
      <c r="AI195" s="45">
        <f>('[2]Renewable Diesel'!H204*'[2]RD Feedstock Breakdown'!AI$3*'[2]Feedstock Conversion Rates'!B$6)/12-130-20+51-120+100-40+20</f>
        <v>9.5166666666666799</v>
      </c>
      <c r="AJ195" s="47">
        <f t="shared" si="113"/>
        <v>148.51666666666668</v>
      </c>
      <c r="AK195" s="45">
        <f>('[2]Renewable Diesel'!J204*'[2]RD Feedstock Breakdown'!AK$3*'[2]Feedstock Conversion Rates'!B$4)/12</f>
        <v>95.8125</v>
      </c>
      <c r="AL195" s="47">
        <f t="shared" si="45"/>
        <v>95.8125</v>
      </c>
      <c r="AM195" s="45">
        <f>('[2]Renewable Diesel'!K204*'[2]RD Feedstock Breakdown'!AM$3*'[2]Feedstock Conversion Rates'!B$4)/12+5+15-10+4+5-30</f>
        <v>47.59375</v>
      </c>
      <c r="AN195" s="45">
        <f>('[2]Renewable Diesel'!K204*'[2]RD Feedstock Breakdown'!AN$3*'[2]Feedstock Conversion Rates'!B$6)/12-5-15+10-4-5+30</f>
        <v>35.427083333333329</v>
      </c>
      <c r="AO195" s="47">
        <f t="shared" si="56"/>
        <v>83.020833333333329</v>
      </c>
      <c r="AP195" s="45">
        <f>('[2]Renewable Diesel'!L204*'[2]RD Feedstock Breakdown'!AP$3*'[2]Feedstock Conversion Rates'!B$4)/12+15-10+7.5+7</f>
        <v>78.09375</v>
      </c>
      <c r="AQ195" s="45">
        <f>('[2]Renewable Diesel'!L204*'[2]RD Feedstock Breakdown'!AQ$3*'[2]Feedstock Conversion Rates'!B$6)/12-15+10-7.5-7</f>
        <v>4.9270833333333321</v>
      </c>
      <c r="AR195" s="47">
        <f t="shared" si="46"/>
        <v>83.020833333333329</v>
      </c>
      <c r="AS195" s="45">
        <f>('[2]Renewable Diesel'!M204*'[2]RD Feedstock Breakdown'!AS$3*'[2]Feedstock Conversion Rates'!B$4)/12</f>
        <v>456.25</v>
      </c>
      <c r="AT195" s="45">
        <f>('[2]Renewable Diesel'!M204*'[2]RD Feedstock Breakdown'!AT$3*'[2]Feedstock Conversion Rates'!B$5)/12</f>
        <v>0</v>
      </c>
      <c r="AU195" s="47">
        <f t="shared" si="74"/>
        <v>456.25</v>
      </c>
      <c r="AV195" s="45">
        <f>'[2]Renewable Diesel'!N204*'[2]RD Feedstock Breakdown'!$AV$3*'[2]Feedstock Conversion Rates'!$B$4/12-15-10+25+25-22-7.5</f>
        <v>74.249999999999986</v>
      </c>
      <c r="AW195" s="45">
        <f>'[2]Renewable Diesel'!N204*'[2]RD Feedstock Breakdown'!$AW$3*'[2]Feedstock Conversion Rates'!$B$7/12+15+10-25-25+22+7.5</f>
        <v>45.900000000000006</v>
      </c>
      <c r="AX195" s="47">
        <f t="shared" si="109"/>
        <v>120.14999999999999</v>
      </c>
      <c r="AY195" s="45">
        <f>('[2]Renewable Diesel'!O204*'[2]RD Feedstock Breakdown'!AY$3*'[2]Feedstock Conversion Rates'!B$4)/12+32+2-135</f>
        <v>109.9375</v>
      </c>
      <c r="AZ195" s="45">
        <f>('[2]Renewable Diesel'!O204*'[2]RD Feedstock Breakdown'!AZ$3*'[2]Feedstock Conversion Rates'!B$3)/12-32-2+135</f>
        <v>126.03125</v>
      </c>
      <c r="BA195" s="47">
        <f t="shared" si="87"/>
        <v>235.96875</v>
      </c>
      <c r="BB195" s="45">
        <f>('[2]Renewable Diesel'!Q204*'[2]RD Feedstock Breakdown'!BB$3*'[2]Feedstock Conversion Rates'!B$4)/12</f>
        <v>11.156249999999998</v>
      </c>
      <c r="BC195" s="45">
        <f>('[2]Renewable Diesel'!Q204*'[2]RD Feedstock Breakdown'!BC$3*'[2]Feedstock Conversion Rates'!B$3)/12</f>
        <v>1.4017500000000001</v>
      </c>
      <c r="BD195" s="45">
        <f>('[2]Renewable Diesel'!Q204*'[2]RD Feedstock Breakdown'!BD$3*'[2]Feedstock Conversion Rates'!B$6)/12</f>
        <v>0.8207500000000002</v>
      </c>
      <c r="BE195" s="47">
        <f t="shared" si="64"/>
        <v>13.378749999999998</v>
      </c>
      <c r="BF195" s="45">
        <f>('[2]Renewable Diesel'!R204*'[2]RD Feedstock Breakdown'!BF$3*'[2]Feedstock Conversion Rates'!B$4)/12</f>
        <v>62.5</v>
      </c>
      <c r="BG195" s="47">
        <f t="shared" si="47"/>
        <v>62.5</v>
      </c>
      <c r="BH195" s="45">
        <f>('[2]Renewable Diesel'!T204*'[2]RD Feedstock Breakdown'!BH$3*'[2]Feedstock Conversion Rates'!B$7)/12</f>
        <v>27.599999999999998</v>
      </c>
      <c r="BI195" s="47">
        <f t="shared" si="112"/>
        <v>27.599999999999998</v>
      </c>
      <c r="BJ195" s="45">
        <f>('[2]Renewable Diesel'!W204*'[2]RD Feedstock Breakdown'!BJ$3*'[2]Feedstock Conversion Rates'!B$4)/12</f>
        <v>7.5</v>
      </c>
      <c r="BK195" s="45">
        <f>('[2]Renewable Diesel'!W204*'[2]RD Feedstock Breakdown'!BK$3*'[2]Feedstock Conversion Rates'!B$3)/12</f>
        <v>1.335</v>
      </c>
      <c r="BL195" s="45">
        <f>('[2]Renewable Diesel'!W204*'[2]RD Feedstock Breakdown'!BL$3*'[2]Feedstock Conversion Rates'!B$6)/12</f>
        <v>3.1266666666666669</v>
      </c>
      <c r="BM195" s="45">
        <f>('[2]Renewable Diesel'!W204*'[2]RD Feedstock Breakdown'!BM$3*'[2]Feedstock Conversion Rates'!B$7)/12</f>
        <v>1.5333333333333332</v>
      </c>
      <c r="BN195" s="47">
        <f t="shared" si="78"/>
        <v>13.495000000000001</v>
      </c>
      <c r="BO195" s="45">
        <f>('[2]Renewable Diesel'!P204*'[2]Feedstock Conversion Rates'!B$4)/12</f>
        <v>31.25</v>
      </c>
      <c r="BP195" s="47">
        <f t="shared" si="72"/>
        <v>31.25</v>
      </c>
      <c r="BQ195" s="45">
        <f>('[2]Renewable Diesel'!$S204*'[2]RD Feedstock Breakdown'!BQ$3*'[2]Feedstock Conversion Rates'!B$4)/12+10</f>
        <v>38.125</v>
      </c>
      <c r="BR195" s="45">
        <f>('[2]Renewable Diesel'!$S204*'[2]RD Feedstock Breakdown'!BR$3*'[2]Feedstock Conversion Rates'!B$7)/12-10</f>
        <v>1.5</v>
      </c>
      <c r="BS195" s="47">
        <f t="shared" si="90"/>
        <v>39.625</v>
      </c>
      <c r="BT195" s="47"/>
      <c r="BU195" s="45">
        <f>('[2]Renewable Diesel'!Y204*'[2]Feedstock Conversion Rates'!B$7)/12</f>
        <v>2.6833333333333331</v>
      </c>
      <c r="BV195" s="47">
        <f t="shared" si="67"/>
        <v>2.6833333333333331</v>
      </c>
      <c r="BW195" s="45">
        <f>('[2]Renewable Diesel'!$Z204*'[2]RD Feedstock Breakdown'!BW$3*'[2]Feedstock Conversion Rates'!$B$4)/12</f>
        <v>35.9375</v>
      </c>
      <c r="BX195" s="45">
        <f>('[2]Renewable Diesel'!$Z204*'[2]RD Feedstock Breakdown'!BX$3*'[2]Feedstock Conversion Rates'!$B$5)/12</f>
        <v>3.6177083333333333</v>
      </c>
      <c r="BY195" s="45">
        <f>('[2]Renewable Diesel'!$Z204*'[2]RD Feedstock Breakdown'!BY$3*'[2]Feedstock Conversion Rates'!$B$7)/12</f>
        <v>30.858333333333331</v>
      </c>
      <c r="BZ195" s="45">
        <f>('[2]Renewable Diesel'!$Z204*'[2]RD Feedstock Breakdown'!BZ$3*'[2]Feedstock Conversion Rates'!$B$3)/12</f>
        <v>7.6762499999999996</v>
      </c>
      <c r="CA195" s="47">
        <f t="shared" si="91"/>
        <v>78.089791666666656</v>
      </c>
      <c r="CB195" s="45">
        <f>('[2]Renewable Diesel'!AA204*'[2]Feedstock Conversion Rates'!B$4)/12</f>
        <v>191.25</v>
      </c>
      <c r="CC195" s="47">
        <f t="shared" si="79"/>
        <v>191.25</v>
      </c>
      <c r="CD195" s="45">
        <f>('[2]Renewable Diesel'!$AB204*'[2]RD Feedstock Breakdown'!CD$3*'[2]Feedstock Conversion Rates'!$B$6)/12-15</f>
        <v>17.830000000000005</v>
      </c>
      <c r="CE195" s="45">
        <f>('[2]Renewable Diesel'!$AB204*'[2]RD Feedstock Breakdown'!CE$3*'[2]Feedstock Conversion Rates'!$B$4)/12+15</f>
        <v>26.25</v>
      </c>
      <c r="CF195" s="47">
        <f t="shared" si="76"/>
        <v>44.080000000000005</v>
      </c>
      <c r="CG195" s="45">
        <f>('[2]Renewable Diesel'!AD204*'[2]Feedstock Conversion Rates'!B$4)/12</f>
        <v>112.5</v>
      </c>
      <c r="CH195" s="47">
        <f t="shared" si="63"/>
        <v>112.5</v>
      </c>
      <c r="CI195" s="45">
        <f>('[2]Renewable Diesel'!$AE204*'[2]RD Feedstock Breakdown'!CI$3*'[2]Feedstock Conversion Rates'!$B$5)/12</f>
        <v>0.34604166666666664</v>
      </c>
      <c r="CJ195" s="45">
        <f>('[2]Renewable Diesel'!$AE204*'[2]RD Feedstock Breakdown'!CJ$3*'[2]Feedstock Conversion Rates'!$B$4)/12</f>
        <v>0.34375</v>
      </c>
      <c r="CK195" s="47">
        <f t="shared" si="73"/>
        <v>0.68979166666666658</v>
      </c>
      <c r="CL195" s="45">
        <f>(((CL$3*'[2]Renewable Diesel'!$AF204)*'[2]Feedstock Conversion Rates'!$B$3)/12)</f>
        <v>91.78125</v>
      </c>
      <c r="CM195" s="45">
        <f>(((CM$3*'[2]Renewable Diesel'!$AF204)*'[2]Feedstock Conversion Rates'!$B$6)/12)-45</f>
        <v>8.7395833333333357</v>
      </c>
      <c r="CN195" s="45">
        <f>(((CN$3*'[2]Renewable Diesel'!$AF204)*'[2]Feedstock Conversion Rates'!$B$4)/12)+45</f>
        <v>87.96875</v>
      </c>
      <c r="CO195" s="47">
        <f t="shared" si="65"/>
        <v>188.48958333333334</v>
      </c>
      <c r="CP195" s="45">
        <f>('[2]Renewable Diesel'!$AG204*'[2]RD Feedstock Breakdown'!CP$3*'[2]Feedstock Conversion Rates'!$B$3)/12</f>
        <v>6.0075000000000003</v>
      </c>
      <c r="CQ195" s="45">
        <f>('[2]Renewable Diesel'!$AG204*'[2]RD Feedstock Breakdown'!CQ$3*'[2]Feedstock Conversion Rates'!$B$6)/12</f>
        <v>3.5175000000000001</v>
      </c>
      <c r="CR195" s="45">
        <f>('[2]Renewable Diesel'!$AG204*'[2]RD Feedstock Breakdown'!CR$3*'[2]Feedstock Conversion Rates'!$B$4)/12</f>
        <v>2.8125</v>
      </c>
      <c r="CS195" s="47">
        <f t="shared" si="99"/>
        <v>12.3375</v>
      </c>
      <c r="CT195" s="45">
        <f>('[2]Renewable Diesel'!AI204*'[2]Feedstock Conversion Rates'!$B$4*'[2]RD Feedstock Breakdown'!$CT$3)/12</f>
        <v>29.375</v>
      </c>
      <c r="CU195" s="47">
        <f t="shared" si="69"/>
        <v>29.375</v>
      </c>
      <c r="CV195" s="47"/>
      <c r="CW195" s="47"/>
      <c r="CX195" s="45">
        <f>('[2]Renewable Diesel'!AO204*'[2]RD Feedstock Breakdown'!$CX$3*'[2]Feedstock Conversion Rates'!$B$3)/12</f>
        <v>6.3412499999999996</v>
      </c>
      <c r="CY195" s="45">
        <f>('[2]Renewable Diesel'!AO204*'[2]RD Feedstock Breakdown'!$CY$3*'[2]Feedstock Conversion Rates'!$B$6)/12</f>
        <v>7.4258333333333342</v>
      </c>
      <c r="CZ195" s="47">
        <f t="shared" si="100"/>
        <v>13.767083333333334</v>
      </c>
      <c r="DA195" s="47"/>
      <c r="DB195" s="47"/>
      <c r="DC195" s="47"/>
      <c r="DD195" s="47"/>
      <c r="DE195" s="47"/>
      <c r="DF195" s="45">
        <f>('[2]Renewable Diesel'!AR204*'[2]Feedstock Conversion Rates'!$B$4*$DF$3)/12</f>
        <v>75</v>
      </c>
      <c r="DG195" s="47">
        <f t="shared" si="101"/>
        <v>75</v>
      </c>
      <c r="DH195" s="45">
        <f>('[2]Renewable Diesel'!AS204*'[2]Feedstock Conversion Rates'!$B$4*$DH$3)/12</f>
        <v>75</v>
      </c>
      <c r="DI195" s="47">
        <f t="shared" si="110"/>
        <v>75</v>
      </c>
      <c r="DJ195" s="45">
        <f>('[2]Renewable Diesel'!AT204*'[2]Feedstock Conversion Rates'!$B$4*0.25)/12</f>
        <v>8.59375</v>
      </c>
      <c r="DK195" s="45">
        <f>('[2]Renewable Diesel'!$AT204*'[2]RD Feedstock Breakdown'!DK$3*'[2]Feedstock Conversion Rates'!$B$3)/12*0.5</f>
        <v>9.1781249999999996</v>
      </c>
      <c r="DL195" s="45">
        <f>('[2]Renewable Diesel'!$AT204*'[2]RD Feedstock Breakdown'!$DL$3*'[2]Feedstock Conversion Rates'!$B$6)/12</f>
        <v>10.747916666666669</v>
      </c>
      <c r="DM195" s="45">
        <f>('[2]Renewable Diesel'!$AT204*'[2]RD Feedstock Breakdown'!$DM$3*'[2]Feedstock Conversion Rates'!$B$8)/12</f>
        <v>10.7421875</v>
      </c>
      <c r="DN195" s="47">
        <f t="shared" si="77"/>
        <v>39.26197916666667</v>
      </c>
      <c r="DP195" s="45">
        <f t="shared" si="48"/>
        <v>101.72025000000001</v>
      </c>
      <c r="DQ195" s="45">
        <f t="shared" si="49"/>
        <v>489.59964249999996</v>
      </c>
      <c r="DR195" s="45">
        <f t="shared" si="57"/>
        <v>1927.765625</v>
      </c>
      <c r="DS195" s="45">
        <f t="shared" si="70"/>
        <v>236.17937499999999</v>
      </c>
      <c r="DT195" s="45">
        <f t="shared" si="50"/>
        <v>223.11735833333344</v>
      </c>
      <c r="DU195" s="45">
        <f t="shared" si="51"/>
        <v>173.29776666666666</v>
      </c>
      <c r="DV195" s="45">
        <f t="shared" si="58"/>
        <v>6.6750000000000007</v>
      </c>
      <c r="DW195" s="45">
        <f t="shared" si="52"/>
        <v>2.5</v>
      </c>
      <c r="DX195" s="47">
        <f t="shared" si="53"/>
        <v>3160.8550175</v>
      </c>
      <c r="DY195" s="50">
        <f t="shared" si="54"/>
        <v>-1.1368683772161603E-13</v>
      </c>
      <c r="EA195" s="51">
        <f t="shared" si="117"/>
        <v>3.2181245086164413E-2</v>
      </c>
      <c r="EB195" s="51">
        <f t="shared" si="117"/>
        <v>0.15489468507392556</v>
      </c>
      <c r="EC195" s="51">
        <f t="shared" si="117"/>
        <v>0.60988739259693048</v>
      </c>
      <c r="ED195" s="51">
        <f t="shared" si="114"/>
        <v>7.472009114381975E-2</v>
      </c>
      <c r="EE195" s="51">
        <f t="shared" si="114"/>
        <v>7.0587659699052757E-2</v>
      </c>
      <c r="EF195" s="51">
        <f t="shared" si="114"/>
        <v>5.4826230784774256E-2</v>
      </c>
      <c r="EG195" s="51">
        <f t="shared" si="114"/>
        <v>2.1117703795473122E-3</v>
      </c>
      <c r="EH195" s="52">
        <f t="shared" si="59"/>
        <v>7.9092523578551009E-4</v>
      </c>
      <c r="EI195" s="51">
        <f t="shared" si="60"/>
        <v>0.9992090747642145</v>
      </c>
      <c r="EK195" s="53">
        <f>(EA195*'[2]Renewable Diesel'!BF204*'[2]Feedstock Conversion Rates'!B$2)+FB195</f>
        <v>98.460517287107777</v>
      </c>
      <c r="EL195" s="53">
        <f>(EB195*'[2]Renewable Diesel'!BF204*'[2]Feedstock Conversion Rates'!B$3)+FC195</f>
        <v>446.59039329314595</v>
      </c>
      <c r="EM195" s="53">
        <f>(EC195*'[2]Renewable Diesel'!BF204*'[2]Feedstock Conversion Rates'!B$4)+FD195</f>
        <v>1646.4603017688619</v>
      </c>
      <c r="EN195" s="53">
        <f>(ED195*'[2]Renewable Diesel'!BF204*'[2]Feedstock Conversion Rates'!B$5)+FE195</f>
        <v>203.06014368368824</v>
      </c>
      <c r="EO195" s="53">
        <f>(EE195*'[2]Renewable Diesel'!BF204*'[2]Feedstock Conversion Rates'!B$6)+FF195</f>
        <v>238.32629757380491</v>
      </c>
      <c r="EP195" s="53">
        <f>(EF195*'[2]Renewable Diesel'!BF204*'[2]Feedstock Conversion Rates'!B$7)+FG195</f>
        <v>181.55848985063227</v>
      </c>
      <c r="EQ195" s="53">
        <f>(EG195*'[2]Renewable Diesel'!BF204*'[2]Feedstock Conversion Rates'!B$8)+FH195</f>
        <v>7.1262050555984704</v>
      </c>
      <c r="ER195" s="53">
        <f>(EH195*'[2]Renewable Diesel'!BF204*'[2]Feedstock Conversion Rates'!B$9)+FI195</f>
        <v>2.6334041154271497</v>
      </c>
      <c r="ES195" s="53">
        <f t="shared" si="61"/>
        <v>2824.2157526282663</v>
      </c>
      <c r="ET195" s="36">
        <f>ES195/'[2]Renewable Diesel'!BF204</f>
        <v>7.8461666202236673</v>
      </c>
    </row>
    <row r="196" spans="1:150" x14ac:dyDescent="0.25">
      <c r="A196" s="39">
        <v>46388</v>
      </c>
      <c r="B196" s="45">
        <f t="shared" si="118"/>
        <v>35</v>
      </c>
      <c r="C196" s="45">
        <f t="shared" si="119"/>
        <v>62</v>
      </c>
      <c r="D196" s="45">
        <f t="shared" si="115"/>
        <v>1.5</v>
      </c>
      <c r="E196" s="45">
        <f>('[2]Renewable Diesel'!B205*E$3*'[2]Feedstock Conversion Rates'!$B$2)/12-50+2+15-0.5-7.5-20+14+15+72+25-19-5-5+9-47-1</f>
        <v>86.93</v>
      </c>
      <c r="F196" s="45">
        <f>('[2]Renewable Diesel'!B205*'[2]RD Feedstock Breakdown'!F$3*'[2]Feedstock Conversion Rates'!B$8)/12-22+4-3+10+17-48+14+10-4+14+2-33+7.5-15</f>
        <v>7.40625</v>
      </c>
      <c r="G196" s="45">
        <f>('[2]Renewable Diesel'!B205*'[2]RD Feedstock Breakdown'!G$3*'[2]Feedstock Conversion Rates'!B$7)/12-1+21-144-30+30+70-5-65+5-10-10-2.5-15</f>
        <v>19.657000000000011</v>
      </c>
      <c r="H196" s="45">
        <f>('[2]Renewable Diesel'!B205*'[2]RD Feedstock Breakdown'!H$3*'[2]Feedstock Conversion Rates'!B$3)/12-85+4+10-72+17+30+45+15-25-7.5-18+185+9</f>
        <v>283.90022499999998</v>
      </c>
      <c r="I196" s="47">
        <f t="shared" si="75"/>
        <v>496.39347499999997</v>
      </c>
      <c r="J196" s="45">
        <f t="shared" si="120"/>
        <v>152</v>
      </c>
      <c r="K196" s="45"/>
      <c r="L196" s="45">
        <v>1</v>
      </c>
      <c r="M196" s="45">
        <f>('[2]Renewable Diesel'!C205*'[2]RD Feedstock Breakdown'!M$3*'[2]Feedstock Conversion Rates'!B$2)/12-10-15-30+10-2+30+24</f>
        <v>14.79025</v>
      </c>
      <c r="N196" s="45">
        <f>('[2]Renewable Diesel'!C205*'[2]RD Feedstock Breakdown'!N$3*'[2]Feedstock Conversion Rates'!B$8)/12-2+8-9-7+6+7.5-9-11-15</f>
        <v>-27.828125</v>
      </c>
      <c r="O196" s="45">
        <f>('[2]Renewable Diesel'!C205*'[2]RD Feedstock Breakdown'!O$3*'[2]Feedstock Conversion Rates'!B$7)/12-90-2+12+15-10+5-10+6</f>
        <v>-62.000900000000001</v>
      </c>
      <c r="P196" s="45">
        <f>('[2]Renewable Diesel'!C205*'[2]RD Feedstock Breakdown'!P$3*'[2]Feedstock Conversion Rates'!B$3)/12-27+40-97+32.5+7+15+52.5-75-2.5</f>
        <v>-44.052957499999991</v>
      </c>
      <c r="Q196" s="47">
        <f t="shared" si="85"/>
        <v>33.908267500000022</v>
      </c>
      <c r="R196" s="45">
        <f>('[2]Renewable Diesel'!D205*'[2]RD Feedstock Breakdown'!R$3*'[2]Feedstock Conversion Rates'!B$7)/12</f>
        <v>2.2999999999999998</v>
      </c>
      <c r="S196" s="47">
        <f t="shared" si="116"/>
        <v>2.2999999999999998</v>
      </c>
      <c r="T196" s="45">
        <f t="shared" si="121"/>
        <v>10.824999999999999</v>
      </c>
      <c r="U196" s="45">
        <v>0</v>
      </c>
      <c r="V196" s="45">
        <f>('[2]Renewable Diesel'!E205*'[2]RD Feedstock Breakdown'!V$3*'[2]Feedstock Conversion Rates'!B$6)/12-20+25-10</f>
        <v>39.250150000000012</v>
      </c>
      <c r="W196" s="45">
        <f>('[2]Renewable Diesel'!E205*'[2]RD Feedstock Breakdown'!W$3*'[2]Feedstock Conversion Rates'!B$8)/12-5.825</f>
        <v>16.354687500000001</v>
      </c>
      <c r="X196" s="47">
        <f t="shared" si="62"/>
        <v>66.429837500000005</v>
      </c>
      <c r="Y196" s="45">
        <f t="shared" si="122"/>
        <v>86</v>
      </c>
      <c r="Z196" s="45">
        <f>('[2]Renewable Diesel'!F205*'[2]RD Feedstock Breakdown'!Z$3*'[2]Feedstock Conversion Rates'!B$6)/12-50-32-60+15+30+22.5-22.5-15+40-16+3</f>
        <v>74.460000000000008</v>
      </c>
      <c r="AA196" s="45">
        <f>('[2]Renewable Diesel'!F205*'[2]RD Feedstock Breakdown'!AA$3*'[2]Feedstock Conversion Rates'!B$7)/12+80-171+75+30+40-55</f>
        <v>103.26666666666665</v>
      </c>
      <c r="AB196" s="47">
        <f t="shared" si="102"/>
        <v>263.72666666666669</v>
      </c>
      <c r="AC196" s="45">
        <f>('[2]Renewable Diesel'!G205*'[2]RD Feedstock Breakdown'!AC$3*'[2]Feedstock Conversion Rates'!B$5)/12</f>
        <v>11.796875</v>
      </c>
      <c r="AD196" s="45">
        <f>('[2]Renewable Diesel'!G205*'[2]RD Feedstock Breakdown'!AD$3*'[2]Feedstock Conversion Rates'!B$4)/12</f>
        <v>5.859375</v>
      </c>
      <c r="AE196" s="45">
        <f>('[2]Renewable Diesel'!G205*'[2]RD Feedstock Breakdown'!AE$3*'[2]Feedstock Conversion Rates'!B$6)/12</f>
        <v>7.3281250000000009</v>
      </c>
      <c r="AF196" s="47">
        <f t="shared" si="71"/>
        <v>24.984375</v>
      </c>
      <c r="AG196" s="45">
        <f t="shared" si="111"/>
        <v>139</v>
      </c>
      <c r="AH196" s="45">
        <v>0</v>
      </c>
      <c r="AI196" s="45">
        <f>('[2]Renewable Diesel'!H205*'[2]RD Feedstock Breakdown'!AI$3*'[2]Feedstock Conversion Rates'!B$6)/12-130-20+51-120+100-40+20</f>
        <v>9.5166666666666799</v>
      </c>
      <c r="AJ196" s="47">
        <f t="shared" si="113"/>
        <v>148.51666666666668</v>
      </c>
      <c r="AK196" s="45">
        <f>('[2]Renewable Diesel'!J205*'[2]RD Feedstock Breakdown'!AK$3*'[2]Feedstock Conversion Rates'!B$4)/12</f>
        <v>95.8125</v>
      </c>
      <c r="AL196" s="47">
        <f t="shared" ref="AL196:AL259" si="123">AK196</f>
        <v>95.8125</v>
      </c>
      <c r="AM196" s="45">
        <f>('[2]Renewable Diesel'!K205*'[2]RD Feedstock Breakdown'!AM$3*'[2]Feedstock Conversion Rates'!B$4)/12+5+15-10+4+5-30</f>
        <v>47.59375</v>
      </c>
      <c r="AN196" s="45">
        <f>('[2]Renewable Diesel'!K205*'[2]RD Feedstock Breakdown'!AN$3*'[2]Feedstock Conversion Rates'!B$6)/12-5-15+10-4-5+30</f>
        <v>35.427083333333329</v>
      </c>
      <c r="AO196" s="47">
        <f t="shared" si="56"/>
        <v>83.020833333333329</v>
      </c>
      <c r="AP196" s="45">
        <f>('[2]Renewable Diesel'!L205*'[2]RD Feedstock Breakdown'!AP$3*'[2]Feedstock Conversion Rates'!B$4)/12+15-10+7.5+7</f>
        <v>78.09375</v>
      </c>
      <c r="AQ196" s="45">
        <f>('[2]Renewable Diesel'!L205*'[2]RD Feedstock Breakdown'!AQ$3*'[2]Feedstock Conversion Rates'!B$6)/12-15+10-7.5-7</f>
        <v>4.9270833333333321</v>
      </c>
      <c r="AR196" s="47">
        <f t="shared" si="46"/>
        <v>83.020833333333329</v>
      </c>
      <c r="AS196" s="45">
        <f>('[2]Renewable Diesel'!M205*'[2]RD Feedstock Breakdown'!AS$3*'[2]Feedstock Conversion Rates'!B$4)/12</f>
        <v>456.25</v>
      </c>
      <c r="AT196" s="45">
        <f>('[2]Renewable Diesel'!M205*'[2]RD Feedstock Breakdown'!AT$3*'[2]Feedstock Conversion Rates'!B$5)/12</f>
        <v>0</v>
      </c>
      <c r="AU196" s="47">
        <f t="shared" si="74"/>
        <v>456.25</v>
      </c>
      <c r="AV196" s="45">
        <f>'[2]Renewable Diesel'!N205*'[2]RD Feedstock Breakdown'!$AV$3*'[2]Feedstock Conversion Rates'!$B$4/12-15-10+25+25-22-7.5</f>
        <v>74.249999999999986</v>
      </c>
      <c r="AW196" s="45">
        <f>'[2]Renewable Diesel'!N205*'[2]RD Feedstock Breakdown'!$AW$3*'[2]Feedstock Conversion Rates'!$B$7/12+15+10-25-25+22+7.5</f>
        <v>45.900000000000006</v>
      </c>
      <c r="AX196" s="47">
        <f t="shared" si="109"/>
        <v>120.14999999999999</v>
      </c>
      <c r="AY196" s="45">
        <f>('[2]Renewable Diesel'!O205*'[2]RD Feedstock Breakdown'!AY$3*'[2]Feedstock Conversion Rates'!B$4)/12+32+2-135</f>
        <v>109.9375</v>
      </c>
      <c r="AZ196" s="45">
        <f>('[2]Renewable Diesel'!O205*'[2]RD Feedstock Breakdown'!AZ$3*'[2]Feedstock Conversion Rates'!B$3)/12-32-2+135</f>
        <v>126.03125</v>
      </c>
      <c r="BA196" s="47">
        <f t="shared" si="87"/>
        <v>235.96875</v>
      </c>
      <c r="BB196" s="45">
        <f>('[2]Renewable Diesel'!Q205*'[2]RD Feedstock Breakdown'!BB$3*'[2]Feedstock Conversion Rates'!B$4)/12</f>
        <v>11.156249999999998</v>
      </c>
      <c r="BC196" s="45">
        <f>('[2]Renewable Diesel'!Q205*'[2]RD Feedstock Breakdown'!BC$3*'[2]Feedstock Conversion Rates'!B$3)/12</f>
        <v>1.4017500000000001</v>
      </c>
      <c r="BD196" s="45">
        <f>('[2]Renewable Diesel'!Q205*'[2]RD Feedstock Breakdown'!BD$3*'[2]Feedstock Conversion Rates'!B$6)/12</f>
        <v>0.8207500000000002</v>
      </c>
      <c r="BE196" s="47">
        <f t="shared" si="64"/>
        <v>13.378749999999998</v>
      </c>
      <c r="BF196" s="45">
        <f>('[2]Renewable Diesel'!R205*'[2]RD Feedstock Breakdown'!BF$3*'[2]Feedstock Conversion Rates'!B$4)/12</f>
        <v>62.5</v>
      </c>
      <c r="BG196" s="47">
        <f t="shared" si="47"/>
        <v>62.5</v>
      </c>
      <c r="BH196" s="45">
        <f>('[2]Renewable Diesel'!T205*'[2]RD Feedstock Breakdown'!BH$3*'[2]Feedstock Conversion Rates'!B$7)/12</f>
        <v>27.599999999999998</v>
      </c>
      <c r="BI196" s="47">
        <f t="shared" si="112"/>
        <v>27.599999999999998</v>
      </c>
      <c r="BJ196" s="45">
        <f>('[2]Renewable Diesel'!W205*'[2]RD Feedstock Breakdown'!BJ$3*'[2]Feedstock Conversion Rates'!B$4)/12</f>
        <v>7.5</v>
      </c>
      <c r="BK196" s="45">
        <f>('[2]Renewable Diesel'!W205*'[2]RD Feedstock Breakdown'!BK$3*'[2]Feedstock Conversion Rates'!B$3)/12</f>
        <v>1.335</v>
      </c>
      <c r="BL196" s="45">
        <f>('[2]Renewable Diesel'!W205*'[2]RD Feedstock Breakdown'!BL$3*'[2]Feedstock Conversion Rates'!B$6)/12</f>
        <v>3.1266666666666669</v>
      </c>
      <c r="BM196" s="45">
        <f>('[2]Renewable Diesel'!W205*'[2]RD Feedstock Breakdown'!BM$3*'[2]Feedstock Conversion Rates'!B$7)/12</f>
        <v>1.5333333333333332</v>
      </c>
      <c r="BN196" s="47">
        <f t="shared" si="78"/>
        <v>13.495000000000001</v>
      </c>
      <c r="BO196" s="45">
        <f>('[2]Renewable Diesel'!P205*'[2]Feedstock Conversion Rates'!B$4)/12</f>
        <v>31.25</v>
      </c>
      <c r="BP196" s="47">
        <f t="shared" si="72"/>
        <v>31.25</v>
      </c>
      <c r="BQ196" s="45">
        <f>('[2]Renewable Diesel'!$S205*'[2]RD Feedstock Breakdown'!BQ$3*'[2]Feedstock Conversion Rates'!B$4)/12+10</f>
        <v>38.125</v>
      </c>
      <c r="BR196" s="45">
        <f>('[2]Renewable Diesel'!$S205*'[2]RD Feedstock Breakdown'!BR$3*'[2]Feedstock Conversion Rates'!B$7)/12-10</f>
        <v>1.5</v>
      </c>
      <c r="BS196" s="47">
        <f t="shared" si="90"/>
        <v>39.625</v>
      </c>
      <c r="BT196" s="47"/>
      <c r="BU196" s="45">
        <f>('[2]Renewable Diesel'!Y205*'[2]Feedstock Conversion Rates'!B$7)/12</f>
        <v>2.6833333333333331</v>
      </c>
      <c r="BV196" s="47">
        <f t="shared" si="67"/>
        <v>2.6833333333333331</v>
      </c>
      <c r="BW196" s="45">
        <f>('[2]Renewable Diesel'!$Z205*'[2]RD Feedstock Breakdown'!BW$3*'[2]Feedstock Conversion Rates'!$B$4)/12</f>
        <v>35.9375</v>
      </c>
      <c r="BX196" s="45">
        <f>('[2]Renewable Diesel'!$Z205*'[2]RD Feedstock Breakdown'!BX$3*'[2]Feedstock Conversion Rates'!$B$5)/12</f>
        <v>3.6177083333333333</v>
      </c>
      <c r="BY196" s="45">
        <f>('[2]Renewable Diesel'!$Z205*'[2]RD Feedstock Breakdown'!BY$3*'[2]Feedstock Conversion Rates'!$B$7)/12</f>
        <v>30.858333333333331</v>
      </c>
      <c r="BZ196" s="45">
        <f>('[2]Renewable Diesel'!$Z205*'[2]RD Feedstock Breakdown'!BZ$3*'[2]Feedstock Conversion Rates'!$B$3)/12</f>
        <v>7.6762499999999996</v>
      </c>
      <c r="CA196" s="47">
        <f t="shared" si="91"/>
        <v>78.089791666666656</v>
      </c>
      <c r="CB196" s="45">
        <f>('[2]Renewable Diesel'!AA205*'[2]Feedstock Conversion Rates'!B$4)/12</f>
        <v>191.25</v>
      </c>
      <c r="CC196" s="47">
        <f t="shared" si="79"/>
        <v>191.25</v>
      </c>
      <c r="CD196" s="45">
        <f>('[2]Renewable Diesel'!$AB205*'[2]RD Feedstock Breakdown'!CD$3*'[2]Feedstock Conversion Rates'!$B$6)/12-15</f>
        <v>17.830000000000005</v>
      </c>
      <c r="CE196" s="45">
        <f>('[2]Renewable Diesel'!$AB205*'[2]RD Feedstock Breakdown'!CE$3*'[2]Feedstock Conversion Rates'!$B$4)/12+15</f>
        <v>26.25</v>
      </c>
      <c r="CF196" s="47">
        <f t="shared" si="76"/>
        <v>44.080000000000005</v>
      </c>
      <c r="CG196" s="45">
        <f>('[2]Renewable Diesel'!AD205*'[2]Feedstock Conversion Rates'!B$4)/12</f>
        <v>112.5</v>
      </c>
      <c r="CH196" s="47">
        <f t="shared" si="63"/>
        <v>112.5</v>
      </c>
      <c r="CI196" s="45">
        <f>('[2]Renewable Diesel'!$AE205*'[2]RD Feedstock Breakdown'!CI$3*'[2]Feedstock Conversion Rates'!$B$5)/12</f>
        <v>0.34604166666666664</v>
      </c>
      <c r="CJ196" s="45">
        <f>('[2]Renewable Diesel'!$AE205*'[2]RD Feedstock Breakdown'!CJ$3*'[2]Feedstock Conversion Rates'!$B$4)/12</f>
        <v>0.34375</v>
      </c>
      <c r="CK196" s="47">
        <f t="shared" si="73"/>
        <v>0.68979166666666658</v>
      </c>
      <c r="CL196" s="45">
        <f>(((CL$3*'[2]Renewable Diesel'!$AF205)*'[2]Feedstock Conversion Rates'!$B$3)/12)</f>
        <v>91.78125</v>
      </c>
      <c r="CM196" s="45">
        <f>(((CM$3*'[2]Renewable Diesel'!$AF205)*'[2]Feedstock Conversion Rates'!$B$6)/12)-45</f>
        <v>8.7395833333333357</v>
      </c>
      <c r="CN196" s="45">
        <f>(((CN$3*'[2]Renewable Diesel'!$AF205)*'[2]Feedstock Conversion Rates'!$B$4)/12)+45</f>
        <v>87.96875</v>
      </c>
      <c r="CO196" s="47">
        <f t="shared" si="65"/>
        <v>188.48958333333334</v>
      </c>
      <c r="CP196" s="45">
        <f>('[2]Renewable Diesel'!$AG205*'[2]RD Feedstock Breakdown'!CP$3*'[2]Feedstock Conversion Rates'!$B$3)/12</f>
        <v>6.0075000000000003</v>
      </c>
      <c r="CQ196" s="45">
        <f>('[2]Renewable Diesel'!$AG205*'[2]RD Feedstock Breakdown'!CQ$3*'[2]Feedstock Conversion Rates'!$B$6)/12</f>
        <v>3.5175000000000001</v>
      </c>
      <c r="CR196" s="45">
        <f>('[2]Renewable Diesel'!$AG205*'[2]RD Feedstock Breakdown'!CR$3*'[2]Feedstock Conversion Rates'!$B$4)/12</f>
        <v>2.8125</v>
      </c>
      <c r="CS196" s="47">
        <f t="shared" si="99"/>
        <v>12.3375</v>
      </c>
      <c r="CT196" s="45">
        <f>('[2]Renewable Diesel'!AI205*'[2]Feedstock Conversion Rates'!$B$4*'[2]RD Feedstock Breakdown'!$CT$3)/12</f>
        <v>29.375</v>
      </c>
      <c r="CU196" s="47">
        <f t="shared" si="69"/>
        <v>29.375</v>
      </c>
      <c r="CV196" s="47"/>
      <c r="CW196" s="47"/>
      <c r="CX196" s="45">
        <f>('[2]Renewable Diesel'!AO205*'[2]RD Feedstock Breakdown'!$CX$3*'[2]Feedstock Conversion Rates'!$B$3)/12</f>
        <v>6.3412499999999996</v>
      </c>
      <c r="CY196" s="45">
        <f>('[2]Renewable Diesel'!AO205*'[2]RD Feedstock Breakdown'!$CY$3*'[2]Feedstock Conversion Rates'!$B$6)/12</f>
        <v>7.4258333333333342</v>
      </c>
      <c r="CZ196" s="47">
        <f t="shared" si="100"/>
        <v>13.767083333333334</v>
      </c>
      <c r="DA196" s="47"/>
      <c r="DB196" s="47"/>
      <c r="DC196" s="47"/>
      <c r="DD196" s="47"/>
      <c r="DE196" s="47"/>
      <c r="DF196" s="45">
        <f>('[2]Renewable Diesel'!AR205*'[2]Feedstock Conversion Rates'!$B$4*$DF$3)/12</f>
        <v>75</v>
      </c>
      <c r="DG196" s="47">
        <f t="shared" si="101"/>
        <v>75</v>
      </c>
      <c r="DH196" s="45">
        <f>('[2]Renewable Diesel'!AS205*'[2]Feedstock Conversion Rates'!$B$4*$DH$3)/12</f>
        <v>75</v>
      </c>
      <c r="DI196" s="47">
        <f t="shared" si="110"/>
        <v>75</v>
      </c>
      <c r="DJ196" s="45">
        <f>('[2]Renewable Diesel'!AT205*'[2]Feedstock Conversion Rates'!$B$4*0.25)/12</f>
        <v>8.59375</v>
      </c>
      <c r="DK196" s="45">
        <f>('[2]Renewable Diesel'!$AT205*'[2]RD Feedstock Breakdown'!DK$3*'[2]Feedstock Conversion Rates'!$B$3)/12*0.5</f>
        <v>9.1781249999999996</v>
      </c>
      <c r="DL196" s="45">
        <f>('[2]Renewable Diesel'!$AT205*'[2]RD Feedstock Breakdown'!$DL$3*'[2]Feedstock Conversion Rates'!$B$6)/12</f>
        <v>10.747916666666669</v>
      </c>
      <c r="DM196" s="45">
        <f>('[2]Renewable Diesel'!$AT205*'[2]RD Feedstock Breakdown'!$DM$3*'[2]Feedstock Conversion Rates'!$B$8)/12</f>
        <v>10.7421875</v>
      </c>
      <c r="DN196" s="47">
        <f t="shared" si="77"/>
        <v>39.26197916666667</v>
      </c>
      <c r="DP196" s="45">
        <f t="shared" si="48"/>
        <v>101.72025000000001</v>
      </c>
      <c r="DQ196" s="45">
        <f t="shared" si="49"/>
        <v>489.59964249999996</v>
      </c>
      <c r="DR196" s="45">
        <f t="shared" si="57"/>
        <v>1927.765625</v>
      </c>
      <c r="DS196" s="45">
        <f t="shared" si="70"/>
        <v>236.17937499999999</v>
      </c>
      <c r="DT196" s="45">
        <f t="shared" si="50"/>
        <v>223.11735833333344</v>
      </c>
      <c r="DU196" s="45">
        <f t="shared" si="51"/>
        <v>173.29776666666666</v>
      </c>
      <c r="DV196" s="45">
        <f t="shared" si="58"/>
        <v>6.6750000000000007</v>
      </c>
      <c r="DW196" s="45">
        <f t="shared" si="52"/>
        <v>2.5</v>
      </c>
      <c r="DX196" s="47">
        <f t="shared" si="53"/>
        <v>3160.8550175</v>
      </c>
      <c r="DY196" s="50">
        <f t="shared" si="54"/>
        <v>-1.1368683772161603E-13</v>
      </c>
      <c r="EA196" s="51">
        <f t="shared" si="117"/>
        <v>3.2181245086164413E-2</v>
      </c>
      <c r="EB196" s="51">
        <f t="shared" si="117"/>
        <v>0.15489468507392556</v>
      </c>
      <c r="EC196" s="51">
        <f t="shared" si="117"/>
        <v>0.60988739259693048</v>
      </c>
      <c r="ED196" s="51">
        <f t="shared" si="114"/>
        <v>7.472009114381975E-2</v>
      </c>
      <c r="EE196" s="51">
        <f t="shared" si="114"/>
        <v>7.0587659699052757E-2</v>
      </c>
      <c r="EF196" s="51">
        <f t="shared" si="114"/>
        <v>5.4826230784774256E-2</v>
      </c>
      <c r="EG196" s="51">
        <f t="shared" si="114"/>
        <v>2.1117703795473122E-3</v>
      </c>
      <c r="EH196" s="52">
        <f t="shared" si="59"/>
        <v>7.9092523578551009E-4</v>
      </c>
      <c r="EI196" s="51">
        <f t="shared" si="60"/>
        <v>0.9992090747642145</v>
      </c>
      <c r="EK196" s="53">
        <f>(EA196*'[2]Renewable Diesel'!BF205*'[2]Feedstock Conversion Rates'!B$2)+FB196</f>
        <v>69.086554876385264</v>
      </c>
      <c r="EL196" s="53">
        <f>(EB196*'[2]Renewable Diesel'!BF205*'[2]Feedstock Conversion Rates'!B$3)+FC196</f>
        <v>313.35800952117575</v>
      </c>
      <c r="EM196" s="53">
        <f>(EC196*'[2]Renewable Diesel'!BF205*'[2]Feedstock Conversion Rates'!B$4)+FD196</f>
        <v>1155.2678487180599</v>
      </c>
      <c r="EN196" s="53">
        <f>(ED196*'[2]Renewable Diesel'!BF205*'[2]Feedstock Conversion Rates'!B$5)+FE196</f>
        <v>142.48072370879873</v>
      </c>
      <c r="EO196" s="53">
        <f>(EE196*'[2]Renewable Diesel'!BF205*'[2]Feedstock Conversion Rates'!B$6)+FF196</f>
        <v>167.22584127611842</v>
      </c>
      <c r="EP196" s="53">
        <f>(EF196*'[2]Renewable Diesel'!BF205*'[2]Feedstock Conversion Rates'!B$7)+FG196</f>
        <v>127.39370986406277</v>
      </c>
      <c r="EQ196" s="53">
        <f>(EG196*'[2]Renewable Diesel'!BF205*'[2]Feedstock Conversion Rates'!B$8)+FH196</f>
        <v>5.0002271996842529</v>
      </c>
      <c r="ER196" s="53">
        <f>(EH196*'[2]Renewable Diesel'!BF205*'[2]Feedstock Conversion Rates'!B$9)+FI196</f>
        <v>1.8477743459507348</v>
      </c>
      <c r="ES196" s="53">
        <f t="shared" si="61"/>
        <v>1981.6606895102357</v>
      </c>
      <c r="ET196" s="36">
        <f>ES196/'[2]Renewable Diesel'!BF205</f>
        <v>7.8461666202236691</v>
      </c>
    </row>
    <row r="197" spans="1:150" x14ac:dyDescent="0.25">
      <c r="A197" s="39">
        <v>46419</v>
      </c>
      <c r="B197" s="45">
        <f t="shared" si="118"/>
        <v>35</v>
      </c>
      <c r="C197" s="45">
        <f t="shared" si="119"/>
        <v>62</v>
      </c>
      <c r="D197" s="45">
        <f t="shared" si="115"/>
        <v>1.5</v>
      </c>
      <c r="E197" s="45">
        <f>('[2]Renewable Diesel'!B206*E$3*'[2]Feedstock Conversion Rates'!$B$2)/12-50+2+15-0.5-7.5-20+14+15+72+25-19-5-5+9-47-1</f>
        <v>86.93</v>
      </c>
      <c r="F197" s="45">
        <f>('[2]Renewable Diesel'!B206*'[2]RD Feedstock Breakdown'!F$3*'[2]Feedstock Conversion Rates'!B$8)/12-22+4-3+10+17-48+14+10-4+14+2-33+7.5-15</f>
        <v>7.40625</v>
      </c>
      <c r="G197" s="45">
        <f>('[2]Renewable Diesel'!B206*'[2]RD Feedstock Breakdown'!G$3*'[2]Feedstock Conversion Rates'!B$7)/12-1+21-144-30+30+70-5-65+5-10-10-2.5-15</f>
        <v>19.657000000000011</v>
      </c>
      <c r="H197" s="45">
        <f>('[2]Renewable Diesel'!B206*'[2]RD Feedstock Breakdown'!H$3*'[2]Feedstock Conversion Rates'!B$3)/12-85+4+10-72+17+30+45+15-25-7.5-18+185+9</f>
        <v>283.90022499999998</v>
      </c>
      <c r="I197" s="47">
        <f t="shared" si="75"/>
        <v>496.39347499999997</v>
      </c>
      <c r="J197" s="45">
        <f t="shared" si="120"/>
        <v>152</v>
      </c>
      <c r="K197" s="45"/>
      <c r="L197" s="45">
        <v>1</v>
      </c>
      <c r="M197" s="45">
        <f>('[2]Renewable Diesel'!C206*'[2]RD Feedstock Breakdown'!M$3*'[2]Feedstock Conversion Rates'!B$2)/12-10-15-30+10-2+30+24</f>
        <v>14.79025</v>
      </c>
      <c r="N197" s="45">
        <f>('[2]Renewable Diesel'!C206*'[2]RD Feedstock Breakdown'!N$3*'[2]Feedstock Conversion Rates'!B$8)/12-2+8-9-7+6+7.5-9-11-15</f>
        <v>-27.828125</v>
      </c>
      <c r="O197" s="45">
        <f>('[2]Renewable Diesel'!C206*'[2]RD Feedstock Breakdown'!O$3*'[2]Feedstock Conversion Rates'!B$7)/12-90-2+12+15-10+5-10+6</f>
        <v>-62.000900000000001</v>
      </c>
      <c r="P197" s="45">
        <f>('[2]Renewable Diesel'!C206*'[2]RD Feedstock Breakdown'!P$3*'[2]Feedstock Conversion Rates'!B$3)/12-27+40-97+32.5+7+15+52.5-75-2.5</f>
        <v>-44.052957499999991</v>
      </c>
      <c r="Q197" s="47">
        <f t="shared" si="85"/>
        <v>33.908267500000022</v>
      </c>
      <c r="R197" s="45">
        <f>('[2]Renewable Diesel'!D206*'[2]RD Feedstock Breakdown'!R$3*'[2]Feedstock Conversion Rates'!B$7)/12</f>
        <v>2.2999999999999998</v>
      </c>
      <c r="S197" s="47">
        <f t="shared" si="116"/>
        <v>2.2999999999999998</v>
      </c>
      <c r="T197" s="45">
        <f t="shared" si="121"/>
        <v>10.824999999999999</v>
      </c>
      <c r="U197" s="45">
        <v>0</v>
      </c>
      <c r="V197" s="45">
        <f>('[2]Renewable Diesel'!E206*'[2]RD Feedstock Breakdown'!V$3*'[2]Feedstock Conversion Rates'!B$6)/12-20+25-10</f>
        <v>39.250150000000012</v>
      </c>
      <c r="W197" s="45">
        <f>('[2]Renewable Diesel'!E206*'[2]RD Feedstock Breakdown'!W$3*'[2]Feedstock Conversion Rates'!B$8)/12-5.825</f>
        <v>16.354687500000001</v>
      </c>
      <c r="X197" s="47">
        <f t="shared" si="62"/>
        <v>66.429837500000005</v>
      </c>
      <c r="Y197" s="45">
        <f t="shared" si="122"/>
        <v>86</v>
      </c>
      <c r="Z197" s="45">
        <f>('[2]Renewable Diesel'!F206*'[2]RD Feedstock Breakdown'!Z$3*'[2]Feedstock Conversion Rates'!B$6)/12-50-32-60+15+30+22.5-22.5-15+40-16+3</f>
        <v>74.460000000000008</v>
      </c>
      <c r="AA197" s="45">
        <f>('[2]Renewable Diesel'!F206*'[2]RD Feedstock Breakdown'!AA$3*'[2]Feedstock Conversion Rates'!B$7)/12+80-171+75+30+40-55</f>
        <v>103.26666666666665</v>
      </c>
      <c r="AB197" s="47">
        <f t="shared" si="102"/>
        <v>263.72666666666669</v>
      </c>
      <c r="AC197" s="45">
        <f>('[2]Renewable Diesel'!G206*'[2]RD Feedstock Breakdown'!AC$3*'[2]Feedstock Conversion Rates'!B$5)/12</f>
        <v>11.796875</v>
      </c>
      <c r="AD197" s="45">
        <f>('[2]Renewable Diesel'!G206*'[2]RD Feedstock Breakdown'!AD$3*'[2]Feedstock Conversion Rates'!B$4)/12</f>
        <v>5.859375</v>
      </c>
      <c r="AE197" s="45">
        <f>('[2]Renewable Diesel'!G206*'[2]RD Feedstock Breakdown'!AE$3*'[2]Feedstock Conversion Rates'!B$6)/12</f>
        <v>7.3281250000000009</v>
      </c>
      <c r="AF197" s="47">
        <f t="shared" si="71"/>
        <v>24.984375</v>
      </c>
      <c r="AG197" s="45">
        <f t="shared" si="111"/>
        <v>139</v>
      </c>
      <c r="AH197" s="45">
        <v>0</v>
      </c>
      <c r="AI197" s="45">
        <f>('[2]Renewable Diesel'!H206*'[2]RD Feedstock Breakdown'!AI$3*'[2]Feedstock Conversion Rates'!B$6)/12-130-20+51-120+100-40+20</f>
        <v>9.5166666666666799</v>
      </c>
      <c r="AJ197" s="47">
        <f t="shared" si="113"/>
        <v>148.51666666666668</v>
      </c>
      <c r="AK197" s="45">
        <f>('[2]Renewable Diesel'!J206*'[2]RD Feedstock Breakdown'!AK$3*'[2]Feedstock Conversion Rates'!B$4)/12</f>
        <v>95.8125</v>
      </c>
      <c r="AL197" s="47">
        <f t="shared" si="123"/>
        <v>95.8125</v>
      </c>
      <c r="AM197" s="45">
        <f>('[2]Renewable Diesel'!K206*'[2]RD Feedstock Breakdown'!AM$3*'[2]Feedstock Conversion Rates'!B$4)/12+5+15-10+4+5-30</f>
        <v>47.59375</v>
      </c>
      <c r="AN197" s="45">
        <f>('[2]Renewable Diesel'!K206*'[2]RD Feedstock Breakdown'!AN$3*'[2]Feedstock Conversion Rates'!B$6)/12-5-15+10-4-5+30</f>
        <v>35.427083333333329</v>
      </c>
      <c r="AO197" s="47">
        <f t="shared" si="56"/>
        <v>83.020833333333329</v>
      </c>
      <c r="AP197" s="45">
        <f>('[2]Renewable Diesel'!L206*'[2]RD Feedstock Breakdown'!AP$3*'[2]Feedstock Conversion Rates'!B$4)/12+15-10+7.5+7</f>
        <v>78.09375</v>
      </c>
      <c r="AQ197" s="45">
        <f>('[2]Renewable Diesel'!L206*'[2]RD Feedstock Breakdown'!AQ$3*'[2]Feedstock Conversion Rates'!B$6)/12-15+10-7.5-7</f>
        <v>4.9270833333333321</v>
      </c>
      <c r="AR197" s="47">
        <f t="shared" si="46"/>
        <v>83.020833333333329</v>
      </c>
      <c r="AS197" s="45">
        <f>('[2]Renewable Diesel'!M206*'[2]RD Feedstock Breakdown'!AS$3*'[2]Feedstock Conversion Rates'!B$4)/12</f>
        <v>456.25</v>
      </c>
      <c r="AT197" s="45">
        <f>('[2]Renewable Diesel'!M206*'[2]RD Feedstock Breakdown'!AT$3*'[2]Feedstock Conversion Rates'!B$5)/12</f>
        <v>0</v>
      </c>
      <c r="AU197" s="47">
        <f t="shared" si="74"/>
        <v>456.25</v>
      </c>
      <c r="AV197" s="45">
        <f>'[2]Renewable Diesel'!N206*'[2]RD Feedstock Breakdown'!$AV$3*'[2]Feedstock Conversion Rates'!$B$4/12-15-10+25+25-22-7.5</f>
        <v>74.249999999999986</v>
      </c>
      <c r="AW197" s="45">
        <f>'[2]Renewable Diesel'!N206*'[2]RD Feedstock Breakdown'!$AW$3*'[2]Feedstock Conversion Rates'!$B$7/12+15+10-25-25+22+7.5</f>
        <v>45.900000000000006</v>
      </c>
      <c r="AX197" s="47">
        <f t="shared" si="109"/>
        <v>120.14999999999999</v>
      </c>
      <c r="AY197" s="45">
        <f>('[2]Renewable Diesel'!O206*'[2]RD Feedstock Breakdown'!AY$3*'[2]Feedstock Conversion Rates'!B$4)/12+32+2-135</f>
        <v>109.9375</v>
      </c>
      <c r="AZ197" s="45">
        <f>('[2]Renewable Diesel'!O206*'[2]RD Feedstock Breakdown'!AZ$3*'[2]Feedstock Conversion Rates'!B$3)/12-32-2+135</f>
        <v>126.03125</v>
      </c>
      <c r="BA197" s="47">
        <f t="shared" si="87"/>
        <v>235.96875</v>
      </c>
      <c r="BB197" s="45">
        <f>('[2]Renewable Diesel'!Q206*'[2]RD Feedstock Breakdown'!BB$3*'[2]Feedstock Conversion Rates'!B$4)/12</f>
        <v>11.156249999999998</v>
      </c>
      <c r="BC197" s="45">
        <f>('[2]Renewable Diesel'!Q206*'[2]RD Feedstock Breakdown'!BC$3*'[2]Feedstock Conversion Rates'!B$3)/12</f>
        <v>1.4017500000000001</v>
      </c>
      <c r="BD197" s="45">
        <f>('[2]Renewable Diesel'!Q206*'[2]RD Feedstock Breakdown'!BD$3*'[2]Feedstock Conversion Rates'!B$6)/12</f>
        <v>0.8207500000000002</v>
      </c>
      <c r="BE197" s="47">
        <f t="shared" si="64"/>
        <v>13.378749999999998</v>
      </c>
      <c r="BF197" s="45">
        <f>('[2]Renewable Diesel'!R206*'[2]RD Feedstock Breakdown'!BF$3*'[2]Feedstock Conversion Rates'!B$4)/12</f>
        <v>62.5</v>
      </c>
      <c r="BG197" s="47">
        <f t="shared" si="47"/>
        <v>62.5</v>
      </c>
      <c r="BH197" s="45">
        <f>('[2]Renewable Diesel'!T206*'[2]RD Feedstock Breakdown'!BH$3*'[2]Feedstock Conversion Rates'!B$7)/12</f>
        <v>27.599999999999998</v>
      </c>
      <c r="BI197" s="47">
        <f t="shared" si="112"/>
        <v>27.599999999999998</v>
      </c>
      <c r="BJ197" s="45">
        <f>('[2]Renewable Diesel'!W206*'[2]RD Feedstock Breakdown'!BJ$3*'[2]Feedstock Conversion Rates'!B$4)/12</f>
        <v>7.5</v>
      </c>
      <c r="BK197" s="45">
        <f>('[2]Renewable Diesel'!W206*'[2]RD Feedstock Breakdown'!BK$3*'[2]Feedstock Conversion Rates'!B$3)/12</f>
        <v>1.335</v>
      </c>
      <c r="BL197" s="45">
        <f>('[2]Renewable Diesel'!W206*'[2]RD Feedstock Breakdown'!BL$3*'[2]Feedstock Conversion Rates'!B$6)/12</f>
        <v>3.1266666666666669</v>
      </c>
      <c r="BM197" s="45">
        <f>('[2]Renewable Diesel'!W206*'[2]RD Feedstock Breakdown'!BM$3*'[2]Feedstock Conversion Rates'!B$7)/12</f>
        <v>1.5333333333333332</v>
      </c>
      <c r="BN197" s="47">
        <f t="shared" si="78"/>
        <v>13.495000000000001</v>
      </c>
      <c r="BO197" s="45">
        <f>('[2]Renewable Diesel'!P206*'[2]Feedstock Conversion Rates'!B$4)/12</f>
        <v>31.25</v>
      </c>
      <c r="BP197" s="47">
        <f t="shared" si="72"/>
        <v>31.25</v>
      </c>
      <c r="BQ197" s="45">
        <f>('[2]Renewable Diesel'!$S206*'[2]RD Feedstock Breakdown'!BQ$3*'[2]Feedstock Conversion Rates'!B$4)/12+10</f>
        <v>38.125</v>
      </c>
      <c r="BR197" s="45">
        <f>('[2]Renewable Diesel'!$S206*'[2]RD Feedstock Breakdown'!BR$3*'[2]Feedstock Conversion Rates'!B$7)/12-10</f>
        <v>1.5</v>
      </c>
      <c r="BS197" s="47">
        <f t="shared" si="90"/>
        <v>39.625</v>
      </c>
      <c r="BT197" s="47"/>
      <c r="BU197" s="45">
        <f>('[2]Renewable Diesel'!Y206*'[2]Feedstock Conversion Rates'!B$7)/12</f>
        <v>2.6833333333333331</v>
      </c>
      <c r="BV197" s="47">
        <f t="shared" si="67"/>
        <v>2.6833333333333331</v>
      </c>
      <c r="BW197" s="45">
        <f>('[2]Renewable Diesel'!$Z206*'[2]RD Feedstock Breakdown'!BW$3*'[2]Feedstock Conversion Rates'!$B$4)/12</f>
        <v>35.9375</v>
      </c>
      <c r="BX197" s="45">
        <f>('[2]Renewable Diesel'!$Z206*'[2]RD Feedstock Breakdown'!BX$3*'[2]Feedstock Conversion Rates'!$B$5)/12</f>
        <v>3.6177083333333333</v>
      </c>
      <c r="BY197" s="45">
        <f>('[2]Renewable Diesel'!$Z206*'[2]RD Feedstock Breakdown'!BY$3*'[2]Feedstock Conversion Rates'!$B$7)/12</f>
        <v>30.858333333333331</v>
      </c>
      <c r="BZ197" s="45">
        <f>('[2]Renewable Diesel'!$Z206*'[2]RD Feedstock Breakdown'!BZ$3*'[2]Feedstock Conversion Rates'!$B$3)/12</f>
        <v>7.6762499999999996</v>
      </c>
      <c r="CA197" s="47">
        <f t="shared" si="91"/>
        <v>78.089791666666656</v>
      </c>
      <c r="CB197" s="45">
        <f>('[2]Renewable Diesel'!AA206*'[2]Feedstock Conversion Rates'!B$4)/12</f>
        <v>191.25</v>
      </c>
      <c r="CC197" s="47">
        <f t="shared" si="79"/>
        <v>191.25</v>
      </c>
      <c r="CD197" s="45">
        <f>('[2]Renewable Diesel'!$AB206*'[2]RD Feedstock Breakdown'!CD$3*'[2]Feedstock Conversion Rates'!$B$6)/12-15</f>
        <v>17.830000000000005</v>
      </c>
      <c r="CE197" s="45">
        <f>('[2]Renewable Diesel'!$AB206*'[2]RD Feedstock Breakdown'!CE$3*'[2]Feedstock Conversion Rates'!$B$4)/12+15</f>
        <v>26.25</v>
      </c>
      <c r="CF197" s="47">
        <f t="shared" si="76"/>
        <v>44.080000000000005</v>
      </c>
      <c r="CG197" s="45">
        <f>('[2]Renewable Diesel'!AD206*'[2]Feedstock Conversion Rates'!B$4)/12</f>
        <v>112.5</v>
      </c>
      <c r="CH197" s="47">
        <f t="shared" si="63"/>
        <v>112.5</v>
      </c>
      <c r="CI197" s="45">
        <f>('[2]Renewable Diesel'!$AE206*'[2]RD Feedstock Breakdown'!CI$3*'[2]Feedstock Conversion Rates'!$B$5)/12</f>
        <v>0.34604166666666664</v>
      </c>
      <c r="CJ197" s="45">
        <f>('[2]Renewable Diesel'!$AE206*'[2]RD Feedstock Breakdown'!CJ$3*'[2]Feedstock Conversion Rates'!$B$4)/12</f>
        <v>0.34375</v>
      </c>
      <c r="CK197" s="47">
        <f t="shared" si="73"/>
        <v>0.68979166666666658</v>
      </c>
      <c r="CL197" s="45">
        <f>(((CL$3*'[2]Renewable Diesel'!$AF206)*'[2]Feedstock Conversion Rates'!$B$3)/12)</f>
        <v>91.78125</v>
      </c>
      <c r="CM197" s="45">
        <f>(((CM$3*'[2]Renewable Diesel'!$AF206)*'[2]Feedstock Conversion Rates'!$B$6)/12)-45</f>
        <v>8.7395833333333357</v>
      </c>
      <c r="CN197" s="45">
        <f>(((CN$3*'[2]Renewable Diesel'!$AF206)*'[2]Feedstock Conversion Rates'!$B$4)/12)+45</f>
        <v>87.96875</v>
      </c>
      <c r="CO197" s="47">
        <f t="shared" si="65"/>
        <v>188.48958333333334</v>
      </c>
      <c r="CP197" s="45">
        <f>('[2]Renewable Diesel'!$AG206*'[2]RD Feedstock Breakdown'!CP$3*'[2]Feedstock Conversion Rates'!$B$3)/12</f>
        <v>6.0075000000000003</v>
      </c>
      <c r="CQ197" s="45">
        <f>('[2]Renewable Diesel'!$AG206*'[2]RD Feedstock Breakdown'!CQ$3*'[2]Feedstock Conversion Rates'!$B$6)/12</f>
        <v>3.5175000000000001</v>
      </c>
      <c r="CR197" s="45">
        <f>('[2]Renewable Diesel'!$AG206*'[2]RD Feedstock Breakdown'!CR$3*'[2]Feedstock Conversion Rates'!$B$4)/12</f>
        <v>2.8125</v>
      </c>
      <c r="CS197" s="47">
        <f t="shared" si="99"/>
        <v>12.3375</v>
      </c>
      <c r="CT197" s="45">
        <f>('[2]Renewable Diesel'!AI206*'[2]Feedstock Conversion Rates'!$B$4*'[2]RD Feedstock Breakdown'!$CT$3)/12</f>
        <v>29.375</v>
      </c>
      <c r="CU197" s="47">
        <f t="shared" si="69"/>
        <v>29.375</v>
      </c>
      <c r="CV197" s="47"/>
      <c r="CW197" s="47"/>
      <c r="CX197" s="45">
        <f>('[2]Renewable Diesel'!AO206*'[2]RD Feedstock Breakdown'!$CX$3*'[2]Feedstock Conversion Rates'!$B$3)/12</f>
        <v>6.3412499999999996</v>
      </c>
      <c r="CY197" s="45">
        <f>('[2]Renewable Diesel'!AO206*'[2]RD Feedstock Breakdown'!$CY$3*'[2]Feedstock Conversion Rates'!$B$6)/12</f>
        <v>7.4258333333333342</v>
      </c>
      <c r="CZ197" s="47">
        <f t="shared" si="100"/>
        <v>13.767083333333334</v>
      </c>
      <c r="DA197" s="47"/>
      <c r="DB197" s="47"/>
      <c r="DC197" s="47"/>
      <c r="DD197" s="47"/>
      <c r="DE197" s="47"/>
      <c r="DF197" s="45">
        <f>('[2]Renewable Diesel'!AR206*'[2]Feedstock Conversion Rates'!$B$4*$DF$3)/12</f>
        <v>75</v>
      </c>
      <c r="DG197" s="47">
        <f t="shared" si="101"/>
        <v>75</v>
      </c>
      <c r="DH197" s="45">
        <f>('[2]Renewable Diesel'!AS206*'[2]Feedstock Conversion Rates'!$B$4*$DH$3)/12</f>
        <v>75</v>
      </c>
      <c r="DI197" s="47">
        <f t="shared" si="110"/>
        <v>75</v>
      </c>
      <c r="DJ197" s="45">
        <f>('[2]Renewable Diesel'!AT206*'[2]Feedstock Conversion Rates'!$B$4*0.25)/12</f>
        <v>8.59375</v>
      </c>
      <c r="DK197" s="45">
        <f>('[2]Renewable Diesel'!$AT206*'[2]RD Feedstock Breakdown'!DK$3*'[2]Feedstock Conversion Rates'!$B$3)/12*0.5</f>
        <v>9.1781249999999996</v>
      </c>
      <c r="DL197" s="45">
        <f>('[2]Renewable Diesel'!$AT206*'[2]RD Feedstock Breakdown'!$DL$3*'[2]Feedstock Conversion Rates'!$B$6)/12</f>
        <v>10.747916666666669</v>
      </c>
      <c r="DM197" s="45">
        <f>('[2]Renewable Diesel'!$AT206*'[2]RD Feedstock Breakdown'!$DM$3*'[2]Feedstock Conversion Rates'!$B$8)/12</f>
        <v>10.7421875</v>
      </c>
      <c r="DN197" s="47">
        <f t="shared" si="77"/>
        <v>39.26197916666667</v>
      </c>
      <c r="DP197" s="45">
        <f t="shared" si="48"/>
        <v>101.72025000000001</v>
      </c>
      <c r="DQ197" s="45">
        <f t="shared" si="49"/>
        <v>489.59964249999996</v>
      </c>
      <c r="DR197" s="45">
        <f t="shared" si="57"/>
        <v>1927.765625</v>
      </c>
      <c r="DS197" s="45">
        <f t="shared" si="70"/>
        <v>236.17937499999999</v>
      </c>
      <c r="DT197" s="45">
        <f t="shared" si="50"/>
        <v>223.11735833333344</v>
      </c>
      <c r="DU197" s="45">
        <f t="shared" si="51"/>
        <v>173.29776666666666</v>
      </c>
      <c r="DV197" s="45">
        <f t="shared" si="58"/>
        <v>6.6750000000000007</v>
      </c>
      <c r="DW197" s="45">
        <f t="shared" si="52"/>
        <v>2.5</v>
      </c>
      <c r="DX197" s="47">
        <f t="shared" si="53"/>
        <v>3160.8550175</v>
      </c>
      <c r="DY197" s="50">
        <f t="shared" si="54"/>
        <v>-1.1368683772161603E-13</v>
      </c>
      <c r="EA197" s="51">
        <f t="shared" si="117"/>
        <v>3.2181245086164413E-2</v>
      </c>
      <c r="EB197" s="51">
        <f t="shared" si="117"/>
        <v>0.15489468507392556</v>
      </c>
      <c r="EC197" s="51">
        <f t="shared" si="117"/>
        <v>0.60988739259693048</v>
      </c>
      <c r="ED197" s="51">
        <f t="shared" si="114"/>
        <v>7.472009114381975E-2</v>
      </c>
      <c r="EE197" s="51">
        <f t="shared" si="114"/>
        <v>7.0587659699052757E-2</v>
      </c>
      <c r="EF197" s="51">
        <f t="shared" si="114"/>
        <v>5.4826230784774256E-2</v>
      </c>
      <c r="EG197" s="51">
        <f t="shared" si="114"/>
        <v>2.1117703795473122E-3</v>
      </c>
      <c r="EH197" s="52">
        <f t="shared" si="59"/>
        <v>7.9092523578551009E-4</v>
      </c>
      <c r="EI197" s="51">
        <f t="shared" si="60"/>
        <v>0.9992090747642145</v>
      </c>
      <c r="EK197" s="53">
        <f>(EA197*'[2]Renewable Diesel'!BF206*'[2]Feedstock Conversion Rates'!B$2)+FB197</f>
        <v>91.063707186988452</v>
      </c>
      <c r="EL197" s="53">
        <f>(EB197*'[2]Renewable Diesel'!BF206*'[2]Feedstock Conversion Rates'!B$3)+FC197</f>
        <v>413.04045446746869</v>
      </c>
      <c r="EM197" s="53">
        <f>(EC197*'[2]Renewable Diesel'!BF206*'[2]Feedstock Conversion Rates'!B$4)+FD197</f>
        <v>1522.7705779574671</v>
      </c>
      <c r="EN197" s="53">
        <f>(ED197*'[2]Renewable Diesel'!BF206*'[2]Feedstock Conversion Rates'!B$5)+FE197</f>
        <v>187.80532517251373</v>
      </c>
      <c r="EO197" s="53">
        <f>(EE197*'[2]Renewable Diesel'!BF206*'[2]Feedstock Conversion Rates'!B$6)+FF197</f>
        <v>220.42212223946723</v>
      </c>
      <c r="EP197" s="53">
        <f>(EF197*'[2]Renewable Diesel'!BF206*'[2]Feedstock Conversion Rates'!B$7)+FG197</f>
        <v>167.91897516502934</v>
      </c>
      <c r="EQ197" s="53">
        <f>(EG197*'[2]Renewable Diesel'!BF206*'[2]Feedstock Conversion Rates'!B$8)+FH197</f>
        <v>6.5908515252379898</v>
      </c>
      <c r="ER197" s="53">
        <f>(EH197*'[2]Renewable Diesel'!BF206*'[2]Feedstock Conversion Rates'!B$9)+FI197</f>
        <v>2.4355706010866975</v>
      </c>
      <c r="ES197" s="53">
        <f t="shared" si="61"/>
        <v>2612.047584315259</v>
      </c>
      <c r="ET197" s="36">
        <f>ES197/'[2]Renewable Diesel'!BF206</f>
        <v>7.8461666202236682</v>
      </c>
    </row>
    <row r="198" spans="1:150" x14ac:dyDescent="0.25">
      <c r="A198" s="39">
        <v>46447</v>
      </c>
      <c r="B198" s="45">
        <f t="shared" si="118"/>
        <v>35</v>
      </c>
      <c r="C198" s="45">
        <f t="shared" si="119"/>
        <v>62</v>
      </c>
      <c r="D198" s="45">
        <f t="shared" si="115"/>
        <v>1.5</v>
      </c>
      <c r="E198" s="45">
        <f>('[2]Renewable Diesel'!B207*E$3*'[2]Feedstock Conversion Rates'!$B$2)/12-50+2+15-0.5-7.5-20+14+15+72+25-19-5-5+9-47-1</f>
        <v>86.93</v>
      </c>
      <c r="F198" s="45">
        <f>('[2]Renewable Diesel'!B207*'[2]RD Feedstock Breakdown'!F$3*'[2]Feedstock Conversion Rates'!B$8)/12-22+4-3+10+17-48+14+10-4+14+2-33+7.5-15</f>
        <v>7.40625</v>
      </c>
      <c r="G198" s="45">
        <f>('[2]Renewable Diesel'!B207*'[2]RD Feedstock Breakdown'!G$3*'[2]Feedstock Conversion Rates'!B$7)/12-1+21-144-30+30+70-5-65+5-10-10-2.5-15</f>
        <v>19.657000000000011</v>
      </c>
      <c r="H198" s="45">
        <f>('[2]Renewable Diesel'!B207*'[2]RD Feedstock Breakdown'!H$3*'[2]Feedstock Conversion Rates'!B$3)/12-85+4+10-72+17+30+45+15-25-7.5-18+185+9</f>
        <v>283.90022499999998</v>
      </c>
      <c r="I198" s="47">
        <f t="shared" si="75"/>
        <v>496.39347499999997</v>
      </c>
      <c r="J198" s="45">
        <f t="shared" si="120"/>
        <v>152</v>
      </c>
      <c r="K198" s="45"/>
      <c r="L198" s="45">
        <v>1</v>
      </c>
      <c r="M198" s="45">
        <f>('[2]Renewable Diesel'!C207*'[2]RD Feedstock Breakdown'!M$3*'[2]Feedstock Conversion Rates'!B$2)/12-10-15-30+10-2+30+24</f>
        <v>14.79025</v>
      </c>
      <c r="N198" s="45">
        <f>('[2]Renewable Diesel'!C207*'[2]RD Feedstock Breakdown'!N$3*'[2]Feedstock Conversion Rates'!B$8)/12-2+8-9-7+6+7.5-9-11-15</f>
        <v>-27.828125</v>
      </c>
      <c r="O198" s="45">
        <f>('[2]Renewable Diesel'!C207*'[2]RD Feedstock Breakdown'!O$3*'[2]Feedstock Conversion Rates'!B$7)/12-90-2+12+15-10+5-10+6</f>
        <v>-62.000900000000001</v>
      </c>
      <c r="P198" s="45">
        <f>('[2]Renewable Diesel'!C207*'[2]RD Feedstock Breakdown'!P$3*'[2]Feedstock Conversion Rates'!B$3)/12-27+40-97+32.5+7+15+52.5-75-2.5</f>
        <v>-44.052957499999991</v>
      </c>
      <c r="Q198" s="47">
        <f t="shared" si="85"/>
        <v>33.908267500000022</v>
      </c>
      <c r="R198" s="45">
        <f>('[2]Renewable Diesel'!D207*'[2]RD Feedstock Breakdown'!R$3*'[2]Feedstock Conversion Rates'!B$7)/12</f>
        <v>2.2999999999999998</v>
      </c>
      <c r="S198" s="47">
        <f t="shared" si="116"/>
        <v>2.2999999999999998</v>
      </c>
      <c r="T198" s="45">
        <f t="shared" si="121"/>
        <v>10.824999999999999</v>
      </c>
      <c r="U198" s="45">
        <v>0</v>
      </c>
      <c r="V198" s="45">
        <f>('[2]Renewable Diesel'!E207*'[2]RD Feedstock Breakdown'!V$3*'[2]Feedstock Conversion Rates'!B$6)/12-20+25-10</f>
        <v>39.250150000000012</v>
      </c>
      <c r="W198" s="45">
        <f>('[2]Renewable Diesel'!E207*'[2]RD Feedstock Breakdown'!W$3*'[2]Feedstock Conversion Rates'!B$8)/12-5.825</f>
        <v>16.354687500000001</v>
      </c>
      <c r="X198" s="47">
        <f t="shared" si="62"/>
        <v>66.429837500000005</v>
      </c>
      <c r="Y198" s="45">
        <f t="shared" si="122"/>
        <v>86</v>
      </c>
      <c r="Z198" s="45">
        <f>('[2]Renewable Diesel'!F207*'[2]RD Feedstock Breakdown'!Z$3*'[2]Feedstock Conversion Rates'!B$6)/12-50-32-60+15+30+22.5-22.5-15+40-16+3</f>
        <v>74.460000000000008</v>
      </c>
      <c r="AA198" s="45">
        <f>('[2]Renewable Diesel'!F207*'[2]RD Feedstock Breakdown'!AA$3*'[2]Feedstock Conversion Rates'!B$7)/12+80-171+75+30+40-55</f>
        <v>103.26666666666665</v>
      </c>
      <c r="AB198" s="47">
        <f t="shared" si="102"/>
        <v>263.72666666666669</v>
      </c>
      <c r="AC198" s="45">
        <f>('[2]Renewable Diesel'!G207*'[2]RD Feedstock Breakdown'!AC$3*'[2]Feedstock Conversion Rates'!B$5)/12</f>
        <v>11.796875</v>
      </c>
      <c r="AD198" s="45">
        <f>('[2]Renewable Diesel'!G207*'[2]RD Feedstock Breakdown'!AD$3*'[2]Feedstock Conversion Rates'!B$4)/12</f>
        <v>5.859375</v>
      </c>
      <c r="AE198" s="45">
        <f>('[2]Renewable Diesel'!G207*'[2]RD Feedstock Breakdown'!AE$3*'[2]Feedstock Conversion Rates'!B$6)/12</f>
        <v>7.3281250000000009</v>
      </c>
      <c r="AF198" s="47">
        <f t="shared" si="71"/>
        <v>24.984375</v>
      </c>
      <c r="AG198" s="45">
        <f t="shared" si="111"/>
        <v>139</v>
      </c>
      <c r="AH198" s="45">
        <v>0</v>
      </c>
      <c r="AI198" s="45">
        <f>('[2]Renewable Diesel'!H207*'[2]RD Feedstock Breakdown'!AI$3*'[2]Feedstock Conversion Rates'!B$6)/12-130-20+51-120+100-40+20</f>
        <v>9.5166666666666799</v>
      </c>
      <c r="AJ198" s="47">
        <f t="shared" si="113"/>
        <v>148.51666666666668</v>
      </c>
      <c r="AK198" s="45">
        <f>('[2]Renewable Diesel'!J207*'[2]RD Feedstock Breakdown'!AK$3*'[2]Feedstock Conversion Rates'!B$4)/12</f>
        <v>95.8125</v>
      </c>
      <c r="AL198" s="47">
        <f t="shared" si="123"/>
        <v>95.8125</v>
      </c>
      <c r="AM198" s="45">
        <f>('[2]Renewable Diesel'!K207*'[2]RD Feedstock Breakdown'!AM$3*'[2]Feedstock Conversion Rates'!B$4)/12+5+15-10+4+5-30</f>
        <v>47.59375</v>
      </c>
      <c r="AN198" s="45">
        <f>('[2]Renewable Diesel'!K207*'[2]RD Feedstock Breakdown'!AN$3*'[2]Feedstock Conversion Rates'!B$6)/12-5-15+10-4-5+30</f>
        <v>35.427083333333329</v>
      </c>
      <c r="AO198" s="47">
        <f t="shared" si="56"/>
        <v>83.020833333333329</v>
      </c>
      <c r="AP198" s="45">
        <f>('[2]Renewable Diesel'!L207*'[2]RD Feedstock Breakdown'!AP$3*'[2]Feedstock Conversion Rates'!B$4)/12+15-10+7.5+7</f>
        <v>78.09375</v>
      </c>
      <c r="AQ198" s="45">
        <f>('[2]Renewable Diesel'!L207*'[2]RD Feedstock Breakdown'!AQ$3*'[2]Feedstock Conversion Rates'!B$6)/12-15+10-7.5-7</f>
        <v>4.9270833333333321</v>
      </c>
      <c r="AR198" s="47">
        <f t="shared" si="46"/>
        <v>83.020833333333329</v>
      </c>
      <c r="AS198" s="45">
        <f>('[2]Renewable Diesel'!M207*'[2]RD Feedstock Breakdown'!AS$3*'[2]Feedstock Conversion Rates'!B$4)/12</f>
        <v>456.25</v>
      </c>
      <c r="AT198" s="45">
        <f>('[2]Renewable Diesel'!M207*'[2]RD Feedstock Breakdown'!AT$3*'[2]Feedstock Conversion Rates'!B$5)/12</f>
        <v>0</v>
      </c>
      <c r="AU198" s="47">
        <f t="shared" si="74"/>
        <v>456.25</v>
      </c>
      <c r="AV198" s="45">
        <f>'[2]Renewable Diesel'!N207*'[2]RD Feedstock Breakdown'!$AV$3*'[2]Feedstock Conversion Rates'!$B$4/12-15-10+25+25-22-7.5</f>
        <v>74.249999999999986</v>
      </c>
      <c r="AW198" s="45">
        <f>'[2]Renewable Diesel'!N207*'[2]RD Feedstock Breakdown'!$AW$3*'[2]Feedstock Conversion Rates'!$B$7/12+15+10-25-25+22+7.5</f>
        <v>45.900000000000006</v>
      </c>
      <c r="AX198" s="47">
        <f t="shared" si="109"/>
        <v>120.14999999999999</v>
      </c>
      <c r="AY198" s="45">
        <f>('[2]Renewable Diesel'!O207*'[2]RD Feedstock Breakdown'!AY$3*'[2]Feedstock Conversion Rates'!B$4)/12+32+2-135</f>
        <v>109.9375</v>
      </c>
      <c r="AZ198" s="45">
        <f>('[2]Renewable Diesel'!O207*'[2]RD Feedstock Breakdown'!AZ$3*'[2]Feedstock Conversion Rates'!B$3)/12-32-2+135</f>
        <v>126.03125</v>
      </c>
      <c r="BA198" s="47">
        <f t="shared" si="87"/>
        <v>235.96875</v>
      </c>
      <c r="BB198" s="45">
        <f>('[2]Renewable Diesel'!Q207*'[2]RD Feedstock Breakdown'!BB$3*'[2]Feedstock Conversion Rates'!B$4)/12</f>
        <v>11.156249999999998</v>
      </c>
      <c r="BC198" s="45">
        <f>('[2]Renewable Diesel'!Q207*'[2]RD Feedstock Breakdown'!BC$3*'[2]Feedstock Conversion Rates'!B$3)/12</f>
        <v>1.4017500000000001</v>
      </c>
      <c r="BD198" s="45">
        <f>('[2]Renewable Diesel'!Q207*'[2]RD Feedstock Breakdown'!BD$3*'[2]Feedstock Conversion Rates'!B$6)/12</f>
        <v>0.8207500000000002</v>
      </c>
      <c r="BE198" s="47">
        <f t="shared" si="64"/>
        <v>13.378749999999998</v>
      </c>
      <c r="BF198" s="45">
        <f>('[2]Renewable Diesel'!R207*'[2]RD Feedstock Breakdown'!BF$3*'[2]Feedstock Conversion Rates'!B$4)/12</f>
        <v>62.5</v>
      </c>
      <c r="BG198" s="47">
        <f t="shared" si="47"/>
        <v>62.5</v>
      </c>
      <c r="BH198" s="45">
        <f>('[2]Renewable Diesel'!T207*'[2]RD Feedstock Breakdown'!BH$3*'[2]Feedstock Conversion Rates'!B$7)/12</f>
        <v>27.599999999999998</v>
      </c>
      <c r="BI198" s="47">
        <f t="shared" si="112"/>
        <v>27.599999999999998</v>
      </c>
      <c r="BJ198" s="45">
        <f>('[2]Renewable Diesel'!W207*'[2]RD Feedstock Breakdown'!BJ$3*'[2]Feedstock Conversion Rates'!B$4)/12</f>
        <v>7.5</v>
      </c>
      <c r="BK198" s="45">
        <f>('[2]Renewable Diesel'!W207*'[2]RD Feedstock Breakdown'!BK$3*'[2]Feedstock Conversion Rates'!B$3)/12</f>
        <v>1.335</v>
      </c>
      <c r="BL198" s="45">
        <f>('[2]Renewable Diesel'!W207*'[2]RD Feedstock Breakdown'!BL$3*'[2]Feedstock Conversion Rates'!B$6)/12</f>
        <v>3.1266666666666669</v>
      </c>
      <c r="BM198" s="45">
        <f>('[2]Renewable Diesel'!W207*'[2]RD Feedstock Breakdown'!BM$3*'[2]Feedstock Conversion Rates'!B$7)/12</f>
        <v>1.5333333333333332</v>
      </c>
      <c r="BN198" s="47">
        <f t="shared" si="78"/>
        <v>13.495000000000001</v>
      </c>
      <c r="BO198" s="45">
        <f>('[2]Renewable Diesel'!P207*'[2]Feedstock Conversion Rates'!B$4)/12</f>
        <v>31.25</v>
      </c>
      <c r="BP198" s="47">
        <f t="shared" si="72"/>
        <v>31.25</v>
      </c>
      <c r="BQ198" s="45">
        <f>('[2]Renewable Diesel'!$S207*'[2]RD Feedstock Breakdown'!BQ$3*'[2]Feedstock Conversion Rates'!B$4)/12+10</f>
        <v>38.125</v>
      </c>
      <c r="BR198" s="45">
        <f>('[2]Renewable Diesel'!$S207*'[2]RD Feedstock Breakdown'!BR$3*'[2]Feedstock Conversion Rates'!B$7)/12-10</f>
        <v>1.5</v>
      </c>
      <c r="BS198" s="47">
        <f t="shared" si="90"/>
        <v>39.625</v>
      </c>
      <c r="BT198" s="47"/>
      <c r="BU198" s="45">
        <f>('[2]Renewable Diesel'!Y207*'[2]Feedstock Conversion Rates'!B$7)/12</f>
        <v>2.6833333333333331</v>
      </c>
      <c r="BV198" s="47">
        <f t="shared" si="67"/>
        <v>2.6833333333333331</v>
      </c>
      <c r="BW198" s="45">
        <f>('[2]Renewable Diesel'!$Z207*'[2]RD Feedstock Breakdown'!BW$3*'[2]Feedstock Conversion Rates'!$B$4)/12</f>
        <v>35.9375</v>
      </c>
      <c r="BX198" s="45">
        <f>('[2]Renewable Diesel'!$Z207*'[2]RD Feedstock Breakdown'!BX$3*'[2]Feedstock Conversion Rates'!$B$5)/12</f>
        <v>3.6177083333333333</v>
      </c>
      <c r="BY198" s="45">
        <f>('[2]Renewable Diesel'!$Z207*'[2]RD Feedstock Breakdown'!BY$3*'[2]Feedstock Conversion Rates'!$B$7)/12</f>
        <v>30.858333333333331</v>
      </c>
      <c r="BZ198" s="45">
        <f>('[2]Renewable Diesel'!$Z207*'[2]RD Feedstock Breakdown'!BZ$3*'[2]Feedstock Conversion Rates'!$B$3)/12</f>
        <v>7.6762499999999996</v>
      </c>
      <c r="CA198" s="47">
        <f t="shared" si="91"/>
        <v>78.089791666666656</v>
      </c>
      <c r="CB198" s="45">
        <f>('[2]Renewable Diesel'!AA207*'[2]Feedstock Conversion Rates'!B$4)/12</f>
        <v>191.25</v>
      </c>
      <c r="CC198" s="47">
        <f t="shared" si="79"/>
        <v>191.25</v>
      </c>
      <c r="CD198" s="45">
        <f>('[2]Renewable Diesel'!$AB207*'[2]RD Feedstock Breakdown'!CD$3*'[2]Feedstock Conversion Rates'!$B$6)/12-15</f>
        <v>17.830000000000005</v>
      </c>
      <c r="CE198" s="45">
        <f>('[2]Renewable Diesel'!$AB207*'[2]RD Feedstock Breakdown'!CE$3*'[2]Feedstock Conversion Rates'!$B$4)/12+15</f>
        <v>26.25</v>
      </c>
      <c r="CF198" s="47">
        <f t="shared" si="76"/>
        <v>44.080000000000005</v>
      </c>
      <c r="CG198" s="45">
        <f>('[2]Renewable Diesel'!AD207*'[2]Feedstock Conversion Rates'!B$4)/12</f>
        <v>112.5</v>
      </c>
      <c r="CH198" s="47">
        <f t="shared" si="63"/>
        <v>112.5</v>
      </c>
      <c r="CI198" s="45">
        <f>('[2]Renewable Diesel'!$AE207*'[2]RD Feedstock Breakdown'!CI$3*'[2]Feedstock Conversion Rates'!$B$5)/12</f>
        <v>0.34604166666666664</v>
      </c>
      <c r="CJ198" s="45">
        <f>('[2]Renewable Diesel'!$AE207*'[2]RD Feedstock Breakdown'!CJ$3*'[2]Feedstock Conversion Rates'!$B$4)/12</f>
        <v>0.34375</v>
      </c>
      <c r="CK198" s="47">
        <f t="shared" si="73"/>
        <v>0.68979166666666658</v>
      </c>
      <c r="CL198" s="45">
        <f>(((CL$3*'[2]Renewable Diesel'!$AF207)*'[2]Feedstock Conversion Rates'!$B$3)/12)</f>
        <v>91.78125</v>
      </c>
      <c r="CM198" s="45">
        <f>(((CM$3*'[2]Renewable Diesel'!$AF207)*'[2]Feedstock Conversion Rates'!$B$6)/12)-45</f>
        <v>8.7395833333333357</v>
      </c>
      <c r="CN198" s="45">
        <f>(((CN$3*'[2]Renewable Diesel'!$AF207)*'[2]Feedstock Conversion Rates'!$B$4)/12)+45</f>
        <v>87.96875</v>
      </c>
      <c r="CO198" s="47">
        <f t="shared" si="65"/>
        <v>188.48958333333334</v>
      </c>
      <c r="CP198" s="45">
        <f>('[2]Renewable Diesel'!$AG207*'[2]RD Feedstock Breakdown'!CP$3*'[2]Feedstock Conversion Rates'!$B$3)/12</f>
        <v>6.0075000000000003</v>
      </c>
      <c r="CQ198" s="45">
        <f>('[2]Renewable Diesel'!$AG207*'[2]RD Feedstock Breakdown'!CQ$3*'[2]Feedstock Conversion Rates'!$B$6)/12</f>
        <v>3.5175000000000001</v>
      </c>
      <c r="CR198" s="45">
        <f>('[2]Renewable Diesel'!$AG207*'[2]RD Feedstock Breakdown'!CR$3*'[2]Feedstock Conversion Rates'!$B$4)/12</f>
        <v>2.8125</v>
      </c>
      <c r="CS198" s="47">
        <f t="shared" si="99"/>
        <v>12.3375</v>
      </c>
      <c r="CT198" s="45">
        <f>('[2]Renewable Diesel'!AI207*'[2]Feedstock Conversion Rates'!$B$4*'[2]RD Feedstock Breakdown'!$CT$3)/12</f>
        <v>29.375</v>
      </c>
      <c r="CU198" s="47">
        <f t="shared" si="69"/>
        <v>29.375</v>
      </c>
      <c r="CV198" s="45">
        <f>('[2]Renewable Diesel'!AN207*'[2]Feedstock Conversion Rates'!$B$3*'[2]RD Feedstock Breakdown'!$CV$3)/12</f>
        <v>0.50062499999999999</v>
      </c>
      <c r="CW198" s="47">
        <f>CV198</f>
        <v>0.50062499999999999</v>
      </c>
      <c r="CX198" s="45">
        <f>('[2]Renewable Diesel'!AO207*'[2]RD Feedstock Breakdown'!$CX$3*'[2]Feedstock Conversion Rates'!$B$3)/12</f>
        <v>6.3412499999999996</v>
      </c>
      <c r="CY198" s="45">
        <f>('[2]Renewable Diesel'!AO207*'[2]RD Feedstock Breakdown'!$CY$3*'[2]Feedstock Conversion Rates'!$B$6)/12</f>
        <v>7.4258333333333342</v>
      </c>
      <c r="CZ198" s="47">
        <f t="shared" si="100"/>
        <v>13.767083333333334</v>
      </c>
      <c r="DA198" s="47"/>
      <c r="DB198" s="47"/>
      <c r="DC198" s="47"/>
      <c r="DD198" s="47"/>
      <c r="DE198" s="47"/>
      <c r="DF198" s="45">
        <f>('[2]Renewable Diesel'!AR207*'[2]Feedstock Conversion Rates'!$B$4*$DF$3)/12</f>
        <v>75</v>
      </c>
      <c r="DG198" s="47">
        <f t="shared" si="101"/>
        <v>75</v>
      </c>
      <c r="DH198" s="45">
        <f>('[2]Renewable Diesel'!AS207*'[2]Feedstock Conversion Rates'!$B$4*$DH$3)/12</f>
        <v>75</v>
      </c>
      <c r="DI198" s="47">
        <f t="shared" si="110"/>
        <v>75</v>
      </c>
      <c r="DJ198" s="45">
        <f>('[2]Renewable Diesel'!AT207*'[2]Feedstock Conversion Rates'!$B$4*0.25)/12</f>
        <v>8.59375</v>
      </c>
      <c r="DK198" s="45">
        <f>('[2]Renewable Diesel'!$AT207*'[2]RD Feedstock Breakdown'!DK$3*'[2]Feedstock Conversion Rates'!$B$3)/12*0.5</f>
        <v>9.1781249999999996</v>
      </c>
      <c r="DL198" s="45">
        <f>('[2]Renewable Diesel'!$AT207*'[2]RD Feedstock Breakdown'!$DL$3*'[2]Feedstock Conversion Rates'!$B$6)/12</f>
        <v>10.747916666666669</v>
      </c>
      <c r="DM198" s="45">
        <f>('[2]Renewable Diesel'!$AT207*'[2]RD Feedstock Breakdown'!$DM$3*'[2]Feedstock Conversion Rates'!$B$8)/12</f>
        <v>10.7421875</v>
      </c>
      <c r="DN198" s="47">
        <f t="shared" si="77"/>
        <v>39.26197916666667</v>
      </c>
      <c r="DP198" s="45">
        <f t="shared" si="48"/>
        <v>101.72025000000001</v>
      </c>
      <c r="DQ198" s="45">
        <f t="shared" si="49"/>
        <v>490.10026749999997</v>
      </c>
      <c r="DR198" s="45">
        <f t="shared" si="57"/>
        <v>1927.765625</v>
      </c>
      <c r="DS198" s="45">
        <f t="shared" si="70"/>
        <v>236.17937499999999</v>
      </c>
      <c r="DT198" s="45">
        <f t="shared" si="50"/>
        <v>223.11735833333344</v>
      </c>
      <c r="DU198" s="45">
        <f t="shared" si="51"/>
        <v>173.29776666666666</v>
      </c>
      <c r="DV198" s="45">
        <f t="shared" si="58"/>
        <v>6.6750000000000007</v>
      </c>
      <c r="DW198" s="45">
        <f t="shared" si="52"/>
        <v>2.5</v>
      </c>
      <c r="DX198" s="47">
        <f t="shared" si="53"/>
        <v>3161.3556425000002</v>
      </c>
      <c r="DY198" s="50">
        <f t="shared" si="54"/>
        <v>-2.2737367544323206E-13</v>
      </c>
      <c r="EA198" s="51">
        <f t="shared" si="117"/>
        <v>3.2176148938295228E-2</v>
      </c>
      <c r="EB198" s="51">
        <f t="shared" si="117"/>
        <v>0.15502851400560194</v>
      </c>
      <c r="EC198" s="51">
        <f t="shared" si="117"/>
        <v>0.60979081223380582</v>
      </c>
      <c r="ED198" s="51">
        <f t="shared" si="114"/>
        <v>7.4708258642241634E-2</v>
      </c>
      <c r="EE198" s="51">
        <f t="shared" si="114"/>
        <v>7.0576481599802621E-2</v>
      </c>
      <c r="EF198" s="51">
        <f t="shared" si="114"/>
        <v>5.4817548629113672E-2</v>
      </c>
      <c r="EG198" s="51">
        <f t="shared" si="114"/>
        <v>2.1114359644527087E-3</v>
      </c>
      <c r="EH198" s="52">
        <f t="shared" si="59"/>
        <v>7.9079998668640772E-4</v>
      </c>
      <c r="EI198" s="51">
        <f t="shared" si="60"/>
        <v>0.99920920001331359</v>
      </c>
      <c r="EK198" s="53">
        <f>(EA198*'[2]Renewable Diesel'!BF207*'[2]Feedstock Conversion Rates'!B$2)+FB198</f>
        <v>72.827123117227572</v>
      </c>
      <c r="EL198" s="53">
        <f>(EB198*'[2]Renewable Diesel'!BF207*'[2]Feedstock Conversion Rates'!B$3)+FC198</f>
        <v>330.66198264736676</v>
      </c>
      <c r="EM198" s="53">
        <f>(EC198*'[2]Renewable Diesel'!BF207*'[2]Feedstock Conversion Rates'!B$4)+FD198</f>
        <v>1217.8177650123816</v>
      </c>
      <c r="EN198" s="53">
        <f>(ED198*'[2]Renewable Diesel'!BF207*'[2]Feedstock Conversion Rates'!B$5)+FE198</f>
        <v>150.19508826194468</v>
      </c>
      <c r="EO198" s="53">
        <f>(EE198*'[2]Renewable Diesel'!BF207*'[2]Feedstock Conversion Rates'!B$6)+FF198</f>
        <v>176.279986066589</v>
      </c>
      <c r="EP198" s="53">
        <f>(EF198*'[2]Renewable Diesel'!BF207*'[2]Feedstock Conversion Rates'!B$7)+FG198</f>
        <v>134.29121497273729</v>
      </c>
      <c r="EQ198" s="53">
        <f>(EG198*'[2]Renewable Diesel'!BF207*'[2]Feedstock Conversion Rates'!B$8)+FH198</f>
        <v>5.2709555793755065</v>
      </c>
      <c r="ER198" s="53">
        <f>(EH198*'[2]Renewable Diesel'!BF207*'[2]Feedstock Conversion Rates'!B$9)+FI198</f>
        <v>1.9478187908803368</v>
      </c>
      <c r="ES198" s="53">
        <f t="shared" si="61"/>
        <v>2089.2919344485026</v>
      </c>
      <c r="ET198" s="36">
        <f>ES198/'[2]Renewable Diesel'!BF207</f>
        <v>7.846192564500436</v>
      </c>
    </row>
    <row r="199" spans="1:150" x14ac:dyDescent="0.25">
      <c r="A199" s="39">
        <v>46478</v>
      </c>
      <c r="B199" s="45">
        <f t="shared" si="118"/>
        <v>35</v>
      </c>
      <c r="C199" s="45">
        <f t="shared" si="119"/>
        <v>62</v>
      </c>
      <c r="D199" s="45">
        <f t="shared" si="115"/>
        <v>1.5</v>
      </c>
      <c r="E199" s="45">
        <f>('[2]Renewable Diesel'!B208*E$3*'[2]Feedstock Conversion Rates'!$B$2)/12-50+2+15-0.5-7.5-20+14+15+72+25-19-5-5+9-47-1</f>
        <v>86.93</v>
      </c>
      <c r="F199" s="45">
        <f>('[2]Renewable Diesel'!B208*'[2]RD Feedstock Breakdown'!F$3*'[2]Feedstock Conversion Rates'!B$8)/12-22+4-3+10+17-48+14+10-4+14+2-33+7.5-15</f>
        <v>7.40625</v>
      </c>
      <c r="G199" s="45">
        <f>('[2]Renewable Diesel'!B208*'[2]RD Feedstock Breakdown'!G$3*'[2]Feedstock Conversion Rates'!B$7)/12-1+21-144-30+30+70-5-65+5-10-10-2.5-15</f>
        <v>19.657000000000011</v>
      </c>
      <c r="H199" s="45">
        <f>('[2]Renewable Diesel'!B208*'[2]RD Feedstock Breakdown'!H$3*'[2]Feedstock Conversion Rates'!B$3)/12-85+4+10-72+17+30+45+15-25-7.5-18+185+9</f>
        <v>283.90022499999998</v>
      </c>
      <c r="I199" s="47">
        <f t="shared" si="75"/>
        <v>496.39347499999997</v>
      </c>
      <c r="J199" s="45">
        <f t="shared" si="120"/>
        <v>152</v>
      </c>
      <c r="K199" s="45"/>
      <c r="L199" s="45">
        <v>1</v>
      </c>
      <c r="M199" s="45">
        <f>('[2]Renewable Diesel'!C208*'[2]RD Feedstock Breakdown'!M$3*'[2]Feedstock Conversion Rates'!B$2)/12-10-15-30+10-2+30+24</f>
        <v>14.79025</v>
      </c>
      <c r="N199" s="45">
        <f>('[2]Renewable Diesel'!C208*'[2]RD Feedstock Breakdown'!N$3*'[2]Feedstock Conversion Rates'!B$8)/12-2+8-9-7+6+7.5-9-11-15</f>
        <v>-27.828125</v>
      </c>
      <c r="O199" s="45">
        <f>('[2]Renewable Diesel'!C208*'[2]RD Feedstock Breakdown'!O$3*'[2]Feedstock Conversion Rates'!B$7)/12-90-2+12+15-10+5-10+6</f>
        <v>-62.000900000000001</v>
      </c>
      <c r="P199" s="45">
        <f>('[2]Renewable Diesel'!C208*'[2]RD Feedstock Breakdown'!P$3*'[2]Feedstock Conversion Rates'!B$3)/12-27+40-97+32.5+7+15+52.5-75-2.5</f>
        <v>-44.052957499999991</v>
      </c>
      <c r="Q199" s="47">
        <f t="shared" si="85"/>
        <v>33.908267500000022</v>
      </c>
      <c r="R199" s="45">
        <f>('[2]Renewable Diesel'!D208*'[2]RD Feedstock Breakdown'!R$3*'[2]Feedstock Conversion Rates'!B$7)/12</f>
        <v>2.2999999999999998</v>
      </c>
      <c r="S199" s="47">
        <f t="shared" si="116"/>
        <v>2.2999999999999998</v>
      </c>
      <c r="T199" s="45">
        <f t="shared" si="121"/>
        <v>10.824999999999999</v>
      </c>
      <c r="U199" s="45">
        <v>0</v>
      </c>
      <c r="V199" s="45">
        <f>('[2]Renewable Diesel'!E208*'[2]RD Feedstock Breakdown'!V$3*'[2]Feedstock Conversion Rates'!B$6)/12-20+25-10</f>
        <v>39.250150000000012</v>
      </c>
      <c r="W199" s="45">
        <f>('[2]Renewable Diesel'!E208*'[2]RD Feedstock Breakdown'!W$3*'[2]Feedstock Conversion Rates'!B$8)/12-5.825</f>
        <v>16.354687500000001</v>
      </c>
      <c r="X199" s="47">
        <f t="shared" si="62"/>
        <v>66.429837500000005</v>
      </c>
      <c r="Y199" s="45">
        <f t="shared" si="122"/>
        <v>86</v>
      </c>
      <c r="Z199" s="45">
        <f>('[2]Renewable Diesel'!F208*'[2]RD Feedstock Breakdown'!Z$3*'[2]Feedstock Conversion Rates'!B$6)/12-50-32-60+15+30+22.5-22.5-15+40-16+3</f>
        <v>74.460000000000008</v>
      </c>
      <c r="AA199" s="45">
        <f>('[2]Renewable Diesel'!F208*'[2]RD Feedstock Breakdown'!AA$3*'[2]Feedstock Conversion Rates'!B$7)/12+80-171+75+30+40-55</f>
        <v>103.26666666666665</v>
      </c>
      <c r="AB199" s="47">
        <f t="shared" si="102"/>
        <v>263.72666666666669</v>
      </c>
      <c r="AC199" s="45">
        <f>('[2]Renewable Diesel'!G208*'[2]RD Feedstock Breakdown'!AC$3*'[2]Feedstock Conversion Rates'!B$5)/12</f>
        <v>11.796875</v>
      </c>
      <c r="AD199" s="45">
        <f>('[2]Renewable Diesel'!G208*'[2]RD Feedstock Breakdown'!AD$3*'[2]Feedstock Conversion Rates'!B$4)/12</f>
        <v>5.859375</v>
      </c>
      <c r="AE199" s="45">
        <f>('[2]Renewable Diesel'!G208*'[2]RD Feedstock Breakdown'!AE$3*'[2]Feedstock Conversion Rates'!B$6)/12</f>
        <v>7.3281250000000009</v>
      </c>
      <c r="AF199" s="47">
        <f t="shared" si="71"/>
        <v>24.984375</v>
      </c>
      <c r="AG199" s="45">
        <f t="shared" si="111"/>
        <v>139</v>
      </c>
      <c r="AH199" s="45">
        <v>0</v>
      </c>
      <c r="AI199" s="45">
        <f>('[2]Renewable Diesel'!H208*'[2]RD Feedstock Breakdown'!AI$3*'[2]Feedstock Conversion Rates'!B$6)/12-130-20+51-120+100-40+20</f>
        <v>9.5166666666666799</v>
      </c>
      <c r="AJ199" s="47">
        <f t="shared" si="113"/>
        <v>148.51666666666668</v>
      </c>
      <c r="AK199" s="45">
        <f>('[2]Renewable Diesel'!J208*'[2]RD Feedstock Breakdown'!AK$3*'[2]Feedstock Conversion Rates'!B$4)/12</f>
        <v>95.8125</v>
      </c>
      <c r="AL199" s="47">
        <f t="shared" si="123"/>
        <v>95.8125</v>
      </c>
      <c r="AM199" s="45">
        <f>('[2]Renewable Diesel'!K208*'[2]RD Feedstock Breakdown'!AM$3*'[2]Feedstock Conversion Rates'!B$4)/12+5+15-10+4+5-30</f>
        <v>47.59375</v>
      </c>
      <c r="AN199" s="45">
        <f>('[2]Renewable Diesel'!K208*'[2]RD Feedstock Breakdown'!AN$3*'[2]Feedstock Conversion Rates'!B$6)/12-5-15+10-4-5+30</f>
        <v>35.427083333333329</v>
      </c>
      <c r="AO199" s="47">
        <f t="shared" si="56"/>
        <v>83.020833333333329</v>
      </c>
      <c r="AP199" s="45">
        <f>('[2]Renewable Diesel'!L208*'[2]RD Feedstock Breakdown'!AP$3*'[2]Feedstock Conversion Rates'!B$4)/12+15-10+7.5+7</f>
        <v>78.09375</v>
      </c>
      <c r="AQ199" s="45">
        <f>('[2]Renewable Diesel'!L208*'[2]RD Feedstock Breakdown'!AQ$3*'[2]Feedstock Conversion Rates'!B$6)/12-15+10-7.5-7</f>
        <v>4.9270833333333321</v>
      </c>
      <c r="AR199" s="47">
        <f t="shared" si="46"/>
        <v>83.020833333333329</v>
      </c>
      <c r="AS199" s="45">
        <f>('[2]Renewable Diesel'!M208*'[2]RD Feedstock Breakdown'!AS$3*'[2]Feedstock Conversion Rates'!B$4)/12</f>
        <v>456.25</v>
      </c>
      <c r="AT199" s="45">
        <f>('[2]Renewable Diesel'!M208*'[2]RD Feedstock Breakdown'!AT$3*'[2]Feedstock Conversion Rates'!B$5)/12</f>
        <v>0</v>
      </c>
      <c r="AU199" s="47">
        <f t="shared" si="74"/>
        <v>456.25</v>
      </c>
      <c r="AV199" s="45">
        <f>'[2]Renewable Diesel'!N208*'[2]RD Feedstock Breakdown'!$AV$3*'[2]Feedstock Conversion Rates'!$B$4/12-15-10+25+25-22-7.5</f>
        <v>74.249999999999986</v>
      </c>
      <c r="AW199" s="45">
        <f>'[2]Renewable Diesel'!N208*'[2]RD Feedstock Breakdown'!$AW$3*'[2]Feedstock Conversion Rates'!$B$7/12+15+10-25-25+22+7.5</f>
        <v>45.900000000000006</v>
      </c>
      <c r="AX199" s="47">
        <f t="shared" si="109"/>
        <v>120.14999999999999</v>
      </c>
      <c r="AY199" s="45">
        <f>('[2]Renewable Diesel'!O208*'[2]RD Feedstock Breakdown'!AY$3*'[2]Feedstock Conversion Rates'!B$4)/12+32+2-135</f>
        <v>109.9375</v>
      </c>
      <c r="AZ199" s="45">
        <f>('[2]Renewable Diesel'!O208*'[2]RD Feedstock Breakdown'!AZ$3*'[2]Feedstock Conversion Rates'!B$3)/12-32-2+135</f>
        <v>126.03125</v>
      </c>
      <c r="BA199" s="47">
        <f t="shared" si="87"/>
        <v>235.96875</v>
      </c>
      <c r="BB199" s="45">
        <f>('[2]Renewable Diesel'!Q208*'[2]RD Feedstock Breakdown'!BB$3*'[2]Feedstock Conversion Rates'!B$4)/12</f>
        <v>11.156249999999998</v>
      </c>
      <c r="BC199" s="45">
        <f>('[2]Renewable Diesel'!Q208*'[2]RD Feedstock Breakdown'!BC$3*'[2]Feedstock Conversion Rates'!B$3)/12</f>
        <v>1.4017500000000001</v>
      </c>
      <c r="BD199" s="45">
        <f>('[2]Renewable Diesel'!Q208*'[2]RD Feedstock Breakdown'!BD$3*'[2]Feedstock Conversion Rates'!B$6)/12</f>
        <v>0.8207500000000002</v>
      </c>
      <c r="BE199" s="47">
        <f t="shared" si="64"/>
        <v>13.378749999999998</v>
      </c>
      <c r="BF199" s="45">
        <f>('[2]Renewable Diesel'!R208*'[2]RD Feedstock Breakdown'!BF$3*'[2]Feedstock Conversion Rates'!B$4)/12</f>
        <v>62.5</v>
      </c>
      <c r="BG199" s="47">
        <f t="shared" si="47"/>
        <v>62.5</v>
      </c>
      <c r="BH199" s="45">
        <f>('[2]Renewable Diesel'!T208*'[2]RD Feedstock Breakdown'!BH$3*'[2]Feedstock Conversion Rates'!B$7)/12</f>
        <v>27.599999999999998</v>
      </c>
      <c r="BI199" s="47">
        <f t="shared" si="112"/>
        <v>27.599999999999998</v>
      </c>
      <c r="BJ199" s="45">
        <f>('[2]Renewable Diesel'!W208*'[2]RD Feedstock Breakdown'!BJ$3*'[2]Feedstock Conversion Rates'!B$4)/12</f>
        <v>7.5</v>
      </c>
      <c r="BK199" s="45">
        <f>('[2]Renewable Diesel'!W208*'[2]RD Feedstock Breakdown'!BK$3*'[2]Feedstock Conversion Rates'!B$3)/12</f>
        <v>1.335</v>
      </c>
      <c r="BL199" s="45">
        <f>('[2]Renewable Diesel'!W208*'[2]RD Feedstock Breakdown'!BL$3*'[2]Feedstock Conversion Rates'!B$6)/12</f>
        <v>3.1266666666666669</v>
      </c>
      <c r="BM199" s="45">
        <f>('[2]Renewable Diesel'!W208*'[2]RD Feedstock Breakdown'!BM$3*'[2]Feedstock Conversion Rates'!B$7)/12</f>
        <v>1.5333333333333332</v>
      </c>
      <c r="BN199" s="47">
        <f t="shared" si="78"/>
        <v>13.495000000000001</v>
      </c>
      <c r="BO199" s="45">
        <f>('[2]Renewable Diesel'!P208*'[2]Feedstock Conversion Rates'!B$4)/12</f>
        <v>31.25</v>
      </c>
      <c r="BP199" s="47">
        <f t="shared" si="72"/>
        <v>31.25</v>
      </c>
      <c r="BQ199" s="45">
        <f>('[2]Renewable Diesel'!$S208*'[2]RD Feedstock Breakdown'!BQ$3*'[2]Feedstock Conversion Rates'!B$4)/12+10</f>
        <v>38.125</v>
      </c>
      <c r="BR199" s="45">
        <f>('[2]Renewable Diesel'!$S208*'[2]RD Feedstock Breakdown'!BR$3*'[2]Feedstock Conversion Rates'!B$7)/12-10</f>
        <v>1.5</v>
      </c>
      <c r="BS199" s="47">
        <f t="shared" si="90"/>
        <v>39.625</v>
      </c>
      <c r="BT199" s="47"/>
      <c r="BU199" s="45">
        <f>('[2]Renewable Diesel'!Y208*'[2]Feedstock Conversion Rates'!B$7)/12</f>
        <v>2.6833333333333331</v>
      </c>
      <c r="BV199" s="47">
        <f t="shared" si="67"/>
        <v>2.6833333333333331</v>
      </c>
      <c r="BW199" s="45">
        <f>('[2]Renewable Diesel'!$Z208*'[2]RD Feedstock Breakdown'!BW$3*'[2]Feedstock Conversion Rates'!$B$4)/12</f>
        <v>35.9375</v>
      </c>
      <c r="BX199" s="45">
        <f>('[2]Renewable Diesel'!$Z208*'[2]RD Feedstock Breakdown'!BX$3*'[2]Feedstock Conversion Rates'!$B$5)/12</f>
        <v>3.6177083333333333</v>
      </c>
      <c r="BY199" s="45">
        <f>('[2]Renewable Diesel'!$Z208*'[2]RD Feedstock Breakdown'!BY$3*'[2]Feedstock Conversion Rates'!$B$7)/12</f>
        <v>30.858333333333331</v>
      </c>
      <c r="BZ199" s="45">
        <f>('[2]Renewable Diesel'!$Z208*'[2]RD Feedstock Breakdown'!BZ$3*'[2]Feedstock Conversion Rates'!$B$3)/12</f>
        <v>7.6762499999999996</v>
      </c>
      <c r="CA199" s="47">
        <f t="shared" si="91"/>
        <v>78.089791666666656</v>
      </c>
      <c r="CB199" s="45">
        <f>('[2]Renewable Diesel'!AA208*'[2]Feedstock Conversion Rates'!B$4)/12</f>
        <v>191.25</v>
      </c>
      <c r="CC199" s="47">
        <f t="shared" si="79"/>
        <v>191.25</v>
      </c>
      <c r="CD199" s="45">
        <f>('[2]Renewable Diesel'!$AB208*'[2]RD Feedstock Breakdown'!CD$3*'[2]Feedstock Conversion Rates'!$B$6)/12-15</f>
        <v>17.830000000000005</v>
      </c>
      <c r="CE199" s="45">
        <f>('[2]Renewable Diesel'!$AB208*'[2]RD Feedstock Breakdown'!CE$3*'[2]Feedstock Conversion Rates'!$B$4)/12+15</f>
        <v>26.25</v>
      </c>
      <c r="CF199" s="47">
        <f t="shared" si="76"/>
        <v>44.080000000000005</v>
      </c>
      <c r="CG199" s="45">
        <f>('[2]Renewable Diesel'!AD208*'[2]Feedstock Conversion Rates'!B$4)/12</f>
        <v>112.5</v>
      </c>
      <c r="CH199" s="47">
        <f t="shared" si="63"/>
        <v>112.5</v>
      </c>
      <c r="CI199" s="45">
        <f>('[2]Renewable Diesel'!$AE208*'[2]RD Feedstock Breakdown'!CI$3*'[2]Feedstock Conversion Rates'!$B$5)/12</f>
        <v>0.34604166666666664</v>
      </c>
      <c r="CJ199" s="45">
        <f>('[2]Renewable Diesel'!$AE208*'[2]RD Feedstock Breakdown'!CJ$3*'[2]Feedstock Conversion Rates'!$B$4)/12</f>
        <v>0.34375</v>
      </c>
      <c r="CK199" s="47">
        <f t="shared" si="73"/>
        <v>0.68979166666666658</v>
      </c>
      <c r="CL199" s="45">
        <f>(((CL$3*'[2]Renewable Diesel'!$AF208)*'[2]Feedstock Conversion Rates'!$B$3)/12)</f>
        <v>91.78125</v>
      </c>
      <c r="CM199" s="45">
        <f>(((CM$3*'[2]Renewable Diesel'!$AF208)*'[2]Feedstock Conversion Rates'!$B$6)/12)-45</f>
        <v>8.7395833333333357</v>
      </c>
      <c r="CN199" s="45">
        <f>(((CN$3*'[2]Renewable Diesel'!$AF208)*'[2]Feedstock Conversion Rates'!$B$4)/12)+45</f>
        <v>87.96875</v>
      </c>
      <c r="CO199" s="47">
        <f t="shared" si="65"/>
        <v>188.48958333333334</v>
      </c>
      <c r="CP199" s="45">
        <f>('[2]Renewable Diesel'!$AG208*'[2]RD Feedstock Breakdown'!CP$3*'[2]Feedstock Conversion Rates'!$B$3)/12</f>
        <v>6.0075000000000003</v>
      </c>
      <c r="CQ199" s="45">
        <f>('[2]Renewable Diesel'!$AG208*'[2]RD Feedstock Breakdown'!CQ$3*'[2]Feedstock Conversion Rates'!$B$6)/12</f>
        <v>3.5175000000000001</v>
      </c>
      <c r="CR199" s="45">
        <f>('[2]Renewable Diesel'!$AG208*'[2]RD Feedstock Breakdown'!CR$3*'[2]Feedstock Conversion Rates'!$B$4)/12</f>
        <v>2.8125</v>
      </c>
      <c r="CS199" s="47">
        <f t="shared" si="99"/>
        <v>12.3375</v>
      </c>
      <c r="CT199" s="45">
        <f>('[2]Renewable Diesel'!AI208*'[2]Feedstock Conversion Rates'!$B$4*'[2]RD Feedstock Breakdown'!$CT$3)/12</f>
        <v>29.375</v>
      </c>
      <c r="CU199" s="47">
        <f t="shared" si="69"/>
        <v>29.375</v>
      </c>
      <c r="CV199" s="45">
        <f>('[2]Renewable Diesel'!AN208*'[2]Feedstock Conversion Rates'!$B$3*'[2]RD Feedstock Breakdown'!$CV$3)/12</f>
        <v>0.50062499999999999</v>
      </c>
      <c r="CW199" s="47">
        <f t="shared" ref="CW199:CW262" si="124">CV199</f>
        <v>0.50062499999999999</v>
      </c>
      <c r="CX199" s="45">
        <f>('[2]Renewable Diesel'!AO208*'[2]RD Feedstock Breakdown'!$CX$3*'[2]Feedstock Conversion Rates'!$B$3)/12</f>
        <v>6.3412499999999996</v>
      </c>
      <c r="CY199" s="45">
        <f>('[2]Renewable Diesel'!AO208*'[2]RD Feedstock Breakdown'!$CY$3*'[2]Feedstock Conversion Rates'!$B$6)/12</f>
        <v>7.4258333333333342</v>
      </c>
      <c r="CZ199" s="47">
        <f t="shared" si="100"/>
        <v>13.767083333333334</v>
      </c>
      <c r="DA199" s="47"/>
      <c r="DB199" s="47"/>
      <c r="DC199" s="47"/>
      <c r="DD199" s="47"/>
      <c r="DE199" s="47"/>
      <c r="DF199" s="45">
        <f>('[2]Renewable Diesel'!AR208*'[2]Feedstock Conversion Rates'!$B$4*$DF$3)/12</f>
        <v>75</v>
      </c>
      <c r="DG199" s="47">
        <f t="shared" si="101"/>
        <v>75</v>
      </c>
      <c r="DH199" s="45">
        <f>('[2]Renewable Diesel'!AS208*'[2]Feedstock Conversion Rates'!$B$4*$DH$3)/12</f>
        <v>75</v>
      </c>
      <c r="DI199" s="47">
        <f t="shared" si="110"/>
        <v>75</v>
      </c>
      <c r="DJ199" s="45">
        <f>('[2]Renewable Diesel'!AT208*'[2]Feedstock Conversion Rates'!$B$4*0.25)/12</f>
        <v>8.59375</v>
      </c>
      <c r="DK199" s="45">
        <f>('[2]Renewable Diesel'!$AT208*'[2]RD Feedstock Breakdown'!DK$3*'[2]Feedstock Conversion Rates'!$B$3)/12*0.5</f>
        <v>9.1781249999999996</v>
      </c>
      <c r="DL199" s="45">
        <f>('[2]Renewable Diesel'!$AT208*'[2]RD Feedstock Breakdown'!$DL$3*'[2]Feedstock Conversion Rates'!$B$6)/12</f>
        <v>10.747916666666669</v>
      </c>
      <c r="DM199" s="45">
        <f>('[2]Renewable Diesel'!$AT208*'[2]RD Feedstock Breakdown'!$DM$3*'[2]Feedstock Conversion Rates'!$B$8)/12</f>
        <v>10.7421875</v>
      </c>
      <c r="DN199" s="47">
        <f t="shared" si="77"/>
        <v>39.26197916666667</v>
      </c>
      <c r="DP199" s="45">
        <f t="shared" si="48"/>
        <v>101.72025000000001</v>
      </c>
      <c r="DQ199" s="45">
        <f t="shared" si="49"/>
        <v>490.10026749999997</v>
      </c>
      <c r="DR199" s="45">
        <f t="shared" si="57"/>
        <v>1927.765625</v>
      </c>
      <c r="DS199" s="45">
        <f t="shared" si="70"/>
        <v>236.17937499999999</v>
      </c>
      <c r="DT199" s="45">
        <f t="shared" si="50"/>
        <v>223.11735833333344</v>
      </c>
      <c r="DU199" s="45">
        <f t="shared" si="51"/>
        <v>173.29776666666666</v>
      </c>
      <c r="DV199" s="45">
        <f t="shared" si="58"/>
        <v>6.6750000000000007</v>
      </c>
      <c r="DW199" s="45">
        <f t="shared" si="52"/>
        <v>2.5</v>
      </c>
      <c r="DX199" s="47">
        <f t="shared" si="53"/>
        <v>3161.3556425000002</v>
      </c>
      <c r="DY199" s="50">
        <f t="shared" si="54"/>
        <v>-2.2737367544323206E-13</v>
      </c>
      <c r="EA199" s="51">
        <f t="shared" si="117"/>
        <v>3.2176148938295228E-2</v>
      </c>
      <c r="EB199" s="51">
        <f t="shared" si="117"/>
        <v>0.15502851400560194</v>
      </c>
      <c r="EC199" s="51">
        <f t="shared" si="117"/>
        <v>0.60979081223380582</v>
      </c>
      <c r="ED199" s="51">
        <f t="shared" si="114"/>
        <v>7.4708258642241634E-2</v>
      </c>
      <c r="EE199" s="51">
        <f t="shared" si="114"/>
        <v>7.0576481599802621E-2</v>
      </c>
      <c r="EF199" s="51">
        <f t="shared" si="114"/>
        <v>5.4817548629113672E-2</v>
      </c>
      <c r="EG199" s="51">
        <f t="shared" si="114"/>
        <v>2.1114359644527087E-3</v>
      </c>
      <c r="EH199" s="52">
        <f t="shared" si="59"/>
        <v>7.9079998668640772E-4</v>
      </c>
      <c r="EI199" s="51">
        <f t="shared" si="60"/>
        <v>0.99920920001331359</v>
      </c>
      <c r="EK199" s="53">
        <f>(EA199*'[2]Renewable Diesel'!BF208*'[2]Feedstock Conversion Rates'!B$2)+FB199</f>
        <v>79.581851839246497</v>
      </c>
      <c r="EL199" s="53">
        <f>(EB199*'[2]Renewable Diesel'!BF208*'[2]Feedstock Conversion Rates'!B$3)+FC199</f>
        <v>361.33094080286941</v>
      </c>
      <c r="EM199" s="53">
        <f>(EC199*'[2]Renewable Diesel'!BF208*'[2]Feedstock Conversion Rates'!B$4)+FD199</f>
        <v>1330.7705809882764</v>
      </c>
      <c r="EN199" s="53">
        <f>(ED199*'[2]Renewable Diesel'!BF208*'[2]Feedstock Conversion Rates'!B$5)+FE199</f>
        <v>164.12570961789297</v>
      </c>
      <c r="EO199" s="53">
        <f>(EE199*'[2]Renewable Diesel'!BF208*'[2]Feedstock Conversion Rates'!B$6)+FF199</f>
        <v>192.62998636914679</v>
      </c>
      <c r="EP199" s="53">
        <f>(EF199*'[2]Renewable Diesel'!BF208*'[2]Feedstock Conversion Rates'!B$7)+FG199</f>
        <v>146.74674923064055</v>
      </c>
      <c r="EQ199" s="53">
        <f>(EG199*'[2]Renewable Diesel'!BF208*'[2]Feedstock Conversion Rates'!B$8)+FH199</f>
        <v>5.7598376540825242</v>
      </c>
      <c r="ER199" s="53">
        <f>(EH199*'[2]Renewable Diesel'!BF208*'[2]Feedstock Conversion Rates'!B$9)+FI199</f>
        <v>2.1284793328444782</v>
      </c>
      <c r="ES199" s="53">
        <f t="shared" si="61"/>
        <v>2283.0741358349997</v>
      </c>
      <c r="ET199" s="36">
        <f>ES199/'[2]Renewable Diesel'!BF208</f>
        <v>7.8461925645004369</v>
      </c>
    </row>
    <row r="200" spans="1:150" x14ac:dyDescent="0.25">
      <c r="A200" s="39">
        <v>46508</v>
      </c>
      <c r="B200" s="45">
        <f t="shared" si="118"/>
        <v>35</v>
      </c>
      <c r="C200" s="45">
        <f t="shared" si="119"/>
        <v>62</v>
      </c>
      <c r="D200" s="45">
        <f t="shared" si="115"/>
        <v>1.5</v>
      </c>
      <c r="E200" s="45">
        <f>('[2]Renewable Diesel'!B209*E$3*'[2]Feedstock Conversion Rates'!$B$2)/12-50+2+15-0.5-7.5-20+14+15+72+25-19-5-5+9-47-1</f>
        <v>86.93</v>
      </c>
      <c r="F200" s="45">
        <f>('[2]Renewable Diesel'!B209*'[2]RD Feedstock Breakdown'!F$3*'[2]Feedstock Conversion Rates'!B$8)/12-22+4-3+10+17-48+14+10-4+14+2-33+7.5-15</f>
        <v>7.40625</v>
      </c>
      <c r="G200" s="45">
        <f>('[2]Renewable Diesel'!B209*'[2]RD Feedstock Breakdown'!G$3*'[2]Feedstock Conversion Rates'!B$7)/12-1+21-144-30+30+70-5-65+5-10-10-2.5-15</f>
        <v>19.657000000000011</v>
      </c>
      <c r="H200" s="45">
        <f>('[2]Renewable Diesel'!B209*'[2]RD Feedstock Breakdown'!H$3*'[2]Feedstock Conversion Rates'!B$3)/12-85+4+10-72+17+30+45+15-25-7.5-18+185+9</f>
        <v>283.90022499999998</v>
      </c>
      <c r="I200" s="47">
        <f t="shared" si="75"/>
        <v>496.39347499999997</v>
      </c>
      <c r="J200" s="45">
        <f t="shared" si="120"/>
        <v>152</v>
      </c>
      <c r="K200" s="45"/>
      <c r="L200" s="45">
        <v>1</v>
      </c>
      <c r="M200" s="45">
        <f>('[2]Renewable Diesel'!C209*'[2]RD Feedstock Breakdown'!M$3*'[2]Feedstock Conversion Rates'!B$2)/12-10-15-30+10-2+30+24</f>
        <v>14.79025</v>
      </c>
      <c r="N200" s="45">
        <f>('[2]Renewable Diesel'!C209*'[2]RD Feedstock Breakdown'!N$3*'[2]Feedstock Conversion Rates'!B$8)/12-2+8-9-7+6+7.5-9-11-15</f>
        <v>-27.828125</v>
      </c>
      <c r="O200" s="45">
        <f>('[2]Renewable Diesel'!C209*'[2]RD Feedstock Breakdown'!O$3*'[2]Feedstock Conversion Rates'!B$7)/12-90-2+12+15-10+5-10+6</f>
        <v>-62.000900000000001</v>
      </c>
      <c r="P200" s="45">
        <f>('[2]Renewable Diesel'!C209*'[2]RD Feedstock Breakdown'!P$3*'[2]Feedstock Conversion Rates'!B$3)/12-27+40-97+32.5+7+15+52.5-75-2.5</f>
        <v>-44.052957499999991</v>
      </c>
      <c r="Q200" s="47">
        <f t="shared" si="85"/>
        <v>33.908267500000022</v>
      </c>
      <c r="R200" s="45">
        <f>('[2]Renewable Diesel'!D209*'[2]RD Feedstock Breakdown'!R$3*'[2]Feedstock Conversion Rates'!B$7)/12</f>
        <v>2.2999999999999998</v>
      </c>
      <c r="S200" s="47">
        <f t="shared" si="116"/>
        <v>2.2999999999999998</v>
      </c>
      <c r="T200" s="45">
        <f t="shared" si="121"/>
        <v>10.824999999999999</v>
      </c>
      <c r="U200" s="45">
        <v>0</v>
      </c>
      <c r="V200" s="45">
        <f>('[2]Renewable Diesel'!E209*'[2]RD Feedstock Breakdown'!V$3*'[2]Feedstock Conversion Rates'!B$6)/12-20+25-10</f>
        <v>39.250150000000012</v>
      </c>
      <c r="W200" s="45">
        <f>('[2]Renewable Diesel'!E209*'[2]RD Feedstock Breakdown'!W$3*'[2]Feedstock Conversion Rates'!B$8)/12-5.825</f>
        <v>16.354687500000001</v>
      </c>
      <c r="X200" s="47">
        <f t="shared" si="62"/>
        <v>66.429837500000005</v>
      </c>
      <c r="Y200" s="45">
        <f t="shared" si="122"/>
        <v>86</v>
      </c>
      <c r="Z200" s="45">
        <f>('[2]Renewable Diesel'!F209*'[2]RD Feedstock Breakdown'!Z$3*'[2]Feedstock Conversion Rates'!B$6)/12-50-32-60+15+30+22.5-22.5-15+40-16+3</f>
        <v>74.460000000000008</v>
      </c>
      <c r="AA200" s="45">
        <f>('[2]Renewable Diesel'!F209*'[2]RD Feedstock Breakdown'!AA$3*'[2]Feedstock Conversion Rates'!B$7)/12+80-171+75+30+40-55</f>
        <v>103.26666666666665</v>
      </c>
      <c r="AB200" s="47">
        <f t="shared" si="102"/>
        <v>263.72666666666669</v>
      </c>
      <c r="AC200" s="45">
        <f>('[2]Renewable Diesel'!G209*'[2]RD Feedstock Breakdown'!AC$3*'[2]Feedstock Conversion Rates'!B$5)/12</f>
        <v>11.796875</v>
      </c>
      <c r="AD200" s="45">
        <f>('[2]Renewable Diesel'!G209*'[2]RD Feedstock Breakdown'!AD$3*'[2]Feedstock Conversion Rates'!B$4)/12</f>
        <v>5.859375</v>
      </c>
      <c r="AE200" s="45">
        <f>('[2]Renewable Diesel'!G209*'[2]RD Feedstock Breakdown'!AE$3*'[2]Feedstock Conversion Rates'!B$6)/12</f>
        <v>7.3281250000000009</v>
      </c>
      <c r="AF200" s="47">
        <f t="shared" si="71"/>
        <v>24.984375</v>
      </c>
      <c r="AG200" s="45">
        <f t="shared" si="111"/>
        <v>139</v>
      </c>
      <c r="AH200" s="45">
        <v>0</v>
      </c>
      <c r="AI200" s="45">
        <f>('[2]Renewable Diesel'!H209*'[2]RD Feedstock Breakdown'!AI$3*'[2]Feedstock Conversion Rates'!B$6)/12-130-20+51-120+100-40+20</f>
        <v>9.5166666666666799</v>
      </c>
      <c r="AJ200" s="47">
        <f t="shared" si="113"/>
        <v>148.51666666666668</v>
      </c>
      <c r="AK200" s="45">
        <f>('[2]Renewable Diesel'!J209*'[2]RD Feedstock Breakdown'!AK$3*'[2]Feedstock Conversion Rates'!B$4)/12</f>
        <v>95.8125</v>
      </c>
      <c r="AL200" s="47">
        <f t="shared" si="123"/>
        <v>95.8125</v>
      </c>
      <c r="AM200" s="45">
        <f>('[2]Renewable Diesel'!K209*'[2]RD Feedstock Breakdown'!AM$3*'[2]Feedstock Conversion Rates'!B$4)/12+5+15-10+4+5-30</f>
        <v>47.59375</v>
      </c>
      <c r="AN200" s="45">
        <f>('[2]Renewable Diesel'!K209*'[2]RD Feedstock Breakdown'!AN$3*'[2]Feedstock Conversion Rates'!B$6)/12-5-15+10-4-5+30</f>
        <v>35.427083333333329</v>
      </c>
      <c r="AO200" s="47">
        <f t="shared" si="56"/>
        <v>83.020833333333329</v>
      </c>
      <c r="AP200" s="45">
        <f>('[2]Renewable Diesel'!L209*'[2]RD Feedstock Breakdown'!AP$3*'[2]Feedstock Conversion Rates'!B$4)/12+15-10+7.5+7</f>
        <v>78.09375</v>
      </c>
      <c r="AQ200" s="45">
        <f>('[2]Renewable Diesel'!L209*'[2]RD Feedstock Breakdown'!AQ$3*'[2]Feedstock Conversion Rates'!B$6)/12-15+10-7.5-7</f>
        <v>4.9270833333333321</v>
      </c>
      <c r="AR200" s="47">
        <f t="shared" si="46"/>
        <v>83.020833333333329</v>
      </c>
      <c r="AS200" s="45">
        <f>('[2]Renewable Diesel'!M209*'[2]RD Feedstock Breakdown'!AS$3*'[2]Feedstock Conversion Rates'!B$4)/12</f>
        <v>456.25</v>
      </c>
      <c r="AT200" s="45">
        <f>('[2]Renewable Diesel'!M209*'[2]RD Feedstock Breakdown'!AT$3*'[2]Feedstock Conversion Rates'!B$5)/12</f>
        <v>0</v>
      </c>
      <c r="AU200" s="47">
        <f t="shared" si="74"/>
        <v>456.25</v>
      </c>
      <c r="AV200" s="45">
        <f>'[2]Renewable Diesel'!N209*'[2]RD Feedstock Breakdown'!$AV$3*'[2]Feedstock Conversion Rates'!$B$4/12-15-10+25+25-22-7.5</f>
        <v>74.249999999999986</v>
      </c>
      <c r="AW200" s="45">
        <f>'[2]Renewable Diesel'!N209*'[2]RD Feedstock Breakdown'!$AW$3*'[2]Feedstock Conversion Rates'!$B$7/12+15+10-25-25+22+7.5</f>
        <v>45.900000000000006</v>
      </c>
      <c r="AX200" s="47">
        <f t="shared" si="109"/>
        <v>120.14999999999999</v>
      </c>
      <c r="AY200" s="45">
        <f>('[2]Renewable Diesel'!O209*'[2]RD Feedstock Breakdown'!AY$3*'[2]Feedstock Conversion Rates'!B$4)/12+32+2-135</f>
        <v>109.9375</v>
      </c>
      <c r="AZ200" s="45">
        <f>('[2]Renewable Diesel'!O209*'[2]RD Feedstock Breakdown'!AZ$3*'[2]Feedstock Conversion Rates'!B$3)/12-32-2+135</f>
        <v>126.03125</v>
      </c>
      <c r="BA200" s="47">
        <f t="shared" si="87"/>
        <v>235.96875</v>
      </c>
      <c r="BB200" s="45">
        <f>('[2]Renewable Diesel'!Q209*'[2]RD Feedstock Breakdown'!BB$3*'[2]Feedstock Conversion Rates'!B$4)/12</f>
        <v>11.156249999999998</v>
      </c>
      <c r="BC200" s="45">
        <f>('[2]Renewable Diesel'!Q209*'[2]RD Feedstock Breakdown'!BC$3*'[2]Feedstock Conversion Rates'!B$3)/12</f>
        <v>1.4017500000000001</v>
      </c>
      <c r="BD200" s="45">
        <f>('[2]Renewable Diesel'!Q209*'[2]RD Feedstock Breakdown'!BD$3*'[2]Feedstock Conversion Rates'!B$6)/12</f>
        <v>0.8207500000000002</v>
      </c>
      <c r="BE200" s="47">
        <f t="shared" si="64"/>
        <v>13.378749999999998</v>
      </c>
      <c r="BF200" s="45">
        <f>('[2]Renewable Diesel'!R209*'[2]RD Feedstock Breakdown'!BF$3*'[2]Feedstock Conversion Rates'!B$4)/12</f>
        <v>62.5</v>
      </c>
      <c r="BG200" s="47">
        <f t="shared" si="47"/>
        <v>62.5</v>
      </c>
      <c r="BH200" s="45">
        <f>('[2]Renewable Diesel'!T209*'[2]RD Feedstock Breakdown'!BH$3*'[2]Feedstock Conversion Rates'!B$7)/12</f>
        <v>27.599999999999998</v>
      </c>
      <c r="BI200" s="47">
        <f t="shared" si="112"/>
        <v>27.599999999999998</v>
      </c>
      <c r="BJ200" s="45">
        <f>('[2]Renewable Diesel'!W209*'[2]RD Feedstock Breakdown'!BJ$3*'[2]Feedstock Conversion Rates'!B$4)/12</f>
        <v>7.5</v>
      </c>
      <c r="BK200" s="45">
        <f>('[2]Renewable Diesel'!W209*'[2]RD Feedstock Breakdown'!BK$3*'[2]Feedstock Conversion Rates'!B$3)/12</f>
        <v>1.335</v>
      </c>
      <c r="BL200" s="45">
        <f>('[2]Renewable Diesel'!W209*'[2]RD Feedstock Breakdown'!BL$3*'[2]Feedstock Conversion Rates'!B$6)/12</f>
        <v>3.1266666666666669</v>
      </c>
      <c r="BM200" s="45">
        <f>('[2]Renewable Diesel'!W209*'[2]RD Feedstock Breakdown'!BM$3*'[2]Feedstock Conversion Rates'!B$7)/12</f>
        <v>1.5333333333333332</v>
      </c>
      <c r="BN200" s="47">
        <f t="shared" si="78"/>
        <v>13.495000000000001</v>
      </c>
      <c r="BO200" s="45">
        <f>('[2]Renewable Diesel'!P209*'[2]Feedstock Conversion Rates'!B$4)/12</f>
        <v>31.25</v>
      </c>
      <c r="BP200" s="47">
        <f t="shared" si="72"/>
        <v>31.25</v>
      </c>
      <c r="BQ200" s="45">
        <f>('[2]Renewable Diesel'!$S209*'[2]RD Feedstock Breakdown'!BQ$3*'[2]Feedstock Conversion Rates'!B$4)/12+10</f>
        <v>38.125</v>
      </c>
      <c r="BR200" s="45">
        <f>('[2]Renewable Diesel'!$S209*'[2]RD Feedstock Breakdown'!BR$3*'[2]Feedstock Conversion Rates'!B$7)/12-10</f>
        <v>1.5</v>
      </c>
      <c r="BS200" s="47">
        <f t="shared" si="90"/>
        <v>39.625</v>
      </c>
      <c r="BT200" s="47"/>
      <c r="BU200" s="45">
        <f>('[2]Renewable Diesel'!Y209*'[2]Feedstock Conversion Rates'!B$7)/12</f>
        <v>2.6833333333333331</v>
      </c>
      <c r="BV200" s="47">
        <f t="shared" si="67"/>
        <v>2.6833333333333331</v>
      </c>
      <c r="BW200" s="45">
        <f>('[2]Renewable Diesel'!$Z209*'[2]RD Feedstock Breakdown'!BW$3*'[2]Feedstock Conversion Rates'!$B$4)/12</f>
        <v>35.9375</v>
      </c>
      <c r="BX200" s="45">
        <f>('[2]Renewable Diesel'!$Z209*'[2]RD Feedstock Breakdown'!BX$3*'[2]Feedstock Conversion Rates'!$B$5)/12</f>
        <v>3.6177083333333333</v>
      </c>
      <c r="BY200" s="45">
        <f>('[2]Renewable Diesel'!$Z209*'[2]RD Feedstock Breakdown'!BY$3*'[2]Feedstock Conversion Rates'!$B$7)/12</f>
        <v>30.858333333333331</v>
      </c>
      <c r="BZ200" s="45">
        <f>('[2]Renewable Diesel'!$Z209*'[2]RD Feedstock Breakdown'!BZ$3*'[2]Feedstock Conversion Rates'!$B$3)/12</f>
        <v>7.6762499999999996</v>
      </c>
      <c r="CA200" s="47">
        <f t="shared" si="91"/>
        <v>78.089791666666656</v>
      </c>
      <c r="CB200" s="45">
        <f>('[2]Renewable Diesel'!AA209*'[2]Feedstock Conversion Rates'!B$4)/12</f>
        <v>191.25</v>
      </c>
      <c r="CC200" s="47">
        <f t="shared" si="79"/>
        <v>191.25</v>
      </c>
      <c r="CD200" s="45">
        <f>('[2]Renewable Diesel'!$AB209*'[2]RD Feedstock Breakdown'!CD$3*'[2]Feedstock Conversion Rates'!$B$6)/12-15</f>
        <v>17.830000000000005</v>
      </c>
      <c r="CE200" s="45">
        <f>('[2]Renewable Diesel'!$AB209*'[2]RD Feedstock Breakdown'!CE$3*'[2]Feedstock Conversion Rates'!$B$4)/12+15</f>
        <v>26.25</v>
      </c>
      <c r="CF200" s="47">
        <f t="shared" si="76"/>
        <v>44.080000000000005</v>
      </c>
      <c r="CG200" s="45">
        <f>('[2]Renewable Diesel'!AD209*'[2]Feedstock Conversion Rates'!B$4)/12</f>
        <v>112.5</v>
      </c>
      <c r="CH200" s="47">
        <f t="shared" si="63"/>
        <v>112.5</v>
      </c>
      <c r="CI200" s="45">
        <f>('[2]Renewable Diesel'!$AE209*'[2]RD Feedstock Breakdown'!CI$3*'[2]Feedstock Conversion Rates'!$B$5)/12</f>
        <v>0.34604166666666664</v>
      </c>
      <c r="CJ200" s="45">
        <f>('[2]Renewable Diesel'!$AE209*'[2]RD Feedstock Breakdown'!CJ$3*'[2]Feedstock Conversion Rates'!$B$4)/12</f>
        <v>0.34375</v>
      </c>
      <c r="CK200" s="47">
        <f t="shared" si="73"/>
        <v>0.68979166666666658</v>
      </c>
      <c r="CL200" s="45">
        <f>(((CL$3*'[2]Renewable Diesel'!$AF209)*'[2]Feedstock Conversion Rates'!$B$3)/12)</f>
        <v>91.78125</v>
      </c>
      <c r="CM200" s="45">
        <f>(((CM$3*'[2]Renewable Diesel'!$AF209)*'[2]Feedstock Conversion Rates'!$B$6)/12)-45</f>
        <v>8.7395833333333357</v>
      </c>
      <c r="CN200" s="45">
        <f>(((CN$3*'[2]Renewable Diesel'!$AF209)*'[2]Feedstock Conversion Rates'!$B$4)/12)+45</f>
        <v>87.96875</v>
      </c>
      <c r="CO200" s="47">
        <f t="shared" si="65"/>
        <v>188.48958333333334</v>
      </c>
      <c r="CP200" s="45">
        <f>('[2]Renewable Diesel'!$AG209*'[2]RD Feedstock Breakdown'!CP$3*'[2]Feedstock Conversion Rates'!$B$3)/12</f>
        <v>6.0075000000000003</v>
      </c>
      <c r="CQ200" s="45">
        <f>('[2]Renewable Diesel'!$AG209*'[2]RD Feedstock Breakdown'!CQ$3*'[2]Feedstock Conversion Rates'!$B$6)/12</f>
        <v>3.5175000000000001</v>
      </c>
      <c r="CR200" s="45">
        <f>('[2]Renewable Diesel'!$AG209*'[2]RD Feedstock Breakdown'!CR$3*'[2]Feedstock Conversion Rates'!$B$4)/12</f>
        <v>2.8125</v>
      </c>
      <c r="CS200" s="47">
        <f t="shared" si="99"/>
        <v>12.3375</v>
      </c>
      <c r="CT200" s="45">
        <f>('[2]Renewable Diesel'!AI209*'[2]Feedstock Conversion Rates'!$B$4*'[2]RD Feedstock Breakdown'!$CT$3)/12</f>
        <v>29.375</v>
      </c>
      <c r="CU200" s="47">
        <f t="shared" si="69"/>
        <v>29.375</v>
      </c>
      <c r="CV200" s="45">
        <f>('[2]Renewable Diesel'!AN209*'[2]Feedstock Conversion Rates'!$B$3*'[2]RD Feedstock Breakdown'!$CV$3)/12</f>
        <v>0.50062499999999999</v>
      </c>
      <c r="CW200" s="47">
        <f t="shared" si="124"/>
        <v>0.50062499999999999</v>
      </c>
      <c r="CX200" s="45">
        <f>('[2]Renewable Diesel'!AO209*'[2]RD Feedstock Breakdown'!$CX$3*'[2]Feedstock Conversion Rates'!$B$3)/12</f>
        <v>6.3412499999999996</v>
      </c>
      <c r="CY200" s="45">
        <f>('[2]Renewable Diesel'!AO209*'[2]RD Feedstock Breakdown'!$CY$3*'[2]Feedstock Conversion Rates'!$B$6)/12</f>
        <v>7.4258333333333342</v>
      </c>
      <c r="CZ200" s="47">
        <f t="shared" si="100"/>
        <v>13.767083333333334</v>
      </c>
      <c r="DA200" s="47"/>
      <c r="DB200" s="47"/>
      <c r="DC200" s="47"/>
      <c r="DD200" s="47"/>
      <c r="DE200" s="47"/>
      <c r="DF200" s="45">
        <f>('[2]Renewable Diesel'!AR209*'[2]Feedstock Conversion Rates'!$B$4*$DF$3)/12</f>
        <v>75</v>
      </c>
      <c r="DG200" s="47">
        <f t="shared" si="101"/>
        <v>75</v>
      </c>
      <c r="DH200" s="45">
        <f>('[2]Renewable Diesel'!AS209*'[2]Feedstock Conversion Rates'!$B$4*$DH$3)/12</f>
        <v>75</v>
      </c>
      <c r="DI200" s="47">
        <f t="shared" si="110"/>
        <v>75</v>
      </c>
      <c r="DJ200" s="45">
        <f>('[2]Renewable Diesel'!AT209*'[2]Feedstock Conversion Rates'!$B$4*0.25)/12</f>
        <v>8.59375</v>
      </c>
      <c r="DK200" s="45">
        <f>('[2]Renewable Diesel'!$AT209*'[2]RD Feedstock Breakdown'!DK$3*'[2]Feedstock Conversion Rates'!$B$3)/12*0.5</f>
        <v>9.1781249999999996</v>
      </c>
      <c r="DL200" s="45">
        <f>('[2]Renewable Diesel'!$AT209*'[2]RD Feedstock Breakdown'!$DL$3*'[2]Feedstock Conversion Rates'!$B$6)/12</f>
        <v>10.747916666666669</v>
      </c>
      <c r="DM200" s="45">
        <f>('[2]Renewable Diesel'!$AT209*'[2]RD Feedstock Breakdown'!$DM$3*'[2]Feedstock Conversion Rates'!$B$8)/12</f>
        <v>10.7421875</v>
      </c>
      <c r="DN200" s="47">
        <f t="shared" si="77"/>
        <v>39.26197916666667</v>
      </c>
      <c r="DP200" s="45">
        <f t="shared" si="48"/>
        <v>101.72025000000001</v>
      </c>
      <c r="DQ200" s="45">
        <f t="shared" si="49"/>
        <v>490.10026749999997</v>
      </c>
      <c r="DR200" s="45">
        <f t="shared" si="57"/>
        <v>1927.765625</v>
      </c>
      <c r="DS200" s="45">
        <f t="shared" si="70"/>
        <v>236.17937499999999</v>
      </c>
      <c r="DT200" s="45">
        <f t="shared" si="50"/>
        <v>223.11735833333344</v>
      </c>
      <c r="DU200" s="45">
        <f t="shared" si="51"/>
        <v>173.29776666666666</v>
      </c>
      <c r="DV200" s="45">
        <f t="shared" si="58"/>
        <v>6.6750000000000007</v>
      </c>
      <c r="DW200" s="45">
        <f t="shared" si="52"/>
        <v>2.5</v>
      </c>
      <c r="DX200" s="47">
        <f t="shared" si="53"/>
        <v>3161.3556425000002</v>
      </c>
      <c r="DY200" s="50">
        <f t="shared" si="54"/>
        <v>-2.2737367544323206E-13</v>
      </c>
      <c r="EA200" s="51">
        <f t="shared" si="117"/>
        <v>3.2176148938295228E-2</v>
      </c>
      <c r="EB200" s="51">
        <f t="shared" si="117"/>
        <v>0.15502851400560194</v>
      </c>
      <c r="EC200" s="51">
        <f t="shared" si="117"/>
        <v>0.60979081223380582</v>
      </c>
      <c r="ED200" s="51">
        <f t="shared" si="114"/>
        <v>7.4708258642241634E-2</v>
      </c>
      <c r="EE200" s="51">
        <f t="shared" si="114"/>
        <v>7.0576481599802621E-2</v>
      </c>
      <c r="EF200" s="51">
        <f t="shared" si="114"/>
        <v>5.4817548629113672E-2</v>
      </c>
      <c r="EG200" s="51">
        <f t="shared" si="114"/>
        <v>2.1114359644527087E-3</v>
      </c>
      <c r="EH200" s="52">
        <f t="shared" si="59"/>
        <v>7.9079998668640772E-4</v>
      </c>
      <c r="EI200" s="51">
        <f t="shared" si="60"/>
        <v>0.99920920001331359</v>
      </c>
      <c r="EK200" s="53">
        <f>(EA200*'[2]Renewable Diesel'!BF209*'[2]Feedstock Conversion Rates'!B$2)+FB200</f>
        <v>93.473500617716354</v>
      </c>
      <c r="EL200" s="53">
        <f>(EB200*'[2]Renewable Diesel'!BF209*'[2]Feedstock Conversion Rates'!B$3)+FC200</f>
        <v>424.40414664591498</v>
      </c>
      <c r="EM200" s="53">
        <f>(EC200*'[2]Renewable Diesel'!BF209*'[2]Feedstock Conversion Rates'!B$4)+FD200</f>
        <v>1563.0672301433115</v>
      </c>
      <c r="EN200" s="53">
        <f>(ED200*'[2]Renewable Diesel'!BF209*'[2]Feedstock Conversion Rates'!B$5)+FE200</f>
        <v>192.77516500043924</v>
      </c>
      <c r="EO200" s="53">
        <f>(EE200*'[2]Renewable Diesel'!BF209*'[2]Feedstock Conversion Rates'!B$6)+FF200</f>
        <v>226.25509125168932</v>
      </c>
      <c r="EP200" s="53">
        <f>(EF200*'[2]Renewable Diesel'!BF209*'[2]Feedstock Conversion Rates'!B$7)+FG200</f>
        <v>172.36256807099733</v>
      </c>
      <c r="EQ200" s="53">
        <f>(EG200*'[2]Renewable Diesel'!BF209*'[2]Feedstock Conversion Rates'!B$8)+FH200</f>
        <v>6.7652633869888898</v>
      </c>
      <c r="ER200" s="53">
        <f>(EH200*'[2]Renewable Diesel'!BF209*'[2]Feedstock Conversion Rates'!B$9)+FI200</f>
        <v>2.5000224251544458</v>
      </c>
      <c r="ES200" s="53">
        <f t="shared" si="61"/>
        <v>2681.6029875422123</v>
      </c>
      <c r="ET200" s="36">
        <f>ES200/'[2]Renewable Diesel'!BF209</f>
        <v>7.8461925645004378</v>
      </c>
    </row>
    <row r="201" spans="1:150" x14ac:dyDescent="0.25">
      <c r="A201" s="39">
        <v>46539</v>
      </c>
      <c r="B201" s="45">
        <f t="shared" si="118"/>
        <v>35</v>
      </c>
      <c r="C201" s="45">
        <f t="shared" si="119"/>
        <v>62</v>
      </c>
      <c r="D201" s="45">
        <f t="shared" si="115"/>
        <v>1.5</v>
      </c>
      <c r="E201" s="45">
        <f>('[2]Renewable Diesel'!B210*E$3*'[2]Feedstock Conversion Rates'!$B$2)/12-50+2+15-0.5-7.5-20+14+15+72+25-19-5-5+9-47-1</f>
        <v>86.93</v>
      </c>
      <c r="F201" s="45">
        <f>('[2]Renewable Diesel'!B210*'[2]RD Feedstock Breakdown'!F$3*'[2]Feedstock Conversion Rates'!B$8)/12-22+4-3+10+17-48+14+10-4+14+2-33+7.5-15</f>
        <v>7.40625</v>
      </c>
      <c r="G201" s="45">
        <f>('[2]Renewable Diesel'!B210*'[2]RD Feedstock Breakdown'!G$3*'[2]Feedstock Conversion Rates'!B$7)/12-1+21-144-30+30+70-5-65+5-10-10-2.5-15</f>
        <v>19.657000000000011</v>
      </c>
      <c r="H201" s="45">
        <f>('[2]Renewable Diesel'!B210*'[2]RD Feedstock Breakdown'!H$3*'[2]Feedstock Conversion Rates'!B$3)/12-85+4+10-72+17+30+45+15-25-7.5-18+185+9</f>
        <v>283.90022499999998</v>
      </c>
      <c r="I201" s="47">
        <f t="shared" si="75"/>
        <v>496.39347499999997</v>
      </c>
      <c r="J201" s="45">
        <f t="shared" si="120"/>
        <v>152</v>
      </c>
      <c r="K201" s="45"/>
      <c r="L201" s="45">
        <v>1</v>
      </c>
      <c r="M201" s="45">
        <f>('[2]Renewable Diesel'!C210*'[2]RD Feedstock Breakdown'!M$3*'[2]Feedstock Conversion Rates'!B$2)/12-10-15-30+10-2+30+24</f>
        <v>14.79025</v>
      </c>
      <c r="N201" s="45">
        <f>('[2]Renewable Diesel'!C210*'[2]RD Feedstock Breakdown'!N$3*'[2]Feedstock Conversion Rates'!B$8)/12-2+8-9-7+6+7.5-9-11-15</f>
        <v>-27.828125</v>
      </c>
      <c r="O201" s="45">
        <f>('[2]Renewable Diesel'!C210*'[2]RD Feedstock Breakdown'!O$3*'[2]Feedstock Conversion Rates'!B$7)/12-90-2+12+15-10+5-10+6</f>
        <v>-62.000900000000001</v>
      </c>
      <c r="P201" s="45">
        <f>('[2]Renewable Diesel'!C210*'[2]RD Feedstock Breakdown'!P$3*'[2]Feedstock Conversion Rates'!B$3)/12-27+40-97+32.5+7+15+52.5-75-2.5</f>
        <v>-44.052957499999991</v>
      </c>
      <c r="Q201" s="47">
        <f t="shared" si="85"/>
        <v>33.908267500000022</v>
      </c>
      <c r="R201" s="45">
        <f>('[2]Renewable Diesel'!D210*'[2]RD Feedstock Breakdown'!R$3*'[2]Feedstock Conversion Rates'!B$7)/12</f>
        <v>2.2999999999999998</v>
      </c>
      <c r="S201" s="47">
        <f t="shared" si="116"/>
        <v>2.2999999999999998</v>
      </c>
      <c r="T201" s="45">
        <f t="shared" si="121"/>
        <v>10.824999999999999</v>
      </c>
      <c r="U201" s="45">
        <v>0</v>
      </c>
      <c r="V201" s="45">
        <f>('[2]Renewable Diesel'!E210*'[2]RD Feedstock Breakdown'!V$3*'[2]Feedstock Conversion Rates'!B$6)/12-20+25-10</f>
        <v>39.250150000000012</v>
      </c>
      <c r="W201" s="45">
        <f>('[2]Renewable Diesel'!E210*'[2]RD Feedstock Breakdown'!W$3*'[2]Feedstock Conversion Rates'!B$8)/12-5.825</f>
        <v>16.354687500000001</v>
      </c>
      <c r="X201" s="47">
        <f t="shared" si="62"/>
        <v>66.429837500000005</v>
      </c>
      <c r="Y201" s="45">
        <f t="shared" si="122"/>
        <v>86</v>
      </c>
      <c r="Z201" s="45">
        <f>('[2]Renewable Diesel'!F210*'[2]RD Feedstock Breakdown'!Z$3*'[2]Feedstock Conversion Rates'!B$6)/12-50-32-60+15+30+22.5-22.5-15+40-16+3</f>
        <v>74.460000000000008</v>
      </c>
      <c r="AA201" s="45">
        <f>('[2]Renewable Diesel'!F210*'[2]RD Feedstock Breakdown'!AA$3*'[2]Feedstock Conversion Rates'!B$7)/12+80-171+75+30+40-55</f>
        <v>103.26666666666665</v>
      </c>
      <c r="AB201" s="47">
        <f t="shared" si="102"/>
        <v>263.72666666666669</v>
      </c>
      <c r="AC201" s="45">
        <f>('[2]Renewable Diesel'!G210*'[2]RD Feedstock Breakdown'!AC$3*'[2]Feedstock Conversion Rates'!B$5)/12</f>
        <v>11.796875</v>
      </c>
      <c r="AD201" s="45">
        <f>('[2]Renewable Diesel'!G210*'[2]RD Feedstock Breakdown'!AD$3*'[2]Feedstock Conversion Rates'!B$4)/12</f>
        <v>5.859375</v>
      </c>
      <c r="AE201" s="45">
        <f>('[2]Renewable Diesel'!G210*'[2]RD Feedstock Breakdown'!AE$3*'[2]Feedstock Conversion Rates'!B$6)/12</f>
        <v>7.3281250000000009</v>
      </c>
      <c r="AF201" s="47">
        <f t="shared" si="71"/>
        <v>24.984375</v>
      </c>
      <c r="AG201" s="45">
        <f t="shared" si="111"/>
        <v>139</v>
      </c>
      <c r="AH201" s="45">
        <v>0</v>
      </c>
      <c r="AI201" s="45">
        <f>('[2]Renewable Diesel'!H210*'[2]RD Feedstock Breakdown'!AI$3*'[2]Feedstock Conversion Rates'!B$6)/12-130-20+51-120+100-40+20</f>
        <v>9.5166666666666799</v>
      </c>
      <c r="AJ201" s="47">
        <f t="shared" si="113"/>
        <v>148.51666666666668</v>
      </c>
      <c r="AK201" s="45">
        <f>('[2]Renewable Diesel'!J210*'[2]RD Feedstock Breakdown'!AK$3*'[2]Feedstock Conversion Rates'!B$4)/12</f>
        <v>95.8125</v>
      </c>
      <c r="AL201" s="47">
        <f t="shared" si="123"/>
        <v>95.8125</v>
      </c>
      <c r="AM201" s="45">
        <f>('[2]Renewable Diesel'!K210*'[2]RD Feedstock Breakdown'!AM$3*'[2]Feedstock Conversion Rates'!B$4)/12+5+15-10+4+5-30</f>
        <v>47.59375</v>
      </c>
      <c r="AN201" s="45">
        <f>('[2]Renewable Diesel'!K210*'[2]RD Feedstock Breakdown'!AN$3*'[2]Feedstock Conversion Rates'!B$6)/12-5-15+10-4-5+30</f>
        <v>35.427083333333329</v>
      </c>
      <c r="AO201" s="47">
        <f t="shared" si="56"/>
        <v>83.020833333333329</v>
      </c>
      <c r="AP201" s="45">
        <f>('[2]Renewable Diesel'!L210*'[2]RD Feedstock Breakdown'!AP$3*'[2]Feedstock Conversion Rates'!B$4)/12+15-10+7.5+7</f>
        <v>78.09375</v>
      </c>
      <c r="AQ201" s="45">
        <f>('[2]Renewable Diesel'!L210*'[2]RD Feedstock Breakdown'!AQ$3*'[2]Feedstock Conversion Rates'!B$6)/12-15+10-7.5-7</f>
        <v>4.9270833333333321</v>
      </c>
      <c r="AR201" s="47">
        <f t="shared" ref="AR201:AR264" si="125">SUM(AP201:AQ201)</f>
        <v>83.020833333333329</v>
      </c>
      <c r="AS201" s="45">
        <f>('[2]Renewable Diesel'!M210*'[2]RD Feedstock Breakdown'!AS$3*'[2]Feedstock Conversion Rates'!B$4)/12</f>
        <v>456.25</v>
      </c>
      <c r="AT201" s="45">
        <f>('[2]Renewable Diesel'!M210*'[2]RD Feedstock Breakdown'!AT$3*'[2]Feedstock Conversion Rates'!B$5)/12</f>
        <v>0</v>
      </c>
      <c r="AU201" s="47">
        <f t="shared" si="74"/>
        <v>456.25</v>
      </c>
      <c r="AV201" s="45">
        <f>'[2]Renewable Diesel'!N210*'[2]RD Feedstock Breakdown'!$AV$3*'[2]Feedstock Conversion Rates'!$B$4/12-15-10+25+25-22-7.5</f>
        <v>74.249999999999986</v>
      </c>
      <c r="AW201" s="45">
        <f>'[2]Renewable Diesel'!N210*'[2]RD Feedstock Breakdown'!$AW$3*'[2]Feedstock Conversion Rates'!$B$7/12+15+10-25-25+22+7.5</f>
        <v>45.900000000000006</v>
      </c>
      <c r="AX201" s="47">
        <f t="shared" si="109"/>
        <v>120.14999999999999</v>
      </c>
      <c r="AY201" s="45">
        <f>('[2]Renewable Diesel'!O210*'[2]RD Feedstock Breakdown'!AY$3*'[2]Feedstock Conversion Rates'!B$4)/12+32+2-135</f>
        <v>109.9375</v>
      </c>
      <c r="AZ201" s="45">
        <f>('[2]Renewable Diesel'!O210*'[2]RD Feedstock Breakdown'!AZ$3*'[2]Feedstock Conversion Rates'!B$3)/12-32-2+135</f>
        <v>126.03125</v>
      </c>
      <c r="BA201" s="47">
        <f t="shared" si="87"/>
        <v>235.96875</v>
      </c>
      <c r="BB201" s="45">
        <f>('[2]Renewable Diesel'!Q210*'[2]RD Feedstock Breakdown'!BB$3*'[2]Feedstock Conversion Rates'!B$4)/12</f>
        <v>11.156249999999998</v>
      </c>
      <c r="BC201" s="45">
        <f>('[2]Renewable Diesel'!Q210*'[2]RD Feedstock Breakdown'!BC$3*'[2]Feedstock Conversion Rates'!B$3)/12</f>
        <v>1.4017500000000001</v>
      </c>
      <c r="BD201" s="45">
        <f>('[2]Renewable Diesel'!Q210*'[2]RD Feedstock Breakdown'!BD$3*'[2]Feedstock Conversion Rates'!B$6)/12</f>
        <v>0.8207500000000002</v>
      </c>
      <c r="BE201" s="47">
        <f t="shared" si="64"/>
        <v>13.378749999999998</v>
      </c>
      <c r="BF201" s="45">
        <f>('[2]Renewable Diesel'!R210*'[2]RD Feedstock Breakdown'!BF$3*'[2]Feedstock Conversion Rates'!B$4)/12</f>
        <v>62.5</v>
      </c>
      <c r="BG201" s="47">
        <f t="shared" si="47"/>
        <v>62.5</v>
      </c>
      <c r="BH201" s="45">
        <f>('[2]Renewable Diesel'!T210*'[2]RD Feedstock Breakdown'!BH$3*'[2]Feedstock Conversion Rates'!B$7)/12</f>
        <v>27.599999999999998</v>
      </c>
      <c r="BI201" s="47">
        <f t="shared" si="112"/>
        <v>27.599999999999998</v>
      </c>
      <c r="BJ201" s="45">
        <f>('[2]Renewable Diesel'!W210*'[2]RD Feedstock Breakdown'!BJ$3*'[2]Feedstock Conversion Rates'!B$4)/12</f>
        <v>7.5</v>
      </c>
      <c r="BK201" s="45">
        <f>('[2]Renewable Diesel'!W210*'[2]RD Feedstock Breakdown'!BK$3*'[2]Feedstock Conversion Rates'!B$3)/12</f>
        <v>1.335</v>
      </c>
      <c r="BL201" s="45">
        <f>('[2]Renewable Diesel'!W210*'[2]RD Feedstock Breakdown'!BL$3*'[2]Feedstock Conversion Rates'!B$6)/12</f>
        <v>3.1266666666666669</v>
      </c>
      <c r="BM201" s="45">
        <f>('[2]Renewable Diesel'!W210*'[2]RD Feedstock Breakdown'!BM$3*'[2]Feedstock Conversion Rates'!B$7)/12</f>
        <v>1.5333333333333332</v>
      </c>
      <c r="BN201" s="47">
        <f t="shared" si="78"/>
        <v>13.495000000000001</v>
      </c>
      <c r="BO201" s="45">
        <f>('[2]Renewable Diesel'!P210*'[2]Feedstock Conversion Rates'!B$4)/12</f>
        <v>31.25</v>
      </c>
      <c r="BP201" s="47">
        <f t="shared" si="72"/>
        <v>31.25</v>
      </c>
      <c r="BQ201" s="45">
        <f>('[2]Renewable Diesel'!$S210*'[2]RD Feedstock Breakdown'!BQ$3*'[2]Feedstock Conversion Rates'!B$4)/12+10</f>
        <v>38.125</v>
      </c>
      <c r="BR201" s="45">
        <f>('[2]Renewable Diesel'!$S210*'[2]RD Feedstock Breakdown'!BR$3*'[2]Feedstock Conversion Rates'!B$7)/12-10</f>
        <v>1.5</v>
      </c>
      <c r="BS201" s="47">
        <f t="shared" si="90"/>
        <v>39.625</v>
      </c>
      <c r="BT201" s="47"/>
      <c r="BU201" s="45">
        <f>('[2]Renewable Diesel'!Y210*'[2]Feedstock Conversion Rates'!B$7)/12</f>
        <v>2.6833333333333331</v>
      </c>
      <c r="BV201" s="47">
        <f t="shared" si="67"/>
        <v>2.6833333333333331</v>
      </c>
      <c r="BW201" s="45">
        <f>('[2]Renewable Diesel'!$Z210*'[2]RD Feedstock Breakdown'!BW$3*'[2]Feedstock Conversion Rates'!$B$4)/12</f>
        <v>35.9375</v>
      </c>
      <c r="BX201" s="45">
        <f>('[2]Renewable Diesel'!$Z210*'[2]RD Feedstock Breakdown'!BX$3*'[2]Feedstock Conversion Rates'!$B$5)/12</f>
        <v>3.6177083333333333</v>
      </c>
      <c r="BY201" s="45">
        <f>('[2]Renewable Diesel'!$Z210*'[2]RD Feedstock Breakdown'!BY$3*'[2]Feedstock Conversion Rates'!$B$7)/12</f>
        <v>30.858333333333331</v>
      </c>
      <c r="BZ201" s="45">
        <f>('[2]Renewable Diesel'!$Z210*'[2]RD Feedstock Breakdown'!BZ$3*'[2]Feedstock Conversion Rates'!$B$3)/12</f>
        <v>7.6762499999999996</v>
      </c>
      <c r="CA201" s="47">
        <f t="shared" si="91"/>
        <v>78.089791666666656</v>
      </c>
      <c r="CB201" s="45">
        <f>('[2]Renewable Diesel'!AA210*'[2]Feedstock Conversion Rates'!B$4)/12</f>
        <v>191.25</v>
      </c>
      <c r="CC201" s="47">
        <f t="shared" si="79"/>
        <v>191.25</v>
      </c>
      <c r="CD201" s="45">
        <f>('[2]Renewable Diesel'!$AB210*'[2]RD Feedstock Breakdown'!CD$3*'[2]Feedstock Conversion Rates'!$B$6)/12-15</f>
        <v>17.830000000000005</v>
      </c>
      <c r="CE201" s="45">
        <f>('[2]Renewable Diesel'!$AB210*'[2]RD Feedstock Breakdown'!CE$3*'[2]Feedstock Conversion Rates'!$B$4)/12+15</f>
        <v>26.25</v>
      </c>
      <c r="CF201" s="47">
        <f t="shared" si="76"/>
        <v>44.080000000000005</v>
      </c>
      <c r="CG201" s="45">
        <f>('[2]Renewable Diesel'!AD210*'[2]Feedstock Conversion Rates'!B$4)/12</f>
        <v>112.5</v>
      </c>
      <c r="CH201" s="47">
        <f t="shared" si="63"/>
        <v>112.5</v>
      </c>
      <c r="CI201" s="45">
        <f>('[2]Renewable Diesel'!$AE210*'[2]RD Feedstock Breakdown'!CI$3*'[2]Feedstock Conversion Rates'!$B$5)/12</f>
        <v>0.34604166666666664</v>
      </c>
      <c r="CJ201" s="45">
        <f>('[2]Renewable Diesel'!$AE210*'[2]RD Feedstock Breakdown'!CJ$3*'[2]Feedstock Conversion Rates'!$B$4)/12</f>
        <v>0.34375</v>
      </c>
      <c r="CK201" s="47">
        <f t="shared" si="73"/>
        <v>0.68979166666666658</v>
      </c>
      <c r="CL201" s="45">
        <f>(((CL$3*'[2]Renewable Diesel'!$AF210)*'[2]Feedstock Conversion Rates'!$B$3)/12)</f>
        <v>91.78125</v>
      </c>
      <c r="CM201" s="45">
        <f>(((CM$3*'[2]Renewable Diesel'!$AF210)*'[2]Feedstock Conversion Rates'!$B$6)/12)-45</f>
        <v>8.7395833333333357</v>
      </c>
      <c r="CN201" s="45">
        <f>(((CN$3*'[2]Renewable Diesel'!$AF210)*'[2]Feedstock Conversion Rates'!$B$4)/12)+45</f>
        <v>87.96875</v>
      </c>
      <c r="CO201" s="47">
        <f t="shared" si="65"/>
        <v>188.48958333333334</v>
      </c>
      <c r="CP201" s="45">
        <f>('[2]Renewable Diesel'!$AG210*'[2]RD Feedstock Breakdown'!CP$3*'[2]Feedstock Conversion Rates'!$B$3)/12</f>
        <v>6.0075000000000003</v>
      </c>
      <c r="CQ201" s="45">
        <f>('[2]Renewable Diesel'!$AG210*'[2]RD Feedstock Breakdown'!CQ$3*'[2]Feedstock Conversion Rates'!$B$6)/12</f>
        <v>3.5175000000000001</v>
      </c>
      <c r="CR201" s="45">
        <f>('[2]Renewable Diesel'!$AG210*'[2]RD Feedstock Breakdown'!CR$3*'[2]Feedstock Conversion Rates'!$B$4)/12</f>
        <v>2.8125</v>
      </c>
      <c r="CS201" s="47">
        <f t="shared" si="99"/>
        <v>12.3375</v>
      </c>
      <c r="CT201" s="45">
        <f>('[2]Renewable Diesel'!AI210*'[2]Feedstock Conversion Rates'!$B$4*'[2]RD Feedstock Breakdown'!$CT$3)/12</f>
        <v>29.375</v>
      </c>
      <c r="CU201" s="47">
        <f t="shared" si="69"/>
        <v>29.375</v>
      </c>
      <c r="CV201" s="45">
        <f>('[2]Renewable Diesel'!AN210*'[2]Feedstock Conversion Rates'!$B$3*'[2]RD Feedstock Breakdown'!$CV$3)/12</f>
        <v>0.50062499999999999</v>
      </c>
      <c r="CW201" s="47">
        <f t="shared" si="124"/>
        <v>0.50062499999999999</v>
      </c>
      <c r="CX201" s="45">
        <f>('[2]Renewable Diesel'!AO210*'[2]RD Feedstock Breakdown'!$CX$3*'[2]Feedstock Conversion Rates'!$B$3)/12</f>
        <v>6.3412499999999996</v>
      </c>
      <c r="CY201" s="45">
        <f>('[2]Renewable Diesel'!AO210*'[2]RD Feedstock Breakdown'!$CY$3*'[2]Feedstock Conversion Rates'!$B$6)/12</f>
        <v>7.4258333333333342</v>
      </c>
      <c r="CZ201" s="47">
        <f t="shared" si="100"/>
        <v>13.767083333333334</v>
      </c>
      <c r="DA201" s="45">
        <f>('[2]Renewable Diesel'!$AP210*'[2]RD Feedstock Breakdown'!DA$3*'[2]Feedstock Conversion Rates'!$B$3)/12</f>
        <v>1.66875</v>
      </c>
      <c r="DB201" s="45">
        <f>('[2]Renewable Diesel'!$AP210*'[2]RD Feedstock Breakdown'!DB$3*'[2]Feedstock Conversion Rates'!$B$8)/12</f>
        <v>1.953125</v>
      </c>
      <c r="DC201" s="47">
        <f>SUM(DA201:DB201)</f>
        <v>3.6218750000000002</v>
      </c>
      <c r="DD201" s="45">
        <f>('[2]Renewable Diesel'!AQ210*$DD$3*'[2]Feedstock Conversion Rates'!$B$14)/12</f>
        <v>1.5520833333333333</v>
      </c>
      <c r="DE201" s="47">
        <f>DD201</f>
        <v>1.5520833333333333</v>
      </c>
      <c r="DF201" s="45">
        <f>('[2]Renewable Diesel'!AR210*'[2]Feedstock Conversion Rates'!$B$4*$DF$3)/12</f>
        <v>75</v>
      </c>
      <c r="DG201" s="47">
        <f t="shared" si="101"/>
        <v>75</v>
      </c>
      <c r="DH201" s="45">
        <f>('[2]Renewable Diesel'!AS210*'[2]Feedstock Conversion Rates'!$B$4*$DH$3)/12</f>
        <v>75</v>
      </c>
      <c r="DI201" s="47">
        <f t="shared" si="110"/>
        <v>75</v>
      </c>
      <c r="DJ201" s="45">
        <f>('[2]Renewable Diesel'!AT210*'[2]Feedstock Conversion Rates'!$B$4*0.25)/12</f>
        <v>8.59375</v>
      </c>
      <c r="DK201" s="45">
        <f>('[2]Renewable Diesel'!$AT210*'[2]RD Feedstock Breakdown'!DK$3*'[2]Feedstock Conversion Rates'!$B$3)/12*0.5</f>
        <v>9.1781249999999996</v>
      </c>
      <c r="DL201" s="45">
        <f>('[2]Renewable Diesel'!$AT210*'[2]RD Feedstock Breakdown'!$DL$3*'[2]Feedstock Conversion Rates'!$B$6)/12</f>
        <v>10.747916666666669</v>
      </c>
      <c r="DM201" s="45">
        <f>('[2]Renewable Diesel'!$AT210*'[2]RD Feedstock Breakdown'!$DM$3*'[2]Feedstock Conversion Rates'!$B$8)/12</f>
        <v>10.7421875</v>
      </c>
      <c r="DN201" s="47">
        <f t="shared" si="77"/>
        <v>39.26197916666667</v>
      </c>
      <c r="DP201" s="45">
        <f t="shared" si="48"/>
        <v>101.72025000000001</v>
      </c>
      <c r="DQ201" s="45">
        <f t="shared" si="49"/>
        <v>491.76901749999996</v>
      </c>
      <c r="DR201" s="45">
        <f t="shared" si="57"/>
        <v>1927.765625</v>
      </c>
      <c r="DS201" s="45">
        <f t="shared" si="70"/>
        <v>237.73145833333331</v>
      </c>
      <c r="DT201" s="45">
        <f t="shared" si="50"/>
        <v>225.07048333333344</v>
      </c>
      <c r="DU201" s="45">
        <f t="shared" si="51"/>
        <v>173.29776666666666</v>
      </c>
      <c r="DV201" s="45">
        <f t="shared" si="58"/>
        <v>6.6750000000000007</v>
      </c>
      <c r="DW201" s="45">
        <f t="shared" si="52"/>
        <v>2.5</v>
      </c>
      <c r="DX201" s="47">
        <f>SUM(DP201:DW201)</f>
        <v>3166.5296008333335</v>
      </c>
      <c r="DY201" s="50">
        <f t="shared" ref="DY201:DY264" si="126">I201+Q201+S201+X201+AB201+AF201+AJ201+AL201+AO201+AR201+AU201+AX201+BA201+BE201+BG201+BI201+BN201-DX201+BP201+BS201+BV201+CA201+CC201+CF201+CH201+CK201+CO201+CS201+CU201+CW201+CZ201+DN201+DG201+DI201+DE201+DC201</f>
        <v>-1.971756091734278E-13</v>
      </c>
      <c r="EA201" s="51">
        <f t="shared" si="117"/>
        <v>3.2123574645640564E-2</v>
      </c>
      <c r="EB201" s="51">
        <f t="shared" si="117"/>
        <v>0.15530220130283368</v>
      </c>
      <c r="EC201" s="51">
        <f t="shared" si="117"/>
        <v>0.60879444313189779</v>
      </c>
      <c r="ED201" s="51">
        <f t="shared" si="114"/>
        <v>7.5076341705686153E-2</v>
      </c>
      <c r="EE201" s="51">
        <f t="shared" si="114"/>
        <v>7.1077966008624011E-2</v>
      </c>
      <c r="EF201" s="51">
        <f t="shared" si="114"/>
        <v>5.4727979369294383E-2</v>
      </c>
      <c r="EG201" s="51">
        <f t="shared" si="114"/>
        <v>2.1079859787962651E-3</v>
      </c>
      <c r="EH201" s="52">
        <f t="shared" si="59"/>
        <v>7.8950785722706543E-4</v>
      </c>
      <c r="EI201" s="51">
        <f t="shared" si="60"/>
        <v>0.9992104921427728</v>
      </c>
      <c r="EK201" s="53">
        <f>(EA201*'[2]Renewable Diesel'!BF210*'[2]Feedstock Conversion Rates'!B$2)+FB201</f>
        <v>91.393162211732516</v>
      </c>
      <c r="EL201" s="53">
        <f>(EB201*'[2]Renewable Diesel'!BF210*'[2]Feedstock Conversion Rates'!B$3)+FC201</f>
        <v>416.3715426002143</v>
      </c>
      <c r="EM201" s="53">
        <f>(EC201*'[2]Renewable Diesel'!BF210*'[2]Feedstock Conversion Rates'!B$4)+FD201</f>
        <v>1528.2797366985046</v>
      </c>
      <c r="EN201" s="53">
        <f>(ED201*'[2]Renewable Diesel'!BF210*'[2]Feedstock Conversion Rates'!B$5)+FE201</f>
        <v>189.7234291730505</v>
      </c>
      <c r="EO201" s="53">
        <f>(EE201*'[2]Renewable Diesel'!BF210*'[2]Feedstock Conversion Rates'!B$6)+FF201</f>
        <v>223.15608907683557</v>
      </c>
      <c r="EP201" s="53">
        <f>(EF201*'[2]Renewable Diesel'!BF210*'[2]Feedstock Conversion Rates'!B$7)+FG201</f>
        <v>168.52648118281522</v>
      </c>
      <c r="EQ201" s="53">
        <f>(EG201*'[2]Renewable Diesel'!BF210*'[2]Feedstock Conversion Rates'!B$8)+FH201</f>
        <v>6.6146962513029299</v>
      </c>
      <c r="ER201" s="53">
        <f>(EH201*'[2]Renewable Diesel'!BF210*'[2]Feedstock Conversion Rates'!B$9)+FI201</f>
        <v>2.4443821353129427</v>
      </c>
      <c r="ES201" s="53">
        <f t="shared" si="61"/>
        <v>2626.5095193297684</v>
      </c>
      <c r="ET201" s="36">
        <f>ES201/'[2]Renewable Diesel'!BF210</f>
        <v>7.847079767879773</v>
      </c>
    </row>
    <row r="202" spans="1:150" x14ac:dyDescent="0.25">
      <c r="A202" s="39">
        <v>46569</v>
      </c>
      <c r="B202" s="45">
        <f t="shared" si="118"/>
        <v>35</v>
      </c>
      <c r="C202" s="45">
        <f t="shared" si="119"/>
        <v>62</v>
      </c>
      <c r="D202" s="45">
        <f t="shared" si="115"/>
        <v>1.5</v>
      </c>
      <c r="E202" s="45">
        <f>('[2]Renewable Diesel'!B211*E$3*'[2]Feedstock Conversion Rates'!$B$2)/12-50+2+15-0.5-7.5-20+14+15+72+25-19-5-5+9-47-1</f>
        <v>86.93</v>
      </c>
      <c r="F202" s="45">
        <f>('[2]Renewable Diesel'!B211*'[2]RD Feedstock Breakdown'!F$3*'[2]Feedstock Conversion Rates'!B$8)/12-22+4-3+10+17-48+14+10-4+14+2-33+7.5-15</f>
        <v>7.40625</v>
      </c>
      <c r="G202" s="45">
        <f>('[2]Renewable Diesel'!B211*'[2]RD Feedstock Breakdown'!G$3*'[2]Feedstock Conversion Rates'!B$7)/12-1+21-144-30+30+70-5-65+5-10-10-2.5-15</f>
        <v>19.657000000000011</v>
      </c>
      <c r="H202" s="45">
        <f>('[2]Renewable Diesel'!B211*'[2]RD Feedstock Breakdown'!H$3*'[2]Feedstock Conversion Rates'!B$3)/12-85+4+10-72+17+30+45+15-25-7.5-18+185+9</f>
        <v>283.90022499999998</v>
      </c>
      <c r="I202" s="47">
        <f t="shared" si="75"/>
        <v>496.39347499999997</v>
      </c>
      <c r="J202" s="45">
        <f t="shared" si="120"/>
        <v>152</v>
      </c>
      <c r="K202" s="45"/>
      <c r="L202" s="45">
        <v>1</v>
      </c>
      <c r="M202" s="45">
        <f>('[2]Renewable Diesel'!C211*'[2]RD Feedstock Breakdown'!M$3*'[2]Feedstock Conversion Rates'!B$2)/12-10-15-30+10-2+30+24</f>
        <v>14.79025</v>
      </c>
      <c r="N202" s="45">
        <f>('[2]Renewable Diesel'!C211*'[2]RD Feedstock Breakdown'!N$3*'[2]Feedstock Conversion Rates'!B$8)/12-2+8-9-7+6+7.5-9-11-15</f>
        <v>-27.828125</v>
      </c>
      <c r="O202" s="45">
        <f>('[2]Renewable Diesel'!C211*'[2]RD Feedstock Breakdown'!O$3*'[2]Feedstock Conversion Rates'!B$7)/12-90-2+12+15-10+5-10+6</f>
        <v>-62.000900000000001</v>
      </c>
      <c r="P202" s="45">
        <f>('[2]Renewable Diesel'!C211*'[2]RD Feedstock Breakdown'!P$3*'[2]Feedstock Conversion Rates'!B$3)/12-27+40-97+32.5+7+15+52.5-75-2.5</f>
        <v>-44.052957499999991</v>
      </c>
      <c r="Q202" s="47">
        <f t="shared" si="85"/>
        <v>33.908267500000022</v>
      </c>
      <c r="R202" s="45">
        <f>('[2]Renewable Diesel'!D211*'[2]RD Feedstock Breakdown'!R$3*'[2]Feedstock Conversion Rates'!B$7)/12</f>
        <v>2.2999999999999998</v>
      </c>
      <c r="S202" s="47">
        <f t="shared" si="116"/>
        <v>2.2999999999999998</v>
      </c>
      <c r="T202" s="45">
        <f t="shared" si="121"/>
        <v>10.824999999999999</v>
      </c>
      <c r="U202" s="45">
        <v>0</v>
      </c>
      <c r="V202" s="45">
        <f>('[2]Renewable Diesel'!E211*'[2]RD Feedstock Breakdown'!V$3*'[2]Feedstock Conversion Rates'!B$6)/12-20+25-10</f>
        <v>39.250150000000012</v>
      </c>
      <c r="W202" s="45">
        <f>('[2]Renewable Diesel'!E211*'[2]RD Feedstock Breakdown'!W$3*'[2]Feedstock Conversion Rates'!B$8)/12-5.825</f>
        <v>16.354687500000001</v>
      </c>
      <c r="X202" s="47">
        <f t="shared" si="62"/>
        <v>66.429837500000005</v>
      </c>
      <c r="Y202" s="45">
        <f t="shared" si="122"/>
        <v>86</v>
      </c>
      <c r="Z202" s="45">
        <f>('[2]Renewable Diesel'!F211*'[2]RD Feedstock Breakdown'!Z$3*'[2]Feedstock Conversion Rates'!B$6)/12-50-32-60+15+30+22.5-22.5-15+40-16+3</f>
        <v>74.460000000000008</v>
      </c>
      <c r="AA202" s="45">
        <f>('[2]Renewable Diesel'!F211*'[2]RD Feedstock Breakdown'!AA$3*'[2]Feedstock Conversion Rates'!B$7)/12+80-171+75+30+40-55</f>
        <v>103.26666666666665</v>
      </c>
      <c r="AB202" s="47">
        <f t="shared" si="102"/>
        <v>263.72666666666669</v>
      </c>
      <c r="AC202" s="45">
        <f>('[2]Renewable Diesel'!G211*'[2]RD Feedstock Breakdown'!AC$3*'[2]Feedstock Conversion Rates'!B$5)/12</f>
        <v>11.796875</v>
      </c>
      <c r="AD202" s="45">
        <f>('[2]Renewable Diesel'!G211*'[2]RD Feedstock Breakdown'!AD$3*'[2]Feedstock Conversion Rates'!B$4)/12</f>
        <v>5.859375</v>
      </c>
      <c r="AE202" s="45">
        <f>('[2]Renewable Diesel'!G211*'[2]RD Feedstock Breakdown'!AE$3*'[2]Feedstock Conversion Rates'!B$6)/12</f>
        <v>7.3281250000000009</v>
      </c>
      <c r="AF202" s="47">
        <f t="shared" si="71"/>
        <v>24.984375</v>
      </c>
      <c r="AG202" s="45">
        <f t="shared" si="111"/>
        <v>139</v>
      </c>
      <c r="AH202" s="45">
        <v>0</v>
      </c>
      <c r="AI202" s="45">
        <f>('[2]Renewable Diesel'!H211*'[2]RD Feedstock Breakdown'!AI$3*'[2]Feedstock Conversion Rates'!B$6)/12-130-20+51-120+100-40+20</f>
        <v>9.5166666666666799</v>
      </c>
      <c r="AJ202" s="47">
        <f t="shared" si="113"/>
        <v>148.51666666666668</v>
      </c>
      <c r="AK202" s="45">
        <f>('[2]Renewable Diesel'!J211*'[2]RD Feedstock Breakdown'!AK$3*'[2]Feedstock Conversion Rates'!B$4)/12</f>
        <v>95.8125</v>
      </c>
      <c r="AL202" s="47">
        <f t="shared" si="123"/>
        <v>95.8125</v>
      </c>
      <c r="AM202" s="45">
        <f>('[2]Renewable Diesel'!K211*'[2]RD Feedstock Breakdown'!AM$3*'[2]Feedstock Conversion Rates'!B$4)/12+5+15-10+4+5-30</f>
        <v>47.59375</v>
      </c>
      <c r="AN202" s="45">
        <f>('[2]Renewable Diesel'!K211*'[2]RD Feedstock Breakdown'!AN$3*'[2]Feedstock Conversion Rates'!B$6)/12-5-15+10-4-5+30</f>
        <v>35.427083333333329</v>
      </c>
      <c r="AO202" s="47">
        <f t="shared" si="56"/>
        <v>83.020833333333329</v>
      </c>
      <c r="AP202" s="45">
        <f>('[2]Renewable Diesel'!L211*'[2]RD Feedstock Breakdown'!AP$3*'[2]Feedstock Conversion Rates'!B$4)/12+15-10+7.5+7</f>
        <v>78.09375</v>
      </c>
      <c r="AQ202" s="45">
        <f>('[2]Renewable Diesel'!L211*'[2]RD Feedstock Breakdown'!AQ$3*'[2]Feedstock Conversion Rates'!B$6)/12-15+10-7.5-7</f>
        <v>4.9270833333333321</v>
      </c>
      <c r="AR202" s="47">
        <f t="shared" si="125"/>
        <v>83.020833333333329</v>
      </c>
      <c r="AS202" s="45">
        <f>('[2]Renewable Diesel'!M211*'[2]RD Feedstock Breakdown'!AS$3*'[2]Feedstock Conversion Rates'!B$4)/12</f>
        <v>456.25</v>
      </c>
      <c r="AT202" s="45">
        <f>('[2]Renewable Diesel'!M211*'[2]RD Feedstock Breakdown'!AT$3*'[2]Feedstock Conversion Rates'!B$5)/12</f>
        <v>0</v>
      </c>
      <c r="AU202" s="47">
        <f t="shared" si="74"/>
        <v>456.25</v>
      </c>
      <c r="AV202" s="45">
        <f>'[2]Renewable Diesel'!N211*'[2]RD Feedstock Breakdown'!$AV$3*'[2]Feedstock Conversion Rates'!$B$4/12-15-10+25+25-22-7.5</f>
        <v>74.249999999999986</v>
      </c>
      <c r="AW202" s="45">
        <f>'[2]Renewable Diesel'!N211*'[2]RD Feedstock Breakdown'!$AW$3*'[2]Feedstock Conversion Rates'!$B$7/12+15+10-25-25+22+7.5</f>
        <v>45.900000000000006</v>
      </c>
      <c r="AX202" s="47">
        <f t="shared" si="109"/>
        <v>120.14999999999999</v>
      </c>
      <c r="AY202" s="45">
        <f>('[2]Renewable Diesel'!O211*'[2]RD Feedstock Breakdown'!AY$3*'[2]Feedstock Conversion Rates'!B$4)/12+32+2-135</f>
        <v>109.9375</v>
      </c>
      <c r="AZ202" s="45">
        <f>('[2]Renewable Diesel'!O211*'[2]RD Feedstock Breakdown'!AZ$3*'[2]Feedstock Conversion Rates'!B$3)/12-32-2+135</f>
        <v>126.03125</v>
      </c>
      <c r="BA202" s="47">
        <f t="shared" si="87"/>
        <v>235.96875</v>
      </c>
      <c r="BB202" s="45">
        <f>('[2]Renewable Diesel'!Q211*'[2]RD Feedstock Breakdown'!BB$3*'[2]Feedstock Conversion Rates'!B$4)/12</f>
        <v>11.156249999999998</v>
      </c>
      <c r="BC202" s="45">
        <f>('[2]Renewable Diesel'!Q211*'[2]RD Feedstock Breakdown'!BC$3*'[2]Feedstock Conversion Rates'!B$3)/12</f>
        <v>1.4017500000000001</v>
      </c>
      <c r="BD202" s="45">
        <f>('[2]Renewable Diesel'!Q211*'[2]RD Feedstock Breakdown'!BD$3*'[2]Feedstock Conversion Rates'!B$6)/12</f>
        <v>0.8207500000000002</v>
      </c>
      <c r="BE202" s="47">
        <f t="shared" si="64"/>
        <v>13.378749999999998</v>
      </c>
      <c r="BF202" s="45">
        <f>('[2]Renewable Diesel'!R211*'[2]RD Feedstock Breakdown'!BF$3*'[2]Feedstock Conversion Rates'!B$4)/12</f>
        <v>62.5</v>
      </c>
      <c r="BG202" s="47">
        <f t="shared" si="47"/>
        <v>62.5</v>
      </c>
      <c r="BH202" s="45">
        <f>('[2]Renewable Diesel'!T211*'[2]RD Feedstock Breakdown'!BH$3*'[2]Feedstock Conversion Rates'!B$7)/12</f>
        <v>27.599999999999998</v>
      </c>
      <c r="BI202" s="47">
        <f t="shared" si="112"/>
        <v>27.599999999999998</v>
      </c>
      <c r="BJ202" s="45">
        <f>('[2]Renewable Diesel'!W211*'[2]RD Feedstock Breakdown'!BJ$3*'[2]Feedstock Conversion Rates'!B$4)/12</f>
        <v>7.5</v>
      </c>
      <c r="BK202" s="45">
        <f>('[2]Renewable Diesel'!W211*'[2]RD Feedstock Breakdown'!BK$3*'[2]Feedstock Conversion Rates'!B$3)/12</f>
        <v>1.335</v>
      </c>
      <c r="BL202" s="45">
        <f>('[2]Renewable Diesel'!W211*'[2]RD Feedstock Breakdown'!BL$3*'[2]Feedstock Conversion Rates'!B$6)/12</f>
        <v>3.1266666666666669</v>
      </c>
      <c r="BM202" s="45">
        <f>('[2]Renewable Diesel'!W211*'[2]RD Feedstock Breakdown'!BM$3*'[2]Feedstock Conversion Rates'!B$7)/12</f>
        <v>1.5333333333333332</v>
      </c>
      <c r="BN202" s="47">
        <f t="shared" si="78"/>
        <v>13.495000000000001</v>
      </c>
      <c r="BO202" s="45">
        <f>('[2]Renewable Diesel'!P211*'[2]Feedstock Conversion Rates'!B$4)/12</f>
        <v>31.25</v>
      </c>
      <c r="BP202" s="47">
        <f t="shared" si="72"/>
        <v>31.25</v>
      </c>
      <c r="BQ202" s="45">
        <f>('[2]Renewable Diesel'!$S211*'[2]RD Feedstock Breakdown'!BQ$3*'[2]Feedstock Conversion Rates'!B$4)/12+10</f>
        <v>38.125</v>
      </c>
      <c r="BR202" s="45">
        <f>('[2]Renewable Diesel'!$S211*'[2]RD Feedstock Breakdown'!BR$3*'[2]Feedstock Conversion Rates'!B$7)/12-10</f>
        <v>1.5</v>
      </c>
      <c r="BS202" s="47">
        <f t="shared" si="90"/>
        <v>39.625</v>
      </c>
      <c r="BT202" s="47"/>
      <c r="BU202" s="45">
        <f>('[2]Renewable Diesel'!Y211*'[2]Feedstock Conversion Rates'!B$7)/12</f>
        <v>2.6833333333333331</v>
      </c>
      <c r="BV202" s="47">
        <f t="shared" si="67"/>
        <v>2.6833333333333331</v>
      </c>
      <c r="BW202" s="45">
        <f>('[2]Renewable Diesel'!$Z211*'[2]RD Feedstock Breakdown'!BW$3*'[2]Feedstock Conversion Rates'!$B$4)/12</f>
        <v>35.9375</v>
      </c>
      <c r="BX202" s="45">
        <f>('[2]Renewable Diesel'!$Z211*'[2]RD Feedstock Breakdown'!BX$3*'[2]Feedstock Conversion Rates'!$B$5)/12</f>
        <v>3.6177083333333333</v>
      </c>
      <c r="BY202" s="45">
        <f>('[2]Renewable Diesel'!$Z211*'[2]RD Feedstock Breakdown'!BY$3*'[2]Feedstock Conversion Rates'!$B$7)/12</f>
        <v>30.858333333333331</v>
      </c>
      <c r="BZ202" s="45">
        <f>('[2]Renewable Diesel'!$Z211*'[2]RD Feedstock Breakdown'!BZ$3*'[2]Feedstock Conversion Rates'!$B$3)/12</f>
        <v>7.6762499999999996</v>
      </c>
      <c r="CA202" s="47">
        <f t="shared" si="91"/>
        <v>78.089791666666656</v>
      </c>
      <c r="CB202" s="45">
        <f>('[2]Renewable Diesel'!AA211*'[2]Feedstock Conversion Rates'!B$4)/12</f>
        <v>191.25</v>
      </c>
      <c r="CC202" s="47">
        <f t="shared" si="79"/>
        <v>191.25</v>
      </c>
      <c r="CD202" s="45">
        <f>('[2]Renewable Diesel'!$AB211*'[2]RD Feedstock Breakdown'!CD$3*'[2]Feedstock Conversion Rates'!$B$6)/12-15</f>
        <v>17.830000000000005</v>
      </c>
      <c r="CE202" s="45">
        <f>('[2]Renewable Diesel'!$AB211*'[2]RD Feedstock Breakdown'!CE$3*'[2]Feedstock Conversion Rates'!$B$4)/12+15</f>
        <v>26.25</v>
      </c>
      <c r="CF202" s="47">
        <f t="shared" si="76"/>
        <v>44.080000000000005</v>
      </c>
      <c r="CG202" s="45">
        <f>('[2]Renewable Diesel'!AD211*'[2]Feedstock Conversion Rates'!B$4)/12</f>
        <v>112.5</v>
      </c>
      <c r="CH202" s="47">
        <f t="shared" si="63"/>
        <v>112.5</v>
      </c>
      <c r="CI202" s="45">
        <f>('[2]Renewable Diesel'!$AE211*'[2]RD Feedstock Breakdown'!CI$3*'[2]Feedstock Conversion Rates'!$B$5)/12</f>
        <v>0.34604166666666664</v>
      </c>
      <c r="CJ202" s="45">
        <f>('[2]Renewable Diesel'!$AE211*'[2]RD Feedstock Breakdown'!CJ$3*'[2]Feedstock Conversion Rates'!$B$4)/12</f>
        <v>0.34375</v>
      </c>
      <c r="CK202" s="47">
        <f t="shared" si="73"/>
        <v>0.68979166666666658</v>
      </c>
      <c r="CL202" s="45">
        <f>(((CL$3*'[2]Renewable Diesel'!$AF211)*'[2]Feedstock Conversion Rates'!$B$3)/12)</f>
        <v>91.78125</v>
      </c>
      <c r="CM202" s="45">
        <f>(((CM$3*'[2]Renewable Diesel'!$AF211)*'[2]Feedstock Conversion Rates'!$B$6)/12)-45</f>
        <v>8.7395833333333357</v>
      </c>
      <c r="CN202" s="45">
        <f>(((CN$3*'[2]Renewable Diesel'!$AF211)*'[2]Feedstock Conversion Rates'!$B$4)/12)+45</f>
        <v>87.96875</v>
      </c>
      <c r="CO202" s="47">
        <f t="shared" si="65"/>
        <v>188.48958333333334</v>
      </c>
      <c r="CP202" s="45">
        <f>('[2]Renewable Diesel'!$AG211*'[2]RD Feedstock Breakdown'!CP$3*'[2]Feedstock Conversion Rates'!$B$3)/12</f>
        <v>6.0075000000000003</v>
      </c>
      <c r="CQ202" s="45">
        <f>('[2]Renewable Diesel'!$AG211*'[2]RD Feedstock Breakdown'!CQ$3*'[2]Feedstock Conversion Rates'!$B$6)/12</f>
        <v>3.5175000000000001</v>
      </c>
      <c r="CR202" s="45">
        <f>('[2]Renewable Diesel'!$AG211*'[2]RD Feedstock Breakdown'!CR$3*'[2]Feedstock Conversion Rates'!$B$4)/12</f>
        <v>2.8125</v>
      </c>
      <c r="CS202" s="47">
        <f t="shared" si="99"/>
        <v>12.3375</v>
      </c>
      <c r="CT202" s="45">
        <f>('[2]Renewable Diesel'!AI211*'[2]Feedstock Conversion Rates'!$B$4*'[2]RD Feedstock Breakdown'!$CT$3)/12</f>
        <v>29.375</v>
      </c>
      <c r="CU202" s="47">
        <f t="shared" si="69"/>
        <v>29.375</v>
      </c>
      <c r="CV202" s="45">
        <f>('[2]Renewable Diesel'!AN211*'[2]Feedstock Conversion Rates'!$B$3*'[2]RD Feedstock Breakdown'!$CV$3)/12</f>
        <v>0.50062499999999999</v>
      </c>
      <c r="CW202" s="47">
        <f t="shared" si="124"/>
        <v>0.50062499999999999</v>
      </c>
      <c r="CX202" s="45">
        <f>('[2]Renewable Diesel'!AO211*'[2]RD Feedstock Breakdown'!$CX$3*'[2]Feedstock Conversion Rates'!$B$3)/12</f>
        <v>6.3412499999999996</v>
      </c>
      <c r="CY202" s="45">
        <f>('[2]Renewable Diesel'!AO211*'[2]RD Feedstock Breakdown'!$CY$3*'[2]Feedstock Conversion Rates'!$B$6)/12</f>
        <v>7.4258333333333342</v>
      </c>
      <c r="CZ202" s="47">
        <f t="shared" si="100"/>
        <v>13.767083333333334</v>
      </c>
      <c r="DA202" s="45">
        <f>('[2]Renewable Diesel'!$AP211*'[2]RD Feedstock Breakdown'!DA$3*'[2]Feedstock Conversion Rates'!$B$3)/12</f>
        <v>2.5031249999999998</v>
      </c>
      <c r="DB202" s="45">
        <f>('[2]Renewable Diesel'!$AP211*'[2]RD Feedstock Breakdown'!DB$3*'[2]Feedstock Conversion Rates'!$B$8)/12</f>
        <v>2.9296875</v>
      </c>
      <c r="DC202" s="47">
        <f t="shared" ref="DC202:DC265" si="127">SUM(DA202:DB202)</f>
        <v>5.4328124999999998</v>
      </c>
      <c r="DD202" s="45">
        <f>('[2]Renewable Diesel'!AQ211*$DD$3*'[2]Feedstock Conversion Rates'!$B$14)/12</f>
        <v>3.1041666666666665</v>
      </c>
      <c r="DE202" s="47">
        <f t="shared" ref="DE202:DE265" si="128">DD202</f>
        <v>3.1041666666666665</v>
      </c>
      <c r="DF202" s="45">
        <f>('[2]Renewable Diesel'!AR211*'[2]Feedstock Conversion Rates'!$B$4*$DF$3)/12</f>
        <v>75</v>
      </c>
      <c r="DG202" s="47">
        <f t="shared" si="101"/>
        <v>75</v>
      </c>
      <c r="DH202" s="45">
        <f>('[2]Renewable Diesel'!AS211*'[2]Feedstock Conversion Rates'!$B$4*$DH$3)/12</f>
        <v>75</v>
      </c>
      <c r="DI202" s="47">
        <f t="shared" si="110"/>
        <v>75</v>
      </c>
      <c r="DJ202" s="45">
        <f>('[2]Renewable Diesel'!AT211*'[2]Feedstock Conversion Rates'!$B$4*0.25)/12</f>
        <v>8.59375</v>
      </c>
      <c r="DK202" s="45">
        <f>('[2]Renewable Diesel'!$AT211*'[2]RD Feedstock Breakdown'!DK$3*'[2]Feedstock Conversion Rates'!$B$3)/12*0.5</f>
        <v>9.1781249999999996</v>
      </c>
      <c r="DL202" s="45">
        <f>('[2]Renewable Diesel'!$AT211*'[2]RD Feedstock Breakdown'!$DL$3*'[2]Feedstock Conversion Rates'!$B$6)/12</f>
        <v>10.747916666666669</v>
      </c>
      <c r="DM202" s="45">
        <f>('[2]Renewable Diesel'!$AT211*'[2]RD Feedstock Breakdown'!$DM$3*'[2]Feedstock Conversion Rates'!$B$8)/12</f>
        <v>10.7421875</v>
      </c>
      <c r="DN202" s="47">
        <f t="shared" si="77"/>
        <v>39.26197916666667</v>
      </c>
      <c r="DP202" s="45">
        <f t="shared" si="48"/>
        <v>101.72025000000001</v>
      </c>
      <c r="DQ202" s="45">
        <f t="shared" si="49"/>
        <v>492.60339249999998</v>
      </c>
      <c r="DR202" s="45">
        <f t="shared" si="57"/>
        <v>1927.765625</v>
      </c>
      <c r="DS202" s="45">
        <f t="shared" si="70"/>
        <v>239.28354166666668</v>
      </c>
      <c r="DT202" s="45">
        <f t="shared" si="50"/>
        <v>226.04704583333344</v>
      </c>
      <c r="DU202" s="45">
        <f t="shared" si="51"/>
        <v>173.29776666666666</v>
      </c>
      <c r="DV202" s="45">
        <f t="shared" si="58"/>
        <v>6.6750000000000007</v>
      </c>
      <c r="DW202" s="45">
        <f t="shared" si="52"/>
        <v>2.5</v>
      </c>
      <c r="DX202" s="47">
        <f>SUM(DP202:DW202)</f>
        <v>3169.8926216666669</v>
      </c>
      <c r="DY202" s="50">
        <f t="shared" si="126"/>
        <v>-2.5845992013273644E-13</v>
      </c>
      <c r="EA202" s="51">
        <f t="shared" si="117"/>
        <v>3.2089493916837318E-2</v>
      </c>
      <c r="EB202" s="51">
        <f t="shared" si="117"/>
        <v>0.15540065588751673</v>
      </c>
      <c r="EC202" s="51">
        <f t="shared" si="117"/>
        <v>0.60814855740647111</v>
      </c>
      <c r="ED202" s="51">
        <f t="shared" si="114"/>
        <v>7.5486324057518428E-2</v>
      </c>
      <c r="EE202" s="51">
        <f t="shared" si="114"/>
        <v>7.1310631877013669E-2</v>
      </c>
      <c r="EF202" s="51">
        <f t="shared" si="114"/>
        <v>5.4669917044555955E-2</v>
      </c>
      <c r="EG202" s="51">
        <f t="shared" si="114"/>
        <v>2.1057495621067497E-3</v>
      </c>
      <c r="EH202" s="52">
        <f t="shared" si="59"/>
        <v>7.8867024798005597E-4</v>
      </c>
      <c r="EI202" s="51">
        <f t="shared" si="60"/>
        <v>0.99921132975201998</v>
      </c>
      <c r="EK202" s="53">
        <f>(EA202*'[2]Renewable Diesel'!BF211*'[2]Feedstock Conversion Rates'!B$2)+FB202</f>
        <v>92.545736617997164</v>
      </c>
      <c r="EL202" s="53">
        <f>(EB202*'[2]Renewable Diesel'!BF211*'[2]Feedstock Conversion Rates'!B$3)+FC202</f>
        <v>422.33783225670902</v>
      </c>
      <c r="EM202" s="53">
        <f>(EC202*'[2]Renewable Diesel'!BF211*'[2]Feedstock Conversion Rates'!B$4)+FD202</f>
        <v>1547.5531272619126</v>
      </c>
      <c r="EN202" s="53">
        <f>(ED202*'[2]Renewable Diesel'!BF211*'[2]Feedstock Conversion Rates'!B$5)+FE202</f>
        <v>193.3703359279545</v>
      </c>
      <c r="EO202" s="53">
        <f>(EE202*'[2]Renewable Diesel'!BF211*'[2]Feedstock Conversion Rates'!B$6)+FF202</f>
        <v>226.95081466040432</v>
      </c>
      <c r="EP202" s="53">
        <f>(EF202*'[2]Renewable Diesel'!BF211*'[2]Feedstock Conversion Rates'!B$7)+FG202</f>
        <v>170.65179673475072</v>
      </c>
      <c r="EQ202" s="53">
        <f>(EG202*'[2]Renewable Diesel'!BF211*'[2]Feedstock Conversion Rates'!B$8)+FH202</f>
        <v>6.6981152885696789</v>
      </c>
      <c r="ER202" s="53">
        <f>(EH202*'[2]Renewable Diesel'!BF211*'[2]Feedstock Conversion Rates'!B$9)+FI202</f>
        <v>2.4752086459633267</v>
      </c>
      <c r="ES202" s="53">
        <f t="shared" si="61"/>
        <v>2662.5829673942612</v>
      </c>
      <c r="ET202" s="36">
        <f>ES202/'[2]Renewable Diesel'!BF211</f>
        <v>7.8474494448897927</v>
      </c>
    </row>
    <row r="203" spans="1:150" x14ac:dyDescent="0.25">
      <c r="A203" s="39">
        <v>46600</v>
      </c>
      <c r="B203" s="45">
        <f t="shared" si="118"/>
        <v>35</v>
      </c>
      <c r="C203" s="45">
        <f t="shared" si="119"/>
        <v>62</v>
      </c>
      <c r="D203" s="45">
        <f t="shared" si="115"/>
        <v>1.5</v>
      </c>
      <c r="E203" s="45">
        <f>('[2]Renewable Diesel'!B212*E$3*'[2]Feedstock Conversion Rates'!$B$2)/12-50+2+15-0.5-7.5-20+14+15+72+25-19-5-5+9-47-1</f>
        <v>86.93</v>
      </c>
      <c r="F203" s="45">
        <f>('[2]Renewable Diesel'!B212*'[2]RD Feedstock Breakdown'!F$3*'[2]Feedstock Conversion Rates'!B$8)/12-22+4-3+10+17-48+14+10-4+14+2-33+7.5-15</f>
        <v>7.40625</v>
      </c>
      <c r="G203" s="45">
        <f>('[2]Renewable Diesel'!B212*'[2]RD Feedstock Breakdown'!G$3*'[2]Feedstock Conversion Rates'!B$7)/12-1+21-144-30+30+70-5-65+5-10-10-2.5-15</f>
        <v>19.657000000000011</v>
      </c>
      <c r="H203" s="45">
        <f>('[2]Renewable Diesel'!B212*'[2]RD Feedstock Breakdown'!H$3*'[2]Feedstock Conversion Rates'!B$3)/12-85+4+10-72+17+30+45+15-25-7.5-18+185+9</f>
        <v>283.90022499999998</v>
      </c>
      <c r="I203" s="47">
        <f t="shared" si="75"/>
        <v>496.39347499999997</v>
      </c>
      <c r="J203" s="45">
        <f t="shared" si="120"/>
        <v>152</v>
      </c>
      <c r="K203" s="45"/>
      <c r="L203" s="45">
        <v>1</v>
      </c>
      <c r="M203" s="45">
        <f>('[2]Renewable Diesel'!C212*'[2]RD Feedstock Breakdown'!M$3*'[2]Feedstock Conversion Rates'!B$2)/12-10-15-30+10-2+30+24</f>
        <v>14.79025</v>
      </c>
      <c r="N203" s="45">
        <f>('[2]Renewable Diesel'!C212*'[2]RD Feedstock Breakdown'!N$3*'[2]Feedstock Conversion Rates'!B$8)/12-2+8-9-7+6+7.5-9-11-15</f>
        <v>-27.828125</v>
      </c>
      <c r="O203" s="45">
        <f>('[2]Renewable Diesel'!C212*'[2]RD Feedstock Breakdown'!O$3*'[2]Feedstock Conversion Rates'!B$7)/12-90-2+12+15-10+5-10+6</f>
        <v>-62.000900000000001</v>
      </c>
      <c r="P203" s="45">
        <f>('[2]Renewable Diesel'!C212*'[2]RD Feedstock Breakdown'!P$3*'[2]Feedstock Conversion Rates'!B$3)/12-27+40-97+32.5+7+15+52.5-75-2.5</f>
        <v>-44.052957499999991</v>
      </c>
      <c r="Q203" s="47">
        <f t="shared" si="85"/>
        <v>33.908267500000022</v>
      </c>
      <c r="R203" s="45">
        <f>('[2]Renewable Diesel'!D212*'[2]RD Feedstock Breakdown'!R$3*'[2]Feedstock Conversion Rates'!B$7)/12</f>
        <v>2.2999999999999998</v>
      </c>
      <c r="S203" s="47">
        <f t="shared" si="116"/>
        <v>2.2999999999999998</v>
      </c>
      <c r="T203" s="45">
        <f t="shared" si="121"/>
        <v>10.824999999999999</v>
      </c>
      <c r="U203" s="45">
        <v>0</v>
      </c>
      <c r="V203" s="45">
        <f>('[2]Renewable Diesel'!E212*'[2]RD Feedstock Breakdown'!V$3*'[2]Feedstock Conversion Rates'!B$6)/12-20+25-10</f>
        <v>39.250150000000012</v>
      </c>
      <c r="W203" s="45">
        <f>('[2]Renewable Diesel'!E212*'[2]RD Feedstock Breakdown'!W$3*'[2]Feedstock Conversion Rates'!B$8)/12-5.825</f>
        <v>16.354687500000001</v>
      </c>
      <c r="X203" s="47">
        <f t="shared" si="62"/>
        <v>66.429837500000005</v>
      </c>
      <c r="Y203" s="45">
        <f t="shared" si="122"/>
        <v>86</v>
      </c>
      <c r="Z203" s="45">
        <f>('[2]Renewable Diesel'!F212*'[2]RD Feedstock Breakdown'!Z$3*'[2]Feedstock Conversion Rates'!B$6)/12-50-32-60+15+30+22.5-22.5-15+40-16+3</f>
        <v>74.460000000000008</v>
      </c>
      <c r="AA203" s="45">
        <f>('[2]Renewable Diesel'!F212*'[2]RD Feedstock Breakdown'!AA$3*'[2]Feedstock Conversion Rates'!B$7)/12+80-171+75+30+40-55</f>
        <v>103.26666666666665</v>
      </c>
      <c r="AB203" s="47">
        <f t="shared" si="102"/>
        <v>263.72666666666669</v>
      </c>
      <c r="AC203" s="45">
        <f>('[2]Renewable Diesel'!G212*'[2]RD Feedstock Breakdown'!AC$3*'[2]Feedstock Conversion Rates'!B$5)/12</f>
        <v>11.796875</v>
      </c>
      <c r="AD203" s="45">
        <f>('[2]Renewable Diesel'!G212*'[2]RD Feedstock Breakdown'!AD$3*'[2]Feedstock Conversion Rates'!B$4)/12</f>
        <v>5.859375</v>
      </c>
      <c r="AE203" s="45">
        <f>('[2]Renewable Diesel'!G212*'[2]RD Feedstock Breakdown'!AE$3*'[2]Feedstock Conversion Rates'!B$6)/12</f>
        <v>7.3281250000000009</v>
      </c>
      <c r="AF203" s="47">
        <f t="shared" si="71"/>
        <v>24.984375</v>
      </c>
      <c r="AG203" s="45">
        <f t="shared" si="111"/>
        <v>139</v>
      </c>
      <c r="AH203" s="45">
        <v>0</v>
      </c>
      <c r="AI203" s="45">
        <f>('[2]Renewable Diesel'!H212*'[2]RD Feedstock Breakdown'!AI$3*'[2]Feedstock Conversion Rates'!B$6)/12-130-20+51-120+100-40+20</f>
        <v>9.5166666666666799</v>
      </c>
      <c r="AJ203" s="47">
        <f t="shared" si="113"/>
        <v>148.51666666666668</v>
      </c>
      <c r="AK203" s="45">
        <f>('[2]Renewable Diesel'!J212*'[2]RD Feedstock Breakdown'!AK$3*'[2]Feedstock Conversion Rates'!B$4)/12</f>
        <v>95.8125</v>
      </c>
      <c r="AL203" s="47">
        <f t="shared" si="123"/>
        <v>95.8125</v>
      </c>
      <c r="AM203" s="45">
        <f>('[2]Renewable Diesel'!K212*'[2]RD Feedstock Breakdown'!AM$3*'[2]Feedstock Conversion Rates'!B$4)/12+5+15-10+4+5-30</f>
        <v>47.59375</v>
      </c>
      <c r="AN203" s="45">
        <f>('[2]Renewable Diesel'!K212*'[2]RD Feedstock Breakdown'!AN$3*'[2]Feedstock Conversion Rates'!B$6)/12-5-15+10-4-5+30</f>
        <v>35.427083333333329</v>
      </c>
      <c r="AO203" s="47">
        <f t="shared" si="56"/>
        <v>83.020833333333329</v>
      </c>
      <c r="AP203" s="45">
        <f>('[2]Renewable Diesel'!L212*'[2]RD Feedstock Breakdown'!AP$3*'[2]Feedstock Conversion Rates'!B$4)/12+15-10+7.5+7</f>
        <v>78.09375</v>
      </c>
      <c r="AQ203" s="45">
        <f>('[2]Renewable Diesel'!L212*'[2]RD Feedstock Breakdown'!AQ$3*'[2]Feedstock Conversion Rates'!B$6)/12-15+10-7.5-7</f>
        <v>4.9270833333333321</v>
      </c>
      <c r="AR203" s="47">
        <f t="shared" si="125"/>
        <v>83.020833333333329</v>
      </c>
      <c r="AS203" s="45">
        <f>('[2]Renewable Diesel'!M212*'[2]RD Feedstock Breakdown'!AS$3*'[2]Feedstock Conversion Rates'!B$4)/12</f>
        <v>456.25</v>
      </c>
      <c r="AT203" s="45">
        <f>('[2]Renewable Diesel'!M212*'[2]RD Feedstock Breakdown'!AT$3*'[2]Feedstock Conversion Rates'!B$5)/12</f>
        <v>0</v>
      </c>
      <c r="AU203" s="47">
        <f t="shared" si="74"/>
        <v>456.25</v>
      </c>
      <c r="AV203" s="45">
        <f>'[2]Renewable Diesel'!N212*'[2]RD Feedstock Breakdown'!$AV$3*'[2]Feedstock Conversion Rates'!$B$4/12-15-10+25+25-22-7.5</f>
        <v>74.249999999999986</v>
      </c>
      <c r="AW203" s="45">
        <f>'[2]Renewable Diesel'!N212*'[2]RD Feedstock Breakdown'!$AW$3*'[2]Feedstock Conversion Rates'!$B$7/12+15+10-25-25+22+7.5</f>
        <v>45.900000000000006</v>
      </c>
      <c r="AX203" s="47">
        <f t="shared" si="109"/>
        <v>120.14999999999999</v>
      </c>
      <c r="AY203" s="45">
        <f>('[2]Renewable Diesel'!O212*'[2]RD Feedstock Breakdown'!AY$3*'[2]Feedstock Conversion Rates'!B$4)/12+32+2-135</f>
        <v>109.9375</v>
      </c>
      <c r="AZ203" s="45">
        <f>('[2]Renewable Diesel'!O212*'[2]RD Feedstock Breakdown'!AZ$3*'[2]Feedstock Conversion Rates'!B$3)/12-32-2+135</f>
        <v>126.03125</v>
      </c>
      <c r="BA203" s="47">
        <f t="shared" si="87"/>
        <v>235.96875</v>
      </c>
      <c r="BB203" s="45">
        <f>('[2]Renewable Diesel'!Q212*'[2]RD Feedstock Breakdown'!BB$3*'[2]Feedstock Conversion Rates'!B$4)/12</f>
        <v>11.156249999999998</v>
      </c>
      <c r="BC203" s="45">
        <f>('[2]Renewable Diesel'!Q212*'[2]RD Feedstock Breakdown'!BC$3*'[2]Feedstock Conversion Rates'!B$3)/12</f>
        <v>1.4017500000000001</v>
      </c>
      <c r="BD203" s="45">
        <f>('[2]Renewable Diesel'!Q212*'[2]RD Feedstock Breakdown'!BD$3*'[2]Feedstock Conversion Rates'!B$6)/12</f>
        <v>0.8207500000000002</v>
      </c>
      <c r="BE203" s="47">
        <f t="shared" si="64"/>
        <v>13.378749999999998</v>
      </c>
      <c r="BF203" s="45">
        <f>('[2]Renewable Diesel'!R212*'[2]RD Feedstock Breakdown'!BF$3*'[2]Feedstock Conversion Rates'!B$4)/12</f>
        <v>62.5</v>
      </c>
      <c r="BG203" s="47">
        <f t="shared" ref="BG203:BG266" si="129">BF203</f>
        <v>62.5</v>
      </c>
      <c r="BH203" s="45">
        <f>('[2]Renewable Diesel'!T212*'[2]RD Feedstock Breakdown'!BH$3*'[2]Feedstock Conversion Rates'!B$7)/12</f>
        <v>27.599999999999998</v>
      </c>
      <c r="BI203" s="47">
        <f t="shared" si="112"/>
        <v>27.599999999999998</v>
      </c>
      <c r="BJ203" s="45">
        <f>('[2]Renewable Diesel'!W212*'[2]RD Feedstock Breakdown'!BJ$3*'[2]Feedstock Conversion Rates'!B$4)/12</f>
        <v>7.5</v>
      </c>
      <c r="BK203" s="45">
        <f>('[2]Renewable Diesel'!W212*'[2]RD Feedstock Breakdown'!BK$3*'[2]Feedstock Conversion Rates'!B$3)/12</f>
        <v>1.335</v>
      </c>
      <c r="BL203" s="45">
        <f>('[2]Renewable Diesel'!W212*'[2]RD Feedstock Breakdown'!BL$3*'[2]Feedstock Conversion Rates'!B$6)/12</f>
        <v>3.1266666666666669</v>
      </c>
      <c r="BM203" s="45">
        <f>('[2]Renewable Diesel'!W212*'[2]RD Feedstock Breakdown'!BM$3*'[2]Feedstock Conversion Rates'!B$7)/12</f>
        <v>1.5333333333333332</v>
      </c>
      <c r="BN203" s="47">
        <f t="shared" si="78"/>
        <v>13.495000000000001</v>
      </c>
      <c r="BO203" s="45">
        <f>('[2]Renewable Diesel'!P212*'[2]Feedstock Conversion Rates'!B$4)/12</f>
        <v>31.25</v>
      </c>
      <c r="BP203" s="47">
        <f t="shared" si="72"/>
        <v>31.25</v>
      </c>
      <c r="BQ203" s="45">
        <f>('[2]Renewable Diesel'!$S212*'[2]RD Feedstock Breakdown'!BQ$3*'[2]Feedstock Conversion Rates'!B$4)/12+10</f>
        <v>38.125</v>
      </c>
      <c r="BR203" s="45">
        <f>('[2]Renewable Diesel'!$S212*'[2]RD Feedstock Breakdown'!BR$3*'[2]Feedstock Conversion Rates'!B$7)/12-10</f>
        <v>1.5</v>
      </c>
      <c r="BS203" s="47">
        <f t="shared" si="90"/>
        <v>39.625</v>
      </c>
      <c r="BT203" s="47"/>
      <c r="BU203" s="45">
        <f>('[2]Renewable Diesel'!Y212*'[2]Feedstock Conversion Rates'!B$7)/12</f>
        <v>2.6833333333333331</v>
      </c>
      <c r="BV203" s="47">
        <f t="shared" si="67"/>
        <v>2.6833333333333331</v>
      </c>
      <c r="BW203" s="45">
        <f>('[2]Renewable Diesel'!$Z212*'[2]RD Feedstock Breakdown'!BW$3*'[2]Feedstock Conversion Rates'!$B$4)/12</f>
        <v>35.9375</v>
      </c>
      <c r="BX203" s="45">
        <f>('[2]Renewable Diesel'!$Z212*'[2]RD Feedstock Breakdown'!BX$3*'[2]Feedstock Conversion Rates'!$B$5)/12</f>
        <v>3.6177083333333333</v>
      </c>
      <c r="BY203" s="45">
        <f>('[2]Renewable Diesel'!$Z212*'[2]RD Feedstock Breakdown'!BY$3*'[2]Feedstock Conversion Rates'!$B$7)/12</f>
        <v>30.858333333333331</v>
      </c>
      <c r="BZ203" s="45">
        <f>('[2]Renewable Diesel'!$Z212*'[2]RD Feedstock Breakdown'!BZ$3*'[2]Feedstock Conversion Rates'!$B$3)/12</f>
        <v>7.6762499999999996</v>
      </c>
      <c r="CA203" s="47">
        <f t="shared" si="91"/>
        <v>78.089791666666656</v>
      </c>
      <c r="CB203" s="45">
        <f>('[2]Renewable Diesel'!AA212*'[2]Feedstock Conversion Rates'!B$4)/12</f>
        <v>191.25</v>
      </c>
      <c r="CC203" s="47">
        <f t="shared" si="79"/>
        <v>191.25</v>
      </c>
      <c r="CD203" s="45">
        <f>('[2]Renewable Diesel'!$AB212*'[2]RD Feedstock Breakdown'!CD$3*'[2]Feedstock Conversion Rates'!$B$6)/12-15</f>
        <v>17.830000000000005</v>
      </c>
      <c r="CE203" s="45">
        <f>('[2]Renewable Diesel'!$AB212*'[2]RD Feedstock Breakdown'!CE$3*'[2]Feedstock Conversion Rates'!$B$4)/12+15</f>
        <v>26.25</v>
      </c>
      <c r="CF203" s="47">
        <f t="shared" si="76"/>
        <v>44.080000000000005</v>
      </c>
      <c r="CG203" s="45">
        <f>('[2]Renewable Diesel'!AD212*'[2]Feedstock Conversion Rates'!B$4)/12</f>
        <v>112.5</v>
      </c>
      <c r="CH203" s="47">
        <f t="shared" si="63"/>
        <v>112.5</v>
      </c>
      <c r="CI203" s="45">
        <f>('[2]Renewable Diesel'!$AE212*'[2]RD Feedstock Breakdown'!CI$3*'[2]Feedstock Conversion Rates'!$B$5)/12</f>
        <v>0.34604166666666664</v>
      </c>
      <c r="CJ203" s="45">
        <f>('[2]Renewable Diesel'!$AE212*'[2]RD Feedstock Breakdown'!CJ$3*'[2]Feedstock Conversion Rates'!$B$4)/12</f>
        <v>0.34375</v>
      </c>
      <c r="CK203" s="47">
        <f t="shared" si="73"/>
        <v>0.68979166666666658</v>
      </c>
      <c r="CL203" s="45">
        <f>(((CL$3*'[2]Renewable Diesel'!$AF212)*'[2]Feedstock Conversion Rates'!$B$3)/12)</f>
        <v>91.78125</v>
      </c>
      <c r="CM203" s="45">
        <f>(((CM$3*'[2]Renewable Diesel'!$AF212)*'[2]Feedstock Conversion Rates'!$B$6)/12)-45</f>
        <v>8.7395833333333357</v>
      </c>
      <c r="CN203" s="45">
        <f>(((CN$3*'[2]Renewable Diesel'!$AF212)*'[2]Feedstock Conversion Rates'!$B$4)/12)+45</f>
        <v>87.96875</v>
      </c>
      <c r="CO203" s="47">
        <f t="shared" si="65"/>
        <v>188.48958333333334</v>
      </c>
      <c r="CP203" s="45">
        <f>('[2]Renewable Diesel'!$AG212*'[2]RD Feedstock Breakdown'!CP$3*'[2]Feedstock Conversion Rates'!$B$3)/12</f>
        <v>6.0075000000000003</v>
      </c>
      <c r="CQ203" s="45">
        <f>('[2]Renewable Diesel'!$AG212*'[2]RD Feedstock Breakdown'!CQ$3*'[2]Feedstock Conversion Rates'!$B$6)/12</f>
        <v>3.5175000000000001</v>
      </c>
      <c r="CR203" s="45">
        <f>('[2]Renewable Diesel'!$AG212*'[2]RD Feedstock Breakdown'!CR$3*'[2]Feedstock Conversion Rates'!$B$4)/12</f>
        <v>2.8125</v>
      </c>
      <c r="CS203" s="47">
        <f t="shared" si="99"/>
        <v>12.3375</v>
      </c>
      <c r="CT203" s="45">
        <f>('[2]Renewable Diesel'!AI212*'[2]Feedstock Conversion Rates'!$B$4*'[2]RD Feedstock Breakdown'!$CT$3)/12</f>
        <v>29.375</v>
      </c>
      <c r="CU203" s="47">
        <f t="shared" si="69"/>
        <v>29.375</v>
      </c>
      <c r="CV203" s="45">
        <f>('[2]Renewable Diesel'!AN212*'[2]Feedstock Conversion Rates'!$B$3*'[2]RD Feedstock Breakdown'!$CV$3)/12</f>
        <v>0.50062499999999999</v>
      </c>
      <c r="CW203" s="47">
        <f t="shared" si="124"/>
        <v>0.50062499999999999</v>
      </c>
      <c r="CX203" s="45">
        <f>('[2]Renewable Diesel'!AO212*'[2]RD Feedstock Breakdown'!$CX$3*'[2]Feedstock Conversion Rates'!$B$3)/12</f>
        <v>6.3412499999999996</v>
      </c>
      <c r="CY203" s="45">
        <f>('[2]Renewable Diesel'!AO212*'[2]RD Feedstock Breakdown'!$CY$3*'[2]Feedstock Conversion Rates'!$B$6)/12</f>
        <v>7.4258333333333342</v>
      </c>
      <c r="CZ203" s="47">
        <f t="shared" si="100"/>
        <v>13.767083333333334</v>
      </c>
      <c r="DA203" s="45">
        <f>('[2]Renewable Diesel'!$AP212*'[2]RD Feedstock Breakdown'!DA$3*'[2]Feedstock Conversion Rates'!$B$3)/12</f>
        <v>3.1706249999999998</v>
      </c>
      <c r="DB203" s="45">
        <f>('[2]Renewable Diesel'!$AP212*'[2]RD Feedstock Breakdown'!DB$3*'[2]Feedstock Conversion Rates'!$B$8)/12</f>
        <v>3.7109375</v>
      </c>
      <c r="DC203" s="47">
        <f t="shared" si="127"/>
        <v>6.8815624999999994</v>
      </c>
      <c r="DD203" s="45">
        <f>('[2]Renewable Diesel'!AQ212*$DD$3*'[2]Feedstock Conversion Rates'!$B$14)/12</f>
        <v>3.1041666666666665</v>
      </c>
      <c r="DE203" s="47">
        <f t="shared" si="128"/>
        <v>3.1041666666666665</v>
      </c>
      <c r="DF203" s="45">
        <f>('[2]Renewable Diesel'!AR212*'[2]Feedstock Conversion Rates'!$B$4*$DF$3)/12</f>
        <v>75</v>
      </c>
      <c r="DG203" s="47">
        <f t="shared" si="101"/>
        <v>75</v>
      </c>
      <c r="DH203" s="45">
        <f>('[2]Renewable Diesel'!AS212*'[2]Feedstock Conversion Rates'!$B$4*$DH$3)/12</f>
        <v>75</v>
      </c>
      <c r="DI203" s="47">
        <f t="shared" si="110"/>
        <v>75</v>
      </c>
      <c r="DJ203" s="45">
        <f>('[2]Renewable Diesel'!AT212*'[2]Feedstock Conversion Rates'!$B$4*0.25)/12</f>
        <v>8.59375</v>
      </c>
      <c r="DK203" s="45">
        <f>('[2]Renewable Diesel'!$AT212*'[2]RD Feedstock Breakdown'!DK$3*'[2]Feedstock Conversion Rates'!$B$3)/12*0.5</f>
        <v>9.1781249999999996</v>
      </c>
      <c r="DL203" s="45">
        <f>('[2]Renewable Diesel'!$AT212*'[2]RD Feedstock Breakdown'!$DL$3*'[2]Feedstock Conversion Rates'!$B$6)/12</f>
        <v>10.747916666666669</v>
      </c>
      <c r="DM203" s="45">
        <f>('[2]Renewable Diesel'!$AT212*'[2]RD Feedstock Breakdown'!$DM$3*'[2]Feedstock Conversion Rates'!$B$8)/12</f>
        <v>10.7421875</v>
      </c>
      <c r="DN203" s="47">
        <f t="shared" si="77"/>
        <v>39.26197916666667</v>
      </c>
      <c r="DP203" s="45">
        <f t="shared" si="48"/>
        <v>101.72025000000001</v>
      </c>
      <c r="DQ203" s="45">
        <f t="shared" si="49"/>
        <v>493.27089249999995</v>
      </c>
      <c r="DR203" s="45">
        <f t="shared" si="57"/>
        <v>1927.765625</v>
      </c>
      <c r="DS203" s="45">
        <f t="shared" si="70"/>
        <v>239.28354166666668</v>
      </c>
      <c r="DT203" s="45">
        <f t="shared" si="50"/>
        <v>226.82829583333344</v>
      </c>
      <c r="DU203" s="45">
        <f t="shared" si="51"/>
        <v>173.29776666666666</v>
      </c>
      <c r="DV203" s="45">
        <f t="shared" si="58"/>
        <v>6.6750000000000007</v>
      </c>
      <c r="DW203" s="45">
        <f t="shared" si="52"/>
        <v>2.5</v>
      </c>
      <c r="DX203" s="47">
        <f>SUM(DP203:DW203)</f>
        <v>3171.3413716666669</v>
      </c>
      <c r="DY203" s="50">
        <f t="shared" si="126"/>
        <v>-2.7711166694643907E-13</v>
      </c>
      <c r="EA203" s="51">
        <f t="shared" si="117"/>
        <v>3.2074834613765327E-2</v>
      </c>
      <c r="EB203" s="51">
        <f t="shared" si="117"/>
        <v>0.15554014364614627</v>
      </c>
      <c r="EC203" s="51">
        <f t="shared" si="117"/>
        <v>0.60787073956244642</v>
      </c>
      <c r="ED203" s="51">
        <f t="shared" si="114"/>
        <v>7.5451839970451864E-2</v>
      </c>
      <c r="EE203" s="51">
        <f t="shared" si="114"/>
        <v>7.1524402216632421E-2</v>
      </c>
      <c r="EF203" s="51">
        <f t="shared" si="114"/>
        <v>5.4644942425605775E-2</v>
      </c>
      <c r="EG203" s="51">
        <f t="shared" si="114"/>
        <v>2.1047876017497354E-3</v>
      </c>
      <c r="EH203" s="52">
        <f t="shared" si="59"/>
        <v>7.8830996320214809E-4</v>
      </c>
      <c r="EI203" s="51">
        <f t="shared" si="60"/>
        <v>0.99921169003679788</v>
      </c>
      <c r="EK203" s="53">
        <f>(EA203*'[2]Renewable Diesel'!BF212*'[2]Feedstock Conversion Rates'!B$2)+FB203</f>
        <v>96.214492316175154</v>
      </c>
      <c r="EL203" s="53">
        <f>(EB203*'[2]Renewable Diesel'!BF212*'[2]Feedstock Conversion Rates'!B$3)+FC203</f>
        <v>439.67538542323922</v>
      </c>
      <c r="EM203" s="53">
        <f>(EC203*'[2]Renewable Diesel'!BF212*'[2]Feedstock Conversion Rates'!B$4)+FD203</f>
        <v>1608.9021916419479</v>
      </c>
      <c r="EN203" s="53">
        <f>(ED203*'[2]Renewable Diesel'!BF212*'[2]Feedstock Conversion Rates'!B$5)+FE203</f>
        <v>201.03604315250871</v>
      </c>
      <c r="EO203" s="53">
        <f>(EE203*'[2]Renewable Diesel'!BF212*'[2]Feedstock Conversion Rates'!B$6)+FF203</f>
        <v>236.76320830098385</v>
      </c>
      <c r="EP203" s="53">
        <f>(EF203*'[2]Renewable Diesel'!BF212*'[2]Feedstock Conversion Rates'!B$7)+FG203</f>
        <v>177.41688148694422</v>
      </c>
      <c r="EQ203" s="53">
        <f>(EG203*'[2]Renewable Diesel'!BF212*'[2]Feedstock Conversion Rates'!B$8)+FH203</f>
        <v>6.963646144231098</v>
      </c>
      <c r="ER203" s="53">
        <f>(EH203*'[2]Renewable Diesel'!BF212*'[2]Feedstock Conversion Rates'!B$9)+FI203</f>
        <v>2.5733324078556867</v>
      </c>
      <c r="ES203" s="53">
        <f t="shared" si="61"/>
        <v>2769.5451808738853</v>
      </c>
      <c r="ET203" s="36">
        <f>ES203/'[2]Renewable Diesel'!BF212</f>
        <v>7.847861197351504</v>
      </c>
    </row>
    <row r="204" spans="1:150" x14ac:dyDescent="0.25">
      <c r="A204" s="39">
        <v>46631</v>
      </c>
      <c r="B204" s="45">
        <f t="shared" si="118"/>
        <v>35</v>
      </c>
      <c r="C204" s="45">
        <f t="shared" si="119"/>
        <v>62</v>
      </c>
      <c r="D204" s="45">
        <f t="shared" si="115"/>
        <v>1.5</v>
      </c>
      <c r="E204" s="45">
        <f>('[2]Renewable Diesel'!B213*E$3*'[2]Feedstock Conversion Rates'!$B$2)/12-50+2+15-0.5-7.5-20+14+15+72+25-19-5-5+9-47-1</f>
        <v>86.93</v>
      </c>
      <c r="F204" s="45">
        <f>('[2]Renewable Diesel'!B213*'[2]RD Feedstock Breakdown'!F$3*'[2]Feedstock Conversion Rates'!B$8)/12-22+4-3+10+17-48+14+10-4+14+2-33+7.5-15</f>
        <v>7.40625</v>
      </c>
      <c r="G204" s="45">
        <f>('[2]Renewable Diesel'!B213*'[2]RD Feedstock Breakdown'!G$3*'[2]Feedstock Conversion Rates'!B$7)/12-1+21-144-30+30+70-5-65+5-10-10-2.5-15</f>
        <v>19.657000000000011</v>
      </c>
      <c r="H204" s="45">
        <f>('[2]Renewable Diesel'!B213*'[2]RD Feedstock Breakdown'!H$3*'[2]Feedstock Conversion Rates'!B$3)/12-85+4+10-72+17+30+45+15-25-7.5-18+185+9</f>
        <v>283.90022499999998</v>
      </c>
      <c r="I204" s="47">
        <f t="shared" si="75"/>
        <v>496.39347499999997</v>
      </c>
      <c r="J204" s="45">
        <f t="shared" si="120"/>
        <v>152</v>
      </c>
      <c r="K204" s="45"/>
      <c r="L204" s="45">
        <v>1</v>
      </c>
      <c r="M204" s="45">
        <f>('[2]Renewable Diesel'!C213*'[2]RD Feedstock Breakdown'!M$3*'[2]Feedstock Conversion Rates'!B$2)/12-10-15-30+10-2+30+24</f>
        <v>14.79025</v>
      </c>
      <c r="N204" s="45">
        <f>('[2]Renewable Diesel'!C213*'[2]RD Feedstock Breakdown'!N$3*'[2]Feedstock Conversion Rates'!B$8)/12-2+8-9-7+6+7.5-9-11-15</f>
        <v>-27.828125</v>
      </c>
      <c r="O204" s="45">
        <f>('[2]Renewable Diesel'!C213*'[2]RD Feedstock Breakdown'!O$3*'[2]Feedstock Conversion Rates'!B$7)/12-90-2+12+15-10+5-10+6</f>
        <v>-62.000900000000001</v>
      </c>
      <c r="P204" s="45">
        <f>('[2]Renewable Diesel'!C213*'[2]RD Feedstock Breakdown'!P$3*'[2]Feedstock Conversion Rates'!B$3)/12-27+40-97+32.5+7+15+52.5-75-2.5</f>
        <v>-44.052957499999991</v>
      </c>
      <c r="Q204" s="47">
        <f t="shared" si="85"/>
        <v>33.908267500000022</v>
      </c>
      <c r="R204" s="45">
        <f>('[2]Renewable Diesel'!D213*'[2]RD Feedstock Breakdown'!R$3*'[2]Feedstock Conversion Rates'!B$7)/12</f>
        <v>2.2999999999999998</v>
      </c>
      <c r="S204" s="47">
        <f t="shared" si="116"/>
        <v>2.2999999999999998</v>
      </c>
      <c r="T204" s="45">
        <f t="shared" si="121"/>
        <v>10.824999999999999</v>
      </c>
      <c r="U204" s="45">
        <v>0</v>
      </c>
      <c r="V204" s="45">
        <f>('[2]Renewable Diesel'!E213*'[2]RD Feedstock Breakdown'!V$3*'[2]Feedstock Conversion Rates'!B$6)/12-20+25-10</f>
        <v>39.250150000000012</v>
      </c>
      <c r="W204" s="45">
        <f>('[2]Renewable Diesel'!E213*'[2]RD Feedstock Breakdown'!W$3*'[2]Feedstock Conversion Rates'!B$8)/12-5.825</f>
        <v>16.354687500000001</v>
      </c>
      <c r="X204" s="47">
        <f t="shared" si="62"/>
        <v>66.429837500000005</v>
      </c>
      <c r="Y204" s="45">
        <f t="shared" si="122"/>
        <v>86</v>
      </c>
      <c r="Z204" s="45">
        <f>('[2]Renewable Diesel'!F213*'[2]RD Feedstock Breakdown'!Z$3*'[2]Feedstock Conversion Rates'!B$6)/12-50-32-60+15+30+22.5-22.5-15+40-16+3</f>
        <v>74.460000000000008</v>
      </c>
      <c r="AA204" s="45">
        <f>('[2]Renewable Diesel'!F213*'[2]RD Feedstock Breakdown'!AA$3*'[2]Feedstock Conversion Rates'!B$7)/12+80-171+75+30+40-55</f>
        <v>103.26666666666665</v>
      </c>
      <c r="AB204" s="47">
        <f t="shared" si="102"/>
        <v>263.72666666666669</v>
      </c>
      <c r="AC204" s="45">
        <f>('[2]Renewable Diesel'!G213*'[2]RD Feedstock Breakdown'!AC$3*'[2]Feedstock Conversion Rates'!B$5)/12</f>
        <v>11.796875</v>
      </c>
      <c r="AD204" s="45">
        <f>('[2]Renewable Diesel'!G213*'[2]RD Feedstock Breakdown'!AD$3*'[2]Feedstock Conversion Rates'!B$4)/12</f>
        <v>5.859375</v>
      </c>
      <c r="AE204" s="45">
        <f>('[2]Renewable Diesel'!G213*'[2]RD Feedstock Breakdown'!AE$3*'[2]Feedstock Conversion Rates'!B$6)/12</f>
        <v>7.3281250000000009</v>
      </c>
      <c r="AF204" s="47">
        <f t="shared" si="71"/>
        <v>24.984375</v>
      </c>
      <c r="AG204" s="45">
        <f t="shared" si="111"/>
        <v>139</v>
      </c>
      <c r="AH204" s="45">
        <v>0</v>
      </c>
      <c r="AI204" s="45">
        <f>('[2]Renewable Diesel'!H213*'[2]RD Feedstock Breakdown'!AI$3*'[2]Feedstock Conversion Rates'!B$6)/12-130-20+51-120+100-40+20</f>
        <v>9.5166666666666799</v>
      </c>
      <c r="AJ204" s="47">
        <f t="shared" si="113"/>
        <v>148.51666666666668</v>
      </c>
      <c r="AK204" s="45">
        <f>('[2]Renewable Diesel'!J213*'[2]RD Feedstock Breakdown'!AK$3*'[2]Feedstock Conversion Rates'!B$4)/12</f>
        <v>95.8125</v>
      </c>
      <c r="AL204" s="47">
        <f t="shared" si="123"/>
        <v>95.8125</v>
      </c>
      <c r="AM204" s="45">
        <f>('[2]Renewable Diesel'!K213*'[2]RD Feedstock Breakdown'!AM$3*'[2]Feedstock Conversion Rates'!B$4)/12+5+15-10+4+5-30</f>
        <v>47.59375</v>
      </c>
      <c r="AN204" s="45">
        <f>('[2]Renewable Diesel'!K213*'[2]RD Feedstock Breakdown'!AN$3*'[2]Feedstock Conversion Rates'!B$6)/12-5-15+10-4-5+30</f>
        <v>35.427083333333329</v>
      </c>
      <c r="AO204" s="47">
        <f t="shared" si="56"/>
        <v>83.020833333333329</v>
      </c>
      <c r="AP204" s="45">
        <f>('[2]Renewable Diesel'!L213*'[2]RD Feedstock Breakdown'!AP$3*'[2]Feedstock Conversion Rates'!B$4)/12+15-10+7.5+7</f>
        <v>78.09375</v>
      </c>
      <c r="AQ204" s="45">
        <f>('[2]Renewable Diesel'!L213*'[2]RD Feedstock Breakdown'!AQ$3*'[2]Feedstock Conversion Rates'!B$6)/12-15+10-7.5-7</f>
        <v>4.9270833333333321</v>
      </c>
      <c r="AR204" s="47">
        <f t="shared" si="125"/>
        <v>83.020833333333329</v>
      </c>
      <c r="AS204" s="45">
        <f>('[2]Renewable Diesel'!M213*'[2]RD Feedstock Breakdown'!AS$3*'[2]Feedstock Conversion Rates'!B$4)/12</f>
        <v>456.25</v>
      </c>
      <c r="AT204" s="45">
        <f>('[2]Renewable Diesel'!M213*'[2]RD Feedstock Breakdown'!AT$3*'[2]Feedstock Conversion Rates'!B$5)/12</f>
        <v>0</v>
      </c>
      <c r="AU204" s="47">
        <f t="shared" si="74"/>
        <v>456.25</v>
      </c>
      <c r="AV204" s="45">
        <f>'[2]Renewable Diesel'!N213*'[2]RD Feedstock Breakdown'!$AV$3*'[2]Feedstock Conversion Rates'!$B$4/12-15-10+25+25-22-7.5</f>
        <v>74.249999999999986</v>
      </c>
      <c r="AW204" s="45">
        <f>'[2]Renewable Diesel'!N213*'[2]RD Feedstock Breakdown'!$AW$3*'[2]Feedstock Conversion Rates'!$B$7/12+15+10-25-25+22+7.5</f>
        <v>45.900000000000006</v>
      </c>
      <c r="AX204" s="47">
        <f t="shared" si="109"/>
        <v>120.14999999999999</v>
      </c>
      <c r="AY204" s="45">
        <f>('[2]Renewable Diesel'!O213*'[2]RD Feedstock Breakdown'!AY$3*'[2]Feedstock Conversion Rates'!B$4)/12+32+2-135</f>
        <v>109.9375</v>
      </c>
      <c r="AZ204" s="45">
        <f>('[2]Renewable Diesel'!O213*'[2]RD Feedstock Breakdown'!AZ$3*'[2]Feedstock Conversion Rates'!B$3)/12-32-2+135</f>
        <v>126.03125</v>
      </c>
      <c r="BA204" s="47">
        <f t="shared" si="87"/>
        <v>235.96875</v>
      </c>
      <c r="BB204" s="45">
        <f>('[2]Renewable Diesel'!Q213*'[2]RD Feedstock Breakdown'!BB$3*'[2]Feedstock Conversion Rates'!B$4)/12</f>
        <v>11.156249999999998</v>
      </c>
      <c r="BC204" s="45">
        <f>('[2]Renewable Diesel'!Q213*'[2]RD Feedstock Breakdown'!BC$3*'[2]Feedstock Conversion Rates'!B$3)/12</f>
        <v>1.4017500000000001</v>
      </c>
      <c r="BD204" s="45">
        <f>('[2]Renewable Diesel'!Q213*'[2]RD Feedstock Breakdown'!BD$3*'[2]Feedstock Conversion Rates'!B$6)/12</f>
        <v>0.8207500000000002</v>
      </c>
      <c r="BE204" s="47">
        <f t="shared" si="64"/>
        <v>13.378749999999998</v>
      </c>
      <c r="BF204" s="45">
        <f>('[2]Renewable Diesel'!R213*'[2]RD Feedstock Breakdown'!BF$3*'[2]Feedstock Conversion Rates'!B$4)/12</f>
        <v>62.5</v>
      </c>
      <c r="BG204" s="47">
        <f t="shared" si="129"/>
        <v>62.5</v>
      </c>
      <c r="BH204" s="45">
        <f>('[2]Renewable Diesel'!T213*'[2]RD Feedstock Breakdown'!BH$3*'[2]Feedstock Conversion Rates'!B$7)/12</f>
        <v>27.599999999999998</v>
      </c>
      <c r="BI204" s="47">
        <f t="shared" si="112"/>
        <v>27.599999999999998</v>
      </c>
      <c r="BJ204" s="45">
        <f>('[2]Renewable Diesel'!W213*'[2]RD Feedstock Breakdown'!BJ$3*'[2]Feedstock Conversion Rates'!B$4)/12</f>
        <v>7.5</v>
      </c>
      <c r="BK204" s="45">
        <f>('[2]Renewable Diesel'!W213*'[2]RD Feedstock Breakdown'!BK$3*'[2]Feedstock Conversion Rates'!B$3)/12</f>
        <v>1.335</v>
      </c>
      <c r="BL204" s="45">
        <f>('[2]Renewable Diesel'!W213*'[2]RD Feedstock Breakdown'!BL$3*'[2]Feedstock Conversion Rates'!B$6)/12</f>
        <v>3.1266666666666669</v>
      </c>
      <c r="BM204" s="45">
        <f>('[2]Renewable Diesel'!W213*'[2]RD Feedstock Breakdown'!BM$3*'[2]Feedstock Conversion Rates'!B$7)/12</f>
        <v>1.5333333333333332</v>
      </c>
      <c r="BN204" s="47">
        <f t="shared" si="78"/>
        <v>13.495000000000001</v>
      </c>
      <c r="BO204" s="45">
        <f>('[2]Renewable Diesel'!P213*'[2]Feedstock Conversion Rates'!B$4)/12</f>
        <v>31.25</v>
      </c>
      <c r="BP204" s="47">
        <f t="shared" si="72"/>
        <v>31.25</v>
      </c>
      <c r="BQ204" s="45">
        <f>('[2]Renewable Diesel'!$S213*'[2]RD Feedstock Breakdown'!BQ$3*'[2]Feedstock Conversion Rates'!B$4)/12+10</f>
        <v>38.125</v>
      </c>
      <c r="BR204" s="45">
        <f>('[2]Renewable Diesel'!$S213*'[2]RD Feedstock Breakdown'!BR$3*'[2]Feedstock Conversion Rates'!B$7)/12-10</f>
        <v>1.5</v>
      </c>
      <c r="BS204" s="47">
        <f t="shared" si="90"/>
        <v>39.625</v>
      </c>
      <c r="BT204" s="47"/>
      <c r="BU204" s="45">
        <f>('[2]Renewable Diesel'!Y213*'[2]Feedstock Conversion Rates'!B$7)/12</f>
        <v>2.6833333333333331</v>
      </c>
      <c r="BV204" s="47">
        <f t="shared" si="67"/>
        <v>2.6833333333333331</v>
      </c>
      <c r="BW204" s="45">
        <f>('[2]Renewable Diesel'!$Z213*'[2]RD Feedstock Breakdown'!BW$3*'[2]Feedstock Conversion Rates'!$B$4)/12</f>
        <v>35.9375</v>
      </c>
      <c r="BX204" s="45">
        <f>('[2]Renewable Diesel'!$Z213*'[2]RD Feedstock Breakdown'!BX$3*'[2]Feedstock Conversion Rates'!$B$5)/12</f>
        <v>3.6177083333333333</v>
      </c>
      <c r="BY204" s="45">
        <f>('[2]Renewable Diesel'!$Z213*'[2]RD Feedstock Breakdown'!BY$3*'[2]Feedstock Conversion Rates'!$B$7)/12</f>
        <v>30.858333333333331</v>
      </c>
      <c r="BZ204" s="45">
        <f>('[2]Renewable Diesel'!$Z213*'[2]RD Feedstock Breakdown'!BZ$3*'[2]Feedstock Conversion Rates'!$B$3)/12</f>
        <v>7.6762499999999996</v>
      </c>
      <c r="CA204" s="47">
        <f t="shared" si="91"/>
        <v>78.089791666666656</v>
      </c>
      <c r="CB204" s="45">
        <f>('[2]Renewable Diesel'!AA213*'[2]Feedstock Conversion Rates'!B$4)/12</f>
        <v>191.25</v>
      </c>
      <c r="CC204" s="47">
        <f t="shared" si="79"/>
        <v>191.25</v>
      </c>
      <c r="CD204" s="45">
        <f>('[2]Renewable Diesel'!$AB213*'[2]RD Feedstock Breakdown'!CD$3*'[2]Feedstock Conversion Rates'!$B$6)/12-15</f>
        <v>17.830000000000005</v>
      </c>
      <c r="CE204" s="45">
        <f>('[2]Renewable Diesel'!$AB213*'[2]RD Feedstock Breakdown'!CE$3*'[2]Feedstock Conversion Rates'!$B$4)/12+15</f>
        <v>26.25</v>
      </c>
      <c r="CF204" s="47">
        <f t="shared" si="76"/>
        <v>44.080000000000005</v>
      </c>
      <c r="CG204" s="45">
        <f>('[2]Renewable Diesel'!AD213*'[2]Feedstock Conversion Rates'!B$4)/12</f>
        <v>112.5</v>
      </c>
      <c r="CH204" s="47">
        <f t="shared" si="63"/>
        <v>112.5</v>
      </c>
      <c r="CI204" s="45">
        <f>('[2]Renewable Diesel'!$AE213*'[2]RD Feedstock Breakdown'!CI$3*'[2]Feedstock Conversion Rates'!$B$5)/12</f>
        <v>0.34604166666666664</v>
      </c>
      <c r="CJ204" s="45">
        <f>('[2]Renewable Diesel'!$AE213*'[2]RD Feedstock Breakdown'!CJ$3*'[2]Feedstock Conversion Rates'!$B$4)/12</f>
        <v>0.34375</v>
      </c>
      <c r="CK204" s="47">
        <f t="shared" si="73"/>
        <v>0.68979166666666658</v>
      </c>
      <c r="CL204" s="45">
        <f>(((CL$3*'[2]Renewable Diesel'!$AF213)*'[2]Feedstock Conversion Rates'!$B$3)/12)</f>
        <v>91.78125</v>
      </c>
      <c r="CM204" s="45">
        <f>(((CM$3*'[2]Renewable Diesel'!$AF213)*'[2]Feedstock Conversion Rates'!$B$6)/12)-45</f>
        <v>8.7395833333333357</v>
      </c>
      <c r="CN204" s="45">
        <f>(((CN$3*'[2]Renewable Diesel'!$AF213)*'[2]Feedstock Conversion Rates'!$B$4)/12)+45</f>
        <v>87.96875</v>
      </c>
      <c r="CO204" s="47">
        <f t="shared" si="65"/>
        <v>188.48958333333334</v>
      </c>
      <c r="CP204" s="45">
        <f>('[2]Renewable Diesel'!$AG213*'[2]RD Feedstock Breakdown'!CP$3*'[2]Feedstock Conversion Rates'!$B$3)/12</f>
        <v>6.0075000000000003</v>
      </c>
      <c r="CQ204" s="45">
        <f>('[2]Renewable Diesel'!$AG213*'[2]RD Feedstock Breakdown'!CQ$3*'[2]Feedstock Conversion Rates'!$B$6)/12</f>
        <v>3.5175000000000001</v>
      </c>
      <c r="CR204" s="45">
        <f>('[2]Renewable Diesel'!$AG213*'[2]RD Feedstock Breakdown'!CR$3*'[2]Feedstock Conversion Rates'!$B$4)/12</f>
        <v>2.8125</v>
      </c>
      <c r="CS204" s="47">
        <f t="shared" si="99"/>
        <v>12.3375</v>
      </c>
      <c r="CT204" s="45">
        <f>('[2]Renewable Diesel'!AI213*'[2]Feedstock Conversion Rates'!$B$4*'[2]RD Feedstock Breakdown'!$CT$3)/12</f>
        <v>29.375</v>
      </c>
      <c r="CU204" s="47">
        <f t="shared" si="69"/>
        <v>29.375</v>
      </c>
      <c r="CV204" s="45">
        <f>('[2]Renewable Diesel'!AN213*'[2]Feedstock Conversion Rates'!$B$3*'[2]RD Feedstock Breakdown'!$CV$3)/12</f>
        <v>0.50062499999999999</v>
      </c>
      <c r="CW204" s="47">
        <f t="shared" si="124"/>
        <v>0.50062499999999999</v>
      </c>
      <c r="CX204" s="45">
        <f>('[2]Renewable Diesel'!AO213*'[2]RD Feedstock Breakdown'!$CX$3*'[2]Feedstock Conversion Rates'!$B$3)/12</f>
        <v>6.3412499999999996</v>
      </c>
      <c r="CY204" s="45">
        <f>('[2]Renewable Diesel'!AO213*'[2]RD Feedstock Breakdown'!$CY$3*'[2]Feedstock Conversion Rates'!$B$6)/12</f>
        <v>7.4258333333333342</v>
      </c>
      <c r="CZ204" s="47">
        <f t="shared" si="100"/>
        <v>13.767083333333334</v>
      </c>
      <c r="DA204" s="45">
        <f>('[2]Renewable Diesel'!$AP213*'[2]RD Feedstock Breakdown'!DA$3*'[2]Feedstock Conversion Rates'!$B$3)/12</f>
        <v>6.3412499999999996</v>
      </c>
      <c r="DB204" s="45">
        <f>('[2]Renewable Diesel'!$AP213*'[2]RD Feedstock Breakdown'!DB$3*'[2]Feedstock Conversion Rates'!$B$8)/12</f>
        <v>7.421875</v>
      </c>
      <c r="DC204" s="47">
        <f t="shared" si="127"/>
        <v>13.763124999999999</v>
      </c>
      <c r="DD204" s="45">
        <f>('[2]Renewable Diesel'!AQ213*$DD$3*'[2]Feedstock Conversion Rates'!$B$14)/12</f>
        <v>3.1041666666666665</v>
      </c>
      <c r="DE204" s="47">
        <f t="shared" si="128"/>
        <v>3.1041666666666665</v>
      </c>
      <c r="DF204" s="45">
        <f>('[2]Renewable Diesel'!AR213*'[2]Feedstock Conversion Rates'!$B$4*$DF$3)/12</f>
        <v>75</v>
      </c>
      <c r="DG204" s="47">
        <f t="shared" si="101"/>
        <v>75</v>
      </c>
      <c r="DH204" s="45">
        <f>('[2]Renewable Diesel'!AS213*'[2]Feedstock Conversion Rates'!$B$4*$DH$3)/12</f>
        <v>75</v>
      </c>
      <c r="DI204" s="47">
        <f t="shared" si="110"/>
        <v>75</v>
      </c>
      <c r="DJ204" s="45">
        <f>('[2]Renewable Diesel'!AT213*'[2]Feedstock Conversion Rates'!$B$4*0.25)/12</f>
        <v>8.59375</v>
      </c>
      <c r="DK204" s="45">
        <f>('[2]Renewable Diesel'!$AT213*'[2]RD Feedstock Breakdown'!DK$3*'[2]Feedstock Conversion Rates'!$B$3)/12*0.5</f>
        <v>9.1781249999999996</v>
      </c>
      <c r="DL204" s="45">
        <f>('[2]Renewable Diesel'!$AT213*'[2]RD Feedstock Breakdown'!$DL$3*'[2]Feedstock Conversion Rates'!$B$6)/12</f>
        <v>10.747916666666669</v>
      </c>
      <c r="DM204" s="45">
        <f>('[2]Renewable Diesel'!$AT213*'[2]RD Feedstock Breakdown'!$DM$3*'[2]Feedstock Conversion Rates'!$B$8)/12</f>
        <v>10.7421875</v>
      </c>
      <c r="DN204" s="47">
        <f t="shared" si="77"/>
        <v>39.26197916666667</v>
      </c>
      <c r="DP204" s="45">
        <f t="shared" ref="DP204:DP267" si="130">E204+M204</f>
        <v>101.72025000000001</v>
      </c>
      <c r="DQ204" s="45">
        <f t="shared" ref="DQ204:DQ267" si="131">H204+P204+AZ204+BC204+BK204+BZ204+CL204+CP204+CV204+CX204+DA204+DK204</f>
        <v>496.44151749999997</v>
      </c>
      <c r="DR204" s="45">
        <f t="shared" si="57"/>
        <v>1927.765625</v>
      </c>
      <c r="DS204" s="45">
        <f t="shared" si="70"/>
        <v>239.28354166666668</v>
      </c>
      <c r="DT204" s="45">
        <f t="shared" ref="DT204:DT267" si="132">V204+Z204+AE204+AI204+BD204+BL204+AN204+AQ204+CD204+CM204+CQ204+CY204+DB204+DL204</f>
        <v>230.53923333333344</v>
      </c>
      <c r="DU204" s="45">
        <f t="shared" ref="DU204:DU267" si="133">G204+O204+R204+AA204+AW204+BH204+BM204+BR204+BU204+BY204</f>
        <v>173.29776666666666</v>
      </c>
      <c r="DV204" s="45">
        <f t="shared" si="58"/>
        <v>6.6750000000000007</v>
      </c>
      <c r="DW204" s="45">
        <f t="shared" ref="DW204:DW267" si="134">D204+L204</f>
        <v>2.5</v>
      </c>
      <c r="DX204" s="47">
        <f>SUM(DP204:DW204)</f>
        <v>3178.2229341666666</v>
      </c>
      <c r="DY204" s="50">
        <f t="shared" si="126"/>
        <v>0</v>
      </c>
      <c r="EA204" s="51">
        <f t="shared" si="117"/>
        <v>3.2005385432998634E-2</v>
      </c>
      <c r="EB204" s="51">
        <f t="shared" si="117"/>
        <v>0.1562009738722647</v>
      </c>
      <c r="EC204" s="51">
        <f t="shared" si="117"/>
        <v>0.60655456364500193</v>
      </c>
      <c r="ED204" s="51">
        <f t="shared" si="114"/>
        <v>7.5288469884950679E-2</v>
      </c>
      <c r="EE204" s="51">
        <f t="shared" si="114"/>
        <v>7.2537149881772234E-2</v>
      </c>
      <c r="EF204" s="51">
        <f t="shared" si="114"/>
        <v>5.4526623920453682E-2</v>
      </c>
      <c r="EG204" s="51">
        <f t="shared" si="114"/>
        <v>2.1002302664933077E-3</v>
      </c>
      <c r="EH204" s="52">
        <f t="shared" si="59"/>
        <v>7.8660309606490915E-4</v>
      </c>
      <c r="EI204" s="51">
        <f t="shared" si="60"/>
        <v>0.99921339690393518</v>
      </c>
      <c r="EK204" s="53">
        <f>(EA204*'[2]Renewable Diesel'!BF213*'[2]Feedstock Conversion Rates'!B$2)+FB204</f>
        <v>104.36771902553274</v>
      </c>
      <c r="EL204" s="53">
        <f>(EB204*'[2]Renewable Diesel'!BF213*'[2]Feedstock Conversion Rates'!B$3)+FC204</f>
        <v>479.999138556052</v>
      </c>
      <c r="EM204" s="53">
        <f>(EC204*'[2]Renewable Diesel'!BF213*'[2]Feedstock Conversion Rates'!B$4)+FD204</f>
        <v>1745.240741125036</v>
      </c>
      <c r="EN204" s="53">
        <f>(ED204*'[2]Renewable Diesel'!BF213*'[2]Feedstock Conversion Rates'!B$5)+FE204</f>
        <v>218.07185966119323</v>
      </c>
      <c r="EO204" s="53">
        <f>(EE204*'[2]Renewable Diesel'!BF213*'[2]Feedstock Conversion Rates'!B$6)+FF204</f>
        <v>261.02826116441997</v>
      </c>
      <c r="EP204" s="53">
        <f>(EF204*'[2]Renewable Diesel'!BF213*'[2]Feedstock Conversion Rates'!B$7)+FG204</f>
        <v>192.45120762647005</v>
      </c>
      <c r="EQ204" s="53">
        <f>(EG204*'[2]Renewable Diesel'!BF213*'[2]Feedstock Conversion Rates'!B$8)+FH204</f>
        <v>7.5537462878880932</v>
      </c>
      <c r="ER204" s="53">
        <f>(EH204*'[2]Renewable Diesel'!BF213*'[2]Feedstock Conversion Rates'!B$9)+FI204</f>
        <v>2.7913968804180715</v>
      </c>
      <c r="ES204" s="53">
        <f t="shared" si="61"/>
        <v>3011.5040703270101</v>
      </c>
      <c r="ET204" s="36">
        <f>ES204/'[2]Renewable Diesel'!BF213</f>
        <v>7.849811895212393</v>
      </c>
    </row>
    <row r="205" spans="1:150" x14ac:dyDescent="0.25">
      <c r="A205" s="39">
        <v>46661</v>
      </c>
      <c r="B205" s="45">
        <f>24+30+95-9+2-8-6.25+2.5-10-16-18-52-10-5+39+144+38+72-12-14+30-10.5-20-30-70-16-40-55-40-5-5-24.75+65-47.5-1-2+30+29+7+20+20+7.5+15-4-10+20+20-13.5-155+70-3-15</f>
        <v>52.5</v>
      </c>
      <c r="C205" s="45">
        <f>50-1+2-4.7+4+10-60+20+5+50-70</f>
        <v>5.2999999999999972</v>
      </c>
      <c r="D205" s="45">
        <f>1+1</f>
        <v>2</v>
      </c>
      <c r="E205" s="45">
        <f>('[2]Renewable Diesel'!B214*E$3*'[2]Feedstock Conversion Rates'!$B$2)/12-57.5+6.25+18+10-38+20+16+55+47.5-7-20-4-10+13.5-50</f>
        <v>89.68</v>
      </c>
      <c r="F205" s="45">
        <f>('[2]Renewable Diesel'!B214*'[2]RD Feedstock Breakdown'!F$3*'[2]Feedstock Conversion Rates'!B$8)/12-24+9-2.5+10+5-39+14+10.5+5+5+2-29+4-20</f>
        <v>3.90625</v>
      </c>
      <c r="G205" s="45">
        <f>('[2]Renewable Diesel'!B214*'[2]RD Feedstock Breakdown'!G$3*'[2]Feedstock Conversion Rates'!B$7)/12-30-2+52-144-30+30+70+5-65-30-7.5-5+3</f>
        <v>22.657000000000011</v>
      </c>
      <c r="H205" s="45">
        <f>('[2]Renewable Diesel'!B214*'[2]RD Feedstock Breakdown'!H$3*'[2]Feedstock Conversion Rates'!B$3)/12-95+8+16-72+12+40+40+30-20-15-30+215+15</f>
        <v>320.40022499999998</v>
      </c>
      <c r="I205" s="47">
        <f t="shared" si="75"/>
        <v>496.44347500000003</v>
      </c>
      <c r="J205" s="45">
        <f>2+27+25-8-40-6+9+7+90+36+3+97+2-6-32.5-3-12-15-7-15-10-50-7.5+2-1+9.5-2+22+70+15-1-4-7.5+5-20+10+20-35-8-24+5</f>
        <v>142</v>
      </c>
      <c r="K205" s="45"/>
      <c r="L205" s="45">
        <v>1</v>
      </c>
      <c r="M205" s="45">
        <f>('[2]Renewable Diesel'!C214*'[2]RD Feedstock Breakdown'!M$3*'[2]Feedstock Conversion Rates'!B$2)/12-24+10-41+5+1+35+24</f>
        <v>17.79025</v>
      </c>
      <c r="N205" s="45">
        <f>('[2]Renewable Diesel'!C214*'[2]RD Feedstock Breakdown'!N$3*'[2]Feedstock Conversion Rates'!B$8)/12-2.5+16+2-25-2+8+7+2-22-10</f>
        <v>-22.828125</v>
      </c>
      <c r="O205" s="45">
        <f>('[2]Renewable Diesel'!C214*'[2]RD Feedstock Breakdown'!O$3*'[2]Feedstock Conversion Rates'!B$7)/12-30-60-10+20+15-15+20-20+8</f>
        <v>-60.000900000000001</v>
      </c>
      <c r="P205" s="45">
        <f>('[2]Renewable Diesel'!C214*'[2]RD Feedstock Breakdown'!P$3*'[2]Feedstock Conversion Rates'!B$3)/12-27+50-107+35+10+52.5-70+12-5-5</f>
        <v>-44.052957499999991</v>
      </c>
      <c r="Q205" s="47">
        <f t="shared" si="85"/>
        <v>33.908267500000022</v>
      </c>
      <c r="R205" s="45">
        <f>('[2]Renewable Diesel'!D214*'[2]RD Feedstock Breakdown'!R$3*'[2]Feedstock Conversion Rates'!B$7)/12</f>
        <v>2.2999999999999998</v>
      </c>
      <c r="S205" s="47">
        <f t="shared" si="116"/>
        <v>2.2999999999999998</v>
      </c>
      <c r="T205" s="45">
        <f>5.825+20-25+35-30</f>
        <v>5.8250000000000028</v>
      </c>
      <c r="U205" s="45">
        <v>30</v>
      </c>
      <c r="V205" s="45">
        <f>('[2]Renewable Diesel'!E214*'[2]RD Feedstock Breakdown'!V$3*'[2]Feedstock Conversion Rates'!B$6)/12-20+25-35</f>
        <v>14.250150000000012</v>
      </c>
      <c r="W205" s="45">
        <f>('[2]Renewable Diesel'!E214*'[2]RD Feedstock Breakdown'!W$3*'[2]Feedstock Conversion Rates'!B$8)/12-5.825</f>
        <v>16.354687500000001</v>
      </c>
      <c r="X205" s="47">
        <f t="shared" si="62"/>
        <v>66.429837500000019</v>
      </c>
      <c r="Y205" s="45">
        <f>50+32-80+171+60-15-75-50-20-30-22.5+20+70-70+50+6+35+5-5-6</f>
        <v>125.5</v>
      </c>
      <c r="Z205" s="45">
        <f>('[2]Renewable Diesel'!F214*'[2]RD Feedstock Breakdown'!Z$3*'[2]Feedstock Conversion Rates'!B$6)/12-50-32-60+15+30+22.5-70+70-35+5+6</f>
        <v>60.960000000000008</v>
      </c>
      <c r="AA205" s="45">
        <f>('[2]Renewable Diesel'!F214*'[2]RD Feedstock Breakdown'!AA$3*'[2]Feedstock Conversion Rates'!B$7)/12+80-171+75+30+20-50-6-5</f>
        <v>77.266666666666652</v>
      </c>
      <c r="AB205" s="47">
        <f t="shared" si="102"/>
        <v>263.72666666666669</v>
      </c>
      <c r="AC205" s="45">
        <f>('[2]Renewable Diesel'!G214*'[2]RD Feedstock Breakdown'!AC$3*'[2]Feedstock Conversion Rates'!B$5)/12</f>
        <v>11.796875</v>
      </c>
      <c r="AD205" s="45">
        <f>('[2]Renewable Diesel'!G214*'[2]RD Feedstock Breakdown'!AD$3*'[2]Feedstock Conversion Rates'!B$4)/12</f>
        <v>5.859375</v>
      </c>
      <c r="AE205" s="45">
        <f>('[2]Renewable Diesel'!G214*'[2]RD Feedstock Breakdown'!AE$3*'[2]Feedstock Conversion Rates'!B$6)/12</f>
        <v>7.3281250000000009</v>
      </c>
      <c r="AF205" s="47">
        <f t="shared" si="71"/>
        <v>24.984375</v>
      </c>
      <c r="AG205" s="45">
        <f>130+20-51+120-2.5-100+45-25-30</f>
        <v>106.5</v>
      </c>
      <c r="AH205" s="45">
        <v>30</v>
      </c>
      <c r="AI205" s="45">
        <f>('[2]Renewable Diesel'!H214*'[2]RD Feedstock Breakdown'!AI$3*'[2]Feedstock Conversion Rates'!B$6)/12-130-20+51-120+2.5+100-45+25</f>
        <v>12.01666666666668</v>
      </c>
      <c r="AJ205" s="47">
        <f t="shared" si="113"/>
        <v>118.51666666666668</v>
      </c>
      <c r="AK205" s="45">
        <f>('[2]Renewable Diesel'!J214*'[2]RD Feedstock Breakdown'!AK$3*'[2]Feedstock Conversion Rates'!B$4)/12</f>
        <v>95.8125</v>
      </c>
      <c r="AL205" s="47">
        <f t="shared" si="123"/>
        <v>95.8125</v>
      </c>
      <c r="AM205" s="45">
        <f>('[2]Renewable Diesel'!K214*'[2]RD Feedstock Breakdown'!AM$3*'[2]Feedstock Conversion Rates'!B$4)/12+5+15-10+9-27</f>
        <v>50.59375</v>
      </c>
      <c r="AN205" s="45">
        <f>('[2]Renewable Diesel'!K214*'[2]RD Feedstock Breakdown'!AN$3*'[2]Feedstock Conversion Rates'!B$6)/12-5-15+10-9+27</f>
        <v>32.427083333333329</v>
      </c>
      <c r="AO205" s="47">
        <f t="shared" ref="AO205:AO268" si="135">SUM(AM205:AN205)</f>
        <v>83.020833333333329</v>
      </c>
      <c r="AP205" s="45">
        <f>('[2]Renewable Diesel'!L214*'[2]RD Feedstock Breakdown'!AP$3*'[2]Feedstock Conversion Rates'!B$4)/12+15-10+2.5+12</f>
        <v>78.09375</v>
      </c>
      <c r="AQ205" s="45">
        <f>('[2]Renewable Diesel'!L214*'[2]RD Feedstock Breakdown'!AQ$3*'[2]Feedstock Conversion Rates'!B$6)/12-15+10-2.5-12</f>
        <v>4.9270833333333321</v>
      </c>
      <c r="AR205" s="47">
        <f t="shared" si="125"/>
        <v>83.020833333333329</v>
      </c>
      <c r="AS205" s="45">
        <f>('[2]Renewable Diesel'!M214*'[2]RD Feedstock Breakdown'!AS$3*'[2]Feedstock Conversion Rates'!B$4)/12</f>
        <v>456.25</v>
      </c>
      <c r="AT205" s="45">
        <f>('[2]Renewable Diesel'!M214*'[2]RD Feedstock Breakdown'!AT$3*'[2]Feedstock Conversion Rates'!B$5)/12</f>
        <v>0</v>
      </c>
      <c r="AU205" s="47">
        <f t="shared" si="74"/>
        <v>456.25</v>
      </c>
      <c r="AV205" s="45">
        <f>'[2]Renewable Diesel'!N214*'[2]RD Feedstock Breakdown'!$AV$3*'[2]Feedstock Conversion Rates'!$B$4/12-15-10+25+25-22-25-12.5</f>
        <v>44.249999999999986</v>
      </c>
      <c r="AW205" s="45">
        <f>'[2]Renewable Diesel'!N214*'[2]RD Feedstock Breakdown'!$AW$3*'[2]Feedstock Conversion Rates'!$B$7/12+15+10-25-25+22+25+12.5</f>
        <v>75.900000000000006</v>
      </c>
      <c r="AX205" s="47">
        <f t="shared" si="109"/>
        <v>120.14999999999999</v>
      </c>
      <c r="AY205" s="45">
        <f>('[2]Renewable Diesel'!O214*'[2]RD Feedstock Breakdown'!AY$3*'[2]Feedstock Conversion Rates'!B$4)/12+32+2-135</f>
        <v>109.9375</v>
      </c>
      <c r="AZ205" s="45">
        <f>('[2]Renewable Diesel'!O214*'[2]RD Feedstock Breakdown'!AZ$3*'[2]Feedstock Conversion Rates'!B$3)/12-32-2+135</f>
        <v>126.03125</v>
      </c>
      <c r="BA205" s="47">
        <f t="shared" si="87"/>
        <v>235.96875</v>
      </c>
      <c r="BB205" s="45">
        <f>('[2]Renewable Diesel'!Q214*'[2]RD Feedstock Breakdown'!BB$3*'[2]Feedstock Conversion Rates'!B$4)/12</f>
        <v>11.156249999999998</v>
      </c>
      <c r="BC205" s="45">
        <f>('[2]Renewable Diesel'!Q214*'[2]RD Feedstock Breakdown'!BC$3*'[2]Feedstock Conversion Rates'!B$3)/12</f>
        <v>1.4017500000000001</v>
      </c>
      <c r="BD205" s="45">
        <f>('[2]Renewable Diesel'!Q214*'[2]RD Feedstock Breakdown'!BD$3*'[2]Feedstock Conversion Rates'!B$6)/12</f>
        <v>0.8207500000000002</v>
      </c>
      <c r="BE205" s="47">
        <f t="shared" si="64"/>
        <v>13.378749999999998</v>
      </c>
      <c r="BF205" s="45">
        <f>('[2]Renewable Diesel'!R214*'[2]RD Feedstock Breakdown'!BF$3*'[2]Feedstock Conversion Rates'!B$4)/12</f>
        <v>62.5</v>
      </c>
      <c r="BG205" s="47">
        <f t="shared" si="129"/>
        <v>62.5</v>
      </c>
      <c r="BH205" s="45">
        <f>('[2]Renewable Diesel'!T214*'[2]RD Feedstock Breakdown'!BH$3*'[2]Feedstock Conversion Rates'!B$7)/12</f>
        <v>27.599999999999998</v>
      </c>
      <c r="BI205" s="47">
        <f t="shared" si="112"/>
        <v>27.599999999999998</v>
      </c>
      <c r="BJ205" s="45">
        <f>('[2]Renewable Diesel'!W214*'[2]RD Feedstock Breakdown'!BJ$3*'[2]Feedstock Conversion Rates'!B$4)/12</f>
        <v>7.5</v>
      </c>
      <c r="BK205" s="45">
        <f>('[2]Renewable Diesel'!W214*'[2]RD Feedstock Breakdown'!BK$3*'[2]Feedstock Conversion Rates'!B$3)/12</f>
        <v>1.335</v>
      </c>
      <c r="BL205" s="45">
        <f>('[2]Renewable Diesel'!W214*'[2]RD Feedstock Breakdown'!BL$3*'[2]Feedstock Conversion Rates'!B$6)/12</f>
        <v>3.1266666666666669</v>
      </c>
      <c r="BM205" s="45">
        <f>('[2]Renewable Diesel'!W214*'[2]RD Feedstock Breakdown'!BM$3*'[2]Feedstock Conversion Rates'!B$7)/12</f>
        <v>1.5333333333333332</v>
      </c>
      <c r="BN205" s="47">
        <f t="shared" si="78"/>
        <v>13.495000000000001</v>
      </c>
      <c r="BO205" s="45">
        <f>('[2]Renewable Diesel'!P214*'[2]Feedstock Conversion Rates'!B$4)/12</f>
        <v>31.25</v>
      </c>
      <c r="BP205" s="47">
        <f t="shared" si="72"/>
        <v>31.25</v>
      </c>
      <c r="BQ205" s="45">
        <f>('[2]Renewable Diesel'!$S214*'[2]RD Feedstock Breakdown'!BQ$3*'[2]Feedstock Conversion Rates'!B$4)/12+10</f>
        <v>38.125</v>
      </c>
      <c r="BR205" s="45">
        <f>('[2]Renewable Diesel'!$S214*'[2]RD Feedstock Breakdown'!BR$3*'[2]Feedstock Conversion Rates'!B$7)/12-10</f>
        <v>1.5</v>
      </c>
      <c r="BS205" s="47">
        <f t="shared" si="90"/>
        <v>39.625</v>
      </c>
      <c r="BT205" s="47"/>
      <c r="BU205" s="45">
        <f>('[2]Renewable Diesel'!Y214*'[2]Feedstock Conversion Rates'!B$7)/12</f>
        <v>2.6833333333333331</v>
      </c>
      <c r="BV205" s="47">
        <f t="shared" si="67"/>
        <v>2.6833333333333331</v>
      </c>
      <c r="BW205" s="45">
        <f>('[2]Renewable Diesel'!$Z214*'[2]RD Feedstock Breakdown'!BW$3*'[2]Feedstock Conversion Rates'!$B$4)/12</f>
        <v>35.9375</v>
      </c>
      <c r="BX205" s="45">
        <f>('[2]Renewable Diesel'!$Z214*'[2]RD Feedstock Breakdown'!BX$3*'[2]Feedstock Conversion Rates'!$B$5)/12</f>
        <v>3.6177083333333333</v>
      </c>
      <c r="BY205" s="45">
        <f>('[2]Renewable Diesel'!$Z214*'[2]RD Feedstock Breakdown'!BY$3*'[2]Feedstock Conversion Rates'!$B$7)/12</f>
        <v>30.858333333333331</v>
      </c>
      <c r="BZ205" s="45">
        <f>('[2]Renewable Diesel'!$Z214*'[2]RD Feedstock Breakdown'!BZ$3*'[2]Feedstock Conversion Rates'!$B$3)/12</f>
        <v>7.6762499999999996</v>
      </c>
      <c r="CA205" s="47">
        <f t="shared" si="91"/>
        <v>78.089791666666656</v>
      </c>
      <c r="CB205" s="45">
        <f>('[2]Renewable Diesel'!AA214*'[2]Feedstock Conversion Rates'!B$4)/12</f>
        <v>191.25</v>
      </c>
      <c r="CC205" s="47">
        <f t="shared" si="79"/>
        <v>191.25</v>
      </c>
      <c r="CD205" s="45">
        <f>('[2]Renewable Diesel'!$AB214*'[2]RD Feedstock Breakdown'!CD$3*'[2]Feedstock Conversion Rates'!$B$6)/12-15</f>
        <v>17.830000000000005</v>
      </c>
      <c r="CE205" s="45">
        <f>('[2]Renewable Diesel'!$AB214*'[2]RD Feedstock Breakdown'!CE$3*'[2]Feedstock Conversion Rates'!$B$4)/12+15</f>
        <v>26.25</v>
      </c>
      <c r="CF205" s="47">
        <f t="shared" si="76"/>
        <v>44.080000000000005</v>
      </c>
      <c r="CG205" s="45">
        <f>('[2]Renewable Diesel'!AD214*'[2]Feedstock Conversion Rates'!B$4)/12</f>
        <v>112.5</v>
      </c>
      <c r="CH205" s="47">
        <f t="shared" si="63"/>
        <v>112.5</v>
      </c>
      <c r="CI205" s="45">
        <f>('[2]Renewable Diesel'!$AE214*'[2]RD Feedstock Breakdown'!CI$3*'[2]Feedstock Conversion Rates'!$B$5)/12</f>
        <v>0.34604166666666664</v>
      </c>
      <c r="CJ205" s="45">
        <f>('[2]Renewable Diesel'!$AE214*'[2]RD Feedstock Breakdown'!CJ$3*'[2]Feedstock Conversion Rates'!$B$4)/12</f>
        <v>0.34375</v>
      </c>
      <c r="CK205" s="47">
        <f t="shared" si="73"/>
        <v>0.68979166666666658</v>
      </c>
      <c r="CL205" s="45">
        <f>(((CL$3*'[2]Renewable Diesel'!$AF214)*'[2]Feedstock Conversion Rates'!$B$3)/12)</f>
        <v>91.78125</v>
      </c>
      <c r="CM205" s="45">
        <f>(((CM$3*'[2]Renewable Diesel'!$AF214)*'[2]Feedstock Conversion Rates'!$B$6)/12)</f>
        <v>53.739583333333336</v>
      </c>
      <c r="CN205" s="45">
        <f>(((CN$3*'[2]Renewable Diesel'!$AF214)*'[2]Feedstock Conversion Rates'!$B$4)/12)</f>
        <v>42.96875</v>
      </c>
      <c r="CO205" s="47">
        <f t="shared" si="65"/>
        <v>188.48958333333334</v>
      </c>
      <c r="CP205" s="45">
        <f>('[2]Renewable Diesel'!$AG214*'[2]RD Feedstock Breakdown'!CP$3*'[2]Feedstock Conversion Rates'!$B$3)/12</f>
        <v>6.0075000000000003</v>
      </c>
      <c r="CQ205" s="45">
        <f>('[2]Renewable Diesel'!$AG214*'[2]RD Feedstock Breakdown'!CQ$3*'[2]Feedstock Conversion Rates'!$B$6)/12</f>
        <v>3.5175000000000001</v>
      </c>
      <c r="CR205" s="45">
        <f>('[2]Renewable Diesel'!$AG214*'[2]RD Feedstock Breakdown'!CR$3*'[2]Feedstock Conversion Rates'!$B$4)/12</f>
        <v>2.8125</v>
      </c>
      <c r="CS205" s="47">
        <f t="shared" si="99"/>
        <v>12.3375</v>
      </c>
      <c r="CT205" s="45">
        <f>('[2]Renewable Diesel'!AI214*'[2]Feedstock Conversion Rates'!$B$4*'[2]RD Feedstock Breakdown'!$CT$3)/12</f>
        <v>29.375</v>
      </c>
      <c r="CU205" s="47">
        <f t="shared" si="69"/>
        <v>29.375</v>
      </c>
      <c r="CV205" s="45">
        <f>('[2]Renewable Diesel'!AN214*'[2]Feedstock Conversion Rates'!$B$3*'[2]RD Feedstock Breakdown'!$CV$3)/12</f>
        <v>0.50062499999999999</v>
      </c>
      <c r="CW205" s="47">
        <f t="shared" si="124"/>
        <v>0.50062499999999999</v>
      </c>
      <c r="CX205" s="45">
        <f>('[2]Renewable Diesel'!AO214*'[2]RD Feedstock Breakdown'!$CX$3*'[2]Feedstock Conversion Rates'!$B$3)/12</f>
        <v>6.3412499999999996</v>
      </c>
      <c r="CY205" s="45">
        <f>('[2]Renewable Diesel'!AO214*'[2]RD Feedstock Breakdown'!$CY$3*'[2]Feedstock Conversion Rates'!$B$6)/12</f>
        <v>7.4258333333333342</v>
      </c>
      <c r="CZ205" s="47">
        <f t="shared" si="100"/>
        <v>13.767083333333334</v>
      </c>
      <c r="DA205" s="45">
        <f>('[2]Renewable Diesel'!$AP214*'[2]RD Feedstock Breakdown'!DA$3*'[2]Feedstock Conversion Rates'!$B$3)/12</f>
        <v>6.3412499999999996</v>
      </c>
      <c r="DB205" s="45">
        <f>('[2]Renewable Diesel'!$AP214*'[2]RD Feedstock Breakdown'!DB$3*'[2]Feedstock Conversion Rates'!$B$8)/12</f>
        <v>7.421875</v>
      </c>
      <c r="DC205" s="47">
        <f t="shared" si="127"/>
        <v>13.763124999999999</v>
      </c>
      <c r="DD205" s="45">
        <f>('[2]Renewable Diesel'!AQ214*$DD$3*'[2]Feedstock Conversion Rates'!$B$14)/12</f>
        <v>3.1041666666666665</v>
      </c>
      <c r="DE205" s="47">
        <f t="shared" si="128"/>
        <v>3.1041666666666665</v>
      </c>
      <c r="DF205" s="45">
        <f>('[2]Renewable Diesel'!AR214*'[2]Feedstock Conversion Rates'!$B$4*$DF$3)/12</f>
        <v>75</v>
      </c>
      <c r="DG205" s="47">
        <f t="shared" si="101"/>
        <v>75</v>
      </c>
      <c r="DH205" s="45">
        <f>('[2]Renewable Diesel'!AS214*'[2]Feedstock Conversion Rates'!$B$4*$DH$3)/12</f>
        <v>75</v>
      </c>
      <c r="DI205" s="47">
        <f t="shared" si="110"/>
        <v>75</v>
      </c>
      <c r="DJ205" s="45">
        <f>('[2]Renewable Diesel'!AT214*'[2]Feedstock Conversion Rates'!$B$4*0.25)/12</f>
        <v>8.59375</v>
      </c>
      <c r="DK205" s="45">
        <f>('[2]Renewable Diesel'!$AT214*'[2]RD Feedstock Breakdown'!DK$3*'[2]Feedstock Conversion Rates'!$B$3)/12*0.5</f>
        <v>9.1781249999999996</v>
      </c>
      <c r="DL205" s="45">
        <f>('[2]Renewable Diesel'!$AT214*'[2]RD Feedstock Breakdown'!$DL$3*'[2]Feedstock Conversion Rates'!$B$6)/12</f>
        <v>10.747916666666669</v>
      </c>
      <c r="DM205" s="45">
        <f>('[2]Renewable Diesel'!$AT214*'[2]RD Feedstock Breakdown'!$DM$3*'[2]Feedstock Conversion Rates'!$B$8)/12</f>
        <v>10.7421875</v>
      </c>
      <c r="DN205" s="47">
        <f t="shared" si="77"/>
        <v>39.26197916666667</v>
      </c>
      <c r="DP205" s="45">
        <f t="shared" si="130"/>
        <v>107.47025000000001</v>
      </c>
      <c r="DQ205" s="45">
        <f t="shared" si="131"/>
        <v>532.94151749999992</v>
      </c>
      <c r="DR205" s="45">
        <f t="shared" ref="DR205:DR268" si="136">AD205+AK205+AM205+AP205+AV205+AY205+BB205+BF205+BJ205+Y205+B205+BO205+BQ205+BW205+CB205+CE205+CG205+CJ205+BT205+CN205+CR205+CT205+DF205+DH205+AS205+J205+U205+AH205</f>
        <v>1962.765625</v>
      </c>
      <c r="DS205" s="45">
        <f t="shared" si="70"/>
        <v>145.08354166666669</v>
      </c>
      <c r="DT205" s="45">
        <f t="shared" si="132"/>
        <v>236.53923333333344</v>
      </c>
      <c r="DU205" s="45">
        <f t="shared" si="133"/>
        <v>182.29776666666666</v>
      </c>
      <c r="DV205" s="45">
        <f t="shared" ref="DV205:DV268" si="137">F205+N205+W205+DM205</f>
        <v>8.1750000000000007</v>
      </c>
      <c r="DW205" s="45">
        <f t="shared" si="134"/>
        <v>3</v>
      </c>
      <c r="DX205" s="47">
        <f t="shared" ref="DX205:DX268" si="138">SUM(DP205:DW205)</f>
        <v>3178.2729341666668</v>
      </c>
      <c r="DY205" s="50">
        <f t="shared" si="126"/>
        <v>-30.00000000000048</v>
      </c>
      <c r="EA205" s="51">
        <f t="shared" si="117"/>
        <v>3.3814040589367558E-2</v>
      </c>
      <c r="EB205" s="51">
        <f t="shared" si="117"/>
        <v>0.16768274107954656</v>
      </c>
      <c r="EC205" s="51">
        <f t="shared" si="117"/>
        <v>0.6175572915403601</v>
      </c>
      <c r="ED205" s="51">
        <f t="shared" si="114"/>
        <v>4.5648547079455634E-2</v>
      </c>
      <c r="EE205" s="51">
        <f t="shared" si="114"/>
        <v>7.4423826472081539E-2</v>
      </c>
      <c r="EF205" s="51">
        <f t="shared" si="114"/>
        <v>5.735749271466032E-2</v>
      </c>
      <c r="EG205" s="51">
        <f t="shared" si="114"/>
        <v>2.5721516588830848E-3</v>
      </c>
      <c r="EH205" s="52">
        <f t="shared" ref="EH205:EH268" si="139">DW205/DX205</f>
        <v>9.4390886564516853E-4</v>
      </c>
      <c r="EI205" s="51">
        <f t="shared" ref="EI205:EI243" si="140">SUM(EA205:EG205)</f>
        <v>0.99905609113435478</v>
      </c>
      <c r="EK205" s="53">
        <f>(EA205*'[2]Renewable Diesel'!BF214*'[2]Feedstock Conversion Rates'!B$2)+FB205</f>
        <v>115.74325904949524</v>
      </c>
      <c r="EL205" s="53">
        <f>(EB205*'[2]Renewable Diesel'!BF214*'[2]Feedstock Conversion Rates'!B$3)+FC205</f>
        <v>540.87958823849726</v>
      </c>
      <c r="EM205" s="53">
        <f>(EC205*'[2]Renewable Diesel'!BF214*'[2]Feedstock Conversion Rates'!B$4)+FD205</f>
        <v>1865.1691721620314</v>
      </c>
      <c r="EN205" s="53">
        <f>(ED205*'[2]Renewable Diesel'!BF214*'[2]Feedstock Conversion Rates'!B$5)+FE205</f>
        <v>138.78854484563533</v>
      </c>
      <c r="EO205" s="53">
        <f>(EE205*'[2]Renewable Diesel'!BF214*'[2]Feedstock Conversion Rates'!B$6)+FF205</f>
        <v>281.121813163963</v>
      </c>
      <c r="EP205" s="53">
        <f>(EF205*'[2]Renewable Diesel'!BF214*'[2]Feedstock Conversion Rates'!B$7)+FG205</f>
        <v>212.49939479479895</v>
      </c>
      <c r="EQ205" s="53">
        <f>(EG205*'[2]Renewable Diesel'!BF214*'[2]Feedstock Conversion Rates'!B$8)+FH205</f>
        <v>9.7106334221798711</v>
      </c>
      <c r="ER205" s="53">
        <f>(EH205*'[2]Renewable Diesel'!BF214*'[2]Feedstock Conversion Rates'!B$9)+FI205</f>
        <v>3.5160213981226192</v>
      </c>
      <c r="ES205" s="53">
        <f t="shared" ref="ES205:ES268" si="141">SUM(EK205:ER205)</f>
        <v>3167.4284270747239</v>
      </c>
      <c r="ET205" s="36">
        <f>ES205/'[2]Renewable Diesel'!BF214</f>
        <v>7.8655138221516303</v>
      </c>
    </row>
    <row r="206" spans="1:150" x14ac:dyDescent="0.25">
      <c r="A206" s="39">
        <v>46692</v>
      </c>
      <c r="B206" s="45">
        <f t="shared" ref="B206:B216" si="142">24+30+95-9+2-8-6.25+2.5-10-16-18-52-10-5+39+144+38+72-12-14+30-10.5-20-30-70-16-40-55-40-5-5-24.75+65-47.5-1-2+30+29+7+20+20+7.5+15-4-10+20+20-13.5-155+70-3-15</f>
        <v>52.5</v>
      </c>
      <c r="C206" s="45">
        <f t="shared" ref="C206:C216" si="143">50-1+2-4.7+4+10-60+20+5+50-70</f>
        <v>5.2999999999999972</v>
      </c>
      <c r="D206" s="45">
        <f t="shared" ref="D206:D216" si="144">1+1</f>
        <v>2</v>
      </c>
      <c r="E206" s="45">
        <f>('[2]Renewable Diesel'!B215*E$3*'[2]Feedstock Conversion Rates'!$B$2)/12-57.5+6.25+18+10-38+20+16+55+47.5-7-20-4-10+13.5-50</f>
        <v>89.68</v>
      </c>
      <c r="F206" s="45">
        <f>('[2]Renewable Diesel'!B215*'[2]RD Feedstock Breakdown'!F$3*'[2]Feedstock Conversion Rates'!B$8)/12-24+9-2.5+10+5-39+14+10.5+5+5+2-29+4-20</f>
        <v>3.90625</v>
      </c>
      <c r="G206" s="45">
        <f>('[2]Renewable Diesel'!B215*'[2]RD Feedstock Breakdown'!G$3*'[2]Feedstock Conversion Rates'!B$7)/12-30-2+52-144-30+30+70+5-65-30-7.5-5+3</f>
        <v>22.657000000000011</v>
      </c>
      <c r="H206" s="45">
        <f>('[2]Renewable Diesel'!B215*'[2]RD Feedstock Breakdown'!H$3*'[2]Feedstock Conversion Rates'!B$3)/12-95+8+16-72+12+40+40+30-20-15-30+215+15</f>
        <v>320.40022499999998</v>
      </c>
      <c r="I206" s="47">
        <f t="shared" si="75"/>
        <v>496.44347500000003</v>
      </c>
      <c r="J206" s="45">
        <f t="shared" ref="J206:J216" si="145">2+27+25-8-40-6+9+7+90+36+3+97+2-6-32.5-3-12-15-7-15-10-50-7.5+2-1+9.5-2+22+70+15-1-4-7.5+5-20+10+20-35-8-24+5</f>
        <v>142</v>
      </c>
      <c r="K206" s="45"/>
      <c r="L206" s="45">
        <v>1</v>
      </c>
      <c r="M206" s="45">
        <f>('[2]Renewable Diesel'!C215*'[2]RD Feedstock Breakdown'!M$3*'[2]Feedstock Conversion Rates'!B$2)/12-24+10-41+5+1+35+24</f>
        <v>17.79025</v>
      </c>
      <c r="N206" s="45">
        <f>('[2]Renewable Diesel'!C215*'[2]RD Feedstock Breakdown'!N$3*'[2]Feedstock Conversion Rates'!B$8)/12-2.5+16+2-25-2+8+7+2-22-10</f>
        <v>-22.828125</v>
      </c>
      <c r="O206" s="45">
        <f>('[2]Renewable Diesel'!C215*'[2]RD Feedstock Breakdown'!O$3*'[2]Feedstock Conversion Rates'!B$7)/12-30-60-10+20+15-15+20-20+8</f>
        <v>-60.000900000000001</v>
      </c>
      <c r="P206" s="45">
        <f>('[2]Renewable Diesel'!C215*'[2]RD Feedstock Breakdown'!P$3*'[2]Feedstock Conversion Rates'!B$3)/12-27+50-107+35+10+52.5-70+12-5-5</f>
        <v>-44.052957499999991</v>
      </c>
      <c r="Q206" s="47">
        <f t="shared" si="85"/>
        <v>33.908267500000022</v>
      </c>
      <c r="R206" s="45">
        <f>('[2]Renewable Diesel'!D215*'[2]RD Feedstock Breakdown'!R$3*'[2]Feedstock Conversion Rates'!B$7)/12</f>
        <v>2.2999999999999998</v>
      </c>
      <c r="S206" s="47">
        <f t="shared" si="116"/>
        <v>2.2999999999999998</v>
      </c>
      <c r="T206" s="45">
        <f t="shared" ref="T206:T216" si="146">5.825+20-25+35-30</f>
        <v>5.8250000000000028</v>
      </c>
      <c r="U206" s="45">
        <v>30</v>
      </c>
      <c r="V206" s="45">
        <f>('[2]Renewable Diesel'!E215*'[2]RD Feedstock Breakdown'!V$3*'[2]Feedstock Conversion Rates'!B$6)/12-20+25-35</f>
        <v>14.250150000000012</v>
      </c>
      <c r="W206" s="45">
        <f>('[2]Renewable Diesel'!E215*'[2]RD Feedstock Breakdown'!W$3*'[2]Feedstock Conversion Rates'!B$8)/12-5.825</f>
        <v>16.354687500000001</v>
      </c>
      <c r="X206" s="47">
        <f t="shared" ref="X206:X269" si="147">SUM(T206:W206)</f>
        <v>66.429837500000019</v>
      </c>
      <c r="Y206" s="45">
        <f t="shared" ref="Y206:Y216" si="148">50+32-80+171+60-15-75-50-20-30-22.5+20+70-70+50+6+35+5-5-6</f>
        <v>125.5</v>
      </c>
      <c r="Z206" s="45">
        <f>('[2]Renewable Diesel'!F215*'[2]RD Feedstock Breakdown'!Z$3*'[2]Feedstock Conversion Rates'!B$6)/12-50-32-60+15+30+22.5-70+70-35+5+6</f>
        <v>60.960000000000008</v>
      </c>
      <c r="AA206" s="45">
        <f>('[2]Renewable Diesel'!F215*'[2]RD Feedstock Breakdown'!AA$3*'[2]Feedstock Conversion Rates'!B$7)/12+80-171+75+30+20-50-6-5</f>
        <v>77.266666666666652</v>
      </c>
      <c r="AB206" s="47">
        <f t="shared" si="102"/>
        <v>263.72666666666669</v>
      </c>
      <c r="AC206" s="45">
        <f>('[2]Renewable Diesel'!G215*'[2]RD Feedstock Breakdown'!AC$3*'[2]Feedstock Conversion Rates'!B$5)/12</f>
        <v>11.796875</v>
      </c>
      <c r="AD206" s="45">
        <f>('[2]Renewable Diesel'!G215*'[2]RD Feedstock Breakdown'!AD$3*'[2]Feedstock Conversion Rates'!B$4)/12</f>
        <v>5.859375</v>
      </c>
      <c r="AE206" s="45">
        <f>('[2]Renewable Diesel'!G215*'[2]RD Feedstock Breakdown'!AE$3*'[2]Feedstock Conversion Rates'!B$6)/12</f>
        <v>7.3281250000000009</v>
      </c>
      <c r="AF206" s="47">
        <f t="shared" si="71"/>
        <v>24.984375</v>
      </c>
      <c r="AG206" s="45">
        <f>130+20-51+120-2.5-100+45-25-30</f>
        <v>106.5</v>
      </c>
      <c r="AH206" s="45">
        <v>30</v>
      </c>
      <c r="AI206" s="45">
        <f>('[2]Renewable Diesel'!H215*'[2]RD Feedstock Breakdown'!AI$3*'[2]Feedstock Conversion Rates'!B$6)/12-130-20+51-120+2.5+100-45+25</f>
        <v>12.01666666666668</v>
      </c>
      <c r="AJ206" s="47">
        <f t="shared" si="113"/>
        <v>118.51666666666668</v>
      </c>
      <c r="AK206" s="45">
        <f>('[2]Renewable Diesel'!J215*'[2]RD Feedstock Breakdown'!AK$3*'[2]Feedstock Conversion Rates'!B$4)/12</f>
        <v>95.8125</v>
      </c>
      <c r="AL206" s="47">
        <f t="shared" si="123"/>
        <v>95.8125</v>
      </c>
      <c r="AM206" s="45">
        <f>('[2]Renewable Diesel'!K215*'[2]RD Feedstock Breakdown'!AM$3*'[2]Feedstock Conversion Rates'!B$4)/12+5+15-10+9-27</f>
        <v>50.59375</v>
      </c>
      <c r="AN206" s="45">
        <f>('[2]Renewable Diesel'!K215*'[2]RD Feedstock Breakdown'!AN$3*'[2]Feedstock Conversion Rates'!B$6)/12-5-15+10-9+27</f>
        <v>32.427083333333329</v>
      </c>
      <c r="AO206" s="47">
        <f t="shared" si="135"/>
        <v>83.020833333333329</v>
      </c>
      <c r="AP206" s="45">
        <f>('[2]Renewable Diesel'!L215*'[2]RD Feedstock Breakdown'!AP$3*'[2]Feedstock Conversion Rates'!B$4)/12+15-10+2.5+12</f>
        <v>78.09375</v>
      </c>
      <c r="AQ206" s="45">
        <f>('[2]Renewable Diesel'!L215*'[2]RD Feedstock Breakdown'!AQ$3*'[2]Feedstock Conversion Rates'!B$6)/12-15+10-2.5-12</f>
        <v>4.9270833333333321</v>
      </c>
      <c r="AR206" s="47">
        <f t="shared" si="125"/>
        <v>83.020833333333329</v>
      </c>
      <c r="AS206" s="45">
        <f>('[2]Renewable Diesel'!M215*'[2]RD Feedstock Breakdown'!AS$3*'[2]Feedstock Conversion Rates'!B$4)/12</f>
        <v>456.25</v>
      </c>
      <c r="AT206" s="45">
        <f>('[2]Renewable Diesel'!M215*'[2]RD Feedstock Breakdown'!AT$3*'[2]Feedstock Conversion Rates'!B$5)/12</f>
        <v>0</v>
      </c>
      <c r="AU206" s="47">
        <f t="shared" si="74"/>
        <v>456.25</v>
      </c>
      <c r="AV206" s="45">
        <f>'[2]Renewable Diesel'!N215*'[2]RD Feedstock Breakdown'!$AV$3*'[2]Feedstock Conversion Rates'!$B$4/12-15-10+25+25-22-25-12.5</f>
        <v>44.249999999999986</v>
      </c>
      <c r="AW206" s="45">
        <f>'[2]Renewable Diesel'!N215*'[2]RD Feedstock Breakdown'!$AW$3*'[2]Feedstock Conversion Rates'!$B$7/12+15+10-25-25+22+25+12.5</f>
        <v>75.900000000000006</v>
      </c>
      <c r="AX206" s="47">
        <f t="shared" si="109"/>
        <v>120.14999999999999</v>
      </c>
      <c r="AY206" s="45">
        <f>('[2]Renewable Diesel'!O215*'[2]RD Feedstock Breakdown'!AY$3*'[2]Feedstock Conversion Rates'!B$4)/12+32+2-135</f>
        <v>109.9375</v>
      </c>
      <c r="AZ206" s="45">
        <f>('[2]Renewable Diesel'!O215*'[2]RD Feedstock Breakdown'!AZ$3*'[2]Feedstock Conversion Rates'!B$3)/12-32-2+135</f>
        <v>126.03125</v>
      </c>
      <c r="BA206" s="47">
        <f t="shared" si="87"/>
        <v>235.96875</v>
      </c>
      <c r="BB206" s="45">
        <f>('[2]Renewable Diesel'!Q215*'[2]RD Feedstock Breakdown'!BB$3*'[2]Feedstock Conversion Rates'!B$4)/12</f>
        <v>11.156249999999998</v>
      </c>
      <c r="BC206" s="45">
        <f>('[2]Renewable Diesel'!Q215*'[2]RD Feedstock Breakdown'!BC$3*'[2]Feedstock Conversion Rates'!B$3)/12</f>
        <v>1.4017500000000001</v>
      </c>
      <c r="BD206" s="45">
        <f>('[2]Renewable Diesel'!Q215*'[2]RD Feedstock Breakdown'!BD$3*'[2]Feedstock Conversion Rates'!B$6)/12</f>
        <v>0.8207500000000002</v>
      </c>
      <c r="BE206" s="47">
        <f t="shared" si="64"/>
        <v>13.378749999999998</v>
      </c>
      <c r="BF206" s="45">
        <f>('[2]Renewable Diesel'!R215*'[2]RD Feedstock Breakdown'!BF$3*'[2]Feedstock Conversion Rates'!B$4)/12</f>
        <v>62.5</v>
      </c>
      <c r="BG206" s="47">
        <f t="shared" si="129"/>
        <v>62.5</v>
      </c>
      <c r="BH206" s="45">
        <f>('[2]Renewable Diesel'!T215*'[2]RD Feedstock Breakdown'!BH$3*'[2]Feedstock Conversion Rates'!B$7)/12</f>
        <v>27.599999999999998</v>
      </c>
      <c r="BI206" s="47">
        <f t="shared" si="112"/>
        <v>27.599999999999998</v>
      </c>
      <c r="BJ206" s="45">
        <f>('[2]Renewable Diesel'!W215*'[2]RD Feedstock Breakdown'!BJ$3*'[2]Feedstock Conversion Rates'!B$4)/12</f>
        <v>7.5</v>
      </c>
      <c r="BK206" s="45">
        <f>('[2]Renewable Diesel'!W215*'[2]RD Feedstock Breakdown'!BK$3*'[2]Feedstock Conversion Rates'!B$3)/12</f>
        <v>1.335</v>
      </c>
      <c r="BL206" s="45">
        <f>('[2]Renewable Diesel'!W215*'[2]RD Feedstock Breakdown'!BL$3*'[2]Feedstock Conversion Rates'!B$6)/12</f>
        <v>3.1266666666666669</v>
      </c>
      <c r="BM206" s="45">
        <f>('[2]Renewable Diesel'!W215*'[2]RD Feedstock Breakdown'!BM$3*'[2]Feedstock Conversion Rates'!B$7)/12</f>
        <v>1.5333333333333332</v>
      </c>
      <c r="BN206" s="47">
        <f t="shared" si="78"/>
        <v>13.495000000000001</v>
      </c>
      <c r="BO206" s="45">
        <f>('[2]Renewable Diesel'!P215*'[2]Feedstock Conversion Rates'!B$4)/12</f>
        <v>31.25</v>
      </c>
      <c r="BP206" s="47">
        <f t="shared" si="72"/>
        <v>31.25</v>
      </c>
      <c r="BQ206" s="45">
        <f>('[2]Renewable Diesel'!$S215*'[2]RD Feedstock Breakdown'!BQ$3*'[2]Feedstock Conversion Rates'!B$4)/12+10</f>
        <v>38.125</v>
      </c>
      <c r="BR206" s="45">
        <f>('[2]Renewable Diesel'!$S215*'[2]RD Feedstock Breakdown'!BR$3*'[2]Feedstock Conversion Rates'!B$7)/12-10</f>
        <v>1.5</v>
      </c>
      <c r="BS206" s="47">
        <f t="shared" si="90"/>
        <v>39.625</v>
      </c>
      <c r="BT206" s="47"/>
      <c r="BU206" s="45">
        <f>('[2]Renewable Diesel'!Y215*'[2]Feedstock Conversion Rates'!B$7)/12</f>
        <v>2.6833333333333331</v>
      </c>
      <c r="BV206" s="47">
        <f t="shared" si="67"/>
        <v>2.6833333333333331</v>
      </c>
      <c r="BW206" s="45">
        <f>('[2]Renewable Diesel'!$Z215*'[2]RD Feedstock Breakdown'!BW$3*'[2]Feedstock Conversion Rates'!$B$4)/12</f>
        <v>35.9375</v>
      </c>
      <c r="BX206" s="45">
        <f>('[2]Renewable Diesel'!$Z215*'[2]RD Feedstock Breakdown'!BX$3*'[2]Feedstock Conversion Rates'!$B$5)/12</f>
        <v>3.6177083333333333</v>
      </c>
      <c r="BY206" s="45">
        <f>('[2]Renewable Diesel'!$Z215*'[2]RD Feedstock Breakdown'!BY$3*'[2]Feedstock Conversion Rates'!$B$7)/12</f>
        <v>30.858333333333331</v>
      </c>
      <c r="BZ206" s="45">
        <f>('[2]Renewable Diesel'!$Z215*'[2]RD Feedstock Breakdown'!BZ$3*'[2]Feedstock Conversion Rates'!$B$3)/12</f>
        <v>7.6762499999999996</v>
      </c>
      <c r="CA206" s="47">
        <f t="shared" si="91"/>
        <v>78.089791666666656</v>
      </c>
      <c r="CB206" s="45">
        <f>('[2]Renewable Diesel'!AA215*'[2]Feedstock Conversion Rates'!B$4)/12</f>
        <v>191.25</v>
      </c>
      <c r="CC206" s="47">
        <f t="shared" si="79"/>
        <v>191.25</v>
      </c>
      <c r="CD206" s="45">
        <f>('[2]Renewable Diesel'!$AB215*'[2]RD Feedstock Breakdown'!CD$3*'[2]Feedstock Conversion Rates'!$B$6)/12-15</f>
        <v>17.830000000000005</v>
      </c>
      <c r="CE206" s="45">
        <f>('[2]Renewable Diesel'!$AB215*'[2]RD Feedstock Breakdown'!CE$3*'[2]Feedstock Conversion Rates'!$B$4)/12+15</f>
        <v>26.25</v>
      </c>
      <c r="CF206" s="47">
        <f t="shared" si="76"/>
        <v>44.080000000000005</v>
      </c>
      <c r="CG206" s="45">
        <f>('[2]Renewable Diesel'!AD215*'[2]Feedstock Conversion Rates'!B$4)/12</f>
        <v>112.5</v>
      </c>
      <c r="CH206" s="47">
        <f t="shared" ref="CH206:CH269" si="149">CG206</f>
        <v>112.5</v>
      </c>
      <c r="CI206" s="45">
        <f>('[2]Renewable Diesel'!$AE215*'[2]RD Feedstock Breakdown'!CI$3*'[2]Feedstock Conversion Rates'!$B$5)/12</f>
        <v>0.34604166666666664</v>
      </c>
      <c r="CJ206" s="45">
        <f>('[2]Renewable Diesel'!$AE215*'[2]RD Feedstock Breakdown'!CJ$3*'[2]Feedstock Conversion Rates'!$B$4)/12</f>
        <v>0.34375</v>
      </c>
      <c r="CK206" s="47">
        <f t="shared" si="73"/>
        <v>0.68979166666666658</v>
      </c>
      <c r="CL206" s="45">
        <f>(((CL$3*'[2]Renewable Diesel'!$AF215)*'[2]Feedstock Conversion Rates'!$B$3)/12)</f>
        <v>91.78125</v>
      </c>
      <c r="CM206" s="45">
        <f>(((CM$3*'[2]Renewable Diesel'!$AF215)*'[2]Feedstock Conversion Rates'!$B$6)/12)</f>
        <v>53.739583333333336</v>
      </c>
      <c r="CN206" s="45">
        <f>(((CN$3*'[2]Renewable Diesel'!$AF215)*'[2]Feedstock Conversion Rates'!$B$4)/12)</f>
        <v>42.96875</v>
      </c>
      <c r="CO206" s="47">
        <f t="shared" si="65"/>
        <v>188.48958333333334</v>
      </c>
      <c r="CP206" s="45">
        <f>('[2]Renewable Diesel'!$AG215*'[2]RD Feedstock Breakdown'!CP$3*'[2]Feedstock Conversion Rates'!$B$3)/12</f>
        <v>6.0075000000000003</v>
      </c>
      <c r="CQ206" s="45">
        <f>('[2]Renewable Diesel'!$AG215*'[2]RD Feedstock Breakdown'!CQ$3*'[2]Feedstock Conversion Rates'!$B$6)/12</f>
        <v>3.5175000000000001</v>
      </c>
      <c r="CR206" s="45">
        <f>('[2]Renewable Diesel'!$AG215*'[2]RD Feedstock Breakdown'!CR$3*'[2]Feedstock Conversion Rates'!$B$4)/12</f>
        <v>2.8125</v>
      </c>
      <c r="CS206" s="47">
        <f t="shared" si="99"/>
        <v>12.3375</v>
      </c>
      <c r="CT206" s="45">
        <f>('[2]Renewable Diesel'!AI215*'[2]Feedstock Conversion Rates'!$B$4*'[2]RD Feedstock Breakdown'!$CT$3)/12</f>
        <v>29.375</v>
      </c>
      <c r="CU206" s="47">
        <f t="shared" si="69"/>
        <v>29.375</v>
      </c>
      <c r="CV206" s="45">
        <f>('[2]Renewable Diesel'!AN215*'[2]Feedstock Conversion Rates'!$B$3*'[2]RD Feedstock Breakdown'!$CV$3)/12</f>
        <v>0.50062499999999999</v>
      </c>
      <c r="CW206" s="47">
        <f t="shared" si="124"/>
        <v>0.50062499999999999</v>
      </c>
      <c r="CX206" s="45">
        <f>('[2]Renewable Diesel'!AO215*'[2]RD Feedstock Breakdown'!$CX$3*'[2]Feedstock Conversion Rates'!$B$3)/12</f>
        <v>6.3412499999999996</v>
      </c>
      <c r="CY206" s="45">
        <f>('[2]Renewable Diesel'!AO215*'[2]RD Feedstock Breakdown'!$CY$3*'[2]Feedstock Conversion Rates'!$B$6)/12</f>
        <v>7.4258333333333342</v>
      </c>
      <c r="CZ206" s="47">
        <f t="shared" si="100"/>
        <v>13.767083333333334</v>
      </c>
      <c r="DA206" s="45">
        <f>('[2]Renewable Diesel'!$AP215*'[2]RD Feedstock Breakdown'!DA$3*'[2]Feedstock Conversion Rates'!$B$3)/12</f>
        <v>6.3412499999999996</v>
      </c>
      <c r="DB206" s="45">
        <f>('[2]Renewable Diesel'!$AP215*'[2]RD Feedstock Breakdown'!DB$3*'[2]Feedstock Conversion Rates'!$B$8)/12</f>
        <v>7.421875</v>
      </c>
      <c r="DC206" s="47">
        <f t="shared" si="127"/>
        <v>13.763124999999999</v>
      </c>
      <c r="DD206" s="45">
        <f>('[2]Renewable Diesel'!AQ215*$DD$3*'[2]Feedstock Conversion Rates'!$B$14)/12</f>
        <v>3.1041666666666665</v>
      </c>
      <c r="DE206" s="47">
        <f t="shared" si="128"/>
        <v>3.1041666666666665</v>
      </c>
      <c r="DF206" s="45">
        <f>('[2]Renewable Diesel'!AR215*'[2]Feedstock Conversion Rates'!$B$4*$DF$3)/12</f>
        <v>75</v>
      </c>
      <c r="DG206" s="47">
        <f t="shared" si="101"/>
        <v>75</v>
      </c>
      <c r="DH206" s="45">
        <f>('[2]Renewable Diesel'!AS215*'[2]Feedstock Conversion Rates'!$B$4*$DH$3)/12</f>
        <v>75</v>
      </c>
      <c r="DI206" s="47">
        <f t="shared" si="110"/>
        <v>75</v>
      </c>
      <c r="DJ206" s="45">
        <f>('[2]Renewable Diesel'!AT215*'[2]Feedstock Conversion Rates'!$B$4*0.25)/12</f>
        <v>8.59375</v>
      </c>
      <c r="DK206" s="45">
        <f>('[2]Renewable Diesel'!$AT215*'[2]RD Feedstock Breakdown'!DK$3*'[2]Feedstock Conversion Rates'!$B$3)/12*0.5</f>
        <v>9.1781249999999996</v>
      </c>
      <c r="DL206" s="45">
        <f>('[2]Renewable Diesel'!$AT215*'[2]RD Feedstock Breakdown'!$DL$3*'[2]Feedstock Conversion Rates'!$B$6)/12</f>
        <v>10.747916666666669</v>
      </c>
      <c r="DM206" s="45">
        <f>('[2]Renewable Diesel'!$AT215*'[2]RD Feedstock Breakdown'!$DM$3*'[2]Feedstock Conversion Rates'!$B$8)/12</f>
        <v>10.7421875</v>
      </c>
      <c r="DN206" s="47">
        <f t="shared" si="77"/>
        <v>39.26197916666667</v>
      </c>
      <c r="DP206" s="45">
        <f t="shared" si="130"/>
        <v>107.47025000000001</v>
      </c>
      <c r="DQ206" s="45">
        <f t="shared" si="131"/>
        <v>532.94151749999992</v>
      </c>
      <c r="DR206" s="45">
        <f t="shared" si="136"/>
        <v>1962.765625</v>
      </c>
      <c r="DS206" s="45">
        <f t="shared" si="70"/>
        <v>145.08354166666669</v>
      </c>
      <c r="DT206" s="45">
        <f t="shared" si="132"/>
        <v>236.53923333333344</v>
      </c>
      <c r="DU206" s="45">
        <f t="shared" si="133"/>
        <v>182.29776666666666</v>
      </c>
      <c r="DV206" s="45">
        <f t="shared" si="137"/>
        <v>8.1750000000000007</v>
      </c>
      <c r="DW206" s="45">
        <f t="shared" si="134"/>
        <v>3</v>
      </c>
      <c r="DX206" s="47">
        <f t="shared" si="138"/>
        <v>3178.2729341666668</v>
      </c>
      <c r="DY206" s="50">
        <f t="shared" si="126"/>
        <v>-30.00000000000048</v>
      </c>
      <c r="EA206" s="51">
        <f t="shared" si="117"/>
        <v>3.3814040589367558E-2</v>
      </c>
      <c r="EB206" s="51">
        <f t="shared" si="117"/>
        <v>0.16768274107954656</v>
      </c>
      <c r="EC206" s="51">
        <f t="shared" si="117"/>
        <v>0.6175572915403601</v>
      </c>
      <c r="ED206" s="51">
        <f t="shared" si="114"/>
        <v>4.5648547079455634E-2</v>
      </c>
      <c r="EE206" s="51">
        <f t="shared" si="114"/>
        <v>7.4423826472081539E-2</v>
      </c>
      <c r="EF206" s="51">
        <f t="shared" si="114"/>
        <v>5.735749271466032E-2</v>
      </c>
      <c r="EG206" s="51">
        <f t="shared" si="114"/>
        <v>2.5721516588830848E-3</v>
      </c>
      <c r="EH206" s="52">
        <f t="shared" si="139"/>
        <v>9.4390886564516853E-4</v>
      </c>
      <c r="EI206" s="51">
        <f t="shared" si="140"/>
        <v>0.99905609113435478</v>
      </c>
      <c r="EK206" s="53">
        <f>(EA206*'[2]Renewable Diesel'!BF215*'[2]Feedstock Conversion Rates'!B$2)+FB206</f>
        <v>125.72435574618095</v>
      </c>
      <c r="EL206" s="53">
        <f>(EB206*'[2]Renewable Diesel'!BF215*'[2]Feedstock Conversion Rates'!B$3)+FC206</f>
        <v>587.52223089264442</v>
      </c>
      <c r="EM206" s="53">
        <f>(EC206*'[2]Renewable Diesel'!BF215*'[2]Feedstock Conversion Rates'!B$4)+FD206</f>
        <v>2026.0116610975253</v>
      </c>
      <c r="EN206" s="53">
        <f>(ED206*'[2]Renewable Diesel'!BF215*'[2]Feedstock Conversion Rates'!B$5)+FE206</f>
        <v>150.75694713422311</v>
      </c>
      <c r="EO206" s="53">
        <f>(EE206*'[2]Renewable Diesel'!BF215*'[2]Feedstock Conversion Rates'!B$6)+FF206</f>
        <v>305.36429625783575</v>
      </c>
      <c r="EP206" s="53">
        <f>(EF206*'[2]Renewable Diesel'!BF215*'[2]Feedstock Conversion Rates'!B$7)+FG206</f>
        <v>230.82423742366507</v>
      </c>
      <c r="EQ206" s="53">
        <f>(EG206*'[2]Renewable Diesel'!BF215*'[2]Feedstock Conversion Rates'!B$8)+FH206</f>
        <v>10.548027944926099</v>
      </c>
      <c r="ER206" s="53">
        <f>(EH206*'[2]Renewable Diesel'!BF215*'[2]Feedstock Conversion Rates'!B$9)+FI206</f>
        <v>3.8192247971842503</v>
      </c>
      <c r="ES206" s="53">
        <f t="shared" si="141"/>
        <v>3440.570981294185</v>
      </c>
      <c r="ET206" s="36">
        <f>ES206/'[2]Renewable Diesel'!BF215</f>
        <v>7.8655138221516294</v>
      </c>
    </row>
    <row r="207" spans="1:150" x14ac:dyDescent="0.25">
      <c r="A207" s="39">
        <v>46722</v>
      </c>
      <c r="B207" s="45">
        <f t="shared" si="142"/>
        <v>52.5</v>
      </c>
      <c r="C207" s="45">
        <f t="shared" si="143"/>
        <v>5.2999999999999972</v>
      </c>
      <c r="D207" s="45">
        <f t="shared" si="144"/>
        <v>2</v>
      </c>
      <c r="E207" s="45">
        <f>('[2]Renewable Diesel'!B216*E$3*'[2]Feedstock Conversion Rates'!$B$2)/12-57.5+6.25+18+10-38+20+16+55+47.5-7-20-4-10+13.5-50</f>
        <v>89.68</v>
      </c>
      <c r="F207" s="45">
        <f>('[2]Renewable Diesel'!B216*'[2]RD Feedstock Breakdown'!F$3*'[2]Feedstock Conversion Rates'!B$8)/12-24+9-2.5+10+5-39+14+10.5+5+5+2-29+4-20</f>
        <v>3.90625</v>
      </c>
      <c r="G207" s="45">
        <f>('[2]Renewable Diesel'!B216*'[2]RD Feedstock Breakdown'!G$3*'[2]Feedstock Conversion Rates'!B$7)/12-30-2+52-144-30+30+70+5-65-30-7.5-5+3</f>
        <v>22.657000000000011</v>
      </c>
      <c r="H207" s="45">
        <f>('[2]Renewable Diesel'!B216*'[2]RD Feedstock Breakdown'!H$3*'[2]Feedstock Conversion Rates'!B$3)/12-95+8+16-72+12+40+40+30-20-15-30+215+15</f>
        <v>320.40022499999998</v>
      </c>
      <c r="I207" s="47">
        <f t="shared" si="75"/>
        <v>496.44347500000003</v>
      </c>
      <c r="J207" s="45">
        <f t="shared" si="145"/>
        <v>142</v>
      </c>
      <c r="K207" s="45"/>
      <c r="L207" s="45">
        <v>1</v>
      </c>
      <c r="M207" s="45">
        <f>('[2]Renewable Diesel'!C216*'[2]RD Feedstock Breakdown'!M$3*'[2]Feedstock Conversion Rates'!B$2)/12-24+10-41+5+1+35+24</f>
        <v>17.79025</v>
      </c>
      <c r="N207" s="45">
        <f>('[2]Renewable Diesel'!C216*'[2]RD Feedstock Breakdown'!N$3*'[2]Feedstock Conversion Rates'!B$8)/12-2.5+16+2-25-2+8+7+2-22-10</f>
        <v>-22.828125</v>
      </c>
      <c r="O207" s="45">
        <f>('[2]Renewable Diesel'!C216*'[2]RD Feedstock Breakdown'!O$3*'[2]Feedstock Conversion Rates'!B$7)/12-30-60-10+20+15-15+20-20+8</f>
        <v>-60.000900000000001</v>
      </c>
      <c r="P207" s="45">
        <f>('[2]Renewable Diesel'!C216*'[2]RD Feedstock Breakdown'!P$3*'[2]Feedstock Conversion Rates'!B$3)/12-27+50-107+35+10+52.5-70+12-5-5</f>
        <v>-44.052957499999991</v>
      </c>
      <c r="Q207" s="47">
        <f t="shared" si="85"/>
        <v>33.908267500000022</v>
      </c>
      <c r="R207" s="45">
        <f>('[2]Renewable Diesel'!D216*'[2]RD Feedstock Breakdown'!R$3*'[2]Feedstock Conversion Rates'!B$7)/12</f>
        <v>2.2999999999999998</v>
      </c>
      <c r="S207" s="47">
        <f t="shared" si="116"/>
        <v>2.2999999999999998</v>
      </c>
      <c r="T207" s="45">
        <f t="shared" si="146"/>
        <v>5.8250000000000028</v>
      </c>
      <c r="U207" s="45">
        <v>30</v>
      </c>
      <c r="V207" s="45">
        <f>('[2]Renewable Diesel'!E216*'[2]RD Feedstock Breakdown'!V$3*'[2]Feedstock Conversion Rates'!B$6)/12-20+25-35</f>
        <v>14.250150000000012</v>
      </c>
      <c r="W207" s="45">
        <f>('[2]Renewable Diesel'!E216*'[2]RD Feedstock Breakdown'!W$3*'[2]Feedstock Conversion Rates'!B$8)/12-5.825</f>
        <v>16.354687500000001</v>
      </c>
      <c r="X207" s="47">
        <f t="shared" si="147"/>
        <v>66.429837500000019</v>
      </c>
      <c r="Y207" s="45">
        <f t="shared" si="148"/>
        <v>125.5</v>
      </c>
      <c r="Z207" s="45">
        <f>('[2]Renewable Diesel'!F216*'[2]RD Feedstock Breakdown'!Z$3*'[2]Feedstock Conversion Rates'!B$6)/12-50-32-60+15+30+22.5-70+70-35+5+6</f>
        <v>60.960000000000008</v>
      </c>
      <c r="AA207" s="45">
        <f>('[2]Renewable Diesel'!F216*'[2]RD Feedstock Breakdown'!AA$3*'[2]Feedstock Conversion Rates'!B$7)/12+80-171+75+30+20-50-6-5</f>
        <v>77.266666666666652</v>
      </c>
      <c r="AB207" s="47">
        <f t="shared" si="102"/>
        <v>263.72666666666669</v>
      </c>
      <c r="AC207" s="45">
        <f>('[2]Renewable Diesel'!G216*'[2]RD Feedstock Breakdown'!AC$3*'[2]Feedstock Conversion Rates'!B$5)/12</f>
        <v>11.796875</v>
      </c>
      <c r="AD207" s="45">
        <f>('[2]Renewable Diesel'!G216*'[2]RD Feedstock Breakdown'!AD$3*'[2]Feedstock Conversion Rates'!B$4)/12</f>
        <v>5.859375</v>
      </c>
      <c r="AE207" s="45">
        <f>('[2]Renewable Diesel'!G216*'[2]RD Feedstock Breakdown'!AE$3*'[2]Feedstock Conversion Rates'!B$6)/12</f>
        <v>7.3281250000000009</v>
      </c>
      <c r="AF207" s="47">
        <f t="shared" si="71"/>
        <v>24.984375</v>
      </c>
      <c r="AG207" s="45">
        <f t="shared" ref="AG207:AG216" si="150">130+20-51+120-2.5-100+45-25-30</f>
        <v>106.5</v>
      </c>
      <c r="AH207" s="45">
        <v>30</v>
      </c>
      <c r="AI207" s="45">
        <f>('[2]Renewable Diesel'!H216*'[2]RD Feedstock Breakdown'!AI$3*'[2]Feedstock Conversion Rates'!B$6)/12-130-20+51-120+2.5+100-45+25</f>
        <v>12.01666666666668</v>
      </c>
      <c r="AJ207" s="47">
        <f t="shared" si="113"/>
        <v>118.51666666666668</v>
      </c>
      <c r="AK207" s="45">
        <f>('[2]Renewable Diesel'!J216*'[2]RD Feedstock Breakdown'!AK$3*'[2]Feedstock Conversion Rates'!B$4)/12</f>
        <v>95.8125</v>
      </c>
      <c r="AL207" s="47">
        <f t="shared" si="123"/>
        <v>95.8125</v>
      </c>
      <c r="AM207" s="45">
        <f>('[2]Renewable Diesel'!K216*'[2]RD Feedstock Breakdown'!AM$3*'[2]Feedstock Conversion Rates'!B$4)/12+5+15-10+9-27</f>
        <v>50.59375</v>
      </c>
      <c r="AN207" s="45">
        <f>('[2]Renewable Diesel'!K216*'[2]RD Feedstock Breakdown'!AN$3*'[2]Feedstock Conversion Rates'!B$6)/12-5-15+10-9+27</f>
        <v>32.427083333333329</v>
      </c>
      <c r="AO207" s="47">
        <f t="shared" si="135"/>
        <v>83.020833333333329</v>
      </c>
      <c r="AP207" s="45">
        <f>('[2]Renewable Diesel'!L216*'[2]RD Feedstock Breakdown'!AP$3*'[2]Feedstock Conversion Rates'!B$4)/12+15-10+2.5+12</f>
        <v>78.09375</v>
      </c>
      <c r="AQ207" s="45">
        <f>('[2]Renewable Diesel'!L216*'[2]RD Feedstock Breakdown'!AQ$3*'[2]Feedstock Conversion Rates'!B$6)/12-15+10-2.5-12</f>
        <v>4.9270833333333321</v>
      </c>
      <c r="AR207" s="47">
        <f t="shared" si="125"/>
        <v>83.020833333333329</v>
      </c>
      <c r="AS207" s="45">
        <f>('[2]Renewable Diesel'!M216*'[2]RD Feedstock Breakdown'!AS$3*'[2]Feedstock Conversion Rates'!B$4)/12</f>
        <v>456.25</v>
      </c>
      <c r="AT207" s="45">
        <f>('[2]Renewable Diesel'!M216*'[2]RD Feedstock Breakdown'!AT$3*'[2]Feedstock Conversion Rates'!B$5)/12</f>
        <v>0</v>
      </c>
      <c r="AU207" s="47">
        <f t="shared" si="74"/>
        <v>456.25</v>
      </c>
      <c r="AV207" s="45">
        <f>'[2]Renewable Diesel'!N216*'[2]RD Feedstock Breakdown'!$AV$3*'[2]Feedstock Conversion Rates'!$B$4/12-15-10+25+25-22-25-12.5</f>
        <v>44.249999999999986</v>
      </c>
      <c r="AW207" s="45">
        <f>'[2]Renewable Diesel'!N216*'[2]RD Feedstock Breakdown'!$AW$3*'[2]Feedstock Conversion Rates'!$B$7/12+15+10-25-25+22+25+12.5</f>
        <v>75.900000000000006</v>
      </c>
      <c r="AX207" s="47">
        <f t="shared" si="109"/>
        <v>120.14999999999999</v>
      </c>
      <c r="AY207" s="45">
        <f>('[2]Renewable Diesel'!O216*'[2]RD Feedstock Breakdown'!AY$3*'[2]Feedstock Conversion Rates'!B$4)/12+32+2-135</f>
        <v>109.9375</v>
      </c>
      <c r="AZ207" s="45">
        <f>('[2]Renewable Diesel'!O216*'[2]RD Feedstock Breakdown'!AZ$3*'[2]Feedstock Conversion Rates'!B$3)/12-32-2+135</f>
        <v>126.03125</v>
      </c>
      <c r="BA207" s="47">
        <f t="shared" si="87"/>
        <v>235.96875</v>
      </c>
      <c r="BB207" s="45">
        <f>('[2]Renewable Diesel'!Q216*'[2]RD Feedstock Breakdown'!BB$3*'[2]Feedstock Conversion Rates'!B$4)/12</f>
        <v>11.156249999999998</v>
      </c>
      <c r="BC207" s="45">
        <f>('[2]Renewable Diesel'!Q216*'[2]RD Feedstock Breakdown'!BC$3*'[2]Feedstock Conversion Rates'!B$3)/12</f>
        <v>1.4017500000000001</v>
      </c>
      <c r="BD207" s="45">
        <f>('[2]Renewable Diesel'!Q216*'[2]RD Feedstock Breakdown'!BD$3*'[2]Feedstock Conversion Rates'!B$6)/12</f>
        <v>0.8207500000000002</v>
      </c>
      <c r="BE207" s="47">
        <f t="shared" ref="BE207:BE270" si="151">SUM(BB207:BD207)</f>
        <v>13.378749999999998</v>
      </c>
      <c r="BF207" s="45">
        <f>('[2]Renewable Diesel'!R216*'[2]RD Feedstock Breakdown'!BF$3*'[2]Feedstock Conversion Rates'!B$4)/12</f>
        <v>62.5</v>
      </c>
      <c r="BG207" s="47">
        <f t="shared" si="129"/>
        <v>62.5</v>
      </c>
      <c r="BH207" s="45">
        <f>('[2]Renewable Diesel'!T216*'[2]RD Feedstock Breakdown'!BH$3*'[2]Feedstock Conversion Rates'!B$7)/12</f>
        <v>27.599999999999998</v>
      </c>
      <c r="BI207" s="47">
        <f t="shared" si="112"/>
        <v>27.599999999999998</v>
      </c>
      <c r="BJ207" s="45">
        <f>('[2]Renewable Diesel'!W216*'[2]RD Feedstock Breakdown'!BJ$3*'[2]Feedstock Conversion Rates'!B$4)/12</f>
        <v>7.5</v>
      </c>
      <c r="BK207" s="45">
        <f>('[2]Renewable Diesel'!W216*'[2]RD Feedstock Breakdown'!BK$3*'[2]Feedstock Conversion Rates'!B$3)/12</f>
        <v>1.335</v>
      </c>
      <c r="BL207" s="45">
        <f>('[2]Renewable Diesel'!W216*'[2]RD Feedstock Breakdown'!BL$3*'[2]Feedstock Conversion Rates'!B$6)/12</f>
        <v>3.1266666666666669</v>
      </c>
      <c r="BM207" s="45">
        <f>('[2]Renewable Diesel'!W216*'[2]RD Feedstock Breakdown'!BM$3*'[2]Feedstock Conversion Rates'!B$7)/12</f>
        <v>1.5333333333333332</v>
      </c>
      <c r="BN207" s="47">
        <f t="shared" si="78"/>
        <v>13.495000000000001</v>
      </c>
      <c r="BO207" s="45">
        <f>('[2]Renewable Diesel'!P216*'[2]Feedstock Conversion Rates'!B$4)/12</f>
        <v>31.25</v>
      </c>
      <c r="BP207" s="47">
        <f t="shared" si="72"/>
        <v>31.25</v>
      </c>
      <c r="BQ207" s="45">
        <f>('[2]Renewable Diesel'!$S216*'[2]RD Feedstock Breakdown'!BQ$3*'[2]Feedstock Conversion Rates'!B$4)/12+10</f>
        <v>38.125</v>
      </c>
      <c r="BR207" s="45">
        <f>('[2]Renewable Diesel'!$S216*'[2]RD Feedstock Breakdown'!BR$3*'[2]Feedstock Conversion Rates'!B$7)/12-10</f>
        <v>1.5</v>
      </c>
      <c r="BS207" s="47">
        <f t="shared" si="90"/>
        <v>39.625</v>
      </c>
      <c r="BT207" s="47"/>
      <c r="BU207" s="45">
        <f>('[2]Renewable Diesel'!Y216*'[2]Feedstock Conversion Rates'!B$7)/12</f>
        <v>2.6833333333333331</v>
      </c>
      <c r="BV207" s="47">
        <f t="shared" si="67"/>
        <v>2.6833333333333331</v>
      </c>
      <c r="BW207" s="45">
        <f>('[2]Renewable Diesel'!$Z216*'[2]RD Feedstock Breakdown'!BW$3*'[2]Feedstock Conversion Rates'!$B$4)/12</f>
        <v>35.9375</v>
      </c>
      <c r="BX207" s="45">
        <f>('[2]Renewable Diesel'!$Z216*'[2]RD Feedstock Breakdown'!BX$3*'[2]Feedstock Conversion Rates'!$B$5)/12</f>
        <v>3.6177083333333333</v>
      </c>
      <c r="BY207" s="45">
        <f>('[2]Renewable Diesel'!$Z216*'[2]RD Feedstock Breakdown'!BY$3*'[2]Feedstock Conversion Rates'!$B$7)/12</f>
        <v>30.858333333333331</v>
      </c>
      <c r="BZ207" s="45">
        <f>('[2]Renewable Diesel'!$Z216*'[2]RD Feedstock Breakdown'!BZ$3*'[2]Feedstock Conversion Rates'!$B$3)/12</f>
        <v>7.6762499999999996</v>
      </c>
      <c r="CA207" s="47">
        <f t="shared" si="91"/>
        <v>78.089791666666656</v>
      </c>
      <c r="CB207" s="45">
        <f>('[2]Renewable Diesel'!AA216*'[2]Feedstock Conversion Rates'!B$4)/12</f>
        <v>191.25</v>
      </c>
      <c r="CC207" s="47">
        <f t="shared" si="79"/>
        <v>191.25</v>
      </c>
      <c r="CD207" s="45">
        <f>('[2]Renewable Diesel'!$AB216*'[2]RD Feedstock Breakdown'!CD$3*'[2]Feedstock Conversion Rates'!$B$6)/12-15</f>
        <v>17.830000000000005</v>
      </c>
      <c r="CE207" s="45">
        <f>('[2]Renewable Diesel'!$AB216*'[2]RD Feedstock Breakdown'!CE$3*'[2]Feedstock Conversion Rates'!$B$4)/12+15</f>
        <v>26.25</v>
      </c>
      <c r="CF207" s="47">
        <f t="shared" si="76"/>
        <v>44.080000000000005</v>
      </c>
      <c r="CG207" s="45">
        <f>('[2]Renewable Diesel'!AD216*'[2]Feedstock Conversion Rates'!B$4)/12</f>
        <v>112.5</v>
      </c>
      <c r="CH207" s="47">
        <f t="shared" si="149"/>
        <v>112.5</v>
      </c>
      <c r="CI207" s="45">
        <f>('[2]Renewable Diesel'!$AE216*'[2]RD Feedstock Breakdown'!CI$3*'[2]Feedstock Conversion Rates'!$B$5)/12</f>
        <v>0.34604166666666664</v>
      </c>
      <c r="CJ207" s="45">
        <f>('[2]Renewable Diesel'!$AE216*'[2]RD Feedstock Breakdown'!CJ$3*'[2]Feedstock Conversion Rates'!$B$4)/12</f>
        <v>0.34375</v>
      </c>
      <c r="CK207" s="47">
        <f t="shared" si="73"/>
        <v>0.68979166666666658</v>
      </c>
      <c r="CL207" s="45">
        <f>(((CL$3*'[2]Renewable Diesel'!$AF216)*'[2]Feedstock Conversion Rates'!$B$3)/12)</f>
        <v>91.78125</v>
      </c>
      <c r="CM207" s="45">
        <f>(((CM$3*'[2]Renewable Diesel'!$AF216)*'[2]Feedstock Conversion Rates'!$B$6)/12)</f>
        <v>53.739583333333336</v>
      </c>
      <c r="CN207" s="45">
        <f>(((CN$3*'[2]Renewable Diesel'!$AF216)*'[2]Feedstock Conversion Rates'!$B$4)/12)</f>
        <v>42.96875</v>
      </c>
      <c r="CO207" s="47">
        <f t="shared" ref="CO207:CO270" si="152">SUM(CL207:CN207)</f>
        <v>188.48958333333334</v>
      </c>
      <c r="CP207" s="45">
        <f>('[2]Renewable Diesel'!$AG216*'[2]RD Feedstock Breakdown'!CP$3*'[2]Feedstock Conversion Rates'!$B$3)/12</f>
        <v>6.0075000000000003</v>
      </c>
      <c r="CQ207" s="45">
        <f>('[2]Renewable Diesel'!$AG216*'[2]RD Feedstock Breakdown'!CQ$3*'[2]Feedstock Conversion Rates'!$B$6)/12</f>
        <v>3.5175000000000001</v>
      </c>
      <c r="CR207" s="45">
        <f>('[2]Renewable Diesel'!$AG216*'[2]RD Feedstock Breakdown'!CR$3*'[2]Feedstock Conversion Rates'!$B$4)/12</f>
        <v>2.8125</v>
      </c>
      <c r="CS207" s="47">
        <f t="shared" si="99"/>
        <v>12.3375</v>
      </c>
      <c r="CT207" s="45">
        <f>('[2]Renewable Diesel'!AI216*'[2]Feedstock Conversion Rates'!$B$4*'[2]RD Feedstock Breakdown'!$CT$3)/12</f>
        <v>29.375</v>
      </c>
      <c r="CU207" s="47">
        <f t="shared" si="69"/>
        <v>29.375</v>
      </c>
      <c r="CV207" s="45">
        <f>('[2]Renewable Diesel'!AN216*'[2]Feedstock Conversion Rates'!$B$3*'[2]RD Feedstock Breakdown'!$CV$3)/12</f>
        <v>0.50062499999999999</v>
      </c>
      <c r="CW207" s="47">
        <f t="shared" si="124"/>
        <v>0.50062499999999999</v>
      </c>
      <c r="CX207" s="45">
        <f>('[2]Renewable Diesel'!AO216*'[2]RD Feedstock Breakdown'!$CX$3*'[2]Feedstock Conversion Rates'!$B$3)/12</f>
        <v>6.3412499999999996</v>
      </c>
      <c r="CY207" s="45">
        <f>('[2]Renewable Diesel'!AO216*'[2]RD Feedstock Breakdown'!$CY$3*'[2]Feedstock Conversion Rates'!$B$6)/12</f>
        <v>7.4258333333333342</v>
      </c>
      <c r="CZ207" s="47">
        <f t="shared" si="100"/>
        <v>13.767083333333334</v>
      </c>
      <c r="DA207" s="45">
        <f>('[2]Renewable Diesel'!$AP216*'[2]RD Feedstock Breakdown'!DA$3*'[2]Feedstock Conversion Rates'!$B$3)/12</f>
        <v>6.3412499999999996</v>
      </c>
      <c r="DB207" s="45">
        <f>('[2]Renewable Diesel'!$AP216*'[2]RD Feedstock Breakdown'!DB$3*'[2]Feedstock Conversion Rates'!$B$8)/12</f>
        <v>7.421875</v>
      </c>
      <c r="DC207" s="47">
        <f t="shared" si="127"/>
        <v>13.763124999999999</v>
      </c>
      <c r="DD207" s="45">
        <f>('[2]Renewable Diesel'!AQ216*$DD$3*'[2]Feedstock Conversion Rates'!$B$14)/12</f>
        <v>3.1041666666666665</v>
      </c>
      <c r="DE207" s="47">
        <f t="shared" si="128"/>
        <v>3.1041666666666665</v>
      </c>
      <c r="DF207" s="45">
        <f>('[2]Renewable Diesel'!AR216*'[2]Feedstock Conversion Rates'!$B$4*$DF$3)/12</f>
        <v>75</v>
      </c>
      <c r="DG207" s="47">
        <f t="shared" si="101"/>
        <v>75</v>
      </c>
      <c r="DH207" s="45">
        <f>('[2]Renewable Diesel'!AS216*'[2]Feedstock Conversion Rates'!$B$4*$DH$3)/12</f>
        <v>75</v>
      </c>
      <c r="DI207" s="47">
        <f t="shared" si="110"/>
        <v>75</v>
      </c>
      <c r="DJ207" s="45">
        <f>('[2]Renewable Diesel'!AT216*'[2]Feedstock Conversion Rates'!$B$4*0.25)/12</f>
        <v>8.59375</v>
      </c>
      <c r="DK207" s="45">
        <f>('[2]Renewable Diesel'!$AT216*'[2]RD Feedstock Breakdown'!DK$3*'[2]Feedstock Conversion Rates'!$B$3)/12*0.5</f>
        <v>9.1781249999999996</v>
      </c>
      <c r="DL207" s="45">
        <f>('[2]Renewable Diesel'!$AT216*'[2]RD Feedstock Breakdown'!$DL$3*'[2]Feedstock Conversion Rates'!$B$6)/12</f>
        <v>10.747916666666669</v>
      </c>
      <c r="DM207" s="45">
        <f>('[2]Renewable Diesel'!$AT216*'[2]RD Feedstock Breakdown'!$DM$3*'[2]Feedstock Conversion Rates'!$B$8)/12</f>
        <v>10.7421875</v>
      </c>
      <c r="DN207" s="47">
        <f t="shared" si="77"/>
        <v>39.26197916666667</v>
      </c>
      <c r="DP207" s="45">
        <f t="shared" si="130"/>
        <v>107.47025000000001</v>
      </c>
      <c r="DQ207" s="45">
        <f t="shared" si="131"/>
        <v>532.94151749999992</v>
      </c>
      <c r="DR207" s="45">
        <f t="shared" si="136"/>
        <v>1962.765625</v>
      </c>
      <c r="DS207" s="45">
        <f t="shared" si="70"/>
        <v>145.08354166666669</v>
      </c>
      <c r="DT207" s="45">
        <f t="shared" si="132"/>
        <v>236.53923333333344</v>
      </c>
      <c r="DU207" s="45">
        <f t="shared" si="133"/>
        <v>182.29776666666666</v>
      </c>
      <c r="DV207" s="45">
        <f t="shared" si="137"/>
        <v>8.1750000000000007</v>
      </c>
      <c r="DW207" s="45">
        <f t="shared" si="134"/>
        <v>3</v>
      </c>
      <c r="DX207" s="47">
        <f t="shared" si="138"/>
        <v>3178.2729341666668</v>
      </c>
      <c r="DY207" s="50">
        <f t="shared" si="126"/>
        <v>-30.00000000000048</v>
      </c>
      <c r="EA207" s="51">
        <f t="shared" si="117"/>
        <v>3.3814040589367558E-2</v>
      </c>
      <c r="EB207" s="51">
        <f t="shared" si="117"/>
        <v>0.16768274107954656</v>
      </c>
      <c r="EC207" s="51">
        <f t="shared" si="117"/>
        <v>0.6175572915403601</v>
      </c>
      <c r="ED207" s="51">
        <f t="shared" si="114"/>
        <v>4.5648547079455634E-2</v>
      </c>
      <c r="EE207" s="51">
        <f t="shared" si="114"/>
        <v>7.4423826472081539E-2</v>
      </c>
      <c r="EF207" s="51">
        <f t="shared" si="114"/>
        <v>5.735749271466032E-2</v>
      </c>
      <c r="EG207" s="51">
        <f t="shared" si="114"/>
        <v>2.5721516588830848E-3</v>
      </c>
      <c r="EH207" s="52">
        <f t="shared" si="139"/>
        <v>9.4390886564516853E-4</v>
      </c>
      <c r="EI207" s="51">
        <f t="shared" si="140"/>
        <v>0.99905609113435478</v>
      </c>
      <c r="EK207" s="53">
        <f>(EA207*'[2]Renewable Diesel'!BF216*'[2]Feedstock Conversion Rates'!B$2)+FB207</f>
        <v>133.9063563370359</v>
      </c>
      <c r="EL207" s="53">
        <f>(EB207*'[2]Renewable Diesel'!BF216*'[2]Feedstock Conversion Rates'!B$3)+FC207</f>
        <v>625.75752119716492</v>
      </c>
      <c r="EM207" s="53">
        <f>(EC207*'[2]Renewable Diesel'!BF216*'[2]Feedstock Conversion Rates'!B$4)+FD207</f>
        <v>2157.8622361893172</v>
      </c>
      <c r="EN207" s="53">
        <f>(ED207*'[2]Renewable Diesel'!BF216*'[2]Feedstock Conversion Rates'!B$5)+FE207</f>
        <v>160.56804080184904</v>
      </c>
      <c r="EO207" s="53">
        <f>(EE207*'[2]Renewable Diesel'!BF216*'[2]Feedstock Conversion Rates'!B$6)+FF207</f>
        <v>325.23706345221865</v>
      </c>
      <c r="EP207" s="53">
        <f>(EF207*'[2]Renewable Diesel'!BF216*'[2]Feedstock Conversion Rates'!B$7)+FG207</f>
        <v>245.846020878232</v>
      </c>
      <c r="EQ207" s="53">
        <f>(EG207*'[2]Renewable Diesel'!BF216*'[2]Feedstock Conversion Rates'!B$8)+FH207</f>
        <v>11.234481817491373</v>
      </c>
      <c r="ER207" s="53">
        <f>(EH207*'[2]Renewable Diesel'!BF216*'[2]Feedstock Conversion Rates'!B$9)+FI207</f>
        <v>4.0677756794831144</v>
      </c>
      <c r="ES207" s="53">
        <f t="shared" si="141"/>
        <v>3664.479496352792</v>
      </c>
      <c r="ET207" s="36">
        <f>ES207/'[2]Renewable Diesel'!BF216</f>
        <v>7.8655138221516285</v>
      </c>
    </row>
    <row r="208" spans="1:150" x14ac:dyDescent="0.25">
      <c r="A208" s="39">
        <v>46753</v>
      </c>
      <c r="B208" s="45">
        <f t="shared" si="142"/>
        <v>52.5</v>
      </c>
      <c r="C208" s="45">
        <f t="shared" si="143"/>
        <v>5.2999999999999972</v>
      </c>
      <c r="D208" s="45">
        <f t="shared" si="144"/>
        <v>2</v>
      </c>
      <c r="E208" s="45">
        <f>('[2]Renewable Diesel'!B217*E$3*'[2]Feedstock Conversion Rates'!$B$2)/12-57.5+6.25+18+10-38+20+16+55+47.5-7-20-4-10+13.5-50</f>
        <v>89.68</v>
      </c>
      <c r="F208" s="45">
        <f>('[2]Renewable Diesel'!B217*'[2]RD Feedstock Breakdown'!F$3*'[2]Feedstock Conversion Rates'!B$8)/12-24+9-2.5+10+5-39+14+10.5+5+5+2-29+4-20</f>
        <v>3.90625</v>
      </c>
      <c r="G208" s="45">
        <f>('[2]Renewable Diesel'!B217*'[2]RD Feedstock Breakdown'!G$3*'[2]Feedstock Conversion Rates'!B$7)/12-30-2+52-144-30+30+70+5-65-30-7.5-5+3</f>
        <v>22.657000000000011</v>
      </c>
      <c r="H208" s="45">
        <f>('[2]Renewable Diesel'!B217*'[2]RD Feedstock Breakdown'!H$3*'[2]Feedstock Conversion Rates'!B$3)/12-95+8+16-72+12+40+40+30-20-15-30+215+15</f>
        <v>320.40022499999998</v>
      </c>
      <c r="I208" s="47">
        <f t="shared" si="75"/>
        <v>496.44347500000003</v>
      </c>
      <c r="J208" s="45">
        <f t="shared" si="145"/>
        <v>142</v>
      </c>
      <c r="K208" s="45"/>
      <c r="L208" s="45">
        <v>1</v>
      </c>
      <c r="M208" s="45">
        <f>('[2]Renewable Diesel'!C217*'[2]RD Feedstock Breakdown'!M$3*'[2]Feedstock Conversion Rates'!B$2)/12-24+10-41+5+1+35+24</f>
        <v>17.79025</v>
      </c>
      <c r="N208" s="45">
        <f>('[2]Renewable Diesel'!C217*'[2]RD Feedstock Breakdown'!N$3*'[2]Feedstock Conversion Rates'!B$8)/12-2.5+16+2-25-2+8+7+2-22-10</f>
        <v>-22.828125</v>
      </c>
      <c r="O208" s="45">
        <f>('[2]Renewable Diesel'!C217*'[2]RD Feedstock Breakdown'!O$3*'[2]Feedstock Conversion Rates'!B$7)/12-30-60-10+20+15-15+20-20+8</f>
        <v>-60.000900000000001</v>
      </c>
      <c r="P208" s="45">
        <f>('[2]Renewable Diesel'!C217*'[2]RD Feedstock Breakdown'!P$3*'[2]Feedstock Conversion Rates'!B$3)/12-27+50-107+35+10+52.5-70+12-5-5</f>
        <v>-44.052957499999991</v>
      </c>
      <c r="Q208" s="47">
        <f t="shared" si="85"/>
        <v>33.908267500000022</v>
      </c>
      <c r="R208" s="45">
        <f>('[2]Renewable Diesel'!D217*'[2]RD Feedstock Breakdown'!R$3*'[2]Feedstock Conversion Rates'!B$7)/12</f>
        <v>2.2999999999999998</v>
      </c>
      <c r="S208" s="47">
        <f t="shared" si="116"/>
        <v>2.2999999999999998</v>
      </c>
      <c r="T208" s="45">
        <f t="shared" si="146"/>
        <v>5.8250000000000028</v>
      </c>
      <c r="U208" s="45">
        <v>30</v>
      </c>
      <c r="V208" s="45">
        <f>('[2]Renewable Diesel'!E217*'[2]RD Feedstock Breakdown'!V$3*'[2]Feedstock Conversion Rates'!B$6)/12-20+25-35</f>
        <v>14.250150000000012</v>
      </c>
      <c r="W208" s="45">
        <f>('[2]Renewable Diesel'!E217*'[2]RD Feedstock Breakdown'!W$3*'[2]Feedstock Conversion Rates'!B$8)/12-6</f>
        <v>16.1796875</v>
      </c>
      <c r="X208" s="47">
        <f t="shared" si="147"/>
        <v>66.254837500000008</v>
      </c>
      <c r="Y208" s="45">
        <f t="shared" si="148"/>
        <v>125.5</v>
      </c>
      <c r="Z208" s="45">
        <f>('[2]Renewable Diesel'!F217*'[2]RD Feedstock Breakdown'!Z$3*'[2]Feedstock Conversion Rates'!B$6)/12-50-32-60+15+30+22.5-70+70-35+5+6</f>
        <v>60.960000000000008</v>
      </c>
      <c r="AA208" s="45">
        <f>('[2]Renewable Diesel'!F217*'[2]RD Feedstock Breakdown'!AA$3*'[2]Feedstock Conversion Rates'!B$7)/12+80-171+75+30+20-50-6-5</f>
        <v>77.266666666666652</v>
      </c>
      <c r="AB208" s="47">
        <f t="shared" si="102"/>
        <v>263.72666666666669</v>
      </c>
      <c r="AC208" s="45">
        <f>('[2]Renewable Diesel'!G217*'[2]RD Feedstock Breakdown'!AC$3*'[2]Feedstock Conversion Rates'!B$5)/12</f>
        <v>11.796875</v>
      </c>
      <c r="AD208" s="45">
        <f>('[2]Renewable Diesel'!G217*'[2]RD Feedstock Breakdown'!AD$3*'[2]Feedstock Conversion Rates'!B$4)/12</f>
        <v>5.859375</v>
      </c>
      <c r="AE208" s="45">
        <f>('[2]Renewable Diesel'!G217*'[2]RD Feedstock Breakdown'!AE$3*'[2]Feedstock Conversion Rates'!B$6)/12</f>
        <v>7.3281250000000009</v>
      </c>
      <c r="AF208" s="47">
        <f t="shared" si="71"/>
        <v>24.984375</v>
      </c>
      <c r="AG208" s="45">
        <f t="shared" si="150"/>
        <v>106.5</v>
      </c>
      <c r="AH208" s="45">
        <v>30</v>
      </c>
      <c r="AI208" s="45">
        <f>('[2]Renewable Diesel'!H217*'[2]RD Feedstock Breakdown'!AI$3*'[2]Feedstock Conversion Rates'!B$6)/12-130-20+51-120+2.5+100-45+25</f>
        <v>12.01666666666668</v>
      </c>
      <c r="AJ208" s="47">
        <f t="shared" si="113"/>
        <v>118.51666666666668</v>
      </c>
      <c r="AK208" s="45">
        <f>('[2]Renewable Diesel'!J217*'[2]RD Feedstock Breakdown'!AK$3*'[2]Feedstock Conversion Rates'!B$4)/12</f>
        <v>95.8125</v>
      </c>
      <c r="AL208" s="47">
        <f t="shared" si="123"/>
        <v>95.8125</v>
      </c>
      <c r="AM208" s="45">
        <f>('[2]Renewable Diesel'!K217*'[2]RD Feedstock Breakdown'!AM$3*'[2]Feedstock Conversion Rates'!B$4)/12+5+15-10+9-27</f>
        <v>50.59375</v>
      </c>
      <c r="AN208" s="45">
        <f>('[2]Renewable Diesel'!K217*'[2]RD Feedstock Breakdown'!AN$3*'[2]Feedstock Conversion Rates'!B$6)/12-5-15+10-9+27</f>
        <v>32.427083333333329</v>
      </c>
      <c r="AO208" s="47">
        <f t="shared" si="135"/>
        <v>83.020833333333329</v>
      </c>
      <c r="AP208" s="45">
        <f>('[2]Renewable Diesel'!L217*'[2]RD Feedstock Breakdown'!AP$3*'[2]Feedstock Conversion Rates'!B$4)/12+15-10+2.5+12</f>
        <v>78.09375</v>
      </c>
      <c r="AQ208" s="45">
        <f>('[2]Renewable Diesel'!L217*'[2]RD Feedstock Breakdown'!AQ$3*'[2]Feedstock Conversion Rates'!B$6)/12-15+10-2.5-12</f>
        <v>4.9270833333333321</v>
      </c>
      <c r="AR208" s="47">
        <f t="shared" si="125"/>
        <v>83.020833333333329</v>
      </c>
      <c r="AS208" s="45">
        <f>('[2]Renewable Diesel'!M217*'[2]RD Feedstock Breakdown'!AS$3*'[2]Feedstock Conversion Rates'!B$4)/12</f>
        <v>456.25</v>
      </c>
      <c r="AT208" s="45">
        <f>('[2]Renewable Diesel'!M217*'[2]RD Feedstock Breakdown'!AT$3*'[2]Feedstock Conversion Rates'!B$5)/12</f>
        <v>0</v>
      </c>
      <c r="AU208" s="47">
        <f t="shared" si="74"/>
        <v>456.25</v>
      </c>
      <c r="AV208" s="45">
        <f>'[2]Renewable Diesel'!N217*'[2]RD Feedstock Breakdown'!$AV$3*'[2]Feedstock Conversion Rates'!$B$4/12-15-10+25+25-22-25-12.5</f>
        <v>44.249999999999986</v>
      </c>
      <c r="AW208" s="45">
        <f>'[2]Renewable Diesel'!N217*'[2]RD Feedstock Breakdown'!$AW$3*'[2]Feedstock Conversion Rates'!$B$7/12+15+10-25-25+22+25+12.5</f>
        <v>75.900000000000006</v>
      </c>
      <c r="AX208" s="47">
        <f t="shared" si="109"/>
        <v>120.14999999999999</v>
      </c>
      <c r="AY208" s="45">
        <f>('[2]Renewable Diesel'!O217*'[2]RD Feedstock Breakdown'!AY$3*'[2]Feedstock Conversion Rates'!B$4)/12+32+2-135</f>
        <v>109.9375</v>
      </c>
      <c r="AZ208" s="45">
        <f>('[2]Renewable Diesel'!O217*'[2]RD Feedstock Breakdown'!AZ$3*'[2]Feedstock Conversion Rates'!B$3)/12-32-2+135</f>
        <v>126.03125</v>
      </c>
      <c r="BA208" s="47">
        <f t="shared" si="87"/>
        <v>235.96875</v>
      </c>
      <c r="BB208" s="45">
        <f>('[2]Renewable Diesel'!Q217*'[2]RD Feedstock Breakdown'!BB$3*'[2]Feedstock Conversion Rates'!B$4)/12</f>
        <v>11.156249999999998</v>
      </c>
      <c r="BC208" s="45">
        <f>('[2]Renewable Diesel'!Q217*'[2]RD Feedstock Breakdown'!BC$3*'[2]Feedstock Conversion Rates'!B$3)/12</f>
        <v>1.4017500000000001</v>
      </c>
      <c r="BD208" s="45">
        <f>('[2]Renewable Diesel'!Q217*'[2]RD Feedstock Breakdown'!BD$3*'[2]Feedstock Conversion Rates'!B$6)/12</f>
        <v>0.8207500000000002</v>
      </c>
      <c r="BE208" s="47">
        <f t="shared" si="151"/>
        <v>13.378749999999998</v>
      </c>
      <c r="BF208" s="45">
        <f>('[2]Renewable Diesel'!R217*'[2]RD Feedstock Breakdown'!BF$3*'[2]Feedstock Conversion Rates'!B$4)/12</f>
        <v>62.5</v>
      </c>
      <c r="BG208" s="47">
        <f t="shared" si="129"/>
        <v>62.5</v>
      </c>
      <c r="BH208" s="45">
        <f>('[2]Renewable Diesel'!T217*'[2]RD Feedstock Breakdown'!BH$3*'[2]Feedstock Conversion Rates'!B$7)/12</f>
        <v>27.599999999999998</v>
      </c>
      <c r="BI208" s="47">
        <f t="shared" si="112"/>
        <v>27.599999999999998</v>
      </c>
      <c r="BJ208" s="45">
        <f>('[2]Renewable Diesel'!W217*'[2]RD Feedstock Breakdown'!BJ$3*'[2]Feedstock Conversion Rates'!B$4)/12</f>
        <v>7.5</v>
      </c>
      <c r="BK208" s="45">
        <f>('[2]Renewable Diesel'!W217*'[2]RD Feedstock Breakdown'!BK$3*'[2]Feedstock Conversion Rates'!B$3)/12</f>
        <v>1.335</v>
      </c>
      <c r="BL208" s="45">
        <f>('[2]Renewable Diesel'!W217*'[2]RD Feedstock Breakdown'!BL$3*'[2]Feedstock Conversion Rates'!B$6)/12</f>
        <v>3.1266666666666669</v>
      </c>
      <c r="BM208" s="45">
        <f>('[2]Renewable Diesel'!W217*'[2]RD Feedstock Breakdown'!BM$3*'[2]Feedstock Conversion Rates'!B$7)/12</f>
        <v>1.5333333333333332</v>
      </c>
      <c r="BN208" s="47">
        <f t="shared" si="78"/>
        <v>13.495000000000001</v>
      </c>
      <c r="BO208" s="45">
        <f>('[2]Renewable Diesel'!P217*'[2]Feedstock Conversion Rates'!B$4)/12</f>
        <v>31.25</v>
      </c>
      <c r="BP208" s="47">
        <f t="shared" si="72"/>
        <v>31.25</v>
      </c>
      <c r="BQ208" s="45">
        <f>('[2]Renewable Diesel'!$S217*'[2]RD Feedstock Breakdown'!BQ$3*'[2]Feedstock Conversion Rates'!B$4)/12+10</f>
        <v>38.125</v>
      </c>
      <c r="BR208" s="45">
        <f>('[2]Renewable Diesel'!$S217*'[2]RD Feedstock Breakdown'!BR$3*'[2]Feedstock Conversion Rates'!B$7)/12-10</f>
        <v>1.5</v>
      </c>
      <c r="BS208" s="47">
        <f t="shared" si="90"/>
        <v>39.625</v>
      </c>
      <c r="BT208" s="47"/>
      <c r="BU208" s="45">
        <f>('[2]Renewable Diesel'!Y217*'[2]Feedstock Conversion Rates'!B$7)/12</f>
        <v>2.6833333333333331</v>
      </c>
      <c r="BV208" s="47">
        <f t="shared" si="67"/>
        <v>2.6833333333333331</v>
      </c>
      <c r="BW208" s="45">
        <f>('[2]Renewable Diesel'!$Z217*'[2]RD Feedstock Breakdown'!BW$3*'[2]Feedstock Conversion Rates'!$B$4)/12</f>
        <v>35.9375</v>
      </c>
      <c r="BX208" s="45">
        <f>('[2]Renewable Diesel'!$Z217*'[2]RD Feedstock Breakdown'!BX$3*'[2]Feedstock Conversion Rates'!$B$5)/12</f>
        <v>3.6177083333333333</v>
      </c>
      <c r="BY208" s="45">
        <f>('[2]Renewable Diesel'!$Z217*'[2]RD Feedstock Breakdown'!BY$3*'[2]Feedstock Conversion Rates'!$B$7)/12</f>
        <v>30.858333333333331</v>
      </c>
      <c r="BZ208" s="45">
        <f>('[2]Renewable Diesel'!$Z217*'[2]RD Feedstock Breakdown'!BZ$3*'[2]Feedstock Conversion Rates'!$B$3)/12</f>
        <v>7.6762499999999996</v>
      </c>
      <c r="CA208" s="47">
        <f t="shared" si="91"/>
        <v>78.089791666666656</v>
      </c>
      <c r="CB208" s="45">
        <f>('[2]Renewable Diesel'!AA217*'[2]Feedstock Conversion Rates'!B$4)/12</f>
        <v>191.25</v>
      </c>
      <c r="CC208" s="47">
        <f t="shared" si="79"/>
        <v>191.25</v>
      </c>
      <c r="CD208" s="45">
        <f>('[2]Renewable Diesel'!$AB217*'[2]RD Feedstock Breakdown'!CD$3*'[2]Feedstock Conversion Rates'!$B$6)/12-15</f>
        <v>17.830000000000005</v>
      </c>
      <c r="CE208" s="45">
        <f>('[2]Renewable Diesel'!$AB217*'[2]RD Feedstock Breakdown'!CE$3*'[2]Feedstock Conversion Rates'!$B$4)/12+15</f>
        <v>26.25</v>
      </c>
      <c r="CF208" s="47">
        <f t="shared" si="76"/>
        <v>44.080000000000005</v>
      </c>
      <c r="CG208" s="45">
        <f>('[2]Renewable Diesel'!AD217*'[2]Feedstock Conversion Rates'!B$4)/12</f>
        <v>112.5</v>
      </c>
      <c r="CH208" s="47">
        <f t="shared" si="149"/>
        <v>112.5</v>
      </c>
      <c r="CI208" s="45">
        <f>('[2]Renewable Diesel'!$AE217*'[2]RD Feedstock Breakdown'!CI$3*'[2]Feedstock Conversion Rates'!$B$5)/12</f>
        <v>0.34604166666666664</v>
      </c>
      <c r="CJ208" s="45">
        <f>('[2]Renewable Diesel'!$AE217*'[2]RD Feedstock Breakdown'!CJ$3*'[2]Feedstock Conversion Rates'!$B$4)/12</f>
        <v>0.34375</v>
      </c>
      <c r="CK208" s="47">
        <f t="shared" si="73"/>
        <v>0.68979166666666658</v>
      </c>
      <c r="CL208" s="45">
        <f>(((CL$3*'[2]Renewable Diesel'!$AF217)*'[2]Feedstock Conversion Rates'!$B$3)/12)</f>
        <v>91.78125</v>
      </c>
      <c r="CM208" s="45">
        <f>(((CM$3*'[2]Renewable Diesel'!$AF217)*'[2]Feedstock Conversion Rates'!$B$6)/12)</f>
        <v>53.739583333333336</v>
      </c>
      <c r="CN208" s="45">
        <f>(((CN$3*'[2]Renewable Diesel'!$AF217)*'[2]Feedstock Conversion Rates'!$B$4)/12)</f>
        <v>42.96875</v>
      </c>
      <c r="CO208" s="47">
        <f t="shared" si="152"/>
        <v>188.48958333333334</v>
      </c>
      <c r="CP208" s="45">
        <f>('[2]Renewable Diesel'!$AG217*'[2]RD Feedstock Breakdown'!CP$3*'[2]Feedstock Conversion Rates'!$B$3)/12</f>
        <v>6.0075000000000003</v>
      </c>
      <c r="CQ208" s="45">
        <f>('[2]Renewable Diesel'!$AG217*'[2]RD Feedstock Breakdown'!CQ$3*'[2]Feedstock Conversion Rates'!$B$6)/12</f>
        <v>3.5175000000000001</v>
      </c>
      <c r="CR208" s="45">
        <f>('[2]Renewable Diesel'!$AG217*'[2]RD Feedstock Breakdown'!CR$3*'[2]Feedstock Conversion Rates'!$B$4)/12</f>
        <v>2.8125</v>
      </c>
      <c r="CS208" s="47">
        <f t="shared" si="99"/>
        <v>12.3375</v>
      </c>
      <c r="CT208" s="45">
        <f>('[2]Renewable Diesel'!AI217*'[2]Feedstock Conversion Rates'!$B$4*'[2]RD Feedstock Breakdown'!$CT$3)/12</f>
        <v>29.375</v>
      </c>
      <c r="CU208" s="47">
        <f t="shared" si="69"/>
        <v>29.375</v>
      </c>
      <c r="CV208" s="45">
        <f>('[2]Renewable Diesel'!AN217*'[2]Feedstock Conversion Rates'!$B$3*'[2]RD Feedstock Breakdown'!$CV$3)/12</f>
        <v>0.50062499999999999</v>
      </c>
      <c r="CW208" s="47">
        <f t="shared" si="124"/>
        <v>0.50062499999999999</v>
      </c>
      <c r="CX208" s="45">
        <f>('[2]Renewable Diesel'!AO217*'[2]RD Feedstock Breakdown'!$CX$3*'[2]Feedstock Conversion Rates'!$B$3)/12</f>
        <v>6.3412499999999996</v>
      </c>
      <c r="CY208" s="45">
        <f>('[2]Renewable Diesel'!AO217*'[2]RD Feedstock Breakdown'!$CY$3*'[2]Feedstock Conversion Rates'!$B$6)/12</f>
        <v>7.4258333333333342</v>
      </c>
      <c r="CZ208" s="47">
        <f t="shared" si="100"/>
        <v>13.767083333333334</v>
      </c>
      <c r="DA208" s="45">
        <f>('[2]Renewable Diesel'!$AP217*'[2]RD Feedstock Breakdown'!DA$3*'[2]Feedstock Conversion Rates'!$B$3)/12</f>
        <v>6.3412499999999996</v>
      </c>
      <c r="DB208" s="45">
        <f>('[2]Renewable Diesel'!$AP217*'[2]RD Feedstock Breakdown'!DB$3*'[2]Feedstock Conversion Rates'!$B$8)/12</f>
        <v>7.421875</v>
      </c>
      <c r="DC208" s="47">
        <f t="shared" si="127"/>
        <v>13.763124999999999</v>
      </c>
      <c r="DD208" s="45">
        <f>('[2]Renewable Diesel'!AQ217*$DD$3*'[2]Feedstock Conversion Rates'!$B$14)/12</f>
        <v>3.1041666666666665</v>
      </c>
      <c r="DE208" s="47">
        <f t="shared" si="128"/>
        <v>3.1041666666666665</v>
      </c>
      <c r="DF208" s="45">
        <f>('[2]Renewable Diesel'!AR217*'[2]Feedstock Conversion Rates'!$B$4*$DF$3)/12</f>
        <v>75</v>
      </c>
      <c r="DG208" s="47">
        <f t="shared" si="101"/>
        <v>75</v>
      </c>
      <c r="DH208" s="45">
        <f>('[2]Renewable Diesel'!AS217*'[2]Feedstock Conversion Rates'!$B$4*$DH$3)/12</f>
        <v>75</v>
      </c>
      <c r="DI208" s="47">
        <f t="shared" si="110"/>
        <v>75</v>
      </c>
      <c r="DJ208" s="45">
        <f>('[2]Renewable Diesel'!AT217*'[2]Feedstock Conversion Rates'!$B$4*0.25)/12</f>
        <v>8.59375</v>
      </c>
      <c r="DK208" s="45">
        <f>('[2]Renewable Diesel'!$AT217*'[2]RD Feedstock Breakdown'!DK$3*'[2]Feedstock Conversion Rates'!$B$3)/12*0.5</f>
        <v>9.1781249999999996</v>
      </c>
      <c r="DL208" s="45">
        <f>('[2]Renewable Diesel'!$AT217*'[2]RD Feedstock Breakdown'!$DL$3*'[2]Feedstock Conversion Rates'!$B$6)/12</f>
        <v>10.747916666666669</v>
      </c>
      <c r="DM208" s="45">
        <f>('[2]Renewable Diesel'!$AT217*'[2]RD Feedstock Breakdown'!$DM$3*'[2]Feedstock Conversion Rates'!$B$8)/12</f>
        <v>10.7421875</v>
      </c>
      <c r="DN208" s="47">
        <f t="shared" si="77"/>
        <v>39.26197916666667</v>
      </c>
      <c r="DP208" s="45">
        <f t="shared" si="130"/>
        <v>107.47025000000001</v>
      </c>
      <c r="DQ208" s="45">
        <f t="shared" si="131"/>
        <v>532.94151749999992</v>
      </c>
      <c r="DR208" s="45">
        <f t="shared" si="136"/>
        <v>1962.765625</v>
      </c>
      <c r="DS208" s="45">
        <f t="shared" si="70"/>
        <v>145.08354166666669</v>
      </c>
      <c r="DT208" s="45">
        <f t="shared" si="132"/>
        <v>236.53923333333344</v>
      </c>
      <c r="DU208" s="45">
        <f t="shared" si="133"/>
        <v>182.29776666666666</v>
      </c>
      <c r="DV208" s="45">
        <f t="shared" si="137"/>
        <v>8</v>
      </c>
      <c r="DW208" s="45">
        <f t="shared" si="134"/>
        <v>3</v>
      </c>
      <c r="DX208" s="47">
        <f t="shared" si="138"/>
        <v>3178.0979341666666</v>
      </c>
      <c r="DY208" s="50">
        <f t="shared" si="126"/>
        <v>-30.00000000000048</v>
      </c>
      <c r="EA208" s="51">
        <f t="shared" si="117"/>
        <v>3.381590253862958E-2</v>
      </c>
      <c r="EB208" s="51">
        <f t="shared" si="117"/>
        <v>0.16769197442612579</v>
      </c>
      <c r="EC208" s="51">
        <f t="shared" si="117"/>
        <v>0.61759129695122483</v>
      </c>
      <c r="ED208" s="51">
        <f t="shared" si="114"/>
        <v>4.5651060688508723E-2</v>
      </c>
      <c r="EE208" s="51">
        <f t="shared" si="114"/>
        <v>7.44279245741232E-2</v>
      </c>
      <c r="EF208" s="51">
        <f t="shared" si="114"/>
        <v>5.736065106957354E-2</v>
      </c>
      <c r="EG208" s="51">
        <f t="shared" si="114"/>
        <v>2.5172289104104309E-3</v>
      </c>
      <c r="EH208" s="52">
        <f t="shared" si="139"/>
        <v>9.4396084140391159E-4</v>
      </c>
      <c r="EI208" s="51">
        <f t="shared" si="140"/>
        <v>0.99905603915859609</v>
      </c>
      <c r="EK208" s="53">
        <f>(EA208*'[2]Renewable Diesel'!BF217*'[2]Feedstock Conversion Rates'!B$2)+FB208</f>
        <v>79.588207715852661</v>
      </c>
      <c r="EL208" s="53">
        <f>(EB208*'[2]Renewable Diesel'!BF217*'[2]Feedstock Conversion Rates'!B$3)+FC208</f>
        <v>371.92349145432246</v>
      </c>
      <c r="EM208" s="53">
        <f>(EC208*'[2]Renewable Diesel'!BF217*'[2]Feedstock Conversion Rates'!B$4)+FD208</f>
        <v>1282.5409679863692</v>
      </c>
      <c r="EN208" s="53">
        <f>(ED208*'[2]Renewable Diesel'!BF217*'[2]Feedstock Conversion Rates'!B$5)+FE208</f>
        <v>95.43477198125025</v>
      </c>
      <c r="EO208" s="53">
        <f>(EE208*'[2]Renewable Diesel'!BF217*'[2]Feedstock Conversion Rates'!B$6)+FF208</f>
        <v>193.30699207271181</v>
      </c>
      <c r="EP208" s="53">
        <f>(EF208*'[2]Renewable Diesel'!BF217*'[2]Feedstock Conversion Rates'!B$7)+FG208</f>
        <v>146.12035388764349</v>
      </c>
      <c r="EQ208" s="53">
        <f>(EG208*'[2]Renewable Diesel'!BF217*'[2]Feedstock Conversion Rates'!B$8)+FH208</f>
        <v>6.5343561740152705</v>
      </c>
      <c r="ER208" s="53">
        <f>(EH208*'[2]Renewable Diesel'!BF217*'[2]Feedstock Conversion Rates'!B$9)+FI208</f>
        <v>2.4177117843856499</v>
      </c>
      <c r="ES208" s="53">
        <f t="shared" si="141"/>
        <v>2177.8668530565506</v>
      </c>
      <c r="ET208" s="36">
        <f>ES208/'[2]Renewable Diesel'!BF217</f>
        <v>7.8654307032274815</v>
      </c>
    </row>
    <row r="209" spans="1:150" x14ac:dyDescent="0.25">
      <c r="A209" s="39">
        <v>46784</v>
      </c>
      <c r="B209" s="45">
        <f t="shared" si="142"/>
        <v>52.5</v>
      </c>
      <c r="C209" s="45">
        <f t="shared" si="143"/>
        <v>5.2999999999999972</v>
      </c>
      <c r="D209" s="45">
        <f t="shared" si="144"/>
        <v>2</v>
      </c>
      <c r="E209" s="45">
        <f>('[2]Renewable Diesel'!B218*E$3*'[2]Feedstock Conversion Rates'!$B$2)/12-57.5+6.25+18+10-38+20+16+55+47.5-7-20-4-10+13.5-50</f>
        <v>89.68</v>
      </c>
      <c r="F209" s="45">
        <f>('[2]Renewable Diesel'!B218*'[2]RD Feedstock Breakdown'!F$3*'[2]Feedstock Conversion Rates'!B$8)/12-24+9-2.5+10+5-39+14+10.5+5+5+2-29+4-20</f>
        <v>3.90625</v>
      </c>
      <c r="G209" s="45">
        <f>('[2]Renewable Diesel'!B218*'[2]RD Feedstock Breakdown'!G$3*'[2]Feedstock Conversion Rates'!B$7)/12-30-2+52-144-30+30+70+5-65-30-7.5-5+3</f>
        <v>22.657000000000011</v>
      </c>
      <c r="H209" s="45">
        <f>('[2]Renewable Diesel'!B218*'[2]RD Feedstock Breakdown'!H$3*'[2]Feedstock Conversion Rates'!B$3)/12-95+8+16-72+12+40+40+30-20-15-30+215+15</f>
        <v>320.40022499999998</v>
      </c>
      <c r="I209" s="47">
        <f t="shared" si="75"/>
        <v>496.44347500000003</v>
      </c>
      <c r="J209" s="45">
        <f t="shared" si="145"/>
        <v>142</v>
      </c>
      <c r="K209" s="45"/>
      <c r="L209" s="45">
        <v>1</v>
      </c>
      <c r="M209" s="45">
        <f>('[2]Renewable Diesel'!C218*'[2]RD Feedstock Breakdown'!M$3*'[2]Feedstock Conversion Rates'!B$2)/12-24+10-41+5+1+35+24</f>
        <v>17.79025</v>
      </c>
      <c r="N209" s="45">
        <f>('[2]Renewable Diesel'!C218*'[2]RD Feedstock Breakdown'!N$3*'[2]Feedstock Conversion Rates'!B$8)/12-2.5+16+2-25-2+8+7+2-22-10</f>
        <v>-22.828125</v>
      </c>
      <c r="O209" s="45">
        <f>('[2]Renewable Diesel'!C218*'[2]RD Feedstock Breakdown'!O$3*'[2]Feedstock Conversion Rates'!B$7)/12-30-60-10+20+15-15+20-20+8</f>
        <v>-60.000900000000001</v>
      </c>
      <c r="P209" s="45">
        <f>('[2]Renewable Diesel'!C218*'[2]RD Feedstock Breakdown'!P$3*'[2]Feedstock Conversion Rates'!B$3)/12-27+50-107+35+10+52.5-70+12-5-5</f>
        <v>-44.052957499999991</v>
      </c>
      <c r="Q209" s="47">
        <f t="shared" si="85"/>
        <v>33.908267500000022</v>
      </c>
      <c r="R209" s="45">
        <f>('[2]Renewable Diesel'!D218*'[2]RD Feedstock Breakdown'!R$3*'[2]Feedstock Conversion Rates'!B$7)/12</f>
        <v>2.2999999999999998</v>
      </c>
      <c r="S209" s="47">
        <f t="shared" si="116"/>
        <v>2.2999999999999998</v>
      </c>
      <c r="T209" s="45">
        <f t="shared" si="146"/>
        <v>5.8250000000000028</v>
      </c>
      <c r="U209" s="45">
        <v>30</v>
      </c>
      <c r="V209" s="45">
        <f>('[2]Renewable Diesel'!E218*'[2]RD Feedstock Breakdown'!V$3*'[2]Feedstock Conversion Rates'!B$6)/12-20+25-35</f>
        <v>14.250150000000012</v>
      </c>
      <c r="W209" s="45">
        <f>('[2]Renewable Diesel'!E218*'[2]RD Feedstock Breakdown'!W$3*'[2]Feedstock Conversion Rates'!B$8)/12-6</f>
        <v>16.1796875</v>
      </c>
      <c r="X209" s="47">
        <f t="shared" si="147"/>
        <v>66.254837500000008</v>
      </c>
      <c r="Y209" s="45">
        <f t="shared" si="148"/>
        <v>125.5</v>
      </c>
      <c r="Z209" s="45">
        <f>('[2]Renewable Diesel'!F218*'[2]RD Feedstock Breakdown'!Z$3*'[2]Feedstock Conversion Rates'!B$6)/12-50-32-60+15+30+22.5-70+70-35+5+6</f>
        <v>60.960000000000008</v>
      </c>
      <c r="AA209" s="45">
        <f>('[2]Renewable Diesel'!F218*'[2]RD Feedstock Breakdown'!AA$3*'[2]Feedstock Conversion Rates'!B$7)/12+80-171+75+30+20-50-6-5</f>
        <v>77.266666666666652</v>
      </c>
      <c r="AB209" s="47">
        <f t="shared" si="102"/>
        <v>263.72666666666669</v>
      </c>
      <c r="AC209" s="45">
        <f>('[2]Renewable Diesel'!G218*'[2]RD Feedstock Breakdown'!AC$3*'[2]Feedstock Conversion Rates'!B$5)/12</f>
        <v>11.796875</v>
      </c>
      <c r="AD209" s="45">
        <f>('[2]Renewable Diesel'!G218*'[2]RD Feedstock Breakdown'!AD$3*'[2]Feedstock Conversion Rates'!B$4)/12</f>
        <v>5.859375</v>
      </c>
      <c r="AE209" s="45">
        <f>('[2]Renewable Diesel'!G218*'[2]RD Feedstock Breakdown'!AE$3*'[2]Feedstock Conversion Rates'!B$6)/12</f>
        <v>7.3281250000000009</v>
      </c>
      <c r="AF209" s="47">
        <f t="shared" si="71"/>
        <v>24.984375</v>
      </c>
      <c r="AG209" s="45">
        <f t="shared" si="150"/>
        <v>106.5</v>
      </c>
      <c r="AH209" s="45">
        <v>30</v>
      </c>
      <c r="AI209" s="45">
        <f>('[2]Renewable Diesel'!H218*'[2]RD Feedstock Breakdown'!AI$3*'[2]Feedstock Conversion Rates'!B$6)/12-130-20+51-120+2.5+100-45+25</f>
        <v>12.01666666666668</v>
      </c>
      <c r="AJ209" s="47">
        <f t="shared" si="113"/>
        <v>118.51666666666668</v>
      </c>
      <c r="AK209" s="45">
        <f>('[2]Renewable Diesel'!J218*'[2]RD Feedstock Breakdown'!AK$3*'[2]Feedstock Conversion Rates'!B$4)/12</f>
        <v>95.8125</v>
      </c>
      <c r="AL209" s="47">
        <f t="shared" si="123"/>
        <v>95.8125</v>
      </c>
      <c r="AM209" s="45">
        <f>('[2]Renewable Diesel'!K218*'[2]RD Feedstock Breakdown'!AM$3*'[2]Feedstock Conversion Rates'!B$4)/12+5+15-10+9-27</f>
        <v>50.59375</v>
      </c>
      <c r="AN209" s="45">
        <f>('[2]Renewable Diesel'!K218*'[2]RD Feedstock Breakdown'!AN$3*'[2]Feedstock Conversion Rates'!B$6)/12-5-15+10-9+27</f>
        <v>32.427083333333329</v>
      </c>
      <c r="AO209" s="47">
        <f t="shared" si="135"/>
        <v>83.020833333333329</v>
      </c>
      <c r="AP209" s="45">
        <f>('[2]Renewable Diesel'!L218*'[2]RD Feedstock Breakdown'!AP$3*'[2]Feedstock Conversion Rates'!B$4)/12+15-10+2.5+12</f>
        <v>78.09375</v>
      </c>
      <c r="AQ209" s="45">
        <f>('[2]Renewable Diesel'!L218*'[2]RD Feedstock Breakdown'!AQ$3*'[2]Feedstock Conversion Rates'!B$6)/12-15+10-2.5-12</f>
        <v>4.9270833333333321</v>
      </c>
      <c r="AR209" s="47">
        <f t="shared" si="125"/>
        <v>83.020833333333329</v>
      </c>
      <c r="AS209" s="45">
        <f>('[2]Renewable Diesel'!M218*'[2]RD Feedstock Breakdown'!AS$3*'[2]Feedstock Conversion Rates'!B$4)/12</f>
        <v>456.25</v>
      </c>
      <c r="AT209" s="45">
        <f>('[2]Renewable Diesel'!M218*'[2]RD Feedstock Breakdown'!AT$3*'[2]Feedstock Conversion Rates'!B$5)/12</f>
        <v>0</v>
      </c>
      <c r="AU209" s="47">
        <f t="shared" si="74"/>
        <v>456.25</v>
      </c>
      <c r="AV209" s="45">
        <f>'[2]Renewable Diesel'!N218*'[2]RD Feedstock Breakdown'!$AV$3*'[2]Feedstock Conversion Rates'!$B$4/12-15-10+25+25-22-25-12.5</f>
        <v>44.249999999999986</v>
      </c>
      <c r="AW209" s="45">
        <f>'[2]Renewable Diesel'!N218*'[2]RD Feedstock Breakdown'!$AW$3*'[2]Feedstock Conversion Rates'!$B$7/12+15+10-25-25+22+25+12.5</f>
        <v>75.900000000000006</v>
      </c>
      <c r="AX209" s="47">
        <f t="shared" si="109"/>
        <v>120.14999999999999</v>
      </c>
      <c r="AY209" s="45">
        <f>('[2]Renewable Diesel'!O218*'[2]RD Feedstock Breakdown'!AY$3*'[2]Feedstock Conversion Rates'!B$4)/12+32+2-135</f>
        <v>109.9375</v>
      </c>
      <c r="AZ209" s="45">
        <f>('[2]Renewable Diesel'!O218*'[2]RD Feedstock Breakdown'!AZ$3*'[2]Feedstock Conversion Rates'!B$3)/12-32-2+135</f>
        <v>126.03125</v>
      </c>
      <c r="BA209" s="47">
        <f t="shared" si="87"/>
        <v>235.96875</v>
      </c>
      <c r="BB209" s="45">
        <f>('[2]Renewable Diesel'!Q218*'[2]RD Feedstock Breakdown'!BB$3*'[2]Feedstock Conversion Rates'!B$4)/12</f>
        <v>11.156249999999998</v>
      </c>
      <c r="BC209" s="45">
        <f>('[2]Renewable Diesel'!Q218*'[2]RD Feedstock Breakdown'!BC$3*'[2]Feedstock Conversion Rates'!B$3)/12</f>
        <v>1.4017500000000001</v>
      </c>
      <c r="BD209" s="45">
        <f>('[2]Renewable Diesel'!Q218*'[2]RD Feedstock Breakdown'!BD$3*'[2]Feedstock Conversion Rates'!B$6)/12</f>
        <v>0.8207500000000002</v>
      </c>
      <c r="BE209" s="47">
        <f t="shared" si="151"/>
        <v>13.378749999999998</v>
      </c>
      <c r="BF209" s="45">
        <f>('[2]Renewable Diesel'!R218*'[2]RD Feedstock Breakdown'!BF$3*'[2]Feedstock Conversion Rates'!B$4)/12</f>
        <v>62.5</v>
      </c>
      <c r="BG209" s="47">
        <f t="shared" si="129"/>
        <v>62.5</v>
      </c>
      <c r="BH209" s="45">
        <f>('[2]Renewable Diesel'!T218*'[2]RD Feedstock Breakdown'!BH$3*'[2]Feedstock Conversion Rates'!B$7)/12</f>
        <v>27.599999999999998</v>
      </c>
      <c r="BI209" s="47">
        <f t="shared" si="112"/>
        <v>27.599999999999998</v>
      </c>
      <c r="BJ209" s="45">
        <f>('[2]Renewable Diesel'!W218*'[2]RD Feedstock Breakdown'!BJ$3*'[2]Feedstock Conversion Rates'!B$4)/12</f>
        <v>7.5</v>
      </c>
      <c r="BK209" s="45">
        <f>('[2]Renewable Diesel'!W218*'[2]RD Feedstock Breakdown'!BK$3*'[2]Feedstock Conversion Rates'!B$3)/12</f>
        <v>1.335</v>
      </c>
      <c r="BL209" s="45">
        <f>('[2]Renewable Diesel'!W218*'[2]RD Feedstock Breakdown'!BL$3*'[2]Feedstock Conversion Rates'!B$6)/12</f>
        <v>3.1266666666666669</v>
      </c>
      <c r="BM209" s="45">
        <f>('[2]Renewable Diesel'!W218*'[2]RD Feedstock Breakdown'!BM$3*'[2]Feedstock Conversion Rates'!B$7)/12</f>
        <v>1.5333333333333332</v>
      </c>
      <c r="BN209" s="47">
        <f t="shared" si="78"/>
        <v>13.495000000000001</v>
      </c>
      <c r="BO209" s="45">
        <f>('[2]Renewable Diesel'!P218*'[2]Feedstock Conversion Rates'!B$4)/12</f>
        <v>31.25</v>
      </c>
      <c r="BP209" s="47">
        <f t="shared" si="72"/>
        <v>31.25</v>
      </c>
      <c r="BQ209" s="45">
        <f>('[2]Renewable Diesel'!$S218*'[2]RD Feedstock Breakdown'!BQ$3*'[2]Feedstock Conversion Rates'!B$4)/12+10</f>
        <v>38.125</v>
      </c>
      <c r="BR209" s="45">
        <f>('[2]Renewable Diesel'!$S218*'[2]RD Feedstock Breakdown'!BR$3*'[2]Feedstock Conversion Rates'!B$7)/12-10</f>
        <v>1.5</v>
      </c>
      <c r="BS209" s="47">
        <f t="shared" si="90"/>
        <v>39.625</v>
      </c>
      <c r="BT209" s="47"/>
      <c r="BU209" s="45">
        <f>('[2]Renewable Diesel'!Y218*'[2]Feedstock Conversion Rates'!B$7)/12</f>
        <v>2.6833333333333331</v>
      </c>
      <c r="BV209" s="47">
        <f t="shared" ref="BV209:BV272" si="153">BU209</f>
        <v>2.6833333333333331</v>
      </c>
      <c r="BW209" s="45">
        <f>('[2]Renewable Diesel'!$Z218*'[2]RD Feedstock Breakdown'!BW$3*'[2]Feedstock Conversion Rates'!$B$4)/12</f>
        <v>41.796875</v>
      </c>
      <c r="BX209" s="45">
        <f>('[2]Renewable Diesel'!$Z218*'[2]RD Feedstock Breakdown'!BX$3*'[2]Feedstock Conversion Rates'!$B$5)/12</f>
        <v>4.2075520833333337</v>
      </c>
      <c r="BY209" s="45">
        <f>('[2]Renewable Diesel'!$Z218*'[2]RD Feedstock Breakdown'!BY$3*'[2]Feedstock Conversion Rates'!$B$7)/12</f>
        <v>35.889583333333327</v>
      </c>
      <c r="BZ209" s="45">
        <f>('[2]Renewable Diesel'!$Z218*'[2]RD Feedstock Breakdown'!BZ$3*'[2]Feedstock Conversion Rates'!$B$3)/12</f>
        <v>8.9278124999999999</v>
      </c>
      <c r="CA209" s="47">
        <f t="shared" si="91"/>
        <v>90.821822916666662</v>
      </c>
      <c r="CB209" s="45">
        <f>('[2]Renewable Diesel'!AA218*'[2]Feedstock Conversion Rates'!B$4)/12</f>
        <v>191.25</v>
      </c>
      <c r="CC209" s="47">
        <f t="shared" si="79"/>
        <v>191.25</v>
      </c>
      <c r="CD209" s="45">
        <f>('[2]Renewable Diesel'!$AB218*'[2]RD Feedstock Breakdown'!CD$3*'[2]Feedstock Conversion Rates'!$B$6)/12-15</f>
        <v>17.830000000000005</v>
      </c>
      <c r="CE209" s="45">
        <f>('[2]Renewable Diesel'!$AB218*'[2]RD Feedstock Breakdown'!CE$3*'[2]Feedstock Conversion Rates'!$B$4)/12+15</f>
        <v>26.25</v>
      </c>
      <c r="CF209" s="47">
        <f t="shared" si="76"/>
        <v>44.080000000000005</v>
      </c>
      <c r="CG209" s="45">
        <f>('[2]Renewable Diesel'!AD218*'[2]Feedstock Conversion Rates'!B$4)/12</f>
        <v>112.5</v>
      </c>
      <c r="CH209" s="47">
        <f t="shared" si="149"/>
        <v>112.5</v>
      </c>
      <c r="CI209" s="45">
        <f>('[2]Renewable Diesel'!$AE218*'[2]RD Feedstock Breakdown'!CI$3*'[2]Feedstock Conversion Rates'!$B$5)/12</f>
        <v>0.34604166666666664</v>
      </c>
      <c r="CJ209" s="45">
        <f>('[2]Renewable Diesel'!$AE218*'[2]RD Feedstock Breakdown'!CJ$3*'[2]Feedstock Conversion Rates'!$B$4)/12</f>
        <v>0.34375</v>
      </c>
      <c r="CK209" s="47">
        <f t="shared" si="73"/>
        <v>0.68979166666666658</v>
      </c>
      <c r="CL209" s="45">
        <f>(((CL$3*'[2]Renewable Diesel'!$AF218)*'[2]Feedstock Conversion Rates'!$B$3)/12)</f>
        <v>91.78125</v>
      </c>
      <c r="CM209" s="45">
        <f>(((CM$3*'[2]Renewable Diesel'!$AF218)*'[2]Feedstock Conversion Rates'!$B$6)/12)</f>
        <v>53.739583333333336</v>
      </c>
      <c r="CN209" s="45">
        <f>(((CN$3*'[2]Renewable Diesel'!$AF218)*'[2]Feedstock Conversion Rates'!$B$4)/12)</f>
        <v>42.96875</v>
      </c>
      <c r="CO209" s="47">
        <f t="shared" si="152"/>
        <v>188.48958333333334</v>
      </c>
      <c r="CP209" s="45">
        <f>('[2]Renewable Diesel'!$AG218*'[2]RD Feedstock Breakdown'!CP$3*'[2]Feedstock Conversion Rates'!$B$3)/12</f>
        <v>6.0075000000000003</v>
      </c>
      <c r="CQ209" s="45">
        <f>('[2]Renewable Diesel'!$AG218*'[2]RD Feedstock Breakdown'!CQ$3*'[2]Feedstock Conversion Rates'!$B$6)/12</f>
        <v>3.5175000000000001</v>
      </c>
      <c r="CR209" s="45">
        <f>('[2]Renewable Diesel'!$AG218*'[2]RD Feedstock Breakdown'!CR$3*'[2]Feedstock Conversion Rates'!$B$4)/12</f>
        <v>2.8125</v>
      </c>
      <c r="CS209" s="47">
        <f t="shared" si="99"/>
        <v>12.3375</v>
      </c>
      <c r="CT209" s="45">
        <f>('[2]Renewable Diesel'!AI218*'[2]Feedstock Conversion Rates'!$B$4*'[2]RD Feedstock Breakdown'!$CT$3)/12</f>
        <v>29.375</v>
      </c>
      <c r="CU209" s="47">
        <f t="shared" si="69"/>
        <v>29.375</v>
      </c>
      <c r="CV209" s="45">
        <f>('[2]Renewable Diesel'!AN218*'[2]Feedstock Conversion Rates'!$B$3*'[2]RD Feedstock Breakdown'!$CV$3)/12</f>
        <v>0.50062499999999999</v>
      </c>
      <c r="CW209" s="47">
        <f t="shared" si="124"/>
        <v>0.50062499999999999</v>
      </c>
      <c r="CX209" s="45">
        <f>('[2]Renewable Diesel'!AO218*'[2]RD Feedstock Breakdown'!$CX$3*'[2]Feedstock Conversion Rates'!$B$3)/12</f>
        <v>6.3412499999999996</v>
      </c>
      <c r="CY209" s="45">
        <f>('[2]Renewable Diesel'!AO218*'[2]RD Feedstock Breakdown'!$CY$3*'[2]Feedstock Conversion Rates'!$B$6)/12</f>
        <v>7.4258333333333342</v>
      </c>
      <c r="CZ209" s="47">
        <f t="shared" si="100"/>
        <v>13.767083333333334</v>
      </c>
      <c r="DA209" s="45">
        <f>('[2]Renewable Diesel'!$AP218*'[2]RD Feedstock Breakdown'!DA$3*'[2]Feedstock Conversion Rates'!$B$3)/12</f>
        <v>6.3412499999999996</v>
      </c>
      <c r="DB209" s="45">
        <f>('[2]Renewable Diesel'!$AP218*'[2]RD Feedstock Breakdown'!DB$3*'[2]Feedstock Conversion Rates'!$B$8)/12</f>
        <v>7.421875</v>
      </c>
      <c r="DC209" s="47">
        <f t="shared" si="127"/>
        <v>13.763124999999999</v>
      </c>
      <c r="DD209" s="45">
        <f>('[2]Renewable Diesel'!AQ218*$DD$3*'[2]Feedstock Conversion Rates'!$B$14)/12</f>
        <v>3.1041666666666665</v>
      </c>
      <c r="DE209" s="47">
        <f t="shared" si="128"/>
        <v>3.1041666666666665</v>
      </c>
      <c r="DF209" s="45">
        <f>('[2]Renewable Diesel'!AR218*'[2]Feedstock Conversion Rates'!$B$4*$DF$3)/12</f>
        <v>75</v>
      </c>
      <c r="DG209" s="47">
        <f t="shared" si="101"/>
        <v>75</v>
      </c>
      <c r="DH209" s="45">
        <f>('[2]Renewable Diesel'!AS218*'[2]Feedstock Conversion Rates'!$B$4*$DH$3)/12</f>
        <v>75</v>
      </c>
      <c r="DI209" s="47">
        <f t="shared" si="110"/>
        <v>75</v>
      </c>
      <c r="DJ209" s="45">
        <f>('[2]Renewable Diesel'!AT218*'[2]Feedstock Conversion Rates'!$B$4*0.25)/12</f>
        <v>8.59375</v>
      </c>
      <c r="DK209" s="45">
        <f>('[2]Renewable Diesel'!$AT218*'[2]RD Feedstock Breakdown'!DK$3*'[2]Feedstock Conversion Rates'!$B$3)/12*0.5</f>
        <v>9.1781249999999996</v>
      </c>
      <c r="DL209" s="45">
        <f>('[2]Renewable Diesel'!$AT218*'[2]RD Feedstock Breakdown'!$DL$3*'[2]Feedstock Conversion Rates'!$B$6)/12</f>
        <v>10.747916666666669</v>
      </c>
      <c r="DM209" s="45">
        <f>('[2]Renewable Diesel'!$AT218*'[2]RD Feedstock Breakdown'!$DM$3*'[2]Feedstock Conversion Rates'!$B$8)/12</f>
        <v>10.7421875</v>
      </c>
      <c r="DN209" s="47">
        <f t="shared" si="77"/>
        <v>39.26197916666667</v>
      </c>
      <c r="DP209" s="45">
        <f t="shared" si="130"/>
        <v>107.47025000000001</v>
      </c>
      <c r="DQ209" s="45">
        <f t="shared" si="131"/>
        <v>534.1930799999999</v>
      </c>
      <c r="DR209" s="45">
        <f t="shared" si="136"/>
        <v>1968.625</v>
      </c>
      <c r="DS209" s="45">
        <f t="shared" si="70"/>
        <v>145.67338541666669</v>
      </c>
      <c r="DT209" s="45">
        <f t="shared" si="132"/>
        <v>236.53923333333344</v>
      </c>
      <c r="DU209" s="45">
        <f t="shared" si="133"/>
        <v>187.32901666666666</v>
      </c>
      <c r="DV209" s="45">
        <f t="shared" si="137"/>
        <v>8</v>
      </c>
      <c r="DW209" s="45">
        <f t="shared" si="134"/>
        <v>3</v>
      </c>
      <c r="DX209" s="47">
        <f t="shared" si="138"/>
        <v>3190.8299654166667</v>
      </c>
      <c r="DY209" s="50">
        <f t="shared" si="126"/>
        <v>-30.000000000000593</v>
      </c>
      <c r="EA209" s="51">
        <f t="shared" si="117"/>
        <v>3.3680970520146868E-2</v>
      </c>
      <c r="EB209" s="51">
        <f t="shared" si="117"/>
        <v>0.16741508817134465</v>
      </c>
      <c r="EC209" s="51">
        <f t="shared" si="117"/>
        <v>0.61696330463755433</v>
      </c>
      <c r="ED209" s="51">
        <f t="shared" si="114"/>
        <v>4.5653759992079143E-2</v>
      </c>
      <c r="EE209" s="51">
        <f t="shared" si="114"/>
        <v>7.4130942700497526E-2</v>
      </c>
      <c r="EF209" s="51">
        <f t="shared" si="114"/>
        <v>5.8708555045867118E-2</v>
      </c>
      <c r="EG209" s="51">
        <f t="shared" si="114"/>
        <v>2.5071846781893124E-3</v>
      </c>
      <c r="EH209" s="52">
        <f t="shared" si="139"/>
        <v>9.401942543209921E-4</v>
      </c>
      <c r="EI209" s="51">
        <f t="shared" si="140"/>
        <v>0.99905980574567899</v>
      </c>
      <c r="EK209" s="53">
        <f>(EA209*'[2]Renewable Diesel'!BF218*'[2]Feedstock Conversion Rates'!B$2)+FB209</f>
        <v>107.90546213042374</v>
      </c>
      <c r="EL209" s="53">
        <f>(EB209*'[2]Renewable Diesel'!BF218*'[2]Feedstock Conversion Rates'!B$3)+FC209</f>
        <v>505.43698517478964</v>
      </c>
      <c r="EM209" s="53">
        <f>(EC209*'[2]Renewable Diesel'!BF218*'[2]Feedstock Conversion Rates'!B$4)+FD209</f>
        <v>1744.0563131479921</v>
      </c>
      <c r="EN209" s="53">
        <f>(ED209*'[2]Renewable Diesel'!BF218*'[2]Feedstock Conversion Rates'!B$5)+FE209</f>
        <v>129.91622989491077</v>
      </c>
      <c r="EO209" s="53">
        <f>(EE209*'[2]Renewable Diesel'!BF218*'[2]Feedstock Conversion Rates'!B$6)+FF209</f>
        <v>262.08506148447145</v>
      </c>
      <c r="EP209" s="53">
        <f>(EF209*'[2]Renewable Diesel'!BF218*'[2]Feedstock Conversion Rates'!B$7)+FG209</f>
        <v>203.57719445199297</v>
      </c>
      <c r="EQ209" s="53">
        <f>(EG209*'[2]Renewable Diesel'!BF218*'[2]Feedstock Conversion Rates'!B$8)+FH209</f>
        <v>8.8592612262263888</v>
      </c>
      <c r="ER209" s="53">
        <f>(EH209*'[2]Renewable Diesel'!BF218*'[2]Feedstock Conversion Rates'!B$9)+FI209</f>
        <v>3.2779266537037635</v>
      </c>
      <c r="ES209" s="53">
        <f t="shared" si="141"/>
        <v>2965.1144341645104</v>
      </c>
      <c r="ET209" s="36">
        <f>ES209/'[2]Renewable Diesel'!BF218</f>
        <v>7.866862380558711</v>
      </c>
    </row>
    <row r="210" spans="1:150" x14ac:dyDescent="0.25">
      <c r="A210" s="39">
        <v>46813</v>
      </c>
      <c r="B210" s="45">
        <f t="shared" si="142"/>
        <v>52.5</v>
      </c>
      <c r="C210" s="45">
        <f t="shared" si="143"/>
        <v>5.2999999999999972</v>
      </c>
      <c r="D210" s="45">
        <f t="shared" si="144"/>
        <v>2</v>
      </c>
      <c r="E210" s="45">
        <f>('[2]Renewable Diesel'!B219*E$3*'[2]Feedstock Conversion Rates'!$B$2)/12-57.5+6.25+18+10-38+20+16+55+47.5-7-20-4-10+13.5-50</f>
        <v>89.68</v>
      </c>
      <c r="F210" s="45">
        <f>('[2]Renewable Diesel'!B219*'[2]RD Feedstock Breakdown'!F$3*'[2]Feedstock Conversion Rates'!B$8)/12-24+9-2.5+10+5-39+14+10.5+5+5+2-29+4-20</f>
        <v>3.90625</v>
      </c>
      <c r="G210" s="45">
        <f>('[2]Renewable Diesel'!B219*'[2]RD Feedstock Breakdown'!G$3*'[2]Feedstock Conversion Rates'!B$7)/12-30-2+52-144-30+30+70+5-65-30-7.5-5+3</f>
        <v>22.657000000000011</v>
      </c>
      <c r="H210" s="45">
        <f>('[2]Renewable Diesel'!B219*'[2]RD Feedstock Breakdown'!H$3*'[2]Feedstock Conversion Rates'!B$3)/12-95+8+16-72+12+40+40+30-20-15-30+215+15</f>
        <v>320.40022499999998</v>
      </c>
      <c r="I210" s="47">
        <f t="shared" si="75"/>
        <v>496.44347500000003</v>
      </c>
      <c r="J210" s="45">
        <f t="shared" si="145"/>
        <v>142</v>
      </c>
      <c r="K210" s="45"/>
      <c r="L210" s="45">
        <v>1</v>
      </c>
      <c r="M210" s="45">
        <f>('[2]Renewable Diesel'!C219*'[2]RD Feedstock Breakdown'!M$3*'[2]Feedstock Conversion Rates'!B$2)/12-24+10-41+5+1+35+24</f>
        <v>17.79025</v>
      </c>
      <c r="N210" s="45">
        <f>('[2]Renewable Diesel'!C219*'[2]RD Feedstock Breakdown'!N$3*'[2]Feedstock Conversion Rates'!B$8)/12-2.5+16+2-25-2+8+7+2-22-10</f>
        <v>-22.828125</v>
      </c>
      <c r="O210" s="45">
        <f>('[2]Renewable Diesel'!C219*'[2]RD Feedstock Breakdown'!O$3*'[2]Feedstock Conversion Rates'!B$7)/12-30-60-10+20+15-15+20-20+8</f>
        <v>-60.000900000000001</v>
      </c>
      <c r="P210" s="45">
        <f>('[2]Renewable Diesel'!C219*'[2]RD Feedstock Breakdown'!P$3*'[2]Feedstock Conversion Rates'!B$3)/12-27+50-107+35+10+52.5-70+12-5-5</f>
        <v>-44.052957499999991</v>
      </c>
      <c r="Q210" s="47">
        <f t="shared" si="85"/>
        <v>33.908267500000022</v>
      </c>
      <c r="R210" s="45">
        <f>('[2]Renewable Diesel'!D219*'[2]RD Feedstock Breakdown'!R$3*'[2]Feedstock Conversion Rates'!B$7)/12</f>
        <v>2.2999999999999998</v>
      </c>
      <c r="S210" s="47">
        <f t="shared" si="116"/>
        <v>2.2999999999999998</v>
      </c>
      <c r="T210" s="45">
        <f t="shared" si="146"/>
        <v>5.8250000000000028</v>
      </c>
      <c r="U210" s="45">
        <v>30</v>
      </c>
      <c r="V210" s="45">
        <f>('[2]Renewable Diesel'!E219*'[2]RD Feedstock Breakdown'!V$3*'[2]Feedstock Conversion Rates'!B$6)/12-20+25-35</f>
        <v>14.250150000000012</v>
      </c>
      <c r="W210" s="45">
        <f>('[2]Renewable Diesel'!E219*'[2]RD Feedstock Breakdown'!W$3*'[2]Feedstock Conversion Rates'!B$8)/12-6</f>
        <v>16.1796875</v>
      </c>
      <c r="X210" s="47">
        <f t="shared" si="147"/>
        <v>66.254837500000008</v>
      </c>
      <c r="Y210" s="45">
        <f t="shared" si="148"/>
        <v>125.5</v>
      </c>
      <c r="Z210" s="45">
        <f>('[2]Renewable Diesel'!F219*'[2]RD Feedstock Breakdown'!Z$3*'[2]Feedstock Conversion Rates'!B$6)/12-50-32-60+15+30+22.5-70+70-35+5+6</f>
        <v>60.960000000000008</v>
      </c>
      <c r="AA210" s="45">
        <f>('[2]Renewable Diesel'!F219*'[2]RD Feedstock Breakdown'!AA$3*'[2]Feedstock Conversion Rates'!B$7)/12+80-171+75+30+20-50-6-5</f>
        <v>77.266666666666652</v>
      </c>
      <c r="AB210" s="47">
        <f t="shared" si="102"/>
        <v>263.72666666666669</v>
      </c>
      <c r="AC210" s="45">
        <f>('[2]Renewable Diesel'!G219*'[2]RD Feedstock Breakdown'!AC$3*'[2]Feedstock Conversion Rates'!B$5)/12</f>
        <v>11.796875</v>
      </c>
      <c r="AD210" s="45">
        <f>('[2]Renewable Diesel'!G219*'[2]RD Feedstock Breakdown'!AD$3*'[2]Feedstock Conversion Rates'!B$4)/12</f>
        <v>5.859375</v>
      </c>
      <c r="AE210" s="45">
        <f>('[2]Renewable Diesel'!G219*'[2]RD Feedstock Breakdown'!AE$3*'[2]Feedstock Conversion Rates'!B$6)/12</f>
        <v>7.3281250000000009</v>
      </c>
      <c r="AF210" s="47">
        <f t="shared" si="71"/>
        <v>24.984375</v>
      </c>
      <c r="AG210" s="45">
        <f t="shared" si="150"/>
        <v>106.5</v>
      </c>
      <c r="AH210" s="45">
        <v>30</v>
      </c>
      <c r="AI210" s="45">
        <f>('[2]Renewable Diesel'!H219*'[2]RD Feedstock Breakdown'!AI$3*'[2]Feedstock Conversion Rates'!B$6)/12-130-20+51-120+2.5+100-45+25</f>
        <v>12.01666666666668</v>
      </c>
      <c r="AJ210" s="47">
        <f t="shared" si="113"/>
        <v>118.51666666666668</v>
      </c>
      <c r="AK210" s="45">
        <f>('[2]Renewable Diesel'!J219*'[2]RD Feedstock Breakdown'!AK$3*'[2]Feedstock Conversion Rates'!B$4)/12</f>
        <v>95.8125</v>
      </c>
      <c r="AL210" s="47">
        <f t="shared" si="123"/>
        <v>95.8125</v>
      </c>
      <c r="AM210" s="45">
        <f>('[2]Renewable Diesel'!K219*'[2]RD Feedstock Breakdown'!AM$3*'[2]Feedstock Conversion Rates'!B$4)/12+5+15-10+9-27</f>
        <v>50.59375</v>
      </c>
      <c r="AN210" s="45">
        <f>('[2]Renewable Diesel'!K219*'[2]RD Feedstock Breakdown'!AN$3*'[2]Feedstock Conversion Rates'!B$6)/12-5-15+10-9+27</f>
        <v>32.427083333333329</v>
      </c>
      <c r="AO210" s="47">
        <f t="shared" si="135"/>
        <v>83.020833333333329</v>
      </c>
      <c r="AP210" s="45">
        <f>('[2]Renewable Diesel'!L219*'[2]RD Feedstock Breakdown'!AP$3*'[2]Feedstock Conversion Rates'!B$4)/12+15-10+2.5+12</f>
        <v>78.09375</v>
      </c>
      <c r="AQ210" s="45">
        <f>('[2]Renewable Diesel'!L219*'[2]RD Feedstock Breakdown'!AQ$3*'[2]Feedstock Conversion Rates'!B$6)/12-15+10-2.5-12</f>
        <v>4.9270833333333321</v>
      </c>
      <c r="AR210" s="47">
        <f t="shared" si="125"/>
        <v>83.020833333333329</v>
      </c>
      <c r="AS210" s="45">
        <f>('[2]Renewable Diesel'!M219*'[2]RD Feedstock Breakdown'!AS$3*'[2]Feedstock Conversion Rates'!B$4)/12</f>
        <v>456.25</v>
      </c>
      <c r="AT210" s="45">
        <f>('[2]Renewable Diesel'!M219*'[2]RD Feedstock Breakdown'!AT$3*'[2]Feedstock Conversion Rates'!B$5)/12</f>
        <v>0</v>
      </c>
      <c r="AU210" s="47">
        <f t="shared" si="74"/>
        <v>456.25</v>
      </c>
      <c r="AV210" s="45">
        <f>'[2]Renewable Diesel'!N219*'[2]RD Feedstock Breakdown'!$AV$3*'[2]Feedstock Conversion Rates'!$B$4/12-15-10+25+25-22-25-12.5</f>
        <v>44.249999999999986</v>
      </c>
      <c r="AW210" s="45">
        <f>'[2]Renewable Diesel'!N219*'[2]RD Feedstock Breakdown'!$AW$3*'[2]Feedstock Conversion Rates'!$B$7/12+15+10-25-25+22+25+12.5</f>
        <v>75.900000000000006</v>
      </c>
      <c r="AX210" s="47">
        <f t="shared" si="109"/>
        <v>120.14999999999999</v>
      </c>
      <c r="AY210" s="45">
        <f>('[2]Renewable Diesel'!O219*'[2]RD Feedstock Breakdown'!AY$3*'[2]Feedstock Conversion Rates'!B$4)/12+32+2-135</f>
        <v>109.9375</v>
      </c>
      <c r="AZ210" s="45">
        <f>('[2]Renewable Diesel'!O219*'[2]RD Feedstock Breakdown'!AZ$3*'[2]Feedstock Conversion Rates'!B$3)/12-32-2+135</f>
        <v>126.03125</v>
      </c>
      <c r="BA210" s="47">
        <f t="shared" si="87"/>
        <v>235.96875</v>
      </c>
      <c r="BB210" s="45">
        <f>('[2]Renewable Diesel'!Q219*'[2]RD Feedstock Breakdown'!BB$3*'[2]Feedstock Conversion Rates'!B$4)/12</f>
        <v>11.156249999999998</v>
      </c>
      <c r="BC210" s="45">
        <f>('[2]Renewable Diesel'!Q219*'[2]RD Feedstock Breakdown'!BC$3*'[2]Feedstock Conversion Rates'!B$3)/12</f>
        <v>1.4017500000000001</v>
      </c>
      <c r="BD210" s="45">
        <f>('[2]Renewable Diesel'!Q219*'[2]RD Feedstock Breakdown'!BD$3*'[2]Feedstock Conversion Rates'!B$6)/12</f>
        <v>0.8207500000000002</v>
      </c>
      <c r="BE210" s="47">
        <f t="shared" si="151"/>
        <v>13.378749999999998</v>
      </c>
      <c r="BF210" s="45">
        <f>('[2]Renewable Diesel'!R219*'[2]RD Feedstock Breakdown'!BF$3*'[2]Feedstock Conversion Rates'!B$4)/12</f>
        <v>62.5</v>
      </c>
      <c r="BG210" s="47">
        <f t="shared" si="129"/>
        <v>62.5</v>
      </c>
      <c r="BH210" s="45">
        <f>('[2]Renewable Diesel'!T219*'[2]RD Feedstock Breakdown'!BH$3*'[2]Feedstock Conversion Rates'!B$7)/12</f>
        <v>27.599999999999998</v>
      </c>
      <c r="BI210" s="47">
        <f t="shared" si="112"/>
        <v>27.599999999999998</v>
      </c>
      <c r="BJ210" s="45">
        <f>('[2]Renewable Diesel'!W219*'[2]RD Feedstock Breakdown'!BJ$3*'[2]Feedstock Conversion Rates'!B$4)/12</f>
        <v>7.5</v>
      </c>
      <c r="BK210" s="45">
        <f>('[2]Renewable Diesel'!W219*'[2]RD Feedstock Breakdown'!BK$3*'[2]Feedstock Conversion Rates'!B$3)/12</f>
        <v>1.335</v>
      </c>
      <c r="BL210" s="45">
        <f>('[2]Renewable Diesel'!W219*'[2]RD Feedstock Breakdown'!BL$3*'[2]Feedstock Conversion Rates'!B$6)/12</f>
        <v>3.1266666666666669</v>
      </c>
      <c r="BM210" s="45">
        <f>('[2]Renewable Diesel'!W219*'[2]RD Feedstock Breakdown'!BM$3*'[2]Feedstock Conversion Rates'!B$7)/12</f>
        <v>1.5333333333333332</v>
      </c>
      <c r="BN210" s="47">
        <f t="shared" si="78"/>
        <v>13.495000000000001</v>
      </c>
      <c r="BO210" s="45">
        <f>('[2]Renewable Diesel'!P219*'[2]Feedstock Conversion Rates'!B$4)/12</f>
        <v>31.25</v>
      </c>
      <c r="BP210" s="47">
        <f t="shared" si="72"/>
        <v>31.25</v>
      </c>
      <c r="BQ210" s="45">
        <f>('[2]Renewable Diesel'!$S219*'[2]RD Feedstock Breakdown'!BQ$3*'[2]Feedstock Conversion Rates'!B$4)/12+10</f>
        <v>38.125</v>
      </c>
      <c r="BR210" s="45">
        <f>('[2]Renewable Diesel'!$S219*'[2]RD Feedstock Breakdown'!BR$3*'[2]Feedstock Conversion Rates'!B$7)/12-10</f>
        <v>1.5</v>
      </c>
      <c r="BS210" s="47">
        <f t="shared" si="90"/>
        <v>39.625</v>
      </c>
      <c r="BT210" s="47"/>
      <c r="BU210" s="45">
        <f>('[2]Renewable Diesel'!Y219*'[2]Feedstock Conversion Rates'!B$7)/12</f>
        <v>2.6833333333333331</v>
      </c>
      <c r="BV210" s="47">
        <f t="shared" si="153"/>
        <v>2.6833333333333331</v>
      </c>
      <c r="BW210" s="45">
        <f>('[2]Renewable Diesel'!$Z219*'[2]RD Feedstock Breakdown'!BW$3*'[2]Feedstock Conversion Rates'!$B$4)/12</f>
        <v>53.90625</v>
      </c>
      <c r="BX210" s="45">
        <f>('[2]Renewable Diesel'!$Z219*'[2]RD Feedstock Breakdown'!BX$3*'[2]Feedstock Conversion Rates'!$B$5)/12</f>
        <v>5.4265624999999993</v>
      </c>
      <c r="BY210" s="45">
        <f>('[2]Renewable Diesel'!$Z219*'[2]RD Feedstock Breakdown'!BY$3*'[2]Feedstock Conversion Rates'!$B$7)/12</f>
        <v>46.287499999999994</v>
      </c>
      <c r="BZ210" s="45">
        <f>('[2]Renewable Diesel'!$Z219*'[2]RD Feedstock Breakdown'!BZ$3*'[2]Feedstock Conversion Rates'!$B$3)/12</f>
        <v>11.514374999999999</v>
      </c>
      <c r="CA210" s="47">
        <f t="shared" si="91"/>
        <v>117.1346875</v>
      </c>
      <c r="CB210" s="45">
        <f>('[2]Renewable Diesel'!AA219*'[2]Feedstock Conversion Rates'!B$4)/12</f>
        <v>191.25</v>
      </c>
      <c r="CC210" s="47">
        <f t="shared" si="79"/>
        <v>191.25</v>
      </c>
      <c r="CD210" s="45">
        <f>('[2]Renewable Diesel'!$AB219*'[2]RD Feedstock Breakdown'!CD$3*'[2]Feedstock Conversion Rates'!$B$6)/12-15</f>
        <v>17.830000000000005</v>
      </c>
      <c r="CE210" s="45">
        <f>('[2]Renewable Diesel'!$AB219*'[2]RD Feedstock Breakdown'!CE$3*'[2]Feedstock Conversion Rates'!$B$4)/12+15</f>
        <v>26.25</v>
      </c>
      <c r="CF210" s="47">
        <f t="shared" si="76"/>
        <v>44.080000000000005</v>
      </c>
      <c r="CG210" s="45">
        <f>('[2]Renewable Diesel'!AD219*'[2]Feedstock Conversion Rates'!B$4)/12</f>
        <v>112.5</v>
      </c>
      <c r="CH210" s="47">
        <f t="shared" si="149"/>
        <v>112.5</v>
      </c>
      <c r="CI210" s="45">
        <f>('[2]Renewable Diesel'!$AE219*'[2]RD Feedstock Breakdown'!CI$3*'[2]Feedstock Conversion Rates'!$B$5)/12</f>
        <v>0.34604166666666664</v>
      </c>
      <c r="CJ210" s="45">
        <f>('[2]Renewable Diesel'!$AE219*'[2]RD Feedstock Breakdown'!CJ$3*'[2]Feedstock Conversion Rates'!$B$4)/12</f>
        <v>0.34375</v>
      </c>
      <c r="CK210" s="47">
        <f t="shared" si="73"/>
        <v>0.68979166666666658</v>
      </c>
      <c r="CL210" s="45">
        <f>(((CL$3*'[2]Renewable Diesel'!$AF219)*'[2]Feedstock Conversion Rates'!$B$3)/12)</f>
        <v>91.78125</v>
      </c>
      <c r="CM210" s="45">
        <f>(((CM$3*'[2]Renewable Diesel'!$AF219)*'[2]Feedstock Conversion Rates'!$B$6)/12)</f>
        <v>53.739583333333336</v>
      </c>
      <c r="CN210" s="45">
        <f>(((CN$3*'[2]Renewable Diesel'!$AF219)*'[2]Feedstock Conversion Rates'!$B$4)/12)</f>
        <v>42.96875</v>
      </c>
      <c r="CO210" s="47">
        <f t="shared" si="152"/>
        <v>188.48958333333334</v>
      </c>
      <c r="CP210" s="45">
        <f>('[2]Renewable Diesel'!$AG219*'[2]RD Feedstock Breakdown'!CP$3*'[2]Feedstock Conversion Rates'!$B$3)/12</f>
        <v>6.0075000000000003</v>
      </c>
      <c r="CQ210" s="45">
        <f>('[2]Renewable Diesel'!$AG219*'[2]RD Feedstock Breakdown'!CQ$3*'[2]Feedstock Conversion Rates'!$B$6)/12</f>
        <v>3.5175000000000001</v>
      </c>
      <c r="CR210" s="45">
        <f>('[2]Renewable Diesel'!$AG219*'[2]RD Feedstock Breakdown'!CR$3*'[2]Feedstock Conversion Rates'!$B$4)/12</f>
        <v>2.8125</v>
      </c>
      <c r="CS210" s="47">
        <f t="shared" si="99"/>
        <v>12.3375</v>
      </c>
      <c r="CT210" s="45">
        <f>('[2]Renewable Diesel'!AI219*'[2]Feedstock Conversion Rates'!$B$4*'[2]RD Feedstock Breakdown'!$CT$3)/12</f>
        <v>29.375</v>
      </c>
      <c r="CU210" s="47">
        <f t="shared" si="69"/>
        <v>29.375</v>
      </c>
      <c r="CV210" s="45">
        <f>('[2]Renewable Diesel'!AN219*'[2]Feedstock Conversion Rates'!$B$3*'[2]RD Feedstock Breakdown'!$CV$3)/12</f>
        <v>0.50062499999999999</v>
      </c>
      <c r="CW210" s="47">
        <f t="shared" si="124"/>
        <v>0.50062499999999999</v>
      </c>
      <c r="CX210" s="45">
        <f>('[2]Renewable Diesel'!AO219*'[2]RD Feedstock Breakdown'!$CX$3*'[2]Feedstock Conversion Rates'!$B$3)/12</f>
        <v>6.3412499999999996</v>
      </c>
      <c r="CY210" s="45">
        <f>('[2]Renewable Diesel'!AO219*'[2]RD Feedstock Breakdown'!$CY$3*'[2]Feedstock Conversion Rates'!$B$6)/12</f>
        <v>7.4258333333333342</v>
      </c>
      <c r="CZ210" s="47">
        <f t="shared" si="100"/>
        <v>13.767083333333334</v>
      </c>
      <c r="DA210" s="45">
        <f>('[2]Renewable Diesel'!$AP219*'[2]RD Feedstock Breakdown'!DA$3*'[2]Feedstock Conversion Rates'!$B$3)/12</f>
        <v>6.3412499999999996</v>
      </c>
      <c r="DB210" s="45">
        <f>('[2]Renewable Diesel'!$AP219*'[2]RD Feedstock Breakdown'!DB$3*'[2]Feedstock Conversion Rates'!$B$8)/12</f>
        <v>7.421875</v>
      </c>
      <c r="DC210" s="47">
        <f t="shared" si="127"/>
        <v>13.763124999999999</v>
      </c>
      <c r="DD210" s="45">
        <f>('[2]Renewable Diesel'!AQ219*$DD$3*'[2]Feedstock Conversion Rates'!$B$14)/12</f>
        <v>3.1041666666666665</v>
      </c>
      <c r="DE210" s="47">
        <f t="shared" si="128"/>
        <v>3.1041666666666665</v>
      </c>
      <c r="DF210" s="45">
        <f>('[2]Renewable Diesel'!AR219*'[2]Feedstock Conversion Rates'!$B$4*$DF$3)/12</f>
        <v>75</v>
      </c>
      <c r="DG210" s="47">
        <f t="shared" si="101"/>
        <v>75</v>
      </c>
      <c r="DH210" s="45">
        <f>('[2]Renewable Diesel'!AS219*'[2]Feedstock Conversion Rates'!$B$4*$DH$3)/12</f>
        <v>75</v>
      </c>
      <c r="DI210" s="47">
        <f t="shared" si="110"/>
        <v>75</v>
      </c>
      <c r="DJ210" s="45">
        <f>('[2]Renewable Diesel'!AT219*'[2]Feedstock Conversion Rates'!$B$4*0.25)/12</f>
        <v>8.59375</v>
      </c>
      <c r="DK210" s="45">
        <f>('[2]Renewable Diesel'!$AT219*'[2]RD Feedstock Breakdown'!DK$3*'[2]Feedstock Conversion Rates'!$B$3)/12*0.5</f>
        <v>9.1781249999999996</v>
      </c>
      <c r="DL210" s="45">
        <f>('[2]Renewable Diesel'!$AT219*'[2]RD Feedstock Breakdown'!$DL$3*'[2]Feedstock Conversion Rates'!$B$6)/12</f>
        <v>10.747916666666669</v>
      </c>
      <c r="DM210" s="45">
        <f>('[2]Renewable Diesel'!$AT219*'[2]RD Feedstock Breakdown'!$DM$3*'[2]Feedstock Conversion Rates'!$B$8)/12</f>
        <v>10.7421875</v>
      </c>
      <c r="DN210" s="47">
        <f t="shared" si="77"/>
        <v>39.26197916666667</v>
      </c>
      <c r="DP210" s="45">
        <f t="shared" si="130"/>
        <v>107.47025000000001</v>
      </c>
      <c r="DQ210" s="45">
        <f t="shared" si="131"/>
        <v>536.77964249999991</v>
      </c>
      <c r="DR210" s="45">
        <f t="shared" si="136"/>
        <v>1980.734375</v>
      </c>
      <c r="DS210" s="45">
        <f t="shared" si="70"/>
        <v>146.89239583333335</v>
      </c>
      <c r="DT210" s="45">
        <f t="shared" si="132"/>
        <v>236.53923333333344</v>
      </c>
      <c r="DU210" s="45">
        <f t="shared" si="133"/>
        <v>197.72693333333333</v>
      </c>
      <c r="DV210" s="45">
        <f t="shared" si="137"/>
        <v>8</v>
      </c>
      <c r="DW210" s="45">
        <f t="shared" si="134"/>
        <v>3</v>
      </c>
      <c r="DX210" s="47">
        <f t="shared" si="138"/>
        <v>3217.1428300000002</v>
      </c>
      <c r="DY210" s="50">
        <f t="shared" si="126"/>
        <v>-30.000000000000707</v>
      </c>
      <c r="EA210" s="51">
        <f t="shared" si="117"/>
        <v>3.3405495397293254E-2</v>
      </c>
      <c r="EB210" s="51">
        <f t="shared" si="117"/>
        <v>0.16684980147431</v>
      </c>
      <c r="EC210" s="51">
        <f t="shared" si="117"/>
        <v>0.61568120523887337</v>
      </c>
      <c r="ED210" s="51">
        <f t="shared" si="114"/>
        <v>4.5659270848516648E-2</v>
      </c>
      <c r="EE210" s="51">
        <f t="shared" si="114"/>
        <v>7.3524629098712851E-2</v>
      </c>
      <c r="EF210" s="51">
        <f t="shared" si="114"/>
        <v>6.1460414964956134E-2</v>
      </c>
      <c r="EG210" s="51">
        <f t="shared" si="114"/>
        <v>2.4866785289728651E-3</v>
      </c>
      <c r="EH210" s="52">
        <f t="shared" si="139"/>
        <v>9.3250444836482434E-4</v>
      </c>
      <c r="EI210" s="51">
        <f t="shared" si="140"/>
        <v>0.9990674955516351</v>
      </c>
      <c r="EK210" s="53">
        <f>(EA210*'[2]Renewable Diesel'!BF219*'[2]Feedstock Conversion Rates'!B$2)+FB210</f>
        <v>81.169886190086231</v>
      </c>
      <c r="EL210" s="53">
        <f>(EB210*'[2]Renewable Diesel'!BF219*'[2]Feedstock Conversion Rates'!B$3)+FC210</f>
        <v>382.04657004470607</v>
      </c>
      <c r="EM210" s="53">
        <f>(EC210*'[2]Renewable Diesel'!BF219*'[2]Feedstock Conversion Rates'!B$4)+FD210</f>
        <v>1320.0040212896804</v>
      </c>
      <c r="EN210" s="53">
        <f>(ED210*'[2]Renewable Diesel'!BF219*'[2]Feedstock Conversion Rates'!B$5)+FE210</f>
        <v>98.544869358461071</v>
      </c>
      <c r="EO210" s="53">
        <f>(EE210*'[2]Renewable Diesel'!BF219*'[2]Feedstock Conversion Rates'!B$6)+FF210</f>
        <v>197.14863541479889</v>
      </c>
      <c r="EP210" s="53">
        <f>(EF210*'[2]Renewable Diesel'!BF219*'[2]Feedstock Conversion Rates'!B$7)+FG210</f>
        <v>161.637234067386</v>
      </c>
      <c r="EQ210" s="53">
        <f>(EG210*'[2]Renewable Diesel'!BF219*'[2]Feedstock Conversion Rates'!B$8)+FH210</f>
        <v>6.6642152423374812</v>
      </c>
      <c r="ER210" s="53">
        <f>(EH210*'[2]Renewable Diesel'!BF219*'[2]Feedstock Conversion Rates'!B$9)+FI210</f>
        <v>2.4657596396648676</v>
      </c>
      <c r="ES210" s="53">
        <f t="shared" si="141"/>
        <v>2249.6811912471212</v>
      </c>
      <c r="ET210" s="36">
        <f>ES210/'[2]Renewable Diesel'!BF219</f>
        <v>7.8697852708640861</v>
      </c>
    </row>
    <row r="211" spans="1:150" x14ac:dyDescent="0.25">
      <c r="A211" s="39">
        <v>46844</v>
      </c>
      <c r="B211" s="45">
        <f t="shared" si="142"/>
        <v>52.5</v>
      </c>
      <c r="C211" s="45">
        <f t="shared" si="143"/>
        <v>5.2999999999999972</v>
      </c>
      <c r="D211" s="45">
        <f t="shared" si="144"/>
        <v>2</v>
      </c>
      <c r="E211" s="45">
        <f>('[2]Renewable Diesel'!B220*E$3*'[2]Feedstock Conversion Rates'!$B$2)/12-57.5+6.25+18+10-38+20+16+55+47.5-7-20-4-10+13.5-50</f>
        <v>89.68</v>
      </c>
      <c r="F211" s="45">
        <f>('[2]Renewable Diesel'!B220*'[2]RD Feedstock Breakdown'!F$3*'[2]Feedstock Conversion Rates'!B$8)/12-24+9-2.5+10+5-39+14+10.5+5+5+2-29+4-20</f>
        <v>3.90625</v>
      </c>
      <c r="G211" s="45">
        <f>('[2]Renewable Diesel'!B220*'[2]RD Feedstock Breakdown'!G$3*'[2]Feedstock Conversion Rates'!B$7)/12-30-2+52-144-30+30+70+5-65-30-7.5-5+3</f>
        <v>22.657000000000011</v>
      </c>
      <c r="H211" s="45">
        <f>('[2]Renewable Diesel'!B220*'[2]RD Feedstock Breakdown'!H$3*'[2]Feedstock Conversion Rates'!B$3)/12-95+8+16-72+12+40+40+30-20-15-30+215+15</f>
        <v>320.40022499999998</v>
      </c>
      <c r="I211" s="47">
        <f t="shared" si="75"/>
        <v>496.44347500000003</v>
      </c>
      <c r="J211" s="45">
        <f t="shared" si="145"/>
        <v>142</v>
      </c>
      <c r="K211" s="45"/>
      <c r="L211" s="45">
        <v>1</v>
      </c>
      <c r="M211" s="45">
        <f>('[2]Renewable Diesel'!C220*'[2]RD Feedstock Breakdown'!M$3*'[2]Feedstock Conversion Rates'!B$2)/12-24+10-41+5+1+35+24</f>
        <v>17.79025</v>
      </c>
      <c r="N211" s="45">
        <f>('[2]Renewable Diesel'!C220*'[2]RD Feedstock Breakdown'!N$3*'[2]Feedstock Conversion Rates'!B$8)/12-2.5+16+2-25-2+8+7+2-22-10</f>
        <v>-22.828125</v>
      </c>
      <c r="O211" s="45">
        <f>('[2]Renewable Diesel'!C220*'[2]RD Feedstock Breakdown'!O$3*'[2]Feedstock Conversion Rates'!B$7)/12-30-60-10+20+15-15+20-20+8</f>
        <v>-60.000900000000001</v>
      </c>
      <c r="P211" s="45">
        <f>('[2]Renewable Diesel'!C220*'[2]RD Feedstock Breakdown'!P$3*'[2]Feedstock Conversion Rates'!B$3)/12-27+50-107+35+10+52.5-70+12-5-5</f>
        <v>-44.052957499999991</v>
      </c>
      <c r="Q211" s="47">
        <f t="shared" si="85"/>
        <v>33.908267500000022</v>
      </c>
      <c r="R211" s="45">
        <f>('[2]Renewable Diesel'!D220*'[2]RD Feedstock Breakdown'!R$3*'[2]Feedstock Conversion Rates'!B$7)/12</f>
        <v>2.2999999999999998</v>
      </c>
      <c r="S211" s="47">
        <f t="shared" si="116"/>
        <v>2.2999999999999998</v>
      </c>
      <c r="T211" s="45">
        <f t="shared" si="146"/>
        <v>5.8250000000000028</v>
      </c>
      <c r="U211" s="45">
        <v>30</v>
      </c>
      <c r="V211" s="45">
        <f>('[2]Renewable Diesel'!E220*'[2]RD Feedstock Breakdown'!V$3*'[2]Feedstock Conversion Rates'!B$6)/12-20+25-35</f>
        <v>14.250150000000012</v>
      </c>
      <c r="W211" s="45">
        <f>('[2]Renewable Diesel'!E220*'[2]RD Feedstock Breakdown'!W$3*'[2]Feedstock Conversion Rates'!B$8)/12-6</f>
        <v>16.1796875</v>
      </c>
      <c r="X211" s="47">
        <f t="shared" si="147"/>
        <v>66.254837500000008</v>
      </c>
      <c r="Y211" s="45">
        <f t="shared" si="148"/>
        <v>125.5</v>
      </c>
      <c r="Z211" s="45">
        <f>('[2]Renewable Diesel'!F220*'[2]RD Feedstock Breakdown'!Z$3*'[2]Feedstock Conversion Rates'!B$6)/12-50-32-60+15+30+22.5-70+70-35+5+6</f>
        <v>60.960000000000008</v>
      </c>
      <c r="AA211" s="45">
        <f>('[2]Renewable Diesel'!F220*'[2]RD Feedstock Breakdown'!AA$3*'[2]Feedstock Conversion Rates'!B$7)/12+80-171+75+30+20-50-6-5</f>
        <v>77.266666666666652</v>
      </c>
      <c r="AB211" s="47">
        <f t="shared" si="102"/>
        <v>263.72666666666669</v>
      </c>
      <c r="AC211" s="45">
        <f>('[2]Renewable Diesel'!G220*'[2]RD Feedstock Breakdown'!AC$3*'[2]Feedstock Conversion Rates'!B$5)/12</f>
        <v>11.796875</v>
      </c>
      <c r="AD211" s="45">
        <f>('[2]Renewable Diesel'!G220*'[2]RD Feedstock Breakdown'!AD$3*'[2]Feedstock Conversion Rates'!B$4)/12</f>
        <v>5.859375</v>
      </c>
      <c r="AE211" s="45">
        <f>('[2]Renewable Diesel'!G220*'[2]RD Feedstock Breakdown'!AE$3*'[2]Feedstock Conversion Rates'!B$6)/12</f>
        <v>7.3281250000000009</v>
      </c>
      <c r="AF211" s="47">
        <f t="shared" si="71"/>
        <v>24.984375</v>
      </c>
      <c r="AG211" s="45">
        <f t="shared" si="150"/>
        <v>106.5</v>
      </c>
      <c r="AH211" s="45">
        <v>30</v>
      </c>
      <c r="AI211" s="45">
        <f>('[2]Renewable Diesel'!H220*'[2]RD Feedstock Breakdown'!AI$3*'[2]Feedstock Conversion Rates'!B$6)/12-130-20+51-120+2.5+100-45+25</f>
        <v>12.01666666666668</v>
      </c>
      <c r="AJ211" s="47">
        <f t="shared" si="113"/>
        <v>118.51666666666668</v>
      </c>
      <c r="AK211" s="45">
        <f>('[2]Renewable Diesel'!J220*'[2]RD Feedstock Breakdown'!AK$3*'[2]Feedstock Conversion Rates'!B$4)/12</f>
        <v>95.8125</v>
      </c>
      <c r="AL211" s="47">
        <f t="shared" si="123"/>
        <v>95.8125</v>
      </c>
      <c r="AM211" s="45">
        <f>('[2]Renewable Diesel'!K220*'[2]RD Feedstock Breakdown'!AM$3*'[2]Feedstock Conversion Rates'!B$4)/12+5+15-10+9-27</f>
        <v>50.59375</v>
      </c>
      <c r="AN211" s="45">
        <f>('[2]Renewable Diesel'!K220*'[2]RD Feedstock Breakdown'!AN$3*'[2]Feedstock Conversion Rates'!B$6)/12-5-15+10-9+27</f>
        <v>32.427083333333329</v>
      </c>
      <c r="AO211" s="47">
        <f t="shared" si="135"/>
        <v>83.020833333333329</v>
      </c>
      <c r="AP211" s="45">
        <f>('[2]Renewable Diesel'!L220*'[2]RD Feedstock Breakdown'!AP$3*'[2]Feedstock Conversion Rates'!B$4)/12+15-10+2.5+12</f>
        <v>78.09375</v>
      </c>
      <c r="AQ211" s="45">
        <f>('[2]Renewable Diesel'!L220*'[2]RD Feedstock Breakdown'!AQ$3*'[2]Feedstock Conversion Rates'!B$6)/12-15+10-2.5-12</f>
        <v>4.9270833333333321</v>
      </c>
      <c r="AR211" s="47">
        <f t="shared" si="125"/>
        <v>83.020833333333329</v>
      </c>
      <c r="AS211" s="45">
        <f>('[2]Renewable Diesel'!M220*'[2]RD Feedstock Breakdown'!AS$3*'[2]Feedstock Conversion Rates'!B$4)/12</f>
        <v>456.25</v>
      </c>
      <c r="AT211" s="45">
        <f>('[2]Renewable Diesel'!M220*'[2]RD Feedstock Breakdown'!AT$3*'[2]Feedstock Conversion Rates'!B$5)/12</f>
        <v>0</v>
      </c>
      <c r="AU211" s="47">
        <f t="shared" si="74"/>
        <v>456.25</v>
      </c>
      <c r="AV211" s="45">
        <f>'[2]Renewable Diesel'!N220*'[2]RD Feedstock Breakdown'!$AV$3*'[2]Feedstock Conversion Rates'!$B$4/12-15-10+25+25-22-25-12.5</f>
        <v>44.249999999999986</v>
      </c>
      <c r="AW211" s="45">
        <f>'[2]Renewable Diesel'!N220*'[2]RD Feedstock Breakdown'!$AW$3*'[2]Feedstock Conversion Rates'!$B$7/12+15+10-25-25+22+25+12.5</f>
        <v>75.900000000000006</v>
      </c>
      <c r="AX211" s="47">
        <f t="shared" si="109"/>
        <v>120.14999999999999</v>
      </c>
      <c r="AY211" s="45">
        <f>('[2]Renewable Diesel'!O220*'[2]RD Feedstock Breakdown'!AY$3*'[2]Feedstock Conversion Rates'!B$4)/12+32+2-135</f>
        <v>109.9375</v>
      </c>
      <c r="AZ211" s="45">
        <f>('[2]Renewable Diesel'!O220*'[2]RD Feedstock Breakdown'!AZ$3*'[2]Feedstock Conversion Rates'!B$3)/12-32-2+135</f>
        <v>126.03125</v>
      </c>
      <c r="BA211" s="47">
        <f t="shared" si="87"/>
        <v>235.96875</v>
      </c>
      <c r="BB211" s="45">
        <f>('[2]Renewable Diesel'!Q220*'[2]RD Feedstock Breakdown'!BB$3*'[2]Feedstock Conversion Rates'!B$4)/12</f>
        <v>11.156249999999998</v>
      </c>
      <c r="BC211" s="45">
        <f>('[2]Renewable Diesel'!Q220*'[2]RD Feedstock Breakdown'!BC$3*'[2]Feedstock Conversion Rates'!B$3)/12</f>
        <v>1.4017500000000001</v>
      </c>
      <c r="BD211" s="45">
        <f>('[2]Renewable Diesel'!Q220*'[2]RD Feedstock Breakdown'!BD$3*'[2]Feedstock Conversion Rates'!B$6)/12</f>
        <v>0.8207500000000002</v>
      </c>
      <c r="BE211" s="47">
        <f t="shared" si="151"/>
        <v>13.378749999999998</v>
      </c>
      <c r="BF211" s="45">
        <f>('[2]Renewable Diesel'!R220*'[2]RD Feedstock Breakdown'!BF$3*'[2]Feedstock Conversion Rates'!B$4)/12</f>
        <v>62.5</v>
      </c>
      <c r="BG211" s="47">
        <f t="shared" si="129"/>
        <v>62.5</v>
      </c>
      <c r="BH211" s="45">
        <f>('[2]Renewable Diesel'!T220*'[2]RD Feedstock Breakdown'!BH$3*'[2]Feedstock Conversion Rates'!B$7)/12</f>
        <v>27.599999999999998</v>
      </c>
      <c r="BI211" s="47">
        <f t="shared" si="112"/>
        <v>27.599999999999998</v>
      </c>
      <c r="BJ211" s="45">
        <f>('[2]Renewable Diesel'!W220*'[2]RD Feedstock Breakdown'!BJ$3*'[2]Feedstock Conversion Rates'!B$4)/12</f>
        <v>7.5</v>
      </c>
      <c r="BK211" s="45">
        <f>('[2]Renewable Diesel'!W220*'[2]RD Feedstock Breakdown'!BK$3*'[2]Feedstock Conversion Rates'!B$3)/12</f>
        <v>1.335</v>
      </c>
      <c r="BL211" s="45">
        <f>('[2]Renewable Diesel'!W220*'[2]RD Feedstock Breakdown'!BL$3*'[2]Feedstock Conversion Rates'!B$6)/12</f>
        <v>3.1266666666666669</v>
      </c>
      <c r="BM211" s="45">
        <f>('[2]Renewable Diesel'!W220*'[2]RD Feedstock Breakdown'!BM$3*'[2]Feedstock Conversion Rates'!B$7)/12</f>
        <v>1.5333333333333332</v>
      </c>
      <c r="BN211" s="47">
        <f t="shared" si="78"/>
        <v>13.495000000000001</v>
      </c>
      <c r="BO211" s="45">
        <f>('[2]Renewable Diesel'!P220*'[2]Feedstock Conversion Rates'!B$4)/12</f>
        <v>31.25</v>
      </c>
      <c r="BP211" s="47">
        <f t="shared" si="72"/>
        <v>31.25</v>
      </c>
      <c r="BQ211" s="45">
        <f>('[2]Renewable Diesel'!$S220*'[2]RD Feedstock Breakdown'!BQ$3*'[2]Feedstock Conversion Rates'!B$4)/12+10</f>
        <v>38.125</v>
      </c>
      <c r="BR211" s="45">
        <f>('[2]Renewable Diesel'!$S220*'[2]RD Feedstock Breakdown'!BR$3*'[2]Feedstock Conversion Rates'!B$7)/12-10</f>
        <v>1.5</v>
      </c>
      <c r="BS211" s="47">
        <f t="shared" si="90"/>
        <v>39.625</v>
      </c>
      <c r="BT211" s="47"/>
      <c r="BU211" s="45">
        <f>('[2]Renewable Diesel'!Y220*'[2]Feedstock Conversion Rates'!B$7)/12</f>
        <v>2.6833333333333331</v>
      </c>
      <c r="BV211" s="47">
        <f t="shared" si="153"/>
        <v>2.6833333333333331</v>
      </c>
      <c r="BW211" s="45">
        <f>('[2]Renewable Diesel'!$Z220*'[2]RD Feedstock Breakdown'!BW$3*'[2]Feedstock Conversion Rates'!$B$4)/12</f>
        <v>53.90625</v>
      </c>
      <c r="BX211" s="45">
        <f>('[2]Renewable Diesel'!$Z220*'[2]RD Feedstock Breakdown'!BX$3*'[2]Feedstock Conversion Rates'!$B$5)/12</f>
        <v>5.4265624999999993</v>
      </c>
      <c r="BY211" s="45">
        <f>('[2]Renewable Diesel'!$Z220*'[2]RD Feedstock Breakdown'!BY$3*'[2]Feedstock Conversion Rates'!$B$7)/12</f>
        <v>46.287499999999994</v>
      </c>
      <c r="BZ211" s="45">
        <f>('[2]Renewable Diesel'!$Z220*'[2]RD Feedstock Breakdown'!BZ$3*'[2]Feedstock Conversion Rates'!$B$3)/12</f>
        <v>11.514374999999999</v>
      </c>
      <c r="CA211" s="47">
        <f t="shared" si="91"/>
        <v>117.1346875</v>
      </c>
      <c r="CB211" s="45">
        <f>('[2]Renewable Diesel'!AA220*'[2]Feedstock Conversion Rates'!B$4)/12</f>
        <v>191.25</v>
      </c>
      <c r="CC211" s="47">
        <f t="shared" si="79"/>
        <v>191.25</v>
      </c>
      <c r="CD211" s="45">
        <f>('[2]Renewable Diesel'!$AB220*'[2]RD Feedstock Breakdown'!CD$3*'[2]Feedstock Conversion Rates'!$B$6)/12-15</f>
        <v>17.830000000000005</v>
      </c>
      <c r="CE211" s="45">
        <f>('[2]Renewable Diesel'!$AB220*'[2]RD Feedstock Breakdown'!CE$3*'[2]Feedstock Conversion Rates'!$B$4)/12+15</f>
        <v>26.25</v>
      </c>
      <c r="CF211" s="47">
        <f t="shared" si="76"/>
        <v>44.080000000000005</v>
      </c>
      <c r="CG211" s="45">
        <f>('[2]Renewable Diesel'!AD220*'[2]Feedstock Conversion Rates'!B$4)/12</f>
        <v>112.5</v>
      </c>
      <c r="CH211" s="47">
        <f t="shared" si="149"/>
        <v>112.5</v>
      </c>
      <c r="CI211" s="45">
        <f>('[2]Renewable Diesel'!$AE220*'[2]RD Feedstock Breakdown'!CI$3*'[2]Feedstock Conversion Rates'!$B$5)/12</f>
        <v>0.34604166666666664</v>
      </c>
      <c r="CJ211" s="45">
        <f>('[2]Renewable Diesel'!$AE220*'[2]RD Feedstock Breakdown'!CJ$3*'[2]Feedstock Conversion Rates'!$B$4)/12</f>
        <v>0.34375</v>
      </c>
      <c r="CK211" s="47">
        <f t="shared" si="73"/>
        <v>0.68979166666666658</v>
      </c>
      <c r="CL211" s="45">
        <f>(((CL$3*'[2]Renewable Diesel'!$AF220)*'[2]Feedstock Conversion Rates'!$B$3)/12)</f>
        <v>91.78125</v>
      </c>
      <c r="CM211" s="45">
        <f>(((CM$3*'[2]Renewable Diesel'!$AF220)*'[2]Feedstock Conversion Rates'!$B$6)/12)</f>
        <v>53.739583333333336</v>
      </c>
      <c r="CN211" s="45">
        <f>(((CN$3*'[2]Renewable Diesel'!$AF220)*'[2]Feedstock Conversion Rates'!$B$4)/12)</f>
        <v>42.96875</v>
      </c>
      <c r="CO211" s="47">
        <f t="shared" si="152"/>
        <v>188.48958333333334</v>
      </c>
      <c r="CP211" s="45">
        <f>('[2]Renewable Diesel'!$AG220*'[2]RD Feedstock Breakdown'!CP$3*'[2]Feedstock Conversion Rates'!$B$3)/12</f>
        <v>6.0075000000000003</v>
      </c>
      <c r="CQ211" s="45">
        <f>('[2]Renewable Diesel'!$AG220*'[2]RD Feedstock Breakdown'!CQ$3*'[2]Feedstock Conversion Rates'!$B$6)/12</f>
        <v>3.5175000000000001</v>
      </c>
      <c r="CR211" s="45">
        <f>('[2]Renewable Diesel'!$AG220*'[2]RD Feedstock Breakdown'!CR$3*'[2]Feedstock Conversion Rates'!$B$4)/12</f>
        <v>2.8125</v>
      </c>
      <c r="CS211" s="47">
        <f t="shared" si="99"/>
        <v>12.3375</v>
      </c>
      <c r="CT211" s="45">
        <f>('[2]Renewable Diesel'!AI220*'[2]Feedstock Conversion Rates'!$B$4*'[2]RD Feedstock Breakdown'!$CT$3)/12</f>
        <v>29.375</v>
      </c>
      <c r="CU211" s="47">
        <f t="shared" ref="CU211:CU274" si="154">CT211</f>
        <v>29.375</v>
      </c>
      <c r="CV211" s="45">
        <f>('[2]Renewable Diesel'!AN220*'[2]Feedstock Conversion Rates'!$B$3*'[2]RD Feedstock Breakdown'!$CV$3)/12</f>
        <v>0.50062499999999999</v>
      </c>
      <c r="CW211" s="47">
        <f t="shared" si="124"/>
        <v>0.50062499999999999</v>
      </c>
      <c r="CX211" s="45">
        <f>('[2]Renewable Diesel'!AO220*'[2]RD Feedstock Breakdown'!$CX$3*'[2]Feedstock Conversion Rates'!$B$3)/12</f>
        <v>6.3412499999999996</v>
      </c>
      <c r="CY211" s="45">
        <f>('[2]Renewable Diesel'!AO220*'[2]RD Feedstock Breakdown'!$CY$3*'[2]Feedstock Conversion Rates'!$B$6)/12</f>
        <v>7.4258333333333342</v>
      </c>
      <c r="CZ211" s="47">
        <f t="shared" si="100"/>
        <v>13.767083333333334</v>
      </c>
      <c r="DA211" s="45">
        <f>('[2]Renewable Diesel'!$AP220*'[2]RD Feedstock Breakdown'!DA$3*'[2]Feedstock Conversion Rates'!$B$3)/12</f>
        <v>6.3412499999999996</v>
      </c>
      <c r="DB211" s="45">
        <f>('[2]Renewable Diesel'!$AP220*'[2]RD Feedstock Breakdown'!DB$3*'[2]Feedstock Conversion Rates'!$B$8)/12</f>
        <v>7.421875</v>
      </c>
      <c r="DC211" s="47">
        <f t="shared" si="127"/>
        <v>13.763124999999999</v>
      </c>
      <c r="DD211" s="45">
        <f>('[2]Renewable Diesel'!AQ220*$DD$3*'[2]Feedstock Conversion Rates'!$B$14)/12</f>
        <v>3.1041666666666665</v>
      </c>
      <c r="DE211" s="47">
        <f t="shared" si="128"/>
        <v>3.1041666666666665</v>
      </c>
      <c r="DF211" s="45">
        <f>('[2]Renewable Diesel'!AR220*'[2]Feedstock Conversion Rates'!$B$4*$DF$3)/12</f>
        <v>75</v>
      </c>
      <c r="DG211" s="47">
        <f t="shared" si="101"/>
        <v>75</v>
      </c>
      <c r="DH211" s="45">
        <f>('[2]Renewable Diesel'!AS220*'[2]Feedstock Conversion Rates'!$B$4*$DH$3)/12</f>
        <v>75</v>
      </c>
      <c r="DI211" s="47">
        <f t="shared" si="110"/>
        <v>75</v>
      </c>
      <c r="DJ211" s="45">
        <f>('[2]Renewable Diesel'!AT220*'[2]Feedstock Conversion Rates'!$B$4*0.25)/12</f>
        <v>8.59375</v>
      </c>
      <c r="DK211" s="45">
        <f>('[2]Renewable Diesel'!$AT220*'[2]RD Feedstock Breakdown'!DK$3*'[2]Feedstock Conversion Rates'!$B$3)/12*0.5</f>
        <v>9.1781249999999996</v>
      </c>
      <c r="DL211" s="45">
        <f>('[2]Renewable Diesel'!$AT220*'[2]RD Feedstock Breakdown'!$DL$3*'[2]Feedstock Conversion Rates'!$B$6)/12</f>
        <v>10.747916666666669</v>
      </c>
      <c r="DM211" s="45">
        <f>('[2]Renewable Diesel'!$AT220*'[2]RD Feedstock Breakdown'!$DM$3*'[2]Feedstock Conversion Rates'!$B$8)/12</f>
        <v>10.7421875</v>
      </c>
      <c r="DN211" s="47">
        <f t="shared" si="77"/>
        <v>39.26197916666667</v>
      </c>
      <c r="DP211" s="45">
        <f t="shared" si="130"/>
        <v>107.47025000000001</v>
      </c>
      <c r="DQ211" s="45">
        <f t="shared" si="131"/>
        <v>536.77964249999991</v>
      </c>
      <c r="DR211" s="45">
        <f t="shared" si="136"/>
        <v>1980.734375</v>
      </c>
      <c r="DS211" s="45">
        <f t="shared" si="70"/>
        <v>146.89239583333335</v>
      </c>
      <c r="DT211" s="45">
        <f t="shared" si="132"/>
        <v>236.53923333333344</v>
      </c>
      <c r="DU211" s="45">
        <f t="shared" si="133"/>
        <v>197.72693333333333</v>
      </c>
      <c r="DV211" s="45">
        <f t="shared" si="137"/>
        <v>8</v>
      </c>
      <c r="DW211" s="45">
        <f t="shared" si="134"/>
        <v>3</v>
      </c>
      <c r="DX211" s="47">
        <f t="shared" si="138"/>
        <v>3217.1428300000002</v>
      </c>
      <c r="DY211" s="50">
        <f t="shared" si="126"/>
        <v>-30.000000000000707</v>
      </c>
      <c r="EA211" s="51">
        <f t="shared" si="117"/>
        <v>3.3405495397293254E-2</v>
      </c>
      <c r="EB211" s="51">
        <f t="shared" si="117"/>
        <v>0.16684980147431</v>
      </c>
      <c r="EC211" s="51">
        <f t="shared" si="117"/>
        <v>0.61568120523887337</v>
      </c>
      <c r="ED211" s="51">
        <f t="shared" si="114"/>
        <v>4.5659270848516648E-2</v>
      </c>
      <c r="EE211" s="51">
        <f t="shared" si="114"/>
        <v>7.3524629098712851E-2</v>
      </c>
      <c r="EF211" s="51">
        <f t="shared" si="114"/>
        <v>6.1460414964956134E-2</v>
      </c>
      <c r="EG211" s="51">
        <f t="shared" si="114"/>
        <v>2.4866785289728651E-3</v>
      </c>
      <c r="EH211" s="52">
        <f t="shared" si="139"/>
        <v>9.3250444836482434E-4</v>
      </c>
      <c r="EI211" s="51">
        <f t="shared" si="140"/>
        <v>0.9990674955516351</v>
      </c>
      <c r="EK211" s="53">
        <f>(EA211*'[2]Renewable Diesel'!BF220*'[2]Feedstock Conversion Rates'!B$2)+FB211</f>
        <v>91.054602446926125</v>
      </c>
      <c r="EL211" s="53">
        <f>(EB211*'[2]Renewable Diesel'!BF220*'[2]Feedstock Conversion Rates'!B$3)+FC211</f>
        <v>428.5714836431689</v>
      </c>
      <c r="EM211" s="53">
        <f>(EC211*'[2]Renewable Diesel'!BF220*'[2]Feedstock Conversion Rates'!B$4)+FD211</f>
        <v>1480.7516312811522</v>
      </c>
      <c r="EN211" s="53">
        <f>(ED211*'[2]Renewable Diesel'!BF220*'[2]Feedstock Conversion Rates'!B$5)+FE211</f>
        <v>110.54547842540731</v>
      </c>
      <c r="EO211" s="53">
        <f>(EE211*'[2]Renewable Diesel'!BF220*'[2]Feedstock Conversion Rates'!B$6)+FF211</f>
        <v>221.15702587791719</v>
      </c>
      <c r="EP211" s="53">
        <f>(EF211*'[2]Renewable Diesel'!BF220*'[2]Feedstock Conversion Rates'!B$7)+FG211</f>
        <v>181.32111278510274</v>
      </c>
      <c r="EQ211" s="53">
        <f>(EG211*'[2]Renewable Diesel'!BF220*'[2]Feedstock Conversion Rates'!B$8)+FH211</f>
        <v>7.4757708553482969</v>
      </c>
      <c r="ER211" s="53">
        <f>(EH211*'[2]Renewable Diesel'!BF220*'[2]Feedstock Conversion Rates'!B$9)+FI211</f>
        <v>2.7660352164788695</v>
      </c>
      <c r="ES211" s="53">
        <f t="shared" si="141"/>
        <v>2523.6431405315016</v>
      </c>
      <c r="ET211" s="36">
        <f>ES211/'[2]Renewable Diesel'!BF220</f>
        <v>7.8697852708640843</v>
      </c>
    </row>
    <row r="212" spans="1:150" x14ac:dyDescent="0.25">
      <c r="A212" s="39">
        <v>46874</v>
      </c>
      <c r="B212" s="45">
        <f t="shared" si="142"/>
        <v>52.5</v>
      </c>
      <c r="C212" s="45">
        <f t="shared" si="143"/>
        <v>5.2999999999999972</v>
      </c>
      <c r="D212" s="45">
        <f t="shared" si="144"/>
        <v>2</v>
      </c>
      <c r="E212" s="45">
        <f>('[2]Renewable Diesel'!B221*E$3*'[2]Feedstock Conversion Rates'!$B$2)/12-57.5+6.25+18+10-38+20+16+55+47.5-7-20-4-10+13.5-50</f>
        <v>89.68</v>
      </c>
      <c r="F212" s="45">
        <f>('[2]Renewable Diesel'!B221*'[2]RD Feedstock Breakdown'!F$3*'[2]Feedstock Conversion Rates'!B$8)/12-24+9-2.5+10+5-39+14+10.5+5+5+2-29+4-20</f>
        <v>3.90625</v>
      </c>
      <c r="G212" s="45">
        <f>('[2]Renewable Diesel'!B221*'[2]RD Feedstock Breakdown'!G$3*'[2]Feedstock Conversion Rates'!B$7)/12-30-2+52-144-30+30+70+5-65-30-7.5-5+3</f>
        <v>22.657000000000011</v>
      </c>
      <c r="H212" s="45">
        <f>('[2]Renewable Diesel'!B221*'[2]RD Feedstock Breakdown'!H$3*'[2]Feedstock Conversion Rates'!B$3)/12-95+8+16-72+12+40+40+30-20-15-30+215+15</f>
        <v>320.40022499999998</v>
      </c>
      <c r="I212" s="47">
        <f t="shared" si="75"/>
        <v>496.44347500000003</v>
      </c>
      <c r="J212" s="45">
        <f t="shared" si="145"/>
        <v>142</v>
      </c>
      <c r="K212" s="45"/>
      <c r="L212" s="45">
        <v>1</v>
      </c>
      <c r="M212" s="45">
        <f>('[2]Renewable Diesel'!C221*'[2]RD Feedstock Breakdown'!M$3*'[2]Feedstock Conversion Rates'!B$2)/12-24+10-41+5+1+35+24</f>
        <v>17.79025</v>
      </c>
      <c r="N212" s="45">
        <f>('[2]Renewable Diesel'!C221*'[2]RD Feedstock Breakdown'!N$3*'[2]Feedstock Conversion Rates'!B$8)/12-2.5+16+2-25-2+8+7+2-22-10</f>
        <v>-22.828125</v>
      </c>
      <c r="O212" s="45">
        <f>('[2]Renewable Diesel'!C221*'[2]RD Feedstock Breakdown'!O$3*'[2]Feedstock Conversion Rates'!B$7)/12-30-60-10+20+15-15+20-20+8</f>
        <v>-60.000900000000001</v>
      </c>
      <c r="P212" s="45">
        <f>('[2]Renewable Diesel'!C221*'[2]RD Feedstock Breakdown'!P$3*'[2]Feedstock Conversion Rates'!B$3)/12-27+50-107+35+10+52.5-70+12-5-5</f>
        <v>-44.052957499999991</v>
      </c>
      <c r="Q212" s="47">
        <f t="shared" si="85"/>
        <v>33.908267500000022</v>
      </c>
      <c r="R212" s="45">
        <f>('[2]Renewable Diesel'!D221*'[2]RD Feedstock Breakdown'!R$3*'[2]Feedstock Conversion Rates'!B$7)/12</f>
        <v>2.2999999999999998</v>
      </c>
      <c r="S212" s="47">
        <f t="shared" si="116"/>
        <v>2.2999999999999998</v>
      </c>
      <c r="T212" s="45">
        <f t="shared" si="146"/>
        <v>5.8250000000000028</v>
      </c>
      <c r="U212" s="45">
        <v>30</v>
      </c>
      <c r="V212" s="45">
        <f>('[2]Renewable Diesel'!E221*'[2]RD Feedstock Breakdown'!V$3*'[2]Feedstock Conversion Rates'!B$6)/12-20+25-35</f>
        <v>14.250150000000012</v>
      </c>
      <c r="W212" s="45">
        <f>('[2]Renewable Diesel'!E221*'[2]RD Feedstock Breakdown'!W$3*'[2]Feedstock Conversion Rates'!B$8)/12-6</f>
        <v>16.1796875</v>
      </c>
      <c r="X212" s="47">
        <f t="shared" si="147"/>
        <v>66.254837500000008</v>
      </c>
      <c r="Y212" s="45">
        <f t="shared" si="148"/>
        <v>125.5</v>
      </c>
      <c r="Z212" s="45">
        <f>('[2]Renewable Diesel'!F221*'[2]RD Feedstock Breakdown'!Z$3*'[2]Feedstock Conversion Rates'!B$6)/12-50-32-60+15+30+22.5-70+70-35+5+6</f>
        <v>60.960000000000008</v>
      </c>
      <c r="AA212" s="45">
        <f>('[2]Renewable Diesel'!F221*'[2]RD Feedstock Breakdown'!AA$3*'[2]Feedstock Conversion Rates'!B$7)/12+80-171+75+30+20-50-6-5</f>
        <v>77.266666666666652</v>
      </c>
      <c r="AB212" s="47">
        <f t="shared" si="102"/>
        <v>263.72666666666669</v>
      </c>
      <c r="AC212" s="45">
        <f>('[2]Renewable Diesel'!G221*'[2]RD Feedstock Breakdown'!AC$3*'[2]Feedstock Conversion Rates'!B$5)/12</f>
        <v>11.796875</v>
      </c>
      <c r="AD212" s="45">
        <f>('[2]Renewable Diesel'!G221*'[2]RD Feedstock Breakdown'!AD$3*'[2]Feedstock Conversion Rates'!B$4)/12</f>
        <v>5.859375</v>
      </c>
      <c r="AE212" s="45">
        <f>('[2]Renewable Diesel'!G221*'[2]RD Feedstock Breakdown'!AE$3*'[2]Feedstock Conversion Rates'!B$6)/12</f>
        <v>7.3281250000000009</v>
      </c>
      <c r="AF212" s="47">
        <f t="shared" si="71"/>
        <v>24.984375</v>
      </c>
      <c r="AG212" s="45">
        <f t="shared" si="150"/>
        <v>106.5</v>
      </c>
      <c r="AH212" s="45">
        <v>30</v>
      </c>
      <c r="AI212" s="45">
        <f>('[2]Renewable Diesel'!H221*'[2]RD Feedstock Breakdown'!AI$3*'[2]Feedstock Conversion Rates'!B$6)/12-130-20+51-120+2.5+100-45+25</f>
        <v>12.01666666666668</v>
      </c>
      <c r="AJ212" s="47">
        <f t="shared" si="113"/>
        <v>118.51666666666668</v>
      </c>
      <c r="AK212" s="45">
        <f>('[2]Renewable Diesel'!J221*'[2]RD Feedstock Breakdown'!AK$3*'[2]Feedstock Conversion Rates'!B$4)/12</f>
        <v>95.8125</v>
      </c>
      <c r="AL212" s="47">
        <f t="shared" si="123"/>
        <v>95.8125</v>
      </c>
      <c r="AM212" s="45">
        <f>('[2]Renewable Diesel'!K221*'[2]RD Feedstock Breakdown'!AM$3*'[2]Feedstock Conversion Rates'!B$4)/12+5+15-10+9-27</f>
        <v>50.59375</v>
      </c>
      <c r="AN212" s="45">
        <f>('[2]Renewable Diesel'!K221*'[2]RD Feedstock Breakdown'!AN$3*'[2]Feedstock Conversion Rates'!B$6)/12-5-15+10-9+27</f>
        <v>32.427083333333329</v>
      </c>
      <c r="AO212" s="47">
        <f t="shared" si="135"/>
        <v>83.020833333333329</v>
      </c>
      <c r="AP212" s="45">
        <f>('[2]Renewable Diesel'!L221*'[2]RD Feedstock Breakdown'!AP$3*'[2]Feedstock Conversion Rates'!B$4)/12+15-10+2.5+12</f>
        <v>78.09375</v>
      </c>
      <c r="AQ212" s="45">
        <f>('[2]Renewable Diesel'!L221*'[2]RD Feedstock Breakdown'!AQ$3*'[2]Feedstock Conversion Rates'!B$6)/12-15+10-2.5-12</f>
        <v>4.9270833333333321</v>
      </c>
      <c r="AR212" s="47">
        <f t="shared" si="125"/>
        <v>83.020833333333329</v>
      </c>
      <c r="AS212" s="45">
        <f>('[2]Renewable Diesel'!M221*'[2]RD Feedstock Breakdown'!AS$3*'[2]Feedstock Conversion Rates'!B$4)/12</f>
        <v>456.25</v>
      </c>
      <c r="AT212" s="45">
        <f>('[2]Renewable Diesel'!M221*'[2]RD Feedstock Breakdown'!AT$3*'[2]Feedstock Conversion Rates'!B$5)/12</f>
        <v>0</v>
      </c>
      <c r="AU212" s="47">
        <f t="shared" si="74"/>
        <v>456.25</v>
      </c>
      <c r="AV212" s="45">
        <f>'[2]Renewable Diesel'!N221*'[2]RD Feedstock Breakdown'!$AV$3*'[2]Feedstock Conversion Rates'!$B$4/12-15-10+25+25-22-25-12.5</f>
        <v>44.249999999999986</v>
      </c>
      <c r="AW212" s="45">
        <f>'[2]Renewable Diesel'!N221*'[2]RD Feedstock Breakdown'!$AW$3*'[2]Feedstock Conversion Rates'!$B$7/12+15+10-25-25+22+25+12.5</f>
        <v>75.900000000000006</v>
      </c>
      <c r="AX212" s="47">
        <f t="shared" si="109"/>
        <v>120.14999999999999</v>
      </c>
      <c r="AY212" s="45">
        <f>('[2]Renewable Diesel'!O221*'[2]RD Feedstock Breakdown'!AY$3*'[2]Feedstock Conversion Rates'!B$4)/12+32+2-135</f>
        <v>109.9375</v>
      </c>
      <c r="AZ212" s="45">
        <f>('[2]Renewable Diesel'!O221*'[2]RD Feedstock Breakdown'!AZ$3*'[2]Feedstock Conversion Rates'!B$3)/12-32-2+135</f>
        <v>126.03125</v>
      </c>
      <c r="BA212" s="47">
        <f t="shared" si="87"/>
        <v>235.96875</v>
      </c>
      <c r="BB212" s="45">
        <f>('[2]Renewable Diesel'!Q221*'[2]RD Feedstock Breakdown'!BB$3*'[2]Feedstock Conversion Rates'!B$4)/12</f>
        <v>11.156249999999998</v>
      </c>
      <c r="BC212" s="45">
        <f>('[2]Renewable Diesel'!Q221*'[2]RD Feedstock Breakdown'!BC$3*'[2]Feedstock Conversion Rates'!B$3)/12</f>
        <v>1.4017500000000001</v>
      </c>
      <c r="BD212" s="45">
        <f>('[2]Renewable Diesel'!Q221*'[2]RD Feedstock Breakdown'!BD$3*'[2]Feedstock Conversion Rates'!B$6)/12</f>
        <v>0.8207500000000002</v>
      </c>
      <c r="BE212" s="47">
        <f t="shared" si="151"/>
        <v>13.378749999999998</v>
      </c>
      <c r="BF212" s="45">
        <f>('[2]Renewable Diesel'!R221*'[2]RD Feedstock Breakdown'!BF$3*'[2]Feedstock Conversion Rates'!B$4)/12</f>
        <v>62.5</v>
      </c>
      <c r="BG212" s="47">
        <f t="shared" si="129"/>
        <v>62.5</v>
      </c>
      <c r="BH212" s="45">
        <f>('[2]Renewable Diesel'!T221*'[2]RD Feedstock Breakdown'!BH$3*'[2]Feedstock Conversion Rates'!B$7)/12</f>
        <v>27.599999999999998</v>
      </c>
      <c r="BI212" s="47">
        <f t="shared" si="112"/>
        <v>27.599999999999998</v>
      </c>
      <c r="BJ212" s="45">
        <f>('[2]Renewable Diesel'!W221*'[2]RD Feedstock Breakdown'!BJ$3*'[2]Feedstock Conversion Rates'!B$4)/12</f>
        <v>7.5</v>
      </c>
      <c r="BK212" s="45">
        <f>('[2]Renewable Diesel'!W221*'[2]RD Feedstock Breakdown'!BK$3*'[2]Feedstock Conversion Rates'!B$3)/12</f>
        <v>1.335</v>
      </c>
      <c r="BL212" s="45">
        <f>('[2]Renewable Diesel'!W221*'[2]RD Feedstock Breakdown'!BL$3*'[2]Feedstock Conversion Rates'!B$6)/12</f>
        <v>3.1266666666666669</v>
      </c>
      <c r="BM212" s="45">
        <f>('[2]Renewable Diesel'!W221*'[2]RD Feedstock Breakdown'!BM$3*'[2]Feedstock Conversion Rates'!B$7)/12</f>
        <v>1.5333333333333332</v>
      </c>
      <c r="BN212" s="47">
        <f t="shared" si="78"/>
        <v>13.495000000000001</v>
      </c>
      <c r="BO212" s="45">
        <f>('[2]Renewable Diesel'!P221*'[2]Feedstock Conversion Rates'!B$4)/12</f>
        <v>31.25</v>
      </c>
      <c r="BP212" s="47">
        <f t="shared" si="72"/>
        <v>31.25</v>
      </c>
      <c r="BQ212" s="45">
        <f>('[2]Renewable Diesel'!$S221*'[2]RD Feedstock Breakdown'!BQ$3*'[2]Feedstock Conversion Rates'!B$4)/12+10</f>
        <v>38.125</v>
      </c>
      <c r="BR212" s="45">
        <f>('[2]Renewable Diesel'!$S221*'[2]RD Feedstock Breakdown'!BR$3*'[2]Feedstock Conversion Rates'!B$7)/12-10</f>
        <v>1.5</v>
      </c>
      <c r="BS212" s="47">
        <f t="shared" si="90"/>
        <v>39.625</v>
      </c>
      <c r="BT212" s="47"/>
      <c r="BU212" s="45">
        <f>('[2]Renewable Diesel'!Y221*'[2]Feedstock Conversion Rates'!B$7)/12</f>
        <v>2.6833333333333331</v>
      </c>
      <c r="BV212" s="47">
        <f t="shared" si="153"/>
        <v>2.6833333333333331</v>
      </c>
      <c r="BW212" s="45">
        <f>('[2]Renewable Diesel'!$Z221*'[2]RD Feedstock Breakdown'!BW$3*'[2]Feedstock Conversion Rates'!$B$4)/12</f>
        <v>53.90625</v>
      </c>
      <c r="BX212" s="45">
        <f>('[2]Renewable Diesel'!$Z221*'[2]RD Feedstock Breakdown'!BX$3*'[2]Feedstock Conversion Rates'!$B$5)/12</f>
        <v>5.4265624999999993</v>
      </c>
      <c r="BY212" s="45">
        <f>('[2]Renewable Diesel'!$Z221*'[2]RD Feedstock Breakdown'!BY$3*'[2]Feedstock Conversion Rates'!$B$7)/12</f>
        <v>46.287499999999994</v>
      </c>
      <c r="BZ212" s="45">
        <f>('[2]Renewable Diesel'!$Z221*'[2]RD Feedstock Breakdown'!BZ$3*'[2]Feedstock Conversion Rates'!$B$3)/12</f>
        <v>11.514374999999999</v>
      </c>
      <c r="CA212" s="47">
        <f t="shared" si="91"/>
        <v>117.1346875</v>
      </c>
      <c r="CB212" s="45">
        <f>('[2]Renewable Diesel'!AA221*'[2]Feedstock Conversion Rates'!B$4)/12</f>
        <v>191.25</v>
      </c>
      <c r="CC212" s="47">
        <f t="shared" si="79"/>
        <v>191.25</v>
      </c>
      <c r="CD212" s="45">
        <f>('[2]Renewable Diesel'!$AB221*'[2]RD Feedstock Breakdown'!CD$3*'[2]Feedstock Conversion Rates'!$B$6)/12-15</f>
        <v>17.830000000000005</v>
      </c>
      <c r="CE212" s="45">
        <f>('[2]Renewable Diesel'!$AB221*'[2]RD Feedstock Breakdown'!CE$3*'[2]Feedstock Conversion Rates'!$B$4)/12+15</f>
        <v>26.25</v>
      </c>
      <c r="CF212" s="47">
        <f t="shared" si="76"/>
        <v>44.080000000000005</v>
      </c>
      <c r="CG212" s="45">
        <f>('[2]Renewable Diesel'!AD221*'[2]Feedstock Conversion Rates'!B$4)/12</f>
        <v>112.5</v>
      </c>
      <c r="CH212" s="47">
        <f t="shared" si="149"/>
        <v>112.5</v>
      </c>
      <c r="CI212" s="45">
        <f>('[2]Renewable Diesel'!$AE221*'[2]RD Feedstock Breakdown'!CI$3*'[2]Feedstock Conversion Rates'!$B$5)/12</f>
        <v>0.34604166666666664</v>
      </c>
      <c r="CJ212" s="45">
        <f>('[2]Renewable Diesel'!$AE221*'[2]RD Feedstock Breakdown'!CJ$3*'[2]Feedstock Conversion Rates'!$B$4)/12</f>
        <v>0.34375</v>
      </c>
      <c r="CK212" s="47">
        <f t="shared" si="73"/>
        <v>0.68979166666666658</v>
      </c>
      <c r="CL212" s="45">
        <f>(((CL$3*'[2]Renewable Diesel'!$AF221)*'[2]Feedstock Conversion Rates'!$B$3)/12)</f>
        <v>91.78125</v>
      </c>
      <c r="CM212" s="45">
        <f>(((CM$3*'[2]Renewable Diesel'!$AF221)*'[2]Feedstock Conversion Rates'!$B$6)/12)</f>
        <v>53.739583333333336</v>
      </c>
      <c r="CN212" s="45">
        <f>(((CN$3*'[2]Renewable Diesel'!$AF221)*'[2]Feedstock Conversion Rates'!$B$4)/12)</f>
        <v>42.96875</v>
      </c>
      <c r="CO212" s="47">
        <f t="shared" si="152"/>
        <v>188.48958333333334</v>
      </c>
      <c r="CP212" s="45">
        <f>('[2]Renewable Diesel'!$AG221*'[2]RD Feedstock Breakdown'!CP$3*'[2]Feedstock Conversion Rates'!$B$3)/12</f>
        <v>6.0075000000000003</v>
      </c>
      <c r="CQ212" s="45">
        <f>('[2]Renewable Diesel'!$AG221*'[2]RD Feedstock Breakdown'!CQ$3*'[2]Feedstock Conversion Rates'!$B$6)/12</f>
        <v>3.5175000000000001</v>
      </c>
      <c r="CR212" s="45">
        <f>('[2]Renewable Diesel'!$AG221*'[2]RD Feedstock Breakdown'!CR$3*'[2]Feedstock Conversion Rates'!$B$4)/12</f>
        <v>2.8125</v>
      </c>
      <c r="CS212" s="47">
        <f t="shared" si="99"/>
        <v>12.3375</v>
      </c>
      <c r="CT212" s="45">
        <f>('[2]Renewable Diesel'!AI221*'[2]Feedstock Conversion Rates'!$B$4*'[2]RD Feedstock Breakdown'!$CT$3)/12</f>
        <v>29.375</v>
      </c>
      <c r="CU212" s="47">
        <f t="shared" si="154"/>
        <v>29.375</v>
      </c>
      <c r="CV212" s="45">
        <f>('[2]Renewable Diesel'!AN221*'[2]Feedstock Conversion Rates'!$B$3*'[2]RD Feedstock Breakdown'!$CV$3)/12</f>
        <v>0.50062499999999999</v>
      </c>
      <c r="CW212" s="47">
        <f t="shared" si="124"/>
        <v>0.50062499999999999</v>
      </c>
      <c r="CX212" s="45">
        <f>('[2]Renewable Diesel'!AO221*'[2]RD Feedstock Breakdown'!$CX$3*'[2]Feedstock Conversion Rates'!$B$3)/12</f>
        <v>6.3412499999999996</v>
      </c>
      <c r="CY212" s="45">
        <f>('[2]Renewable Diesel'!AO221*'[2]RD Feedstock Breakdown'!$CY$3*'[2]Feedstock Conversion Rates'!$B$6)/12</f>
        <v>7.4258333333333342</v>
      </c>
      <c r="CZ212" s="47">
        <f t="shared" si="100"/>
        <v>13.767083333333334</v>
      </c>
      <c r="DA212" s="45">
        <f>('[2]Renewable Diesel'!$AP221*'[2]RD Feedstock Breakdown'!DA$3*'[2]Feedstock Conversion Rates'!$B$3)/12</f>
        <v>6.3412499999999996</v>
      </c>
      <c r="DB212" s="45">
        <f>('[2]Renewable Diesel'!$AP221*'[2]RD Feedstock Breakdown'!DB$3*'[2]Feedstock Conversion Rates'!$B$8)/12</f>
        <v>7.421875</v>
      </c>
      <c r="DC212" s="47">
        <f t="shared" si="127"/>
        <v>13.763124999999999</v>
      </c>
      <c r="DD212" s="45">
        <f>('[2]Renewable Diesel'!AQ221*$DD$3*'[2]Feedstock Conversion Rates'!$B$14)/12</f>
        <v>3.1041666666666665</v>
      </c>
      <c r="DE212" s="47">
        <f t="shared" si="128"/>
        <v>3.1041666666666665</v>
      </c>
      <c r="DF212" s="45">
        <f>('[2]Renewable Diesel'!AR221*'[2]Feedstock Conversion Rates'!$B$4*$DF$3)/12</f>
        <v>75</v>
      </c>
      <c r="DG212" s="47">
        <f t="shared" si="101"/>
        <v>75</v>
      </c>
      <c r="DH212" s="45">
        <f>('[2]Renewable Diesel'!AS221*'[2]Feedstock Conversion Rates'!$B$4*$DH$3)/12</f>
        <v>75</v>
      </c>
      <c r="DI212" s="47">
        <f t="shared" si="110"/>
        <v>75</v>
      </c>
      <c r="DJ212" s="45">
        <f>('[2]Renewable Diesel'!AT221*'[2]Feedstock Conversion Rates'!$B$4*0.25)/12</f>
        <v>8.59375</v>
      </c>
      <c r="DK212" s="45">
        <f>('[2]Renewable Diesel'!$AT221*'[2]RD Feedstock Breakdown'!DK$3*'[2]Feedstock Conversion Rates'!$B$3)/12*0.5</f>
        <v>9.1781249999999996</v>
      </c>
      <c r="DL212" s="45">
        <f>('[2]Renewable Diesel'!$AT221*'[2]RD Feedstock Breakdown'!$DL$3*'[2]Feedstock Conversion Rates'!$B$6)/12</f>
        <v>10.747916666666669</v>
      </c>
      <c r="DM212" s="45">
        <f>('[2]Renewable Diesel'!$AT221*'[2]RD Feedstock Breakdown'!$DM$3*'[2]Feedstock Conversion Rates'!$B$8)/12</f>
        <v>10.7421875</v>
      </c>
      <c r="DN212" s="47">
        <f t="shared" si="77"/>
        <v>39.26197916666667</v>
      </c>
      <c r="DP212" s="45">
        <f t="shared" si="130"/>
        <v>107.47025000000001</v>
      </c>
      <c r="DQ212" s="45">
        <f t="shared" si="131"/>
        <v>536.77964249999991</v>
      </c>
      <c r="DR212" s="45">
        <f t="shared" si="136"/>
        <v>1980.734375</v>
      </c>
      <c r="DS212" s="45">
        <f t="shared" ref="DS212:DS275" si="155">AC212+C212+BX212+CI212+DD212+AG212+T212+DJ212+AT212+K212</f>
        <v>146.89239583333335</v>
      </c>
      <c r="DT212" s="45">
        <f t="shared" si="132"/>
        <v>236.53923333333344</v>
      </c>
      <c r="DU212" s="45">
        <f t="shared" si="133"/>
        <v>197.72693333333333</v>
      </c>
      <c r="DV212" s="45">
        <f t="shared" si="137"/>
        <v>8</v>
      </c>
      <c r="DW212" s="45">
        <f t="shared" si="134"/>
        <v>3</v>
      </c>
      <c r="DX212" s="47">
        <f t="shared" si="138"/>
        <v>3217.1428300000002</v>
      </c>
      <c r="DY212" s="50">
        <f t="shared" si="126"/>
        <v>-30.000000000000707</v>
      </c>
      <c r="EA212" s="51">
        <f t="shared" si="117"/>
        <v>3.3405495397293254E-2</v>
      </c>
      <c r="EB212" s="51">
        <f t="shared" si="117"/>
        <v>0.16684980147431</v>
      </c>
      <c r="EC212" s="51">
        <f t="shared" si="117"/>
        <v>0.61568120523887337</v>
      </c>
      <c r="ED212" s="51">
        <f t="shared" si="114"/>
        <v>4.5659270848516648E-2</v>
      </c>
      <c r="EE212" s="51">
        <f t="shared" si="114"/>
        <v>7.3524629098712851E-2</v>
      </c>
      <c r="EF212" s="51">
        <f t="shared" si="114"/>
        <v>6.1460414964956134E-2</v>
      </c>
      <c r="EG212" s="51">
        <f t="shared" si="114"/>
        <v>2.4866785289728651E-3</v>
      </c>
      <c r="EH212" s="52">
        <f t="shared" si="139"/>
        <v>9.3250444836482434E-4</v>
      </c>
      <c r="EI212" s="51">
        <f t="shared" si="140"/>
        <v>0.9990674955516351</v>
      </c>
      <c r="EK212" s="53">
        <f>(EA212*'[2]Renewable Diesel'!BF221*'[2]Feedstock Conversion Rates'!B$2)+FB212</f>
        <v>107.92232529163648</v>
      </c>
      <c r="EL212" s="53">
        <f>(EB212*'[2]Renewable Diesel'!BF221*'[2]Feedstock Conversion Rates'!B$3)+FC212</f>
        <v>507.96368141211696</v>
      </c>
      <c r="EM212" s="53">
        <f>(EC212*'[2]Renewable Diesel'!BF221*'[2]Feedstock Conversion Rates'!B$4)+FD212</f>
        <v>1755.0585575330324</v>
      </c>
      <c r="EN212" s="53">
        <f>(ED212*'[2]Renewable Diesel'!BF221*'[2]Feedstock Conversion Rates'!B$5)+FE212</f>
        <v>131.0238555936844</v>
      </c>
      <c r="EO212" s="53">
        <f>(EE212*'[2]Renewable Diesel'!BF221*'[2]Feedstock Conversion Rates'!B$6)+FF212</f>
        <v>262.12601939851959</v>
      </c>
      <c r="EP212" s="53">
        <f>(EF212*'[2]Renewable Diesel'!BF221*'[2]Feedstock Conversion Rates'!B$7)+FG212</f>
        <v>214.91056564264832</v>
      </c>
      <c r="EQ212" s="53">
        <f>(EG212*'[2]Renewable Diesel'!BF221*'[2]Feedstock Conversion Rates'!B$8)+FH212</f>
        <v>8.8606457265782161</v>
      </c>
      <c r="ER212" s="53">
        <f>(EH212*'[2]Renewable Diesel'!BF221*'[2]Feedstock Conversion Rates'!B$9)+FI212</f>
        <v>3.27843891883394</v>
      </c>
      <c r="ES212" s="53">
        <f t="shared" si="141"/>
        <v>2991.1440895170504</v>
      </c>
      <c r="ET212" s="36">
        <f>ES212/'[2]Renewable Diesel'!BF221</f>
        <v>7.8697852708640852</v>
      </c>
    </row>
    <row r="213" spans="1:150" x14ac:dyDescent="0.25">
      <c r="A213" s="39">
        <v>46905</v>
      </c>
      <c r="B213" s="45">
        <f t="shared" si="142"/>
        <v>52.5</v>
      </c>
      <c r="C213" s="45">
        <f t="shared" si="143"/>
        <v>5.2999999999999972</v>
      </c>
      <c r="D213" s="45">
        <f t="shared" si="144"/>
        <v>2</v>
      </c>
      <c r="E213" s="45">
        <f>('[2]Renewable Diesel'!B222*E$3*'[2]Feedstock Conversion Rates'!$B$2)/12-57.5+6.25+18+10-38+20+16+55+47.5-7-20-4-10+13.5-50</f>
        <v>89.68</v>
      </c>
      <c r="F213" s="45">
        <f>('[2]Renewable Diesel'!B222*'[2]RD Feedstock Breakdown'!F$3*'[2]Feedstock Conversion Rates'!B$8)/12-24+9-2.5+10+5-39+14+10.5+5+5+2-29+4-20</f>
        <v>3.90625</v>
      </c>
      <c r="G213" s="45">
        <f>('[2]Renewable Diesel'!B222*'[2]RD Feedstock Breakdown'!G$3*'[2]Feedstock Conversion Rates'!B$7)/12-30-2+52-144-30+30+70+5-65-30-7.5-5+3</f>
        <v>22.657000000000011</v>
      </c>
      <c r="H213" s="45">
        <f>('[2]Renewable Diesel'!B222*'[2]RD Feedstock Breakdown'!H$3*'[2]Feedstock Conversion Rates'!B$3)/12-95+8+16-72+12+40+40+30-20-15-30+215+15</f>
        <v>320.40022499999998</v>
      </c>
      <c r="I213" s="47">
        <f t="shared" si="75"/>
        <v>496.44347500000003</v>
      </c>
      <c r="J213" s="45">
        <f t="shared" si="145"/>
        <v>142</v>
      </c>
      <c r="K213" s="45"/>
      <c r="L213" s="45">
        <v>1</v>
      </c>
      <c r="M213" s="45">
        <f>('[2]Renewable Diesel'!C222*'[2]RD Feedstock Breakdown'!M$3*'[2]Feedstock Conversion Rates'!B$2)/12-24+10-41+5+1+35+24</f>
        <v>17.79025</v>
      </c>
      <c r="N213" s="45">
        <f>('[2]Renewable Diesel'!C222*'[2]RD Feedstock Breakdown'!N$3*'[2]Feedstock Conversion Rates'!B$8)/12-2.5+16+2-25-2+8+7+2-22-10</f>
        <v>-22.828125</v>
      </c>
      <c r="O213" s="45">
        <f>('[2]Renewable Diesel'!C222*'[2]RD Feedstock Breakdown'!O$3*'[2]Feedstock Conversion Rates'!B$7)/12-30-60-10+20+15-15+20-20+8</f>
        <v>-60.000900000000001</v>
      </c>
      <c r="P213" s="45">
        <f>('[2]Renewable Diesel'!C222*'[2]RD Feedstock Breakdown'!P$3*'[2]Feedstock Conversion Rates'!B$3)/12-27+50-107+35+10+52.5-70+12-5-5</f>
        <v>-44.052957499999991</v>
      </c>
      <c r="Q213" s="47">
        <f t="shared" si="85"/>
        <v>33.908267500000022</v>
      </c>
      <c r="R213" s="45">
        <f>('[2]Renewable Diesel'!D222*'[2]RD Feedstock Breakdown'!R$3*'[2]Feedstock Conversion Rates'!B$7)/12</f>
        <v>2.2999999999999998</v>
      </c>
      <c r="S213" s="47">
        <f t="shared" si="116"/>
        <v>2.2999999999999998</v>
      </c>
      <c r="T213" s="45">
        <f t="shared" si="146"/>
        <v>5.8250000000000028</v>
      </c>
      <c r="U213" s="45">
        <v>30</v>
      </c>
      <c r="V213" s="45">
        <f>('[2]Renewable Diesel'!E222*'[2]RD Feedstock Breakdown'!V$3*'[2]Feedstock Conversion Rates'!B$6)/12-20+25-35</f>
        <v>14.250150000000012</v>
      </c>
      <c r="W213" s="45">
        <f>('[2]Renewable Diesel'!E222*'[2]RD Feedstock Breakdown'!W$3*'[2]Feedstock Conversion Rates'!B$8)/12-6</f>
        <v>16.1796875</v>
      </c>
      <c r="X213" s="47">
        <f t="shared" si="147"/>
        <v>66.254837500000008</v>
      </c>
      <c r="Y213" s="45">
        <f t="shared" si="148"/>
        <v>125.5</v>
      </c>
      <c r="Z213" s="45">
        <f>('[2]Renewable Diesel'!F222*'[2]RD Feedstock Breakdown'!Z$3*'[2]Feedstock Conversion Rates'!B$6)/12-50-32-60+15+30+22.5-70+70-35+5+6</f>
        <v>60.960000000000008</v>
      </c>
      <c r="AA213" s="45">
        <f>('[2]Renewable Diesel'!F222*'[2]RD Feedstock Breakdown'!AA$3*'[2]Feedstock Conversion Rates'!B$7)/12+80-171+75+30+20-50-6-5</f>
        <v>77.266666666666652</v>
      </c>
      <c r="AB213" s="47">
        <f t="shared" si="102"/>
        <v>263.72666666666669</v>
      </c>
      <c r="AC213" s="45">
        <f>('[2]Renewable Diesel'!G222*'[2]RD Feedstock Breakdown'!AC$3*'[2]Feedstock Conversion Rates'!B$5)/12</f>
        <v>11.796875</v>
      </c>
      <c r="AD213" s="45">
        <f>('[2]Renewable Diesel'!G222*'[2]RD Feedstock Breakdown'!AD$3*'[2]Feedstock Conversion Rates'!B$4)/12</f>
        <v>5.859375</v>
      </c>
      <c r="AE213" s="45">
        <f>('[2]Renewable Diesel'!G222*'[2]RD Feedstock Breakdown'!AE$3*'[2]Feedstock Conversion Rates'!B$6)/12</f>
        <v>7.3281250000000009</v>
      </c>
      <c r="AF213" s="47">
        <f t="shared" ref="AF213:AF276" si="156">SUM(AC213:AE213)</f>
        <v>24.984375</v>
      </c>
      <c r="AG213" s="45">
        <f t="shared" si="150"/>
        <v>106.5</v>
      </c>
      <c r="AH213" s="45">
        <v>30</v>
      </c>
      <c r="AI213" s="45">
        <f>('[2]Renewable Diesel'!H222*'[2]RD Feedstock Breakdown'!AI$3*'[2]Feedstock Conversion Rates'!B$6)/12-130-20+51-120+2.5+100-45+25</f>
        <v>12.01666666666668</v>
      </c>
      <c r="AJ213" s="47">
        <f t="shared" si="113"/>
        <v>118.51666666666668</v>
      </c>
      <c r="AK213" s="45">
        <f>('[2]Renewable Diesel'!J222*'[2]RD Feedstock Breakdown'!AK$3*'[2]Feedstock Conversion Rates'!B$4)/12</f>
        <v>95.8125</v>
      </c>
      <c r="AL213" s="47">
        <f t="shared" si="123"/>
        <v>95.8125</v>
      </c>
      <c r="AM213" s="45">
        <f>('[2]Renewable Diesel'!K222*'[2]RD Feedstock Breakdown'!AM$3*'[2]Feedstock Conversion Rates'!B$4)/12+5+15-10+9-27</f>
        <v>50.59375</v>
      </c>
      <c r="AN213" s="45">
        <f>('[2]Renewable Diesel'!K222*'[2]RD Feedstock Breakdown'!AN$3*'[2]Feedstock Conversion Rates'!B$6)/12-5-15+10-9+27</f>
        <v>32.427083333333329</v>
      </c>
      <c r="AO213" s="47">
        <f t="shared" si="135"/>
        <v>83.020833333333329</v>
      </c>
      <c r="AP213" s="45">
        <f>('[2]Renewable Diesel'!L222*'[2]RD Feedstock Breakdown'!AP$3*'[2]Feedstock Conversion Rates'!B$4)/12+15-10+2.5+12</f>
        <v>78.09375</v>
      </c>
      <c r="AQ213" s="45">
        <f>('[2]Renewable Diesel'!L222*'[2]RD Feedstock Breakdown'!AQ$3*'[2]Feedstock Conversion Rates'!B$6)/12-15+10-2.5-12</f>
        <v>4.9270833333333321</v>
      </c>
      <c r="AR213" s="47">
        <f t="shared" si="125"/>
        <v>83.020833333333329</v>
      </c>
      <c r="AS213" s="45">
        <f>('[2]Renewable Diesel'!M222*'[2]RD Feedstock Breakdown'!AS$3*'[2]Feedstock Conversion Rates'!B$4)/12</f>
        <v>456.25</v>
      </c>
      <c r="AT213" s="45">
        <f>('[2]Renewable Diesel'!M222*'[2]RD Feedstock Breakdown'!AT$3*'[2]Feedstock Conversion Rates'!B$5)/12</f>
        <v>0</v>
      </c>
      <c r="AU213" s="47">
        <f t="shared" si="74"/>
        <v>456.25</v>
      </c>
      <c r="AV213" s="45">
        <f>'[2]Renewable Diesel'!N222*'[2]RD Feedstock Breakdown'!$AV$3*'[2]Feedstock Conversion Rates'!$B$4/12-15-10+25+25-22-25-12.5</f>
        <v>44.249999999999986</v>
      </c>
      <c r="AW213" s="45">
        <f>'[2]Renewable Diesel'!N222*'[2]RD Feedstock Breakdown'!$AW$3*'[2]Feedstock Conversion Rates'!$B$7/12+15+10-25-25+22+25+12.5</f>
        <v>75.900000000000006</v>
      </c>
      <c r="AX213" s="47">
        <f t="shared" si="109"/>
        <v>120.14999999999999</v>
      </c>
      <c r="AY213" s="45">
        <f>('[2]Renewable Diesel'!O222*'[2]RD Feedstock Breakdown'!AY$3*'[2]Feedstock Conversion Rates'!B$4)/12+32+2-135</f>
        <v>109.9375</v>
      </c>
      <c r="AZ213" s="45">
        <f>('[2]Renewable Diesel'!O222*'[2]RD Feedstock Breakdown'!AZ$3*'[2]Feedstock Conversion Rates'!B$3)/12-32-2+135</f>
        <v>126.03125</v>
      </c>
      <c r="BA213" s="47">
        <f t="shared" si="87"/>
        <v>235.96875</v>
      </c>
      <c r="BB213" s="45">
        <f>('[2]Renewable Diesel'!Q222*'[2]RD Feedstock Breakdown'!BB$3*'[2]Feedstock Conversion Rates'!B$4)/12</f>
        <v>11.156249999999998</v>
      </c>
      <c r="BC213" s="45">
        <f>('[2]Renewable Diesel'!Q222*'[2]RD Feedstock Breakdown'!BC$3*'[2]Feedstock Conversion Rates'!B$3)/12</f>
        <v>1.4017500000000001</v>
      </c>
      <c r="BD213" s="45">
        <f>('[2]Renewable Diesel'!Q222*'[2]RD Feedstock Breakdown'!BD$3*'[2]Feedstock Conversion Rates'!B$6)/12</f>
        <v>0.8207500000000002</v>
      </c>
      <c r="BE213" s="47">
        <f t="shared" si="151"/>
        <v>13.378749999999998</v>
      </c>
      <c r="BF213" s="45">
        <f>('[2]Renewable Diesel'!R222*'[2]RD Feedstock Breakdown'!BF$3*'[2]Feedstock Conversion Rates'!B$4)/12</f>
        <v>62.5</v>
      </c>
      <c r="BG213" s="47">
        <f t="shared" si="129"/>
        <v>62.5</v>
      </c>
      <c r="BH213" s="45">
        <f>('[2]Renewable Diesel'!T222*'[2]RD Feedstock Breakdown'!BH$3*'[2]Feedstock Conversion Rates'!B$7)/12</f>
        <v>27.599999999999998</v>
      </c>
      <c r="BI213" s="47">
        <f t="shared" si="112"/>
        <v>27.599999999999998</v>
      </c>
      <c r="BJ213" s="45">
        <f>('[2]Renewable Diesel'!W222*'[2]RD Feedstock Breakdown'!BJ$3*'[2]Feedstock Conversion Rates'!B$4)/12</f>
        <v>7.5</v>
      </c>
      <c r="BK213" s="45">
        <f>('[2]Renewable Diesel'!W222*'[2]RD Feedstock Breakdown'!BK$3*'[2]Feedstock Conversion Rates'!B$3)/12</f>
        <v>1.335</v>
      </c>
      <c r="BL213" s="45">
        <f>('[2]Renewable Diesel'!W222*'[2]RD Feedstock Breakdown'!BL$3*'[2]Feedstock Conversion Rates'!B$6)/12</f>
        <v>3.1266666666666669</v>
      </c>
      <c r="BM213" s="45">
        <f>('[2]Renewable Diesel'!W222*'[2]RD Feedstock Breakdown'!BM$3*'[2]Feedstock Conversion Rates'!B$7)/12</f>
        <v>1.5333333333333332</v>
      </c>
      <c r="BN213" s="47">
        <f t="shared" si="78"/>
        <v>13.495000000000001</v>
      </c>
      <c r="BO213" s="45">
        <f>('[2]Renewable Diesel'!P222*'[2]Feedstock Conversion Rates'!B$4)/12</f>
        <v>31.25</v>
      </c>
      <c r="BP213" s="47">
        <f t="shared" ref="BP213:BP276" si="157">BO213</f>
        <v>31.25</v>
      </c>
      <c r="BQ213" s="45">
        <f>('[2]Renewable Diesel'!$S222*'[2]RD Feedstock Breakdown'!BQ$3*'[2]Feedstock Conversion Rates'!B$4)/12+10</f>
        <v>38.125</v>
      </c>
      <c r="BR213" s="45">
        <f>('[2]Renewable Diesel'!$S222*'[2]RD Feedstock Breakdown'!BR$3*'[2]Feedstock Conversion Rates'!B$7)/12-10</f>
        <v>1.5</v>
      </c>
      <c r="BS213" s="47">
        <f t="shared" si="90"/>
        <v>39.625</v>
      </c>
      <c r="BT213" s="47"/>
      <c r="BU213" s="45">
        <f>('[2]Renewable Diesel'!Y222*'[2]Feedstock Conversion Rates'!B$7)/12</f>
        <v>2.6833333333333331</v>
      </c>
      <c r="BV213" s="47">
        <f t="shared" si="153"/>
        <v>2.6833333333333331</v>
      </c>
      <c r="BW213" s="45">
        <f>('[2]Renewable Diesel'!$Z222*'[2]RD Feedstock Breakdown'!BW$3*'[2]Feedstock Conversion Rates'!$B$4)/12</f>
        <v>53.90625</v>
      </c>
      <c r="BX213" s="45">
        <f>('[2]Renewable Diesel'!$Z222*'[2]RD Feedstock Breakdown'!BX$3*'[2]Feedstock Conversion Rates'!$B$5)/12</f>
        <v>5.4265624999999993</v>
      </c>
      <c r="BY213" s="45">
        <f>('[2]Renewable Diesel'!$Z222*'[2]RD Feedstock Breakdown'!BY$3*'[2]Feedstock Conversion Rates'!$B$7)/12</f>
        <v>46.287499999999994</v>
      </c>
      <c r="BZ213" s="45">
        <f>('[2]Renewable Diesel'!$Z222*'[2]RD Feedstock Breakdown'!BZ$3*'[2]Feedstock Conversion Rates'!$B$3)/12</f>
        <v>11.514374999999999</v>
      </c>
      <c r="CA213" s="47">
        <f t="shared" si="91"/>
        <v>117.1346875</v>
      </c>
      <c r="CB213" s="45">
        <f>('[2]Renewable Diesel'!AA222*'[2]Feedstock Conversion Rates'!B$4)/12</f>
        <v>191.25</v>
      </c>
      <c r="CC213" s="47">
        <f t="shared" si="79"/>
        <v>191.25</v>
      </c>
      <c r="CD213" s="45">
        <f>('[2]Renewable Diesel'!$AB222*'[2]RD Feedstock Breakdown'!CD$3*'[2]Feedstock Conversion Rates'!$B$6)/12-15</f>
        <v>17.830000000000005</v>
      </c>
      <c r="CE213" s="45">
        <f>('[2]Renewable Diesel'!$AB222*'[2]RD Feedstock Breakdown'!CE$3*'[2]Feedstock Conversion Rates'!$B$4)/12+15</f>
        <v>26.25</v>
      </c>
      <c r="CF213" s="47">
        <f t="shared" si="76"/>
        <v>44.080000000000005</v>
      </c>
      <c r="CG213" s="45">
        <f>('[2]Renewable Diesel'!AD222*'[2]Feedstock Conversion Rates'!B$4)/12</f>
        <v>112.5</v>
      </c>
      <c r="CH213" s="47">
        <f t="shared" si="149"/>
        <v>112.5</v>
      </c>
      <c r="CI213" s="45">
        <f>('[2]Renewable Diesel'!$AE222*'[2]RD Feedstock Breakdown'!CI$3*'[2]Feedstock Conversion Rates'!$B$5)/12</f>
        <v>0.34604166666666664</v>
      </c>
      <c r="CJ213" s="45">
        <f>('[2]Renewable Diesel'!$AE222*'[2]RD Feedstock Breakdown'!CJ$3*'[2]Feedstock Conversion Rates'!$B$4)/12</f>
        <v>0.34375</v>
      </c>
      <c r="CK213" s="47">
        <f t="shared" ref="CK213:CK276" si="158">SUM(CI213:CJ213)</f>
        <v>0.68979166666666658</v>
      </c>
      <c r="CL213" s="45">
        <f>(((CL$3*'[2]Renewable Diesel'!$AF222)*'[2]Feedstock Conversion Rates'!$B$3)/12)</f>
        <v>91.78125</v>
      </c>
      <c r="CM213" s="45">
        <f>(((CM$3*'[2]Renewable Diesel'!$AF222)*'[2]Feedstock Conversion Rates'!$B$6)/12)</f>
        <v>53.739583333333336</v>
      </c>
      <c r="CN213" s="45">
        <f>(((CN$3*'[2]Renewable Diesel'!$AF222)*'[2]Feedstock Conversion Rates'!$B$4)/12)</f>
        <v>42.96875</v>
      </c>
      <c r="CO213" s="47">
        <f t="shared" si="152"/>
        <v>188.48958333333334</v>
      </c>
      <c r="CP213" s="45">
        <f>('[2]Renewable Diesel'!$AG222*'[2]RD Feedstock Breakdown'!CP$3*'[2]Feedstock Conversion Rates'!$B$3)/12</f>
        <v>6.0075000000000003</v>
      </c>
      <c r="CQ213" s="45">
        <f>('[2]Renewable Diesel'!$AG222*'[2]RD Feedstock Breakdown'!CQ$3*'[2]Feedstock Conversion Rates'!$B$6)/12</f>
        <v>3.5175000000000001</v>
      </c>
      <c r="CR213" s="45">
        <f>('[2]Renewable Diesel'!$AG222*'[2]RD Feedstock Breakdown'!CR$3*'[2]Feedstock Conversion Rates'!$B$4)/12</f>
        <v>2.8125</v>
      </c>
      <c r="CS213" s="47">
        <f t="shared" si="99"/>
        <v>12.3375</v>
      </c>
      <c r="CT213" s="45">
        <f>('[2]Renewable Diesel'!AI222*'[2]Feedstock Conversion Rates'!$B$4*'[2]RD Feedstock Breakdown'!$CT$3)/12</f>
        <v>29.375</v>
      </c>
      <c r="CU213" s="47">
        <f t="shared" si="154"/>
        <v>29.375</v>
      </c>
      <c r="CV213" s="45">
        <f>('[2]Renewable Diesel'!AN222*'[2]Feedstock Conversion Rates'!$B$3*'[2]RD Feedstock Breakdown'!$CV$3)/12</f>
        <v>0.50062499999999999</v>
      </c>
      <c r="CW213" s="47">
        <f t="shared" si="124"/>
        <v>0.50062499999999999</v>
      </c>
      <c r="CX213" s="45">
        <f>('[2]Renewable Diesel'!AO222*'[2]RD Feedstock Breakdown'!$CX$3*'[2]Feedstock Conversion Rates'!$B$3)/12</f>
        <v>6.3412499999999996</v>
      </c>
      <c r="CY213" s="45">
        <f>('[2]Renewable Diesel'!AO222*'[2]RD Feedstock Breakdown'!$CY$3*'[2]Feedstock Conversion Rates'!$B$6)/12</f>
        <v>7.4258333333333342</v>
      </c>
      <c r="CZ213" s="47">
        <f t="shared" si="100"/>
        <v>13.767083333333334</v>
      </c>
      <c r="DA213" s="45">
        <f>('[2]Renewable Diesel'!$AP222*'[2]RD Feedstock Breakdown'!DA$3*'[2]Feedstock Conversion Rates'!$B$3)/12</f>
        <v>6.3412499999999996</v>
      </c>
      <c r="DB213" s="45">
        <f>('[2]Renewable Diesel'!$AP222*'[2]RD Feedstock Breakdown'!DB$3*'[2]Feedstock Conversion Rates'!$B$8)/12</f>
        <v>7.421875</v>
      </c>
      <c r="DC213" s="47">
        <f t="shared" si="127"/>
        <v>13.763124999999999</v>
      </c>
      <c r="DD213" s="45">
        <f>('[2]Renewable Diesel'!AQ222*$DD$3*'[2]Feedstock Conversion Rates'!$B$14)/12</f>
        <v>3.1041666666666665</v>
      </c>
      <c r="DE213" s="47">
        <f t="shared" si="128"/>
        <v>3.1041666666666665</v>
      </c>
      <c r="DF213" s="45">
        <f>('[2]Renewable Diesel'!AR222*'[2]Feedstock Conversion Rates'!$B$4*$DF$3)/12</f>
        <v>75</v>
      </c>
      <c r="DG213" s="47">
        <f t="shared" si="101"/>
        <v>75</v>
      </c>
      <c r="DH213" s="45">
        <f>('[2]Renewable Diesel'!AS222*'[2]Feedstock Conversion Rates'!$B$4*$DH$3)/12</f>
        <v>75</v>
      </c>
      <c r="DI213" s="47">
        <f t="shared" si="110"/>
        <v>75</v>
      </c>
      <c r="DJ213" s="45">
        <f>('[2]Renewable Diesel'!AT222*'[2]Feedstock Conversion Rates'!$B$4*0.25)/12</f>
        <v>8.59375</v>
      </c>
      <c r="DK213" s="45">
        <f>('[2]Renewable Diesel'!$AT222*'[2]RD Feedstock Breakdown'!DK$3*'[2]Feedstock Conversion Rates'!$B$3)/12*0.5</f>
        <v>9.1781249999999996</v>
      </c>
      <c r="DL213" s="45">
        <f>('[2]Renewable Diesel'!$AT222*'[2]RD Feedstock Breakdown'!$DL$3*'[2]Feedstock Conversion Rates'!$B$6)/12</f>
        <v>10.747916666666669</v>
      </c>
      <c r="DM213" s="45">
        <f>('[2]Renewable Diesel'!$AT222*'[2]RD Feedstock Breakdown'!$DM$3*'[2]Feedstock Conversion Rates'!$B$8)/12</f>
        <v>10.7421875</v>
      </c>
      <c r="DN213" s="47">
        <f t="shared" si="77"/>
        <v>39.26197916666667</v>
      </c>
      <c r="DP213" s="45">
        <f t="shared" si="130"/>
        <v>107.47025000000001</v>
      </c>
      <c r="DQ213" s="45">
        <f t="shared" si="131"/>
        <v>536.77964249999991</v>
      </c>
      <c r="DR213" s="45">
        <f t="shared" si="136"/>
        <v>1980.734375</v>
      </c>
      <c r="DS213" s="45">
        <f t="shared" si="155"/>
        <v>146.89239583333335</v>
      </c>
      <c r="DT213" s="45">
        <f t="shared" si="132"/>
        <v>236.53923333333344</v>
      </c>
      <c r="DU213" s="45">
        <f t="shared" si="133"/>
        <v>197.72693333333333</v>
      </c>
      <c r="DV213" s="45">
        <f t="shared" si="137"/>
        <v>8</v>
      </c>
      <c r="DW213" s="45">
        <f t="shared" si="134"/>
        <v>3</v>
      </c>
      <c r="DX213" s="47">
        <f t="shared" si="138"/>
        <v>3217.1428300000002</v>
      </c>
      <c r="DY213" s="50">
        <f t="shared" si="126"/>
        <v>-30.000000000000707</v>
      </c>
      <c r="EA213" s="51">
        <f t="shared" si="117"/>
        <v>3.3405495397293254E-2</v>
      </c>
      <c r="EB213" s="51">
        <f t="shared" si="117"/>
        <v>0.16684980147431</v>
      </c>
      <c r="EC213" s="51">
        <f t="shared" si="117"/>
        <v>0.61568120523887337</v>
      </c>
      <c r="ED213" s="51">
        <f t="shared" si="114"/>
        <v>4.5659270848516648E-2</v>
      </c>
      <c r="EE213" s="51">
        <f t="shared" si="114"/>
        <v>7.3524629098712851E-2</v>
      </c>
      <c r="EF213" s="51">
        <f t="shared" si="114"/>
        <v>6.1460414964956134E-2</v>
      </c>
      <c r="EG213" s="51">
        <f t="shared" si="114"/>
        <v>2.4866785289728651E-3</v>
      </c>
      <c r="EH213" s="52">
        <f t="shared" si="139"/>
        <v>9.3250444836482434E-4</v>
      </c>
      <c r="EI213" s="51">
        <f t="shared" si="140"/>
        <v>0.9990674955516351</v>
      </c>
      <c r="EK213" s="53">
        <f>(EA213*'[2]Renewable Diesel'!BF222*'[2]Feedstock Conversion Rates'!B$2)+FB213</f>
        <v>105.44435123243332</v>
      </c>
      <c r="EL213" s="53">
        <f>(EB213*'[2]Renewable Diesel'!BF222*'[2]Feedstock Conversion Rates'!B$3)+FC213</f>
        <v>496.30047065238625</v>
      </c>
      <c r="EM213" s="53">
        <f>(EC213*'[2]Renewable Diesel'!BF222*'[2]Feedstock Conversion Rates'!B$4)+FD213</f>
        <v>1714.7611532082351</v>
      </c>
      <c r="EN213" s="53">
        <f>(ED213*'[2]Renewable Diesel'!BF222*'[2]Feedstock Conversion Rates'!B$5)+FE213</f>
        <v>128.01545381564105</v>
      </c>
      <c r="EO213" s="53">
        <f>(EE213*'[2]Renewable Diesel'!BF222*'[2]Feedstock Conversion Rates'!B$6)+FF213</f>
        <v>256.10741782969245</v>
      </c>
      <c r="EP213" s="53">
        <f>(EF213*'[2]Renewable Diesel'!BF222*'[2]Feedstock Conversion Rates'!B$7)+FG213</f>
        <v>209.97606478499833</v>
      </c>
      <c r="EQ213" s="53">
        <f>(EG213*'[2]Renewable Diesel'!BF222*'[2]Feedstock Conversion Rates'!B$8)+FH213</f>
        <v>8.6571989402073921</v>
      </c>
      <c r="ER213" s="53">
        <f>(EH213*'[2]Renewable Diesel'!BF222*'[2]Feedstock Conversion Rates'!B$9)+FI213</f>
        <v>3.2031636078767352</v>
      </c>
      <c r="ES213" s="53">
        <f t="shared" si="141"/>
        <v>2922.465274071471</v>
      </c>
      <c r="ET213" s="36">
        <f>ES213/'[2]Renewable Diesel'!BF222</f>
        <v>7.8697852708640861</v>
      </c>
    </row>
    <row r="214" spans="1:150" x14ac:dyDescent="0.25">
      <c r="A214" s="39">
        <v>46935</v>
      </c>
      <c r="B214" s="45">
        <f t="shared" si="142"/>
        <v>52.5</v>
      </c>
      <c r="C214" s="45">
        <f t="shared" si="143"/>
        <v>5.2999999999999972</v>
      </c>
      <c r="D214" s="45">
        <f t="shared" si="144"/>
        <v>2</v>
      </c>
      <c r="E214" s="45">
        <f>('[2]Renewable Diesel'!B223*E$3*'[2]Feedstock Conversion Rates'!$B$2)/12-57.5+6.25+18+10-38+20+16+55+47.5-7-20-4-10+13.5-50</f>
        <v>89.68</v>
      </c>
      <c r="F214" s="45">
        <f>('[2]Renewable Diesel'!B223*'[2]RD Feedstock Breakdown'!F$3*'[2]Feedstock Conversion Rates'!B$8)/12-24+9-2.5+10+5-39+14+10.5+5+5+2-29+4-20</f>
        <v>3.90625</v>
      </c>
      <c r="G214" s="45">
        <f>('[2]Renewable Diesel'!B223*'[2]RD Feedstock Breakdown'!G$3*'[2]Feedstock Conversion Rates'!B$7)/12-30-2+52-144-30+30+70+5-65-30-7.5-5+3</f>
        <v>22.657000000000011</v>
      </c>
      <c r="H214" s="45">
        <f>('[2]Renewable Diesel'!B223*'[2]RD Feedstock Breakdown'!H$3*'[2]Feedstock Conversion Rates'!B$3)/12-95+8+16-72+12+40+40+30-20-15-30+215+15</f>
        <v>320.40022499999998</v>
      </c>
      <c r="I214" s="47">
        <f t="shared" si="75"/>
        <v>496.44347500000003</v>
      </c>
      <c r="J214" s="45">
        <f t="shared" si="145"/>
        <v>142</v>
      </c>
      <c r="K214" s="45"/>
      <c r="L214" s="45">
        <v>1</v>
      </c>
      <c r="M214" s="45">
        <f>('[2]Renewable Diesel'!C223*'[2]RD Feedstock Breakdown'!M$3*'[2]Feedstock Conversion Rates'!B$2)/12-24+10-41+5+1+35+24</f>
        <v>17.79025</v>
      </c>
      <c r="N214" s="45">
        <f>('[2]Renewable Diesel'!C223*'[2]RD Feedstock Breakdown'!N$3*'[2]Feedstock Conversion Rates'!B$8)/12-2.5+16+2-25-2+8+7+2-22-10</f>
        <v>-22.828125</v>
      </c>
      <c r="O214" s="45">
        <f>('[2]Renewable Diesel'!C223*'[2]RD Feedstock Breakdown'!O$3*'[2]Feedstock Conversion Rates'!B$7)/12-30-60-10+20+15-15+20-20+8</f>
        <v>-60.000900000000001</v>
      </c>
      <c r="P214" s="45">
        <f>('[2]Renewable Diesel'!C223*'[2]RD Feedstock Breakdown'!P$3*'[2]Feedstock Conversion Rates'!B$3)/12-27+50-107+35+10+52.5-70+12-5-5</f>
        <v>-44.052957499999991</v>
      </c>
      <c r="Q214" s="47">
        <f t="shared" si="85"/>
        <v>33.908267500000022</v>
      </c>
      <c r="R214" s="45">
        <f>('[2]Renewable Diesel'!D223*'[2]RD Feedstock Breakdown'!R$3*'[2]Feedstock Conversion Rates'!B$7)/12</f>
        <v>2.2999999999999998</v>
      </c>
      <c r="S214" s="47">
        <f t="shared" si="116"/>
        <v>2.2999999999999998</v>
      </c>
      <c r="T214" s="45">
        <f t="shared" si="146"/>
        <v>5.8250000000000028</v>
      </c>
      <c r="U214" s="45">
        <v>30</v>
      </c>
      <c r="V214" s="45">
        <f>('[2]Renewable Diesel'!E223*'[2]RD Feedstock Breakdown'!V$3*'[2]Feedstock Conversion Rates'!B$6)/12-20+25-35</f>
        <v>14.250150000000012</v>
      </c>
      <c r="W214" s="45">
        <f>('[2]Renewable Diesel'!E223*'[2]RD Feedstock Breakdown'!W$3*'[2]Feedstock Conversion Rates'!B$8)/12-6</f>
        <v>16.1796875</v>
      </c>
      <c r="X214" s="47">
        <f t="shared" si="147"/>
        <v>66.254837500000008</v>
      </c>
      <c r="Y214" s="45">
        <f t="shared" si="148"/>
        <v>125.5</v>
      </c>
      <c r="Z214" s="45">
        <f>('[2]Renewable Diesel'!F223*'[2]RD Feedstock Breakdown'!Z$3*'[2]Feedstock Conversion Rates'!B$6)/12-50-32-60+15+30+22.5-70+70-35+5+6</f>
        <v>60.960000000000008</v>
      </c>
      <c r="AA214" s="45">
        <f>('[2]Renewable Diesel'!F223*'[2]RD Feedstock Breakdown'!AA$3*'[2]Feedstock Conversion Rates'!B$7)/12+80-171+75+30+20-50-6-5</f>
        <v>77.266666666666652</v>
      </c>
      <c r="AB214" s="47">
        <f t="shared" si="102"/>
        <v>263.72666666666669</v>
      </c>
      <c r="AC214" s="45">
        <f>('[2]Renewable Diesel'!G223*'[2]RD Feedstock Breakdown'!AC$3*'[2]Feedstock Conversion Rates'!B$5)/12</f>
        <v>11.796875</v>
      </c>
      <c r="AD214" s="45">
        <f>('[2]Renewable Diesel'!G223*'[2]RD Feedstock Breakdown'!AD$3*'[2]Feedstock Conversion Rates'!B$4)/12</f>
        <v>5.859375</v>
      </c>
      <c r="AE214" s="45">
        <f>('[2]Renewable Diesel'!G223*'[2]RD Feedstock Breakdown'!AE$3*'[2]Feedstock Conversion Rates'!B$6)/12</f>
        <v>7.3281250000000009</v>
      </c>
      <c r="AF214" s="47">
        <f t="shared" si="156"/>
        <v>24.984375</v>
      </c>
      <c r="AG214" s="45">
        <f t="shared" si="150"/>
        <v>106.5</v>
      </c>
      <c r="AH214" s="45">
        <v>30</v>
      </c>
      <c r="AI214" s="45">
        <f>('[2]Renewable Diesel'!H223*'[2]RD Feedstock Breakdown'!AI$3*'[2]Feedstock Conversion Rates'!B$6)/12-130-20+51-120+2.5+100-45+25</f>
        <v>12.01666666666668</v>
      </c>
      <c r="AJ214" s="47">
        <f t="shared" si="113"/>
        <v>118.51666666666668</v>
      </c>
      <c r="AK214" s="45">
        <f>('[2]Renewable Diesel'!J223*'[2]RD Feedstock Breakdown'!AK$3*'[2]Feedstock Conversion Rates'!B$4)/12</f>
        <v>95.8125</v>
      </c>
      <c r="AL214" s="47">
        <f t="shared" si="123"/>
        <v>95.8125</v>
      </c>
      <c r="AM214" s="45">
        <f>('[2]Renewable Diesel'!K223*'[2]RD Feedstock Breakdown'!AM$3*'[2]Feedstock Conversion Rates'!B$4)/12+5+15-10+9-27</f>
        <v>50.59375</v>
      </c>
      <c r="AN214" s="45">
        <f>('[2]Renewable Diesel'!K223*'[2]RD Feedstock Breakdown'!AN$3*'[2]Feedstock Conversion Rates'!B$6)/12-5-15+10-9+27</f>
        <v>32.427083333333329</v>
      </c>
      <c r="AO214" s="47">
        <f t="shared" si="135"/>
        <v>83.020833333333329</v>
      </c>
      <c r="AP214" s="45">
        <f>('[2]Renewable Diesel'!L223*'[2]RD Feedstock Breakdown'!AP$3*'[2]Feedstock Conversion Rates'!B$4)/12+15-10+2.5+12</f>
        <v>78.09375</v>
      </c>
      <c r="AQ214" s="45">
        <f>('[2]Renewable Diesel'!L223*'[2]RD Feedstock Breakdown'!AQ$3*'[2]Feedstock Conversion Rates'!B$6)/12-15+10-2.5-12</f>
        <v>4.9270833333333321</v>
      </c>
      <c r="AR214" s="47">
        <f t="shared" si="125"/>
        <v>83.020833333333329</v>
      </c>
      <c r="AS214" s="45">
        <f>('[2]Renewable Diesel'!M223*'[2]RD Feedstock Breakdown'!AS$3*'[2]Feedstock Conversion Rates'!B$4)/12</f>
        <v>456.25</v>
      </c>
      <c r="AT214" s="45">
        <f>('[2]Renewable Diesel'!M223*'[2]RD Feedstock Breakdown'!AT$3*'[2]Feedstock Conversion Rates'!B$5)/12</f>
        <v>0</v>
      </c>
      <c r="AU214" s="47">
        <f t="shared" ref="AU214:AU277" si="159">SUM(AS214:AT214)</f>
        <v>456.25</v>
      </c>
      <c r="AV214" s="45">
        <f>'[2]Renewable Diesel'!N223*'[2]RD Feedstock Breakdown'!$AV$3*'[2]Feedstock Conversion Rates'!$B$4/12-15-10+25+25-22-25-12.5</f>
        <v>44.249999999999986</v>
      </c>
      <c r="AW214" s="45">
        <f>'[2]Renewable Diesel'!N223*'[2]RD Feedstock Breakdown'!$AW$3*'[2]Feedstock Conversion Rates'!$B$7/12+15+10-25-25+22+25+12.5</f>
        <v>75.900000000000006</v>
      </c>
      <c r="AX214" s="47">
        <f t="shared" si="109"/>
        <v>120.14999999999999</v>
      </c>
      <c r="AY214" s="45">
        <f>('[2]Renewable Diesel'!O223*'[2]RD Feedstock Breakdown'!AY$3*'[2]Feedstock Conversion Rates'!B$4)/12+32+2-135</f>
        <v>109.9375</v>
      </c>
      <c r="AZ214" s="45">
        <f>('[2]Renewable Diesel'!O223*'[2]RD Feedstock Breakdown'!AZ$3*'[2]Feedstock Conversion Rates'!B$3)/12-32-2+135</f>
        <v>126.03125</v>
      </c>
      <c r="BA214" s="47">
        <f t="shared" si="87"/>
        <v>235.96875</v>
      </c>
      <c r="BB214" s="45">
        <f>('[2]Renewable Diesel'!Q223*'[2]RD Feedstock Breakdown'!BB$3*'[2]Feedstock Conversion Rates'!B$4)/12</f>
        <v>11.156249999999998</v>
      </c>
      <c r="BC214" s="45">
        <f>('[2]Renewable Diesel'!Q223*'[2]RD Feedstock Breakdown'!BC$3*'[2]Feedstock Conversion Rates'!B$3)/12</f>
        <v>1.4017500000000001</v>
      </c>
      <c r="BD214" s="45">
        <f>('[2]Renewable Diesel'!Q223*'[2]RD Feedstock Breakdown'!BD$3*'[2]Feedstock Conversion Rates'!B$6)/12</f>
        <v>0.8207500000000002</v>
      </c>
      <c r="BE214" s="47">
        <f t="shared" si="151"/>
        <v>13.378749999999998</v>
      </c>
      <c r="BF214" s="45">
        <f>('[2]Renewable Diesel'!R223*'[2]RD Feedstock Breakdown'!BF$3*'[2]Feedstock Conversion Rates'!B$4)/12</f>
        <v>62.5</v>
      </c>
      <c r="BG214" s="47">
        <f t="shared" si="129"/>
        <v>62.5</v>
      </c>
      <c r="BH214" s="45">
        <f>('[2]Renewable Diesel'!T223*'[2]RD Feedstock Breakdown'!BH$3*'[2]Feedstock Conversion Rates'!B$7)/12</f>
        <v>27.599999999999998</v>
      </c>
      <c r="BI214" s="47">
        <f t="shared" si="112"/>
        <v>27.599999999999998</v>
      </c>
      <c r="BJ214" s="45">
        <f>('[2]Renewable Diesel'!W223*'[2]RD Feedstock Breakdown'!BJ$3*'[2]Feedstock Conversion Rates'!B$4)/12</f>
        <v>7.5</v>
      </c>
      <c r="BK214" s="45">
        <f>('[2]Renewable Diesel'!W223*'[2]RD Feedstock Breakdown'!BK$3*'[2]Feedstock Conversion Rates'!B$3)/12</f>
        <v>1.335</v>
      </c>
      <c r="BL214" s="45">
        <f>('[2]Renewable Diesel'!W223*'[2]RD Feedstock Breakdown'!BL$3*'[2]Feedstock Conversion Rates'!B$6)/12</f>
        <v>3.1266666666666669</v>
      </c>
      <c r="BM214" s="45">
        <f>('[2]Renewable Diesel'!W223*'[2]RD Feedstock Breakdown'!BM$3*'[2]Feedstock Conversion Rates'!B$7)/12</f>
        <v>1.5333333333333332</v>
      </c>
      <c r="BN214" s="47">
        <f t="shared" si="78"/>
        <v>13.495000000000001</v>
      </c>
      <c r="BO214" s="45">
        <f>('[2]Renewable Diesel'!P223*'[2]Feedstock Conversion Rates'!B$4)/12</f>
        <v>31.25</v>
      </c>
      <c r="BP214" s="47">
        <f t="shared" si="157"/>
        <v>31.25</v>
      </c>
      <c r="BQ214" s="45">
        <f>('[2]Renewable Diesel'!$S223*'[2]RD Feedstock Breakdown'!BQ$3*'[2]Feedstock Conversion Rates'!B$4)/12+10</f>
        <v>38.125</v>
      </c>
      <c r="BR214" s="45">
        <f>('[2]Renewable Diesel'!$S223*'[2]RD Feedstock Breakdown'!BR$3*'[2]Feedstock Conversion Rates'!B$7)/12-10</f>
        <v>1.5</v>
      </c>
      <c r="BS214" s="47">
        <f t="shared" si="90"/>
        <v>39.625</v>
      </c>
      <c r="BT214" s="47"/>
      <c r="BU214" s="45">
        <f>('[2]Renewable Diesel'!Y223*'[2]Feedstock Conversion Rates'!B$7)/12</f>
        <v>2.6833333333333331</v>
      </c>
      <c r="BV214" s="47">
        <f t="shared" si="153"/>
        <v>2.6833333333333331</v>
      </c>
      <c r="BW214" s="45">
        <f>('[2]Renewable Diesel'!$Z223*'[2]RD Feedstock Breakdown'!BW$3*'[2]Feedstock Conversion Rates'!$B$4)/12</f>
        <v>53.90625</v>
      </c>
      <c r="BX214" s="45">
        <f>('[2]Renewable Diesel'!$Z223*'[2]RD Feedstock Breakdown'!BX$3*'[2]Feedstock Conversion Rates'!$B$5)/12</f>
        <v>5.4265624999999993</v>
      </c>
      <c r="BY214" s="45">
        <f>('[2]Renewable Diesel'!$Z223*'[2]RD Feedstock Breakdown'!BY$3*'[2]Feedstock Conversion Rates'!$B$7)/12</f>
        <v>46.287499999999994</v>
      </c>
      <c r="BZ214" s="45">
        <f>('[2]Renewable Diesel'!$Z223*'[2]RD Feedstock Breakdown'!BZ$3*'[2]Feedstock Conversion Rates'!$B$3)/12</f>
        <v>11.514374999999999</v>
      </c>
      <c r="CA214" s="47">
        <f t="shared" si="91"/>
        <v>117.1346875</v>
      </c>
      <c r="CB214" s="45">
        <f>('[2]Renewable Diesel'!AA223*'[2]Feedstock Conversion Rates'!B$4)/12</f>
        <v>191.25</v>
      </c>
      <c r="CC214" s="47">
        <f t="shared" si="79"/>
        <v>191.25</v>
      </c>
      <c r="CD214" s="45">
        <f>('[2]Renewable Diesel'!$AB223*'[2]RD Feedstock Breakdown'!CD$3*'[2]Feedstock Conversion Rates'!$B$6)/12-15</f>
        <v>17.830000000000005</v>
      </c>
      <c r="CE214" s="45">
        <f>('[2]Renewable Diesel'!$AB223*'[2]RD Feedstock Breakdown'!CE$3*'[2]Feedstock Conversion Rates'!$B$4)/12+15</f>
        <v>26.25</v>
      </c>
      <c r="CF214" s="47">
        <f t="shared" si="76"/>
        <v>44.080000000000005</v>
      </c>
      <c r="CG214" s="45">
        <f>('[2]Renewable Diesel'!AD223*'[2]Feedstock Conversion Rates'!B$4)/12</f>
        <v>112.5</v>
      </c>
      <c r="CH214" s="47">
        <f t="shared" si="149"/>
        <v>112.5</v>
      </c>
      <c r="CI214" s="45">
        <f>('[2]Renewable Diesel'!$AE223*'[2]RD Feedstock Breakdown'!CI$3*'[2]Feedstock Conversion Rates'!$B$5)/12</f>
        <v>0.34604166666666664</v>
      </c>
      <c r="CJ214" s="45">
        <f>('[2]Renewable Diesel'!$AE223*'[2]RD Feedstock Breakdown'!CJ$3*'[2]Feedstock Conversion Rates'!$B$4)/12</f>
        <v>0.34375</v>
      </c>
      <c r="CK214" s="47">
        <f t="shared" si="158"/>
        <v>0.68979166666666658</v>
      </c>
      <c r="CL214" s="45">
        <f>(((CL$3*'[2]Renewable Diesel'!$AF223)*'[2]Feedstock Conversion Rates'!$B$3)/12)</f>
        <v>91.78125</v>
      </c>
      <c r="CM214" s="45">
        <f>(((CM$3*'[2]Renewable Diesel'!$AF223)*'[2]Feedstock Conversion Rates'!$B$6)/12)</f>
        <v>53.739583333333336</v>
      </c>
      <c r="CN214" s="45">
        <f>(((CN$3*'[2]Renewable Diesel'!$AF223)*'[2]Feedstock Conversion Rates'!$B$4)/12)</f>
        <v>42.96875</v>
      </c>
      <c r="CO214" s="47">
        <f t="shared" si="152"/>
        <v>188.48958333333334</v>
      </c>
      <c r="CP214" s="45">
        <f>('[2]Renewable Diesel'!$AG223*'[2]RD Feedstock Breakdown'!CP$3*'[2]Feedstock Conversion Rates'!$B$3)/12</f>
        <v>6.0075000000000003</v>
      </c>
      <c r="CQ214" s="45">
        <f>('[2]Renewable Diesel'!$AG223*'[2]RD Feedstock Breakdown'!CQ$3*'[2]Feedstock Conversion Rates'!$B$6)/12</f>
        <v>3.5175000000000001</v>
      </c>
      <c r="CR214" s="45">
        <f>('[2]Renewable Diesel'!$AG223*'[2]RD Feedstock Breakdown'!CR$3*'[2]Feedstock Conversion Rates'!$B$4)/12</f>
        <v>2.8125</v>
      </c>
      <c r="CS214" s="47">
        <f t="shared" si="99"/>
        <v>12.3375</v>
      </c>
      <c r="CT214" s="45">
        <f>('[2]Renewable Diesel'!AI223*'[2]Feedstock Conversion Rates'!$B$4*'[2]RD Feedstock Breakdown'!$CT$3)/12</f>
        <v>29.375</v>
      </c>
      <c r="CU214" s="47">
        <f t="shared" si="154"/>
        <v>29.375</v>
      </c>
      <c r="CV214" s="45">
        <f>('[2]Renewable Diesel'!AN223*'[2]Feedstock Conversion Rates'!$B$3*'[2]RD Feedstock Breakdown'!$CV$3)/12</f>
        <v>0.50062499999999999</v>
      </c>
      <c r="CW214" s="47">
        <f t="shared" si="124"/>
        <v>0.50062499999999999</v>
      </c>
      <c r="CX214" s="45">
        <f>('[2]Renewable Diesel'!AO223*'[2]RD Feedstock Breakdown'!$CX$3*'[2]Feedstock Conversion Rates'!$B$3)/12</f>
        <v>6.3412499999999996</v>
      </c>
      <c r="CY214" s="45">
        <f>('[2]Renewable Diesel'!AO223*'[2]RD Feedstock Breakdown'!$CY$3*'[2]Feedstock Conversion Rates'!$B$6)/12</f>
        <v>7.4258333333333342</v>
      </c>
      <c r="CZ214" s="47">
        <f t="shared" si="100"/>
        <v>13.767083333333334</v>
      </c>
      <c r="DA214" s="45">
        <f>('[2]Renewable Diesel'!$AP223*'[2]RD Feedstock Breakdown'!DA$3*'[2]Feedstock Conversion Rates'!$B$3)/12</f>
        <v>6.3412499999999996</v>
      </c>
      <c r="DB214" s="45">
        <f>('[2]Renewable Diesel'!$AP223*'[2]RD Feedstock Breakdown'!DB$3*'[2]Feedstock Conversion Rates'!$B$8)/12</f>
        <v>7.421875</v>
      </c>
      <c r="DC214" s="47">
        <f t="shared" si="127"/>
        <v>13.763124999999999</v>
      </c>
      <c r="DD214" s="45">
        <f>('[2]Renewable Diesel'!AQ223*$DD$3*'[2]Feedstock Conversion Rates'!$B$14)/12</f>
        <v>3.1041666666666665</v>
      </c>
      <c r="DE214" s="47">
        <f t="shared" si="128"/>
        <v>3.1041666666666665</v>
      </c>
      <c r="DF214" s="45">
        <f>('[2]Renewable Diesel'!AR223*'[2]Feedstock Conversion Rates'!$B$4*$DF$3)/12</f>
        <v>75</v>
      </c>
      <c r="DG214" s="47">
        <f t="shared" si="101"/>
        <v>75</v>
      </c>
      <c r="DH214" s="45">
        <f>('[2]Renewable Diesel'!AS223*'[2]Feedstock Conversion Rates'!$B$4*$DH$3)/12</f>
        <v>75</v>
      </c>
      <c r="DI214" s="47">
        <f t="shared" si="110"/>
        <v>75</v>
      </c>
      <c r="DJ214" s="45">
        <f>('[2]Renewable Diesel'!AT223*'[2]Feedstock Conversion Rates'!$B$4*0.25)/12</f>
        <v>8.59375</v>
      </c>
      <c r="DK214" s="45">
        <f>('[2]Renewable Diesel'!$AT223*'[2]RD Feedstock Breakdown'!DK$3*'[2]Feedstock Conversion Rates'!$B$3)/12*0.5</f>
        <v>9.1781249999999996</v>
      </c>
      <c r="DL214" s="45">
        <f>('[2]Renewable Diesel'!$AT223*'[2]RD Feedstock Breakdown'!$DL$3*'[2]Feedstock Conversion Rates'!$B$6)/12</f>
        <v>10.747916666666669</v>
      </c>
      <c r="DM214" s="45">
        <f>('[2]Renewable Diesel'!$AT223*'[2]RD Feedstock Breakdown'!$DM$3*'[2]Feedstock Conversion Rates'!$B$8)/12</f>
        <v>10.7421875</v>
      </c>
      <c r="DN214" s="47">
        <f t="shared" si="77"/>
        <v>39.26197916666667</v>
      </c>
      <c r="DP214" s="45">
        <f t="shared" si="130"/>
        <v>107.47025000000001</v>
      </c>
      <c r="DQ214" s="45">
        <f t="shared" si="131"/>
        <v>536.77964249999991</v>
      </c>
      <c r="DR214" s="45">
        <f t="shared" si="136"/>
        <v>1980.734375</v>
      </c>
      <c r="DS214" s="45">
        <f t="shared" si="155"/>
        <v>146.89239583333335</v>
      </c>
      <c r="DT214" s="45">
        <f t="shared" si="132"/>
        <v>236.53923333333344</v>
      </c>
      <c r="DU214" s="45">
        <f t="shared" si="133"/>
        <v>197.72693333333333</v>
      </c>
      <c r="DV214" s="45">
        <f t="shared" si="137"/>
        <v>8</v>
      </c>
      <c r="DW214" s="45">
        <f t="shared" si="134"/>
        <v>3</v>
      </c>
      <c r="DX214" s="47">
        <f t="shared" si="138"/>
        <v>3217.1428300000002</v>
      </c>
      <c r="DY214" s="50">
        <f t="shared" si="126"/>
        <v>-30.000000000000707</v>
      </c>
      <c r="EA214" s="51">
        <f t="shared" si="117"/>
        <v>3.3405495397293254E-2</v>
      </c>
      <c r="EB214" s="51">
        <f t="shared" si="117"/>
        <v>0.16684980147431</v>
      </c>
      <c r="EC214" s="51">
        <f t="shared" si="117"/>
        <v>0.61568120523887337</v>
      </c>
      <c r="ED214" s="51">
        <f t="shared" si="114"/>
        <v>4.5659270848516648E-2</v>
      </c>
      <c r="EE214" s="51">
        <f t="shared" si="114"/>
        <v>7.3524629098712851E-2</v>
      </c>
      <c r="EF214" s="51">
        <f t="shared" si="114"/>
        <v>6.1460414964956134E-2</v>
      </c>
      <c r="EG214" s="51">
        <f t="shared" si="114"/>
        <v>2.4866785289728651E-3</v>
      </c>
      <c r="EH214" s="52">
        <f t="shared" si="139"/>
        <v>9.3250444836482434E-4</v>
      </c>
      <c r="EI214" s="51">
        <f t="shared" si="140"/>
        <v>0.9990674955516351</v>
      </c>
      <c r="EK214" s="53">
        <f>(EA214*'[2]Renewable Diesel'!BF223*'[2]Feedstock Conversion Rates'!B$2)+FB214</f>
        <v>107.53887147883457</v>
      </c>
      <c r="EL214" s="53">
        <f>(EB214*'[2]Renewable Diesel'!BF223*'[2]Feedstock Conversion Rates'!B$3)+FC214</f>
        <v>506.15885919506383</v>
      </c>
      <c r="EM214" s="53">
        <f>(EC214*'[2]Renewable Diesel'!BF223*'[2]Feedstock Conversion Rates'!B$4)+FD214</f>
        <v>1748.8227403028338</v>
      </c>
      <c r="EN214" s="53">
        <f>(ED214*'[2]Renewable Diesel'!BF223*'[2]Feedstock Conversion Rates'!B$5)+FE214</f>
        <v>130.55832080410644</v>
      </c>
      <c r="EO214" s="53">
        <f>(EE214*'[2]Renewable Diesel'!BF223*'[2]Feedstock Conversion Rates'!B$6)+FF214</f>
        <v>261.19467158608751</v>
      </c>
      <c r="EP214" s="53">
        <f>(EF214*'[2]Renewable Diesel'!BF223*'[2]Feedstock Conversion Rates'!B$7)+FG214</f>
        <v>214.14697687096091</v>
      </c>
      <c r="EQ214" s="53">
        <f>(EG214*'[2]Renewable Diesel'!BF223*'[2]Feedstock Conversion Rates'!B$8)+FH214</f>
        <v>8.8291633768552842</v>
      </c>
      <c r="ER214" s="53">
        <f>(EH214*'[2]Renewable Diesel'!BF223*'[2]Feedstock Conversion Rates'!B$9)+FI214</f>
        <v>3.2667904494364546</v>
      </c>
      <c r="ES214" s="53">
        <f t="shared" si="141"/>
        <v>2980.5163940641792</v>
      </c>
      <c r="ET214" s="36">
        <f>ES214/'[2]Renewable Diesel'!BF223</f>
        <v>7.8697852708640852</v>
      </c>
    </row>
    <row r="215" spans="1:150" x14ac:dyDescent="0.25">
      <c r="A215" s="39">
        <v>46966</v>
      </c>
      <c r="B215" s="45">
        <f t="shared" si="142"/>
        <v>52.5</v>
      </c>
      <c r="C215" s="45">
        <f t="shared" si="143"/>
        <v>5.2999999999999972</v>
      </c>
      <c r="D215" s="45">
        <f t="shared" si="144"/>
        <v>2</v>
      </c>
      <c r="E215" s="45">
        <f>('[2]Renewable Diesel'!B224*E$3*'[2]Feedstock Conversion Rates'!$B$2)/12-57.5+6.25+18+10-38+20+16+55+47.5-7-20-4-10+13.5-50</f>
        <v>89.68</v>
      </c>
      <c r="F215" s="45">
        <f>('[2]Renewable Diesel'!B224*'[2]RD Feedstock Breakdown'!F$3*'[2]Feedstock Conversion Rates'!B$8)/12-24+9-2.5+10+5-39+14+10.5+5+5+2-29+4-20</f>
        <v>3.90625</v>
      </c>
      <c r="G215" s="45">
        <f>('[2]Renewable Diesel'!B224*'[2]RD Feedstock Breakdown'!G$3*'[2]Feedstock Conversion Rates'!B$7)/12-30-2+52-144-30+30+70+5-65-30-7.5-5+3</f>
        <v>22.657000000000011</v>
      </c>
      <c r="H215" s="45">
        <f>('[2]Renewable Diesel'!B224*'[2]RD Feedstock Breakdown'!H$3*'[2]Feedstock Conversion Rates'!B$3)/12-95+8+16-72+12+40+40+30-20-15-30+215+15</f>
        <v>320.40022499999998</v>
      </c>
      <c r="I215" s="47">
        <f t="shared" ref="I215:I278" si="160">SUM(B215:H215)</f>
        <v>496.44347500000003</v>
      </c>
      <c r="J215" s="45">
        <f t="shared" si="145"/>
        <v>142</v>
      </c>
      <c r="K215" s="45"/>
      <c r="L215" s="45">
        <v>1</v>
      </c>
      <c r="M215" s="45">
        <f>('[2]Renewable Diesel'!C224*'[2]RD Feedstock Breakdown'!M$3*'[2]Feedstock Conversion Rates'!B$2)/12-24+10-41+5+1+35+24</f>
        <v>17.79025</v>
      </c>
      <c r="N215" s="45">
        <f>('[2]Renewable Diesel'!C224*'[2]RD Feedstock Breakdown'!N$3*'[2]Feedstock Conversion Rates'!B$8)/12-2.5+16+2-25-2+8+7+2-22-10</f>
        <v>-22.828125</v>
      </c>
      <c r="O215" s="45">
        <f>('[2]Renewable Diesel'!C224*'[2]RD Feedstock Breakdown'!O$3*'[2]Feedstock Conversion Rates'!B$7)/12-30-60-10+20+15-15+20-20+8</f>
        <v>-60.000900000000001</v>
      </c>
      <c r="P215" s="45">
        <f>('[2]Renewable Diesel'!C224*'[2]RD Feedstock Breakdown'!P$3*'[2]Feedstock Conversion Rates'!B$3)/12-27+50-107+35+10+52.5-70+12-5-5</f>
        <v>-44.052957499999991</v>
      </c>
      <c r="Q215" s="47">
        <f t="shared" si="85"/>
        <v>33.908267500000022</v>
      </c>
      <c r="R215" s="45">
        <f>('[2]Renewable Diesel'!D224*'[2]RD Feedstock Breakdown'!R$3*'[2]Feedstock Conversion Rates'!B$7)/12</f>
        <v>2.2999999999999998</v>
      </c>
      <c r="S215" s="47">
        <f t="shared" si="116"/>
        <v>2.2999999999999998</v>
      </c>
      <c r="T215" s="45">
        <f t="shared" si="146"/>
        <v>5.8250000000000028</v>
      </c>
      <c r="U215" s="45">
        <v>30</v>
      </c>
      <c r="V215" s="45">
        <f>('[2]Renewable Diesel'!E224*'[2]RD Feedstock Breakdown'!V$3*'[2]Feedstock Conversion Rates'!B$6)/12-20+25-35</f>
        <v>14.250150000000012</v>
      </c>
      <c r="W215" s="45">
        <f>('[2]Renewable Diesel'!E224*'[2]RD Feedstock Breakdown'!W$3*'[2]Feedstock Conversion Rates'!B$8)/12-6</f>
        <v>16.1796875</v>
      </c>
      <c r="X215" s="47">
        <f t="shared" si="147"/>
        <v>66.254837500000008</v>
      </c>
      <c r="Y215" s="45">
        <f t="shared" si="148"/>
        <v>125.5</v>
      </c>
      <c r="Z215" s="45">
        <f>('[2]Renewable Diesel'!F224*'[2]RD Feedstock Breakdown'!Z$3*'[2]Feedstock Conversion Rates'!B$6)/12-50-32-60+15+30+22.5-70+70-35+5+6</f>
        <v>60.960000000000008</v>
      </c>
      <c r="AA215" s="45">
        <f>('[2]Renewable Diesel'!F224*'[2]RD Feedstock Breakdown'!AA$3*'[2]Feedstock Conversion Rates'!B$7)/12+80-171+75+30+20-50-6-5</f>
        <v>77.266666666666652</v>
      </c>
      <c r="AB215" s="47">
        <f t="shared" si="102"/>
        <v>263.72666666666669</v>
      </c>
      <c r="AC215" s="45">
        <f>('[2]Renewable Diesel'!G224*'[2]RD Feedstock Breakdown'!AC$3*'[2]Feedstock Conversion Rates'!B$5)/12</f>
        <v>11.796875</v>
      </c>
      <c r="AD215" s="45">
        <f>('[2]Renewable Diesel'!G224*'[2]RD Feedstock Breakdown'!AD$3*'[2]Feedstock Conversion Rates'!B$4)/12</f>
        <v>5.859375</v>
      </c>
      <c r="AE215" s="45">
        <f>('[2]Renewable Diesel'!G224*'[2]RD Feedstock Breakdown'!AE$3*'[2]Feedstock Conversion Rates'!B$6)/12</f>
        <v>7.3281250000000009</v>
      </c>
      <c r="AF215" s="47">
        <f t="shared" si="156"/>
        <v>24.984375</v>
      </c>
      <c r="AG215" s="45">
        <f t="shared" si="150"/>
        <v>106.5</v>
      </c>
      <c r="AH215" s="45">
        <v>30</v>
      </c>
      <c r="AI215" s="45">
        <f>('[2]Renewable Diesel'!H224*'[2]RD Feedstock Breakdown'!AI$3*'[2]Feedstock Conversion Rates'!B$6)/12-130-20+51-120+2.5+100-45+25</f>
        <v>12.01666666666668</v>
      </c>
      <c r="AJ215" s="47">
        <f t="shared" si="113"/>
        <v>118.51666666666668</v>
      </c>
      <c r="AK215" s="45">
        <f>('[2]Renewable Diesel'!J224*'[2]RD Feedstock Breakdown'!AK$3*'[2]Feedstock Conversion Rates'!B$4)/12</f>
        <v>95.8125</v>
      </c>
      <c r="AL215" s="47">
        <f t="shared" si="123"/>
        <v>95.8125</v>
      </c>
      <c r="AM215" s="45">
        <f>('[2]Renewable Diesel'!K224*'[2]RD Feedstock Breakdown'!AM$3*'[2]Feedstock Conversion Rates'!B$4)/12+5+15-10+9-27</f>
        <v>50.59375</v>
      </c>
      <c r="AN215" s="45">
        <f>('[2]Renewable Diesel'!K224*'[2]RD Feedstock Breakdown'!AN$3*'[2]Feedstock Conversion Rates'!B$6)/12-5-15+10-9+27</f>
        <v>32.427083333333329</v>
      </c>
      <c r="AO215" s="47">
        <f t="shared" si="135"/>
        <v>83.020833333333329</v>
      </c>
      <c r="AP215" s="45">
        <f>('[2]Renewable Diesel'!L224*'[2]RD Feedstock Breakdown'!AP$3*'[2]Feedstock Conversion Rates'!B$4)/12+15-10+2.5+12</f>
        <v>78.09375</v>
      </c>
      <c r="AQ215" s="45">
        <f>('[2]Renewable Diesel'!L224*'[2]RD Feedstock Breakdown'!AQ$3*'[2]Feedstock Conversion Rates'!B$6)/12-15+10-2.5-12</f>
        <v>4.9270833333333321</v>
      </c>
      <c r="AR215" s="47">
        <f t="shared" si="125"/>
        <v>83.020833333333329</v>
      </c>
      <c r="AS215" s="45">
        <f>('[2]Renewable Diesel'!M224*'[2]RD Feedstock Breakdown'!AS$3*'[2]Feedstock Conversion Rates'!B$4)/12</f>
        <v>456.25</v>
      </c>
      <c r="AT215" s="45">
        <f>('[2]Renewable Diesel'!M224*'[2]RD Feedstock Breakdown'!AT$3*'[2]Feedstock Conversion Rates'!B$5)/12</f>
        <v>0</v>
      </c>
      <c r="AU215" s="47">
        <f t="shared" si="159"/>
        <v>456.25</v>
      </c>
      <c r="AV215" s="45">
        <f>'[2]Renewable Diesel'!N224*'[2]RD Feedstock Breakdown'!$AV$3*'[2]Feedstock Conversion Rates'!$B$4/12-15-10+25+25-22-25-12.5</f>
        <v>44.249999999999986</v>
      </c>
      <c r="AW215" s="45">
        <f>'[2]Renewable Diesel'!N224*'[2]RD Feedstock Breakdown'!$AW$3*'[2]Feedstock Conversion Rates'!$B$7/12+15+10-25-25+22+25+12.5</f>
        <v>75.900000000000006</v>
      </c>
      <c r="AX215" s="47">
        <f t="shared" si="109"/>
        <v>120.14999999999999</v>
      </c>
      <c r="AY215" s="45">
        <f>('[2]Renewable Diesel'!O224*'[2]RD Feedstock Breakdown'!AY$3*'[2]Feedstock Conversion Rates'!B$4)/12+32+2-135</f>
        <v>109.9375</v>
      </c>
      <c r="AZ215" s="45">
        <f>('[2]Renewable Diesel'!O224*'[2]RD Feedstock Breakdown'!AZ$3*'[2]Feedstock Conversion Rates'!B$3)/12-32-2+135</f>
        <v>126.03125</v>
      </c>
      <c r="BA215" s="47">
        <f t="shared" si="87"/>
        <v>235.96875</v>
      </c>
      <c r="BB215" s="45">
        <f>('[2]Renewable Diesel'!Q224*'[2]RD Feedstock Breakdown'!BB$3*'[2]Feedstock Conversion Rates'!B$4)/12</f>
        <v>11.156249999999998</v>
      </c>
      <c r="BC215" s="45">
        <f>('[2]Renewable Diesel'!Q224*'[2]RD Feedstock Breakdown'!BC$3*'[2]Feedstock Conversion Rates'!B$3)/12</f>
        <v>1.4017500000000001</v>
      </c>
      <c r="BD215" s="45">
        <f>('[2]Renewable Diesel'!Q224*'[2]RD Feedstock Breakdown'!BD$3*'[2]Feedstock Conversion Rates'!B$6)/12</f>
        <v>0.8207500000000002</v>
      </c>
      <c r="BE215" s="47">
        <f t="shared" si="151"/>
        <v>13.378749999999998</v>
      </c>
      <c r="BF215" s="45">
        <f>('[2]Renewable Diesel'!R224*'[2]RD Feedstock Breakdown'!BF$3*'[2]Feedstock Conversion Rates'!B$4)/12</f>
        <v>62.5</v>
      </c>
      <c r="BG215" s="47">
        <f t="shared" si="129"/>
        <v>62.5</v>
      </c>
      <c r="BH215" s="45">
        <f>('[2]Renewable Diesel'!T224*'[2]RD Feedstock Breakdown'!BH$3*'[2]Feedstock Conversion Rates'!B$7)/12</f>
        <v>27.599999999999998</v>
      </c>
      <c r="BI215" s="47">
        <f t="shared" si="112"/>
        <v>27.599999999999998</v>
      </c>
      <c r="BJ215" s="45">
        <f>('[2]Renewable Diesel'!W224*'[2]RD Feedstock Breakdown'!BJ$3*'[2]Feedstock Conversion Rates'!B$4)/12</f>
        <v>7.5</v>
      </c>
      <c r="BK215" s="45">
        <f>('[2]Renewable Diesel'!W224*'[2]RD Feedstock Breakdown'!BK$3*'[2]Feedstock Conversion Rates'!B$3)/12</f>
        <v>1.335</v>
      </c>
      <c r="BL215" s="45">
        <f>('[2]Renewable Diesel'!W224*'[2]RD Feedstock Breakdown'!BL$3*'[2]Feedstock Conversion Rates'!B$6)/12</f>
        <v>3.1266666666666669</v>
      </c>
      <c r="BM215" s="45">
        <f>('[2]Renewable Diesel'!W224*'[2]RD Feedstock Breakdown'!BM$3*'[2]Feedstock Conversion Rates'!B$7)/12</f>
        <v>1.5333333333333332</v>
      </c>
      <c r="BN215" s="47">
        <f t="shared" si="78"/>
        <v>13.495000000000001</v>
      </c>
      <c r="BO215" s="45">
        <f>('[2]Renewable Diesel'!P224*'[2]Feedstock Conversion Rates'!B$4)/12</f>
        <v>31.25</v>
      </c>
      <c r="BP215" s="47">
        <f t="shared" si="157"/>
        <v>31.25</v>
      </c>
      <c r="BQ215" s="45">
        <f>('[2]Renewable Diesel'!$S224*'[2]RD Feedstock Breakdown'!BQ$3*'[2]Feedstock Conversion Rates'!B$4)/12+10</f>
        <v>38.125</v>
      </c>
      <c r="BR215" s="45">
        <f>('[2]Renewable Diesel'!$S224*'[2]RD Feedstock Breakdown'!BR$3*'[2]Feedstock Conversion Rates'!B$7)/12-10</f>
        <v>1.5</v>
      </c>
      <c r="BS215" s="47">
        <f t="shared" si="90"/>
        <v>39.625</v>
      </c>
      <c r="BT215" s="47"/>
      <c r="BU215" s="45">
        <f>('[2]Renewable Diesel'!Y224*'[2]Feedstock Conversion Rates'!B$7)/12</f>
        <v>2.6833333333333331</v>
      </c>
      <c r="BV215" s="47">
        <f t="shared" si="153"/>
        <v>2.6833333333333331</v>
      </c>
      <c r="BW215" s="45">
        <f>('[2]Renewable Diesel'!$Z224*'[2]RD Feedstock Breakdown'!BW$3*'[2]Feedstock Conversion Rates'!$B$4)/12</f>
        <v>53.90625</v>
      </c>
      <c r="BX215" s="45">
        <f>('[2]Renewable Diesel'!$Z224*'[2]RD Feedstock Breakdown'!BX$3*'[2]Feedstock Conversion Rates'!$B$5)/12</f>
        <v>5.4265624999999993</v>
      </c>
      <c r="BY215" s="45">
        <f>('[2]Renewable Diesel'!$Z224*'[2]RD Feedstock Breakdown'!BY$3*'[2]Feedstock Conversion Rates'!$B$7)/12</f>
        <v>46.287499999999994</v>
      </c>
      <c r="BZ215" s="45">
        <f>('[2]Renewable Diesel'!$Z224*'[2]RD Feedstock Breakdown'!BZ$3*'[2]Feedstock Conversion Rates'!$B$3)/12</f>
        <v>11.514374999999999</v>
      </c>
      <c r="CA215" s="47">
        <f t="shared" si="91"/>
        <v>117.1346875</v>
      </c>
      <c r="CB215" s="45">
        <f>('[2]Renewable Diesel'!AA224*'[2]Feedstock Conversion Rates'!B$4)/12</f>
        <v>191.25</v>
      </c>
      <c r="CC215" s="47">
        <f t="shared" si="79"/>
        <v>191.25</v>
      </c>
      <c r="CD215" s="45">
        <f>('[2]Renewable Diesel'!$AB224*'[2]RD Feedstock Breakdown'!CD$3*'[2]Feedstock Conversion Rates'!$B$6)/12-15</f>
        <v>17.830000000000005</v>
      </c>
      <c r="CE215" s="45">
        <f>('[2]Renewable Diesel'!$AB224*'[2]RD Feedstock Breakdown'!CE$3*'[2]Feedstock Conversion Rates'!$B$4)/12+15</f>
        <v>26.25</v>
      </c>
      <c r="CF215" s="47">
        <f t="shared" si="76"/>
        <v>44.080000000000005</v>
      </c>
      <c r="CG215" s="45">
        <f>('[2]Renewable Diesel'!AD224*'[2]Feedstock Conversion Rates'!B$4)/12</f>
        <v>112.5</v>
      </c>
      <c r="CH215" s="47">
        <f t="shared" si="149"/>
        <v>112.5</v>
      </c>
      <c r="CI215" s="45">
        <f>('[2]Renewable Diesel'!$AE224*'[2]RD Feedstock Breakdown'!CI$3*'[2]Feedstock Conversion Rates'!$B$5)/12</f>
        <v>0.34604166666666664</v>
      </c>
      <c r="CJ215" s="45">
        <f>('[2]Renewable Diesel'!$AE224*'[2]RD Feedstock Breakdown'!CJ$3*'[2]Feedstock Conversion Rates'!$B$4)/12</f>
        <v>0.34375</v>
      </c>
      <c r="CK215" s="47">
        <f t="shared" si="158"/>
        <v>0.68979166666666658</v>
      </c>
      <c r="CL215" s="45">
        <f>(((CL$3*'[2]Renewable Diesel'!$AF224)*'[2]Feedstock Conversion Rates'!$B$3)/12)</f>
        <v>91.78125</v>
      </c>
      <c r="CM215" s="45">
        <f>(((CM$3*'[2]Renewable Diesel'!$AF224)*'[2]Feedstock Conversion Rates'!$B$6)/12)</f>
        <v>53.739583333333336</v>
      </c>
      <c r="CN215" s="45">
        <f>(((CN$3*'[2]Renewable Diesel'!$AF224)*'[2]Feedstock Conversion Rates'!$B$4)/12)</f>
        <v>42.96875</v>
      </c>
      <c r="CO215" s="47">
        <f t="shared" si="152"/>
        <v>188.48958333333334</v>
      </c>
      <c r="CP215" s="45">
        <f>('[2]Renewable Diesel'!$AG224*'[2]RD Feedstock Breakdown'!CP$3*'[2]Feedstock Conversion Rates'!$B$3)/12</f>
        <v>6.0075000000000003</v>
      </c>
      <c r="CQ215" s="45">
        <f>('[2]Renewable Diesel'!$AG224*'[2]RD Feedstock Breakdown'!CQ$3*'[2]Feedstock Conversion Rates'!$B$6)/12</f>
        <v>3.5175000000000001</v>
      </c>
      <c r="CR215" s="45">
        <f>('[2]Renewable Diesel'!$AG224*'[2]RD Feedstock Breakdown'!CR$3*'[2]Feedstock Conversion Rates'!$B$4)/12</f>
        <v>2.8125</v>
      </c>
      <c r="CS215" s="47">
        <f t="shared" si="99"/>
        <v>12.3375</v>
      </c>
      <c r="CT215" s="45">
        <f>('[2]Renewable Diesel'!AI224*'[2]Feedstock Conversion Rates'!$B$4*'[2]RD Feedstock Breakdown'!$CT$3)/12</f>
        <v>29.375</v>
      </c>
      <c r="CU215" s="47">
        <f t="shared" si="154"/>
        <v>29.375</v>
      </c>
      <c r="CV215" s="45">
        <f>('[2]Renewable Diesel'!AN224*'[2]Feedstock Conversion Rates'!$B$3*'[2]RD Feedstock Breakdown'!$CV$3)/12</f>
        <v>0.50062499999999999</v>
      </c>
      <c r="CW215" s="47">
        <f t="shared" si="124"/>
        <v>0.50062499999999999</v>
      </c>
      <c r="CX215" s="45">
        <f>('[2]Renewable Diesel'!AO224*'[2]RD Feedstock Breakdown'!$CX$3*'[2]Feedstock Conversion Rates'!$B$3)/12</f>
        <v>6.3412499999999996</v>
      </c>
      <c r="CY215" s="45">
        <f>('[2]Renewable Diesel'!AO224*'[2]RD Feedstock Breakdown'!$CY$3*'[2]Feedstock Conversion Rates'!$B$6)/12</f>
        <v>7.4258333333333342</v>
      </c>
      <c r="CZ215" s="47">
        <f t="shared" si="100"/>
        <v>13.767083333333334</v>
      </c>
      <c r="DA215" s="45">
        <f>('[2]Renewable Diesel'!$AP224*'[2]RD Feedstock Breakdown'!DA$3*'[2]Feedstock Conversion Rates'!$B$3)/12</f>
        <v>6.3412499999999996</v>
      </c>
      <c r="DB215" s="45">
        <f>('[2]Renewable Diesel'!$AP224*'[2]RD Feedstock Breakdown'!DB$3*'[2]Feedstock Conversion Rates'!$B$8)/12</f>
        <v>7.421875</v>
      </c>
      <c r="DC215" s="47">
        <f t="shared" si="127"/>
        <v>13.763124999999999</v>
      </c>
      <c r="DD215" s="45">
        <f>('[2]Renewable Diesel'!AQ224*$DD$3*'[2]Feedstock Conversion Rates'!$B$14)/12</f>
        <v>3.1041666666666665</v>
      </c>
      <c r="DE215" s="47">
        <f t="shared" si="128"/>
        <v>3.1041666666666665</v>
      </c>
      <c r="DF215" s="45">
        <f>('[2]Renewable Diesel'!AR224*'[2]Feedstock Conversion Rates'!$B$4*$DF$3)/12</f>
        <v>75</v>
      </c>
      <c r="DG215" s="47">
        <f t="shared" si="101"/>
        <v>75</v>
      </c>
      <c r="DH215" s="45">
        <f>('[2]Renewable Diesel'!AS224*'[2]Feedstock Conversion Rates'!$B$4*$DH$3)/12</f>
        <v>75</v>
      </c>
      <c r="DI215" s="47">
        <f t="shared" si="110"/>
        <v>75</v>
      </c>
      <c r="DJ215" s="45">
        <f>('[2]Renewable Diesel'!AT224*'[2]Feedstock Conversion Rates'!$B$4*0.25)/12</f>
        <v>8.59375</v>
      </c>
      <c r="DK215" s="45">
        <f>('[2]Renewable Diesel'!$AT224*'[2]RD Feedstock Breakdown'!DK$3*'[2]Feedstock Conversion Rates'!$B$3)/12*0.5</f>
        <v>9.1781249999999996</v>
      </c>
      <c r="DL215" s="45">
        <f>('[2]Renewable Diesel'!$AT224*'[2]RD Feedstock Breakdown'!$DL$3*'[2]Feedstock Conversion Rates'!$B$6)/12</f>
        <v>10.747916666666669</v>
      </c>
      <c r="DM215" s="45">
        <f>('[2]Renewable Diesel'!$AT224*'[2]RD Feedstock Breakdown'!$DM$3*'[2]Feedstock Conversion Rates'!$B$8)/12</f>
        <v>10.7421875</v>
      </c>
      <c r="DN215" s="47">
        <f t="shared" si="77"/>
        <v>39.26197916666667</v>
      </c>
      <c r="DP215" s="45">
        <f t="shared" si="130"/>
        <v>107.47025000000001</v>
      </c>
      <c r="DQ215" s="45">
        <f t="shared" si="131"/>
        <v>536.77964249999991</v>
      </c>
      <c r="DR215" s="45">
        <f t="shared" si="136"/>
        <v>1980.734375</v>
      </c>
      <c r="DS215" s="45">
        <f t="shared" si="155"/>
        <v>146.89239583333335</v>
      </c>
      <c r="DT215" s="45">
        <f t="shared" si="132"/>
        <v>236.53923333333344</v>
      </c>
      <c r="DU215" s="45">
        <f t="shared" si="133"/>
        <v>197.72693333333333</v>
      </c>
      <c r="DV215" s="45">
        <f t="shared" si="137"/>
        <v>8</v>
      </c>
      <c r="DW215" s="45">
        <f t="shared" si="134"/>
        <v>3</v>
      </c>
      <c r="DX215" s="47">
        <f t="shared" si="138"/>
        <v>3217.1428300000002</v>
      </c>
      <c r="DY215" s="50">
        <f t="shared" si="126"/>
        <v>-30.000000000000707</v>
      </c>
      <c r="EA215" s="51">
        <f t="shared" si="117"/>
        <v>3.3405495397293254E-2</v>
      </c>
      <c r="EB215" s="51">
        <f t="shared" si="117"/>
        <v>0.16684980147431</v>
      </c>
      <c r="EC215" s="51">
        <f t="shared" si="117"/>
        <v>0.61568120523887337</v>
      </c>
      <c r="ED215" s="51">
        <f t="shared" si="114"/>
        <v>4.5659270848516648E-2</v>
      </c>
      <c r="EE215" s="51">
        <f t="shared" si="114"/>
        <v>7.3524629098712851E-2</v>
      </c>
      <c r="EF215" s="51">
        <f t="shared" si="114"/>
        <v>6.1460414964956134E-2</v>
      </c>
      <c r="EG215" s="51">
        <f t="shared" si="114"/>
        <v>2.4866785289728651E-3</v>
      </c>
      <c r="EH215" s="52">
        <f t="shared" si="139"/>
        <v>9.3250444836482434E-4</v>
      </c>
      <c r="EI215" s="51">
        <f t="shared" si="140"/>
        <v>0.9990674955516351</v>
      </c>
      <c r="EK215" s="53">
        <f>(EA215*'[2]Renewable Diesel'!BF224*'[2]Feedstock Conversion Rates'!B$2)+FB215</f>
        <v>112.27038185368505</v>
      </c>
      <c r="EL215" s="53">
        <f>(EB215*'[2]Renewable Diesel'!BF224*'[2]Feedstock Conversion Rates'!B$3)+FC215</f>
        <v>528.42890778930905</v>
      </c>
      <c r="EM215" s="53">
        <f>(EC215*'[2]Renewable Diesel'!BF224*'[2]Feedstock Conversion Rates'!B$4)+FD215</f>
        <v>1825.7676889128431</v>
      </c>
      <c r="EN215" s="53">
        <f>(ED215*'[2]Renewable Diesel'!BF224*'[2]Feedstock Conversion Rates'!B$5)+FE215</f>
        <v>136.30264414424181</v>
      </c>
      <c r="EO215" s="53">
        <f>(EE215*'[2]Renewable Diesel'!BF224*'[2]Feedstock Conversion Rates'!B$6)+FF215</f>
        <v>272.68675144028674</v>
      </c>
      <c r="EP215" s="53">
        <f>(EF215*'[2]Renewable Diesel'!BF224*'[2]Feedstock Conversion Rates'!B$7)+FG215</f>
        <v>223.56904564362085</v>
      </c>
      <c r="EQ215" s="53">
        <f>(EG215*'[2]Renewable Diesel'!BF224*'[2]Feedstock Conversion Rates'!B$8)+FH215</f>
        <v>9.2176301474691336</v>
      </c>
      <c r="ER215" s="53">
        <f>(EH215*'[2]Renewable Diesel'!BF224*'[2]Feedstock Conversion Rates'!B$9)+FI215</f>
        <v>3.4105231545635792</v>
      </c>
      <c r="ES215" s="53">
        <f t="shared" si="141"/>
        <v>3111.6535730860192</v>
      </c>
      <c r="ET215" s="36">
        <f>ES215/'[2]Renewable Diesel'!BF224</f>
        <v>7.8697852708640843</v>
      </c>
    </row>
    <row r="216" spans="1:150" x14ac:dyDescent="0.25">
      <c r="A216" s="39">
        <v>46997</v>
      </c>
      <c r="B216" s="45">
        <f t="shared" si="142"/>
        <v>52.5</v>
      </c>
      <c r="C216" s="45">
        <f t="shared" si="143"/>
        <v>5.2999999999999972</v>
      </c>
      <c r="D216" s="45">
        <f t="shared" si="144"/>
        <v>2</v>
      </c>
      <c r="E216" s="45">
        <f>('[2]Renewable Diesel'!B225*E$3*'[2]Feedstock Conversion Rates'!$B$2)/12-57.5+6.25+18+10-38+20+16+55+47.5-7-20-4-10+13.5-50</f>
        <v>89.68</v>
      </c>
      <c r="F216" s="45">
        <f>('[2]Renewable Diesel'!B225*'[2]RD Feedstock Breakdown'!F$3*'[2]Feedstock Conversion Rates'!B$8)/12-24+9-2.5+10+5-39+14+10.5+5+5+2-29+4-20</f>
        <v>3.90625</v>
      </c>
      <c r="G216" s="45">
        <f>('[2]Renewable Diesel'!B225*'[2]RD Feedstock Breakdown'!G$3*'[2]Feedstock Conversion Rates'!B$7)/12-30-2+52-144-30+30+70+5-65-30-7.5-5+3</f>
        <v>22.657000000000011</v>
      </c>
      <c r="H216" s="45">
        <f>('[2]Renewable Diesel'!B225*'[2]RD Feedstock Breakdown'!H$3*'[2]Feedstock Conversion Rates'!B$3)/12-95+8+16-72+12+40+40+30-20-15-30+215+15</f>
        <v>320.40022499999998</v>
      </c>
      <c r="I216" s="47">
        <f t="shared" si="160"/>
        <v>496.44347500000003</v>
      </c>
      <c r="J216" s="45">
        <f t="shared" si="145"/>
        <v>142</v>
      </c>
      <c r="K216" s="45"/>
      <c r="L216" s="45">
        <v>1</v>
      </c>
      <c r="M216" s="45">
        <f>('[2]Renewable Diesel'!C225*'[2]RD Feedstock Breakdown'!M$3*'[2]Feedstock Conversion Rates'!B$2)/12-24+10-41+5+1+35+24</f>
        <v>17.79025</v>
      </c>
      <c r="N216" s="45">
        <f>('[2]Renewable Diesel'!C225*'[2]RD Feedstock Breakdown'!N$3*'[2]Feedstock Conversion Rates'!B$8)/12-2.5+16+2-25-2+8+7+2-22-10</f>
        <v>-22.828125</v>
      </c>
      <c r="O216" s="45">
        <f>('[2]Renewable Diesel'!C225*'[2]RD Feedstock Breakdown'!O$3*'[2]Feedstock Conversion Rates'!B$7)/12-30-60-10+20+15-15+20-20+8</f>
        <v>-60.000900000000001</v>
      </c>
      <c r="P216" s="45">
        <f>('[2]Renewable Diesel'!C225*'[2]RD Feedstock Breakdown'!P$3*'[2]Feedstock Conversion Rates'!B$3)/12-27+50-107+35+10+52.5-70+12-5-5</f>
        <v>-44.052957499999991</v>
      </c>
      <c r="Q216" s="47">
        <f t="shared" si="85"/>
        <v>33.908267500000022</v>
      </c>
      <c r="R216" s="45">
        <f>('[2]Renewable Diesel'!D225*'[2]RD Feedstock Breakdown'!R$3*'[2]Feedstock Conversion Rates'!B$7)/12</f>
        <v>2.2999999999999998</v>
      </c>
      <c r="S216" s="47">
        <f t="shared" si="116"/>
        <v>2.2999999999999998</v>
      </c>
      <c r="T216" s="45">
        <f t="shared" si="146"/>
        <v>5.8250000000000028</v>
      </c>
      <c r="U216" s="45">
        <v>30</v>
      </c>
      <c r="V216" s="45">
        <f>('[2]Renewable Diesel'!E225*'[2]RD Feedstock Breakdown'!V$3*'[2]Feedstock Conversion Rates'!B$6)/12-20+25-35</f>
        <v>14.250150000000012</v>
      </c>
      <c r="W216" s="45">
        <f>('[2]Renewable Diesel'!E225*'[2]RD Feedstock Breakdown'!W$3*'[2]Feedstock Conversion Rates'!B$8)/12-6</f>
        <v>16.1796875</v>
      </c>
      <c r="X216" s="47">
        <f t="shared" si="147"/>
        <v>66.254837500000008</v>
      </c>
      <c r="Y216" s="45">
        <f t="shared" si="148"/>
        <v>125.5</v>
      </c>
      <c r="Z216" s="45">
        <f>('[2]Renewable Diesel'!F225*'[2]RD Feedstock Breakdown'!Z$3*'[2]Feedstock Conversion Rates'!B$6)/12-50-32-60+15+30+22.5-70+70-35+5+6</f>
        <v>60.960000000000008</v>
      </c>
      <c r="AA216" s="45">
        <f>('[2]Renewable Diesel'!F225*'[2]RD Feedstock Breakdown'!AA$3*'[2]Feedstock Conversion Rates'!B$7)/12+80-171+75+30+20-50-6-5</f>
        <v>77.266666666666652</v>
      </c>
      <c r="AB216" s="47">
        <f t="shared" si="102"/>
        <v>263.72666666666669</v>
      </c>
      <c r="AC216" s="45">
        <f>('[2]Renewable Diesel'!G225*'[2]RD Feedstock Breakdown'!AC$3*'[2]Feedstock Conversion Rates'!B$5)/12</f>
        <v>11.796875</v>
      </c>
      <c r="AD216" s="45">
        <f>('[2]Renewable Diesel'!G225*'[2]RD Feedstock Breakdown'!AD$3*'[2]Feedstock Conversion Rates'!B$4)/12</f>
        <v>5.859375</v>
      </c>
      <c r="AE216" s="45">
        <f>('[2]Renewable Diesel'!G225*'[2]RD Feedstock Breakdown'!AE$3*'[2]Feedstock Conversion Rates'!B$6)/12</f>
        <v>7.3281250000000009</v>
      </c>
      <c r="AF216" s="47">
        <f t="shared" si="156"/>
        <v>24.984375</v>
      </c>
      <c r="AG216" s="45">
        <f t="shared" si="150"/>
        <v>106.5</v>
      </c>
      <c r="AH216" s="45">
        <v>30</v>
      </c>
      <c r="AI216" s="45">
        <f>('[2]Renewable Diesel'!H225*'[2]RD Feedstock Breakdown'!AI$3*'[2]Feedstock Conversion Rates'!B$6)/12-130-20+51-120+2.5+100-45+25</f>
        <v>12.01666666666668</v>
      </c>
      <c r="AJ216" s="47">
        <f t="shared" si="113"/>
        <v>118.51666666666668</v>
      </c>
      <c r="AK216" s="45">
        <f>('[2]Renewable Diesel'!J225*'[2]RD Feedstock Breakdown'!AK$3*'[2]Feedstock Conversion Rates'!B$4)/12</f>
        <v>95.8125</v>
      </c>
      <c r="AL216" s="47">
        <f t="shared" si="123"/>
        <v>95.8125</v>
      </c>
      <c r="AM216" s="45">
        <f>('[2]Renewable Diesel'!K225*'[2]RD Feedstock Breakdown'!AM$3*'[2]Feedstock Conversion Rates'!B$4)/12+5+15-10+9-27</f>
        <v>50.59375</v>
      </c>
      <c r="AN216" s="45">
        <f>('[2]Renewable Diesel'!K225*'[2]RD Feedstock Breakdown'!AN$3*'[2]Feedstock Conversion Rates'!B$6)/12-5-15+10-9+27</f>
        <v>32.427083333333329</v>
      </c>
      <c r="AO216" s="47">
        <f t="shared" si="135"/>
        <v>83.020833333333329</v>
      </c>
      <c r="AP216" s="45">
        <f>('[2]Renewable Diesel'!L225*'[2]RD Feedstock Breakdown'!AP$3*'[2]Feedstock Conversion Rates'!B$4)/12+15-10+5+9</f>
        <v>77.59375</v>
      </c>
      <c r="AQ216" s="45">
        <f>('[2]Renewable Diesel'!L225*'[2]RD Feedstock Breakdown'!AQ$3*'[2]Feedstock Conversion Rates'!B$6)/12-15+10-5-9</f>
        <v>5.4270833333333321</v>
      </c>
      <c r="AR216" s="47">
        <f t="shared" si="125"/>
        <v>83.020833333333329</v>
      </c>
      <c r="AS216" s="45">
        <f>('[2]Renewable Diesel'!M225*'[2]RD Feedstock Breakdown'!AS$3*'[2]Feedstock Conversion Rates'!B$4)/12</f>
        <v>456.25</v>
      </c>
      <c r="AT216" s="45">
        <f>('[2]Renewable Diesel'!M225*'[2]RD Feedstock Breakdown'!AT$3*'[2]Feedstock Conversion Rates'!B$5)/12</f>
        <v>0</v>
      </c>
      <c r="AU216" s="47">
        <f t="shared" si="159"/>
        <v>456.25</v>
      </c>
      <c r="AV216" s="45">
        <f>'[2]Renewable Diesel'!N225*'[2]RD Feedstock Breakdown'!$AV$3*'[2]Feedstock Conversion Rates'!$B$4/12-15-10+25+25-22-25-12.5</f>
        <v>44.249999999999986</v>
      </c>
      <c r="AW216" s="45">
        <f>'[2]Renewable Diesel'!N225*'[2]RD Feedstock Breakdown'!$AW$3*'[2]Feedstock Conversion Rates'!$B$7/12+15+10-25-25+22+25+12.5</f>
        <v>75.900000000000006</v>
      </c>
      <c r="AX216" s="47">
        <f t="shared" si="109"/>
        <v>120.14999999999999</v>
      </c>
      <c r="AY216" s="45">
        <f>('[2]Renewable Diesel'!O225*'[2]RD Feedstock Breakdown'!AY$3*'[2]Feedstock Conversion Rates'!B$4)/12+32+2-135</f>
        <v>109.9375</v>
      </c>
      <c r="AZ216" s="45">
        <f>('[2]Renewable Diesel'!O225*'[2]RD Feedstock Breakdown'!AZ$3*'[2]Feedstock Conversion Rates'!B$3)/12-32-2+135</f>
        <v>126.03125</v>
      </c>
      <c r="BA216" s="47">
        <f t="shared" si="87"/>
        <v>235.96875</v>
      </c>
      <c r="BB216" s="45">
        <f>('[2]Renewable Diesel'!Q225*'[2]RD Feedstock Breakdown'!BB$3*'[2]Feedstock Conversion Rates'!B$4)/12</f>
        <v>11.156249999999998</v>
      </c>
      <c r="BC216" s="45">
        <f>('[2]Renewable Diesel'!Q225*'[2]RD Feedstock Breakdown'!BC$3*'[2]Feedstock Conversion Rates'!B$3)/12</f>
        <v>1.4017500000000001</v>
      </c>
      <c r="BD216" s="45">
        <f>('[2]Renewable Diesel'!Q225*'[2]RD Feedstock Breakdown'!BD$3*'[2]Feedstock Conversion Rates'!B$6)/12</f>
        <v>0.8207500000000002</v>
      </c>
      <c r="BE216" s="47">
        <f t="shared" si="151"/>
        <v>13.378749999999998</v>
      </c>
      <c r="BF216" s="45">
        <f>('[2]Renewable Diesel'!R225*'[2]RD Feedstock Breakdown'!BF$3*'[2]Feedstock Conversion Rates'!B$4)/12</f>
        <v>62.5</v>
      </c>
      <c r="BG216" s="47">
        <f t="shared" si="129"/>
        <v>62.5</v>
      </c>
      <c r="BH216" s="45">
        <f>('[2]Renewable Diesel'!T225*'[2]RD Feedstock Breakdown'!BH$3*'[2]Feedstock Conversion Rates'!B$7)/12</f>
        <v>27.599999999999998</v>
      </c>
      <c r="BI216" s="47">
        <f t="shared" si="112"/>
        <v>27.599999999999998</v>
      </c>
      <c r="BJ216" s="45">
        <f>('[2]Renewable Diesel'!W225*'[2]RD Feedstock Breakdown'!BJ$3*'[2]Feedstock Conversion Rates'!B$4)/12</f>
        <v>7.5</v>
      </c>
      <c r="BK216" s="45">
        <f>('[2]Renewable Diesel'!W225*'[2]RD Feedstock Breakdown'!BK$3*'[2]Feedstock Conversion Rates'!B$3)/12</f>
        <v>1.335</v>
      </c>
      <c r="BL216" s="45">
        <f>('[2]Renewable Diesel'!W225*'[2]RD Feedstock Breakdown'!BL$3*'[2]Feedstock Conversion Rates'!B$6)/12</f>
        <v>3.1266666666666669</v>
      </c>
      <c r="BM216" s="45">
        <f>('[2]Renewable Diesel'!W225*'[2]RD Feedstock Breakdown'!BM$3*'[2]Feedstock Conversion Rates'!B$7)/12</f>
        <v>1.5333333333333332</v>
      </c>
      <c r="BN216" s="47">
        <f t="shared" si="78"/>
        <v>13.495000000000001</v>
      </c>
      <c r="BO216" s="45">
        <f>('[2]Renewable Diesel'!P225*'[2]Feedstock Conversion Rates'!B$4)/12</f>
        <v>31.25</v>
      </c>
      <c r="BP216" s="47">
        <f t="shared" si="157"/>
        <v>31.25</v>
      </c>
      <c r="BQ216" s="45">
        <f>('[2]Renewable Diesel'!$S225*'[2]RD Feedstock Breakdown'!BQ$3*'[2]Feedstock Conversion Rates'!B$4)/12+10</f>
        <v>38.125</v>
      </c>
      <c r="BR216" s="45">
        <f>('[2]Renewable Diesel'!$S225*'[2]RD Feedstock Breakdown'!BR$3*'[2]Feedstock Conversion Rates'!B$7)/12-10</f>
        <v>1.5</v>
      </c>
      <c r="BS216" s="47">
        <f t="shared" si="90"/>
        <v>39.625</v>
      </c>
      <c r="BT216" s="47"/>
      <c r="BU216" s="45">
        <f>('[2]Renewable Diesel'!Y225*'[2]Feedstock Conversion Rates'!B$7)/12</f>
        <v>2.6833333333333331</v>
      </c>
      <c r="BV216" s="47">
        <f t="shared" si="153"/>
        <v>2.6833333333333331</v>
      </c>
      <c r="BW216" s="45">
        <f>('[2]Renewable Diesel'!$Z225*'[2]RD Feedstock Breakdown'!BW$3*'[2]Feedstock Conversion Rates'!$B$4)/12</f>
        <v>53.90625</v>
      </c>
      <c r="BX216" s="45">
        <f>('[2]Renewable Diesel'!$Z225*'[2]RD Feedstock Breakdown'!BX$3*'[2]Feedstock Conversion Rates'!$B$5)/12</f>
        <v>5.4265624999999993</v>
      </c>
      <c r="BY216" s="45">
        <f>('[2]Renewable Diesel'!$Z225*'[2]RD Feedstock Breakdown'!BY$3*'[2]Feedstock Conversion Rates'!$B$7)/12</f>
        <v>46.287499999999994</v>
      </c>
      <c r="BZ216" s="45">
        <f>('[2]Renewable Diesel'!$Z225*'[2]RD Feedstock Breakdown'!BZ$3*'[2]Feedstock Conversion Rates'!$B$3)/12</f>
        <v>11.514374999999999</v>
      </c>
      <c r="CA216" s="47">
        <f t="shared" si="91"/>
        <v>117.1346875</v>
      </c>
      <c r="CB216" s="45">
        <f>('[2]Renewable Diesel'!AA225*'[2]Feedstock Conversion Rates'!B$4)/12</f>
        <v>191.25</v>
      </c>
      <c r="CC216" s="47">
        <f t="shared" si="79"/>
        <v>191.25</v>
      </c>
      <c r="CD216" s="45">
        <f>('[2]Renewable Diesel'!$AB225*'[2]RD Feedstock Breakdown'!CD$3*'[2]Feedstock Conversion Rates'!$B$6)/12-15</f>
        <v>17.830000000000005</v>
      </c>
      <c r="CE216" s="45">
        <f>('[2]Renewable Diesel'!$AB225*'[2]RD Feedstock Breakdown'!CE$3*'[2]Feedstock Conversion Rates'!$B$4)/12+15</f>
        <v>26.25</v>
      </c>
      <c r="CF216" s="47">
        <f t="shared" ref="CF216:CF279" si="161">SUM(CD216:CE216)</f>
        <v>44.080000000000005</v>
      </c>
      <c r="CG216" s="45">
        <f>('[2]Renewable Diesel'!AD225*'[2]Feedstock Conversion Rates'!B$4)/12</f>
        <v>112.5</v>
      </c>
      <c r="CH216" s="47">
        <f t="shared" si="149"/>
        <v>112.5</v>
      </c>
      <c r="CI216" s="45">
        <f>('[2]Renewable Diesel'!$AE225*'[2]RD Feedstock Breakdown'!CI$3*'[2]Feedstock Conversion Rates'!$B$5)/12</f>
        <v>0.34604166666666664</v>
      </c>
      <c r="CJ216" s="45">
        <f>('[2]Renewable Diesel'!$AE225*'[2]RD Feedstock Breakdown'!CJ$3*'[2]Feedstock Conversion Rates'!$B$4)/12</f>
        <v>0.34375</v>
      </c>
      <c r="CK216" s="47">
        <f t="shared" si="158"/>
        <v>0.68979166666666658</v>
      </c>
      <c r="CL216" s="45">
        <f>(((CL$3*'[2]Renewable Diesel'!$AF225)*'[2]Feedstock Conversion Rates'!$B$3)/12)</f>
        <v>91.78125</v>
      </c>
      <c r="CM216" s="45">
        <f>(((CM$3*'[2]Renewable Diesel'!$AF225)*'[2]Feedstock Conversion Rates'!$B$6)/12)</f>
        <v>53.739583333333336</v>
      </c>
      <c r="CN216" s="45">
        <f>(((CN$3*'[2]Renewable Diesel'!$AF225)*'[2]Feedstock Conversion Rates'!$B$4)/12)</f>
        <v>42.96875</v>
      </c>
      <c r="CO216" s="47">
        <f t="shared" si="152"/>
        <v>188.48958333333334</v>
      </c>
      <c r="CP216" s="45">
        <f>('[2]Renewable Diesel'!$AG225*'[2]RD Feedstock Breakdown'!CP$3*'[2]Feedstock Conversion Rates'!$B$3)/12</f>
        <v>6.0075000000000003</v>
      </c>
      <c r="CQ216" s="45">
        <f>('[2]Renewable Diesel'!$AG225*'[2]RD Feedstock Breakdown'!CQ$3*'[2]Feedstock Conversion Rates'!$B$6)/12</f>
        <v>3.5175000000000001</v>
      </c>
      <c r="CR216" s="45">
        <f>('[2]Renewable Diesel'!$AG225*'[2]RD Feedstock Breakdown'!CR$3*'[2]Feedstock Conversion Rates'!$B$4)/12</f>
        <v>2.8125</v>
      </c>
      <c r="CS216" s="47">
        <f t="shared" si="99"/>
        <v>12.3375</v>
      </c>
      <c r="CT216" s="45">
        <f>('[2]Renewable Diesel'!AI225*'[2]Feedstock Conversion Rates'!$B$4*'[2]RD Feedstock Breakdown'!$CT$3)/12</f>
        <v>29.375</v>
      </c>
      <c r="CU216" s="47">
        <f t="shared" si="154"/>
        <v>29.375</v>
      </c>
      <c r="CV216" s="45">
        <f>('[2]Renewable Diesel'!AN225*'[2]Feedstock Conversion Rates'!$B$3*'[2]RD Feedstock Breakdown'!$CV$3)/12</f>
        <v>0.50062499999999999</v>
      </c>
      <c r="CW216" s="47">
        <f t="shared" si="124"/>
        <v>0.50062499999999999</v>
      </c>
      <c r="CX216" s="45">
        <f>('[2]Renewable Diesel'!AO225*'[2]RD Feedstock Breakdown'!$CX$3*'[2]Feedstock Conversion Rates'!$B$3)/12</f>
        <v>6.3412499999999996</v>
      </c>
      <c r="CY216" s="45">
        <f>('[2]Renewable Diesel'!AO225*'[2]RD Feedstock Breakdown'!$CY$3*'[2]Feedstock Conversion Rates'!$B$6)/12</f>
        <v>7.4258333333333342</v>
      </c>
      <c r="CZ216" s="47">
        <f t="shared" si="100"/>
        <v>13.767083333333334</v>
      </c>
      <c r="DA216" s="45">
        <f>('[2]Renewable Diesel'!$AP225*'[2]RD Feedstock Breakdown'!DA$3*'[2]Feedstock Conversion Rates'!$B$3)/12</f>
        <v>6.3412499999999996</v>
      </c>
      <c r="DB216" s="45">
        <f>('[2]Renewable Diesel'!$AP225*'[2]RD Feedstock Breakdown'!DB$3*'[2]Feedstock Conversion Rates'!$B$8)/12</f>
        <v>7.421875</v>
      </c>
      <c r="DC216" s="47">
        <f t="shared" si="127"/>
        <v>13.763124999999999</v>
      </c>
      <c r="DD216" s="45">
        <f>('[2]Renewable Diesel'!AQ225*$DD$3*'[2]Feedstock Conversion Rates'!$B$14)/12</f>
        <v>3.1041666666666665</v>
      </c>
      <c r="DE216" s="47">
        <f t="shared" si="128"/>
        <v>3.1041666666666665</v>
      </c>
      <c r="DF216" s="45">
        <f>('[2]Renewable Diesel'!AR225*'[2]Feedstock Conversion Rates'!$B$4*$DF$3)/12</f>
        <v>75</v>
      </c>
      <c r="DG216" s="47">
        <f t="shared" si="101"/>
        <v>75</v>
      </c>
      <c r="DH216" s="45">
        <f>('[2]Renewable Diesel'!AS225*'[2]Feedstock Conversion Rates'!$B$4*$DH$3)/12</f>
        <v>75</v>
      </c>
      <c r="DI216" s="47">
        <f t="shared" si="110"/>
        <v>75</v>
      </c>
      <c r="DJ216" s="45">
        <f>('[2]Renewable Diesel'!AT225*'[2]Feedstock Conversion Rates'!$B$4*0.25)/12</f>
        <v>8.59375</v>
      </c>
      <c r="DK216" s="45">
        <f>('[2]Renewable Diesel'!$AT225*'[2]RD Feedstock Breakdown'!DK$3*'[2]Feedstock Conversion Rates'!$B$3)/12*0.5</f>
        <v>9.1781249999999996</v>
      </c>
      <c r="DL216" s="45">
        <f>('[2]Renewable Diesel'!$AT225*'[2]RD Feedstock Breakdown'!$DL$3*'[2]Feedstock Conversion Rates'!$B$6)/12</f>
        <v>10.747916666666669</v>
      </c>
      <c r="DM216" s="45">
        <f>('[2]Renewable Diesel'!$AT225*'[2]RD Feedstock Breakdown'!$DM$3*'[2]Feedstock Conversion Rates'!$B$8)/12</f>
        <v>10.7421875</v>
      </c>
      <c r="DN216" s="47">
        <f t="shared" si="77"/>
        <v>39.26197916666667</v>
      </c>
      <c r="DP216" s="45">
        <f t="shared" si="130"/>
        <v>107.47025000000001</v>
      </c>
      <c r="DQ216" s="45">
        <f t="shared" si="131"/>
        <v>536.77964249999991</v>
      </c>
      <c r="DR216" s="45">
        <f t="shared" si="136"/>
        <v>1980.234375</v>
      </c>
      <c r="DS216" s="45">
        <f t="shared" si="155"/>
        <v>146.89239583333335</v>
      </c>
      <c r="DT216" s="45">
        <f t="shared" si="132"/>
        <v>237.03923333333344</v>
      </c>
      <c r="DU216" s="45">
        <f t="shared" si="133"/>
        <v>197.72693333333333</v>
      </c>
      <c r="DV216" s="45">
        <f t="shared" si="137"/>
        <v>8</v>
      </c>
      <c r="DW216" s="45">
        <f t="shared" si="134"/>
        <v>3</v>
      </c>
      <c r="DX216" s="47">
        <f t="shared" si="138"/>
        <v>3217.1428300000002</v>
      </c>
      <c r="DY216" s="50">
        <f t="shared" si="126"/>
        <v>-30.000000000000707</v>
      </c>
      <c r="EA216" s="51">
        <f t="shared" si="117"/>
        <v>3.3405495397293254E-2</v>
      </c>
      <c r="EB216" s="51">
        <f t="shared" si="117"/>
        <v>0.16684980147431</v>
      </c>
      <c r="EC216" s="51">
        <f t="shared" si="117"/>
        <v>0.61552578783081258</v>
      </c>
      <c r="ED216" s="51">
        <f t="shared" si="114"/>
        <v>4.5659270848516648E-2</v>
      </c>
      <c r="EE216" s="51">
        <f t="shared" si="114"/>
        <v>7.3680046506773664E-2</v>
      </c>
      <c r="EF216" s="51">
        <f t="shared" si="114"/>
        <v>6.1460414964956134E-2</v>
      </c>
      <c r="EG216" s="51">
        <f t="shared" si="114"/>
        <v>2.4866785289728651E-3</v>
      </c>
      <c r="EH216" s="52">
        <f t="shared" si="139"/>
        <v>9.3250444836482434E-4</v>
      </c>
      <c r="EI216" s="51">
        <f t="shared" si="140"/>
        <v>0.9990674955516351</v>
      </c>
      <c r="EK216" s="53">
        <f>(EA216*'[2]Renewable Diesel'!BF225*'[2]Feedstock Conversion Rates'!B$2)+FB216</f>
        <v>123.46157054708792</v>
      </c>
      <c r="EL216" s="53">
        <f>(EB216*'[2]Renewable Diesel'!BF225*'[2]Feedstock Conversion Rates'!B$3)+FC216</f>
        <v>581.10306387996843</v>
      </c>
      <c r="EM216" s="53">
        <f>(EC216*'[2]Renewable Diesel'!BF225*'[2]Feedstock Conversion Rates'!B$4)+FD216</f>
        <v>2007.254642335336</v>
      </c>
      <c r="EN216" s="53">
        <f>(ED216*'[2]Renewable Diesel'!BF225*'[2]Feedstock Conversion Rates'!B$5)+FE216</f>
        <v>149.88938523162761</v>
      </c>
      <c r="EO216" s="53">
        <f>(EE216*'[2]Renewable Diesel'!BF225*'[2]Feedstock Conversion Rates'!B$6)+FF216</f>
        <v>300.50221991489138</v>
      </c>
      <c r="EP216" s="53">
        <f>(EF216*'[2]Renewable Diesel'!BF225*'[2]Feedstock Conversion Rates'!B$7)+FG216</f>
        <v>245.85456150712315</v>
      </c>
      <c r="EQ216" s="53">
        <f>(EG216*'[2]Renewable Diesel'!BF225*'[2]Feedstock Conversion Rates'!B$8)+FH216</f>
        <v>10.136449844909578</v>
      </c>
      <c r="ER216" s="53">
        <f>(EH216*'[2]Renewable Diesel'!BF225*'[2]Feedstock Conversion Rates'!B$9)+FI216</f>
        <v>3.7504864426165434</v>
      </c>
      <c r="ES216" s="53">
        <f t="shared" si="141"/>
        <v>3421.9523797035608</v>
      </c>
      <c r="ET216" s="36">
        <f>ES216/'[2]Renewable Diesel'!BF225</f>
        <v>7.8700774555912387</v>
      </c>
    </row>
    <row r="217" spans="1:150" x14ac:dyDescent="0.25">
      <c r="A217" s="39">
        <v>47027</v>
      </c>
      <c r="B217" s="45">
        <f>45+85.8+59+120-10-5+30-17-1.5-20-30-70-16-51-50-30-7.5-3+65-55-20-1-7.5-2+25+29+5+26+12.5+5+5-4+5+8+45-15.5-153+3-2+20</f>
        <v>22.300000000000011</v>
      </c>
      <c r="C217" s="45">
        <f>50-1-47+16+7+41+1-10-20</f>
        <v>37</v>
      </c>
      <c r="D217" s="45">
        <f>1+1</f>
        <v>2</v>
      </c>
      <c r="E217" s="45">
        <f>('[2]Renewable Diesel'!B226*E$3*'[2]Feedstock Conversion Rates'!$B$2)/12-57.5+12.5+43-59+20+16+50+55-5-26-5-8+15.5-41-1</f>
        <v>99.43</v>
      </c>
      <c r="F217" s="45">
        <f>('[2]Renewable Diesel'!B226*'[2]RD Feedstock Breakdown'!F$3*'[2]Feedstock Conversion Rates'!B$8)/12-24+17.5-2.25+15-45+5+17+10+2-29+4-16</f>
        <v>8.15625</v>
      </c>
      <c r="G217" s="45">
        <f>('[2]Renewable Diesel'!B226*'[2]RD Feedstock Breakdown'!G$3*'[2]Feedstock Conversion Rates'!B$7)/12-50-1+71-144-30+30+70+7.5-65+7.5-25-12.5-5-10+2</f>
        <v>21.657000000000011</v>
      </c>
      <c r="H217" s="45">
        <f>('[2]Renewable Diesel'!B226*'[2]RD Feedstock Breakdown'!H$3*'[2]Feedstock Conversion Rates'!B$3)/12-105+29+50+2.5-120+10+1.5+51+30+20-5-45+200+10</f>
        <v>305.40022499999998</v>
      </c>
      <c r="I217" s="47">
        <f t="shared" si="160"/>
        <v>495.94347500000003</v>
      </c>
      <c r="J217" s="45">
        <f>39+60+34+0.5+107+17.5-1-35+2.5-28-15-3-10-7-7.5-2.5-7-40-7-1-50+2-4+24+95+15+4+5-30-25+15+20-26-9-25-5</f>
        <v>102.5</v>
      </c>
      <c r="K217" s="45"/>
      <c r="L217" s="45">
        <v>1</v>
      </c>
      <c r="M217" s="45">
        <f>('[2]Renewable Diesel'!C226*'[2]RD Feedstock Breakdown'!M$3*'[2]Feedstock Conversion Rates'!B$2)/12-25+4.5-34-0.5-2.5+3+7.5+2.5-4+26+25</f>
        <v>10.29025</v>
      </c>
      <c r="N217" s="45">
        <f>('[2]Renewable Diesel'!C226*'[2]RD Feedstock Breakdown'!N$3*'[2]Feedstock Conversion Rates'!B$8)/12-2.5+30-39+1+7+2+7+2-24-15</f>
        <v>-27.828125</v>
      </c>
      <c r="O217" s="45">
        <f>('[2]Renewable Diesel'!C226*'[2]RD Feedstock Breakdown'!O$3*'[2]Feedstock Conversion Rates'!B$7)/12-30-60-19+29+15-15+30-20+9</f>
        <v>-49.000900000000001</v>
      </c>
      <c r="P217" s="45">
        <f>('[2]Renewable Diesel'!C226*'[2]RD Feedstock Breakdown'!P$3*'[2]Feedstock Conversion Rates'!B$3)/12-27+50-107+35+15+40+50-95-5+25+5</f>
        <v>-3.5529574999999909</v>
      </c>
      <c r="Q217" s="47">
        <f t="shared" si="85"/>
        <v>33.408267500000008</v>
      </c>
      <c r="R217" s="45">
        <f>('[2]Renewable Diesel'!D226*'[2]RD Feedstock Breakdown'!R$3*'[2]Feedstock Conversion Rates'!B$7)/12</f>
        <v>2.2999999999999998</v>
      </c>
      <c r="S217" s="47">
        <f t="shared" si="116"/>
        <v>2.2999999999999998</v>
      </c>
      <c r="T217" s="45">
        <f>5.825+20-25+35-30</f>
        <v>5.8250000000000028</v>
      </c>
      <c r="U217" s="45">
        <v>30</v>
      </c>
      <c r="V217" s="45">
        <f>('[2]Renewable Diesel'!E226*'[2]RD Feedstock Breakdown'!V$3*'[2]Feedstock Conversion Rates'!B$6)/12-20+25-35</f>
        <v>14.250150000000012</v>
      </c>
      <c r="W217" s="45">
        <f>('[2]Renewable Diesel'!E226*'[2]RD Feedstock Breakdown'!W$3*'[2]Feedstock Conversion Rates'!B$8)/12-6</f>
        <v>16.1796875</v>
      </c>
      <c r="X217" s="47">
        <f t="shared" si="147"/>
        <v>66.254837500000008</v>
      </c>
      <c r="Y217" s="45">
        <f>50+32-80+171+60-15-75-50-20-30-22.5+40+70-75+50+1-2.5+30-3-5</f>
        <v>126</v>
      </c>
      <c r="Z217" s="45">
        <f>('[2]Renewable Diesel'!F226*'[2]RD Feedstock Breakdown'!Z$3*'[2]Feedstock Conversion Rates'!B$6)/12-50-32-60+15+30+22.5-70+75-30+3+5</f>
        <v>67.960000000000008</v>
      </c>
      <c r="AA217" s="45">
        <f>('[2]Renewable Diesel'!F226*'[2]RD Feedstock Breakdown'!AA$3*'[2]Feedstock Conversion Rates'!B$7)/12+80-171+75+30-50-1+2.5</f>
        <v>69.766666666666652</v>
      </c>
      <c r="AB217" s="47">
        <f t="shared" si="102"/>
        <v>263.72666666666669</v>
      </c>
      <c r="AC217" s="45">
        <f>('[2]Renewable Diesel'!G226*'[2]RD Feedstock Breakdown'!AC$3*'[2]Feedstock Conversion Rates'!B$5)/12+2</f>
        <v>13.796875</v>
      </c>
      <c r="AD217" s="45">
        <f>('[2]Renewable Diesel'!G226*'[2]RD Feedstock Breakdown'!AD$3*'[2]Feedstock Conversion Rates'!B$4)/12</f>
        <v>5.859375</v>
      </c>
      <c r="AE217" s="45">
        <f>('[2]Renewable Diesel'!G226*'[2]RD Feedstock Breakdown'!AE$3*'[2]Feedstock Conversion Rates'!B$6)/12-2</f>
        <v>5.3281250000000009</v>
      </c>
      <c r="AF217" s="47">
        <f t="shared" si="156"/>
        <v>24.984375</v>
      </c>
      <c r="AG217" s="45">
        <f>130+20-51+120-2.5-100+45-20-125</f>
        <v>16.5</v>
      </c>
      <c r="AH217" s="45">
        <v>125</v>
      </c>
      <c r="AI217" s="45">
        <f>('[2]Renewable Diesel'!H226*'[2]RD Feedstock Breakdown'!AI$3*'[2]Feedstock Conversion Rates'!B$6)/12-130-20+51-120+2.5+100-45+20</f>
        <v>7.0166666666666799</v>
      </c>
      <c r="AJ217" s="47">
        <f t="shared" si="113"/>
        <v>23.51666666666668</v>
      </c>
      <c r="AK217" s="45">
        <f>('[2]Renewable Diesel'!J226*'[2]RD Feedstock Breakdown'!AK$3*'[2]Feedstock Conversion Rates'!B$4)/12</f>
        <v>95.8125</v>
      </c>
      <c r="AL217" s="47">
        <f t="shared" si="123"/>
        <v>95.8125</v>
      </c>
      <c r="AM217" s="45">
        <f>('[2]Renewable Diesel'!K226*'[2]RD Feedstock Breakdown'!AM$3*'[2]Feedstock Conversion Rates'!B$4)/12+5+15-10+9-27</f>
        <v>50.59375</v>
      </c>
      <c r="AN217" s="45">
        <f>('[2]Renewable Diesel'!K226*'[2]RD Feedstock Breakdown'!AN$3*'[2]Feedstock Conversion Rates'!B$6)/12-5-15+10-9+27</f>
        <v>32.427083333333329</v>
      </c>
      <c r="AO217" s="47">
        <f t="shared" si="135"/>
        <v>83.020833333333329</v>
      </c>
      <c r="AP217" s="45">
        <f>('[2]Renewable Diesel'!L226*'[2]RD Feedstock Breakdown'!AP$3*'[2]Feedstock Conversion Rates'!B$4)/12+15-10+5+9</f>
        <v>77.59375</v>
      </c>
      <c r="AQ217" s="45">
        <f>('[2]Renewable Diesel'!L226*'[2]RD Feedstock Breakdown'!AQ$3*'[2]Feedstock Conversion Rates'!B$6)/12-15+10-5-9</f>
        <v>5.4270833333333321</v>
      </c>
      <c r="AR217" s="47">
        <f t="shared" si="125"/>
        <v>83.020833333333329</v>
      </c>
      <c r="AS217" s="45">
        <f>('[2]Renewable Diesel'!M226*'[2]RD Feedstock Breakdown'!AS$3*'[2]Feedstock Conversion Rates'!B$4)/12</f>
        <v>456.25</v>
      </c>
      <c r="AT217" s="45">
        <f>('[2]Renewable Diesel'!M226*'[2]RD Feedstock Breakdown'!AT$3*'[2]Feedstock Conversion Rates'!B$5)/12</f>
        <v>0</v>
      </c>
      <c r="AU217" s="47">
        <f t="shared" si="159"/>
        <v>456.25</v>
      </c>
      <c r="AV217" s="45">
        <f>'[2]Renewable Diesel'!N226*'[2]RD Feedstock Breakdown'!$AV$3*'[2]Feedstock Conversion Rates'!$B$4/12-15-10+25+25-22-10-30</f>
        <v>41.749999999999986</v>
      </c>
      <c r="AW217" s="45">
        <f>'[2]Renewable Diesel'!N226*'[2]RD Feedstock Breakdown'!$AW$3*'[2]Feedstock Conversion Rates'!$B$7/12+15+10-25-25+22+10+30</f>
        <v>78.400000000000006</v>
      </c>
      <c r="AX217" s="47">
        <f t="shared" si="109"/>
        <v>120.14999999999999</v>
      </c>
      <c r="AY217" s="45">
        <f>('[2]Renewable Diesel'!O226*'[2]RD Feedstock Breakdown'!AY$3*'[2]Feedstock Conversion Rates'!B$4)/12+32+2-135</f>
        <v>109.9375</v>
      </c>
      <c r="AZ217" s="45">
        <f>('[2]Renewable Diesel'!O226*'[2]RD Feedstock Breakdown'!AZ$3*'[2]Feedstock Conversion Rates'!B$3)/12-32-2+135</f>
        <v>126.03125</v>
      </c>
      <c r="BA217" s="47">
        <f t="shared" si="87"/>
        <v>235.96875</v>
      </c>
      <c r="BB217" s="45">
        <f>('[2]Renewable Diesel'!Q226*'[2]RD Feedstock Breakdown'!BB$3*'[2]Feedstock Conversion Rates'!B$4)/12</f>
        <v>11.156249999999998</v>
      </c>
      <c r="BC217" s="45">
        <f>('[2]Renewable Diesel'!Q226*'[2]RD Feedstock Breakdown'!BC$3*'[2]Feedstock Conversion Rates'!B$3)/12</f>
        <v>1.4017500000000001</v>
      </c>
      <c r="BD217" s="45">
        <f>('[2]Renewable Diesel'!Q226*'[2]RD Feedstock Breakdown'!BD$3*'[2]Feedstock Conversion Rates'!B$6)/12</f>
        <v>0.8207500000000002</v>
      </c>
      <c r="BE217" s="47">
        <f t="shared" si="151"/>
        <v>13.378749999999998</v>
      </c>
      <c r="BF217" s="45">
        <f>('[2]Renewable Diesel'!R226*'[2]RD Feedstock Breakdown'!BF$3*'[2]Feedstock Conversion Rates'!B$4)/12</f>
        <v>62.5</v>
      </c>
      <c r="BG217" s="47">
        <f t="shared" si="129"/>
        <v>62.5</v>
      </c>
      <c r="BH217" s="45">
        <f>('[2]Renewable Diesel'!T226*'[2]RD Feedstock Breakdown'!BH$3*'[2]Feedstock Conversion Rates'!B$7)/12</f>
        <v>27.599999999999998</v>
      </c>
      <c r="BI217" s="47">
        <f t="shared" si="112"/>
        <v>27.599999999999998</v>
      </c>
      <c r="BJ217" s="45">
        <f>('[2]Renewable Diesel'!W226*'[2]RD Feedstock Breakdown'!BJ$3*'[2]Feedstock Conversion Rates'!B$4)/12</f>
        <v>7.5</v>
      </c>
      <c r="BK217" s="45">
        <f>('[2]Renewable Diesel'!W226*'[2]RD Feedstock Breakdown'!BK$3*'[2]Feedstock Conversion Rates'!B$3)/12</f>
        <v>1.335</v>
      </c>
      <c r="BL217" s="45">
        <f>('[2]Renewable Diesel'!W226*'[2]RD Feedstock Breakdown'!BL$3*'[2]Feedstock Conversion Rates'!B$6)/12</f>
        <v>3.1266666666666669</v>
      </c>
      <c r="BM217" s="45">
        <f>('[2]Renewable Diesel'!W226*'[2]RD Feedstock Breakdown'!BM$3*'[2]Feedstock Conversion Rates'!B$7)/12</f>
        <v>1.5333333333333332</v>
      </c>
      <c r="BN217" s="47">
        <f>SUM(BJ217:BM217)</f>
        <v>13.495000000000001</v>
      </c>
      <c r="BO217" s="45">
        <f>('[2]Renewable Diesel'!P226*'[2]Feedstock Conversion Rates'!B$4)/12</f>
        <v>31.25</v>
      </c>
      <c r="BP217" s="47">
        <f t="shared" si="157"/>
        <v>31.25</v>
      </c>
      <c r="BQ217" s="45">
        <f>('[2]Renewable Diesel'!$S226*'[2]RD Feedstock Breakdown'!BQ$3*'[2]Feedstock Conversion Rates'!B$4)/12+10</f>
        <v>38.125</v>
      </c>
      <c r="BR217" s="45">
        <f>('[2]Renewable Diesel'!$S226*'[2]RD Feedstock Breakdown'!BR$3*'[2]Feedstock Conversion Rates'!B$7)/12-10</f>
        <v>1.5</v>
      </c>
      <c r="BS217" s="47">
        <f t="shared" si="90"/>
        <v>39.625</v>
      </c>
      <c r="BT217" s="47"/>
      <c r="BU217" s="45">
        <f>('[2]Renewable Diesel'!Y226*'[2]Feedstock Conversion Rates'!B$7)/12</f>
        <v>2.6833333333333331</v>
      </c>
      <c r="BV217" s="47">
        <f t="shared" si="153"/>
        <v>2.6833333333333331</v>
      </c>
      <c r="BW217" s="45">
        <f>('[2]Renewable Diesel'!$Z226*'[2]RD Feedstock Breakdown'!BW$3*'[2]Feedstock Conversion Rates'!$B$4)/12</f>
        <v>53.90625</v>
      </c>
      <c r="BX217" s="45">
        <f>('[2]Renewable Diesel'!$Z226*'[2]RD Feedstock Breakdown'!BX$3*'[2]Feedstock Conversion Rates'!$B$5)/12</f>
        <v>5.4265624999999993</v>
      </c>
      <c r="BY217" s="45">
        <f>('[2]Renewable Diesel'!$Z226*'[2]RD Feedstock Breakdown'!BY$3*'[2]Feedstock Conversion Rates'!$B$7)/12</f>
        <v>46.287499999999994</v>
      </c>
      <c r="BZ217" s="45">
        <f>('[2]Renewable Diesel'!$Z226*'[2]RD Feedstock Breakdown'!BZ$3*'[2]Feedstock Conversion Rates'!$B$3)/12</f>
        <v>11.514374999999999</v>
      </c>
      <c r="CA217" s="47">
        <f t="shared" si="91"/>
        <v>117.1346875</v>
      </c>
      <c r="CB217" s="45">
        <f>('[2]Renewable Diesel'!AA226*'[2]Feedstock Conversion Rates'!B$4)/12</f>
        <v>191.25</v>
      </c>
      <c r="CC217" s="47">
        <f t="shared" si="79"/>
        <v>191.25</v>
      </c>
      <c r="CD217" s="45">
        <f>('[2]Renewable Diesel'!$AB226*'[2]RD Feedstock Breakdown'!CD$3*'[2]Feedstock Conversion Rates'!$B$6)/12-15</f>
        <v>17.830000000000005</v>
      </c>
      <c r="CE217" s="45">
        <f>('[2]Renewable Diesel'!$AB226*'[2]RD Feedstock Breakdown'!CE$3*'[2]Feedstock Conversion Rates'!$B$4)/12+15</f>
        <v>26.25</v>
      </c>
      <c r="CF217" s="47">
        <f t="shared" si="161"/>
        <v>44.080000000000005</v>
      </c>
      <c r="CG217" s="45">
        <f>('[2]Renewable Diesel'!AD226*'[2]Feedstock Conversion Rates'!B$4)/12</f>
        <v>112.5</v>
      </c>
      <c r="CH217" s="47">
        <f t="shared" si="149"/>
        <v>112.5</v>
      </c>
      <c r="CI217" s="45">
        <f>('[2]Renewable Diesel'!$AE226*'[2]RD Feedstock Breakdown'!CI$3*'[2]Feedstock Conversion Rates'!$B$5)/12</f>
        <v>0.34604166666666664</v>
      </c>
      <c r="CJ217" s="45">
        <f>('[2]Renewable Diesel'!$AE226*'[2]RD Feedstock Breakdown'!CJ$3*'[2]Feedstock Conversion Rates'!$B$4)/12</f>
        <v>0.34375</v>
      </c>
      <c r="CK217" s="47">
        <f t="shared" si="158"/>
        <v>0.68979166666666658</v>
      </c>
      <c r="CL217" s="45">
        <f>(((CL$3*'[2]Renewable Diesel'!$AF226)*'[2]Feedstock Conversion Rates'!$B$3)/12)</f>
        <v>91.78125</v>
      </c>
      <c r="CM217" s="45">
        <f>(((CM$3*'[2]Renewable Diesel'!$AF226)*'[2]Feedstock Conversion Rates'!$B$6)/12)</f>
        <v>53.739583333333336</v>
      </c>
      <c r="CN217" s="45">
        <f>(((CN$3*'[2]Renewable Diesel'!$AF226)*'[2]Feedstock Conversion Rates'!$B$4)/12)</f>
        <v>42.96875</v>
      </c>
      <c r="CO217" s="47">
        <f t="shared" si="152"/>
        <v>188.48958333333334</v>
      </c>
      <c r="CP217" s="45">
        <f>('[2]Renewable Diesel'!$AG226*'[2]RD Feedstock Breakdown'!CP$3*'[2]Feedstock Conversion Rates'!$B$3)/12</f>
        <v>6.0075000000000003</v>
      </c>
      <c r="CQ217" s="45">
        <f>('[2]Renewable Diesel'!$AG226*'[2]RD Feedstock Breakdown'!CQ$3*'[2]Feedstock Conversion Rates'!$B$6)/12</f>
        <v>3.5175000000000001</v>
      </c>
      <c r="CR217" s="45">
        <f>('[2]Renewable Diesel'!$AG226*'[2]RD Feedstock Breakdown'!CR$3*'[2]Feedstock Conversion Rates'!$B$4)/12</f>
        <v>2.8125</v>
      </c>
      <c r="CS217" s="47">
        <f t="shared" si="99"/>
        <v>12.3375</v>
      </c>
      <c r="CT217" s="45">
        <f>('[2]Renewable Diesel'!AI226*'[2]Feedstock Conversion Rates'!$B$4*'[2]RD Feedstock Breakdown'!$CT$3)/12</f>
        <v>29.375</v>
      </c>
      <c r="CU217" s="47">
        <f t="shared" si="154"/>
        <v>29.375</v>
      </c>
      <c r="CV217" s="45">
        <f>('[2]Renewable Diesel'!AN226*'[2]Feedstock Conversion Rates'!$B$3*'[2]RD Feedstock Breakdown'!$CV$3)/12</f>
        <v>0.50062499999999999</v>
      </c>
      <c r="CW217" s="47">
        <f t="shared" si="124"/>
        <v>0.50062499999999999</v>
      </c>
      <c r="CX217" s="45">
        <f>('[2]Renewable Diesel'!AO226*'[2]RD Feedstock Breakdown'!$CX$3*'[2]Feedstock Conversion Rates'!$B$3)/12</f>
        <v>6.3412499999999996</v>
      </c>
      <c r="CY217" s="45">
        <f>('[2]Renewable Diesel'!AO226*'[2]RD Feedstock Breakdown'!$CY$3*'[2]Feedstock Conversion Rates'!$B$6)/12</f>
        <v>7.4258333333333342</v>
      </c>
      <c r="CZ217" s="47">
        <f t="shared" si="100"/>
        <v>13.767083333333334</v>
      </c>
      <c r="DA217" s="45">
        <f>('[2]Renewable Diesel'!$AP226*'[2]RD Feedstock Breakdown'!DA$3*'[2]Feedstock Conversion Rates'!$B$3)/12</f>
        <v>6.3412499999999996</v>
      </c>
      <c r="DB217" s="45">
        <f>('[2]Renewable Diesel'!$AP226*'[2]RD Feedstock Breakdown'!DB$3*'[2]Feedstock Conversion Rates'!$B$8)/12</f>
        <v>7.421875</v>
      </c>
      <c r="DC217" s="47">
        <f t="shared" si="127"/>
        <v>13.763124999999999</v>
      </c>
      <c r="DD217" s="45">
        <f>('[2]Renewable Diesel'!AQ226*$DD$3*'[2]Feedstock Conversion Rates'!$B$14)/12</f>
        <v>3.1041666666666665</v>
      </c>
      <c r="DE217" s="47">
        <f t="shared" si="128"/>
        <v>3.1041666666666665</v>
      </c>
      <c r="DF217" s="45">
        <f>('[2]Renewable Diesel'!AR226*'[2]Feedstock Conversion Rates'!$B$4*$DF$3)/12</f>
        <v>75</v>
      </c>
      <c r="DG217" s="47">
        <f t="shared" si="101"/>
        <v>75</v>
      </c>
      <c r="DH217" s="45">
        <f>('[2]Renewable Diesel'!AS226*'[2]Feedstock Conversion Rates'!$B$4*$DH$3)/12</f>
        <v>75</v>
      </c>
      <c r="DI217" s="47">
        <f t="shared" si="110"/>
        <v>75</v>
      </c>
      <c r="DJ217" s="45">
        <f>('[2]Renewable Diesel'!AT226*'[2]Feedstock Conversion Rates'!$B$4*0.25)/12</f>
        <v>8.59375</v>
      </c>
      <c r="DK217" s="45">
        <f>('[2]Renewable Diesel'!$AT226*'[2]RD Feedstock Breakdown'!DK$3*'[2]Feedstock Conversion Rates'!$B$3)/12*0.5</f>
        <v>9.1781249999999996</v>
      </c>
      <c r="DL217" s="45">
        <f>('[2]Renewable Diesel'!$AT226*'[2]RD Feedstock Breakdown'!$DL$3*'[2]Feedstock Conversion Rates'!$B$6)/12</f>
        <v>10.747916666666669</v>
      </c>
      <c r="DM217" s="45">
        <f>('[2]Renewable Diesel'!$AT226*'[2]RD Feedstock Breakdown'!$DM$3*'[2]Feedstock Conversion Rates'!$B$8)/12</f>
        <v>10.7421875</v>
      </c>
      <c r="DN217" s="47">
        <f t="shared" si="77"/>
        <v>39.26197916666667</v>
      </c>
      <c r="DP217" s="45">
        <f t="shared" si="130"/>
        <v>109.72025000000001</v>
      </c>
      <c r="DQ217" s="45">
        <f t="shared" si="131"/>
        <v>562.27964249999991</v>
      </c>
      <c r="DR217" s="45">
        <f t="shared" si="136"/>
        <v>2003.534375</v>
      </c>
      <c r="DS217" s="45">
        <f t="shared" si="155"/>
        <v>90.592395833333327</v>
      </c>
      <c r="DT217" s="45">
        <f t="shared" si="132"/>
        <v>237.03923333333344</v>
      </c>
      <c r="DU217" s="45">
        <f t="shared" si="133"/>
        <v>202.72693333333333</v>
      </c>
      <c r="DV217" s="45">
        <f t="shared" si="137"/>
        <v>7.25</v>
      </c>
      <c r="DW217" s="45">
        <f t="shared" si="134"/>
        <v>3</v>
      </c>
      <c r="DX217" s="47">
        <f t="shared" si="138"/>
        <v>3216.1428299999998</v>
      </c>
      <c r="DY217" s="50">
        <f t="shared" si="126"/>
        <v>-124.99999999999969</v>
      </c>
      <c r="EA217" s="51">
        <f t="shared" si="117"/>
        <v>3.4115478011901609E-2</v>
      </c>
      <c r="EB217" s="51">
        <f t="shared" si="117"/>
        <v>0.17483043267080273</v>
      </c>
      <c r="EC217" s="51">
        <f t="shared" si="117"/>
        <v>0.62296187728702335</v>
      </c>
      <c r="ED217" s="51">
        <f t="shared" si="114"/>
        <v>2.8168026304146863E-2</v>
      </c>
      <c r="EE217" s="51">
        <f t="shared" si="114"/>
        <v>7.3702955951534491E-2</v>
      </c>
      <c r="EF217" s="51">
        <f t="shared" si="114"/>
        <v>6.3034182264017594E-2</v>
      </c>
      <c r="EG217" s="51">
        <f t="shared" si="114"/>
        <v>2.2542531172348463E-3</v>
      </c>
      <c r="EH217" s="52">
        <f t="shared" si="139"/>
        <v>9.3279439333855707E-4</v>
      </c>
      <c r="EI217" s="51">
        <f t="shared" si="140"/>
        <v>0.9990672056066614</v>
      </c>
      <c r="EK217" s="53">
        <f>(EA217*'[2]Renewable Diesel'!BF226*'[2]Feedstock Conversion Rates'!B$2)+FB217</f>
        <v>131.4171746397198</v>
      </c>
      <c r="EL217" s="53">
        <f>(EB217*'[2]Renewable Diesel'!BF226*'[2]Feedstock Conversion Rates'!B$3)+FC217</f>
        <v>634.64562114908153</v>
      </c>
      <c r="EM217" s="53">
        <f>(EC217*'[2]Renewable Diesel'!BF226*'[2]Feedstock Conversion Rates'!B$4)+FD217</f>
        <v>2117.4076278969105</v>
      </c>
      <c r="EN217" s="53">
        <f>(ED217*'[2]Renewable Diesel'!BF226*'[2]Feedstock Conversion Rates'!B$5)+FE217</f>
        <v>96.379597596573646</v>
      </c>
      <c r="EO217" s="53">
        <f>(EE217*'[2]Renewable Diesel'!BF226*'[2]Feedstock Conversion Rates'!B$6)+FF217</f>
        <v>313.30655694426287</v>
      </c>
      <c r="EP217" s="53">
        <f>(EF217*'[2]Renewable Diesel'!BF226*'[2]Feedstock Conversion Rates'!B$7)+FG217</f>
        <v>262.81230179777452</v>
      </c>
      <c r="EQ217" s="53">
        <f>(EG217*'[2]Renewable Diesel'!BF226*'[2]Feedstock Conversion Rates'!B$8)+FH217</f>
        <v>9.577577937895752</v>
      </c>
      <c r="ER217" s="53">
        <f>(EH217*'[2]Renewable Diesel'!BF226*'[2]Feedstock Conversion Rates'!B$9)+FI217</f>
        <v>3.9102938891270931</v>
      </c>
      <c r="ES217" s="53">
        <f t="shared" si="141"/>
        <v>3569.4567518513459</v>
      </c>
      <c r="ET217" s="36">
        <f>ES217/'[2]Renewable Diesel'!BF226</f>
        <v>7.8762661818100916</v>
      </c>
    </row>
    <row r="218" spans="1:150" x14ac:dyDescent="0.25">
      <c r="A218" s="39">
        <v>47058</v>
      </c>
      <c r="B218" s="45">
        <f t="shared" ref="B218:B228" si="162">45+85.8+59+120-10-5+30-17-1.5-20-30-70-16-51-50-30-7.5-3+65-55-20-1-7.5-2+25+29+5+26+12.5+5+5-4+5+8+45-15.5-153+3-2+20</f>
        <v>22.300000000000011</v>
      </c>
      <c r="C218" s="45">
        <f t="shared" ref="C218:C228" si="163">50-1-47+16+7+41+1-10-20</f>
        <v>37</v>
      </c>
      <c r="D218" s="45">
        <f t="shared" ref="D218:D228" si="164">1+1</f>
        <v>2</v>
      </c>
      <c r="E218" s="45">
        <f>('[2]Renewable Diesel'!B227*E$3*'[2]Feedstock Conversion Rates'!$B$2)/12-57.5+12.5+43-59+20+16+50+55-5-26-5-8+15.5-41-1</f>
        <v>99.43</v>
      </c>
      <c r="F218" s="45">
        <f>('[2]Renewable Diesel'!B227*'[2]RD Feedstock Breakdown'!F$3*'[2]Feedstock Conversion Rates'!B$8)/12-24+17.5-2.25+15-45+5+17+10+2-29+4-16</f>
        <v>8.15625</v>
      </c>
      <c r="G218" s="45">
        <f>('[2]Renewable Diesel'!B227*'[2]RD Feedstock Breakdown'!G$3*'[2]Feedstock Conversion Rates'!B$7)/12-50-1+71-144-30+30+70+7.5-65+7.5-25-12.5-5-10+2</f>
        <v>21.657000000000011</v>
      </c>
      <c r="H218" s="45">
        <f>('[2]Renewable Diesel'!B227*'[2]RD Feedstock Breakdown'!H$3*'[2]Feedstock Conversion Rates'!B$3)/12-105+29+50+2.5-120+10+1.5+51+30+20-5-45+200+10</f>
        <v>305.40022499999998</v>
      </c>
      <c r="I218" s="47">
        <f t="shared" si="160"/>
        <v>495.94347500000003</v>
      </c>
      <c r="J218" s="45">
        <f t="shared" ref="J218:J228" si="165">39+60+34+0.5+107+17.5-1-35+2.5-28-15-3-10-7-7.5-2.5-7-40-7-1-50+2-4+24+95+15+4+5-30-25+15+20-26-9-25-5</f>
        <v>102.5</v>
      </c>
      <c r="K218" s="45"/>
      <c r="L218" s="45">
        <v>1</v>
      </c>
      <c r="M218" s="45">
        <f>('[2]Renewable Diesel'!C227*'[2]RD Feedstock Breakdown'!M$3*'[2]Feedstock Conversion Rates'!B$2)/12-25+4.5-34-0.5-2.5+3+7.5+2.5-4+26+25</f>
        <v>10.29025</v>
      </c>
      <c r="N218" s="45">
        <f>('[2]Renewable Diesel'!C227*'[2]RD Feedstock Breakdown'!N$3*'[2]Feedstock Conversion Rates'!B$8)/12-2.5+30-39+1+7+2+7+2-24-15</f>
        <v>-27.828125</v>
      </c>
      <c r="O218" s="45">
        <f>('[2]Renewable Diesel'!C227*'[2]RD Feedstock Breakdown'!O$3*'[2]Feedstock Conversion Rates'!B$7)/12-30-60-19+29+15-15+30-20+9</f>
        <v>-49.000900000000001</v>
      </c>
      <c r="P218" s="45">
        <f>('[2]Renewable Diesel'!C227*'[2]RD Feedstock Breakdown'!P$3*'[2]Feedstock Conversion Rates'!B$3)/12-27+50-107+35+15+40+50-95-5+25+5</f>
        <v>-3.5529574999999909</v>
      </c>
      <c r="Q218" s="47">
        <f t="shared" si="85"/>
        <v>33.408267500000008</v>
      </c>
      <c r="R218" s="45">
        <f>('[2]Renewable Diesel'!D227*'[2]RD Feedstock Breakdown'!R$3*'[2]Feedstock Conversion Rates'!B$7)/12</f>
        <v>2.2999999999999998</v>
      </c>
      <c r="S218" s="47">
        <f t="shared" si="116"/>
        <v>2.2999999999999998</v>
      </c>
      <c r="T218" s="45">
        <f t="shared" ref="T218:T228" si="166">5.825+20-25+35-30</f>
        <v>5.8250000000000028</v>
      </c>
      <c r="U218" s="45">
        <v>30</v>
      </c>
      <c r="V218" s="45">
        <f>('[2]Renewable Diesel'!E227*'[2]RD Feedstock Breakdown'!V$3*'[2]Feedstock Conversion Rates'!B$6)/12-20+25-35</f>
        <v>14.250150000000012</v>
      </c>
      <c r="W218" s="45">
        <f>('[2]Renewable Diesel'!E227*'[2]RD Feedstock Breakdown'!W$3*'[2]Feedstock Conversion Rates'!B$8)/12-6</f>
        <v>16.1796875</v>
      </c>
      <c r="X218" s="47">
        <f t="shared" si="147"/>
        <v>66.254837500000008</v>
      </c>
      <c r="Y218" s="45">
        <f t="shared" ref="Y218:Y228" si="167">50+32-80+171+60-15-75-50-20-30-22.5+40+70-75+50+1-2.5+30-3-5</f>
        <v>126</v>
      </c>
      <c r="Z218" s="45">
        <f>('[2]Renewable Diesel'!F227*'[2]RD Feedstock Breakdown'!Z$3*'[2]Feedstock Conversion Rates'!B$6)/12-50-32-60+15+30+22.5-70+75-30+3+5</f>
        <v>67.960000000000008</v>
      </c>
      <c r="AA218" s="45">
        <f>('[2]Renewable Diesel'!F227*'[2]RD Feedstock Breakdown'!AA$3*'[2]Feedstock Conversion Rates'!B$7)/12+80-171+75+30-50-1+2.5</f>
        <v>69.766666666666652</v>
      </c>
      <c r="AB218" s="47">
        <f t="shared" si="102"/>
        <v>263.72666666666669</v>
      </c>
      <c r="AC218" s="45">
        <f>('[2]Renewable Diesel'!G227*'[2]RD Feedstock Breakdown'!AC$3*'[2]Feedstock Conversion Rates'!B$5)/12+2</f>
        <v>13.796875</v>
      </c>
      <c r="AD218" s="45">
        <f>('[2]Renewable Diesel'!G227*'[2]RD Feedstock Breakdown'!AD$3*'[2]Feedstock Conversion Rates'!B$4)/12</f>
        <v>5.859375</v>
      </c>
      <c r="AE218" s="45">
        <f>('[2]Renewable Diesel'!G227*'[2]RD Feedstock Breakdown'!AE$3*'[2]Feedstock Conversion Rates'!B$6)/12-2</f>
        <v>5.3281250000000009</v>
      </c>
      <c r="AF218" s="47">
        <f t="shared" si="156"/>
        <v>24.984375</v>
      </c>
      <c r="AG218" s="45">
        <f>130+20-51+120-2.5-100+45-20-125</f>
        <v>16.5</v>
      </c>
      <c r="AH218" s="45">
        <v>125</v>
      </c>
      <c r="AI218" s="45">
        <f>('[2]Renewable Diesel'!H227*'[2]RD Feedstock Breakdown'!AI$3*'[2]Feedstock Conversion Rates'!B$6)/12-130-20+51-120+2.5+100-45+20</f>
        <v>7.0166666666666799</v>
      </c>
      <c r="AJ218" s="47">
        <f t="shared" si="113"/>
        <v>23.51666666666668</v>
      </c>
      <c r="AK218" s="45">
        <f>('[2]Renewable Diesel'!J227*'[2]RD Feedstock Breakdown'!AK$3*'[2]Feedstock Conversion Rates'!B$4)/12</f>
        <v>95.8125</v>
      </c>
      <c r="AL218" s="47">
        <f t="shared" si="123"/>
        <v>95.8125</v>
      </c>
      <c r="AM218" s="45">
        <f>('[2]Renewable Diesel'!K227*'[2]RD Feedstock Breakdown'!AM$3*'[2]Feedstock Conversion Rates'!B$4)/12+5+15-10+9-27</f>
        <v>50.59375</v>
      </c>
      <c r="AN218" s="45">
        <f>('[2]Renewable Diesel'!K227*'[2]RD Feedstock Breakdown'!AN$3*'[2]Feedstock Conversion Rates'!B$6)/12-5-15+10-9+27</f>
        <v>32.427083333333329</v>
      </c>
      <c r="AO218" s="47">
        <f t="shared" si="135"/>
        <v>83.020833333333329</v>
      </c>
      <c r="AP218" s="45">
        <f>('[2]Renewable Diesel'!L227*'[2]RD Feedstock Breakdown'!AP$3*'[2]Feedstock Conversion Rates'!B$4)/12+15-10+5+9</f>
        <v>77.59375</v>
      </c>
      <c r="AQ218" s="45">
        <f>('[2]Renewable Diesel'!L227*'[2]RD Feedstock Breakdown'!AQ$3*'[2]Feedstock Conversion Rates'!B$6)/12-15+10-5-9</f>
        <v>5.4270833333333321</v>
      </c>
      <c r="AR218" s="47">
        <f t="shared" si="125"/>
        <v>83.020833333333329</v>
      </c>
      <c r="AS218" s="45">
        <f>('[2]Renewable Diesel'!M227*'[2]RD Feedstock Breakdown'!AS$3*'[2]Feedstock Conversion Rates'!B$4)/12</f>
        <v>456.25</v>
      </c>
      <c r="AT218" s="45">
        <f>('[2]Renewable Diesel'!M227*'[2]RD Feedstock Breakdown'!AT$3*'[2]Feedstock Conversion Rates'!B$5)/12</f>
        <v>0</v>
      </c>
      <c r="AU218" s="47">
        <f t="shared" si="159"/>
        <v>456.25</v>
      </c>
      <c r="AV218" s="45">
        <f>'[2]Renewable Diesel'!N227*'[2]RD Feedstock Breakdown'!$AV$3*'[2]Feedstock Conversion Rates'!$B$4/12-15-10+25+25-22-10-30</f>
        <v>41.749999999999986</v>
      </c>
      <c r="AW218" s="45">
        <f>'[2]Renewable Diesel'!N227*'[2]RD Feedstock Breakdown'!$AW$3*'[2]Feedstock Conversion Rates'!$B$7/12+15+10-25-25+22+10+30</f>
        <v>78.400000000000006</v>
      </c>
      <c r="AX218" s="47">
        <f t="shared" si="109"/>
        <v>120.14999999999999</v>
      </c>
      <c r="AY218" s="45">
        <f>('[2]Renewable Diesel'!O227*'[2]RD Feedstock Breakdown'!AY$3*'[2]Feedstock Conversion Rates'!B$4)/12+32+2-135</f>
        <v>109.9375</v>
      </c>
      <c r="AZ218" s="45">
        <f>('[2]Renewable Diesel'!O227*'[2]RD Feedstock Breakdown'!AZ$3*'[2]Feedstock Conversion Rates'!B$3)/12-32-2+135</f>
        <v>126.03125</v>
      </c>
      <c r="BA218" s="47">
        <f t="shared" si="87"/>
        <v>235.96875</v>
      </c>
      <c r="BB218" s="45">
        <f>('[2]Renewable Diesel'!Q227*'[2]RD Feedstock Breakdown'!BB$3*'[2]Feedstock Conversion Rates'!B$4)/12</f>
        <v>11.156249999999998</v>
      </c>
      <c r="BC218" s="45">
        <f>('[2]Renewable Diesel'!Q227*'[2]RD Feedstock Breakdown'!BC$3*'[2]Feedstock Conversion Rates'!B$3)/12</f>
        <v>1.4017500000000001</v>
      </c>
      <c r="BD218" s="45">
        <f>('[2]Renewable Diesel'!Q227*'[2]RD Feedstock Breakdown'!BD$3*'[2]Feedstock Conversion Rates'!B$6)/12</f>
        <v>0.8207500000000002</v>
      </c>
      <c r="BE218" s="47">
        <f t="shared" si="151"/>
        <v>13.378749999999998</v>
      </c>
      <c r="BF218" s="45">
        <f>('[2]Renewable Diesel'!R227*'[2]RD Feedstock Breakdown'!BF$3*'[2]Feedstock Conversion Rates'!B$4)/12</f>
        <v>62.5</v>
      </c>
      <c r="BG218" s="47">
        <f t="shared" si="129"/>
        <v>62.5</v>
      </c>
      <c r="BH218" s="45">
        <f>('[2]Renewable Diesel'!T227*'[2]RD Feedstock Breakdown'!BH$3*'[2]Feedstock Conversion Rates'!B$7)/12</f>
        <v>27.599999999999998</v>
      </c>
      <c r="BI218" s="47">
        <f t="shared" si="112"/>
        <v>27.599999999999998</v>
      </c>
      <c r="BJ218" s="45">
        <f>('[2]Renewable Diesel'!W227*'[2]RD Feedstock Breakdown'!BJ$3*'[2]Feedstock Conversion Rates'!B$4)/12</f>
        <v>7.5</v>
      </c>
      <c r="BK218" s="45">
        <f>('[2]Renewable Diesel'!W227*'[2]RD Feedstock Breakdown'!BK$3*'[2]Feedstock Conversion Rates'!B$3)/12</f>
        <v>1.335</v>
      </c>
      <c r="BL218" s="45">
        <f>('[2]Renewable Diesel'!W227*'[2]RD Feedstock Breakdown'!BL$3*'[2]Feedstock Conversion Rates'!B$6)/12</f>
        <v>3.1266666666666669</v>
      </c>
      <c r="BM218" s="45">
        <f>('[2]Renewable Diesel'!W227*'[2]RD Feedstock Breakdown'!BM$3*'[2]Feedstock Conversion Rates'!B$7)/12</f>
        <v>1.5333333333333332</v>
      </c>
      <c r="BN218" s="47">
        <f t="shared" ref="BN218:BN281" si="168">SUM(BJ218:BM218)</f>
        <v>13.495000000000001</v>
      </c>
      <c r="BO218" s="45">
        <f>('[2]Renewable Diesel'!P227*'[2]Feedstock Conversion Rates'!B$4)/12</f>
        <v>31.25</v>
      </c>
      <c r="BP218" s="47">
        <f t="shared" si="157"/>
        <v>31.25</v>
      </c>
      <c r="BQ218" s="45">
        <f>('[2]Renewable Diesel'!$S227*'[2]RD Feedstock Breakdown'!BQ$3*'[2]Feedstock Conversion Rates'!B$4)/12+10</f>
        <v>38.125</v>
      </c>
      <c r="BR218" s="45">
        <f>('[2]Renewable Diesel'!$S227*'[2]RD Feedstock Breakdown'!BR$3*'[2]Feedstock Conversion Rates'!B$7)/12-10</f>
        <v>1.5</v>
      </c>
      <c r="BS218" s="47">
        <f t="shared" si="90"/>
        <v>39.625</v>
      </c>
      <c r="BT218" s="47"/>
      <c r="BU218" s="45">
        <f>('[2]Renewable Diesel'!Y227*'[2]Feedstock Conversion Rates'!B$7)/12</f>
        <v>2.6833333333333331</v>
      </c>
      <c r="BV218" s="47">
        <f t="shared" si="153"/>
        <v>2.6833333333333331</v>
      </c>
      <c r="BW218" s="45">
        <f>('[2]Renewable Diesel'!$Z227*'[2]RD Feedstock Breakdown'!BW$3*'[2]Feedstock Conversion Rates'!$B$4)/12</f>
        <v>53.90625</v>
      </c>
      <c r="BX218" s="45">
        <f>('[2]Renewable Diesel'!$Z227*'[2]RD Feedstock Breakdown'!BX$3*'[2]Feedstock Conversion Rates'!$B$5)/12</f>
        <v>5.4265624999999993</v>
      </c>
      <c r="BY218" s="45">
        <f>('[2]Renewable Diesel'!$Z227*'[2]RD Feedstock Breakdown'!BY$3*'[2]Feedstock Conversion Rates'!$B$7)/12</f>
        <v>46.287499999999994</v>
      </c>
      <c r="BZ218" s="45">
        <f>('[2]Renewable Diesel'!$Z227*'[2]RD Feedstock Breakdown'!BZ$3*'[2]Feedstock Conversion Rates'!$B$3)/12</f>
        <v>11.514374999999999</v>
      </c>
      <c r="CA218" s="47">
        <f t="shared" si="91"/>
        <v>117.1346875</v>
      </c>
      <c r="CB218" s="45">
        <f>('[2]Renewable Diesel'!AA227*'[2]Feedstock Conversion Rates'!B$4)/12</f>
        <v>191.25</v>
      </c>
      <c r="CC218" s="47">
        <f t="shared" si="79"/>
        <v>191.25</v>
      </c>
      <c r="CD218" s="45">
        <f>('[2]Renewable Diesel'!$AB227*'[2]RD Feedstock Breakdown'!CD$3*'[2]Feedstock Conversion Rates'!$B$6)/12-15</f>
        <v>17.830000000000005</v>
      </c>
      <c r="CE218" s="45">
        <f>('[2]Renewable Diesel'!$AB227*'[2]RD Feedstock Breakdown'!CE$3*'[2]Feedstock Conversion Rates'!$B$4)/12+15</f>
        <v>26.25</v>
      </c>
      <c r="CF218" s="47">
        <f t="shared" si="161"/>
        <v>44.080000000000005</v>
      </c>
      <c r="CG218" s="45">
        <f>('[2]Renewable Diesel'!AD227*'[2]Feedstock Conversion Rates'!B$4)/12</f>
        <v>112.5</v>
      </c>
      <c r="CH218" s="47">
        <f t="shared" si="149"/>
        <v>112.5</v>
      </c>
      <c r="CI218" s="45">
        <f>('[2]Renewable Diesel'!$AE227*'[2]RD Feedstock Breakdown'!CI$3*'[2]Feedstock Conversion Rates'!$B$5)/12</f>
        <v>0.34604166666666664</v>
      </c>
      <c r="CJ218" s="45">
        <f>('[2]Renewable Diesel'!$AE227*'[2]RD Feedstock Breakdown'!CJ$3*'[2]Feedstock Conversion Rates'!$B$4)/12</f>
        <v>0.34375</v>
      </c>
      <c r="CK218" s="47">
        <f t="shared" si="158"/>
        <v>0.68979166666666658</v>
      </c>
      <c r="CL218" s="45">
        <f>(((CL$3*'[2]Renewable Diesel'!$AF227)*'[2]Feedstock Conversion Rates'!$B$3)/12)</f>
        <v>91.78125</v>
      </c>
      <c r="CM218" s="45">
        <f>(((CM$3*'[2]Renewable Diesel'!$AF227)*'[2]Feedstock Conversion Rates'!$B$6)/12)</f>
        <v>53.739583333333336</v>
      </c>
      <c r="CN218" s="45">
        <f>(((CN$3*'[2]Renewable Diesel'!$AF227)*'[2]Feedstock Conversion Rates'!$B$4)/12)</f>
        <v>42.96875</v>
      </c>
      <c r="CO218" s="47">
        <f t="shared" si="152"/>
        <v>188.48958333333334</v>
      </c>
      <c r="CP218" s="45">
        <f>('[2]Renewable Diesel'!$AG227*'[2]RD Feedstock Breakdown'!CP$3*'[2]Feedstock Conversion Rates'!$B$3)/12</f>
        <v>6.0075000000000003</v>
      </c>
      <c r="CQ218" s="45">
        <f>('[2]Renewable Diesel'!$AG227*'[2]RD Feedstock Breakdown'!CQ$3*'[2]Feedstock Conversion Rates'!$B$6)/12</f>
        <v>3.5175000000000001</v>
      </c>
      <c r="CR218" s="45">
        <f>('[2]Renewable Diesel'!$AG227*'[2]RD Feedstock Breakdown'!CR$3*'[2]Feedstock Conversion Rates'!$B$4)/12</f>
        <v>2.8125</v>
      </c>
      <c r="CS218" s="47">
        <f t="shared" si="99"/>
        <v>12.3375</v>
      </c>
      <c r="CT218" s="45">
        <f>('[2]Renewable Diesel'!AI227*'[2]Feedstock Conversion Rates'!$B$4*'[2]RD Feedstock Breakdown'!$CT$3)/12</f>
        <v>29.375</v>
      </c>
      <c r="CU218" s="47">
        <f t="shared" si="154"/>
        <v>29.375</v>
      </c>
      <c r="CV218" s="45">
        <f>('[2]Renewable Diesel'!AN227*'[2]Feedstock Conversion Rates'!$B$3*'[2]RD Feedstock Breakdown'!$CV$3)/12</f>
        <v>0.50062499999999999</v>
      </c>
      <c r="CW218" s="47">
        <f t="shared" si="124"/>
        <v>0.50062499999999999</v>
      </c>
      <c r="CX218" s="45">
        <f>('[2]Renewable Diesel'!AO227*'[2]RD Feedstock Breakdown'!$CX$3*'[2]Feedstock Conversion Rates'!$B$3)/12</f>
        <v>6.3412499999999996</v>
      </c>
      <c r="CY218" s="45">
        <f>('[2]Renewable Diesel'!AO227*'[2]RD Feedstock Breakdown'!$CY$3*'[2]Feedstock Conversion Rates'!$B$6)/12</f>
        <v>7.4258333333333342</v>
      </c>
      <c r="CZ218" s="47">
        <f t="shared" si="100"/>
        <v>13.767083333333334</v>
      </c>
      <c r="DA218" s="45">
        <f>('[2]Renewable Diesel'!$AP227*'[2]RD Feedstock Breakdown'!DA$3*'[2]Feedstock Conversion Rates'!$B$3)/12</f>
        <v>6.3412499999999996</v>
      </c>
      <c r="DB218" s="45">
        <f>('[2]Renewable Diesel'!$AP227*'[2]RD Feedstock Breakdown'!DB$3*'[2]Feedstock Conversion Rates'!$B$8)/12</f>
        <v>7.421875</v>
      </c>
      <c r="DC218" s="47">
        <f t="shared" si="127"/>
        <v>13.763124999999999</v>
      </c>
      <c r="DD218" s="45">
        <f>('[2]Renewable Diesel'!AQ227*$DD$3*'[2]Feedstock Conversion Rates'!$B$14)/12</f>
        <v>3.1041666666666665</v>
      </c>
      <c r="DE218" s="47">
        <f t="shared" si="128"/>
        <v>3.1041666666666665</v>
      </c>
      <c r="DF218" s="45">
        <f>('[2]Renewable Diesel'!AR227*'[2]Feedstock Conversion Rates'!$B$4*$DF$3)/12</f>
        <v>75</v>
      </c>
      <c r="DG218" s="47">
        <f t="shared" si="101"/>
        <v>75</v>
      </c>
      <c r="DH218" s="45">
        <f>('[2]Renewable Diesel'!AS227*'[2]Feedstock Conversion Rates'!$B$4*$DH$3)/12</f>
        <v>75</v>
      </c>
      <c r="DI218" s="47">
        <f t="shared" si="110"/>
        <v>75</v>
      </c>
      <c r="DJ218" s="45">
        <f>('[2]Renewable Diesel'!AT227*'[2]Feedstock Conversion Rates'!$B$4*0.25)/12</f>
        <v>8.59375</v>
      </c>
      <c r="DK218" s="45">
        <f>('[2]Renewable Diesel'!$AT227*'[2]RD Feedstock Breakdown'!DK$3*'[2]Feedstock Conversion Rates'!$B$3)/12*0.5</f>
        <v>9.1781249999999996</v>
      </c>
      <c r="DL218" s="45">
        <f>('[2]Renewable Diesel'!$AT227*'[2]RD Feedstock Breakdown'!$DL$3*'[2]Feedstock Conversion Rates'!$B$6)/12</f>
        <v>10.747916666666669</v>
      </c>
      <c r="DM218" s="45">
        <f>('[2]Renewable Diesel'!$AT227*'[2]RD Feedstock Breakdown'!$DM$3*'[2]Feedstock Conversion Rates'!$B$8)/12</f>
        <v>10.7421875</v>
      </c>
      <c r="DN218" s="47">
        <f t="shared" ref="DN218:DN281" si="169">SUM(DJ218:DM218)</f>
        <v>39.26197916666667</v>
      </c>
      <c r="DP218" s="45">
        <f t="shared" si="130"/>
        <v>109.72025000000001</v>
      </c>
      <c r="DQ218" s="45">
        <f t="shared" si="131"/>
        <v>562.27964249999991</v>
      </c>
      <c r="DR218" s="45">
        <f t="shared" si="136"/>
        <v>2003.534375</v>
      </c>
      <c r="DS218" s="45">
        <f t="shared" si="155"/>
        <v>90.592395833333327</v>
      </c>
      <c r="DT218" s="45">
        <f t="shared" si="132"/>
        <v>237.03923333333344</v>
      </c>
      <c r="DU218" s="45">
        <f t="shared" si="133"/>
        <v>202.72693333333333</v>
      </c>
      <c r="DV218" s="45">
        <f t="shared" si="137"/>
        <v>7.25</v>
      </c>
      <c r="DW218" s="45">
        <f t="shared" si="134"/>
        <v>3</v>
      </c>
      <c r="DX218" s="47">
        <f t="shared" si="138"/>
        <v>3216.1428299999998</v>
      </c>
      <c r="DY218" s="50">
        <f t="shared" si="126"/>
        <v>-124.99999999999969</v>
      </c>
      <c r="EA218" s="51">
        <f t="shared" si="117"/>
        <v>3.4115478011901609E-2</v>
      </c>
      <c r="EB218" s="51">
        <f t="shared" si="117"/>
        <v>0.17483043267080273</v>
      </c>
      <c r="EC218" s="51">
        <f t="shared" si="117"/>
        <v>0.62296187728702335</v>
      </c>
      <c r="ED218" s="51">
        <f t="shared" si="114"/>
        <v>2.8168026304146863E-2</v>
      </c>
      <c r="EE218" s="51">
        <f t="shared" si="114"/>
        <v>7.3702955951534491E-2</v>
      </c>
      <c r="EF218" s="51">
        <f t="shared" si="114"/>
        <v>6.3034182264017594E-2</v>
      </c>
      <c r="EG218" s="51">
        <f t="shared" si="114"/>
        <v>2.2542531172348463E-3</v>
      </c>
      <c r="EH218" s="52">
        <f t="shared" si="139"/>
        <v>9.3279439333855707E-4</v>
      </c>
      <c r="EI218" s="51">
        <f t="shared" si="140"/>
        <v>0.9990672056066614</v>
      </c>
      <c r="EK218" s="53">
        <f>(EA218*'[2]Renewable Diesel'!BF227*'[2]Feedstock Conversion Rates'!B$2)+FB218</f>
        <v>139.97178175011086</v>
      </c>
      <c r="EL218" s="53">
        <f>(EB218*'[2]Renewable Diesel'!BF227*'[2]Feedstock Conversion Rates'!B$3)+FC218</f>
        <v>675.95790744761518</v>
      </c>
      <c r="EM218" s="53">
        <f>(EC218*'[2]Renewable Diesel'!BF227*'[2]Feedstock Conversion Rates'!B$4)+FD218</f>
        <v>2255.2403761572632</v>
      </c>
      <c r="EN218" s="53">
        <f>(ED218*'[2]Renewable Diesel'!BF227*'[2]Feedstock Conversion Rates'!B$5)+FE218</f>
        <v>102.65343199574269</v>
      </c>
      <c r="EO218" s="53">
        <f>(EE218*'[2]Renewable Diesel'!BF227*'[2]Feedstock Conversion Rates'!B$6)+FF218</f>
        <v>333.70126187621219</v>
      </c>
      <c r="EP218" s="53">
        <f>(EF218*'[2]Renewable Diesel'!BF227*'[2]Feedstock Conversion Rates'!B$7)+FG218</f>
        <v>279.9200808367097</v>
      </c>
      <c r="EQ218" s="53">
        <f>(EG218*'[2]Renewable Diesel'!BF227*'[2]Feedstock Conversion Rates'!B$8)+FH218</f>
        <v>10.201030820309832</v>
      </c>
      <c r="ER218" s="53">
        <f>(EH218*'[2]Renewable Diesel'!BF227*'[2]Feedstock Conversion Rates'!B$9)+FI218</f>
        <v>4.1648346521540827</v>
      </c>
      <c r="ES218" s="53">
        <f t="shared" si="141"/>
        <v>3801.8107055361179</v>
      </c>
      <c r="ET218" s="36">
        <f>ES218/'[2]Renewable Diesel'!BF227</f>
        <v>7.8762661818100925</v>
      </c>
    </row>
    <row r="219" spans="1:150" x14ac:dyDescent="0.25">
      <c r="A219" s="39">
        <v>47088</v>
      </c>
      <c r="B219" s="45">
        <f t="shared" si="162"/>
        <v>22.300000000000011</v>
      </c>
      <c r="C219" s="45">
        <f t="shared" si="163"/>
        <v>37</v>
      </c>
      <c r="D219" s="45">
        <f t="shared" si="164"/>
        <v>2</v>
      </c>
      <c r="E219" s="45">
        <f>('[2]Renewable Diesel'!B228*E$3*'[2]Feedstock Conversion Rates'!$B$2)/12-57.5+12.5+43-59+20+16+50+55-5-26-5-8+15.5-41-1</f>
        <v>99.43</v>
      </c>
      <c r="F219" s="45">
        <f>('[2]Renewable Diesel'!B228*'[2]RD Feedstock Breakdown'!F$3*'[2]Feedstock Conversion Rates'!B$8)/12-24+17.5-2.25+15-45+5+17+10+2-29+4-16</f>
        <v>8.15625</v>
      </c>
      <c r="G219" s="45">
        <f>('[2]Renewable Diesel'!B228*'[2]RD Feedstock Breakdown'!G$3*'[2]Feedstock Conversion Rates'!B$7)/12-50-1+71-144-30+30+70+7.5-65+7.5-25-12.5-5-10+2</f>
        <v>21.657000000000011</v>
      </c>
      <c r="H219" s="45">
        <f>('[2]Renewable Diesel'!B228*'[2]RD Feedstock Breakdown'!H$3*'[2]Feedstock Conversion Rates'!B$3)/12-105+29+50+2.5-120+10+1.5+51+30+20-5-45+200+10</f>
        <v>305.40022499999998</v>
      </c>
      <c r="I219" s="47">
        <f t="shared" si="160"/>
        <v>495.94347500000003</v>
      </c>
      <c r="J219" s="45">
        <f t="shared" si="165"/>
        <v>102.5</v>
      </c>
      <c r="K219" s="45"/>
      <c r="L219" s="45">
        <v>1</v>
      </c>
      <c r="M219" s="45">
        <f>('[2]Renewable Diesel'!C228*'[2]RD Feedstock Breakdown'!M$3*'[2]Feedstock Conversion Rates'!B$2)/12-25+4.5-34-0.5-2.5+3+7.5+2.5-4+26+25</f>
        <v>10.29025</v>
      </c>
      <c r="N219" s="45">
        <f>('[2]Renewable Diesel'!C228*'[2]RD Feedstock Breakdown'!N$3*'[2]Feedstock Conversion Rates'!B$8)/12-2.5+30-39+1+7+2+7+2-24-15</f>
        <v>-27.828125</v>
      </c>
      <c r="O219" s="45">
        <f>('[2]Renewable Diesel'!C228*'[2]RD Feedstock Breakdown'!O$3*'[2]Feedstock Conversion Rates'!B$7)/12-30-60-19+29+15-15+30-20+9</f>
        <v>-49.000900000000001</v>
      </c>
      <c r="P219" s="45">
        <f>('[2]Renewable Diesel'!C228*'[2]RD Feedstock Breakdown'!P$3*'[2]Feedstock Conversion Rates'!B$3)/12-27+50-107+35+15+40+50-95-5+25+5</f>
        <v>-3.5529574999999909</v>
      </c>
      <c r="Q219" s="47">
        <f t="shared" si="85"/>
        <v>33.408267500000008</v>
      </c>
      <c r="R219" s="45">
        <f>('[2]Renewable Diesel'!D228*'[2]RD Feedstock Breakdown'!R$3*'[2]Feedstock Conversion Rates'!B$7)/12</f>
        <v>2.2999999999999998</v>
      </c>
      <c r="S219" s="47">
        <f t="shared" si="116"/>
        <v>2.2999999999999998</v>
      </c>
      <c r="T219" s="45">
        <f t="shared" si="166"/>
        <v>5.8250000000000028</v>
      </c>
      <c r="U219" s="45">
        <v>30</v>
      </c>
      <c r="V219" s="45">
        <f>('[2]Renewable Diesel'!E228*'[2]RD Feedstock Breakdown'!V$3*'[2]Feedstock Conversion Rates'!B$6)/12-20+25-35</f>
        <v>14.250150000000012</v>
      </c>
      <c r="W219" s="45">
        <f>('[2]Renewable Diesel'!E228*'[2]RD Feedstock Breakdown'!W$3*'[2]Feedstock Conversion Rates'!B$8)/12-6</f>
        <v>16.1796875</v>
      </c>
      <c r="X219" s="47">
        <f t="shared" si="147"/>
        <v>66.254837500000008</v>
      </c>
      <c r="Y219" s="45">
        <f t="shared" si="167"/>
        <v>126</v>
      </c>
      <c r="Z219" s="45">
        <f>('[2]Renewable Diesel'!F228*'[2]RD Feedstock Breakdown'!Z$3*'[2]Feedstock Conversion Rates'!B$6)/12-50-32-60+15+30+22.5-70+75-30+3+5</f>
        <v>67.960000000000008</v>
      </c>
      <c r="AA219" s="45">
        <f>('[2]Renewable Diesel'!F228*'[2]RD Feedstock Breakdown'!AA$3*'[2]Feedstock Conversion Rates'!B$7)/12+80-171+75+30-50-1+2.5</f>
        <v>69.766666666666652</v>
      </c>
      <c r="AB219" s="47">
        <f t="shared" si="102"/>
        <v>263.72666666666669</v>
      </c>
      <c r="AC219" s="45">
        <f>('[2]Renewable Diesel'!G228*'[2]RD Feedstock Breakdown'!AC$3*'[2]Feedstock Conversion Rates'!B$5)/12+2</f>
        <v>13.796875</v>
      </c>
      <c r="AD219" s="45">
        <f>('[2]Renewable Diesel'!G228*'[2]RD Feedstock Breakdown'!AD$3*'[2]Feedstock Conversion Rates'!B$4)/12</f>
        <v>5.859375</v>
      </c>
      <c r="AE219" s="45">
        <f>('[2]Renewable Diesel'!G228*'[2]RD Feedstock Breakdown'!AE$3*'[2]Feedstock Conversion Rates'!B$6)/12-2</f>
        <v>5.3281250000000009</v>
      </c>
      <c r="AF219" s="47">
        <f t="shared" si="156"/>
        <v>24.984375</v>
      </c>
      <c r="AG219" s="45">
        <f t="shared" ref="AG219:AG228" si="170">130+20-51+120-2.5-100+45-20-125</f>
        <v>16.5</v>
      </c>
      <c r="AH219" s="45">
        <v>125</v>
      </c>
      <c r="AI219" s="45">
        <f>('[2]Renewable Diesel'!H228*'[2]RD Feedstock Breakdown'!AI$3*'[2]Feedstock Conversion Rates'!B$6)/12-130-20+51-120+2.5+100-45+20</f>
        <v>7.0166666666666799</v>
      </c>
      <c r="AJ219" s="47">
        <f t="shared" si="113"/>
        <v>23.51666666666668</v>
      </c>
      <c r="AK219" s="45">
        <f>('[2]Renewable Diesel'!J228*'[2]RD Feedstock Breakdown'!AK$3*'[2]Feedstock Conversion Rates'!B$4)/12</f>
        <v>95.8125</v>
      </c>
      <c r="AL219" s="47">
        <f t="shared" si="123"/>
        <v>95.8125</v>
      </c>
      <c r="AM219" s="45">
        <f>('[2]Renewable Diesel'!K228*'[2]RD Feedstock Breakdown'!AM$3*'[2]Feedstock Conversion Rates'!B$4)/12+5+15-10+9-27</f>
        <v>50.59375</v>
      </c>
      <c r="AN219" s="45">
        <f>('[2]Renewable Diesel'!K228*'[2]RD Feedstock Breakdown'!AN$3*'[2]Feedstock Conversion Rates'!B$6)/12-5-15+10-9+27</f>
        <v>32.427083333333329</v>
      </c>
      <c r="AO219" s="47">
        <f t="shared" si="135"/>
        <v>83.020833333333329</v>
      </c>
      <c r="AP219" s="45">
        <f>('[2]Renewable Diesel'!L228*'[2]RD Feedstock Breakdown'!AP$3*'[2]Feedstock Conversion Rates'!B$4)/12+15-10+5+9</f>
        <v>77.59375</v>
      </c>
      <c r="AQ219" s="45">
        <f>('[2]Renewable Diesel'!L228*'[2]RD Feedstock Breakdown'!AQ$3*'[2]Feedstock Conversion Rates'!B$6)/12-15+10-5-9</f>
        <v>5.4270833333333321</v>
      </c>
      <c r="AR219" s="47">
        <f t="shared" si="125"/>
        <v>83.020833333333329</v>
      </c>
      <c r="AS219" s="45">
        <f>('[2]Renewable Diesel'!M228*'[2]RD Feedstock Breakdown'!AS$3*'[2]Feedstock Conversion Rates'!B$4)/12</f>
        <v>456.25</v>
      </c>
      <c r="AT219" s="45">
        <f>('[2]Renewable Diesel'!M228*'[2]RD Feedstock Breakdown'!AT$3*'[2]Feedstock Conversion Rates'!B$5)/12</f>
        <v>0</v>
      </c>
      <c r="AU219" s="47">
        <f t="shared" si="159"/>
        <v>456.25</v>
      </c>
      <c r="AV219" s="45">
        <f>'[2]Renewable Diesel'!N228*'[2]RD Feedstock Breakdown'!$AV$3*'[2]Feedstock Conversion Rates'!$B$4/12-15-10+25+25-22-10-30</f>
        <v>41.749999999999986</v>
      </c>
      <c r="AW219" s="45">
        <f>'[2]Renewable Diesel'!N228*'[2]RD Feedstock Breakdown'!$AW$3*'[2]Feedstock Conversion Rates'!$B$7/12+15+10-25-25+22+10+30</f>
        <v>78.400000000000006</v>
      </c>
      <c r="AX219" s="47">
        <f t="shared" si="109"/>
        <v>120.14999999999999</v>
      </c>
      <c r="AY219" s="45">
        <f>('[2]Renewable Diesel'!O228*'[2]RD Feedstock Breakdown'!AY$3*'[2]Feedstock Conversion Rates'!B$4)/12+32+2-135</f>
        <v>109.9375</v>
      </c>
      <c r="AZ219" s="45">
        <f>('[2]Renewable Diesel'!O228*'[2]RD Feedstock Breakdown'!AZ$3*'[2]Feedstock Conversion Rates'!B$3)/12-32-2+135</f>
        <v>126.03125</v>
      </c>
      <c r="BA219" s="47">
        <f t="shared" si="87"/>
        <v>235.96875</v>
      </c>
      <c r="BB219" s="45">
        <f>('[2]Renewable Diesel'!Q228*'[2]RD Feedstock Breakdown'!BB$3*'[2]Feedstock Conversion Rates'!B$4)/12</f>
        <v>11.156249999999998</v>
      </c>
      <c r="BC219" s="45">
        <f>('[2]Renewable Diesel'!Q228*'[2]RD Feedstock Breakdown'!BC$3*'[2]Feedstock Conversion Rates'!B$3)/12</f>
        <v>1.4017500000000001</v>
      </c>
      <c r="BD219" s="45">
        <f>('[2]Renewable Diesel'!Q228*'[2]RD Feedstock Breakdown'!BD$3*'[2]Feedstock Conversion Rates'!B$6)/12</f>
        <v>0.8207500000000002</v>
      </c>
      <c r="BE219" s="47">
        <f t="shared" si="151"/>
        <v>13.378749999999998</v>
      </c>
      <c r="BF219" s="45">
        <f>('[2]Renewable Diesel'!R228*'[2]RD Feedstock Breakdown'!BF$3*'[2]Feedstock Conversion Rates'!B$4)/12</f>
        <v>62.5</v>
      </c>
      <c r="BG219" s="47">
        <f t="shared" si="129"/>
        <v>62.5</v>
      </c>
      <c r="BH219" s="45">
        <f>('[2]Renewable Diesel'!T228*'[2]RD Feedstock Breakdown'!BH$3*'[2]Feedstock Conversion Rates'!B$7)/12</f>
        <v>27.599999999999998</v>
      </c>
      <c r="BI219" s="47">
        <f t="shared" si="112"/>
        <v>27.599999999999998</v>
      </c>
      <c r="BJ219" s="45">
        <f>('[2]Renewable Diesel'!W228*'[2]RD Feedstock Breakdown'!BJ$3*'[2]Feedstock Conversion Rates'!B$4)/12</f>
        <v>7.5</v>
      </c>
      <c r="BK219" s="45">
        <f>('[2]Renewable Diesel'!W228*'[2]RD Feedstock Breakdown'!BK$3*'[2]Feedstock Conversion Rates'!B$3)/12</f>
        <v>1.335</v>
      </c>
      <c r="BL219" s="45">
        <f>('[2]Renewable Diesel'!W228*'[2]RD Feedstock Breakdown'!BL$3*'[2]Feedstock Conversion Rates'!B$6)/12</f>
        <v>3.1266666666666669</v>
      </c>
      <c r="BM219" s="45">
        <f>('[2]Renewable Diesel'!W228*'[2]RD Feedstock Breakdown'!BM$3*'[2]Feedstock Conversion Rates'!B$7)/12</f>
        <v>1.5333333333333332</v>
      </c>
      <c r="BN219" s="47">
        <f t="shared" si="168"/>
        <v>13.495000000000001</v>
      </c>
      <c r="BO219" s="45">
        <f>('[2]Renewable Diesel'!P228*'[2]Feedstock Conversion Rates'!B$4)/12</f>
        <v>31.25</v>
      </c>
      <c r="BP219" s="47">
        <f t="shared" si="157"/>
        <v>31.25</v>
      </c>
      <c r="BQ219" s="45">
        <f>('[2]Renewable Diesel'!$S228*'[2]RD Feedstock Breakdown'!BQ$3*'[2]Feedstock Conversion Rates'!B$4)/12+10</f>
        <v>38.125</v>
      </c>
      <c r="BR219" s="45">
        <f>('[2]Renewable Diesel'!$S228*'[2]RD Feedstock Breakdown'!BR$3*'[2]Feedstock Conversion Rates'!B$7)/12-10</f>
        <v>1.5</v>
      </c>
      <c r="BS219" s="47">
        <f t="shared" si="90"/>
        <v>39.625</v>
      </c>
      <c r="BT219" s="47"/>
      <c r="BU219" s="45">
        <f>('[2]Renewable Diesel'!Y228*'[2]Feedstock Conversion Rates'!B$7)/12</f>
        <v>2.6833333333333331</v>
      </c>
      <c r="BV219" s="47">
        <f t="shared" si="153"/>
        <v>2.6833333333333331</v>
      </c>
      <c r="BW219" s="45">
        <f>('[2]Renewable Diesel'!$Z228*'[2]RD Feedstock Breakdown'!BW$3*'[2]Feedstock Conversion Rates'!$B$4)/12</f>
        <v>53.90625</v>
      </c>
      <c r="BX219" s="45">
        <f>('[2]Renewable Diesel'!$Z228*'[2]RD Feedstock Breakdown'!BX$3*'[2]Feedstock Conversion Rates'!$B$5)/12</f>
        <v>5.4265624999999993</v>
      </c>
      <c r="BY219" s="45">
        <f>('[2]Renewable Diesel'!$Z228*'[2]RD Feedstock Breakdown'!BY$3*'[2]Feedstock Conversion Rates'!$B$7)/12</f>
        <v>46.287499999999994</v>
      </c>
      <c r="BZ219" s="45">
        <f>('[2]Renewable Diesel'!$Z228*'[2]RD Feedstock Breakdown'!BZ$3*'[2]Feedstock Conversion Rates'!$B$3)/12</f>
        <v>11.514374999999999</v>
      </c>
      <c r="CA219" s="47">
        <f t="shared" si="91"/>
        <v>117.1346875</v>
      </c>
      <c r="CB219" s="45">
        <f>('[2]Renewable Diesel'!AA228*'[2]Feedstock Conversion Rates'!B$4)/12</f>
        <v>191.25</v>
      </c>
      <c r="CC219" s="47">
        <f t="shared" si="79"/>
        <v>191.25</v>
      </c>
      <c r="CD219" s="45">
        <f>('[2]Renewable Diesel'!$AB228*'[2]RD Feedstock Breakdown'!CD$3*'[2]Feedstock Conversion Rates'!$B$6)/12-15</f>
        <v>17.830000000000005</v>
      </c>
      <c r="CE219" s="45">
        <f>('[2]Renewable Diesel'!$AB228*'[2]RD Feedstock Breakdown'!CE$3*'[2]Feedstock Conversion Rates'!$B$4)/12+15</f>
        <v>26.25</v>
      </c>
      <c r="CF219" s="47">
        <f t="shared" si="161"/>
        <v>44.080000000000005</v>
      </c>
      <c r="CG219" s="45">
        <f>('[2]Renewable Diesel'!AD228*'[2]Feedstock Conversion Rates'!B$4)/12</f>
        <v>112.5</v>
      </c>
      <c r="CH219" s="47">
        <f t="shared" si="149"/>
        <v>112.5</v>
      </c>
      <c r="CI219" s="45">
        <f>('[2]Renewable Diesel'!$AE228*'[2]RD Feedstock Breakdown'!CI$3*'[2]Feedstock Conversion Rates'!$B$5)/12</f>
        <v>0.34604166666666664</v>
      </c>
      <c r="CJ219" s="45">
        <f>('[2]Renewable Diesel'!$AE228*'[2]RD Feedstock Breakdown'!CJ$3*'[2]Feedstock Conversion Rates'!$B$4)/12</f>
        <v>0.34375</v>
      </c>
      <c r="CK219" s="47">
        <f t="shared" si="158"/>
        <v>0.68979166666666658</v>
      </c>
      <c r="CL219" s="45">
        <f>(((CL$3*'[2]Renewable Diesel'!$AF228)*'[2]Feedstock Conversion Rates'!$B$3)/12)</f>
        <v>91.78125</v>
      </c>
      <c r="CM219" s="45">
        <f>(((CM$3*'[2]Renewable Diesel'!$AF228)*'[2]Feedstock Conversion Rates'!$B$6)/12)</f>
        <v>53.739583333333336</v>
      </c>
      <c r="CN219" s="45">
        <f>(((CN$3*'[2]Renewable Diesel'!$AF228)*'[2]Feedstock Conversion Rates'!$B$4)/12)</f>
        <v>42.96875</v>
      </c>
      <c r="CO219" s="47">
        <f t="shared" si="152"/>
        <v>188.48958333333334</v>
      </c>
      <c r="CP219" s="45">
        <f>('[2]Renewable Diesel'!$AG228*'[2]RD Feedstock Breakdown'!CP$3*'[2]Feedstock Conversion Rates'!$B$3)/12</f>
        <v>6.0075000000000003</v>
      </c>
      <c r="CQ219" s="45">
        <f>('[2]Renewable Diesel'!$AG228*'[2]RD Feedstock Breakdown'!CQ$3*'[2]Feedstock Conversion Rates'!$B$6)/12</f>
        <v>3.5175000000000001</v>
      </c>
      <c r="CR219" s="45">
        <f>('[2]Renewable Diesel'!$AG228*'[2]RD Feedstock Breakdown'!CR$3*'[2]Feedstock Conversion Rates'!$B$4)/12</f>
        <v>2.8125</v>
      </c>
      <c r="CS219" s="47">
        <f t="shared" si="99"/>
        <v>12.3375</v>
      </c>
      <c r="CT219" s="45">
        <f>('[2]Renewable Diesel'!AI228*'[2]Feedstock Conversion Rates'!$B$4*'[2]RD Feedstock Breakdown'!$CT$3)/12</f>
        <v>29.375</v>
      </c>
      <c r="CU219" s="47">
        <f t="shared" si="154"/>
        <v>29.375</v>
      </c>
      <c r="CV219" s="45">
        <f>('[2]Renewable Diesel'!AN228*'[2]Feedstock Conversion Rates'!$B$3*'[2]RD Feedstock Breakdown'!$CV$3)/12</f>
        <v>0.50062499999999999</v>
      </c>
      <c r="CW219" s="47">
        <f t="shared" si="124"/>
        <v>0.50062499999999999</v>
      </c>
      <c r="CX219" s="45">
        <f>('[2]Renewable Diesel'!AO228*'[2]RD Feedstock Breakdown'!$CX$3*'[2]Feedstock Conversion Rates'!$B$3)/12</f>
        <v>6.3412499999999996</v>
      </c>
      <c r="CY219" s="45">
        <f>('[2]Renewable Diesel'!AO228*'[2]RD Feedstock Breakdown'!$CY$3*'[2]Feedstock Conversion Rates'!$B$6)/12</f>
        <v>7.4258333333333342</v>
      </c>
      <c r="CZ219" s="47">
        <f t="shared" si="100"/>
        <v>13.767083333333334</v>
      </c>
      <c r="DA219" s="45">
        <f>('[2]Renewable Diesel'!$AP228*'[2]RD Feedstock Breakdown'!DA$3*'[2]Feedstock Conversion Rates'!$B$3)/12</f>
        <v>6.3412499999999996</v>
      </c>
      <c r="DB219" s="45">
        <f>('[2]Renewable Diesel'!$AP228*'[2]RD Feedstock Breakdown'!DB$3*'[2]Feedstock Conversion Rates'!$B$8)/12</f>
        <v>7.421875</v>
      </c>
      <c r="DC219" s="47">
        <f t="shared" si="127"/>
        <v>13.763124999999999</v>
      </c>
      <c r="DD219" s="45">
        <f>('[2]Renewable Diesel'!AQ228*$DD$3*'[2]Feedstock Conversion Rates'!$B$14)/12</f>
        <v>3.1041666666666665</v>
      </c>
      <c r="DE219" s="47">
        <f t="shared" si="128"/>
        <v>3.1041666666666665</v>
      </c>
      <c r="DF219" s="45">
        <f>('[2]Renewable Diesel'!AR228*'[2]Feedstock Conversion Rates'!$B$4*$DF$3)/12</f>
        <v>75</v>
      </c>
      <c r="DG219" s="47">
        <f t="shared" si="101"/>
        <v>75</v>
      </c>
      <c r="DH219" s="45">
        <f>('[2]Renewable Diesel'!AS228*'[2]Feedstock Conversion Rates'!$B$4*$DH$3)/12</f>
        <v>75</v>
      </c>
      <c r="DI219" s="47">
        <f t="shared" si="110"/>
        <v>75</v>
      </c>
      <c r="DJ219" s="45">
        <f>('[2]Renewable Diesel'!AT228*'[2]Feedstock Conversion Rates'!$B$4*0.25)/12</f>
        <v>8.59375</v>
      </c>
      <c r="DK219" s="45">
        <f>('[2]Renewable Diesel'!$AT228*'[2]RD Feedstock Breakdown'!DK$3*'[2]Feedstock Conversion Rates'!$B$3)/12*0.5</f>
        <v>9.1781249999999996</v>
      </c>
      <c r="DL219" s="45">
        <f>('[2]Renewable Diesel'!$AT228*'[2]RD Feedstock Breakdown'!$DL$3*'[2]Feedstock Conversion Rates'!$B$6)/12</f>
        <v>10.747916666666669</v>
      </c>
      <c r="DM219" s="45">
        <f>('[2]Renewable Diesel'!$AT228*'[2]RD Feedstock Breakdown'!$DM$3*'[2]Feedstock Conversion Rates'!$B$8)/12</f>
        <v>10.7421875</v>
      </c>
      <c r="DN219" s="47">
        <f t="shared" si="169"/>
        <v>39.26197916666667</v>
      </c>
      <c r="DP219" s="45">
        <f t="shared" si="130"/>
        <v>109.72025000000001</v>
      </c>
      <c r="DQ219" s="45">
        <f t="shared" si="131"/>
        <v>562.27964249999991</v>
      </c>
      <c r="DR219" s="45">
        <f t="shared" si="136"/>
        <v>2003.534375</v>
      </c>
      <c r="DS219" s="45">
        <f t="shared" si="155"/>
        <v>90.592395833333327</v>
      </c>
      <c r="DT219" s="45">
        <f t="shared" si="132"/>
        <v>237.03923333333344</v>
      </c>
      <c r="DU219" s="45">
        <f t="shared" si="133"/>
        <v>202.72693333333333</v>
      </c>
      <c r="DV219" s="45">
        <f t="shared" si="137"/>
        <v>7.25</v>
      </c>
      <c r="DW219" s="45">
        <f t="shared" si="134"/>
        <v>3</v>
      </c>
      <c r="DX219" s="47">
        <f t="shared" si="138"/>
        <v>3216.1428299999998</v>
      </c>
      <c r="DY219" s="50">
        <f t="shared" si="126"/>
        <v>-124.99999999999969</v>
      </c>
      <c r="EA219" s="51">
        <f t="shared" si="117"/>
        <v>3.4115478011901609E-2</v>
      </c>
      <c r="EB219" s="51">
        <f t="shared" si="117"/>
        <v>0.17483043267080273</v>
      </c>
      <c r="EC219" s="51">
        <f t="shared" si="117"/>
        <v>0.62296187728702335</v>
      </c>
      <c r="ED219" s="51">
        <f t="shared" si="114"/>
        <v>2.8168026304146863E-2</v>
      </c>
      <c r="EE219" s="51">
        <f t="shared" si="114"/>
        <v>7.3702955951534491E-2</v>
      </c>
      <c r="EF219" s="51">
        <f t="shared" si="114"/>
        <v>6.3034182264017594E-2</v>
      </c>
      <c r="EG219" s="51">
        <f t="shared" si="114"/>
        <v>2.2542531172348463E-3</v>
      </c>
      <c r="EH219" s="52">
        <f t="shared" si="139"/>
        <v>9.3279439333855707E-4</v>
      </c>
      <c r="EI219" s="51">
        <f t="shared" si="140"/>
        <v>0.9990672056066614</v>
      </c>
      <c r="EK219" s="53">
        <f>(EA219*'[2]Renewable Diesel'!BF228*'[2]Feedstock Conversion Rates'!B$2)+FB219</f>
        <v>147.46795691123145</v>
      </c>
      <c r="EL219" s="53">
        <f>(EB219*'[2]Renewable Diesel'!BF228*'[2]Feedstock Conversion Rates'!B$3)+FC219</f>
        <v>712.15876745251273</v>
      </c>
      <c r="EM219" s="53">
        <f>(EC219*'[2]Renewable Diesel'!BF228*'[2]Feedstock Conversion Rates'!B$4)+FD219</f>
        <v>2376.019555208421</v>
      </c>
      <c r="EN219" s="53">
        <f>(ED219*'[2]Renewable Diesel'!BF228*'[2]Feedstock Conversion Rates'!B$5)+FE219</f>
        <v>108.15102656451123</v>
      </c>
      <c r="EO219" s="53">
        <f>(EE219*'[2]Renewable Diesel'!BF228*'[2]Feedstock Conversion Rates'!B$6)+FF219</f>
        <v>351.57260050771504</v>
      </c>
      <c r="EP219" s="53">
        <f>(EF219*'[2]Renewable Diesel'!BF228*'[2]Feedstock Conversion Rates'!B$7)+FG219</f>
        <v>294.91117354718983</v>
      </c>
      <c r="EQ219" s="53">
        <f>(EG219*'[2]Renewable Diesel'!BF228*'[2]Feedstock Conversion Rates'!B$8)+FH219</f>
        <v>10.747346033968753</v>
      </c>
      <c r="ER219" s="53">
        <f>(EH219*'[2]Renewable Diesel'!BF228*'[2]Feedstock Conversion Rates'!B$9)+FI219</f>
        <v>4.3878819669720706</v>
      </c>
      <c r="ES219" s="53">
        <f t="shared" si="141"/>
        <v>4005.4163081925221</v>
      </c>
      <c r="ET219" s="36">
        <f>ES219/'[2]Renewable Diesel'!BF228</f>
        <v>7.8762661818100916</v>
      </c>
    </row>
    <row r="220" spans="1:150" x14ac:dyDescent="0.25">
      <c r="A220" s="39">
        <v>47119</v>
      </c>
      <c r="B220" s="45">
        <f t="shared" si="162"/>
        <v>22.300000000000011</v>
      </c>
      <c r="C220" s="45">
        <f t="shared" si="163"/>
        <v>37</v>
      </c>
      <c r="D220" s="45">
        <f t="shared" si="164"/>
        <v>2</v>
      </c>
      <c r="E220" s="45">
        <f>('[2]Renewable Diesel'!B229*E$3*'[2]Feedstock Conversion Rates'!$B$2)/12-57.5+12.5+43-59+20+16+50+55-5-26-5-8+15.5-41-1</f>
        <v>99.43</v>
      </c>
      <c r="F220" s="45">
        <f>('[2]Renewable Diesel'!B229*'[2]RD Feedstock Breakdown'!F$3*'[2]Feedstock Conversion Rates'!B$8)/12-24+17.5-2.25+15-45+5+17+10+2-29+4-16</f>
        <v>8.15625</v>
      </c>
      <c r="G220" s="45">
        <f>('[2]Renewable Diesel'!B229*'[2]RD Feedstock Breakdown'!G$3*'[2]Feedstock Conversion Rates'!B$7)/12-50-1+71-144-30+30+70+7.5-65+7.5-25-12.5-5-10+2</f>
        <v>21.657000000000011</v>
      </c>
      <c r="H220" s="45">
        <f>('[2]Renewable Diesel'!B229*'[2]RD Feedstock Breakdown'!H$3*'[2]Feedstock Conversion Rates'!B$3)/12-105+29+50+2.5-120+10+1.5+51+30+20-5-45+200+10</f>
        <v>305.40022499999998</v>
      </c>
      <c r="I220" s="47">
        <f t="shared" si="160"/>
        <v>495.94347500000003</v>
      </c>
      <c r="J220" s="45">
        <f t="shared" si="165"/>
        <v>102.5</v>
      </c>
      <c r="K220" s="45"/>
      <c r="L220" s="45">
        <v>1</v>
      </c>
      <c r="M220" s="45">
        <f>('[2]Renewable Diesel'!C229*'[2]RD Feedstock Breakdown'!M$3*'[2]Feedstock Conversion Rates'!B$2)/12-25+4.5-34-0.5-2.5+3+7.5+2.5-4+26+25</f>
        <v>10.29025</v>
      </c>
      <c r="N220" s="45">
        <f>('[2]Renewable Diesel'!C229*'[2]RD Feedstock Breakdown'!N$3*'[2]Feedstock Conversion Rates'!B$8)/12-2.5+30-39+1+7+2+7+2-24-15</f>
        <v>-27.828125</v>
      </c>
      <c r="O220" s="45">
        <f>('[2]Renewable Diesel'!C229*'[2]RD Feedstock Breakdown'!O$3*'[2]Feedstock Conversion Rates'!B$7)/12-30-60-19+29+15-15+30-20+9</f>
        <v>-49.000900000000001</v>
      </c>
      <c r="P220" s="45">
        <f>('[2]Renewable Diesel'!C229*'[2]RD Feedstock Breakdown'!P$3*'[2]Feedstock Conversion Rates'!B$3)/12-27+50-107+35+15+40+50-95-5+25+5</f>
        <v>-3.5529574999999909</v>
      </c>
      <c r="Q220" s="47">
        <f t="shared" si="85"/>
        <v>33.408267500000008</v>
      </c>
      <c r="R220" s="45">
        <f>('[2]Renewable Diesel'!D229*'[2]RD Feedstock Breakdown'!R$3*'[2]Feedstock Conversion Rates'!B$7)/12</f>
        <v>2.2999999999999998</v>
      </c>
      <c r="S220" s="47">
        <f t="shared" si="116"/>
        <v>2.2999999999999998</v>
      </c>
      <c r="T220" s="45">
        <f t="shared" si="166"/>
        <v>5.8250000000000028</v>
      </c>
      <c r="U220" s="45">
        <v>30</v>
      </c>
      <c r="V220" s="45">
        <f>('[2]Renewable Diesel'!E229*'[2]RD Feedstock Breakdown'!V$3*'[2]Feedstock Conversion Rates'!B$6)/12-20+25-35</f>
        <v>14.250150000000012</v>
      </c>
      <c r="W220" s="45">
        <f>('[2]Renewable Diesel'!E229*'[2]RD Feedstock Breakdown'!W$3*'[2]Feedstock Conversion Rates'!B$8)/12-6</f>
        <v>16.1796875</v>
      </c>
      <c r="X220" s="47">
        <f t="shared" si="147"/>
        <v>66.254837500000008</v>
      </c>
      <c r="Y220" s="45">
        <f t="shared" si="167"/>
        <v>126</v>
      </c>
      <c r="Z220" s="45">
        <f>('[2]Renewable Diesel'!F229*'[2]RD Feedstock Breakdown'!Z$3*'[2]Feedstock Conversion Rates'!B$6)/12-50-32-60+15+30+22.5-70+75-30+3+5</f>
        <v>67.960000000000008</v>
      </c>
      <c r="AA220" s="45">
        <f>('[2]Renewable Diesel'!F229*'[2]RD Feedstock Breakdown'!AA$3*'[2]Feedstock Conversion Rates'!B$7)/12+80-171+75+30-50-1+2.5</f>
        <v>69.766666666666652</v>
      </c>
      <c r="AB220" s="47">
        <f t="shared" si="102"/>
        <v>263.72666666666669</v>
      </c>
      <c r="AC220" s="45">
        <f>('[2]Renewable Diesel'!G229*'[2]RD Feedstock Breakdown'!AC$3*'[2]Feedstock Conversion Rates'!B$5)/12+2</f>
        <v>13.796875</v>
      </c>
      <c r="AD220" s="45">
        <f>('[2]Renewable Diesel'!G229*'[2]RD Feedstock Breakdown'!AD$3*'[2]Feedstock Conversion Rates'!B$4)/12</f>
        <v>5.859375</v>
      </c>
      <c r="AE220" s="45">
        <f>('[2]Renewable Diesel'!G229*'[2]RD Feedstock Breakdown'!AE$3*'[2]Feedstock Conversion Rates'!B$6)/12-2</f>
        <v>5.3281250000000009</v>
      </c>
      <c r="AF220" s="47">
        <f t="shared" si="156"/>
        <v>24.984375</v>
      </c>
      <c r="AG220" s="45">
        <f t="shared" si="170"/>
        <v>16.5</v>
      </c>
      <c r="AH220" s="45">
        <v>125</v>
      </c>
      <c r="AI220" s="45">
        <f>('[2]Renewable Diesel'!H229*'[2]RD Feedstock Breakdown'!AI$3*'[2]Feedstock Conversion Rates'!B$6)/12-130-20+51-120+2.5+100-45+20</f>
        <v>7.0166666666666799</v>
      </c>
      <c r="AJ220" s="47">
        <f t="shared" si="113"/>
        <v>23.51666666666668</v>
      </c>
      <c r="AK220" s="45">
        <f>('[2]Renewable Diesel'!J229*'[2]RD Feedstock Breakdown'!AK$3*'[2]Feedstock Conversion Rates'!B$4)/12</f>
        <v>95.8125</v>
      </c>
      <c r="AL220" s="47">
        <f t="shared" si="123"/>
        <v>95.8125</v>
      </c>
      <c r="AM220" s="45">
        <f>('[2]Renewable Diesel'!K229*'[2]RD Feedstock Breakdown'!AM$3*'[2]Feedstock Conversion Rates'!B$4)/12+5+15-10+9-27</f>
        <v>50.59375</v>
      </c>
      <c r="AN220" s="45">
        <f>('[2]Renewable Diesel'!K229*'[2]RD Feedstock Breakdown'!AN$3*'[2]Feedstock Conversion Rates'!B$6)/12-5-15+10-9+27</f>
        <v>32.427083333333329</v>
      </c>
      <c r="AO220" s="47">
        <f t="shared" si="135"/>
        <v>83.020833333333329</v>
      </c>
      <c r="AP220" s="45">
        <f>('[2]Renewable Diesel'!L229*'[2]RD Feedstock Breakdown'!AP$3*'[2]Feedstock Conversion Rates'!B$4)/12+15-10+5+9</f>
        <v>77.59375</v>
      </c>
      <c r="AQ220" s="45">
        <f>('[2]Renewable Diesel'!L229*'[2]RD Feedstock Breakdown'!AQ$3*'[2]Feedstock Conversion Rates'!B$6)/12-15+10-5-9</f>
        <v>5.4270833333333321</v>
      </c>
      <c r="AR220" s="47">
        <f t="shared" si="125"/>
        <v>83.020833333333329</v>
      </c>
      <c r="AS220" s="45">
        <f>('[2]Renewable Diesel'!M229*'[2]RD Feedstock Breakdown'!AS$3*'[2]Feedstock Conversion Rates'!B$4)/12</f>
        <v>456.25</v>
      </c>
      <c r="AT220" s="45">
        <f>('[2]Renewable Diesel'!M229*'[2]RD Feedstock Breakdown'!AT$3*'[2]Feedstock Conversion Rates'!B$5)/12</f>
        <v>0</v>
      </c>
      <c r="AU220" s="47">
        <f t="shared" si="159"/>
        <v>456.25</v>
      </c>
      <c r="AV220" s="45">
        <f>'[2]Renewable Diesel'!N229*'[2]RD Feedstock Breakdown'!$AV$3*'[2]Feedstock Conversion Rates'!$B$4/12-15-10+25+25-22-10-30</f>
        <v>41.749999999999986</v>
      </c>
      <c r="AW220" s="45">
        <f>'[2]Renewable Diesel'!N229*'[2]RD Feedstock Breakdown'!$AW$3*'[2]Feedstock Conversion Rates'!$B$7/12+15+10-25-25+22+10+30</f>
        <v>78.400000000000006</v>
      </c>
      <c r="AX220" s="47">
        <f t="shared" si="109"/>
        <v>120.14999999999999</v>
      </c>
      <c r="AY220" s="45">
        <f>('[2]Renewable Diesel'!O229*'[2]RD Feedstock Breakdown'!AY$3*'[2]Feedstock Conversion Rates'!B$4)/12+32+2-135</f>
        <v>109.9375</v>
      </c>
      <c r="AZ220" s="45">
        <f>('[2]Renewable Diesel'!O229*'[2]RD Feedstock Breakdown'!AZ$3*'[2]Feedstock Conversion Rates'!B$3)/12-32-2+135</f>
        <v>126.03125</v>
      </c>
      <c r="BA220" s="47">
        <f t="shared" si="87"/>
        <v>235.96875</v>
      </c>
      <c r="BB220" s="45">
        <f>('[2]Renewable Diesel'!Q229*'[2]RD Feedstock Breakdown'!BB$3*'[2]Feedstock Conversion Rates'!B$4)/12</f>
        <v>11.156249999999998</v>
      </c>
      <c r="BC220" s="45">
        <f>('[2]Renewable Diesel'!Q229*'[2]RD Feedstock Breakdown'!BC$3*'[2]Feedstock Conversion Rates'!B$3)/12</f>
        <v>1.4017500000000001</v>
      </c>
      <c r="BD220" s="45">
        <f>('[2]Renewable Diesel'!Q229*'[2]RD Feedstock Breakdown'!BD$3*'[2]Feedstock Conversion Rates'!B$6)/12</f>
        <v>0.8207500000000002</v>
      </c>
      <c r="BE220" s="47">
        <f t="shared" si="151"/>
        <v>13.378749999999998</v>
      </c>
      <c r="BF220" s="45">
        <f>('[2]Renewable Diesel'!R229*'[2]RD Feedstock Breakdown'!BF$3*'[2]Feedstock Conversion Rates'!B$4)/12</f>
        <v>62.5</v>
      </c>
      <c r="BG220" s="47">
        <f t="shared" si="129"/>
        <v>62.5</v>
      </c>
      <c r="BH220" s="45">
        <f>('[2]Renewable Diesel'!T229*'[2]RD Feedstock Breakdown'!BH$3*'[2]Feedstock Conversion Rates'!B$7)/12</f>
        <v>27.599999999999998</v>
      </c>
      <c r="BI220" s="47">
        <f t="shared" si="112"/>
        <v>27.599999999999998</v>
      </c>
      <c r="BJ220" s="45">
        <f>('[2]Renewable Diesel'!W229*'[2]RD Feedstock Breakdown'!BJ$3*'[2]Feedstock Conversion Rates'!B$4)/12</f>
        <v>7.5</v>
      </c>
      <c r="BK220" s="45">
        <f>('[2]Renewable Diesel'!W229*'[2]RD Feedstock Breakdown'!BK$3*'[2]Feedstock Conversion Rates'!B$3)/12</f>
        <v>1.335</v>
      </c>
      <c r="BL220" s="45">
        <f>('[2]Renewable Diesel'!W229*'[2]RD Feedstock Breakdown'!BL$3*'[2]Feedstock Conversion Rates'!B$6)/12</f>
        <v>3.1266666666666669</v>
      </c>
      <c r="BM220" s="45">
        <f>('[2]Renewable Diesel'!W229*'[2]RD Feedstock Breakdown'!BM$3*'[2]Feedstock Conversion Rates'!B$7)/12</f>
        <v>1.5333333333333332</v>
      </c>
      <c r="BN220" s="47">
        <f t="shared" si="168"/>
        <v>13.495000000000001</v>
      </c>
      <c r="BO220" s="45">
        <f>('[2]Renewable Diesel'!P229*'[2]Feedstock Conversion Rates'!B$4)/12</f>
        <v>31.25</v>
      </c>
      <c r="BP220" s="47">
        <f t="shared" si="157"/>
        <v>31.25</v>
      </c>
      <c r="BQ220" s="45">
        <f>('[2]Renewable Diesel'!$S229*'[2]RD Feedstock Breakdown'!BQ$3*'[2]Feedstock Conversion Rates'!B$4)/12+10</f>
        <v>38.125</v>
      </c>
      <c r="BR220" s="45">
        <f>('[2]Renewable Diesel'!$S229*'[2]RD Feedstock Breakdown'!BR$3*'[2]Feedstock Conversion Rates'!B$7)/12-10</f>
        <v>1.5</v>
      </c>
      <c r="BS220" s="47">
        <f t="shared" si="90"/>
        <v>39.625</v>
      </c>
      <c r="BT220" s="47"/>
      <c r="BU220" s="45">
        <f>('[2]Renewable Diesel'!Y229*'[2]Feedstock Conversion Rates'!B$7)/12</f>
        <v>2.6833333333333331</v>
      </c>
      <c r="BV220" s="47">
        <f t="shared" si="153"/>
        <v>2.6833333333333331</v>
      </c>
      <c r="BW220" s="45">
        <f>('[2]Renewable Diesel'!$Z229*'[2]RD Feedstock Breakdown'!BW$3*'[2]Feedstock Conversion Rates'!$B$4)/12</f>
        <v>53.90625</v>
      </c>
      <c r="BX220" s="45">
        <f>('[2]Renewable Diesel'!$Z229*'[2]RD Feedstock Breakdown'!BX$3*'[2]Feedstock Conversion Rates'!$B$5)/12</f>
        <v>5.4265624999999993</v>
      </c>
      <c r="BY220" s="45">
        <f>('[2]Renewable Diesel'!$Z229*'[2]RD Feedstock Breakdown'!BY$3*'[2]Feedstock Conversion Rates'!$B$7)/12</f>
        <v>46.287499999999994</v>
      </c>
      <c r="BZ220" s="45">
        <f>('[2]Renewable Diesel'!$Z229*'[2]RD Feedstock Breakdown'!BZ$3*'[2]Feedstock Conversion Rates'!$B$3)/12</f>
        <v>11.514374999999999</v>
      </c>
      <c r="CA220" s="47">
        <f t="shared" si="91"/>
        <v>117.1346875</v>
      </c>
      <c r="CB220" s="45">
        <f>('[2]Renewable Diesel'!AA229*'[2]Feedstock Conversion Rates'!B$4)/12</f>
        <v>191.25</v>
      </c>
      <c r="CC220" s="47">
        <f t="shared" ref="CC220:CC283" si="171">CB220</f>
        <v>191.25</v>
      </c>
      <c r="CD220" s="45">
        <f>('[2]Renewable Diesel'!$AB229*'[2]RD Feedstock Breakdown'!CD$3*'[2]Feedstock Conversion Rates'!$B$6)/12-15</f>
        <v>17.830000000000005</v>
      </c>
      <c r="CE220" s="45">
        <f>('[2]Renewable Diesel'!$AB229*'[2]RD Feedstock Breakdown'!CE$3*'[2]Feedstock Conversion Rates'!$B$4)/12+15</f>
        <v>26.25</v>
      </c>
      <c r="CF220" s="47">
        <f t="shared" si="161"/>
        <v>44.080000000000005</v>
      </c>
      <c r="CG220" s="45">
        <f>('[2]Renewable Diesel'!AD229*'[2]Feedstock Conversion Rates'!B$4)/12</f>
        <v>112.5</v>
      </c>
      <c r="CH220" s="47">
        <f t="shared" si="149"/>
        <v>112.5</v>
      </c>
      <c r="CI220" s="45">
        <f>('[2]Renewable Diesel'!$AE229*'[2]RD Feedstock Breakdown'!CI$3*'[2]Feedstock Conversion Rates'!$B$5)/12</f>
        <v>0.34604166666666664</v>
      </c>
      <c r="CJ220" s="45">
        <f>('[2]Renewable Diesel'!$AE229*'[2]RD Feedstock Breakdown'!CJ$3*'[2]Feedstock Conversion Rates'!$B$4)/12</f>
        <v>0.34375</v>
      </c>
      <c r="CK220" s="47">
        <f t="shared" si="158"/>
        <v>0.68979166666666658</v>
      </c>
      <c r="CL220" s="45">
        <f>(((CL$3*'[2]Renewable Diesel'!$AF229)*'[2]Feedstock Conversion Rates'!$B$3)/12)</f>
        <v>91.78125</v>
      </c>
      <c r="CM220" s="45">
        <f>(((CM$3*'[2]Renewable Diesel'!$AF229)*'[2]Feedstock Conversion Rates'!$B$6)/12)</f>
        <v>53.739583333333336</v>
      </c>
      <c r="CN220" s="45">
        <f>(((CN$3*'[2]Renewable Diesel'!$AF229)*'[2]Feedstock Conversion Rates'!$B$4)/12)</f>
        <v>42.96875</v>
      </c>
      <c r="CO220" s="47">
        <f t="shared" si="152"/>
        <v>188.48958333333334</v>
      </c>
      <c r="CP220" s="45">
        <f>('[2]Renewable Diesel'!$AG229*'[2]RD Feedstock Breakdown'!CP$3*'[2]Feedstock Conversion Rates'!$B$3)/12</f>
        <v>6.0075000000000003</v>
      </c>
      <c r="CQ220" s="45">
        <f>('[2]Renewable Diesel'!$AG229*'[2]RD Feedstock Breakdown'!CQ$3*'[2]Feedstock Conversion Rates'!$B$6)/12</f>
        <v>3.5175000000000001</v>
      </c>
      <c r="CR220" s="45">
        <f>('[2]Renewable Diesel'!$AG229*'[2]RD Feedstock Breakdown'!CR$3*'[2]Feedstock Conversion Rates'!$B$4)/12</f>
        <v>2.8125</v>
      </c>
      <c r="CS220" s="47">
        <f t="shared" si="99"/>
        <v>12.3375</v>
      </c>
      <c r="CT220" s="45">
        <f>('[2]Renewable Diesel'!AI229*'[2]Feedstock Conversion Rates'!$B$4*'[2]RD Feedstock Breakdown'!$CT$3)/12</f>
        <v>29.375</v>
      </c>
      <c r="CU220" s="47">
        <f t="shared" si="154"/>
        <v>29.375</v>
      </c>
      <c r="CV220" s="45">
        <f>('[2]Renewable Diesel'!AN229*'[2]Feedstock Conversion Rates'!$B$3*'[2]RD Feedstock Breakdown'!$CV$3)/12</f>
        <v>0.50062499999999999</v>
      </c>
      <c r="CW220" s="47">
        <f t="shared" si="124"/>
        <v>0.50062499999999999</v>
      </c>
      <c r="CX220" s="45">
        <f>('[2]Renewable Diesel'!AO229*'[2]RD Feedstock Breakdown'!$CX$3*'[2]Feedstock Conversion Rates'!$B$3)/12</f>
        <v>6.3412499999999996</v>
      </c>
      <c r="CY220" s="45">
        <f>('[2]Renewable Diesel'!AO229*'[2]RD Feedstock Breakdown'!$CY$3*'[2]Feedstock Conversion Rates'!$B$6)/12</f>
        <v>7.4258333333333342</v>
      </c>
      <c r="CZ220" s="47">
        <f t="shared" si="100"/>
        <v>13.767083333333334</v>
      </c>
      <c r="DA220" s="45">
        <f>('[2]Renewable Diesel'!$AP229*'[2]RD Feedstock Breakdown'!DA$3*'[2]Feedstock Conversion Rates'!$B$3)/12</f>
        <v>6.3412499999999996</v>
      </c>
      <c r="DB220" s="45">
        <f>('[2]Renewable Diesel'!$AP229*'[2]RD Feedstock Breakdown'!DB$3*'[2]Feedstock Conversion Rates'!$B$8)/12</f>
        <v>7.421875</v>
      </c>
      <c r="DC220" s="47">
        <f t="shared" si="127"/>
        <v>13.763124999999999</v>
      </c>
      <c r="DD220" s="45">
        <f>('[2]Renewable Diesel'!AQ229*$DD$3*'[2]Feedstock Conversion Rates'!$B$14)/12</f>
        <v>3.1041666666666665</v>
      </c>
      <c r="DE220" s="47">
        <f t="shared" si="128"/>
        <v>3.1041666666666665</v>
      </c>
      <c r="DF220" s="45">
        <f>('[2]Renewable Diesel'!AR229*'[2]Feedstock Conversion Rates'!$B$4*$DF$3)/12</f>
        <v>75</v>
      </c>
      <c r="DG220" s="47">
        <f t="shared" si="101"/>
        <v>75</v>
      </c>
      <c r="DH220" s="45">
        <f>('[2]Renewable Diesel'!AS229*'[2]Feedstock Conversion Rates'!$B$4*$DH$3)/12</f>
        <v>75</v>
      </c>
      <c r="DI220" s="47">
        <f t="shared" si="110"/>
        <v>75</v>
      </c>
      <c r="DJ220" s="45">
        <f>('[2]Renewable Diesel'!AT229*'[2]Feedstock Conversion Rates'!$B$4*0.25)/12</f>
        <v>8.59375</v>
      </c>
      <c r="DK220" s="45">
        <f>('[2]Renewable Diesel'!$AT229*'[2]RD Feedstock Breakdown'!DK$3*'[2]Feedstock Conversion Rates'!$B$3)/12*0.5</f>
        <v>9.1781249999999996</v>
      </c>
      <c r="DL220" s="45">
        <f>('[2]Renewable Diesel'!$AT229*'[2]RD Feedstock Breakdown'!$DL$3*'[2]Feedstock Conversion Rates'!$B$6)/12</f>
        <v>10.747916666666669</v>
      </c>
      <c r="DM220" s="45">
        <f>('[2]Renewable Diesel'!$AT229*'[2]RD Feedstock Breakdown'!$DM$3*'[2]Feedstock Conversion Rates'!$B$8)/12</f>
        <v>10.7421875</v>
      </c>
      <c r="DN220" s="47">
        <f t="shared" si="169"/>
        <v>39.26197916666667</v>
      </c>
      <c r="DP220" s="45">
        <f t="shared" si="130"/>
        <v>109.72025000000001</v>
      </c>
      <c r="DQ220" s="45">
        <f t="shared" si="131"/>
        <v>562.27964249999991</v>
      </c>
      <c r="DR220" s="45">
        <f t="shared" si="136"/>
        <v>2003.534375</v>
      </c>
      <c r="DS220" s="45">
        <f t="shared" si="155"/>
        <v>90.592395833333327</v>
      </c>
      <c r="DT220" s="45">
        <f t="shared" si="132"/>
        <v>237.03923333333344</v>
      </c>
      <c r="DU220" s="45">
        <f t="shared" si="133"/>
        <v>202.72693333333333</v>
      </c>
      <c r="DV220" s="45">
        <f t="shared" si="137"/>
        <v>7.25</v>
      </c>
      <c r="DW220" s="45">
        <f t="shared" si="134"/>
        <v>3</v>
      </c>
      <c r="DX220" s="47">
        <f t="shared" si="138"/>
        <v>3216.1428299999998</v>
      </c>
      <c r="DY220" s="50">
        <f t="shared" si="126"/>
        <v>-124.99999999999969</v>
      </c>
      <c r="EA220" s="51">
        <f t="shared" si="117"/>
        <v>3.4115478011901609E-2</v>
      </c>
      <c r="EB220" s="51">
        <f t="shared" si="117"/>
        <v>0.17483043267080273</v>
      </c>
      <c r="EC220" s="51">
        <f t="shared" si="117"/>
        <v>0.62296187728702335</v>
      </c>
      <c r="ED220" s="51">
        <f t="shared" si="114"/>
        <v>2.8168026304146863E-2</v>
      </c>
      <c r="EE220" s="51">
        <f t="shared" si="114"/>
        <v>7.3702955951534491E-2</v>
      </c>
      <c r="EF220" s="51">
        <f t="shared" si="114"/>
        <v>6.3034182264017594E-2</v>
      </c>
      <c r="EG220" s="51">
        <f t="shared" si="114"/>
        <v>2.2542531172348463E-3</v>
      </c>
      <c r="EH220" s="52">
        <f t="shared" si="139"/>
        <v>9.3279439333855707E-4</v>
      </c>
      <c r="EI220" s="51">
        <f t="shared" si="140"/>
        <v>0.9990672056066614</v>
      </c>
      <c r="EK220" s="53">
        <f>(EA220*'[2]Renewable Diesel'!BF229*'[2]Feedstock Conversion Rates'!B$2)+FB220</f>
        <v>88.732888739102052</v>
      </c>
      <c r="EL220" s="53">
        <f>(EB220*'[2]Renewable Diesel'!BF229*'[2]Feedstock Conversion Rates'!B$3)+FC220</f>
        <v>428.5127833904848</v>
      </c>
      <c r="EM220" s="53">
        <f>(EC220*'[2]Renewable Diesel'!BF229*'[2]Feedstock Conversion Rates'!B$4)+FD220</f>
        <v>1429.6738305064443</v>
      </c>
      <c r="EN220" s="53">
        <f>(ED220*'[2]Renewable Diesel'!BF229*'[2]Feedstock Conversion Rates'!B$5)+FE220</f>
        <v>65.07551340760152</v>
      </c>
      <c r="EO220" s="53">
        <f>(EE220*'[2]Renewable Diesel'!BF229*'[2]Feedstock Conversion Rates'!B$6)+FF220</f>
        <v>211.54461686443764</v>
      </c>
      <c r="EP220" s="53">
        <f>(EF220*'[2]Renewable Diesel'!BF229*'[2]Feedstock Conversion Rates'!B$7)+FG220</f>
        <v>177.45089101649975</v>
      </c>
      <c r="EQ220" s="53">
        <f>(EG220*'[2]Renewable Diesel'!BF229*'[2]Feedstock Conversion Rates'!B$8)+FH220</f>
        <v>6.4667815289990491</v>
      </c>
      <c r="ER220" s="53">
        <f>(EH220*'[2]Renewable Diesel'!BF229*'[2]Feedstock Conversion Rates'!B$9)+FI220</f>
        <v>2.6402308035637496</v>
      </c>
      <c r="ES220" s="53">
        <f t="shared" si="141"/>
        <v>2410.0975362571326</v>
      </c>
      <c r="ET220" s="36">
        <f>ES220/'[2]Renewable Diesel'!BF229</f>
        <v>7.8762661818100899</v>
      </c>
    </row>
    <row r="221" spans="1:150" x14ac:dyDescent="0.25">
      <c r="A221" s="39">
        <v>47150</v>
      </c>
      <c r="B221" s="45">
        <f t="shared" si="162"/>
        <v>22.300000000000011</v>
      </c>
      <c r="C221" s="45">
        <f t="shared" si="163"/>
        <v>37</v>
      </c>
      <c r="D221" s="45">
        <f t="shared" si="164"/>
        <v>2</v>
      </c>
      <c r="E221" s="45">
        <f>('[2]Renewable Diesel'!B230*E$3*'[2]Feedstock Conversion Rates'!$B$2)/12-57.5+12.5+43-59+20+16+50+55-5-26-5-8+15.5-41-1</f>
        <v>99.43</v>
      </c>
      <c r="F221" s="45">
        <f>('[2]Renewable Diesel'!B230*'[2]RD Feedstock Breakdown'!F$3*'[2]Feedstock Conversion Rates'!B$8)/12-24+17.5-2.25+15-45+5+17+10+2-29+4-16</f>
        <v>8.15625</v>
      </c>
      <c r="G221" s="45">
        <f>('[2]Renewable Diesel'!B230*'[2]RD Feedstock Breakdown'!G$3*'[2]Feedstock Conversion Rates'!B$7)/12-50-1+71-144-30+30+70+7.5-65+7.5-25-12.5-5-10+2</f>
        <v>21.657000000000011</v>
      </c>
      <c r="H221" s="45">
        <f>('[2]Renewable Diesel'!B230*'[2]RD Feedstock Breakdown'!H$3*'[2]Feedstock Conversion Rates'!B$3)/12-105+29+50+2.5-120+10+1.5+51+30+20-5-45+200+10</f>
        <v>305.40022499999998</v>
      </c>
      <c r="I221" s="47">
        <f t="shared" si="160"/>
        <v>495.94347500000003</v>
      </c>
      <c r="J221" s="45">
        <f t="shared" si="165"/>
        <v>102.5</v>
      </c>
      <c r="K221" s="45"/>
      <c r="L221" s="45">
        <v>1</v>
      </c>
      <c r="M221" s="45">
        <f>('[2]Renewable Diesel'!C230*'[2]RD Feedstock Breakdown'!M$3*'[2]Feedstock Conversion Rates'!B$2)/12-25+4.5-34-0.5-2.5+3+7.5+2.5-4+26+25</f>
        <v>10.29025</v>
      </c>
      <c r="N221" s="45">
        <f>('[2]Renewable Diesel'!C230*'[2]RD Feedstock Breakdown'!N$3*'[2]Feedstock Conversion Rates'!B$8)/12-2.5+30-39+1+7+2+7+2-24-15</f>
        <v>-27.828125</v>
      </c>
      <c r="O221" s="45">
        <f>('[2]Renewable Diesel'!C230*'[2]RD Feedstock Breakdown'!O$3*'[2]Feedstock Conversion Rates'!B$7)/12-30-60-19+29+15-15+30-20+9</f>
        <v>-49.000900000000001</v>
      </c>
      <c r="P221" s="45">
        <f>('[2]Renewable Diesel'!C230*'[2]RD Feedstock Breakdown'!P$3*'[2]Feedstock Conversion Rates'!B$3)/12-27+50-107+35+15+40+50-95-5+25+5</f>
        <v>-3.5529574999999909</v>
      </c>
      <c r="Q221" s="47">
        <f t="shared" si="85"/>
        <v>33.408267500000008</v>
      </c>
      <c r="R221" s="45">
        <f>('[2]Renewable Diesel'!D230*'[2]RD Feedstock Breakdown'!R$3*'[2]Feedstock Conversion Rates'!B$7)/12</f>
        <v>2.2999999999999998</v>
      </c>
      <c r="S221" s="47">
        <f t="shared" si="116"/>
        <v>2.2999999999999998</v>
      </c>
      <c r="T221" s="45">
        <f t="shared" si="166"/>
        <v>5.8250000000000028</v>
      </c>
      <c r="U221" s="45">
        <v>30</v>
      </c>
      <c r="V221" s="45">
        <f>('[2]Renewable Diesel'!E230*'[2]RD Feedstock Breakdown'!V$3*'[2]Feedstock Conversion Rates'!B$6)/12-20+25-35</f>
        <v>14.250150000000012</v>
      </c>
      <c r="W221" s="45">
        <f>('[2]Renewable Diesel'!E230*'[2]RD Feedstock Breakdown'!W$3*'[2]Feedstock Conversion Rates'!B$8)/12-6</f>
        <v>16.1796875</v>
      </c>
      <c r="X221" s="47">
        <f t="shared" si="147"/>
        <v>66.254837500000008</v>
      </c>
      <c r="Y221" s="45">
        <f t="shared" si="167"/>
        <v>126</v>
      </c>
      <c r="Z221" s="45">
        <f>('[2]Renewable Diesel'!F230*'[2]RD Feedstock Breakdown'!Z$3*'[2]Feedstock Conversion Rates'!B$6)/12-50-32-60+15+30+22.5-70+75-30+3+5</f>
        <v>67.960000000000008</v>
      </c>
      <c r="AA221" s="45">
        <f>('[2]Renewable Diesel'!F230*'[2]RD Feedstock Breakdown'!AA$3*'[2]Feedstock Conversion Rates'!B$7)/12+80-171+75+30-50-1+2.5</f>
        <v>69.766666666666652</v>
      </c>
      <c r="AB221" s="47">
        <f t="shared" si="102"/>
        <v>263.72666666666669</v>
      </c>
      <c r="AC221" s="45">
        <f>('[2]Renewable Diesel'!G230*'[2]RD Feedstock Breakdown'!AC$3*'[2]Feedstock Conversion Rates'!B$5)/12+2</f>
        <v>13.796875</v>
      </c>
      <c r="AD221" s="45">
        <f>('[2]Renewable Diesel'!G230*'[2]RD Feedstock Breakdown'!AD$3*'[2]Feedstock Conversion Rates'!B$4)/12</f>
        <v>5.859375</v>
      </c>
      <c r="AE221" s="45">
        <f>('[2]Renewable Diesel'!G230*'[2]RD Feedstock Breakdown'!AE$3*'[2]Feedstock Conversion Rates'!B$6)/12-2</f>
        <v>5.3281250000000009</v>
      </c>
      <c r="AF221" s="47">
        <f t="shared" si="156"/>
        <v>24.984375</v>
      </c>
      <c r="AG221" s="45">
        <f t="shared" si="170"/>
        <v>16.5</v>
      </c>
      <c r="AH221" s="45">
        <v>125</v>
      </c>
      <c r="AI221" s="45">
        <f>('[2]Renewable Diesel'!H230*'[2]RD Feedstock Breakdown'!AI$3*'[2]Feedstock Conversion Rates'!B$6)/12-130-20+51-120+2.5+100-45+20</f>
        <v>7.0166666666666799</v>
      </c>
      <c r="AJ221" s="47">
        <f t="shared" si="113"/>
        <v>23.51666666666668</v>
      </c>
      <c r="AK221" s="45">
        <f>('[2]Renewable Diesel'!J230*'[2]RD Feedstock Breakdown'!AK$3*'[2]Feedstock Conversion Rates'!B$4)/12</f>
        <v>95.8125</v>
      </c>
      <c r="AL221" s="47">
        <f t="shared" si="123"/>
        <v>95.8125</v>
      </c>
      <c r="AM221" s="45">
        <f>('[2]Renewable Diesel'!K230*'[2]RD Feedstock Breakdown'!AM$3*'[2]Feedstock Conversion Rates'!B$4)/12+5+15-10+9-27</f>
        <v>50.59375</v>
      </c>
      <c r="AN221" s="45">
        <f>('[2]Renewable Diesel'!K230*'[2]RD Feedstock Breakdown'!AN$3*'[2]Feedstock Conversion Rates'!B$6)/12-5-15+10-9+27</f>
        <v>32.427083333333329</v>
      </c>
      <c r="AO221" s="47">
        <f t="shared" si="135"/>
        <v>83.020833333333329</v>
      </c>
      <c r="AP221" s="45">
        <f>('[2]Renewable Diesel'!L230*'[2]RD Feedstock Breakdown'!AP$3*'[2]Feedstock Conversion Rates'!B$4)/12+15-10+5+9</f>
        <v>77.59375</v>
      </c>
      <c r="AQ221" s="45">
        <f>('[2]Renewable Diesel'!L230*'[2]RD Feedstock Breakdown'!AQ$3*'[2]Feedstock Conversion Rates'!B$6)/12-15+10-5-9</f>
        <v>5.4270833333333321</v>
      </c>
      <c r="AR221" s="47">
        <f t="shared" si="125"/>
        <v>83.020833333333329</v>
      </c>
      <c r="AS221" s="45">
        <f>('[2]Renewable Diesel'!M230*'[2]RD Feedstock Breakdown'!AS$3*'[2]Feedstock Conversion Rates'!B$4)/12</f>
        <v>456.25</v>
      </c>
      <c r="AT221" s="45">
        <f>('[2]Renewable Diesel'!M230*'[2]RD Feedstock Breakdown'!AT$3*'[2]Feedstock Conversion Rates'!B$5)/12</f>
        <v>0</v>
      </c>
      <c r="AU221" s="47">
        <f t="shared" si="159"/>
        <v>456.25</v>
      </c>
      <c r="AV221" s="45">
        <f>'[2]Renewable Diesel'!N230*'[2]RD Feedstock Breakdown'!$AV$3*'[2]Feedstock Conversion Rates'!$B$4/12-15-10+25+25-22-10-30</f>
        <v>41.749999999999986</v>
      </c>
      <c r="AW221" s="45">
        <f>'[2]Renewable Diesel'!N230*'[2]RD Feedstock Breakdown'!$AW$3*'[2]Feedstock Conversion Rates'!$B$7/12+15+10-25-25+22+10+30</f>
        <v>78.400000000000006</v>
      </c>
      <c r="AX221" s="47">
        <f t="shared" si="109"/>
        <v>120.14999999999999</v>
      </c>
      <c r="AY221" s="45">
        <f>('[2]Renewable Diesel'!O230*'[2]RD Feedstock Breakdown'!AY$3*'[2]Feedstock Conversion Rates'!B$4)/12+32+2-135</f>
        <v>109.9375</v>
      </c>
      <c r="AZ221" s="45">
        <f>('[2]Renewable Diesel'!O230*'[2]RD Feedstock Breakdown'!AZ$3*'[2]Feedstock Conversion Rates'!B$3)/12-32-2+135</f>
        <v>126.03125</v>
      </c>
      <c r="BA221" s="47">
        <f t="shared" si="87"/>
        <v>235.96875</v>
      </c>
      <c r="BB221" s="45">
        <f>('[2]Renewable Diesel'!Q230*'[2]RD Feedstock Breakdown'!BB$3*'[2]Feedstock Conversion Rates'!B$4)/12</f>
        <v>11.156249999999998</v>
      </c>
      <c r="BC221" s="45">
        <f>('[2]Renewable Diesel'!Q230*'[2]RD Feedstock Breakdown'!BC$3*'[2]Feedstock Conversion Rates'!B$3)/12</f>
        <v>1.4017500000000001</v>
      </c>
      <c r="BD221" s="45">
        <f>('[2]Renewable Diesel'!Q230*'[2]RD Feedstock Breakdown'!BD$3*'[2]Feedstock Conversion Rates'!B$6)/12</f>
        <v>0.8207500000000002</v>
      </c>
      <c r="BE221" s="47">
        <f t="shared" si="151"/>
        <v>13.378749999999998</v>
      </c>
      <c r="BF221" s="45">
        <f>('[2]Renewable Diesel'!R230*'[2]RD Feedstock Breakdown'!BF$3*'[2]Feedstock Conversion Rates'!B$4)/12</f>
        <v>62.5</v>
      </c>
      <c r="BG221" s="47">
        <f t="shared" si="129"/>
        <v>62.5</v>
      </c>
      <c r="BH221" s="45">
        <f>('[2]Renewable Diesel'!T230*'[2]RD Feedstock Breakdown'!BH$3*'[2]Feedstock Conversion Rates'!B$7)/12</f>
        <v>27.599999999999998</v>
      </c>
      <c r="BI221" s="47">
        <f t="shared" si="112"/>
        <v>27.599999999999998</v>
      </c>
      <c r="BJ221" s="45">
        <f>('[2]Renewable Diesel'!W230*'[2]RD Feedstock Breakdown'!BJ$3*'[2]Feedstock Conversion Rates'!B$4)/12</f>
        <v>7.5</v>
      </c>
      <c r="BK221" s="45">
        <f>('[2]Renewable Diesel'!W230*'[2]RD Feedstock Breakdown'!BK$3*'[2]Feedstock Conversion Rates'!B$3)/12</f>
        <v>1.335</v>
      </c>
      <c r="BL221" s="45">
        <f>('[2]Renewable Diesel'!W230*'[2]RD Feedstock Breakdown'!BL$3*'[2]Feedstock Conversion Rates'!B$6)/12</f>
        <v>3.1266666666666669</v>
      </c>
      <c r="BM221" s="45">
        <f>('[2]Renewable Diesel'!W230*'[2]RD Feedstock Breakdown'!BM$3*'[2]Feedstock Conversion Rates'!B$7)/12</f>
        <v>1.5333333333333332</v>
      </c>
      <c r="BN221" s="47">
        <f t="shared" si="168"/>
        <v>13.495000000000001</v>
      </c>
      <c r="BO221" s="45">
        <f>('[2]Renewable Diesel'!P230*'[2]Feedstock Conversion Rates'!B$4)/12</f>
        <v>31.25</v>
      </c>
      <c r="BP221" s="47">
        <f t="shared" si="157"/>
        <v>31.25</v>
      </c>
      <c r="BQ221" s="45">
        <f>('[2]Renewable Diesel'!$S230*'[2]RD Feedstock Breakdown'!BQ$3*'[2]Feedstock Conversion Rates'!B$4)/12+10</f>
        <v>38.125</v>
      </c>
      <c r="BR221" s="45">
        <f>('[2]Renewable Diesel'!$S230*'[2]RD Feedstock Breakdown'!BR$3*'[2]Feedstock Conversion Rates'!B$7)/12-10</f>
        <v>1.5</v>
      </c>
      <c r="BS221" s="47">
        <f t="shared" si="90"/>
        <v>39.625</v>
      </c>
      <c r="BT221" s="47"/>
      <c r="BU221" s="45">
        <f>('[2]Renewable Diesel'!Y230*'[2]Feedstock Conversion Rates'!B$7)/12</f>
        <v>2.6833333333333331</v>
      </c>
      <c r="BV221" s="47">
        <f t="shared" si="153"/>
        <v>2.6833333333333331</v>
      </c>
      <c r="BW221" s="45">
        <f>('[2]Renewable Diesel'!$Z230*'[2]RD Feedstock Breakdown'!BW$3*'[2]Feedstock Conversion Rates'!$B$4)/12</f>
        <v>53.90625</v>
      </c>
      <c r="BX221" s="45">
        <f>('[2]Renewable Diesel'!$Z230*'[2]RD Feedstock Breakdown'!BX$3*'[2]Feedstock Conversion Rates'!$B$5)/12</f>
        <v>5.4265624999999993</v>
      </c>
      <c r="BY221" s="45">
        <f>('[2]Renewable Diesel'!$Z230*'[2]RD Feedstock Breakdown'!BY$3*'[2]Feedstock Conversion Rates'!$B$7)/12</f>
        <v>46.287499999999994</v>
      </c>
      <c r="BZ221" s="45">
        <f>('[2]Renewable Diesel'!$Z230*'[2]RD Feedstock Breakdown'!BZ$3*'[2]Feedstock Conversion Rates'!$B$3)/12</f>
        <v>11.514374999999999</v>
      </c>
      <c r="CA221" s="47">
        <f t="shared" si="91"/>
        <v>117.1346875</v>
      </c>
      <c r="CB221" s="45">
        <f>('[2]Renewable Diesel'!AA230*'[2]Feedstock Conversion Rates'!B$4)/12</f>
        <v>191.25</v>
      </c>
      <c r="CC221" s="47">
        <f t="shared" si="171"/>
        <v>191.25</v>
      </c>
      <c r="CD221" s="45">
        <f>('[2]Renewable Diesel'!$AB230*'[2]RD Feedstock Breakdown'!CD$3*'[2]Feedstock Conversion Rates'!$B$6)/12-15</f>
        <v>17.830000000000005</v>
      </c>
      <c r="CE221" s="45">
        <f>('[2]Renewable Diesel'!$AB230*'[2]RD Feedstock Breakdown'!CE$3*'[2]Feedstock Conversion Rates'!$B$4)/12+15</f>
        <v>26.25</v>
      </c>
      <c r="CF221" s="47">
        <f t="shared" si="161"/>
        <v>44.080000000000005</v>
      </c>
      <c r="CG221" s="45">
        <f>('[2]Renewable Diesel'!AD230*'[2]Feedstock Conversion Rates'!B$4)/12</f>
        <v>112.5</v>
      </c>
      <c r="CH221" s="47">
        <f t="shared" si="149"/>
        <v>112.5</v>
      </c>
      <c r="CI221" s="45">
        <f>('[2]Renewable Diesel'!$AE230*'[2]RD Feedstock Breakdown'!CI$3*'[2]Feedstock Conversion Rates'!$B$5)/12</f>
        <v>0.34604166666666664</v>
      </c>
      <c r="CJ221" s="45">
        <f>('[2]Renewable Diesel'!$AE230*'[2]RD Feedstock Breakdown'!CJ$3*'[2]Feedstock Conversion Rates'!$B$4)/12</f>
        <v>0.34375</v>
      </c>
      <c r="CK221" s="47">
        <f t="shared" si="158"/>
        <v>0.68979166666666658</v>
      </c>
      <c r="CL221" s="45">
        <f>(((CL$3*'[2]Renewable Diesel'!$AF230)*'[2]Feedstock Conversion Rates'!$B$3)/12)</f>
        <v>91.78125</v>
      </c>
      <c r="CM221" s="45">
        <f>(((CM$3*'[2]Renewable Diesel'!$AF230)*'[2]Feedstock Conversion Rates'!$B$6)/12)</f>
        <v>53.739583333333336</v>
      </c>
      <c r="CN221" s="45">
        <f>(((CN$3*'[2]Renewable Diesel'!$AF230)*'[2]Feedstock Conversion Rates'!$B$4)/12)</f>
        <v>42.96875</v>
      </c>
      <c r="CO221" s="47">
        <f t="shared" si="152"/>
        <v>188.48958333333334</v>
      </c>
      <c r="CP221" s="45">
        <f>('[2]Renewable Diesel'!$AG230*'[2]RD Feedstock Breakdown'!CP$3*'[2]Feedstock Conversion Rates'!$B$3)/12</f>
        <v>6.0075000000000003</v>
      </c>
      <c r="CQ221" s="45">
        <f>('[2]Renewable Diesel'!$AG230*'[2]RD Feedstock Breakdown'!CQ$3*'[2]Feedstock Conversion Rates'!$B$6)/12</f>
        <v>3.5175000000000001</v>
      </c>
      <c r="CR221" s="45">
        <f>('[2]Renewable Diesel'!$AG230*'[2]RD Feedstock Breakdown'!CR$3*'[2]Feedstock Conversion Rates'!$B$4)/12</f>
        <v>2.8125</v>
      </c>
      <c r="CS221" s="47">
        <f t="shared" si="99"/>
        <v>12.3375</v>
      </c>
      <c r="CT221" s="45">
        <f>('[2]Renewable Diesel'!AI230*'[2]Feedstock Conversion Rates'!$B$4*'[2]RD Feedstock Breakdown'!$CT$3)/12</f>
        <v>29.375</v>
      </c>
      <c r="CU221" s="47">
        <f t="shared" si="154"/>
        <v>29.375</v>
      </c>
      <c r="CV221" s="45">
        <f>('[2]Renewable Diesel'!AN230*'[2]Feedstock Conversion Rates'!$B$3*'[2]RD Feedstock Breakdown'!$CV$3)/12</f>
        <v>0.50062499999999999</v>
      </c>
      <c r="CW221" s="47">
        <f t="shared" si="124"/>
        <v>0.50062499999999999</v>
      </c>
      <c r="CX221" s="45">
        <f>('[2]Renewable Diesel'!AO230*'[2]RD Feedstock Breakdown'!$CX$3*'[2]Feedstock Conversion Rates'!$B$3)/12</f>
        <v>6.3412499999999996</v>
      </c>
      <c r="CY221" s="45">
        <f>('[2]Renewable Diesel'!AO230*'[2]RD Feedstock Breakdown'!$CY$3*'[2]Feedstock Conversion Rates'!$B$6)/12</f>
        <v>7.4258333333333342</v>
      </c>
      <c r="CZ221" s="47">
        <f t="shared" si="100"/>
        <v>13.767083333333334</v>
      </c>
      <c r="DA221" s="45">
        <f>('[2]Renewable Diesel'!$AP230*'[2]RD Feedstock Breakdown'!DA$3*'[2]Feedstock Conversion Rates'!$B$3)/12</f>
        <v>6.3412499999999996</v>
      </c>
      <c r="DB221" s="45">
        <f>('[2]Renewable Diesel'!$AP230*'[2]RD Feedstock Breakdown'!DB$3*'[2]Feedstock Conversion Rates'!$B$8)/12</f>
        <v>7.421875</v>
      </c>
      <c r="DC221" s="47">
        <f t="shared" si="127"/>
        <v>13.763124999999999</v>
      </c>
      <c r="DD221" s="45">
        <f>('[2]Renewable Diesel'!AQ230*$DD$3*'[2]Feedstock Conversion Rates'!$B$14)/12</f>
        <v>3.1041666666666665</v>
      </c>
      <c r="DE221" s="47">
        <f t="shared" si="128"/>
        <v>3.1041666666666665</v>
      </c>
      <c r="DF221" s="45">
        <f>('[2]Renewable Diesel'!AR230*'[2]Feedstock Conversion Rates'!$B$4*$DF$3)/12</f>
        <v>75</v>
      </c>
      <c r="DG221" s="47">
        <f t="shared" si="101"/>
        <v>75</v>
      </c>
      <c r="DH221" s="45">
        <f>('[2]Renewable Diesel'!AS230*'[2]Feedstock Conversion Rates'!$B$4*$DH$3)/12</f>
        <v>75</v>
      </c>
      <c r="DI221" s="47">
        <f t="shared" si="110"/>
        <v>75</v>
      </c>
      <c r="DJ221" s="45">
        <f>('[2]Renewable Diesel'!AT230*'[2]Feedstock Conversion Rates'!$B$4*0.25)/12</f>
        <v>8.59375</v>
      </c>
      <c r="DK221" s="45">
        <f>('[2]Renewable Diesel'!$AT230*'[2]RD Feedstock Breakdown'!DK$3*'[2]Feedstock Conversion Rates'!$B$3)/12*0.5</f>
        <v>9.1781249999999996</v>
      </c>
      <c r="DL221" s="45">
        <f>('[2]Renewable Diesel'!$AT230*'[2]RD Feedstock Breakdown'!$DL$3*'[2]Feedstock Conversion Rates'!$B$6)/12</f>
        <v>10.747916666666669</v>
      </c>
      <c r="DM221" s="45">
        <f>('[2]Renewable Diesel'!$AT230*'[2]RD Feedstock Breakdown'!$DM$3*'[2]Feedstock Conversion Rates'!$B$8)/12</f>
        <v>10.7421875</v>
      </c>
      <c r="DN221" s="47">
        <f t="shared" si="169"/>
        <v>39.26197916666667</v>
      </c>
      <c r="DP221" s="45">
        <f t="shared" si="130"/>
        <v>109.72025000000001</v>
      </c>
      <c r="DQ221" s="45">
        <f t="shared" si="131"/>
        <v>562.27964249999991</v>
      </c>
      <c r="DR221" s="45">
        <f t="shared" si="136"/>
        <v>2003.534375</v>
      </c>
      <c r="DS221" s="45">
        <f t="shared" si="155"/>
        <v>90.592395833333327</v>
      </c>
      <c r="DT221" s="45">
        <f t="shared" si="132"/>
        <v>237.03923333333344</v>
      </c>
      <c r="DU221" s="45">
        <f t="shared" si="133"/>
        <v>202.72693333333333</v>
      </c>
      <c r="DV221" s="45">
        <f t="shared" si="137"/>
        <v>7.25</v>
      </c>
      <c r="DW221" s="45">
        <f t="shared" si="134"/>
        <v>3</v>
      </c>
      <c r="DX221" s="47">
        <f t="shared" si="138"/>
        <v>3216.1428299999998</v>
      </c>
      <c r="DY221" s="50">
        <f t="shared" si="126"/>
        <v>-124.99999999999969</v>
      </c>
      <c r="EA221" s="51">
        <f t="shared" si="117"/>
        <v>3.4115478011901609E-2</v>
      </c>
      <c r="EB221" s="51">
        <f t="shared" si="117"/>
        <v>0.17483043267080273</v>
      </c>
      <c r="EC221" s="51">
        <f t="shared" si="117"/>
        <v>0.62296187728702335</v>
      </c>
      <c r="ED221" s="51">
        <f t="shared" si="114"/>
        <v>2.8168026304146863E-2</v>
      </c>
      <c r="EE221" s="51">
        <f t="shared" si="114"/>
        <v>7.3702955951534491E-2</v>
      </c>
      <c r="EF221" s="51">
        <f t="shared" si="114"/>
        <v>6.3034182264017594E-2</v>
      </c>
      <c r="EG221" s="51">
        <f t="shared" si="114"/>
        <v>2.2542531172348463E-3</v>
      </c>
      <c r="EH221" s="52">
        <f t="shared" si="139"/>
        <v>9.3279439333855707E-4</v>
      </c>
      <c r="EI221" s="51">
        <f t="shared" si="140"/>
        <v>0.9990672056066614</v>
      </c>
      <c r="EK221" s="53">
        <f>(EA221*'[2]Renewable Diesel'!BF230*'[2]Feedstock Conversion Rates'!B$2)+FB221</f>
        <v>124.85851466960378</v>
      </c>
      <c r="EL221" s="53">
        <f>(EB221*'[2]Renewable Diesel'!BF230*'[2]Feedstock Conversion Rates'!B$3)+FC221</f>
        <v>602.97225089096128</v>
      </c>
      <c r="EM221" s="53">
        <f>(EC221*'[2]Renewable Diesel'!BF230*'[2]Feedstock Conversion Rates'!B$4)+FD221</f>
        <v>2011.73379426308</v>
      </c>
      <c r="EN221" s="53">
        <f>(ED221*'[2]Renewable Diesel'!BF230*'[2]Feedstock Conversion Rates'!B$5)+FE221</f>
        <v>91.569564125488156</v>
      </c>
      <c r="EO221" s="53">
        <f>(EE221*'[2]Renewable Diesel'!BF230*'[2]Feedstock Conversion Rates'!B$6)+FF221</f>
        <v>297.67031168911529</v>
      </c>
      <c r="EP221" s="53">
        <f>(EF221*'[2]Renewable Diesel'!BF230*'[2]Feedstock Conversion Rates'!B$7)+FG221</f>
        <v>249.69608218507449</v>
      </c>
      <c r="EQ221" s="53">
        <f>(EG221*'[2]Renewable Diesel'!BF230*'[2]Feedstock Conversion Rates'!B$8)+FH221</f>
        <v>9.0995880769498481</v>
      </c>
      <c r="ER221" s="53">
        <f>(EH221*'[2]Renewable Diesel'!BF230*'[2]Feedstock Conversion Rates'!B$9)+FI221</f>
        <v>3.7151421665891791</v>
      </c>
      <c r="ES221" s="53">
        <f t="shared" si="141"/>
        <v>3391.3152480668618</v>
      </c>
      <c r="ET221" s="36">
        <f>ES221/'[2]Renewable Diesel'!BF230</f>
        <v>7.8762661818100907</v>
      </c>
    </row>
    <row r="222" spans="1:150" x14ac:dyDescent="0.25">
      <c r="A222" s="39">
        <v>47178</v>
      </c>
      <c r="B222" s="45">
        <f t="shared" si="162"/>
        <v>22.300000000000011</v>
      </c>
      <c r="C222" s="45">
        <f t="shared" si="163"/>
        <v>37</v>
      </c>
      <c r="D222" s="45">
        <f t="shared" si="164"/>
        <v>2</v>
      </c>
      <c r="E222" s="45">
        <f>('[2]Renewable Diesel'!B231*E$3*'[2]Feedstock Conversion Rates'!$B$2)/12-57.5+12.5+43-59+20+16+50+55-5-26-5-8+15.5-41-1</f>
        <v>99.43</v>
      </c>
      <c r="F222" s="45">
        <f>('[2]Renewable Diesel'!B231*'[2]RD Feedstock Breakdown'!F$3*'[2]Feedstock Conversion Rates'!B$8)/12-24+17.5-2.25+15-45+5+17+10+2-29+4-16</f>
        <v>8.15625</v>
      </c>
      <c r="G222" s="45">
        <f>('[2]Renewable Diesel'!B231*'[2]RD Feedstock Breakdown'!G$3*'[2]Feedstock Conversion Rates'!B$7)/12-50-1+71-144-30+30+70+7.5-65+7.5-25-12.5-5-10+2</f>
        <v>21.657000000000011</v>
      </c>
      <c r="H222" s="45">
        <f>('[2]Renewable Diesel'!B231*'[2]RD Feedstock Breakdown'!H$3*'[2]Feedstock Conversion Rates'!B$3)/12-105+29+50+2.5-120+10+1.5+51+30+20-5-45+200+10</f>
        <v>305.40022499999998</v>
      </c>
      <c r="I222" s="47">
        <f t="shared" si="160"/>
        <v>495.94347500000003</v>
      </c>
      <c r="J222" s="45">
        <f t="shared" si="165"/>
        <v>102.5</v>
      </c>
      <c r="K222" s="45"/>
      <c r="L222" s="45">
        <v>1</v>
      </c>
      <c r="M222" s="45">
        <f>('[2]Renewable Diesel'!C231*'[2]RD Feedstock Breakdown'!M$3*'[2]Feedstock Conversion Rates'!B$2)/12-25+4.5-34-0.5-2.5+3+7.5+2.5-4+26+25</f>
        <v>10.29025</v>
      </c>
      <c r="N222" s="45">
        <f>('[2]Renewable Diesel'!C231*'[2]RD Feedstock Breakdown'!N$3*'[2]Feedstock Conversion Rates'!B$8)/12-2.5+30-39+1+7+2+7+2-24-15</f>
        <v>-27.828125</v>
      </c>
      <c r="O222" s="45">
        <f>('[2]Renewable Diesel'!C231*'[2]RD Feedstock Breakdown'!O$3*'[2]Feedstock Conversion Rates'!B$7)/12-30-60-19+29+15-15+30-20+9</f>
        <v>-49.000900000000001</v>
      </c>
      <c r="P222" s="45">
        <f>('[2]Renewable Diesel'!C231*'[2]RD Feedstock Breakdown'!P$3*'[2]Feedstock Conversion Rates'!B$3)/12-27+50-107+35+15+40+50-95-5+25+5</f>
        <v>-3.5529574999999909</v>
      </c>
      <c r="Q222" s="47">
        <f t="shared" si="85"/>
        <v>33.408267500000008</v>
      </c>
      <c r="R222" s="45">
        <f>('[2]Renewable Diesel'!D231*'[2]RD Feedstock Breakdown'!R$3*'[2]Feedstock Conversion Rates'!B$7)/12</f>
        <v>2.2999999999999998</v>
      </c>
      <c r="S222" s="47">
        <f t="shared" si="116"/>
        <v>2.2999999999999998</v>
      </c>
      <c r="T222" s="45">
        <f t="shared" si="166"/>
        <v>5.8250000000000028</v>
      </c>
      <c r="U222" s="45">
        <v>30</v>
      </c>
      <c r="V222" s="45">
        <f>('[2]Renewable Diesel'!E231*'[2]RD Feedstock Breakdown'!V$3*'[2]Feedstock Conversion Rates'!B$6)/12-20+25-35</f>
        <v>14.250150000000012</v>
      </c>
      <c r="W222" s="45">
        <f>('[2]Renewable Diesel'!E231*'[2]RD Feedstock Breakdown'!W$3*'[2]Feedstock Conversion Rates'!B$8)/12-6</f>
        <v>16.1796875</v>
      </c>
      <c r="X222" s="47">
        <f t="shared" si="147"/>
        <v>66.254837500000008</v>
      </c>
      <c r="Y222" s="45">
        <f t="shared" si="167"/>
        <v>126</v>
      </c>
      <c r="Z222" s="45">
        <f>('[2]Renewable Diesel'!F231*'[2]RD Feedstock Breakdown'!Z$3*'[2]Feedstock Conversion Rates'!B$6)/12-50-32-60+15+30+22.5-70+75-30+3+5</f>
        <v>67.960000000000008</v>
      </c>
      <c r="AA222" s="45">
        <f>('[2]Renewable Diesel'!F231*'[2]RD Feedstock Breakdown'!AA$3*'[2]Feedstock Conversion Rates'!B$7)/12+80-171+75+30-50-1+2.5</f>
        <v>69.766666666666652</v>
      </c>
      <c r="AB222" s="47">
        <f t="shared" si="102"/>
        <v>263.72666666666669</v>
      </c>
      <c r="AC222" s="45">
        <f>('[2]Renewable Diesel'!G231*'[2]RD Feedstock Breakdown'!AC$3*'[2]Feedstock Conversion Rates'!B$5)/12+2</f>
        <v>13.796875</v>
      </c>
      <c r="AD222" s="45">
        <f>('[2]Renewable Diesel'!G231*'[2]RD Feedstock Breakdown'!AD$3*'[2]Feedstock Conversion Rates'!B$4)/12</f>
        <v>5.859375</v>
      </c>
      <c r="AE222" s="45">
        <f>('[2]Renewable Diesel'!G231*'[2]RD Feedstock Breakdown'!AE$3*'[2]Feedstock Conversion Rates'!B$6)/12-2</f>
        <v>5.3281250000000009</v>
      </c>
      <c r="AF222" s="47">
        <f t="shared" si="156"/>
        <v>24.984375</v>
      </c>
      <c r="AG222" s="45">
        <f t="shared" si="170"/>
        <v>16.5</v>
      </c>
      <c r="AH222" s="45">
        <v>125</v>
      </c>
      <c r="AI222" s="45">
        <f>('[2]Renewable Diesel'!H231*'[2]RD Feedstock Breakdown'!AI$3*'[2]Feedstock Conversion Rates'!B$6)/12-130-20+51-120+2.5+100-45+20</f>
        <v>7.0166666666666799</v>
      </c>
      <c r="AJ222" s="47">
        <f t="shared" si="113"/>
        <v>23.51666666666668</v>
      </c>
      <c r="AK222" s="45">
        <f>('[2]Renewable Diesel'!J231*'[2]RD Feedstock Breakdown'!AK$3*'[2]Feedstock Conversion Rates'!B$4)/12</f>
        <v>95.8125</v>
      </c>
      <c r="AL222" s="47">
        <f t="shared" si="123"/>
        <v>95.8125</v>
      </c>
      <c r="AM222" s="45">
        <f>('[2]Renewable Diesel'!K231*'[2]RD Feedstock Breakdown'!AM$3*'[2]Feedstock Conversion Rates'!B$4)/12+5+15-10+9-27</f>
        <v>50.59375</v>
      </c>
      <c r="AN222" s="45">
        <f>('[2]Renewable Diesel'!K231*'[2]RD Feedstock Breakdown'!AN$3*'[2]Feedstock Conversion Rates'!B$6)/12-5-15+10-9+27</f>
        <v>32.427083333333329</v>
      </c>
      <c r="AO222" s="47">
        <f t="shared" si="135"/>
        <v>83.020833333333329</v>
      </c>
      <c r="AP222" s="45">
        <f>('[2]Renewable Diesel'!L231*'[2]RD Feedstock Breakdown'!AP$3*'[2]Feedstock Conversion Rates'!B$4)/12+15-10+5+9</f>
        <v>77.59375</v>
      </c>
      <c r="AQ222" s="45">
        <f>('[2]Renewable Diesel'!L231*'[2]RD Feedstock Breakdown'!AQ$3*'[2]Feedstock Conversion Rates'!B$6)/12-15+10-5-9</f>
        <v>5.4270833333333321</v>
      </c>
      <c r="AR222" s="47">
        <f t="shared" si="125"/>
        <v>83.020833333333329</v>
      </c>
      <c r="AS222" s="45">
        <f>('[2]Renewable Diesel'!M231*'[2]RD Feedstock Breakdown'!AS$3*'[2]Feedstock Conversion Rates'!B$4)/12</f>
        <v>456.25</v>
      </c>
      <c r="AT222" s="45">
        <f>('[2]Renewable Diesel'!M231*'[2]RD Feedstock Breakdown'!AT$3*'[2]Feedstock Conversion Rates'!B$5)/12</f>
        <v>0</v>
      </c>
      <c r="AU222" s="47">
        <f t="shared" si="159"/>
        <v>456.25</v>
      </c>
      <c r="AV222" s="45">
        <f>'[2]Renewable Diesel'!N231*'[2]RD Feedstock Breakdown'!$AV$3*'[2]Feedstock Conversion Rates'!$B$4/12-15-10+25+25-22-10-30</f>
        <v>41.749999999999986</v>
      </c>
      <c r="AW222" s="45">
        <f>'[2]Renewable Diesel'!N231*'[2]RD Feedstock Breakdown'!$AW$3*'[2]Feedstock Conversion Rates'!$B$7/12+15+10-25-25+22+10+30</f>
        <v>78.400000000000006</v>
      </c>
      <c r="AX222" s="47">
        <f t="shared" si="109"/>
        <v>120.14999999999999</v>
      </c>
      <c r="AY222" s="45">
        <f>('[2]Renewable Diesel'!O231*'[2]RD Feedstock Breakdown'!AY$3*'[2]Feedstock Conversion Rates'!B$4)/12+32+2-135</f>
        <v>109.9375</v>
      </c>
      <c r="AZ222" s="45">
        <f>('[2]Renewable Diesel'!O231*'[2]RD Feedstock Breakdown'!AZ$3*'[2]Feedstock Conversion Rates'!B$3)/12-32-2+135</f>
        <v>126.03125</v>
      </c>
      <c r="BA222" s="47">
        <f t="shared" si="87"/>
        <v>235.96875</v>
      </c>
      <c r="BB222" s="45">
        <f>('[2]Renewable Diesel'!Q231*'[2]RD Feedstock Breakdown'!BB$3*'[2]Feedstock Conversion Rates'!B$4)/12</f>
        <v>11.156249999999998</v>
      </c>
      <c r="BC222" s="45">
        <f>('[2]Renewable Diesel'!Q231*'[2]RD Feedstock Breakdown'!BC$3*'[2]Feedstock Conversion Rates'!B$3)/12</f>
        <v>1.4017500000000001</v>
      </c>
      <c r="BD222" s="45">
        <f>('[2]Renewable Diesel'!Q231*'[2]RD Feedstock Breakdown'!BD$3*'[2]Feedstock Conversion Rates'!B$6)/12</f>
        <v>0.8207500000000002</v>
      </c>
      <c r="BE222" s="47">
        <f t="shared" si="151"/>
        <v>13.378749999999998</v>
      </c>
      <c r="BF222" s="45">
        <f>('[2]Renewable Diesel'!R231*'[2]RD Feedstock Breakdown'!BF$3*'[2]Feedstock Conversion Rates'!B$4)/12</f>
        <v>62.5</v>
      </c>
      <c r="BG222" s="47">
        <f t="shared" si="129"/>
        <v>62.5</v>
      </c>
      <c r="BH222" s="45">
        <f>('[2]Renewable Diesel'!T231*'[2]RD Feedstock Breakdown'!BH$3*'[2]Feedstock Conversion Rates'!B$7)/12</f>
        <v>27.599999999999998</v>
      </c>
      <c r="BI222" s="47">
        <f t="shared" si="112"/>
        <v>27.599999999999998</v>
      </c>
      <c r="BJ222" s="45">
        <f>('[2]Renewable Diesel'!W231*'[2]RD Feedstock Breakdown'!BJ$3*'[2]Feedstock Conversion Rates'!B$4)/12</f>
        <v>7.5</v>
      </c>
      <c r="BK222" s="45">
        <f>('[2]Renewable Diesel'!W231*'[2]RD Feedstock Breakdown'!BK$3*'[2]Feedstock Conversion Rates'!B$3)/12</f>
        <v>1.335</v>
      </c>
      <c r="BL222" s="45">
        <f>('[2]Renewable Diesel'!W231*'[2]RD Feedstock Breakdown'!BL$3*'[2]Feedstock Conversion Rates'!B$6)/12</f>
        <v>3.1266666666666669</v>
      </c>
      <c r="BM222" s="45">
        <f>('[2]Renewable Diesel'!W231*'[2]RD Feedstock Breakdown'!BM$3*'[2]Feedstock Conversion Rates'!B$7)/12</f>
        <v>1.5333333333333332</v>
      </c>
      <c r="BN222" s="47">
        <f t="shared" si="168"/>
        <v>13.495000000000001</v>
      </c>
      <c r="BO222" s="45">
        <f>('[2]Renewable Diesel'!P231*'[2]Feedstock Conversion Rates'!B$4)/12</f>
        <v>31.25</v>
      </c>
      <c r="BP222" s="47">
        <f t="shared" si="157"/>
        <v>31.25</v>
      </c>
      <c r="BQ222" s="45">
        <f>('[2]Renewable Diesel'!$S231*'[2]RD Feedstock Breakdown'!BQ$3*'[2]Feedstock Conversion Rates'!B$4)/12+10</f>
        <v>38.125</v>
      </c>
      <c r="BR222" s="45">
        <f>('[2]Renewable Diesel'!$S231*'[2]RD Feedstock Breakdown'!BR$3*'[2]Feedstock Conversion Rates'!B$7)/12-10</f>
        <v>1.5</v>
      </c>
      <c r="BS222" s="47">
        <f t="shared" si="90"/>
        <v>39.625</v>
      </c>
      <c r="BT222" s="47"/>
      <c r="BU222" s="45">
        <f>('[2]Renewable Diesel'!Y231*'[2]Feedstock Conversion Rates'!B$7)/12</f>
        <v>2.6833333333333331</v>
      </c>
      <c r="BV222" s="47">
        <f t="shared" si="153"/>
        <v>2.6833333333333331</v>
      </c>
      <c r="BW222" s="45">
        <f>('[2]Renewable Diesel'!$Z231*'[2]RD Feedstock Breakdown'!BW$3*'[2]Feedstock Conversion Rates'!$B$4)/12</f>
        <v>53.90625</v>
      </c>
      <c r="BX222" s="45">
        <f>('[2]Renewable Diesel'!$Z231*'[2]RD Feedstock Breakdown'!BX$3*'[2]Feedstock Conversion Rates'!$B$5)/12</f>
        <v>5.4265624999999993</v>
      </c>
      <c r="BY222" s="45">
        <f>('[2]Renewable Diesel'!$Z231*'[2]RD Feedstock Breakdown'!BY$3*'[2]Feedstock Conversion Rates'!$B$7)/12</f>
        <v>46.287499999999994</v>
      </c>
      <c r="BZ222" s="45">
        <f>('[2]Renewable Diesel'!$Z231*'[2]RD Feedstock Breakdown'!BZ$3*'[2]Feedstock Conversion Rates'!$B$3)/12</f>
        <v>11.514374999999999</v>
      </c>
      <c r="CA222" s="47">
        <f t="shared" si="91"/>
        <v>117.1346875</v>
      </c>
      <c r="CB222" s="45">
        <f>('[2]Renewable Diesel'!AA231*'[2]Feedstock Conversion Rates'!B$4)/12</f>
        <v>191.25</v>
      </c>
      <c r="CC222" s="47">
        <f t="shared" si="171"/>
        <v>191.25</v>
      </c>
      <c r="CD222" s="45">
        <f>('[2]Renewable Diesel'!$AB231*'[2]RD Feedstock Breakdown'!CD$3*'[2]Feedstock Conversion Rates'!$B$6)/12-15</f>
        <v>17.830000000000005</v>
      </c>
      <c r="CE222" s="45">
        <f>('[2]Renewable Diesel'!$AB231*'[2]RD Feedstock Breakdown'!CE$3*'[2]Feedstock Conversion Rates'!$B$4)/12+15</f>
        <v>26.25</v>
      </c>
      <c r="CF222" s="47">
        <f t="shared" si="161"/>
        <v>44.080000000000005</v>
      </c>
      <c r="CG222" s="45">
        <f>('[2]Renewable Diesel'!AD231*'[2]Feedstock Conversion Rates'!B$4)/12</f>
        <v>112.5</v>
      </c>
      <c r="CH222" s="47">
        <f t="shared" si="149"/>
        <v>112.5</v>
      </c>
      <c r="CI222" s="45">
        <f>('[2]Renewable Diesel'!$AE231*'[2]RD Feedstock Breakdown'!CI$3*'[2]Feedstock Conversion Rates'!$B$5)/12</f>
        <v>0.34604166666666664</v>
      </c>
      <c r="CJ222" s="45">
        <f>('[2]Renewable Diesel'!$AE231*'[2]RD Feedstock Breakdown'!CJ$3*'[2]Feedstock Conversion Rates'!$B$4)/12</f>
        <v>0.34375</v>
      </c>
      <c r="CK222" s="47">
        <f t="shared" si="158"/>
        <v>0.68979166666666658</v>
      </c>
      <c r="CL222" s="45">
        <f>(((CL$3*'[2]Renewable Diesel'!$AF231)*'[2]Feedstock Conversion Rates'!$B$3)/12)</f>
        <v>91.78125</v>
      </c>
      <c r="CM222" s="45">
        <f>(((CM$3*'[2]Renewable Diesel'!$AF231)*'[2]Feedstock Conversion Rates'!$B$6)/12)</f>
        <v>53.739583333333336</v>
      </c>
      <c r="CN222" s="45">
        <f>(((CN$3*'[2]Renewable Diesel'!$AF231)*'[2]Feedstock Conversion Rates'!$B$4)/12)</f>
        <v>42.96875</v>
      </c>
      <c r="CO222" s="47">
        <f t="shared" si="152"/>
        <v>188.48958333333334</v>
      </c>
      <c r="CP222" s="45">
        <f>('[2]Renewable Diesel'!$AG231*'[2]RD Feedstock Breakdown'!CP$3*'[2]Feedstock Conversion Rates'!$B$3)/12</f>
        <v>6.0075000000000003</v>
      </c>
      <c r="CQ222" s="45">
        <f>('[2]Renewable Diesel'!$AG231*'[2]RD Feedstock Breakdown'!CQ$3*'[2]Feedstock Conversion Rates'!$B$6)/12</f>
        <v>3.5175000000000001</v>
      </c>
      <c r="CR222" s="45">
        <f>('[2]Renewable Diesel'!$AG231*'[2]RD Feedstock Breakdown'!CR$3*'[2]Feedstock Conversion Rates'!$B$4)/12</f>
        <v>2.8125</v>
      </c>
      <c r="CS222" s="47">
        <f t="shared" si="99"/>
        <v>12.3375</v>
      </c>
      <c r="CT222" s="45">
        <f>('[2]Renewable Diesel'!AI231*'[2]Feedstock Conversion Rates'!$B$4*'[2]RD Feedstock Breakdown'!$CT$3)/12</f>
        <v>29.375</v>
      </c>
      <c r="CU222" s="47">
        <f t="shared" si="154"/>
        <v>29.375</v>
      </c>
      <c r="CV222" s="45">
        <f>('[2]Renewable Diesel'!AN231*'[2]Feedstock Conversion Rates'!$B$3*'[2]RD Feedstock Breakdown'!$CV$3)/12</f>
        <v>0.50062499999999999</v>
      </c>
      <c r="CW222" s="47">
        <f t="shared" si="124"/>
        <v>0.50062499999999999</v>
      </c>
      <c r="CX222" s="45">
        <f>('[2]Renewable Diesel'!AO231*'[2]RD Feedstock Breakdown'!$CX$3*'[2]Feedstock Conversion Rates'!$B$3)/12</f>
        <v>6.3412499999999996</v>
      </c>
      <c r="CY222" s="45">
        <f>('[2]Renewable Diesel'!AO231*'[2]RD Feedstock Breakdown'!$CY$3*'[2]Feedstock Conversion Rates'!$B$6)/12</f>
        <v>7.4258333333333342</v>
      </c>
      <c r="CZ222" s="47">
        <f t="shared" si="100"/>
        <v>13.767083333333334</v>
      </c>
      <c r="DA222" s="45">
        <f>('[2]Renewable Diesel'!$AP231*'[2]RD Feedstock Breakdown'!DA$3*'[2]Feedstock Conversion Rates'!$B$3)/12</f>
        <v>6.3412499999999996</v>
      </c>
      <c r="DB222" s="45">
        <f>('[2]Renewable Diesel'!$AP231*'[2]RD Feedstock Breakdown'!DB$3*'[2]Feedstock Conversion Rates'!$B$8)/12</f>
        <v>7.421875</v>
      </c>
      <c r="DC222" s="47">
        <f t="shared" si="127"/>
        <v>13.763124999999999</v>
      </c>
      <c r="DD222" s="45">
        <f>('[2]Renewable Diesel'!AQ231*$DD$3*'[2]Feedstock Conversion Rates'!$B$14)/12</f>
        <v>3.1041666666666665</v>
      </c>
      <c r="DE222" s="47">
        <f t="shared" si="128"/>
        <v>3.1041666666666665</v>
      </c>
      <c r="DF222" s="45">
        <f>('[2]Renewable Diesel'!AR231*'[2]Feedstock Conversion Rates'!$B$4*$DF$3)/12</f>
        <v>75</v>
      </c>
      <c r="DG222" s="47">
        <f t="shared" si="101"/>
        <v>75</v>
      </c>
      <c r="DH222" s="45">
        <f>('[2]Renewable Diesel'!AS231*'[2]Feedstock Conversion Rates'!$B$4*$DH$3)/12</f>
        <v>75</v>
      </c>
      <c r="DI222" s="47">
        <f t="shared" si="110"/>
        <v>75</v>
      </c>
      <c r="DJ222" s="45">
        <f>('[2]Renewable Diesel'!AT231*'[2]Feedstock Conversion Rates'!$B$4*0.25)/12</f>
        <v>8.59375</v>
      </c>
      <c r="DK222" s="45">
        <f>('[2]Renewable Diesel'!$AT231*'[2]RD Feedstock Breakdown'!DK$3*'[2]Feedstock Conversion Rates'!$B$3)/12*0.5</f>
        <v>9.1781249999999996</v>
      </c>
      <c r="DL222" s="45">
        <f>('[2]Renewable Diesel'!$AT231*'[2]RD Feedstock Breakdown'!$DL$3*'[2]Feedstock Conversion Rates'!$B$6)/12</f>
        <v>10.747916666666669</v>
      </c>
      <c r="DM222" s="45">
        <f>('[2]Renewable Diesel'!$AT231*'[2]RD Feedstock Breakdown'!$DM$3*'[2]Feedstock Conversion Rates'!$B$8)/12</f>
        <v>10.7421875</v>
      </c>
      <c r="DN222" s="47">
        <f t="shared" si="169"/>
        <v>39.26197916666667</v>
      </c>
      <c r="DP222" s="45">
        <f t="shared" si="130"/>
        <v>109.72025000000001</v>
      </c>
      <c r="DQ222" s="45">
        <f t="shared" si="131"/>
        <v>562.27964249999991</v>
      </c>
      <c r="DR222" s="45">
        <f t="shared" si="136"/>
        <v>2003.534375</v>
      </c>
      <c r="DS222" s="45">
        <f t="shared" si="155"/>
        <v>90.592395833333327</v>
      </c>
      <c r="DT222" s="45">
        <f t="shared" si="132"/>
        <v>237.03923333333344</v>
      </c>
      <c r="DU222" s="45">
        <f t="shared" si="133"/>
        <v>202.72693333333333</v>
      </c>
      <c r="DV222" s="45">
        <f t="shared" si="137"/>
        <v>7.25</v>
      </c>
      <c r="DW222" s="45">
        <f t="shared" si="134"/>
        <v>3</v>
      </c>
      <c r="DX222" s="47">
        <f t="shared" si="138"/>
        <v>3216.1428299999998</v>
      </c>
      <c r="DY222" s="50">
        <f t="shared" si="126"/>
        <v>-124.99999999999969</v>
      </c>
      <c r="EA222" s="51">
        <f t="shared" si="117"/>
        <v>3.4115478011901609E-2</v>
      </c>
      <c r="EB222" s="51">
        <f t="shared" si="117"/>
        <v>0.17483043267080273</v>
      </c>
      <c r="EC222" s="51">
        <f t="shared" si="117"/>
        <v>0.62296187728702335</v>
      </c>
      <c r="ED222" s="51">
        <f t="shared" si="114"/>
        <v>2.8168026304146863E-2</v>
      </c>
      <c r="EE222" s="51">
        <f t="shared" si="114"/>
        <v>7.3702955951534491E-2</v>
      </c>
      <c r="EF222" s="51">
        <f t="shared" si="114"/>
        <v>6.3034182264017594E-2</v>
      </c>
      <c r="EG222" s="51">
        <f t="shared" si="114"/>
        <v>2.2542531172348463E-3</v>
      </c>
      <c r="EH222" s="52">
        <f t="shared" si="139"/>
        <v>9.3279439333855707E-4</v>
      </c>
      <c r="EI222" s="51">
        <f t="shared" si="140"/>
        <v>0.9990672056066614</v>
      </c>
      <c r="EK222" s="53">
        <f>(EA222*'[2]Renewable Diesel'!BF231*'[2]Feedstock Conversion Rates'!B$2)+FB222</f>
        <v>89.323818560822488</v>
      </c>
      <c r="EL222" s="53">
        <f>(EB222*'[2]Renewable Diesel'!BF231*'[2]Feedstock Conversion Rates'!B$3)+FC222</f>
        <v>431.36652777198918</v>
      </c>
      <c r="EM222" s="53">
        <f>(EC222*'[2]Renewable Diesel'!BF231*'[2]Feedstock Conversion Rates'!B$4)+FD222</f>
        <v>1439.1949552414183</v>
      </c>
      <c r="EN222" s="53">
        <f>(ED222*'[2]Renewable Diesel'!BF231*'[2]Feedstock Conversion Rates'!B$5)+FE222</f>
        <v>65.508893432559219</v>
      </c>
      <c r="EO222" s="53">
        <f>(EE222*'[2]Renewable Diesel'!BF231*'[2]Feedstock Conversion Rates'!B$6)+FF222</f>
        <v>212.95342958885121</v>
      </c>
      <c r="EP222" s="53">
        <f>(EF222*'[2]Renewable Diesel'!BF231*'[2]Feedstock Conversion Rates'!B$7)+FG222</f>
        <v>178.63265152134292</v>
      </c>
      <c r="EQ222" s="53">
        <f>(EG222*'[2]Renewable Diesel'!BF231*'[2]Feedstock Conversion Rates'!B$8)+FH222</f>
        <v>6.5098480188917911</v>
      </c>
      <c r="ER222" s="53">
        <f>(EH222*'[2]Renewable Diesel'!BF231*'[2]Feedstock Conversion Rates'!B$9)+FI222</f>
        <v>2.6578138118509935</v>
      </c>
      <c r="ES222" s="53">
        <f t="shared" si="141"/>
        <v>2426.1479379477259</v>
      </c>
      <c r="ET222" s="36">
        <f>ES222/'[2]Renewable Diesel'!BF231</f>
        <v>7.8762661818100907</v>
      </c>
    </row>
    <row r="223" spans="1:150" x14ac:dyDescent="0.25">
      <c r="A223" s="39">
        <v>47209</v>
      </c>
      <c r="B223" s="45">
        <f t="shared" si="162"/>
        <v>22.300000000000011</v>
      </c>
      <c r="C223" s="45">
        <f t="shared" si="163"/>
        <v>37</v>
      </c>
      <c r="D223" s="45">
        <f t="shared" si="164"/>
        <v>2</v>
      </c>
      <c r="E223" s="45">
        <f>('[2]Renewable Diesel'!B232*E$3*'[2]Feedstock Conversion Rates'!$B$2)/12-57.5+12.5+43-59+20+16+50+55-5-26-5-8+15.5-41-1</f>
        <v>99.43</v>
      </c>
      <c r="F223" s="45">
        <f>('[2]Renewable Diesel'!B232*'[2]RD Feedstock Breakdown'!F$3*'[2]Feedstock Conversion Rates'!B$8)/12-24+17.5-2.25+15-45+5+17+10+2-29+4-16</f>
        <v>8.15625</v>
      </c>
      <c r="G223" s="45">
        <f>('[2]Renewable Diesel'!B232*'[2]RD Feedstock Breakdown'!G$3*'[2]Feedstock Conversion Rates'!B$7)/12-50-1+71-144-30+30+70+7.5-65+7.5-25-12.5-5-10+2</f>
        <v>21.657000000000011</v>
      </c>
      <c r="H223" s="45">
        <f>('[2]Renewable Diesel'!B232*'[2]RD Feedstock Breakdown'!H$3*'[2]Feedstock Conversion Rates'!B$3)/12-105+29+50+2.5-120+10+1.5+51+30+20-5-45+200+10</f>
        <v>305.40022499999998</v>
      </c>
      <c r="I223" s="47">
        <f t="shared" si="160"/>
        <v>495.94347500000003</v>
      </c>
      <c r="J223" s="45">
        <f t="shared" si="165"/>
        <v>102.5</v>
      </c>
      <c r="K223" s="45"/>
      <c r="L223" s="45">
        <v>1</v>
      </c>
      <c r="M223" s="45">
        <f>('[2]Renewable Diesel'!C232*'[2]RD Feedstock Breakdown'!M$3*'[2]Feedstock Conversion Rates'!B$2)/12-25+4.5-34-0.5-2.5+3+7.5+2.5-4+26+25</f>
        <v>10.29025</v>
      </c>
      <c r="N223" s="45">
        <f>('[2]Renewable Diesel'!C232*'[2]RD Feedstock Breakdown'!N$3*'[2]Feedstock Conversion Rates'!B$8)/12-2.5+30-39+1+7+2+7+2-24-15</f>
        <v>-27.828125</v>
      </c>
      <c r="O223" s="45">
        <f>('[2]Renewable Diesel'!C232*'[2]RD Feedstock Breakdown'!O$3*'[2]Feedstock Conversion Rates'!B$7)/12-30-60-19+29+15-15+30-20+9</f>
        <v>-49.000900000000001</v>
      </c>
      <c r="P223" s="45">
        <f>('[2]Renewable Diesel'!C232*'[2]RD Feedstock Breakdown'!P$3*'[2]Feedstock Conversion Rates'!B$3)/12-27+50-107+35+15+40+50-95-5+25+5</f>
        <v>-3.5529574999999909</v>
      </c>
      <c r="Q223" s="47">
        <f t="shared" si="85"/>
        <v>33.408267500000008</v>
      </c>
      <c r="R223" s="45">
        <f>('[2]Renewable Diesel'!D232*'[2]RD Feedstock Breakdown'!R$3*'[2]Feedstock Conversion Rates'!B$7)/12</f>
        <v>2.2999999999999998</v>
      </c>
      <c r="S223" s="47">
        <f t="shared" si="116"/>
        <v>2.2999999999999998</v>
      </c>
      <c r="T223" s="45">
        <f t="shared" si="166"/>
        <v>5.8250000000000028</v>
      </c>
      <c r="U223" s="45">
        <v>30</v>
      </c>
      <c r="V223" s="45">
        <f>('[2]Renewable Diesel'!E232*'[2]RD Feedstock Breakdown'!V$3*'[2]Feedstock Conversion Rates'!B$6)/12-20+25-35</f>
        <v>14.250150000000012</v>
      </c>
      <c r="W223" s="45">
        <f>('[2]Renewable Diesel'!E232*'[2]RD Feedstock Breakdown'!W$3*'[2]Feedstock Conversion Rates'!B$8)/12-6</f>
        <v>16.1796875</v>
      </c>
      <c r="X223" s="47">
        <f t="shared" si="147"/>
        <v>66.254837500000008</v>
      </c>
      <c r="Y223" s="45">
        <f t="shared" si="167"/>
        <v>126</v>
      </c>
      <c r="Z223" s="45">
        <f>('[2]Renewable Diesel'!F232*'[2]RD Feedstock Breakdown'!Z$3*'[2]Feedstock Conversion Rates'!B$6)/12-50-32-60+15+30+22.5-70+75-30+3+5</f>
        <v>67.960000000000008</v>
      </c>
      <c r="AA223" s="45">
        <f>('[2]Renewable Diesel'!F232*'[2]RD Feedstock Breakdown'!AA$3*'[2]Feedstock Conversion Rates'!B$7)/12+80-171+75+30-50-1+2.5</f>
        <v>69.766666666666652</v>
      </c>
      <c r="AB223" s="47">
        <f t="shared" si="102"/>
        <v>263.72666666666669</v>
      </c>
      <c r="AC223" s="45">
        <f>('[2]Renewable Diesel'!G232*'[2]RD Feedstock Breakdown'!AC$3*'[2]Feedstock Conversion Rates'!B$5)/12+2</f>
        <v>13.796875</v>
      </c>
      <c r="AD223" s="45">
        <f>('[2]Renewable Diesel'!G232*'[2]RD Feedstock Breakdown'!AD$3*'[2]Feedstock Conversion Rates'!B$4)/12</f>
        <v>5.859375</v>
      </c>
      <c r="AE223" s="45">
        <f>('[2]Renewable Diesel'!G232*'[2]RD Feedstock Breakdown'!AE$3*'[2]Feedstock Conversion Rates'!B$6)/12-2</f>
        <v>5.3281250000000009</v>
      </c>
      <c r="AF223" s="47">
        <f t="shared" si="156"/>
        <v>24.984375</v>
      </c>
      <c r="AG223" s="45">
        <f t="shared" si="170"/>
        <v>16.5</v>
      </c>
      <c r="AH223" s="45">
        <v>125</v>
      </c>
      <c r="AI223" s="45">
        <f>('[2]Renewable Diesel'!H232*'[2]RD Feedstock Breakdown'!AI$3*'[2]Feedstock Conversion Rates'!B$6)/12-130-20+51-120+2.5+100-45+20</f>
        <v>7.0166666666666799</v>
      </c>
      <c r="AJ223" s="47">
        <f t="shared" si="113"/>
        <v>23.51666666666668</v>
      </c>
      <c r="AK223" s="45">
        <f>('[2]Renewable Diesel'!J232*'[2]RD Feedstock Breakdown'!AK$3*'[2]Feedstock Conversion Rates'!B$4)/12</f>
        <v>95.8125</v>
      </c>
      <c r="AL223" s="47">
        <f t="shared" si="123"/>
        <v>95.8125</v>
      </c>
      <c r="AM223" s="45">
        <f>('[2]Renewable Diesel'!K232*'[2]RD Feedstock Breakdown'!AM$3*'[2]Feedstock Conversion Rates'!B$4)/12+5+15-10+9-27</f>
        <v>50.59375</v>
      </c>
      <c r="AN223" s="45">
        <f>('[2]Renewable Diesel'!K232*'[2]RD Feedstock Breakdown'!AN$3*'[2]Feedstock Conversion Rates'!B$6)/12-5-15+10-9+27</f>
        <v>32.427083333333329</v>
      </c>
      <c r="AO223" s="47">
        <f t="shared" si="135"/>
        <v>83.020833333333329</v>
      </c>
      <c r="AP223" s="45">
        <f>('[2]Renewable Diesel'!L232*'[2]RD Feedstock Breakdown'!AP$3*'[2]Feedstock Conversion Rates'!B$4)/12+15-10+5+9</f>
        <v>77.59375</v>
      </c>
      <c r="AQ223" s="45">
        <f>('[2]Renewable Diesel'!L232*'[2]RD Feedstock Breakdown'!AQ$3*'[2]Feedstock Conversion Rates'!B$6)/12-15+10-5-9</f>
        <v>5.4270833333333321</v>
      </c>
      <c r="AR223" s="47">
        <f t="shared" si="125"/>
        <v>83.020833333333329</v>
      </c>
      <c r="AS223" s="45">
        <f>('[2]Renewable Diesel'!M232*'[2]RD Feedstock Breakdown'!AS$3*'[2]Feedstock Conversion Rates'!B$4)/12</f>
        <v>456.25</v>
      </c>
      <c r="AT223" s="45">
        <f>('[2]Renewable Diesel'!M232*'[2]RD Feedstock Breakdown'!AT$3*'[2]Feedstock Conversion Rates'!B$5)/12</f>
        <v>0</v>
      </c>
      <c r="AU223" s="47">
        <f t="shared" si="159"/>
        <v>456.25</v>
      </c>
      <c r="AV223" s="45">
        <f>'[2]Renewable Diesel'!N232*'[2]RD Feedstock Breakdown'!$AV$3*'[2]Feedstock Conversion Rates'!$B$4/12-15-10+25+25-22-10-30</f>
        <v>41.749999999999986</v>
      </c>
      <c r="AW223" s="45">
        <f>'[2]Renewable Diesel'!N232*'[2]RD Feedstock Breakdown'!$AW$3*'[2]Feedstock Conversion Rates'!$B$7/12+15+10-25-25+22+10+30</f>
        <v>78.400000000000006</v>
      </c>
      <c r="AX223" s="47">
        <f t="shared" si="109"/>
        <v>120.14999999999999</v>
      </c>
      <c r="AY223" s="45">
        <f>('[2]Renewable Diesel'!O232*'[2]RD Feedstock Breakdown'!AY$3*'[2]Feedstock Conversion Rates'!B$4)/12+32+2-135</f>
        <v>109.9375</v>
      </c>
      <c r="AZ223" s="45">
        <f>('[2]Renewable Diesel'!O232*'[2]RD Feedstock Breakdown'!AZ$3*'[2]Feedstock Conversion Rates'!B$3)/12-32-2+135</f>
        <v>126.03125</v>
      </c>
      <c r="BA223" s="47">
        <f t="shared" si="87"/>
        <v>235.96875</v>
      </c>
      <c r="BB223" s="45">
        <f>('[2]Renewable Diesel'!Q232*'[2]RD Feedstock Breakdown'!BB$3*'[2]Feedstock Conversion Rates'!B$4)/12</f>
        <v>11.156249999999998</v>
      </c>
      <c r="BC223" s="45">
        <f>('[2]Renewable Diesel'!Q232*'[2]RD Feedstock Breakdown'!BC$3*'[2]Feedstock Conversion Rates'!B$3)/12</f>
        <v>1.4017500000000001</v>
      </c>
      <c r="BD223" s="45">
        <f>('[2]Renewable Diesel'!Q232*'[2]RD Feedstock Breakdown'!BD$3*'[2]Feedstock Conversion Rates'!B$6)/12</f>
        <v>0.8207500000000002</v>
      </c>
      <c r="BE223" s="47">
        <f t="shared" si="151"/>
        <v>13.378749999999998</v>
      </c>
      <c r="BF223" s="45">
        <f>('[2]Renewable Diesel'!R232*'[2]RD Feedstock Breakdown'!BF$3*'[2]Feedstock Conversion Rates'!B$4)/12</f>
        <v>62.5</v>
      </c>
      <c r="BG223" s="47">
        <f t="shared" si="129"/>
        <v>62.5</v>
      </c>
      <c r="BH223" s="45">
        <f>('[2]Renewable Diesel'!T232*'[2]RD Feedstock Breakdown'!BH$3*'[2]Feedstock Conversion Rates'!B$7)/12</f>
        <v>27.599999999999998</v>
      </c>
      <c r="BI223" s="47">
        <f t="shared" si="112"/>
        <v>27.599999999999998</v>
      </c>
      <c r="BJ223" s="45">
        <f>('[2]Renewable Diesel'!W232*'[2]RD Feedstock Breakdown'!BJ$3*'[2]Feedstock Conversion Rates'!B$4)/12</f>
        <v>7.5</v>
      </c>
      <c r="BK223" s="45">
        <f>('[2]Renewable Diesel'!W232*'[2]RD Feedstock Breakdown'!BK$3*'[2]Feedstock Conversion Rates'!B$3)/12</f>
        <v>1.335</v>
      </c>
      <c r="BL223" s="45">
        <f>('[2]Renewable Diesel'!W232*'[2]RD Feedstock Breakdown'!BL$3*'[2]Feedstock Conversion Rates'!B$6)/12</f>
        <v>3.1266666666666669</v>
      </c>
      <c r="BM223" s="45">
        <f>('[2]Renewable Diesel'!W232*'[2]RD Feedstock Breakdown'!BM$3*'[2]Feedstock Conversion Rates'!B$7)/12</f>
        <v>1.5333333333333332</v>
      </c>
      <c r="BN223" s="47">
        <f t="shared" si="168"/>
        <v>13.495000000000001</v>
      </c>
      <c r="BO223" s="45">
        <f>('[2]Renewable Diesel'!P232*'[2]Feedstock Conversion Rates'!B$4)/12</f>
        <v>31.25</v>
      </c>
      <c r="BP223" s="47">
        <f t="shared" si="157"/>
        <v>31.25</v>
      </c>
      <c r="BQ223" s="45">
        <f>('[2]Renewable Diesel'!$S232*'[2]RD Feedstock Breakdown'!BQ$3*'[2]Feedstock Conversion Rates'!B$4)/12+10</f>
        <v>38.125</v>
      </c>
      <c r="BR223" s="45">
        <f>('[2]Renewable Diesel'!$S232*'[2]RD Feedstock Breakdown'!BR$3*'[2]Feedstock Conversion Rates'!B$7)/12-10</f>
        <v>1.5</v>
      </c>
      <c r="BS223" s="47">
        <f t="shared" si="90"/>
        <v>39.625</v>
      </c>
      <c r="BT223" s="47"/>
      <c r="BU223" s="45">
        <f>('[2]Renewable Diesel'!Y232*'[2]Feedstock Conversion Rates'!B$7)/12</f>
        <v>2.6833333333333331</v>
      </c>
      <c r="BV223" s="47">
        <f t="shared" si="153"/>
        <v>2.6833333333333331</v>
      </c>
      <c r="BW223" s="45">
        <f>('[2]Renewable Diesel'!$Z232*'[2]RD Feedstock Breakdown'!BW$3*'[2]Feedstock Conversion Rates'!$B$4)/12</f>
        <v>53.90625</v>
      </c>
      <c r="BX223" s="45">
        <f>('[2]Renewable Diesel'!$Z232*'[2]RD Feedstock Breakdown'!BX$3*'[2]Feedstock Conversion Rates'!$B$5)/12</f>
        <v>5.4265624999999993</v>
      </c>
      <c r="BY223" s="45">
        <f>('[2]Renewable Diesel'!$Z232*'[2]RD Feedstock Breakdown'!BY$3*'[2]Feedstock Conversion Rates'!$B$7)/12</f>
        <v>46.287499999999994</v>
      </c>
      <c r="BZ223" s="45">
        <f>('[2]Renewable Diesel'!$Z232*'[2]RD Feedstock Breakdown'!BZ$3*'[2]Feedstock Conversion Rates'!$B$3)/12</f>
        <v>11.514374999999999</v>
      </c>
      <c r="CA223" s="47">
        <f t="shared" si="91"/>
        <v>117.1346875</v>
      </c>
      <c r="CB223" s="45">
        <f>('[2]Renewable Diesel'!AA232*'[2]Feedstock Conversion Rates'!B$4)/12</f>
        <v>191.25</v>
      </c>
      <c r="CC223" s="47">
        <f t="shared" si="171"/>
        <v>191.25</v>
      </c>
      <c r="CD223" s="45">
        <f>('[2]Renewable Diesel'!$AB232*'[2]RD Feedstock Breakdown'!CD$3*'[2]Feedstock Conversion Rates'!$B$6)/12-15</f>
        <v>17.830000000000005</v>
      </c>
      <c r="CE223" s="45">
        <f>('[2]Renewable Diesel'!$AB232*'[2]RD Feedstock Breakdown'!CE$3*'[2]Feedstock Conversion Rates'!$B$4)/12+15</f>
        <v>26.25</v>
      </c>
      <c r="CF223" s="47">
        <f t="shared" si="161"/>
        <v>44.080000000000005</v>
      </c>
      <c r="CG223" s="45">
        <f>('[2]Renewable Diesel'!AD232*'[2]Feedstock Conversion Rates'!B$4)/12</f>
        <v>112.5</v>
      </c>
      <c r="CH223" s="47">
        <f t="shared" si="149"/>
        <v>112.5</v>
      </c>
      <c r="CI223" s="45">
        <f>('[2]Renewable Diesel'!$AE232*'[2]RD Feedstock Breakdown'!CI$3*'[2]Feedstock Conversion Rates'!$B$5)/12</f>
        <v>0.34604166666666664</v>
      </c>
      <c r="CJ223" s="45">
        <f>('[2]Renewable Diesel'!$AE232*'[2]RD Feedstock Breakdown'!CJ$3*'[2]Feedstock Conversion Rates'!$B$4)/12</f>
        <v>0.34375</v>
      </c>
      <c r="CK223" s="47">
        <f t="shared" si="158"/>
        <v>0.68979166666666658</v>
      </c>
      <c r="CL223" s="45">
        <f>(((CL$3*'[2]Renewable Diesel'!$AF232)*'[2]Feedstock Conversion Rates'!$B$3)/12)</f>
        <v>91.78125</v>
      </c>
      <c r="CM223" s="45">
        <f>(((CM$3*'[2]Renewable Diesel'!$AF232)*'[2]Feedstock Conversion Rates'!$B$6)/12)</f>
        <v>53.739583333333336</v>
      </c>
      <c r="CN223" s="45">
        <f>(((CN$3*'[2]Renewable Diesel'!$AF232)*'[2]Feedstock Conversion Rates'!$B$4)/12)</f>
        <v>42.96875</v>
      </c>
      <c r="CO223" s="47">
        <f t="shared" si="152"/>
        <v>188.48958333333334</v>
      </c>
      <c r="CP223" s="45">
        <f>('[2]Renewable Diesel'!$AG232*'[2]RD Feedstock Breakdown'!CP$3*'[2]Feedstock Conversion Rates'!$B$3)/12</f>
        <v>6.0075000000000003</v>
      </c>
      <c r="CQ223" s="45">
        <f>('[2]Renewable Diesel'!$AG232*'[2]RD Feedstock Breakdown'!CQ$3*'[2]Feedstock Conversion Rates'!$B$6)/12</f>
        <v>3.5175000000000001</v>
      </c>
      <c r="CR223" s="45">
        <f>('[2]Renewable Diesel'!$AG232*'[2]RD Feedstock Breakdown'!CR$3*'[2]Feedstock Conversion Rates'!$B$4)/12</f>
        <v>2.8125</v>
      </c>
      <c r="CS223" s="47">
        <f t="shared" si="99"/>
        <v>12.3375</v>
      </c>
      <c r="CT223" s="45">
        <f>('[2]Renewable Diesel'!AI232*'[2]Feedstock Conversion Rates'!$B$4*'[2]RD Feedstock Breakdown'!$CT$3)/12</f>
        <v>29.375</v>
      </c>
      <c r="CU223" s="47">
        <f t="shared" si="154"/>
        <v>29.375</v>
      </c>
      <c r="CV223" s="45">
        <f>('[2]Renewable Diesel'!AN232*'[2]Feedstock Conversion Rates'!$B$3*'[2]RD Feedstock Breakdown'!$CV$3)/12</f>
        <v>0.50062499999999999</v>
      </c>
      <c r="CW223" s="47">
        <f t="shared" si="124"/>
        <v>0.50062499999999999</v>
      </c>
      <c r="CX223" s="45">
        <f>('[2]Renewable Diesel'!AO232*'[2]RD Feedstock Breakdown'!$CX$3*'[2]Feedstock Conversion Rates'!$B$3)/12</f>
        <v>6.3412499999999996</v>
      </c>
      <c r="CY223" s="45">
        <f>('[2]Renewable Diesel'!AO232*'[2]RD Feedstock Breakdown'!$CY$3*'[2]Feedstock Conversion Rates'!$B$6)/12</f>
        <v>7.4258333333333342</v>
      </c>
      <c r="CZ223" s="47">
        <f t="shared" si="100"/>
        <v>13.767083333333334</v>
      </c>
      <c r="DA223" s="45">
        <f>('[2]Renewable Diesel'!$AP232*'[2]RD Feedstock Breakdown'!DA$3*'[2]Feedstock Conversion Rates'!$B$3)/12</f>
        <v>6.3412499999999996</v>
      </c>
      <c r="DB223" s="45">
        <f>('[2]Renewable Diesel'!$AP232*'[2]RD Feedstock Breakdown'!DB$3*'[2]Feedstock Conversion Rates'!$B$8)/12</f>
        <v>7.421875</v>
      </c>
      <c r="DC223" s="47">
        <f t="shared" si="127"/>
        <v>13.763124999999999</v>
      </c>
      <c r="DD223" s="45">
        <f>('[2]Renewable Diesel'!AQ232*$DD$3*'[2]Feedstock Conversion Rates'!$B$14)/12</f>
        <v>3.1041666666666665</v>
      </c>
      <c r="DE223" s="47">
        <f t="shared" si="128"/>
        <v>3.1041666666666665</v>
      </c>
      <c r="DF223" s="45">
        <f>('[2]Renewable Diesel'!AR232*'[2]Feedstock Conversion Rates'!$B$4*$DF$3)/12</f>
        <v>75</v>
      </c>
      <c r="DG223" s="47">
        <f t="shared" si="101"/>
        <v>75</v>
      </c>
      <c r="DH223" s="45">
        <f>('[2]Renewable Diesel'!AS232*'[2]Feedstock Conversion Rates'!$B$4*$DH$3)/12</f>
        <v>75</v>
      </c>
      <c r="DI223" s="47">
        <f t="shared" si="110"/>
        <v>75</v>
      </c>
      <c r="DJ223" s="45">
        <f>('[2]Renewable Diesel'!AT232*'[2]Feedstock Conversion Rates'!$B$4*0.25)/12</f>
        <v>8.59375</v>
      </c>
      <c r="DK223" s="45">
        <f>('[2]Renewable Diesel'!$AT232*'[2]RD Feedstock Breakdown'!DK$3*'[2]Feedstock Conversion Rates'!$B$3)/12*0.5</f>
        <v>9.1781249999999996</v>
      </c>
      <c r="DL223" s="45">
        <f>('[2]Renewable Diesel'!$AT232*'[2]RD Feedstock Breakdown'!$DL$3*'[2]Feedstock Conversion Rates'!$B$6)/12</f>
        <v>10.747916666666669</v>
      </c>
      <c r="DM223" s="45">
        <f>('[2]Renewable Diesel'!$AT232*'[2]RD Feedstock Breakdown'!$DM$3*'[2]Feedstock Conversion Rates'!$B$8)/12</f>
        <v>10.7421875</v>
      </c>
      <c r="DN223" s="47">
        <f t="shared" si="169"/>
        <v>39.26197916666667</v>
      </c>
      <c r="DP223" s="45">
        <f t="shared" si="130"/>
        <v>109.72025000000001</v>
      </c>
      <c r="DQ223" s="45">
        <f t="shared" si="131"/>
        <v>562.27964249999991</v>
      </c>
      <c r="DR223" s="45">
        <f t="shared" si="136"/>
        <v>2003.534375</v>
      </c>
      <c r="DS223" s="45">
        <f t="shared" si="155"/>
        <v>90.592395833333327</v>
      </c>
      <c r="DT223" s="45">
        <f t="shared" si="132"/>
        <v>237.03923333333344</v>
      </c>
      <c r="DU223" s="45">
        <f t="shared" si="133"/>
        <v>202.72693333333333</v>
      </c>
      <c r="DV223" s="45">
        <f t="shared" si="137"/>
        <v>7.25</v>
      </c>
      <c r="DW223" s="45">
        <f t="shared" si="134"/>
        <v>3</v>
      </c>
      <c r="DX223" s="47">
        <f t="shared" si="138"/>
        <v>3216.1428299999998</v>
      </c>
      <c r="DY223" s="50">
        <f t="shared" si="126"/>
        <v>-124.99999999999969</v>
      </c>
      <c r="EA223" s="51">
        <f t="shared" si="117"/>
        <v>3.4115478011901609E-2</v>
      </c>
      <c r="EB223" s="51">
        <f t="shared" si="117"/>
        <v>0.17483043267080273</v>
      </c>
      <c r="EC223" s="51">
        <f t="shared" si="117"/>
        <v>0.62296187728702335</v>
      </c>
      <c r="ED223" s="51">
        <f t="shared" si="114"/>
        <v>2.8168026304146863E-2</v>
      </c>
      <c r="EE223" s="51">
        <f t="shared" si="114"/>
        <v>7.3702955951534491E-2</v>
      </c>
      <c r="EF223" s="51">
        <f t="shared" si="114"/>
        <v>6.3034182264017594E-2</v>
      </c>
      <c r="EG223" s="51">
        <f t="shared" si="114"/>
        <v>2.2542531172348463E-3</v>
      </c>
      <c r="EH223" s="52">
        <f t="shared" si="139"/>
        <v>9.3279439333855707E-4</v>
      </c>
      <c r="EI223" s="51">
        <f t="shared" si="140"/>
        <v>0.9990672056066614</v>
      </c>
      <c r="EK223" s="53">
        <f>(EA223*'[2]Renewable Diesel'!BF232*'[2]Feedstock Conversion Rates'!B$2)+FB223</f>
        <v>103.13173386113608</v>
      </c>
      <c r="EL223" s="53">
        <f>(EB223*'[2]Renewable Diesel'!BF232*'[2]Feedstock Conversion Rates'!B$3)+FC223</f>
        <v>498.04832188729841</v>
      </c>
      <c r="EM223" s="53">
        <f>(EC223*'[2]Renewable Diesel'!BF232*'[2]Feedstock Conversion Rates'!B$4)+FD223</f>
        <v>1661.6695690990946</v>
      </c>
      <c r="EN223" s="53">
        <f>(ED223*'[2]Renewable Diesel'!BF232*'[2]Feedstock Conversion Rates'!B$5)+FE223</f>
        <v>75.635433772055848</v>
      </c>
      <c r="EO223" s="53">
        <f>(EE223*'[2]Renewable Diesel'!BF232*'[2]Feedstock Conversion Rates'!B$6)+FF223</f>
        <v>245.87234154369494</v>
      </c>
      <c r="EP223" s="53">
        <f>(EF223*'[2]Renewable Diesel'!BF232*'[2]Feedstock Conversion Rates'!B$7)+FG223</f>
        <v>206.24616560770741</v>
      </c>
      <c r="EQ223" s="53">
        <f>(EG223*'[2]Renewable Diesel'!BF232*'[2]Feedstock Conversion Rates'!B$8)+FH223</f>
        <v>7.5161577749124193</v>
      </c>
      <c r="ER223" s="53">
        <f>(EH223*'[2]Renewable Diesel'!BF232*'[2]Feedstock Conversion Rates'!B$9)+FI223</f>
        <v>3.0686657949987257</v>
      </c>
      <c r="ES223" s="53">
        <f t="shared" si="141"/>
        <v>2801.1883893408981</v>
      </c>
      <c r="ET223" s="36">
        <f>ES223/'[2]Renewable Diesel'!BF232</f>
        <v>7.8762661818100907</v>
      </c>
    </row>
    <row r="224" spans="1:150" x14ac:dyDescent="0.25">
      <c r="A224" s="39">
        <v>47239</v>
      </c>
      <c r="B224" s="45">
        <f t="shared" si="162"/>
        <v>22.300000000000011</v>
      </c>
      <c r="C224" s="45">
        <f t="shared" si="163"/>
        <v>37</v>
      </c>
      <c r="D224" s="45">
        <f t="shared" si="164"/>
        <v>2</v>
      </c>
      <c r="E224" s="45">
        <f>('[2]Renewable Diesel'!B233*E$3*'[2]Feedstock Conversion Rates'!$B$2)/12-57.5+12.5+43-59+20+16+50+55-5-26-5-8+15.5-41-1</f>
        <v>99.43</v>
      </c>
      <c r="F224" s="45">
        <f>('[2]Renewable Diesel'!B233*'[2]RD Feedstock Breakdown'!F$3*'[2]Feedstock Conversion Rates'!B$8)/12-24+17.5-2.25+15-45+5+17+10+2-29+4-16</f>
        <v>8.15625</v>
      </c>
      <c r="G224" s="45">
        <f>('[2]Renewable Diesel'!B233*'[2]RD Feedstock Breakdown'!G$3*'[2]Feedstock Conversion Rates'!B$7)/12-50-1+71-144-30+30+70+7.5-65+7.5-25-12.5-5-10+2</f>
        <v>21.657000000000011</v>
      </c>
      <c r="H224" s="45">
        <f>('[2]Renewable Diesel'!B233*'[2]RD Feedstock Breakdown'!H$3*'[2]Feedstock Conversion Rates'!B$3)/12-105+29+50+2.5-120+10+1.5+51+30+20-5-45+200+10</f>
        <v>305.40022499999998</v>
      </c>
      <c r="I224" s="47">
        <f t="shared" si="160"/>
        <v>495.94347500000003</v>
      </c>
      <c r="J224" s="45">
        <f t="shared" si="165"/>
        <v>102.5</v>
      </c>
      <c r="K224" s="45"/>
      <c r="L224" s="45">
        <v>1</v>
      </c>
      <c r="M224" s="45">
        <f>('[2]Renewable Diesel'!C233*'[2]RD Feedstock Breakdown'!M$3*'[2]Feedstock Conversion Rates'!B$2)/12-25+4.5-34-0.5-2.5+3+7.5+2.5-4+26+25</f>
        <v>10.29025</v>
      </c>
      <c r="N224" s="45">
        <f>('[2]Renewable Diesel'!C233*'[2]RD Feedstock Breakdown'!N$3*'[2]Feedstock Conversion Rates'!B$8)/12-2.5+30-39+1+7+2+7+2-24-15</f>
        <v>-27.828125</v>
      </c>
      <c r="O224" s="45">
        <f>('[2]Renewable Diesel'!C233*'[2]RD Feedstock Breakdown'!O$3*'[2]Feedstock Conversion Rates'!B$7)/12-30-60-19+29+15-15+30-20+9</f>
        <v>-49.000900000000001</v>
      </c>
      <c r="P224" s="45">
        <f>('[2]Renewable Diesel'!C233*'[2]RD Feedstock Breakdown'!P$3*'[2]Feedstock Conversion Rates'!B$3)/12-27+50-107+35+15+40+50-95-5+25+5</f>
        <v>-3.5529574999999909</v>
      </c>
      <c r="Q224" s="47">
        <f t="shared" si="85"/>
        <v>33.408267500000008</v>
      </c>
      <c r="R224" s="45">
        <f>('[2]Renewable Diesel'!D233*'[2]RD Feedstock Breakdown'!R$3*'[2]Feedstock Conversion Rates'!B$7)/12</f>
        <v>2.2999999999999998</v>
      </c>
      <c r="S224" s="47">
        <f t="shared" si="116"/>
        <v>2.2999999999999998</v>
      </c>
      <c r="T224" s="45">
        <f t="shared" si="166"/>
        <v>5.8250000000000028</v>
      </c>
      <c r="U224" s="45">
        <v>30</v>
      </c>
      <c r="V224" s="45">
        <f>('[2]Renewable Diesel'!E233*'[2]RD Feedstock Breakdown'!V$3*'[2]Feedstock Conversion Rates'!B$6)/12-20+25-35</f>
        <v>14.250150000000012</v>
      </c>
      <c r="W224" s="45">
        <f>('[2]Renewable Diesel'!E233*'[2]RD Feedstock Breakdown'!W$3*'[2]Feedstock Conversion Rates'!B$8)/12-6</f>
        <v>16.1796875</v>
      </c>
      <c r="X224" s="47">
        <f t="shared" si="147"/>
        <v>66.254837500000008</v>
      </c>
      <c r="Y224" s="45">
        <f t="shared" si="167"/>
        <v>126</v>
      </c>
      <c r="Z224" s="45">
        <f>('[2]Renewable Diesel'!F233*'[2]RD Feedstock Breakdown'!Z$3*'[2]Feedstock Conversion Rates'!B$6)/12-50-32-60+15+30+22.5-70+75-30+3+5</f>
        <v>67.960000000000008</v>
      </c>
      <c r="AA224" s="45">
        <f>('[2]Renewable Diesel'!F233*'[2]RD Feedstock Breakdown'!AA$3*'[2]Feedstock Conversion Rates'!B$7)/12+80-171+75+30-50-1+2.5</f>
        <v>69.766666666666652</v>
      </c>
      <c r="AB224" s="47">
        <f t="shared" si="102"/>
        <v>263.72666666666669</v>
      </c>
      <c r="AC224" s="45">
        <f>('[2]Renewable Diesel'!G233*'[2]RD Feedstock Breakdown'!AC$3*'[2]Feedstock Conversion Rates'!B$5)/12+2</f>
        <v>13.796875</v>
      </c>
      <c r="AD224" s="45">
        <f>('[2]Renewable Diesel'!G233*'[2]RD Feedstock Breakdown'!AD$3*'[2]Feedstock Conversion Rates'!B$4)/12</f>
        <v>5.859375</v>
      </c>
      <c r="AE224" s="45">
        <f>('[2]Renewable Diesel'!G233*'[2]RD Feedstock Breakdown'!AE$3*'[2]Feedstock Conversion Rates'!B$6)/12-2</f>
        <v>5.3281250000000009</v>
      </c>
      <c r="AF224" s="47">
        <f t="shared" si="156"/>
        <v>24.984375</v>
      </c>
      <c r="AG224" s="45">
        <f t="shared" si="170"/>
        <v>16.5</v>
      </c>
      <c r="AH224" s="45">
        <v>125</v>
      </c>
      <c r="AI224" s="45">
        <f>('[2]Renewable Diesel'!H233*'[2]RD Feedstock Breakdown'!AI$3*'[2]Feedstock Conversion Rates'!B$6)/12-130-20+51-120+2.5+100-45+20</f>
        <v>7.0166666666666799</v>
      </c>
      <c r="AJ224" s="47">
        <f t="shared" si="113"/>
        <v>23.51666666666668</v>
      </c>
      <c r="AK224" s="45">
        <f>('[2]Renewable Diesel'!J233*'[2]RD Feedstock Breakdown'!AK$3*'[2]Feedstock Conversion Rates'!B$4)/12</f>
        <v>95.8125</v>
      </c>
      <c r="AL224" s="47">
        <f t="shared" si="123"/>
        <v>95.8125</v>
      </c>
      <c r="AM224" s="45">
        <f>('[2]Renewable Diesel'!K233*'[2]RD Feedstock Breakdown'!AM$3*'[2]Feedstock Conversion Rates'!B$4)/12+5+15-10+9-27</f>
        <v>50.59375</v>
      </c>
      <c r="AN224" s="45">
        <f>('[2]Renewable Diesel'!K233*'[2]RD Feedstock Breakdown'!AN$3*'[2]Feedstock Conversion Rates'!B$6)/12-5-15+10-9+27</f>
        <v>32.427083333333329</v>
      </c>
      <c r="AO224" s="47">
        <f t="shared" si="135"/>
        <v>83.020833333333329</v>
      </c>
      <c r="AP224" s="45">
        <f>('[2]Renewable Diesel'!L233*'[2]RD Feedstock Breakdown'!AP$3*'[2]Feedstock Conversion Rates'!B$4)/12+15-10+5+9</f>
        <v>77.59375</v>
      </c>
      <c r="AQ224" s="45">
        <f>('[2]Renewable Diesel'!L233*'[2]RD Feedstock Breakdown'!AQ$3*'[2]Feedstock Conversion Rates'!B$6)/12-15+10-5-9</f>
        <v>5.4270833333333321</v>
      </c>
      <c r="AR224" s="47">
        <f t="shared" si="125"/>
        <v>83.020833333333329</v>
      </c>
      <c r="AS224" s="45">
        <f>('[2]Renewable Diesel'!M233*'[2]RD Feedstock Breakdown'!AS$3*'[2]Feedstock Conversion Rates'!B$4)/12</f>
        <v>456.25</v>
      </c>
      <c r="AT224" s="45">
        <f>('[2]Renewable Diesel'!M233*'[2]RD Feedstock Breakdown'!AT$3*'[2]Feedstock Conversion Rates'!B$5)/12</f>
        <v>0</v>
      </c>
      <c r="AU224" s="47">
        <f t="shared" si="159"/>
        <v>456.25</v>
      </c>
      <c r="AV224" s="45">
        <f>'[2]Renewable Diesel'!N233*'[2]RD Feedstock Breakdown'!$AV$3*'[2]Feedstock Conversion Rates'!$B$4/12-15-10+25+25-22-10-30</f>
        <v>41.749999999999986</v>
      </c>
      <c r="AW224" s="45">
        <f>'[2]Renewable Diesel'!N233*'[2]RD Feedstock Breakdown'!$AW$3*'[2]Feedstock Conversion Rates'!$B$7/12+15+10-25-25+22+10+30</f>
        <v>78.400000000000006</v>
      </c>
      <c r="AX224" s="47">
        <f t="shared" si="109"/>
        <v>120.14999999999999</v>
      </c>
      <c r="AY224" s="45">
        <f>('[2]Renewable Diesel'!O233*'[2]RD Feedstock Breakdown'!AY$3*'[2]Feedstock Conversion Rates'!B$4)/12+32+2-135</f>
        <v>109.9375</v>
      </c>
      <c r="AZ224" s="45">
        <f>('[2]Renewable Diesel'!O233*'[2]RD Feedstock Breakdown'!AZ$3*'[2]Feedstock Conversion Rates'!B$3)/12-32-2+135</f>
        <v>126.03125</v>
      </c>
      <c r="BA224" s="47">
        <f t="shared" si="87"/>
        <v>235.96875</v>
      </c>
      <c r="BB224" s="45">
        <f>('[2]Renewable Diesel'!Q233*'[2]RD Feedstock Breakdown'!BB$3*'[2]Feedstock Conversion Rates'!B$4)/12</f>
        <v>11.156249999999998</v>
      </c>
      <c r="BC224" s="45">
        <f>('[2]Renewable Diesel'!Q233*'[2]RD Feedstock Breakdown'!BC$3*'[2]Feedstock Conversion Rates'!B$3)/12</f>
        <v>1.4017500000000001</v>
      </c>
      <c r="BD224" s="45">
        <f>('[2]Renewable Diesel'!Q233*'[2]RD Feedstock Breakdown'!BD$3*'[2]Feedstock Conversion Rates'!B$6)/12</f>
        <v>0.8207500000000002</v>
      </c>
      <c r="BE224" s="47">
        <f t="shared" si="151"/>
        <v>13.378749999999998</v>
      </c>
      <c r="BF224" s="45">
        <f>('[2]Renewable Diesel'!R233*'[2]RD Feedstock Breakdown'!BF$3*'[2]Feedstock Conversion Rates'!B$4)/12</f>
        <v>62.5</v>
      </c>
      <c r="BG224" s="47">
        <f t="shared" si="129"/>
        <v>62.5</v>
      </c>
      <c r="BH224" s="45">
        <f>('[2]Renewable Diesel'!T233*'[2]RD Feedstock Breakdown'!BH$3*'[2]Feedstock Conversion Rates'!B$7)/12</f>
        <v>27.599999999999998</v>
      </c>
      <c r="BI224" s="47">
        <f t="shared" si="112"/>
        <v>27.599999999999998</v>
      </c>
      <c r="BJ224" s="45">
        <f>('[2]Renewable Diesel'!W233*'[2]RD Feedstock Breakdown'!BJ$3*'[2]Feedstock Conversion Rates'!B$4)/12</f>
        <v>7.5</v>
      </c>
      <c r="BK224" s="45">
        <f>('[2]Renewable Diesel'!W233*'[2]RD Feedstock Breakdown'!BK$3*'[2]Feedstock Conversion Rates'!B$3)/12</f>
        <v>1.335</v>
      </c>
      <c r="BL224" s="45">
        <f>('[2]Renewable Diesel'!W233*'[2]RD Feedstock Breakdown'!BL$3*'[2]Feedstock Conversion Rates'!B$6)/12</f>
        <v>3.1266666666666669</v>
      </c>
      <c r="BM224" s="45">
        <f>('[2]Renewable Diesel'!W233*'[2]RD Feedstock Breakdown'!BM$3*'[2]Feedstock Conversion Rates'!B$7)/12</f>
        <v>1.5333333333333332</v>
      </c>
      <c r="BN224" s="47">
        <f t="shared" si="168"/>
        <v>13.495000000000001</v>
      </c>
      <c r="BO224" s="45">
        <f>('[2]Renewable Diesel'!P233*'[2]Feedstock Conversion Rates'!B$4)/12</f>
        <v>31.25</v>
      </c>
      <c r="BP224" s="47">
        <f t="shared" si="157"/>
        <v>31.25</v>
      </c>
      <c r="BQ224" s="45">
        <f>('[2]Renewable Diesel'!$S233*'[2]RD Feedstock Breakdown'!BQ$3*'[2]Feedstock Conversion Rates'!B$4)/12+10</f>
        <v>38.125</v>
      </c>
      <c r="BR224" s="45">
        <f>('[2]Renewable Diesel'!$S233*'[2]RD Feedstock Breakdown'!BR$3*'[2]Feedstock Conversion Rates'!B$7)/12-10</f>
        <v>1.5</v>
      </c>
      <c r="BS224" s="47">
        <f t="shared" si="90"/>
        <v>39.625</v>
      </c>
      <c r="BT224" s="47"/>
      <c r="BU224" s="45">
        <f>('[2]Renewable Diesel'!Y233*'[2]Feedstock Conversion Rates'!B$7)/12</f>
        <v>2.6833333333333331</v>
      </c>
      <c r="BV224" s="47">
        <f t="shared" si="153"/>
        <v>2.6833333333333331</v>
      </c>
      <c r="BW224" s="45">
        <f>('[2]Renewable Diesel'!$Z233*'[2]RD Feedstock Breakdown'!BW$3*'[2]Feedstock Conversion Rates'!$B$4)/12</f>
        <v>53.90625</v>
      </c>
      <c r="BX224" s="45">
        <f>('[2]Renewable Diesel'!$Z233*'[2]RD Feedstock Breakdown'!BX$3*'[2]Feedstock Conversion Rates'!$B$5)/12</f>
        <v>5.4265624999999993</v>
      </c>
      <c r="BY224" s="45">
        <f>('[2]Renewable Diesel'!$Z233*'[2]RD Feedstock Breakdown'!BY$3*'[2]Feedstock Conversion Rates'!$B$7)/12</f>
        <v>46.287499999999994</v>
      </c>
      <c r="BZ224" s="45">
        <f>('[2]Renewable Diesel'!$Z233*'[2]RD Feedstock Breakdown'!BZ$3*'[2]Feedstock Conversion Rates'!$B$3)/12</f>
        <v>11.514374999999999</v>
      </c>
      <c r="CA224" s="47">
        <f t="shared" si="91"/>
        <v>117.1346875</v>
      </c>
      <c r="CB224" s="45">
        <f>('[2]Renewable Diesel'!AA233*'[2]Feedstock Conversion Rates'!B$4)/12</f>
        <v>191.25</v>
      </c>
      <c r="CC224" s="47">
        <f t="shared" si="171"/>
        <v>191.25</v>
      </c>
      <c r="CD224" s="45">
        <f>('[2]Renewable Diesel'!$AB233*'[2]RD Feedstock Breakdown'!CD$3*'[2]Feedstock Conversion Rates'!$B$6)/12-15</f>
        <v>17.830000000000005</v>
      </c>
      <c r="CE224" s="45">
        <f>('[2]Renewable Diesel'!$AB233*'[2]RD Feedstock Breakdown'!CE$3*'[2]Feedstock Conversion Rates'!$B$4)/12+15</f>
        <v>26.25</v>
      </c>
      <c r="CF224" s="47">
        <f t="shared" si="161"/>
        <v>44.080000000000005</v>
      </c>
      <c r="CG224" s="45">
        <f>('[2]Renewable Diesel'!AD233*'[2]Feedstock Conversion Rates'!B$4)/12</f>
        <v>112.5</v>
      </c>
      <c r="CH224" s="47">
        <f t="shared" si="149"/>
        <v>112.5</v>
      </c>
      <c r="CI224" s="45">
        <f>('[2]Renewable Diesel'!$AE233*'[2]RD Feedstock Breakdown'!CI$3*'[2]Feedstock Conversion Rates'!$B$5)/12</f>
        <v>0.34604166666666664</v>
      </c>
      <c r="CJ224" s="45">
        <f>('[2]Renewable Diesel'!$AE233*'[2]RD Feedstock Breakdown'!CJ$3*'[2]Feedstock Conversion Rates'!$B$4)/12</f>
        <v>0.34375</v>
      </c>
      <c r="CK224" s="47">
        <f t="shared" si="158"/>
        <v>0.68979166666666658</v>
      </c>
      <c r="CL224" s="45">
        <f>(((CL$3*'[2]Renewable Diesel'!$AF233)*'[2]Feedstock Conversion Rates'!$B$3)/12)</f>
        <v>91.78125</v>
      </c>
      <c r="CM224" s="45">
        <f>(((CM$3*'[2]Renewable Diesel'!$AF233)*'[2]Feedstock Conversion Rates'!$B$6)/12)</f>
        <v>53.739583333333336</v>
      </c>
      <c r="CN224" s="45">
        <f>(((CN$3*'[2]Renewable Diesel'!$AF233)*'[2]Feedstock Conversion Rates'!$B$4)/12)</f>
        <v>42.96875</v>
      </c>
      <c r="CO224" s="47">
        <f t="shared" si="152"/>
        <v>188.48958333333334</v>
      </c>
      <c r="CP224" s="45">
        <f>('[2]Renewable Diesel'!$AG233*'[2]RD Feedstock Breakdown'!CP$3*'[2]Feedstock Conversion Rates'!$B$3)/12</f>
        <v>6.0075000000000003</v>
      </c>
      <c r="CQ224" s="45">
        <f>('[2]Renewable Diesel'!$AG233*'[2]RD Feedstock Breakdown'!CQ$3*'[2]Feedstock Conversion Rates'!$B$6)/12</f>
        <v>3.5175000000000001</v>
      </c>
      <c r="CR224" s="45">
        <f>('[2]Renewable Diesel'!$AG233*'[2]RD Feedstock Breakdown'!CR$3*'[2]Feedstock Conversion Rates'!$B$4)/12</f>
        <v>2.8125</v>
      </c>
      <c r="CS224" s="47">
        <f t="shared" si="99"/>
        <v>12.3375</v>
      </c>
      <c r="CT224" s="45">
        <f>('[2]Renewable Diesel'!AI233*'[2]Feedstock Conversion Rates'!$B$4*'[2]RD Feedstock Breakdown'!$CT$3)/12</f>
        <v>29.375</v>
      </c>
      <c r="CU224" s="47">
        <f t="shared" si="154"/>
        <v>29.375</v>
      </c>
      <c r="CV224" s="45">
        <f>('[2]Renewable Diesel'!AN233*'[2]Feedstock Conversion Rates'!$B$3*'[2]RD Feedstock Breakdown'!$CV$3)/12</f>
        <v>0.50062499999999999</v>
      </c>
      <c r="CW224" s="47">
        <f t="shared" si="124"/>
        <v>0.50062499999999999</v>
      </c>
      <c r="CX224" s="45">
        <f>('[2]Renewable Diesel'!AO233*'[2]RD Feedstock Breakdown'!$CX$3*'[2]Feedstock Conversion Rates'!$B$3)/12</f>
        <v>6.3412499999999996</v>
      </c>
      <c r="CY224" s="45">
        <f>('[2]Renewable Diesel'!AO233*'[2]RD Feedstock Breakdown'!$CY$3*'[2]Feedstock Conversion Rates'!$B$6)/12</f>
        <v>7.4258333333333342</v>
      </c>
      <c r="CZ224" s="47">
        <f t="shared" si="100"/>
        <v>13.767083333333334</v>
      </c>
      <c r="DA224" s="45">
        <f>('[2]Renewable Diesel'!$AP233*'[2]RD Feedstock Breakdown'!DA$3*'[2]Feedstock Conversion Rates'!$B$3)/12</f>
        <v>6.3412499999999996</v>
      </c>
      <c r="DB224" s="45">
        <f>('[2]Renewable Diesel'!$AP233*'[2]RD Feedstock Breakdown'!DB$3*'[2]Feedstock Conversion Rates'!$B$8)/12</f>
        <v>7.421875</v>
      </c>
      <c r="DC224" s="47">
        <f t="shared" si="127"/>
        <v>13.763124999999999</v>
      </c>
      <c r="DD224" s="45">
        <f>('[2]Renewable Diesel'!AQ233*$DD$3*'[2]Feedstock Conversion Rates'!$B$14)/12</f>
        <v>3.1041666666666665</v>
      </c>
      <c r="DE224" s="47">
        <f t="shared" si="128"/>
        <v>3.1041666666666665</v>
      </c>
      <c r="DF224" s="45">
        <f>('[2]Renewable Diesel'!AR233*'[2]Feedstock Conversion Rates'!$B$4*$DF$3)/12</f>
        <v>75</v>
      </c>
      <c r="DG224" s="47">
        <f t="shared" si="101"/>
        <v>75</v>
      </c>
      <c r="DH224" s="45">
        <f>('[2]Renewable Diesel'!AS233*'[2]Feedstock Conversion Rates'!$B$4*$DH$3)/12</f>
        <v>75</v>
      </c>
      <c r="DI224" s="47">
        <f t="shared" si="110"/>
        <v>75</v>
      </c>
      <c r="DJ224" s="45">
        <f>('[2]Renewable Diesel'!AT233*'[2]Feedstock Conversion Rates'!$B$4*0.25)/12</f>
        <v>8.59375</v>
      </c>
      <c r="DK224" s="45">
        <f>('[2]Renewable Diesel'!$AT233*'[2]RD Feedstock Breakdown'!DK$3*'[2]Feedstock Conversion Rates'!$B$3)/12*0.5</f>
        <v>9.1781249999999996</v>
      </c>
      <c r="DL224" s="45">
        <f>('[2]Renewable Diesel'!$AT233*'[2]RD Feedstock Breakdown'!$DL$3*'[2]Feedstock Conversion Rates'!$B$6)/12</f>
        <v>10.747916666666669</v>
      </c>
      <c r="DM224" s="45">
        <f>('[2]Renewable Diesel'!$AT233*'[2]RD Feedstock Breakdown'!$DM$3*'[2]Feedstock Conversion Rates'!$B$8)/12</f>
        <v>10.7421875</v>
      </c>
      <c r="DN224" s="47">
        <f t="shared" si="169"/>
        <v>39.26197916666667</v>
      </c>
      <c r="DP224" s="45">
        <f t="shared" si="130"/>
        <v>109.72025000000001</v>
      </c>
      <c r="DQ224" s="45">
        <f t="shared" si="131"/>
        <v>562.27964249999991</v>
      </c>
      <c r="DR224" s="45">
        <f t="shared" si="136"/>
        <v>2003.534375</v>
      </c>
      <c r="DS224" s="45">
        <f t="shared" si="155"/>
        <v>90.592395833333327</v>
      </c>
      <c r="DT224" s="45">
        <f t="shared" si="132"/>
        <v>237.03923333333344</v>
      </c>
      <c r="DU224" s="45">
        <f t="shared" si="133"/>
        <v>202.72693333333333</v>
      </c>
      <c r="DV224" s="45">
        <f t="shared" si="137"/>
        <v>7.25</v>
      </c>
      <c r="DW224" s="45">
        <f t="shared" si="134"/>
        <v>3</v>
      </c>
      <c r="DX224" s="47">
        <f t="shared" si="138"/>
        <v>3216.1428299999998</v>
      </c>
      <c r="DY224" s="50">
        <f t="shared" si="126"/>
        <v>-124.99999999999969</v>
      </c>
      <c r="EA224" s="51">
        <f t="shared" si="117"/>
        <v>3.4115478011901609E-2</v>
      </c>
      <c r="EB224" s="51">
        <f t="shared" si="117"/>
        <v>0.17483043267080273</v>
      </c>
      <c r="EC224" s="51">
        <f t="shared" si="117"/>
        <v>0.62296187728702335</v>
      </c>
      <c r="ED224" s="51">
        <f t="shared" si="114"/>
        <v>2.8168026304146863E-2</v>
      </c>
      <c r="EE224" s="51">
        <f t="shared" si="114"/>
        <v>7.3702955951534491E-2</v>
      </c>
      <c r="EF224" s="51">
        <f t="shared" si="114"/>
        <v>6.3034182264017594E-2</v>
      </c>
      <c r="EG224" s="51">
        <f t="shared" si="114"/>
        <v>2.2542531172348463E-3</v>
      </c>
      <c r="EH224" s="52">
        <f t="shared" si="139"/>
        <v>9.3279439333855707E-4</v>
      </c>
      <c r="EI224" s="51">
        <f t="shared" si="140"/>
        <v>0.9990672056066614</v>
      </c>
      <c r="EK224" s="53">
        <f>(EA224*'[2]Renewable Diesel'!BF233*'[2]Feedstock Conversion Rates'!B$2)+FB224</f>
        <v>123.42691377967422</v>
      </c>
      <c r="EL224" s="53">
        <f>(EB224*'[2]Renewable Diesel'!BF233*'[2]Feedstock Conversion Rates'!B$3)+FC224</f>
        <v>596.05870067564319</v>
      </c>
      <c r="EM224" s="53">
        <f>(EC224*'[2]Renewable Diesel'!BF233*'[2]Feedstock Conversion Rates'!B$4)+FD224</f>
        <v>1988.6676870152942</v>
      </c>
      <c r="EN224" s="53">
        <f>(ED224*'[2]Renewable Diesel'!BF233*'[2]Feedstock Conversion Rates'!B$5)+FE224</f>
        <v>90.519647186788404</v>
      </c>
      <c r="EO224" s="53">
        <f>(EE224*'[2]Renewable Diesel'!BF233*'[2]Feedstock Conversion Rates'!B$6)+FF224</f>
        <v>294.25728788174905</v>
      </c>
      <c r="EP224" s="53">
        <f>(EF224*'[2]Renewable Diesel'!BF233*'[2]Feedstock Conversion Rates'!B$7)+FG224</f>
        <v>246.83312058078192</v>
      </c>
      <c r="EQ224" s="53">
        <f>(EG224*'[2]Renewable Diesel'!BF233*'[2]Feedstock Conversion Rates'!B$8)+FH224</f>
        <v>8.995254156084096</v>
      </c>
      <c r="ER224" s="53">
        <f>(EH224*'[2]Renewable Diesel'!BF233*'[2]Feedstock Conversion Rates'!B$9)+FI224</f>
        <v>3.6725451451046793</v>
      </c>
      <c r="ES224" s="53">
        <f t="shared" si="141"/>
        <v>3352.4311564211198</v>
      </c>
      <c r="ET224" s="36">
        <f>ES224/'[2]Renewable Diesel'!BF233</f>
        <v>7.8762661818100916</v>
      </c>
    </row>
    <row r="225" spans="1:150" x14ac:dyDescent="0.25">
      <c r="A225" s="39">
        <v>47270</v>
      </c>
      <c r="B225" s="45">
        <f t="shared" si="162"/>
        <v>22.300000000000011</v>
      </c>
      <c r="C225" s="45">
        <f t="shared" si="163"/>
        <v>37</v>
      </c>
      <c r="D225" s="45">
        <f t="shared" si="164"/>
        <v>2</v>
      </c>
      <c r="E225" s="45">
        <f>('[2]Renewable Diesel'!B234*E$3*'[2]Feedstock Conversion Rates'!$B$2)/12-57.5+12.5+43-59+20+16+50+55-5-26-5-8+15.5-41-1</f>
        <v>99.43</v>
      </c>
      <c r="F225" s="45">
        <f>('[2]Renewable Diesel'!B234*'[2]RD Feedstock Breakdown'!F$3*'[2]Feedstock Conversion Rates'!B$8)/12-24+17.5-2.25+15-45+5+17+10+2-29+4-16</f>
        <v>8.15625</v>
      </c>
      <c r="G225" s="45">
        <f>('[2]Renewable Diesel'!B234*'[2]RD Feedstock Breakdown'!G$3*'[2]Feedstock Conversion Rates'!B$7)/12-50-1+71-144-30+30+70+7.5-65+7.5-25-12.5-5-10+2</f>
        <v>21.657000000000011</v>
      </c>
      <c r="H225" s="45">
        <f>('[2]Renewable Diesel'!B234*'[2]RD Feedstock Breakdown'!H$3*'[2]Feedstock Conversion Rates'!B$3)/12-105+29+50+2.5-120+10+1.5+51+30+20-5-45+200+10</f>
        <v>305.40022499999998</v>
      </c>
      <c r="I225" s="47">
        <f t="shared" si="160"/>
        <v>495.94347500000003</v>
      </c>
      <c r="J225" s="45">
        <f t="shared" si="165"/>
        <v>102.5</v>
      </c>
      <c r="K225" s="45"/>
      <c r="L225" s="45">
        <v>1</v>
      </c>
      <c r="M225" s="45">
        <f>('[2]Renewable Diesel'!C234*'[2]RD Feedstock Breakdown'!M$3*'[2]Feedstock Conversion Rates'!B$2)/12-25+4.5-34-0.5-2.5+3+7.5+2.5-4+26+25</f>
        <v>10.29025</v>
      </c>
      <c r="N225" s="45">
        <f>('[2]Renewable Diesel'!C234*'[2]RD Feedstock Breakdown'!N$3*'[2]Feedstock Conversion Rates'!B$8)/12-2.5+30-39+1+7+2+7+2-24-15</f>
        <v>-27.828125</v>
      </c>
      <c r="O225" s="45">
        <f>('[2]Renewable Diesel'!C234*'[2]RD Feedstock Breakdown'!O$3*'[2]Feedstock Conversion Rates'!B$7)/12-30-60-19+29+15-15+30-20+9</f>
        <v>-49.000900000000001</v>
      </c>
      <c r="P225" s="45">
        <f>('[2]Renewable Diesel'!C234*'[2]RD Feedstock Breakdown'!P$3*'[2]Feedstock Conversion Rates'!B$3)/12-27+50-107+35+15+40+50-95-5+25+5</f>
        <v>-3.5529574999999909</v>
      </c>
      <c r="Q225" s="47">
        <f t="shared" ref="Q225:Q288" si="172">SUM(J225:P225)</f>
        <v>33.408267500000008</v>
      </c>
      <c r="R225" s="45">
        <f>('[2]Renewable Diesel'!D234*'[2]RD Feedstock Breakdown'!R$3*'[2]Feedstock Conversion Rates'!B$7)/12</f>
        <v>2.2999999999999998</v>
      </c>
      <c r="S225" s="47">
        <f t="shared" si="116"/>
        <v>2.2999999999999998</v>
      </c>
      <c r="T225" s="45">
        <f t="shared" si="166"/>
        <v>5.8250000000000028</v>
      </c>
      <c r="U225" s="45">
        <v>30</v>
      </c>
      <c r="V225" s="45">
        <f>('[2]Renewable Diesel'!E234*'[2]RD Feedstock Breakdown'!V$3*'[2]Feedstock Conversion Rates'!B$6)/12-20+25-35</f>
        <v>14.250150000000012</v>
      </c>
      <c r="W225" s="45">
        <f>('[2]Renewable Diesel'!E234*'[2]RD Feedstock Breakdown'!W$3*'[2]Feedstock Conversion Rates'!B$8)/12-6</f>
        <v>16.1796875</v>
      </c>
      <c r="X225" s="47">
        <f t="shared" si="147"/>
        <v>66.254837500000008</v>
      </c>
      <c r="Y225" s="45">
        <f t="shared" si="167"/>
        <v>126</v>
      </c>
      <c r="Z225" s="45">
        <f>('[2]Renewable Diesel'!F234*'[2]RD Feedstock Breakdown'!Z$3*'[2]Feedstock Conversion Rates'!B$6)/12-50-32-60+15+30+22.5-70+75-30+3+5</f>
        <v>67.960000000000008</v>
      </c>
      <c r="AA225" s="45">
        <f>('[2]Renewable Diesel'!F234*'[2]RD Feedstock Breakdown'!AA$3*'[2]Feedstock Conversion Rates'!B$7)/12+80-171+75+30-50-1+2.5</f>
        <v>69.766666666666652</v>
      </c>
      <c r="AB225" s="47">
        <f t="shared" si="102"/>
        <v>263.72666666666669</v>
      </c>
      <c r="AC225" s="45">
        <f>('[2]Renewable Diesel'!G234*'[2]RD Feedstock Breakdown'!AC$3*'[2]Feedstock Conversion Rates'!B$5)/12+2</f>
        <v>13.796875</v>
      </c>
      <c r="AD225" s="45">
        <f>('[2]Renewable Diesel'!G234*'[2]RD Feedstock Breakdown'!AD$3*'[2]Feedstock Conversion Rates'!B$4)/12</f>
        <v>5.859375</v>
      </c>
      <c r="AE225" s="45">
        <f>('[2]Renewable Diesel'!G234*'[2]RD Feedstock Breakdown'!AE$3*'[2]Feedstock Conversion Rates'!B$6)/12-2</f>
        <v>5.3281250000000009</v>
      </c>
      <c r="AF225" s="47">
        <f t="shared" si="156"/>
        <v>24.984375</v>
      </c>
      <c r="AG225" s="45">
        <f t="shared" si="170"/>
        <v>16.5</v>
      </c>
      <c r="AH225" s="45">
        <v>125</v>
      </c>
      <c r="AI225" s="45">
        <f>('[2]Renewable Diesel'!H234*'[2]RD Feedstock Breakdown'!AI$3*'[2]Feedstock Conversion Rates'!B$6)/12-130-20+51-120+2.5+100-45+20</f>
        <v>7.0166666666666799</v>
      </c>
      <c r="AJ225" s="47">
        <f t="shared" si="113"/>
        <v>23.51666666666668</v>
      </c>
      <c r="AK225" s="45">
        <f>('[2]Renewable Diesel'!J234*'[2]RD Feedstock Breakdown'!AK$3*'[2]Feedstock Conversion Rates'!B$4)/12</f>
        <v>95.8125</v>
      </c>
      <c r="AL225" s="47">
        <f t="shared" si="123"/>
        <v>95.8125</v>
      </c>
      <c r="AM225" s="45">
        <f>('[2]Renewable Diesel'!K234*'[2]RD Feedstock Breakdown'!AM$3*'[2]Feedstock Conversion Rates'!B$4)/12+5+15-10+9-27</f>
        <v>50.59375</v>
      </c>
      <c r="AN225" s="45">
        <f>('[2]Renewable Diesel'!K234*'[2]RD Feedstock Breakdown'!AN$3*'[2]Feedstock Conversion Rates'!B$6)/12-5-15+10-9+27</f>
        <v>32.427083333333329</v>
      </c>
      <c r="AO225" s="47">
        <f t="shared" si="135"/>
        <v>83.020833333333329</v>
      </c>
      <c r="AP225" s="45">
        <f>('[2]Renewable Diesel'!L234*'[2]RD Feedstock Breakdown'!AP$3*'[2]Feedstock Conversion Rates'!B$4)/12+15-10+5+9</f>
        <v>77.59375</v>
      </c>
      <c r="AQ225" s="45">
        <f>('[2]Renewable Diesel'!L234*'[2]RD Feedstock Breakdown'!AQ$3*'[2]Feedstock Conversion Rates'!B$6)/12-15+10-5-9</f>
        <v>5.4270833333333321</v>
      </c>
      <c r="AR225" s="47">
        <f t="shared" si="125"/>
        <v>83.020833333333329</v>
      </c>
      <c r="AS225" s="45">
        <f>('[2]Renewable Diesel'!M234*'[2]RD Feedstock Breakdown'!AS$3*'[2]Feedstock Conversion Rates'!B$4)/12</f>
        <v>456.25</v>
      </c>
      <c r="AT225" s="45">
        <f>('[2]Renewable Diesel'!M234*'[2]RD Feedstock Breakdown'!AT$3*'[2]Feedstock Conversion Rates'!B$5)/12</f>
        <v>0</v>
      </c>
      <c r="AU225" s="47">
        <f t="shared" si="159"/>
        <v>456.25</v>
      </c>
      <c r="AV225" s="45">
        <f>'[2]Renewable Diesel'!N234*'[2]RD Feedstock Breakdown'!$AV$3*'[2]Feedstock Conversion Rates'!$B$4/12-15-10+25+25-22-10-30</f>
        <v>41.749999999999986</v>
      </c>
      <c r="AW225" s="45">
        <f>'[2]Renewable Diesel'!N234*'[2]RD Feedstock Breakdown'!$AW$3*'[2]Feedstock Conversion Rates'!$B$7/12+15+10-25-25+22+10+30</f>
        <v>78.400000000000006</v>
      </c>
      <c r="AX225" s="47">
        <f t="shared" si="109"/>
        <v>120.14999999999999</v>
      </c>
      <c r="AY225" s="45">
        <f>('[2]Renewable Diesel'!O234*'[2]RD Feedstock Breakdown'!AY$3*'[2]Feedstock Conversion Rates'!B$4)/12+32+2-135</f>
        <v>109.9375</v>
      </c>
      <c r="AZ225" s="45">
        <f>('[2]Renewable Diesel'!O234*'[2]RD Feedstock Breakdown'!AZ$3*'[2]Feedstock Conversion Rates'!B$3)/12-32-2+135</f>
        <v>126.03125</v>
      </c>
      <c r="BA225" s="47">
        <f t="shared" ref="BA225:BA288" si="173">SUM(AY225:AZ225)</f>
        <v>235.96875</v>
      </c>
      <c r="BB225" s="45">
        <f>('[2]Renewable Diesel'!Q234*'[2]RD Feedstock Breakdown'!BB$3*'[2]Feedstock Conversion Rates'!B$4)/12</f>
        <v>11.156249999999998</v>
      </c>
      <c r="BC225" s="45">
        <f>('[2]Renewable Diesel'!Q234*'[2]RD Feedstock Breakdown'!BC$3*'[2]Feedstock Conversion Rates'!B$3)/12</f>
        <v>1.4017500000000001</v>
      </c>
      <c r="BD225" s="45">
        <f>('[2]Renewable Diesel'!Q234*'[2]RD Feedstock Breakdown'!BD$3*'[2]Feedstock Conversion Rates'!B$6)/12</f>
        <v>0.8207500000000002</v>
      </c>
      <c r="BE225" s="47">
        <f t="shared" si="151"/>
        <v>13.378749999999998</v>
      </c>
      <c r="BF225" s="45">
        <f>('[2]Renewable Diesel'!R234*'[2]RD Feedstock Breakdown'!BF$3*'[2]Feedstock Conversion Rates'!B$4)/12</f>
        <v>62.5</v>
      </c>
      <c r="BG225" s="47">
        <f t="shared" si="129"/>
        <v>62.5</v>
      </c>
      <c r="BH225" s="45">
        <f>('[2]Renewable Diesel'!T234*'[2]RD Feedstock Breakdown'!BH$3*'[2]Feedstock Conversion Rates'!B$7)/12</f>
        <v>27.599999999999998</v>
      </c>
      <c r="BI225" s="47">
        <f t="shared" si="112"/>
        <v>27.599999999999998</v>
      </c>
      <c r="BJ225" s="45">
        <f>('[2]Renewable Diesel'!W234*'[2]RD Feedstock Breakdown'!BJ$3*'[2]Feedstock Conversion Rates'!B$4)/12</f>
        <v>7.5</v>
      </c>
      <c r="BK225" s="45">
        <f>('[2]Renewable Diesel'!W234*'[2]RD Feedstock Breakdown'!BK$3*'[2]Feedstock Conversion Rates'!B$3)/12</f>
        <v>1.335</v>
      </c>
      <c r="BL225" s="45">
        <f>('[2]Renewable Diesel'!W234*'[2]RD Feedstock Breakdown'!BL$3*'[2]Feedstock Conversion Rates'!B$6)/12</f>
        <v>3.1266666666666669</v>
      </c>
      <c r="BM225" s="45">
        <f>('[2]Renewable Diesel'!W234*'[2]RD Feedstock Breakdown'!BM$3*'[2]Feedstock Conversion Rates'!B$7)/12</f>
        <v>1.5333333333333332</v>
      </c>
      <c r="BN225" s="47">
        <f t="shared" si="168"/>
        <v>13.495000000000001</v>
      </c>
      <c r="BO225" s="45">
        <f>('[2]Renewable Diesel'!P234*'[2]Feedstock Conversion Rates'!B$4)/12</f>
        <v>31.25</v>
      </c>
      <c r="BP225" s="47">
        <f t="shared" si="157"/>
        <v>31.25</v>
      </c>
      <c r="BQ225" s="45">
        <f>('[2]Renewable Diesel'!$S234*'[2]RD Feedstock Breakdown'!BQ$3*'[2]Feedstock Conversion Rates'!B$4)/12+10</f>
        <v>38.125</v>
      </c>
      <c r="BR225" s="45">
        <f>('[2]Renewable Diesel'!$S234*'[2]RD Feedstock Breakdown'!BR$3*'[2]Feedstock Conversion Rates'!B$7)/12-10</f>
        <v>1.5</v>
      </c>
      <c r="BS225" s="47">
        <f t="shared" si="90"/>
        <v>39.625</v>
      </c>
      <c r="BT225" s="47"/>
      <c r="BU225" s="45">
        <f>('[2]Renewable Diesel'!Y234*'[2]Feedstock Conversion Rates'!B$7)/12</f>
        <v>2.6833333333333331</v>
      </c>
      <c r="BV225" s="47">
        <f t="shared" si="153"/>
        <v>2.6833333333333331</v>
      </c>
      <c r="BW225" s="45">
        <f>('[2]Renewable Diesel'!$Z234*'[2]RD Feedstock Breakdown'!BW$3*'[2]Feedstock Conversion Rates'!$B$4)/12</f>
        <v>53.90625</v>
      </c>
      <c r="BX225" s="45">
        <f>('[2]Renewable Diesel'!$Z234*'[2]RD Feedstock Breakdown'!BX$3*'[2]Feedstock Conversion Rates'!$B$5)/12</f>
        <v>5.4265624999999993</v>
      </c>
      <c r="BY225" s="45">
        <f>('[2]Renewable Diesel'!$Z234*'[2]RD Feedstock Breakdown'!BY$3*'[2]Feedstock Conversion Rates'!$B$7)/12</f>
        <v>46.287499999999994</v>
      </c>
      <c r="BZ225" s="45">
        <f>('[2]Renewable Diesel'!$Z234*'[2]RD Feedstock Breakdown'!BZ$3*'[2]Feedstock Conversion Rates'!$B$3)/12</f>
        <v>11.514374999999999</v>
      </c>
      <c r="CA225" s="47">
        <f t="shared" si="91"/>
        <v>117.1346875</v>
      </c>
      <c r="CB225" s="45">
        <f>('[2]Renewable Diesel'!AA234*'[2]Feedstock Conversion Rates'!B$4)/12</f>
        <v>191.25</v>
      </c>
      <c r="CC225" s="47">
        <f t="shared" si="171"/>
        <v>191.25</v>
      </c>
      <c r="CD225" s="45">
        <f>('[2]Renewable Diesel'!$AB234*'[2]RD Feedstock Breakdown'!CD$3*'[2]Feedstock Conversion Rates'!$B$6)/12-15</f>
        <v>17.830000000000005</v>
      </c>
      <c r="CE225" s="45">
        <f>('[2]Renewable Diesel'!$AB234*'[2]RD Feedstock Breakdown'!CE$3*'[2]Feedstock Conversion Rates'!$B$4)/12+15</f>
        <v>26.25</v>
      </c>
      <c r="CF225" s="47">
        <f t="shared" si="161"/>
        <v>44.080000000000005</v>
      </c>
      <c r="CG225" s="45">
        <f>('[2]Renewable Diesel'!AD234*'[2]Feedstock Conversion Rates'!B$4)/12</f>
        <v>112.5</v>
      </c>
      <c r="CH225" s="47">
        <f t="shared" si="149"/>
        <v>112.5</v>
      </c>
      <c r="CI225" s="45">
        <f>('[2]Renewable Diesel'!$AE234*'[2]RD Feedstock Breakdown'!CI$3*'[2]Feedstock Conversion Rates'!$B$5)/12</f>
        <v>0.34604166666666664</v>
      </c>
      <c r="CJ225" s="45">
        <f>('[2]Renewable Diesel'!$AE234*'[2]RD Feedstock Breakdown'!CJ$3*'[2]Feedstock Conversion Rates'!$B$4)/12</f>
        <v>0.34375</v>
      </c>
      <c r="CK225" s="47">
        <f t="shared" si="158"/>
        <v>0.68979166666666658</v>
      </c>
      <c r="CL225" s="45">
        <f>(((CL$3*'[2]Renewable Diesel'!$AF234)*'[2]Feedstock Conversion Rates'!$B$3)/12)</f>
        <v>91.78125</v>
      </c>
      <c r="CM225" s="45">
        <f>(((CM$3*'[2]Renewable Diesel'!$AF234)*'[2]Feedstock Conversion Rates'!$B$6)/12)</f>
        <v>53.739583333333336</v>
      </c>
      <c r="CN225" s="45">
        <f>(((CN$3*'[2]Renewable Diesel'!$AF234)*'[2]Feedstock Conversion Rates'!$B$4)/12)</f>
        <v>42.96875</v>
      </c>
      <c r="CO225" s="47">
        <f t="shared" si="152"/>
        <v>188.48958333333334</v>
      </c>
      <c r="CP225" s="45">
        <f>('[2]Renewable Diesel'!$AG234*'[2]RD Feedstock Breakdown'!CP$3*'[2]Feedstock Conversion Rates'!$B$3)/12</f>
        <v>6.0075000000000003</v>
      </c>
      <c r="CQ225" s="45">
        <f>('[2]Renewable Diesel'!$AG234*'[2]RD Feedstock Breakdown'!CQ$3*'[2]Feedstock Conversion Rates'!$B$6)/12</f>
        <v>3.5175000000000001</v>
      </c>
      <c r="CR225" s="45">
        <f>('[2]Renewable Diesel'!$AG234*'[2]RD Feedstock Breakdown'!CR$3*'[2]Feedstock Conversion Rates'!$B$4)/12</f>
        <v>2.8125</v>
      </c>
      <c r="CS225" s="47">
        <f t="shared" si="99"/>
        <v>12.3375</v>
      </c>
      <c r="CT225" s="45">
        <f>('[2]Renewable Diesel'!AI234*'[2]Feedstock Conversion Rates'!$B$4*'[2]RD Feedstock Breakdown'!$CT$3)/12</f>
        <v>29.375</v>
      </c>
      <c r="CU225" s="47">
        <f t="shared" si="154"/>
        <v>29.375</v>
      </c>
      <c r="CV225" s="45">
        <f>('[2]Renewable Diesel'!AN234*'[2]Feedstock Conversion Rates'!$B$3*'[2]RD Feedstock Breakdown'!$CV$3)/12</f>
        <v>0.50062499999999999</v>
      </c>
      <c r="CW225" s="47">
        <f t="shared" si="124"/>
        <v>0.50062499999999999</v>
      </c>
      <c r="CX225" s="45">
        <f>('[2]Renewable Diesel'!AO234*'[2]RD Feedstock Breakdown'!$CX$3*'[2]Feedstock Conversion Rates'!$B$3)/12</f>
        <v>6.3412499999999996</v>
      </c>
      <c r="CY225" s="45">
        <f>('[2]Renewable Diesel'!AO234*'[2]RD Feedstock Breakdown'!$CY$3*'[2]Feedstock Conversion Rates'!$B$6)/12</f>
        <v>7.4258333333333342</v>
      </c>
      <c r="CZ225" s="47">
        <f t="shared" si="100"/>
        <v>13.767083333333334</v>
      </c>
      <c r="DA225" s="45">
        <f>('[2]Renewable Diesel'!$AP234*'[2]RD Feedstock Breakdown'!DA$3*'[2]Feedstock Conversion Rates'!$B$3)/12</f>
        <v>6.3412499999999996</v>
      </c>
      <c r="DB225" s="45">
        <f>('[2]Renewable Diesel'!$AP234*'[2]RD Feedstock Breakdown'!DB$3*'[2]Feedstock Conversion Rates'!$B$8)/12</f>
        <v>7.421875</v>
      </c>
      <c r="DC225" s="47">
        <f t="shared" si="127"/>
        <v>13.763124999999999</v>
      </c>
      <c r="DD225" s="45">
        <f>('[2]Renewable Diesel'!AQ234*$DD$3*'[2]Feedstock Conversion Rates'!$B$14)/12</f>
        <v>3.1041666666666665</v>
      </c>
      <c r="DE225" s="47">
        <f t="shared" si="128"/>
        <v>3.1041666666666665</v>
      </c>
      <c r="DF225" s="45">
        <f>('[2]Renewable Diesel'!AR234*'[2]Feedstock Conversion Rates'!$B$4*$DF$3)/12</f>
        <v>75</v>
      </c>
      <c r="DG225" s="47">
        <f t="shared" si="101"/>
        <v>75</v>
      </c>
      <c r="DH225" s="45">
        <f>('[2]Renewable Diesel'!AS234*'[2]Feedstock Conversion Rates'!$B$4*$DH$3)/12</f>
        <v>75</v>
      </c>
      <c r="DI225" s="47">
        <f t="shared" si="110"/>
        <v>75</v>
      </c>
      <c r="DJ225" s="45">
        <f>('[2]Renewable Diesel'!AT234*'[2]Feedstock Conversion Rates'!$B$4*0.25)/12</f>
        <v>8.59375</v>
      </c>
      <c r="DK225" s="45">
        <f>('[2]Renewable Diesel'!$AT234*'[2]RD Feedstock Breakdown'!DK$3*'[2]Feedstock Conversion Rates'!$B$3)/12*0.5</f>
        <v>9.1781249999999996</v>
      </c>
      <c r="DL225" s="45">
        <f>('[2]Renewable Diesel'!$AT234*'[2]RD Feedstock Breakdown'!$DL$3*'[2]Feedstock Conversion Rates'!$B$6)/12</f>
        <v>10.747916666666669</v>
      </c>
      <c r="DM225" s="45">
        <f>('[2]Renewable Diesel'!$AT234*'[2]RD Feedstock Breakdown'!$DM$3*'[2]Feedstock Conversion Rates'!$B$8)/12</f>
        <v>10.7421875</v>
      </c>
      <c r="DN225" s="47">
        <f t="shared" si="169"/>
        <v>39.26197916666667</v>
      </c>
      <c r="DP225" s="45">
        <f t="shared" si="130"/>
        <v>109.72025000000001</v>
      </c>
      <c r="DQ225" s="45">
        <f t="shared" si="131"/>
        <v>562.27964249999991</v>
      </c>
      <c r="DR225" s="45">
        <f t="shared" si="136"/>
        <v>2003.534375</v>
      </c>
      <c r="DS225" s="45">
        <f t="shared" si="155"/>
        <v>90.592395833333327</v>
      </c>
      <c r="DT225" s="45">
        <f t="shared" si="132"/>
        <v>237.03923333333344</v>
      </c>
      <c r="DU225" s="45">
        <f t="shared" si="133"/>
        <v>202.72693333333333</v>
      </c>
      <c r="DV225" s="45">
        <f t="shared" si="137"/>
        <v>7.25</v>
      </c>
      <c r="DW225" s="45">
        <f t="shared" si="134"/>
        <v>3</v>
      </c>
      <c r="DX225" s="47">
        <f t="shared" si="138"/>
        <v>3216.1428299999998</v>
      </c>
      <c r="DY225" s="50">
        <f t="shared" si="126"/>
        <v>-124.99999999999969</v>
      </c>
      <c r="EA225" s="51">
        <f t="shared" si="117"/>
        <v>3.4115478011901609E-2</v>
      </c>
      <c r="EB225" s="51">
        <f t="shared" si="117"/>
        <v>0.17483043267080273</v>
      </c>
      <c r="EC225" s="51">
        <f t="shared" si="117"/>
        <v>0.62296187728702335</v>
      </c>
      <c r="ED225" s="51">
        <f t="shared" si="114"/>
        <v>2.8168026304146863E-2</v>
      </c>
      <c r="EE225" s="51">
        <f t="shared" si="114"/>
        <v>7.3702955951534491E-2</v>
      </c>
      <c r="EF225" s="51">
        <f t="shared" si="114"/>
        <v>6.3034182264017594E-2</v>
      </c>
      <c r="EG225" s="51">
        <f t="shared" si="114"/>
        <v>2.2542531172348463E-3</v>
      </c>
      <c r="EH225" s="52">
        <f t="shared" si="139"/>
        <v>9.3279439333855707E-4</v>
      </c>
      <c r="EI225" s="51">
        <f t="shared" si="140"/>
        <v>0.9990672056066614</v>
      </c>
      <c r="EK225" s="53">
        <f>(EA225*'[2]Renewable Diesel'!BF234*'[2]Feedstock Conversion Rates'!B$2)+FB225</f>
        <v>120.363922883461</v>
      </c>
      <c r="EL225" s="53">
        <f>(EB225*'[2]Renewable Diesel'!BF234*'[2]Feedstock Conversion Rates'!B$3)+FC225</f>
        <v>581.26676982466847</v>
      </c>
      <c r="EM225" s="53">
        <f>(EC225*'[2]Renewable Diesel'!BF234*'[2]Feedstock Conversion Rates'!B$4)+FD225</f>
        <v>1939.3164488259099</v>
      </c>
      <c r="EN225" s="53">
        <f>(ED225*'[2]Renewable Diesel'!BF234*'[2]Feedstock Conversion Rates'!B$5)+FE225</f>
        <v>88.273290644515171</v>
      </c>
      <c r="EO225" s="53">
        <f>(EE225*'[2]Renewable Diesel'!BF234*'[2]Feedstock Conversion Rates'!B$6)+FF225</f>
        <v>286.95493083233697</v>
      </c>
      <c r="EP225" s="53">
        <f>(EF225*'[2]Renewable Diesel'!BF234*'[2]Feedstock Conversion Rates'!B$7)+FG225</f>
        <v>240.7076526575344</v>
      </c>
      <c r="EQ225" s="53">
        <f>(EG225*'[2]Renewable Diesel'!BF234*'[2]Feedstock Conversion Rates'!B$8)+FH225</f>
        <v>8.7720258443206465</v>
      </c>
      <c r="ER225" s="53">
        <f>(EH225*'[2]Renewable Diesel'!BF234*'[2]Feedstock Conversion Rates'!B$9)+FI225</f>
        <v>3.5814064136812567</v>
      </c>
      <c r="ES225" s="53">
        <f t="shared" si="141"/>
        <v>3269.2364479264279</v>
      </c>
      <c r="ET225" s="36">
        <f>ES225/'[2]Renewable Diesel'!BF234</f>
        <v>7.8762661818100907</v>
      </c>
    </row>
    <row r="226" spans="1:150" x14ac:dyDescent="0.25">
      <c r="A226" s="39">
        <v>47300</v>
      </c>
      <c r="B226" s="45">
        <f t="shared" si="162"/>
        <v>22.300000000000011</v>
      </c>
      <c r="C226" s="45">
        <f t="shared" si="163"/>
        <v>37</v>
      </c>
      <c r="D226" s="45">
        <f t="shared" si="164"/>
        <v>2</v>
      </c>
      <c r="E226" s="45">
        <f>('[2]Renewable Diesel'!B235*E$3*'[2]Feedstock Conversion Rates'!$B$2)/12-57.5+12.5+43-59+20+16+50+55-5-26-5-8+15.5-41-1</f>
        <v>99.43</v>
      </c>
      <c r="F226" s="45">
        <f>('[2]Renewable Diesel'!B235*'[2]RD Feedstock Breakdown'!F$3*'[2]Feedstock Conversion Rates'!B$8)/12-24+17.5-2.25+15-45+5+17+10+2-29+4-16</f>
        <v>8.15625</v>
      </c>
      <c r="G226" s="45">
        <f>('[2]Renewable Diesel'!B235*'[2]RD Feedstock Breakdown'!G$3*'[2]Feedstock Conversion Rates'!B$7)/12-50-1+71-144-30+30+70+7.5-65+7.5-25-12.5-5-10+2</f>
        <v>21.657000000000011</v>
      </c>
      <c r="H226" s="45">
        <f>('[2]Renewable Diesel'!B235*'[2]RD Feedstock Breakdown'!H$3*'[2]Feedstock Conversion Rates'!B$3)/12-105+29+50+2.5-120+10+1.5+51+30+20-5-45+200+10</f>
        <v>305.40022499999998</v>
      </c>
      <c r="I226" s="47">
        <f t="shared" si="160"/>
        <v>495.94347500000003</v>
      </c>
      <c r="J226" s="45">
        <f t="shared" si="165"/>
        <v>102.5</v>
      </c>
      <c r="K226" s="45"/>
      <c r="L226" s="45">
        <v>1</v>
      </c>
      <c r="M226" s="45">
        <f>('[2]Renewable Diesel'!C235*'[2]RD Feedstock Breakdown'!M$3*'[2]Feedstock Conversion Rates'!B$2)/12-25+4.5-34-0.5-2.5+3+7.5+2.5-4+26+25</f>
        <v>10.29025</v>
      </c>
      <c r="N226" s="45">
        <f>('[2]Renewable Diesel'!C235*'[2]RD Feedstock Breakdown'!N$3*'[2]Feedstock Conversion Rates'!B$8)/12-2.5+30-39+1+7+2+7+2-24-15</f>
        <v>-27.828125</v>
      </c>
      <c r="O226" s="45">
        <f>('[2]Renewable Diesel'!C235*'[2]RD Feedstock Breakdown'!O$3*'[2]Feedstock Conversion Rates'!B$7)/12-30-60-19+29+15-15+30-20+9</f>
        <v>-49.000900000000001</v>
      </c>
      <c r="P226" s="45">
        <f>('[2]Renewable Diesel'!C235*'[2]RD Feedstock Breakdown'!P$3*'[2]Feedstock Conversion Rates'!B$3)/12-27+50-107+35+15+40+50-95-5+25+5</f>
        <v>-3.5529574999999909</v>
      </c>
      <c r="Q226" s="47">
        <f t="shared" si="172"/>
        <v>33.408267500000008</v>
      </c>
      <c r="R226" s="45">
        <f>('[2]Renewable Diesel'!D235*'[2]RD Feedstock Breakdown'!R$3*'[2]Feedstock Conversion Rates'!B$7)/12</f>
        <v>2.2999999999999998</v>
      </c>
      <c r="S226" s="47">
        <f t="shared" si="116"/>
        <v>2.2999999999999998</v>
      </c>
      <c r="T226" s="45">
        <f t="shared" si="166"/>
        <v>5.8250000000000028</v>
      </c>
      <c r="U226" s="45">
        <v>30</v>
      </c>
      <c r="V226" s="45">
        <f>('[2]Renewable Diesel'!E235*'[2]RD Feedstock Breakdown'!V$3*'[2]Feedstock Conversion Rates'!B$6)/12-20+25-35</f>
        <v>14.250150000000012</v>
      </c>
      <c r="W226" s="45">
        <f>('[2]Renewable Diesel'!E235*'[2]RD Feedstock Breakdown'!W$3*'[2]Feedstock Conversion Rates'!B$8)/12-6</f>
        <v>16.1796875</v>
      </c>
      <c r="X226" s="47">
        <f t="shared" si="147"/>
        <v>66.254837500000008</v>
      </c>
      <c r="Y226" s="45">
        <f t="shared" si="167"/>
        <v>126</v>
      </c>
      <c r="Z226" s="45">
        <f>('[2]Renewable Diesel'!F235*'[2]RD Feedstock Breakdown'!Z$3*'[2]Feedstock Conversion Rates'!B$6)/12-50-32-60+15+30+22.5-70+75-30+3+5</f>
        <v>67.960000000000008</v>
      </c>
      <c r="AA226" s="45">
        <f>('[2]Renewable Diesel'!F235*'[2]RD Feedstock Breakdown'!AA$3*'[2]Feedstock Conversion Rates'!B$7)/12+80-171+75+30-50-1+2.5</f>
        <v>69.766666666666652</v>
      </c>
      <c r="AB226" s="47">
        <f t="shared" si="102"/>
        <v>263.72666666666669</v>
      </c>
      <c r="AC226" s="45">
        <f>('[2]Renewable Diesel'!G235*'[2]RD Feedstock Breakdown'!AC$3*'[2]Feedstock Conversion Rates'!B$5)/12+2</f>
        <v>13.796875</v>
      </c>
      <c r="AD226" s="45">
        <f>('[2]Renewable Diesel'!G235*'[2]RD Feedstock Breakdown'!AD$3*'[2]Feedstock Conversion Rates'!B$4)/12</f>
        <v>5.859375</v>
      </c>
      <c r="AE226" s="45">
        <f>('[2]Renewable Diesel'!G235*'[2]RD Feedstock Breakdown'!AE$3*'[2]Feedstock Conversion Rates'!B$6)/12-2</f>
        <v>5.3281250000000009</v>
      </c>
      <c r="AF226" s="47">
        <f t="shared" si="156"/>
        <v>24.984375</v>
      </c>
      <c r="AG226" s="45">
        <f t="shared" si="170"/>
        <v>16.5</v>
      </c>
      <c r="AH226" s="45">
        <v>125</v>
      </c>
      <c r="AI226" s="45">
        <f>('[2]Renewable Diesel'!H235*'[2]RD Feedstock Breakdown'!AI$3*'[2]Feedstock Conversion Rates'!B$6)/12-130-20+51-120+2.5+100-45+20</f>
        <v>7.0166666666666799</v>
      </c>
      <c r="AJ226" s="47">
        <f t="shared" si="113"/>
        <v>23.51666666666668</v>
      </c>
      <c r="AK226" s="45">
        <f>('[2]Renewable Diesel'!J235*'[2]RD Feedstock Breakdown'!AK$3*'[2]Feedstock Conversion Rates'!B$4)/12</f>
        <v>95.8125</v>
      </c>
      <c r="AL226" s="47">
        <f t="shared" si="123"/>
        <v>95.8125</v>
      </c>
      <c r="AM226" s="45">
        <f>('[2]Renewable Diesel'!K235*'[2]RD Feedstock Breakdown'!AM$3*'[2]Feedstock Conversion Rates'!B$4)/12+5+15-10+9-27</f>
        <v>50.59375</v>
      </c>
      <c r="AN226" s="45">
        <f>('[2]Renewable Diesel'!K235*'[2]RD Feedstock Breakdown'!AN$3*'[2]Feedstock Conversion Rates'!B$6)/12-5-15+10-9+27</f>
        <v>32.427083333333329</v>
      </c>
      <c r="AO226" s="47">
        <f t="shared" si="135"/>
        <v>83.020833333333329</v>
      </c>
      <c r="AP226" s="45">
        <f>('[2]Renewable Diesel'!L235*'[2]RD Feedstock Breakdown'!AP$3*'[2]Feedstock Conversion Rates'!B$4)/12+15-10+5+9</f>
        <v>77.59375</v>
      </c>
      <c r="AQ226" s="45">
        <f>('[2]Renewable Diesel'!L235*'[2]RD Feedstock Breakdown'!AQ$3*'[2]Feedstock Conversion Rates'!B$6)/12-15+10-5-9</f>
        <v>5.4270833333333321</v>
      </c>
      <c r="AR226" s="47">
        <f t="shared" si="125"/>
        <v>83.020833333333329</v>
      </c>
      <c r="AS226" s="45">
        <f>('[2]Renewable Diesel'!M235*'[2]RD Feedstock Breakdown'!AS$3*'[2]Feedstock Conversion Rates'!B$4)/12</f>
        <v>456.25</v>
      </c>
      <c r="AT226" s="45">
        <f>('[2]Renewable Diesel'!M235*'[2]RD Feedstock Breakdown'!AT$3*'[2]Feedstock Conversion Rates'!B$5)/12</f>
        <v>0</v>
      </c>
      <c r="AU226" s="47">
        <f t="shared" si="159"/>
        <v>456.25</v>
      </c>
      <c r="AV226" s="45">
        <f>'[2]Renewable Diesel'!N235*'[2]RD Feedstock Breakdown'!$AV$3*'[2]Feedstock Conversion Rates'!$B$4/12-15-10+25+25-22-10-30</f>
        <v>41.749999999999986</v>
      </c>
      <c r="AW226" s="45">
        <f>'[2]Renewable Diesel'!N235*'[2]RD Feedstock Breakdown'!$AW$3*'[2]Feedstock Conversion Rates'!$B$7/12+15+10-25-25+22+10+30</f>
        <v>78.400000000000006</v>
      </c>
      <c r="AX226" s="47">
        <f t="shared" si="109"/>
        <v>120.14999999999999</v>
      </c>
      <c r="AY226" s="45">
        <f>('[2]Renewable Diesel'!O235*'[2]RD Feedstock Breakdown'!AY$3*'[2]Feedstock Conversion Rates'!B$4)/12+32+2-135</f>
        <v>109.9375</v>
      </c>
      <c r="AZ226" s="45">
        <f>('[2]Renewable Diesel'!O235*'[2]RD Feedstock Breakdown'!AZ$3*'[2]Feedstock Conversion Rates'!B$3)/12-32-2+135</f>
        <v>126.03125</v>
      </c>
      <c r="BA226" s="47">
        <f t="shared" si="173"/>
        <v>235.96875</v>
      </c>
      <c r="BB226" s="45">
        <f>('[2]Renewable Diesel'!Q235*'[2]RD Feedstock Breakdown'!BB$3*'[2]Feedstock Conversion Rates'!B$4)/12</f>
        <v>11.156249999999998</v>
      </c>
      <c r="BC226" s="45">
        <f>('[2]Renewable Diesel'!Q235*'[2]RD Feedstock Breakdown'!BC$3*'[2]Feedstock Conversion Rates'!B$3)/12</f>
        <v>1.4017500000000001</v>
      </c>
      <c r="BD226" s="45">
        <f>('[2]Renewable Diesel'!Q235*'[2]RD Feedstock Breakdown'!BD$3*'[2]Feedstock Conversion Rates'!B$6)/12</f>
        <v>0.8207500000000002</v>
      </c>
      <c r="BE226" s="47">
        <f t="shared" si="151"/>
        <v>13.378749999999998</v>
      </c>
      <c r="BF226" s="45">
        <f>('[2]Renewable Diesel'!R235*'[2]RD Feedstock Breakdown'!BF$3*'[2]Feedstock Conversion Rates'!B$4)/12</f>
        <v>62.5</v>
      </c>
      <c r="BG226" s="47">
        <f t="shared" si="129"/>
        <v>62.5</v>
      </c>
      <c r="BH226" s="45">
        <f>('[2]Renewable Diesel'!T235*'[2]RD Feedstock Breakdown'!BH$3*'[2]Feedstock Conversion Rates'!B$7)/12</f>
        <v>27.599999999999998</v>
      </c>
      <c r="BI226" s="47">
        <f t="shared" si="112"/>
        <v>27.599999999999998</v>
      </c>
      <c r="BJ226" s="45">
        <f>('[2]Renewable Diesel'!W235*'[2]RD Feedstock Breakdown'!BJ$3*'[2]Feedstock Conversion Rates'!B$4)/12</f>
        <v>7.5</v>
      </c>
      <c r="BK226" s="45">
        <f>('[2]Renewable Diesel'!W235*'[2]RD Feedstock Breakdown'!BK$3*'[2]Feedstock Conversion Rates'!B$3)/12</f>
        <v>1.335</v>
      </c>
      <c r="BL226" s="45">
        <f>('[2]Renewable Diesel'!W235*'[2]RD Feedstock Breakdown'!BL$3*'[2]Feedstock Conversion Rates'!B$6)/12</f>
        <v>3.1266666666666669</v>
      </c>
      <c r="BM226" s="45">
        <f>('[2]Renewable Diesel'!W235*'[2]RD Feedstock Breakdown'!BM$3*'[2]Feedstock Conversion Rates'!B$7)/12</f>
        <v>1.5333333333333332</v>
      </c>
      <c r="BN226" s="47">
        <f t="shared" si="168"/>
        <v>13.495000000000001</v>
      </c>
      <c r="BO226" s="45">
        <f>('[2]Renewable Diesel'!P235*'[2]Feedstock Conversion Rates'!B$4)/12</f>
        <v>31.25</v>
      </c>
      <c r="BP226" s="47">
        <f t="shared" si="157"/>
        <v>31.25</v>
      </c>
      <c r="BQ226" s="45">
        <f>('[2]Renewable Diesel'!$S235*'[2]RD Feedstock Breakdown'!BQ$3*'[2]Feedstock Conversion Rates'!B$4)/12+10</f>
        <v>38.125</v>
      </c>
      <c r="BR226" s="45">
        <f>('[2]Renewable Diesel'!$S235*'[2]RD Feedstock Breakdown'!BR$3*'[2]Feedstock Conversion Rates'!B$7)/12-10</f>
        <v>1.5</v>
      </c>
      <c r="BS226" s="47">
        <f t="shared" si="90"/>
        <v>39.625</v>
      </c>
      <c r="BT226" s="47"/>
      <c r="BU226" s="45">
        <f>('[2]Renewable Diesel'!Y235*'[2]Feedstock Conversion Rates'!B$7)/12</f>
        <v>2.6833333333333331</v>
      </c>
      <c r="BV226" s="47">
        <f t="shared" si="153"/>
        <v>2.6833333333333331</v>
      </c>
      <c r="BW226" s="45">
        <f>('[2]Renewable Diesel'!$Z235*'[2]RD Feedstock Breakdown'!BW$3*'[2]Feedstock Conversion Rates'!$B$4)/12</f>
        <v>53.90625</v>
      </c>
      <c r="BX226" s="45">
        <f>('[2]Renewable Diesel'!$Z235*'[2]RD Feedstock Breakdown'!BX$3*'[2]Feedstock Conversion Rates'!$B$5)/12</f>
        <v>5.4265624999999993</v>
      </c>
      <c r="BY226" s="45">
        <f>('[2]Renewable Diesel'!$Z235*'[2]RD Feedstock Breakdown'!BY$3*'[2]Feedstock Conversion Rates'!$B$7)/12</f>
        <v>46.287499999999994</v>
      </c>
      <c r="BZ226" s="45">
        <f>('[2]Renewable Diesel'!$Z235*'[2]RD Feedstock Breakdown'!BZ$3*'[2]Feedstock Conversion Rates'!$B$3)/12</f>
        <v>11.514374999999999</v>
      </c>
      <c r="CA226" s="47">
        <f t="shared" si="91"/>
        <v>117.1346875</v>
      </c>
      <c r="CB226" s="45">
        <f>('[2]Renewable Diesel'!AA235*'[2]Feedstock Conversion Rates'!B$4)/12</f>
        <v>191.25</v>
      </c>
      <c r="CC226" s="47">
        <f t="shared" si="171"/>
        <v>191.25</v>
      </c>
      <c r="CD226" s="45">
        <f>('[2]Renewable Diesel'!$AB235*'[2]RD Feedstock Breakdown'!CD$3*'[2]Feedstock Conversion Rates'!$B$6)/12-15</f>
        <v>17.830000000000005</v>
      </c>
      <c r="CE226" s="45">
        <f>('[2]Renewable Diesel'!$AB235*'[2]RD Feedstock Breakdown'!CE$3*'[2]Feedstock Conversion Rates'!$B$4)/12+15</f>
        <v>26.25</v>
      </c>
      <c r="CF226" s="47">
        <f t="shared" si="161"/>
        <v>44.080000000000005</v>
      </c>
      <c r="CG226" s="45">
        <f>('[2]Renewable Diesel'!AD235*'[2]Feedstock Conversion Rates'!B$4)/12</f>
        <v>112.5</v>
      </c>
      <c r="CH226" s="47">
        <f t="shared" si="149"/>
        <v>112.5</v>
      </c>
      <c r="CI226" s="45">
        <f>('[2]Renewable Diesel'!$AE235*'[2]RD Feedstock Breakdown'!CI$3*'[2]Feedstock Conversion Rates'!$B$5)/12</f>
        <v>0.34604166666666664</v>
      </c>
      <c r="CJ226" s="45">
        <f>('[2]Renewable Diesel'!$AE235*'[2]RD Feedstock Breakdown'!CJ$3*'[2]Feedstock Conversion Rates'!$B$4)/12</f>
        <v>0.34375</v>
      </c>
      <c r="CK226" s="47">
        <f t="shared" si="158"/>
        <v>0.68979166666666658</v>
      </c>
      <c r="CL226" s="45">
        <f>(((CL$3*'[2]Renewable Diesel'!$AF235)*'[2]Feedstock Conversion Rates'!$B$3)/12)</f>
        <v>91.78125</v>
      </c>
      <c r="CM226" s="45">
        <f>(((CM$3*'[2]Renewable Diesel'!$AF235)*'[2]Feedstock Conversion Rates'!$B$6)/12)</f>
        <v>53.739583333333336</v>
      </c>
      <c r="CN226" s="45">
        <f>(((CN$3*'[2]Renewable Diesel'!$AF235)*'[2]Feedstock Conversion Rates'!$B$4)/12)</f>
        <v>42.96875</v>
      </c>
      <c r="CO226" s="47">
        <f t="shared" si="152"/>
        <v>188.48958333333334</v>
      </c>
      <c r="CP226" s="45">
        <f>('[2]Renewable Diesel'!$AG235*'[2]RD Feedstock Breakdown'!CP$3*'[2]Feedstock Conversion Rates'!$B$3)/12</f>
        <v>6.0075000000000003</v>
      </c>
      <c r="CQ226" s="45">
        <f>('[2]Renewable Diesel'!$AG235*'[2]RD Feedstock Breakdown'!CQ$3*'[2]Feedstock Conversion Rates'!$B$6)/12</f>
        <v>3.5175000000000001</v>
      </c>
      <c r="CR226" s="45">
        <f>('[2]Renewable Diesel'!$AG235*'[2]RD Feedstock Breakdown'!CR$3*'[2]Feedstock Conversion Rates'!$B$4)/12</f>
        <v>2.8125</v>
      </c>
      <c r="CS226" s="47">
        <f t="shared" si="99"/>
        <v>12.3375</v>
      </c>
      <c r="CT226" s="45">
        <f>('[2]Renewable Diesel'!AI235*'[2]Feedstock Conversion Rates'!$B$4*'[2]RD Feedstock Breakdown'!$CT$3)/12</f>
        <v>29.375</v>
      </c>
      <c r="CU226" s="47">
        <f t="shared" si="154"/>
        <v>29.375</v>
      </c>
      <c r="CV226" s="45">
        <f>('[2]Renewable Diesel'!AN235*'[2]Feedstock Conversion Rates'!$B$3*'[2]RD Feedstock Breakdown'!$CV$3)/12</f>
        <v>0.50062499999999999</v>
      </c>
      <c r="CW226" s="47">
        <f t="shared" si="124"/>
        <v>0.50062499999999999</v>
      </c>
      <c r="CX226" s="45">
        <f>('[2]Renewable Diesel'!AO235*'[2]RD Feedstock Breakdown'!$CX$3*'[2]Feedstock Conversion Rates'!$B$3)/12</f>
        <v>6.3412499999999996</v>
      </c>
      <c r="CY226" s="45">
        <f>('[2]Renewable Diesel'!AO235*'[2]RD Feedstock Breakdown'!$CY$3*'[2]Feedstock Conversion Rates'!$B$6)/12</f>
        <v>7.4258333333333342</v>
      </c>
      <c r="CZ226" s="47">
        <f t="shared" si="100"/>
        <v>13.767083333333334</v>
      </c>
      <c r="DA226" s="45">
        <f>('[2]Renewable Diesel'!$AP235*'[2]RD Feedstock Breakdown'!DA$3*'[2]Feedstock Conversion Rates'!$B$3)/12</f>
        <v>6.3412499999999996</v>
      </c>
      <c r="DB226" s="45">
        <f>('[2]Renewable Diesel'!$AP235*'[2]RD Feedstock Breakdown'!DB$3*'[2]Feedstock Conversion Rates'!$B$8)/12</f>
        <v>7.421875</v>
      </c>
      <c r="DC226" s="47">
        <f t="shared" si="127"/>
        <v>13.763124999999999</v>
      </c>
      <c r="DD226" s="45">
        <f>('[2]Renewable Diesel'!AQ235*$DD$3*'[2]Feedstock Conversion Rates'!$B$14)/12</f>
        <v>3.1041666666666665</v>
      </c>
      <c r="DE226" s="47">
        <f t="shared" si="128"/>
        <v>3.1041666666666665</v>
      </c>
      <c r="DF226" s="45">
        <f>('[2]Renewable Diesel'!AR235*'[2]Feedstock Conversion Rates'!$B$4*$DF$3)/12</f>
        <v>75</v>
      </c>
      <c r="DG226" s="47">
        <f t="shared" si="101"/>
        <v>75</v>
      </c>
      <c r="DH226" s="45">
        <f>('[2]Renewable Diesel'!AS235*'[2]Feedstock Conversion Rates'!$B$4*$DH$3)/12</f>
        <v>75</v>
      </c>
      <c r="DI226" s="47">
        <f t="shared" si="110"/>
        <v>75</v>
      </c>
      <c r="DJ226" s="45">
        <f>('[2]Renewable Diesel'!AT235*'[2]Feedstock Conversion Rates'!$B$4*0.25)/12</f>
        <v>8.59375</v>
      </c>
      <c r="DK226" s="45">
        <f>('[2]Renewable Diesel'!$AT235*'[2]RD Feedstock Breakdown'!DK$3*'[2]Feedstock Conversion Rates'!$B$3)/12*0.5</f>
        <v>9.1781249999999996</v>
      </c>
      <c r="DL226" s="45">
        <f>('[2]Renewable Diesel'!$AT235*'[2]RD Feedstock Breakdown'!$DL$3*'[2]Feedstock Conversion Rates'!$B$6)/12</f>
        <v>10.747916666666669</v>
      </c>
      <c r="DM226" s="45">
        <f>('[2]Renewable Diesel'!$AT235*'[2]RD Feedstock Breakdown'!$DM$3*'[2]Feedstock Conversion Rates'!$B$8)/12</f>
        <v>10.7421875</v>
      </c>
      <c r="DN226" s="47">
        <f t="shared" si="169"/>
        <v>39.26197916666667</v>
      </c>
      <c r="DP226" s="45">
        <f t="shared" si="130"/>
        <v>109.72025000000001</v>
      </c>
      <c r="DQ226" s="45">
        <f t="shared" si="131"/>
        <v>562.27964249999991</v>
      </c>
      <c r="DR226" s="45">
        <f t="shared" si="136"/>
        <v>2003.534375</v>
      </c>
      <c r="DS226" s="45">
        <f t="shared" si="155"/>
        <v>90.592395833333327</v>
      </c>
      <c r="DT226" s="45">
        <f t="shared" si="132"/>
        <v>237.03923333333344</v>
      </c>
      <c r="DU226" s="45">
        <f t="shared" si="133"/>
        <v>202.72693333333333</v>
      </c>
      <c r="DV226" s="45">
        <f t="shared" si="137"/>
        <v>7.25</v>
      </c>
      <c r="DW226" s="45">
        <f t="shared" si="134"/>
        <v>3</v>
      </c>
      <c r="DX226" s="47">
        <f t="shared" si="138"/>
        <v>3216.1428299999998</v>
      </c>
      <c r="DY226" s="50">
        <f t="shared" si="126"/>
        <v>-124.99999999999969</v>
      </c>
      <c r="EA226" s="51">
        <f t="shared" si="117"/>
        <v>3.4115478011901609E-2</v>
      </c>
      <c r="EB226" s="51">
        <f t="shared" si="117"/>
        <v>0.17483043267080273</v>
      </c>
      <c r="EC226" s="51">
        <f t="shared" si="117"/>
        <v>0.62296187728702335</v>
      </c>
      <c r="ED226" s="51">
        <f t="shared" si="114"/>
        <v>2.8168026304146863E-2</v>
      </c>
      <c r="EE226" s="51">
        <f t="shared" si="114"/>
        <v>7.3702955951534491E-2</v>
      </c>
      <c r="EF226" s="51">
        <f t="shared" si="114"/>
        <v>6.3034182264017594E-2</v>
      </c>
      <c r="EG226" s="51">
        <f t="shared" si="114"/>
        <v>2.2542531172348463E-3</v>
      </c>
      <c r="EH226" s="52">
        <f t="shared" si="139"/>
        <v>9.3279439333855707E-4</v>
      </c>
      <c r="EI226" s="51">
        <f t="shared" si="140"/>
        <v>0.9990672056066614</v>
      </c>
      <c r="EK226" s="53">
        <f>(EA226*'[2]Renewable Diesel'!BF235*'[2]Feedstock Conversion Rates'!B$2)+FB226</f>
        <v>123.48886732257616</v>
      </c>
      <c r="EL226" s="53">
        <f>(EB226*'[2]Renewable Diesel'!BF235*'[2]Feedstock Conversion Rates'!B$3)+FC226</f>
        <v>596.35788945994921</v>
      </c>
      <c r="EM226" s="53">
        <f>(EC226*'[2]Renewable Diesel'!BF235*'[2]Feedstock Conversion Rates'!B$4)+FD226</f>
        <v>1989.6658891504064</v>
      </c>
      <c r="EN226" s="53">
        <f>(ED226*'[2]Renewable Diesel'!BF235*'[2]Feedstock Conversion Rates'!B$5)+FE226</f>
        <v>90.565083086250866</v>
      </c>
      <c r="EO226" s="53">
        <f>(EE226*'[2]Renewable Diesel'!BF235*'[2]Feedstock Conversion Rates'!B$6)+FF226</f>
        <v>294.404988905381</v>
      </c>
      <c r="EP226" s="53">
        <f>(EF226*'[2]Renewable Diesel'!BF235*'[2]Feedstock Conversion Rates'!B$7)+FG226</f>
        <v>246.95701727281798</v>
      </c>
      <c r="EQ226" s="53">
        <f>(EG226*'[2]Renewable Diesel'!BF235*'[2]Feedstock Conversion Rates'!B$8)+FH226</f>
        <v>8.9997692804375067</v>
      </c>
      <c r="ER226" s="53">
        <f>(EH226*'[2]Renewable Diesel'!BF235*'[2]Feedstock Conversion Rates'!B$9)+FI226</f>
        <v>3.6743885613924161</v>
      </c>
      <c r="ES226" s="53">
        <f t="shared" si="141"/>
        <v>3354.1138930392117</v>
      </c>
      <c r="ET226" s="36">
        <f>ES226/'[2]Renewable Diesel'!BF235</f>
        <v>7.8762661818100916</v>
      </c>
    </row>
    <row r="227" spans="1:150" x14ac:dyDescent="0.25">
      <c r="A227" s="39">
        <v>47331</v>
      </c>
      <c r="B227" s="45">
        <f t="shared" si="162"/>
        <v>22.300000000000011</v>
      </c>
      <c r="C227" s="45">
        <f t="shared" si="163"/>
        <v>37</v>
      </c>
      <c r="D227" s="45">
        <f t="shared" si="164"/>
        <v>2</v>
      </c>
      <c r="E227" s="45">
        <f>('[2]Renewable Diesel'!B236*E$3*'[2]Feedstock Conversion Rates'!$B$2)/12-57.5+12.5+43-59+20+16+50+55-5-26-5-8+15.5-41-1</f>
        <v>99.43</v>
      </c>
      <c r="F227" s="45">
        <f>('[2]Renewable Diesel'!B236*'[2]RD Feedstock Breakdown'!F$3*'[2]Feedstock Conversion Rates'!B$8)/12-24+17.5-2.25+15-45+5+17+10+2-29+4-16</f>
        <v>8.15625</v>
      </c>
      <c r="G227" s="45">
        <f>('[2]Renewable Diesel'!B236*'[2]RD Feedstock Breakdown'!G$3*'[2]Feedstock Conversion Rates'!B$7)/12-50-1+71-144-30+30+70+7.5-65+7.5-25-12.5-5-10+2</f>
        <v>21.657000000000011</v>
      </c>
      <c r="H227" s="45">
        <f>('[2]Renewable Diesel'!B236*'[2]RD Feedstock Breakdown'!H$3*'[2]Feedstock Conversion Rates'!B$3)/12-105+29+50+2.5-120+10+1.5+51+30+20-5-45+200+10</f>
        <v>305.40022499999998</v>
      </c>
      <c r="I227" s="47">
        <f t="shared" si="160"/>
        <v>495.94347500000003</v>
      </c>
      <c r="J227" s="45">
        <f t="shared" si="165"/>
        <v>102.5</v>
      </c>
      <c r="K227" s="45"/>
      <c r="L227" s="45">
        <v>1</v>
      </c>
      <c r="M227" s="45">
        <f>('[2]Renewable Diesel'!C236*'[2]RD Feedstock Breakdown'!M$3*'[2]Feedstock Conversion Rates'!B$2)/12-25+4.5-34-0.5-2.5+3+7.5+2.5-4+26+25</f>
        <v>10.29025</v>
      </c>
      <c r="N227" s="45">
        <f>('[2]Renewable Diesel'!C236*'[2]RD Feedstock Breakdown'!N$3*'[2]Feedstock Conversion Rates'!B$8)/12-2.5+30-39+1+7+2+7+2-24-15</f>
        <v>-27.828125</v>
      </c>
      <c r="O227" s="45">
        <f>('[2]Renewable Diesel'!C236*'[2]RD Feedstock Breakdown'!O$3*'[2]Feedstock Conversion Rates'!B$7)/12-30-60-19+29+15-15+30-20+9</f>
        <v>-49.000900000000001</v>
      </c>
      <c r="P227" s="45">
        <f>('[2]Renewable Diesel'!C236*'[2]RD Feedstock Breakdown'!P$3*'[2]Feedstock Conversion Rates'!B$3)/12-27+50-107+35+15+40+50-95-5+25+5</f>
        <v>-3.5529574999999909</v>
      </c>
      <c r="Q227" s="47">
        <f t="shared" si="172"/>
        <v>33.408267500000008</v>
      </c>
      <c r="R227" s="45">
        <f>('[2]Renewable Diesel'!D236*'[2]RD Feedstock Breakdown'!R$3*'[2]Feedstock Conversion Rates'!B$7)/12</f>
        <v>2.2999999999999998</v>
      </c>
      <c r="S227" s="47">
        <f t="shared" si="116"/>
        <v>2.2999999999999998</v>
      </c>
      <c r="T227" s="45">
        <f t="shared" si="166"/>
        <v>5.8250000000000028</v>
      </c>
      <c r="U227" s="45">
        <v>30</v>
      </c>
      <c r="V227" s="45">
        <f>('[2]Renewable Diesel'!E236*'[2]RD Feedstock Breakdown'!V$3*'[2]Feedstock Conversion Rates'!B$6)/12-20+25-35</f>
        <v>14.250150000000012</v>
      </c>
      <c r="W227" s="45">
        <f>('[2]Renewable Diesel'!E236*'[2]RD Feedstock Breakdown'!W$3*'[2]Feedstock Conversion Rates'!B$8)/12-6</f>
        <v>16.1796875</v>
      </c>
      <c r="X227" s="47">
        <f t="shared" si="147"/>
        <v>66.254837500000008</v>
      </c>
      <c r="Y227" s="45">
        <f t="shared" si="167"/>
        <v>126</v>
      </c>
      <c r="Z227" s="45">
        <f>('[2]Renewable Diesel'!F236*'[2]RD Feedstock Breakdown'!Z$3*'[2]Feedstock Conversion Rates'!B$6)/12-50-32-60+15+30+22.5-70+75-30+3+5</f>
        <v>67.960000000000008</v>
      </c>
      <c r="AA227" s="45">
        <f>('[2]Renewable Diesel'!F236*'[2]RD Feedstock Breakdown'!AA$3*'[2]Feedstock Conversion Rates'!B$7)/12+80-171+75+30-50-1+2.5</f>
        <v>69.766666666666652</v>
      </c>
      <c r="AB227" s="47">
        <f t="shared" si="102"/>
        <v>263.72666666666669</v>
      </c>
      <c r="AC227" s="45">
        <f>('[2]Renewable Diesel'!G236*'[2]RD Feedstock Breakdown'!AC$3*'[2]Feedstock Conversion Rates'!B$5)/12+2</f>
        <v>13.796875</v>
      </c>
      <c r="AD227" s="45">
        <f>('[2]Renewable Diesel'!G236*'[2]RD Feedstock Breakdown'!AD$3*'[2]Feedstock Conversion Rates'!B$4)/12</f>
        <v>5.859375</v>
      </c>
      <c r="AE227" s="45">
        <f>('[2]Renewable Diesel'!G236*'[2]RD Feedstock Breakdown'!AE$3*'[2]Feedstock Conversion Rates'!B$6)/12-2</f>
        <v>5.3281250000000009</v>
      </c>
      <c r="AF227" s="47">
        <f t="shared" si="156"/>
        <v>24.984375</v>
      </c>
      <c r="AG227" s="45">
        <f t="shared" si="170"/>
        <v>16.5</v>
      </c>
      <c r="AH227" s="45">
        <v>125</v>
      </c>
      <c r="AI227" s="45">
        <f>('[2]Renewable Diesel'!H236*'[2]RD Feedstock Breakdown'!AI$3*'[2]Feedstock Conversion Rates'!B$6)/12-130-20+51-120+2.5+100-45+20</f>
        <v>7.0166666666666799</v>
      </c>
      <c r="AJ227" s="47">
        <f t="shared" si="113"/>
        <v>23.51666666666668</v>
      </c>
      <c r="AK227" s="45">
        <f>('[2]Renewable Diesel'!J236*'[2]RD Feedstock Breakdown'!AK$3*'[2]Feedstock Conversion Rates'!B$4)/12</f>
        <v>95.8125</v>
      </c>
      <c r="AL227" s="47">
        <f t="shared" si="123"/>
        <v>95.8125</v>
      </c>
      <c r="AM227" s="45">
        <f>('[2]Renewable Diesel'!K236*'[2]RD Feedstock Breakdown'!AM$3*'[2]Feedstock Conversion Rates'!B$4)/12+5+15-10+9-27</f>
        <v>50.59375</v>
      </c>
      <c r="AN227" s="45">
        <f>('[2]Renewable Diesel'!K236*'[2]RD Feedstock Breakdown'!AN$3*'[2]Feedstock Conversion Rates'!B$6)/12-5-15+10-9+27</f>
        <v>32.427083333333329</v>
      </c>
      <c r="AO227" s="47">
        <f t="shared" si="135"/>
        <v>83.020833333333329</v>
      </c>
      <c r="AP227" s="45">
        <f>('[2]Renewable Diesel'!L236*'[2]RD Feedstock Breakdown'!AP$3*'[2]Feedstock Conversion Rates'!B$4)/12+15-10+5+9</f>
        <v>77.59375</v>
      </c>
      <c r="AQ227" s="45">
        <f>('[2]Renewable Diesel'!L236*'[2]RD Feedstock Breakdown'!AQ$3*'[2]Feedstock Conversion Rates'!B$6)/12-15+10-5-9</f>
        <v>5.4270833333333321</v>
      </c>
      <c r="AR227" s="47">
        <f t="shared" si="125"/>
        <v>83.020833333333329</v>
      </c>
      <c r="AS227" s="45">
        <f>('[2]Renewable Diesel'!M236*'[2]RD Feedstock Breakdown'!AS$3*'[2]Feedstock Conversion Rates'!B$4)/12</f>
        <v>456.25</v>
      </c>
      <c r="AT227" s="45">
        <f>('[2]Renewable Diesel'!M236*'[2]RD Feedstock Breakdown'!AT$3*'[2]Feedstock Conversion Rates'!B$5)/12</f>
        <v>0</v>
      </c>
      <c r="AU227" s="47">
        <f t="shared" si="159"/>
        <v>456.25</v>
      </c>
      <c r="AV227" s="45">
        <f>'[2]Renewable Diesel'!N236*'[2]RD Feedstock Breakdown'!$AV$3*'[2]Feedstock Conversion Rates'!$B$4/12-15-10+25+25-22-10-30</f>
        <v>41.749999999999986</v>
      </c>
      <c r="AW227" s="45">
        <f>'[2]Renewable Diesel'!N236*'[2]RD Feedstock Breakdown'!$AW$3*'[2]Feedstock Conversion Rates'!$B$7/12+15+10-25-25+22+10+30</f>
        <v>78.400000000000006</v>
      </c>
      <c r="AX227" s="47">
        <f t="shared" si="109"/>
        <v>120.14999999999999</v>
      </c>
      <c r="AY227" s="45">
        <f>('[2]Renewable Diesel'!O236*'[2]RD Feedstock Breakdown'!AY$3*'[2]Feedstock Conversion Rates'!B$4)/12+32+2-135</f>
        <v>109.9375</v>
      </c>
      <c r="AZ227" s="45">
        <f>('[2]Renewable Diesel'!O236*'[2]RD Feedstock Breakdown'!AZ$3*'[2]Feedstock Conversion Rates'!B$3)/12-32-2+135</f>
        <v>126.03125</v>
      </c>
      <c r="BA227" s="47">
        <f t="shared" si="173"/>
        <v>235.96875</v>
      </c>
      <c r="BB227" s="45">
        <f>('[2]Renewable Diesel'!Q236*'[2]RD Feedstock Breakdown'!BB$3*'[2]Feedstock Conversion Rates'!B$4)/12</f>
        <v>11.156249999999998</v>
      </c>
      <c r="BC227" s="45">
        <f>('[2]Renewable Diesel'!Q236*'[2]RD Feedstock Breakdown'!BC$3*'[2]Feedstock Conversion Rates'!B$3)/12</f>
        <v>1.4017500000000001</v>
      </c>
      <c r="BD227" s="45">
        <f>('[2]Renewable Diesel'!Q236*'[2]RD Feedstock Breakdown'!BD$3*'[2]Feedstock Conversion Rates'!B$6)/12</f>
        <v>0.8207500000000002</v>
      </c>
      <c r="BE227" s="47">
        <f t="shared" si="151"/>
        <v>13.378749999999998</v>
      </c>
      <c r="BF227" s="45">
        <f>('[2]Renewable Diesel'!R236*'[2]RD Feedstock Breakdown'!BF$3*'[2]Feedstock Conversion Rates'!B$4)/12</f>
        <v>62.5</v>
      </c>
      <c r="BG227" s="47">
        <f t="shared" si="129"/>
        <v>62.5</v>
      </c>
      <c r="BH227" s="45">
        <f>('[2]Renewable Diesel'!T236*'[2]RD Feedstock Breakdown'!BH$3*'[2]Feedstock Conversion Rates'!B$7)/12</f>
        <v>27.599999999999998</v>
      </c>
      <c r="BI227" s="47">
        <f t="shared" si="112"/>
        <v>27.599999999999998</v>
      </c>
      <c r="BJ227" s="45">
        <f>('[2]Renewable Diesel'!W236*'[2]RD Feedstock Breakdown'!BJ$3*'[2]Feedstock Conversion Rates'!B$4)/12</f>
        <v>7.5</v>
      </c>
      <c r="BK227" s="45">
        <f>('[2]Renewable Diesel'!W236*'[2]RD Feedstock Breakdown'!BK$3*'[2]Feedstock Conversion Rates'!B$3)/12</f>
        <v>1.335</v>
      </c>
      <c r="BL227" s="45">
        <f>('[2]Renewable Diesel'!W236*'[2]RD Feedstock Breakdown'!BL$3*'[2]Feedstock Conversion Rates'!B$6)/12</f>
        <v>3.1266666666666669</v>
      </c>
      <c r="BM227" s="45">
        <f>('[2]Renewable Diesel'!W236*'[2]RD Feedstock Breakdown'!BM$3*'[2]Feedstock Conversion Rates'!B$7)/12</f>
        <v>1.5333333333333332</v>
      </c>
      <c r="BN227" s="47">
        <f t="shared" si="168"/>
        <v>13.495000000000001</v>
      </c>
      <c r="BO227" s="45">
        <f>('[2]Renewable Diesel'!P236*'[2]Feedstock Conversion Rates'!B$4)/12</f>
        <v>31.25</v>
      </c>
      <c r="BP227" s="47">
        <f t="shared" si="157"/>
        <v>31.25</v>
      </c>
      <c r="BQ227" s="45">
        <f>('[2]Renewable Diesel'!$S236*'[2]RD Feedstock Breakdown'!BQ$3*'[2]Feedstock Conversion Rates'!B$4)/12+10</f>
        <v>38.125</v>
      </c>
      <c r="BR227" s="45">
        <f>('[2]Renewable Diesel'!$S236*'[2]RD Feedstock Breakdown'!BR$3*'[2]Feedstock Conversion Rates'!B$7)/12-10</f>
        <v>1.5</v>
      </c>
      <c r="BS227" s="47">
        <f t="shared" si="90"/>
        <v>39.625</v>
      </c>
      <c r="BT227" s="47"/>
      <c r="BU227" s="45">
        <f>('[2]Renewable Diesel'!Y236*'[2]Feedstock Conversion Rates'!B$7)/12</f>
        <v>2.6833333333333331</v>
      </c>
      <c r="BV227" s="47">
        <f t="shared" si="153"/>
        <v>2.6833333333333331</v>
      </c>
      <c r="BW227" s="45">
        <f>('[2]Renewable Diesel'!$Z236*'[2]RD Feedstock Breakdown'!BW$3*'[2]Feedstock Conversion Rates'!$B$4)/12</f>
        <v>53.90625</v>
      </c>
      <c r="BX227" s="45">
        <f>('[2]Renewable Diesel'!$Z236*'[2]RD Feedstock Breakdown'!BX$3*'[2]Feedstock Conversion Rates'!$B$5)/12</f>
        <v>5.4265624999999993</v>
      </c>
      <c r="BY227" s="45">
        <f>('[2]Renewable Diesel'!$Z236*'[2]RD Feedstock Breakdown'!BY$3*'[2]Feedstock Conversion Rates'!$B$7)/12</f>
        <v>46.287499999999994</v>
      </c>
      <c r="BZ227" s="45">
        <f>('[2]Renewable Diesel'!$Z236*'[2]RD Feedstock Breakdown'!BZ$3*'[2]Feedstock Conversion Rates'!$B$3)/12</f>
        <v>11.514374999999999</v>
      </c>
      <c r="CA227" s="47">
        <f t="shared" si="91"/>
        <v>117.1346875</v>
      </c>
      <c r="CB227" s="45">
        <f>('[2]Renewable Diesel'!AA236*'[2]Feedstock Conversion Rates'!B$4)/12</f>
        <v>191.25</v>
      </c>
      <c r="CC227" s="47">
        <f t="shared" si="171"/>
        <v>191.25</v>
      </c>
      <c r="CD227" s="45">
        <f>('[2]Renewable Diesel'!$AB236*'[2]RD Feedstock Breakdown'!CD$3*'[2]Feedstock Conversion Rates'!$B$6)/12-15</f>
        <v>17.830000000000005</v>
      </c>
      <c r="CE227" s="45">
        <f>('[2]Renewable Diesel'!$AB236*'[2]RD Feedstock Breakdown'!CE$3*'[2]Feedstock Conversion Rates'!$B$4)/12+15</f>
        <v>26.25</v>
      </c>
      <c r="CF227" s="47">
        <f t="shared" si="161"/>
        <v>44.080000000000005</v>
      </c>
      <c r="CG227" s="45">
        <f>('[2]Renewable Diesel'!AD236*'[2]Feedstock Conversion Rates'!B$4)/12</f>
        <v>112.5</v>
      </c>
      <c r="CH227" s="47">
        <f t="shared" si="149"/>
        <v>112.5</v>
      </c>
      <c r="CI227" s="45">
        <f>('[2]Renewable Diesel'!$AE236*'[2]RD Feedstock Breakdown'!CI$3*'[2]Feedstock Conversion Rates'!$B$5)/12</f>
        <v>0.34604166666666664</v>
      </c>
      <c r="CJ227" s="45">
        <f>('[2]Renewable Diesel'!$AE236*'[2]RD Feedstock Breakdown'!CJ$3*'[2]Feedstock Conversion Rates'!$B$4)/12</f>
        <v>0.34375</v>
      </c>
      <c r="CK227" s="47">
        <f t="shared" si="158"/>
        <v>0.68979166666666658</v>
      </c>
      <c r="CL227" s="45">
        <f>(((CL$3*'[2]Renewable Diesel'!$AF236)*'[2]Feedstock Conversion Rates'!$B$3)/12)</f>
        <v>91.78125</v>
      </c>
      <c r="CM227" s="45">
        <f>(((CM$3*'[2]Renewable Diesel'!$AF236)*'[2]Feedstock Conversion Rates'!$B$6)/12)</f>
        <v>53.739583333333336</v>
      </c>
      <c r="CN227" s="45">
        <f>(((CN$3*'[2]Renewable Diesel'!$AF236)*'[2]Feedstock Conversion Rates'!$B$4)/12)</f>
        <v>42.96875</v>
      </c>
      <c r="CO227" s="47">
        <f t="shared" si="152"/>
        <v>188.48958333333334</v>
      </c>
      <c r="CP227" s="45">
        <f>('[2]Renewable Diesel'!$AG236*'[2]RD Feedstock Breakdown'!CP$3*'[2]Feedstock Conversion Rates'!$B$3)/12</f>
        <v>6.0075000000000003</v>
      </c>
      <c r="CQ227" s="45">
        <f>('[2]Renewable Diesel'!$AG236*'[2]RD Feedstock Breakdown'!CQ$3*'[2]Feedstock Conversion Rates'!$B$6)/12</f>
        <v>3.5175000000000001</v>
      </c>
      <c r="CR227" s="45">
        <f>('[2]Renewable Diesel'!$AG236*'[2]RD Feedstock Breakdown'!CR$3*'[2]Feedstock Conversion Rates'!$B$4)/12</f>
        <v>2.8125</v>
      </c>
      <c r="CS227" s="47">
        <f t="shared" si="99"/>
        <v>12.3375</v>
      </c>
      <c r="CT227" s="45">
        <f>('[2]Renewable Diesel'!AI236*'[2]Feedstock Conversion Rates'!$B$4*'[2]RD Feedstock Breakdown'!$CT$3)/12</f>
        <v>29.375</v>
      </c>
      <c r="CU227" s="47">
        <f t="shared" si="154"/>
        <v>29.375</v>
      </c>
      <c r="CV227" s="45">
        <f>('[2]Renewable Diesel'!AN236*'[2]Feedstock Conversion Rates'!$B$3*'[2]RD Feedstock Breakdown'!$CV$3)/12</f>
        <v>0.50062499999999999</v>
      </c>
      <c r="CW227" s="47">
        <f t="shared" si="124"/>
        <v>0.50062499999999999</v>
      </c>
      <c r="CX227" s="45">
        <f>('[2]Renewable Diesel'!AO236*'[2]RD Feedstock Breakdown'!$CX$3*'[2]Feedstock Conversion Rates'!$B$3)/12</f>
        <v>6.3412499999999996</v>
      </c>
      <c r="CY227" s="45">
        <f>('[2]Renewable Diesel'!AO236*'[2]RD Feedstock Breakdown'!$CY$3*'[2]Feedstock Conversion Rates'!$B$6)/12</f>
        <v>7.4258333333333342</v>
      </c>
      <c r="CZ227" s="47">
        <f t="shared" si="100"/>
        <v>13.767083333333334</v>
      </c>
      <c r="DA227" s="45">
        <f>('[2]Renewable Diesel'!$AP236*'[2]RD Feedstock Breakdown'!DA$3*'[2]Feedstock Conversion Rates'!$B$3)/12</f>
        <v>6.3412499999999996</v>
      </c>
      <c r="DB227" s="45">
        <f>('[2]Renewable Diesel'!$AP236*'[2]RD Feedstock Breakdown'!DB$3*'[2]Feedstock Conversion Rates'!$B$8)/12</f>
        <v>7.421875</v>
      </c>
      <c r="DC227" s="47">
        <f t="shared" si="127"/>
        <v>13.763124999999999</v>
      </c>
      <c r="DD227" s="45">
        <f>('[2]Renewable Diesel'!AQ236*$DD$3*'[2]Feedstock Conversion Rates'!$B$14)/12</f>
        <v>3.1041666666666665</v>
      </c>
      <c r="DE227" s="47">
        <f t="shared" si="128"/>
        <v>3.1041666666666665</v>
      </c>
      <c r="DF227" s="45">
        <f>('[2]Renewable Diesel'!AR236*'[2]Feedstock Conversion Rates'!$B$4*$DF$3)/12</f>
        <v>75</v>
      </c>
      <c r="DG227" s="47">
        <f t="shared" si="101"/>
        <v>75</v>
      </c>
      <c r="DH227" s="45">
        <f>('[2]Renewable Diesel'!AS236*'[2]Feedstock Conversion Rates'!$B$4*$DH$3)/12</f>
        <v>75</v>
      </c>
      <c r="DI227" s="47">
        <f t="shared" si="110"/>
        <v>75</v>
      </c>
      <c r="DJ227" s="45">
        <f>('[2]Renewable Diesel'!AT236*'[2]Feedstock Conversion Rates'!$B$4*0.25)/12</f>
        <v>8.59375</v>
      </c>
      <c r="DK227" s="45">
        <f>('[2]Renewable Diesel'!$AT236*'[2]RD Feedstock Breakdown'!DK$3*'[2]Feedstock Conversion Rates'!$B$3)/12*0.5</f>
        <v>9.1781249999999996</v>
      </c>
      <c r="DL227" s="45">
        <f>('[2]Renewable Diesel'!$AT236*'[2]RD Feedstock Breakdown'!$DL$3*'[2]Feedstock Conversion Rates'!$B$6)/12</f>
        <v>10.747916666666669</v>
      </c>
      <c r="DM227" s="45">
        <f>('[2]Renewable Diesel'!$AT236*'[2]RD Feedstock Breakdown'!$DM$3*'[2]Feedstock Conversion Rates'!$B$8)/12</f>
        <v>10.7421875</v>
      </c>
      <c r="DN227" s="47">
        <f t="shared" si="169"/>
        <v>39.26197916666667</v>
      </c>
      <c r="DP227" s="45">
        <f t="shared" si="130"/>
        <v>109.72025000000001</v>
      </c>
      <c r="DQ227" s="45">
        <f t="shared" si="131"/>
        <v>562.27964249999991</v>
      </c>
      <c r="DR227" s="45">
        <f t="shared" si="136"/>
        <v>2003.534375</v>
      </c>
      <c r="DS227" s="45">
        <f t="shared" si="155"/>
        <v>90.592395833333327</v>
      </c>
      <c r="DT227" s="45">
        <f t="shared" si="132"/>
        <v>237.03923333333344</v>
      </c>
      <c r="DU227" s="45">
        <f t="shared" si="133"/>
        <v>202.72693333333333</v>
      </c>
      <c r="DV227" s="45">
        <f t="shared" si="137"/>
        <v>7.25</v>
      </c>
      <c r="DW227" s="45">
        <f t="shared" si="134"/>
        <v>3</v>
      </c>
      <c r="DX227" s="47">
        <f t="shared" si="138"/>
        <v>3216.1428299999998</v>
      </c>
      <c r="DY227" s="50">
        <f t="shared" si="126"/>
        <v>-124.99999999999969</v>
      </c>
      <c r="EA227" s="51">
        <f t="shared" si="117"/>
        <v>3.4115478011901609E-2</v>
      </c>
      <c r="EB227" s="51">
        <f t="shared" si="117"/>
        <v>0.17483043267080273</v>
      </c>
      <c r="EC227" s="51">
        <f t="shared" si="117"/>
        <v>0.62296187728702335</v>
      </c>
      <c r="ED227" s="51">
        <f t="shared" si="114"/>
        <v>2.8168026304146863E-2</v>
      </c>
      <c r="EE227" s="51">
        <f t="shared" si="114"/>
        <v>7.3702955951534491E-2</v>
      </c>
      <c r="EF227" s="51">
        <f t="shared" si="114"/>
        <v>6.3034182264017594E-2</v>
      </c>
      <c r="EG227" s="51">
        <f t="shared" si="114"/>
        <v>2.2542531172348463E-3</v>
      </c>
      <c r="EH227" s="52">
        <f t="shared" si="139"/>
        <v>9.3279439333855707E-4</v>
      </c>
      <c r="EI227" s="51">
        <f t="shared" si="140"/>
        <v>0.9990672056066614</v>
      </c>
      <c r="EK227" s="53">
        <f>(EA227*'[2]Renewable Diesel'!BF236*'[2]Feedstock Conversion Rates'!B$2)+FB227</f>
        <v>129.49669768094657</v>
      </c>
      <c r="EL227" s="53">
        <f>(EB227*'[2]Renewable Diesel'!BF236*'[2]Feedstock Conversion Rates'!B$3)+FC227</f>
        <v>625.37116904078948</v>
      </c>
      <c r="EM227" s="53">
        <f>(EC227*'[2]Renewable Diesel'!BF236*'[2]Feedstock Conversion Rates'!B$4)+FD227</f>
        <v>2086.4646969378878</v>
      </c>
      <c r="EN227" s="53">
        <f>(ED227*'[2]Renewable Diesel'!BF236*'[2]Feedstock Conversion Rates'!B$5)+FE227</f>
        <v>94.971145489857051</v>
      </c>
      <c r="EO227" s="53">
        <f>(EE227*'[2]Renewable Diesel'!BF236*'[2]Feedstock Conversion Rates'!B$6)+FF227</f>
        <v>308.72802278163471</v>
      </c>
      <c r="EP227" s="53">
        <f>(EF227*'[2]Renewable Diesel'!BF236*'[2]Feedstock Conversion Rates'!B$7)+FG227</f>
        <v>258.97167007312748</v>
      </c>
      <c r="EQ227" s="53">
        <f>(EG227*'[2]Renewable Diesel'!BF236*'[2]Feedstock Conversion Rates'!B$8)+FH227</f>
        <v>9.4376151225254663</v>
      </c>
      <c r="ER227" s="53">
        <f>(EH227*'[2]Renewable Diesel'!BF236*'[2]Feedstock Conversion Rates'!B$9)+FI227</f>
        <v>3.8531504500241907</v>
      </c>
      <c r="ES227" s="53">
        <f t="shared" si="141"/>
        <v>3517.2941675767925</v>
      </c>
      <c r="ET227" s="36">
        <f>ES227/'[2]Renewable Diesel'!BF236</f>
        <v>7.8762661818100899</v>
      </c>
    </row>
    <row r="228" spans="1:150" x14ac:dyDescent="0.25">
      <c r="A228" s="39">
        <v>47362</v>
      </c>
      <c r="B228" s="45">
        <f t="shared" si="162"/>
        <v>22.300000000000011</v>
      </c>
      <c r="C228" s="45">
        <f t="shared" si="163"/>
        <v>37</v>
      </c>
      <c r="D228" s="45">
        <f t="shared" si="164"/>
        <v>2</v>
      </c>
      <c r="E228" s="45">
        <f>('[2]Renewable Diesel'!B237*E$3*'[2]Feedstock Conversion Rates'!$B$2)/12-57.5+12.5+43-59+20+16+50+55-5-26-5-8+15.5-41-1</f>
        <v>99.43</v>
      </c>
      <c r="F228" s="45">
        <f>('[2]Renewable Diesel'!B237*'[2]RD Feedstock Breakdown'!F$3*'[2]Feedstock Conversion Rates'!B$8)/12-24+17.5-2.25+15-45+5+17+10+2-29+4-16</f>
        <v>8.15625</v>
      </c>
      <c r="G228" s="45">
        <f>('[2]Renewable Diesel'!B237*'[2]RD Feedstock Breakdown'!G$3*'[2]Feedstock Conversion Rates'!B$7)/12-50-1+71-144-30+30+70+7.5-65+7.5-25-12.5-5-10+2</f>
        <v>21.657000000000011</v>
      </c>
      <c r="H228" s="45">
        <f>('[2]Renewable Diesel'!B237*'[2]RD Feedstock Breakdown'!H$3*'[2]Feedstock Conversion Rates'!B$3)/12-105+29+50+2.5-120+10+1.5+51+30+20-5-45+200+10</f>
        <v>305.40022499999998</v>
      </c>
      <c r="I228" s="47">
        <f t="shared" si="160"/>
        <v>495.94347500000003</v>
      </c>
      <c r="J228" s="45">
        <f t="shared" si="165"/>
        <v>102.5</v>
      </c>
      <c r="K228" s="45"/>
      <c r="L228" s="45">
        <v>1</v>
      </c>
      <c r="M228" s="45">
        <f>('[2]Renewable Diesel'!C237*'[2]RD Feedstock Breakdown'!M$3*'[2]Feedstock Conversion Rates'!B$2)/12-25+4.5-34-0.5-2.5+3+7.5+2.5-4+26+25</f>
        <v>10.29025</v>
      </c>
      <c r="N228" s="45">
        <f>('[2]Renewable Diesel'!C237*'[2]RD Feedstock Breakdown'!N$3*'[2]Feedstock Conversion Rates'!B$8)/12-2.5+30-39+1+7+2+7+2-24-15</f>
        <v>-27.828125</v>
      </c>
      <c r="O228" s="45">
        <f>('[2]Renewable Diesel'!C237*'[2]RD Feedstock Breakdown'!O$3*'[2]Feedstock Conversion Rates'!B$7)/12-30-60-19+29+15-15+30-20+9</f>
        <v>-49.000900000000001</v>
      </c>
      <c r="P228" s="45">
        <f>('[2]Renewable Diesel'!C237*'[2]RD Feedstock Breakdown'!P$3*'[2]Feedstock Conversion Rates'!B$3)/12-27+50-107+35+15+40+50-95-5+25+5</f>
        <v>-3.5529574999999909</v>
      </c>
      <c r="Q228" s="47">
        <f t="shared" si="172"/>
        <v>33.408267500000008</v>
      </c>
      <c r="R228" s="45">
        <f>('[2]Renewable Diesel'!D237*'[2]RD Feedstock Breakdown'!R$3*'[2]Feedstock Conversion Rates'!B$7)/12</f>
        <v>2.2999999999999998</v>
      </c>
      <c r="S228" s="47">
        <f t="shared" si="116"/>
        <v>2.2999999999999998</v>
      </c>
      <c r="T228" s="45">
        <f t="shared" si="166"/>
        <v>5.8250000000000028</v>
      </c>
      <c r="U228" s="45">
        <v>30</v>
      </c>
      <c r="V228" s="45">
        <f>('[2]Renewable Diesel'!E237*'[2]RD Feedstock Breakdown'!V$3*'[2]Feedstock Conversion Rates'!B$6)/12-20+25-35</f>
        <v>14.250150000000012</v>
      </c>
      <c r="W228" s="45">
        <f>('[2]Renewable Diesel'!E237*'[2]RD Feedstock Breakdown'!W$3*'[2]Feedstock Conversion Rates'!B$8)/12-6</f>
        <v>16.1796875</v>
      </c>
      <c r="X228" s="47">
        <f t="shared" si="147"/>
        <v>66.254837500000008</v>
      </c>
      <c r="Y228" s="45">
        <f t="shared" si="167"/>
        <v>126</v>
      </c>
      <c r="Z228" s="45">
        <f>('[2]Renewable Diesel'!F237*'[2]RD Feedstock Breakdown'!Z$3*'[2]Feedstock Conversion Rates'!B$6)/12-50-32-60+15+30+22.5-70+75-30+3+5</f>
        <v>67.960000000000008</v>
      </c>
      <c r="AA228" s="45">
        <f>('[2]Renewable Diesel'!F237*'[2]RD Feedstock Breakdown'!AA$3*'[2]Feedstock Conversion Rates'!B$7)/12+80-171+75+30-50-1+2.5</f>
        <v>69.766666666666652</v>
      </c>
      <c r="AB228" s="47">
        <f t="shared" si="102"/>
        <v>263.72666666666669</v>
      </c>
      <c r="AC228" s="45">
        <f>('[2]Renewable Diesel'!G237*'[2]RD Feedstock Breakdown'!AC$3*'[2]Feedstock Conversion Rates'!B$5)/12+2</f>
        <v>13.796875</v>
      </c>
      <c r="AD228" s="45">
        <f>('[2]Renewable Diesel'!G237*'[2]RD Feedstock Breakdown'!AD$3*'[2]Feedstock Conversion Rates'!B$4)/12</f>
        <v>5.859375</v>
      </c>
      <c r="AE228" s="45">
        <f>('[2]Renewable Diesel'!G237*'[2]RD Feedstock Breakdown'!AE$3*'[2]Feedstock Conversion Rates'!B$6)/12-2</f>
        <v>5.3281250000000009</v>
      </c>
      <c r="AF228" s="47">
        <f t="shared" si="156"/>
        <v>24.984375</v>
      </c>
      <c r="AG228" s="45">
        <f t="shared" si="170"/>
        <v>16.5</v>
      </c>
      <c r="AH228" s="45">
        <v>125</v>
      </c>
      <c r="AI228" s="45">
        <f>('[2]Renewable Diesel'!H237*'[2]RD Feedstock Breakdown'!AI$3*'[2]Feedstock Conversion Rates'!B$6)/12-130-20+51-120+2.5+100-45+20</f>
        <v>7.0166666666666799</v>
      </c>
      <c r="AJ228" s="47">
        <f t="shared" si="113"/>
        <v>23.51666666666668</v>
      </c>
      <c r="AK228" s="45">
        <f>('[2]Renewable Diesel'!J237*'[2]RD Feedstock Breakdown'!AK$3*'[2]Feedstock Conversion Rates'!B$4)/12</f>
        <v>95.8125</v>
      </c>
      <c r="AL228" s="47">
        <f t="shared" si="123"/>
        <v>95.8125</v>
      </c>
      <c r="AM228" s="45">
        <f>('[2]Renewable Diesel'!K237*'[2]RD Feedstock Breakdown'!AM$3*'[2]Feedstock Conversion Rates'!B$4)/12+5+15-10+9-27</f>
        <v>50.59375</v>
      </c>
      <c r="AN228" s="45">
        <f>('[2]Renewable Diesel'!K237*'[2]RD Feedstock Breakdown'!AN$3*'[2]Feedstock Conversion Rates'!B$6)/12-5-15+10-9+27</f>
        <v>32.427083333333329</v>
      </c>
      <c r="AO228" s="47">
        <f t="shared" si="135"/>
        <v>83.020833333333329</v>
      </c>
      <c r="AP228" s="45">
        <f>('[2]Renewable Diesel'!L237*'[2]RD Feedstock Breakdown'!AP$3*'[2]Feedstock Conversion Rates'!B$4)/12+15-10+5+9</f>
        <v>77.59375</v>
      </c>
      <c r="AQ228" s="45">
        <f>('[2]Renewable Diesel'!L237*'[2]RD Feedstock Breakdown'!AQ$3*'[2]Feedstock Conversion Rates'!B$6)/12-15+10-5-9</f>
        <v>5.4270833333333321</v>
      </c>
      <c r="AR228" s="47">
        <f t="shared" si="125"/>
        <v>83.020833333333329</v>
      </c>
      <c r="AS228" s="45">
        <f>('[2]Renewable Diesel'!M237*'[2]RD Feedstock Breakdown'!AS$3*'[2]Feedstock Conversion Rates'!B$4)/12</f>
        <v>456.25</v>
      </c>
      <c r="AT228" s="45">
        <f>('[2]Renewable Diesel'!M237*'[2]RD Feedstock Breakdown'!AT$3*'[2]Feedstock Conversion Rates'!B$5)/12</f>
        <v>0</v>
      </c>
      <c r="AU228" s="47">
        <f t="shared" si="159"/>
        <v>456.25</v>
      </c>
      <c r="AV228" s="45">
        <f>'[2]Renewable Diesel'!N237*'[2]RD Feedstock Breakdown'!$AV$3*'[2]Feedstock Conversion Rates'!$B$4/12-15-10+25+25-22-10-30</f>
        <v>41.749999999999986</v>
      </c>
      <c r="AW228" s="45">
        <f>'[2]Renewable Diesel'!N237*'[2]RD Feedstock Breakdown'!$AW$3*'[2]Feedstock Conversion Rates'!$B$7/12+15+10-25-25+22+10+30</f>
        <v>78.400000000000006</v>
      </c>
      <c r="AX228" s="47">
        <f t="shared" si="109"/>
        <v>120.14999999999999</v>
      </c>
      <c r="AY228" s="45">
        <f>('[2]Renewable Diesel'!O237*'[2]RD Feedstock Breakdown'!AY$3*'[2]Feedstock Conversion Rates'!B$4)/12+32+2-135</f>
        <v>109.9375</v>
      </c>
      <c r="AZ228" s="45">
        <f>('[2]Renewable Diesel'!O237*'[2]RD Feedstock Breakdown'!AZ$3*'[2]Feedstock Conversion Rates'!B$3)/12-32-2+135</f>
        <v>126.03125</v>
      </c>
      <c r="BA228" s="47">
        <f t="shared" si="173"/>
        <v>235.96875</v>
      </c>
      <c r="BB228" s="45">
        <f>('[2]Renewable Diesel'!Q237*'[2]RD Feedstock Breakdown'!BB$3*'[2]Feedstock Conversion Rates'!B$4)/12</f>
        <v>11.156249999999998</v>
      </c>
      <c r="BC228" s="45">
        <f>('[2]Renewable Diesel'!Q237*'[2]RD Feedstock Breakdown'!BC$3*'[2]Feedstock Conversion Rates'!B$3)/12</f>
        <v>1.4017500000000001</v>
      </c>
      <c r="BD228" s="45">
        <f>('[2]Renewable Diesel'!Q237*'[2]RD Feedstock Breakdown'!BD$3*'[2]Feedstock Conversion Rates'!B$6)/12</f>
        <v>0.8207500000000002</v>
      </c>
      <c r="BE228" s="47">
        <f t="shared" si="151"/>
        <v>13.378749999999998</v>
      </c>
      <c r="BF228" s="45">
        <f>('[2]Renewable Diesel'!R237*'[2]RD Feedstock Breakdown'!BF$3*'[2]Feedstock Conversion Rates'!B$4)/12</f>
        <v>62.5</v>
      </c>
      <c r="BG228" s="47">
        <f t="shared" si="129"/>
        <v>62.5</v>
      </c>
      <c r="BH228" s="45">
        <f>('[2]Renewable Diesel'!T237*'[2]RD Feedstock Breakdown'!BH$3*'[2]Feedstock Conversion Rates'!B$7)/12</f>
        <v>27.599999999999998</v>
      </c>
      <c r="BI228" s="47">
        <f t="shared" si="112"/>
        <v>27.599999999999998</v>
      </c>
      <c r="BJ228" s="45">
        <f>('[2]Renewable Diesel'!W237*'[2]RD Feedstock Breakdown'!BJ$3*'[2]Feedstock Conversion Rates'!B$4)/12</f>
        <v>7.5</v>
      </c>
      <c r="BK228" s="45">
        <f>('[2]Renewable Diesel'!W237*'[2]RD Feedstock Breakdown'!BK$3*'[2]Feedstock Conversion Rates'!B$3)/12</f>
        <v>1.335</v>
      </c>
      <c r="BL228" s="45">
        <f>('[2]Renewable Diesel'!W237*'[2]RD Feedstock Breakdown'!BL$3*'[2]Feedstock Conversion Rates'!B$6)/12</f>
        <v>3.1266666666666669</v>
      </c>
      <c r="BM228" s="45">
        <f>('[2]Renewable Diesel'!W237*'[2]RD Feedstock Breakdown'!BM$3*'[2]Feedstock Conversion Rates'!B$7)/12</f>
        <v>1.5333333333333332</v>
      </c>
      <c r="BN228" s="47">
        <f t="shared" si="168"/>
        <v>13.495000000000001</v>
      </c>
      <c r="BO228" s="45">
        <f>('[2]Renewable Diesel'!P237*'[2]Feedstock Conversion Rates'!B$4)/12</f>
        <v>31.25</v>
      </c>
      <c r="BP228" s="47">
        <f t="shared" si="157"/>
        <v>31.25</v>
      </c>
      <c r="BQ228" s="45">
        <f>('[2]Renewable Diesel'!$S237*'[2]RD Feedstock Breakdown'!BQ$3*'[2]Feedstock Conversion Rates'!B$4)/12+10</f>
        <v>38.125</v>
      </c>
      <c r="BR228" s="45">
        <f>('[2]Renewable Diesel'!$S237*'[2]RD Feedstock Breakdown'!BR$3*'[2]Feedstock Conversion Rates'!B$7)/12-10</f>
        <v>1.5</v>
      </c>
      <c r="BS228" s="47">
        <f t="shared" si="90"/>
        <v>39.625</v>
      </c>
      <c r="BT228" s="47"/>
      <c r="BU228" s="45">
        <f>('[2]Renewable Diesel'!Y237*'[2]Feedstock Conversion Rates'!B$7)/12</f>
        <v>2.6833333333333331</v>
      </c>
      <c r="BV228" s="47">
        <f t="shared" si="153"/>
        <v>2.6833333333333331</v>
      </c>
      <c r="BW228" s="45">
        <f>('[2]Renewable Diesel'!$Z237*'[2]RD Feedstock Breakdown'!BW$3*'[2]Feedstock Conversion Rates'!$B$4)/12</f>
        <v>53.90625</v>
      </c>
      <c r="BX228" s="45">
        <f>('[2]Renewable Diesel'!$Z237*'[2]RD Feedstock Breakdown'!BX$3*'[2]Feedstock Conversion Rates'!$B$5)/12</f>
        <v>5.4265624999999993</v>
      </c>
      <c r="BY228" s="45">
        <f>('[2]Renewable Diesel'!$Z237*'[2]RD Feedstock Breakdown'!BY$3*'[2]Feedstock Conversion Rates'!$B$7)/12</f>
        <v>46.287499999999994</v>
      </c>
      <c r="BZ228" s="45">
        <f>('[2]Renewable Diesel'!$Z237*'[2]RD Feedstock Breakdown'!BZ$3*'[2]Feedstock Conversion Rates'!$B$3)/12</f>
        <v>11.514374999999999</v>
      </c>
      <c r="CA228" s="47">
        <f t="shared" si="91"/>
        <v>117.1346875</v>
      </c>
      <c r="CB228" s="45">
        <f>('[2]Renewable Diesel'!AA237*'[2]Feedstock Conversion Rates'!B$4)/12</f>
        <v>191.25</v>
      </c>
      <c r="CC228" s="47">
        <f t="shared" si="171"/>
        <v>191.25</v>
      </c>
      <c r="CD228" s="45">
        <f>('[2]Renewable Diesel'!$AB237*'[2]RD Feedstock Breakdown'!CD$3*'[2]Feedstock Conversion Rates'!$B$6)/12-15</f>
        <v>17.830000000000005</v>
      </c>
      <c r="CE228" s="45">
        <f>('[2]Renewable Diesel'!$AB237*'[2]RD Feedstock Breakdown'!CE$3*'[2]Feedstock Conversion Rates'!$B$4)/12+15</f>
        <v>26.25</v>
      </c>
      <c r="CF228" s="47">
        <f t="shared" si="161"/>
        <v>44.080000000000005</v>
      </c>
      <c r="CG228" s="45">
        <f>('[2]Renewable Diesel'!AD237*'[2]Feedstock Conversion Rates'!B$4)/12</f>
        <v>112.5</v>
      </c>
      <c r="CH228" s="47">
        <f t="shared" si="149"/>
        <v>112.5</v>
      </c>
      <c r="CI228" s="45">
        <f>('[2]Renewable Diesel'!$AE237*'[2]RD Feedstock Breakdown'!CI$3*'[2]Feedstock Conversion Rates'!$B$5)/12</f>
        <v>0.34604166666666664</v>
      </c>
      <c r="CJ228" s="45">
        <f>('[2]Renewable Diesel'!$AE237*'[2]RD Feedstock Breakdown'!CJ$3*'[2]Feedstock Conversion Rates'!$B$4)/12</f>
        <v>0.34375</v>
      </c>
      <c r="CK228" s="47">
        <f t="shared" si="158"/>
        <v>0.68979166666666658</v>
      </c>
      <c r="CL228" s="45">
        <f>(((CL$3*'[2]Renewable Diesel'!$AF237)*'[2]Feedstock Conversion Rates'!$B$3)/12)</f>
        <v>91.78125</v>
      </c>
      <c r="CM228" s="45">
        <f>(((CM$3*'[2]Renewable Diesel'!$AF237)*'[2]Feedstock Conversion Rates'!$B$6)/12)</f>
        <v>53.739583333333336</v>
      </c>
      <c r="CN228" s="45">
        <f>(((CN$3*'[2]Renewable Diesel'!$AF237)*'[2]Feedstock Conversion Rates'!$B$4)/12)</f>
        <v>42.96875</v>
      </c>
      <c r="CO228" s="47">
        <f t="shared" si="152"/>
        <v>188.48958333333334</v>
      </c>
      <c r="CP228" s="45">
        <f>('[2]Renewable Diesel'!$AG237*'[2]RD Feedstock Breakdown'!CP$3*'[2]Feedstock Conversion Rates'!$B$3)/12</f>
        <v>6.0075000000000003</v>
      </c>
      <c r="CQ228" s="45">
        <f>('[2]Renewable Diesel'!$AG237*'[2]RD Feedstock Breakdown'!CQ$3*'[2]Feedstock Conversion Rates'!$B$6)/12</f>
        <v>3.5175000000000001</v>
      </c>
      <c r="CR228" s="45">
        <f>('[2]Renewable Diesel'!$AG237*'[2]RD Feedstock Breakdown'!CR$3*'[2]Feedstock Conversion Rates'!$B$4)/12</f>
        <v>2.8125</v>
      </c>
      <c r="CS228" s="47">
        <f t="shared" si="99"/>
        <v>12.3375</v>
      </c>
      <c r="CT228" s="45">
        <f>('[2]Renewable Diesel'!AI237*'[2]Feedstock Conversion Rates'!$B$4*'[2]RD Feedstock Breakdown'!$CT$3)/12</f>
        <v>29.375</v>
      </c>
      <c r="CU228" s="47">
        <f t="shared" si="154"/>
        <v>29.375</v>
      </c>
      <c r="CV228" s="45">
        <f>('[2]Renewable Diesel'!AN237*'[2]Feedstock Conversion Rates'!$B$3*'[2]RD Feedstock Breakdown'!$CV$3)/12</f>
        <v>0.50062499999999999</v>
      </c>
      <c r="CW228" s="47">
        <f t="shared" si="124"/>
        <v>0.50062499999999999</v>
      </c>
      <c r="CX228" s="45">
        <f>('[2]Renewable Diesel'!AO237*'[2]RD Feedstock Breakdown'!$CX$3*'[2]Feedstock Conversion Rates'!$B$3)/12</f>
        <v>6.3412499999999996</v>
      </c>
      <c r="CY228" s="45">
        <f>('[2]Renewable Diesel'!AO237*'[2]RD Feedstock Breakdown'!$CY$3*'[2]Feedstock Conversion Rates'!$B$6)/12</f>
        <v>7.4258333333333342</v>
      </c>
      <c r="CZ228" s="47">
        <f t="shared" si="100"/>
        <v>13.767083333333334</v>
      </c>
      <c r="DA228" s="45">
        <f>('[2]Renewable Diesel'!$AP237*'[2]RD Feedstock Breakdown'!DA$3*'[2]Feedstock Conversion Rates'!$B$3)/12</f>
        <v>6.3412499999999996</v>
      </c>
      <c r="DB228" s="45">
        <f>('[2]Renewable Diesel'!$AP237*'[2]RD Feedstock Breakdown'!DB$3*'[2]Feedstock Conversion Rates'!$B$8)/12</f>
        <v>7.421875</v>
      </c>
      <c r="DC228" s="47">
        <f t="shared" si="127"/>
        <v>13.763124999999999</v>
      </c>
      <c r="DD228" s="45">
        <f>('[2]Renewable Diesel'!AQ237*$DD$3*'[2]Feedstock Conversion Rates'!$B$14)/12</f>
        <v>3.1041666666666665</v>
      </c>
      <c r="DE228" s="47">
        <f t="shared" si="128"/>
        <v>3.1041666666666665</v>
      </c>
      <c r="DF228" s="45">
        <f>('[2]Renewable Diesel'!AR237*'[2]Feedstock Conversion Rates'!$B$4*$DF$3)/12</f>
        <v>75</v>
      </c>
      <c r="DG228" s="47">
        <f t="shared" si="101"/>
        <v>75</v>
      </c>
      <c r="DH228" s="45">
        <f>('[2]Renewable Diesel'!AS237*'[2]Feedstock Conversion Rates'!$B$4*$DH$3)/12</f>
        <v>75</v>
      </c>
      <c r="DI228" s="47">
        <f t="shared" si="110"/>
        <v>75</v>
      </c>
      <c r="DJ228" s="45">
        <f>('[2]Renewable Diesel'!AT237*'[2]Feedstock Conversion Rates'!$B$4*0.25)/12</f>
        <v>8.59375</v>
      </c>
      <c r="DK228" s="45">
        <f>('[2]Renewable Diesel'!$AT237*'[2]RD Feedstock Breakdown'!DK$3*'[2]Feedstock Conversion Rates'!$B$3)/12*0.5</f>
        <v>9.1781249999999996</v>
      </c>
      <c r="DL228" s="45">
        <f>('[2]Renewable Diesel'!$AT237*'[2]RD Feedstock Breakdown'!$DL$3*'[2]Feedstock Conversion Rates'!$B$6)/12</f>
        <v>10.747916666666669</v>
      </c>
      <c r="DM228" s="45">
        <f>('[2]Renewable Diesel'!$AT237*'[2]RD Feedstock Breakdown'!$DM$3*'[2]Feedstock Conversion Rates'!$B$8)/12</f>
        <v>10.7421875</v>
      </c>
      <c r="DN228" s="47">
        <f t="shared" si="169"/>
        <v>39.26197916666667</v>
      </c>
      <c r="DP228" s="45">
        <f t="shared" si="130"/>
        <v>109.72025000000001</v>
      </c>
      <c r="DQ228" s="45">
        <f t="shared" si="131"/>
        <v>562.27964249999991</v>
      </c>
      <c r="DR228" s="45">
        <f t="shared" si="136"/>
        <v>2003.534375</v>
      </c>
      <c r="DS228" s="45">
        <f t="shared" si="155"/>
        <v>90.592395833333327</v>
      </c>
      <c r="DT228" s="45">
        <f t="shared" si="132"/>
        <v>237.03923333333344</v>
      </c>
      <c r="DU228" s="45">
        <f t="shared" si="133"/>
        <v>202.72693333333333</v>
      </c>
      <c r="DV228" s="45">
        <f t="shared" si="137"/>
        <v>7.25</v>
      </c>
      <c r="DW228" s="45">
        <f t="shared" si="134"/>
        <v>3</v>
      </c>
      <c r="DX228" s="47">
        <f t="shared" si="138"/>
        <v>3216.1428299999998</v>
      </c>
      <c r="DY228" s="50">
        <f t="shared" si="126"/>
        <v>-124.99999999999969</v>
      </c>
      <c r="EA228" s="51">
        <f t="shared" si="117"/>
        <v>3.4115478011901609E-2</v>
      </c>
      <c r="EB228" s="51">
        <f t="shared" si="117"/>
        <v>0.17483043267080273</v>
      </c>
      <c r="EC228" s="51">
        <f t="shared" si="117"/>
        <v>0.62296187728702335</v>
      </c>
      <c r="ED228" s="51">
        <f t="shared" si="114"/>
        <v>2.8168026304146863E-2</v>
      </c>
      <c r="EE228" s="51">
        <f t="shared" si="114"/>
        <v>7.3702955951534491E-2</v>
      </c>
      <c r="EF228" s="51">
        <f t="shared" si="114"/>
        <v>6.3034182264017594E-2</v>
      </c>
      <c r="EG228" s="51">
        <f t="shared" si="114"/>
        <v>2.2542531172348463E-3</v>
      </c>
      <c r="EH228" s="52">
        <f t="shared" si="139"/>
        <v>9.3279439333855707E-4</v>
      </c>
      <c r="EI228" s="51">
        <f t="shared" si="140"/>
        <v>0.9990672056066614</v>
      </c>
      <c r="EK228" s="53">
        <f>(EA228*'[2]Renewable Diesel'!BF237*'[2]Feedstock Conversion Rates'!B$2)+FB228</f>
        <v>144.38032073815245</v>
      </c>
      <c r="EL228" s="53">
        <f>(EB228*'[2]Renewable Diesel'!BF237*'[2]Feedstock Conversion Rates'!B$3)+FC228</f>
        <v>697.24781854253797</v>
      </c>
      <c r="EM228" s="53">
        <f>(EC228*'[2]Renewable Diesel'!BF237*'[2]Feedstock Conversion Rates'!B$4)+FD228</f>
        <v>2326.2712296720424</v>
      </c>
      <c r="EN228" s="53">
        <f>(ED228*'[2]Renewable Diesel'!BF237*'[2]Feedstock Conversion Rates'!B$5)+FE228</f>
        <v>105.88659550592389</v>
      </c>
      <c r="EO228" s="53">
        <f>(EE228*'[2]Renewable Diesel'!BF237*'[2]Feedstock Conversion Rates'!B$6)+FF228</f>
        <v>344.21148761561403</v>
      </c>
      <c r="EP228" s="53">
        <f>(EF228*'[2]Renewable Diesel'!BF237*'[2]Feedstock Conversion Rates'!B$7)+FG228</f>
        <v>288.73641920487802</v>
      </c>
      <c r="EQ228" s="53">
        <f>(EG228*'[2]Renewable Diesel'!BF237*'[2]Feedstock Conversion Rates'!B$8)+FH228</f>
        <v>10.522321594259086</v>
      </c>
      <c r="ER228" s="53">
        <f>(EH228*'[2]Renewable Diesel'!BF237*'[2]Feedstock Conversion Rates'!B$9)+FI228</f>
        <v>4.2960099198630202</v>
      </c>
      <c r="ES228" s="53">
        <f t="shared" si="141"/>
        <v>3921.5522027932711</v>
      </c>
      <c r="ET228" s="36">
        <f>ES228/'[2]Renewable Diesel'!BF237</f>
        <v>7.8762661818100916</v>
      </c>
    </row>
    <row r="229" spans="1:150" x14ac:dyDescent="0.25">
      <c r="A229" s="39">
        <v>47392</v>
      </c>
      <c r="B229" s="45">
        <f>52+76+182-15-5+31-17+4-18-32-70-23-51+30-45+1-10+45-50-50-1+25+28+5+24+7.5+5-8.5-5+10+30-23-130+1</f>
        <v>3</v>
      </c>
      <c r="C229" s="45">
        <f>50-1+2.5+5-55+15+8+42-5+0.5-7</f>
        <v>55</v>
      </c>
      <c r="D229" s="45">
        <f>1+1</f>
        <v>2</v>
      </c>
      <c r="E229" s="45">
        <f>('[2]Renewable Diesel'!B238*E$3*'[2]Feedstock Conversion Rates'!$B$2)/12-57.5+8+12.5+52.5-76+18+23+45+50-5-24-2.5-10+23-47+6-0.5</f>
        <v>105.43</v>
      </c>
      <c r="F229" s="45">
        <f>('[2]Renewable Diesel'!B238*'[2]RD Feedstock Breakdown'!F$3*'[2]Feedstock Conversion Rates'!B$8)/12-5-4-2.25+5+19-52+5+17+9+2-33+8.5-15</f>
        <v>8.15625</v>
      </c>
      <c r="G229" s="45">
        <f>('[2]Renewable Diesel'!B238*'[2]RD Feedstock Breakdown'!G$3*'[2]Feedstock Conversion Rates'!B$7)/12-72.5+5.25-57.5-31+32+70-30+10-45-25-7.5+5-10+5</f>
        <v>24.907000000000011</v>
      </c>
      <c r="H229" s="45">
        <f>('[2]Renewable Diesel'!B238*'[2]RD Feedstock Breakdown'!H$3*'[2]Feedstock Conversion Rates'!B$3)/12-105+15+129-182+15-4+51+50-5-30-5+185+7</f>
        <v>297.40022499999998</v>
      </c>
      <c r="I229" s="47">
        <f t="shared" si="160"/>
        <v>495.89347499999997</v>
      </c>
      <c r="J229" s="45">
        <f>47.5+60+38+97+19-6.25-35-29-20-5-25-4-3-50-10-1-20+2.5+20+100+20+1-45-75+15+20-25-10-26-5</f>
        <v>45.75</v>
      </c>
      <c r="K229" s="45"/>
      <c r="L229" s="45">
        <v>1</v>
      </c>
      <c r="M229" s="45">
        <f>('[2]Renewable Diesel'!C238*'[2]RD Feedstock Breakdown'!M$3*'[2]Feedstock Conversion Rates'!B$2)/12-18.5+2-38+5+3-1+25+26</f>
        <v>11.29025</v>
      </c>
      <c r="N229" s="45">
        <f>('[2]Renewable Diesel'!C238*'[2]RD Feedstock Breakdown'!N$3*'[2]Feedstock Conversion Rates'!B$8)/12-2.5+36-47.5+6.25+4+10-2.5-20-15</f>
        <v>-27.578125</v>
      </c>
      <c r="O229" s="45">
        <f>('[2]Renewable Diesel'!C238*'[2]RD Feedstock Breakdown'!O$3*'[2]Feedstock Conversion Rates'!B$7)/12-30-60-19+29+20-20+45-20+10</f>
        <v>-33.000900000000001</v>
      </c>
      <c r="P229" s="45">
        <f>('[2]Renewable Diesel'!C238*'[2]RD Feedstock Breakdown'!P$3*'[2]Feedstock Conversion Rates'!B$3)/12-12+25-97+35+25+50+20-100+75+5</f>
        <v>36.447042500000009</v>
      </c>
      <c r="Q229" s="47">
        <f t="shared" si="172"/>
        <v>33.908267500000008</v>
      </c>
      <c r="R229" s="45">
        <f>('[2]Renewable Diesel'!D238*'[2]RD Feedstock Breakdown'!R$3*'[2]Feedstock Conversion Rates'!B$7)/12</f>
        <v>2.2999999999999998</v>
      </c>
      <c r="S229" s="47">
        <f t="shared" si="116"/>
        <v>2.2999999999999998</v>
      </c>
      <c r="T229" s="45">
        <f>5.825+20-25+35-30</f>
        <v>5.8250000000000028</v>
      </c>
      <c r="U229" s="45">
        <v>30</v>
      </c>
      <c r="V229" s="45">
        <f>('[2]Renewable Diesel'!E238*'[2]RD Feedstock Breakdown'!V$3*'[2]Feedstock Conversion Rates'!B$6)/12-20+25-35</f>
        <v>14.250150000000012</v>
      </c>
      <c r="W229" s="45">
        <f>('[2]Renewable Diesel'!E238*'[2]RD Feedstock Breakdown'!W$3*'[2]Feedstock Conversion Rates'!B$8)/12-6</f>
        <v>16.1796875</v>
      </c>
      <c r="X229" s="47">
        <f t="shared" si="147"/>
        <v>66.254837500000008</v>
      </c>
      <c r="Y229" s="45">
        <f>50+32-80+171+60-15-75-30-15-5-50+75-65+52.5+3+30-3-2-7</f>
        <v>126.5</v>
      </c>
      <c r="Z229" s="45">
        <f>('[2]Renewable Diesel'!F238*'[2]RD Feedstock Breakdown'!Z$3*'[2]Feedstock Conversion Rates'!B$6)/12-50-32-60+15+15+50-75+65-6-30+9+2+7</f>
        <v>69.460000000000008</v>
      </c>
      <c r="AA229" s="45">
        <f>('[2]Renewable Diesel'!F238*'[2]RD Feedstock Breakdown'!AA$3*'[2]Feedstock Conversion Rates'!B$7)/12+80-171+75+30+5-52.5-3</f>
        <v>67.766666666666652</v>
      </c>
      <c r="AB229" s="47">
        <f t="shared" si="102"/>
        <v>263.72666666666669</v>
      </c>
      <c r="AC229" s="45">
        <f>('[2]Renewable Diesel'!G238*'[2]RD Feedstock Breakdown'!AC$3*'[2]Feedstock Conversion Rates'!B$5)/12</f>
        <v>11.796875</v>
      </c>
      <c r="AD229" s="45">
        <f>('[2]Renewable Diesel'!G238*'[2]RD Feedstock Breakdown'!AD$3*'[2]Feedstock Conversion Rates'!B$4)/12</f>
        <v>5.859375</v>
      </c>
      <c r="AE229" s="45">
        <f>('[2]Renewable Diesel'!G238*'[2]RD Feedstock Breakdown'!AE$3*'[2]Feedstock Conversion Rates'!B$6)/12</f>
        <v>7.3281250000000009</v>
      </c>
      <c r="AF229" s="47">
        <f t="shared" si="156"/>
        <v>24.984375</v>
      </c>
      <c r="AG229" s="45">
        <f>130+20-51+120-105+42.5-20+5-135</f>
        <v>6.5</v>
      </c>
      <c r="AH229" s="45">
        <v>135</v>
      </c>
      <c r="AI229" s="45">
        <f>('[2]Renewable Diesel'!H238*'[2]RD Feedstock Breakdown'!AI$3*'[2]Feedstock Conversion Rates'!B$6)/12-130-20+51-120+105-42.5+20-5</f>
        <v>7.0166666666666799</v>
      </c>
      <c r="AJ229" s="47">
        <f t="shared" si="113"/>
        <v>13.51666666666668</v>
      </c>
      <c r="AK229" s="45">
        <f>('[2]Renewable Diesel'!J238*'[2]RD Feedstock Breakdown'!AK$3*'[2]Feedstock Conversion Rates'!B$4)/12</f>
        <v>95.8125</v>
      </c>
      <c r="AL229" s="47">
        <f t="shared" si="123"/>
        <v>95.8125</v>
      </c>
      <c r="AM229" s="45">
        <f>('[2]Renewable Diesel'!K238*'[2]RD Feedstock Breakdown'!AM$3*'[2]Feedstock Conversion Rates'!B$4)/12+5+15-10+9-27</f>
        <v>50.59375</v>
      </c>
      <c r="AN229" s="45">
        <f>('[2]Renewable Diesel'!K238*'[2]RD Feedstock Breakdown'!AN$3*'[2]Feedstock Conversion Rates'!B$6)/12-5-15+10-9+27</f>
        <v>32.427083333333329</v>
      </c>
      <c r="AO229" s="47">
        <f t="shared" si="135"/>
        <v>83.020833333333329</v>
      </c>
      <c r="AP229" s="45">
        <f>('[2]Renewable Diesel'!L238*'[2]RD Feedstock Breakdown'!AP$3*'[2]Feedstock Conversion Rates'!B$4)/12+15-10+14</f>
        <v>77.59375</v>
      </c>
      <c r="AQ229" s="45">
        <f>('[2]Renewable Diesel'!L238*'[2]RD Feedstock Breakdown'!AQ$3*'[2]Feedstock Conversion Rates'!B$6)/12-15+10-14</f>
        <v>5.4270833333333321</v>
      </c>
      <c r="AR229" s="47">
        <f t="shared" si="125"/>
        <v>83.020833333333329</v>
      </c>
      <c r="AS229" s="45">
        <f>('[2]Renewable Diesel'!M238*'[2]RD Feedstock Breakdown'!AS$3*'[2]Feedstock Conversion Rates'!B$4)/12</f>
        <v>456.25</v>
      </c>
      <c r="AT229" s="45">
        <f>('[2]Renewable Diesel'!M238*'[2]RD Feedstock Breakdown'!AT$3*'[2]Feedstock Conversion Rates'!B$5)/12</f>
        <v>0</v>
      </c>
      <c r="AU229" s="47">
        <f t="shared" si="159"/>
        <v>456.25</v>
      </c>
      <c r="AV229" s="45">
        <f>'[2]Renewable Diesel'!N238*'[2]RD Feedstock Breakdown'!$AV$3*'[2]Feedstock Conversion Rates'!$B$4/12-15-10+25+25-22-40</f>
        <v>41.749999999999986</v>
      </c>
      <c r="AW229" s="45">
        <f>'[2]Renewable Diesel'!N238*'[2]RD Feedstock Breakdown'!$AW$3*'[2]Feedstock Conversion Rates'!$B$7/12+15+10-25-25+22+40</f>
        <v>78.400000000000006</v>
      </c>
      <c r="AX229" s="47">
        <f t="shared" si="109"/>
        <v>120.14999999999999</v>
      </c>
      <c r="AY229" s="45">
        <f>('[2]Renewable Diesel'!O238*'[2]RD Feedstock Breakdown'!AY$3*'[2]Feedstock Conversion Rates'!B$4)/12+32+2-135</f>
        <v>109.9375</v>
      </c>
      <c r="AZ229" s="45">
        <f>('[2]Renewable Diesel'!O238*'[2]RD Feedstock Breakdown'!AZ$3*'[2]Feedstock Conversion Rates'!B$3)/12-32-2+135</f>
        <v>126.03125</v>
      </c>
      <c r="BA229" s="47">
        <f t="shared" si="173"/>
        <v>235.96875</v>
      </c>
      <c r="BB229" s="45">
        <f>('[2]Renewable Diesel'!Q238*'[2]RD Feedstock Breakdown'!BB$3*'[2]Feedstock Conversion Rates'!B$4)/12</f>
        <v>11.156249999999998</v>
      </c>
      <c r="BC229" s="45">
        <f>('[2]Renewable Diesel'!Q238*'[2]RD Feedstock Breakdown'!BC$3*'[2]Feedstock Conversion Rates'!B$3)/12</f>
        <v>1.4017500000000001</v>
      </c>
      <c r="BD229" s="45">
        <f>('[2]Renewable Diesel'!Q238*'[2]RD Feedstock Breakdown'!BD$3*'[2]Feedstock Conversion Rates'!B$6)/12</f>
        <v>0.8207500000000002</v>
      </c>
      <c r="BE229" s="47">
        <f t="shared" si="151"/>
        <v>13.378749999999998</v>
      </c>
      <c r="BF229" s="45">
        <f>('[2]Renewable Diesel'!R238*'[2]RD Feedstock Breakdown'!BF$3*'[2]Feedstock Conversion Rates'!B$4)/12</f>
        <v>62.5</v>
      </c>
      <c r="BG229" s="47">
        <f t="shared" si="129"/>
        <v>62.5</v>
      </c>
      <c r="BH229" s="45">
        <f>('[2]Renewable Diesel'!T238*'[2]RD Feedstock Breakdown'!BH$3*'[2]Feedstock Conversion Rates'!B$7)/12</f>
        <v>27.599999999999998</v>
      </c>
      <c r="BI229" s="47">
        <f t="shared" si="112"/>
        <v>27.599999999999998</v>
      </c>
      <c r="BJ229" s="45">
        <f>('[2]Renewable Diesel'!W238*'[2]RD Feedstock Breakdown'!BJ$3*'[2]Feedstock Conversion Rates'!B$4)/12</f>
        <v>7.5</v>
      </c>
      <c r="BK229" s="45">
        <f>('[2]Renewable Diesel'!W238*'[2]RD Feedstock Breakdown'!BK$3*'[2]Feedstock Conversion Rates'!B$3)/12</f>
        <v>1.335</v>
      </c>
      <c r="BL229" s="45">
        <f>('[2]Renewable Diesel'!W238*'[2]RD Feedstock Breakdown'!BL$3*'[2]Feedstock Conversion Rates'!B$6)/12</f>
        <v>3.1266666666666669</v>
      </c>
      <c r="BM229" s="45">
        <f>('[2]Renewable Diesel'!W238*'[2]RD Feedstock Breakdown'!BM$3*'[2]Feedstock Conversion Rates'!B$7)/12</f>
        <v>1.5333333333333332</v>
      </c>
      <c r="BN229" s="47">
        <f t="shared" si="168"/>
        <v>13.495000000000001</v>
      </c>
      <c r="BO229" s="45">
        <f>('[2]Renewable Diesel'!P238*'[2]Feedstock Conversion Rates'!B$4)/12</f>
        <v>31.25</v>
      </c>
      <c r="BP229" s="47">
        <f t="shared" si="157"/>
        <v>31.25</v>
      </c>
      <c r="BQ229" s="45">
        <f>('[2]Renewable Diesel'!$S238*'[2]RD Feedstock Breakdown'!BQ$3*'[2]Feedstock Conversion Rates'!B$4)/12+10</f>
        <v>38.125</v>
      </c>
      <c r="BR229" s="45">
        <f>('[2]Renewable Diesel'!$S238*'[2]RD Feedstock Breakdown'!BR$3*'[2]Feedstock Conversion Rates'!B$7)/12-10</f>
        <v>1.5</v>
      </c>
      <c r="BS229" s="47">
        <f t="shared" ref="BS229:BS292" si="174">SUM(BQ229:BR229)</f>
        <v>39.625</v>
      </c>
      <c r="BT229" s="47"/>
      <c r="BU229" s="45">
        <f>('[2]Renewable Diesel'!Y238*'[2]Feedstock Conversion Rates'!B$7)/12</f>
        <v>2.6833333333333331</v>
      </c>
      <c r="BV229" s="47">
        <f t="shared" si="153"/>
        <v>2.6833333333333331</v>
      </c>
      <c r="BW229" s="45">
        <f>('[2]Renewable Diesel'!$Z238*'[2]RD Feedstock Breakdown'!BW$3*'[2]Feedstock Conversion Rates'!$B$4)/12</f>
        <v>53.90625</v>
      </c>
      <c r="BX229" s="45">
        <f>('[2]Renewable Diesel'!$Z238*'[2]RD Feedstock Breakdown'!BX$3*'[2]Feedstock Conversion Rates'!$B$5)/12</f>
        <v>5.4265624999999993</v>
      </c>
      <c r="BY229" s="45">
        <f>('[2]Renewable Diesel'!$Z238*'[2]RD Feedstock Breakdown'!BY$3*'[2]Feedstock Conversion Rates'!$B$7)/12</f>
        <v>46.287499999999994</v>
      </c>
      <c r="BZ229" s="45">
        <f>('[2]Renewable Diesel'!$Z238*'[2]RD Feedstock Breakdown'!BZ$3*'[2]Feedstock Conversion Rates'!$B$3)/12</f>
        <v>11.514374999999999</v>
      </c>
      <c r="CA229" s="47">
        <f t="shared" si="91"/>
        <v>117.1346875</v>
      </c>
      <c r="CB229" s="45">
        <f>('[2]Renewable Diesel'!AA238*'[2]Feedstock Conversion Rates'!B$4)/12</f>
        <v>191.25</v>
      </c>
      <c r="CC229" s="47">
        <f t="shared" si="171"/>
        <v>191.25</v>
      </c>
      <c r="CD229" s="45">
        <f>('[2]Renewable Diesel'!$AB238*'[2]RD Feedstock Breakdown'!CD$3*'[2]Feedstock Conversion Rates'!$B$6)/12-15</f>
        <v>17.830000000000005</v>
      </c>
      <c r="CE229" s="45">
        <f>('[2]Renewable Diesel'!$AB238*'[2]RD Feedstock Breakdown'!CE$3*'[2]Feedstock Conversion Rates'!$B$4)/12+15</f>
        <v>26.25</v>
      </c>
      <c r="CF229" s="47">
        <f t="shared" si="161"/>
        <v>44.080000000000005</v>
      </c>
      <c r="CG229" s="45">
        <f>('[2]Renewable Diesel'!AD238*'[2]Feedstock Conversion Rates'!B$4)/12</f>
        <v>112.5</v>
      </c>
      <c r="CH229" s="47">
        <f t="shared" si="149"/>
        <v>112.5</v>
      </c>
      <c r="CI229" s="45">
        <f>('[2]Renewable Diesel'!$AE238*'[2]RD Feedstock Breakdown'!CI$3*'[2]Feedstock Conversion Rates'!$B$5)/12</f>
        <v>0.34604166666666664</v>
      </c>
      <c r="CJ229" s="45">
        <f>('[2]Renewable Diesel'!$AE238*'[2]RD Feedstock Breakdown'!CJ$3*'[2]Feedstock Conversion Rates'!$B$4)/12</f>
        <v>0.34375</v>
      </c>
      <c r="CK229" s="47">
        <f t="shared" si="158"/>
        <v>0.68979166666666658</v>
      </c>
      <c r="CL229" s="45">
        <f>(((CL$3*'[2]Renewable Diesel'!$AF238)*'[2]Feedstock Conversion Rates'!$B$3)/12)</f>
        <v>91.78125</v>
      </c>
      <c r="CM229" s="45">
        <f>(((CM$3*'[2]Renewable Diesel'!$AF238)*'[2]Feedstock Conversion Rates'!$B$6)/12)</f>
        <v>53.739583333333336</v>
      </c>
      <c r="CN229" s="45">
        <f>(((CN$3*'[2]Renewable Diesel'!$AF238)*'[2]Feedstock Conversion Rates'!$B$4)/12)</f>
        <v>42.96875</v>
      </c>
      <c r="CO229" s="47">
        <f t="shared" si="152"/>
        <v>188.48958333333334</v>
      </c>
      <c r="CP229" s="45">
        <f>('[2]Renewable Diesel'!$AG238*'[2]RD Feedstock Breakdown'!CP$3*'[2]Feedstock Conversion Rates'!$B$3)/12</f>
        <v>6.0075000000000003</v>
      </c>
      <c r="CQ229" s="45">
        <f>('[2]Renewable Diesel'!$AG238*'[2]RD Feedstock Breakdown'!CQ$3*'[2]Feedstock Conversion Rates'!$B$6)/12</f>
        <v>3.5175000000000001</v>
      </c>
      <c r="CR229" s="45">
        <f>('[2]Renewable Diesel'!$AG238*'[2]RD Feedstock Breakdown'!CR$3*'[2]Feedstock Conversion Rates'!$B$4)/12</f>
        <v>2.8125</v>
      </c>
      <c r="CS229" s="47">
        <f t="shared" si="99"/>
        <v>12.3375</v>
      </c>
      <c r="CT229" s="45">
        <f>('[2]Renewable Diesel'!AI238*'[2]Feedstock Conversion Rates'!$B$4*'[2]RD Feedstock Breakdown'!$CT$3)/12</f>
        <v>29.375</v>
      </c>
      <c r="CU229" s="47">
        <f t="shared" si="154"/>
        <v>29.375</v>
      </c>
      <c r="CV229" s="45">
        <f>('[2]Renewable Diesel'!AN238*'[2]Feedstock Conversion Rates'!$B$3*'[2]RD Feedstock Breakdown'!$CV$3)/12</f>
        <v>0.50062499999999999</v>
      </c>
      <c r="CW229" s="47">
        <f t="shared" si="124"/>
        <v>0.50062499999999999</v>
      </c>
      <c r="CX229" s="45">
        <f>('[2]Renewable Diesel'!AO238*'[2]RD Feedstock Breakdown'!$CX$3*'[2]Feedstock Conversion Rates'!$B$3)/12</f>
        <v>6.3412499999999996</v>
      </c>
      <c r="CY229" s="45">
        <f>('[2]Renewable Diesel'!AO238*'[2]RD Feedstock Breakdown'!$CY$3*'[2]Feedstock Conversion Rates'!$B$6)/12</f>
        <v>7.4258333333333342</v>
      </c>
      <c r="CZ229" s="47">
        <f t="shared" si="100"/>
        <v>13.767083333333334</v>
      </c>
      <c r="DA229" s="45">
        <f>('[2]Renewable Diesel'!$AP238*'[2]RD Feedstock Breakdown'!DA$3*'[2]Feedstock Conversion Rates'!$B$3)/12</f>
        <v>6.3412499999999996</v>
      </c>
      <c r="DB229" s="45">
        <f>('[2]Renewable Diesel'!$AP238*'[2]RD Feedstock Breakdown'!DB$3*'[2]Feedstock Conversion Rates'!$B$8)/12</f>
        <v>7.421875</v>
      </c>
      <c r="DC229" s="47">
        <f t="shared" si="127"/>
        <v>13.763124999999999</v>
      </c>
      <c r="DD229" s="45">
        <f>('[2]Renewable Diesel'!AQ238*$DD$3*'[2]Feedstock Conversion Rates'!$B$14)/12</f>
        <v>3.1041666666666665</v>
      </c>
      <c r="DE229" s="47">
        <f t="shared" si="128"/>
        <v>3.1041666666666665</v>
      </c>
      <c r="DF229" s="45">
        <f>('[2]Renewable Diesel'!AR238*'[2]Feedstock Conversion Rates'!$B$4*$DF$3)/12</f>
        <v>75</v>
      </c>
      <c r="DG229" s="47">
        <f t="shared" si="101"/>
        <v>75</v>
      </c>
      <c r="DH229" s="45">
        <f>('[2]Renewable Diesel'!AS238*'[2]Feedstock Conversion Rates'!$B$4*$DH$3)/12</f>
        <v>75</v>
      </c>
      <c r="DI229" s="47">
        <f t="shared" si="110"/>
        <v>75</v>
      </c>
      <c r="DJ229" s="45">
        <f>('[2]Renewable Diesel'!AT238*'[2]Feedstock Conversion Rates'!$B$4*0.25)/12</f>
        <v>8.59375</v>
      </c>
      <c r="DK229" s="45">
        <f>('[2]Renewable Diesel'!$AT238*'[2]RD Feedstock Breakdown'!DK$3*'[2]Feedstock Conversion Rates'!$B$3)/12*0.5</f>
        <v>9.1781249999999996</v>
      </c>
      <c r="DL229" s="45">
        <f>('[2]Renewable Diesel'!$AT238*'[2]RD Feedstock Breakdown'!$DL$3*'[2]Feedstock Conversion Rates'!$B$6)/12</f>
        <v>10.747916666666669</v>
      </c>
      <c r="DM229" s="45">
        <f>('[2]Renewable Diesel'!$AT238*'[2]RD Feedstock Breakdown'!$DM$3*'[2]Feedstock Conversion Rates'!$B$8)/12</f>
        <v>10.7421875</v>
      </c>
      <c r="DN229" s="47">
        <f t="shared" si="169"/>
        <v>39.26197916666667</v>
      </c>
      <c r="DP229" s="45">
        <f t="shared" si="130"/>
        <v>116.72025000000001</v>
      </c>
      <c r="DQ229" s="45">
        <f t="shared" si="131"/>
        <v>594.27964249999991</v>
      </c>
      <c r="DR229" s="45">
        <f t="shared" si="136"/>
        <v>1937.984375</v>
      </c>
      <c r="DS229" s="45">
        <f t="shared" si="155"/>
        <v>96.592395833333342</v>
      </c>
      <c r="DT229" s="45">
        <f t="shared" si="132"/>
        <v>240.53923333333344</v>
      </c>
      <c r="DU229" s="45">
        <f t="shared" si="133"/>
        <v>219.97693333333333</v>
      </c>
      <c r="DV229" s="45">
        <f t="shared" si="137"/>
        <v>7.5</v>
      </c>
      <c r="DW229" s="45">
        <f t="shared" si="134"/>
        <v>3</v>
      </c>
      <c r="DX229" s="47">
        <f t="shared" si="138"/>
        <v>3216.59283</v>
      </c>
      <c r="DY229" s="50">
        <f t="shared" si="126"/>
        <v>-135.00000000000014</v>
      </c>
      <c r="EA229" s="51">
        <f t="shared" si="117"/>
        <v>3.6286921027552002E-2</v>
      </c>
      <c r="EB229" s="51">
        <f t="shared" si="117"/>
        <v>0.18475438885437045</v>
      </c>
      <c r="EC229" s="51">
        <f t="shared" si="117"/>
        <v>0.60249601905628825</v>
      </c>
      <c r="ED229" s="51">
        <f t="shared" si="114"/>
        <v>3.0029413400555687E-2</v>
      </c>
      <c r="EE229" s="51">
        <f t="shared" si="114"/>
        <v>7.4780752817052515E-2</v>
      </c>
      <c r="EF229" s="51">
        <f t="shared" si="114"/>
        <v>6.8388181208913948E-2</v>
      </c>
      <c r="EG229" s="51">
        <f t="shared" si="114"/>
        <v>2.3316597394765692E-3</v>
      </c>
      <c r="EH229" s="52">
        <f t="shared" si="139"/>
        <v>9.3266389579062757E-4</v>
      </c>
      <c r="EI229" s="51">
        <f t="shared" si="140"/>
        <v>0.99906733610420939</v>
      </c>
      <c r="EK229" s="53">
        <f>(EA229*'[2]Renewable Diesel'!BF238*'[2]Feedstock Conversion Rates'!B$2)+FB229</f>
        <v>158.64259265055185</v>
      </c>
      <c r="EL229" s="53">
        <f>(EB229*'[2]Renewable Diesel'!BF238*'[2]Feedstock Conversion Rates'!B$3)+FC229</f>
        <v>761.16363859701335</v>
      </c>
      <c r="EM229" s="53">
        <f>(EC229*'[2]Renewable Diesel'!BF238*'[2]Feedstock Conversion Rates'!B$4)+FD229</f>
        <v>2324.1609426328887</v>
      </c>
      <c r="EN229" s="53">
        <f>(ED229*'[2]Renewable Diesel'!BF238*'[2]Feedstock Conversion Rates'!B$5)+FE229</f>
        <v>116.61235172557927</v>
      </c>
      <c r="EO229" s="53">
        <f>(EE229*'[2]Renewable Diesel'!BF238*'[2]Feedstock Conversion Rates'!B$6)+FF229</f>
        <v>360.7808062777064</v>
      </c>
      <c r="EP229" s="53">
        <f>(EF229*'[2]Renewable Diesel'!BF238*'[2]Feedstock Conversion Rates'!B$7)+FG229</f>
        <v>323.60828708594909</v>
      </c>
      <c r="EQ229" s="53">
        <f>(EG229*'[2]Renewable Diesel'!BF238*'[2]Feedstock Conversion Rates'!B$8)+FH229</f>
        <v>11.243129262682178</v>
      </c>
      <c r="ER229" s="53">
        <f>(EH229*'[2]Renewable Diesel'!BF238*'[2]Feedstock Conversion Rates'!B$9)+FI229</f>
        <v>4.4372883490052324</v>
      </c>
      <c r="ES229" s="53">
        <f t="shared" si="141"/>
        <v>4060.6490365813752</v>
      </c>
      <c r="ET229" s="36">
        <f>ES229/'[2]Renewable Diesel'!BF238</f>
        <v>7.8948648771936716</v>
      </c>
    </row>
    <row r="230" spans="1:150" x14ac:dyDescent="0.25">
      <c r="A230" s="39">
        <v>47423</v>
      </c>
      <c r="B230" s="45">
        <f t="shared" ref="B230:B240" si="175">52+76+182-15-5+31-17+4-18-32-70-23-51+30-45+1-10+45-50-50-1+25+28+5+24+7.5+5-8.5-5+10+30-23-130+1</f>
        <v>3</v>
      </c>
      <c r="C230" s="45">
        <f t="shared" ref="C230:C240" si="176">50-1+2.5+5-55+15+8+42-5+0.5-7</f>
        <v>55</v>
      </c>
      <c r="D230" s="45">
        <f t="shared" ref="D230:D240" si="177">1+1</f>
        <v>2</v>
      </c>
      <c r="E230" s="45">
        <f>('[2]Renewable Diesel'!B239*E$3*'[2]Feedstock Conversion Rates'!$B$2)/12-57.5+8+12.5+52.5-76+18+23+45+50-5-24-2.5-10+23-47+6-0.5</f>
        <v>105.43</v>
      </c>
      <c r="F230" s="45">
        <f>('[2]Renewable Diesel'!B239*'[2]RD Feedstock Breakdown'!F$3*'[2]Feedstock Conversion Rates'!B$8)/12-5-4-2.25+5+19-52+5+17+9+2-33+8.5-15</f>
        <v>8.15625</v>
      </c>
      <c r="G230" s="45">
        <f>('[2]Renewable Diesel'!B239*'[2]RD Feedstock Breakdown'!G$3*'[2]Feedstock Conversion Rates'!B$7)/12-72.5+5.25-57.5-31+32+70-30+10-45-25-7.5+5-10+5</f>
        <v>24.907000000000011</v>
      </c>
      <c r="H230" s="45">
        <f>('[2]Renewable Diesel'!B239*'[2]RD Feedstock Breakdown'!H$3*'[2]Feedstock Conversion Rates'!B$3)/12-105+15+129-182+15-4+51+50-5-30-5+185+7</f>
        <v>297.40022499999998</v>
      </c>
      <c r="I230" s="47">
        <f t="shared" si="160"/>
        <v>495.89347499999997</v>
      </c>
      <c r="J230" s="45">
        <f t="shared" ref="J230:J240" si="178">47.5+60+38+97+19-6.25-35-29-20-5-25-4-3-50-10-1-20+2.5+20+100+20+1-45-75+15+20-25-10-26-5</f>
        <v>45.75</v>
      </c>
      <c r="K230" s="45"/>
      <c r="L230" s="45">
        <v>1</v>
      </c>
      <c r="M230" s="45">
        <f>('[2]Renewable Diesel'!C239*'[2]RD Feedstock Breakdown'!M$3*'[2]Feedstock Conversion Rates'!B$2)/12-18.5+2-38+5+3-1+25+26</f>
        <v>11.29025</v>
      </c>
      <c r="N230" s="45">
        <f>('[2]Renewable Diesel'!C239*'[2]RD Feedstock Breakdown'!N$3*'[2]Feedstock Conversion Rates'!B$8)/12-2.5+36-47.5+6.25+4+10-2.5-20-15</f>
        <v>-27.578125</v>
      </c>
      <c r="O230" s="45">
        <f>('[2]Renewable Diesel'!C239*'[2]RD Feedstock Breakdown'!O$3*'[2]Feedstock Conversion Rates'!B$7)/12-30-60-19+29+20-20+45-20+10</f>
        <v>-33.000900000000001</v>
      </c>
      <c r="P230" s="45">
        <f>('[2]Renewable Diesel'!C239*'[2]RD Feedstock Breakdown'!P$3*'[2]Feedstock Conversion Rates'!B$3)/12-12+25-97+35+25+50+20-100+75+5</f>
        <v>36.447042500000009</v>
      </c>
      <c r="Q230" s="47">
        <f t="shared" si="172"/>
        <v>33.908267500000008</v>
      </c>
      <c r="R230" s="45">
        <f>('[2]Renewable Diesel'!D239*'[2]RD Feedstock Breakdown'!R$3*'[2]Feedstock Conversion Rates'!B$7)/12</f>
        <v>2.2999999999999998</v>
      </c>
      <c r="S230" s="47">
        <f t="shared" si="116"/>
        <v>2.2999999999999998</v>
      </c>
      <c r="T230" s="45">
        <f t="shared" ref="T230:T252" si="179">5.825+20-25+35-30</f>
        <v>5.8250000000000028</v>
      </c>
      <c r="U230" s="45">
        <v>30</v>
      </c>
      <c r="V230" s="45">
        <f>('[2]Renewable Diesel'!E239*'[2]RD Feedstock Breakdown'!V$3*'[2]Feedstock Conversion Rates'!B$6)/12-20+25-35</f>
        <v>14.250150000000012</v>
      </c>
      <c r="W230" s="45">
        <f>('[2]Renewable Diesel'!E239*'[2]RD Feedstock Breakdown'!W$3*'[2]Feedstock Conversion Rates'!B$8)/12-6</f>
        <v>16.1796875</v>
      </c>
      <c r="X230" s="47">
        <f t="shared" si="147"/>
        <v>66.254837500000008</v>
      </c>
      <c r="Y230" s="45">
        <f t="shared" ref="Y230:Y240" si="180">50+32-80+171+60-15-75-30-15-5-50+75-65+52.5+3+30-3-2-7</f>
        <v>126.5</v>
      </c>
      <c r="Z230" s="45">
        <f>('[2]Renewable Diesel'!F239*'[2]RD Feedstock Breakdown'!Z$3*'[2]Feedstock Conversion Rates'!B$6)/12-50-32-60+15+15+50-75+65-6-30+9+2+7</f>
        <v>69.460000000000008</v>
      </c>
      <c r="AA230" s="45">
        <f>('[2]Renewable Diesel'!F239*'[2]RD Feedstock Breakdown'!AA$3*'[2]Feedstock Conversion Rates'!B$7)/12+80-171+75+30+5-52.5-3</f>
        <v>67.766666666666652</v>
      </c>
      <c r="AB230" s="47">
        <f t="shared" si="102"/>
        <v>263.72666666666669</v>
      </c>
      <c r="AC230" s="45">
        <f>('[2]Renewable Diesel'!G239*'[2]RD Feedstock Breakdown'!AC$3*'[2]Feedstock Conversion Rates'!B$5)/12</f>
        <v>11.796875</v>
      </c>
      <c r="AD230" s="45">
        <f>('[2]Renewable Diesel'!G239*'[2]RD Feedstock Breakdown'!AD$3*'[2]Feedstock Conversion Rates'!B$4)/12</f>
        <v>5.859375</v>
      </c>
      <c r="AE230" s="45">
        <f>('[2]Renewable Diesel'!G239*'[2]RD Feedstock Breakdown'!AE$3*'[2]Feedstock Conversion Rates'!B$6)/12</f>
        <v>7.3281250000000009</v>
      </c>
      <c r="AF230" s="47">
        <f t="shared" si="156"/>
        <v>24.984375</v>
      </c>
      <c r="AG230" s="45">
        <f>130+20-51+120-105+42.5-20+5-135</f>
        <v>6.5</v>
      </c>
      <c r="AH230" s="45">
        <v>135</v>
      </c>
      <c r="AI230" s="45">
        <f>('[2]Renewable Diesel'!H239*'[2]RD Feedstock Breakdown'!AI$3*'[2]Feedstock Conversion Rates'!B$6)/12-130-20+51-120+105-42.5+20-5</f>
        <v>7.0166666666666799</v>
      </c>
      <c r="AJ230" s="47">
        <f t="shared" si="113"/>
        <v>13.51666666666668</v>
      </c>
      <c r="AK230" s="45">
        <f>('[2]Renewable Diesel'!J239*'[2]RD Feedstock Breakdown'!AK$3*'[2]Feedstock Conversion Rates'!B$4)/12</f>
        <v>95.8125</v>
      </c>
      <c r="AL230" s="47">
        <f t="shared" si="123"/>
        <v>95.8125</v>
      </c>
      <c r="AM230" s="45">
        <f>('[2]Renewable Diesel'!K239*'[2]RD Feedstock Breakdown'!AM$3*'[2]Feedstock Conversion Rates'!B$4)/12+5+15-10+9-27</f>
        <v>50.59375</v>
      </c>
      <c r="AN230" s="45">
        <f>('[2]Renewable Diesel'!K239*'[2]RD Feedstock Breakdown'!AN$3*'[2]Feedstock Conversion Rates'!B$6)/12-5-15+10-9+27</f>
        <v>32.427083333333329</v>
      </c>
      <c r="AO230" s="47">
        <f t="shared" si="135"/>
        <v>83.020833333333329</v>
      </c>
      <c r="AP230" s="45">
        <f>('[2]Renewable Diesel'!L239*'[2]RD Feedstock Breakdown'!AP$3*'[2]Feedstock Conversion Rates'!B$4)/12+15-10+14</f>
        <v>77.59375</v>
      </c>
      <c r="AQ230" s="45">
        <f>('[2]Renewable Diesel'!L239*'[2]RD Feedstock Breakdown'!AQ$3*'[2]Feedstock Conversion Rates'!B$6)/12-15+10-14</f>
        <v>5.4270833333333321</v>
      </c>
      <c r="AR230" s="47">
        <f t="shared" si="125"/>
        <v>83.020833333333329</v>
      </c>
      <c r="AS230" s="45">
        <f>('[2]Renewable Diesel'!M239*'[2]RD Feedstock Breakdown'!AS$3*'[2]Feedstock Conversion Rates'!B$4)/12</f>
        <v>456.25</v>
      </c>
      <c r="AT230" s="45">
        <f>('[2]Renewable Diesel'!M239*'[2]RD Feedstock Breakdown'!AT$3*'[2]Feedstock Conversion Rates'!B$5)/12</f>
        <v>0</v>
      </c>
      <c r="AU230" s="47">
        <f t="shared" si="159"/>
        <v>456.25</v>
      </c>
      <c r="AV230" s="45">
        <f>'[2]Renewable Diesel'!N239*'[2]RD Feedstock Breakdown'!$AV$3*'[2]Feedstock Conversion Rates'!$B$4/12-15-10+25+25-22-40</f>
        <v>41.749999999999986</v>
      </c>
      <c r="AW230" s="45">
        <f>'[2]Renewable Diesel'!N239*'[2]RD Feedstock Breakdown'!$AW$3*'[2]Feedstock Conversion Rates'!$B$7/12+15+10-25-25+22+40</f>
        <v>78.400000000000006</v>
      </c>
      <c r="AX230" s="47">
        <f t="shared" si="109"/>
        <v>120.14999999999999</v>
      </c>
      <c r="AY230" s="45">
        <f>('[2]Renewable Diesel'!O239*'[2]RD Feedstock Breakdown'!AY$3*'[2]Feedstock Conversion Rates'!B$4)/12+32+2-135</f>
        <v>109.9375</v>
      </c>
      <c r="AZ230" s="45">
        <f>('[2]Renewable Diesel'!O239*'[2]RD Feedstock Breakdown'!AZ$3*'[2]Feedstock Conversion Rates'!B$3)/12-32-2+135</f>
        <v>126.03125</v>
      </c>
      <c r="BA230" s="47">
        <f t="shared" si="173"/>
        <v>235.96875</v>
      </c>
      <c r="BB230" s="45">
        <f>('[2]Renewable Diesel'!Q239*'[2]RD Feedstock Breakdown'!BB$3*'[2]Feedstock Conversion Rates'!B$4)/12</f>
        <v>11.156249999999998</v>
      </c>
      <c r="BC230" s="45">
        <f>('[2]Renewable Diesel'!Q239*'[2]RD Feedstock Breakdown'!BC$3*'[2]Feedstock Conversion Rates'!B$3)/12</f>
        <v>1.4017500000000001</v>
      </c>
      <c r="BD230" s="45">
        <f>('[2]Renewable Diesel'!Q239*'[2]RD Feedstock Breakdown'!BD$3*'[2]Feedstock Conversion Rates'!B$6)/12</f>
        <v>0.8207500000000002</v>
      </c>
      <c r="BE230" s="47">
        <f t="shared" si="151"/>
        <v>13.378749999999998</v>
      </c>
      <c r="BF230" s="45">
        <f>('[2]Renewable Diesel'!R239*'[2]RD Feedstock Breakdown'!BF$3*'[2]Feedstock Conversion Rates'!B$4)/12</f>
        <v>62.5</v>
      </c>
      <c r="BG230" s="47">
        <f t="shared" si="129"/>
        <v>62.5</v>
      </c>
      <c r="BH230" s="45">
        <f>('[2]Renewable Diesel'!T239*'[2]RD Feedstock Breakdown'!BH$3*'[2]Feedstock Conversion Rates'!B$7)/12</f>
        <v>27.599999999999998</v>
      </c>
      <c r="BI230" s="47">
        <f t="shared" si="112"/>
        <v>27.599999999999998</v>
      </c>
      <c r="BJ230" s="45">
        <f>('[2]Renewable Diesel'!W239*'[2]RD Feedstock Breakdown'!BJ$3*'[2]Feedstock Conversion Rates'!B$4)/12</f>
        <v>7.5</v>
      </c>
      <c r="BK230" s="45">
        <f>('[2]Renewable Diesel'!W239*'[2]RD Feedstock Breakdown'!BK$3*'[2]Feedstock Conversion Rates'!B$3)/12</f>
        <v>1.335</v>
      </c>
      <c r="BL230" s="45">
        <f>('[2]Renewable Diesel'!W239*'[2]RD Feedstock Breakdown'!BL$3*'[2]Feedstock Conversion Rates'!B$6)/12</f>
        <v>3.1266666666666669</v>
      </c>
      <c r="BM230" s="45">
        <f>('[2]Renewable Diesel'!W239*'[2]RD Feedstock Breakdown'!BM$3*'[2]Feedstock Conversion Rates'!B$7)/12</f>
        <v>1.5333333333333332</v>
      </c>
      <c r="BN230" s="47">
        <f t="shared" si="168"/>
        <v>13.495000000000001</v>
      </c>
      <c r="BO230" s="45">
        <f>('[2]Renewable Diesel'!P239*'[2]Feedstock Conversion Rates'!B$4)/12</f>
        <v>31.25</v>
      </c>
      <c r="BP230" s="47">
        <f t="shared" si="157"/>
        <v>31.25</v>
      </c>
      <c r="BQ230" s="45">
        <f>('[2]Renewable Diesel'!$S239*'[2]RD Feedstock Breakdown'!BQ$3*'[2]Feedstock Conversion Rates'!B$4)/12+10</f>
        <v>38.125</v>
      </c>
      <c r="BR230" s="45">
        <f>('[2]Renewable Diesel'!$S239*'[2]RD Feedstock Breakdown'!BR$3*'[2]Feedstock Conversion Rates'!B$7)/12-10</f>
        <v>1.5</v>
      </c>
      <c r="BS230" s="47">
        <f t="shared" si="174"/>
        <v>39.625</v>
      </c>
      <c r="BT230" s="47"/>
      <c r="BU230" s="45">
        <f>('[2]Renewable Diesel'!Y239*'[2]Feedstock Conversion Rates'!B$7)/12</f>
        <v>2.6833333333333331</v>
      </c>
      <c r="BV230" s="47">
        <f t="shared" si="153"/>
        <v>2.6833333333333331</v>
      </c>
      <c r="BW230" s="45">
        <f>('[2]Renewable Diesel'!$Z239*'[2]RD Feedstock Breakdown'!BW$3*'[2]Feedstock Conversion Rates'!$B$4)/12</f>
        <v>53.90625</v>
      </c>
      <c r="BX230" s="45">
        <f>('[2]Renewable Diesel'!$Z239*'[2]RD Feedstock Breakdown'!BX$3*'[2]Feedstock Conversion Rates'!$B$5)/12</f>
        <v>5.4265624999999993</v>
      </c>
      <c r="BY230" s="45">
        <f>('[2]Renewable Diesel'!$Z239*'[2]RD Feedstock Breakdown'!BY$3*'[2]Feedstock Conversion Rates'!$B$7)/12</f>
        <v>46.287499999999994</v>
      </c>
      <c r="BZ230" s="45">
        <f>('[2]Renewable Diesel'!$Z239*'[2]RD Feedstock Breakdown'!BZ$3*'[2]Feedstock Conversion Rates'!$B$3)/12</f>
        <v>11.514374999999999</v>
      </c>
      <c r="CA230" s="47">
        <f t="shared" ref="CA230:CA293" si="181">SUM(BW230:BZ230)</f>
        <v>117.1346875</v>
      </c>
      <c r="CB230" s="45">
        <f>('[2]Renewable Diesel'!AA239*'[2]Feedstock Conversion Rates'!B$4)/12</f>
        <v>191.25</v>
      </c>
      <c r="CC230" s="47">
        <f t="shared" si="171"/>
        <v>191.25</v>
      </c>
      <c r="CD230" s="45">
        <f>('[2]Renewable Diesel'!$AB239*'[2]RD Feedstock Breakdown'!CD$3*'[2]Feedstock Conversion Rates'!$B$6)/12-15</f>
        <v>17.830000000000005</v>
      </c>
      <c r="CE230" s="45">
        <f>('[2]Renewable Diesel'!$AB239*'[2]RD Feedstock Breakdown'!CE$3*'[2]Feedstock Conversion Rates'!$B$4)/12+15</f>
        <v>26.25</v>
      </c>
      <c r="CF230" s="47">
        <f t="shared" si="161"/>
        <v>44.080000000000005</v>
      </c>
      <c r="CG230" s="45">
        <f>('[2]Renewable Diesel'!AD239*'[2]Feedstock Conversion Rates'!B$4)/12</f>
        <v>112.5</v>
      </c>
      <c r="CH230" s="47">
        <f t="shared" si="149"/>
        <v>112.5</v>
      </c>
      <c r="CI230" s="45">
        <f>('[2]Renewable Diesel'!$AE239*'[2]RD Feedstock Breakdown'!CI$3*'[2]Feedstock Conversion Rates'!$B$5)/12</f>
        <v>0.34604166666666664</v>
      </c>
      <c r="CJ230" s="45">
        <f>('[2]Renewable Diesel'!$AE239*'[2]RD Feedstock Breakdown'!CJ$3*'[2]Feedstock Conversion Rates'!$B$4)/12</f>
        <v>0.34375</v>
      </c>
      <c r="CK230" s="47">
        <f t="shared" si="158"/>
        <v>0.68979166666666658</v>
      </c>
      <c r="CL230" s="45">
        <f>(((CL$3*'[2]Renewable Diesel'!$AF239)*'[2]Feedstock Conversion Rates'!$B$3)/12)</f>
        <v>91.78125</v>
      </c>
      <c r="CM230" s="45">
        <f>(((CM$3*'[2]Renewable Diesel'!$AF239)*'[2]Feedstock Conversion Rates'!$B$6)/12)</f>
        <v>53.739583333333336</v>
      </c>
      <c r="CN230" s="45">
        <f>(((CN$3*'[2]Renewable Diesel'!$AF239)*'[2]Feedstock Conversion Rates'!$B$4)/12)</f>
        <v>42.96875</v>
      </c>
      <c r="CO230" s="47">
        <f t="shared" si="152"/>
        <v>188.48958333333334</v>
      </c>
      <c r="CP230" s="45">
        <f>('[2]Renewable Diesel'!$AG239*'[2]RD Feedstock Breakdown'!CP$3*'[2]Feedstock Conversion Rates'!$B$3)/12</f>
        <v>6.0075000000000003</v>
      </c>
      <c r="CQ230" s="45">
        <f>('[2]Renewable Diesel'!$AG239*'[2]RD Feedstock Breakdown'!CQ$3*'[2]Feedstock Conversion Rates'!$B$6)/12</f>
        <v>3.5175000000000001</v>
      </c>
      <c r="CR230" s="45">
        <f>('[2]Renewable Diesel'!$AG239*'[2]RD Feedstock Breakdown'!CR$3*'[2]Feedstock Conversion Rates'!$B$4)/12</f>
        <v>2.8125</v>
      </c>
      <c r="CS230" s="47">
        <f t="shared" si="99"/>
        <v>12.3375</v>
      </c>
      <c r="CT230" s="45">
        <f>('[2]Renewable Diesel'!AI239*'[2]Feedstock Conversion Rates'!$B$4*'[2]RD Feedstock Breakdown'!$CT$3)/12</f>
        <v>29.375</v>
      </c>
      <c r="CU230" s="47">
        <f t="shared" si="154"/>
        <v>29.375</v>
      </c>
      <c r="CV230" s="45">
        <f>('[2]Renewable Diesel'!AN239*'[2]Feedstock Conversion Rates'!$B$3*'[2]RD Feedstock Breakdown'!$CV$3)/12</f>
        <v>0.50062499999999999</v>
      </c>
      <c r="CW230" s="47">
        <f t="shared" si="124"/>
        <v>0.50062499999999999</v>
      </c>
      <c r="CX230" s="45">
        <f>('[2]Renewable Diesel'!AO239*'[2]RD Feedstock Breakdown'!$CX$3*'[2]Feedstock Conversion Rates'!$B$3)/12</f>
        <v>6.3412499999999996</v>
      </c>
      <c r="CY230" s="45">
        <f>('[2]Renewable Diesel'!AO239*'[2]RD Feedstock Breakdown'!$CY$3*'[2]Feedstock Conversion Rates'!$B$6)/12</f>
        <v>7.4258333333333342</v>
      </c>
      <c r="CZ230" s="47">
        <f t="shared" si="100"/>
        <v>13.767083333333334</v>
      </c>
      <c r="DA230" s="45">
        <f>('[2]Renewable Diesel'!$AP239*'[2]RD Feedstock Breakdown'!DA$3*'[2]Feedstock Conversion Rates'!$B$3)/12</f>
        <v>6.3412499999999996</v>
      </c>
      <c r="DB230" s="45">
        <f>('[2]Renewable Diesel'!$AP239*'[2]RD Feedstock Breakdown'!DB$3*'[2]Feedstock Conversion Rates'!$B$8)/12</f>
        <v>7.421875</v>
      </c>
      <c r="DC230" s="47">
        <f t="shared" si="127"/>
        <v>13.763124999999999</v>
      </c>
      <c r="DD230" s="45">
        <f>('[2]Renewable Diesel'!AQ239*$DD$3*'[2]Feedstock Conversion Rates'!$B$14)/12</f>
        <v>3.1041666666666665</v>
      </c>
      <c r="DE230" s="47">
        <f t="shared" si="128"/>
        <v>3.1041666666666665</v>
      </c>
      <c r="DF230" s="45">
        <f>('[2]Renewable Diesel'!AR239*'[2]Feedstock Conversion Rates'!$B$4*$DF$3)/12</f>
        <v>75</v>
      </c>
      <c r="DG230" s="47">
        <f t="shared" si="101"/>
        <v>75</v>
      </c>
      <c r="DH230" s="45">
        <f>('[2]Renewable Diesel'!AS239*'[2]Feedstock Conversion Rates'!$B$4*$DH$3)/12</f>
        <v>75</v>
      </c>
      <c r="DI230" s="47">
        <f t="shared" si="110"/>
        <v>75</v>
      </c>
      <c r="DJ230" s="45">
        <f>('[2]Renewable Diesel'!AT239*'[2]Feedstock Conversion Rates'!$B$4*0.25)/12</f>
        <v>8.59375</v>
      </c>
      <c r="DK230" s="45">
        <f>('[2]Renewable Diesel'!$AT239*'[2]RD Feedstock Breakdown'!DK$3*'[2]Feedstock Conversion Rates'!$B$3)/12*0.5</f>
        <v>9.1781249999999996</v>
      </c>
      <c r="DL230" s="45">
        <f>('[2]Renewable Diesel'!$AT239*'[2]RD Feedstock Breakdown'!$DL$3*'[2]Feedstock Conversion Rates'!$B$6)/12</f>
        <v>10.747916666666669</v>
      </c>
      <c r="DM230" s="45">
        <f>('[2]Renewable Diesel'!$AT239*'[2]RD Feedstock Breakdown'!$DM$3*'[2]Feedstock Conversion Rates'!$B$8)/12</f>
        <v>10.7421875</v>
      </c>
      <c r="DN230" s="47">
        <f t="shared" si="169"/>
        <v>39.26197916666667</v>
      </c>
      <c r="DP230" s="45">
        <f t="shared" si="130"/>
        <v>116.72025000000001</v>
      </c>
      <c r="DQ230" s="45">
        <f t="shared" si="131"/>
        <v>594.27964249999991</v>
      </c>
      <c r="DR230" s="45">
        <f t="shared" si="136"/>
        <v>1937.984375</v>
      </c>
      <c r="DS230" s="45">
        <f t="shared" si="155"/>
        <v>96.592395833333342</v>
      </c>
      <c r="DT230" s="45">
        <f t="shared" si="132"/>
        <v>240.53923333333344</v>
      </c>
      <c r="DU230" s="45">
        <f t="shared" si="133"/>
        <v>219.97693333333333</v>
      </c>
      <c r="DV230" s="45">
        <f t="shared" si="137"/>
        <v>7.5</v>
      </c>
      <c r="DW230" s="45">
        <f t="shared" si="134"/>
        <v>3</v>
      </c>
      <c r="DX230" s="47">
        <f t="shared" si="138"/>
        <v>3216.59283</v>
      </c>
      <c r="DY230" s="50">
        <f t="shared" si="126"/>
        <v>-135.00000000000014</v>
      </c>
      <c r="EA230" s="51">
        <f t="shared" si="117"/>
        <v>3.6286921027552002E-2</v>
      </c>
      <c r="EB230" s="51">
        <f t="shared" si="117"/>
        <v>0.18475438885437045</v>
      </c>
      <c r="EC230" s="51">
        <f t="shared" si="117"/>
        <v>0.60249601905628825</v>
      </c>
      <c r="ED230" s="51">
        <f t="shared" si="114"/>
        <v>3.0029413400555687E-2</v>
      </c>
      <c r="EE230" s="51">
        <f t="shared" si="114"/>
        <v>7.4780752817052515E-2</v>
      </c>
      <c r="EF230" s="51">
        <f t="shared" si="114"/>
        <v>6.8388181208913948E-2</v>
      </c>
      <c r="EG230" s="51">
        <f t="shared" si="114"/>
        <v>2.3316597394765692E-3</v>
      </c>
      <c r="EH230" s="52">
        <f t="shared" si="139"/>
        <v>9.3266389579062757E-4</v>
      </c>
      <c r="EI230" s="51">
        <f t="shared" si="140"/>
        <v>0.99906733610420939</v>
      </c>
      <c r="EK230" s="53">
        <f>(EA230*'[2]Renewable Diesel'!BF239*'[2]Feedstock Conversion Rates'!B$2)+FB230</f>
        <v>165.55708305473544</v>
      </c>
      <c r="EL230" s="53">
        <f>(EB230*'[2]Renewable Diesel'!BF239*'[2]Feedstock Conversion Rates'!B$3)+FC230</f>
        <v>794.33921009492542</v>
      </c>
      <c r="EM230" s="53">
        <f>(EC230*'[2]Renewable Diesel'!BF239*'[2]Feedstock Conversion Rates'!B$4)+FD230</f>
        <v>2425.4602738346443</v>
      </c>
      <c r="EN230" s="53">
        <f>(ED230*'[2]Renewable Diesel'!BF239*'[2]Feedstock Conversion Rates'!B$5)+FE230</f>
        <v>121.69494003647446</v>
      </c>
      <c r="EO230" s="53">
        <f>(EE230*'[2]Renewable Diesel'!BF239*'[2]Feedstock Conversion Rates'!B$6)+FF230</f>
        <v>376.50555825850523</v>
      </c>
      <c r="EP230" s="53">
        <f>(EF230*'[2]Renewable Diesel'!BF239*'[2]Feedstock Conversion Rates'!B$7)+FG230</f>
        <v>337.71286239819773</v>
      </c>
      <c r="EQ230" s="53">
        <f>(EG230*'[2]Renewable Diesel'!BF239*'[2]Feedstock Conversion Rates'!B$8)+FH230</f>
        <v>11.733164807997893</v>
      </c>
      <c r="ER230" s="53">
        <f>(EH230*'[2]Renewable Diesel'!BF239*'[2]Feedstock Conversion Rates'!B$9)+FI230</f>
        <v>4.6306890442231676</v>
      </c>
      <c r="ES230" s="53">
        <f t="shared" si="141"/>
        <v>4237.6337815297029</v>
      </c>
      <c r="ET230" s="36">
        <f>ES230/'[2]Renewable Diesel'!BF239</f>
        <v>7.8948648771936725</v>
      </c>
    </row>
    <row r="231" spans="1:150" x14ac:dyDescent="0.25">
      <c r="A231" s="39">
        <v>47453</v>
      </c>
      <c r="B231" s="45">
        <f t="shared" si="175"/>
        <v>3</v>
      </c>
      <c r="C231" s="45">
        <f t="shared" si="176"/>
        <v>55</v>
      </c>
      <c r="D231" s="45">
        <f t="shared" si="177"/>
        <v>2</v>
      </c>
      <c r="E231" s="45">
        <f>('[2]Renewable Diesel'!B240*E$3*'[2]Feedstock Conversion Rates'!$B$2)/12-57.5+8+12.5+52.5-76+18+23+45+50-5-24-2.5-10+23-47+6-0.5</f>
        <v>105.43</v>
      </c>
      <c r="F231" s="45">
        <f>('[2]Renewable Diesel'!B240*'[2]RD Feedstock Breakdown'!F$3*'[2]Feedstock Conversion Rates'!B$8)/12-5-4-2.25+5+19-52+5+17+9+2-33+8.5-15</f>
        <v>8.15625</v>
      </c>
      <c r="G231" s="45">
        <f>('[2]Renewable Diesel'!B240*'[2]RD Feedstock Breakdown'!G$3*'[2]Feedstock Conversion Rates'!B$7)/12-72.5+5.25-57.5-31+32+70-30+10-45-25-7.5+5-10+5</f>
        <v>24.907000000000011</v>
      </c>
      <c r="H231" s="45">
        <f>('[2]Renewable Diesel'!B240*'[2]RD Feedstock Breakdown'!H$3*'[2]Feedstock Conversion Rates'!B$3)/12-105+15+129-182+15-4+51+50-5-30-5+185+7</f>
        <v>297.40022499999998</v>
      </c>
      <c r="I231" s="47">
        <f t="shared" si="160"/>
        <v>495.89347499999997</v>
      </c>
      <c r="J231" s="45">
        <f t="shared" si="178"/>
        <v>45.75</v>
      </c>
      <c r="K231" s="45"/>
      <c r="L231" s="45">
        <v>1</v>
      </c>
      <c r="M231" s="45">
        <f>('[2]Renewable Diesel'!C240*'[2]RD Feedstock Breakdown'!M$3*'[2]Feedstock Conversion Rates'!B$2)/12-18.5+2-38+5+3-1+25+26</f>
        <v>11.29025</v>
      </c>
      <c r="N231" s="45">
        <f>('[2]Renewable Diesel'!C240*'[2]RD Feedstock Breakdown'!N$3*'[2]Feedstock Conversion Rates'!B$8)/12-2.5+36-47.5+6.25+4+10-2.5-20-15</f>
        <v>-27.578125</v>
      </c>
      <c r="O231" s="45">
        <f>('[2]Renewable Diesel'!C240*'[2]RD Feedstock Breakdown'!O$3*'[2]Feedstock Conversion Rates'!B$7)/12-30-60-19+29+20-20+45-20+10</f>
        <v>-33.000900000000001</v>
      </c>
      <c r="P231" s="45">
        <f>('[2]Renewable Diesel'!C240*'[2]RD Feedstock Breakdown'!P$3*'[2]Feedstock Conversion Rates'!B$3)/12-12+25-97+35+25+50+20-100+75+5</f>
        <v>36.447042500000009</v>
      </c>
      <c r="Q231" s="47">
        <f t="shared" si="172"/>
        <v>33.908267500000008</v>
      </c>
      <c r="R231" s="45">
        <f>('[2]Renewable Diesel'!D240*'[2]RD Feedstock Breakdown'!R$3*'[2]Feedstock Conversion Rates'!B$7)/12</f>
        <v>2.2999999999999998</v>
      </c>
      <c r="S231" s="47">
        <f t="shared" si="116"/>
        <v>2.2999999999999998</v>
      </c>
      <c r="T231" s="45">
        <f t="shared" si="179"/>
        <v>5.8250000000000028</v>
      </c>
      <c r="U231" s="45">
        <v>30</v>
      </c>
      <c r="V231" s="45">
        <f>('[2]Renewable Diesel'!E240*'[2]RD Feedstock Breakdown'!V$3*'[2]Feedstock Conversion Rates'!B$6)/12-20+25-35</f>
        <v>14.250150000000012</v>
      </c>
      <c r="W231" s="45">
        <f>('[2]Renewable Diesel'!E240*'[2]RD Feedstock Breakdown'!W$3*'[2]Feedstock Conversion Rates'!B$8)/12-6</f>
        <v>16.1796875</v>
      </c>
      <c r="X231" s="47">
        <f t="shared" si="147"/>
        <v>66.254837500000008</v>
      </c>
      <c r="Y231" s="45">
        <f t="shared" si="180"/>
        <v>126.5</v>
      </c>
      <c r="Z231" s="45">
        <f>('[2]Renewable Diesel'!F240*'[2]RD Feedstock Breakdown'!Z$3*'[2]Feedstock Conversion Rates'!B$6)/12-50-32-60+15+15+50-75+65-6-30+9+2+7</f>
        <v>69.460000000000008</v>
      </c>
      <c r="AA231" s="45">
        <f>('[2]Renewable Diesel'!F240*'[2]RD Feedstock Breakdown'!AA$3*'[2]Feedstock Conversion Rates'!B$7)/12+80-171+75+30+5-52.5-3</f>
        <v>67.766666666666652</v>
      </c>
      <c r="AB231" s="47">
        <f t="shared" si="102"/>
        <v>263.72666666666669</v>
      </c>
      <c r="AC231" s="45">
        <f>('[2]Renewable Diesel'!G240*'[2]RD Feedstock Breakdown'!AC$3*'[2]Feedstock Conversion Rates'!B$5)/12</f>
        <v>11.796875</v>
      </c>
      <c r="AD231" s="45">
        <f>('[2]Renewable Diesel'!G240*'[2]RD Feedstock Breakdown'!AD$3*'[2]Feedstock Conversion Rates'!B$4)/12</f>
        <v>5.859375</v>
      </c>
      <c r="AE231" s="45">
        <f>('[2]Renewable Diesel'!G240*'[2]RD Feedstock Breakdown'!AE$3*'[2]Feedstock Conversion Rates'!B$6)/12</f>
        <v>7.3281250000000009</v>
      </c>
      <c r="AF231" s="47">
        <f t="shared" si="156"/>
        <v>24.984375</v>
      </c>
      <c r="AG231" s="45">
        <f t="shared" ref="AG231:AG288" si="182">130+20-51+120-105+42.5-20+5-135</f>
        <v>6.5</v>
      </c>
      <c r="AH231" s="45">
        <v>135</v>
      </c>
      <c r="AI231" s="45">
        <f>('[2]Renewable Diesel'!H240*'[2]RD Feedstock Breakdown'!AI$3*'[2]Feedstock Conversion Rates'!B$6)/12-130-20+51-120+105-42.5+20-5</f>
        <v>7.0166666666666799</v>
      </c>
      <c r="AJ231" s="47">
        <f t="shared" si="113"/>
        <v>13.51666666666668</v>
      </c>
      <c r="AK231" s="45">
        <f>('[2]Renewable Diesel'!J240*'[2]RD Feedstock Breakdown'!AK$3*'[2]Feedstock Conversion Rates'!B$4)/12</f>
        <v>95.8125</v>
      </c>
      <c r="AL231" s="47">
        <f t="shared" si="123"/>
        <v>95.8125</v>
      </c>
      <c r="AM231" s="45">
        <f>('[2]Renewable Diesel'!K240*'[2]RD Feedstock Breakdown'!AM$3*'[2]Feedstock Conversion Rates'!B$4)/12+5+15-10+9-27</f>
        <v>50.59375</v>
      </c>
      <c r="AN231" s="45">
        <f>('[2]Renewable Diesel'!K240*'[2]RD Feedstock Breakdown'!AN$3*'[2]Feedstock Conversion Rates'!B$6)/12-5-15+10-9+27</f>
        <v>32.427083333333329</v>
      </c>
      <c r="AO231" s="47">
        <f t="shared" si="135"/>
        <v>83.020833333333329</v>
      </c>
      <c r="AP231" s="45">
        <f>('[2]Renewable Diesel'!L240*'[2]RD Feedstock Breakdown'!AP$3*'[2]Feedstock Conversion Rates'!B$4)/12+15-10+14</f>
        <v>77.59375</v>
      </c>
      <c r="AQ231" s="45">
        <f>('[2]Renewable Diesel'!L240*'[2]RD Feedstock Breakdown'!AQ$3*'[2]Feedstock Conversion Rates'!B$6)/12-15+10-14</f>
        <v>5.4270833333333321</v>
      </c>
      <c r="AR231" s="47">
        <f t="shared" si="125"/>
        <v>83.020833333333329</v>
      </c>
      <c r="AS231" s="45">
        <f>('[2]Renewable Diesel'!M240*'[2]RD Feedstock Breakdown'!AS$3*'[2]Feedstock Conversion Rates'!B$4)/12</f>
        <v>456.25</v>
      </c>
      <c r="AT231" s="45">
        <f>('[2]Renewable Diesel'!M240*'[2]RD Feedstock Breakdown'!AT$3*'[2]Feedstock Conversion Rates'!B$5)/12</f>
        <v>0</v>
      </c>
      <c r="AU231" s="47">
        <f t="shared" si="159"/>
        <v>456.25</v>
      </c>
      <c r="AV231" s="45">
        <f>'[2]Renewable Diesel'!N240*'[2]RD Feedstock Breakdown'!$AV$3*'[2]Feedstock Conversion Rates'!$B$4/12-15-10+25+25-22-40</f>
        <v>41.749999999999986</v>
      </c>
      <c r="AW231" s="45">
        <f>'[2]Renewable Diesel'!N240*'[2]RD Feedstock Breakdown'!$AW$3*'[2]Feedstock Conversion Rates'!$B$7/12+15+10-25-25+22+40</f>
        <v>78.400000000000006</v>
      </c>
      <c r="AX231" s="47">
        <f t="shared" si="109"/>
        <v>120.14999999999999</v>
      </c>
      <c r="AY231" s="45">
        <f>('[2]Renewable Diesel'!O240*'[2]RD Feedstock Breakdown'!AY$3*'[2]Feedstock Conversion Rates'!B$4)/12+32+2-135</f>
        <v>109.9375</v>
      </c>
      <c r="AZ231" s="45">
        <f>('[2]Renewable Diesel'!O240*'[2]RD Feedstock Breakdown'!AZ$3*'[2]Feedstock Conversion Rates'!B$3)/12-32-2+135</f>
        <v>126.03125</v>
      </c>
      <c r="BA231" s="47">
        <f t="shared" si="173"/>
        <v>235.96875</v>
      </c>
      <c r="BB231" s="45">
        <f>('[2]Renewable Diesel'!Q240*'[2]RD Feedstock Breakdown'!BB$3*'[2]Feedstock Conversion Rates'!B$4)/12</f>
        <v>11.156249999999998</v>
      </c>
      <c r="BC231" s="45">
        <f>('[2]Renewable Diesel'!Q240*'[2]RD Feedstock Breakdown'!BC$3*'[2]Feedstock Conversion Rates'!B$3)/12</f>
        <v>1.4017500000000001</v>
      </c>
      <c r="BD231" s="45">
        <f>('[2]Renewable Diesel'!Q240*'[2]RD Feedstock Breakdown'!BD$3*'[2]Feedstock Conversion Rates'!B$6)/12</f>
        <v>0.8207500000000002</v>
      </c>
      <c r="BE231" s="47">
        <f t="shared" si="151"/>
        <v>13.378749999999998</v>
      </c>
      <c r="BF231" s="45">
        <f>('[2]Renewable Diesel'!R240*'[2]RD Feedstock Breakdown'!BF$3*'[2]Feedstock Conversion Rates'!B$4)/12</f>
        <v>62.5</v>
      </c>
      <c r="BG231" s="47">
        <f t="shared" si="129"/>
        <v>62.5</v>
      </c>
      <c r="BH231" s="45">
        <f>('[2]Renewable Diesel'!T240*'[2]RD Feedstock Breakdown'!BH$3*'[2]Feedstock Conversion Rates'!B$7)/12</f>
        <v>27.599999999999998</v>
      </c>
      <c r="BI231" s="47">
        <f t="shared" si="112"/>
        <v>27.599999999999998</v>
      </c>
      <c r="BJ231" s="45">
        <f>('[2]Renewable Diesel'!W240*'[2]RD Feedstock Breakdown'!BJ$3*'[2]Feedstock Conversion Rates'!B$4)/12</f>
        <v>7.5</v>
      </c>
      <c r="BK231" s="45">
        <f>('[2]Renewable Diesel'!W240*'[2]RD Feedstock Breakdown'!BK$3*'[2]Feedstock Conversion Rates'!B$3)/12</f>
        <v>1.335</v>
      </c>
      <c r="BL231" s="45">
        <f>('[2]Renewable Diesel'!W240*'[2]RD Feedstock Breakdown'!BL$3*'[2]Feedstock Conversion Rates'!B$6)/12</f>
        <v>3.1266666666666669</v>
      </c>
      <c r="BM231" s="45">
        <f>('[2]Renewable Diesel'!W240*'[2]RD Feedstock Breakdown'!BM$3*'[2]Feedstock Conversion Rates'!B$7)/12</f>
        <v>1.5333333333333332</v>
      </c>
      <c r="BN231" s="47">
        <f t="shared" si="168"/>
        <v>13.495000000000001</v>
      </c>
      <c r="BO231" s="45">
        <f>('[2]Renewable Diesel'!P240*'[2]Feedstock Conversion Rates'!B$4)/12</f>
        <v>31.25</v>
      </c>
      <c r="BP231" s="47">
        <f t="shared" si="157"/>
        <v>31.25</v>
      </c>
      <c r="BQ231" s="45">
        <f>('[2]Renewable Diesel'!$S240*'[2]RD Feedstock Breakdown'!BQ$3*'[2]Feedstock Conversion Rates'!B$4)/12+10</f>
        <v>38.125</v>
      </c>
      <c r="BR231" s="45">
        <f>('[2]Renewable Diesel'!$S240*'[2]RD Feedstock Breakdown'!BR$3*'[2]Feedstock Conversion Rates'!B$7)/12-10</f>
        <v>1.5</v>
      </c>
      <c r="BS231" s="47">
        <f t="shared" si="174"/>
        <v>39.625</v>
      </c>
      <c r="BT231" s="47"/>
      <c r="BU231" s="45">
        <f>('[2]Renewable Diesel'!Y240*'[2]Feedstock Conversion Rates'!B$7)/12</f>
        <v>2.6833333333333331</v>
      </c>
      <c r="BV231" s="47">
        <f t="shared" si="153"/>
        <v>2.6833333333333331</v>
      </c>
      <c r="BW231" s="45">
        <f>('[2]Renewable Diesel'!$Z240*'[2]RD Feedstock Breakdown'!BW$3*'[2]Feedstock Conversion Rates'!$B$4)/12</f>
        <v>53.90625</v>
      </c>
      <c r="BX231" s="45">
        <f>('[2]Renewable Diesel'!$Z240*'[2]RD Feedstock Breakdown'!BX$3*'[2]Feedstock Conversion Rates'!$B$5)/12</f>
        <v>5.4265624999999993</v>
      </c>
      <c r="BY231" s="45">
        <f>('[2]Renewable Diesel'!$Z240*'[2]RD Feedstock Breakdown'!BY$3*'[2]Feedstock Conversion Rates'!$B$7)/12</f>
        <v>46.287499999999994</v>
      </c>
      <c r="BZ231" s="45">
        <f>('[2]Renewable Diesel'!$Z240*'[2]RD Feedstock Breakdown'!BZ$3*'[2]Feedstock Conversion Rates'!$B$3)/12</f>
        <v>11.514374999999999</v>
      </c>
      <c r="CA231" s="47">
        <f t="shared" si="181"/>
        <v>117.1346875</v>
      </c>
      <c r="CB231" s="45">
        <f>('[2]Renewable Diesel'!AA240*'[2]Feedstock Conversion Rates'!B$4)/12</f>
        <v>191.25</v>
      </c>
      <c r="CC231" s="47">
        <f t="shared" si="171"/>
        <v>191.25</v>
      </c>
      <c r="CD231" s="45">
        <f>('[2]Renewable Diesel'!$AB240*'[2]RD Feedstock Breakdown'!CD$3*'[2]Feedstock Conversion Rates'!$B$6)/12-15</f>
        <v>17.830000000000005</v>
      </c>
      <c r="CE231" s="45">
        <f>('[2]Renewable Diesel'!$AB240*'[2]RD Feedstock Breakdown'!CE$3*'[2]Feedstock Conversion Rates'!$B$4)/12+15</f>
        <v>26.25</v>
      </c>
      <c r="CF231" s="47">
        <f t="shared" si="161"/>
        <v>44.080000000000005</v>
      </c>
      <c r="CG231" s="45">
        <f>('[2]Renewable Diesel'!AD240*'[2]Feedstock Conversion Rates'!B$4)/12</f>
        <v>112.5</v>
      </c>
      <c r="CH231" s="47">
        <f t="shared" si="149"/>
        <v>112.5</v>
      </c>
      <c r="CI231" s="45">
        <f>('[2]Renewable Diesel'!$AE240*'[2]RD Feedstock Breakdown'!CI$3*'[2]Feedstock Conversion Rates'!$B$5)/12</f>
        <v>0.34604166666666664</v>
      </c>
      <c r="CJ231" s="45">
        <f>('[2]Renewable Diesel'!$AE240*'[2]RD Feedstock Breakdown'!CJ$3*'[2]Feedstock Conversion Rates'!$B$4)/12</f>
        <v>0.34375</v>
      </c>
      <c r="CK231" s="47">
        <f t="shared" si="158"/>
        <v>0.68979166666666658</v>
      </c>
      <c r="CL231" s="45">
        <f>(((CL$3*'[2]Renewable Diesel'!$AF240)*'[2]Feedstock Conversion Rates'!$B$3)/12)</f>
        <v>91.78125</v>
      </c>
      <c r="CM231" s="45">
        <f>(((CM$3*'[2]Renewable Diesel'!$AF240)*'[2]Feedstock Conversion Rates'!$B$6)/12)</f>
        <v>53.739583333333336</v>
      </c>
      <c r="CN231" s="45">
        <f>(((CN$3*'[2]Renewable Diesel'!$AF240)*'[2]Feedstock Conversion Rates'!$B$4)/12)</f>
        <v>42.96875</v>
      </c>
      <c r="CO231" s="47">
        <f t="shared" si="152"/>
        <v>188.48958333333334</v>
      </c>
      <c r="CP231" s="45">
        <f>('[2]Renewable Diesel'!$AG240*'[2]RD Feedstock Breakdown'!CP$3*'[2]Feedstock Conversion Rates'!$B$3)/12</f>
        <v>6.0075000000000003</v>
      </c>
      <c r="CQ231" s="45">
        <f>('[2]Renewable Diesel'!$AG240*'[2]RD Feedstock Breakdown'!CQ$3*'[2]Feedstock Conversion Rates'!$B$6)/12</f>
        <v>3.5175000000000001</v>
      </c>
      <c r="CR231" s="45">
        <f>('[2]Renewable Diesel'!$AG240*'[2]RD Feedstock Breakdown'!CR$3*'[2]Feedstock Conversion Rates'!$B$4)/12</f>
        <v>2.8125</v>
      </c>
      <c r="CS231" s="47">
        <f t="shared" si="99"/>
        <v>12.3375</v>
      </c>
      <c r="CT231" s="45">
        <f>('[2]Renewable Diesel'!AI240*'[2]Feedstock Conversion Rates'!$B$4*'[2]RD Feedstock Breakdown'!$CT$3)/12</f>
        <v>29.375</v>
      </c>
      <c r="CU231" s="47">
        <f t="shared" si="154"/>
        <v>29.375</v>
      </c>
      <c r="CV231" s="45">
        <f>('[2]Renewable Diesel'!AN240*'[2]Feedstock Conversion Rates'!$B$3*'[2]RD Feedstock Breakdown'!$CV$3)/12</f>
        <v>0.50062499999999999</v>
      </c>
      <c r="CW231" s="47">
        <f t="shared" si="124"/>
        <v>0.50062499999999999</v>
      </c>
      <c r="CX231" s="45">
        <f>('[2]Renewable Diesel'!AO240*'[2]RD Feedstock Breakdown'!$CX$3*'[2]Feedstock Conversion Rates'!$B$3)/12</f>
        <v>6.3412499999999996</v>
      </c>
      <c r="CY231" s="45">
        <f>('[2]Renewable Diesel'!AO240*'[2]RD Feedstock Breakdown'!$CY$3*'[2]Feedstock Conversion Rates'!$B$6)/12</f>
        <v>7.4258333333333342</v>
      </c>
      <c r="CZ231" s="47">
        <f t="shared" si="100"/>
        <v>13.767083333333334</v>
      </c>
      <c r="DA231" s="45">
        <f>('[2]Renewable Diesel'!$AP240*'[2]RD Feedstock Breakdown'!DA$3*'[2]Feedstock Conversion Rates'!$B$3)/12</f>
        <v>6.3412499999999996</v>
      </c>
      <c r="DB231" s="45">
        <f>('[2]Renewable Diesel'!$AP240*'[2]RD Feedstock Breakdown'!DB$3*'[2]Feedstock Conversion Rates'!$B$8)/12</f>
        <v>7.421875</v>
      </c>
      <c r="DC231" s="47">
        <f t="shared" si="127"/>
        <v>13.763124999999999</v>
      </c>
      <c r="DD231" s="45">
        <f>('[2]Renewable Diesel'!AQ240*$DD$3*'[2]Feedstock Conversion Rates'!$B$14)/12</f>
        <v>3.1041666666666665</v>
      </c>
      <c r="DE231" s="47">
        <f t="shared" si="128"/>
        <v>3.1041666666666665</v>
      </c>
      <c r="DF231" s="45">
        <f>('[2]Renewable Diesel'!AR240*'[2]Feedstock Conversion Rates'!$B$4*$DF$3)/12</f>
        <v>75</v>
      </c>
      <c r="DG231" s="47">
        <f t="shared" si="101"/>
        <v>75</v>
      </c>
      <c r="DH231" s="45">
        <f>('[2]Renewable Diesel'!AS240*'[2]Feedstock Conversion Rates'!$B$4*$DH$3)/12</f>
        <v>75</v>
      </c>
      <c r="DI231" s="47">
        <f t="shared" si="110"/>
        <v>75</v>
      </c>
      <c r="DJ231" s="45">
        <f>('[2]Renewable Diesel'!AT240*'[2]Feedstock Conversion Rates'!$B$4*0.25)/12</f>
        <v>8.59375</v>
      </c>
      <c r="DK231" s="45">
        <f>('[2]Renewable Diesel'!$AT240*'[2]RD Feedstock Breakdown'!DK$3*'[2]Feedstock Conversion Rates'!$B$3)/12*0.5</f>
        <v>9.1781249999999996</v>
      </c>
      <c r="DL231" s="45">
        <f>('[2]Renewable Diesel'!$AT240*'[2]RD Feedstock Breakdown'!$DL$3*'[2]Feedstock Conversion Rates'!$B$6)/12</f>
        <v>10.747916666666669</v>
      </c>
      <c r="DM231" s="45">
        <f>('[2]Renewable Diesel'!$AT240*'[2]RD Feedstock Breakdown'!$DM$3*'[2]Feedstock Conversion Rates'!$B$8)/12</f>
        <v>10.7421875</v>
      </c>
      <c r="DN231" s="47">
        <f t="shared" si="169"/>
        <v>39.26197916666667</v>
      </c>
      <c r="DP231" s="45">
        <f t="shared" si="130"/>
        <v>116.72025000000001</v>
      </c>
      <c r="DQ231" s="45">
        <f t="shared" si="131"/>
        <v>594.27964249999991</v>
      </c>
      <c r="DR231" s="45">
        <f t="shared" si="136"/>
        <v>1937.984375</v>
      </c>
      <c r="DS231" s="45">
        <f t="shared" si="155"/>
        <v>96.592395833333342</v>
      </c>
      <c r="DT231" s="45">
        <f t="shared" si="132"/>
        <v>240.53923333333344</v>
      </c>
      <c r="DU231" s="45">
        <f t="shared" si="133"/>
        <v>219.97693333333333</v>
      </c>
      <c r="DV231" s="45">
        <f t="shared" si="137"/>
        <v>7.5</v>
      </c>
      <c r="DW231" s="45">
        <f t="shared" si="134"/>
        <v>3</v>
      </c>
      <c r="DX231" s="47">
        <f t="shared" si="138"/>
        <v>3216.59283</v>
      </c>
      <c r="DY231" s="50">
        <f t="shared" si="126"/>
        <v>-135.00000000000014</v>
      </c>
      <c r="EA231" s="51">
        <f t="shared" si="117"/>
        <v>3.6286921027552002E-2</v>
      </c>
      <c r="EB231" s="51">
        <f t="shared" si="117"/>
        <v>0.18475438885437045</v>
      </c>
      <c r="EC231" s="51">
        <f t="shared" si="117"/>
        <v>0.60249601905628825</v>
      </c>
      <c r="ED231" s="51">
        <f t="shared" si="114"/>
        <v>3.0029413400555687E-2</v>
      </c>
      <c r="EE231" s="51">
        <f t="shared" si="114"/>
        <v>7.4780752817052515E-2</v>
      </c>
      <c r="EF231" s="51">
        <f t="shared" si="114"/>
        <v>6.8388181208913948E-2</v>
      </c>
      <c r="EG231" s="51">
        <f t="shared" si="114"/>
        <v>2.3316597394765692E-3</v>
      </c>
      <c r="EH231" s="52">
        <f t="shared" si="139"/>
        <v>9.3266389579062757E-4</v>
      </c>
      <c r="EI231" s="51">
        <f t="shared" si="140"/>
        <v>0.99906733610420939</v>
      </c>
      <c r="EK231" s="53">
        <f>(EA231*'[2]Renewable Diesel'!BF240*'[2]Feedstock Conversion Rates'!B$2)+FB231</f>
        <v>171.96289800116429</v>
      </c>
      <c r="EL231" s="53">
        <f>(EB231*'[2]Renewable Diesel'!BF240*'[2]Feedstock Conversion Rates'!B$3)+FC231</f>
        <v>825.07416803615865</v>
      </c>
      <c r="EM231" s="53">
        <f>(EC231*'[2]Renewable Diesel'!BF240*'[2]Feedstock Conversion Rates'!B$4)+FD231</f>
        <v>2519.3073590056401</v>
      </c>
      <c r="EN231" s="53">
        <f>(ED231*'[2]Renewable Diesel'!BF240*'[2]Feedstock Conversion Rates'!B$5)+FE231</f>
        <v>126.40361967377319</v>
      </c>
      <c r="EO231" s="53">
        <f>(EE231*'[2]Renewable Diesel'!BF240*'[2]Feedstock Conversion Rates'!B$6)+FF231</f>
        <v>391.07349390948838</v>
      </c>
      <c r="EP231" s="53">
        <f>(EF231*'[2]Renewable Diesel'!BF240*'[2]Feedstock Conversion Rates'!B$7)+FG231</f>
        <v>350.77981224797503</v>
      </c>
      <c r="EQ231" s="53">
        <f>(EG231*'[2]Renewable Diesel'!BF240*'[2]Feedstock Conversion Rates'!B$8)+FH231</f>
        <v>12.187150110886666</v>
      </c>
      <c r="ER231" s="53">
        <f>(EH231*'[2]Renewable Diesel'!BF240*'[2]Feedstock Conversion Rates'!B$9)+FI231</f>
        <v>4.8098619104299365</v>
      </c>
      <c r="ES231" s="53">
        <f t="shared" si="141"/>
        <v>4401.5983628955164</v>
      </c>
      <c r="ET231" s="36">
        <f>ES231/'[2]Renewable Diesel'!BF240</f>
        <v>7.8948648771936742</v>
      </c>
    </row>
    <row r="232" spans="1:150" x14ac:dyDescent="0.25">
      <c r="A232" s="39">
        <v>47484</v>
      </c>
      <c r="B232" s="45">
        <f t="shared" si="175"/>
        <v>3</v>
      </c>
      <c r="C232" s="45">
        <f t="shared" si="176"/>
        <v>55</v>
      </c>
      <c r="D232" s="45">
        <f t="shared" si="177"/>
        <v>2</v>
      </c>
      <c r="E232" s="45">
        <f>('[2]Renewable Diesel'!B241*E$3*'[2]Feedstock Conversion Rates'!$B$2)/12-57.5+8+12.5+52.5-76+18+23+45+50-5-24-2.5-10+23-47+6-0.5</f>
        <v>105.43</v>
      </c>
      <c r="F232" s="45">
        <f>('[2]Renewable Diesel'!B241*'[2]RD Feedstock Breakdown'!F$3*'[2]Feedstock Conversion Rates'!B$8)/12-5-4-2.25+5+19-52+5+17+9+2-33+8.5-15</f>
        <v>8.15625</v>
      </c>
      <c r="G232" s="45">
        <f>('[2]Renewable Diesel'!B241*'[2]RD Feedstock Breakdown'!G$3*'[2]Feedstock Conversion Rates'!B$7)/12-72.5+5.25-57.5-31+32+70-30+10-45-25-7.5+5-10+5</f>
        <v>24.907000000000011</v>
      </c>
      <c r="H232" s="45">
        <f>('[2]Renewable Diesel'!B241*'[2]RD Feedstock Breakdown'!H$3*'[2]Feedstock Conversion Rates'!B$3)/12-105+15+129-182+15-4+51+50-5-30-5+185+7</f>
        <v>297.40022499999998</v>
      </c>
      <c r="I232" s="47">
        <f t="shared" si="160"/>
        <v>495.89347499999997</v>
      </c>
      <c r="J232" s="45">
        <f t="shared" si="178"/>
        <v>45.75</v>
      </c>
      <c r="K232" s="45"/>
      <c r="L232" s="45">
        <v>1</v>
      </c>
      <c r="M232" s="45">
        <f>('[2]Renewable Diesel'!C241*'[2]RD Feedstock Breakdown'!M$3*'[2]Feedstock Conversion Rates'!B$2)/12-18.5+2-38+5+3-1+25+26</f>
        <v>11.29025</v>
      </c>
      <c r="N232" s="45">
        <f>('[2]Renewable Diesel'!C241*'[2]RD Feedstock Breakdown'!N$3*'[2]Feedstock Conversion Rates'!B$8)/12-2.5+36-47.5+6.25+4+10-2.5-20-15</f>
        <v>-27.578125</v>
      </c>
      <c r="O232" s="45">
        <f>('[2]Renewable Diesel'!C241*'[2]RD Feedstock Breakdown'!O$3*'[2]Feedstock Conversion Rates'!B$7)/12-30-60-19+29+20-20+45-20+10</f>
        <v>-33.000900000000001</v>
      </c>
      <c r="P232" s="45">
        <f>('[2]Renewable Diesel'!C241*'[2]RD Feedstock Breakdown'!P$3*'[2]Feedstock Conversion Rates'!B$3)/12-12+25-97+35+25+50+20-100+75+5</f>
        <v>36.447042500000009</v>
      </c>
      <c r="Q232" s="47">
        <f t="shared" si="172"/>
        <v>33.908267500000008</v>
      </c>
      <c r="R232" s="45">
        <f>('[2]Renewable Diesel'!D241*'[2]RD Feedstock Breakdown'!R$3*'[2]Feedstock Conversion Rates'!B$7)/12</f>
        <v>2.2999999999999998</v>
      </c>
      <c r="S232" s="47">
        <f t="shared" si="116"/>
        <v>2.2999999999999998</v>
      </c>
      <c r="T232" s="45">
        <f t="shared" si="179"/>
        <v>5.8250000000000028</v>
      </c>
      <c r="U232" s="45">
        <v>30</v>
      </c>
      <c r="V232" s="45">
        <f>('[2]Renewable Diesel'!E241*'[2]RD Feedstock Breakdown'!V$3*'[2]Feedstock Conversion Rates'!B$6)/12-20+25-35</f>
        <v>14.250150000000012</v>
      </c>
      <c r="W232" s="45">
        <f>('[2]Renewable Diesel'!E241*'[2]RD Feedstock Breakdown'!W$3*'[2]Feedstock Conversion Rates'!B$8)/12-6</f>
        <v>16.1796875</v>
      </c>
      <c r="X232" s="47">
        <f t="shared" si="147"/>
        <v>66.254837500000008</v>
      </c>
      <c r="Y232" s="45">
        <f t="shared" si="180"/>
        <v>126.5</v>
      </c>
      <c r="Z232" s="45">
        <f>('[2]Renewable Diesel'!F241*'[2]RD Feedstock Breakdown'!Z$3*'[2]Feedstock Conversion Rates'!B$6)/12-50-32-60+15+15+50-75+65-6-30+9+2+7</f>
        <v>69.460000000000008</v>
      </c>
      <c r="AA232" s="45">
        <f>('[2]Renewable Diesel'!F241*'[2]RD Feedstock Breakdown'!AA$3*'[2]Feedstock Conversion Rates'!B$7)/12+80-171+75+30+5-52.5-3</f>
        <v>67.766666666666652</v>
      </c>
      <c r="AB232" s="47">
        <f t="shared" si="102"/>
        <v>263.72666666666669</v>
      </c>
      <c r="AC232" s="45">
        <f>('[2]Renewable Diesel'!G241*'[2]RD Feedstock Breakdown'!AC$3*'[2]Feedstock Conversion Rates'!B$5)/12</f>
        <v>11.796875</v>
      </c>
      <c r="AD232" s="45">
        <f>('[2]Renewable Diesel'!G241*'[2]RD Feedstock Breakdown'!AD$3*'[2]Feedstock Conversion Rates'!B$4)/12</f>
        <v>5.859375</v>
      </c>
      <c r="AE232" s="45">
        <f>('[2]Renewable Diesel'!G241*'[2]RD Feedstock Breakdown'!AE$3*'[2]Feedstock Conversion Rates'!B$6)/12</f>
        <v>7.3281250000000009</v>
      </c>
      <c r="AF232" s="47">
        <f t="shared" si="156"/>
        <v>24.984375</v>
      </c>
      <c r="AG232" s="45">
        <f t="shared" si="182"/>
        <v>6.5</v>
      </c>
      <c r="AH232" s="45">
        <v>135</v>
      </c>
      <c r="AI232" s="45">
        <f>('[2]Renewable Diesel'!H241*'[2]RD Feedstock Breakdown'!AI$3*'[2]Feedstock Conversion Rates'!B$6)/12-130-20+51-120+105-42.5+20-5</f>
        <v>7.0166666666666799</v>
      </c>
      <c r="AJ232" s="47">
        <f t="shared" si="113"/>
        <v>13.51666666666668</v>
      </c>
      <c r="AK232" s="45">
        <f>('[2]Renewable Diesel'!J241*'[2]RD Feedstock Breakdown'!AK$3*'[2]Feedstock Conversion Rates'!B$4)/12</f>
        <v>95.8125</v>
      </c>
      <c r="AL232" s="47">
        <f t="shared" si="123"/>
        <v>95.8125</v>
      </c>
      <c r="AM232" s="45">
        <f>('[2]Renewable Diesel'!K241*'[2]RD Feedstock Breakdown'!AM$3*'[2]Feedstock Conversion Rates'!B$4)/12+5+15-10+9-27</f>
        <v>50.59375</v>
      </c>
      <c r="AN232" s="45">
        <f>('[2]Renewable Diesel'!K241*'[2]RD Feedstock Breakdown'!AN$3*'[2]Feedstock Conversion Rates'!B$6)/12-5-15+10-9+27</f>
        <v>32.427083333333329</v>
      </c>
      <c r="AO232" s="47">
        <f t="shared" si="135"/>
        <v>83.020833333333329</v>
      </c>
      <c r="AP232" s="45">
        <f>('[2]Renewable Diesel'!L241*'[2]RD Feedstock Breakdown'!AP$3*'[2]Feedstock Conversion Rates'!B$4)/12+15-10+14</f>
        <v>77.59375</v>
      </c>
      <c r="AQ232" s="45">
        <f>('[2]Renewable Diesel'!L241*'[2]RD Feedstock Breakdown'!AQ$3*'[2]Feedstock Conversion Rates'!B$6)/12-15+10-14</f>
        <v>5.4270833333333321</v>
      </c>
      <c r="AR232" s="47">
        <f t="shared" si="125"/>
        <v>83.020833333333329</v>
      </c>
      <c r="AS232" s="45">
        <f>('[2]Renewable Diesel'!M241*'[2]RD Feedstock Breakdown'!AS$3*'[2]Feedstock Conversion Rates'!B$4)/12</f>
        <v>456.25</v>
      </c>
      <c r="AT232" s="45">
        <f>('[2]Renewable Diesel'!M241*'[2]RD Feedstock Breakdown'!AT$3*'[2]Feedstock Conversion Rates'!B$5)/12</f>
        <v>0</v>
      </c>
      <c r="AU232" s="47">
        <f t="shared" si="159"/>
        <v>456.25</v>
      </c>
      <c r="AV232" s="45">
        <f>'[2]Renewable Diesel'!N241*'[2]RD Feedstock Breakdown'!$AV$3*'[2]Feedstock Conversion Rates'!$B$4/12-15-10+25+25-22-40</f>
        <v>41.749999999999986</v>
      </c>
      <c r="AW232" s="45">
        <f>'[2]Renewable Diesel'!N241*'[2]RD Feedstock Breakdown'!$AW$3*'[2]Feedstock Conversion Rates'!$B$7/12+15+10-25-25+22+40</f>
        <v>78.400000000000006</v>
      </c>
      <c r="AX232" s="47">
        <f t="shared" si="109"/>
        <v>120.14999999999999</v>
      </c>
      <c r="AY232" s="45">
        <f>('[2]Renewable Diesel'!O241*'[2]RD Feedstock Breakdown'!AY$3*'[2]Feedstock Conversion Rates'!B$4)/12+32+2-135</f>
        <v>109.9375</v>
      </c>
      <c r="AZ232" s="45">
        <f>('[2]Renewable Diesel'!O241*'[2]RD Feedstock Breakdown'!AZ$3*'[2]Feedstock Conversion Rates'!B$3)/12-32-2+135</f>
        <v>126.03125</v>
      </c>
      <c r="BA232" s="47">
        <f t="shared" si="173"/>
        <v>235.96875</v>
      </c>
      <c r="BB232" s="45">
        <f>('[2]Renewable Diesel'!Q241*'[2]RD Feedstock Breakdown'!BB$3*'[2]Feedstock Conversion Rates'!B$4)/12-10</f>
        <v>1.1562499999999982</v>
      </c>
      <c r="BC232" s="45">
        <f>('[2]Renewable Diesel'!Q241*'[2]RD Feedstock Breakdown'!BC$3*'[2]Feedstock Conversion Rates'!B$3)/12+10</f>
        <v>11.40175</v>
      </c>
      <c r="BD232" s="45">
        <f>('[2]Renewable Diesel'!Q241*'[2]RD Feedstock Breakdown'!BD$3*'[2]Feedstock Conversion Rates'!B$6)/12</f>
        <v>0.8207500000000002</v>
      </c>
      <c r="BE232" s="47">
        <f t="shared" si="151"/>
        <v>13.378749999999998</v>
      </c>
      <c r="BF232" s="45">
        <f>('[2]Renewable Diesel'!R241*'[2]RD Feedstock Breakdown'!BF$3*'[2]Feedstock Conversion Rates'!B$4)/12</f>
        <v>62.5</v>
      </c>
      <c r="BG232" s="47">
        <f t="shared" si="129"/>
        <v>62.5</v>
      </c>
      <c r="BH232" s="45">
        <f>('[2]Renewable Diesel'!T241*'[2]RD Feedstock Breakdown'!BH$3*'[2]Feedstock Conversion Rates'!B$7)/12</f>
        <v>27.599999999999998</v>
      </c>
      <c r="BI232" s="47">
        <f t="shared" si="112"/>
        <v>27.599999999999998</v>
      </c>
      <c r="BJ232" s="45">
        <f>('[2]Renewable Diesel'!W241*'[2]RD Feedstock Breakdown'!BJ$3*'[2]Feedstock Conversion Rates'!B$4)/12</f>
        <v>7.5</v>
      </c>
      <c r="BK232" s="45">
        <f>('[2]Renewable Diesel'!W241*'[2]RD Feedstock Breakdown'!BK$3*'[2]Feedstock Conversion Rates'!B$3)/12</f>
        <v>1.335</v>
      </c>
      <c r="BL232" s="45">
        <f>('[2]Renewable Diesel'!W241*'[2]RD Feedstock Breakdown'!BL$3*'[2]Feedstock Conversion Rates'!B$6)/12</f>
        <v>3.1266666666666669</v>
      </c>
      <c r="BM232" s="45">
        <f>('[2]Renewable Diesel'!W241*'[2]RD Feedstock Breakdown'!BM$3*'[2]Feedstock Conversion Rates'!B$7)/12</f>
        <v>1.5333333333333332</v>
      </c>
      <c r="BN232" s="47">
        <f t="shared" si="168"/>
        <v>13.495000000000001</v>
      </c>
      <c r="BO232" s="45">
        <f>('[2]Renewable Diesel'!P241*'[2]Feedstock Conversion Rates'!B$4)/12</f>
        <v>31.25</v>
      </c>
      <c r="BP232" s="47">
        <f t="shared" si="157"/>
        <v>31.25</v>
      </c>
      <c r="BQ232" s="45">
        <f>('[2]Renewable Diesel'!$S241*'[2]RD Feedstock Breakdown'!BQ$3*'[2]Feedstock Conversion Rates'!B$4)/12+10</f>
        <v>38.125</v>
      </c>
      <c r="BR232" s="45">
        <f>('[2]Renewable Diesel'!$S241*'[2]RD Feedstock Breakdown'!BR$3*'[2]Feedstock Conversion Rates'!B$7)/12-10</f>
        <v>1.5</v>
      </c>
      <c r="BS232" s="47">
        <f t="shared" si="174"/>
        <v>39.625</v>
      </c>
      <c r="BT232" s="47"/>
      <c r="BU232" s="45">
        <f>('[2]Renewable Diesel'!Y241*'[2]Feedstock Conversion Rates'!B$7)/12</f>
        <v>2.6833333333333331</v>
      </c>
      <c r="BV232" s="47">
        <f t="shared" si="153"/>
        <v>2.6833333333333331</v>
      </c>
      <c r="BW232" s="45">
        <f>('[2]Renewable Diesel'!$Z241*'[2]RD Feedstock Breakdown'!BW$3*'[2]Feedstock Conversion Rates'!$B$4)/12</f>
        <v>53.90625</v>
      </c>
      <c r="BX232" s="45">
        <f>('[2]Renewable Diesel'!$Z241*'[2]RD Feedstock Breakdown'!BX$3*'[2]Feedstock Conversion Rates'!$B$5)/12</f>
        <v>5.4265624999999993</v>
      </c>
      <c r="BY232" s="45">
        <f>('[2]Renewable Diesel'!$Z241*'[2]RD Feedstock Breakdown'!BY$3*'[2]Feedstock Conversion Rates'!$B$7)/12</f>
        <v>46.287499999999994</v>
      </c>
      <c r="BZ232" s="45">
        <f>('[2]Renewable Diesel'!$Z241*'[2]RD Feedstock Breakdown'!BZ$3*'[2]Feedstock Conversion Rates'!$B$3)/12</f>
        <v>11.514374999999999</v>
      </c>
      <c r="CA232" s="47">
        <f t="shared" si="181"/>
        <v>117.1346875</v>
      </c>
      <c r="CB232" s="45">
        <f>('[2]Renewable Diesel'!AA241*'[2]Feedstock Conversion Rates'!B$4)/12</f>
        <v>191.25</v>
      </c>
      <c r="CC232" s="47">
        <f t="shared" si="171"/>
        <v>191.25</v>
      </c>
      <c r="CD232" s="45">
        <f>('[2]Renewable Diesel'!$AB241*'[2]RD Feedstock Breakdown'!CD$3*'[2]Feedstock Conversion Rates'!$B$6)/12-15</f>
        <v>17.830000000000005</v>
      </c>
      <c r="CE232" s="45">
        <f>('[2]Renewable Diesel'!$AB241*'[2]RD Feedstock Breakdown'!CE$3*'[2]Feedstock Conversion Rates'!$B$4)/12+15</f>
        <v>26.25</v>
      </c>
      <c r="CF232" s="47">
        <f t="shared" si="161"/>
        <v>44.080000000000005</v>
      </c>
      <c r="CG232" s="45">
        <f>('[2]Renewable Diesel'!AD241*'[2]Feedstock Conversion Rates'!B$4)/12</f>
        <v>112.5</v>
      </c>
      <c r="CH232" s="47">
        <f t="shared" si="149"/>
        <v>112.5</v>
      </c>
      <c r="CI232" s="45">
        <f>('[2]Renewable Diesel'!$AE241*'[2]RD Feedstock Breakdown'!CI$3*'[2]Feedstock Conversion Rates'!$B$5)/12</f>
        <v>0.34604166666666664</v>
      </c>
      <c r="CJ232" s="45">
        <f>('[2]Renewable Diesel'!$AE241*'[2]RD Feedstock Breakdown'!CJ$3*'[2]Feedstock Conversion Rates'!$B$4)/12</f>
        <v>0.34375</v>
      </c>
      <c r="CK232" s="47">
        <f t="shared" si="158"/>
        <v>0.68979166666666658</v>
      </c>
      <c r="CL232" s="45">
        <f>(((CL$3*'[2]Renewable Diesel'!$AF241)*'[2]Feedstock Conversion Rates'!$B$3)/12)</f>
        <v>91.78125</v>
      </c>
      <c r="CM232" s="45">
        <f>(((CM$3*'[2]Renewable Diesel'!$AF241)*'[2]Feedstock Conversion Rates'!$B$6)/12)</f>
        <v>53.739583333333336</v>
      </c>
      <c r="CN232" s="45">
        <f>(((CN$3*'[2]Renewable Diesel'!$AF241)*'[2]Feedstock Conversion Rates'!$B$4)/12)</f>
        <v>42.96875</v>
      </c>
      <c r="CO232" s="47">
        <f t="shared" si="152"/>
        <v>188.48958333333334</v>
      </c>
      <c r="CP232" s="45">
        <f>('[2]Renewable Diesel'!$AG241*'[2]RD Feedstock Breakdown'!CP$3*'[2]Feedstock Conversion Rates'!$B$3)/12</f>
        <v>6.0075000000000003</v>
      </c>
      <c r="CQ232" s="45">
        <f>('[2]Renewable Diesel'!$AG241*'[2]RD Feedstock Breakdown'!CQ$3*'[2]Feedstock Conversion Rates'!$B$6)/12</f>
        <v>3.5175000000000001</v>
      </c>
      <c r="CR232" s="45">
        <f>('[2]Renewable Diesel'!$AG241*'[2]RD Feedstock Breakdown'!CR$3*'[2]Feedstock Conversion Rates'!$B$4)/12</f>
        <v>2.8125</v>
      </c>
      <c r="CS232" s="47">
        <f t="shared" si="99"/>
        <v>12.3375</v>
      </c>
      <c r="CT232" s="45">
        <f>('[2]Renewable Diesel'!AI241*'[2]Feedstock Conversion Rates'!$B$4*'[2]RD Feedstock Breakdown'!$CT$3)/12</f>
        <v>29.375</v>
      </c>
      <c r="CU232" s="47">
        <f t="shared" si="154"/>
        <v>29.375</v>
      </c>
      <c r="CV232" s="45">
        <f>('[2]Renewable Diesel'!AN241*'[2]Feedstock Conversion Rates'!$B$3*'[2]RD Feedstock Breakdown'!$CV$3)/12</f>
        <v>0.50062499999999999</v>
      </c>
      <c r="CW232" s="47">
        <f t="shared" si="124"/>
        <v>0.50062499999999999</v>
      </c>
      <c r="CX232" s="45">
        <f>('[2]Renewable Diesel'!AO241*'[2]RD Feedstock Breakdown'!$CX$3*'[2]Feedstock Conversion Rates'!$B$3)/12</f>
        <v>6.3412499999999996</v>
      </c>
      <c r="CY232" s="45">
        <f>('[2]Renewable Diesel'!AO241*'[2]RD Feedstock Breakdown'!$CY$3*'[2]Feedstock Conversion Rates'!$B$6)/12</f>
        <v>7.4258333333333342</v>
      </c>
      <c r="CZ232" s="47">
        <f t="shared" si="100"/>
        <v>13.767083333333334</v>
      </c>
      <c r="DA232" s="45">
        <f>('[2]Renewable Diesel'!$AP241*'[2]RD Feedstock Breakdown'!DA$3*'[2]Feedstock Conversion Rates'!$B$3)/12</f>
        <v>6.3412499999999996</v>
      </c>
      <c r="DB232" s="45">
        <f>('[2]Renewable Diesel'!$AP241*'[2]RD Feedstock Breakdown'!DB$3*'[2]Feedstock Conversion Rates'!$B$8)/12</f>
        <v>7.421875</v>
      </c>
      <c r="DC232" s="47">
        <f t="shared" si="127"/>
        <v>13.763124999999999</v>
      </c>
      <c r="DD232" s="45">
        <f>('[2]Renewable Diesel'!AQ241*$DD$3*'[2]Feedstock Conversion Rates'!$B$14)/12</f>
        <v>3.1041666666666665</v>
      </c>
      <c r="DE232" s="47">
        <f t="shared" si="128"/>
        <v>3.1041666666666665</v>
      </c>
      <c r="DF232" s="45">
        <f>('[2]Renewable Diesel'!AR241*'[2]Feedstock Conversion Rates'!$B$4*$DF$3)/12</f>
        <v>75</v>
      </c>
      <c r="DG232" s="47">
        <f t="shared" si="101"/>
        <v>75</v>
      </c>
      <c r="DH232" s="45">
        <f>('[2]Renewable Diesel'!AS241*'[2]Feedstock Conversion Rates'!$B$4*$DH$3)/12</f>
        <v>75</v>
      </c>
      <c r="DI232" s="47">
        <f t="shared" si="110"/>
        <v>75</v>
      </c>
      <c r="DJ232" s="45">
        <f>('[2]Renewable Diesel'!AT241*'[2]Feedstock Conversion Rates'!$B$4*0.25)/12</f>
        <v>8.59375</v>
      </c>
      <c r="DK232" s="45">
        <f>('[2]Renewable Diesel'!$AT241*'[2]RD Feedstock Breakdown'!DK$3*'[2]Feedstock Conversion Rates'!$B$3)/12*0.5</f>
        <v>9.1781249999999996</v>
      </c>
      <c r="DL232" s="45">
        <f>('[2]Renewable Diesel'!$AT241*'[2]RD Feedstock Breakdown'!$DL$3*'[2]Feedstock Conversion Rates'!$B$6)/12</f>
        <v>10.747916666666669</v>
      </c>
      <c r="DM232" s="45">
        <f>('[2]Renewable Diesel'!$AT241*'[2]RD Feedstock Breakdown'!$DM$3*'[2]Feedstock Conversion Rates'!$B$8)/12</f>
        <v>10.7421875</v>
      </c>
      <c r="DN232" s="47">
        <f t="shared" si="169"/>
        <v>39.26197916666667</v>
      </c>
      <c r="DP232" s="45">
        <f t="shared" si="130"/>
        <v>116.72025000000001</v>
      </c>
      <c r="DQ232" s="45">
        <f t="shared" si="131"/>
        <v>604.27964249999991</v>
      </c>
      <c r="DR232" s="45">
        <f t="shared" si="136"/>
        <v>1927.984375</v>
      </c>
      <c r="DS232" s="45">
        <f t="shared" si="155"/>
        <v>96.592395833333342</v>
      </c>
      <c r="DT232" s="45">
        <f t="shared" si="132"/>
        <v>240.53923333333344</v>
      </c>
      <c r="DU232" s="45">
        <f t="shared" si="133"/>
        <v>219.97693333333333</v>
      </c>
      <c r="DV232" s="45">
        <f t="shared" si="137"/>
        <v>7.5</v>
      </c>
      <c r="DW232" s="45">
        <f t="shared" si="134"/>
        <v>3</v>
      </c>
      <c r="DX232" s="47">
        <f t="shared" si="138"/>
        <v>3216.59283</v>
      </c>
      <c r="DY232" s="50">
        <f t="shared" si="126"/>
        <v>-135.00000000000014</v>
      </c>
      <c r="EA232" s="51">
        <f t="shared" si="117"/>
        <v>3.6286921027552002E-2</v>
      </c>
      <c r="EB232" s="51">
        <f t="shared" si="117"/>
        <v>0.18786326850700588</v>
      </c>
      <c r="EC232" s="51">
        <f t="shared" si="117"/>
        <v>0.59938713940365274</v>
      </c>
      <c r="ED232" s="51">
        <f t="shared" si="114"/>
        <v>3.0029413400555687E-2</v>
      </c>
      <c r="EE232" s="51">
        <f t="shared" si="114"/>
        <v>7.4780752817052515E-2</v>
      </c>
      <c r="EF232" s="51">
        <f t="shared" si="114"/>
        <v>6.8388181208913948E-2</v>
      </c>
      <c r="EG232" s="51">
        <f t="shared" si="114"/>
        <v>2.3316597394765692E-3</v>
      </c>
      <c r="EH232" s="52">
        <f t="shared" si="139"/>
        <v>9.3266389579062757E-4</v>
      </c>
      <c r="EI232" s="51">
        <f t="shared" si="140"/>
        <v>0.99906733610420939</v>
      </c>
      <c r="EK232" s="53">
        <f>(EA232*'[2]Renewable Diesel'!BF241*'[2]Feedstock Conversion Rates'!B$2)+FB232</f>
        <v>110.03478948354021</v>
      </c>
      <c r="EL232" s="53">
        <f>(EB232*'[2]Renewable Diesel'!BF241*'[2]Feedstock Conversion Rates'!B$3)+FC232</f>
        <v>536.82824969348223</v>
      </c>
      <c r="EM232" s="53">
        <f>(EC232*'[2]Renewable Diesel'!BF241*'[2]Feedstock Conversion Rates'!B$4)+FD232</f>
        <v>1603.7240992182276</v>
      </c>
      <c r="EN232" s="53">
        <f>(ED232*'[2]Renewable Diesel'!BF241*'[2]Feedstock Conversion Rates'!B$5)+FE232</f>
        <v>80.882538282571545</v>
      </c>
      <c r="EO232" s="53">
        <f>(EE232*'[2]Renewable Diesel'!BF241*'[2]Feedstock Conversion Rates'!B$6)+FF232</f>
        <v>250.23822042491838</v>
      </c>
      <c r="EP232" s="53">
        <f>(EF232*'[2]Renewable Diesel'!BF241*'[2]Feedstock Conversion Rates'!B$7)+FG232</f>
        <v>224.45529381297328</v>
      </c>
      <c r="EQ232" s="53">
        <f>(EG232*'[2]Renewable Diesel'!BF241*'[2]Feedstock Conversion Rates'!B$8)+FH232</f>
        <v>7.7982548121900024</v>
      </c>
      <c r="ER232" s="53">
        <f>(EH232*'[2]Renewable Diesel'!BF241*'[2]Feedstock Conversion Rates'!B$9)+FI232</f>
        <v>3.0777112325443206</v>
      </c>
      <c r="ES232" s="53">
        <f t="shared" si="141"/>
        <v>2817.0391569604476</v>
      </c>
      <c r="ET232" s="36">
        <f>ES232/'[2]Renewable Diesel'!BF241</f>
        <v>7.8964504058165179</v>
      </c>
    </row>
    <row r="233" spans="1:150" x14ac:dyDescent="0.25">
      <c r="A233" s="39">
        <v>47515</v>
      </c>
      <c r="B233" s="45">
        <f t="shared" si="175"/>
        <v>3</v>
      </c>
      <c r="C233" s="45">
        <f t="shared" si="176"/>
        <v>55</v>
      </c>
      <c r="D233" s="45">
        <f t="shared" si="177"/>
        <v>2</v>
      </c>
      <c r="E233" s="45">
        <f>('[2]Renewable Diesel'!B242*E$3*'[2]Feedstock Conversion Rates'!$B$2)/12-57.5+8+12.5+52.5-76+18+23+45+50-5-24-2.5-10+23-47+6-0.5</f>
        <v>105.43</v>
      </c>
      <c r="F233" s="45">
        <f>('[2]Renewable Diesel'!B242*'[2]RD Feedstock Breakdown'!F$3*'[2]Feedstock Conversion Rates'!B$8)/12-5-4-2.25+5+19-52+5+17+9+2-33+8.5-15</f>
        <v>8.15625</v>
      </c>
      <c r="G233" s="45">
        <f>('[2]Renewable Diesel'!B242*'[2]RD Feedstock Breakdown'!G$3*'[2]Feedstock Conversion Rates'!B$7)/12-72.5+5.25-57.5-31+32+70-30+10-45-25-7.5+5-10+5</f>
        <v>24.907000000000011</v>
      </c>
      <c r="H233" s="45">
        <f>('[2]Renewable Diesel'!B242*'[2]RD Feedstock Breakdown'!H$3*'[2]Feedstock Conversion Rates'!B$3)/12-105+15+129-182+15-4+51+50-5-30-5+185+7</f>
        <v>297.40022499999998</v>
      </c>
      <c r="I233" s="47">
        <f t="shared" si="160"/>
        <v>495.89347499999997</v>
      </c>
      <c r="J233" s="45">
        <f t="shared" si="178"/>
        <v>45.75</v>
      </c>
      <c r="K233" s="45"/>
      <c r="L233" s="45">
        <v>1</v>
      </c>
      <c r="M233" s="45">
        <f>('[2]Renewable Diesel'!C242*'[2]RD Feedstock Breakdown'!M$3*'[2]Feedstock Conversion Rates'!B$2)/12-18.5+2-38+5+3-1+25+26</f>
        <v>11.29025</v>
      </c>
      <c r="N233" s="45">
        <f>('[2]Renewable Diesel'!C242*'[2]RD Feedstock Breakdown'!N$3*'[2]Feedstock Conversion Rates'!B$8)/12-2.5+36-47.5+6.25+4+10-2.5-20-15</f>
        <v>-27.578125</v>
      </c>
      <c r="O233" s="45">
        <f>('[2]Renewable Diesel'!C242*'[2]RD Feedstock Breakdown'!O$3*'[2]Feedstock Conversion Rates'!B$7)/12-30-60-19+29+20-20+45-20+10</f>
        <v>-33.000900000000001</v>
      </c>
      <c r="P233" s="45">
        <f>('[2]Renewable Diesel'!C242*'[2]RD Feedstock Breakdown'!P$3*'[2]Feedstock Conversion Rates'!B$3)/12-12+25-97+35+25+50+20-100+75+5</f>
        <v>36.447042500000009</v>
      </c>
      <c r="Q233" s="47">
        <f t="shared" si="172"/>
        <v>33.908267500000008</v>
      </c>
      <c r="R233" s="45">
        <f>('[2]Renewable Diesel'!D242*'[2]RD Feedstock Breakdown'!R$3*'[2]Feedstock Conversion Rates'!B$7)/12</f>
        <v>2.2999999999999998</v>
      </c>
      <c r="S233" s="47">
        <f t="shared" si="116"/>
        <v>2.2999999999999998</v>
      </c>
      <c r="T233" s="45">
        <f t="shared" si="179"/>
        <v>5.8250000000000028</v>
      </c>
      <c r="U233" s="45">
        <v>30</v>
      </c>
      <c r="V233" s="45">
        <f>('[2]Renewable Diesel'!E242*'[2]RD Feedstock Breakdown'!V$3*'[2]Feedstock Conversion Rates'!B$6)/12-20+25-35</f>
        <v>14.250150000000012</v>
      </c>
      <c r="W233" s="45">
        <f>('[2]Renewable Diesel'!E242*'[2]RD Feedstock Breakdown'!W$3*'[2]Feedstock Conversion Rates'!B$8)/12-6</f>
        <v>16.1796875</v>
      </c>
      <c r="X233" s="47">
        <f t="shared" si="147"/>
        <v>66.254837500000008</v>
      </c>
      <c r="Y233" s="45">
        <f t="shared" si="180"/>
        <v>126.5</v>
      </c>
      <c r="Z233" s="45">
        <f>('[2]Renewable Diesel'!F242*'[2]RD Feedstock Breakdown'!Z$3*'[2]Feedstock Conversion Rates'!B$6)/12-50-32-60+15+15+50-75+65-6-30+9+2+7</f>
        <v>69.460000000000008</v>
      </c>
      <c r="AA233" s="45">
        <f>('[2]Renewable Diesel'!F242*'[2]RD Feedstock Breakdown'!AA$3*'[2]Feedstock Conversion Rates'!B$7)/12+80-171+75+30+5-52.5-3</f>
        <v>67.766666666666652</v>
      </c>
      <c r="AB233" s="47">
        <f t="shared" si="102"/>
        <v>263.72666666666669</v>
      </c>
      <c r="AC233" s="45">
        <f>('[2]Renewable Diesel'!G242*'[2]RD Feedstock Breakdown'!AC$3*'[2]Feedstock Conversion Rates'!B$5)/12</f>
        <v>11.796875</v>
      </c>
      <c r="AD233" s="45">
        <f>('[2]Renewable Diesel'!G242*'[2]RD Feedstock Breakdown'!AD$3*'[2]Feedstock Conversion Rates'!B$4)/12</f>
        <v>5.859375</v>
      </c>
      <c r="AE233" s="45">
        <f>('[2]Renewable Diesel'!G242*'[2]RD Feedstock Breakdown'!AE$3*'[2]Feedstock Conversion Rates'!B$6)/12</f>
        <v>7.3281250000000009</v>
      </c>
      <c r="AF233" s="47">
        <f t="shared" si="156"/>
        <v>24.984375</v>
      </c>
      <c r="AG233" s="45">
        <f t="shared" si="182"/>
        <v>6.5</v>
      </c>
      <c r="AH233" s="45">
        <v>135</v>
      </c>
      <c r="AI233" s="45">
        <f>('[2]Renewable Diesel'!H242*'[2]RD Feedstock Breakdown'!AI$3*'[2]Feedstock Conversion Rates'!B$6)/12-130-20+51-120+105-42.5+20-5</f>
        <v>7.0166666666666799</v>
      </c>
      <c r="AJ233" s="47">
        <f t="shared" si="113"/>
        <v>13.51666666666668</v>
      </c>
      <c r="AK233" s="45">
        <f>('[2]Renewable Diesel'!J242*'[2]RD Feedstock Breakdown'!AK$3*'[2]Feedstock Conversion Rates'!B$4)/12</f>
        <v>95.8125</v>
      </c>
      <c r="AL233" s="47">
        <f t="shared" si="123"/>
        <v>95.8125</v>
      </c>
      <c r="AM233" s="45">
        <f>('[2]Renewable Diesel'!K242*'[2]RD Feedstock Breakdown'!AM$3*'[2]Feedstock Conversion Rates'!B$4)/12+5+15-10+9-27</f>
        <v>50.59375</v>
      </c>
      <c r="AN233" s="45">
        <f>('[2]Renewable Diesel'!K242*'[2]RD Feedstock Breakdown'!AN$3*'[2]Feedstock Conversion Rates'!B$6)/12-5-15+10-9+27</f>
        <v>32.427083333333329</v>
      </c>
      <c r="AO233" s="47">
        <f t="shared" si="135"/>
        <v>83.020833333333329</v>
      </c>
      <c r="AP233" s="45">
        <f>('[2]Renewable Diesel'!L242*'[2]RD Feedstock Breakdown'!AP$3*'[2]Feedstock Conversion Rates'!B$4)/12+15-10+14</f>
        <v>77.59375</v>
      </c>
      <c r="AQ233" s="45">
        <f>('[2]Renewable Diesel'!L242*'[2]RD Feedstock Breakdown'!AQ$3*'[2]Feedstock Conversion Rates'!B$6)/12-15+10-14</f>
        <v>5.4270833333333321</v>
      </c>
      <c r="AR233" s="47">
        <f t="shared" si="125"/>
        <v>83.020833333333329</v>
      </c>
      <c r="AS233" s="45">
        <f>('[2]Renewable Diesel'!M242*'[2]RD Feedstock Breakdown'!AS$3*'[2]Feedstock Conversion Rates'!B$4)/12</f>
        <v>456.25</v>
      </c>
      <c r="AT233" s="45">
        <f>('[2]Renewable Diesel'!M242*'[2]RD Feedstock Breakdown'!AT$3*'[2]Feedstock Conversion Rates'!B$5)/12</f>
        <v>0</v>
      </c>
      <c r="AU233" s="47">
        <f t="shared" si="159"/>
        <v>456.25</v>
      </c>
      <c r="AV233" s="45">
        <f>'[2]Renewable Diesel'!N242*'[2]RD Feedstock Breakdown'!$AV$3*'[2]Feedstock Conversion Rates'!$B$4/12-15-10+25+25-22-40</f>
        <v>41.749999999999986</v>
      </c>
      <c r="AW233" s="45">
        <f>'[2]Renewable Diesel'!N242*'[2]RD Feedstock Breakdown'!$AW$3*'[2]Feedstock Conversion Rates'!$B$7/12+15+10-25-25+22+40</f>
        <v>78.400000000000006</v>
      </c>
      <c r="AX233" s="47">
        <f t="shared" si="109"/>
        <v>120.14999999999999</v>
      </c>
      <c r="AY233" s="45">
        <f>('[2]Renewable Diesel'!O242*'[2]RD Feedstock Breakdown'!AY$3*'[2]Feedstock Conversion Rates'!B$4)/12+32+2-135</f>
        <v>109.9375</v>
      </c>
      <c r="AZ233" s="45">
        <f>('[2]Renewable Diesel'!O242*'[2]RD Feedstock Breakdown'!AZ$3*'[2]Feedstock Conversion Rates'!B$3)/12-32-2+135</f>
        <v>126.03125</v>
      </c>
      <c r="BA233" s="47">
        <f t="shared" si="173"/>
        <v>235.96875</v>
      </c>
      <c r="BB233" s="45">
        <f>('[2]Renewable Diesel'!Q242*'[2]RD Feedstock Breakdown'!BB$3*'[2]Feedstock Conversion Rates'!B$4)/12-10</f>
        <v>1.1562499999999982</v>
      </c>
      <c r="BC233" s="45">
        <f>('[2]Renewable Diesel'!Q242*'[2]RD Feedstock Breakdown'!BC$3*'[2]Feedstock Conversion Rates'!B$3)/12+10</f>
        <v>11.40175</v>
      </c>
      <c r="BD233" s="45">
        <f>('[2]Renewable Diesel'!Q242*'[2]RD Feedstock Breakdown'!BD$3*'[2]Feedstock Conversion Rates'!B$6)/12</f>
        <v>0.8207500000000002</v>
      </c>
      <c r="BE233" s="47">
        <f t="shared" si="151"/>
        <v>13.378749999999998</v>
      </c>
      <c r="BF233" s="45">
        <f>('[2]Renewable Diesel'!R242*'[2]RD Feedstock Breakdown'!BF$3*'[2]Feedstock Conversion Rates'!B$4)/12</f>
        <v>62.5</v>
      </c>
      <c r="BG233" s="47">
        <f t="shared" si="129"/>
        <v>62.5</v>
      </c>
      <c r="BH233" s="45">
        <f>('[2]Renewable Diesel'!T242*'[2]RD Feedstock Breakdown'!BH$3*'[2]Feedstock Conversion Rates'!B$7)/12</f>
        <v>27.599999999999998</v>
      </c>
      <c r="BI233" s="47">
        <f t="shared" si="112"/>
        <v>27.599999999999998</v>
      </c>
      <c r="BJ233" s="45">
        <f>('[2]Renewable Diesel'!W242*'[2]RD Feedstock Breakdown'!BJ$3*'[2]Feedstock Conversion Rates'!B$4)/12</f>
        <v>7.5</v>
      </c>
      <c r="BK233" s="45">
        <f>('[2]Renewable Diesel'!W242*'[2]RD Feedstock Breakdown'!BK$3*'[2]Feedstock Conversion Rates'!B$3)/12</f>
        <v>1.335</v>
      </c>
      <c r="BL233" s="45">
        <f>('[2]Renewable Diesel'!W242*'[2]RD Feedstock Breakdown'!BL$3*'[2]Feedstock Conversion Rates'!B$6)/12</f>
        <v>3.1266666666666669</v>
      </c>
      <c r="BM233" s="45">
        <f>('[2]Renewable Diesel'!W242*'[2]RD Feedstock Breakdown'!BM$3*'[2]Feedstock Conversion Rates'!B$7)/12</f>
        <v>1.5333333333333332</v>
      </c>
      <c r="BN233" s="47">
        <f t="shared" si="168"/>
        <v>13.495000000000001</v>
      </c>
      <c r="BO233" s="45">
        <f>('[2]Renewable Diesel'!P242*'[2]Feedstock Conversion Rates'!B$4)/12</f>
        <v>31.25</v>
      </c>
      <c r="BP233" s="47">
        <f t="shared" si="157"/>
        <v>31.25</v>
      </c>
      <c r="BQ233" s="45">
        <f>('[2]Renewable Diesel'!$S242*'[2]RD Feedstock Breakdown'!BQ$3*'[2]Feedstock Conversion Rates'!B$4)/12+10</f>
        <v>38.125</v>
      </c>
      <c r="BR233" s="45">
        <f>('[2]Renewable Diesel'!$S242*'[2]RD Feedstock Breakdown'!BR$3*'[2]Feedstock Conversion Rates'!B$7)/12-10</f>
        <v>1.5</v>
      </c>
      <c r="BS233" s="47">
        <f t="shared" si="174"/>
        <v>39.625</v>
      </c>
      <c r="BT233" s="47"/>
      <c r="BU233" s="45">
        <f>('[2]Renewable Diesel'!Y242*'[2]Feedstock Conversion Rates'!B$7)/12</f>
        <v>2.6833333333333331</v>
      </c>
      <c r="BV233" s="47">
        <f t="shared" si="153"/>
        <v>2.6833333333333331</v>
      </c>
      <c r="BW233" s="45">
        <f>('[2]Renewable Diesel'!$Z242*'[2]RD Feedstock Breakdown'!BW$3*'[2]Feedstock Conversion Rates'!$B$4)/12</f>
        <v>53.90625</v>
      </c>
      <c r="BX233" s="45">
        <f>('[2]Renewable Diesel'!$Z242*'[2]RD Feedstock Breakdown'!BX$3*'[2]Feedstock Conversion Rates'!$B$5)/12</f>
        <v>5.4265624999999993</v>
      </c>
      <c r="BY233" s="45">
        <f>('[2]Renewable Diesel'!$Z242*'[2]RD Feedstock Breakdown'!BY$3*'[2]Feedstock Conversion Rates'!$B$7)/12</f>
        <v>46.287499999999994</v>
      </c>
      <c r="BZ233" s="45">
        <f>('[2]Renewable Diesel'!$Z242*'[2]RD Feedstock Breakdown'!BZ$3*'[2]Feedstock Conversion Rates'!$B$3)/12</f>
        <v>11.514374999999999</v>
      </c>
      <c r="CA233" s="47">
        <f t="shared" si="181"/>
        <v>117.1346875</v>
      </c>
      <c r="CB233" s="45">
        <f>('[2]Renewable Diesel'!AA242*'[2]Feedstock Conversion Rates'!B$4)/12</f>
        <v>191.25</v>
      </c>
      <c r="CC233" s="47">
        <f t="shared" si="171"/>
        <v>191.25</v>
      </c>
      <c r="CD233" s="45">
        <f>('[2]Renewable Diesel'!$AB242*'[2]RD Feedstock Breakdown'!CD$3*'[2]Feedstock Conversion Rates'!$B$6)/12-15</f>
        <v>17.830000000000005</v>
      </c>
      <c r="CE233" s="45">
        <f>('[2]Renewable Diesel'!$AB242*'[2]RD Feedstock Breakdown'!CE$3*'[2]Feedstock Conversion Rates'!$B$4)/12+15</f>
        <v>26.25</v>
      </c>
      <c r="CF233" s="47">
        <f t="shared" si="161"/>
        <v>44.080000000000005</v>
      </c>
      <c r="CG233" s="45">
        <f>('[2]Renewable Diesel'!AD242*'[2]Feedstock Conversion Rates'!B$4)/12</f>
        <v>112.5</v>
      </c>
      <c r="CH233" s="47">
        <f t="shared" si="149"/>
        <v>112.5</v>
      </c>
      <c r="CI233" s="45">
        <f>('[2]Renewable Diesel'!$AE242*'[2]RD Feedstock Breakdown'!CI$3*'[2]Feedstock Conversion Rates'!$B$5)/12</f>
        <v>0.34604166666666664</v>
      </c>
      <c r="CJ233" s="45">
        <f>('[2]Renewable Diesel'!$AE242*'[2]RD Feedstock Breakdown'!CJ$3*'[2]Feedstock Conversion Rates'!$B$4)/12</f>
        <v>0.34375</v>
      </c>
      <c r="CK233" s="47">
        <f t="shared" si="158"/>
        <v>0.68979166666666658</v>
      </c>
      <c r="CL233" s="45">
        <f>(((CL$3*'[2]Renewable Diesel'!$AF242)*'[2]Feedstock Conversion Rates'!$B$3)/12)</f>
        <v>91.78125</v>
      </c>
      <c r="CM233" s="45">
        <f>(((CM$3*'[2]Renewable Diesel'!$AF242)*'[2]Feedstock Conversion Rates'!$B$6)/12)</f>
        <v>53.739583333333336</v>
      </c>
      <c r="CN233" s="45">
        <f>(((CN$3*'[2]Renewable Diesel'!$AF242)*'[2]Feedstock Conversion Rates'!$B$4)/12)</f>
        <v>42.96875</v>
      </c>
      <c r="CO233" s="47">
        <f t="shared" si="152"/>
        <v>188.48958333333334</v>
      </c>
      <c r="CP233" s="45">
        <f>('[2]Renewable Diesel'!$AG242*'[2]RD Feedstock Breakdown'!CP$3*'[2]Feedstock Conversion Rates'!$B$3)/12</f>
        <v>6.0075000000000003</v>
      </c>
      <c r="CQ233" s="45">
        <f>('[2]Renewable Diesel'!$AG242*'[2]RD Feedstock Breakdown'!CQ$3*'[2]Feedstock Conversion Rates'!$B$6)/12</f>
        <v>3.5175000000000001</v>
      </c>
      <c r="CR233" s="45">
        <f>('[2]Renewable Diesel'!$AG242*'[2]RD Feedstock Breakdown'!CR$3*'[2]Feedstock Conversion Rates'!$B$4)/12</f>
        <v>2.8125</v>
      </c>
      <c r="CS233" s="47">
        <f t="shared" si="99"/>
        <v>12.3375</v>
      </c>
      <c r="CT233" s="45">
        <f>('[2]Renewable Diesel'!AI242*'[2]Feedstock Conversion Rates'!$B$4*'[2]RD Feedstock Breakdown'!$CT$3)/12</f>
        <v>29.375</v>
      </c>
      <c r="CU233" s="47">
        <f t="shared" si="154"/>
        <v>29.375</v>
      </c>
      <c r="CV233" s="45">
        <f>('[2]Renewable Diesel'!AN242*'[2]Feedstock Conversion Rates'!$B$3*'[2]RD Feedstock Breakdown'!$CV$3)/12</f>
        <v>0.50062499999999999</v>
      </c>
      <c r="CW233" s="47">
        <f t="shared" si="124"/>
        <v>0.50062499999999999</v>
      </c>
      <c r="CX233" s="45">
        <f>('[2]Renewable Diesel'!AO242*'[2]RD Feedstock Breakdown'!$CX$3*'[2]Feedstock Conversion Rates'!$B$3)/12</f>
        <v>6.3412499999999996</v>
      </c>
      <c r="CY233" s="45">
        <f>('[2]Renewable Diesel'!AO242*'[2]RD Feedstock Breakdown'!$CY$3*'[2]Feedstock Conversion Rates'!$B$6)/12</f>
        <v>7.4258333333333342</v>
      </c>
      <c r="CZ233" s="47">
        <f t="shared" si="100"/>
        <v>13.767083333333334</v>
      </c>
      <c r="DA233" s="45">
        <f>('[2]Renewable Diesel'!$AP242*'[2]RD Feedstock Breakdown'!DA$3*'[2]Feedstock Conversion Rates'!$B$3)/12</f>
        <v>6.3412499999999996</v>
      </c>
      <c r="DB233" s="45">
        <f>('[2]Renewable Diesel'!$AP242*'[2]RD Feedstock Breakdown'!DB$3*'[2]Feedstock Conversion Rates'!$B$8)/12</f>
        <v>7.421875</v>
      </c>
      <c r="DC233" s="47">
        <f t="shared" si="127"/>
        <v>13.763124999999999</v>
      </c>
      <c r="DD233" s="45">
        <f>('[2]Renewable Diesel'!AQ242*$DD$3*'[2]Feedstock Conversion Rates'!$B$14)/12</f>
        <v>3.1041666666666665</v>
      </c>
      <c r="DE233" s="47">
        <f t="shared" si="128"/>
        <v>3.1041666666666665</v>
      </c>
      <c r="DF233" s="45">
        <f>('[2]Renewable Diesel'!AR242*'[2]Feedstock Conversion Rates'!$B$4*$DF$3)/12</f>
        <v>75</v>
      </c>
      <c r="DG233" s="47">
        <f t="shared" si="101"/>
        <v>75</v>
      </c>
      <c r="DH233" s="45">
        <f>('[2]Renewable Diesel'!AS242*'[2]Feedstock Conversion Rates'!$B$4*$DH$3)/12</f>
        <v>75</v>
      </c>
      <c r="DI233" s="47">
        <f t="shared" si="110"/>
        <v>75</v>
      </c>
      <c r="DJ233" s="45">
        <f>('[2]Renewable Diesel'!AT242*'[2]Feedstock Conversion Rates'!$B$4*0.25)/12</f>
        <v>8.59375</v>
      </c>
      <c r="DK233" s="45">
        <f>('[2]Renewable Diesel'!$AT242*'[2]RD Feedstock Breakdown'!DK$3*'[2]Feedstock Conversion Rates'!$B$3)/12*0.5</f>
        <v>9.1781249999999996</v>
      </c>
      <c r="DL233" s="45">
        <f>('[2]Renewable Diesel'!$AT242*'[2]RD Feedstock Breakdown'!$DL$3*'[2]Feedstock Conversion Rates'!$B$6)/12</f>
        <v>10.747916666666669</v>
      </c>
      <c r="DM233" s="45">
        <f>('[2]Renewable Diesel'!$AT242*'[2]RD Feedstock Breakdown'!$DM$3*'[2]Feedstock Conversion Rates'!$B$8)/12</f>
        <v>10.7421875</v>
      </c>
      <c r="DN233" s="47">
        <f t="shared" si="169"/>
        <v>39.26197916666667</v>
      </c>
      <c r="DP233" s="45">
        <f t="shared" si="130"/>
        <v>116.72025000000001</v>
      </c>
      <c r="DQ233" s="45">
        <f t="shared" si="131"/>
        <v>604.27964249999991</v>
      </c>
      <c r="DR233" s="45">
        <f t="shared" si="136"/>
        <v>1927.984375</v>
      </c>
      <c r="DS233" s="45">
        <f t="shared" si="155"/>
        <v>96.592395833333342</v>
      </c>
      <c r="DT233" s="45">
        <f t="shared" si="132"/>
        <v>240.53923333333344</v>
      </c>
      <c r="DU233" s="45">
        <f t="shared" si="133"/>
        <v>219.97693333333333</v>
      </c>
      <c r="DV233" s="45">
        <f t="shared" si="137"/>
        <v>7.5</v>
      </c>
      <c r="DW233" s="45">
        <f t="shared" si="134"/>
        <v>3</v>
      </c>
      <c r="DX233" s="47">
        <f t="shared" si="138"/>
        <v>3216.59283</v>
      </c>
      <c r="DY233" s="50">
        <f t="shared" si="126"/>
        <v>-135.00000000000014</v>
      </c>
      <c r="EA233" s="51">
        <f t="shared" si="117"/>
        <v>3.6286921027552002E-2</v>
      </c>
      <c r="EB233" s="51">
        <f t="shared" si="117"/>
        <v>0.18786326850700588</v>
      </c>
      <c r="EC233" s="51">
        <f t="shared" si="117"/>
        <v>0.59938713940365274</v>
      </c>
      <c r="ED233" s="51">
        <f t="shared" si="114"/>
        <v>3.0029413400555687E-2</v>
      </c>
      <c r="EE233" s="51">
        <f t="shared" si="114"/>
        <v>7.4780752817052515E-2</v>
      </c>
      <c r="EF233" s="51">
        <f t="shared" si="114"/>
        <v>6.8388181208913948E-2</v>
      </c>
      <c r="EG233" s="51">
        <f t="shared" si="114"/>
        <v>2.3316597394765692E-3</v>
      </c>
      <c r="EH233" s="52">
        <f t="shared" si="139"/>
        <v>9.3266389579062757E-4</v>
      </c>
      <c r="EI233" s="51">
        <f t="shared" si="140"/>
        <v>0.99906733610420939</v>
      </c>
      <c r="EK233" s="53">
        <f>(EA233*'[2]Renewable Diesel'!BF242*'[2]Feedstock Conversion Rates'!B$2)+FB233</f>
        <v>160.36954847057726</v>
      </c>
      <c r="EL233" s="53">
        <f>(EB233*'[2]Renewable Diesel'!BF242*'[2]Feedstock Conversion Rates'!B$3)+FC233</f>
        <v>782.3971347032217</v>
      </c>
      <c r="EM233" s="53">
        <f>(EC233*'[2]Renewable Diesel'!BF242*'[2]Feedstock Conversion Rates'!B$4)+FD233</f>
        <v>2337.3381352402412</v>
      </c>
      <c r="EN233" s="53">
        <f>(ED233*'[2]Renewable Diesel'!BF242*'[2]Feedstock Conversion Rates'!B$5)+FE233</f>
        <v>117.88177361370323</v>
      </c>
      <c r="EO233" s="53">
        <f>(EE233*'[2]Renewable Diesel'!BF242*'[2]Feedstock Conversion Rates'!B$6)+FF233</f>
        <v>364.70820372340478</v>
      </c>
      <c r="EP233" s="53">
        <f>(EF233*'[2]Renewable Diesel'!BF242*'[2]Feedstock Conversion Rates'!B$7)+FG233</f>
        <v>327.13103091819693</v>
      </c>
      <c r="EQ233" s="53">
        <f>(EG233*'[2]Renewable Diesel'!BF242*'[2]Feedstock Conversion Rates'!B$8)+FH233</f>
        <v>11.365520022887772</v>
      </c>
      <c r="ER233" s="53">
        <f>(EH233*'[2]Renewable Diesel'!BF242*'[2]Feedstock Conversion Rates'!B$9)+FI233</f>
        <v>4.4855919023663731</v>
      </c>
      <c r="ES233" s="53">
        <f t="shared" si="141"/>
        <v>4105.6769385946</v>
      </c>
      <c r="ET233" s="36">
        <f>ES233/'[2]Renewable Diesel'!BF242</f>
        <v>7.8964504058165179</v>
      </c>
    </row>
    <row r="234" spans="1:150" x14ac:dyDescent="0.25">
      <c r="A234" s="39">
        <v>47543</v>
      </c>
      <c r="B234" s="45">
        <f t="shared" si="175"/>
        <v>3</v>
      </c>
      <c r="C234" s="45">
        <f t="shared" si="176"/>
        <v>55</v>
      </c>
      <c r="D234" s="45">
        <f t="shared" si="177"/>
        <v>2</v>
      </c>
      <c r="E234" s="45">
        <f>('[2]Renewable Diesel'!B243*E$3*'[2]Feedstock Conversion Rates'!$B$2)/12-57.5+8+12.5+52.5-76+18+23+45+50-5-24-2.5-10+23-47+6-0.5</f>
        <v>105.43</v>
      </c>
      <c r="F234" s="45">
        <f>('[2]Renewable Diesel'!B243*'[2]RD Feedstock Breakdown'!F$3*'[2]Feedstock Conversion Rates'!B$8)/12-5-4-2.25+5+19-52+5+17+9+2-33+8.5-15</f>
        <v>8.15625</v>
      </c>
      <c r="G234" s="45">
        <f>('[2]Renewable Diesel'!B243*'[2]RD Feedstock Breakdown'!G$3*'[2]Feedstock Conversion Rates'!B$7)/12-72.5+5.25-57.5-31+32+70-30+10-45-25-7.5+5-10+5</f>
        <v>24.907000000000011</v>
      </c>
      <c r="H234" s="45">
        <f>('[2]Renewable Diesel'!B243*'[2]RD Feedstock Breakdown'!H$3*'[2]Feedstock Conversion Rates'!B$3)/12-105+15+129-182+15-4+51+50-5-30-5+185+7</f>
        <v>297.40022499999998</v>
      </c>
      <c r="I234" s="47">
        <f t="shared" si="160"/>
        <v>495.89347499999997</v>
      </c>
      <c r="J234" s="45">
        <f t="shared" si="178"/>
        <v>45.75</v>
      </c>
      <c r="K234" s="45"/>
      <c r="L234" s="45">
        <v>1</v>
      </c>
      <c r="M234" s="45">
        <f>('[2]Renewable Diesel'!C243*'[2]RD Feedstock Breakdown'!M$3*'[2]Feedstock Conversion Rates'!B$2)/12-18.5+2-38+5+3-1+25+26</f>
        <v>11.29025</v>
      </c>
      <c r="N234" s="45">
        <f>('[2]Renewable Diesel'!C243*'[2]RD Feedstock Breakdown'!N$3*'[2]Feedstock Conversion Rates'!B$8)/12-2.5+36-47.5+6.25+4+10-2.5-20-15</f>
        <v>-27.578125</v>
      </c>
      <c r="O234" s="45">
        <f>('[2]Renewable Diesel'!C243*'[2]RD Feedstock Breakdown'!O$3*'[2]Feedstock Conversion Rates'!B$7)/12-30-60-19+29+20-20+45-20+10</f>
        <v>-33.000900000000001</v>
      </c>
      <c r="P234" s="45">
        <f>('[2]Renewable Diesel'!C243*'[2]RD Feedstock Breakdown'!P$3*'[2]Feedstock Conversion Rates'!B$3)/12-12+25-97+35+25+50+20-100+75+5</f>
        <v>36.447042500000009</v>
      </c>
      <c r="Q234" s="47">
        <f t="shared" si="172"/>
        <v>33.908267500000008</v>
      </c>
      <c r="R234" s="45">
        <f>('[2]Renewable Diesel'!D243*'[2]RD Feedstock Breakdown'!R$3*'[2]Feedstock Conversion Rates'!B$7)/12</f>
        <v>2.2999999999999998</v>
      </c>
      <c r="S234" s="47">
        <f t="shared" si="116"/>
        <v>2.2999999999999998</v>
      </c>
      <c r="T234" s="45">
        <f t="shared" si="179"/>
        <v>5.8250000000000028</v>
      </c>
      <c r="U234" s="45">
        <v>30</v>
      </c>
      <c r="V234" s="45">
        <f>('[2]Renewable Diesel'!E243*'[2]RD Feedstock Breakdown'!V$3*'[2]Feedstock Conversion Rates'!B$6)/12-20+25-35</f>
        <v>14.250150000000012</v>
      </c>
      <c r="W234" s="45">
        <f>('[2]Renewable Diesel'!E243*'[2]RD Feedstock Breakdown'!W$3*'[2]Feedstock Conversion Rates'!B$8)/12-6</f>
        <v>16.1796875</v>
      </c>
      <c r="X234" s="47">
        <f t="shared" si="147"/>
        <v>66.254837500000008</v>
      </c>
      <c r="Y234" s="45">
        <f t="shared" si="180"/>
        <v>126.5</v>
      </c>
      <c r="Z234" s="45">
        <f>('[2]Renewable Diesel'!F243*'[2]RD Feedstock Breakdown'!Z$3*'[2]Feedstock Conversion Rates'!B$6)/12-50-32-60+15+15+50-75+65-6-30+9+2+7</f>
        <v>69.460000000000008</v>
      </c>
      <c r="AA234" s="45">
        <f>('[2]Renewable Diesel'!F243*'[2]RD Feedstock Breakdown'!AA$3*'[2]Feedstock Conversion Rates'!B$7)/12+80-171+75+30+5-52.5-3</f>
        <v>67.766666666666652</v>
      </c>
      <c r="AB234" s="47">
        <f t="shared" si="102"/>
        <v>263.72666666666669</v>
      </c>
      <c r="AC234" s="45">
        <f>('[2]Renewable Diesel'!G243*'[2]RD Feedstock Breakdown'!AC$3*'[2]Feedstock Conversion Rates'!B$5)/12</f>
        <v>11.796875</v>
      </c>
      <c r="AD234" s="45">
        <f>('[2]Renewable Diesel'!G243*'[2]RD Feedstock Breakdown'!AD$3*'[2]Feedstock Conversion Rates'!B$4)/12</f>
        <v>5.859375</v>
      </c>
      <c r="AE234" s="45">
        <f>('[2]Renewable Diesel'!G243*'[2]RD Feedstock Breakdown'!AE$3*'[2]Feedstock Conversion Rates'!B$6)/12</f>
        <v>7.3281250000000009</v>
      </c>
      <c r="AF234" s="47">
        <f t="shared" si="156"/>
        <v>24.984375</v>
      </c>
      <c r="AG234" s="45">
        <f t="shared" si="182"/>
        <v>6.5</v>
      </c>
      <c r="AH234" s="45">
        <v>135</v>
      </c>
      <c r="AI234" s="45">
        <f>('[2]Renewable Diesel'!H243*'[2]RD Feedstock Breakdown'!AI$3*'[2]Feedstock Conversion Rates'!B$6)/12-130-20+51-120+105-42.5+20-5</f>
        <v>7.0166666666666799</v>
      </c>
      <c r="AJ234" s="47">
        <f t="shared" si="113"/>
        <v>13.51666666666668</v>
      </c>
      <c r="AK234" s="45">
        <f>('[2]Renewable Diesel'!J243*'[2]RD Feedstock Breakdown'!AK$3*'[2]Feedstock Conversion Rates'!B$4)/12</f>
        <v>95.8125</v>
      </c>
      <c r="AL234" s="47">
        <f t="shared" si="123"/>
        <v>95.8125</v>
      </c>
      <c r="AM234" s="45">
        <f>('[2]Renewable Diesel'!K243*'[2]RD Feedstock Breakdown'!AM$3*'[2]Feedstock Conversion Rates'!B$4)/12+5+15-10+9-27</f>
        <v>50.59375</v>
      </c>
      <c r="AN234" s="45">
        <f>('[2]Renewable Diesel'!K243*'[2]RD Feedstock Breakdown'!AN$3*'[2]Feedstock Conversion Rates'!B$6)/12-5-15+10-9+27</f>
        <v>32.427083333333329</v>
      </c>
      <c r="AO234" s="47">
        <f t="shared" si="135"/>
        <v>83.020833333333329</v>
      </c>
      <c r="AP234" s="45">
        <f>('[2]Renewable Diesel'!L243*'[2]RD Feedstock Breakdown'!AP$3*'[2]Feedstock Conversion Rates'!B$4)/12+15-10+14</f>
        <v>77.59375</v>
      </c>
      <c r="AQ234" s="45">
        <f>('[2]Renewable Diesel'!L243*'[2]RD Feedstock Breakdown'!AQ$3*'[2]Feedstock Conversion Rates'!B$6)/12-15+10-14</f>
        <v>5.4270833333333321</v>
      </c>
      <c r="AR234" s="47">
        <f t="shared" si="125"/>
        <v>83.020833333333329</v>
      </c>
      <c r="AS234" s="45">
        <f>('[2]Renewable Diesel'!M243*'[2]RD Feedstock Breakdown'!AS$3*'[2]Feedstock Conversion Rates'!B$4)/12</f>
        <v>456.25</v>
      </c>
      <c r="AT234" s="45">
        <f>('[2]Renewable Diesel'!M243*'[2]RD Feedstock Breakdown'!AT$3*'[2]Feedstock Conversion Rates'!B$5)/12</f>
        <v>0</v>
      </c>
      <c r="AU234" s="47">
        <f t="shared" si="159"/>
        <v>456.25</v>
      </c>
      <c r="AV234" s="45">
        <f>'[2]Renewable Diesel'!N243*'[2]RD Feedstock Breakdown'!$AV$3*'[2]Feedstock Conversion Rates'!$B$4/12-15-10+25+25-22-40</f>
        <v>41.749999999999986</v>
      </c>
      <c r="AW234" s="45">
        <f>'[2]Renewable Diesel'!N243*'[2]RD Feedstock Breakdown'!$AW$3*'[2]Feedstock Conversion Rates'!$B$7/12+15+10-25-25+22+40</f>
        <v>78.400000000000006</v>
      </c>
      <c r="AX234" s="47">
        <f t="shared" si="109"/>
        <v>120.14999999999999</v>
      </c>
      <c r="AY234" s="45">
        <f>('[2]Renewable Diesel'!O243*'[2]RD Feedstock Breakdown'!AY$3*'[2]Feedstock Conversion Rates'!B$4)/12+32+2-135</f>
        <v>109.9375</v>
      </c>
      <c r="AZ234" s="45">
        <f>('[2]Renewable Diesel'!O243*'[2]RD Feedstock Breakdown'!AZ$3*'[2]Feedstock Conversion Rates'!B$3)/12-32-2+135</f>
        <v>126.03125</v>
      </c>
      <c r="BA234" s="47">
        <f t="shared" si="173"/>
        <v>235.96875</v>
      </c>
      <c r="BB234" s="45">
        <f>('[2]Renewable Diesel'!Q243*'[2]RD Feedstock Breakdown'!BB$3*'[2]Feedstock Conversion Rates'!B$4)/12-10</f>
        <v>1.1562499999999982</v>
      </c>
      <c r="BC234" s="45">
        <f>('[2]Renewable Diesel'!Q243*'[2]RD Feedstock Breakdown'!BC$3*'[2]Feedstock Conversion Rates'!B$3)/12+10</f>
        <v>11.40175</v>
      </c>
      <c r="BD234" s="45">
        <f>('[2]Renewable Diesel'!Q243*'[2]RD Feedstock Breakdown'!BD$3*'[2]Feedstock Conversion Rates'!B$6)/12</f>
        <v>0.8207500000000002</v>
      </c>
      <c r="BE234" s="47">
        <f t="shared" si="151"/>
        <v>13.378749999999998</v>
      </c>
      <c r="BF234" s="45">
        <f>('[2]Renewable Diesel'!R243*'[2]RD Feedstock Breakdown'!BF$3*'[2]Feedstock Conversion Rates'!B$4)/12</f>
        <v>62.5</v>
      </c>
      <c r="BG234" s="47">
        <f t="shared" si="129"/>
        <v>62.5</v>
      </c>
      <c r="BH234" s="45">
        <f>('[2]Renewable Diesel'!T243*'[2]RD Feedstock Breakdown'!BH$3*'[2]Feedstock Conversion Rates'!B$7)/12</f>
        <v>27.599999999999998</v>
      </c>
      <c r="BI234" s="47">
        <f t="shared" si="112"/>
        <v>27.599999999999998</v>
      </c>
      <c r="BJ234" s="45">
        <f>('[2]Renewable Diesel'!W243*'[2]RD Feedstock Breakdown'!BJ$3*'[2]Feedstock Conversion Rates'!B$4)/12</f>
        <v>7.5</v>
      </c>
      <c r="BK234" s="45">
        <f>('[2]Renewable Diesel'!W243*'[2]RD Feedstock Breakdown'!BK$3*'[2]Feedstock Conversion Rates'!B$3)/12</f>
        <v>1.335</v>
      </c>
      <c r="BL234" s="45">
        <f>('[2]Renewable Diesel'!W243*'[2]RD Feedstock Breakdown'!BL$3*'[2]Feedstock Conversion Rates'!B$6)/12</f>
        <v>3.1266666666666669</v>
      </c>
      <c r="BM234" s="45">
        <f>('[2]Renewable Diesel'!W243*'[2]RD Feedstock Breakdown'!BM$3*'[2]Feedstock Conversion Rates'!B$7)/12</f>
        <v>1.5333333333333332</v>
      </c>
      <c r="BN234" s="47">
        <f t="shared" si="168"/>
        <v>13.495000000000001</v>
      </c>
      <c r="BO234" s="45">
        <f>('[2]Renewable Diesel'!P243*'[2]Feedstock Conversion Rates'!B$4)/12</f>
        <v>31.25</v>
      </c>
      <c r="BP234" s="47">
        <f t="shared" si="157"/>
        <v>31.25</v>
      </c>
      <c r="BQ234" s="45">
        <f>('[2]Renewable Diesel'!$S243*'[2]RD Feedstock Breakdown'!BQ$3*'[2]Feedstock Conversion Rates'!B$4)/12+10</f>
        <v>38.125</v>
      </c>
      <c r="BR234" s="45">
        <f>('[2]Renewable Diesel'!$S243*'[2]RD Feedstock Breakdown'!BR$3*'[2]Feedstock Conversion Rates'!B$7)/12-10</f>
        <v>1.5</v>
      </c>
      <c r="BS234" s="47">
        <f t="shared" si="174"/>
        <v>39.625</v>
      </c>
      <c r="BT234" s="47"/>
      <c r="BU234" s="45">
        <f>('[2]Renewable Diesel'!Y243*'[2]Feedstock Conversion Rates'!B$7)/12</f>
        <v>2.6833333333333331</v>
      </c>
      <c r="BV234" s="47">
        <f t="shared" si="153"/>
        <v>2.6833333333333331</v>
      </c>
      <c r="BW234" s="45">
        <f>('[2]Renewable Diesel'!$Z243*'[2]RD Feedstock Breakdown'!BW$3*'[2]Feedstock Conversion Rates'!$B$4)/12</f>
        <v>53.90625</v>
      </c>
      <c r="BX234" s="45">
        <f>('[2]Renewable Diesel'!$Z243*'[2]RD Feedstock Breakdown'!BX$3*'[2]Feedstock Conversion Rates'!$B$5)/12</f>
        <v>5.4265624999999993</v>
      </c>
      <c r="BY234" s="45">
        <f>('[2]Renewable Diesel'!$Z243*'[2]RD Feedstock Breakdown'!BY$3*'[2]Feedstock Conversion Rates'!$B$7)/12</f>
        <v>46.287499999999994</v>
      </c>
      <c r="BZ234" s="45">
        <f>('[2]Renewable Diesel'!$Z243*'[2]RD Feedstock Breakdown'!BZ$3*'[2]Feedstock Conversion Rates'!$B$3)/12</f>
        <v>11.514374999999999</v>
      </c>
      <c r="CA234" s="47">
        <f t="shared" si="181"/>
        <v>117.1346875</v>
      </c>
      <c r="CB234" s="45">
        <f>('[2]Renewable Diesel'!AA243*'[2]Feedstock Conversion Rates'!B$4)/12</f>
        <v>191.25</v>
      </c>
      <c r="CC234" s="47">
        <f t="shared" si="171"/>
        <v>191.25</v>
      </c>
      <c r="CD234" s="45">
        <f>('[2]Renewable Diesel'!$AB243*'[2]RD Feedstock Breakdown'!CD$3*'[2]Feedstock Conversion Rates'!$B$6)/12-15</f>
        <v>17.830000000000005</v>
      </c>
      <c r="CE234" s="45">
        <f>('[2]Renewable Diesel'!$AB243*'[2]RD Feedstock Breakdown'!CE$3*'[2]Feedstock Conversion Rates'!$B$4)/12+15</f>
        <v>26.25</v>
      </c>
      <c r="CF234" s="47">
        <f t="shared" si="161"/>
        <v>44.080000000000005</v>
      </c>
      <c r="CG234" s="45">
        <f>('[2]Renewable Diesel'!AD243*'[2]Feedstock Conversion Rates'!B$4)/12</f>
        <v>112.5</v>
      </c>
      <c r="CH234" s="47">
        <f t="shared" si="149"/>
        <v>112.5</v>
      </c>
      <c r="CI234" s="45">
        <f>('[2]Renewable Diesel'!$AE243*'[2]RD Feedstock Breakdown'!CI$3*'[2]Feedstock Conversion Rates'!$B$5)/12</f>
        <v>0.34604166666666664</v>
      </c>
      <c r="CJ234" s="45">
        <f>('[2]Renewable Diesel'!$AE243*'[2]RD Feedstock Breakdown'!CJ$3*'[2]Feedstock Conversion Rates'!$B$4)/12</f>
        <v>0.34375</v>
      </c>
      <c r="CK234" s="47">
        <f t="shared" si="158"/>
        <v>0.68979166666666658</v>
      </c>
      <c r="CL234" s="45">
        <f>(((CL$3*'[2]Renewable Diesel'!$AF243)*'[2]Feedstock Conversion Rates'!$B$3)/12)</f>
        <v>91.78125</v>
      </c>
      <c r="CM234" s="45">
        <f>(((CM$3*'[2]Renewable Diesel'!$AF243)*'[2]Feedstock Conversion Rates'!$B$6)/12)</f>
        <v>53.739583333333336</v>
      </c>
      <c r="CN234" s="45">
        <f>(((CN$3*'[2]Renewable Diesel'!$AF243)*'[2]Feedstock Conversion Rates'!$B$4)/12)</f>
        <v>42.96875</v>
      </c>
      <c r="CO234" s="47">
        <f t="shared" si="152"/>
        <v>188.48958333333334</v>
      </c>
      <c r="CP234" s="45">
        <f>('[2]Renewable Diesel'!$AG243*'[2]RD Feedstock Breakdown'!CP$3*'[2]Feedstock Conversion Rates'!$B$3)/12</f>
        <v>6.0075000000000003</v>
      </c>
      <c r="CQ234" s="45">
        <f>('[2]Renewable Diesel'!$AG243*'[2]RD Feedstock Breakdown'!CQ$3*'[2]Feedstock Conversion Rates'!$B$6)/12</f>
        <v>3.5175000000000001</v>
      </c>
      <c r="CR234" s="45">
        <f>('[2]Renewable Diesel'!$AG243*'[2]RD Feedstock Breakdown'!CR$3*'[2]Feedstock Conversion Rates'!$B$4)/12</f>
        <v>2.8125</v>
      </c>
      <c r="CS234" s="47">
        <f t="shared" si="99"/>
        <v>12.3375</v>
      </c>
      <c r="CT234" s="45">
        <f>('[2]Renewable Diesel'!AI243*'[2]Feedstock Conversion Rates'!$B$4*'[2]RD Feedstock Breakdown'!$CT$3)/12</f>
        <v>29.375</v>
      </c>
      <c r="CU234" s="47">
        <f t="shared" si="154"/>
        <v>29.375</v>
      </c>
      <c r="CV234" s="45">
        <f>('[2]Renewable Diesel'!AN243*'[2]Feedstock Conversion Rates'!$B$3*'[2]RD Feedstock Breakdown'!$CV$3)/12</f>
        <v>0.50062499999999999</v>
      </c>
      <c r="CW234" s="47">
        <f t="shared" si="124"/>
        <v>0.50062499999999999</v>
      </c>
      <c r="CX234" s="45">
        <f>('[2]Renewable Diesel'!AO243*'[2]RD Feedstock Breakdown'!$CX$3*'[2]Feedstock Conversion Rates'!$B$3)/12</f>
        <v>6.3412499999999996</v>
      </c>
      <c r="CY234" s="45">
        <f>('[2]Renewable Diesel'!AO243*'[2]RD Feedstock Breakdown'!$CY$3*'[2]Feedstock Conversion Rates'!$B$6)/12</f>
        <v>7.4258333333333342</v>
      </c>
      <c r="CZ234" s="47">
        <f t="shared" si="100"/>
        <v>13.767083333333334</v>
      </c>
      <c r="DA234" s="45">
        <f>('[2]Renewable Diesel'!$AP243*'[2]RD Feedstock Breakdown'!DA$3*'[2]Feedstock Conversion Rates'!$B$3)/12</f>
        <v>6.3412499999999996</v>
      </c>
      <c r="DB234" s="45">
        <f>('[2]Renewable Diesel'!$AP243*'[2]RD Feedstock Breakdown'!DB$3*'[2]Feedstock Conversion Rates'!$B$8)/12</f>
        <v>7.421875</v>
      </c>
      <c r="DC234" s="47">
        <f t="shared" si="127"/>
        <v>13.763124999999999</v>
      </c>
      <c r="DD234" s="45">
        <f>('[2]Renewable Diesel'!AQ243*$DD$3*'[2]Feedstock Conversion Rates'!$B$14)/12</f>
        <v>3.1041666666666665</v>
      </c>
      <c r="DE234" s="47">
        <f t="shared" si="128"/>
        <v>3.1041666666666665</v>
      </c>
      <c r="DF234" s="45">
        <f>('[2]Renewable Diesel'!AR243*'[2]Feedstock Conversion Rates'!$B$4*$DF$3)/12</f>
        <v>75</v>
      </c>
      <c r="DG234" s="47">
        <f t="shared" si="101"/>
        <v>75</v>
      </c>
      <c r="DH234" s="45">
        <f>('[2]Renewable Diesel'!AS243*'[2]Feedstock Conversion Rates'!$B$4*$DH$3)/12</f>
        <v>75</v>
      </c>
      <c r="DI234" s="47">
        <f t="shared" si="110"/>
        <v>75</v>
      </c>
      <c r="DJ234" s="45">
        <f>('[2]Renewable Diesel'!AT243*'[2]Feedstock Conversion Rates'!$B$4*0.25)/12</f>
        <v>8.59375</v>
      </c>
      <c r="DK234" s="45">
        <f>('[2]Renewable Diesel'!$AT243*'[2]RD Feedstock Breakdown'!DK$3*'[2]Feedstock Conversion Rates'!$B$3)/12*0.5</f>
        <v>9.1781249999999996</v>
      </c>
      <c r="DL234" s="45">
        <f>('[2]Renewable Diesel'!$AT243*'[2]RD Feedstock Breakdown'!$DL$3*'[2]Feedstock Conversion Rates'!$B$6)/12</f>
        <v>10.747916666666669</v>
      </c>
      <c r="DM234" s="45">
        <f>('[2]Renewable Diesel'!$AT243*'[2]RD Feedstock Breakdown'!$DM$3*'[2]Feedstock Conversion Rates'!$B$8)/12</f>
        <v>10.7421875</v>
      </c>
      <c r="DN234" s="47">
        <f t="shared" si="169"/>
        <v>39.26197916666667</v>
      </c>
      <c r="DP234" s="45">
        <f t="shared" si="130"/>
        <v>116.72025000000001</v>
      </c>
      <c r="DQ234" s="45">
        <f t="shared" si="131"/>
        <v>604.27964249999991</v>
      </c>
      <c r="DR234" s="45">
        <f t="shared" si="136"/>
        <v>1927.984375</v>
      </c>
      <c r="DS234" s="45">
        <f t="shared" si="155"/>
        <v>96.592395833333342</v>
      </c>
      <c r="DT234" s="45">
        <f t="shared" si="132"/>
        <v>240.53923333333344</v>
      </c>
      <c r="DU234" s="45">
        <f t="shared" si="133"/>
        <v>219.97693333333333</v>
      </c>
      <c r="DV234" s="45">
        <f t="shared" si="137"/>
        <v>7.5</v>
      </c>
      <c r="DW234" s="45">
        <f t="shared" si="134"/>
        <v>3</v>
      </c>
      <c r="DX234" s="47">
        <f t="shared" si="138"/>
        <v>3216.59283</v>
      </c>
      <c r="DY234" s="50">
        <f t="shared" si="126"/>
        <v>-135.00000000000014</v>
      </c>
      <c r="EA234" s="51">
        <f t="shared" si="117"/>
        <v>3.6286921027552002E-2</v>
      </c>
      <c r="EB234" s="51">
        <f t="shared" si="117"/>
        <v>0.18786326850700588</v>
      </c>
      <c r="EC234" s="51">
        <f t="shared" si="117"/>
        <v>0.59938713940365274</v>
      </c>
      <c r="ED234" s="51">
        <f t="shared" si="114"/>
        <v>3.0029413400555687E-2</v>
      </c>
      <c r="EE234" s="51">
        <f t="shared" si="114"/>
        <v>7.4780752817052515E-2</v>
      </c>
      <c r="EF234" s="51">
        <f t="shared" si="114"/>
        <v>6.8388181208913948E-2</v>
      </c>
      <c r="EG234" s="51">
        <f t="shared" si="114"/>
        <v>2.3316597394765692E-3</v>
      </c>
      <c r="EH234" s="52">
        <f t="shared" si="139"/>
        <v>9.3266389579062757E-4</v>
      </c>
      <c r="EI234" s="51">
        <f t="shared" si="140"/>
        <v>0.99906733610420939</v>
      </c>
      <c r="EK234" s="53">
        <f>(EA234*'[2]Renewable Diesel'!BF243*'[2]Feedstock Conversion Rates'!B$2)+FB234</f>
        <v>107.74179984006204</v>
      </c>
      <c r="EL234" s="53">
        <f>(EB234*'[2]Renewable Diesel'!BF243*'[2]Feedstock Conversion Rates'!B$3)+FC234</f>
        <v>525.64140939823369</v>
      </c>
      <c r="EM234" s="53">
        <f>(EC234*'[2]Renewable Diesel'!BF243*'[2]Feedstock Conversion Rates'!B$4)+FD234</f>
        <v>1570.3044619583786</v>
      </c>
      <c r="EN234" s="53">
        <f>(ED234*'[2]Renewable Diesel'!BF243*'[2]Feedstock Conversion Rates'!B$5)+FE234</f>
        <v>79.19704568981382</v>
      </c>
      <c r="EO234" s="53">
        <f>(EE234*'[2]Renewable Diesel'!BF243*'[2]Feedstock Conversion Rates'!B$6)+FF234</f>
        <v>245.02356376469388</v>
      </c>
      <c r="EP234" s="53">
        <f>(EF234*'[2]Renewable Diesel'!BF243*'[2]Feedstock Conversion Rates'!B$7)+FG234</f>
        <v>219.77792162411677</v>
      </c>
      <c r="EQ234" s="53">
        <f>(EG234*'[2]Renewable Diesel'!BF243*'[2]Feedstock Conversion Rates'!B$8)+FH234</f>
        <v>7.63574877564026</v>
      </c>
      <c r="ER234" s="53">
        <f>(EH234*'[2]Renewable Diesel'!BF243*'[2]Feedstock Conversion Rates'!B$9)+FI234</f>
        <v>3.0135755167860223</v>
      </c>
      <c r="ES234" s="53">
        <f t="shared" si="141"/>
        <v>2758.3355265677255</v>
      </c>
      <c r="ET234" s="36">
        <f>ES234/'[2]Renewable Diesel'!BF243</f>
        <v>7.8964504058165179</v>
      </c>
    </row>
    <row r="235" spans="1:150" x14ac:dyDescent="0.25">
      <c r="A235" s="39">
        <v>47574</v>
      </c>
      <c r="B235" s="45">
        <f t="shared" si="175"/>
        <v>3</v>
      </c>
      <c r="C235" s="45">
        <f t="shared" si="176"/>
        <v>55</v>
      </c>
      <c r="D235" s="45">
        <f t="shared" si="177"/>
        <v>2</v>
      </c>
      <c r="E235" s="45">
        <f>('[2]Renewable Diesel'!B244*E$3*'[2]Feedstock Conversion Rates'!$B$2)/12-57.5+8+12.5+52.5-76+18+23+45+50-5-24-2.5-10+23-47+6-0.5</f>
        <v>105.43</v>
      </c>
      <c r="F235" s="45">
        <f>('[2]Renewable Diesel'!B244*'[2]RD Feedstock Breakdown'!F$3*'[2]Feedstock Conversion Rates'!B$8)/12-5-4-2.25+5+19-52+5+17+9+2-33+8.5-15</f>
        <v>8.15625</v>
      </c>
      <c r="G235" s="45">
        <f>('[2]Renewable Diesel'!B244*'[2]RD Feedstock Breakdown'!G$3*'[2]Feedstock Conversion Rates'!B$7)/12-72.5+5.25-57.5-31+32+70-30+10-45-25-7.5+5-10+5</f>
        <v>24.907000000000011</v>
      </c>
      <c r="H235" s="45">
        <f>('[2]Renewable Diesel'!B244*'[2]RD Feedstock Breakdown'!H$3*'[2]Feedstock Conversion Rates'!B$3)/12-105+15+129-182+15-4+51+50-5-30-5+185+7</f>
        <v>297.40022499999998</v>
      </c>
      <c r="I235" s="47">
        <f t="shared" si="160"/>
        <v>495.89347499999997</v>
      </c>
      <c r="J235" s="45">
        <f t="shared" si="178"/>
        <v>45.75</v>
      </c>
      <c r="K235" s="45"/>
      <c r="L235" s="45">
        <v>1</v>
      </c>
      <c r="M235" s="45">
        <f>('[2]Renewable Diesel'!C244*'[2]RD Feedstock Breakdown'!M$3*'[2]Feedstock Conversion Rates'!B$2)/12-18.5+2-38+5+3-1+25+26</f>
        <v>11.29025</v>
      </c>
      <c r="N235" s="45">
        <f>('[2]Renewable Diesel'!C244*'[2]RD Feedstock Breakdown'!N$3*'[2]Feedstock Conversion Rates'!B$8)/12-2.5+36-47.5+6.25+4+10-2.5-20-15</f>
        <v>-27.578125</v>
      </c>
      <c r="O235" s="45">
        <f>('[2]Renewable Diesel'!C244*'[2]RD Feedstock Breakdown'!O$3*'[2]Feedstock Conversion Rates'!B$7)/12-30-60-19+29+20-20+45-20+10</f>
        <v>-33.000900000000001</v>
      </c>
      <c r="P235" s="45">
        <f>('[2]Renewable Diesel'!C244*'[2]RD Feedstock Breakdown'!P$3*'[2]Feedstock Conversion Rates'!B$3)/12-12+25-97+35+25+50+20-100+75+5</f>
        <v>36.447042500000009</v>
      </c>
      <c r="Q235" s="47">
        <f t="shared" si="172"/>
        <v>33.908267500000008</v>
      </c>
      <c r="R235" s="45">
        <f>('[2]Renewable Diesel'!D244*'[2]RD Feedstock Breakdown'!R$3*'[2]Feedstock Conversion Rates'!B$7)/12</f>
        <v>2.2999999999999998</v>
      </c>
      <c r="S235" s="47">
        <f t="shared" si="116"/>
        <v>2.2999999999999998</v>
      </c>
      <c r="T235" s="45">
        <f t="shared" si="179"/>
        <v>5.8250000000000028</v>
      </c>
      <c r="U235" s="45">
        <v>30</v>
      </c>
      <c r="V235" s="45">
        <f>('[2]Renewable Diesel'!E244*'[2]RD Feedstock Breakdown'!V$3*'[2]Feedstock Conversion Rates'!B$6)/12-20+25-35</f>
        <v>14.250150000000012</v>
      </c>
      <c r="W235" s="45">
        <f>('[2]Renewable Diesel'!E244*'[2]RD Feedstock Breakdown'!W$3*'[2]Feedstock Conversion Rates'!B$8)/12-6</f>
        <v>16.1796875</v>
      </c>
      <c r="X235" s="47">
        <f t="shared" si="147"/>
        <v>66.254837500000008</v>
      </c>
      <c r="Y235" s="45">
        <f t="shared" si="180"/>
        <v>126.5</v>
      </c>
      <c r="Z235" s="45">
        <f>('[2]Renewable Diesel'!F244*'[2]RD Feedstock Breakdown'!Z$3*'[2]Feedstock Conversion Rates'!B$6)/12-50-32-60+15+15+50-75+65-6-30+9+2+7</f>
        <v>69.460000000000008</v>
      </c>
      <c r="AA235" s="45">
        <f>('[2]Renewable Diesel'!F244*'[2]RD Feedstock Breakdown'!AA$3*'[2]Feedstock Conversion Rates'!B$7)/12+80-171+75+30+5-52.5-3</f>
        <v>67.766666666666652</v>
      </c>
      <c r="AB235" s="47">
        <f t="shared" si="102"/>
        <v>263.72666666666669</v>
      </c>
      <c r="AC235" s="45">
        <f>('[2]Renewable Diesel'!G244*'[2]RD Feedstock Breakdown'!AC$3*'[2]Feedstock Conversion Rates'!B$5)/12</f>
        <v>11.796875</v>
      </c>
      <c r="AD235" s="45">
        <f>('[2]Renewable Diesel'!G244*'[2]RD Feedstock Breakdown'!AD$3*'[2]Feedstock Conversion Rates'!B$4)/12</f>
        <v>5.859375</v>
      </c>
      <c r="AE235" s="45">
        <f>('[2]Renewable Diesel'!G244*'[2]RD Feedstock Breakdown'!AE$3*'[2]Feedstock Conversion Rates'!B$6)/12</f>
        <v>7.3281250000000009</v>
      </c>
      <c r="AF235" s="47">
        <f t="shared" si="156"/>
        <v>24.984375</v>
      </c>
      <c r="AG235" s="45">
        <f t="shared" si="182"/>
        <v>6.5</v>
      </c>
      <c r="AH235" s="45">
        <v>135</v>
      </c>
      <c r="AI235" s="45">
        <f>('[2]Renewable Diesel'!H244*'[2]RD Feedstock Breakdown'!AI$3*'[2]Feedstock Conversion Rates'!B$6)/12-130-20+51-120+105-42.5+20-5</f>
        <v>7.0166666666666799</v>
      </c>
      <c r="AJ235" s="47">
        <f t="shared" si="113"/>
        <v>13.51666666666668</v>
      </c>
      <c r="AK235" s="45">
        <f>('[2]Renewable Diesel'!J244*'[2]RD Feedstock Breakdown'!AK$3*'[2]Feedstock Conversion Rates'!B$4)/12</f>
        <v>95.8125</v>
      </c>
      <c r="AL235" s="47">
        <f t="shared" si="123"/>
        <v>95.8125</v>
      </c>
      <c r="AM235" s="45">
        <f>('[2]Renewable Diesel'!K244*'[2]RD Feedstock Breakdown'!AM$3*'[2]Feedstock Conversion Rates'!B$4)/12+5+15-10+9-27</f>
        <v>50.59375</v>
      </c>
      <c r="AN235" s="45">
        <f>('[2]Renewable Diesel'!K244*'[2]RD Feedstock Breakdown'!AN$3*'[2]Feedstock Conversion Rates'!B$6)/12-5-15+10-9+27</f>
        <v>32.427083333333329</v>
      </c>
      <c r="AO235" s="47">
        <f t="shared" si="135"/>
        <v>83.020833333333329</v>
      </c>
      <c r="AP235" s="45">
        <f>('[2]Renewable Diesel'!L244*'[2]RD Feedstock Breakdown'!AP$3*'[2]Feedstock Conversion Rates'!B$4)/12+15-10+14</f>
        <v>77.59375</v>
      </c>
      <c r="AQ235" s="45">
        <f>('[2]Renewable Diesel'!L244*'[2]RD Feedstock Breakdown'!AQ$3*'[2]Feedstock Conversion Rates'!B$6)/12-15+10-14</f>
        <v>5.4270833333333321</v>
      </c>
      <c r="AR235" s="47">
        <f t="shared" si="125"/>
        <v>83.020833333333329</v>
      </c>
      <c r="AS235" s="45">
        <f>('[2]Renewable Diesel'!M244*'[2]RD Feedstock Breakdown'!AS$3*'[2]Feedstock Conversion Rates'!B$4)/12</f>
        <v>456.25</v>
      </c>
      <c r="AT235" s="45">
        <f>('[2]Renewable Diesel'!M244*'[2]RD Feedstock Breakdown'!AT$3*'[2]Feedstock Conversion Rates'!B$5)/12</f>
        <v>0</v>
      </c>
      <c r="AU235" s="47">
        <f t="shared" si="159"/>
        <v>456.25</v>
      </c>
      <c r="AV235" s="45">
        <f>'[2]Renewable Diesel'!N244*'[2]RD Feedstock Breakdown'!$AV$3*'[2]Feedstock Conversion Rates'!$B$4/12-15-10+25+25-22-40</f>
        <v>41.749999999999986</v>
      </c>
      <c r="AW235" s="45">
        <f>'[2]Renewable Diesel'!N244*'[2]RD Feedstock Breakdown'!$AW$3*'[2]Feedstock Conversion Rates'!$B$7/12+15+10-25-25+22+40</f>
        <v>78.400000000000006</v>
      </c>
      <c r="AX235" s="47">
        <f t="shared" si="109"/>
        <v>120.14999999999999</v>
      </c>
      <c r="AY235" s="45">
        <f>('[2]Renewable Diesel'!O244*'[2]RD Feedstock Breakdown'!AY$3*'[2]Feedstock Conversion Rates'!B$4)/12+32+2-135</f>
        <v>109.9375</v>
      </c>
      <c r="AZ235" s="45">
        <f>('[2]Renewable Diesel'!O244*'[2]RD Feedstock Breakdown'!AZ$3*'[2]Feedstock Conversion Rates'!B$3)/12-32-2+135</f>
        <v>126.03125</v>
      </c>
      <c r="BA235" s="47">
        <f t="shared" si="173"/>
        <v>235.96875</v>
      </c>
      <c r="BB235" s="45">
        <f>('[2]Renewable Diesel'!Q244*'[2]RD Feedstock Breakdown'!BB$3*'[2]Feedstock Conversion Rates'!B$4)/12-10</f>
        <v>1.1562499999999982</v>
      </c>
      <c r="BC235" s="45">
        <f>('[2]Renewable Diesel'!Q244*'[2]RD Feedstock Breakdown'!BC$3*'[2]Feedstock Conversion Rates'!B$3)/12+10</f>
        <v>11.40175</v>
      </c>
      <c r="BD235" s="45">
        <f>('[2]Renewable Diesel'!Q244*'[2]RD Feedstock Breakdown'!BD$3*'[2]Feedstock Conversion Rates'!B$6)/12</f>
        <v>0.8207500000000002</v>
      </c>
      <c r="BE235" s="47">
        <f t="shared" si="151"/>
        <v>13.378749999999998</v>
      </c>
      <c r="BF235" s="45">
        <f>('[2]Renewable Diesel'!R244*'[2]RD Feedstock Breakdown'!BF$3*'[2]Feedstock Conversion Rates'!B$4)/12</f>
        <v>62.5</v>
      </c>
      <c r="BG235" s="47">
        <f t="shared" si="129"/>
        <v>62.5</v>
      </c>
      <c r="BH235" s="45">
        <f>('[2]Renewable Diesel'!T244*'[2]RD Feedstock Breakdown'!BH$3*'[2]Feedstock Conversion Rates'!B$7)/12</f>
        <v>27.599999999999998</v>
      </c>
      <c r="BI235" s="47">
        <f t="shared" si="112"/>
        <v>27.599999999999998</v>
      </c>
      <c r="BJ235" s="45">
        <f>('[2]Renewable Diesel'!W244*'[2]RD Feedstock Breakdown'!BJ$3*'[2]Feedstock Conversion Rates'!B$4)/12</f>
        <v>7.5</v>
      </c>
      <c r="BK235" s="45">
        <f>('[2]Renewable Diesel'!W244*'[2]RD Feedstock Breakdown'!BK$3*'[2]Feedstock Conversion Rates'!B$3)/12</f>
        <v>1.335</v>
      </c>
      <c r="BL235" s="45">
        <f>('[2]Renewable Diesel'!W244*'[2]RD Feedstock Breakdown'!BL$3*'[2]Feedstock Conversion Rates'!B$6)/12</f>
        <v>3.1266666666666669</v>
      </c>
      <c r="BM235" s="45">
        <f>('[2]Renewable Diesel'!W244*'[2]RD Feedstock Breakdown'!BM$3*'[2]Feedstock Conversion Rates'!B$7)/12</f>
        <v>1.5333333333333332</v>
      </c>
      <c r="BN235" s="47">
        <f t="shared" si="168"/>
        <v>13.495000000000001</v>
      </c>
      <c r="BO235" s="45">
        <f>('[2]Renewable Diesel'!P244*'[2]Feedstock Conversion Rates'!B$4)/12</f>
        <v>31.25</v>
      </c>
      <c r="BP235" s="47">
        <f t="shared" si="157"/>
        <v>31.25</v>
      </c>
      <c r="BQ235" s="45">
        <f>('[2]Renewable Diesel'!$S244*'[2]RD Feedstock Breakdown'!BQ$3*'[2]Feedstock Conversion Rates'!B$4)/12+10</f>
        <v>38.125</v>
      </c>
      <c r="BR235" s="45">
        <f>('[2]Renewable Diesel'!$S244*'[2]RD Feedstock Breakdown'!BR$3*'[2]Feedstock Conversion Rates'!B$7)/12-10</f>
        <v>1.5</v>
      </c>
      <c r="BS235" s="47">
        <f t="shared" si="174"/>
        <v>39.625</v>
      </c>
      <c r="BT235" s="47"/>
      <c r="BU235" s="45">
        <f>('[2]Renewable Diesel'!Y244*'[2]Feedstock Conversion Rates'!B$7)/12</f>
        <v>2.6833333333333331</v>
      </c>
      <c r="BV235" s="47">
        <f t="shared" si="153"/>
        <v>2.6833333333333331</v>
      </c>
      <c r="BW235" s="45">
        <f>('[2]Renewable Diesel'!$Z244*'[2]RD Feedstock Breakdown'!BW$3*'[2]Feedstock Conversion Rates'!$B$4)/12</f>
        <v>53.90625</v>
      </c>
      <c r="BX235" s="45">
        <f>('[2]Renewable Diesel'!$Z244*'[2]RD Feedstock Breakdown'!BX$3*'[2]Feedstock Conversion Rates'!$B$5)/12</f>
        <v>5.4265624999999993</v>
      </c>
      <c r="BY235" s="45">
        <f>('[2]Renewable Diesel'!$Z244*'[2]RD Feedstock Breakdown'!BY$3*'[2]Feedstock Conversion Rates'!$B$7)/12</f>
        <v>46.287499999999994</v>
      </c>
      <c r="BZ235" s="45">
        <f>('[2]Renewable Diesel'!$Z244*'[2]RD Feedstock Breakdown'!BZ$3*'[2]Feedstock Conversion Rates'!$B$3)/12</f>
        <v>11.514374999999999</v>
      </c>
      <c r="CA235" s="47">
        <f t="shared" si="181"/>
        <v>117.1346875</v>
      </c>
      <c r="CB235" s="45">
        <f>('[2]Renewable Diesel'!AA244*'[2]Feedstock Conversion Rates'!B$4)/12</f>
        <v>191.25</v>
      </c>
      <c r="CC235" s="47">
        <f t="shared" si="171"/>
        <v>191.25</v>
      </c>
      <c r="CD235" s="45">
        <f>('[2]Renewable Diesel'!$AB244*'[2]RD Feedstock Breakdown'!CD$3*'[2]Feedstock Conversion Rates'!$B$6)/12-15</f>
        <v>17.830000000000005</v>
      </c>
      <c r="CE235" s="45">
        <f>('[2]Renewable Diesel'!$AB244*'[2]RD Feedstock Breakdown'!CE$3*'[2]Feedstock Conversion Rates'!$B$4)/12+15</f>
        <v>26.25</v>
      </c>
      <c r="CF235" s="47">
        <f t="shared" si="161"/>
        <v>44.080000000000005</v>
      </c>
      <c r="CG235" s="45">
        <f>('[2]Renewable Diesel'!AD244*'[2]Feedstock Conversion Rates'!B$4)/12</f>
        <v>112.5</v>
      </c>
      <c r="CH235" s="47">
        <f t="shared" si="149"/>
        <v>112.5</v>
      </c>
      <c r="CI235" s="45">
        <f>('[2]Renewable Diesel'!$AE244*'[2]RD Feedstock Breakdown'!CI$3*'[2]Feedstock Conversion Rates'!$B$5)/12</f>
        <v>0.34604166666666664</v>
      </c>
      <c r="CJ235" s="45">
        <f>('[2]Renewable Diesel'!$AE244*'[2]RD Feedstock Breakdown'!CJ$3*'[2]Feedstock Conversion Rates'!$B$4)/12</f>
        <v>0.34375</v>
      </c>
      <c r="CK235" s="47">
        <f t="shared" si="158"/>
        <v>0.68979166666666658</v>
      </c>
      <c r="CL235" s="45">
        <f>(((CL$3*'[2]Renewable Diesel'!$AF244)*'[2]Feedstock Conversion Rates'!$B$3)/12)</f>
        <v>91.78125</v>
      </c>
      <c r="CM235" s="45">
        <f>(((CM$3*'[2]Renewable Diesel'!$AF244)*'[2]Feedstock Conversion Rates'!$B$6)/12)</f>
        <v>53.739583333333336</v>
      </c>
      <c r="CN235" s="45">
        <f>(((CN$3*'[2]Renewable Diesel'!$AF244)*'[2]Feedstock Conversion Rates'!$B$4)/12)</f>
        <v>42.96875</v>
      </c>
      <c r="CO235" s="47">
        <f t="shared" si="152"/>
        <v>188.48958333333334</v>
      </c>
      <c r="CP235" s="45">
        <f>('[2]Renewable Diesel'!$AG244*'[2]RD Feedstock Breakdown'!CP$3*'[2]Feedstock Conversion Rates'!$B$3)/12</f>
        <v>6.0075000000000003</v>
      </c>
      <c r="CQ235" s="45">
        <f>('[2]Renewable Diesel'!$AG244*'[2]RD Feedstock Breakdown'!CQ$3*'[2]Feedstock Conversion Rates'!$B$6)/12</f>
        <v>3.5175000000000001</v>
      </c>
      <c r="CR235" s="45">
        <f>('[2]Renewable Diesel'!$AG244*'[2]RD Feedstock Breakdown'!CR$3*'[2]Feedstock Conversion Rates'!$B$4)/12</f>
        <v>2.8125</v>
      </c>
      <c r="CS235" s="47">
        <f t="shared" si="99"/>
        <v>12.3375</v>
      </c>
      <c r="CT235" s="45">
        <f>('[2]Renewable Diesel'!AI244*'[2]Feedstock Conversion Rates'!$B$4*'[2]RD Feedstock Breakdown'!$CT$3)/12</f>
        <v>29.375</v>
      </c>
      <c r="CU235" s="47">
        <f t="shared" si="154"/>
        <v>29.375</v>
      </c>
      <c r="CV235" s="45">
        <f>('[2]Renewable Diesel'!AN244*'[2]Feedstock Conversion Rates'!$B$3*'[2]RD Feedstock Breakdown'!$CV$3)/12</f>
        <v>0.50062499999999999</v>
      </c>
      <c r="CW235" s="47">
        <f t="shared" si="124"/>
        <v>0.50062499999999999</v>
      </c>
      <c r="CX235" s="45">
        <f>('[2]Renewable Diesel'!AO244*'[2]RD Feedstock Breakdown'!$CX$3*'[2]Feedstock Conversion Rates'!$B$3)/12</f>
        <v>6.3412499999999996</v>
      </c>
      <c r="CY235" s="45">
        <f>('[2]Renewable Diesel'!AO244*'[2]RD Feedstock Breakdown'!$CY$3*'[2]Feedstock Conversion Rates'!$B$6)/12</f>
        <v>7.4258333333333342</v>
      </c>
      <c r="CZ235" s="47">
        <f t="shared" si="100"/>
        <v>13.767083333333334</v>
      </c>
      <c r="DA235" s="45">
        <f>('[2]Renewable Diesel'!$AP244*'[2]RD Feedstock Breakdown'!DA$3*'[2]Feedstock Conversion Rates'!$B$3)/12</f>
        <v>6.3412499999999996</v>
      </c>
      <c r="DB235" s="45">
        <f>('[2]Renewable Diesel'!$AP244*'[2]RD Feedstock Breakdown'!DB$3*'[2]Feedstock Conversion Rates'!$B$8)/12</f>
        <v>7.421875</v>
      </c>
      <c r="DC235" s="47">
        <f t="shared" si="127"/>
        <v>13.763124999999999</v>
      </c>
      <c r="DD235" s="45">
        <f>('[2]Renewable Diesel'!AQ244*$DD$3*'[2]Feedstock Conversion Rates'!$B$14)/12</f>
        <v>3.1041666666666665</v>
      </c>
      <c r="DE235" s="47">
        <f t="shared" si="128"/>
        <v>3.1041666666666665</v>
      </c>
      <c r="DF235" s="45">
        <f>('[2]Renewable Diesel'!AR244*'[2]Feedstock Conversion Rates'!$B$4*$DF$3)/12</f>
        <v>75</v>
      </c>
      <c r="DG235" s="47">
        <f t="shared" si="101"/>
        <v>75</v>
      </c>
      <c r="DH235" s="45">
        <f>('[2]Renewable Diesel'!AS244*'[2]Feedstock Conversion Rates'!$B$4*$DH$3)/12</f>
        <v>75</v>
      </c>
      <c r="DI235" s="47">
        <f t="shared" si="110"/>
        <v>75</v>
      </c>
      <c r="DJ235" s="45">
        <f>('[2]Renewable Diesel'!AT244*'[2]Feedstock Conversion Rates'!$B$4*0.25)/12</f>
        <v>8.59375</v>
      </c>
      <c r="DK235" s="45">
        <f>('[2]Renewable Diesel'!$AT244*'[2]RD Feedstock Breakdown'!DK$3*'[2]Feedstock Conversion Rates'!$B$3)/12*0.5</f>
        <v>9.1781249999999996</v>
      </c>
      <c r="DL235" s="45">
        <f>('[2]Renewable Diesel'!$AT244*'[2]RD Feedstock Breakdown'!$DL$3*'[2]Feedstock Conversion Rates'!$B$6)/12</f>
        <v>10.747916666666669</v>
      </c>
      <c r="DM235" s="45">
        <f>('[2]Renewable Diesel'!$AT244*'[2]RD Feedstock Breakdown'!$DM$3*'[2]Feedstock Conversion Rates'!$B$8)/12</f>
        <v>10.7421875</v>
      </c>
      <c r="DN235" s="47">
        <f t="shared" si="169"/>
        <v>39.26197916666667</v>
      </c>
      <c r="DP235" s="45">
        <f t="shared" si="130"/>
        <v>116.72025000000001</v>
      </c>
      <c r="DQ235" s="45">
        <f t="shared" si="131"/>
        <v>604.27964249999991</v>
      </c>
      <c r="DR235" s="45">
        <f t="shared" si="136"/>
        <v>1927.984375</v>
      </c>
      <c r="DS235" s="45">
        <f t="shared" si="155"/>
        <v>96.592395833333342</v>
      </c>
      <c r="DT235" s="45">
        <f t="shared" si="132"/>
        <v>240.53923333333344</v>
      </c>
      <c r="DU235" s="45">
        <f t="shared" si="133"/>
        <v>219.97693333333333</v>
      </c>
      <c r="DV235" s="45">
        <f t="shared" si="137"/>
        <v>7.5</v>
      </c>
      <c r="DW235" s="45">
        <f t="shared" si="134"/>
        <v>3</v>
      </c>
      <c r="DX235" s="47">
        <f t="shared" si="138"/>
        <v>3216.59283</v>
      </c>
      <c r="DY235" s="50">
        <f t="shared" si="126"/>
        <v>-135.00000000000014</v>
      </c>
      <c r="EA235" s="51">
        <f t="shared" si="117"/>
        <v>3.6286921027552002E-2</v>
      </c>
      <c r="EB235" s="51">
        <f t="shared" si="117"/>
        <v>0.18786326850700588</v>
      </c>
      <c r="EC235" s="51">
        <f t="shared" si="117"/>
        <v>0.59938713940365274</v>
      </c>
      <c r="ED235" s="51">
        <f t="shared" si="114"/>
        <v>3.0029413400555687E-2</v>
      </c>
      <c r="EE235" s="51">
        <f t="shared" si="114"/>
        <v>7.4780752817052515E-2</v>
      </c>
      <c r="EF235" s="51">
        <f t="shared" si="114"/>
        <v>6.8388181208913948E-2</v>
      </c>
      <c r="EG235" s="51">
        <f t="shared" si="114"/>
        <v>2.3316597394765692E-3</v>
      </c>
      <c r="EH235" s="52">
        <f t="shared" si="139"/>
        <v>9.3266389579062757E-4</v>
      </c>
      <c r="EI235" s="51">
        <f t="shared" si="140"/>
        <v>0.99906733610420939</v>
      </c>
      <c r="EK235" s="53">
        <f>(EA235*'[2]Renewable Diesel'!BF244*'[2]Feedstock Conversion Rates'!B$2)+FB235</f>
        <v>128.2374325192244</v>
      </c>
      <c r="EL235" s="53">
        <f>(EB235*'[2]Renewable Diesel'!BF244*'[2]Feedstock Conversion Rates'!B$3)+FC235</f>
        <v>625.63373609015775</v>
      </c>
      <c r="EM235" s="53">
        <f>(EC235*'[2]Renewable Diesel'!BF244*'[2]Feedstock Conversion Rates'!B$4)+FD235</f>
        <v>1869.0221694268346</v>
      </c>
      <c r="EN235" s="53">
        <f>(ED235*'[2]Renewable Diesel'!BF244*'[2]Feedstock Conversion Rates'!B$5)+FE235</f>
        <v>94.262633605950569</v>
      </c>
      <c r="EO235" s="53">
        <f>(EE235*'[2]Renewable Diesel'!BF244*'[2]Feedstock Conversion Rates'!B$6)+FF235</f>
        <v>291.634191841404</v>
      </c>
      <c r="EP235" s="53">
        <f>(EF235*'[2]Renewable Diesel'!BF244*'[2]Feedstock Conversion Rates'!B$7)+FG235</f>
        <v>261.58609226247944</v>
      </c>
      <c r="EQ235" s="53">
        <f>(EG235*'[2]Renewable Diesel'!BF244*'[2]Feedstock Conversion Rates'!B$8)+FH235</f>
        <v>9.0882908936316333</v>
      </c>
      <c r="ER235" s="53">
        <f>(EH235*'[2]Renewable Diesel'!BF244*'[2]Feedstock Conversion Rates'!B$9)+FI235</f>
        <v>3.5868454726866177</v>
      </c>
      <c r="ES235" s="53">
        <f t="shared" si="141"/>
        <v>3283.0513921123688</v>
      </c>
      <c r="ET235" s="36">
        <f>ES235/'[2]Renewable Diesel'!BF244</f>
        <v>7.8964504058165161</v>
      </c>
    </row>
    <row r="236" spans="1:150" x14ac:dyDescent="0.25">
      <c r="A236" s="39">
        <v>47604</v>
      </c>
      <c r="B236" s="45">
        <f t="shared" si="175"/>
        <v>3</v>
      </c>
      <c r="C236" s="45">
        <f t="shared" si="176"/>
        <v>55</v>
      </c>
      <c r="D236" s="45">
        <f t="shared" si="177"/>
        <v>2</v>
      </c>
      <c r="E236" s="45">
        <f>('[2]Renewable Diesel'!B245*E$3*'[2]Feedstock Conversion Rates'!$B$2)/12-57.5+8+12.5+52.5-76+18+23+45+50-5-24-2.5-10+23-47+6-0.5</f>
        <v>105.43</v>
      </c>
      <c r="F236" s="45">
        <f>('[2]Renewable Diesel'!B245*'[2]RD Feedstock Breakdown'!F$3*'[2]Feedstock Conversion Rates'!B$8)/12-5-4-2.25+5+19-52+5+17+9+2-33+8.5-15</f>
        <v>8.15625</v>
      </c>
      <c r="G236" s="45">
        <f>('[2]Renewable Diesel'!B245*'[2]RD Feedstock Breakdown'!G$3*'[2]Feedstock Conversion Rates'!B$7)/12-72.5+5.25-57.5-31+32+70-30+10-45-25-7.5+5-10+5</f>
        <v>24.907000000000011</v>
      </c>
      <c r="H236" s="45">
        <f>('[2]Renewable Diesel'!B245*'[2]RD Feedstock Breakdown'!H$3*'[2]Feedstock Conversion Rates'!B$3)/12-105+15+129-182+15-4+51+50-5-30-5+185+7</f>
        <v>297.40022499999998</v>
      </c>
      <c r="I236" s="47">
        <f t="shared" si="160"/>
        <v>495.89347499999997</v>
      </c>
      <c r="J236" s="45">
        <f t="shared" si="178"/>
        <v>45.75</v>
      </c>
      <c r="K236" s="45"/>
      <c r="L236" s="45">
        <v>1</v>
      </c>
      <c r="M236" s="45">
        <f>('[2]Renewable Diesel'!C245*'[2]RD Feedstock Breakdown'!M$3*'[2]Feedstock Conversion Rates'!B$2)/12-18.5+2-38+5+3-1+25+26</f>
        <v>11.29025</v>
      </c>
      <c r="N236" s="45">
        <f>('[2]Renewable Diesel'!C245*'[2]RD Feedstock Breakdown'!N$3*'[2]Feedstock Conversion Rates'!B$8)/12-2.5+36-47.5+6.25+4+10-2.5-20-15</f>
        <v>-27.578125</v>
      </c>
      <c r="O236" s="45">
        <f>('[2]Renewable Diesel'!C245*'[2]RD Feedstock Breakdown'!O$3*'[2]Feedstock Conversion Rates'!B$7)/12-30-60-19+29+20-20+45-20+10</f>
        <v>-33.000900000000001</v>
      </c>
      <c r="P236" s="45">
        <f>('[2]Renewable Diesel'!C245*'[2]RD Feedstock Breakdown'!P$3*'[2]Feedstock Conversion Rates'!B$3)/12-12+25-97+35+25+50+20-100+75+5</f>
        <v>36.447042500000009</v>
      </c>
      <c r="Q236" s="47">
        <f t="shared" si="172"/>
        <v>33.908267500000008</v>
      </c>
      <c r="R236" s="45">
        <f>('[2]Renewable Diesel'!D245*'[2]RD Feedstock Breakdown'!R$3*'[2]Feedstock Conversion Rates'!B$7)/12</f>
        <v>2.2999999999999998</v>
      </c>
      <c r="S236" s="47">
        <f t="shared" si="116"/>
        <v>2.2999999999999998</v>
      </c>
      <c r="T236" s="45">
        <f t="shared" si="179"/>
        <v>5.8250000000000028</v>
      </c>
      <c r="U236" s="45">
        <v>30</v>
      </c>
      <c r="V236" s="45">
        <f>('[2]Renewable Diesel'!E245*'[2]RD Feedstock Breakdown'!V$3*'[2]Feedstock Conversion Rates'!B$6)/12-20+25-35</f>
        <v>14.250150000000012</v>
      </c>
      <c r="W236" s="45">
        <f>('[2]Renewable Diesel'!E245*'[2]RD Feedstock Breakdown'!W$3*'[2]Feedstock Conversion Rates'!B$8)/12-6</f>
        <v>16.1796875</v>
      </c>
      <c r="X236" s="47">
        <f t="shared" si="147"/>
        <v>66.254837500000008</v>
      </c>
      <c r="Y236" s="45">
        <f t="shared" si="180"/>
        <v>126.5</v>
      </c>
      <c r="Z236" s="45">
        <f>('[2]Renewable Diesel'!F245*'[2]RD Feedstock Breakdown'!Z$3*'[2]Feedstock Conversion Rates'!B$6)/12-50-32-60+15+15+50-75+65-6-30+9+2+7</f>
        <v>69.460000000000008</v>
      </c>
      <c r="AA236" s="45">
        <f>('[2]Renewable Diesel'!F245*'[2]RD Feedstock Breakdown'!AA$3*'[2]Feedstock Conversion Rates'!B$7)/12+80-171+75+30+5-52.5-3</f>
        <v>67.766666666666652</v>
      </c>
      <c r="AB236" s="47">
        <f t="shared" si="102"/>
        <v>263.72666666666669</v>
      </c>
      <c r="AC236" s="45">
        <f>('[2]Renewable Diesel'!G245*'[2]RD Feedstock Breakdown'!AC$3*'[2]Feedstock Conversion Rates'!B$5)/12</f>
        <v>11.796875</v>
      </c>
      <c r="AD236" s="45">
        <f>('[2]Renewable Diesel'!G245*'[2]RD Feedstock Breakdown'!AD$3*'[2]Feedstock Conversion Rates'!B$4)/12</f>
        <v>5.859375</v>
      </c>
      <c r="AE236" s="45">
        <f>('[2]Renewable Diesel'!G245*'[2]RD Feedstock Breakdown'!AE$3*'[2]Feedstock Conversion Rates'!B$6)/12</f>
        <v>7.3281250000000009</v>
      </c>
      <c r="AF236" s="47">
        <f t="shared" si="156"/>
        <v>24.984375</v>
      </c>
      <c r="AG236" s="45">
        <f t="shared" si="182"/>
        <v>6.5</v>
      </c>
      <c r="AH236" s="45">
        <v>135</v>
      </c>
      <c r="AI236" s="45">
        <f>('[2]Renewable Diesel'!H245*'[2]RD Feedstock Breakdown'!AI$3*'[2]Feedstock Conversion Rates'!B$6)/12-130-20+51-120+105-42.5+20-5</f>
        <v>7.0166666666666799</v>
      </c>
      <c r="AJ236" s="47">
        <f t="shared" si="113"/>
        <v>13.51666666666668</v>
      </c>
      <c r="AK236" s="45">
        <f>('[2]Renewable Diesel'!J245*'[2]RD Feedstock Breakdown'!AK$3*'[2]Feedstock Conversion Rates'!B$4)/12</f>
        <v>95.8125</v>
      </c>
      <c r="AL236" s="47">
        <f t="shared" si="123"/>
        <v>95.8125</v>
      </c>
      <c r="AM236" s="45">
        <f>('[2]Renewable Diesel'!K245*'[2]RD Feedstock Breakdown'!AM$3*'[2]Feedstock Conversion Rates'!B$4)/12+5+15-10+9-27</f>
        <v>50.59375</v>
      </c>
      <c r="AN236" s="45">
        <f>('[2]Renewable Diesel'!K245*'[2]RD Feedstock Breakdown'!AN$3*'[2]Feedstock Conversion Rates'!B$6)/12-5-15+10-9+27</f>
        <v>32.427083333333329</v>
      </c>
      <c r="AO236" s="47">
        <f t="shared" si="135"/>
        <v>83.020833333333329</v>
      </c>
      <c r="AP236" s="45">
        <f>('[2]Renewable Diesel'!L245*'[2]RD Feedstock Breakdown'!AP$3*'[2]Feedstock Conversion Rates'!B$4)/12+15-10+14</f>
        <v>77.59375</v>
      </c>
      <c r="AQ236" s="45">
        <f>('[2]Renewable Diesel'!L245*'[2]RD Feedstock Breakdown'!AQ$3*'[2]Feedstock Conversion Rates'!B$6)/12-15+10-14</f>
        <v>5.4270833333333321</v>
      </c>
      <c r="AR236" s="47">
        <f t="shared" si="125"/>
        <v>83.020833333333329</v>
      </c>
      <c r="AS236" s="45">
        <f>('[2]Renewable Diesel'!M245*'[2]RD Feedstock Breakdown'!AS$3*'[2]Feedstock Conversion Rates'!B$4)/12</f>
        <v>456.25</v>
      </c>
      <c r="AT236" s="45">
        <f>('[2]Renewable Diesel'!M245*'[2]RD Feedstock Breakdown'!AT$3*'[2]Feedstock Conversion Rates'!B$5)/12</f>
        <v>0</v>
      </c>
      <c r="AU236" s="47">
        <f t="shared" si="159"/>
        <v>456.25</v>
      </c>
      <c r="AV236" s="45">
        <f>'[2]Renewable Diesel'!N245*'[2]RD Feedstock Breakdown'!$AV$3*'[2]Feedstock Conversion Rates'!$B$4/12-15-10+25+25-22-40</f>
        <v>41.749999999999986</v>
      </c>
      <c r="AW236" s="45">
        <f>'[2]Renewable Diesel'!N245*'[2]RD Feedstock Breakdown'!$AW$3*'[2]Feedstock Conversion Rates'!$B$7/12+15+10-25-25+22+40</f>
        <v>78.400000000000006</v>
      </c>
      <c r="AX236" s="47">
        <f t="shared" si="109"/>
        <v>120.14999999999999</v>
      </c>
      <c r="AY236" s="45">
        <f>('[2]Renewable Diesel'!O245*'[2]RD Feedstock Breakdown'!AY$3*'[2]Feedstock Conversion Rates'!B$4)/12+32+2-135</f>
        <v>109.9375</v>
      </c>
      <c r="AZ236" s="45">
        <f>('[2]Renewable Diesel'!O245*'[2]RD Feedstock Breakdown'!AZ$3*'[2]Feedstock Conversion Rates'!B$3)/12-32-2+135</f>
        <v>126.03125</v>
      </c>
      <c r="BA236" s="47">
        <f t="shared" si="173"/>
        <v>235.96875</v>
      </c>
      <c r="BB236" s="45">
        <f>('[2]Renewable Diesel'!Q245*'[2]RD Feedstock Breakdown'!BB$3*'[2]Feedstock Conversion Rates'!B$4)/12-10</f>
        <v>1.1562499999999982</v>
      </c>
      <c r="BC236" s="45">
        <f>('[2]Renewable Diesel'!Q245*'[2]RD Feedstock Breakdown'!BC$3*'[2]Feedstock Conversion Rates'!B$3)/12+10</f>
        <v>11.40175</v>
      </c>
      <c r="BD236" s="45">
        <f>('[2]Renewable Diesel'!Q245*'[2]RD Feedstock Breakdown'!BD$3*'[2]Feedstock Conversion Rates'!B$6)/12</f>
        <v>0.8207500000000002</v>
      </c>
      <c r="BE236" s="47">
        <f t="shared" si="151"/>
        <v>13.378749999999998</v>
      </c>
      <c r="BF236" s="45">
        <f>('[2]Renewable Diesel'!R245*'[2]RD Feedstock Breakdown'!BF$3*'[2]Feedstock Conversion Rates'!B$4)/12</f>
        <v>62.5</v>
      </c>
      <c r="BG236" s="47">
        <f t="shared" si="129"/>
        <v>62.5</v>
      </c>
      <c r="BH236" s="45">
        <f>('[2]Renewable Diesel'!T245*'[2]RD Feedstock Breakdown'!BH$3*'[2]Feedstock Conversion Rates'!B$7)/12</f>
        <v>27.599999999999998</v>
      </c>
      <c r="BI236" s="47">
        <f t="shared" si="112"/>
        <v>27.599999999999998</v>
      </c>
      <c r="BJ236" s="45">
        <f>('[2]Renewable Diesel'!W245*'[2]RD Feedstock Breakdown'!BJ$3*'[2]Feedstock Conversion Rates'!B$4)/12</f>
        <v>7.5</v>
      </c>
      <c r="BK236" s="45">
        <f>('[2]Renewable Diesel'!W245*'[2]RD Feedstock Breakdown'!BK$3*'[2]Feedstock Conversion Rates'!B$3)/12</f>
        <v>1.335</v>
      </c>
      <c r="BL236" s="45">
        <f>('[2]Renewable Diesel'!W245*'[2]RD Feedstock Breakdown'!BL$3*'[2]Feedstock Conversion Rates'!B$6)/12</f>
        <v>3.1266666666666669</v>
      </c>
      <c r="BM236" s="45">
        <f>('[2]Renewable Diesel'!W245*'[2]RD Feedstock Breakdown'!BM$3*'[2]Feedstock Conversion Rates'!B$7)/12</f>
        <v>1.5333333333333332</v>
      </c>
      <c r="BN236" s="47">
        <f t="shared" si="168"/>
        <v>13.495000000000001</v>
      </c>
      <c r="BO236" s="45">
        <f>('[2]Renewable Diesel'!P245*'[2]Feedstock Conversion Rates'!B$4)/12</f>
        <v>31.25</v>
      </c>
      <c r="BP236" s="47">
        <f t="shared" si="157"/>
        <v>31.25</v>
      </c>
      <c r="BQ236" s="45">
        <f>('[2]Renewable Diesel'!$S245*'[2]RD Feedstock Breakdown'!BQ$3*'[2]Feedstock Conversion Rates'!B$4)/12+10</f>
        <v>38.125</v>
      </c>
      <c r="BR236" s="45">
        <f>('[2]Renewable Diesel'!$S245*'[2]RD Feedstock Breakdown'!BR$3*'[2]Feedstock Conversion Rates'!B$7)/12-10</f>
        <v>1.5</v>
      </c>
      <c r="BS236" s="47">
        <f t="shared" si="174"/>
        <v>39.625</v>
      </c>
      <c r="BT236" s="47"/>
      <c r="BU236" s="45">
        <f>('[2]Renewable Diesel'!Y245*'[2]Feedstock Conversion Rates'!B$7)/12</f>
        <v>2.6833333333333331</v>
      </c>
      <c r="BV236" s="47">
        <f t="shared" si="153"/>
        <v>2.6833333333333331</v>
      </c>
      <c r="BW236" s="45">
        <f>('[2]Renewable Diesel'!$Z245*'[2]RD Feedstock Breakdown'!BW$3*'[2]Feedstock Conversion Rates'!$B$4)/12</f>
        <v>53.90625</v>
      </c>
      <c r="BX236" s="45">
        <f>('[2]Renewable Diesel'!$Z245*'[2]RD Feedstock Breakdown'!BX$3*'[2]Feedstock Conversion Rates'!$B$5)/12</f>
        <v>5.4265624999999993</v>
      </c>
      <c r="BY236" s="45">
        <f>('[2]Renewable Diesel'!$Z245*'[2]RD Feedstock Breakdown'!BY$3*'[2]Feedstock Conversion Rates'!$B$7)/12</f>
        <v>46.287499999999994</v>
      </c>
      <c r="BZ236" s="45">
        <f>('[2]Renewable Diesel'!$Z245*'[2]RD Feedstock Breakdown'!BZ$3*'[2]Feedstock Conversion Rates'!$B$3)/12</f>
        <v>11.514374999999999</v>
      </c>
      <c r="CA236" s="47">
        <f t="shared" si="181"/>
        <v>117.1346875</v>
      </c>
      <c r="CB236" s="45">
        <f>('[2]Renewable Diesel'!AA245*'[2]Feedstock Conversion Rates'!B$4)/12</f>
        <v>191.25</v>
      </c>
      <c r="CC236" s="47">
        <f t="shared" si="171"/>
        <v>191.25</v>
      </c>
      <c r="CD236" s="45">
        <f>('[2]Renewable Diesel'!$AB245*'[2]RD Feedstock Breakdown'!CD$3*'[2]Feedstock Conversion Rates'!$B$6)/12-15</f>
        <v>17.830000000000005</v>
      </c>
      <c r="CE236" s="45">
        <f>('[2]Renewable Diesel'!$AB245*'[2]RD Feedstock Breakdown'!CE$3*'[2]Feedstock Conversion Rates'!$B$4)/12+15</f>
        <v>26.25</v>
      </c>
      <c r="CF236" s="47">
        <f t="shared" si="161"/>
        <v>44.080000000000005</v>
      </c>
      <c r="CG236" s="45">
        <f>('[2]Renewable Diesel'!AD245*'[2]Feedstock Conversion Rates'!B$4)/12</f>
        <v>112.5</v>
      </c>
      <c r="CH236" s="47">
        <f t="shared" si="149"/>
        <v>112.5</v>
      </c>
      <c r="CI236" s="45">
        <f>('[2]Renewable Diesel'!$AE245*'[2]RD Feedstock Breakdown'!CI$3*'[2]Feedstock Conversion Rates'!$B$5)/12</f>
        <v>0.34604166666666664</v>
      </c>
      <c r="CJ236" s="45">
        <f>('[2]Renewable Diesel'!$AE245*'[2]RD Feedstock Breakdown'!CJ$3*'[2]Feedstock Conversion Rates'!$B$4)/12</f>
        <v>0.34375</v>
      </c>
      <c r="CK236" s="47">
        <f t="shared" si="158"/>
        <v>0.68979166666666658</v>
      </c>
      <c r="CL236" s="45">
        <f>(((CL$3*'[2]Renewable Diesel'!$AF245)*'[2]Feedstock Conversion Rates'!$B$3)/12)</f>
        <v>91.78125</v>
      </c>
      <c r="CM236" s="45">
        <f>(((CM$3*'[2]Renewable Diesel'!$AF245)*'[2]Feedstock Conversion Rates'!$B$6)/12)</f>
        <v>53.739583333333336</v>
      </c>
      <c r="CN236" s="45">
        <f>(((CN$3*'[2]Renewable Diesel'!$AF245)*'[2]Feedstock Conversion Rates'!$B$4)/12)</f>
        <v>42.96875</v>
      </c>
      <c r="CO236" s="47">
        <f t="shared" si="152"/>
        <v>188.48958333333334</v>
      </c>
      <c r="CP236" s="45">
        <f>('[2]Renewable Diesel'!$AG245*'[2]RD Feedstock Breakdown'!CP$3*'[2]Feedstock Conversion Rates'!$B$3)/12</f>
        <v>6.0075000000000003</v>
      </c>
      <c r="CQ236" s="45">
        <f>('[2]Renewable Diesel'!$AG245*'[2]RD Feedstock Breakdown'!CQ$3*'[2]Feedstock Conversion Rates'!$B$6)/12</f>
        <v>3.5175000000000001</v>
      </c>
      <c r="CR236" s="45">
        <f>('[2]Renewable Diesel'!$AG245*'[2]RD Feedstock Breakdown'!CR$3*'[2]Feedstock Conversion Rates'!$B$4)/12</f>
        <v>2.8125</v>
      </c>
      <c r="CS236" s="47">
        <f t="shared" si="99"/>
        <v>12.3375</v>
      </c>
      <c r="CT236" s="45">
        <f>('[2]Renewable Diesel'!AI245*'[2]Feedstock Conversion Rates'!$B$4*'[2]RD Feedstock Breakdown'!$CT$3)/12</f>
        <v>29.375</v>
      </c>
      <c r="CU236" s="47">
        <f t="shared" si="154"/>
        <v>29.375</v>
      </c>
      <c r="CV236" s="45">
        <f>('[2]Renewable Diesel'!AN245*'[2]Feedstock Conversion Rates'!$B$3*'[2]RD Feedstock Breakdown'!$CV$3)/12</f>
        <v>0.50062499999999999</v>
      </c>
      <c r="CW236" s="47">
        <f t="shared" si="124"/>
        <v>0.50062499999999999</v>
      </c>
      <c r="CX236" s="45">
        <f>('[2]Renewable Diesel'!AO245*'[2]RD Feedstock Breakdown'!$CX$3*'[2]Feedstock Conversion Rates'!$B$3)/12</f>
        <v>6.3412499999999996</v>
      </c>
      <c r="CY236" s="45">
        <f>('[2]Renewable Diesel'!AO245*'[2]RD Feedstock Breakdown'!$CY$3*'[2]Feedstock Conversion Rates'!$B$6)/12</f>
        <v>7.4258333333333342</v>
      </c>
      <c r="CZ236" s="47">
        <f t="shared" si="100"/>
        <v>13.767083333333334</v>
      </c>
      <c r="DA236" s="45">
        <f>('[2]Renewable Diesel'!$AP245*'[2]RD Feedstock Breakdown'!DA$3*'[2]Feedstock Conversion Rates'!$B$3)/12</f>
        <v>6.3412499999999996</v>
      </c>
      <c r="DB236" s="45">
        <f>('[2]Renewable Diesel'!$AP245*'[2]RD Feedstock Breakdown'!DB$3*'[2]Feedstock Conversion Rates'!$B$8)/12</f>
        <v>7.421875</v>
      </c>
      <c r="DC236" s="47">
        <f t="shared" si="127"/>
        <v>13.763124999999999</v>
      </c>
      <c r="DD236" s="45">
        <f>('[2]Renewable Diesel'!AQ245*$DD$3*'[2]Feedstock Conversion Rates'!$B$14)/12</f>
        <v>3.1041666666666665</v>
      </c>
      <c r="DE236" s="47">
        <f t="shared" si="128"/>
        <v>3.1041666666666665</v>
      </c>
      <c r="DF236" s="45">
        <f>('[2]Renewable Diesel'!AR245*'[2]Feedstock Conversion Rates'!$B$4*$DF$3)/12</f>
        <v>75</v>
      </c>
      <c r="DG236" s="47">
        <f t="shared" si="101"/>
        <v>75</v>
      </c>
      <c r="DH236" s="45">
        <f>('[2]Renewable Diesel'!AS245*'[2]Feedstock Conversion Rates'!$B$4*$DH$3)/12</f>
        <v>75</v>
      </c>
      <c r="DI236" s="47">
        <f t="shared" si="110"/>
        <v>75</v>
      </c>
      <c r="DJ236" s="45">
        <f>('[2]Renewable Diesel'!AT245*'[2]Feedstock Conversion Rates'!$B$4*0.25)/12</f>
        <v>8.59375</v>
      </c>
      <c r="DK236" s="45">
        <f>('[2]Renewable Diesel'!$AT245*'[2]RD Feedstock Breakdown'!DK$3*'[2]Feedstock Conversion Rates'!$B$3)/12*0.5</f>
        <v>9.1781249999999996</v>
      </c>
      <c r="DL236" s="45">
        <f>('[2]Renewable Diesel'!$AT245*'[2]RD Feedstock Breakdown'!$DL$3*'[2]Feedstock Conversion Rates'!$B$6)/12</f>
        <v>10.747916666666669</v>
      </c>
      <c r="DM236" s="45">
        <f>('[2]Renewable Diesel'!$AT245*'[2]RD Feedstock Breakdown'!$DM$3*'[2]Feedstock Conversion Rates'!$B$8)/12</f>
        <v>10.7421875</v>
      </c>
      <c r="DN236" s="47">
        <f t="shared" si="169"/>
        <v>39.26197916666667</v>
      </c>
      <c r="DP236" s="45">
        <f t="shared" si="130"/>
        <v>116.72025000000001</v>
      </c>
      <c r="DQ236" s="45">
        <f t="shared" si="131"/>
        <v>604.27964249999991</v>
      </c>
      <c r="DR236" s="45">
        <f t="shared" si="136"/>
        <v>1927.984375</v>
      </c>
      <c r="DS236" s="45">
        <f t="shared" si="155"/>
        <v>96.592395833333342</v>
      </c>
      <c r="DT236" s="45">
        <f t="shared" si="132"/>
        <v>240.53923333333344</v>
      </c>
      <c r="DU236" s="45">
        <f t="shared" si="133"/>
        <v>219.97693333333333</v>
      </c>
      <c r="DV236" s="45">
        <f t="shared" si="137"/>
        <v>7.5</v>
      </c>
      <c r="DW236" s="45">
        <f t="shared" si="134"/>
        <v>3</v>
      </c>
      <c r="DX236" s="47">
        <f t="shared" si="138"/>
        <v>3216.59283</v>
      </c>
      <c r="DY236" s="50">
        <f t="shared" si="126"/>
        <v>-135.00000000000014</v>
      </c>
      <c r="EA236" s="51">
        <f t="shared" si="117"/>
        <v>3.6286921027552002E-2</v>
      </c>
      <c r="EB236" s="51">
        <f t="shared" si="117"/>
        <v>0.18786326850700588</v>
      </c>
      <c r="EC236" s="51">
        <f t="shared" si="117"/>
        <v>0.59938713940365274</v>
      </c>
      <c r="ED236" s="51">
        <f t="shared" si="114"/>
        <v>3.0029413400555687E-2</v>
      </c>
      <c r="EE236" s="51">
        <f t="shared" si="114"/>
        <v>7.4780752817052515E-2</v>
      </c>
      <c r="EF236" s="51">
        <f t="shared" si="114"/>
        <v>6.8388181208913948E-2</v>
      </c>
      <c r="EG236" s="51">
        <f t="shared" si="114"/>
        <v>2.3316597394765692E-3</v>
      </c>
      <c r="EH236" s="52">
        <f t="shared" si="139"/>
        <v>9.3266389579062757E-4</v>
      </c>
      <c r="EI236" s="51">
        <f t="shared" si="140"/>
        <v>0.99906733610420939</v>
      </c>
      <c r="EK236" s="53">
        <f>(EA236*'[2]Renewable Diesel'!BF245*'[2]Feedstock Conversion Rates'!B$2)+FB236</f>
        <v>155.1140935112447</v>
      </c>
      <c r="EL236" s="53">
        <f>(EB236*'[2]Renewable Diesel'!BF245*'[2]Feedstock Conversion Rates'!B$3)+FC236</f>
        <v>756.75727388826135</v>
      </c>
      <c r="EM236" s="53">
        <f>(EC236*'[2]Renewable Diesel'!BF245*'[2]Feedstock Conversion Rates'!B$4)+FD236</f>
        <v>2260.7414533163092</v>
      </c>
      <c r="EN236" s="53">
        <f>(ED236*'[2]Renewable Diesel'!BF245*'[2]Feedstock Conversion Rates'!B$5)+FE236</f>
        <v>114.01868141408455</v>
      </c>
      <c r="EO236" s="53">
        <f>(EE236*'[2]Renewable Diesel'!BF245*'[2]Feedstock Conversion Rates'!B$6)+FF236</f>
        <v>352.75638645979819</v>
      </c>
      <c r="EP236" s="53">
        <f>(EF236*'[2]Renewable Diesel'!BF245*'[2]Feedstock Conversion Rates'!B$7)+FG236</f>
        <v>316.41065154950377</v>
      </c>
      <c r="EQ236" s="53">
        <f>(EG236*'[2]Renewable Diesel'!BF245*'[2]Feedstock Conversion Rates'!B$8)+FH236</f>
        <v>10.993061665678903</v>
      </c>
      <c r="ER236" s="53">
        <f>(EH236*'[2]Renewable Diesel'!BF245*'[2]Feedstock Conversion Rates'!B$9)+FI236</f>
        <v>4.3385950040546071</v>
      </c>
      <c r="ES236" s="53">
        <f t="shared" si="141"/>
        <v>3971.1301968089356</v>
      </c>
      <c r="ET236" s="36">
        <f>ES236/'[2]Renewable Diesel'!BF245</f>
        <v>7.8964504058165179</v>
      </c>
    </row>
    <row r="237" spans="1:150" x14ac:dyDescent="0.25">
      <c r="A237" s="39">
        <v>47635</v>
      </c>
      <c r="B237" s="45">
        <f t="shared" si="175"/>
        <v>3</v>
      </c>
      <c r="C237" s="45">
        <f t="shared" si="176"/>
        <v>55</v>
      </c>
      <c r="D237" s="45">
        <f t="shared" si="177"/>
        <v>2</v>
      </c>
      <c r="E237" s="45">
        <f>('[2]Renewable Diesel'!B246*E$3*'[2]Feedstock Conversion Rates'!$B$2)/12-57.5+8+12.5+52.5-76+18+23+45+50-5-24-2.5-10+23-47+6-0.5</f>
        <v>105.43</v>
      </c>
      <c r="F237" s="45">
        <f>('[2]Renewable Diesel'!B246*'[2]RD Feedstock Breakdown'!F$3*'[2]Feedstock Conversion Rates'!B$8)/12-5-4-2.25+5+19-52+5+17+9+2-33+8.5-15</f>
        <v>8.15625</v>
      </c>
      <c r="G237" s="45">
        <f>('[2]Renewable Diesel'!B246*'[2]RD Feedstock Breakdown'!G$3*'[2]Feedstock Conversion Rates'!B$7)/12-72.5+5.25-57.5-31+32+70-30+10-45-25-7.5+5-10+5</f>
        <v>24.907000000000011</v>
      </c>
      <c r="H237" s="45">
        <f>('[2]Renewable Diesel'!B246*'[2]RD Feedstock Breakdown'!H$3*'[2]Feedstock Conversion Rates'!B$3)/12-105+15+129-182+15-4+51+50-5-30-5+185+7</f>
        <v>297.40022499999998</v>
      </c>
      <c r="I237" s="47">
        <f t="shared" si="160"/>
        <v>495.89347499999997</v>
      </c>
      <c r="J237" s="45">
        <f t="shared" si="178"/>
        <v>45.75</v>
      </c>
      <c r="K237" s="45"/>
      <c r="L237" s="45">
        <v>1</v>
      </c>
      <c r="M237" s="45">
        <f>('[2]Renewable Diesel'!C246*'[2]RD Feedstock Breakdown'!M$3*'[2]Feedstock Conversion Rates'!B$2)/12-18.5+2-38+5+3-1+25+26</f>
        <v>11.29025</v>
      </c>
      <c r="N237" s="45">
        <f>('[2]Renewable Diesel'!C246*'[2]RD Feedstock Breakdown'!N$3*'[2]Feedstock Conversion Rates'!B$8)/12-2.5+36-47.5+6.25+4+10-2.5-20-15</f>
        <v>-27.578125</v>
      </c>
      <c r="O237" s="45">
        <f>('[2]Renewable Diesel'!C246*'[2]RD Feedstock Breakdown'!O$3*'[2]Feedstock Conversion Rates'!B$7)/12-30-60-19+29+20-20+45-20+10</f>
        <v>-33.000900000000001</v>
      </c>
      <c r="P237" s="45">
        <f>('[2]Renewable Diesel'!C246*'[2]RD Feedstock Breakdown'!P$3*'[2]Feedstock Conversion Rates'!B$3)/12-12+25-97+35+25+50+20-100+75+5</f>
        <v>36.447042500000009</v>
      </c>
      <c r="Q237" s="47">
        <f t="shared" si="172"/>
        <v>33.908267500000008</v>
      </c>
      <c r="R237" s="45">
        <f>('[2]Renewable Diesel'!D246*'[2]RD Feedstock Breakdown'!R$3*'[2]Feedstock Conversion Rates'!B$7)/12</f>
        <v>2.2999999999999998</v>
      </c>
      <c r="S237" s="47">
        <f t="shared" si="116"/>
        <v>2.2999999999999998</v>
      </c>
      <c r="T237" s="45">
        <f t="shared" si="179"/>
        <v>5.8250000000000028</v>
      </c>
      <c r="U237" s="45">
        <v>30</v>
      </c>
      <c r="V237" s="45">
        <f>('[2]Renewable Diesel'!E246*'[2]RD Feedstock Breakdown'!V$3*'[2]Feedstock Conversion Rates'!B$6)/12-20+25-35</f>
        <v>14.250150000000012</v>
      </c>
      <c r="W237" s="45">
        <f>('[2]Renewable Diesel'!E246*'[2]RD Feedstock Breakdown'!W$3*'[2]Feedstock Conversion Rates'!B$8)/12-6</f>
        <v>16.1796875</v>
      </c>
      <c r="X237" s="47">
        <f t="shared" si="147"/>
        <v>66.254837500000008</v>
      </c>
      <c r="Y237" s="45">
        <f t="shared" si="180"/>
        <v>126.5</v>
      </c>
      <c r="Z237" s="45">
        <f>('[2]Renewable Diesel'!F246*'[2]RD Feedstock Breakdown'!Z$3*'[2]Feedstock Conversion Rates'!B$6)/12-50-32-60+15+15+50-75+65-6-30+9+2+7</f>
        <v>69.460000000000008</v>
      </c>
      <c r="AA237" s="45">
        <f>('[2]Renewable Diesel'!F246*'[2]RD Feedstock Breakdown'!AA$3*'[2]Feedstock Conversion Rates'!B$7)/12+80-171+75+30+5-52.5-3</f>
        <v>67.766666666666652</v>
      </c>
      <c r="AB237" s="47">
        <f t="shared" si="102"/>
        <v>263.72666666666669</v>
      </c>
      <c r="AC237" s="45">
        <f>('[2]Renewable Diesel'!G246*'[2]RD Feedstock Breakdown'!AC$3*'[2]Feedstock Conversion Rates'!B$5)/12</f>
        <v>11.796875</v>
      </c>
      <c r="AD237" s="45">
        <f>('[2]Renewable Diesel'!G246*'[2]RD Feedstock Breakdown'!AD$3*'[2]Feedstock Conversion Rates'!B$4)/12</f>
        <v>5.859375</v>
      </c>
      <c r="AE237" s="45">
        <f>('[2]Renewable Diesel'!G246*'[2]RD Feedstock Breakdown'!AE$3*'[2]Feedstock Conversion Rates'!B$6)/12</f>
        <v>7.3281250000000009</v>
      </c>
      <c r="AF237" s="47">
        <f t="shared" si="156"/>
        <v>24.984375</v>
      </c>
      <c r="AG237" s="45">
        <f t="shared" si="182"/>
        <v>6.5</v>
      </c>
      <c r="AH237" s="45">
        <v>135</v>
      </c>
      <c r="AI237" s="45">
        <f>('[2]Renewable Diesel'!H246*'[2]RD Feedstock Breakdown'!AI$3*'[2]Feedstock Conversion Rates'!B$6)/12-130-20+51-120+105-42.5+20-5</f>
        <v>7.0166666666666799</v>
      </c>
      <c r="AJ237" s="47">
        <f t="shared" si="113"/>
        <v>13.51666666666668</v>
      </c>
      <c r="AK237" s="45">
        <f>('[2]Renewable Diesel'!J246*'[2]RD Feedstock Breakdown'!AK$3*'[2]Feedstock Conversion Rates'!B$4)/12</f>
        <v>95.8125</v>
      </c>
      <c r="AL237" s="47">
        <f t="shared" si="123"/>
        <v>95.8125</v>
      </c>
      <c r="AM237" s="45">
        <f>('[2]Renewable Diesel'!K246*'[2]RD Feedstock Breakdown'!AM$3*'[2]Feedstock Conversion Rates'!B$4)/12+5+15-10+9-27</f>
        <v>50.59375</v>
      </c>
      <c r="AN237" s="45">
        <f>('[2]Renewable Diesel'!K246*'[2]RD Feedstock Breakdown'!AN$3*'[2]Feedstock Conversion Rates'!B$6)/12-5-15+10-9+27</f>
        <v>32.427083333333329</v>
      </c>
      <c r="AO237" s="47">
        <f t="shared" si="135"/>
        <v>83.020833333333329</v>
      </c>
      <c r="AP237" s="45">
        <f>('[2]Renewable Diesel'!L246*'[2]RD Feedstock Breakdown'!AP$3*'[2]Feedstock Conversion Rates'!B$4)/12+15-10+14</f>
        <v>77.59375</v>
      </c>
      <c r="AQ237" s="45">
        <f>('[2]Renewable Diesel'!L246*'[2]RD Feedstock Breakdown'!AQ$3*'[2]Feedstock Conversion Rates'!B$6)/12-15+10-14</f>
        <v>5.4270833333333321</v>
      </c>
      <c r="AR237" s="47">
        <f t="shared" si="125"/>
        <v>83.020833333333329</v>
      </c>
      <c r="AS237" s="45">
        <f>('[2]Renewable Diesel'!M246*'[2]RD Feedstock Breakdown'!AS$3*'[2]Feedstock Conversion Rates'!B$4)/12</f>
        <v>456.25</v>
      </c>
      <c r="AT237" s="45">
        <f>('[2]Renewable Diesel'!M246*'[2]RD Feedstock Breakdown'!AT$3*'[2]Feedstock Conversion Rates'!B$5)/12</f>
        <v>0</v>
      </c>
      <c r="AU237" s="47">
        <f t="shared" si="159"/>
        <v>456.25</v>
      </c>
      <c r="AV237" s="45">
        <f>'[2]Renewable Diesel'!N246*'[2]RD Feedstock Breakdown'!$AV$3*'[2]Feedstock Conversion Rates'!$B$4/12-15-10+25+25-22-40</f>
        <v>41.749999999999986</v>
      </c>
      <c r="AW237" s="45">
        <f>'[2]Renewable Diesel'!N246*'[2]RD Feedstock Breakdown'!$AW$3*'[2]Feedstock Conversion Rates'!$B$7/12+15+10-25-25+22+40</f>
        <v>78.400000000000006</v>
      </c>
      <c r="AX237" s="47">
        <f t="shared" si="109"/>
        <v>120.14999999999999</v>
      </c>
      <c r="AY237" s="45">
        <f>('[2]Renewable Diesel'!O246*'[2]RD Feedstock Breakdown'!AY$3*'[2]Feedstock Conversion Rates'!B$4)/12+32+2-135</f>
        <v>109.9375</v>
      </c>
      <c r="AZ237" s="45">
        <f>('[2]Renewable Diesel'!O246*'[2]RD Feedstock Breakdown'!AZ$3*'[2]Feedstock Conversion Rates'!B$3)/12-32-2+135</f>
        <v>126.03125</v>
      </c>
      <c r="BA237" s="47">
        <f t="shared" si="173"/>
        <v>235.96875</v>
      </c>
      <c r="BB237" s="45">
        <f>('[2]Renewable Diesel'!Q246*'[2]RD Feedstock Breakdown'!BB$3*'[2]Feedstock Conversion Rates'!B$4)/12-10</f>
        <v>1.1562499999999982</v>
      </c>
      <c r="BC237" s="45">
        <f>('[2]Renewable Diesel'!Q246*'[2]RD Feedstock Breakdown'!BC$3*'[2]Feedstock Conversion Rates'!B$3)/12+10</f>
        <v>11.40175</v>
      </c>
      <c r="BD237" s="45">
        <f>('[2]Renewable Diesel'!Q246*'[2]RD Feedstock Breakdown'!BD$3*'[2]Feedstock Conversion Rates'!B$6)/12</f>
        <v>0.8207500000000002</v>
      </c>
      <c r="BE237" s="47">
        <f t="shared" si="151"/>
        <v>13.378749999999998</v>
      </c>
      <c r="BF237" s="45">
        <f>('[2]Renewable Diesel'!R246*'[2]RD Feedstock Breakdown'!BF$3*'[2]Feedstock Conversion Rates'!B$4)/12</f>
        <v>62.5</v>
      </c>
      <c r="BG237" s="47">
        <f t="shared" si="129"/>
        <v>62.5</v>
      </c>
      <c r="BH237" s="45">
        <f>('[2]Renewable Diesel'!T246*'[2]RD Feedstock Breakdown'!BH$3*'[2]Feedstock Conversion Rates'!B$7)/12</f>
        <v>27.599999999999998</v>
      </c>
      <c r="BI237" s="47">
        <f t="shared" si="112"/>
        <v>27.599999999999998</v>
      </c>
      <c r="BJ237" s="45">
        <f>('[2]Renewable Diesel'!W246*'[2]RD Feedstock Breakdown'!BJ$3*'[2]Feedstock Conversion Rates'!B$4)/12</f>
        <v>7.5</v>
      </c>
      <c r="BK237" s="45">
        <f>('[2]Renewable Diesel'!W246*'[2]RD Feedstock Breakdown'!BK$3*'[2]Feedstock Conversion Rates'!B$3)/12</f>
        <v>1.335</v>
      </c>
      <c r="BL237" s="45">
        <f>('[2]Renewable Diesel'!W246*'[2]RD Feedstock Breakdown'!BL$3*'[2]Feedstock Conversion Rates'!B$6)/12</f>
        <v>3.1266666666666669</v>
      </c>
      <c r="BM237" s="45">
        <f>('[2]Renewable Diesel'!W246*'[2]RD Feedstock Breakdown'!BM$3*'[2]Feedstock Conversion Rates'!B$7)/12</f>
        <v>1.5333333333333332</v>
      </c>
      <c r="BN237" s="47">
        <f t="shared" si="168"/>
        <v>13.495000000000001</v>
      </c>
      <c r="BO237" s="45">
        <f>('[2]Renewable Diesel'!P246*'[2]Feedstock Conversion Rates'!B$4)/12</f>
        <v>31.25</v>
      </c>
      <c r="BP237" s="47">
        <f t="shared" si="157"/>
        <v>31.25</v>
      </c>
      <c r="BQ237" s="45">
        <f>('[2]Renewable Diesel'!$S246*'[2]RD Feedstock Breakdown'!BQ$3*'[2]Feedstock Conversion Rates'!B$4)/12+10</f>
        <v>38.125</v>
      </c>
      <c r="BR237" s="45">
        <f>('[2]Renewable Diesel'!$S246*'[2]RD Feedstock Breakdown'!BR$3*'[2]Feedstock Conversion Rates'!B$7)/12-10</f>
        <v>1.5</v>
      </c>
      <c r="BS237" s="47">
        <f t="shared" si="174"/>
        <v>39.625</v>
      </c>
      <c r="BT237" s="47"/>
      <c r="BU237" s="45">
        <f>('[2]Renewable Diesel'!Y246*'[2]Feedstock Conversion Rates'!B$7)/12</f>
        <v>2.6833333333333331</v>
      </c>
      <c r="BV237" s="47">
        <f t="shared" si="153"/>
        <v>2.6833333333333331</v>
      </c>
      <c r="BW237" s="45">
        <f>('[2]Renewable Diesel'!$Z246*'[2]RD Feedstock Breakdown'!BW$3*'[2]Feedstock Conversion Rates'!$B$4)/12</f>
        <v>53.90625</v>
      </c>
      <c r="BX237" s="45">
        <f>('[2]Renewable Diesel'!$Z246*'[2]RD Feedstock Breakdown'!BX$3*'[2]Feedstock Conversion Rates'!$B$5)/12</f>
        <v>5.4265624999999993</v>
      </c>
      <c r="BY237" s="45">
        <f>('[2]Renewable Diesel'!$Z246*'[2]RD Feedstock Breakdown'!BY$3*'[2]Feedstock Conversion Rates'!$B$7)/12</f>
        <v>46.287499999999994</v>
      </c>
      <c r="BZ237" s="45">
        <f>('[2]Renewable Diesel'!$Z246*'[2]RD Feedstock Breakdown'!BZ$3*'[2]Feedstock Conversion Rates'!$B$3)/12</f>
        <v>11.514374999999999</v>
      </c>
      <c r="CA237" s="47">
        <f t="shared" si="181"/>
        <v>117.1346875</v>
      </c>
      <c r="CB237" s="45">
        <f>('[2]Renewable Diesel'!AA246*'[2]Feedstock Conversion Rates'!B$4)/12</f>
        <v>191.25</v>
      </c>
      <c r="CC237" s="47">
        <f t="shared" si="171"/>
        <v>191.25</v>
      </c>
      <c r="CD237" s="45">
        <f>('[2]Renewable Diesel'!$AB246*'[2]RD Feedstock Breakdown'!CD$3*'[2]Feedstock Conversion Rates'!$B$6)/12-15</f>
        <v>17.830000000000005</v>
      </c>
      <c r="CE237" s="45">
        <f>('[2]Renewable Diesel'!$AB246*'[2]RD Feedstock Breakdown'!CE$3*'[2]Feedstock Conversion Rates'!$B$4)/12+15</f>
        <v>26.25</v>
      </c>
      <c r="CF237" s="47">
        <f t="shared" si="161"/>
        <v>44.080000000000005</v>
      </c>
      <c r="CG237" s="45">
        <f>('[2]Renewable Diesel'!AD246*'[2]Feedstock Conversion Rates'!B$4)/12</f>
        <v>112.5</v>
      </c>
      <c r="CH237" s="47">
        <f t="shared" si="149"/>
        <v>112.5</v>
      </c>
      <c r="CI237" s="45">
        <f>('[2]Renewable Diesel'!$AE246*'[2]RD Feedstock Breakdown'!CI$3*'[2]Feedstock Conversion Rates'!$B$5)/12</f>
        <v>0.34604166666666664</v>
      </c>
      <c r="CJ237" s="45">
        <f>('[2]Renewable Diesel'!$AE246*'[2]RD Feedstock Breakdown'!CJ$3*'[2]Feedstock Conversion Rates'!$B$4)/12</f>
        <v>0.34375</v>
      </c>
      <c r="CK237" s="47">
        <f t="shared" si="158"/>
        <v>0.68979166666666658</v>
      </c>
      <c r="CL237" s="45">
        <f>(((CL$3*'[2]Renewable Diesel'!$AF246)*'[2]Feedstock Conversion Rates'!$B$3)/12)</f>
        <v>91.78125</v>
      </c>
      <c r="CM237" s="45">
        <f>(((CM$3*'[2]Renewable Diesel'!$AF246)*'[2]Feedstock Conversion Rates'!$B$6)/12)</f>
        <v>53.739583333333336</v>
      </c>
      <c r="CN237" s="45">
        <f>(((CN$3*'[2]Renewable Diesel'!$AF246)*'[2]Feedstock Conversion Rates'!$B$4)/12)</f>
        <v>42.96875</v>
      </c>
      <c r="CO237" s="47">
        <f t="shared" si="152"/>
        <v>188.48958333333334</v>
      </c>
      <c r="CP237" s="45">
        <f>('[2]Renewable Diesel'!$AG246*'[2]RD Feedstock Breakdown'!CP$3*'[2]Feedstock Conversion Rates'!$B$3)/12</f>
        <v>6.0075000000000003</v>
      </c>
      <c r="CQ237" s="45">
        <f>('[2]Renewable Diesel'!$AG246*'[2]RD Feedstock Breakdown'!CQ$3*'[2]Feedstock Conversion Rates'!$B$6)/12</f>
        <v>3.5175000000000001</v>
      </c>
      <c r="CR237" s="45">
        <f>('[2]Renewable Diesel'!$AG246*'[2]RD Feedstock Breakdown'!CR$3*'[2]Feedstock Conversion Rates'!$B$4)/12</f>
        <v>2.8125</v>
      </c>
      <c r="CS237" s="47">
        <f t="shared" si="99"/>
        <v>12.3375</v>
      </c>
      <c r="CT237" s="45">
        <f>('[2]Renewable Diesel'!AI246*'[2]Feedstock Conversion Rates'!$B$4*'[2]RD Feedstock Breakdown'!$CT$3)/12</f>
        <v>29.375</v>
      </c>
      <c r="CU237" s="47">
        <f t="shared" si="154"/>
        <v>29.375</v>
      </c>
      <c r="CV237" s="45">
        <f>('[2]Renewable Diesel'!AN246*'[2]Feedstock Conversion Rates'!$B$3*'[2]RD Feedstock Breakdown'!$CV$3)/12</f>
        <v>0.50062499999999999</v>
      </c>
      <c r="CW237" s="47">
        <f t="shared" si="124"/>
        <v>0.50062499999999999</v>
      </c>
      <c r="CX237" s="45">
        <f>('[2]Renewable Diesel'!AO246*'[2]RD Feedstock Breakdown'!$CX$3*'[2]Feedstock Conversion Rates'!$B$3)/12</f>
        <v>6.3412499999999996</v>
      </c>
      <c r="CY237" s="45">
        <f>('[2]Renewable Diesel'!AO246*'[2]RD Feedstock Breakdown'!$CY$3*'[2]Feedstock Conversion Rates'!$B$6)/12</f>
        <v>7.4258333333333342</v>
      </c>
      <c r="CZ237" s="47">
        <f t="shared" si="100"/>
        <v>13.767083333333334</v>
      </c>
      <c r="DA237" s="45">
        <f>('[2]Renewable Diesel'!$AP246*'[2]RD Feedstock Breakdown'!DA$3*'[2]Feedstock Conversion Rates'!$B$3)/12</f>
        <v>6.3412499999999996</v>
      </c>
      <c r="DB237" s="45">
        <f>('[2]Renewable Diesel'!$AP246*'[2]RD Feedstock Breakdown'!DB$3*'[2]Feedstock Conversion Rates'!$B$8)/12</f>
        <v>7.421875</v>
      </c>
      <c r="DC237" s="47">
        <f t="shared" si="127"/>
        <v>13.763124999999999</v>
      </c>
      <c r="DD237" s="45">
        <f>('[2]Renewable Diesel'!AQ246*$DD$3*'[2]Feedstock Conversion Rates'!$B$14)/12</f>
        <v>3.1041666666666665</v>
      </c>
      <c r="DE237" s="47">
        <f t="shared" si="128"/>
        <v>3.1041666666666665</v>
      </c>
      <c r="DF237" s="45">
        <f>('[2]Renewable Diesel'!AR246*'[2]Feedstock Conversion Rates'!$B$4*$DF$3)/12</f>
        <v>75</v>
      </c>
      <c r="DG237" s="47">
        <f t="shared" si="101"/>
        <v>75</v>
      </c>
      <c r="DH237" s="45">
        <f>('[2]Renewable Diesel'!AS246*'[2]Feedstock Conversion Rates'!$B$4*$DH$3)/12</f>
        <v>75</v>
      </c>
      <c r="DI237" s="47">
        <f t="shared" si="110"/>
        <v>75</v>
      </c>
      <c r="DJ237" s="45">
        <f>('[2]Renewable Diesel'!AT246*'[2]Feedstock Conversion Rates'!$B$4*0.25)/12</f>
        <v>8.59375</v>
      </c>
      <c r="DK237" s="45">
        <f>('[2]Renewable Diesel'!$AT246*'[2]RD Feedstock Breakdown'!DK$3*'[2]Feedstock Conversion Rates'!$B$3)/12*0.5</f>
        <v>9.1781249999999996</v>
      </c>
      <c r="DL237" s="45">
        <f>('[2]Renewable Diesel'!$AT246*'[2]RD Feedstock Breakdown'!$DL$3*'[2]Feedstock Conversion Rates'!$B$6)/12</f>
        <v>10.747916666666669</v>
      </c>
      <c r="DM237" s="45">
        <f>('[2]Renewable Diesel'!$AT246*'[2]RD Feedstock Breakdown'!$DM$3*'[2]Feedstock Conversion Rates'!$B$8)/12</f>
        <v>10.7421875</v>
      </c>
      <c r="DN237" s="47">
        <f t="shared" si="169"/>
        <v>39.26197916666667</v>
      </c>
      <c r="DP237" s="45">
        <f t="shared" si="130"/>
        <v>116.72025000000001</v>
      </c>
      <c r="DQ237" s="45">
        <f t="shared" si="131"/>
        <v>604.27964249999991</v>
      </c>
      <c r="DR237" s="45">
        <f t="shared" si="136"/>
        <v>1927.984375</v>
      </c>
      <c r="DS237" s="45">
        <f t="shared" si="155"/>
        <v>96.592395833333342</v>
      </c>
      <c r="DT237" s="45">
        <f t="shared" si="132"/>
        <v>240.53923333333344</v>
      </c>
      <c r="DU237" s="45">
        <f t="shared" si="133"/>
        <v>219.97693333333333</v>
      </c>
      <c r="DV237" s="45">
        <f t="shared" si="137"/>
        <v>7.5</v>
      </c>
      <c r="DW237" s="45">
        <f t="shared" si="134"/>
        <v>3</v>
      </c>
      <c r="DX237" s="47">
        <f t="shared" si="138"/>
        <v>3216.59283</v>
      </c>
      <c r="DY237" s="50">
        <f t="shared" si="126"/>
        <v>-135.00000000000014</v>
      </c>
      <c r="EA237" s="51">
        <f t="shared" si="117"/>
        <v>3.6286921027552002E-2</v>
      </c>
      <c r="EB237" s="51">
        <f t="shared" si="117"/>
        <v>0.18786326850700588</v>
      </c>
      <c r="EC237" s="51">
        <f t="shared" si="117"/>
        <v>0.59938713940365274</v>
      </c>
      <c r="ED237" s="51">
        <f t="shared" si="114"/>
        <v>3.0029413400555687E-2</v>
      </c>
      <c r="EE237" s="51">
        <f t="shared" si="114"/>
        <v>7.4780752817052515E-2</v>
      </c>
      <c r="EF237" s="51">
        <f t="shared" si="114"/>
        <v>6.8388181208913948E-2</v>
      </c>
      <c r="EG237" s="51">
        <f t="shared" si="114"/>
        <v>2.3316597394765692E-3</v>
      </c>
      <c r="EH237" s="52">
        <f t="shared" si="139"/>
        <v>9.3266389579062757E-4</v>
      </c>
      <c r="EI237" s="51">
        <f t="shared" si="140"/>
        <v>0.99906733610420939</v>
      </c>
      <c r="EK237" s="53">
        <f>(EA237*'[2]Renewable Diesel'!BF246*'[2]Feedstock Conversion Rates'!B$2)+FB237</f>
        <v>150.91195853034316</v>
      </c>
      <c r="EL237" s="53">
        <f>(EB237*'[2]Renewable Diesel'!BF246*'[2]Feedstock Conversion Rates'!B$3)+FC237</f>
        <v>736.25625982388146</v>
      </c>
      <c r="EM237" s="53">
        <f>(EC237*'[2]Renewable Diesel'!BF246*'[2]Feedstock Conversion Rates'!B$4)+FD237</f>
        <v>2199.496594588717</v>
      </c>
      <c r="EN237" s="53">
        <f>(ED237*'[2]Renewable Diesel'!BF246*'[2]Feedstock Conversion Rates'!B$5)+FE237</f>
        <v>110.92984610066628</v>
      </c>
      <c r="EO237" s="53">
        <f>(EE237*'[2]Renewable Diesel'!BF246*'[2]Feedstock Conversion Rates'!B$6)+FF237</f>
        <v>343.20000175145651</v>
      </c>
      <c r="EP237" s="53">
        <f>(EF237*'[2]Renewable Diesel'!BF246*'[2]Feedstock Conversion Rates'!B$7)+FG237</f>
        <v>307.8388948695756</v>
      </c>
      <c r="EQ237" s="53">
        <f>(EG237*'[2]Renewable Diesel'!BF246*'[2]Feedstock Conversion Rates'!B$8)+FH237</f>
        <v>10.695252949998221</v>
      </c>
      <c r="ER237" s="53">
        <f>(EH237*'[2]Renewable Diesel'!BF246*'[2]Feedstock Conversion Rates'!B$9)+FI237</f>
        <v>4.2210598309326297</v>
      </c>
      <c r="ES237" s="53">
        <f t="shared" si="141"/>
        <v>3863.5498684455706</v>
      </c>
      <c r="ET237" s="36">
        <f>ES237/'[2]Renewable Diesel'!BF246</f>
        <v>7.896450405816517</v>
      </c>
    </row>
    <row r="238" spans="1:150" x14ac:dyDescent="0.25">
      <c r="A238" s="39">
        <v>47665</v>
      </c>
      <c r="B238" s="45">
        <f t="shared" si="175"/>
        <v>3</v>
      </c>
      <c r="C238" s="45">
        <f t="shared" si="176"/>
        <v>55</v>
      </c>
      <c r="D238" s="45">
        <f t="shared" si="177"/>
        <v>2</v>
      </c>
      <c r="E238" s="45">
        <f>('[2]Renewable Diesel'!B247*E$3*'[2]Feedstock Conversion Rates'!$B$2)/12-57.5+8+12.5+52.5-76+18+23+45+50-5-24-2.5-10+23-47+6-0.5</f>
        <v>105.43</v>
      </c>
      <c r="F238" s="45">
        <f>('[2]Renewable Diesel'!B247*'[2]RD Feedstock Breakdown'!F$3*'[2]Feedstock Conversion Rates'!B$8)/12-5-4-2.25+5+19-52+5+17+9+2-33+8.5-15</f>
        <v>8.15625</v>
      </c>
      <c r="G238" s="45">
        <f>('[2]Renewable Diesel'!B247*'[2]RD Feedstock Breakdown'!G$3*'[2]Feedstock Conversion Rates'!B$7)/12-72.5+5.25-57.5-31+32+70-30+10-45-25-7.5+5-10+5</f>
        <v>24.907000000000011</v>
      </c>
      <c r="H238" s="45">
        <f>('[2]Renewable Diesel'!B247*'[2]RD Feedstock Breakdown'!H$3*'[2]Feedstock Conversion Rates'!B$3)/12-105+15+129-182+15-4+51+50-5-30-5+185+7</f>
        <v>297.40022499999998</v>
      </c>
      <c r="I238" s="47">
        <f t="shared" si="160"/>
        <v>495.89347499999997</v>
      </c>
      <c r="J238" s="45">
        <f t="shared" si="178"/>
        <v>45.75</v>
      </c>
      <c r="K238" s="45"/>
      <c r="L238" s="45">
        <v>1</v>
      </c>
      <c r="M238" s="45">
        <f>('[2]Renewable Diesel'!C247*'[2]RD Feedstock Breakdown'!M$3*'[2]Feedstock Conversion Rates'!B$2)/12-18.5+2-38+5+3-1+25+26</f>
        <v>11.29025</v>
      </c>
      <c r="N238" s="45">
        <f>('[2]Renewable Diesel'!C247*'[2]RD Feedstock Breakdown'!N$3*'[2]Feedstock Conversion Rates'!B$8)/12-2.5+36-47.5+6.25+4+10-2.5-20-15</f>
        <v>-27.578125</v>
      </c>
      <c r="O238" s="45">
        <f>('[2]Renewable Diesel'!C247*'[2]RD Feedstock Breakdown'!O$3*'[2]Feedstock Conversion Rates'!B$7)/12-30-60-19+29+20-20+45-20+10</f>
        <v>-33.000900000000001</v>
      </c>
      <c r="P238" s="45">
        <f>('[2]Renewable Diesel'!C247*'[2]RD Feedstock Breakdown'!P$3*'[2]Feedstock Conversion Rates'!B$3)/12-12+25-97+35+25+50+20-100+75+5</f>
        <v>36.447042500000009</v>
      </c>
      <c r="Q238" s="47">
        <f t="shared" si="172"/>
        <v>33.908267500000008</v>
      </c>
      <c r="R238" s="45">
        <f>('[2]Renewable Diesel'!D247*'[2]RD Feedstock Breakdown'!R$3*'[2]Feedstock Conversion Rates'!B$7)/12</f>
        <v>2.2999999999999998</v>
      </c>
      <c r="S238" s="47">
        <f t="shared" si="116"/>
        <v>2.2999999999999998</v>
      </c>
      <c r="T238" s="45">
        <f t="shared" si="179"/>
        <v>5.8250000000000028</v>
      </c>
      <c r="U238" s="45">
        <v>30</v>
      </c>
      <c r="V238" s="45">
        <f>('[2]Renewable Diesel'!E247*'[2]RD Feedstock Breakdown'!V$3*'[2]Feedstock Conversion Rates'!B$6)/12-20+25-35</f>
        <v>14.250150000000012</v>
      </c>
      <c r="W238" s="45">
        <f>('[2]Renewable Diesel'!E247*'[2]RD Feedstock Breakdown'!W$3*'[2]Feedstock Conversion Rates'!B$8)/12-6</f>
        <v>16.1796875</v>
      </c>
      <c r="X238" s="47">
        <f t="shared" si="147"/>
        <v>66.254837500000008</v>
      </c>
      <c r="Y238" s="45">
        <f t="shared" si="180"/>
        <v>126.5</v>
      </c>
      <c r="Z238" s="45">
        <f>('[2]Renewable Diesel'!F247*'[2]RD Feedstock Breakdown'!Z$3*'[2]Feedstock Conversion Rates'!B$6)/12-50-32-60+15+15+50-75+65-6-30+9+2+7</f>
        <v>69.460000000000008</v>
      </c>
      <c r="AA238" s="45">
        <f>('[2]Renewable Diesel'!F247*'[2]RD Feedstock Breakdown'!AA$3*'[2]Feedstock Conversion Rates'!B$7)/12+80-171+75+30+5-52.5-3</f>
        <v>67.766666666666652</v>
      </c>
      <c r="AB238" s="47">
        <f t="shared" si="102"/>
        <v>263.72666666666669</v>
      </c>
      <c r="AC238" s="45">
        <f>('[2]Renewable Diesel'!G247*'[2]RD Feedstock Breakdown'!AC$3*'[2]Feedstock Conversion Rates'!B$5)/12</f>
        <v>11.796875</v>
      </c>
      <c r="AD238" s="45">
        <f>('[2]Renewable Diesel'!G247*'[2]RD Feedstock Breakdown'!AD$3*'[2]Feedstock Conversion Rates'!B$4)/12</f>
        <v>5.859375</v>
      </c>
      <c r="AE238" s="45">
        <f>('[2]Renewable Diesel'!G247*'[2]RD Feedstock Breakdown'!AE$3*'[2]Feedstock Conversion Rates'!B$6)/12</f>
        <v>7.3281250000000009</v>
      </c>
      <c r="AF238" s="47">
        <f t="shared" si="156"/>
        <v>24.984375</v>
      </c>
      <c r="AG238" s="45">
        <f t="shared" si="182"/>
        <v>6.5</v>
      </c>
      <c r="AH238" s="45">
        <v>135</v>
      </c>
      <c r="AI238" s="45">
        <f>('[2]Renewable Diesel'!H247*'[2]RD Feedstock Breakdown'!AI$3*'[2]Feedstock Conversion Rates'!B$6)/12-130-20+51-120+105-42.5+20-5</f>
        <v>7.0166666666666799</v>
      </c>
      <c r="AJ238" s="47">
        <f t="shared" si="113"/>
        <v>13.51666666666668</v>
      </c>
      <c r="AK238" s="45">
        <f>('[2]Renewable Diesel'!J247*'[2]RD Feedstock Breakdown'!AK$3*'[2]Feedstock Conversion Rates'!B$4)/12</f>
        <v>95.8125</v>
      </c>
      <c r="AL238" s="47">
        <f t="shared" si="123"/>
        <v>95.8125</v>
      </c>
      <c r="AM238" s="45">
        <f>('[2]Renewable Diesel'!K247*'[2]RD Feedstock Breakdown'!AM$3*'[2]Feedstock Conversion Rates'!B$4)/12+5+15-10+9-27</f>
        <v>50.59375</v>
      </c>
      <c r="AN238" s="45">
        <f>('[2]Renewable Diesel'!K247*'[2]RD Feedstock Breakdown'!AN$3*'[2]Feedstock Conversion Rates'!B$6)/12-5-15+10-9+27</f>
        <v>32.427083333333329</v>
      </c>
      <c r="AO238" s="47">
        <f t="shared" si="135"/>
        <v>83.020833333333329</v>
      </c>
      <c r="AP238" s="45">
        <f>('[2]Renewable Diesel'!L247*'[2]RD Feedstock Breakdown'!AP$3*'[2]Feedstock Conversion Rates'!B$4)/12+15-10+14</f>
        <v>77.59375</v>
      </c>
      <c r="AQ238" s="45">
        <f>('[2]Renewable Diesel'!L247*'[2]RD Feedstock Breakdown'!AQ$3*'[2]Feedstock Conversion Rates'!B$6)/12-15+10-14</f>
        <v>5.4270833333333321</v>
      </c>
      <c r="AR238" s="47">
        <f t="shared" si="125"/>
        <v>83.020833333333329</v>
      </c>
      <c r="AS238" s="45">
        <f>('[2]Renewable Diesel'!M247*'[2]RD Feedstock Breakdown'!AS$3*'[2]Feedstock Conversion Rates'!B$4)/12</f>
        <v>456.25</v>
      </c>
      <c r="AT238" s="45">
        <f>('[2]Renewable Diesel'!M247*'[2]RD Feedstock Breakdown'!AT$3*'[2]Feedstock Conversion Rates'!B$5)/12</f>
        <v>0</v>
      </c>
      <c r="AU238" s="47">
        <f t="shared" si="159"/>
        <v>456.25</v>
      </c>
      <c r="AV238" s="45">
        <f>'[2]Renewable Diesel'!N247*'[2]RD Feedstock Breakdown'!$AV$3*'[2]Feedstock Conversion Rates'!$B$4/12-15-10+25+25-22-40</f>
        <v>41.749999999999986</v>
      </c>
      <c r="AW238" s="45">
        <f>'[2]Renewable Diesel'!N247*'[2]RD Feedstock Breakdown'!$AW$3*'[2]Feedstock Conversion Rates'!$B$7/12+15+10-25-25+22+40</f>
        <v>78.400000000000006</v>
      </c>
      <c r="AX238" s="47">
        <f t="shared" si="109"/>
        <v>120.14999999999999</v>
      </c>
      <c r="AY238" s="45">
        <f>('[2]Renewable Diesel'!O247*'[2]RD Feedstock Breakdown'!AY$3*'[2]Feedstock Conversion Rates'!B$4)/12+32+2-135</f>
        <v>109.9375</v>
      </c>
      <c r="AZ238" s="45">
        <f>('[2]Renewable Diesel'!O247*'[2]RD Feedstock Breakdown'!AZ$3*'[2]Feedstock Conversion Rates'!B$3)/12-32-2+135</f>
        <v>126.03125</v>
      </c>
      <c r="BA238" s="47">
        <f t="shared" si="173"/>
        <v>235.96875</v>
      </c>
      <c r="BB238" s="45">
        <f>('[2]Renewable Diesel'!Q247*'[2]RD Feedstock Breakdown'!BB$3*'[2]Feedstock Conversion Rates'!B$4)/12-10</f>
        <v>1.1562499999999982</v>
      </c>
      <c r="BC238" s="45">
        <f>('[2]Renewable Diesel'!Q247*'[2]RD Feedstock Breakdown'!BC$3*'[2]Feedstock Conversion Rates'!B$3)/12+10</f>
        <v>11.40175</v>
      </c>
      <c r="BD238" s="45">
        <f>('[2]Renewable Diesel'!Q247*'[2]RD Feedstock Breakdown'!BD$3*'[2]Feedstock Conversion Rates'!B$6)/12</f>
        <v>0.8207500000000002</v>
      </c>
      <c r="BE238" s="47">
        <f t="shared" si="151"/>
        <v>13.378749999999998</v>
      </c>
      <c r="BF238" s="45">
        <f>('[2]Renewable Diesel'!R247*'[2]RD Feedstock Breakdown'!BF$3*'[2]Feedstock Conversion Rates'!B$4)/12</f>
        <v>62.5</v>
      </c>
      <c r="BG238" s="47">
        <f t="shared" si="129"/>
        <v>62.5</v>
      </c>
      <c r="BH238" s="45">
        <f>('[2]Renewable Diesel'!T247*'[2]RD Feedstock Breakdown'!BH$3*'[2]Feedstock Conversion Rates'!B$7)/12</f>
        <v>27.599999999999998</v>
      </c>
      <c r="BI238" s="47">
        <f t="shared" si="112"/>
        <v>27.599999999999998</v>
      </c>
      <c r="BJ238" s="45">
        <f>('[2]Renewable Diesel'!W247*'[2]RD Feedstock Breakdown'!BJ$3*'[2]Feedstock Conversion Rates'!B$4)/12</f>
        <v>7.5</v>
      </c>
      <c r="BK238" s="45">
        <f>('[2]Renewable Diesel'!W247*'[2]RD Feedstock Breakdown'!BK$3*'[2]Feedstock Conversion Rates'!B$3)/12</f>
        <v>1.335</v>
      </c>
      <c r="BL238" s="45">
        <f>('[2]Renewable Diesel'!W247*'[2]RD Feedstock Breakdown'!BL$3*'[2]Feedstock Conversion Rates'!B$6)/12</f>
        <v>3.1266666666666669</v>
      </c>
      <c r="BM238" s="45">
        <f>('[2]Renewable Diesel'!W247*'[2]RD Feedstock Breakdown'!BM$3*'[2]Feedstock Conversion Rates'!B$7)/12</f>
        <v>1.5333333333333332</v>
      </c>
      <c r="BN238" s="47">
        <f t="shared" si="168"/>
        <v>13.495000000000001</v>
      </c>
      <c r="BO238" s="45">
        <f>('[2]Renewable Diesel'!P247*'[2]Feedstock Conversion Rates'!B$4)/12</f>
        <v>31.25</v>
      </c>
      <c r="BP238" s="47">
        <f t="shared" si="157"/>
        <v>31.25</v>
      </c>
      <c r="BQ238" s="45">
        <f>('[2]Renewable Diesel'!$S247*'[2]RD Feedstock Breakdown'!BQ$3*'[2]Feedstock Conversion Rates'!B$4)/12+10</f>
        <v>38.125</v>
      </c>
      <c r="BR238" s="45">
        <f>('[2]Renewable Diesel'!$S247*'[2]RD Feedstock Breakdown'!BR$3*'[2]Feedstock Conversion Rates'!B$7)/12-10</f>
        <v>1.5</v>
      </c>
      <c r="BS238" s="47">
        <f t="shared" si="174"/>
        <v>39.625</v>
      </c>
      <c r="BT238" s="47"/>
      <c r="BU238" s="45">
        <f>('[2]Renewable Diesel'!Y247*'[2]Feedstock Conversion Rates'!B$7)/12</f>
        <v>2.6833333333333331</v>
      </c>
      <c r="BV238" s="47">
        <f t="shared" si="153"/>
        <v>2.6833333333333331</v>
      </c>
      <c r="BW238" s="45">
        <f>('[2]Renewable Diesel'!$Z247*'[2]RD Feedstock Breakdown'!BW$3*'[2]Feedstock Conversion Rates'!$B$4)/12</f>
        <v>53.90625</v>
      </c>
      <c r="BX238" s="45">
        <f>('[2]Renewable Diesel'!$Z247*'[2]RD Feedstock Breakdown'!BX$3*'[2]Feedstock Conversion Rates'!$B$5)/12</f>
        <v>5.4265624999999993</v>
      </c>
      <c r="BY238" s="45">
        <f>('[2]Renewable Diesel'!$Z247*'[2]RD Feedstock Breakdown'!BY$3*'[2]Feedstock Conversion Rates'!$B$7)/12</f>
        <v>46.287499999999994</v>
      </c>
      <c r="BZ238" s="45">
        <f>('[2]Renewable Diesel'!$Z247*'[2]RD Feedstock Breakdown'!BZ$3*'[2]Feedstock Conversion Rates'!$B$3)/12</f>
        <v>11.514374999999999</v>
      </c>
      <c r="CA238" s="47">
        <f t="shared" si="181"/>
        <v>117.1346875</v>
      </c>
      <c r="CB238" s="45">
        <f>('[2]Renewable Diesel'!AA247*'[2]Feedstock Conversion Rates'!B$4)/12</f>
        <v>191.25</v>
      </c>
      <c r="CC238" s="47">
        <f t="shared" si="171"/>
        <v>191.25</v>
      </c>
      <c r="CD238" s="45">
        <f>('[2]Renewable Diesel'!$AB247*'[2]RD Feedstock Breakdown'!CD$3*'[2]Feedstock Conversion Rates'!$B$6)/12-15</f>
        <v>17.830000000000005</v>
      </c>
      <c r="CE238" s="45">
        <f>('[2]Renewable Diesel'!$AB247*'[2]RD Feedstock Breakdown'!CE$3*'[2]Feedstock Conversion Rates'!$B$4)/12+15</f>
        <v>26.25</v>
      </c>
      <c r="CF238" s="47">
        <f t="shared" si="161"/>
        <v>44.080000000000005</v>
      </c>
      <c r="CG238" s="45">
        <f>('[2]Renewable Diesel'!AD247*'[2]Feedstock Conversion Rates'!B$4)/12</f>
        <v>112.5</v>
      </c>
      <c r="CH238" s="47">
        <f t="shared" si="149"/>
        <v>112.5</v>
      </c>
      <c r="CI238" s="45">
        <f>('[2]Renewable Diesel'!$AE247*'[2]RD Feedstock Breakdown'!CI$3*'[2]Feedstock Conversion Rates'!$B$5)/12</f>
        <v>0.34604166666666664</v>
      </c>
      <c r="CJ238" s="45">
        <f>('[2]Renewable Diesel'!$AE247*'[2]RD Feedstock Breakdown'!CJ$3*'[2]Feedstock Conversion Rates'!$B$4)/12</f>
        <v>0.34375</v>
      </c>
      <c r="CK238" s="47">
        <f t="shared" si="158"/>
        <v>0.68979166666666658</v>
      </c>
      <c r="CL238" s="45">
        <f>(((CL$3*'[2]Renewable Diesel'!$AF247)*'[2]Feedstock Conversion Rates'!$B$3)/12)</f>
        <v>91.78125</v>
      </c>
      <c r="CM238" s="45">
        <f>(((CM$3*'[2]Renewable Diesel'!$AF247)*'[2]Feedstock Conversion Rates'!$B$6)/12)</f>
        <v>53.739583333333336</v>
      </c>
      <c r="CN238" s="45">
        <f>(((CN$3*'[2]Renewable Diesel'!$AF247)*'[2]Feedstock Conversion Rates'!$B$4)/12)</f>
        <v>42.96875</v>
      </c>
      <c r="CO238" s="47">
        <f t="shared" si="152"/>
        <v>188.48958333333334</v>
      </c>
      <c r="CP238" s="45">
        <f>('[2]Renewable Diesel'!$AG247*'[2]RD Feedstock Breakdown'!CP$3*'[2]Feedstock Conversion Rates'!$B$3)/12</f>
        <v>6.0075000000000003</v>
      </c>
      <c r="CQ238" s="45">
        <f>('[2]Renewable Diesel'!$AG247*'[2]RD Feedstock Breakdown'!CQ$3*'[2]Feedstock Conversion Rates'!$B$6)/12</f>
        <v>3.5175000000000001</v>
      </c>
      <c r="CR238" s="45">
        <f>('[2]Renewable Diesel'!$AG247*'[2]RD Feedstock Breakdown'!CR$3*'[2]Feedstock Conversion Rates'!$B$4)/12</f>
        <v>2.8125</v>
      </c>
      <c r="CS238" s="47">
        <f t="shared" si="99"/>
        <v>12.3375</v>
      </c>
      <c r="CT238" s="45">
        <f>('[2]Renewable Diesel'!AI247*'[2]Feedstock Conversion Rates'!$B$4*'[2]RD Feedstock Breakdown'!$CT$3)/12</f>
        <v>29.375</v>
      </c>
      <c r="CU238" s="47">
        <f t="shared" si="154"/>
        <v>29.375</v>
      </c>
      <c r="CV238" s="45">
        <f>('[2]Renewable Diesel'!AN247*'[2]Feedstock Conversion Rates'!$B$3*'[2]RD Feedstock Breakdown'!$CV$3)/12</f>
        <v>0.50062499999999999</v>
      </c>
      <c r="CW238" s="47">
        <f t="shared" si="124"/>
        <v>0.50062499999999999</v>
      </c>
      <c r="CX238" s="45">
        <f>('[2]Renewable Diesel'!AO247*'[2]RD Feedstock Breakdown'!$CX$3*'[2]Feedstock Conversion Rates'!$B$3)/12</f>
        <v>6.3412499999999996</v>
      </c>
      <c r="CY238" s="45">
        <f>('[2]Renewable Diesel'!AO247*'[2]RD Feedstock Breakdown'!$CY$3*'[2]Feedstock Conversion Rates'!$B$6)/12</f>
        <v>7.4258333333333342</v>
      </c>
      <c r="CZ238" s="47">
        <f t="shared" si="100"/>
        <v>13.767083333333334</v>
      </c>
      <c r="DA238" s="45">
        <f>('[2]Renewable Diesel'!$AP247*'[2]RD Feedstock Breakdown'!DA$3*'[2]Feedstock Conversion Rates'!$B$3)/12</f>
        <v>6.3412499999999996</v>
      </c>
      <c r="DB238" s="45">
        <f>('[2]Renewable Diesel'!$AP247*'[2]RD Feedstock Breakdown'!DB$3*'[2]Feedstock Conversion Rates'!$B$8)/12</f>
        <v>7.421875</v>
      </c>
      <c r="DC238" s="47">
        <f t="shared" si="127"/>
        <v>13.763124999999999</v>
      </c>
      <c r="DD238" s="45">
        <f>('[2]Renewable Diesel'!AQ247*$DD$3*'[2]Feedstock Conversion Rates'!$B$14)/12</f>
        <v>3.1041666666666665</v>
      </c>
      <c r="DE238" s="47">
        <f t="shared" si="128"/>
        <v>3.1041666666666665</v>
      </c>
      <c r="DF238" s="45">
        <f>('[2]Renewable Diesel'!AR247*'[2]Feedstock Conversion Rates'!$B$4*$DF$3)/12</f>
        <v>75</v>
      </c>
      <c r="DG238" s="47">
        <f t="shared" si="101"/>
        <v>75</v>
      </c>
      <c r="DH238" s="45">
        <f>('[2]Renewable Diesel'!AS247*'[2]Feedstock Conversion Rates'!$B$4*$DH$3)/12</f>
        <v>75</v>
      </c>
      <c r="DI238" s="47">
        <f t="shared" si="110"/>
        <v>75</v>
      </c>
      <c r="DJ238" s="45">
        <f>('[2]Renewable Diesel'!AT247*'[2]Feedstock Conversion Rates'!$B$4*0.25)/12</f>
        <v>8.59375</v>
      </c>
      <c r="DK238" s="45">
        <f>('[2]Renewable Diesel'!$AT247*'[2]RD Feedstock Breakdown'!DK$3*'[2]Feedstock Conversion Rates'!$B$3)/12*0.5</f>
        <v>9.1781249999999996</v>
      </c>
      <c r="DL238" s="45">
        <f>('[2]Renewable Diesel'!$AT247*'[2]RD Feedstock Breakdown'!$DL$3*'[2]Feedstock Conversion Rates'!$B$6)/12</f>
        <v>10.747916666666669</v>
      </c>
      <c r="DM238" s="45">
        <f>('[2]Renewable Diesel'!$AT247*'[2]RD Feedstock Breakdown'!$DM$3*'[2]Feedstock Conversion Rates'!$B$8)/12</f>
        <v>10.7421875</v>
      </c>
      <c r="DN238" s="47">
        <f t="shared" si="169"/>
        <v>39.26197916666667</v>
      </c>
      <c r="DP238" s="45">
        <f t="shared" si="130"/>
        <v>116.72025000000001</v>
      </c>
      <c r="DQ238" s="45">
        <f t="shared" si="131"/>
        <v>604.27964249999991</v>
      </c>
      <c r="DR238" s="45">
        <f t="shared" si="136"/>
        <v>1927.984375</v>
      </c>
      <c r="DS238" s="45">
        <f t="shared" si="155"/>
        <v>96.592395833333342</v>
      </c>
      <c r="DT238" s="45">
        <f t="shared" si="132"/>
        <v>240.53923333333344</v>
      </c>
      <c r="DU238" s="45">
        <f t="shared" si="133"/>
        <v>219.97693333333333</v>
      </c>
      <c r="DV238" s="45">
        <f t="shared" si="137"/>
        <v>7.5</v>
      </c>
      <c r="DW238" s="45">
        <f t="shared" si="134"/>
        <v>3</v>
      </c>
      <c r="DX238" s="47">
        <f t="shared" si="138"/>
        <v>3216.59283</v>
      </c>
      <c r="DY238" s="50">
        <f t="shared" si="126"/>
        <v>-135.00000000000014</v>
      </c>
      <c r="EA238" s="51">
        <f t="shared" si="117"/>
        <v>3.6286921027552002E-2</v>
      </c>
      <c r="EB238" s="51">
        <f t="shared" si="117"/>
        <v>0.18786326850700588</v>
      </c>
      <c r="EC238" s="51">
        <f t="shared" si="117"/>
        <v>0.59938713940365274</v>
      </c>
      <c r="ED238" s="51">
        <f t="shared" si="114"/>
        <v>3.0029413400555687E-2</v>
      </c>
      <c r="EE238" s="51">
        <f t="shared" si="114"/>
        <v>7.4780752817052515E-2</v>
      </c>
      <c r="EF238" s="51">
        <f t="shared" si="114"/>
        <v>6.8388181208913948E-2</v>
      </c>
      <c r="EG238" s="51">
        <f t="shared" si="114"/>
        <v>2.3316597394765692E-3</v>
      </c>
      <c r="EH238" s="52">
        <f t="shared" si="139"/>
        <v>9.3266389579062757E-4</v>
      </c>
      <c r="EI238" s="51">
        <f t="shared" si="140"/>
        <v>0.99906733610420939</v>
      </c>
      <c r="EK238" s="53">
        <f>(EA238*'[2]Renewable Diesel'!BF247*'[2]Feedstock Conversion Rates'!B$2)+FB238</f>
        <v>155.86068788868243</v>
      </c>
      <c r="EL238" s="53">
        <f>(EB238*'[2]Renewable Diesel'!BF247*'[2]Feedstock Conversion Rates'!B$3)+FC238</f>
        <v>760.3996942059814</v>
      </c>
      <c r="EM238" s="53">
        <f>(EC238*'[2]Renewable Diesel'!BF247*'[2]Feedstock Conversion Rates'!B$4)+FD238</f>
        <v>2271.6228427483015</v>
      </c>
      <c r="EN238" s="53">
        <f>(ED238*'[2]Renewable Diesel'!BF247*'[2]Feedstock Conversion Rates'!B$5)+FE238</f>
        <v>114.56747555999141</v>
      </c>
      <c r="EO238" s="53">
        <f>(EE238*'[2]Renewable Diesel'!BF247*'[2]Feedstock Conversion Rates'!B$6)+FF238</f>
        <v>354.45427173104889</v>
      </c>
      <c r="EP238" s="53">
        <f>(EF238*'[2]Renewable Diesel'!BF247*'[2]Feedstock Conversion Rates'!B$7)+FG238</f>
        <v>317.93359771165342</v>
      </c>
      <c r="EQ238" s="53">
        <f>(EG238*'[2]Renewable Diesel'!BF247*'[2]Feedstock Conversion Rates'!B$8)+FH238</f>
        <v>11.045973414989597</v>
      </c>
      <c r="ER238" s="53">
        <f>(EH238*'[2]Renewable Diesel'!BF247*'[2]Feedstock Conversion Rates'!B$9)+FI238</f>
        <v>4.3594775077825592</v>
      </c>
      <c r="ES238" s="53">
        <f t="shared" si="141"/>
        <v>3990.2440207684308</v>
      </c>
      <c r="ET238" s="36">
        <f>ES238/'[2]Renewable Diesel'!BF247</f>
        <v>7.8964504058165161</v>
      </c>
    </row>
    <row r="239" spans="1:150" x14ac:dyDescent="0.25">
      <c r="A239" s="39">
        <v>47696</v>
      </c>
      <c r="B239" s="45">
        <f t="shared" si="175"/>
        <v>3</v>
      </c>
      <c r="C239" s="45">
        <f t="shared" si="176"/>
        <v>55</v>
      </c>
      <c r="D239" s="45">
        <f t="shared" si="177"/>
        <v>2</v>
      </c>
      <c r="E239" s="45">
        <f>('[2]Renewable Diesel'!B248*E$3*'[2]Feedstock Conversion Rates'!$B$2)/12-57.5+8+12.5+52.5-76+18+23+45+50-5-24-2.5-10+23-47+6-0.5</f>
        <v>105.43</v>
      </c>
      <c r="F239" s="45">
        <f>('[2]Renewable Diesel'!B248*'[2]RD Feedstock Breakdown'!F$3*'[2]Feedstock Conversion Rates'!B$8)/12-5-4-2.25+5+19-52+5+17+9+2-33+8.5-15</f>
        <v>8.15625</v>
      </c>
      <c r="G239" s="45">
        <f>('[2]Renewable Diesel'!B248*'[2]RD Feedstock Breakdown'!G$3*'[2]Feedstock Conversion Rates'!B$7)/12-72.5+5.25-57.5-31+32+70-30+10-45-25-7.5+5-10+5</f>
        <v>24.907000000000011</v>
      </c>
      <c r="H239" s="45">
        <f>('[2]Renewable Diesel'!B248*'[2]RD Feedstock Breakdown'!H$3*'[2]Feedstock Conversion Rates'!B$3)/12-105+15+129-182+15-4+51+50-5-30-5+185+7</f>
        <v>297.40022499999998</v>
      </c>
      <c r="I239" s="47">
        <f t="shared" si="160"/>
        <v>495.89347499999997</v>
      </c>
      <c r="J239" s="45">
        <f t="shared" si="178"/>
        <v>45.75</v>
      </c>
      <c r="K239" s="45"/>
      <c r="L239" s="45">
        <v>1</v>
      </c>
      <c r="M239" s="45">
        <f>('[2]Renewable Diesel'!C248*'[2]RD Feedstock Breakdown'!M$3*'[2]Feedstock Conversion Rates'!B$2)/12-18.5+2-38+5+3-1+25+26</f>
        <v>11.29025</v>
      </c>
      <c r="N239" s="45">
        <f>('[2]Renewable Diesel'!C248*'[2]RD Feedstock Breakdown'!N$3*'[2]Feedstock Conversion Rates'!B$8)/12-2.5+36-47.5+6.25+4+10-2.5-20-15</f>
        <v>-27.578125</v>
      </c>
      <c r="O239" s="45">
        <f>('[2]Renewable Diesel'!C248*'[2]RD Feedstock Breakdown'!O$3*'[2]Feedstock Conversion Rates'!B$7)/12-30-60-19+29+20-20+45-20+10</f>
        <v>-33.000900000000001</v>
      </c>
      <c r="P239" s="45">
        <f>('[2]Renewable Diesel'!C248*'[2]RD Feedstock Breakdown'!P$3*'[2]Feedstock Conversion Rates'!B$3)/12-12+25-97+35+25+50+20-100+75+5</f>
        <v>36.447042500000009</v>
      </c>
      <c r="Q239" s="47">
        <f t="shared" si="172"/>
        <v>33.908267500000008</v>
      </c>
      <c r="R239" s="45">
        <f>('[2]Renewable Diesel'!D248*'[2]RD Feedstock Breakdown'!R$3*'[2]Feedstock Conversion Rates'!B$7)/12</f>
        <v>2.2999999999999998</v>
      </c>
      <c r="S239" s="47">
        <f t="shared" si="116"/>
        <v>2.2999999999999998</v>
      </c>
      <c r="T239" s="45">
        <f t="shared" si="179"/>
        <v>5.8250000000000028</v>
      </c>
      <c r="U239" s="45">
        <v>30</v>
      </c>
      <c r="V239" s="45">
        <f>('[2]Renewable Diesel'!E248*'[2]RD Feedstock Breakdown'!V$3*'[2]Feedstock Conversion Rates'!B$6)/12-20+25-35</f>
        <v>14.250150000000012</v>
      </c>
      <c r="W239" s="45">
        <f>('[2]Renewable Diesel'!E248*'[2]RD Feedstock Breakdown'!W$3*'[2]Feedstock Conversion Rates'!B$8)/12-6</f>
        <v>16.1796875</v>
      </c>
      <c r="X239" s="47">
        <f t="shared" si="147"/>
        <v>66.254837500000008</v>
      </c>
      <c r="Y239" s="45">
        <f t="shared" si="180"/>
        <v>126.5</v>
      </c>
      <c r="Z239" s="45">
        <f>('[2]Renewable Diesel'!F248*'[2]RD Feedstock Breakdown'!Z$3*'[2]Feedstock Conversion Rates'!B$6)/12-50-32-60+15+15+50-75+65-6-30+9+2+7</f>
        <v>69.460000000000008</v>
      </c>
      <c r="AA239" s="45">
        <f>('[2]Renewable Diesel'!F248*'[2]RD Feedstock Breakdown'!AA$3*'[2]Feedstock Conversion Rates'!B$7)/12+80-171+75+30+5-52.5-3</f>
        <v>67.766666666666652</v>
      </c>
      <c r="AB239" s="47">
        <f t="shared" si="102"/>
        <v>263.72666666666669</v>
      </c>
      <c r="AC239" s="45">
        <f>('[2]Renewable Diesel'!G248*'[2]RD Feedstock Breakdown'!AC$3*'[2]Feedstock Conversion Rates'!B$5)/12</f>
        <v>11.796875</v>
      </c>
      <c r="AD239" s="45">
        <f>('[2]Renewable Diesel'!G248*'[2]RD Feedstock Breakdown'!AD$3*'[2]Feedstock Conversion Rates'!B$4)/12</f>
        <v>5.859375</v>
      </c>
      <c r="AE239" s="45">
        <f>('[2]Renewable Diesel'!G248*'[2]RD Feedstock Breakdown'!AE$3*'[2]Feedstock Conversion Rates'!B$6)/12</f>
        <v>7.3281250000000009</v>
      </c>
      <c r="AF239" s="47">
        <f t="shared" si="156"/>
        <v>24.984375</v>
      </c>
      <c r="AG239" s="45">
        <f t="shared" si="182"/>
        <v>6.5</v>
      </c>
      <c r="AH239" s="45">
        <v>135</v>
      </c>
      <c r="AI239" s="45">
        <f>('[2]Renewable Diesel'!H248*'[2]RD Feedstock Breakdown'!AI$3*'[2]Feedstock Conversion Rates'!B$6)/12-130-20+51-120+105-42.5+20-5</f>
        <v>7.0166666666666799</v>
      </c>
      <c r="AJ239" s="47">
        <f t="shared" si="113"/>
        <v>13.51666666666668</v>
      </c>
      <c r="AK239" s="45">
        <f>('[2]Renewable Diesel'!J248*'[2]RD Feedstock Breakdown'!AK$3*'[2]Feedstock Conversion Rates'!B$4)/12</f>
        <v>95.8125</v>
      </c>
      <c r="AL239" s="47">
        <f t="shared" si="123"/>
        <v>95.8125</v>
      </c>
      <c r="AM239" s="45">
        <f>('[2]Renewable Diesel'!K248*'[2]RD Feedstock Breakdown'!AM$3*'[2]Feedstock Conversion Rates'!B$4)/12+5+15-10+9-27</f>
        <v>50.59375</v>
      </c>
      <c r="AN239" s="45">
        <f>('[2]Renewable Diesel'!K248*'[2]RD Feedstock Breakdown'!AN$3*'[2]Feedstock Conversion Rates'!B$6)/12-5-15+10-9+27</f>
        <v>32.427083333333329</v>
      </c>
      <c r="AO239" s="47">
        <f t="shared" si="135"/>
        <v>83.020833333333329</v>
      </c>
      <c r="AP239" s="45">
        <f>('[2]Renewable Diesel'!L248*'[2]RD Feedstock Breakdown'!AP$3*'[2]Feedstock Conversion Rates'!B$4)/12+15-10+14</f>
        <v>77.59375</v>
      </c>
      <c r="AQ239" s="45">
        <f>('[2]Renewable Diesel'!L248*'[2]RD Feedstock Breakdown'!AQ$3*'[2]Feedstock Conversion Rates'!B$6)/12-15+10-14</f>
        <v>5.4270833333333321</v>
      </c>
      <c r="AR239" s="47">
        <f t="shared" si="125"/>
        <v>83.020833333333329</v>
      </c>
      <c r="AS239" s="45">
        <f>('[2]Renewable Diesel'!M248*'[2]RD Feedstock Breakdown'!AS$3*'[2]Feedstock Conversion Rates'!B$4)/12</f>
        <v>456.25</v>
      </c>
      <c r="AT239" s="45">
        <f>('[2]Renewable Diesel'!M248*'[2]RD Feedstock Breakdown'!AT$3*'[2]Feedstock Conversion Rates'!B$5)/12</f>
        <v>0</v>
      </c>
      <c r="AU239" s="47">
        <f t="shared" si="159"/>
        <v>456.25</v>
      </c>
      <c r="AV239" s="45">
        <f>'[2]Renewable Diesel'!N248*'[2]RD Feedstock Breakdown'!$AV$3*'[2]Feedstock Conversion Rates'!$B$4/12-15-10+25+25-22-40</f>
        <v>41.749999999999986</v>
      </c>
      <c r="AW239" s="45">
        <f>'[2]Renewable Diesel'!N248*'[2]RD Feedstock Breakdown'!$AW$3*'[2]Feedstock Conversion Rates'!$B$7/12+15+10-25-25+22+40</f>
        <v>78.400000000000006</v>
      </c>
      <c r="AX239" s="47">
        <f t="shared" si="109"/>
        <v>120.14999999999999</v>
      </c>
      <c r="AY239" s="45">
        <f>('[2]Renewable Diesel'!O248*'[2]RD Feedstock Breakdown'!AY$3*'[2]Feedstock Conversion Rates'!B$4)/12+32+2-135</f>
        <v>109.9375</v>
      </c>
      <c r="AZ239" s="45">
        <f>('[2]Renewable Diesel'!O248*'[2]RD Feedstock Breakdown'!AZ$3*'[2]Feedstock Conversion Rates'!B$3)/12-32-2+135</f>
        <v>126.03125</v>
      </c>
      <c r="BA239" s="47">
        <f t="shared" si="173"/>
        <v>235.96875</v>
      </c>
      <c r="BB239" s="45">
        <f>('[2]Renewable Diesel'!Q248*'[2]RD Feedstock Breakdown'!BB$3*'[2]Feedstock Conversion Rates'!B$4)/12-10</f>
        <v>1.1562499999999982</v>
      </c>
      <c r="BC239" s="45">
        <f>('[2]Renewable Diesel'!Q248*'[2]RD Feedstock Breakdown'!BC$3*'[2]Feedstock Conversion Rates'!B$3)/12+10</f>
        <v>11.40175</v>
      </c>
      <c r="BD239" s="45">
        <f>('[2]Renewable Diesel'!Q248*'[2]RD Feedstock Breakdown'!BD$3*'[2]Feedstock Conversion Rates'!B$6)/12</f>
        <v>0.8207500000000002</v>
      </c>
      <c r="BE239" s="47">
        <f t="shared" si="151"/>
        <v>13.378749999999998</v>
      </c>
      <c r="BF239" s="45">
        <f>('[2]Renewable Diesel'!R248*'[2]RD Feedstock Breakdown'!BF$3*'[2]Feedstock Conversion Rates'!B$4)/12</f>
        <v>62.5</v>
      </c>
      <c r="BG239" s="47">
        <f t="shared" si="129"/>
        <v>62.5</v>
      </c>
      <c r="BH239" s="45">
        <f>('[2]Renewable Diesel'!T248*'[2]RD Feedstock Breakdown'!BH$3*'[2]Feedstock Conversion Rates'!B$7)/12</f>
        <v>27.599999999999998</v>
      </c>
      <c r="BI239" s="47">
        <f t="shared" si="112"/>
        <v>27.599999999999998</v>
      </c>
      <c r="BJ239" s="45">
        <f>('[2]Renewable Diesel'!W248*'[2]RD Feedstock Breakdown'!BJ$3*'[2]Feedstock Conversion Rates'!B$4)/12</f>
        <v>7.5</v>
      </c>
      <c r="BK239" s="45">
        <f>('[2]Renewable Diesel'!W248*'[2]RD Feedstock Breakdown'!BK$3*'[2]Feedstock Conversion Rates'!B$3)/12</f>
        <v>1.335</v>
      </c>
      <c r="BL239" s="45">
        <f>('[2]Renewable Diesel'!W248*'[2]RD Feedstock Breakdown'!BL$3*'[2]Feedstock Conversion Rates'!B$6)/12</f>
        <v>3.1266666666666669</v>
      </c>
      <c r="BM239" s="45">
        <f>('[2]Renewable Diesel'!W248*'[2]RD Feedstock Breakdown'!BM$3*'[2]Feedstock Conversion Rates'!B$7)/12</f>
        <v>1.5333333333333332</v>
      </c>
      <c r="BN239" s="47">
        <f t="shared" si="168"/>
        <v>13.495000000000001</v>
      </c>
      <c r="BO239" s="45">
        <f>('[2]Renewable Diesel'!P248*'[2]Feedstock Conversion Rates'!B$4)/12</f>
        <v>31.25</v>
      </c>
      <c r="BP239" s="47">
        <f t="shared" si="157"/>
        <v>31.25</v>
      </c>
      <c r="BQ239" s="45">
        <f>('[2]Renewable Diesel'!$S248*'[2]RD Feedstock Breakdown'!BQ$3*'[2]Feedstock Conversion Rates'!B$4)/12+10</f>
        <v>38.125</v>
      </c>
      <c r="BR239" s="45">
        <f>('[2]Renewable Diesel'!$S248*'[2]RD Feedstock Breakdown'!BR$3*'[2]Feedstock Conversion Rates'!B$7)/12-10</f>
        <v>1.5</v>
      </c>
      <c r="BS239" s="47">
        <f t="shared" si="174"/>
        <v>39.625</v>
      </c>
      <c r="BT239" s="47"/>
      <c r="BU239" s="45">
        <f>('[2]Renewable Diesel'!Y248*'[2]Feedstock Conversion Rates'!B$7)/12</f>
        <v>2.6833333333333331</v>
      </c>
      <c r="BV239" s="47">
        <f t="shared" si="153"/>
        <v>2.6833333333333331</v>
      </c>
      <c r="BW239" s="45">
        <f>('[2]Renewable Diesel'!$Z248*'[2]RD Feedstock Breakdown'!BW$3*'[2]Feedstock Conversion Rates'!$B$4)/12</f>
        <v>53.90625</v>
      </c>
      <c r="BX239" s="45">
        <f>('[2]Renewable Diesel'!$Z248*'[2]RD Feedstock Breakdown'!BX$3*'[2]Feedstock Conversion Rates'!$B$5)/12</f>
        <v>5.4265624999999993</v>
      </c>
      <c r="BY239" s="45">
        <f>('[2]Renewable Diesel'!$Z248*'[2]RD Feedstock Breakdown'!BY$3*'[2]Feedstock Conversion Rates'!$B$7)/12</f>
        <v>46.287499999999994</v>
      </c>
      <c r="BZ239" s="45">
        <f>('[2]Renewable Diesel'!$Z248*'[2]RD Feedstock Breakdown'!BZ$3*'[2]Feedstock Conversion Rates'!$B$3)/12</f>
        <v>11.514374999999999</v>
      </c>
      <c r="CA239" s="47">
        <f t="shared" si="181"/>
        <v>117.1346875</v>
      </c>
      <c r="CB239" s="45">
        <f>('[2]Renewable Diesel'!AA248*'[2]Feedstock Conversion Rates'!B$4)/12</f>
        <v>191.25</v>
      </c>
      <c r="CC239" s="47">
        <f t="shared" si="171"/>
        <v>191.25</v>
      </c>
      <c r="CD239" s="45">
        <f>('[2]Renewable Diesel'!$AB248*'[2]RD Feedstock Breakdown'!CD$3*'[2]Feedstock Conversion Rates'!$B$6)/12-15</f>
        <v>17.830000000000005</v>
      </c>
      <c r="CE239" s="45">
        <f>('[2]Renewable Diesel'!$AB248*'[2]RD Feedstock Breakdown'!CE$3*'[2]Feedstock Conversion Rates'!$B$4)/12+15</f>
        <v>26.25</v>
      </c>
      <c r="CF239" s="47">
        <f t="shared" si="161"/>
        <v>44.080000000000005</v>
      </c>
      <c r="CG239" s="45">
        <f>('[2]Renewable Diesel'!AD248*'[2]Feedstock Conversion Rates'!B$4)/12</f>
        <v>112.5</v>
      </c>
      <c r="CH239" s="47">
        <f t="shared" si="149"/>
        <v>112.5</v>
      </c>
      <c r="CI239" s="45">
        <f>('[2]Renewable Diesel'!$AE248*'[2]RD Feedstock Breakdown'!CI$3*'[2]Feedstock Conversion Rates'!$B$5)/12</f>
        <v>0.34604166666666664</v>
      </c>
      <c r="CJ239" s="45">
        <f>('[2]Renewable Diesel'!$AE248*'[2]RD Feedstock Breakdown'!CJ$3*'[2]Feedstock Conversion Rates'!$B$4)/12</f>
        <v>0.34375</v>
      </c>
      <c r="CK239" s="47">
        <f t="shared" si="158"/>
        <v>0.68979166666666658</v>
      </c>
      <c r="CL239" s="45">
        <f>(((CL$3*'[2]Renewable Diesel'!$AF248)*'[2]Feedstock Conversion Rates'!$B$3)/12)</f>
        <v>91.78125</v>
      </c>
      <c r="CM239" s="45">
        <f>(((CM$3*'[2]Renewable Diesel'!$AF248)*'[2]Feedstock Conversion Rates'!$B$6)/12)</f>
        <v>53.739583333333336</v>
      </c>
      <c r="CN239" s="45">
        <f>(((CN$3*'[2]Renewable Diesel'!$AF248)*'[2]Feedstock Conversion Rates'!$B$4)/12)</f>
        <v>42.96875</v>
      </c>
      <c r="CO239" s="47">
        <f t="shared" si="152"/>
        <v>188.48958333333334</v>
      </c>
      <c r="CP239" s="45">
        <f>('[2]Renewable Diesel'!$AG248*'[2]RD Feedstock Breakdown'!CP$3*'[2]Feedstock Conversion Rates'!$B$3)/12</f>
        <v>6.0075000000000003</v>
      </c>
      <c r="CQ239" s="45">
        <f>('[2]Renewable Diesel'!$AG248*'[2]RD Feedstock Breakdown'!CQ$3*'[2]Feedstock Conversion Rates'!$B$6)/12</f>
        <v>3.5175000000000001</v>
      </c>
      <c r="CR239" s="45">
        <f>('[2]Renewable Diesel'!$AG248*'[2]RD Feedstock Breakdown'!CR$3*'[2]Feedstock Conversion Rates'!$B$4)/12</f>
        <v>2.8125</v>
      </c>
      <c r="CS239" s="47">
        <f t="shared" si="99"/>
        <v>12.3375</v>
      </c>
      <c r="CT239" s="45">
        <f>('[2]Renewable Diesel'!AI248*'[2]Feedstock Conversion Rates'!$B$4*'[2]RD Feedstock Breakdown'!$CT$3)/12</f>
        <v>29.375</v>
      </c>
      <c r="CU239" s="47">
        <f t="shared" si="154"/>
        <v>29.375</v>
      </c>
      <c r="CV239" s="45">
        <f>('[2]Renewable Diesel'!AN248*'[2]Feedstock Conversion Rates'!$B$3*'[2]RD Feedstock Breakdown'!$CV$3)/12</f>
        <v>0.50062499999999999</v>
      </c>
      <c r="CW239" s="47">
        <f t="shared" si="124"/>
        <v>0.50062499999999999</v>
      </c>
      <c r="CX239" s="45">
        <f>('[2]Renewable Diesel'!AO248*'[2]RD Feedstock Breakdown'!$CX$3*'[2]Feedstock Conversion Rates'!$B$3)/12</f>
        <v>6.3412499999999996</v>
      </c>
      <c r="CY239" s="45">
        <f>('[2]Renewable Diesel'!AO248*'[2]RD Feedstock Breakdown'!$CY$3*'[2]Feedstock Conversion Rates'!$B$6)/12</f>
        <v>7.4258333333333342</v>
      </c>
      <c r="CZ239" s="47">
        <f t="shared" si="100"/>
        <v>13.767083333333334</v>
      </c>
      <c r="DA239" s="45">
        <f>('[2]Renewable Diesel'!$AP248*'[2]RD Feedstock Breakdown'!DA$3*'[2]Feedstock Conversion Rates'!$B$3)/12</f>
        <v>6.3412499999999996</v>
      </c>
      <c r="DB239" s="45">
        <f>('[2]Renewable Diesel'!$AP248*'[2]RD Feedstock Breakdown'!DB$3*'[2]Feedstock Conversion Rates'!$B$8)/12</f>
        <v>7.421875</v>
      </c>
      <c r="DC239" s="47">
        <f t="shared" si="127"/>
        <v>13.763124999999999</v>
      </c>
      <c r="DD239" s="45">
        <f>('[2]Renewable Diesel'!AQ248*$DD$3*'[2]Feedstock Conversion Rates'!$B$14)/12</f>
        <v>3.1041666666666665</v>
      </c>
      <c r="DE239" s="47">
        <f t="shared" si="128"/>
        <v>3.1041666666666665</v>
      </c>
      <c r="DF239" s="45">
        <f>('[2]Renewable Diesel'!AR248*'[2]Feedstock Conversion Rates'!$B$4*$DF$3)/12</f>
        <v>75</v>
      </c>
      <c r="DG239" s="47">
        <f t="shared" si="101"/>
        <v>75</v>
      </c>
      <c r="DH239" s="45">
        <f>('[2]Renewable Diesel'!AS248*'[2]Feedstock Conversion Rates'!$B$4*$DH$3)/12</f>
        <v>75</v>
      </c>
      <c r="DI239" s="47">
        <f t="shared" si="110"/>
        <v>75</v>
      </c>
      <c r="DJ239" s="45">
        <f>('[2]Renewable Diesel'!AT248*'[2]Feedstock Conversion Rates'!$B$4*0.25)/12</f>
        <v>8.59375</v>
      </c>
      <c r="DK239" s="45">
        <f>('[2]Renewable Diesel'!$AT248*'[2]RD Feedstock Breakdown'!DK$3*'[2]Feedstock Conversion Rates'!$B$3)/12*0.5</f>
        <v>9.1781249999999996</v>
      </c>
      <c r="DL239" s="45">
        <f>('[2]Renewable Diesel'!$AT248*'[2]RD Feedstock Breakdown'!$DL$3*'[2]Feedstock Conversion Rates'!$B$6)/12</f>
        <v>10.747916666666669</v>
      </c>
      <c r="DM239" s="45">
        <f>('[2]Renewable Diesel'!$AT248*'[2]RD Feedstock Breakdown'!$DM$3*'[2]Feedstock Conversion Rates'!$B$8)/12</f>
        <v>10.7421875</v>
      </c>
      <c r="DN239" s="47">
        <f t="shared" si="169"/>
        <v>39.26197916666667</v>
      </c>
      <c r="DP239" s="45">
        <f t="shared" si="130"/>
        <v>116.72025000000001</v>
      </c>
      <c r="DQ239" s="45">
        <f t="shared" si="131"/>
        <v>604.27964249999991</v>
      </c>
      <c r="DR239" s="45">
        <f t="shared" si="136"/>
        <v>1927.984375</v>
      </c>
      <c r="DS239" s="45">
        <f t="shared" si="155"/>
        <v>96.592395833333342</v>
      </c>
      <c r="DT239" s="45">
        <f t="shared" si="132"/>
        <v>240.53923333333344</v>
      </c>
      <c r="DU239" s="45">
        <f t="shared" si="133"/>
        <v>219.97693333333333</v>
      </c>
      <c r="DV239" s="45">
        <f t="shared" si="137"/>
        <v>7.5</v>
      </c>
      <c r="DW239" s="45">
        <f t="shared" si="134"/>
        <v>3</v>
      </c>
      <c r="DX239" s="47">
        <f t="shared" si="138"/>
        <v>3216.59283</v>
      </c>
      <c r="DY239" s="50">
        <f t="shared" si="126"/>
        <v>-135.00000000000014</v>
      </c>
      <c r="EA239" s="51">
        <f t="shared" si="117"/>
        <v>3.6286921027552002E-2</v>
      </c>
      <c r="EB239" s="51">
        <f t="shared" si="117"/>
        <v>0.18786326850700588</v>
      </c>
      <c r="EC239" s="51">
        <f t="shared" si="117"/>
        <v>0.59938713940365274</v>
      </c>
      <c r="ED239" s="51">
        <f t="shared" si="114"/>
        <v>3.0029413400555687E-2</v>
      </c>
      <c r="EE239" s="51">
        <f t="shared" si="114"/>
        <v>7.4780752817052515E-2</v>
      </c>
      <c r="EF239" s="51">
        <f t="shared" si="114"/>
        <v>6.8388181208913948E-2</v>
      </c>
      <c r="EG239" s="51">
        <f t="shared" si="114"/>
        <v>2.3316597394765692E-3</v>
      </c>
      <c r="EH239" s="52">
        <f t="shared" si="139"/>
        <v>9.3266389579062757E-4</v>
      </c>
      <c r="EI239" s="51">
        <f t="shared" si="140"/>
        <v>0.99906733610420939</v>
      </c>
      <c r="EK239" s="53">
        <f>(EA239*'[2]Renewable Diesel'!BF248*'[2]Feedstock Conversion Rates'!B$2)+FB239</f>
        <v>164.11188137372244</v>
      </c>
      <c r="EL239" s="53">
        <f>(EB239*'[2]Renewable Diesel'!BF248*'[2]Feedstock Conversion Rates'!B$3)+FC239</f>
        <v>800.65490600987073</v>
      </c>
      <c r="EM239" s="53">
        <f>(EC239*'[2]Renewable Diesel'!BF248*'[2]Feedstock Conversion Rates'!B$4)+FD239</f>
        <v>2391.8815164039688</v>
      </c>
      <c r="EN239" s="53">
        <f>(ED239*'[2]Renewable Diesel'!BF248*'[2]Feedstock Conversion Rates'!B$5)+FE239</f>
        <v>120.6326252827569</v>
      </c>
      <c r="EO239" s="53">
        <f>(EE239*'[2]Renewable Diesel'!BF248*'[2]Feedstock Conversion Rates'!B$6)+FF239</f>
        <v>373.21891865561952</v>
      </c>
      <c r="EP239" s="53">
        <f>(EF239*'[2]Renewable Diesel'!BF248*'[2]Feedstock Conversion Rates'!B$7)+FG239</f>
        <v>334.76485686782593</v>
      </c>
      <c r="EQ239" s="53">
        <f>(EG239*'[2]Renewable Diesel'!BF248*'[2]Feedstock Conversion Rates'!B$8)+FH239</f>
        <v>11.630742192237532</v>
      </c>
      <c r="ER239" s="53">
        <f>(EH239*'[2]Renewable Diesel'!BF248*'[2]Feedstock Conversion Rates'!B$9)+FI239</f>
        <v>4.5902662518697461</v>
      </c>
      <c r="ES239" s="53">
        <f t="shared" si="141"/>
        <v>4201.4857130378723</v>
      </c>
      <c r="ET239" s="36">
        <f>ES239/'[2]Renewable Diesel'!BF248</f>
        <v>7.8964504058165188</v>
      </c>
    </row>
    <row r="240" spans="1:150" x14ac:dyDescent="0.25">
      <c r="A240" s="39">
        <v>47727</v>
      </c>
      <c r="B240" s="45">
        <f t="shared" si="175"/>
        <v>3</v>
      </c>
      <c r="C240" s="45">
        <f t="shared" si="176"/>
        <v>55</v>
      </c>
      <c r="D240" s="45">
        <f t="shared" si="177"/>
        <v>2</v>
      </c>
      <c r="E240" s="45">
        <f>('[2]Renewable Diesel'!B249*E$3*'[2]Feedstock Conversion Rates'!$B$2)/12-57.5+8+12.5+52.5-76+18+23+45+50-5-24-2.5-10+23-47+6-0.5</f>
        <v>105.43</v>
      </c>
      <c r="F240" s="45">
        <f>('[2]Renewable Diesel'!B249*'[2]RD Feedstock Breakdown'!F$3*'[2]Feedstock Conversion Rates'!B$8)/12-5-4-2.25+5+19-52+5+17+9+2-33+8.5-15</f>
        <v>8.15625</v>
      </c>
      <c r="G240" s="45">
        <f>('[2]Renewable Diesel'!B249*'[2]RD Feedstock Breakdown'!G$3*'[2]Feedstock Conversion Rates'!B$7)/12-72.5+5.25-57.5-31+32+70-30+10-45-25-7.5+5-10+5</f>
        <v>24.907000000000011</v>
      </c>
      <c r="H240" s="45">
        <f>('[2]Renewable Diesel'!B249*'[2]RD Feedstock Breakdown'!H$3*'[2]Feedstock Conversion Rates'!B$3)/12-105+15+129-182+15-4+51+50-5-30-5+185+7</f>
        <v>297.40022499999998</v>
      </c>
      <c r="I240" s="47">
        <f t="shared" si="160"/>
        <v>495.89347499999997</v>
      </c>
      <c r="J240" s="45">
        <f t="shared" si="178"/>
        <v>45.75</v>
      </c>
      <c r="K240" s="45"/>
      <c r="L240" s="45">
        <v>1</v>
      </c>
      <c r="M240" s="45">
        <f>('[2]Renewable Diesel'!C249*'[2]RD Feedstock Breakdown'!M$3*'[2]Feedstock Conversion Rates'!B$2)/12-18.5+2-38+5+3-1+25+26</f>
        <v>11.29025</v>
      </c>
      <c r="N240" s="45">
        <f>('[2]Renewable Diesel'!C249*'[2]RD Feedstock Breakdown'!N$3*'[2]Feedstock Conversion Rates'!B$8)/12-2.5+36-47.5+6.25+4+10-2.5-20-15</f>
        <v>-27.578125</v>
      </c>
      <c r="O240" s="45">
        <f>('[2]Renewable Diesel'!C249*'[2]RD Feedstock Breakdown'!O$3*'[2]Feedstock Conversion Rates'!B$7)/12-30-60-19+29+20-20+45-20+10</f>
        <v>-33.000900000000001</v>
      </c>
      <c r="P240" s="45">
        <f>('[2]Renewable Diesel'!C249*'[2]RD Feedstock Breakdown'!P$3*'[2]Feedstock Conversion Rates'!B$3)/12-12+25-97+35+25+50+20-100+75+5</f>
        <v>36.447042500000009</v>
      </c>
      <c r="Q240" s="47">
        <f t="shared" si="172"/>
        <v>33.908267500000008</v>
      </c>
      <c r="R240" s="45">
        <f>('[2]Renewable Diesel'!D249*'[2]RD Feedstock Breakdown'!R$3*'[2]Feedstock Conversion Rates'!B$7)/12</f>
        <v>2.2999999999999998</v>
      </c>
      <c r="S240" s="47">
        <f t="shared" si="116"/>
        <v>2.2999999999999998</v>
      </c>
      <c r="T240" s="45">
        <f t="shared" si="179"/>
        <v>5.8250000000000028</v>
      </c>
      <c r="U240" s="45">
        <v>30</v>
      </c>
      <c r="V240" s="45">
        <f>('[2]Renewable Diesel'!E249*'[2]RD Feedstock Breakdown'!V$3*'[2]Feedstock Conversion Rates'!B$6)/12-20+25-35</f>
        <v>14.250150000000012</v>
      </c>
      <c r="W240" s="45">
        <f>('[2]Renewable Diesel'!E249*'[2]RD Feedstock Breakdown'!W$3*'[2]Feedstock Conversion Rates'!B$8)/12-6</f>
        <v>16.1796875</v>
      </c>
      <c r="X240" s="47">
        <f t="shared" si="147"/>
        <v>66.254837500000008</v>
      </c>
      <c r="Y240" s="45">
        <f t="shared" si="180"/>
        <v>126.5</v>
      </c>
      <c r="Z240" s="45">
        <f>('[2]Renewable Diesel'!F249*'[2]RD Feedstock Breakdown'!Z$3*'[2]Feedstock Conversion Rates'!B$6)/12-50-32-60+15+15+50-75+65-6-30+9+2+7</f>
        <v>69.460000000000008</v>
      </c>
      <c r="AA240" s="45">
        <f>('[2]Renewable Diesel'!F249*'[2]RD Feedstock Breakdown'!AA$3*'[2]Feedstock Conversion Rates'!B$7)/12+80-171+75+30+5-52.5-3</f>
        <v>67.766666666666652</v>
      </c>
      <c r="AB240" s="47">
        <f t="shared" si="102"/>
        <v>263.72666666666669</v>
      </c>
      <c r="AC240" s="45">
        <f>('[2]Renewable Diesel'!G249*'[2]RD Feedstock Breakdown'!AC$3*'[2]Feedstock Conversion Rates'!B$5)/12</f>
        <v>11.796875</v>
      </c>
      <c r="AD240" s="45">
        <f>('[2]Renewable Diesel'!G249*'[2]RD Feedstock Breakdown'!AD$3*'[2]Feedstock Conversion Rates'!B$4)/12</f>
        <v>5.859375</v>
      </c>
      <c r="AE240" s="45">
        <f>('[2]Renewable Diesel'!G249*'[2]RD Feedstock Breakdown'!AE$3*'[2]Feedstock Conversion Rates'!B$6)/12</f>
        <v>7.3281250000000009</v>
      </c>
      <c r="AF240" s="47">
        <f t="shared" si="156"/>
        <v>24.984375</v>
      </c>
      <c r="AG240" s="45">
        <f t="shared" si="182"/>
        <v>6.5</v>
      </c>
      <c r="AH240" s="45">
        <v>135</v>
      </c>
      <c r="AI240" s="45">
        <f>('[2]Renewable Diesel'!H249*'[2]RD Feedstock Breakdown'!AI$3*'[2]Feedstock Conversion Rates'!B$6)/12-130-20+51-120+105-42.5+20-5</f>
        <v>7.0166666666666799</v>
      </c>
      <c r="AJ240" s="47">
        <f t="shared" si="113"/>
        <v>13.51666666666668</v>
      </c>
      <c r="AK240" s="45">
        <f>('[2]Renewable Diesel'!J249*'[2]RD Feedstock Breakdown'!AK$3*'[2]Feedstock Conversion Rates'!B$4)/12</f>
        <v>95.8125</v>
      </c>
      <c r="AL240" s="47">
        <f t="shared" si="123"/>
        <v>95.8125</v>
      </c>
      <c r="AM240" s="45">
        <f>('[2]Renewable Diesel'!K249*'[2]RD Feedstock Breakdown'!AM$3*'[2]Feedstock Conversion Rates'!B$4)/12+5+15-10+9-27</f>
        <v>50.59375</v>
      </c>
      <c r="AN240" s="45">
        <f>('[2]Renewable Diesel'!K249*'[2]RD Feedstock Breakdown'!AN$3*'[2]Feedstock Conversion Rates'!B$6)/12-5-15+10-9+27</f>
        <v>32.427083333333329</v>
      </c>
      <c r="AO240" s="47">
        <f t="shared" si="135"/>
        <v>83.020833333333329</v>
      </c>
      <c r="AP240" s="45">
        <f>('[2]Renewable Diesel'!L249*'[2]RD Feedstock Breakdown'!AP$3*'[2]Feedstock Conversion Rates'!B$4)/12+15-10+14</f>
        <v>77.59375</v>
      </c>
      <c r="AQ240" s="45">
        <f>('[2]Renewable Diesel'!L249*'[2]RD Feedstock Breakdown'!AQ$3*'[2]Feedstock Conversion Rates'!B$6)/12-15+10-14</f>
        <v>5.4270833333333321</v>
      </c>
      <c r="AR240" s="47">
        <f t="shared" si="125"/>
        <v>83.020833333333329</v>
      </c>
      <c r="AS240" s="45">
        <f>('[2]Renewable Diesel'!M249*'[2]RD Feedstock Breakdown'!AS$3*'[2]Feedstock Conversion Rates'!B$4)/12</f>
        <v>456.25</v>
      </c>
      <c r="AT240" s="45">
        <f>('[2]Renewable Diesel'!M249*'[2]RD Feedstock Breakdown'!AT$3*'[2]Feedstock Conversion Rates'!B$5)/12</f>
        <v>0</v>
      </c>
      <c r="AU240" s="47">
        <f t="shared" si="159"/>
        <v>456.25</v>
      </c>
      <c r="AV240" s="45">
        <f>'[2]Renewable Diesel'!N249*'[2]RD Feedstock Breakdown'!$AV$3*'[2]Feedstock Conversion Rates'!$B$4/12-15-10+25+25-22-40</f>
        <v>41.749999999999986</v>
      </c>
      <c r="AW240" s="45">
        <f>'[2]Renewable Diesel'!N249*'[2]RD Feedstock Breakdown'!$AW$3*'[2]Feedstock Conversion Rates'!$B$7/12+15+10-25-25+22+40</f>
        <v>78.400000000000006</v>
      </c>
      <c r="AX240" s="47">
        <f t="shared" si="109"/>
        <v>120.14999999999999</v>
      </c>
      <c r="AY240" s="45">
        <f>('[2]Renewable Diesel'!O249*'[2]RD Feedstock Breakdown'!AY$3*'[2]Feedstock Conversion Rates'!B$4)/12+32+2-135</f>
        <v>109.9375</v>
      </c>
      <c r="AZ240" s="45">
        <f>('[2]Renewable Diesel'!O249*'[2]RD Feedstock Breakdown'!AZ$3*'[2]Feedstock Conversion Rates'!B$3)/12-32-2+135</f>
        <v>126.03125</v>
      </c>
      <c r="BA240" s="47">
        <f t="shared" si="173"/>
        <v>235.96875</v>
      </c>
      <c r="BB240" s="45">
        <f>('[2]Renewable Diesel'!Q249*'[2]RD Feedstock Breakdown'!BB$3*'[2]Feedstock Conversion Rates'!B$4)/12-10</f>
        <v>1.1562499999999982</v>
      </c>
      <c r="BC240" s="45">
        <f>('[2]Renewable Diesel'!Q249*'[2]RD Feedstock Breakdown'!BC$3*'[2]Feedstock Conversion Rates'!B$3)/12+10</f>
        <v>11.40175</v>
      </c>
      <c r="BD240" s="45">
        <f>('[2]Renewable Diesel'!Q249*'[2]RD Feedstock Breakdown'!BD$3*'[2]Feedstock Conversion Rates'!B$6)/12</f>
        <v>0.8207500000000002</v>
      </c>
      <c r="BE240" s="47">
        <f t="shared" si="151"/>
        <v>13.378749999999998</v>
      </c>
      <c r="BF240" s="45">
        <f>('[2]Renewable Diesel'!R249*'[2]RD Feedstock Breakdown'!BF$3*'[2]Feedstock Conversion Rates'!B$4)/12</f>
        <v>62.5</v>
      </c>
      <c r="BG240" s="47">
        <f t="shared" si="129"/>
        <v>62.5</v>
      </c>
      <c r="BH240" s="45">
        <f>('[2]Renewable Diesel'!T249*'[2]RD Feedstock Breakdown'!BH$3*'[2]Feedstock Conversion Rates'!B$7)/12</f>
        <v>27.599999999999998</v>
      </c>
      <c r="BI240" s="47">
        <f t="shared" si="112"/>
        <v>27.599999999999998</v>
      </c>
      <c r="BJ240" s="45">
        <f>('[2]Renewable Diesel'!W249*'[2]RD Feedstock Breakdown'!BJ$3*'[2]Feedstock Conversion Rates'!B$4)/12</f>
        <v>7.5</v>
      </c>
      <c r="BK240" s="45">
        <f>('[2]Renewable Diesel'!W249*'[2]RD Feedstock Breakdown'!BK$3*'[2]Feedstock Conversion Rates'!B$3)/12</f>
        <v>1.335</v>
      </c>
      <c r="BL240" s="45">
        <f>('[2]Renewable Diesel'!W249*'[2]RD Feedstock Breakdown'!BL$3*'[2]Feedstock Conversion Rates'!B$6)/12</f>
        <v>3.1266666666666669</v>
      </c>
      <c r="BM240" s="45">
        <f>('[2]Renewable Diesel'!W249*'[2]RD Feedstock Breakdown'!BM$3*'[2]Feedstock Conversion Rates'!B$7)/12</f>
        <v>1.5333333333333332</v>
      </c>
      <c r="BN240" s="47">
        <f t="shared" si="168"/>
        <v>13.495000000000001</v>
      </c>
      <c r="BO240" s="45">
        <f>('[2]Renewable Diesel'!P249*'[2]Feedstock Conversion Rates'!B$4)/12</f>
        <v>31.25</v>
      </c>
      <c r="BP240" s="47">
        <f t="shared" si="157"/>
        <v>31.25</v>
      </c>
      <c r="BQ240" s="45">
        <f>('[2]Renewable Diesel'!$S249*'[2]RD Feedstock Breakdown'!BQ$3*'[2]Feedstock Conversion Rates'!B$4)/12+10</f>
        <v>38.125</v>
      </c>
      <c r="BR240" s="45">
        <f>('[2]Renewable Diesel'!$S249*'[2]RD Feedstock Breakdown'!BR$3*'[2]Feedstock Conversion Rates'!B$7)/12-10</f>
        <v>1.5</v>
      </c>
      <c r="BS240" s="47">
        <f t="shared" si="174"/>
        <v>39.625</v>
      </c>
      <c r="BT240" s="47"/>
      <c r="BU240" s="45">
        <f>('[2]Renewable Diesel'!Y249*'[2]Feedstock Conversion Rates'!B$7)/12</f>
        <v>2.6833333333333331</v>
      </c>
      <c r="BV240" s="47">
        <f t="shared" si="153"/>
        <v>2.6833333333333331</v>
      </c>
      <c r="BW240" s="45">
        <f>('[2]Renewable Diesel'!$Z249*'[2]RD Feedstock Breakdown'!BW$3*'[2]Feedstock Conversion Rates'!$B$4)/12</f>
        <v>53.90625</v>
      </c>
      <c r="BX240" s="45">
        <f>('[2]Renewable Diesel'!$Z249*'[2]RD Feedstock Breakdown'!BX$3*'[2]Feedstock Conversion Rates'!$B$5)/12</f>
        <v>5.4265624999999993</v>
      </c>
      <c r="BY240" s="45">
        <f>('[2]Renewable Diesel'!$Z249*'[2]RD Feedstock Breakdown'!BY$3*'[2]Feedstock Conversion Rates'!$B$7)/12</f>
        <v>46.287499999999994</v>
      </c>
      <c r="BZ240" s="45">
        <f>('[2]Renewable Diesel'!$Z249*'[2]RD Feedstock Breakdown'!BZ$3*'[2]Feedstock Conversion Rates'!$B$3)/12</f>
        <v>11.514374999999999</v>
      </c>
      <c r="CA240" s="47">
        <f t="shared" si="181"/>
        <v>117.1346875</v>
      </c>
      <c r="CB240" s="45">
        <f>('[2]Renewable Diesel'!AA249*'[2]Feedstock Conversion Rates'!B$4)/12</f>
        <v>191.25</v>
      </c>
      <c r="CC240" s="47">
        <f t="shared" si="171"/>
        <v>191.25</v>
      </c>
      <c r="CD240" s="45">
        <f>('[2]Renewable Diesel'!$AB249*'[2]RD Feedstock Breakdown'!CD$3*'[2]Feedstock Conversion Rates'!$B$6)/12-15</f>
        <v>17.830000000000005</v>
      </c>
      <c r="CE240" s="45">
        <f>('[2]Renewable Diesel'!$AB249*'[2]RD Feedstock Breakdown'!CE$3*'[2]Feedstock Conversion Rates'!$B$4)/12+15</f>
        <v>26.25</v>
      </c>
      <c r="CF240" s="47">
        <f t="shared" si="161"/>
        <v>44.080000000000005</v>
      </c>
      <c r="CG240" s="45">
        <f>('[2]Renewable Diesel'!AD249*'[2]Feedstock Conversion Rates'!B$4)/12</f>
        <v>112.5</v>
      </c>
      <c r="CH240" s="47">
        <f t="shared" si="149"/>
        <v>112.5</v>
      </c>
      <c r="CI240" s="45">
        <f>('[2]Renewable Diesel'!$AE249*'[2]RD Feedstock Breakdown'!CI$3*'[2]Feedstock Conversion Rates'!$B$5)/12</f>
        <v>0.34604166666666664</v>
      </c>
      <c r="CJ240" s="45">
        <f>('[2]Renewable Diesel'!$AE249*'[2]RD Feedstock Breakdown'!CJ$3*'[2]Feedstock Conversion Rates'!$B$4)/12</f>
        <v>0.34375</v>
      </c>
      <c r="CK240" s="47">
        <f t="shared" si="158"/>
        <v>0.68979166666666658</v>
      </c>
      <c r="CL240" s="45">
        <f>(((CL$3*'[2]Renewable Diesel'!$AF249)*'[2]Feedstock Conversion Rates'!$B$3)/12)</f>
        <v>91.78125</v>
      </c>
      <c r="CM240" s="45">
        <f>(((CM$3*'[2]Renewable Diesel'!$AF249)*'[2]Feedstock Conversion Rates'!$B$6)/12)</f>
        <v>53.739583333333336</v>
      </c>
      <c r="CN240" s="45">
        <f>(((CN$3*'[2]Renewable Diesel'!$AF249)*'[2]Feedstock Conversion Rates'!$B$4)/12)</f>
        <v>42.96875</v>
      </c>
      <c r="CO240" s="47">
        <f t="shared" si="152"/>
        <v>188.48958333333334</v>
      </c>
      <c r="CP240" s="45">
        <f>('[2]Renewable Diesel'!$AG249*'[2]RD Feedstock Breakdown'!CP$3*'[2]Feedstock Conversion Rates'!$B$3)/12</f>
        <v>6.0075000000000003</v>
      </c>
      <c r="CQ240" s="45">
        <f>('[2]Renewable Diesel'!$AG249*'[2]RD Feedstock Breakdown'!CQ$3*'[2]Feedstock Conversion Rates'!$B$6)/12</f>
        <v>3.5175000000000001</v>
      </c>
      <c r="CR240" s="45">
        <f>('[2]Renewable Diesel'!$AG249*'[2]RD Feedstock Breakdown'!CR$3*'[2]Feedstock Conversion Rates'!$B$4)/12</f>
        <v>2.8125</v>
      </c>
      <c r="CS240" s="47">
        <f t="shared" si="99"/>
        <v>12.3375</v>
      </c>
      <c r="CT240" s="45">
        <f>('[2]Renewable Diesel'!AI249*'[2]Feedstock Conversion Rates'!$B$4*'[2]RD Feedstock Breakdown'!$CT$3)/12</f>
        <v>29.375</v>
      </c>
      <c r="CU240" s="47">
        <f t="shared" si="154"/>
        <v>29.375</v>
      </c>
      <c r="CV240" s="45">
        <f>('[2]Renewable Diesel'!AN249*'[2]Feedstock Conversion Rates'!$B$3*'[2]RD Feedstock Breakdown'!$CV$3)/12</f>
        <v>0.50062499999999999</v>
      </c>
      <c r="CW240" s="47">
        <f t="shared" si="124"/>
        <v>0.50062499999999999</v>
      </c>
      <c r="CX240" s="45">
        <f>('[2]Renewable Diesel'!AO249*'[2]RD Feedstock Breakdown'!$CX$3*'[2]Feedstock Conversion Rates'!$B$3)/12</f>
        <v>6.3412499999999996</v>
      </c>
      <c r="CY240" s="45">
        <f>('[2]Renewable Diesel'!AO249*'[2]RD Feedstock Breakdown'!$CY$3*'[2]Feedstock Conversion Rates'!$B$6)/12</f>
        <v>7.4258333333333342</v>
      </c>
      <c r="CZ240" s="47">
        <f t="shared" si="100"/>
        <v>13.767083333333334</v>
      </c>
      <c r="DA240" s="45">
        <f>('[2]Renewable Diesel'!$AP249*'[2]RD Feedstock Breakdown'!DA$3*'[2]Feedstock Conversion Rates'!$B$3)/12</f>
        <v>6.3412499999999996</v>
      </c>
      <c r="DB240" s="45">
        <f>('[2]Renewable Diesel'!$AP249*'[2]RD Feedstock Breakdown'!DB$3*'[2]Feedstock Conversion Rates'!$B$8)/12</f>
        <v>7.421875</v>
      </c>
      <c r="DC240" s="47">
        <f t="shared" si="127"/>
        <v>13.763124999999999</v>
      </c>
      <c r="DD240" s="45">
        <f>('[2]Renewable Diesel'!AQ249*$DD$3*'[2]Feedstock Conversion Rates'!$B$14)/12</f>
        <v>3.1041666666666665</v>
      </c>
      <c r="DE240" s="47">
        <f t="shared" si="128"/>
        <v>3.1041666666666665</v>
      </c>
      <c r="DF240" s="45">
        <f>('[2]Renewable Diesel'!AR249*'[2]Feedstock Conversion Rates'!$B$4*$DF$3)/12</f>
        <v>75</v>
      </c>
      <c r="DG240" s="47">
        <f t="shared" si="101"/>
        <v>75</v>
      </c>
      <c r="DH240" s="45">
        <f>('[2]Renewable Diesel'!AS249*'[2]Feedstock Conversion Rates'!$B$4*$DH$3)/12</f>
        <v>75</v>
      </c>
      <c r="DI240" s="47">
        <f t="shared" si="110"/>
        <v>75</v>
      </c>
      <c r="DJ240" s="45">
        <f>('[2]Renewable Diesel'!AT249*'[2]Feedstock Conversion Rates'!$B$4*0.25)/12</f>
        <v>8.59375</v>
      </c>
      <c r="DK240" s="45">
        <f>('[2]Renewable Diesel'!$AT249*'[2]RD Feedstock Breakdown'!DK$3*'[2]Feedstock Conversion Rates'!$B$3)/12*0.5</f>
        <v>9.1781249999999996</v>
      </c>
      <c r="DL240" s="45">
        <f>('[2]Renewable Diesel'!$AT249*'[2]RD Feedstock Breakdown'!$DL$3*'[2]Feedstock Conversion Rates'!$B$6)/12</f>
        <v>10.747916666666669</v>
      </c>
      <c r="DM240" s="45">
        <f>('[2]Renewable Diesel'!$AT249*'[2]RD Feedstock Breakdown'!$DM$3*'[2]Feedstock Conversion Rates'!$B$8)/12</f>
        <v>10.7421875</v>
      </c>
      <c r="DN240" s="47">
        <f t="shared" si="169"/>
        <v>39.26197916666667</v>
      </c>
      <c r="DP240" s="45">
        <f t="shared" si="130"/>
        <v>116.72025000000001</v>
      </c>
      <c r="DQ240" s="45">
        <f t="shared" si="131"/>
        <v>604.27964249999991</v>
      </c>
      <c r="DR240" s="45">
        <f t="shared" si="136"/>
        <v>1927.984375</v>
      </c>
      <c r="DS240" s="45">
        <f t="shared" si="155"/>
        <v>96.592395833333342</v>
      </c>
      <c r="DT240" s="45">
        <f t="shared" si="132"/>
        <v>240.53923333333344</v>
      </c>
      <c r="DU240" s="45">
        <f t="shared" si="133"/>
        <v>219.97693333333333</v>
      </c>
      <c r="DV240" s="45">
        <f t="shared" si="137"/>
        <v>7.5</v>
      </c>
      <c r="DW240" s="45">
        <f t="shared" si="134"/>
        <v>3</v>
      </c>
      <c r="DX240" s="47">
        <f t="shared" si="138"/>
        <v>3216.59283</v>
      </c>
      <c r="DY240" s="50">
        <f t="shared" si="126"/>
        <v>-135.00000000000014</v>
      </c>
      <c r="EA240" s="51">
        <f t="shared" si="117"/>
        <v>3.6286921027552002E-2</v>
      </c>
      <c r="EB240" s="51">
        <f t="shared" si="117"/>
        <v>0.18786326850700588</v>
      </c>
      <c r="EC240" s="51">
        <f t="shared" si="117"/>
        <v>0.59938713940365274</v>
      </c>
      <c r="ED240" s="51">
        <f t="shared" si="114"/>
        <v>3.0029413400555687E-2</v>
      </c>
      <c r="EE240" s="51">
        <f t="shared" si="114"/>
        <v>7.4780752817052515E-2</v>
      </c>
      <c r="EF240" s="51">
        <f t="shared" si="114"/>
        <v>6.8388181208913948E-2</v>
      </c>
      <c r="EG240" s="51">
        <f t="shared" si="114"/>
        <v>2.3316597394765692E-3</v>
      </c>
      <c r="EH240" s="52">
        <f t="shared" si="139"/>
        <v>9.3266389579062757E-4</v>
      </c>
      <c r="EI240" s="51">
        <f t="shared" si="140"/>
        <v>0.99906733610420939</v>
      </c>
      <c r="EK240" s="53">
        <f>(EA240*'[2]Renewable Diesel'!BF249*'[2]Feedstock Conversion Rates'!B$2)+FB240</f>
        <v>184.40387935090288</v>
      </c>
      <c r="EL240" s="53">
        <f>(EB240*'[2]Renewable Diesel'!BF249*'[2]Feedstock Conversion Rates'!B$3)+FC240</f>
        <v>899.65375726411855</v>
      </c>
      <c r="EM240" s="53">
        <f>(EC240*'[2]Renewable Diesel'!BF249*'[2]Feedstock Conversion Rates'!B$4)+FD240</f>
        <v>2687.6313090834901</v>
      </c>
      <c r="EN240" s="53">
        <f>(ED240*'[2]Renewable Diesel'!BF249*'[2]Feedstock Conversion Rates'!B$5)+FE240</f>
        <v>135.54852879766003</v>
      </c>
      <c r="EO240" s="53">
        <f>(EE240*'[2]Renewable Diesel'!BF249*'[2]Feedstock Conversion Rates'!B$6)+FF240</f>
        <v>419.36644605589919</v>
      </c>
      <c r="EP240" s="53">
        <f>(EF240*'[2]Renewable Diesel'!BF249*'[2]Feedstock Conversion Rates'!B$7)+FG240</f>
        <v>376.15764172612398</v>
      </c>
      <c r="EQ240" s="53">
        <f>(EG240*'[2]Renewable Diesel'!BF249*'[2]Feedstock Conversion Rates'!B$8)+FH240</f>
        <v>13.068852553671617</v>
      </c>
      <c r="ER240" s="53">
        <f>(EH240*'[2]Renewable Diesel'!BF249*'[2]Feedstock Conversion Rates'!B$9)+FI240</f>
        <v>5.15784047451573</v>
      </c>
      <c r="ES240" s="53">
        <f t="shared" si="141"/>
        <v>4720.9882553063826</v>
      </c>
      <c r="ET240" s="36">
        <f>ES240/'[2]Renewable Diesel'!BF249</f>
        <v>7.8964504058165179</v>
      </c>
    </row>
    <row r="241" spans="1:150" x14ac:dyDescent="0.25">
      <c r="A241" s="39">
        <v>47757</v>
      </c>
      <c r="B241" s="45">
        <f>61+88+162+33.5-22-4-8.5-18-31-70-23-58+40-35+20-3-15-60-40-1-1+35+30+3+28+7.5+1-3-1.5+9.5+10-30-103-1</f>
        <v>0.5</v>
      </c>
      <c r="C241" s="45">
        <f>50-1+1+7-57+15+41-26-5-0.5-15</f>
        <v>9.5</v>
      </c>
      <c r="D241" s="45">
        <f>1+1</f>
        <v>2</v>
      </c>
      <c r="E241" s="45">
        <f>('[2]Renewable Diesel'!B250*E$3*'[2]Feedstock Conversion Rates'!$B$2)/12-57.5+8+12.5+52.5-76+18+23+45+50-2.5-3-28-2-9.5+30-40+26+0.5</f>
        <v>136.93</v>
      </c>
      <c r="F241" s="45">
        <f>('[2]Renewable Diesel'!B250*'[2]RD Feedstock Breakdown'!F$3*'[2]Feedstock Conversion Rates'!B$8)/12-13.5+1.5-2+36-10+10-61+25+8+1-29+1.5-15</f>
        <v>6.40625</v>
      </c>
      <c r="G241" s="45">
        <f>('[2]Renewable Diesel'!B250*'[2]RD Feedstock Breakdown'!G$3*'[2]Feedstock Conversion Rates'!B$7)/12-100-12.5-1+26.75+19-57.5-30+31+70-40+15-35-7.5-4+5</f>
        <v>55.407000000000011</v>
      </c>
      <c r="H241" s="45">
        <f>('[2]Renewable Diesel'!B250*'[2]RD Feedstock Breakdown'!H$3*'[2]Feedstock Conversion Rates'!B$3)/12-105+5+139-10-10-162+8.5+58-20+40-10+160+15</f>
        <v>284.90022499999998</v>
      </c>
      <c r="I241" s="47">
        <f t="shared" si="160"/>
        <v>495.64347499999997</v>
      </c>
      <c r="J241" s="45">
        <f>58.5+40+43+1.5+102-19+38-8.5-35-7.5-29-30-30-5+15+10-7-45-10-1-75+2.5+18+5+130+15-5+15+10-75-120+12+35-24-20</f>
        <v>4.5</v>
      </c>
      <c r="K241" s="45"/>
      <c r="L241" s="45">
        <v>1</v>
      </c>
      <c r="M241" s="45">
        <f>('[2]Renewable Diesel'!C250*'[2]RD Feedstock Breakdown'!M$3*'[2]Feedstock Conversion Rates'!B$2)/12-18.5+7-43-1.5+7.5+7-5+24</f>
        <v>-14.70975</v>
      </c>
      <c r="N241" s="45">
        <f>('[2]Renewable Diesel'!C250*'[2]RD Feedstock Breakdown'!N$3*'[2]Feedstock Conversion Rates'!B$8)/12-2.5+46-58.5+8.5+5-10+10-2.5-18+5-12</f>
        <v>-25.328125</v>
      </c>
      <c r="O241" s="45">
        <f>('[2]Renewable Diesel'!C250*'[2]RD Feedstock Breakdown'!O$3*'[2]Feedstock Conversion Rates'!B$7)/12-30-12.5-47-19+29+30-15-15+75-35+20</f>
        <v>-7.5009000000000015</v>
      </c>
      <c r="P241" s="45">
        <f>('[2]Renewable Diesel'!C250*'[2]RD Feedstock Breakdown'!P$3*'[2]Feedstock Conversion Rates'!B$3)/12-25+42.5-102+35+30+45+75-130-15-10+120</f>
        <v>75.947042500000009</v>
      </c>
      <c r="Q241" s="47">
        <f t="shared" si="172"/>
        <v>33.908267500000008</v>
      </c>
      <c r="R241" s="45">
        <f>('[2]Renewable Diesel'!D250*'[2]RD Feedstock Breakdown'!R$3*'[2]Feedstock Conversion Rates'!B$7)/12</f>
        <v>2.2999999999999998</v>
      </c>
      <c r="S241" s="47">
        <f t="shared" si="116"/>
        <v>2.2999999999999998</v>
      </c>
      <c r="T241" s="45">
        <f t="shared" si="179"/>
        <v>5.8250000000000028</v>
      </c>
      <c r="U241" s="45">
        <v>30</v>
      </c>
      <c r="V241" s="45">
        <f>('[2]Renewable Diesel'!E250*'[2]RD Feedstock Breakdown'!V$3*'[2]Feedstock Conversion Rates'!B$6)/12-20+25-35</f>
        <v>14.250150000000012</v>
      </c>
      <c r="W241" s="45">
        <f>('[2]Renewable Diesel'!E250*'[2]RD Feedstock Breakdown'!W$3*'[2]Feedstock Conversion Rates'!B$8)/12-6</f>
        <v>16.1796875</v>
      </c>
      <c r="X241" s="47">
        <f t="shared" si="147"/>
        <v>66.254837500000008</v>
      </c>
      <c r="Y241" s="45">
        <f>50+32-80+171+60-15-75-30-15-5-47.5+5+72.5-70+55+1+27.5+5</f>
        <v>141.5</v>
      </c>
      <c r="Z241" s="45">
        <f>('[2]Renewable Diesel'!F250*'[2]RD Feedstock Breakdown'!Z$3*'[2]Feedstock Conversion Rates'!B$6)/12-50-32-60+15+15+47.5-72.5+70-27.5-5</f>
        <v>59.960000000000008</v>
      </c>
      <c r="AA241" s="45">
        <f>('[2]Renewable Diesel'!F250*'[2]RD Feedstock Breakdown'!AA$3*'[2]Feedstock Conversion Rates'!B$7)/12+80-171+75+30-55-1</f>
        <v>62.266666666666652</v>
      </c>
      <c r="AB241" s="47">
        <f t="shared" si="102"/>
        <v>263.72666666666669</v>
      </c>
      <c r="AC241" s="45">
        <f>('[2]Renewable Diesel'!G250*'[2]RD Feedstock Breakdown'!AC$3*'[2]Feedstock Conversion Rates'!B$5)/12</f>
        <v>11.796875</v>
      </c>
      <c r="AD241" s="45">
        <f>('[2]Renewable Diesel'!G250*'[2]RD Feedstock Breakdown'!AD$3*'[2]Feedstock Conversion Rates'!B$4)/12</f>
        <v>5.859375</v>
      </c>
      <c r="AE241" s="45">
        <f>('[2]Renewable Diesel'!G250*'[2]RD Feedstock Breakdown'!AE$3*'[2]Feedstock Conversion Rates'!B$6)/12</f>
        <v>7.3281250000000009</v>
      </c>
      <c r="AF241" s="47">
        <f t="shared" si="156"/>
        <v>24.984375</v>
      </c>
      <c r="AG241" s="45">
        <f t="shared" si="182"/>
        <v>6.5</v>
      </c>
      <c r="AH241" s="45">
        <v>135</v>
      </c>
      <c r="AI241" s="45">
        <f>('[2]Renewable Diesel'!H250*'[2]RD Feedstock Breakdown'!AI$3*'[2]Feedstock Conversion Rates'!B$6)/12-130-20+51-120+105-40+25-10-2.5</f>
        <v>7.0166666666666799</v>
      </c>
      <c r="AJ241" s="47">
        <f t="shared" si="113"/>
        <v>13.51666666666668</v>
      </c>
      <c r="AK241" s="45">
        <f>('[2]Renewable Diesel'!J250*'[2]RD Feedstock Breakdown'!AK$3*'[2]Feedstock Conversion Rates'!B$4)/12</f>
        <v>95.8125</v>
      </c>
      <c r="AL241" s="47">
        <f t="shared" si="123"/>
        <v>95.8125</v>
      </c>
      <c r="AM241" s="45">
        <f>('[2]Renewable Diesel'!K250*'[2]RD Feedstock Breakdown'!AM$3*'[2]Feedstock Conversion Rates'!B$4)/12+5+15-10+2.5+7-35</f>
        <v>43.09375</v>
      </c>
      <c r="AN241" s="45">
        <f>('[2]Renewable Diesel'!K250*'[2]RD Feedstock Breakdown'!AN$3*'[2]Feedstock Conversion Rates'!B$6)/12-5-15+10-2.5-7+35</f>
        <v>39.927083333333329</v>
      </c>
      <c r="AO241" s="47">
        <f t="shared" si="135"/>
        <v>83.020833333333329</v>
      </c>
      <c r="AP241" s="45">
        <f>('[2]Renewable Diesel'!L250*'[2]RD Feedstock Breakdown'!AP$3*'[2]Feedstock Conversion Rates'!B$4)/12+15-10+5+2.5+7</f>
        <v>78.09375</v>
      </c>
      <c r="AQ241" s="45">
        <f>('[2]Renewable Diesel'!L250*'[2]RD Feedstock Breakdown'!AQ$3*'[2]Feedstock Conversion Rates'!B$6)/12-15+10-5-2.5-7</f>
        <v>4.9270833333333321</v>
      </c>
      <c r="AR241" s="47">
        <f t="shared" si="125"/>
        <v>83.020833333333329</v>
      </c>
      <c r="AS241" s="45">
        <f>('[2]Renewable Diesel'!M250*'[2]RD Feedstock Breakdown'!AS$3*'[2]Feedstock Conversion Rates'!B$4)/12</f>
        <v>456.25</v>
      </c>
      <c r="AT241" s="45">
        <f>('[2]Renewable Diesel'!M250*'[2]RD Feedstock Breakdown'!AT$3*'[2]Feedstock Conversion Rates'!B$5)/12</f>
        <v>0</v>
      </c>
      <c r="AU241" s="47">
        <f t="shared" si="159"/>
        <v>456.25</v>
      </c>
      <c r="AV241" s="45">
        <f>'[2]Renewable Diesel'!N250*'[2]RD Feedstock Breakdown'!$AV$3*'[2]Feedstock Conversion Rates'!$B$4/12-15-10+25+25-22+15-50</f>
        <v>46.749999999999986</v>
      </c>
      <c r="AW241" s="45">
        <f>'[2]Renewable Diesel'!N250*'[2]RD Feedstock Breakdown'!$AW$3*'[2]Feedstock Conversion Rates'!$B$7/12+15+10-25-25+22-15+50</f>
        <v>73.400000000000006</v>
      </c>
      <c r="AX241" s="47">
        <f t="shared" si="109"/>
        <v>120.14999999999999</v>
      </c>
      <c r="AY241" s="45">
        <f>('[2]Renewable Diesel'!O250*'[2]RD Feedstock Breakdown'!AY$3*'[2]Feedstock Conversion Rates'!B$4)/12+32+2-125-25</f>
        <v>94.9375</v>
      </c>
      <c r="AZ241" s="45">
        <f>('[2]Renewable Diesel'!O250*'[2]RD Feedstock Breakdown'!AZ$3*'[2]Feedstock Conversion Rates'!B$3)/12-32-2+125+25</f>
        <v>141.03125</v>
      </c>
      <c r="BA241" s="47">
        <f t="shared" si="173"/>
        <v>235.96875</v>
      </c>
      <c r="BB241" s="45">
        <f>('[2]Renewable Diesel'!Q250*'[2]RD Feedstock Breakdown'!BB$3*'[2]Feedstock Conversion Rates'!B$4)/12-10</f>
        <v>1.1562499999999982</v>
      </c>
      <c r="BC241" s="45">
        <f>('[2]Renewable Diesel'!Q250*'[2]RD Feedstock Breakdown'!BC$3*'[2]Feedstock Conversion Rates'!B$3)/12+10</f>
        <v>11.40175</v>
      </c>
      <c r="BD241" s="45">
        <f>('[2]Renewable Diesel'!Q250*'[2]RD Feedstock Breakdown'!BD$3*'[2]Feedstock Conversion Rates'!B$6)/12</f>
        <v>0.8207500000000002</v>
      </c>
      <c r="BE241" s="47">
        <f t="shared" si="151"/>
        <v>13.378749999999998</v>
      </c>
      <c r="BF241" s="45">
        <f>('[2]Renewable Diesel'!R250*'[2]RD Feedstock Breakdown'!BF$3*'[2]Feedstock Conversion Rates'!B$4)/12</f>
        <v>62.5</v>
      </c>
      <c r="BG241" s="47">
        <f t="shared" si="129"/>
        <v>62.5</v>
      </c>
      <c r="BH241" s="45">
        <f>('[2]Renewable Diesel'!T250*'[2]RD Feedstock Breakdown'!BH$3*'[2]Feedstock Conversion Rates'!B$7)/12</f>
        <v>27.599999999999998</v>
      </c>
      <c r="BI241" s="47">
        <f t="shared" si="112"/>
        <v>27.599999999999998</v>
      </c>
      <c r="BJ241" s="45">
        <f>('[2]Renewable Diesel'!W250*'[2]RD Feedstock Breakdown'!BJ$3*'[2]Feedstock Conversion Rates'!B$4)/12</f>
        <v>7.5</v>
      </c>
      <c r="BK241" s="45">
        <f>('[2]Renewable Diesel'!W250*'[2]RD Feedstock Breakdown'!BK$3*'[2]Feedstock Conversion Rates'!B$3)/12</f>
        <v>1.335</v>
      </c>
      <c r="BL241" s="45">
        <f>('[2]Renewable Diesel'!W250*'[2]RD Feedstock Breakdown'!BL$3*'[2]Feedstock Conversion Rates'!B$6)/12</f>
        <v>3.1266666666666669</v>
      </c>
      <c r="BM241" s="45">
        <f>('[2]Renewable Diesel'!W250*'[2]RD Feedstock Breakdown'!BM$3*'[2]Feedstock Conversion Rates'!B$7)/12</f>
        <v>1.5333333333333332</v>
      </c>
      <c r="BN241" s="47">
        <f t="shared" si="168"/>
        <v>13.495000000000001</v>
      </c>
      <c r="BO241" s="45">
        <f>('[2]Renewable Diesel'!P250*'[2]Feedstock Conversion Rates'!B$4)/12</f>
        <v>31.25</v>
      </c>
      <c r="BP241" s="47">
        <f t="shared" si="157"/>
        <v>31.25</v>
      </c>
      <c r="BQ241" s="45">
        <f>('[2]Renewable Diesel'!$S250*'[2]RD Feedstock Breakdown'!BQ$3*'[2]Feedstock Conversion Rates'!B$4)/12+10</f>
        <v>38.125</v>
      </c>
      <c r="BR241" s="45">
        <f>('[2]Renewable Diesel'!$S250*'[2]RD Feedstock Breakdown'!BR$3*'[2]Feedstock Conversion Rates'!B$7)/12-10</f>
        <v>1.5</v>
      </c>
      <c r="BS241" s="47">
        <f t="shared" si="174"/>
        <v>39.625</v>
      </c>
      <c r="BT241" s="47"/>
      <c r="BU241" s="45">
        <f>('[2]Renewable Diesel'!Y250*'[2]Feedstock Conversion Rates'!B$7)/12</f>
        <v>2.6833333333333331</v>
      </c>
      <c r="BV241" s="47">
        <f t="shared" si="153"/>
        <v>2.6833333333333331</v>
      </c>
      <c r="BW241" s="45">
        <f>('[2]Renewable Diesel'!$Z250*'[2]RD Feedstock Breakdown'!BW$3*'[2]Feedstock Conversion Rates'!$B$4)/12</f>
        <v>53.90625</v>
      </c>
      <c r="BX241" s="45">
        <f>('[2]Renewable Diesel'!$Z250*'[2]RD Feedstock Breakdown'!BX$3*'[2]Feedstock Conversion Rates'!$B$5)/12</f>
        <v>5.4265624999999993</v>
      </c>
      <c r="BY241" s="45">
        <f>('[2]Renewable Diesel'!$Z250*'[2]RD Feedstock Breakdown'!BY$3*'[2]Feedstock Conversion Rates'!$B$7)/12</f>
        <v>46.287499999999994</v>
      </c>
      <c r="BZ241" s="45">
        <f>('[2]Renewable Diesel'!$Z250*'[2]RD Feedstock Breakdown'!BZ$3*'[2]Feedstock Conversion Rates'!$B$3)/12</f>
        <v>11.514374999999999</v>
      </c>
      <c r="CA241" s="47">
        <f t="shared" si="181"/>
        <v>117.1346875</v>
      </c>
      <c r="CB241" s="45">
        <f>('[2]Renewable Diesel'!AA250*'[2]Feedstock Conversion Rates'!B$4)/12</f>
        <v>191.25</v>
      </c>
      <c r="CC241" s="47">
        <f t="shared" si="171"/>
        <v>191.25</v>
      </c>
      <c r="CD241" s="45">
        <f>('[2]Renewable Diesel'!$AB250*'[2]RD Feedstock Breakdown'!CD$3*'[2]Feedstock Conversion Rates'!$B$6)/12-15</f>
        <v>17.830000000000005</v>
      </c>
      <c r="CE241" s="45">
        <f>('[2]Renewable Diesel'!$AB250*'[2]RD Feedstock Breakdown'!CE$3*'[2]Feedstock Conversion Rates'!$B$4)/12+15</f>
        <v>26.25</v>
      </c>
      <c r="CF241" s="47">
        <f t="shared" si="161"/>
        <v>44.080000000000005</v>
      </c>
      <c r="CG241" s="45">
        <f>('[2]Renewable Diesel'!AD250*'[2]Feedstock Conversion Rates'!B$4)/12</f>
        <v>112.5</v>
      </c>
      <c r="CH241" s="47">
        <f t="shared" si="149"/>
        <v>112.5</v>
      </c>
      <c r="CI241" s="45">
        <f>('[2]Renewable Diesel'!$AE250*'[2]RD Feedstock Breakdown'!CI$3*'[2]Feedstock Conversion Rates'!$B$5)/12</f>
        <v>0.34604166666666664</v>
      </c>
      <c r="CJ241" s="45">
        <f>('[2]Renewable Diesel'!$AE250*'[2]RD Feedstock Breakdown'!CJ$3*'[2]Feedstock Conversion Rates'!$B$4)/12</f>
        <v>0.34375</v>
      </c>
      <c r="CK241" s="47">
        <f t="shared" si="158"/>
        <v>0.68979166666666658</v>
      </c>
      <c r="CL241" s="45">
        <f>(((CL$3*'[2]Renewable Diesel'!$AF250)*'[2]Feedstock Conversion Rates'!$B$3)/12)</f>
        <v>91.78125</v>
      </c>
      <c r="CM241" s="45">
        <f>(((CM$3*'[2]Renewable Diesel'!$AF250)*'[2]Feedstock Conversion Rates'!$B$6)/12)</f>
        <v>53.739583333333336</v>
      </c>
      <c r="CN241" s="45">
        <f>(((CN$3*'[2]Renewable Diesel'!$AF250)*'[2]Feedstock Conversion Rates'!$B$4)/12)</f>
        <v>42.96875</v>
      </c>
      <c r="CO241" s="47">
        <f t="shared" si="152"/>
        <v>188.48958333333334</v>
      </c>
      <c r="CP241" s="45">
        <f>('[2]Renewable Diesel'!$AG250*'[2]RD Feedstock Breakdown'!CP$3*'[2]Feedstock Conversion Rates'!$B$3)/12</f>
        <v>6.0075000000000003</v>
      </c>
      <c r="CQ241" s="45">
        <f>('[2]Renewable Diesel'!$AG250*'[2]RD Feedstock Breakdown'!CQ$3*'[2]Feedstock Conversion Rates'!$B$6)/12</f>
        <v>3.5175000000000001</v>
      </c>
      <c r="CR241" s="45">
        <f>('[2]Renewable Diesel'!$AG250*'[2]RD Feedstock Breakdown'!CR$3*'[2]Feedstock Conversion Rates'!$B$4)/12</f>
        <v>2.8125</v>
      </c>
      <c r="CS241" s="47">
        <f t="shared" ref="CS241:CS304" si="183">SUM(CP241:CR241)</f>
        <v>12.3375</v>
      </c>
      <c r="CT241" s="45">
        <f>('[2]Renewable Diesel'!AI250*'[2]Feedstock Conversion Rates'!$B$4*'[2]RD Feedstock Breakdown'!$CT$3)/12</f>
        <v>29.375</v>
      </c>
      <c r="CU241" s="47">
        <f t="shared" si="154"/>
        <v>29.375</v>
      </c>
      <c r="CV241" s="45">
        <f>('[2]Renewable Diesel'!AN250*'[2]Feedstock Conversion Rates'!$B$3*'[2]RD Feedstock Breakdown'!$CV$3)/12</f>
        <v>0.50062499999999999</v>
      </c>
      <c r="CW241" s="47">
        <f t="shared" si="124"/>
        <v>0.50062499999999999</v>
      </c>
      <c r="CX241" s="45">
        <f>('[2]Renewable Diesel'!AO250*'[2]RD Feedstock Breakdown'!$CX$3*'[2]Feedstock Conversion Rates'!$B$3)/12</f>
        <v>6.3412499999999996</v>
      </c>
      <c r="CY241" s="45">
        <f>('[2]Renewable Diesel'!AO250*'[2]RD Feedstock Breakdown'!$CY$3*'[2]Feedstock Conversion Rates'!$B$6)/12</f>
        <v>7.4258333333333342</v>
      </c>
      <c r="CZ241" s="47">
        <f t="shared" si="100"/>
        <v>13.767083333333334</v>
      </c>
      <c r="DA241" s="45">
        <f>('[2]Renewable Diesel'!$AP250*'[2]RD Feedstock Breakdown'!DA$3*'[2]Feedstock Conversion Rates'!$B$3)/12</f>
        <v>6.3412499999999996</v>
      </c>
      <c r="DB241" s="45">
        <f>('[2]Renewable Diesel'!$AP250*'[2]RD Feedstock Breakdown'!DB$3*'[2]Feedstock Conversion Rates'!$B$8)/12</f>
        <v>7.421875</v>
      </c>
      <c r="DC241" s="47">
        <f t="shared" si="127"/>
        <v>13.763124999999999</v>
      </c>
      <c r="DD241" s="45">
        <f>('[2]Renewable Diesel'!AQ250*$DD$3*'[2]Feedstock Conversion Rates'!$B$14)/12</f>
        <v>3.1041666666666665</v>
      </c>
      <c r="DE241" s="47">
        <f t="shared" si="128"/>
        <v>3.1041666666666665</v>
      </c>
      <c r="DF241" s="45">
        <f>('[2]Renewable Diesel'!AR250*'[2]Feedstock Conversion Rates'!$B$4*$DF$3)/12</f>
        <v>75</v>
      </c>
      <c r="DG241" s="47">
        <f t="shared" si="101"/>
        <v>75</v>
      </c>
      <c r="DH241" s="45">
        <f>('[2]Renewable Diesel'!AS250*'[2]Feedstock Conversion Rates'!$B$4*$DH$3)/12</f>
        <v>75</v>
      </c>
      <c r="DI241" s="47">
        <f t="shared" si="110"/>
        <v>75</v>
      </c>
      <c r="DJ241" s="45">
        <f>('[2]Renewable Diesel'!AT250*'[2]Feedstock Conversion Rates'!$B$4*0.25)/12</f>
        <v>8.59375</v>
      </c>
      <c r="DK241" s="45">
        <f>('[2]Renewable Diesel'!$AT250*'[2]RD Feedstock Breakdown'!DK$3*'[2]Feedstock Conversion Rates'!$B$3)/12*0.5</f>
        <v>9.1781249999999996</v>
      </c>
      <c r="DL241" s="45">
        <f>('[2]Renewable Diesel'!$AT250*'[2]RD Feedstock Breakdown'!$DL$3*'[2]Feedstock Conversion Rates'!$B$6)/12</f>
        <v>10.747916666666669</v>
      </c>
      <c r="DM241" s="45">
        <f>('[2]Renewable Diesel'!$AT250*'[2]RD Feedstock Breakdown'!$DM$3*'[2]Feedstock Conversion Rates'!$B$8)/12</f>
        <v>10.7421875</v>
      </c>
      <c r="DN241" s="47">
        <f t="shared" si="169"/>
        <v>39.26197916666667</v>
      </c>
      <c r="DP241" s="45">
        <f t="shared" si="130"/>
        <v>122.22025000000001</v>
      </c>
      <c r="DQ241" s="45">
        <f t="shared" si="131"/>
        <v>646.27964250000002</v>
      </c>
      <c r="DR241" s="45">
        <f t="shared" si="136"/>
        <v>1882.234375</v>
      </c>
      <c r="DS241" s="45">
        <f t="shared" si="155"/>
        <v>51.092395833333342</v>
      </c>
      <c r="DT241" s="45">
        <f t="shared" si="132"/>
        <v>238.03923333333344</v>
      </c>
      <c r="DU241" s="45">
        <f t="shared" si="133"/>
        <v>265.47693333333336</v>
      </c>
      <c r="DV241" s="45">
        <f t="shared" si="137"/>
        <v>8</v>
      </c>
      <c r="DW241" s="45">
        <f t="shared" si="134"/>
        <v>3</v>
      </c>
      <c r="DX241" s="47">
        <f t="shared" si="138"/>
        <v>3216.34283</v>
      </c>
      <c r="DY241" s="50">
        <f t="shared" si="126"/>
        <v>-135.00000000000014</v>
      </c>
      <c r="EA241" s="51">
        <f t="shared" si="117"/>
        <v>3.7999758253382462E-2</v>
      </c>
      <c r="EB241" s="51">
        <f t="shared" si="117"/>
        <v>0.20093618020812787</v>
      </c>
      <c r="EC241" s="51">
        <f t="shared" si="117"/>
        <v>0.58520949864041705</v>
      </c>
      <c r="ED241" s="51">
        <f t="shared" si="114"/>
        <v>1.5885245613986163E-2</v>
      </c>
      <c r="EE241" s="51">
        <f t="shared" si="114"/>
        <v>7.4009285052903842E-2</v>
      </c>
      <c r="EF241" s="51">
        <f t="shared" si="114"/>
        <v>8.2539998801475195E-2</v>
      </c>
      <c r="EG241" s="51">
        <f t="shared" si="114"/>
        <v>2.4872970397872667E-3</v>
      </c>
      <c r="EH241" s="52">
        <f t="shared" si="139"/>
        <v>9.32736389920225E-4</v>
      </c>
      <c r="EI241" s="51">
        <f t="shared" si="140"/>
        <v>0.99906726361007991</v>
      </c>
      <c r="EK241" s="53">
        <f>(EA241*'[2]Renewable Diesel'!BF250*'[2]Feedstock Conversion Rates'!B$2)+FB241</f>
        <v>198.76080146793788</v>
      </c>
      <c r="EL241" s="53">
        <f>(EB241*'[2]Renewable Diesel'!BF250*'[2]Feedstock Conversion Rates'!B$3)+FC241</f>
        <v>990.42510003130167</v>
      </c>
      <c r="EM241" s="53">
        <f>(EC241*'[2]Renewable Diesel'!BF250*'[2]Feedstock Conversion Rates'!B$4)+FD241</f>
        <v>2700.8695578787174</v>
      </c>
      <c r="EN241" s="53">
        <f>(ED241*'[2]Renewable Diesel'!BF250*'[2]Feedstock Conversion Rates'!B$5)+FE241</f>
        <v>73.80263462441637</v>
      </c>
      <c r="EO241" s="53">
        <f>(EE241*'[2]Renewable Diesel'!BF250*'[2]Feedstock Conversion Rates'!B$6)+FF241</f>
        <v>427.18896642511919</v>
      </c>
      <c r="EP241" s="53">
        <f>(EF241*'[2]Renewable Diesel'!BF250*'[2]Feedstock Conversion Rates'!B$7)+FG241</f>
        <v>467.28653343487241</v>
      </c>
      <c r="EQ241" s="53">
        <f>(EG241*'[2]Renewable Diesel'!BF250*'[2]Feedstock Conversion Rates'!B$8)+FH241</f>
        <v>14.349273362296961</v>
      </c>
      <c r="ER241" s="53">
        <f>(EH241*'[2]Renewable Diesel'!BF250*'[2]Feedstock Conversion Rates'!B$9)+FI241</f>
        <v>5.3092311440498756</v>
      </c>
      <c r="ES241" s="53">
        <f t="shared" si="141"/>
        <v>4877.9920983687116</v>
      </c>
      <c r="ET241" s="36">
        <f>ES241/'[2]Renewable Diesel'!BF250</f>
        <v>7.9270228969341563</v>
      </c>
    </row>
    <row r="242" spans="1:150" x14ac:dyDescent="0.25">
      <c r="A242" s="39">
        <v>47788</v>
      </c>
      <c r="B242" s="45">
        <f t="shared" ref="B242:B252" si="184">61+88+162+33.5-22-4-8.5-18-31-70-23-58+40-35+20-3-15-60-40-1-1+35+30+3+28+7.5+1-3-1.5+9.5+10-30-103-1</f>
        <v>0.5</v>
      </c>
      <c r="C242" s="45">
        <f t="shared" ref="C242:C252" si="185">50-1+1+7-57+15+41-26-5-0.5-15</f>
        <v>9.5</v>
      </c>
      <c r="D242" s="45">
        <f t="shared" ref="D242:D252" si="186">1+1</f>
        <v>2</v>
      </c>
      <c r="E242" s="45">
        <f>('[2]Renewable Diesel'!B251*E$3*'[2]Feedstock Conversion Rates'!$B$2)/12-57.5+8+12.5+52.5-76+18+23+45+50-2.5-3-28-2-9.5+30-40+26+0.5</f>
        <v>136.93</v>
      </c>
      <c r="F242" s="45">
        <f>('[2]Renewable Diesel'!B251*'[2]RD Feedstock Breakdown'!F$3*'[2]Feedstock Conversion Rates'!B$8)/12-13.5+1.5-2+36-10+10-61+25+8+1-29+1.5-15</f>
        <v>6.40625</v>
      </c>
      <c r="G242" s="45">
        <f>('[2]Renewable Diesel'!B251*'[2]RD Feedstock Breakdown'!G$3*'[2]Feedstock Conversion Rates'!B$7)/12-100-12.5-1+26.75+19-57.5-30+31+70-40+15-35-7.5-4+5</f>
        <v>55.407000000000011</v>
      </c>
      <c r="H242" s="45">
        <f>('[2]Renewable Diesel'!B251*'[2]RD Feedstock Breakdown'!H$3*'[2]Feedstock Conversion Rates'!B$3)/12-105+5+139-10-10-162+8.5+58-20+40-10+160+15</f>
        <v>284.90022499999998</v>
      </c>
      <c r="I242" s="47">
        <f t="shared" si="160"/>
        <v>495.64347499999997</v>
      </c>
      <c r="J242" s="45">
        <f>58.5+40+43+1.5+102-19+38-8.5-35-7.5-29-30-30-5+15+10-7-45-10-1-75+2.5+18+5+130+15-5+15+10-75-120+12+35-24-20</f>
        <v>4.5</v>
      </c>
      <c r="K242" s="45"/>
      <c r="L242" s="45">
        <v>1</v>
      </c>
      <c r="M242" s="45">
        <f>('[2]Renewable Diesel'!C251*'[2]RD Feedstock Breakdown'!M$3*'[2]Feedstock Conversion Rates'!B$2)/12-18.5+7-43-1.5+7.5+7-5+24</f>
        <v>-14.70975</v>
      </c>
      <c r="N242" s="45">
        <f>('[2]Renewable Diesel'!C251*'[2]RD Feedstock Breakdown'!N$3*'[2]Feedstock Conversion Rates'!B$8)/12-2.5+46-58.5+8.5+5-10+10-2.5-18+5-12</f>
        <v>-25.328125</v>
      </c>
      <c r="O242" s="45">
        <f>('[2]Renewable Diesel'!C251*'[2]RD Feedstock Breakdown'!O$3*'[2]Feedstock Conversion Rates'!B$7)/12-30-12.5-47-19+29+30-15-15+75-35+20</f>
        <v>-7.5009000000000015</v>
      </c>
      <c r="P242" s="45">
        <f>('[2]Renewable Diesel'!C251*'[2]RD Feedstock Breakdown'!P$3*'[2]Feedstock Conversion Rates'!B$3)/12-25+42.5-102+35+30+45+75-130-15-10+120</f>
        <v>75.947042500000009</v>
      </c>
      <c r="Q242" s="47">
        <f t="shared" si="172"/>
        <v>33.908267500000008</v>
      </c>
      <c r="R242" s="45">
        <f>('[2]Renewable Diesel'!D251*'[2]RD Feedstock Breakdown'!R$3*'[2]Feedstock Conversion Rates'!B$7)/12</f>
        <v>2.2999999999999998</v>
      </c>
      <c r="S242" s="47">
        <f t="shared" si="116"/>
        <v>2.2999999999999998</v>
      </c>
      <c r="T242" s="45">
        <f t="shared" si="179"/>
        <v>5.8250000000000028</v>
      </c>
      <c r="U242" s="45">
        <v>30</v>
      </c>
      <c r="V242" s="45">
        <f>('[2]Renewable Diesel'!E251*'[2]RD Feedstock Breakdown'!V$3*'[2]Feedstock Conversion Rates'!B$6)/12-20+25-35</f>
        <v>14.250150000000012</v>
      </c>
      <c r="W242" s="45">
        <f>('[2]Renewable Diesel'!E251*'[2]RD Feedstock Breakdown'!W$3*'[2]Feedstock Conversion Rates'!B$8)/12-6</f>
        <v>16.1796875</v>
      </c>
      <c r="X242" s="47">
        <f t="shared" si="147"/>
        <v>66.254837500000008</v>
      </c>
      <c r="Y242" s="45">
        <f t="shared" ref="Y242:Y252" si="187">50+32-80+171+60-15-75-30-15-5-47.5+5+72.5-70+55+1+27.5+5</f>
        <v>141.5</v>
      </c>
      <c r="Z242" s="45">
        <f>('[2]Renewable Diesel'!F251*'[2]RD Feedstock Breakdown'!Z$3*'[2]Feedstock Conversion Rates'!B$6)/12-50-32-60+15+15+47.5-72.5+70-27.5-5</f>
        <v>59.960000000000008</v>
      </c>
      <c r="AA242" s="45">
        <f>('[2]Renewable Diesel'!F251*'[2]RD Feedstock Breakdown'!AA$3*'[2]Feedstock Conversion Rates'!B$7)/12+80-171+75+30-55-1</f>
        <v>62.266666666666652</v>
      </c>
      <c r="AB242" s="47">
        <f t="shared" si="102"/>
        <v>263.72666666666669</v>
      </c>
      <c r="AC242" s="45">
        <f>('[2]Renewable Diesel'!G251*'[2]RD Feedstock Breakdown'!AC$3*'[2]Feedstock Conversion Rates'!B$5)/12</f>
        <v>11.796875</v>
      </c>
      <c r="AD242" s="45">
        <f>('[2]Renewable Diesel'!G251*'[2]RD Feedstock Breakdown'!AD$3*'[2]Feedstock Conversion Rates'!B$4)/12</f>
        <v>5.859375</v>
      </c>
      <c r="AE242" s="45">
        <f>('[2]Renewable Diesel'!G251*'[2]RD Feedstock Breakdown'!AE$3*'[2]Feedstock Conversion Rates'!B$6)/12</f>
        <v>7.3281250000000009</v>
      </c>
      <c r="AF242" s="47">
        <f t="shared" si="156"/>
        <v>24.984375</v>
      </c>
      <c r="AG242" s="45">
        <f t="shared" si="182"/>
        <v>6.5</v>
      </c>
      <c r="AH242" s="45">
        <v>135</v>
      </c>
      <c r="AI242" s="45">
        <f>('[2]Renewable Diesel'!H251*'[2]RD Feedstock Breakdown'!AI$3*'[2]Feedstock Conversion Rates'!B$6)/12-130-20+51-120+105-40+25-10-2.5</f>
        <v>7.0166666666666799</v>
      </c>
      <c r="AJ242" s="47">
        <f t="shared" si="113"/>
        <v>13.51666666666668</v>
      </c>
      <c r="AK242" s="45">
        <f>('[2]Renewable Diesel'!J251*'[2]RD Feedstock Breakdown'!AK$3*'[2]Feedstock Conversion Rates'!B$4)/12</f>
        <v>95.8125</v>
      </c>
      <c r="AL242" s="47">
        <f t="shared" si="123"/>
        <v>95.8125</v>
      </c>
      <c r="AM242" s="45">
        <f>('[2]Renewable Diesel'!K251*'[2]RD Feedstock Breakdown'!AM$3*'[2]Feedstock Conversion Rates'!B$4)/12+5+15-10+2.5+7-35</f>
        <v>43.09375</v>
      </c>
      <c r="AN242" s="45">
        <f>('[2]Renewable Diesel'!K251*'[2]RD Feedstock Breakdown'!AN$3*'[2]Feedstock Conversion Rates'!B$6)/12-5-15+10-2.5-7+35</f>
        <v>39.927083333333329</v>
      </c>
      <c r="AO242" s="47">
        <f t="shared" si="135"/>
        <v>83.020833333333329</v>
      </c>
      <c r="AP242" s="45">
        <f>('[2]Renewable Diesel'!L251*'[2]RD Feedstock Breakdown'!AP$3*'[2]Feedstock Conversion Rates'!B$4)/12+15-10+5+2.5+7</f>
        <v>78.09375</v>
      </c>
      <c r="AQ242" s="45">
        <f>('[2]Renewable Diesel'!L251*'[2]RD Feedstock Breakdown'!AQ$3*'[2]Feedstock Conversion Rates'!B$6)/12-15+10-5-2.5-7</f>
        <v>4.9270833333333321</v>
      </c>
      <c r="AR242" s="47">
        <f t="shared" si="125"/>
        <v>83.020833333333329</v>
      </c>
      <c r="AS242" s="45">
        <f>('[2]Renewable Diesel'!M251*'[2]RD Feedstock Breakdown'!AS$3*'[2]Feedstock Conversion Rates'!B$4)/12</f>
        <v>456.25</v>
      </c>
      <c r="AT242" s="45">
        <f>('[2]Renewable Diesel'!M251*'[2]RD Feedstock Breakdown'!AT$3*'[2]Feedstock Conversion Rates'!B$5)/12</f>
        <v>0</v>
      </c>
      <c r="AU242" s="47">
        <f t="shared" si="159"/>
        <v>456.25</v>
      </c>
      <c r="AV242" s="45">
        <f>'[2]Renewable Diesel'!N251*'[2]RD Feedstock Breakdown'!$AV$3*'[2]Feedstock Conversion Rates'!$B$4/12-15-10+25+25-22+15-50</f>
        <v>46.749999999999986</v>
      </c>
      <c r="AW242" s="45">
        <f>'[2]Renewable Diesel'!N251*'[2]RD Feedstock Breakdown'!$AW$3*'[2]Feedstock Conversion Rates'!$B$7/12+15+10-25-25+22-15+50</f>
        <v>73.400000000000006</v>
      </c>
      <c r="AX242" s="47">
        <f t="shared" si="109"/>
        <v>120.14999999999999</v>
      </c>
      <c r="AY242" s="45">
        <f>('[2]Renewable Diesel'!O251*'[2]RD Feedstock Breakdown'!AY$3*'[2]Feedstock Conversion Rates'!B$4)/12+32+2-125-25</f>
        <v>94.9375</v>
      </c>
      <c r="AZ242" s="45">
        <f>('[2]Renewable Diesel'!O251*'[2]RD Feedstock Breakdown'!AZ$3*'[2]Feedstock Conversion Rates'!B$3)/12-32-2+125+25</f>
        <v>141.03125</v>
      </c>
      <c r="BA242" s="47">
        <f t="shared" si="173"/>
        <v>235.96875</v>
      </c>
      <c r="BB242" s="45">
        <f>('[2]Renewable Diesel'!Q251*'[2]RD Feedstock Breakdown'!BB$3*'[2]Feedstock Conversion Rates'!B$4)/12-10</f>
        <v>1.1562499999999982</v>
      </c>
      <c r="BC242" s="45">
        <f>('[2]Renewable Diesel'!Q251*'[2]RD Feedstock Breakdown'!BC$3*'[2]Feedstock Conversion Rates'!B$3)/12+10</f>
        <v>11.40175</v>
      </c>
      <c r="BD242" s="45">
        <f>('[2]Renewable Diesel'!Q251*'[2]RD Feedstock Breakdown'!BD$3*'[2]Feedstock Conversion Rates'!B$6)/12</f>
        <v>0.8207500000000002</v>
      </c>
      <c r="BE242" s="47">
        <f t="shared" si="151"/>
        <v>13.378749999999998</v>
      </c>
      <c r="BF242" s="45">
        <f>('[2]Renewable Diesel'!R251*'[2]RD Feedstock Breakdown'!BF$3*'[2]Feedstock Conversion Rates'!B$4)/12</f>
        <v>62.5</v>
      </c>
      <c r="BG242" s="47">
        <f t="shared" si="129"/>
        <v>62.5</v>
      </c>
      <c r="BH242" s="45">
        <f>('[2]Renewable Diesel'!T251*'[2]RD Feedstock Breakdown'!BH$3*'[2]Feedstock Conversion Rates'!B$7)/12</f>
        <v>27.599999999999998</v>
      </c>
      <c r="BI242" s="47">
        <f t="shared" si="112"/>
        <v>27.599999999999998</v>
      </c>
      <c r="BJ242" s="45">
        <f>('[2]Renewable Diesel'!W251*'[2]RD Feedstock Breakdown'!BJ$3*'[2]Feedstock Conversion Rates'!B$4)/12</f>
        <v>7.5</v>
      </c>
      <c r="BK242" s="45">
        <f>('[2]Renewable Diesel'!W251*'[2]RD Feedstock Breakdown'!BK$3*'[2]Feedstock Conversion Rates'!B$3)/12</f>
        <v>1.335</v>
      </c>
      <c r="BL242" s="45">
        <f>('[2]Renewable Diesel'!W251*'[2]RD Feedstock Breakdown'!BL$3*'[2]Feedstock Conversion Rates'!B$6)/12</f>
        <v>3.1266666666666669</v>
      </c>
      <c r="BM242" s="45">
        <f>('[2]Renewable Diesel'!W251*'[2]RD Feedstock Breakdown'!BM$3*'[2]Feedstock Conversion Rates'!B$7)/12</f>
        <v>1.5333333333333332</v>
      </c>
      <c r="BN242" s="47">
        <f t="shared" si="168"/>
        <v>13.495000000000001</v>
      </c>
      <c r="BO242" s="45">
        <f>('[2]Renewable Diesel'!P251*'[2]Feedstock Conversion Rates'!B$4)/12</f>
        <v>31.25</v>
      </c>
      <c r="BP242" s="47">
        <f t="shared" si="157"/>
        <v>31.25</v>
      </c>
      <c r="BQ242" s="45">
        <f>('[2]Renewable Diesel'!$S251*'[2]RD Feedstock Breakdown'!BQ$3*'[2]Feedstock Conversion Rates'!B$4)/12+10</f>
        <v>38.125</v>
      </c>
      <c r="BR242" s="45">
        <f>('[2]Renewable Diesel'!$S251*'[2]RD Feedstock Breakdown'!BR$3*'[2]Feedstock Conversion Rates'!B$7)/12-10</f>
        <v>1.5</v>
      </c>
      <c r="BS242" s="47">
        <f t="shared" si="174"/>
        <v>39.625</v>
      </c>
      <c r="BT242" s="47"/>
      <c r="BU242" s="45">
        <f>('[2]Renewable Diesel'!Y251*'[2]Feedstock Conversion Rates'!B$7)/12</f>
        <v>2.6833333333333331</v>
      </c>
      <c r="BV242" s="47">
        <f t="shared" si="153"/>
        <v>2.6833333333333331</v>
      </c>
      <c r="BW242" s="45">
        <f>('[2]Renewable Diesel'!$Z251*'[2]RD Feedstock Breakdown'!BW$3*'[2]Feedstock Conversion Rates'!$B$4)/12</f>
        <v>53.90625</v>
      </c>
      <c r="BX242" s="45">
        <f>('[2]Renewable Diesel'!$Z251*'[2]RD Feedstock Breakdown'!BX$3*'[2]Feedstock Conversion Rates'!$B$5)/12</f>
        <v>5.4265624999999993</v>
      </c>
      <c r="BY242" s="45">
        <f>('[2]Renewable Diesel'!$Z251*'[2]RD Feedstock Breakdown'!BY$3*'[2]Feedstock Conversion Rates'!$B$7)/12</f>
        <v>46.287499999999994</v>
      </c>
      <c r="BZ242" s="45">
        <f>('[2]Renewable Diesel'!$Z251*'[2]RD Feedstock Breakdown'!BZ$3*'[2]Feedstock Conversion Rates'!$B$3)/12</f>
        <v>11.514374999999999</v>
      </c>
      <c r="CA242" s="47">
        <f t="shared" si="181"/>
        <v>117.1346875</v>
      </c>
      <c r="CB242" s="45">
        <f>('[2]Renewable Diesel'!AA251*'[2]Feedstock Conversion Rates'!B$4)/12</f>
        <v>191.25</v>
      </c>
      <c r="CC242" s="47">
        <f t="shared" si="171"/>
        <v>191.25</v>
      </c>
      <c r="CD242" s="45">
        <f>('[2]Renewable Diesel'!$AB251*'[2]RD Feedstock Breakdown'!CD$3*'[2]Feedstock Conversion Rates'!$B$6)/12-15</f>
        <v>17.830000000000005</v>
      </c>
      <c r="CE242" s="45">
        <f>('[2]Renewable Diesel'!$AB251*'[2]RD Feedstock Breakdown'!CE$3*'[2]Feedstock Conversion Rates'!$B$4)/12+15</f>
        <v>26.25</v>
      </c>
      <c r="CF242" s="47">
        <f t="shared" si="161"/>
        <v>44.080000000000005</v>
      </c>
      <c r="CG242" s="45">
        <f>('[2]Renewable Diesel'!AD251*'[2]Feedstock Conversion Rates'!B$4)/12</f>
        <v>112.5</v>
      </c>
      <c r="CH242" s="47">
        <f t="shared" si="149"/>
        <v>112.5</v>
      </c>
      <c r="CI242" s="45">
        <f>('[2]Renewable Diesel'!$AE251*'[2]RD Feedstock Breakdown'!CI$3*'[2]Feedstock Conversion Rates'!$B$5)/12</f>
        <v>0.34604166666666664</v>
      </c>
      <c r="CJ242" s="45">
        <f>('[2]Renewable Diesel'!$AE251*'[2]RD Feedstock Breakdown'!CJ$3*'[2]Feedstock Conversion Rates'!$B$4)/12</f>
        <v>0.34375</v>
      </c>
      <c r="CK242" s="47">
        <f t="shared" si="158"/>
        <v>0.68979166666666658</v>
      </c>
      <c r="CL242" s="45">
        <f>(((CL$3*'[2]Renewable Diesel'!$AF251)*'[2]Feedstock Conversion Rates'!$B$3)/12)</f>
        <v>91.78125</v>
      </c>
      <c r="CM242" s="45">
        <f>(((CM$3*'[2]Renewable Diesel'!$AF251)*'[2]Feedstock Conversion Rates'!$B$6)/12)</f>
        <v>53.739583333333336</v>
      </c>
      <c r="CN242" s="45">
        <f>(((CN$3*'[2]Renewable Diesel'!$AF251)*'[2]Feedstock Conversion Rates'!$B$4)/12)</f>
        <v>42.96875</v>
      </c>
      <c r="CO242" s="47">
        <f t="shared" si="152"/>
        <v>188.48958333333334</v>
      </c>
      <c r="CP242" s="45">
        <f>('[2]Renewable Diesel'!$AG251*'[2]RD Feedstock Breakdown'!CP$3*'[2]Feedstock Conversion Rates'!$B$3)/12</f>
        <v>6.0075000000000003</v>
      </c>
      <c r="CQ242" s="45">
        <f>('[2]Renewable Diesel'!$AG251*'[2]RD Feedstock Breakdown'!CQ$3*'[2]Feedstock Conversion Rates'!$B$6)/12</f>
        <v>3.5175000000000001</v>
      </c>
      <c r="CR242" s="45">
        <f>('[2]Renewable Diesel'!$AG251*'[2]RD Feedstock Breakdown'!CR$3*'[2]Feedstock Conversion Rates'!$B$4)/12</f>
        <v>2.8125</v>
      </c>
      <c r="CS242" s="47">
        <f t="shared" si="183"/>
        <v>12.3375</v>
      </c>
      <c r="CT242" s="45">
        <f>('[2]Renewable Diesel'!AI251*'[2]Feedstock Conversion Rates'!$B$4*'[2]RD Feedstock Breakdown'!$CT$3)/12</f>
        <v>29.375</v>
      </c>
      <c r="CU242" s="47">
        <f t="shared" si="154"/>
        <v>29.375</v>
      </c>
      <c r="CV242" s="45">
        <f>('[2]Renewable Diesel'!AN251*'[2]Feedstock Conversion Rates'!$B$3*'[2]RD Feedstock Breakdown'!$CV$3)/12</f>
        <v>0.50062499999999999</v>
      </c>
      <c r="CW242" s="47">
        <f t="shared" si="124"/>
        <v>0.50062499999999999</v>
      </c>
      <c r="CX242" s="45">
        <f>('[2]Renewable Diesel'!AO251*'[2]RD Feedstock Breakdown'!$CX$3*'[2]Feedstock Conversion Rates'!$B$3)/12</f>
        <v>6.3412499999999996</v>
      </c>
      <c r="CY242" s="45">
        <f>('[2]Renewable Diesel'!AO251*'[2]RD Feedstock Breakdown'!$CY$3*'[2]Feedstock Conversion Rates'!$B$6)/12</f>
        <v>7.4258333333333342</v>
      </c>
      <c r="CZ242" s="47">
        <f t="shared" ref="CZ242:CZ305" si="188">CY242+CX242</f>
        <v>13.767083333333334</v>
      </c>
      <c r="DA242" s="45">
        <f>('[2]Renewable Diesel'!$AP251*'[2]RD Feedstock Breakdown'!DA$3*'[2]Feedstock Conversion Rates'!$B$3)/12</f>
        <v>6.3412499999999996</v>
      </c>
      <c r="DB242" s="45">
        <f>('[2]Renewable Diesel'!$AP251*'[2]RD Feedstock Breakdown'!DB$3*'[2]Feedstock Conversion Rates'!$B$8)/12</f>
        <v>7.421875</v>
      </c>
      <c r="DC242" s="47">
        <f t="shared" si="127"/>
        <v>13.763124999999999</v>
      </c>
      <c r="DD242" s="45">
        <f>('[2]Renewable Diesel'!AQ251*$DD$3*'[2]Feedstock Conversion Rates'!$B$14)/12</f>
        <v>3.1041666666666665</v>
      </c>
      <c r="DE242" s="47">
        <f t="shared" si="128"/>
        <v>3.1041666666666665</v>
      </c>
      <c r="DF242" s="45">
        <f>('[2]Renewable Diesel'!AR251*'[2]Feedstock Conversion Rates'!$B$4*$DF$3)/12</f>
        <v>75</v>
      </c>
      <c r="DG242" s="47">
        <f t="shared" ref="DG242:DG305" si="189">DF242</f>
        <v>75</v>
      </c>
      <c r="DH242" s="45">
        <f>('[2]Renewable Diesel'!AS251*'[2]Feedstock Conversion Rates'!$B$4*$DH$3)/12</f>
        <v>75</v>
      </c>
      <c r="DI242" s="47">
        <f t="shared" si="110"/>
        <v>75</v>
      </c>
      <c r="DJ242" s="45">
        <f>('[2]Renewable Diesel'!AT251*'[2]Feedstock Conversion Rates'!$B$4*0.25)/12</f>
        <v>8.59375</v>
      </c>
      <c r="DK242" s="45">
        <f>('[2]Renewable Diesel'!$AT251*'[2]RD Feedstock Breakdown'!DK$3*'[2]Feedstock Conversion Rates'!$B$3)/12*0.5</f>
        <v>9.1781249999999996</v>
      </c>
      <c r="DL242" s="45">
        <f>('[2]Renewable Diesel'!$AT251*'[2]RD Feedstock Breakdown'!$DL$3*'[2]Feedstock Conversion Rates'!$B$6)/12</f>
        <v>10.747916666666669</v>
      </c>
      <c r="DM242" s="45">
        <f>('[2]Renewable Diesel'!$AT251*'[2]RD Feedstock Breakdown'!$DM$3*'[2]Feedstock Conversion Rates'!$B$8)/12</f>
        <v>10.7421875</v>
      </c>
      <c r="DN242" s="47">
        <f t="shared" si="169"/>
        <v>39.26197916666667</v>
      </c>
      <c r="DP242" s="45">
        <f t="shared" si="130"/>
        <v>122.22025000000001</v>
      </c>
      <c r="DQ242" s="45">
        <f t="shared" si="131"/>
        <v>646.27964250000002</v>
      </c>
      <c r="DR242" s="45">
        <f t="shared" si="136"/>
        <v>1882.234375</v>
      </c>
      <c r="DS242" s="45">
        <f t="shared" si="155"/>
        <v>51.092395833333342</v>
      </c>
      <c r="DT242" s="45">
        <f t="shared" si="132"/>
        <v>238.03923333333344</v>
      </c>
      <c r="DU242" s="45">
        <f t="shared" si="133"/>
        <v>265.47693333333336</v>
      </c>
      <c r="DV242" s="45">
        <f t="shared" si="137"/>
        <v>8</v>
      </c>
      <c r="DW242" s="45">
        <f t="shared" si="134"/>
        <v>3</v>
      </c>
      <c r="DX242" s="47">
        <f t="shared" si="138"/>
        <v>3216.34283</v>
      </c>
      <c r="DY242" s="50">
        <f t="shared" si="126"/>
        <v>-135.00000000000014</v>
      </c>
      <c r="EA242" s="51">
        <f t="shared" si="117"/>
        <v>3.7999758253382462E-2</v>
      </c>
      <c r="EB242" s="51">
        <f t="shared" si="117"/>
        <v>0.20093618020812787</v>
      </c>
      <c r="EC242" s="51">
        <f t="shared" si="117"/>
        <v>0.58520949864041705</v>
      </c>
      <c r="ED242" s="51">
        <f t="shared" si="114"/>
        <v>1.5885245613986163E-2</v>
      </c>
      <c r="EE242" s="51">
        <f t="shared" si="114"/>
        <v>7.4009285052903842E-2</v>
      </c>
      <c r="EF242" s="51">
        <f t="shared" si="114"/>
        <v>8.2539998801475195E-2</v>
      </c>
      <c r="EG242" s="51">
        <f t="shared" si="114"/>
        <v>2.4872970397872667E-3</v>
      </c>
      <c r="EH242" s="52">
        <f t="shared" si="139"/>
        <v>9.32736389920225E-4</v>
      </c>
      <c r="EI242" s="51">
        <f t="shared" si="140"/>
        <v>0.99906726361007991</v>
      </c>
      <c r="EK242" s="53">
        <f>(EA242*'[2]Renewable Diesel'!BF251*'[2]Feedstock Conversion Rates'!B$2)+FB242</f>
        <v>203.24609303883614</v>
      </c>
      <c r="EL242" s="53">
        <f>(EB242*'[2]Renewable Diesel'!BF251*'[2]Feedstock Conversion Rates'!B$3)+FC242</f>
        <v>1012.7753085229548</v>
      </c>
      <c r="EM242" s="53">
        <f>(EC242*'[2]Renewable Diesel'!BF251*'[2]Feedstock Conversion Rates'!B$4)+FD242</f>
        <v>2761.8181321075413</v>
      </c>
      <c r="EN242" s="53">
        <f>(ED242*'[2]Renewable Diesel'!BF251*'[2]Feedstock Conversion Rates'!B$5)+FE242</f>
        <v>75.468085420278541</v>
      </c>
      <c r="EO242" s="53">
        <f>(EE242*'[2]Renewable Diesel'!BF251*'[2]Feedstock Conversion Rates'!B$6)+FF242</f>
        <v>436.82903154931029</v>
      </c>
      <c r="EP242" s="53">
        <f>(EF242*'[2]Renewable Diesel'!BF251*'[2]Feedstock Conversion Rates'!B$7)+FG242</f>
        <v>477.83145141734394</v>
      </c>
      <c r="EQ242" s="53">
        <f>(EG242*'[2]Renewable Diesel'!BF251*'[2]Feedstock Conversion Rates'!B$8)+FH242</f>
        <v>14.673083059103844</v>
      </c>
      <c r="ER242" s="53">
        <f>(EH242*'[2]Renewable Diesel'!BF251*'[2]Feedstock Conversion Rates'!B$9)+FI242</f>
        <v>5.4290407318684215</v>
      </c>
      <c r="ES242" s="53">
        <f t="shared" si="141"/>
        <v>4988.0702258472365</v>
      </c>
      <c r="ET242" s="36">
        <f>ES242/'[2]Renewable Diesel'!BF251</f>
        <v>7.9270228969341554</v>
      </c>
    </row>
    <row r="243" spans="1:150" x14ac:dyDescent="0.25">
      <c r="A243" s="39">
        <v>47818</v>
      </c>
      <c r="B243" s="45">
        <f t="shared" si="184"/>
        <v>0.5</v>
      </c>
      <c r="C243" s="45">
        <f t="shared" si="185"/>
        <v>9.5</v>
      </c>
      <c r="D243" s="45">
        <f t="shared" si="186"/>
        <v>2</v>
      </c>
      <c r="E243" s="45">
        <f>('[2]Renewable Diesel'!B252*E$3*'[2]Feedstock Conversion Rates'!$B$2)/12-57.5+8+12.5+52.5-76+18+23+45+50-2.5-3-28-2-9.5+30-40+26+0.5</f>
        <v>136.93</v>
      </c>
      <c r="F243" s="45">
        <f>('[2]Renewable Diesel'!B252*'[2]RD Feedstock Breakdown'!F$3*'[2]Feedstock Conversion Rates'!B$8)/12-13.5+1.5-2+36-10+10-61+25+8+1-29+1.5-15</f>
        <v>6.40625</v>
      </c>
      <c r="G243" s="45">
        <f>('[2]Renewable Diesel'!B252*'[2]RD Feedstock Breakdown'!G$3*'[2]Feedstock Conversion Rates'!B$7)/12-100-12.5-1+26.75+19-57.5-30+31+70-40+15-35-7.5-4+5</f>
        <v>55.407000000000011</v>
      </c>
      <c r="H243" s="45">
        <f>('[2]Renewable Diesel'!B252*'[2]RD Feedstock Breakdown'!H$3*'[2]Feedstock Conversion Rates'!B$3)/12-105+5+139-10-10-162+8.5+58-20+40-10+160+15</f>
        <v>284.90022499999998</v>
      </c>
      <c r="I243" s="47">
        <f t="shared" si="160"/>
        <v>495.64347499999997</v>
      </c>
      <c r="J243" s="45">
        <f>58.5+40+43+1.5+102-19+38-8.5-35-7.5-29-30-30-5+15+10-7-45-10-1-75+2.5+18+5+130+15-5+15+10-75-120+12+35-24-20</f>
        <v>4.5</v>
      </c>
      <c r="K243" s="45"/>
      <c r="L243" s="45">
        <v>1</v>
      </c>
      <c r="M243" s="45">
        <f>('[2]Renewable Diesel'!C252*'[2]RD Feedstock Breakdown'!M$3*'[2]Feedstock Conversion Rates'!B$2)/12-18.5+7-43-1.5+7.5+7-5+24</f>
        <v>-14.70975</v>
      </c>
      <c r="N243" s="45">
        <f>('[2]Renewable Diesel'!C252*'[2]RD Feedstock Breakdown'!N$3*'[2]Feedstock Conversion Rates'!B$8)/12-2.5+46-58.5+8.5+5-10+10-2.5-18+5-12</f>
        <v>-25.328125</v>
      </c>
      <c r="O243" s="45">
        <f>('[2]Renewable Diesel'!C252*'[2]RD Feedstock Breakdown'!O$3*'[2]Feedstock Conversion Rates'!B$7)/12-30-12.5-47-19+29+30-15-15+75-35+20</f>
        <v>-7.5009000000000015</v>
      </c>
      <c r="P243" s="45">
        <f>('[2]Renewable Diesel'!C252*'[2]RD Feedstock Breakdown'!P$3*'[2]Feedstock Conversion Rates'!B$3)/12-25+42.5-102+35+30+45+75-130-15-10+120</f>
        <v>75.947042500000009</v>
      </c>
      <c r="Q243" s="47">
        <f t="shared" si="172"/>
        <v>33.908267500000008</v>
      </c>
      <c r="R243" s="45">
        <f>('[2]Renewable Diesel'!D252*'[2]RD Feedstock Breakdown'!R$3*'[2]Feedstock Conversion Rates'!B$7)/12</f>
        <v>2.2999999999999998</v>
      </c>
      <c r="S243" s="47">
        <f t="shared" si="116"/>
        <v>2.2999999999999998</v>
      </c>
      <c r="T243" s="45">
        <f t="shared" si="179"/>
        <v>5.8250000000000028</v>
      </c>
      <c r="U243" s="45">
        <v>30</v>
      </c>
      <c r="V243" s="45">
        <f>('[2]Renewable Diesel'!E252*'[2]RD Feedstock Breakdown'!V$3*'[2]Feedstock Conversion Rates'!B$6)/12-20+25-35</f>
        <v>14.250150000000012</v>
      </c>
      <c r="W243" s="45">
        <f>('[2]Renewable Diesel'!E252*'[2]RD Feedstock Breakdown'!W$3*'[2]Feedstock Conversion Rates'!B$8)/12-6</f>
        <v>16.1796875</v>
      </c>
      <c r="X243" s="47">
        <f t="shared" si="147"/>
        <v>66.254837500000008</v>
      </c>
      <c r="Y243" s="45">
        <f t="shared" si="187"/>
        <v>141.5</v>
      </c>
      <c r="Z243" s="45">
        <f>('[2]Renewable Diesel'!F252*'[2]RD Feedstock Breakdown'!Z$3*'[2]Feedstock Conversion Rates'!B$6)/12-50-32-60+15+15+47.5-72.5+70-27.5-5</f>
        <v>59.960000000000008</v>
      </c>
      <c r="AA243" s="45">
        <f>('[2]Renewable Diesel'!F252*'[2]RD Feedstock Breakdown'!AA$3*'[2]Feedstock Conversion Rates'!B$7)/12+80-171+75+30-55-1</f>
        <v>62.266666666666652</v>
      </c>
      <c r="AB243" s="47">
        <f t="shared" ref="AB243:AB306" si="190">SUM(Y243:AA243)</f>
        <v>263.72666666666669</v>
      </c>
      <c r="AC243" s="45">
        <f>('[2]Renewable Diesel'!G252*'[2]RD Feedstock Breakdown'!AC$3*'[2]Feedstock Conversion Rates'!B$5)/12</f>
        <v>11.796875</v>
      </c>
      <c r="AD243" s="45">
        <f>('[2]Renewable Diesel'!G252*'[2]RD Feedstock Breakdown'!AD$3*'[2]Feedstock Conversion Rates'!B$4)/12</f>
        <v>5.859375</v>
      </c>
      <c r="AE243" s="45">
        <f>('[2]Renewable Diesel'!G252*'[2]RD Feedstock Breakdown'!AE$3*'[2]Feedstock Conversion Rates'!B$6)/12</f>
        <v>7.3281250000000009</v>
      </c>
      <c r="AF243" s="47">
        <f t="shared" si="156"/>
        <v>24.984375</v>
      </c>
      <c r="AG243" s="45">
        <f t="shared" si="182"/>
        <v>6.5</v>
      </c>
      <c r="AH243" s="45">
        <v>135</v>
      </c>
      <c r="AI243" s="45">
        <f>('[2]Renewable Diesel'!H252*'[2]RD Feedstock Breakdown'!AI$3*'[2]Feedstock Conversion Rates'!B$6)/12-130-20+51-120+105-40+25-10-2.5</f>
        <v>7.0166666666666799</v>
      </c>
      <c r="AJ243" s="47">
        <f t="shared" si="113"/>
        <v>13.51666666666668</v>
      </c>
      <c r="AK243" s="45">
        <f>('[2]Renewable Diesel'!J252*'[2]RD Feedstock Breakdown'!AK$3*'[2]Feedstock Conversion Rates'!B$4)/12</f>
        <v>95.8125</v>
      </c>
      <c r="AL243" s="47">
        <f t="shared" si="123"/>
        <v>95.8125</v>
      </c>
      <c r="AM243" s="45">
        <f>('[2]Renewable Diesel'!K252*'[2]RD Feedstock Breakdown'!AM$3*'[2]Feedstock Conversion Rates'!B$4)/12+5+15-10+2.5+7-35</f>
        <v>43.09375</v>
      </c>
      <c r="AN243" s="45">
        <f>('[2]Renewable Diesel'!K252*'[2]RD Feedstock Breakdown'!AN$3*'[2]Feedstock Conversion Rates'!B$6)/12-5-15+10-2.5-7+35</f>
        <v>39.927083333333329</v>
      </c>
      <c r="AO243" s="47">
        <f t="shared" si="135"/>
        <v>83.020833333333329</v>
      </c>
      <c r="AP243" s="45">
        <f>('[2]Renewable Diesel'!L252*'[2]RD Feedstock Breakdown'!AP$3*'[2]Feedstock Conversion Rates'!B$4)/12+15-10+5+2.5+7</f>
        <v>78.09375</v>
      </c>
      <c r="AQ243" s="45">
        <f>('[2]Renewable Diesel'!L252*'[2]RD Feedstock Breakdown'!AQ$3*'[2]Feedstock Conversion Rates'!B$6)/12-15+10-5-2.5-7</f>
        <v>4.9270833333333321</v>
      </c>
      <c r="AR243" s="47">
        <f t="shared" si="125"/>
        <v>83.020833333333329</v>
      </c>
      <c r="AS243" s="45">
        <f>('[2]Renewable Diesel'!M252*'[2]RD Feedstock Breakdown'!AS$3*'[2]Feedstock Conversion Rates'!B$4)/12</f>
        <v>456.25</v>
      </c>
      <c r="AT243" s="45">
        <f>('[2]Renewable Diesel'!M252*'[2]RD Feedstock Breakdown'!AT$3*'[2]Feedstock Conversion Rates'!B$5)/12</f>
        <v>0</v>
      </c>
      <c r="AU243" s="47">
        <f t="shared" si="159"/>
        <v>456.25</v>
      </c>
      <c r="AV243" s="45">
        <f>'[2]Renewable Diesel'!N252*'[2]RD Feedstock Breakdown'!$AV$3*'[2]Feedstock Conversion Rates'!$B$4/12-15-10+25+25-22+15-50</f>
        <v>46.749999999999986</v>
      </c>
      <c r="AW243" s="45">
        <f>'[2]Renewable Diesel'!N252*'[2]RD Feedstock Breakdown'!$AW$3*'[2]Feedstock Conversion Rates'!$B$7/12+15+10-25-25+22-15+50</f>
        <v>73.400000000000006</v>
      </c>
      <c r="AX243" s="47">
        <f t="shared" si="109"/>
        <v>120.14999999999999</v>
      </c>
      <c r="AY243" s="45">
        <f>('[2]Renewable Diesel'!O252*'[2]RD Feedstock Breakdown'!AY$3*'[2]Feedstock Conversion Rates'!B$4)/12+32+2-125-25</f>
        <v>94.9375</v>
      </c>
      <c r="AZ243" s="45">
        <f>('[2]Renewable Diesel'!O252*'[2]RD Feedstock Breakdown'!AZ$3*'[2]Feedstock Conversion Rates'!B$3)/12-32-2+125+25</f>
        <v>141.03125</v>
      </c>
      <c r="BA243" s="47">
        <f t="shared" si="173"/>
        <v>235.96875</v>
      </c>
      <c r="BB243" s="45">
        <f>('[2]Renewable Diesel'!Q252*'[2]RD Feedstock Breakdown'!BB$3*'[2]Feedstock Conversion Rates'!B$4)/12-10</f>
        <v>1.1562499999999982</v>
      </c>
      <c r="BC243" s="45">
        <f>('[2]Renewable Diesel'!Q252*'[2]RD Feedstock Breakdown'!BC$3*'[2]Feedstock Conversion Rates'!B$3)/12+10</f>
        <v>11.40175</v>
      </c>
      <c r="BD243" s="45">
        <f>('[2]Renewable Diesel'!Q252*'[2]RD Feedstock Breakdown'!BD$3*'[2]Feedstock Conversion Rates'!B$6)/12</f>
        <v>0.8207500000000002</v>
      </c>
      <c r="BE243" s="47">
        <f t="shared" si="151"/>
        <v>13.378749999999998</v>
      </c>
      <c r="BF243" s="45">
        <f>('[2]Renewable Diesel'!R252*'[2]RD Feedstock Breakdown'!BF$3*'[2]Feedstock Conversion Rates'!B$4)/12</f>
        <v>62.5</v>
      </c>
      <c r="BG243" s="47">
        <f t="shared" si="129"/>
        <v>62.5</v>
      </c>
      <c r="BH243" s="45">
        <f>('[2]Renewable Diesel'!T252*'[2]RD Feedstock Breakdown'!BH$3*'[2]Feedstock Conversion Rates'!B$7)/12</f>
        <v>27.599999999999998</v>
      </c>
      <c r="BI243" s="47">
        <f t="shared" si="112"/>
        <v>27.599999999999998</v>
      </c>
      <c r="BJ243" s="45">
        <f>('[2]Renewable Diesel'!W252*'[2]RD Feedstock Breakdown'!BJ$3*'[2]Feedstock Conversion Rates'!B$4)/12</f>
        <v>7.5</v>
      </c>
      <c r="BK243" s="45">
        <f>('[2]Renewable Diesel'!W252*'[2]RD Feedstock Breakdown'!BK$3*'[2]Feedstock Conversion Rates'!B$3)/12</f>
        <v>1.335</v>
      </c>
      <c r="BL243" s="45">
        <f>('[2]Renewable Diesel'!W252*'[2]RD Feedstock Breakdown'!BL$3*'[2]Feedstock Conversion Rates'!B$6)/12</f>
        <v>3.1266666666666669</v>
      </c>
      <c r="BM243" s="45">
        <f>('[2]Renewable Diesel'!W252*'[2]RD Feedstock Breakdown'!BM$3*'[2]Feedstock Conversion Rates'!B$7)/12</f>
        <v>1.5333333333333332</v>
      </c>
      <c r="BN243" s="47">
        <f t="shared" si="168"/>
        <v>13.495000000000001</v>
      </c>
      <c r="BO243" s="45">
        <f>('[2]Renewable Diesel'!P252*'[2]Feedstock Conversion Rates'!B$4)/12</f>
        <v>31.25</v>
      </c>
      <c r="BP243" s="47">
        <f t="shared" si="157"/>
        <v>31.25</v>
      </c>
      <c r="BQ243" s="45">
        <f>('[2]Renewable Diesel'!$S252*'[2]RD Feedstock Breakdown'!BQ$3*'[2]Feedstock Conversion Rates'!B$4)/12+10</f>
        <v>38.125</v>
      </c>
      <c r="BR243" s="45">
        <f>('[2]Renewable Diesel'!$S252*'[2]RD Feedstock Breakdown'!BR$3*'[2]Feedstock Conversion Rates'!B$7)/12-10</f>
        <v>1.5</v>
      </c>
      <c r="BS243" s="47">
        <f t="shared" si="174"/>
        <v>39.625</v>
      </c>
      <c r="BT243" s="47"/>
      <c r="BU243" s="45">
        <f>('[2]Renewable Diesel'!Y252*'[2]Feedstock Conversion Rates'!B$7)/12</f>
        <v>2.6833333333333331</v>
      </c>
      <c r="BV243" s="47">
        <f t="shared" si="153"/>
        <v>2.6833333333333331</v>
      </c>
      <c r="BW243" s="45">
        <f>('[2]Renewable Diesel'!$Z252*'[2]RD Feedstock Breakdown'!BW$3*'[2]Feedstock Conversion Rates'!$B$4)/12</f>
        <v>53.90625</v>
      </c>
      <c r="BX243" s="45">
        <f>('[2]Renewable Diesel'!$Z252*'[2]RD Feedstock Breakdown'!BX$3*'[2]Feedstock Conversion Rates'!$B$5)/12</f>
        <v>5.4265624999999993</v>
      </c>
      <c r="BY243" s="45">
        <f>('[2]Renewable Diesel'!$Z252*'[2]RD Feedstock Breakdown'!BY$3*'[2]Feedstock Conversion Rates'!$B$7)/12</f>
        <v>46.287499999999994</v>
      </c>
      <c r="BZ243" s="45">
        <f>('[2]Renewable Diesel'!$Z252*'[2]RD Feedstock Breakdown'!BZ$3*'[2]Feedstock Conversion Rates'!$B$3)/12</f>
        <v>11.514374999999999</v>
      </c>
      <c r="CA243" s="47">
        <f t="shared" si="181"/>
        <v>117.1346875</v>
      </c>
      <c r="CB243" s="45">
        <f>('[2]Renewable Diesel'!AA252*'[2]Feedstock Conversion Rates'!B$4)/12</f>
        <v>191.25</v>
      </c>
      <c r="CC243" s="47">
        <f t="shared" si="171"/>
        <v>191.25</v>
      </c>
      <c r="CD243" s="45">
        <f>('[2]Renewable Diesel'!$AB252*'[2]RD Feedstock Breakdown'!CD$3*'[2]Feedstock Conversion Rates'!$B$6)/12-15</f>
        <v>17.830000000000005</v>
      </c>
      <c r="CE243" s="45">
        <f>('[2]Renewable Diesel'!$AB252*'[2]RD Feedstock Breakdown'!CE$3*'[2]Feedstock Conversion Rates'!$B$4)/12+15</f>
        <v>26.25</v>
      </c>
      <c r="CF243" s="47">
        <f t="shared" si="161"/>
        <v>44.080000000000005</v>
      </c>
      <c r="CG243" s="45">
        <f>('[2]Renewable Diesel'!AD252*'[2]Feedstock Conversion Rates'!B$4)/12</f>
        <v>112.5</v>
      </c>
      <c r="CH243" s="47">
        <f t="shared" si="149"/>
        <v>112.5</v>
      </c>
      <c r="CI243" s="45">
        <f>('[2]Renewable Diesel'!$AE252*'[2]RD Feedstock Breakdown'!CI$3*'[2]Feedstock Conversion Rates'!$B$5)/12</f>
        <v>0.34604166666666664</v>
      </c>
      <c r="CJ243" s="45">
        <f>('[2]Renewable Diesel'!$AE252*'[2]RD Feedstock Breakdown'!CJ$3*'[2]Feedstock Conversion Rates'!$B$4)/12</f>
        <v>0.34375</v>
      </c>
      <c r="CK243" s="47">
        <f t="shared" si="158"/>
        <v>0.68979166666666658</v>
      </c>
      <c r="CL243" s="45">
        <f>(((CL$3*'[2]Renewable Diesel'!$AF252)*'[2]Feedstock Conversion Rates'!$B$3)/12)</f>
        <v>91.78125</v>
      </c>
      <c r="CM243" s="45">
        <f>(((CM$3*'[2]Renewable Diesel'!$AF252)*'[2]Feedstock Conversion Rates'!$B$6)/12)</f>
        <v>53.739583333333336</v>
      </c>
      <c r="CN243" s="45">
        <f>(((CN$3*'[2]Renewable Diesel'!$AF252)*'[2]Feedstock Conversion Rates'!$B$4)/12)</f>
        <v>42.96875</v>
      </c>
      <c r="CO243" s="47">
        <f t="shared" si="152"/>
        <v>188.48958333333334</v>
      </c>
      <c r="CP243" s="45">
        <f>('[2]Renewable Diesel'!$AG252*'[2]RD Feedstock Breakdown'!CP$3*'[2]Feedstock Conversion Rates'!$B$3)/12</f>
        <v>6.0075000000000003</v>
      </c>
      <c r="CQ243" s="45">
        <f>('[2]Renewable Diesel'!$AG252*'[2]RD Feedstock Breakdown'!CQ$3*'[2]Feedstock Conversion Rates'!$B$6)/12</f>
        <v>3.5175000000000001</v>
      </c>
      <c r="CR243" s="45">
        <f>('[2]Renewable Diesel'!$AG252*'[2]RD Feedstock Breakdown'!CR$3*'[2]Feedstock Conversion Rates'!$B$4)/12</f>
        <v>2.8125</v>
      </c>
      <c r="CS243" s="47">
        <f t="shared" si="183"/>
        <v>12.3375</v>
      </c>
      <c r="CT243" s="45">
        <f>('[2]Renewable Diesel'!AI252*'[2]Feedstock Conversion Rates'!$B$4*'[2]RD Feedstock Breakdown'!$CT$3)/12</f>
        <v>29.375</v>
      </c>
      <c r="CU243" s="47">
        <f t="shared" si="154"/>
        <v>29.375</v>
      </c>
      <c r="CV243" s="45">
        <f>('[2]Renewable Diesel'!AN252*'[2]Feedstock Conversion Rates'!$B$3*'[2]RD Feedstock Breakdown'!$CV$3)/12</f>
        <v>0.50062499999999999</v>
      </c>
      <c r="CW243" s="47">
        <f t="shared" si="124"/>
        <v>0.50062499999999999</v>
      </c>
      <c r="CX243" s="45">
        <f>('[2]Renewable Diesel'!AO252*'[2]RD Feedstock Breakdown'!$CX$3*'[2]Feedstock Conversion Rates'!$B$3)/12</f>
        <v>6.3412499999999996</v>
      </c>
      <c r="CY243" s="45">
        <f>('[2]Renewable Diesel'!AO252*'[2]RD Feedstock Breakdown'!$CY$3*'[2]Feedstock Conversion Rates'!$B$6)/12</f>
        <v>7.4258333333333342</v>
      </c>
      <c r="CZ243" s="47">
        <f t="shared" si="188"/>
        <v>13.767083333333334</v>
      </c>
      <c r="DA243" s="45">
        <f>('[2]Renewable Diesel'!$AP252*'[2]RD Feedstock Breakdown'!DA$3*'[2]Feedstock Conversion Rates'!$B$3)/12</f>
        <v>6.3412499999999996</v>
      </c>
      <c r="DB243" s="45">
        <f>('[2]Renewable Diesel'!$AP252*'[2]RD Feedstock Breakdown'!DB$3*'[2]Feedstock Conversion Rates'!$B$8)/12</f>
        <v>7.421875</v>
      </c>
      <c r="DC243" s="47">
        <f t="shared" si="127"/>
        <v>13.763124999999999</v>
      </c>
      <c r="DD243" s="45">
        <f>('[2]Renewable Diesel'!AQ252*$DD$3*'[2]Feedstock Conversion Rates'!$B$14)/12</f>
        <v>3.1041666666666665</v>
      </c>
      <c r="DE243" s="47">
        <f t="shared" si="128"/>
        <v>3.1041666666666665</v>
      </c>
      <c r="DF243" s="45">
        <f>('[2]Renewable Diesel'!AR252*'[2]Feedstock Conversion Rates'!$B$4*$DF$3)/12</f>
        <v>75</v>
      </c>
      <c r="DG243" s="47">
        <f t="shared" si="189"/>
        <v>75</v>
      </c>
      <c r="DH243" s="45">
        <f>('[2]Renewable Diesel'!AS252*'[2]Feedstock Conversion Rates'!$B$4*$DH$3)/12</f>
        <v>75</v>
      </c>
      <c r="DI243" s="47">
        <f t="shared" si="110"/>
        <v>75</v>
      </c>
      <c r="DJ243" s="45">
        <f>('[2]Renewable Diesel'!AT252*'[2]Feedstock Conversion Rates'!$B$4*0.25)/12</f>
        <v>8.59375</v>
      </c>
      <c r="DK243" s="45">
        <f>('[2]Renewable Diesel'!$AT252*'[2]RD Feedstock Breakdown'!DK$3*'[2]Feedstock Conversion Rates'!$B$3)/12*0.5</f>
        <v>9.1781249999999996</v>
      </c>
      <c r="DL243" s="45">
        <f>('[2]Renewable Diesel'!$AT252*'[2]RD Feedstock Breakdown'!$DL$3*'[2]Feedstock Conversion Rates'!$B$6)/12</f>
        <v>10.747916666666669</v>
      </c>
      <c r="DM243" s="45">
        <f>('[2]Renewable Diesel'!$AT252*'[2]RD Feedstock Breakdown'!$DM$3*'[2]Feedstock Conversion Rates'!$B$8)/12</f>
        <v>10.7421875</v>
      </c>
      <c r="DN243" s="47">
        <f t="shared" si="169"/>
        <v>39.26197916666667</v>
      </c>
      <c r="DP243" s="45">
        <f t="shared" si="130"/>
        <v>122.22025000000001</v>
      </c>
      <c r="DQ243" s="45">
        <f t="shared" si="131"/>
        <v>646.27964250000002</v>
      </c>
      <c r="DR243" s="45">
        <f t="shared" si="136"/>
        <v>1882.234375</v>
      </c>
      <c r="DS243" s="45">
        <f t="shared" si="155"/>
        <v>51.092395833333342</v>
      </c>
      <c r="DT243" s="45">
        <f t="shared" si="132"/>
        <v>238.03923333333344</v>
      </c>
      <c r="DU243" s="45">
        <f t="shared" si="133"/>
        <v>265.47693333333336</v>
      </c>
      <c r="DV243" s="45">
        <f t="shared" si="137"/>
        <v>8</v>
      </c>
      <c r="DW243" s="45">
        <f t="shared" si="134"/>
        <v>3</v>
      </c>
      <c r="DX243" s="47">
        <f t="shared" si="138"/>
        <v>3216.34283</v>
      </c>
      <c r="DY243" s="50">
        <f t="shared" si="126"/>
        <v>-135.00000000000014</v>
      </c>
      <c r="EA243" s="51">
        <f t="shared" si="117"/>
        <v>3.7999758253382462E-2</v>
      </c>
      <c r="EB243" s="51">
        <f t="shared" si="117"/>
        <v>0.20093618020812787</v>
      </c>
      <c r="EC243" s="51">
        <f t="shared" si="117"/>
        <v>0.58520949864041705</v>
      </c>
      <c r="ED243" s="51">
        <f t="shared" si="114"/>
        <v>1.5885245613986163E-2</v>
      </c>
      <c r="EE243" s="51">
        <f t="shared" si="114"/>
        <v>7.4009285052903842E-2</v>
      </c>
      <c r="EF243" s="51">
        <f t="shared" si="114"/>
        <v>8.2539998801475195E-2</v>
      </c>
      <c r="EG243" s="51">
        <f t="shared" si="114"/>
        <v>2.4872970397872667E-3</v>
      </c>
      <c r="EH243" s="52">
        <f t="shared" si="139"/>
        <v>9.32736389920225E-4</v>
      </c>
      <c r="EI243" s="51">
        <f t="shared" si="140"/>
        <v>0.99906726361007991</v>
      </c>
      <c r="EK243" s="53">
        <f>(EA243*'[2]Renewable Diesel'!BF252*'[2]Feedstock Conversion Rates'!B$2)+FB243</f>
        <v>208.0713302290514</v>
      </c>
      <c r="EL243" s="53">
        <f>(EB243*'[2]Renewable Diesel'!BF252*'[2]Feedstock Conversion Rates'!B$3)+FC243</f>
        <v>1036.8194660806744</v>
      </c>
      <c r="EM243" s="53">
        <f>(EC243*'[2]Renewable Diesel'!BF252*'[2]Feedstock Conversion Rates'!B$4)+FD243</f>
        <v>2827.3860717633838</v>
      </c>
      <c r="EN243" s="53">
        <f>(ED243*'[2]Renewable Diesel'!BF252*'[2]Feedstock Conversion Rates'!B$5)+FE243</f>
        <v>77.259762726344576</v>
      </c>
      <c r="EO243" s="53">
        <f>(EE243*'[2]Renewable Diesel'!BF252*'[2]Feedstock Conversion Rates'!B$6)+FF243</f>
        <v>447.19972875328898</v>
      </c>
      <c r="EP243" s="53">
        <f>(EF243*'[2]Renewable Diesel'!BF252*'[2]Feedstock Conversion Rates'!B$7)+FG243</f>
        <v>489.17558136129782</v>
      </c>
      <c r="EQ243" s="53">
        <f>(EG243*'[2]Renewable Diesel'!BF252*'[2]Feedstock Conversion Rates'!B$8)+FH243</f>
        <v>15.021434680595416</v>
      </c>
      <c r="ER243" s="53">
        <f>(EH243*'[2]Renewable Diesel'!BF252*'[2]Feedstock Conversion Rates'!B$9)+FI243</f>
        <v>5.5579308318203031</v>
      </c>
      <c r="ES243" s="53">
        <f t="shared" si="141"/>
        <v>5106.4913064264565</v>
      </c>
      <c r="ET243" s="36">
        <f>ES243/'[2]Renewable Diesel'!BF252</f>
        <v>7.9270228969341563</v>
      </c>
    </row>
    <row r="244" spans="1:150" x14ac:dyDescent="0.25">
      <c r="A244" s="39">
        <v>47849</v>
      </c>
      <c r="B244" s="45">
        <f t="shared" si="184"/>
        <v>0.5</v>
      </c>
      <c r="C244" s="45">
        <f t="shared" si="185"/>
        <v>9.5</v>
      </c>
      <c r="D244" s="45">
        <f t="shared" si="186"/>
        <v>2</v>
      </c>
      <c r="E244" s="45">
        <f>('[2]Renewable Diesel'!B253*E$3*'[2]Feedstock Conversion Rates'!$B$2)/12-57.5+8+12.5+52.5-76+18+23+45+50-2.5-3-28-2-9.5+30-40+26+0.5</f>
        <v>136.93</v>
      </c>
      <c r="F244" s="45">
        <f>('[2]Renewable Diesel'!B253*'[2]RD Feedstock Breakdown'!F$3*'[2]Feedstock Conversion Rates'!B$8)/12-13.5+1.5-2+36-10+10-61+25+8+1-29+1.5-15</f>
        <v>6.40625</v>
      </c>
      <c r="G244" s="45">
        <f>('[2]Renewable Diesel'!B253*'[2]RD Feedstock Breakdown'!G$3*'[2]Feedstock Conversion Rates'!B$7)/12-100-12.5-1+26.75+19-57.5-30+31+70-40+15-35-7.5-4+5</f>
        <v>55.407000000000011</v>
      </c>
      <c r="H244" s="45">
        <f>('[2]Renewable Diesel'!B253*'[2]RD Feedstock Breakdown'!H$3*'[2]Feedstock Conversion Rates'!B$3)/12-105+5+139-10-10-162+8.5+58-20+40-10+160+15</f>
        <v>284.90022499999998</v>
      </c>
      <c r="I244" s="47">
        <f t="shared" si="160"/>
        <v>495.64347499999997</v>
      </c>
      <c r="J244" s="45">
        <f>58.5+40+43+1.5+102-19+38-8.5-35-7.5-29-30-30-5+15+10-7-45-10-1-75+2.5+18+5+130+15-5+15+10-75-120+12+35-21-20</f>
        <v>7.5</v>
      </c>
      <c r="K244" s="45"/>
      <c r="L244" s="45">
        <v>1</v>
      </c>
      <c r="M244" s="45">
        <f>('[2]Renewable Diesel'!C253*'[2]RD Feedstock Breakdown'!M$3*'[2]Feedstock Conversion Rates'!B$2)/12-18.5+7-43-1.5+7.5+7-5+24</f>
        <v>-14.70975</v>
      </c>
      <c r="N244" s="45">
        <f>('[2]Renewable Diesel'!C253*'[2]RD Feedstock Breakdown'!N$3*'[2]Feedstock Conversion Rates'!B$8)/12-2.5+46-58.5+8.5+5-10+10-2.5-18+5-12</f>
        <v>-25.328125</v>
      </c>
      <c r="O244" s="45">
        <f>('[2]Renewable Diesel'!C253*'[2]RD Feedstock Breakdown'!O$3*'[2]Feedstock Conversion Rates'!B$7)/12-30-12.5-47-19+29+30-15-15+75-35+20</f>
        <v>-7.5009000000000015</v>
      </c>
      <c r="P244" s="45">
        <f>('[2]Renewable Diesel'!C253*'[2]RD Feedstock Breakdown'!P$3*'[2]Feedstock Conversion Rates'!B$3)/12-25+42.5-102+35+30+50.75+60-100-21-2.5+95</f>
        <v>73.197042500000009</v>
      </c>
      <c r="Q244" s="47">
        <f t="shared" si="172"/>
        <v>34.158267500000008</v>
      </c>
      <c r="R244" s="45">
        <f>('[2]Renewable Diesel'!D253*'[2]RD Feedstock Breakdown'!R$3*'[2]Feedstock Conversion Rates'!B$7)/12</f>
        <v>2.2999999999999998</v>
      </c>
      <c r="S244" s="47">
        <f t="shared" si="116"/>
        <v>2.2999999999999998</v>
      </c>
      <c r="T244" s="45">
        <f t="shared" si="179"/>
        <v>5.8250000000000028</v>
      </c>
      <c r="U244" s="45">
        <v>30</v>
      </c>
      <c r="V244" s="45">
        <f>('[2]Renewable Diesel'!E253*'[2]RD Feedstock Breakdown'!V$3*'[2]Feedstock Conversion Rates'!B$6)/12-20+25-35</f>
        <v>14.250150000000012</v>
      </c>
      <c r="W244" s="45">
        <f>('[2]Renewable Diesel'!E253*'[2]RD Feedstock Breakdown'!W$3*'[2]Feedstock Conversion Rates'!B$8)/12-6</f>
        <v>16.1796875</v>
      </c>
      <c r="X244" s="47">
        <f t="shared" si="147"/>
        <v>66.254837500000008</v>
      </c>
      <c r="Y244" s="45">
        <f t="shared" si="187"/>
        <v>141.5</v>
      </c>
      <c r="Z244" s="45">
        <f>('[2]Renewable Diesel'!F253*'[2]RD Feedstock Breakdown'!Z$3*'[2]Feedstock Conversion Rates'!B$6)/12-50-32-60+15+15+47.5-72.5+70-27.5-5</f>
        <v>59.960000000000008</v>
      </c>
      <c r="AA244" s="45">
        <f>('[2]Renewable Diesel'!F253*'[2]RD Feedstock Breakdown'!AA$3*'[2]Feedstock Conversion Rates'!B$7)/12+80-171+75+30-55-1</f>
        <v>62.266666666666652</v>
      </c>
      <c r="AB244" s="47">
        <f t="shared" si="190"/>
        <v>263.72666666666669</v>
      </c>
      <c r="AC244" s="45">
        <f>('[2]Renewable Diesel'!G253*'[2]RD Feedstock Breakdown'!AC$3*'[2]Feedstock Conversion Rates'!B$5)/12</f>
        <v>11.796875</v>
      </c>
      <c r="AD244" s="45">
        <f>('[2]Renewable Diesel'!G253*'[2]RD Feedstock Breakdown'!AD$3*'[2]Feedstock Conversion Rates'!B$4)/12</f>
        <v>5.859375</v>
      </c>
      <c r="AE244" s="45">
        <f>('[2]Renewable Diesel'!G253*'[2]RD Feedstock Breakdown'!AE$3*'[2]Feedstock Conversion Rates'!B$6)/12</f>
        <v>7.3281250000000009</v>
      </c>
      <c r="AF244" s="47">
        <f t="shared" si="156"/>
        <v>24.984375</v>
      </c>
      <c r="AG244" s="45">
        <f t="shared" si="182"/>
        <v>6.5</v>
      </c>
      <c r="AH244" s="45">
        <v>135</v>
      </c>
      <c r="AI244" s="45">
        <f>('[2]Renewable Diesel'!H253*'[2]RD Feedstock Breakdown'!AI$3*'[2]Feedstock Conversion Rates'!B$6)/12-130-20+51-120+105-40+25-10-2.5</f>
        <v>7.0166666666666799</v>
      </c>
      <c r="AJ244" s="47">
        <f t="shared" si="113"/>
        <v>13.51666666666668</v>
      </c>
      <c r="AK244" s="45">
        <f>('[2]Renewable Diesel'!J253*'[2]RD Feedstock Breakdown'!AK$3*'[2]Feedstock Conversion Rates'!B$4)/12</f>
        <v>95.8125</v>
      </c>
      <c r="AL244" s="47">
        <f t="shared" si="123"/>
        <v>95.8125</v>
      </c>
      <c r="AM244" s="45">
        <f>('[2]Renewable Diesel'!K253*'[2]RD Feedstock Breakdown'!AM$3*'[2]Feedstock Conversion Rates'!B$4)/12+5+15-10+2.5+7-35</f>
        <v>43.09375</v>
      </c>
      <c r="AN244" s="45">
        <f>('[2]Renewable Diesel'!K253*'[2]RD Feedstock Breakdown'!AN$3*'[2]Feedstock Conversion Rates'!B$6)/12-5-15+10-2.5-7+35</f>
        <v>39.927083333333329</v>
      </c>
      <c r="AO244" s="47">
        <f t="shared" si="135"/>
        <v>83.020833333333329</v>
      </c>
      <c r="AP244" s="45">
        <f>('[2]Renewable Diesel'!L253*'[2]RD Feedstock Breakdown'!AP$3*'[2]Feedstock Conversion Rates'!B$4)/12+15-10+5+2.5+7</f>
        <v>78.09375</v>
      </c>
      <c r="AQ244" s="45">
        <f>('[2]Renewable Diesel'!L253*'[2]RD Feedstock Breakdown'!AQ$3*'[2]Feedstock Conversion Rates'!B$6)/12-15+10-5-2.5-7</f>
        <v>4.9270833333333321</v>
      </c>
      <c r="AR244" s="47">
        <f t="shared" si="125"/>
        <v>83.020833333333329</v>
      </c>
      <c r="AS244" s="45">
        <f>('[2]Renewable Diesel'!M253*'[2]RD Feedstock Breakdown'!AS$3*'[2]Feedstock Conversion Rates'!B$4)/12</f>
        <v>456.25</v>
      </c>
      <c r="AT244" s="45">
        <f>('[2]Renewable Diesel'!M253*'[2]RD Feedstock Breakdown'!AT$3*'[2]Feedstock Conversion Rates'!B$5)/12</f>
        <v>0</v>
      </c>
      <c r="AU244" s="47">
        <f t="shared" si="159"/>
        <v>456.25</v>
      </c>
      <c r="AV244" s="45">
        <f>'[2]Renewable Diesel'!N253*'[2]RD Feedstock Breakdown'!$AV$3*'[2]Feedstock Conversion Rates'!$B$4/12-15-10+25+25-22+15-50</f>
        <v>46.749999999999986</v>
      </c>
      <c r="AW244" s="45">
        <f>'[2]Renewable Diesel'!N253*'[2]RD Feedstock Breakdown'!$AW$3*'[2]Feedstock Conversion Rates'!$B$7/12+15+10-25-25+22-15+50</f>
        <v>73.400000000000006</v>
      </c>
      <c r="AX244" s="47">
        <f t="shared" si="109"/>
        <v>120.14999999999999</v>
      </c>
      <c r="AY244" s="45">
        <f>('[2]Renewable Diesel'!O253*'[2]RD Feedstock Breakdown'!AY$3*'[2]Feedstock Conversion Rates'!B$4)/12+32+2-125-25</f>
        <v>94.9375</v>
      </c>
      <c r="AZ244" s="45">
        <f>('[2]Renewable Diesel'!O253*'[2]RD Feedstock Breakdown'!AZ$3*'[2]Feedstock Conversion Rates'!B$3)/12-32-2+125+25</f>
        <v>141.03125</v>
      </c>
      <c r="BA244" s="47">
        <f t="shared" si="173"/>
        <v>235.96875</v>
      </c>
      <c r="BB244" s="45">
        <f>('[2]Renewable Diesel'!Q253*'[2]RD Feedstock Breakdown'!BB$3*'[2]Feedstock Conversion Rates'!B$4)/12-10</f>
        <v>1.1562499999999982</v>
      </c>
      <c r="BC244" s="45">
        <f>('[2]Renewable Diesel'!Q253*'[2]RD Feedstock Breakdown'!BC$3*'[2]Feedstock Conversion Rates'!B$3)/12+10</f>
        <v>11.40175</v>
      </c>
      <c r="BD244" s="45">
        <f>('[2]Renewable Diesel'!Q253*'[2]RD Feedstock Breakdown'!BD$3*'[2]Feedstock Conversion Rates'!B$6)/12</f>
        <v>0.8207500000000002</v>
      </c>
      <c r="BE244" s="47">
        <f t="shared" si="151"/>
        <v>13.378749999999998</v>
      </c>
      <c r="BF244" s="45">
        <f>('[2]Renewable Diesel'!R253*'[2]RD Feedstock Breakdown'!BF$3*'[2]Feedstock Conversion Rates'!B$4)/12</f>
        <v>62.5</v>
      </c>
      <c r="BG244" s="47">
        <f t="shared" si="129"/>
        <v>62.5</v>
      </c>
      <c r="BH244" s="45">
        <f>('[2]Renewable Diesel'!T253*'[2]RD Feedstock Breakdown'!BH$3*'[2]Feedstock Conversion Rates'!B$7)/12</f>
        <v>27.599999999999998</v>
      </c>
      <c r="BI244" s="47">
        <f t="shared" si="112"/>
        <v>27.599999999999998</v>
      </c>
      <c r="BJ244" s="45">
        <f>('[2]Renewable Diesel'!W253*'[2]RD Feedstock Breakdown'!BJ$3*'[2]Feedstock Conversion Rates'!B$4)/12</f>
        <v>7.5</v>
      </c>
      <c r="BK244" s="45">
        <f>('[2]Renewable Diesel'!W253*'[2]RD Feedstock Breakdown'!BK$3*'[2]Feedstock Conversion Rates'!B$3)/12</f>
        <v>1.335</v>
      </c>
      <c r="BL244" s="45">
        <f>('[2]Renewable Diesel'!W253*'[2]RD Feedstock Breakdown'!BL$3*'[2]Feedstock Conversion Rates'!B$6)/12</f>
        <v>3.1266666666666669</v>
      </c>
      <c r="BM244" s="45">
        <f>('[2]Renewable Diesel'!W253*'[2]RD Feedstock Breakdown'!BM$3*'[2]Feedstock Conversion Rates'!B$7)/12</f>
        <v>1.5333333333333332</v>
      </c>
      <c r="BN244" s="47">
        <f t="shared" si="168"/>
        <v>13.495000000000001</v>
      </c>
      <c r="BO244" s="45">
        <f>('[2]Renewable Diesel'!P253*'[2]Feedstock Conversion Rates'!B$4)/12</f>
        <v>31.25</v>
      </c>
      <c r="BP244" s="47">
        <f t="shared" si="157"/>
        <v>31.25</v>
      </c>
      <c r="BQ244" s="45">
        <f>('[2]Renewable Diesel'!$S253*'[2]RD Feedstock Breakdown'!BQ$3*'[2]Feedstock Conversion Rates'!B$4)/12+10</f>
        <v>38.125</v>
      </c>
      <c r="BR244" s="45">
        <f>('[2]Renewable Diesel'!$S253*'[2]RD Feedstock Breakdown'!BR$3*'[2]Feedstock Conversion Rates'!B$7)/12-10</f>
        <v>1.5</v>
      </c>
      <c r="BS244" s="47">
        <f t="shared" si="174"/>
        <v>39.625</v>
      </c>
      <c r="BT244" s="47"/>
      <c r="BU244" s="45">
        <f>('[2]Renewable Diesel'!Y253*'[2]Feedstock Conversion Rates'!B$7)/12</f>
        <v>2.6833333333333331</v>
      </c>
      <c r="BV244" s="47">
        <f t="shared" si="153"/>
        <v>2.6833333333333331</v>
      </c>
      <c r="BW244" s="45">
        <f>('[2]Renewable Diesel'!$Z253*'[2]RD Feedstock Breakdown'!BW$3*'[2]Feedstock Conversion Rates'!$B$4)/12</f>
        <v>53.90625</v>
      </c>
      <c r="BX244" s="45">
        <f>('[2]Renewable Diesel'!$Z253*'[2]RD Feedstock Breakdown'!BX$3*'[2]Feedstock Conversion Rates'!$B$5)/12</f>
        <v>5.4265624999999993</v>
      </c>
      <c r="BY244" s="45">
        <f>('[2]Renewable Diesel'!$Z253*'[2]RD Feedstock Breakdown'!BY$3*'[2]Feedstock Conversion Rates'!$B$7)/12</f>
        <v>46.287499999999994</v>
      </c>
      <c r="BZ244" s="45">
        <f>('[2]Renewable Diesel'!$Z253*'[2]RD Feedstock Breakdown'!BZ$3*'[2]Feedstock Conversion Rates'!$B$3)/12</f>
        <v>11.514374999999999</v>
      </c>
      <c r="CA244" s="47">
        <f t="shared" si="181"/>
        <v>117.1346875</v>
      </c>
      <c r="CB244" s="45">
        <f>('[2]Renewable Diesel'!AA253*'[2]Feedstock Conversion Rates'!B$4)/12</f>
        <v>191.25</v>
      </c>
      <c r="CC244" s="47">
        <f t="shared" si="171"/>
        <v>191.25</v>
      </c>
      <c r="CD244" s="45">
        <f>('[2]Renewable Diesel'!$AB253*'[2]RD Feedstock Breakdown'!CD$3*'[2]Feedstock Conversion Rates'!$B$6)/12-15</f>
        <v>17.830000000000005</v>
      </c>
      <c r="CE244" s="45">
        <f>('[2]Renewable Diesel'!$AB253*'[2]RD Feedstock Breakdown'!CE$3*'[2]Feedstock Conversion Rates'!$B$4)/12+15</f>
        <v>26.25</v>
      </c>
      <c r="CF244" s="47">
        <f t="shared" si="161"/>
        <v>44.080000000000005</v>
      </c>
      <c r="CG244" s="45">
        <f>('[2]Renewable Diesel'!AD253*'[2]Feedstock Conversion Rates'!B$4)/12</f>
        <v>112.5</v>
      </c>
      <c r="CH244" s="47">
        <f t="shared" si="149"/>
        <v>112.5</v>
      </c>
      <c r="CI244" s="45">
        <f>('[2]Renewable Diesel'!$AE253*'[2]RD Feedstock Breakdown'!CI$3*'[2]Feedstock Conversion Rates'!$B$5)/12</f>
        <v>0.34604166666666664</v>
      </c>
      <c r="CJ244" s="45">
        <f>('[2]Renewable Diesel'!$AE253*'[2]RD Feedstock Breakdown'!CJ$3*'[2]Feedstock Conversion Rates'!$B$4)/12</f>
        <v>0.34375</v>
      </c>
      <c r="CK244" s="47">
        <f t="shared" si="158"/>
        <v>0.68979166666666658</v>
      </c>
      <c r="CL244" s="45">
        <f>(((CL$3*'[2]Renewable Diesel'!$AF253)*'[2]Feedstock Conversion Rates'!$B$3)/12)</f>
        <v>91.78125</v>
      </c>
      <c r="CM244" s="45">
        <f>(((CM$3*'[2]Renewable Diesel'!$AF253)*'[2]Feedstock Conversion Rates'!$B$6)/12)</f>
        <v>53.739583333333336</v>
      </c>
      <c r="CN244" s="45">
        <f>(((CN$3*'[2]Renewable Diesel'!$AF253)*'[2]Feedstock Conversion Rates'!$B$4)/12)</f>
        <v>42.96875</v>
      </c>
      <c r="CO244" s="47">
        <f t="shared" si="152"/>
        <v>188.48958333333334</v>
      </c>
      <c r="CP244" s="45">
        <f>('[2]Renewable Diesel'!$AG253*'[2]RD Feedstock Breakdown'!CP$3*'[2]Feedstock Conversion Rates'!$B$3)/12</f>
        <v>6.0075000000000003</v>
      </c>
      <c r="CQ244" s="45">
        <f>('[2]Renewable Diesel'!$AG253*'[2]RD Feedstock Breakdown'!CQ$3*'[2]Feedstock Conversion Rates'!$B$6)/12</f>
        <v>3.5175000000000001</v>
      </c>
      <c r="CR244" s="45">
        <f>('[2]Renewable Diesel'!$AG253*'[2]RD Feedstock Breakdown'!CR$3*'[2]Feedstock Conversion Rates'!$B$4)/12</f>
        <v>2.8125</v>
      </c>
      <c r="CS244" s="47">
        <f t="shared" si="183"/>
        <v>12.3375</v>
      </c>
      <c r="CT244" s="45">
        <f>('[2]Renewable Diesel'!AI253*'[2]Feedstock Conversion Rates'!$B$4*'[2]RD Feedstock Breakdown'!$CT$3)/12</f>
        <v>29.375</v>
      </c>
      <c r="CU244" s="47">
        <f t="shared" si="154"/>
        <v>29.375</v>
      </c>
      <c r="CV244" s="45">
        <f>('[2]Renewable Diesel'!AN253*'[2]Feedstock Conversion Rates'!$B$3*'[2]RD Feedstock Breakdown'!$CV$3)/12</f>
        <v>0.50062499999999999</v>
      </c>
      <c r="CW244" s="47">
        <f t="shared" si="124"/>
        <v>0.50062499999999999</v>
      </c>
      <c r="CX244" s="45">
        <f>('[2]Renewable Diesel'!AO253*'[2]RD Feedstock Breakdown'!$CX$3*'[2]Feedstock Conversion Rates'!$B$3)/12</f>
        <v>6.3412499999999996</v>
      </c>
      <c r="CY244" s="45">
        <f>('[2]Renewable Diesel'!AO253*'[2]RD Feedstock Breakdown'!$CY$3*'[2]Feedstock Conversion Rates'!$B$6)/12</f>
        <v>7.4258333333333342</v>
      </c>
      <c r="CZ244" s="47">
        <f t="shared" si="188"/>
        <v>13.767083333333334</v>
      </c>
      <c r="DA244" s="45">
        <f>('[2]Renewable Diesel'!$AP253*'[2]RD Feedstock Breakdown'!DA$3*'[2]Feedstock Conversion Rates'!$B$3)/12</f>
        <v>6.3412499999999996</v>
      </c>
      <c r="DB244" s="45">
        <f>('[2]Renewable Diesel'!$AP253*'[2]RD Feedstock Breakdown'!DB$3*'[2]Feedstock Conversion Rates'!$B$8)/12</f>
        <v>7.421875</v>
      </c>
      <c r="DC244" s="47">
        <f t="shared" si="127"/>
        <v>13.763124999999999</v>
      </c>
      <c r="DD244" s="45">
        <f>('[2]Renewable Diesel'!AQ253*$DD$3*'[2]Feedstock Conversion Rates'!$B$14)/12</f>
        <v>3.1041666666666665</v>
      </c>
      <c r="DE244" s="47">
        <f t="shared" si="128"/>
        <v>3.1041666666666665</v>
      </c>
      <c r="DF244" s="45">
        <f>('[2]Renewable Diesel'!AR253*'[2]Feedstock Conversion Rates'!$B$4*$DF$3)/12</f>
        <v>75</v>
      </c>
      <c r="DG244" s="47">
        <f t="shared" si="189"/>
        <v>75</v>
      </c>
      <c r="DH244" s="45">
        <f>('[2]Renewable Diesel'!AS253*'[2]Feedstock Conversion Rates'!$B$4*$DH$3)/12</f>
        <v>75</v>
      </c>
      <c r="DI244" s="47">
        <f t="shared" si="110"/>
        <v>75</v>
      </c>
      <c r="DJ244" s="45">
        <f>('[2]Renewable Diesel'!AT253*'[2]Feedstock Conversion Rates'!$B$4*0.25)/12</f>
        <v>8.59375</v>
      </c>
      <c r="DK244" s="45">
        <f>('[2]Renewable Diesel'!$AT253*'[2]RD Feedstock Breakdown'!DK$3*'[2]Feedstock Conversion Rates'!$B$3)/12*0.5</f>
        <v>9.1781249999999996</v>
      </c>
      <c r="DL244" s="45">
        <f>('[2]Renewable Diesel'!$AT253*'[2]RD Feedstock Breakdown'!$DL$3*'[2]Feedstock Conversion Rates'!$B$6)/12</f>
        <v>10.747916666666669</v>
      </c>
      <c r="DM244" s="45">
        <f>('[2]Renewable Diesel'!$AT253*'[2]RD Feedstock Breakdown'!$DM$3*'[2]Feedstock Conversion Rates'!$B$8)/12</f>
        <v>10.7421875</v>
      </c>
      <c r="DN244" s="47">
        <f t="shared" si="169"/>
        <v>39.26197916666667</v>
      </c>
      <c r="DP244" s="45">
        <f t="shared" si="130"/>
        <v>122.22025000000001</v>
      </c>
      <c r="DQ244" s="45">
        <f t="shared" si="131"/>
        <v>643.52964249999991</v>
      </c>
      <c r="DR244" s="45">
        <f t="shared" si="136"/>
        <v>1885.234375</v>
      </c>
      <c r="DS244" s="45">
        <f t="shared" si="155"/>
        <v>51.092395833333342</v>
      </c>
      <c r="DT244" s="45">
        <f t="shared" si="132"/>
        <v>238.03923333333344</v>
      </c>
      <c r="DU244" s="45">
        <f t="shared" si="133"/>
        <v>265.47693333333336</v>
      </c>
      <c r="DV244" s="45">
        <f t="shared" si="137"/>
        <v>8</v>
      </c>
      <c r="DW244" s="45">
        <f t="shared" si="134"/>
        <v>3</v>
      </c>
      <c r="DX244" s="47">
        <f t="shared" si="138"/>
        <v>3216.59283</v>
      </c>
      <c r="DY244" s="50">
        <f t="shared" si="126"/>
        <v>-135.00000000000014</v>
      </c>
      <c r="EA244" s="51">
        <f t="shared" si="117"/>
        <v>3.7996804836501488E-2</v>
      </c>
      <c r="EB244" s="51">
        <f t="shared" si="117"/>
        <v>0.20006562114359991</v>
      </c>
      <c r="EC244" s="51">
        <f t="shared" si="117"/>
        <v>0.58609667888863637</v>
      </c>
      <c r="ED244" s="51">
        <f t="shared" si="114"/>
        <v>1.5884010981064501E-2</v>
      </c>
      <c r="EE244" s="51">
        <f t="shared" si="114"/>
        <v>7.4003532903893665E-2</v>
      </c>
      <c r="EF244" s="51">
        <f t="shared" si="114"/>
        <v>8.2533583628405141E-2</v>
      </c>
      <c r="EG244" s="51">
        <f t="shared" si="114"/>
        <v>2.4871037221083402E-3</v>
      </c>
      <c r="EH244" s="52">
        <f t="shared" si="139"/>
        <v>9.3266389579062757E-4</v>
      </c>
      <c r="EI244" s="51">
        <f t="shared" ref="EI244:EI307" si="191">SUM(EA244:EG244)</f>
        <v>0.9990673361042095</v>
      </c>
      <c r="EK244" s="53">
        <f>(EA244*'[2]Renewable Diesel'!BF253*'[2]Feedstock Conversion Rates'!B$2)+FB244</f>
        <v>129.14893674901842</v>
      </c>
      <c r="EL244" s="53">
        <f>(EB244*'[2]Renewable Diesel'!BF253*'[2]Feedstock Conversion Rates'!B$3)+FC244</f>
        <v>640.81078742367913</v>
      </c>
      <c r="EM244" s="53">
        <f>(EC244*'[2]Renewable Diesel'!BF253*'[2]Feedstock Conversion Rates'!B$4)+FD244</f>
        <v>1757.7429107597118</v>
      </c>
      <c r="EN244" s="53">
        <f>(ED244*'[2]Renewable Diesel'!BF253*'[2]Feedstock Conversion Rates'!B$5)+FE244</f>
        <v>47.954786460031443</v>
      </c>
      <c r="EO244" s="53">
        <f>(EE244*'[2]Renewable Diesel'!BF253*'[2]Feedstock Conversion Rates'!B$6)+FF244</f>
        <v>277.5748557927601</v>
      </c>
      <c r="EP244" s="53">
        <f>(EF244*'[2]Renewable Diesel'!BF253*'[2]Feedstock Conversion Rates'!B$7)+FG244</f>
        <v>303.629078291795</v>
      </c>
      <c r="EQ244" s="53">
        <f>(EG244*'[2]Renewable Diesel'!BF253*'[2]Feedstock Conversion Rates'!B$8)+FH244</f>
        <v>9.3237367940509337</v>
      </c>
      <c r="ER244" s="53">
        <f>(EH244*'[2]Renewable Diesel'!BF253*'[2]Feedstock Conversion Rates'!B$9)+FI244</f>
        <v>3.4497826137988454</v>
      </c>
      <c r="ES244" s="53">
        <f t="shared" si="141"/>
        <v>3169.6348748848454</v>
      </c>
      <c r="ET244" s="36">
        <f>ES244/'[2]Renewable Diesel'!BF253</f>
        <v>7.9265536874929863</v>
      </c>
    </row>
    <row r="245" spans="1:150" x14ac:dyDescent="0.25">
      <c r="A245" s="39">
        <v>47880</v>
      </c>
      <c r="B245" s="45">
        <f t="shared" si="184"/>
        <v>0.5</v>
      </c>
      <c r="C245" s="45">
        <f t="shared" si="185"/>
        <v>9.5</v>
      </c>
      <c r="D245" s="45">
        <f t="shared" si="186"/>
        <v>2</v>
      </c>
      <c r="E245" s="45">
        <f>('[2]Renewable Diesel'!B254*E$3*'[2]Feedstock Conversion Rates'!$B$2)/12-57.5+8+12.5+52.5-76+18+23+45+50-2.5-3-28-2-9.5+30-40+26+0.5</f>
        <v>136.93</v>
      </c>
      <c r="F245" s="45">
        <f>('[2]Renewable Diesel'!B254*'[2]RD Feedstock Breakdown'!F$3*'[2]Feedstock Conversion Rates'!B$8)/12-13.5+1.5-2+36-10+10-61+25+8+1-29+1.5-15</f>
        <v>6.40625</v>
      </c>
      <c r="G245" s="45">
        <f>('[2]Renewable Diesel'!B254*'[2]RD Feedstock Breakdown'!G$3*'[2]Feedstock Conversion Rates'!B$7)/12-100-12.5-1+26.75+19-57.5-30+31+70-40+15-35-7.5-4+5</f>
        <v>55.407000000000011</v>
      </c>
      <c r="H245" s="45">
        <f>('[2]Renewable Diesel'!B254*'[2]RD Feedstock Breakdown'!H$3*'[2]Feedstock Conversion Rates'!B$3)/12-105+5+139-10-10-162+8.5+58-20+40-10+160+15</f>
        <v>284.90022499999998</v>
      </c>
      <c r="I245" s="47">
        <f t="shared" si="160"/>
        <v>495.64347499999997</v>
      </c>
      <c r="J245" s="45">
        <f t="shared" ref="J245:J252" si="192">58.5+40+43+1.5+102-19+38-8.5-35-7.5-29-30-30-5+15+10-7-45-10-1-75+2.5+18+5+130+15-5+15+10-75-120+12+35-21-20</f>
        <v>7.5</v>
      </c>
      <c r="K245" s="45"/>
      <c r="L245" s="45">
        <v>1</v>
      </c>
      <c r="M245" s="45">
        <f>('[2]Renewable Diesel'!C254*'[2]RD Feedstock Breakdown'!M$3*'[2]Feedstock Conversion Rates'!B$2)/12-18.5+7-43-1.5+7.5+7-5+24</f>
        <v>-14.70975</v>
      </c>
      <c r="N245" s="45">
        <f>('[2]Renewable Diesel'!C254*'[2]RD Feedstock Breakdown'!N$3*'[2]Feedstock Conversion Rates'!B$8)/12-2.5+46-58.5+8.5+5-10+10-2.5-18+5-12</f>
        <v>-25.328125</v>
      </c>
      <c r="O245" s="45">
        <f>('[2]Renewable Diesel'!C254*'[2]RD Feedstock Breakdown'!O$3*'[2]Feedstock Conversion Rates'!B$7)/12-30-12.5-47-19+29+30-15-15+75-35+20</f>
        <v>-7.5009000000000015</v>
      </c>
      <c r="P245" s="45">
        <f>('[2]Renewable Diesel'!C254*'[2]RD Feedstock Breakdown'!P$3*'[2]Feedstock Conversion Rates'!B$3)/12-25+42.5-102+35+30+50.75+60-100-21-2.5+95</f>
        <v>73.197042500000009</v>
      </c>
      <c r="Q245" s="47">
        <f t="shared" si="172"/>
        <v>34.158267500000008</v>
      </c>
      <c r="R245" s="45">
        <f>('[2]Renewable Diesel'!D254*'[2]RD Feedstock Breakdown'!R$3*'[2]Feedstock Conversion Rates'!B$7)/12</f>
        <v>2.2999999999999998</v>
      </c>
      <c r="S245" s="47">
        <f t="shared" si="116"/>
        <v>2.2999999999999998</v>
      </c>
      <c r="T245" s="45">
        <f t="shared" si="179"/>
        <v>5.8250000000000028</v>
      </c>
      <c r="U245" s="45">
        <v>30</v>
      </c>
      <c r="V245" s="45">
        <f>('[2]Renewable Diesel'!E254*'[2]RD Feedstock Breakdown'!V$3*'[2]Feedstock Conversion Rates'!B$6)/12-20+25-35</f>
        <v>14.250150000000012</v>
      </c>
      <c r="W245" s="45">
        <f>('[2]Renewable Diesel'!E254*'[2]RD Feedstock Breakdown'!W$3*'[2]Feedstock Conversion Rates'!B$8)/12-6</f>
        <v>16.1796875</v>
      </c>
      <c r="X245" s="47">
        <f t="shared" si="147"/>
        <v>66.254837500000008</v>
      </c>
      <c r="Y245" s="45">
        <f t="shared" si="187"/>
        <v>141.5</v>
      </c>
      <c r="Z245" s="45">
        <f>('[2]Renewable Diesel'!F254*'[2]RD Feedstock Breakdown'!Z$3*'[2]Feedstock Conversion Rates'!B$6)/12-50-32-60+15+15+47.5-72.5+70-27.5-5</f>
        <v>59.960000000000008</v>
      </c>
      <c r="AA245" s="45">
        <f>('[2]Renewable Diesel'!F254*'[2]RD Feedstock Breakdown'!AA$3*'[2]Feedstock Conversion Rates'!B$7)/12+80-171+75+30-55-1</f>
        <v>62.266666666666652</v>
      </c>
      <c r="AB245" s="47">
        <f t="shared" si="190"/>
        <v>263.72666666666669</v>
      </c>
      <c r="AC245" s="45">
        <f>('[2]Renewable Diesel'!G254*'[2]RD Feedstock Breakdown'!AC$3*'[2]Feedstock Conversion Rates'!B$5)/12</f>
        <v>11.796875</v>
      </c>
      <c r="AD245" s="45">
        <f>('[2]Renewable Diesel'!G254*'[2]RD Feedstock Breakdown'!AD$3*'[2]Feedstock Conversion Rates'!B$4)/12</f>
        <v>5.859375</v>
      </c>
      <c r="AE245" s="45">
        <f>('[2]Renewable Diesel'!G254*'[2]RD Feedstock Breakdown'!AE$3*'[2]Feedstock Conversion Rates'!B$6)/12</f>
        <v>7.3281250000000009</v>
      </c>
      <c r="AF245" s="47">
        <f t="shared" si="156"/>
        <v>24.984375</v>
      </c>
      <c r="AG245" s="45">
        <f t="shared" si="182"/>
        <v>6.5</v>
      </c>
      <c r="AH245" s="45">
        <v>135</v>
      </c>
      <c r="AI245" s="45">
        <f>('[2]Renewable Diesel'!H254*'[2]RD Feedstock Breakdown'!AI$3*'[2]Feedstock Conversion Rates'!B$6)/12-130-20+51-120+105-40+25-10-2.5</f>
        <v>7.0166666666666799</v>
      </c>
      <c r="AJ245" s="47">
        <f t="shared" si="113"/>
        <v>13.51666666666668</v>
      </c>
      <c r="AK245" s="45">
        <f>('[2]Renewable Diesel'!J254*'[2]RD Feedstock Breakdown'!AK$3*'[2]Feedstock Conversion Rates'!B$4)/12</f>
        <v>95.8125</v>
      </c>
      <c r="AL245" s="47">
        <f t="shared" si="123"/>
        <v>95.8125</v>
      </c>
      <c r="AM245" s="45">
        <f>('[2]Renewable Diesel'!K254*'[2]RD Feedstock Breakdown'!AM$3*'[2]Feedstock Conversion Rates'!B$4)/12+5+15-10+2.5+7-35</f>
        <v>43.09375</v>
      </c>
      <c r="AN245" s="45">
        <f>('[2]Renewable Diesel'!K254*'[2]RD Feedstock Breakdown'!AN$3*'[2]Feedstock Conversion Rates'!B$6)/12-5-15+10-2.5-7+35</f>
        <v>39.927083333333329</v>
      </c>
      <c r="AO245" s="47">
        <f t="shared" si="135"/>
        <v>83.020833333333329</v>
      </c>
      <c r="AP245" s="45">
        <f>('[2]Renewable Diesel'!L254*'[2]RD Feedstock Breakdown'!AP$3*'[2]Feedstock Conversion Rates'!B$4)/12+15-10+5+2.5+7</f>
        <v>78.09375</v>
      </c>
      <c r="AQ245" s="45">
        <f>('[2]Renewable Diesel'!L254*'[2]RD Feedstock Breakdown'!AQ$3*'[2]Feedstock Conversion Rates'!B$6)/12-15+10-5-2.5-7</f>
        <v>4.9270833333333321</v>
      </c>
      <c r="AR245" s="47">
        <f t="shared" si="125"/>
        <v>83.020833333333329</v>
      </c>
      <c r="AS245" s="45">
        <f>('[2]Renewable Diesel'!M254*'[2]RD Feedstock Breakdown'!AS$3*'[2]Feedstock Conversion Rates'!B$4)/12</f>
        <v>456.25</v>
      </c>
      <c r="AT245" s="45">
        <f>('[2]Renewable Diesel'!M254*'[2]RD Feedstock Breakdown'!AT$3*'[2]Feedstock Conversion Rates'!B$5)/12</f>
        <v>0</v>
      </c>
      <c r="AU245" s="47">
        <f t="shared" si="159"/>
        <v>456.25</v>
      </c>
      <c r="AV245" s="45">
        <f>'[2]Renewable Diesel'!N254*'[2]RD Feedstock Breakdown'!$AV$3*'[2]Feedstock Conversion Rates'!$B$4/12-15-10+25+25-22+15-50</f>
        <v>46.749999999999986</v>
      </c>
      <c r="AW245" s="45">
        <f>'[2]Renewable Diesel'!N254*'[2]RD Feedstock Breakdown'!$AW$3*'[2]Feedstock Conversion Rates'!$B$7/12+15+10-25-25+22-15+50</f>
        <v>73.400000000000006</v>
      </c>
      <c r="AX245" s="47">
        <f t="shared" si="109"/>
        <v>120.14999999999999</v>
      </c>
      <c r="AY245" s="45">
        <f>('[2]Renewable Diesel'!O254*'[2]RD Feedstock Breakdown'!AY$3*'[2]Feedstock Conversion Rates'!B$4)/12+32+2-125-25</f>
        <v>94.9375</v>
      </c>
      <c r="AZ245" s="45">
        <f>('[2]Renewable Diesel'!O254*'[2]RD Feedstock Breakdown'!AZ$3*'[2]Feedstock Conversion Rates'!B$3)/12-32-2+125+25</f>
        <v>141.03125</v>
      </c>
      <c r="BA245" s="47">
        <f t="shared" si="173"/>
        <v>235.96875</v>
      </c>
      <c r="BB245" s="45">
        <f>('[2]Renewable Diesel'!Q254*'[2]RD Feedstock Breakdown'!BB$3*'[2]Feedstock Conversion Rates'!B$4)/12-10</f>
        <v>1.1562499999999982</v>
      </c>
      <c r="BC245" s="45">
        <f>('[2]Renewable Diesel'!Q254*'[2]RD Feedstock Breakdown'!BC$3*'[2]Feedstock Conversion Rates'!B$3)/12+10</f>
        <v>11.40175</v>
      </c>
      <c r="BD245" s="45">
        <f>('[2]Renewable Diesel'!Q254*'[2]RD Feedstock Breakdown'!BD$3*'[2]Feedstock Conversion Rates'!B$6)/12</f>
        <v>0.8207500000000002</v>
      </c>
      <c r="BE245" s="47">
        <f t="shared" si="151"/>
        <v>13.378749999999998</v>
      </c>
      <c r="BF245" s="45">
        <f>('[2]Renewable Diesel'!R254*'[2]RD Feedstock Breakdown'!BF$3*'[2]Feedstock Conversion Rates'!B$4)/12</f>
        <v>62.5</v>
      </c>
      <c r="BG245" s="47">
        <f t="shared" si="129"/>
        <v>62.5</v>
      </c>
      <c r="BH245" s="45">
        <f>('[2]Renewable Diesel'!T254*'[2]RD Feedstock Breakdown'!BH$3*'[2]Feedstock Conversion Rates'!B$7)/12</f>
        <v>27.599999999999998</v>
      </c>
      <c r="BI245" s="47">
        <f t="shared" si="112"/>
        <v>27.599999999999998</v>
      </c>
      <c r="BJ245" s="45">
        <f>('[2]Renewable Diesel'!W254*'[2]RD Feedstock Breakdown'!BJ$3*'[2]Feedstock Conversion Rates'!B$4)/12</f>
        <v>7.5</v>
      </c>
      <c r="BK245" s="45">
        <f>('[2]Renewable Diesel'!W254*'[2]RD Feedstock Breakdown'!BK$3*'[2]Feedstock Conversion Rates'!B$3)/12</f>
        <v>1.335</v>
      </c>
      <c r="BL245" s="45">
        <f>('[2]Renewable Diesel'!W254*'[2]RD Feedstock Breakdown'!BL$3*'[2]Feedstock Conversion Rates'!B$6)/12</f>
        <v>3.1266666666666669</v>
      </c>
      <c r="BM245" s="45">
        <f>('[2]Renewable Diesel'!W254*'[2]RD Feedstock Breakdown'!BM$3*'[2]Feedstock Conversion Rates'!B$7)/12</f>
        <v>1.5333333333333332</v>
      </c>
      <c r="BN245" s="47">
        <f t="shared" si="168"/>
        <v>13.495000000000001</v>
      </c>
      <c r="BO245" s="45">
        <f>('[2]Renewable Diesel'!P254*'[2]Feedstock Conversion Rates'!B$4)/12</f>
        <v>31.25</v>
      </c>
      <c r="BP245" s="47">
        <f t="shared" si="157"/>
        <v>31.25</v>
      </c>
      <c r="BQ245" s="45">
        <f>('[2]Renewable Diesel'!$S254*'[2]RD Feedstock Breakdown'!BQ$3*'[2]Feedstock Conversion Rates'!B$4)/12+10</f>
        <v>38.125</v>
      </c>
      <c r="BR245" s="45">
        <f>('[2]Renewable Diesel'!$S254*'[2]RD Feedstock Breakdown'!BR$3*'[2]Feedstock Conversion Rates'!B$7)/12-10</f>
        <v>1.5</v>
      </c>
      <c r="BS245" s="47">
        <f t="shared" si="174"/>
        <v>39.625</v>
      </c>
      <c r="BT245" s="47"/>
      <c r="BU245" s="45">
        <f>('[2]Renewable Diesel'!Y254*'[2]Feedstock Conversion Rates'!B$7)/12</f>
        <v>2.6833333333333331</v>
      </c>
      <c r="BV245" s="47">
        <f t="shared" si="153"/>
        <v>2.6833333333333331</v>
      </c>
      <c r="BW245" s="45">
        <f>('[2]Renewable Diesel'!$Z254*'[2]RD Feedstock Breakdown'!BW$3*'[2]Feedstock Conversion Rates'!$B$4)/12</f>
        <v>59.765625</v>
      </c>
      <c r="BX245" s="45">
        <f>('[2]Renewable Diesel'!$Z254*'[2]RD Feedstock Breakdown'!BX$3*'[2]Feedstock Conversion Rates'!$B$5)/12</f>
        <v>6.0164062499999993</v>
      </c>
      <c r="BY245" s="45">
        <f>('[2]Renewable Diesel'!$Z254*'[2]RD Feedstock Breakdown'!BY$3*'[2]Feedstock Conversion Rates'!$B$7)/12</f>
        <v>51.318749999999994</v>
      </c>
      <c r="BZ245" s="45">
        <f>('[2]Renewable Diesel'!$Z254*'[2]RD Feedstock Breakdown'!BZ$3*'[2]Feedstock Conversion Rates'!$B$3)/12</f>
        <v>12.7659375</v>
      </c>
      <c r="CA245" s="47">
        <f t="shared" si="181"/>
        <v>129.86671874999999</v>
      </c>
      <c r="CB245" s="45">
        <f>('[2]Renewable Diesel'!AA254*'[2]Feedstock Conversion Rates'!B$4)/12</f>
        <v>191.25</v>
      </c>
      <c r="CC245" s="47">
        <f t="shared" si="171"/>
        <v>191.25</v>
      </c>
      <c r="CD245" s="45">
        <f>('[2]Renewable Diesel'!$AB254*'[2]RD Feedstock Breakdown'!CD$3*'[2]Feedstock Conversion Rates'!$B$6)/12-15</f>
        <v>17.830000000000005</v>
      </c>
      <c r="CE245" s="45">
        <f>('[2]Renewable Diesel'!$AB254*'[2]RD Feedstock Breakdown'!CE$3*'[2]Feedstock Conversion Rates'!$B$4)/12+15</f>
        <v>26.25</v>
      </c>
      <c r="CF245" s="47">
        <f t="shared" si="161"/>
        <v>44.080000000000005</v>
      </c>
      <c r="CG245" s="45">
        <f>('[2]Renewable Diesel'!AD254*'[2]Feedstock Conversion Rates'!B$4)/12</f>
        <v>112.5</v>
      </c>
      <c r="CH245" s="47">
        <f t="shared" si="149"/>
        <v>112.5</v>
      </c>
      <c r="CI245" s="45">
        <f>('[2]Renewable Diesel'!$AE254*'[2]RD Feedstock Breakdown'!CI$3*'[2]Feedstock Conversion Rates'!$B$5)/12</f>
        <v>0.34604166666666664</v>
      </c>
      <c r="CJ245" s="45">
        <f>('[2]Renewable Diesel'!$AE254*'[2]RD Feedstock Breakdown'!CJ$3*'[2]Feedstock Conversion Rates'!$B$4)/12</f>
        <v>0.34375</v>
      </c>
      <c r="CK245" s="47">
        <f t="shared" si="158"/>
        <v>0.68979166666666658</v>
      </c>
      <c r="CL245" s="45">
        <f>(((CL$3*'[2]Renewable Diesel'!$AF254)*'[2]Feedstock Conversion Rates'!$B$3)/12)</f>
        <v>91.78125</v>
      </c>
      <c r="CM245" s="45">
        <f>(((CM$3*'[2]Renewable Diesel'!$AF254)*'[2]Feedstock Conversion Rates'!$B$6)/12)</f>
        <v>53.739583333333336</v>
      </c>
      <c r="CN245" s="45">
        <f>(((CN$3*'[2]Renewable Diesel'!$AF254)*'[2]Feedstock Conversion Rates'!$B$4)/12)</f>
        <v>42.96875</v>
      </c>
      <c r="CO245" s="47">
        <f t="shared" si="152"/>
        <v>188.48958333333334</v>
      </c>
      <c r="CP245" s="45">
        <f>('[2]Renewable Diesel'!$AG254*'[2]RD Feedstock Breakdown'!CP$3*'[2]Feedstock Conversion Rates'!$B$3)/12</f>
        <v>6.0075000000000003</v>
      </c>
      <c r="CQ245" s="45">
        <f>('[2]Renewable Diesel'!$AG254*'[2]RD Feedstock Breakdown'!CQ$3*'[2]Feedstock Conversion Rates'!$B$6)/12</f>
        <v>3.5175000000000001</v>
      </c>
      <c r="CR245" s="45">
        <f>('[2]Renewable Diesel'!$AG254*'[2]RD Feedstock Breakdown'!CR$3*'[2]Feedstock Conversion Rates'!$B$4)/12</f>
        <v>2.8125</v>
      </c>
      <c r="CS245" s="47">
        <f t="shared" si="183"/>
        <v>12.3375</v>
      </c>
      <c r="CT245" s="45">
        <f>('[2]Renewable Diesel'!AI254*'[2]Feedstock Conversion Rates'!$B$4*'[2]RD Feedstock Breakdown'!$CT$3)/12</f>
        <v>29.375</v>
      </c>
      <c r="CU245" s="47">
        <f t="shared" si="154"/>
        <v>29.375</v>
      </c>
      <c r="CV245" s="45">
        <f>('[2]Renewable Diesel'!AN254*'[2]Feedstock Conversion Rates'!$B$3*'[2]RD Feedstock Breakdown'!$CV$3)/12</f>
        <v>0.50062499999999999</v>
      </c>
      <c r="CW245" s="47">
        <f t="shared" si="124"/>
        <v>0.50062499999999999</v>
      </c>
      <c r="CX245" s="45">
        <f>('[2]Renewable Diesel'!AO254*'[2]RD Feedstock Breakdown'!$CX$3*'[2]Feedstock Conversion Rates'!$B$3)/12</f>
        <v>6.3412499999999996</v>
      </c>
      <c r="CY245" s="45">
        <f>('[2]Renewable Diesel'!AO254*'[2]RD Feedstock Breakdown'!$CY$3*'[2]Feedstock Conversion Rates'!$B$6)/12</f>
        <v>7.4258333333333342</v>
      </c>
      <c r="CZ245" s="47">
        <f t="shared" si="188"/>
        <v>13.767083333333334</v>
      </c>
      <c r="DA245" s="45">
        <f>('[2]Renewable Diesel'!$AP254*'[2]RD Feedstock Breakdown'!DA$3*'[2]Feedstock Conversion Rates'!$B$3)/12</f>
        <v>6.3412499999999996</v>
      </c>
      <c r="DB245" s="45">
        <f>('[2]Renewable Diesel'!$AP254*'[2]RD Feedstock Breakdown'!DB$3*'[2]Feedstock Conversion Rates'!$B$8)/12</f>
        <v>7.421875</v>
      </c>
      <c r="DC245" s="47">
        <f t="shared" si="127"/>
        <v>13.763124999999999</v>
      </c>
      <c r="DD245" s="45">
        <f>('[2]Renewable Diesel'!AQ254*$DD$3*'[2]Feedstock Conversion Rates'!$B$14)/12</f>
        <v>3.1041666666666665</v>
      </c>
      <c r="DE245" s="47">
        <f t="shared" si="128"/>
        <v>3.1041666666666665</v>
      </c>
      <c r="DF245" s="45">
        <f>('[2]Renewable Diesel'!AR254*'[2]Feedstock Conversion Rates'!$B$4*$DF$3)/12</f>
        <v>75</v>
      </c>
      <c r="DG245" s="47">
        <f t="shared" si="189"/>
        <v>75</v>
      </c>
      <c r="DH245" s="45">
        <f>('[2]Renewable Diesel'!AS254*'[2]Feedstock Conversion Rates'!$B$4*$DH$3)/12</f>
        <v>75</v>
      </c>
      <c r="DI245" s="47">
        <f t="shared" si="110"/>
        <v>75</v>
      </c>
      <c r="DJ245" s="45">
        <f>('[2]Renewable Diesel'!AT254*'[2]Feedstock Conversion Rates'!$B$4*0.25)/12</f>
        <v>8.59375</v>
      </c>
      <c r="DK245" s="45">
        <f>('[2]Renewable Diesel'!$AT254*'[2]RD Feedstock Breakdown'!DK$3*'[2]Feedstock Conversion Rates'!$B$3)/12*0.5</f>
        <v>9.1781249999999996</v>
      </c>
      <c r="DL245" s="45">
        <f>('[2]Renewable Diesel'!$AT254*'[2]RD Feedstock Breakdown'!$DL$3*'[2]Feedstock Conversion Rates'!$B$6)/12</f>
        <v>10.747916666666669</v>
      </c>
      <c r="DM245" s="45">
        <f>('[2]Renewable Diesel'!$AT254*'[2]RD Feedstock Breakdown'!$DM$3*'[2]Feedstock Conversion Rates'!$B$8)/12</f>
        <v>10.7421875</v>
      </c>
      <c r="DN245" s="47">
        <f t="shared" si="169"/>
        <v>39.26197916666667</v>
      </c>
      <c r="DP245" s="45">
        <f t="shared" si="130"/>
        <v>122.22025000000001</v>
      </c>
      <c r="DQ245" s="45">
        <f t="shared" si="131"/>
        <v>644.78120499999989</v>
      </c>
      <c r="DR245" s="45">
        <f t="shared" si="136"/>
        <v>1891.09375</v>
      </c>
      <c r="DS245" s="45">
        <f t="shared" si="155"/>
        <v>51.682239583333342</v>
      </c>
      <c r="DT245" s="45">
        <f t="shared" si="132"/>
        <v>238.03923333333344</v>
      </c>
      <c r="DU245" s="45">
        <f t="shared" si="133"/>
        <v>270.50818333333336</v>
      </c>
      <c r="DV245" s="45">
        <f t="shared" si="137"/>
        <v>8</v>
      </c>
      <c r="DW245" s="45">
        <f t="shared" si="134"/>
        <v>3</v>
      </c>
      <c r="DX245" s="47">
        <f t="shared" si="138"/>
        <v>3229.3248612499997</v>
      </c>
      <c r="DY245" s="50">
        <f t="shared" si="126"/>
        <v>-134.9999999999998</v>
      </c>
      <c r="EA245" s="51">
        <f t="shared" si="117"/>
        <v>3.7846997515354114E-2</v>
      </c>
      <c r="EB245" s="51">
        <f t="shared" si="117"/>
        <v>0.19966439819573292</v>
      </c>
      <c r="EC245" s="51">
        <f t="shared" si="117"/>
        <v>0.58560034411279382</v>
      </c>
      <c r="ED245" s="51">
        <f t="shared" si="114"/>
        <v>1.6004038554154103E-2</v>
      </c>
      <c r="EE245" s="51">
        <f t="shared" si="114"/>
        <v>7.3711764396844778E-2</v>
      </c>
      <c r="EF245" s="51">
        <f t="shared" si="114"/>
        <v>8.3766172483689255E-2</v>
      </c>
      <c r="EG245" s="51">
        <f t="shared" si="114"/>
        <v>2.4772979937680776E-3</v>
      </c>
      <c r="EH245" s="52">
        <f t="shared" si="139"/>
        <v>9.2898674766302917E-4</v>
      </c>
      <c r="EI245" s="51">
        <f t="shared" si="191"/>
        <v>0.99907101325233705</v>
      </c>
      <c r="EK245" s="53">
        <f>(EA245*'[2]Renewable Diesel'!BF254*'[2]Feedstock Conversion Rates'!B$2)+FB245</f>
        <v>189.30808523552918</v>
      </c>
      <c r="EL245" s="53">
        <f>(EB245*'[2]Renewable Diesel'!BF254*'[2]Feedstock Conversion Rates'!B$3)+FC245</f>
        <v>941.13506555814229</v>
      </c>
      <c r="EM245" s="53">
        <f>(EC245*'[2]Renewable Diesel'!BF254*'[2]Feedstock Conversion Rates'!B$4)+FD245</f>
        <v>2584.5288957967987</v>
      </c>
      <c r="EN245" s="53">
        <f>(ED245*'[2]Renewable Diesel'!BF254*'[2]Feedstock Conversion Rates'!B$5)+FE245</f>
        <v>71.10421497963047</v>
      </c>
      <c r="EO245" s="53">
        <f>(EE245*'[2]Renewable Diesel'!BF254*'[2]Feedstock Conversion Rates'!B$6)+FF245</f>
        <v>406.87260601899555</v>
      </c>
      <c r="EP245" s="53">
        <f>(EF245*'[2]Renewable Diesel'!BF254*'[2]Feedstock Conversion Rates'!B$7)+FG245</f>
        <v>453.49792525412914</v>
      </c>
      <c r="EQ245" s="53">
        <f>(EG245*'[2]Renewable Diesel'!BF254*'[2]Feedstock Conversion Rates'!B$8)+FH245</f>
        <v>13.666847007435768</v>
      </c>
      <c r="ER245" s="53">
        <f>(EH245*'[2]Renewable Diesel'!BF254*'[2]Feedstock Conversion Rates'!B$9)+FI245</f>
        <v>5.0567333927512346</v>
      </c>
      <c r="ES245" s="53">
        <f t="shared" si="141"/>
        <v>4665.1703732434116</v>
      </c>
      <c r="ET245" s="36">
        <f>ES245/'[2]Renewable Diesel'!BF254</f>
        <v>7.9277273133579511</v>
      </c>
    </row>
    <row r="246" spans="1:150" x14ac:dyDescent="0.25">
      <c r="A246" s="39">
        <v>47908</v>
      </c>
      <c r="B246" s="45">
        <f t="shared" si="184"/>
        <v>0.5</v>
      </c>
      <c r="C246" s="45">
        <f t="shared" si="185"/>
        <v>9.5</v>
      </c>
      <c r="D246" s="45">
        <f t="shared" si="186"/>
        <v>2</v>
      </c>
      <c r="E246" s="45">
        <f>('[2]Renewable Diesel'!B255*E$3*'[2]Feedstock Conversion Rates'!$B$2)/12-57.5+8+12.5+52.5-76+18+23+45+50-2.5-3-28-2-9.5+30-40+26+0.5</f>
        <v>136.93</v>
      </c>
      <c r="F246" s="45">
        <f>('[2]Renewable Diesel'!B255*'[2]RD Feedstock Breakdown'!F$3*'[2]Feedstock Conversion Rates'!B$8)/12-13.5+1.5-2+36-10+10-61+25+8+1-29+1.5-15</f>
        <v>6.40625</v>
      </c>
      <c r="G246" s="45">
        <f>('[2]Renewable Diesel'!B255*'[2]RD Feedstock Breakdown'!G$3*'[2]Feedstock Conversion Rates'!B$7)/12-100-12.5-1+26.75+19-57.5-30+31+70-40+15-35-7.5-4+5</f>
        <v>55.407000000000011</v>
      </c>
      <c r="H246" s="45">
        <f>('[2]Renewable Diesel'!B255*'[2]RD Feedstock Breakdown'!H$3*'[2]Feedstock Conversion Rates'!B$3)/12-105+5+139-10-10-162+8.5+58-20+40-10+160+15</f>
        <v>284.90022499999998</v>
      </c>
      <c r="I246" s="47">
        <f t="shared" si="160"/>
        <v>495.64347499999997</v>
      </c>
      <c r="J246" s="45">
        <f t="shared" si="192"/>
        <v>7.5</v>
      </c>
      <c r="K246" s="45"/>
      <c r="L246" s="45">
        <v>1</v>
      </c>
      <c r="M246" s="45">
        <f>('[2]Renewable Diesel'!C255*'[2]RD Feedstock Breakdown'!M$3*'[2]Feedstock Conversion Rates'!B$2)/12-18.5+7-43-1.5+7.5+7-5+24</f>
        <v>-14.70975</v>
      </c>
      <c r="N246" s="45">
        <f>('[2]Renewable Diesel'!C255*'[2]RD Feedstock Breakdown'!N$3*'[2]Feedstock Conversion Rates'!B$8)/12-2.5+46-58.5+8.5+5-10+10-2.5-18+5-12</f>
        <v>-25.328125</v>
      </c>
      <c r="O246" s="45">
        <f>('[2]Renewable Diesel'!C255*'[2]RD Feedstock Breakdown'!O$3*'[2]Feedstock Conversion Rates'!B$7)/12-30-12.5-47-19+29+30-15-15+75-35+20</f>
        <v>-7.5009000000000015</v>
      </c>
      <c r="P246" s="45">
        <f>('[2]Renewable Diesel'!C255*'[2]RD Feedstock Breakdown'!P$3*'[2]Feedstock Conversion Rates'!B$3)/12-25+42.5-102+35+30+50.75+60-100-21-2.5+95</f>
        <v>73.197042500000009</v>
      </c>
      <c r="Q246" s="47">
        <f t="shared" si="172"/>
        <v>34.158267500000008</v>
      </c>
      <c r="R246" s="45">
        <f>('[2]Renewable Diesel'!D255*'[2]RD Feedstock Breakdown'!R$3*'[2]Feedstock Conversion Rates'!B$7)/12</f>
        <v>2.2999999999999998</v>
      </c>
      <c r="S246" s="47">
        <f t="shared" si="116"/>
        <v>2.2999999999999998</v>
      </c>
      <c r="T246" s="45">
        <f t="shared" si="179"/>
        <v>5.8250000000000028</v>
      </c>
      <c r="U246" s="45">
        <v>30</v>
      </c>
      <c r="V246" s="45">
        <f>('[2]Renewable Diesel'!E255*'[2]RD Feedstock Breakdown'!V$3*'[2]Feedstock Conversion Rates'!B$6)/12-20+25-35</f>
        <v>14.250150000000012</v>
      </c>
      <c r="W246" s="45">
        <f>('[2]Renewable Diesel'!E255*'[2]RD Feedstock Breakdown'!W$3*'[2]Feedstock Conversion Rates'!B$8)/12-6</f>
        <v>16.1796875</v>
      </c>
      <c r="X246" s="47">
        <f t="shared" si="147"/>
        <v>66.254837500000008</v>
      </c>
      <c r="Y246" s="45">
        <f t="shared" si="187"/>
        <v>141.5</v>
      </c>
      <c r="Z246" s="45">
        <f>('[2]Renewable Diesel'!F255*'[2]RD Feedstock Breakdown'!Z$3*'[2]Feedstock Conversion Rates'!B$6)/12-50-32-60+15+15+47.5-72.5+70-27.5-5</f>
        <v>59.960000000000008</v>
      </c>
      <c r="AA246" s="45">
        <f>('[2]Renewable Diesel'!F255*'[2]RD Feedstock Breakdown'!AA$3*'[2]Feedstock Conversion Rates'!B$7)/12+80-171+75+30-55-1</f>
        <v>62.266666666666652</v>
      </c>
      <c r="AB246" s="47">
        <f t="shared" si="190"/>
        <v>263.72666666666669</v>
      </c>
      <c r="AC246" s="45">
        <f>('[2]Renewable Diesel'!G255*'[2]RD Feedstock Breakdown'!AC$3*'[2]Feedstock Conversion Rates'!B$5)/12</f>
        <v>11.796875</v>
      </c>
      <c r="AD246" s="45">
        <f>('[2]Renewable Diesel'!G255*'[2]RD Feedstock Breakdown'!AD$3*'[2]Feedstock Conversion Rates'!B$4)/12</f>
        <v>5.859375</v>
      </c>
      <c r="AE246" s="45">
        <f>('[2]Renewable Diesel'!G255*'[2]RD Feedstock Breakdown'!AE$3*'[2]Feedstock Conversion Rates'!B$6)/12</f>
        <v>7.3281250000000009</v>
      </c>
      <c r="AF246" s="47">
        <f t="shared" si="156"/>
        <v>24.984375</v>
      </c>
      <c r="AG246" s="45">
        <f t="shared" si="182"/>
        <v>6.5</v>
      </c>
      <c r="AH246" s="45">
        <v>135</v>
      </c>
      <c r="AI246" s="45">
        <f>('[2]Renewable Diesel'!H255*'[2]RD Feedstock Breakdown'!AI$3*'[2]Feedstock Conversion Rates'!B$6)/12-130-20+51-120+105-40+25-10-2.5</f>
        <v>7.0166666666666799</v>
      </c>
      <c r="AJ246" s="47">
        <f t="shared" si="113"/>
        <v>13.51666666666668</v>
      </c>
      <c r="AK246" s="45">
        <f>('[2]Renewable Diesel'!J255*'[2]RD Feedstock Breakdown'!AK$3*'[2]Feedstock Conversion Rates'!B$4)/12</f>
        <v>95.8125</v>
      </c>
      <c r="AL246" s="47">
        <f t="shared" si="123"/>
        <v>95.8125</v>
      </c>
      <c r="AM246" s="45">
        <f>('[2]Renewable Diesel'!K255*'[2]RD Feedstock Breakdown'!AM$3*'[2]Feedstock Conversion Rates'!B$4)/12+5+15-10+2.5+7-35</f>
        <v>43.09375</v>
      </c>
      <c r="AN246" s="45">
        <f>('[2]Renewable Diesel'!K255*'[2]RD Feedstock Breakdown'!AN$3*'[2]Feedstock Conversion Rates'!B$6)/12-5-15+10-2.5-7+35</f>
        <v>39.927083333333329</v>
      </c>
      <c r="AO246" s="47">
        <f t="shared" si="135"/>
        <v>83.020833333333329</v>
      </c>
      <c r="AP246" s="45">
        <f>('[2]Renewable Diesel'!L255*'[2]RD Feedstock Breakdown'!AP$3*'[2]Feedstock Conversion Rates'!B$4)/12+15-10+5+2.5+7</f>
        <v>78.09375</v>
      </c>
      <c r="AQ246" s="45">
        <f>('[2]Renewable Diesel'!L255*'[2]RD Feedstock Breakdown'!AQ$3*'[2]Feedstock Conversion Rates'!B$6)/12-15+10-5-2.5-7</f>
        <v>4.9270833333333321</v>
      </c>
      <c r="AR246" s="47">
        <f t="shared" si="125"/>
        <v>83.020833333333329</v>
      </c>
      <c r="AS246" s="45">
        <f>('[2]Renewable Diesel'!M255*'[2]RD Feedstock Breakdown'!AS$3*'[2]Feedstock Conversion Rates'!B$4)/12</f>
        <v>456.25</v>
      </c>
      <c r="AT246" s="45">
        <f>('[2]Renewable Diesel'!M255*'[2]RD Feedstock Breakdown'!AT$3*'[2]Feedstock Conversion Rates'!B$5)/12</f>
        <v>0</v>
      </c>
      <c r="AU246" s="47">
        <f t="shared" si="159"/>
        <v>456.25</v>
      </c>
      <c r="AV246" s="45">
        <f>'[2]Renewable Diesel'!N255*'[2]RD Feedstock Breakdown'!$AV$3*'[2]Feedstock Conversion Rates'!$B$4/12-15-10+25+25-22+15-50</f>
        <v>46.749999999999986</v>
      </c>
      <c r="AW246" s="45">
        <f>'[2]Renewable Diesel'!N255*'[2]RD Feedstock Breakdown'!$AW$3*'[2]Feedstock Conversion Rates'!$B$7/12+15+10-25-25+22-15+50</f>
        <v>73.400000000000006</v>
      </c>
      <c r="AX246" s="47">
        <f t="shared" si="109"/>
        <v>120.14999999999999</v>
      </c>
      <c r="AY246" s="45">
        <f>('[2]Renewable Diesel'!O255*'[2]RD Feedstock Breakdown'!AY$3*'[2]Feedstock Conversion Rates'!B$4)/12+32+2-125-25</f>
        <v>94.9375</v>
      </c>
      <c r="AZ246" s="45">
        <f>('[2]Renewable Diesel'!O255*'[2]RD Feedstock Breakdown'!AZ$3*'[2]Feedstock Conversion Rates'!B$3)/12-32-2+125+25</f>
        <v>141.03125</v>
      </c>
      <c r="BA246" s="47">
        <f t="shared" si="173"/>
        <v>235.96875</v>
      </c>
      <c r="BB246" s="45">
        <f>('[2]Renewable Diesel'!Q255*'[2]RD Feedstock Breakdown'!BB$3*'[2]Feedstock Conversion Rates'!B$4)/12-10</f>
        <v>1.1562499999999982</v>
      </c>
      <c r="BC246" s="45">
        <f>('[2]Renewable Diesel'!Q255*'[2]RD Feedstock Breakdown'!BC$3*'[2]Feedstock Conversion Rates'!B$3)/12+10</f>
        <v>11.40175</v>
      </c>
      <c r="BD246" s="45">
        <f>('[2]Renewable Diesel'!Q255*'[2]RD Feedstock Breakdown'!BD$3*'[2]Feedstock Conversion Rates'!B$6)/12</f>
        <v>0.8207500000000002</v>
      </c>
      <c r="BE246" s="47">
        <f t="shared" si="151"/>
        <v>13.378749999999998</v>
      </c>
      <c r="BF246" s="45">
        <f>('[2]Renewable Diesel'!R255*'[2]RD Feedstock Breakdown'!BF$3*'[2]Feedstock Conversion Rates'!B$4)/12</f>
        <v>62.5</v>
      </c>
      <c r="BG246" s="47">
        <f t="shared" si="129"/>
        <v>62.5</v>
      </c>
      <c r="BH246" s="45">
        <f>('[2]Renewable Diesel'!T255*'[2]RD Feedstock Breakdown'!BH$3*'[2]Feedstock Conversion Rates'!B$7)/12</f>
        <v>27.599999999999998</v>
      </c>
      <c r="BI246" s="47">
        <f t="shared" si="112"/>
        <v>27.599999999999998</v>
      </c>
      <c r="BJ246" s="45">
        <f>('[2]Renewable Diesel'!W255*'[2]RD Feedstock Breakdown'!BJ$3*'[2]Feedstock Conversion Rates'!B$4)/12</f>
        <v>7.5</v>
      </c>
      <c r="BK246" s="45">
        <f>('[2]Renewable Diesel'!W255*'[2]RD Feedstock Breakdown'!BK$3*'[2]Feedstock Conversion Rates'!B$3)/12</f>
        <v>1.335</v>
      </c>
      <c r="BL246" s="45">
        <f>('[2]Renewable Diesel'!W255*'[2]RD Feedstock Breakdown'!BL$3*'[2]Feedstock Conversion Rates'!B$6)/12</f>
        <v>3.1266666666666669</v>
      </c>
      <c r="BM246" s="45">
        <f>('[2]Renewable Diesel'!W255*'[2]RD Feedstock Breakdown'!BM$3*'[2]Feedstock Conversion Rates'!B$7)/12</f>
        <v>1.5333333333333332</v>
      </c>
      <c r="BN246" s="47">
        <f t="shared" si="168"/>
        <v>13.495000000000001</v>
      </c>
      <c r="BO246" s="45">
        <f>('[2]Renewable Diesel'!P255*'[2]Feedstock Conversion Rates'!B$4)/12</f>
        <v>31.25</v>
      </c>
      <c r="BP246" s="47">
        <f t="shared" si="157"/>
        <v>31.25</v>
      </c>
      <c r="BQ246" s="45">
        <f>('[2]Renewable Diesel'!$S255*'[2]RD Feedstock Breakdown'!BQ$3*'[2]Feedstock Conversion Rates'!B$4)/12+10</f>
        <v>38.125</v>
      </c>
      <c r="BR246" s="45">
        <f>('[2]Renewable Diesel'!$S255*'[2]RD Feedstock Breakdown'!BR$3*'[2]Feedstock Conversion Rates'!B$7)/12-10</f>
        <v>1.5</v>
      </c>
      <c r="BS246" s="47">
        <f t="shared" si="174"/>
        <v>39.625</v>
      </c>
      <c r="BT246" s="47"/>
      <c r="BU246" s="45">
        <f>('[2]Renewable Diesel'!Y255*'[2]Feedstock Conversion Rates'!B$7)/12</f>
        <v>2.6833333333333331</v>
      </c>
      <c r="BV246" s="47">
        <f t="shared" si="153"/>
        <v>2.6833333333333331</v>
      </c>
      <c r="BW246" s="45">
        <f>('[2]Renewable Diesel'!$Z255*'[2]RD Feedstock Breakdown'!BW$3*'[2]Feedstock Conversion Rates'!$B$4)/12</f>
        <v>71.875</v>
      </c>
      <c r="BX246" s="45">
        <f>('[2]Renewable Diesel'!$Z255*'[2]RD Feedstock Breakdown'!BX$3*'[2]Feedstock Conversion Rates'!$B$5)/12</f>
        <v>7.2354166666666666</v>
      </c>
      <c r="BY246" s="45">
        <f>('[2]Renewable Diesel'!$Z255*'[2]RD Feedstock Breakdown'!BY$3*'[2]Feedstock Conversion Rates'!$B$7)/12</f>
        <v>61.716666666666661</v>
      </c>
      <c r="BZ246" s="45">
        <f>('[2]Renewable Diesel'!$Z255*'[2]RD Feedstock Breakdown'!BZ$3*'[2]Feedstock Conversion Rates'!$B$3)/12</f>
        <v>15.352499999999999</v>
      </c>
      <c r="CA246" s="47">
        <f t="shared" si="181"/>
        <v>156.17958333333331</v>
      </c>
      <c r="CB246" s="45">
        <f>('[2]Renewable Diesel'!AA255*'[2]Feedstock Conversion Rates'!B$4)/12</f>
        <v>191.25</v>
      </c>
      <c r="CC246" s="47">
        <f t="shared" si="171"/>
        <v>191.25</v>
      </c>
      <c r="CD246" s="45">
        <f>('[2]Renewable Diesel'!$AB255*'[2]RD Feedstock Breakdown'!CD$3*'[2]Feedstock Conversion Rates'!$B$6)/12-15</f>
        <v>17.830000000000005</v>
      </c>
      <c r="CE246" s="45">
        <f>('[2]Renewable Diesel'!$AB255*'[2]RD Feedstock Breakdown'!CE$3*'[2]Feedstock Conversion Rates'!$B$4)/12+15</f>
        <v>26.25</v>
      </c>
      <c r="CF246" s="47">
        <f t="shared" si="161"/>
        <v>44.080000000000005</v>
      </c>
      <c r="CG246" s="45">
        <f>('[2]Renewable Diesel'!AD255*'[2]Feedstock Conversion Rates'!B$4)/12</f>
        <v>112.5</v>
      </c>
      <c r="CH246" s="47">
        <f t="shared" si="149"/>
        <v>112.5</v>
      </c>
      <c r="CI246" s="45">
        <f>('[2]Renewable Diesel'!$AE255*'[2]RD Feedstock Breakdown'!CI$3*'[2]Feedstock Conversion Rates'!$B$5)/12</f>
        <v>0.34604166666666664</v>
      </c>
      <c r="CJ246" s="45">
        <f>('[2]Renewable Diesel'!$AE255*'[2]RD Feedstock Breakdown'!CJ$3*'[2]Feedstock Conversion Rates'!$B$4)/12</f>
        <v>0.34375</v>
      </c>
      <c r="CK246" s="47">
        <f t="shared" si="158"/>
        <v>0.68979166666666658</v>
      </c>
      <c r="CL246" s="45">
        <f>(((CL$3*'[2]Renewable Diesel'!$AF255)*'[2]Feedstock Conversion Rates'!$B$3)/12)</f>
        <v>91.78125</v>
      </c>
      <c r="CM246" s="45">
        <f>(((CM$3*'[2]Renewable Diesel'!$AF255)*'[2]Feedstock Conversion Rates'!$B$6)/12)</f>
        <v>53.739583333333336</v>
      </c>
      <c r="CN246" s="45">
        <f>(((CN$3*'[2]Renewable Diesel'!$AF255)*'[2]Feedstock Conversion Rates'!$B$4)/12)</f>
        <v>42.96875</v>
      </c>
      <c r="CO246" s="47">
        <f t="shared" si="152"/>
        <v>188.48958333333334</v>
      </c>
      <c r="CP246" s="45">
        <f>('[2]Renewable Diesel'!$AG255*'[2]RD Feedstock Breakdown'!CP$3*'[2]Feedstock Conversion Rates'!$B$3)/12</f>
        <v>6.0075000000000003</v>
      </c>
      <c r="CQ246" s="45">
        <f>('[2]Renewable Diesel'!$AG255*'[2]RD Feedstock Breakdown'!CQ$3*'[2]Feedstock Conversion Rates'!$B$6)/12</f>
        <v>3.5175000000000001</v>
      </c>
      <c r="CR246" s="45">
        <f>('[2]Renewable Diesel'!$AG255*'[2]RD Feedstock Breakdown'!CR$3*'[2]Feedstock Conversion Rates'!$B$4)/12</f>
        <v>2.8125</v>
      </c>
      <c r="CS246" s="47">
        <f t="shared" si="183"/>
        <v>12.3375</v>
      </c>
      <c r="CT246" s="45">
        <f>('[2]Renewable Diesel'!AI255*'[2]Feedstock Conversion Rates'!$B$4*'[2]RD Feedstock Breakdown'!$CT$3)/12</f>
        <v>29.375</v>
      </c>
      <c r="CU246" s="47">
        <f t="shared" si="154"/>
        <v>29.375</v>
      </c>
      <c r="CV246" s="45">
        <f>('[2]Renewable Diesel'!AN255*'[2]Feedstock Conversion Rates'!$B$3*'[2]RD Feedstock Breakdown'!$CV$3)/12</f>
        <v>0.50062499999999999</v>
      </c>
      <c r="CW246" s="47">
        <f t="shared" si="124"/>
        <v>0.50062499999999999</v>
      </c>
      <c r="CX246" s="45">
        <f>('[2]Renewable Diesel'!AO255*'[2]RD Feedstock Breakdown'!$CX$3*'[2]Feedstock Conversion Rates'!$B$3)/12</f>
        <v>6.3412499999999996</v>
      </c>
      <c r="CY246" s="45">
        <f>('[2]Renewable Diesel'!AO255*'[2]RD Feedstock Breakdown'!$CY$3*'[2]Feedstock Conversion Rates'!$B$6)/12</f>
        <v>7.4258333333333342</v>
      </c>
      <c r="CZ246" s="47">
        <f t="shared" si="188"/>
        <v>13.767083333333334</v>
      </c>
      <c r="DA246" s="45">
        <f>('[2]Renewable Diesel'!$AP255*'[2]RD Feedstock Breakdown'!DA$3*'[2]Feedstock Conversion Rates'!$B$3)/12</f>
        <v>6.3412499999999996</v>
      </c>
      <c r="DB246" s="45">
        <f>('[2]Renewable Diesel'!$AP255*'[2]RD Feedstock Breakdown'!DB$3*'[2]Feedstock Conversion Rates'!$B$8)/12</f>
        <v>7.421875</v>
      </c>
      <c r="DC246" s="47">
        <f t="shared" si="127"/>
        <v>13.763124999999999</v>
      </c>
      <c r="DD246" s="45">
        <f>('[2]Renewable Diesel'!AQ255*$DD$3*'[2]Feedstock Conversion Rates'!$B$14)/12</f>
        <v>3.1041666666666665</v>
      </c>
      <c r="DE246" s="47">
        <f t="shared" si="128"/>
        <v>3.1041666666666665</v>
      </c>
      <c r="DF246" s="45">
        <f>('[2]Renewable Diesel'!AR255*'[2]Feedstock Conversion Rates'!$B$4*$DF$3)/12</f>
        <v>75</v>
      </c>
      <c r="DG246" s="47">
        <f t="shared" si="189"/>
        <v>75</v>
      </c>
      <c r="DH246" s="45">
        <f>('[2]Renewable Diesel'!AS255*'[2]Feedstock Conversion Rates'!$B$4*$DH$3)/12</f>
        <v>75</v>
      </c>
      <c r="DI246" s="47">
        <f t="shared" si="110"/>
        <v>75</v>
      </c>
      <c r="DJ246" s="45">
        <f>('[2]Renewable Diesel'!AT255*'[2]Feedstock Conversion Rates'!$B$4*0.25)/12</f>
        <v>8.59375</v>
      </c>
      <c r="DK246" s="45">
        <f>('[2]Renewable Diesel'!$AT255*'[2]RD Feedstock Breakdown'!DK$3*'[2]Feedstock Conversion Rates'!$B$3)/12*0.5</f>
        <v>9.1781249999999996</v>
      </c>
      <c r="DL246" s="45">
        <f>('[2]Renewable Diesel'!$AT255*'[2]RD Feedstock Breakdown'!$DL$3*'[2]Feedstock Conversion Rates'!$B$6)/12</f>
        <v>10.747916666666669</v>
      </c>
      <c r="DM246" s="45">
        <f>('[2]Renewable Diesel'!$AT255*'[2]RD Feedstock Breakdown'!$DM$3*'[2]Feedstock Conversion Rates'!$B$8)/12</f>
        <v>10.7421875</v>
      </c>
      <c r="DN246" s="47">
        <f t="shared" si="169"/>
        <v>39.26197916666667</v>
      </c>
      <c r="DP246" s="45">
        <f t="shared" si="130"/>
        <v>122.22025000000001</v>
      </c>
      <c r="DQ246" s="45">
        <f t="shared" si="131"/>
        <v>647.3677674999999</v>
      </c>
      <c r="DR246" s="45">
        <f t="shared" si="136"/>
        <v>1903.203125</v>
      </c>
      <c r="DS246" s="45">
        <f t="shared" si="155"/>
        <v>52.901250000000005</v>
      </c>
      <c r="DT246" s="45">
        <f t="shared" si="132"/>
        <v>238.03923333333344</v>
      </c>
      <c r="DU246" s="45">
        <f t="shared" si="133"/>
        <v>280.90609999999998</v>
      </c>
      <c r="DV246" s="45">
        <f t="shared" si="137"/>
        <v>8</v>
      </c>
      <c r="DW246" s="45">
        <f t="shared" si="134"/>
        <v>3</v>
      </c>
      <c r="DX246" s="47">
        <f t="shared" si="138"/>
        <v>3255.6377258333332</v>
      </c>
      <c r="DY246" s="50">
        <f t="shared" si="126"/>
        <v>-135.00000000000003</v>
      </c>
      <c r="EA246" s="51">
        <f t="shared" si="117"/>
        <v>3.7541108775767044E-2</v>
      </c>
      <c r="EB246" s="51">
        <f t="shared" si="117"/>
        <v>0.1988451486365227</v>
      </c>
      <c r="EC246" s="51">
        <f t="shared" si="117"/>
        <v>0.584586887508451</v>
      </c>
      <c r="ED246" s="51">
        <f t="shared" si="114"/>
        <v>1.6249120588642606E-2</v>
      </c>
      <c r="EE246" s="51">
        <f t="shared" si="114"/>
        <v>7.3116007793036439E-2</v>
      </c>
      <c r="EF246" s="51">
        <f t="shared" si="114"/>
        <v>8.6282972386953011E-2</v>
      </c>
      <c r="EG246" s="51">
        <f t="shared" si="114"/>
        <v>2.4572758622743475E-3</v>
      </c>
      <c r="EH246" s="52">
        <f t="shared" si="139"/>
        <v>9.2147844835288031E-4</v>
      </c>
      <c r="EI246" s="51">
        <f t="shared" si="191"/>
        <v>0.99907852155164711</v>
      </c>
      <c r="EK246" s="53">
        <f>(EA246*'[2]Renewable Diesel'!BF255*'[2]Feedstock Conversion Rates'!B$2)+FB246</f>
        <v>124.36308762859433</v>
      </c>
      <c r="EL246" s="53">
        <f>(EB246*'[2]Renewable Diesel'!BF255*'[2]Feedstock Conversion Rates'!B$3)+FC246</f>
        <v>620.74465779338811</v>
      </c>
      <c r="EM246" s="53">
        <f>(EC246*'[2]Renewable Diesel'!BF255*'[2]Feedstock Conversion Rates'!B$4)+FD246</f>
        <v>1708.7392999118363</v>
      </c>
      <c r="EN246" s="53">
        <f>(ED246*'[2]Renewable Diesel'!BF255*'[2]Feedstock Conversion Rates'!B$5)+FE246</f>
        <v>47.812592006992134</v>
      </c>
      <c r="EO246" s="53">
        <f>(EE246*'[2]Renewable Diesel'!BF255*'[2]Feedstock Conversion Rates'!B$6)+FF246</f>
        <v>267.28881385631553</v>
      </c>
      <c r="EP246" s="53">
        <f>(EF246*'[2]Renewable Diesel'!BF255*'[2]Feedstock Conversion Rates'!B$7)+FG246</f>
        <v>309.37014442783453</v>
      </c>
      <c r="EQ246" s="53">
        <f>(EG246*'[2]Renewable Diesel'!BF255*'[2]Feedstock Conversion Rates'!B$8)+FH246</f>
        <v>8.9782287421992137</v>
      </c>
      <c r="ER246" s="53">
        <f>(EH246*'[2]Renewable Diesel'!BF255*'[2]Feedstock Conversion Rates'!B$9)+FI246</f>
        <v>3.3219446346137085</v>
      </c>
      <c r="ES246" s="53">
        <f t="shared" si="141"/>
        <v>3090.6187690017732</v>
      </c>
      <c r="ET246" s="36">
        <f>ES246/'[2]Renewable Diesel'!BF255</f>
        <v>7.9301237178449346</v>
      </c>
    </row>
    <row r="247" spans="1:150" x14ac:dyDescent="0.25">
      <c r="A247" s="39">
        <v>47939</v>
      </c>
      <c r="B247" s="45">
        <f t="shared" si="184"/>
        <v>0.5</v>
      </c>
      <c r="C247" s="45">
        <f t="shared" si="185"/>
        <v>9.5</v>
      </c>
      <c r="D247" s="45">
        <f t="shared" si="186"/>
        <v>2</v>
      </c>
      <c r="E247" s="45">
        <f>('[2]Renewable Diesel'!B256*E$3*'[2]Feedstock Conversion Rates'!$B$2)/12-57.5+8+12.5+52.5-76+18+23+45+50-2.5-3-28-2-9.5+30-40+26+0.5</f>
        <v>136.93</v>
      </c>
      <c r="F247" s="45">
        <f>('[2]Renewable Diesel'!B256*'[2]RD Feedstock Breakdown'!F$3*'[2]Feedstock Conversion Rates'!B$8)/12-13.5+1.5-2+36-10+10-61+25+8+1-29+1.5-15</f>
        <v>6.40625</v>
      </c>
      <c r="G247" s="45">
        <f>('[2]Renewable Diesel'!B256*'[2]RD Feedstock Breakdown'!G$3*'[2]Feedstock Conversion Rates'!B$7)/12-100-12.5-1+26.75+19-57.5-30+31+70-40+15-35-7.5-4+5</f>
        <v>55.407000000000011</v>
      </c>
      <c r="H247" s="45">
        <f>('[2]Renewable Diesel'!B256*'[2]RD Feedstock Breakdown'!H$3*'[2]Feedstock Conversion Rates'!B$3)/12-105+5+139-10-10-162+8.5+58-20+40-10+160+15</f>
        <v>284.90022499999998</v>
      </c>
      <c r="I247" s="47">
        <f t="shared" si="160"/>
        <v>495.64347499999997</v>
      </c>
      <c r="J247" s="45">
        <f t="shared" si="192"/>
        <v>7.5</v>
      </c>
      <c r="K247" s="45"/>
      <c r="L247" s="45">
        <v>1</v>
      </c>
      <c r="M247" s="45">
        <f>('[2]Renewable Diesel'!C256*'[2]RD Feedstock Breakdown'!M$3*'[2]Feedstock Conversion Rates'!B$2)/12-18.5+7-43-1.5+7.5+7-5+24</f>
        <v>-14.70975</v>
      </c>
      <c r="N247" s="45">
        <f>('[2]Renewable Diesel'!C256*'[2]RD Feedstock Breakdown'!N$3*'[2]Feedstock Conversion Rates'!B$8)/12-2.5+46-58.5+8.5+5-10+10-2.5-18+5-12</f>
        <v>-25.328125</v>
      </c>
      <c r="O247" s="45">
        <f>('[2]Renewable Diesel'!C256*'[2]RD Feedstock Breakdown'!O$3*'[2]Feedstock Conversion Rates'!B$7)/12-30-12.5-47-19+29+30-15-15+75-35+20</f>
        <v>-7.5009000000000015</v>
      </c>
      <c r="P247" s="45">
        <f>('[2]Renewable Diesel'!C256*'[2]RD Feedstock Breakdown'!P$3*'[2]Feedstock Conversion Rates'!B$3)/12-25+42.5-102+35+30+50.75+60-100-21-2.5+95</f>
        <v>73.197042500000009</v>
      </c>
      <c r="Q247" s="47">
        <f t="shared" si="172"/>
        <v>34.158267500000008</v>
      </c>
      <c r="R247" s="45">
        <f>('[2]Renewable Diesel'!D256*'[2]RD Feedstock Breakdown'!R$3*'[2]Feedstock Conversion Rates'!B$7)/12</f>
        <v>2.2999999999999998</v>
      </c>
      <c r="S247" s="47">
        <f t="shared" si="116"/>
        <v>2.2999999999999998</v>
      </c>
      <c r="T247" s="45">
        <f t="shared" si="179"/>
        <v>5.8250000000000028</v>
      </c>
      <c r="U247" s="45">
        <v>30</v>
      </c>
      <c r="V247" s="45">
        <f>('[2]Renewable Diesel'!E256*'[2]RD Feedstock Breakdown'!V$3*'[2]Feedstock Conversion Rates'!B$6)/12-20+25-35</f>
        <v>14.250150000000012</v>
      </c>
      <c r="W247" s="45">
        <f>('[2]Renewable Diesel'!E256*'[2]RD Feedstock Breakdown'!W$3*'[2]Feedstock Conversion Rates'!B$8)/12-6</f>
        <v>16.1796875</v>
      </c>
      <c r="X247" s="47">
        <f t="shared" si="147"/>
        <v>66.254837500000008</v>
      </c>
      <c r="Y247" s="45">
        <f t="shared" si="187"/>
        <v>141.5</v>
      </c>
      <c r="Z247" s="45">
        <f>('[2]Renewable Diesel'!F256*'[2]RD Feedstock Breakdown'!Z$3*'[2]Feedstock Conversion Rates'!B$6)/12-50-32-60+15+15+47.5-72.5+70-27.5-5</f>
        <v>59.960000000000008</v>
      </c>
      <c r="AA247" s="45">
        <f>('[2]Renewable Diesel'!F256*'[2]RD Feedstock Breakdown'!AA$3*'[2]Feedstock Conversion Rates'!B$7)/12+80-171+75+30-55-1</f>
        <v>62.266666666666652</v>
      </c>
      <c r="AB247" s="47">
        <f t="shared" si="190"/>
        <v>263.72666666666669</v>
      </c>
      <c r="AC247" s="45">
        <f>('[2]Renewable Diesel'!G256*'[2]RD Feedstock Breakdown'!AC$3*'[2]Feedstock Conversion Rates'!B$5)/12</f>
        <v>11.796875</v>
      </c>
      <c r="AD247" s="45">
        <f>('[2]Renewable Diesel'!G256*'[2]RD Feedstock Breakdown'!AD$3*'[2]Feedstock Conversion Rates'!B$4)/12</f>
        <v>5.859375</v>
      </c>
      <c r="AE247" s="45">
        <f>('[2]Renewable Diesel'!G256*'[2]RD Feedstock Breakdown'!AE$3*'[2]Feedstock Conversion Rates'!B$6)/12</f>
        <v>7.3281250000000009</v>
      </c>
      <c r="AF247" s="47">
        <f t="shared" si="156"/>
        <v>24.984375</v>
      </c>
      <c r="AG247" s="45">
        <f t="shared" si="182"/>
        <v>6.5</v>
      </c>
      <c r="AH247" s="45">
        <v>135</v>
      </c>
      <c r="AI247" s="45">
        <f>('[2]Renewable Diesel'!H256*'[2]RD Feedstock Breakdown'!AI$3*'[2]Feedstock Conversion Rates'!B$6)/12-130-20+51-120+105-40+25-10-2.5</f>
        <v>7.0166666666666799</v>
      </c>
      <c r="AJ247" s="47">
        <f t="shared" si="113"/>
        <v>13.51666666666668</v>
      </c>
      <c r="AK247" s="45">
        <f>('[2]Renewable Diesel'!J256*'[2]RD Feedstock Breakdown'!AK$3*'[2]Feedstock Conversion Rates'!B$4)/12</f>
        <v>95.8125</v>
      </c>
      <c r="AL247" s="47">
        <f t="shared" si="123"/>
        <v>95.8125</v>
      </c>
      <c r="AM247" s="45">
        <f>('[2]Renewable Diesel'!K256*'[2]RD Feedstock Breakdown'!AM$3*'[2]Feedstock Conversion Rates'!B$4)/12+5+15-10+2.5+7-35</f>
        <v>43.09375</v>
      </c>
      <c r="AN247" s="45">
        <f>('[2]Renewable Diesel'!K256*'[2]RD Feedstock Breakdown'!AN$3*'[2]Feedstock Conversion Rates'!B$6)/12-5-15+10-2.5-7+35</f>
        <v>39.927083333333329</v>
      </c>
      <c r="AO247" s="47">
        <f t="shared" si="135"/>
        <v>83.020833333333329</v>
      </c>
      <c r="AP247" s="45">
        <f>('[2]Renewable Diesel'!L256*'[2]RD Feedstock Breakdown'!AP$3*'[2]Feedstock Conversion Rates'!B$4)/12+15-10+5+2.5+7</f>
        <v>78.09375</v>
      </c>
      <c r="AQ247" s="45">
        <f>('[2]Renewable Diesel'!L256*'[2]RD Feedstock Breakdown'!AQ$3*'[2]Feedstock Conversion Rates'!B$6)/12-15+10-5-2.5-7</f>
        <v>4.9270833333333321</v>
      </c>
      <c r="AR247" s="47">
        <f t="shared" si="125"/>
        <v>83.020833333333329</v>
      </c>
      <c r="AS247" s="45">
        <f>('[2]Renewable Diesel'!M256*'[2]RD Feedstock Breakdown'!AS$3*'[2]Feedstock Conversion Rates'!B$4)/12</f>
        <v>456.25</v>
      </c>
      <c r="AT247" s="45">
        <f>('[2]Renewable Diesel'!M256*'[2]RD Feedstock Breakdown'!AT$3*'[2]Feedstock Conversion Rates'!B$5)/12</f>
        <v>0</v>
      </c>
      <c r="AU247" s="47">
        <f t="shared" si="159"/>
        <v>456.25</v>
      </c>
      <c r="AV247" s="45">
        <f>'[2]Renewable Diesel'!N256*'[2]RD Feedstock Breakdown'!$AV$3*'[2]Feedstock Conversion Rates'!$B$4/12-15-10+25+25-22+15-50</f>
        <v>46.749999999999986</v>
      </c>
      <c r="AW247" s="45">
        <f>'[2]Renewable Diesel'!N256*'[2]RD Feedstock Breakdown'!$AW$3*'[2]Feedstock Conversion Rates'!$B$7/12+15+10-25-25+22-15+50</f>
        <v>73.400000000000006</v>
      </c>
      <c r="AX247" s="47">
        <f t="shared" ref="AX247:AX310" si="193">SUM(AV247:AW247)</f>
        <v>120.14999999999999</v>
      </c>
      <c r="AY247" s="45">
        <f>('[2]Renewable Diesel'!O256*'[2]RD Feedstock Breakdown'!AY$3*'[2]Feedstock Conversion Rates'!B$4)/12+32+2-125-25</f>
        <v>94.9375</v>
      </c>
      <c r="AZ247" s="45">
        <f>('[2]Renewable Diesel'!O256*'[2]RD Feedstock Breakdown'!AZ$3*'[2]Feedstock Conversion Rates'!B$3)/12-32-2+125+25</f>
        <v>141.03125</v>
      </c>
      <c r="BA247" s="47">
        <f t="shared" si="173"/>
        <v>235.96875</v>
      </c>
      <c r="BB247" s="45">
        <f>('[2]Renewable Diesel'!Q256*'[2]RD Feedstock Breakdown'!BB$3*'[2]Feedstock Conversion Rates'!B$4)/12-10</f>
        <v>1.1562499999999982</v>
      </c>
      <c r="BC247" s="45">
        <f>('[2]Renewable Diesel'!Q256*'[2]RD Feedstock Breakdown'!BC$3*'[2]Feedstock Conversion Rates'!B$3)/12+10</f>
        <v>11.40175</v>
      </c>
      <c r="BD247" s="45">
        <f>('[2]Renewable Diesel'!Q256*'[2]RD Feedstock Breakdown'!BD$3*'[2]Feedstock Conversion Rates'!B$6)/12</f>
        <v>0.8207500000000002</v>
      </c>
      <c r="BE247" s="47">
        <f t="shared" si="151"/>
        <v>13.378749999999998</v>
      </c>
      <c r="BF247" s="45">
        <f>('[2]Renewable Diesel'!R256*'[2]RD Feedstock Breakdown'!BF$3*'[2]Feedstock Conversion Rates'!B$4)/12</f>
        <v>62.5</v>
      </c>
      <c r="BG247" s="47">
        <f t="shared" si="129"/>
        <v>62.5</v>
      </c>
      <c r="BH247" s="45">
        <f>('[2]Renewable Diesel'!T256*'[2]RD Feedstock Breakdown'!BH$3*'[2]Feedstock Conversion Rates'!B$7)/12</f>
        <v>27.599999999999998</v>
      </c>
      <c r="BI247" s="47">
        <f t="shared" si="112"/>
        <v>27.599999999999998</v>
      </c>
      <c r="BJ247" s="45">
        <f>('[2]Renewable Diesel'!W256*'[2]RD Feedstock Breakdown'!BJ$3*'[2]Feedstock Conversion Rates'!B$4)/12</f>
        <v>7.5</v>
      </c>
      <c r="BK247" s="45">
        <f>('[2]Renewable Diesel'!W256*'[2]RD Feedstock Breakdown'!BK$3*'[2]Feedstock Conversion Rates'!B$3)/12</f>
        <v>1.335</v>
      </c>
      <c r="BL247" s="45">
        <f>('[2]Renewable Diesel'!W256*'[2]RD Feedstock Breakdown'!BL$3*'[2]Feedstock Conversion Rates'!B$6)/12</f>
        <v>3.1266666666666669</v>
      </c>
      <c r="BM247" s="45">
        <f>('[2]Renewable Diesel'!W256*'[2]RD Feedstock Breakdown'!BM$3*'[2]Feedstock Conversion Rates'!B$7)/12</f>
        <v>1.5333333333333332</v>
      </c>
      <c r="BN247" s="47">
        <f t="shared" si="168"/>
        <v>13.495000000000001</v>
      </c>
      <c r="BO247" s="45">
        <f>('[2]Renewable Diesel'!P256*'[2]Feedstock Conversion Rates'!B$4)/12</f>
        <v>31.25</v>
      </c>
      <c r="BP247" s="47">
        <f t="shared" si="157"/>
        <v>31.25</v>
      </c>
      <c r="BQ247" s="45">
        <f>('[2]Renewable Diesel'!$S256*'[2]RD Feedstock Breakdown'!BQ$3*'[2]Feedstock Conversion Rates'!B$4)/12+10</f>
        <v>38.125</v>
      </c>
      <c r="BR247" s="45">
        <f>('[2]Renewable Diesel'!$S256*'[2]RD Feedstock Breakdown'!BR$3*'[2]Feedstock Conversion Rates'!B$7)/12-10</f>
        <v>1.5</v>
      </c>
      <c r="BS247" s="47">
        <f t="shared" si="174"/>
        <v>39.625</v>
      </c>
      <c r="BT247" s="47"/>
      <c r="BU247" s="45">
        <f>('[2]Renewable Diesel'!Y256*'[2]Feedstock Conversion Rates'!B$7)/12</f>
        <v>2.6833333333333331</v>
      </c>
      <c r="BV247" s="47">
        <f t="shared" si="153"/>
        <v>2.6833333333333331</v>
      </c>
      <c r="BW247" s="45">
        <f>('[2]Renewable Diesel'!$Z256*'[2]RD Feedstock Breakdown'!BW$3*'[2]Feedstock Conversion Rates'!$B$4)/12</f>
        <v>71.875</v>
      </c>
      <c r="BX247" s="45">
        <f>('[2]Renewable Diesel'!$Z256*'[2]RD Feedstock Breakdown'!BX$3*'[2]Feedstock Conversion Rates'!$B$5)/12</f>
        <v>7.2354166666666666</v>
      </c>
      <c r="BY247" s="45">
        <f>('[2]Renewable Diesel'!$Z256*'[2]RD Feedstock Breakdown'!BY$3*'[2]Feedstock Conversion Rates'!$B$7)/12</f>
        <v>61.716666666666661</v>
      </c>
      <c r="BZ247" s="45">
        <f>('[2]Renewable Diesel'!$Z256*'[2]RD Feedstock Breakdown'!BZ$3*'[2]Feedstock Conversion Rates'!$B$3)/12</f>
        <v>15.352499999999999</v>
      </c>
      <c r="CA247" s="47">
        <f t="shared" si="181"/>
        <v>156.17958333333331</v>
      </c>
      <c r="CB247" s="45">
        <f>('[2]Renewable Diesel'!AA256*'[2]Feedstock Conversion Rates'!B$4)/12</f>
        <v>191.25</v>
      </c>
      <c r="CC247" s="47">
        <f t="shared" si="171"/>
        <v>191.25</v>
      </c>
      <c r="CD247" s="45">
        <f>('[2]Renewable Diesel'!$AB256*'[2]RD Feedstock Breakdown'!CD$3*'[2]Feedstock Conversion Rates'!$B$6)/12-15</f>
        <v>17.830000000000005</v>
      </c>
      <c r="CE247" s="45">
        <f>('[2]Renewable Diesel'!$AB256*'[2]RD Feedstock Breakdown'!CE$3*'[2]Feedstock Conversion Rates'!$B$4)/12+15</f>
        <v>26.25</v>
      </c>
      <c r="CF247" s="47">
        <f t="shared" si="161"/>
        <v>44.080000000000005</v>
      </c>
      <c r="CG247" s="45">
        <f>('[2]Renewable Diesel'!AD256*'[2]Feedstock Conversion Rates'!B$4)/12</f>
        <v>112.5</v>
      </c>
      <c r="CH247" s="47">
        <f t="shared" si="149"/>
        <v>112.5</v>
      </c>
      <c r="CI247" s="45">
        <f>('[2]Renewable Diesel'!$AE256*'[2]RD Feedstock Breakdown'!CI$3*'[2]Feedstock Conversion Rates'!$B$5)/12</f>
        <v>0.34604166666666664</v>
      </c>
      <c r="CJ247" s="45">
        <f>('[2]Renewable Diesel'!$AE256*'[2]RD Feedstock Breakdown'!CJ$3*'[2]Feedstock Conversion Rates'!$B$4)/12</f>
        <v>0.34375</v>
      </c>
      <c r="CK247" s="47">
        <f t="shared" si="158"/>
        <v>0.68979166666666658</v>
      </c>
      <c r="CL247" s="45">
        <f>(((CL$3*'[2]Renewable Diesel'!$AF256)*'[2]Feedstock Conversion Rates'!$B$3)/12)</f>
        <v>91.78125</v>
      </c>
      <c r="CM247" s="45">
        <f>(((CM$3*'[2]Renewable Diesel'!$AF256)*'[2]Feedstock Conversion Rates'!$B$6)/12)</f>
        <v>53.739583333333336</v>
      </c>
      <c r="CN247" s="45">
        <f>(((CN$3*'[2]Renewable Diesel'!$AF256)*'[2]Feedstock Conversion Rates'!$B$4)/12)</f>
        <v>42.96875</v>
      </c>
      <c r="CO247" s="47">
        <f t="shared" si="152"/>
        <v>188.48958333333334</v>
      </c>
      <c r="CP247" s="45">
        <f>('[2]Renewable Diesel'!$AG256*'[2]RD Feedstock Breakdown'!CP$3*'[2]Feedstock Conversion Rates'!$B$3)/12</f>
        <v>6.0075000000000003</v>
      </c>
      <c r="CQ247" s="45">
        <f>('[2]Renewable Diesel'!$AG256*'[2]RD Feedstock Breakdown'!CQ$3*'[2]Feedstock Conversion Rates'!$B$6)/12</f>
        <v>3.5175000000000001</v>
      </c>
      <c r="CR247" s="45">
        <f>('[2]Renewable Diesel'!$AG256*'[2]RD Feedstock Breakdown'!CR$3*'[2]Feedstock Conversion Rates'!$B$4)/12</f>
        <v>2.8125</v>
      </c>
      <c r="CS247" s="47">
        <f t="shared" si="183"/>
        <v>12.3375</v>
      </c>
      <c r="CT247" s="45">
        <f>('[2]Renewable Diesel'!AI256*'[2]Feedstock Conversion Rates'!$B$4*'[2]RD Feedstock Breakdown'!$CT$3)/12</f>
        <v>29.375</v>
      </c>
      <c r="CU247" s="47">
        <f t="shared" si="154"/>
        <v>29.375</v>
      </c>
      <c r="CV247" s="45">
        <f>('[2]Renewable Diesel'!AN256*'[2]Feedstock Conversion Rates'!$B$3*'[2]RD Feedstock Breakdown'!$CV$3)/12</f>
        <v>0.50062499999999999</v>
      </c>
      <c r="CW247" s="47">
        <f t="shared" si="124"/>
        <v>0.50062499999999999</v>
      </c>
      <c r="CX247" s="45">
        <f>('[2]Renewable Diesel'!AO256*'[2]RD Feedstock Breakdown'!$CX$3*'[2]Feedstock Conversion Rates'!$B$3)/12</f>
        <v>6.3412499999999996</v>
      </c>
      <c r="CY247" s="45">
        <f>('[2]Renewable Diesel'!AO256*'[2]RD Feedstock Breakdown'!$CY$3*'[2]Feedstock Conversion Rates'!$B$6)/12</f>
        <v>7.4258333333333342</v>
      </c>
      <c r="CZ247" s="47">
        <f t="shared" si="188"/>
        <v>13.767083333333334</v>
      </c>
      <c r="DA247" s="45">
        <f>('[2]Renewable Diesel'!$AP256*'[2]RD Feedstock Breakdown'!DA$3*'[2]Feedstock Conversion Rates'!$B$3)/12</f>
        <v>6.3412499999999996</v>
      </c>
      <c r="DB247" s="45">
        <f>('[2]Renewable Diesel'!$AP256*'[2]RD Feedstock Breakdown'!DB$3*'[2]Feedstock Conversion Rates'!$B$8)/12</f>
        <v>7.421875</v>
      </c>
      <c r="DC247" s="47">
        <f t="shared" si="127"/>
        <v>13.763124999999999</v>
      </c>
      <c r="DD247" s="45">
        <f>('[2]Renewable Diesel'!AQ256*$DD$3*'[2]Feedstock Conversion Rates'!$B$14)/12</f>
        <v>3.1041666666666665</v>
      </c>
      <c r="DE247" s="47">
        <f t="shared" si="128"/>
        <v>3.1041666666666665</v>
      </c>
      <c r="DF247" s="45">
        <f>('[2]Renewable Diesel'!AR256*'[2]Feedstock Conversion Rates'!$B$4*$DF$3)/12</f>
        <v>75</v>
      </c>
      <c r="DG247" s="47">
        <f t="shared" si="189"/>
        <v>75</v>
      </c>
      <c r="DH247" s="45">
        <f>('[2]Renewable Diesel'!AS256*'[2]Feedstock Conversion Rates'!$B$4*$DH$3)/12</f>
        <v>75</v>
      </c>
      <c r="DI247" s="47">
        <f t="shared" si="110"/>
        <v>75</v>
      </c>
      <c r="DJ247" s="45">
        <f>('[2]Renewable Diesel'!AT256*'[2]Feedstock Conversion Rates'!$B$4*0.25)/12</f>
        <v>8.59375</v>
      </c>
      <c r="DK247" s="45">
        <f>('[2]Renewable Diesel'!$AT256*'[2]RD Feedstock Breakdown'!DK$3*'[2]Feedstock Conversion Rates'!$B$3)/12*0.5</f>
        <v>9.1781249999999996</v>
      </c>
      <c r="DL247" s="45">
        <f>('[2]Renewable Diesel'!$AT256*'[2]RD Feedstock Breakdown'!$DL$3*'[2]Feedstock Conversion Rates'!$B$6)/12</f>
        <v>10.747916666666669</v>
      </c>
      <c r="DM247" s="45">
        <f>('[2]Renewable Diesel'!$AT256*'[2]RD Feedstock Breakdown'!$DM$3*'[2]Feedstock Conversion Rates'!$B$8)/12</f>
        <v>10.7421875</v>
      </c>
      <c r="DN247" s="47">
        <f t="shared" si="169"/>
        <v>39.26197916666667</v>
      </c>
      <c r="DP247" s="45">
        <f t="shared" si="130"/>
        <v>122.22025000000001</v>
      </c>
      <c r="DQ247" s="45">
        <f t="shared" si="131"/>
        <v>647.3677674999999</v>
      </c>
      <c r="DR247" s="45">
        <f t="shared" si="136"/>
        <v>1903.203125</v>
      </c>
      <c r="DS247" s="45">
        <f t="shared" si="155"/>
        <v>52.901250000000005</v>
      </c>
      <c r="DT247" s="45">
        <f t="shared" si="132"/>
        <v>238.03923333333344</v>
      </c>
      <c r="DU247" s="45">
        <f t="shared" si="133"/>
        <v>280.90609999999998</v>
      </c>
      <c r="DV247" s="45">
        <f t="shared" si="137"/>
        <v>8</v>
      </c>
      <c r="DW247" s="45">
        <f t="shared" si="134"/>
        <v>3</v>
      </c>
      <c r="DX247" s="47">
        <f t="shared" si="138"/>
        <v>3255.6377258333332</v>
      </c>
      <c r="DY247" s="50">
        <f t="shared" si="126"/>
        <v>-135.00000000000003</v>
      </c>
      <c r="EA247" s="51">
        <f t="shared" si="117"/>
        <v>3.7541108775767044E-2</v>
      </c>
      <c r="EB247" s="51">
        <f t="shared" si="117"/>
        <v>0.1988451486365227</v>
      </c>
      <c r="EC247" s="51">
        <f t="shared" si="117"/>
        <v>0.584586887508451</v>
      </c>
      <c r="ED247" s="51">
        <f t="shared" si="114"/>
        <v>1.6249120588642606E-2</v>
      </c>
      <c r="EE247" s="51">
        <f t="shared" si="114"/>
        <v>7.3116007793036439E-2</v>
      </c>
      <c r="EF247" s="51">
        <f t="shared" si="114"/>
        <v>8.6282972386953011E-2</v>
      </c>
      <c r="EG247" s="51">
        <f t="shared" si="114"/>
        <v>2.4572758622743475E-3</v>
      </c>
      <c r="EH247" s="52">
        <f t="shared" si="139"/>
        <v>9.2147844835288031E-4</v>
      </c>
      <c r="EI247" s="51">
        <f t="shared" si="191"/>
        <v>0.99907852155164711</v>
      </c>
      <c r="EK247" s="53">
        <f>(EA247*'[2]Renewable Diesel'!BF256*'[2]Feedstock Conversion Rates'!B$2)+FB247</f>
        <v>149.13731838817944</v>
      </c>
      <c r="EL247" s="53">
        <f>(EB247*'[2]Renewable Diesel'!BF256*'[2]Feedstock Conversion Rates'!B$3)+FC247</f>
        <v>744.40250264265978</v>
      </c>
      <c r="EM247" s="53">
        <f>(EC247*'[2]Renewable Diesel'!BF256*'[2]Feedstock Conversion Rates'!B$4)+FD247</f>
        <v>2049.1353332622848</v>
      </c>
      <c r="EN247" s="53">
        <f>(ED247*'[2]Renewable Diesel'!BF256*'[2]Feedstock Conversion Rates'!B$5)+FE247</f>
        <v>57.337284664452056</v>
      </c>
      <c r="EO247" s="53">
        <f>(EE247*'[2]Renewable Diesel'!BF256*'[2]Feedstock Conversion Rates'!B$6)+FF247</f>
        <v>320.53511772509796</v>
      </c>
      <c r="EP247" s="53">
        <f>(EF247*'[2]Renewable Diesel'!BF256*'[2]Feedstock Conversion Rates'!B$7)+FG247</f>
        <v>370.99942281203494</v>
      </c>
      <c r="EQ247" s="53">
        <f>(EG247*'[2]Renewable Diesel'!BF256*'[2]Feedstock Conversion Rates'!B$8)+FH247</f>
        <v>10.766771588094596</v>
      </c>
      <c r="ER247" s="53">
        <f>(EH247*'[2]Renewable Diesel'!BF256*'[2]Feedstock Conversion Rates'!B$9)+FI247</f>
        <v>3.9837054875950004</v>
      </c>
      <c r="ES247" s="53">
        <f t="shared" si="141"/>
        <v>3706.2974565703994</v>
      </c>
      <c r="ET247" s="36">
        <f>ES247/'[2]Renewable Diesel'!BF256</f>
        <v>7.9301237178449382</v>
      </c>
    </row>
    <row r="248" spans="1:150" x14ac:dyDescent="0.25">
      <c r="A248" s="39">
        <v>47969</v>
      </c>
      <c r="B248" s="45">
        <f t="shared" si="184"/>
        <v>0.5</v>
      </c>
      <c r="C248" s="45">
        <f t="shared" si="185"/>
        <v>9.5</v>
      </c>
      <c r="D248" s="45">
        <f t="shared" si="186"/>
        <v>2</v>
      </c>
      <c r="E248" s="45">
        <f>('[2]Renewable Diesel'!B257*E$3*'[2]Feedstock Conversion Rates'!$B$2)/12-57.5+8+12.5+52.5-76+18+23+45+50-2.5-3-28-2-9.5+30-40+26+0.5</f>
        <v>136.93</v>
      </c>
      <c r="F248" s="45">
        <f>('[2]Renewable Diesel'!B257*'[2]RD Feedstock Breakdown'!F$3*'[2]Feedstock Conversion Rates'!B$8)/12-13.5+1.5-2+36-10+10-61+25+8+1-29+1.5-15</f>
        <v>6.40625</v>
      </c>
      <c r="G248" s="45">
        <f>('[2]Renewable Diesel'!B257*'[2]RD Feedstock Breakdown'!G$3*'[2]Feedstock Conversion Rates'!B$7)/12-100-12.5-1+26.75+19-57.5-30+31+70-40+15-35-7.5-4+5</f>
        <v>55.407000000000011</v>
      </c>
      <c r="H248" s="45">
        <f>('[2]Renewable Diesel'!B257*'[2]RD Feedstock Breakdown'!H$3*'[2]Feedstock Conversion Rates'!B$3)/12-105+5+139-10-10-162+8.5+58-20+40-10+160+15</f>
        <v>284.90022499999998</v>
      </c>
      <c r="I248" s="47">
        <f t="shared" si="160"/>
        <v>495.64347499999997</v>
      </c>
      <c r="J248" s="45">
        <f t="shared" si="192"/>
        <v>7.5</v>
      </c>
      <c r="K248" s="45"/>
      <c r="L248" s="45">
        <v>1</v>
      </c>
      <c r="M248" s="45">
        <f>('[2]Renewable Diesel'!C257*'[2]RD Feedstock Breakdown'!M$3*'[2]Feedstock Conversion Rates'!B$2)/12-18.5+7-43-1.5+7.5+7-5+24</f>
        <v>-14.70975</v>
      </c>
      <c r="N248" s="45">
        <f>('[2]Renewable Diesel'!C257*'[2]RD Feedstock Breakdown'!N$3*'[2]Feedstock Conversion Rates'!B$8)/12-2.5+46-58.5+8.5+5-10+10-2.5-18+5-12</f>
        <v>-25.328125</v>
      </c>
      <c r="O248" s="45">
        <f>('[2]Renewable Diesel'!C257*'[2]RD Feedstock Breakdown'!O$3*'[2]Feedstock Conversion Rates'!B$7)/12-30-12.5-47-19+29+30-15-15+75-35+20</f>
        <v>-7.5009000000000015</v>
      </c>
      <c r="P248" s="45">
        <f>('[2]Renewable Diesel'!C257*'[2]RD Feedstock Breakdown'!P$3*'[2]Feedstock Conversion Rates'!B$3)/12-25+42.5-102+35+30+50.75+60-100-21-2.5+95</f>
        <v>73.197042500000009</v>
      </c>
      <c r="Q248" s="47">
        <f t="shared" si="172"/>
        <v>34.158267500000008</v>
      </c>
      <c r="R248" s="45">
        <f>('[2]Renewable Diesel'!D257*'[2]RD Feedstock Breakdown'!R$3*'[2]Feedstock Conversion Rates'!B$7)/12</f>
        <v>2.2999999999999998</v>
      </c>
      <c r="S248" s="47">
        <f t="shared" si="116"/>
        <v>2.2999999999999998</v>
      </c>
      <c r="T248" s="45">
        <f t="shared" si="179"/>
        <v>5.8250000000000028</v>
      </c>
      <c r="U248" s="45">
        <v>30</v>
      </c>
      <c r="V248" s="45">
        <f>('[2]Renewable Diesel'!E257*'[2]RD Feedstock Breakdown'!V$3*'[2]Feedstock Conversion Rates'!B$6)/12-20+25-35</f>
        <v>14.250150000000012</v>
      </c>
      <c r="W248" s="45">
        <f>('[2]Renewable Diesel'!E257*'[2]RD Feedstock Breakdown'!W$3*'[2]Feedstock Conversion Rates'!B$8)/12-6</f>
        <v>16.1796875</v>
      </c>
      <c r="X248" s="47">
        <f t="shared" si="147"/>
        <v>66.254837500000008</v>
      </c>
      <c r="Y248" s="45">
        <f t="shared" si="187"/>
        <v>141.5</v>
      </c>
      <c r="Z248" s="45">
        <f>('[2]Renewable Diesel'!F257*'[2]RD Feedstock Breakdown'!Z$3*'[2]Feedstock Conversion Rates'!B$6)/12-50-32-60+15+15+47.5-72.5+70-27.5-5</f>
        <v>59.960000000000008</v>
      </c>
      <c r="AA248" s="45">
        <f>('[2]Renewable Diesel'!F257*'[2]RD Feedstock Breakdown'!AA$3*'[2]Feedstock Conversion Rates'!B$7)/12+80-171+75+30-55-1</f>
        <v>62.266666666666652</v>
      </c>
      <c r="AB248" s="47">
        <f t="shared" si="190"/>
        <v>263.72666666666669</v>
      </c>
      <c r="AC248" s="45">
        <f>('[2]Renewable Diesel'!G257*'[2]RD Feedstock Breakdown'!AC$3*'[2]Feedstock Conversion Rates'!B$5)/12</f>
        <v>11.796875</v>
      </c>
      <c r="AD248" s="45">
        <f>('[2]Renewable Diesel'!G257*'[2]RD Feedstock Breakdown'!AD$3*'[2]Feedstock Conversion Rates'!B$4)/12</f>
        <v>5.859375</v>
      </c>
      <c r="AE248" s="45">
        <f>('[2]Renewable Diesel'!G257*'[2]RD Feedstock Breakdown'!AE$3*'[2]Feedstock Conversion Rates'!B$6)/12</f>
        <v>7.3281250000000009</v>
      </c>
      <c r="AF248" s="47">
        <f t="shared" si="156"/>
        <v>24.984375</v>
      </c>
      <c r="AG248" s="45">
        <f t="shared" si="182"/>
        <v>6.5</v>
      </c>
      <c r="AH248" s="45">
        <v>135</v>
      </c>
      <c r="AI248" s="45">
        <f>('[2]Renewable Diesel'!H257*'[2]RD Feedstock Breakdown'!AI$3*'[2]Feedstock Conversion Rates'!B$6)/12-130-20+51-120+105-40+25-10-2.5</f>
        <v>7.0166666666666799</v>
      </c>
      <c r="AJ248" s="47">
        <f t="shared" si="113"/>
        <v>13.51666666666668</v>
      </c>
      <c r="AK248" s="45">
        <f>('[2]Renewable Diesel'!J257*'[2]RD Feedstock Breakdown'!AK$3*'[2]Feedstock Conversion Rates'!B$4)/12</f>
        <v>95.8125</v>
      </c>
      <c r="AL248" s="47">
        <f t="shared" si="123"/>
        <v>95.8125</v>
      </c>
      <c r="AM248" s="45">
        <f>('[2]Renewable Diesel'!K257*'[2]RD Feedstock Breakdown'!AM$3*'[2]Feedstock Conversion Rates'!B$4)/12+5+15-10+2.5+7-35</f>
        <v>43.09375</v>
      </c>
      <c r="AN248" s="45">
        <f>('[2]Renewable Diesel'!K257*'[2]RD Feedstock Breakdown'!AN$3*'[2]Feedstock Conversion Rates'!B$6)/12-5-15+10-2.5-7+35</f>
        <v>39.927083333333329</v>
      </c>
      <c r="AO248" s="47">
        <f t="shared" si="135"/>
        <v>83.020833333333329</v>
      </c>
      <c r="AP248" s="45">
        <f>('[2]Renewable Diesel'!L257*'[2]RD Feedstock Breakdown'!AP$3*'[2]Feedstock Conversion Rates'!B$4)/12+15-10+5+2.5+7</f>
        <v>78.09375</v>
      </c>
      <c r="AQ248" s="45">
        <f>('[2]Renewable Diesel'!L257*'[2]RD Feedstock Breakdown'!AQ$3*'[2]Feedstock Conversion Rates'!B$6)/12-15+10-5-2.5-7</f>
        <v>4.9270833333333321</v>
      </c>
      <c r="AR248" s="47">
        <f t="shared" si="125"/>
        <v>83.020833333333329</v>
      </c>
      <c r="AS248" s="45">
        <f>('[2]Renewable Diesel'!M257*'[2]RD Feedstock Breakdown'!AS$3*'[2]Feedstock Conversion Rates'!B$4)/12</f>
        <v>456.25</v>
      </c>
      <c r="AT248" s="45">
        <f>('[2]Renewable Diesel'!M257*'[2]RD Feedstock Breakdown'!AT$3*'[2]Feedstock Conversion Rates'!B$5)/12</f>
        <v>0</v>
      </c>
      <c r="AU248" s="47">
        <f t="shared" si="159"/>
        <v>456.25</v>
      </c>
      <c r="AV248" s="45">
        <f>'[2]Renewable Diesel'!N257*'[2]RD Feedstock Breakdown'!$AV$3*'[2]Feedstock Conversion Rates'!$B$4/12-15-10+25+25-22+15-50</f>
        <v>46.749999999999986</v>
      </c>
      <c r="AW248" s="45">
        <f>'[2]Renewable Diesel'!N257*'[2]RD Feedstock Breakdown'!$AW$3*'[2]Feedstock Conversion Rates'!$B$7/12+15+10-25-25+22-15+50</f>
        <v>73.400000000000006</v>
      </c>
      <c r="AX248" s="47">
        <f t="shared" si="193"/>
        <v>120.14999999999999</v>
      </c>
      <c r="AY248" s="45">
        <f>('[2]Renewable Diesel'!O257*'[2]RD Feedstock Breakdown'!AY$3*'[2]Feedstock Conversion Rates'!B$4)/12+32+2-125-25</f>
        <v>94.9375</v>
      </c>
      <c r="AZ248" s="45">
        <f>('[2]Renewable Diesel'!O257*'[2]RD Feedstock Breakdown'!AZ$3*'[2]Feedstock Conversion Rates'!B$3)/12-32-2+125+25</f>
        <v>141.03125</v>
      </c>
      <c r="BA248" s="47">
        <f t="shared" si="173"/>
        <v>235.96875</v>
      </c>
      <c r="BB248" s="45">
        <f>('[2]Renewable Diesel'!Q257*'[2]RD Feedstock Breakdown'!BB$3*'[2]Feedstock Conversion Rates'!B$4)/12-10</f>
        <v>1.1562499999999982</v>
      </c>
      <c r="BC248" s="45">
        <f>('[2]Renewable Diesel'!Q257*'[2]RD Feedstock Breakdown'!BC$3*'[2]Feedstock Conversion Rates'!B$3)/12+10</f>
        <v>11.40175</v>
      </c>
      <c r="BD248" s="45">
        <f>('[2]Renewable Diesel'!Q257*'[2]RD Feedstock Breakdown'!BD$3*'[2]Feedstock Conversion Rates'!B$6)/12</f>
        <v>0.8207500000000002</v>
      </c>
      <c r="BE248" s="47">
        <f t="shared" si="151"/>
        <v>13.378749999999998</v>
      </c>
      <c r="BF248" s="45">
        <f>('[2]Renewable Diesel'!R257*'[2]RD Feedstock Breakdown'!BF$3*'[2]Feedstock Conversion Rates'!B$4)/12</f>
        <v>62.5</v>
      </c>
      <c r="BG248" s="47">
        <f t="shared" si="129"/>
        <v>62.5</v>
      </c>
      <c r="BH248" s="45">
        <f>('[2]Renewable Diesel'!T257*'[2]RD Feedstock Breakdown'!BH$3*'[2]Feedstock Conversion Rates'!B$7)/12</f>
        <v>27.599999999999998</v>
      </c>
      <c r="BI248" s="47">
        <f t="shared" si="112"/>
        <v>27.599999999999998</v>
      </c>
      <c r="BJ248" s="45">
        <f>('[2]Renewable Diesel'!W257*'[2]RD Feedstock Breakdown'!BJ$3*'[2]Feedstock Conversion Rates'!B$4)/12</f>
        <v>7.5</v>
      </c>
      <c r="BK248" s="45">
        <f>('[2]Renewable Diesel'!W257*'[2]RD Feedstock Breakdown'!BK$3*'[2]Feedstock Conversion Rates'!B$3)/12</f>
        <v>1.335</v>
      </c>
      <c r="BL248" s="45">
        <f>('[2]Renewable Diesel'!W257*'[2]RD Feedstock Breakdown'!BL$3*'[2]Feedstock Conversion Rates'!B$6)/12</f>
        <v>3.1266666666666669</v>
      </c>
      <c r="BM248" s="45">
        <f>('[2]Renewable Diesel'!W257*'[2]RD Feedstock Breakdown'!BM$3*'[2]Feedstock Conversion Rates'!B$7)/12</f>
        <v>1.5333333333333332</v>
      </c>
      <c r="BN248" s="47">
        <f t="shared" si="168"/>
        <v>13.495000000000001</v>
      </c>
      <c r="BO248" s="45">
        <f>('[2]Renewable Diesel'!P257*'[2]Feedstock Conversion Rates'!B$4)/12</f>
        <v>31.25</v>
      </c>
      <c r="BP248" s="47">
        <f t="shared" si="157"/>
        <v>31.25</v>
      </c>
      <c r="BQ248" s="45">
        <f>('[2]Renewable Diesel'!$S257*'[2]RD Feedstock Breakdown'!BQ$3*'[2]Feedstock Conversion Rates'!B$4)/12+10</f>
        <v>38.125</v>
      </c>
      <c r="BR248" s="45">
        <f>('[2]Renewable Diesel'!$S257*'[2]RD Feedstock Breakdown'!BR$3*'[2]Feedstock Conversion Rates'!B$7)/12-10</f>
        <v>1.5</v>
      </c>
      <c r="BS248" s="47">
        <f t="shared" si="174"/>
        <v>39.625</v>
      </c>
      <c r="BT248" s="47"/>
      <c r="BU248" s="45">
        <f>('[2]Renewable Diesel'!Y257*'[2]Feedstock Conversion Rates'!B$7)/12</f>
        <v>2.6833333333333331</v>
      </c>
      <c r="BV248" s="47">
        <f t="shared" si="153"/>
        <v>2.6833333333333331</v>
      </c>
      <c r="BW248" s="45">
        <f>('[2]Renewable Diesel'!$Z257*'[2]RD Feedstock Breakdown'!BW$3*'[2]Feedstock Conversion Rates'!$B$4)/12</f>
        <v>71.875</v>
      </c>
      <c r="BX248" s="45">
        <f>('[2]Renewable Diesel'!$Z257*'[2]RD Feedstock Breakdown'!BX$3*'[2]Feedstock Conversion Rates'!$B$5)/12</f>
        <v>7.2354166666666666</v>
      </c>
      <c r="BY248" s="45">
        <f>('[2]Renewable Diesel'!$Z257*'[2]RD Feedstock Breakdown'!BY$3*'[2]Feedstock Conversion Rates'!$B$7)/12</f>
        <v>61.716666666666661</v>
      </c>
      <c r="BZ248" s="45">
        <f>('[2]Renewable Diesel'!$Z257*'[2]RD Feedstock Breakdown'!BZ$3*'[2]Feedstock Conversion Rates'!$B$3)/12</f>
        <v>15.352499999999999</v>
      </c>
      <c r="CA248" s="47">
        <f t="shared" si="181"/>
        <v>156.17958333333331</v>
      </c>
      <c r="CB248" s="45">
        <f>('[2]Renewable Diesel'!AA257*'[2]Feedstock Conversion Rates'!B$4)/12</f>
        <v>191.25</v>
      </c>
      <c r="CC248" s="47">
        <f t="shared" si="171"/>
        <v>191.25</v>
      </c>
      <c r="CD248" s="45">
        <f>('[2]Renewable Diesel'!$AB257*'[2]RD Feedstock Breakdown'!CD$3*'[2]Feedstock Conversion Rates'!$B$6)/12-15</f>
        <v>17.830000000000005</v>
      </c>
      <c r="CE248" s="45">
        <f>('[2]Renewable Diesel'!$AB257*'[2]RD Feedstock Breakdown'!CE$3*'[2]Feedstock Conversion Rates'!$B$4)/12+15</f>
        <v>26.25</v>
      </c>
      <c r="CF248" s="47">
        <f t="shared" si="161"/>
        <v>44.080000000000005</v>
      </c>
      <c r="CG248" s="45">
        <f>('[2]Renewable Diesel'!AD257*'[2]Feedstock Conversion Rates'!B$4)/12</f>
        <v>112.5</v>
      </c>
      <c r="CH248" s="47">
        <f t="shared" si="149"/>
        <v>112.5</v>
      </c>
      <c r="CI248" s="45">
        <f>('[2]Renewable Diesel'!$AE257*'[2]RD Feedstock Breakdown'!CI$3*'[2]Feedstock Conversion Rates'!$B$5)/12</f>
        <v>0.34604166666666664</v>
      </c>
      <c r="CJ248" s="45">
        <f>('[2]Renewable Diesel'!$AE257*'[2]RD Feedstock Breakdown'!CJ$3*'[2]Feedstock Conversion Rates'!$B$4)/12</f>
        <v>0.34375</v>
      </c>
      <c r="CK248" s="47">
        <f t="shared" si="158"/>
        <v>0.68979166666666658</v>
      </c>
      <c r="CL248" s="45">
        <f>(((CL$3*'[2]Renewable Diesel'!$AF257)*'[2]Feedstock Conversion Rates'!$B$3)/12)</f>
        <v>91.78125</v>
      </c>
      <c r="CM248" s="45">
        <f>(((CM$3*'[2]Renewable Diesel'!$AF257)*'[2]Feedstock Conversion Rates'!$B$6)/12)</f>
        <v>53.739583333333336</v>
      </c>
      <c r="CN248" s="45">
        <f>(((CN$3*'[2]Renewable Diesel'!$AF257)*'[2]Feedstock Conversion Rates'!$B$4)/12)</f>
        <v>42.96875</v>
      </c>
      <c r="CO248" s="47">
        <f t="shared" si="152"/>
        <v>188.48958333333334</v>
      </c>
      <c r="CP248" s="45">
        <f>('[2]Renewable Diesel'!$AG257*'[2]RD Feedstock Breakdown'!CP$3*'[2]Feedstock Conversion Rates'!$B$3)/12</f>
        <v>6.0075000000000003</v>
      </c>
      <c r="CQ248" s="45">
        <f>('[2]Renewable Diesel'!$AG257*'[2]RD Feedstock Breakdown'!CQ$3*'[2]Feedstock Conversion Rates'!$B$6)/12</f>
        <v>3.5175000000000001</v>
      </c>
      <c r="CR248" s="45">
        <f>('[2]Renewable Diesel'!$AG257*'[2]RD Feedstock Breakdown'!CR$3*'[2]Feedstock Conversion Rates'!$B$4)/12</f>
        <v>2.8125</v>
      </c>
      <c r="CS248" s="47">
        <f t="shared" si="183"/>
        <v>12.3375</v>
      </c>
      <c r="CT248" s="45">
        <f>('[2]Renewable Diesel'!AI257*'[2]Feedstock Conversion Rates'!$B$4*'[2]RD Feedstock Breakdown'!$CT$3)/12</f>
        <v>29.375</v>
      </c>
      <c r="CU248" s="47">
        <f t="shared" si="154"/>
        <v>29.375</v>
      </c>
      <c r="CV248" s="45">
        <f>('[2]Renewable Diesel'!AN257*'[2]Feedstock Conversion Rates'!$B$3*'[2]RD Feedstock Breakdown'!$CV$3)/12</f>
        <v>0.50062499999999999</v>
      </c>
      <c r="CW248" s="47">
        <f t="shared" si="124"/>
        <v>0.50062499999999999</v>
      </c>
      <c r="CX248" s="45">
        <f>('[2]Renewable Diesel'!AO257*'[2]RD Feedstock Breakdown'!$CX$3*'[2]Feedstock Conversion Rates'!$B$3)/12</f>
        <v>6.3412499999999996</v>
      </c>
      <c r="CY248" s="45">
        <f>('[2]Renewable Diesel'!AO257*'[2]RD Feedstock Breakdown'!$CY$3*'[2]Feedstock Conversion Rates'!$B$6)/12</f>
        <v>7.4258333333333342</v>
      </c>
      <c r="CZ248" s="47">
        <f t="shared" si="188"/>
        <v>13.767083333333334</v>
      </c>
      <c r="DA248" s="45">
        <f>('[2]Renewable Diesel'!$AP257*'[2]RD Feedstock Breakdown'!DA$3*'[2]Feedstock Conversion Rates'!$B$3)/12</f>
        <v>6.3412499999999996</v>
      </c>
      <c r="DB248" s="45">
        <f>('[2]Renewable Diesel'!$AP257*'[2]RD Feedstock Breakdown'!DB$3*'[2]Feedstock Conversion Rates'!$B$8)/12</f>
        <v>7.421875</v>
      </c>
      <c r="DC248" s="47">
        <f t="shared" si="127"/>
        <v>13.763124999999999</v>
      </c>
      <c r="DD248" s="45">
        <f>('[2]Renewable Diesel'!AQ257*$DD$3*'[2]Feedstock Conversion Rates'!$B$14)/12</f>
        <v>3.1041666666666665</v>
      </c>
      <c r="DE248" s="47">
        <f t="shared" si="128"/>
        <v>3.1041666666666665</v>
      </c>
      <c r="DF248" s="45">
        <f>('[2]Renewable Diesel'!AR257*'[2]Feedstock Conversion Rates'!$B$4*$DF$3)/12</f>
        <v>75</v>
      </c>
      <c r="DG248" s="47">
        <f t="shared" si="189"/>
        <v>75</v>
      </c>
      <c r="DH248" s="45">
        <f>('[2]Renewable Diesel'!AS257*'[2]Feedstock Conversion Rates'!$B$4*$DH$3)/12</f>
        <v>75</v>
      </c>
      <c r="DI248" s="47">
        <f t="shared" si="110"/>
        <v>75</v>
      </c>
      <c r="DJ248" s="45">
        <f>('[2]Renewable Diesel'!AT257*'[2]Feedstock Conversion Rates'!$B$4*0.25)/12</f>
        <v>8.59375</v>
      </c>
      <c r="DK248" s="45">
        <f>('[2]Renewable Diesel'!$AT257*'[2]RD Feedstock Breakdown'!DK$3*'[2]Feedstock Conversion Rates'!$B$3)/12*0.5</f>
        <v>9.1781249999999996</v>
      </c>
      <c r="DL248" s="45">
        <f>('[2]Renewable Diesel'!$AT257*'[2]RD Feedstock Breakdown'!$DL$3*'[2]Feedstock Conversion Rates'!$B$6)/12</f>
        <v>10.747916666666669</v>
      </c>
      <c r="DM248" s="45">
        <f>('[2]Renewable Diesel'!$AT257*'[2]RD Feedstock Breakdown'!$DM$3*'[2]Feedstock Conversion Rates'!$B$8)/12</f>
        <v>10.7421875</v>
      </c>
      <c r="DN248" s="47">
        <f t="shared" si="169"/>
        <v>39.26197916666667</v>
      </c>
      <c r="DP248" s="45">
        <f t="shared" si="130"/>
        <v>122.22025000000001</v>
      </c>
      <c r="DQ248" s="45">
        <f t="shared" si="131"/>
        <v>647.3677674999999</v>
      </c>
      <c r="DR248" s="45">
        <f t="shared" si="136"/>
        <v>1903.203125</v>
      </c>
      <c r="DS248" s="45">
        <f t="shared" si="155"/>
        <v>52.901250000000005</v>
      </c>
      <c r="DT248" s="45">
        <f t="shared" si="132"/>
        <v>238.03923333333344</v>
      </c>
      <c r="DU248" s="45">
        <f t="shared" si="133"/>
        <v>280.90609999999998</v>
      </c>
      <c r="DV248" s="45">
        <f t="shared" si="137"/>
        <v>8</v>
      </c>
      <c r="DW248" s="45">
        <f t="shared" si="134"/>
        <v>3</v>
      </c>
      <c r="DX248" s="47">
        <f t="shared" si="138"/>
        <v>3255.6377258333332</v>
      </c>
      <c r="DY248" s="50">
        <f t="shared" si="126"/>
        <v>-135.00000000000003</v>
      </c>
      <c r="EA248" s="51">
        <f t="shared" si="117"/>
        <v>3.7541108775767044E-2</v>
      </c>
      <c r="EB248" s="51">
        <f t="shared" si="117"/>
        <v>0.1988451486365227</v>
      </c>
      <c r="EC248" s="51">
        <f t="shared" si="117"/>
        <v>0.584586887508451</v>
      </c>
      <c r="ED248" s="51">
        <f t="shared" si="114"/>
        <v>1.6249120588642606E-2</v>
      </c>
      <c r="EE248" s="51">
        <f t="shared" si="114"/>
        <v>7.3116007793036439E-2</v>
      </c>
      <c r="EF248" s="51">
        <f t="shared" si="114"/>
        <v>8.6282972386953011E-2</v>
      </c>
      <c r="EG248" s="51">
        <f t="shared" si="114"/>
        <v>2.4572758622743475E-3</v>
      </c>
      <c r="EH248" s="52">
        <f t="shared" si="139"/>
        <v>9.2147844835288031E-4</v>
      </c>
      <c r="EI248" s="51">
        <f t="shared" si="191"/>
        <v>0.99907852155164711</v>
      </c>
      <c r="EK248" s="53">
        <f>(EA248*'[2]Renewable Diesel'!BF257*'[2]Feedstock Conversion Rates'!B$2)+FB248</f>
        <v>180.94943926624219</v>
      </c>
      <c r="EL248" s="53">
        <f>(EB248*'[2]Renewable Diesel'!BF257*'[2]Feedstock Conversion Rates'!B$3)+FC248</f>
        <v>903.18920104877566</v>
      </c>
      <c r="EM248" s="53">
        <f>(EC248*'[2]Renewable Diesel'!BF257*'[2]Feedstock Conversion Rates'!B$4)+FD248</f>
        <v>2486.2314378574974</v>
      </c>
      <c r="EN248" s="53">
        <f>(ED248*'[2]Renewable Diesel'!BF257*'[2]Feedstock Conversion Rates'!B$5)+FE248</f>
        <v>69.567762255700032</v>
      </c>
      <c r="EO248" s="53">
        <f>(EE248*'[2]Renewable Diesel'!BF257*'[2]Feedstock Conversion Rates'!B$6)+FF248</f>
        <v>388.90768886248475</v>
      </c>
      <c r="EP248" s="53">
        <f>(EF248*'[2]Renewable Diesel'!BF257*'[2]Feedstock Conversion Rates'!B$7)+FG248</f>
        <v>450.13641288093658</v>
      </c>
      <c r="EQ248" s="53">
        <f>(EG248*'[2]Renewable Diesel'!BF257*'[2]Feedstock Conversion Rates'!B$8)+FH248</f>
        <v>13.063405609201579</v>
      </c>
      <c r="ER248" s="53">
        <f>(EH248*'[2]Renewable Diesel'!BF257*'[2]Feedstock Conversion Rates'!B$9)+FI248</f>
        <v>4.8334600754045836</v>
      </c>
      <c r="ES248" s="53">
        <f t="shared" si="141"/>
        <v>4496.878807856242</v>
      </c>
      <c r="ET248" s="36">
        <f>ES248/'[2]Renewable Diesel'!BF257</f>
        <v>7.9301237178449355</v>
      </c>
    </row>
    <row r="249" spans="1:150" x14ac:dyDescent="0.25">
      <c r="A249" s="39">
        <v>48000</v>
      </c>
      <c r="B249" s="45">
        <f t="shared" si="184"/>
        <v>0.5</v>
      </c>
      <c r="C249" s="45">
        <f t="shared" si="185"/>
        <v>9.5</v>
      </c>
      <c r="D249" s="45">
        <f t="shared" si="186"/>
        <v>2</v>
      </c>
      <c r="E249" s="45">
        <f>('[2]Renewable Diesel'!B258*E$3*'[2]Feedstock Conversion Rates'!$B$2)/12-57.5+8+12.5+52.5-76+18+23+45+50-2.5-3-28-2-9.5+30-40+26+0.5</f>
        <v>136.93</v>
      </c>
      <c r="F249" s="45">
        <f>('[2]Renewable Diesel'!B258*'[2]RD Feedstock Breakdown'!F$3*'[2]Feedstock Conversion Rates'!B$8)/12-13.5+1.5-2+36-10+10-61+25+8+1-29+1.5-15</f>
        <v>6.40625</v>
      </c>
      <c r="G249" s="45">
        <f>('[2]Renewable Diesel'!B258*'[2]RD Feedstock Breakdown'!G$3*'[2]Feedstock Conversion Rates'!B$7)/12-100-12.5-1+26.75+19-57.5-30+31+70-40+15-35-7.5-4+5</f>
        <v>55.407000000000011</v>
      </c>
      <c r="H249" s="45">
        <f>('[2]Renewable Diesel'!B258*'[2]RD Feedstock Breakdown'!H$3*'[2]Feedstock Conversion Rates'!B$3)/12-105+5+139-10-10-162+8.5+58-20+40-10+160+15</f>
        <v>284.90022499999998</v>
      </c>
      <c r="I249" s="47">
        <f t="shared" si="160"/>
        <v>495.64347499999997</v>
      </c>
      <c r="J249" s="45">
        <f t="shared" si="192"/>
        <v>7.5</v>
      </c>
      <c r="K249" s="45"/>
      <c r="L249" s="45">
        <v>1</v>
      </c>
      <c r="M249" s="45">
        <f>('[2]Renewable Diesel'!C258*'[2]RD Feedstock Breakdown'!M$3*'[2]Feedstock Conversion Rates'!B$2)/12-18.5+7-43-1.5+7.5+7-5+24</f>
        <v>-14.70975</v>
      </c>
      <c r="N249" s="45">
        <f>('[2]Renewable Diesel'!C258*'[2]RD Feedstock Breakdown'!N$3*'[2]Feedstock Conversion Rates'!B$8)/12-2.5+46-58.5+8.5+5-10+10-2.5-18+5-12</f>
        <v>-25.328125</v>
      </c>
      <c r="O249" s="45">
        <f>('[2]Renewable Diesel'!C258*'[2]RD Feedstock Breakdown'!O$3*'[2]Feedstock Conversion Rates'!B$7)/12-30-12.5-47-19+29+30-15-15+75-35+20</f>
        <v>-7.5009000000000015</v>
      </c>
      <c r="P249" s="45">
        <f>('[2]Renewable Diesel'!C258*'[2]RD Feedstock Breakdown'!P$3*'[2]Feedstock Conversion Rates'!B$3)/12-25+42.5-102+35+30+50.75+60-100-21-2.5+95</f>
        <v>73.197042500000009</v>
      </c>
      <c r="Q249" s="47">
        <f t="shared" si="172"/>
        <v>34.158267500000008</v>
      </c>
      <c r="R249" s="45">
        <f>('[2]Renewable Diesel'!D258*'[2]RD Feedstock Breakdown'!R$3*'[2]Feedstock Conversion Rates'!B$7)/12</f>
        <v>2.2999999999999998</v>
      </c>
      <c r="S249" s="47">
        <f t="shared" si="116"/>
        <v>2.2999999999999998</v>
      </c>
      <c r="T249" s="45">
        <f t="shared" si="179"/>
        <v>5.8250000000000028</v>
      </c>
      <c r="U249" s="45">
        <v>30</v>
      </c>
      <c r="V249" s="45">
        <f>('[2]Renewable Diesel'!E258*'[2]RD Feedstock Breakdown'!V$3*'[2]Feedstock Conversion Rates'!B$6)/12-20+25-35</f>
        <v>14.250150000000012</v>
      </c>
      <c r="W249" s="45">
        <f>('[2]Renewable Diesel'!E258*'[2]RD Feedstock Breakdown'!W$3*'[2]Feedstock Conversion Rates'!B$8)/12-6</f>
        <v>16.1796875</v>
      </c>
      <c r="X249" s="47">
        <f t="shared" si="147"/>
        <v>66.254837500000008</v>
      </c>
      <c r="Y249" s="45">
        <f t="shared" si="187"/>
        <v>141.5</v>
      </c>
      <c r="Z249" s="45">
        <f>('[2]Renewable Diesel'!F258*'[2]RD Feedstock Breakdown'!Z$3*'[2]Feedstock Conversion Rates'!B$6)/12-50-32-60+15+15+47.5-72.5+70-27.5-5</f>
        <v>59.960000000000008</v>
      </c>
      <c r="AA249" s="45">
        <f>('[2]Renewable Diesel'!F258*'[2]RD Feedstock Breakdown'!AA$3*'[2]Feedstock Conversion Rates'!B$7)/12+80-171+75+30-55-1</f>
        <v>62.266666666666652</v>
      </c>
      <c r="AB249" s="47">
        <f t="shared" si="190"/>
        <v>263.72666666666669</v>
      </c>
      <c r="AC249" s="45">
        <f>('[2]Renewable Diesel'!G258*'[2]RD Feedstock Breakdown'!AC$3*'[2]Feedstock Conversion Rates'!B$5)/12</f>
        <v>11.796875</v>
      </c>
      <c r="AD249" s="45">
        <f>('[2]Renewable Diesel'!G258*'[2]RD Feedstock Breakdown'!AD$3*'[2]Feedstock Conversion Rates'!B$4)/12</f>
        <v>5.859375</v>
      </c>
      <c r="AE249" s="45">
        <f>('[2]Renewable Diesel'!G258*'[2]RD Feedstock Breakdown'!AE$3*'[2]Feedstock Conversion Rates'!B$6)/12</f>
        <v>7.3281250000000009</v>
      </c>
      <c r="AF249" s="47">
        <f t="shared" si="156"/>
        <v>24.984375</v>
      </c>
      <c r="AG249" s="45">
        <f t="shared" si="182"/>
        <v>6.5</v>
      </c>
      <c r="AH249" s="45">
        <v>135</v>
      </c>
      <c r="AI249" s="45">
        <f>('[2]Renewable Diesel'!H258*'[2]RD Feedstock Breakdown'!AI$3*'[2]Feedstock Conversion Rates'!B$6)/12-130-20+51-120+105-40+25-10-2.5</f>
        <v>7.0166666666666799</v>
      </c>
      <c r="AJ249" s="47">
        <f t="shared" si="113"/>
        <v>13.51666666666668</v>
      </c>
      <c r="AK249" s="45">
        <f>('[2]Renewable Diesel'!J258*'[2]RD Feedstock Breakdown'!AK$3*'[2]Feedstock Conversion Rates'!B$4)/12</f>
        <v>95.8125</v>
      </c>
      <c r="AL249" s="47">
        <f t="shared" si="123"/>
        <v>95.8125</v>
      </c>
      <c r="AM249" s="45">
        <f>('[2]Renewable Diesel'!K258*'[2]RD Feedstock Breakdown'!AM$3*'[2]Feedstock Conversion Rates'!B$4)/12+5+15-10+2.5+7-35</f>
        <v>43.09375</v>
      </c>
      <c r="AN249" s="45">
        <f>('[2]Renewable Diesel'!K258*'[2]RD Feedstock Breakdown'!AN$3*'[2]Feedstock Conversion Rates'!B$6)/12-5-15+10-2.5-7+35</f>
        <v>39.927083333333329</v>
      </c>
      <c r="AO249" s="47">
        <f t="shared" si="135"/>
        <v>83.020833333333329</v>
      </c>
      <c r="AP249" s="45">
        <f>('[2]Renewable Diesel'!L258*'[2]RD Feedstock Breakdown'!AP$3*'[2]Feedstock Conversion Rates'!B$4)/12+15-10+5+2.5+7</f>
        <v>78.09375</v>
      </c>
      <c r="AQ249" s="45">
        <f>('[2]Renewable Diesel'!L258*'[2]RD Feedstock Breakdown'!AQ$3*'[2]Feedstock Conversion Rates'!B$6)/12-15+10-5-2.5-7</f>
        <v>4.9270833333333321</v>
      </c>
      <c r="AR249" s="47">
        <f t="shared" si="125"/>
        <v>83.020833333333329</v>
      </c>
      <c r="AS249" s="45">
        <f>('[2]Renewable Diesel'!M258*'[2]RD Feedstock Breakdown'!AS$3*'[2]Feedstock Conversion Rates'!B$4)/12</f>
        <v>456.25</v>
      </c>
      <c r="AT249" s="45">
        <f>('[2]Renewable Diesel'!M258*'[2]RD Feedstock Breakdown'!AT$3*'[2]Feedstock Conversion Rates'!B$5)/12</f>
        <v>0</v>
      </c>
      <c r="AU249" s="47">
        <f t="shared" si="159"/>
        <v>456.25</v>
      </c>
      <c r="AV249" s="45">
        <f>'[2]Renewable Diesel'!N258*'[2]RD Feedstock Breakdown'!$AV$3*'[2]Feedstock Conversion Rates'!$B$4/12-15-10+25+25-22+15-50</f>
        <v>46.749999999999986</v>
      </c>
      <c r="AW249" s="45">
        <f>'[2]Renewable Diesel'!N258*'[2]RD Feedstock Breakdown'!$AW$3*'[2]Feedstock Conversion Rates'!$B$7/12+15+10-25-25+22-15+50</f>
        <v>73.400000000000006</v>
      </c>
      <c r="AX249" s="47">
        <f t="shared" si="193"/>
        <v>120.14999999999999</v>
      </c>
      <c r="AY249" s="45">
        <f>('[2]Renewable Diesel'!O258*'[2]RD Feedstock Breakdown'!AY$3*'[2]Feedstock Conversion Rates'!B$4)/12+32+2-125-25</f>
        <v>94.9375</v>
      </c>
      <c r="AZ249" s="45">
        <f>('[2]Renewable Diesel'!O258*'[2]RD Feedstock Breakdown'!AZ$3*'[2]Feedstock Conversion Rates'!B$3)/12-32-2+125+25</f>
        <v>141.03125</v>
      </c>
      <c r="BA249" s="47">
        <f t="shared" si="173"/>
        <v>235.96875</v>
      </c>
      <c r="BB249" s="45">
        <f>('[2]Renewable Diesel'!Q258*'[2]RD Feedstock Breakdown'!BB$3*'[2]Feedstock Conversion Rates'!B$4)/12-10</f>
        <v>1.1562499999999982</v>
      </c>
      <c r="BC249" s="45">
        <f>('[2]Renewable Diesel'!Q258*'[2]RD Feedstock Breakdown'!BC$3*'[2]Feedstock Conversion Rates'!B$3)/12+10</f>
        <v>11.40175</v>
      </c>
      <c r="BD249" s="45">
        <f>('[2]Renewable Diesel'!Q258*'[2]RD Feedstock Breakdown'!BD$3*'[2]Feedstock Conversion Rates'!B$6)/12</f>
        <v>0.8207500000000002</v>
      </c>
      <c r="BE249" s="47">
        <f t="shared" si="151"/>
        <v>13.378749999999998</v>
      </c>
      <c r="BF249" s="45">
        <f>('[2]Renewable Diesel'!R258*'[2]RD Feedstock Breakdown'!BF$3*'[2]Feedstock Conversion Rates'!B$4)/12</f>
        <v>62.5</v>
      </c>
      <c r="BG249" s="47">
        <f t="shared" si="129"/>
        <v>62.5</v>
      </c>
      <c r="BH249" s="45">
        <f>('[2]Renewable Diesel'!T258*'[2]RD Feedstock Breakdown'!BH$3*'[2]Feedstock Conversion Rates'!B$7)/12</f>
        <v>27.599999999999998</v>
      </c>
      <c r="BI249" s="47">
        <f t="shared" si="112"/>
        <v>27.599999999999998</v>
      </c>
      <c r="BJ249" s="45">
        <f>('[2]Renewable Diesel'!W258*'[2]RD Feedstock Breakdown'!BJ$3*'[2]Feedstock Conversion Rates'!B$4)/12</f>
        <v>7.5</v>
      </c>
      <c r="BK249" s="45">
        <f>('[2]Renewable Diesel'!W258*'[2]RD Feedstock Breakdown'!BK$3*'[2]Feedstock Conversion Rates'!B$3)/12</f>
        <v>1.335</v>
      </c>
      <c r="BL249" s="45">
        <f>('[2]Renewable Diesel'!W258*'[2]RD Feedstock Breakdown'!BL$3*'[2]Feedstock Conversion Rates'!B$6)/12</f>
        <v>3.1266666666666669</v>
      </c>
      <c r="BM249" s="45">
        <f>('[2]Renewable Diesel'!W258*'[2]RD Feedstock Breakdown'!BM$3*'[2]Feedstock Conversion Rates'!B$7)/12</f>
        <v>1.5333333333333332</v>
      </c>
      <c r="BN249" s="47">
        <f t="shared" si="168"/>
        <v>13.495000000000001</v>
      </c>
      <c r="BO249" s="45">
        <f>('[2]Renewable Diesel'!P258*'[2]Feedstock Conversion Rates'!B$4)/12</f>
        <v>31.25</v>
      </c>
      <c r="BP249" s="47">
        <f t="shared" si="157"/>
        <v>31.25</v>
      </c>
      <c r="BQ249" s="45">
        <f>('[2]Renewable Diesel'!$S258*'[2]RD Feedstock Breakdown'!BQ$3*'[2]Feedstock Conversion Rates'!B$4)/12+10</f>
        <v>38.125</v>
      </c>
      <c r="BR249" s="45">
        <f>('[2]Renewable Diesel'!$S258*'[2]RD Feedstock Breakdown'!BR$3*'[2]Feedstock Conversion Rates'!B$7)/12-10</f>
        <v>1.5</v>
      </c>
      <c r="BS249" s="47">
        <f t="shared" si="174"/>
        <v>39.625</v>
      </c>
      <c r="BT249" s="47"/>
      <c r="BU249" s="45">
        <f>('[2]Renewable Diesel'!Y258*'[2]Feedstock Conversion Rates'!B$7)/12</f>
        <v>2.6833333333333331</v>
      </c>
      <c r="BV249" s="47">
        <f t="shared" si="153"/>
        <v>2.6833333333333331</v>
      </c>
      <c r="BW249" s="45">
        <f>('[2]Renewable Diesel'!$Z258*'[2]RD Feedstock Breakdown'!BW$3*'[2]Feedstock Conversion Rates'!$B$4)/12</f>
        <v>71.875</v>
      </c>
      <c r="BX249" s="45">
        <f>('[2]Renewable Diesel'!$Z258*'[2]RD Feedstock Breakdown'!BX$3*'[2]Feedstock Conversion Rates'!$B$5)/12</f>
        <v>7.2354166666666666</v>
      </c>
      <c r="BY249" s="45">
        <f>('[2]Renewable Diesel'!$Z258*'[2]RD Feedstock Breakdown'!BY$3*'[2]Feedstock Conversion Rates'!$B$7)/12</f>
        <v>61.716666666666661</v>
      </c>
      <c r="BZ249" s="45">
        <f>('[2]Renewable Diesel'!$Z258*'[2]RD Feedstock Breakdown'!BZ$3*'[2]Feedstock Conversion Rates'!$B$3)/12</f>
        <v>15.352499999999999</v>
      </c>
      <c r="CA249" s="47">
        <f t="shared" si="181"/>
        <v>156.17958333333331</v>
      </c>
      <c r="CB249" s="45">
        <f>('[2]Renewable Diesel'!AA258*'[2]Feedstock Conversion Rates'!B$4)/12</f>
        <v>191.25</v>
      </c>
      <c r="CC249" s="47">
        <f t="shared" si="171"/>
        <v>191.25</v>
      </c>
      <c r="CD249" s="45">
        <f>('[2]Renewable Diesel'!$AB258*'[2]RD Feedstock Breakdown'!CD$3*'[2]Feedstock Conversion Rates'!$B$6)/12-15</f>
        <v>17.830000000000005</v>
      </c>
      <c r="CE249" s="45">
        <f>('[2]Renewable Diesel'!$AB258*'[2]RD Feedstock Breakdown'!CE$3*'[2]Feedstock Conversion Rates'!$B$4)/12+15</f>
        <v>26.25</v>
      </c>
      <c r="CF249" s="47">
        <f t="shared" si="161"/>
        <v>44.080000000000005</v>
      </c>
      <c r="CG249" s="45">
        <f>('[2]Renewable Diesel'!AD258*'[2]Feedstock Conversion Rates'!B$4)/12</f>
        <v>112.5</v>
      </c>
      <c r="CH249" s="47">
        <f t="shared" si="149"/>
        <v>112.5</v>
      </c>
      <c r="CI249" s="45">
        <f>('[2]Renewable Diesel'!$AE258*'[2]RD Feedstock Breakdown'!CI$3*'[2]Feedstock Conversion Rates'!$B$5)/12</f>
        <v>0.34604166666666664</v>
      </c>
      <c r="CJ249" s="45">
        <f>('[2]Renewable Diesel'!$AE258*'[2]RD Feedstock Breakdown'!CJ$3*'[2]Feedstock Conversion Rates'!$B$4)/12</f>
        <v>0.34375</v>
      </c>
      <c r="CK249" s="47">
        <f t="shared" si="158"/>
        <v>0.68979166666666658</v>
      </c>
      <c r="CL249" s="45">
        <f>(((CL$3*'[2]Renewable Diesel'!$AF258)*'[2]Feedstock Conversion Rates'!$B$3)/12)</f>
        <v>91.78125</v>
      </c>
      <c r="CM249" s="45">
        <f>(((CM$3*'[2]Renewable Diesel'!$AF258)*'[2]Feedstock Conversion Rates'!$B$6)/12)</f>
        <v>53.739583333333336</v>
      </c>
      <c r="CN249" s="45">
        <f>(((CN$3*'[2]Renewable Diesel'!$AF258)*'[2]Feedstock Conversion Rates'!$B$4)/12)</f>
        <v>42.96875</v>
      </c>
      <c r="CO249" s="47">
        <f t="shared" si="152"/>
        <v>188.48958333333334</v>
      </c>
      <c r="CP249" s="45">
        <f>('[2]Renewable Diesel'!$AG258*'[2]RD Feedstock Breakdown'!CP$3*'[2]Feedstock Conversion Rates'!$B$3)/12</f>
        <v>6.0075000000000003</v>
      </c>
      <c r="CQ249" s="45">
        <f>('[2]Renewable Diesel'!$AG258*'[2]RD Feedstock Breakdown'!CQ$3*'[2]Feedstock Conversion Rates'!$B$6)/12</f>
        <v>3.5175000000000001</v>
      </c>
      <c r="CR249" s="45">
        <f>('[2]Renewable Diesel'!$AG258*'[2]RD Feedstock Breakdown'!CR$3*'[2]Feedstock Conversion Rates'!$B$4)/12</f>
        <v>2.8125</v>
      </c>
      <c r="CS249" s="47">
        <f t="shared" si="183"/>
        <v>12.3375</v>
      </c>
      <c r="CT249" s="45">
        <f>('[2]Renewable Diesel'!AI258*'[2]Feedstock Conversion Rates'!$B$4*'[2]RD Feedstock Breakdown'!$CT$3)/12</f>
        <v>29.375</v>
      </c>
      <c r="CU249" s="47">
        <f t="shared" si="154"/>
        <v>29.375</v>
      </c>
      <c r="CV249" s="45">
        <f>('[2]Renewable Diesel'!AN258*'[2]Feedstock Conversion Rates'!$B$3*'[2]RD Feedstock Breakdown'!$CV$3)/12</f>
        <v>0.50062499999999999</v>
      </c>
      <c r="CW249" s="47">
        <f t="shared" si="124"/>
        <v>0.50062499999999999</v>
      </c>
      <c r="CX249" s="45">
        <f>('[2]Renewable Diesel'!AO258*'[2]RD Feedstock Breakdown'!$CX$3*'[2]Feedstock Conversion Rates'!$B$3)/12</f>
        <v>6.3412499999999996</v>
      </c>
      <c r="CY249" s="45">
        <f>('[2]Renewable Diesel'!AO258*'[2]RD Feedstock Breakdown'!$CY$3*'[2]Feedstock Conversion Rates'!$B$6)/12</f>
        <v>7.4258333333333342</v>
      </c>
      <c r="CZ249" s="47">
        <f t="shared" si="188"/>
        <v>13.767083333333334</v>
      </c>
      <c r="DA249" s="45">
        <f>('[2]Renewable Diesel'!$AP258*'[2]RD Feedstock Breakdown'!DA$3*'[2]Feedstock Conversion Rates'!$B$3)/12</f>
        <v>6.3412499999999996</v>
      </c>
      <c r="DB249" s="45">
        <f>('[2]Renewable Diesel'!$AP258*'[2]RD Feedstock Breakdown'!DB$3*'[2]Feedstock Conversion Rates'!$B$8)/12</f>
        <v>7.421875</v>
      </c>
      <c r="DC249" s="47">
        <f t="shared" si="127"/>
        <v>13.763124999999999</v>
      </c>
      <c r="DD249" s="45">
        <f>('[2]Renewable Diesel'!AQ258*$DD$3*'[2]Feedstock Conversion Rates'!$B$14)/12</f>
        <v>3.1041666666666665</v>
      </c>
      <c r="DE249" s="47">
        <f t="shared" si="128"/>
        <v>3.1041666666666665</v>
      </c>
      <c r="DF249" s="45">
        <f>('[2]Renewable Diesel'!AR258*'[2]Feedstock Conversion Rates'!$B$4*$DF$3)/12</f>
        <v>75</v>
      </c>
      <c r="DG249" s="47">
        <f t="shared" si="189"/>
        <v>75</v>
      </c>
      <c r="DH249" s="45">
        <f>('[2]Renewable Diesel'!AS258*'[2]Feedstock Conversion Rates'!$B$4*$DH$3)/12</f>
        <v>75</v>
      </c>
      <c r="DI249" s="47">
        <f t="shared" ref="DI249:DI312" si="194">DH249</f>
        <v>75</v>
      </c>
      <c r="DJ249" s="45">
        <f>('[2]Renewable Diesel'!AT258*'[2]Feedstock Conversion Rates'!$B$4*0.25)/12</f>
        <v>8.59375</v>
      </c>
      <c r="DK249" s="45">
        <f>('[2]Renewable Diesel'!$AT258*'[2]RD Feedstock Breakdown'!DK$3*'[2]Feedstock Conversion Rates'!$B$3)/12*0.5</f>
        <v>9.1781249999999996</v>
      </c>
      <c r="DL249" s="45">
        <f>('[2]Renewable Diesel'!$AT258*'[2]RD Feedstock Breakdown'!$DL$3*'[2]Feedstock Conversion Rates'!$B$6)/12</f>
        <v>10.747916666666669</v>
      </c>
      <c r="DM249" s="45">
        <f>('[2]Renewable Diesel'!$AT258*'[2]RD Feedstock Breakdown'!$DM$3*'[2]Feedstock Conversion Rates'!$B$8)/12</f>
        <v>10.7421875</v>
      </c>
      <c r="DN249" s="47">
        <f t="shared" si="169"/>
        <v>39.26197916666667</v>
      </c>
      <c r="DP249" s="45">
        <f t="shared" si="130"/>
        <v>122.22025000000001</v>
      </c>
      <c r="DQ249" s="45">
        <f t="shared" si="131"/>
        <v>647.3677674999999</v>
      </c>
      <c r="DR249" s="45">
        <f t="shared" si="136"/>
        <v>1903.203125</v>
      </c>
      <c r="DS249" s="45">
        <f t="shared" si="155"/>
        <v>52.901250000000005</v>
      </c>
      <c r="DT249" s="45">
        <f t="shared" si="132"/>
        <v>238.03923333333344</v>
      </c>
      <c r="DU249" s="45">
        <f t="shared" si="133"/>
        <v>280.90609999999998</v>
      </c>
      <c r="DV249" s="45">
        <f t="shared" si="137"/>
        <v>8</v>
      </c>
      <c r="DW249" s="45">
        <f t="shared" si="134"/>
        <v>3</v>
      </c>
      <c r="DX249" s="47">
        <f t="shared" si="138"/>
        <v>3255.6377258333332</v>
      </c>
      <c r="DY249" s="50">
        <f t="shared" si="126"/>
        <v>-135.00000000000003</v>
      </c>
      <c r="EA249" s="51">
        <f t="shared" si="117"/>
        <v>3.7541108775767044E-2</v>
      </c>
      <c r="EB249" s="51">
        <f t="shared" si="117"/>
        <v>0.1988451486365227</v>
      </c>
      <c r="EC249" s="51">
        <f t="shared" si="117"/>
        <v>0.584586887508451</v>
      </c>
      <c r="ED249" s="51">
        <f t="shared" si="114"/>
        <v>1.6249120588642606E-2</v>
      </c>
      <c r="EE249" s="51">
        <f t="shared" si="114"/>
        <v>7.3116007793036439E-2</v>
      </c>
      <c r="EF249" s="51">
        <f t="shared" si="114"/>
        <v>8.6282972386953011E-2</v>
      </c>
      <c r="EG249" s="51">
        <f t="shared" si="114"/>
        <v>2.4572758622743475E-3</v>
      </c>
      <c r="EH249" s="52">
        <f t="shared" si="139"/>
        <v>9.2147844835288031E-4</v>
      </c>
      <c r="EI249" s="51">
        <f t="shared" si="191"/>
        <v>0.99907852155164711</v>
      </c>
      <c r="EK249" s="53">
        <f>(EA249*'[2]Renewable Diesel'!BF258*'[2]Feedstock Conversion Rates'!B$2)+FB249</f>
        <v>175.88055292223143</v>
      </c>
      <c r="EL249" s="53">
        <f>(EB249*'[2]Renewable Diesel'!BF258*'[2]Feedstock Conversion Rates'!B$3)+FC249</f>
        <v>877.88841301749574</v>
      </c>
      <c r="EM249" s="53">
        <f>(EC249*'[2]Renewable Diesel'!BF258*'[2]Feedstock Conversion Rates'!B$4)+FD249</f>
        <v>2416.585327681586</v>
      </c>
      <c r="EN249" s="53">
        <f>(ED249*'[2]Renewable Diesel'!BF258*'[2]Feedstock Conversion Rates'!B$5)+FE249</f>
        <v>67.61897986924312</v>
      </c>
      <c r="EO249" s="53">
        <f>(EE249*'[2]Renewable Diesel'!BF258*'[2]Feedstock Conversion Rates'!B$6)+FF249</f>
        <v>378.01332587827397</v>
      </c>
      <c r="EP249" s="53">
        <f>(EF249*'[2]Renewable Diesel'!BF258*'[2]Feedstock Conversion Rates'!B$7)+FG249</f>
        <v>437.52686667042315</v>
      </c>
      <c r="EQ249" s="53">
        <f>(EG249*'[2]Renewable Diesel'!BF258*'[2]Feedstock Conversion Rates'!B$8)+FH249</f>
        <v>12.697464059079797</v>
      </c>
      <c r="ER249" s="53">
        <f>(EH249*'[2]Renewable Diesel'!BF258*'[2]Feedstock Conversion Rates'!B$9)+FI249</f>
        <v>4.6980617018595261</v>
      </c>
      <c r="ES249" s="53">
        <f t="shared" si="141"/>
        <v>4370.9089918001928</v>
      </c>
      <c r="ET249" s="36">
        <f>ES249/'[2]Renewable Diesel'!BF258</f>
        <v>7.9301237178449364</v>
      </c>
    </row>
    <row r="250" spans="1:150" x14ac:dyDescent="0.25">
      <c r="A250" s="39">
        <v>48030</v>
      </c>
      <c r="B250" s="45">
        <f t="shared" si="184"/>
        <v>0.5</v>
      </c>
      <c r="C250" s="45">
        <f t="shared" si="185"/>
        <v>9.5</v>
      </c>
      <c r="D250" s="45">
        <f t="shared" si="186"/>
        <v>2</v>
      </c>
      <c r="E250" s="45">
        <f>('[2]Renewable Diesel'!B259*E$3*'[2]Feedstock Conversion Rates'!$B$2)/12-57.5+8+12.5+52.5-76+18+23+45+50-2.5-3-28-2-9.5+30-40+26+0.5</f>
        <v>136.93</v>
      </c>
      <c r="F250" s="45">
        <f>('[2]Renewable Diesel'!B259*'[2]RD Feedstock Breakdown'!F$3*'[2]Feedstock Conversion Rates'!B$8)/12-13.5+1.5-2+36-10+10-61+25+8+1-29+1.5-15</f>
        <v>6.40625</v>
      </c>
      <c r="G250" s="45">
        <f>('[2]Renewable Diesel'!B259*'[2]RD Feedstock Breakdown'!G$3*'[2]Feedstock Conversion Rates'!B$7)/12-100-12.5-1+26.75+19-57.5-30+31+70-40+15-35-7.5-4+5</f>
        <v>55.407000000000011</v>
      </c>
      <c r="H250" s="45">
        <f>('[2]Renewable Diesel'!B259*'[2]RD Feedstock Breakdown'!H$3*'[2]Feedstock Conversion Rates'!B$3)/12-105+5+139-10-10-162+8.5+58-20+40-10+160+15</f>
        <v>284.90022499999998</v>
      </c>
      <c r="I250" s="47">
        <f t="shared" si="160"/>
        <v>495.64347499999997</v>
      </c>
      <c r="J250" s="45">
        <f t="shared" si="192"/>
        <v>7.5</v>
      </c>
      <c r="K250" s="45"/>
      <c r="L250" s="45">
        <v>1</v>
      </c>
      <c r="M250" s="45">
        <f>('[2]Renewable Diesel'!C259*'[2]RD Feedstock Breakdown'!M$3*'[2]Feedstock Conversion Rates'!B$2)/12-18.5+7-43-1.5+7.5+7-5+24</f>
        <v>-14.70975</v>
      </c>
      <c r="N250" s="45">
        <f>('[2]Renewable Diesel'!C259*'[2]RD Feedstock Breakdown'!N$3*'[2]Feedstock Conversion Rates'!B$8)/12-2.5+46-58.5+8.5+5-10+10-2.5-18+5-12</f>
        <v>-25.328125</v>
      </c>
      <c r="O250" s="45">
        <f>('[2]Renewable Diesel'!C259*'[2]RD Feedstock Breakdown'!O$3*'[2]Feedstock Conversion Rates'!B$7)/12-30-12.5-47-19+29+30-15-15+75-35+20</f>
        <v>-7.5009000000000015</v>
      </c>
      <c r="P250" s="45">
        <f>('[2]Renewable Diesel'!C259*'[2]RD Feedstock Breakdown'!P$3*'[2]Feedstock Conversion Rates'!B$3)/12-25+42.5-102+35+30+50.75+60-100-21-2.5+95</f>
        <v>73.197042500000009</v>
      </c>
      <c r="Q250" s="47">
        <f t="shared" si="172"/>
        <v>34.158267500000008</v>
      </c>
      <c r="R250" s="45">
        <f>('[2]Renewable Diesel'!D259*'[2]RD Feedstock Breakdown'!R$3*'[2]Feedstock Conversion Rates'!B$7)/12</f>
        <v>2.2999999999999998</v>
      </c>
      <c r="S250" s="47">
        <f t="shared" si="116"/>
        <v>2.2999999999999998</v>
      </c>
      <c r="T250" s="45">
        <f t="shared" si="179"/>
        <v>5.8250000000000028</v>
      </c>
      <c r="U250" s="45">
        <v>30</v>
      </c>
      <c r="V250" s="45">
        <f>('[2]Renewable Diesel'!E259*'[2]RD Feedstock Breakdown'!V$3*'[2]Feedstock Conversion Rates'!B$6)/12-20+25-35</f>
        <v>14.250150000000012</v>
      </c>
      <c r="W250" s="45">
        <f>('[2]Renewable Diesel'!E259*'[2]RD Feedstock Breakdown'!W$3*'[2]Feedstock Conversion Rates'!B$8)/12-6</f>
        <v>16.1796875</v>
      </c>
      <c r="X250" s="47">
        <f t="shared" si="147"/>
        <v>66.254837500000008</v>
      </c>
      <c r="Y250" s="45">
        <f t="shared" si="187"/>
        <v>141.5</v>
      </c>
      <c r="Z250" s="45">
        <f>('[2]Renewable Diesel'!F259*'[2]RD Feedstock Breakdown'!Z$3*'[2]Feedstock Conversion Rates'!B$6)/12-50-32-60+15+15+47.5-72.5+70-27.5-5</f>
        <v>59.960000000000008</v>
      </c>
      <c r="AA250" s="45">
        <f>('[2]Renewable Diesel'!F259*'[2]RD Feedstock Breakdown'!AA$3*'[2]Feedstock Conversion Rates'!B$7)/12+80-171+75+30-55-1</f>
        <v>62.266666666666652</v>
      </c>
      <c r="AB250" s="47">
        <f t="shared" si="190"/>
        <v>263.72666666666669</v>
      </c>
      <c r="AC250" s="45">
        <f>('[2]Renewable Diesel'!G259*'[2]RD Feedstock Breakdown'!AC$3*'[2]Feedstock Conversion Rates'!B$5)/12</f>
        <v>11.796875</v>
      </c>
      <c r="AD250" s="45">
        <f>('[2]Renewable Diesel'!G259*'[2]RD Feedstock Breakdown'!AD$3*'[2]Feedstock Conversion Rates'!B$4)/12</f>
        <v>5.859375</v>
      </c>
      <c r="AE250" s="45">
        <f>('[2]Renewable Diesel'!G259*'[2]RD Feedstock Breakdown'!AE$3*'[2]Feedstock Conversion Rates'!B$6)/12</f>
        <v>7.3281250000000009</v>
      </c>
      <c r="AF250" s="47">
        <f t="shared" si="156"/>
        <v>24.984375</v>
      </c>
      <c r="AG250" s="45">
        <f t="shared" si="182"/>
        <v>6.5</v>
      </c>
      <c r="AH250" s="45">
        <v>135</v>
      </c>
      <c r="AI250" s="45">
        <f>('[2]Renewable Diesel'!H259*'[2]RD Feedstock Breakdown'!AI$3*'[2]Feedstock Conversion Rates'!B$6)/12-130-20+51-120+105-40+25-10-2.5</f>
        <v>7.0166666666666799</v>
      </c>
      <c r="AJ250" s="47">
        <f t="shared" si="113"/>
        <v>13.51666666666668</v>
      </c>
      <c r="AK250" s="45">
        <f>('[2]Renewable Diesel'!J259*'[2]RD Feedstock Breakdown'!AK$3*'[2]Feedstock Conversion Rates'!B$4)/12</f>
        <v>95.8125</v>
      </c>
      <c r="AL250" s="47">
        <f t="shared" si="123"/>
        <v>95.8125</v>
      </c>
      <c r="AM250" s="45">
        <f>('[2]Renewable Diesel'!K259*'[2]RD Feedstock Breakdown'!AM$3*'[2]Feedstock Conversion Rates'!B$4)/12+5+15-10+2.5+7-35</f>
        <v>43.09375</v>
      </c>
      <c r="AN250" s="45">
        <f>('[2]Renewable Diesel'!K259*'[2]RD Feedstock Breakdown'!AN$3*'[2]Feedstock Conversion Rates'!B$6)/12-5-15+10-2.5-7+35</f>
        <v>39.927083333333329</v>
      </c>
      <c r="AO250" s="47">
        <f t="shared" si="135"/>
        <v>83.020833333333329</v>
      </c>
      <c r="AP250" s="45">
        <f>('[2]Renewable Diesel'!L259*'[2]RD Feedstock Breakdown'!AP$3*'[2]Feedstock Conversion Rates'!B$4)/12+15-10+5+2.5+7</f>
        <v>78.09375</v>
      </c>
      <c r="AQ250" s="45">
        <f>('[2]Renewable Diesel'!L259*'[2]RD Feedstock Breakdown'!AQ$3*'[2]Feedstock Conversion Rates'!B$6)/12-15+10-5-2.5-7</f>
        <v>4.9270833333333321</v>
      </c>
      <c r="AR250" s="47">
        <f t="shared" si="125"/>
        <v>83.020833333333329</v>
      </c>
      <c r="AS250" s="45">
        <f>('[2]Renewable Diesel'!M259*'[2]RD Feedstock Breakdown'!AS$3*'[2]Feedstock Conversion Rates'!B$4)/12</f>
        <v>456.25</v>
      </c>
      <c r="AT250" s="45">
        <f>('[2]Renewable Diesel'!M259*'[2]RD Feedstock Breakdown'!AT$3*'[2]Feedstock Conversion Rates'!B$5)/12</f>
        <v>0</v>
      </c>
      <c r="AU250" s="47">
        <f t="shared" si="159"/>
        <v>456.25</v>
      </c>
      <c r="AV250" s="45">
        <f>'[2]Renewable Diesel'!N259*'[2]RD Feedstock Breakdown'!$AV$3*'[2]Feedstock Conversion Rates'!$B$4/12-15-10+25+25-22+15-50</f>
        <v>46.749999999999986</v>
      </c>
      <c r="AW250" s="45">
        <f>'[2]Renewable Diesel'!N259*'[2]RD Feedstock Breakdown'!$AW$3*'[2]Feedstock Conversion Rates'!$B$7/12+15+10-25-25+22-15+50</f>
        <v>73.400000000000006</v>
      </c>
      <c r="AX250" s="47">
        <f t="shared" si="193"/>
        <v>120.14999999999999</v>
      </c>
      <c r="AY250" s="45">
        <f>('[2]Renewable Diesel'!O259*'[2]RD Feedstock Breakdown'!AY$3*'[2]Feedstock Conversion Rates'!B$4)/12+32+2-125-25</f>
        <v>94.9375</v>
      </c>
      <c r="AZ250" s="45">
        <f>('[2]Renewable Diesel'!O259*'[2]RD Feedstock Breakdown'!AZ$3*'[2]Feedstock Conversion Rates'!B$3)/12-32-2+125+25</f>
        <v>141.03125</v>
      </c>
      <c r="BA250" s="47">
        <f t="shared" si="173"/>
        <v>235.96875</v>
      </c>
      <c r="BB250" s="45">
        <f>('[2]Renewable Diesel'!Q259*'[2]RD Feedstock Breakdown'!BB$3*'[2]Feedstock Conversion Rates'!B$4)/12-10</f>
        <v>1.1562499999999982</v>
      </c>
      <c r="BC250" s="45">
        <f>('[2]Renewable Diesel'!Q259*'[2]RD Feedstock Breakdown'!BC$3*'[2]Feedstock Conversion Rates'!B$3)/12+10</f>
        <v>11.40175</v>
      </c>
      <c r="BD250" s="45">
        <f>('[2]Renewable Diesel'!Q259*'[2]RD Feedstock Breakdown'!BD$3*'[2]Feedstock Conversion Rates'!B$6)/12</f>
        <v>0.8207500000000002</v>
      </c>
      <c r="BE250" s="47">
        <f t="shared" si="151"/>
        <v>13.378749999999998</v>
      </c>
      <c r="BF250" s="45">
        <f>('[2]Renewable Diesel'!R259*'[2]RD Feedstock Breakdown'!BF$3*'[2]Feedstock Conversion Rates'!B$4)/12</f>
        <v>62.5</v>
      </c>
      <c r="BG250" s="47">
        <f t="shared" si="129"/>
        <v>62.5</v>
      </c>
      <c r="BH250" s="45">
        <f>('[2]Renewable Diesel'!T259*'[2]RD Feedstock Breakdown'!BH$3*'[2]Feedstock Conversion Rates'!B$7)/12</f>
        <v>27.599999999999998</v>
      </c>
      <c r="BI250" s="47">
        <f t="shared" si="112"/>
        <v>27.599999999999998</v>
      </c>
      <c r="BJ250" s="45">
        <f>('[2]Renewable Diesel'!W259*'[2]RD Feedstock Breakdown'!BJ$3*'[2]Feedstock Conversion Rates'!B$4)/12</f>
        <v>7.5</v>
      </c>
      <c r="BK250" s="45">
        <f>('[2]Renewable Diesel'!W259*'[2]RD Feedstock Breakdown'!BK$3*'[2]Feedstock Conversion Rates'!B$3)/12</f>
        <v>1.335</v>
      </c>
      <c r="BL250" s="45">
        <f>('[2]Renewable Diesel'!W259*'[2]RD Feedstock Breakdown'!BL$3*'[2]Feedstock Conversion Rates'!B$6)/12</f>
        <v>3.1266666666666669</v>
      </c>
      <c r="BM250" s="45">
        <f>('[2]Renewable Diesel'!W259*'[2]RD Feedstock Breakdown'!BM$3*'[2]Feedstock Conversion Rates'!B$7)/12</f>
        <v>1.5333333333333332</v>
      </c>
      <c r="BN250" s="47">
        <f t="shared" si="168"/>
        <v>13.495000000000001</v>
      </c>
      <c r="BO250" s="45">
        <f>('[2]Renewable Diesel'!P259*'[2]Feedstock Conversion Rates'!B$4)/12</f>
        <v>31.25</v>
      </c>
      <c r="BP250" s="47">
        <f t="shared" si="157"/>
        <v>31.25</v>
      </c>
      <c r="BQ250" s="45">
        <f>('[2]Renewable Diesel'!$S259*'[2]RD Feedstock Breakdown'!BQ$3*'[2]Feedstock Conversion Rates'!B$4)/12+10</f>
        <v>38.125</v>
      </c>
      <c r="BR250" s="45">
        <f>('[2]Renewable Diesel'!$S259*'[2]RD Feedstock Breakdown'!BR$3*'[2]Feedstock Conversion Rates'!B$7)/12-10</f>
        <v>1.5</v>
      </c>
      <c r="BS250" s="47">
        <f t="shared" si="174"/>
        <v>39.625</v>
      </c>
      <c r="BT250" s="47"/>
      <c r="BU250" s="45">
        <f>('[2]Renewable Diesel'!Y259*'[2]Feedstock Conversion Rates'!B$7)/12</f>
        <v>2.6833333333333331</v>
      </c>
      <c r="BV250" s="47">
        <f t="shared" si="153"/>
        <v>2.6833333333333331</v>
      </c>
      <c r="BW250" s="45">
        <f>('[2]Renewable Diesel'!$Z259*'[2]RD Feedstock Breakdown'!BW$3*'[2]Feedstock Conversion Rates'!$B$4)/12</f>
        <v>71.875</v>
      </c>
      <c r="BX250" s="45">
        <f>('[2]Renewable Diesel'!$Z259*'[2]RD Feedstock Breakdown'!BX$3*'[2]Feedstock Conversion Rates'!$B$5)/12</f>
        <v>7.2354166666666666</v>
      </c>
      <c r="BY250" s="45">
        <f>('[2]Renewable Diesel'!$Z259*'[2]RD Feedstock Breakdown'!BY$3*'[2]Feedstock Conversion Rates'!$B$7)/12</f>
        <v>61.716666666666661</v>
      </c>
      <c r="BZ250" s="45">
        <f>('[2]Renewable Diesel'!$Z259*'[2]RD Feedstock Breakdown'!BZ$3*'[2]Feedstock Conversion Rates'!$B$3)/12</f>
        <v>15.352499999999999</v>
      </c>
      <c r="CA250" s="47">
        <f t="shared" si="181"/>
        <v>156.17958333333331</v>
      </c>
      <c r="CB250" s="45">
        <f>('[2]Renewable Diesel'!AA259*'[2]Feedstock Conversion Rates'!B$4)/12</f>
        <v>191.25</v>
      </c>
      <c r="CC250" s="47">
        <f t="shared" si="171"/>
        <v>191.25</v>
      </c>
      <c r="CD250" s="45">
        <f>('[2]Renewable Diesel'!$AB259*'[2]RD Feedstock Breakdown'!CD$3*'[2]Feedstock Conversion Rates'!$B$6)/12-15</f>
        <v>17.830000000000005</v>
      </c>
      <c r="CE250" s="45">
        <f>('[2]Renewable Diesel'!$AB259*'[2]RD Feedstock Breakdown'!CE$3*'[2]Feedstock Conversion Rates'!$B$4)/12+15</f>
        <v>26.25</v>
      </c>
      <c r="CF250" s="47">
        <f t="shared" si="161"/>
        <v>44.080000000000005</v>
      </c>
      <c r="CG250" s="45">
        <f>('[2]Renewable Diesel'!AD259*'[2]Feedstock Conversion Rates'!B$4)/12</f>
        <v>112.5</v>
      </c>
      <c r="CH250" s="47">
        <f t="shared" si="149"/>
        <v>112.5</v>
      </c>
      <c r="CI250" s="45">
        <f>('[2]Renewable Diesel'!$AE259*'[2]RD Feedstock Breakdown'!CI$3*'[2]Feedstock Conversion Rates'!$B$5)/12</f>
        <v>0.34604166666666664</v>
      </c>
      <c r="CJ250" s="45">
        <f>('[2]Renewable Diesel'!$AE259*'[2]RD Feedstock Breakdown'!CJ$3*'[2]Feedstock Conversion Rates'!$B$4)/12</f>
        <v>0.34375</v>
      </c>
      <c r="CK250" s="47">
        <f t="shared" si="158"/>
        <v>0.68979166666666658</v>
      </c>
      <c r="CL250" s="45">
        <f>(((CL$3*'[2]Renewable Diesel'!$AF259)*'[2]Feedstock Conversion Rates'!$B$3)/12)</f>
        <v>91.78125</v>
      </c>
      <c r="CM250" s="45">
        <f>(((CM$3*'[2]Renewable Diesel'!$AF259)*'[2]Feedstock Conversion Rates'!$B$6)/12)</f>
        <v>53.739583333333336</v>
      </c>
      <c r="CN250" s="45">
        <f>(((CN$3*'[2]Renewable Diesel'!$AF259)*'[2]Feedstock Conversion Rates'!$B$4)/12)</f>
        <v>42.96875</v>
      </c>
      <c r="CO250" s="47">
        <f t="shared" si="152"/>
        <v>188.48958333333334</v>
      </c>
      <c r="CP250" s="45">
        <f>('[2]Renewable Diesel'!$AG259*'[2]RD Feedstock Breakdown'!CP$3*'[2]Feedstock Conversion Rates'!$B$3)/12</f>
        <v>6.0075000000000003</v>
      </c>
      <c r="CQ250" s="45">
        <f>('[2]Renewable Diesel'!$AG259*'[2]RD Feedstock Breakdown'!CQ$3*'[2]Feedstock Conversion Rates'!$B$6)/12</f>
        <v>3.5175000000000001</v>
      </c>
      <c r="CR250" s="45">
        <f>('[2]Renewable Diesel'!$AG259*'[2]RD Feedstock Breakdown'!CR$3*'[2]Feedstock Conversion Rates'!$B$4)/12</f>
        <v>2.8125</v>
      </c>
      <c r="CS250" s="47">
        <f t="shared" si="183"/>
        <v>12.3375</v>
      </c>
      <c r="CT250" s="45">
        <f>('[2]Renewable Diesel'!AI259*'[2]Feedstock Conversion Rates'!$B$4*'[2]RD Feedstock Breakdown'!$CT$3)/12</f>
        <v>29.375</v>
      </c>
      <c r="CU250" s="47">
        <f t="shared" si="154"/>
        <v>29.375</v>
      </c>
      <c r="CV250" s="45">
        <f>('[2]Renewable Diesel'!AN259*'[2]Feedstock Conversion Rates'!$B$3*'[2]RD Feedstock Breakdown'!$CV$3)/12</f>
        <v>0.50062499999999999</v>
      </c>
      <c r="CW250" s="47">
        <f t="shared" si="124"/>
        <v>0.50062499999999999</v>
      </c>
      <c r="CX250" s="45">
        <f>('[2]Renewable Diesel'!AO259*'[2]RD Feedstock Breakdown'!$CX$3*'[2]Feedstock Conversion Rates'!$B$3)/12</f>
        <v>6.3412499999999996</v>
      </c>
      <c r="CY250" s="45">
        <f>('[2]Renewable Diesel'!AO259*'[2]RD Feedstock Breakdown'!$CY$3*'[2]Feedstock Conversion Rates'!$B$6)/12</f>
        <v>7.4258333333333342</v>
      </c>
      <c r="CZ250" s="47">
        <f t="shared" si="188"/>
        <v>13.767083333333334</v>
      </c>
      <c r="DA250" s="45">
        <f>('[2]Renewable Diesel'!$AP259*'[2]RD Feedstock Breakdown'!DA$3*'[2]Feedstock Conversion Rates'!$B$3)/12</f>
        <v>6.3412499999999996</v>
      </c>
      <c r="DB250" s="45">
        <f>('[2]Renewable Diesel'!$AP259*'[2]RD Feedstock Breakdown'!DB$3*'[2]Feedstock Conversion Rates'!$B$8)/12</f>
        <v>7.421875</v>
      </c>
      <c r="DC250" s="47">
        <f t="shared" si="127"/>
        <v>13.763124999999999</v>
      </c>
      <c r="DD250" s="45">
        <f>('[2]Renewable Diesel'!AQ259*$DD$3*'[2]Feedstock Conversion Rates'!$B$14)/12</f>
        <v>3.1041666666666665</v>
      </c>
      <c r="DE250" s="47">
        <f t="shared" si="128"/>
        <v>3.1041666666666665</v>
      </c>
      <c r="DF250" s="45">
        <f>('[2]Renewable Diesel'!AR259*'[2]Feedstock Conversion Rates'!$B$4*$DF$3)/12</f>
        <v>75</v>
      </c>
      <c r="DG250" s="47">
        <f t="shared" si="189"/>
        <v>75</v>
      </c>
      <c r="DH250" s="45">
        <f>('[2]Renewable Diesel'!AS259*'[2]Feedstock Conversion Rates'!$B$4*$DH$3)/12</f>
        <v>75</v>
      </c>
      <c r="DI250" s="47">
        <f t="shared" si="194"/>
        <v>75</v>
      </c>
      <c r="DJ250" s="45">
        <f>('[2]Renewable Diesel'!AT259*'[2]Feedstock Conversion Rates'!$B$4*0.25)/12</f>
        <v>8.59375</v>
      </c>
      <c r="DK250" s="45">
        <f>('[2]Renewable Diesel'!$AT259*'[2]RD Feedstock Breakdown'!DK$3*'[2]Feedstock Conversion Rates'!$B$3)/12*0.5</f>
        <v>9.1781249999999996</v>
      </c>
      <c r="DL250" s="45">
        <f>('[2]Renewable Diesel'!$AT259*'[2]RD Feedstock Breakdown'!$DL$3*'[2]Feedstock Conversion Rates'!$B$6)/12</f>
        <v>10.747916666666669</v>
      </c>
      <c r="DM250" s="45">
        <f>('[2]Renewable Diesel'!$AT259*'[2]RD Feedstock Breakdown'!$DM$3*'[2]Feedstock Conversion Rates'!$B$8)/12</f>
        <v>10.7421875</v>
      </c>
      <c r="DN250" s="47">
        <f t="shared" si="169"/>
        <v>39.26197916666667</v>
      </c>
      <c r="DP250" s="45">
        <f t="shared" si="130"/>
        <v>122.22025000000001</v>
      </c>
      <c r="DQ250" s="45">
        <f t="shared" si="131"/>
        <v>647.3677674999999</v>
      </c>
      <c r="DR250" s="45">
        <f t="shared" si="136"/>
        <v>1903.203125</v>
      </c>
      <c r="DS250" s="45">
        <f t="shared" si="155"/>
        <v>52.901250000000005</v>
      </c>
      <c r="DT250" s="45">
        <f t="shared" si="132"/>
        <v>238.03923333333344</v>
      </c>
      <c r="DU250" s="45">
        <f t="shared" si="133"/>
        <v>280.90609999999998</v>
      </c>
      <c r="DV250" s="45">
        <f t="shared" si="137"/>
        <v>8</v>
      </c>
      <c r="DW250" s="45">
        <f t="shared" si="134"/>
        <v>3</v>
      </c>
      <c r="DX250" s="47">
        <f t="shared" si="138"/>
        <v>3255.6377258333332</v>
      </c>
      <c r="DY250" s="50">
        <f t="shared" si="126"/>
        <v>-135.00000000000003</v>
      </c>
      <c r="EA250" s="51">
        <f t="shared" si="117"/>
        <v>3.7541108775767044E-2</v>
      </c>
      <c r="EB250" s="51">
        <f t="shared" si="117"/>
        <v>0.1988451486365227</v>
      </c>
      <c r="EC250" s="51">
        <f t="shared" si="117"/>
        <v>0.584586887508451</v>
      </c>
      <c r="ED250" s="51">
        <f t="shared" si="117"/>
        <v>1.6249120588642606E-2</v>
      </c>
      <c r="EE250" s="51">
        <f t="shared" si="117"/>
        <v>7.3116007793036439E-2</v>
      </c>
      <c r="EF250" s="51">
        <f t="shared" si="117"/>
        <v>8.6282972386953011E-2</v>
      </c>
      <c r="EG250" s="51">
        <f t="shared" si="117"/>
        <v>2.4572758622743475E-3</v>
      </c>
      <c r="EH250" s="52">
        <f t="shared" si="139"/>
        <v>9.2147844835288031E-4</v>
      </c>
      <c r="EI250" s="51">
        <f t="shared" si="191"/>
        <v>0.99907852155164711</v>
      </c>
      <c r="EK250" s="53">
        <f>(EA250*'[2]Renewable Diesel'!BF259*'[2]Feedstock Conversion Rates'!B$2)+FB250</f>
        <v>182.09850411569803</v>
      </c>
      <c r="EL250" s="53">
        <f>(EB250*'[2]Renewable Diesel'!BF259*'[2]Feedstock Conversion Rates'!B$3)+FC250</f>
        <v>908.92463171682107</v>
      </c>
      <c r="EM250" s="53">
        <f>(EC250*'[2]Renewable Diesel'!BF259*'[2]Feedstock Conversion Rates'!B$4)+FD250</f>
        <v>2502.0195008901246</v>
      </c>
      <c r="EN250" s="53">
        <f>(ED250*'[2]Renewable Diesel'!BF259*'[2]Feedstock Conversion Rates'!B$5)+FE250</f>
        <v>70.009531352014861</v>
      </c>
      <c r="EO250" s="53">
        <f>(EE250*'[2]Renewable Diesel'!BF259*'[2]Feedstock Conversion Rates'!B$6)+FF250</f>
        <v>391.37732986699461</v>
      </c>
      <c r="EP250" s="53">
        <f>(EF250*'[2]Renewable Diesel'!BF259*'[2]Feedstock Conversion Rates'!B$7)+FG250</f>
        <v>452.99486843404037</v>
      </c>
      <c r="EQ250" s="53">
        <f>(EG250*'[2]Renewable Diesel'!BF259*'[2]Feedstock Conversion Rates'!B$8)+FH250</f>
        <v>13.146360827303313</v>
      </c>
      <c r="ER250" s="53">
        <f>(EH250*'[2]Renewable Diesel'!BF259*'[2]Feedstock Conversion Rates'!B$9)+FI250</f>
        <v>4.8641535061022259</v>
      </c>
      <c r="ES250" s="53">
        <f t="shared" si="141"/>
        <v>4525.4348807091001</v>
      </c>
      <c r="ET250" s="36">
        <f>ES250/'[2]Renewable Diesel'!BF259</f>
        <v>7.9301237178449373</v>
      </c>
    </row>
    <row r="251" spans="1:150" x14ac:dyDescent="0.25">
      <c r="A251" s="39">
        <v>48061</v>
      </c>
      <c r="B251" s="45">
        <f t="shared" si="184"/>
        <v>0.5</v>
      </c>
      <c r="C251" s="45">
        <f t="shared" si="185"/>
        <v>9.5</v>
      </c>
      <c r="D251" s="45">
        <f t="shared" si="186"/>
        <v>2</v>
      </c>
      <c r="E251" s="45">
        <f>('[2]Renewable Diesel'!B260*E$3*'[2]Feedstock Conversion Rates'!$B$2)/12-57.5+8+12.5+52.5-76+18+23+45+50-2.5-3-28-2-9.5+30-40+26+0.5</f>
        <v>136.93</v>
      </c>
      <c r="F251" s="45">
        <f>('[2]Renewable Diesel'!B260*'[2]RD Feedstock Breakdown'!F$3*'[2]Feedstock Conversion Rates'!B$8)/12-13.5+1.5-2+36-10+10-61+25+8+1-29+1.5-15</f>
        <v>6.40625</v>
      </c>
      <c r="G251" s="45">
        <f>('[2]Renewable Diesel'!B260*'[2]RD Feedstock Breakdown'!G$3*'[2]Feedstock Conversion Rates'!B$7)/12-100-12.5-1+26.75+19-57.5-30+31+70-40+15-35-7.5-4+5</f>
        <v>55.407000000000011</v>
      </c>
      <c r="H251" s="45">
        <f>('[2]Renewable Diesel'!B260*'[2]RD Feedstock Breakdown'!H$3*'[2]Feedstock Conversion Rates'!B$3)/12-105+5+139-10-10-162+8.5+58-20+40-10+160+15</f>
        <v>284.90022499999998</v>
      </c>
      <c r="I251" s="47">
        <f t="shared" si="160"/>
        <v>495.64347499999997</v>
      </c>
      <c r="J251" s="45">
        <f t="shared" si="192"/>
        <v>7.5</v>
      </c>
      <c r="K251" s="45"/>
      <c r="L251" s="45">
        <v>1</v>
      </c>
      <c r="M251" s="45">
        <f>('[2]Renewable Diesel'!C260*'[2]RD Feedstock Breakdown'!M$3*'[2]Feedstock Conversion Rates'!B$2)/12-18.5+7-43-1.5+7.5+7-5+24</f>
        <v>-14.70975</v>
      </c>
      <c r="N251" s="45">
        <f>('[2]Renewable Diesel'!C260*'[2]RD Feedstock Breakdown'!N$3*'[2]Feedstock Conversion Rates'!B$8)/12-2.5+46-58.5+8.5+5-10+10-2.5-18+5-12</f>
        <v>-25.328125</v>
      </c>
      <c r="O251" s="45">
        <f>('[2]Renewable Diesel'!C260*'[2]RD Feedstock Breakdown'!O$3*'[2]Feedstock Conversion Rates'!B$7)/12-30-12.5-47-19+29+30-15-15+75-35+20</f>
        <v>-7.5009000000000015</v>
      </c>
      <c r="P251" s="45">
        <f>('[2]Renewable Diesel'!C260*'[2]RD Feedstock Breakdown'!P$3*'[2]Feedstock Conversion Rates'!B$3)/12-25+42.5-102+35+30+50.75+60-100-21-2.5+95</f>
        <v>73.197042500000009</v>
      </c>
      <c r="Q251" s="47">
        <f t="shared" si="172"/>
        <v>34.158267500000008</v>
      </c>
      <c r="R251" s="45">
        <f>('[2]Renewable Diesel'!D260*'[2]RD Feedstock Breakdown'!R$3*'[2]Feedstock Conversion Rates'!B$7)/12</f>
        <v>2.2999999999999998</v>
      </c>
      <c r="S251" s="47">
        <f t="shared" si="116"/>
        <v>2.2999999999999998</v>
      </c>
      <c r="T251" s="45">
        <f t="shared" si="179"/>
        <v>5.8250000000000028</v>
      </c>
      <c r="U251" s="45">
        <v>30</v>
      </c>
      <c r="V251" s="45">
        <f>('[2]Renewable Diesel'!E260*'[2]RD Feedstock Breakdown'!V$3*'[2]Feedstock Conversion Rates'!B$6)/12-20+25-35</f>
        <v>14.250150000000012</v>
      </c>
      <c r="W251" s="45">
        <f>('[2]Renewable Diesel'!E260*'[2]RD Feedstock Breakdown'!W$3*'[2]Feedstock Conversion Rates'!B$8)/12-6</f>
        <v>16.1796875</v>
      </c>
      <c r="X251" s="47">
        <f t="shared" si="147"/>
        <v>66.254837500000008</v>
      </c>
      <c r="Y251" s="45">
        <f t="shared" si="187"/>
        <v>141.5</v>
      </c>
      <c r="Z251" s="45">
        <f>('[2]Renewable Diesel'!F260*'[2]RD Feedstock Breakdown'!Z$3*'[2]Feedstock Conversion Rates'!B$6)/12-50-32-60+15+15+47.5-72.5+70-27.5-5</f>
        <v>59.960000000000008</v>
      </c>
      <c r="AA251" s="45">
        <f>('[2]Renewable Diesel'!F260*'[2]RD Feedstock Breakdown'!AA$3*'[2]Feedstock Conversion Rates'!B$7)/12+80-171+75+30-55-1</f>
        <v>62.266666666666652</v>
      </c>
      <c r="AB251" s="47">
        <f t="shared" si="190"/>
        <v>263.72666666666669</v>
      </c>
      <c r="AC251" s="45">
        <f>('[2]Renewable Diesel'!G260*'[2]RD Feedstock Breakdown'!AC$3*'[2]Feedstock Conversion Rates'!B$5)/12</f>
        <v>11.796875</v>
      </c>
      <c r="AD251" s="45">
        <f>('[2]Renewable Diesel'!G260*'[2]RD Feedstock Breakdown'!AD$3*'[2]Feedstock Conversion Rates'!B$4)/12</f>
        <v>5.859375</v>
      </c>
      <c r="AE251" s="45">
        <f>('[2]Renewable Diesel'!G260*'[2]RD Feedstock Breakdown'!AE$3*'[2]Feedstock Conversion Rates'!B$6)/12</f>
        <v>7.3281250000000009</v>
      </c>
      <c r="AF251" s="47">
        <f t="shared" si="156"/>
        <v>24.984375</v>
      </c>
      <c r="AG251" s="45">
        <f t="shared" si="182"/>
        <v>6.5</v>
      </c>
      <c r="AH251" s="45">
        <v>135</v>
      </c>
      <c r="AI251" s="45">
        <f>('[2]Renewable Diesel'!H260*'[2]RD Feedstock Breakdown'!AI$3*'[2]Feedstock Conversion Rates'!B$6)/12-130-20+51-120+105-40+25-10-2.5</f>
        <v>7.0166666666666799</v>
      </c>
      <c r="AJ251" s="47">
        <f t="shared" si="113"/>
        <v>13.51666666666668</v>
      </c>
      <c r="AK251" s="45">
        <f>('[2]Renewable Diesel'!J260*'[2]RD Feedstock Breakdown'!AK$3*'[2]Feedstock Conversion Rates'!B$4)/12</f>
        <v>95.8125</v>
      </c>
      <c r="AL251" s="47">
        <f t="shared" si="123"/>
        <v>95.8125</v>
      </c>
      <c r="AM251" s="45">
        <f>('[2]Renewable Diesel'!K260*'[2]RD Feedstock Breakdown'!AM$3*'[2]Feedstock Conversion Rates'!B$4)/12+5+15-10+2.5+7-35</f>
        <v>43.09375</v>
      </c>
      <c r="AN251" s="45">
        <f>('[2]Renewable Diesel'!K260*'[2]RD Feedstock Breakdown'!AN$3*'[2]Feedstock Conversion Rates'!B$6)/12-5-15+10-2.5-7+35</f>
        <v>39.927083333333329</v>
      </c>
      <c r="AO251" s="47">
        <f t="shared" si="135"/>
        <v>83.020833333333329</v>
      </c>
      <c r="AP251" s="45">
        <f>('[2]Renewable Diesel'!L260*'[2]RD Feedstock Breakdown'!AP$3*'[2]Feedstock Conversion Rates'!B$4)/12+15-10+5+2.5+7</f>
        <v>78.09375</v>
      </c>
      <c r="AQ251" s="45">
        <f>('[2]Renewable Diesel'!L260*'[2]RD Feedstock Breakdown'!AQ$3*'[2]Feedstock Conversion Rates'!B$6)/12-15+10-5-2.5-7</f>
        <v>4.9270833333333321</v>
      </c>
      <c r="AR251" s="47">
        <f t="shared" si="125"/>
        <v>83.020833333333329</v>
      </c>
      <c r="AS251" s="45">
        <f>('[2]Renewable Diesel'!M260*'[2]RD Feedstock Breakdown'!AS$3*'[2]Feedstock Conversion Rates'!B$4)/12</f>
        <v>456.25</v>
      </c>
      <c r="AT251" s="45">
        <f>('[2]Renewable Diesel'!M260*'[2]RD Feedstock Breakdown'!AT$3*'[2]Feedstock Conversion Rates'!B$5)/12</f>
        <v>0</v>
      </c>
      <c r="AU251" s="47">
        <f t="shared" si="159"/>
        <v>456.25</v>
      </c>
      <c r="AV251" s="45">
        <f>'[2]Renewable Diesel'!N260*'[2]RD Feedstock Breakdown'!$AV$3*'[2]Feedstock Conversion Rates'!$B$4/12-15-10+25+25-22+15-50</f>
        <v>46.749999999999986</v>
      </c>
      <c r="AW251" s="45">
        <f>'[2]Renewable Diesel'!N260*'[2]RD Feedstock Breakdown'!$AW$3*'[2]Feedstock Conversion Rates'!$B$7/12+15+10-25-25+22-15+50</f>
        <v>73.400000000000006</v>
      </c>
      <c r="AX251" s="47">
        <f t="shared" si="193"/>
        <v>120.14999999999999</v>
      </c>
      <c r="AY251" s="45">
        <f>('[2]Renewable Diesel'!O260*'[2]RD Feedstock Breakdown'!AY$3*'[2]Feedstock Conversion Rates'!B$4)/12+32+2-125-25</f>
        <v>94.9375</v>
      </c>
      <c r="AZ251" s="45">
        <f>('[2]Renewable Diesel'!O260*'[2]RD Feedstock Breakdown'!AZ$3*'[2]Feedstock Conversion Rates'!B$3)/12-32-2+125+25</f>
        <v>141.03125</v>
      </c>
      <c r="BA251" s="47">
        <f t="shared" si="173"/>
        <v>235.96875</v>
      </c>
      <c r="BB251" s="45">
        <f>('[2]Renewable Diesel'!Q260*'[2]RD Feedstock Breakdown'!BB$3*'[2]Feedstock Conversion Rates'!B$4)/12-10</f>
        <v>1.1562499999999982</v>
      </c>
      <c r="BC251" s="45">
        <f>('[2]Renewable Diesel'!Q260*'[2]RD Feedstock Breakdown'!BC$3*'[2]Feedstock Conversion Rates'!B$3)/12+10</f>
        <v>11.40175</v>
      </c>
      <c r="BD251" s="45">
        <f>('[2]Renewable Diesel'!Q260*'[2]RD Feedstock Breakdown'!BD$3*'[2]Feedstock Conversion Rates'!B$6)/12</f>
        <v>0.8207500000000002</v>
      </c>
      <c r="BE251" s="47">
        <f t="shared" si="151"/>
        <v>13.378749999999998</v>
      </c>
      <c r="BF251" s="45">
        <f>('[2]Renewable Diesel'!R260*'[2]RD Feedstock Breakdown'!BF$3*'[2]Feedstock Conversion Rates'!B$4)/12</f>
        <v>62.5</v>
      </c>
      <c r="BG251" s="47">
        <f t="shared" si="129"/>
        <v>62.5</v>
      </c>
      <c r="BH251" s="45">
        <f>('[2]Renewable Diesel'!T260*'[2]RD Feedstock Breakdown'!BH$3*'[2]Feedstock Conversion Rates'!B$7)/12</f>
        <v>27.599999999999998</v>
      </c>
      <c r="BI251" s="47">
        <f t="shared" si="112"/>
        <v>27.599999999999998</v>
      </c>
      <c r="BJ251" s="45">
        <f>('[2]Renewable Diesel'!W260*'[2]RD Feedstock Breakdown'!BJ$3*'[2]Feedstock Conversion Rates'!B$4)/12</f>
        <v>7.5</v>
      </c>
      <c r="BK251" s="45">
        <f>('[2]Renewable Diesel'!W260*'[2]RD Feedstock Breakdown'!BK$3*'[2]Feedstock Conversion Rates'!B$3)/12</f>
        <v>1.335</v>
      </c>
      <c r="BL251" s="45">
        <f>('[2]Renewable Diesel'!W260*'[2]RD Feedstock Breakdown'!BL$3*'[2]Feedstock Conversion Rates'!B$6)/12</f>
        <v>3.1266666666666669</v>
      </c>
      <c r="BM251" s="45">
        <f>('[2]Renewable Diesel'!W260*'[2]RD Feedstock Breakdown'!BM$3*'[2]Feedstock Conversion Rates'!B$7)/12</f>
        <v>1.5333333333333332</v>
      </c>
      <c r="BN251" s="47">
        <f t="shared" si="168"/>
        <v>13.495000000000001</v>
      </c>
      <c r="BO251" s="45">
        <f>('[2]Renewable Diesel'!P260*'[2]Feedstock Conversion Rates'!B$4)/12</f>
        <v>31.25</v>
      </c>
      <c r="BP251" s="47">
        <f t="shared" si="157"/>
        <v>31.25</v>
      </c>
      <c r="BQ251" s="45">
        <f>('[2]Renewable Diesel'!$S260*'[2]RD Feedstock Breakdown'!BQ$3*'[2]Feedstock Conversion Rates'!B$4)/12+10</f>
        <v>38.125</v>
      </c>
      <c r="BR251" s="45">
        <f>('[2]Renewable Diesel'!$S260*'[2]RD Feedstock Breakdown'!BR$3*'[2]Feedstock Conversion Rates'!B$7)/12-10</f>
        <v>1.5</v>
      </c>
      <c r="BS251" s="47">
        <f t="shared" si="174"/>
        <v>39.625</v>
      </c>
      <c r="BT251" s="47"/>
      <c r="BU251" s="45">
        <f>('[2]Renewable Diesel'!Y260*'[2]Feedstock Conversion Rates'!B$7)/12</f>
        <v>2.6833333333333331</v>
      </c>
      <c r="BV251" s="47">
        <f t="shared" si="153"/>
        <v>2.6833333333333331</v>
      </c>
      <c r="BW251" s="45">
        <f>('[2]Renewable Diesel'!$Z260*'[2]RD Feedstock Breakdown'!BW$3*'[2]Feedstock Conversion Rates'!$B$4)/12</f>
        <v>71.875</v>
      </c>
      <c r="BX251" s="45">
        <f>('[2]Renewable Diesel'!$Z260*'[2]RD Feedstock Breakdown'!BX$3*'[2]Feedstock Conversion Rates'!$B$5)/12</f>
        <v>7.2354166666666666</v>
      </c>
      <c r="BY251" s="45">
        <f>('[2]Renewable Diesel'!$Z260*'[2]RD Feedstock Breakdown'!BY$3*'[2]Feedstock Conversion Rates'!$B$7)/12</f>
        <v>61.716666666666661</v>
      </c>
      <c r="BZ251" s="45">
        <f>('[2]Renewable Diesel'!$Z260*'[2]RD Feedstock Breakdown'!BZ$3*'[2]Feedstock Conversion Rates'!$B$3)/12</f>
        <v>15.352499999999999</v>
      </c>
      <c r="CA251" s="47">
        <f t="shared" si="181"/>
        <v>156.17958333333331</v>
      </c>
      <c r="CB251" s="45">
        <f>('[2]Renewable Diesel'!AA260*'[2]Feedstock Conversion Rates'!B$4)/12</f>
        <v>191.25</v>
      </c>
      <c r="CC251" s="47">
        <f t="shared" si="171"/>
        <v>191.25</v>
      </c>
      <c r="CD251" s="45">
        <f>('[2]Renewable Diesel'!$AB260*'[2]RD Feedstock Breakdown'!CD$3*'[2]Feedstock Conversion Rates'!$B$6)/12-15</f>
        <v>17.830000000000005</v>
      </c>
      <c r="CE251" s="45">
        <f>('[2]Renewable Diesel'!$AB260*'[2]RD Feedstock Breakdown'!CE$3*'[2]Feedstock Conversion Rates'!$B$4)/12+15</f>
        <v>26.25</v>
      </c>
      <c r="CF251" s="47">
        <f t="shared" si="161"/>
        <v>44.080000000000005</v>
      </c>
      <c r="CG251" s="45">
        <f>('[2]Renewable Diesel'!AD260*'[2]Feedstock Conversion Rates'!B$4)/12</f>
        <v>112.5</v>
      </c>
      <c r="CH251" s="47">
        <f t="shared" si="149"/>
        <v>112.5</v>
      </c>
      <c r="CI251" s="45">
        <f>('[2]Renewable Diesel'!$AE260*'[2]RD Feedstock Breakdown'!CI$3*'[2]Feedstock Conversion Rates'!$B$5)/12</f>
        <v>0.34604166666666664</v>
      </c>
      <c r="CJ251" s="45">
        <f>('[2]Renewable Diesel'!$AE260*'[2]RD Feedstock Breakdown'!CJ$3*'[2]Feedstock Conversion Rates'!$B$4)/12</f>
        <v>0.34375</v>
      </c>
      <c r="CK251" s="47">
        <f t="shared" si="158"/>
        <v>0.68979166666666658</v>
      </c>
      <c r="CL251" s="45">
        <f>(((CL$3*'[2]Renewable Diesel'!$AF260)*'[2]Feedstock Conversion Rates'!$B$3)/12)</f>
        <v>91.78125</v>
      </c>
      <c r="CM251" s="45">
        <f>(((CM$3*'[2]Renewable Diesel'!$AF260)*'[2]Feedstock Conversion Rates'!$B$6)/12)</f>
        <v>53.739583333333336</v>
      </c>
      <c r="CN251" s="45">
        <f>(((CN$3*'[2]Renewable Diesel'!$AF260)*'[2]Feedstock Conversion Rates'!$B$4)/12)</f>
        <v>42.96875</v>
      </c>
      <c r="CO251" s="47">
        <f t="shared" si="152"/>
        <v>188.48958333333334</v>
      </c>
      <c r="CP251" s="45">
        <f>('[2]Renewable Diesel'!$AG260*'[2]RD Feedstock Breakdown'!CP$3*'[2]Feedstock Conversion Rates'!$B$3)/12</f>
        <v>6.0075000000000003</v>
      </c>
      <c r="CQ251" s="45">
        <f>('[2]Renewable Diesel'!$AG260*'[2]RD Feedstock Breakdown'!CQ$3*'[2]Feedstock Conversion Rates'!$B$6)/12</f>
        <v>3.5175000000000001</v>
      </c>
      <c r="CR251" s="45">
        <f>('[2]Renewable Diesel'!$AG260*'[2]RD Feedstock Breakdown'!CR$3*'[2]Feedstock Conversion Rates'!$B$4)/12</f>
        <v>2.8125</v>
      </c>
      <c r="CS251" s="47">
        <f t="shared" si="183"/>
        <v>12.3375</v>
      </c>
      <c r="CT251" s="45">
        <f>('[2]Renewable Diesel'!AI260*'[2]Feedstock Conversion Rates'!$B$4*'[2]RD Feedstock Breakdown'!$CT$3)/12</f>
        <v>29.375</v>
      </c>
      <c r="CU251" s="47">
        <f t="shared" si="154"/>
        <v>29.375</v>
      </c>
      <c r="CV251" s="45">
        <f>('[2]Renewable Diesel'!AN260*'[2]Feedstock Conversion Rates'!$B$3*'[2]RD Feedstock Breakdown'!$CV$3)/12</f>
        <v>0.50062499999999999</v>
      </c>
      <c r="CW251" s="47">
        <f t="shared" si="124"/>
        <v>0.50062499999999999</v>
      </c>
      <c r="CX251" s="45">
        <f>('[2]Renewable Diesel'!AO260*'[2]RD Feedstock Breakdown'!$CX$3*'[2]Feedstock Conversion Rates'!$B$3)/12</f>
        <v>6.3412499999999996</v>
      </c>
      <c r="CY251" s="45">
        <f>('[2]Renewable Diesel'!AO260*'[2]RD Feedstock Breakdown'!$CY$3*'[2]Feedstock Conversion Rates'!$B$6)/12</f>
        <v>7.4258333333333342</v>
      </c>
      <c r="CZ251" s="47">
        <f t="shared" si="188"/>
        <v>13.767083333333334</v>
      </c>
      <c r="DA251" s="45">
        <f>('[2]Renewable Diesel'!$AP260*'[2]RD Feedstock Breakdown'!DA$3*'[2]Feedstock Conversion Rates'!$B$3)/12</f>
        <v>6.3412499999999996</v>
      </c>
      <c r="DB251" s="45">
        <f>('[2]Renewable Diesel'!$AP260*'[2]RD Feedstock Breakdown'!DB$3*'[2]Feedstock Conversion Rates'!$B$8)/12</f>
        <v>7.421875</v>
      </c>
      <c r="DC251" s="47">
        <f t="shared" si="127"/>
        <v>13.763124999999999</v>
      </c>
      <c r="DD251" s="45">
        <f>('[2]Renewable Diesel'!AQ260*$DD$3*'[2]Feedstock Conversion Rates'!$B$14)/12</f>
        <v>3.1041666666666665</v>
      </c>
      <c r="DE251" s="47">
        <f t="shared" si="128"/>
        <v>3.1041666666666665</v>
      </c>
      <c r="DF251" s="45">
        <f>('[2]Renewable Diesel'!AR260*'[2]Feedstock Conversion Rates'!$B$4*$DF$3)/12</f>
        <v>75</v>
      </c>
      <c r="DG251" s="47">
        <f t="shared" si="189"/>
        <v>75</v>
      </c>
      <c r="DH251" s="45">
        <f>('[2]Renewable Diesel'!AS260*'[2]Feedstock Conversion Rates'!$B$4*$DH$3)/12</f>
        <v>75</v>
      </c>
      <c r="DI251" s="47">
        <f t="shared" si="194"/>
        <v>75</v>
      </c>
      <c r="DJ251" s="45">
        <f>('[2]Renewable Diesel'!AT260*'[2]Feedstock Conversion Rates'!$B$4*0.25)/12</f>
        <v>8.59375</v>
      </c>
      <c r="DK251" s="45">
        <f>('[2]Renewable Diesel'!$AT260*'[2]RD Feedstock Breakdown'!DK$3*'[2]Feedstock Conversion Rates'!$B$3)/12*0.5</f>
        <v>9.1781249999999996</v>
      </c>
      <c r="DL251" s="45">
        <f>('[2]Renewable Diesel'!$AT260*'[2]RD Feedstock Breakdown'!$DL$3*'[2]Feedstock Conversion Rates'!$B$6)/12</f>
        <v>10.747916666666669</v>
      </c>
      <c r="DM251" s="45">
        <f>('[2]Renewable Diesel'!$AT260*'[2]RD Feedstock Breakdown'!$DM$3*'[2]Feedstock Conversion Rates'!$B$8)/12</f>
        <v>10.7421875</v>
      </c>
      <c r="DN251" s="47">
        <f t="shared" si="169"/>
        <v>39.26197916666667</v>
      </c>
      <c r="DP251" s="45">
        <f t="shared" si="130"/>
        <v>122.22025000000001</v>
      </c>
      <c r="DQ251" s="45">
        <f t="shared" si="131"/>
        <v>647.3677674999999</v>
      </c>
      <c r="DR251" s="45">
        <f t="shared" si="136"/>
        <v>1903.203125</v>
      </c>
      <c r="DS251" s="45">
        <f t="shared" si="155"/>
        <v>52.901250000000005</v>
      </c>
      <c r="DT251" s="45">
        <f t="shared" si="132"/>
        <v>238.03923333333344</v>
      </c>
      <c r="DU251" s="45">
        <f t="shared" si="133"/>
        <v>280.90609999999998</v>
      </c>
      <c r="DV251" s="45">
        <f t="shared" si="137"/>
        <v>8</v>
      </c>
      <c r="DW251" s="45">
        <f t="shared" si="134"/>
        <v>3</v>
      </c>
      <c r="DX251" s="47">
        <f t="shared" si="138"/>
        <v>3255.6377258333332</v>
      </c>
      <c r="DY251" s="50">
        <f t="shared" si="126"/>
        <v>-135.00000000000003</v>
      </c>
      <c r="EA251" s="51">
        <f t="shared" si="117"/>
        <v>3.7541108775767044E-2</v>
      </c>
      <c r="EB251" s="51">
        <f t="shared" si="117"/>
        <v>0.1988451486365227</v>
      </c>
      <c r="EC251" s="51">
        <f t="shared" si="117"/>
        <v>0.584586887508451</v>
      </c>
      <c r="ED251" s="51">
        <f t="shared" si="117"/>
        <v>1.6249120588642606E-2</v>
      </c>
      <c r="EE251" s="51">
        <f t="shared" si="117"/>
        <v>7.3116007793036439E-2</v>
      </c>
      <c r="EF251" s="51">
        <f t="shared" si="117"/>
        <v>8.6282972386953011E-2</v>
      </c>
      <c r="EG251" s="51">
        <f t="shared" si="117"/>
        <v>2.4572758622743475E-3</v>
      </c>
      <c r="EH251" s="52">
        <f t="shared" si="139"/>
        <v>9.2147844835288031E-4</v>
      </c>
      <c r="EI251" s="51">
        <f t="shared" si="191"/>
        <v>0.99907852155164711</v>
      </c>
      <c r="EK251" s="53">
        <f>(EA251*'[2]Renewable Diesel'!BF260*'[2]Feedstock Conversion Rates'!B$2)+FB251</f>
        <v>192.00443632336285</v>
      </c>
      <c r="EL251" s="53">
        <f>(EB251*'[2]Renewable Diesel'!BF260*'[2]Feedstock Conversion Rates'!B$3)+FC251</f>
        <v>958.36900155053991</v>
      </c>
      <c r="EM251" s="53">
        <f>(EC251*'[2]Renewable Diesel'!BF260*'[2]Feedstock Conversion Rates'!B$4)+FD251</f>
        <v>2638.1262507968991</v>
      </c>
      <c r="EN251" s="53">
        <f>(ED251*'[2]Renewable Diesel'!BF260*'[2]Feedstock Conversion Rates'!B$5)+FE251</f>
        <v>73.817962809655057</v>
      </c>
      <c r="EO251" s="53">
        <f>(EE251*'[2]Renewable Diesel'!BF260*'[2]Feedstock Conversion Rates'!B$6)+FF251</f>
        <v>412.66776998404282</v>
      </c>
      <c r="EP251" s="53">
        <f>(EF251*'[2]Renewable Diesel'!BF260*'[2]Feedstock Conversion Rates'!B$7)+FG251</f>
        <v>477.63722603559751</v>
      </c>
      <c r="EQ251" s="53">
        <f>(EG251*'[2]Renewable Diesel'!BF260*'[2]Feedstock Conversion Rates'!B$8)+FH251</f>
        <v>13.861506510488201</v>
      </c>
      <c r="ER251" s="53">
        <f>(EH251*'[2]Renewable Diesel'!BF260*'[2]Feedstock Conversion Rates'!B$9)+FI251</f>
        <v>5.1287574088806345</v>
      </c>
      <c r="ES251" s="53">
        <f t="shared" si="141"/>
        <v>4771.6129114194664</v>
      </c>
      <c r="ET251" s="36">
        <f>ES251/'[2]Renewable Diesel'!BF260</f>
        <v>7.9301237178449373</v>
      </c>
    </row>
    <row r="252" spans="1:150" x14ac:dyDescent="0.25">
      <c r="A252" s="39">
        <v>48092</v>
      </c>
      <c r="B252" s="45">
        <f t="shared" si="184"/>
        <v>0.5</v>
      </c>
      <c r="C252" s="45">
        <f t="shared" si="185"/>
        <v>9.5</v>
      </c>
      <c r="D252" s="45">
        <f t="shared" si="186"/>
        <v>2</v>
      </c>
      <c r="E252" s="45">
        <f>('[2]Renewable Diesel'!B261*E$3*'[2]Feedstock Conversion Rates'!$B$2)/12-57.5+8+12.5+52.5-76+18+23+45+50-2.5-3-28-2-9.5+30-40+26+0.5</f>
        <v>136.93</v>
      </c>
      <c r="F252" s="45">
        <f>('[2]Renewable Diesel'!B261*'[2]RD Feedstock Breakdown'!F$3*'[2]Feedstock Conversion Rates'!B$8)/12-13.5+1.5-2+36-10+10-61+25+8+1-29+1.5-15</f>
        <v>6.40625</v>
      </c>
      <c r="G252" s="45">
        <f>('[2]Renewable Diesel'!B261*'[2]RD Feedstock Breakdown'!G$3*'[2]Feedstock Conversion Rates'!B$7)/12-100-12.5-1+26.75+19-57.5-30+31+70-40+15-35-7.5-4+5</f>
        <v>55.407000000000011</v>
      </c>
      <c r="H252" s="45">
        <f>('[2]Renewable Diesel'!B261*'[2]RD Feedstock Breakdown'!H$3*'[2]Feedstock Conversion Rates'!B$3)/12-105+5+139-10-10-162+8.5+58-20+40-10+160+15</f>
        <v>284.90022499999998</v>
      </c>
      <c r="I252" s="47">
        <f t="shared" si="160"/>
        <v>495.64347499999997</v>
      </c>
      <c r="J252" s="45">
        <f t="shared" si="192"/>
        <v>7.5</v>
      </c>
      <c r="K252" s="45"/>
      <c r="L252" s="45">
        <v>1</v>
      </c>
      <c r="M252" s="45">
        <f>('[2]Renewable Diesel'!C261*'[2]RD Feedstock Breakdown'!M$3*'[2]Feedstock Conversion Rates'!B$2)/12-18.5+7-43-1.5+7.5+7-5+24</f>
        <v>-14.70975</v>
      </c>
      <c r="N252" s="45">
        <f>('[2]Renewable Diesel'!C261*'[2]RD Feedstock Breakdown'!N$3*'[2]Feedstock Conversion Rates'!B$8)/12-2.5+46-58.5+8.5+5-10+10-2.5-18+5-12</f>
        <v>-25.328125</v>
      </c>
      <c r="O252" s="45">
        <f>('[2]Renewable Diesel'!C261*'[2]RD Feedstock Breakdown'!O$3*'[2]Feedstock Conversion Rates'!B$7)/12-30-12.5-47-19+29+30-15-15+75-35+20</f>
        <v>-7.5009000000000015</v>
      </c>
      <c r="P252" s="45">
        <f>('[2]Renewable Diesel'!C261*'[2]RD Feedstock Breakdown'!P$3*'[2]Feedstock Conversion Rates'!B$3)/12-25+42.5-102+35+30+50.75+60-100-21-2.5+95</f>
        <v>73.197042500000009</v>
      </c>
      <c r="Q252" s="47">
        <f t="shared" si="172"/>
        <v>34.158267500000008</v>
      </c>
      <c r="R252" s="45">
        <f>('[2]Renewable Diesel'!D261*'[2]RD Feedstock Breakdown'!R$3*'[2]Feedstock Conversion Rates'!B$7)/12</f>
        <v>2.2999999999999998</v>
      </c>
      <c r="S252" s="47">
        <f t="shared" si="116"/>
        <v>2.2999999999999998</v>
      </c>
      <c r="T252" s="45">
        <f t="shared" si="179"/>
        <v>5.8250000000000028</v>
      </c>
      <c r="U252" s="45">
        <v>30</v>
      </c>
      <c r="V252" s="45">
        <f>('[2]Renewable Diesel'!E261*'[2]RD Feedstock Breakdown'!V$3*'[2]Feedstock Conversion Rates'!B$6)/12-20+25-35</f>
        <v>14.250150000000012</v>
      </c>
      <c r="W252" s="45">
        <f>('[2]Renewable Diesel'!E261*'[2]RD Feedstock Breakdown'!W$3*'[2]Feedstock Conversion Rates'!B$8)/12-6</f>
        <v>16.1796875</v>
      </c>
      <c r="X252" s="47">
        <f t="shared" si="147"/>
        <v>66.254837500000008</v>
      </c>
      <c r="Y252" s="45">
        <f t="shared" si="187"/>
        <v>141.5</v>
      </c>
      <c r="Z252" s="45">
        <f>('[2]Renewable Diesel'!F261*'[2]RD Feedstock Breakdown'!Z$3*'[2]Feedstock Conversion Rates'!B$6)/12-50-32-60+15+15+47.5-72.5+70-27.5-5</f>
        <v>59.960000000000008</v>
      </c>
      <c r="AA252" s="45">
        <f>('[2]Renewable Diesel'!F261*'[2]RD Feedstock Breakdown'!AA$3*'[2]Feedstock Conversion Rates'!B$7)/12+80-171+75+30-55-1</f>
        <v>62.266666666666652</v>
      </c>
      <c r="AB252" s="47">
        <f t="shared" si="190"/>
        <v>263.72666666666669</v>
      </c>
      <c r="AC252" s="45">
        <f>('[2]Renewable Diesel'!G261*'[2]RD Feedstock Breakdown'!AC$3*'[2]Feedstock Conversion Rates'!B$5)/12</f>
        <v>11.796875</v>
      </c>
      <c r="AD252" s="45">
        <f>('[2]Renewable Diesel'!G261*'[2]RD Feedstock Breakdown'!AD$3*'[2]Feedstock Conversion Rates'!B$4)/12</f>
        <v>5.859375</v>
      </c>
      <c r="AE252" s="45">
        <f>('[2]Renewable Diesel'!G261*'[2]RD Feedstock Breakdown'!AE$3*'[2]Feedstock Conversion Rates'!B$6)/12</f>
        <v>7.3281250000000009</v>
      </c>
      <c r="AF252" s="47">
        <f t="shared" si="156"/>
        <v>24.984375</v>
      </c>
      <c r="AG252" s="45">
        <f t="shared" si="182"/>
        <v>6.5</v>
      </c>
      <c r="AH252" s="45">
        <v>135</v>
      </c>
      <c r="AI252" s="45">
        <f>('[2]Renewable Diesel'!H261*'[2]RD Feedstock Breakdown'!AI$3*'[2]Feedstock Conversion Rates'!B$6)/12-130-20+51-120+105-40+25-10-2.5</f>
        <v>7.0166666666666799</v>
      </c>
      <c r="AJ252" s="47">
        <f t="shared" si="113"/>
        <v>13.51666666666668</v>
      </c>
      <c r="AK252" s="45">
        <f>('[2]Renewable Diesel'!J261*'[2]RD Feedstock Breakdown'!AK$3*'[2]Feedstock Conversion Rates'!B$4)/12</f>
        <v>95.8125</v>
      </c>
      <c r="AL252" s="47">
        <f t="shared" si="123"/>
        <v>95.8125</v>
      </c>
      <c r="AM252" s="45">
        <f>('[2]Renewable Diesel'!K261*'[2]RD Feedstock Breakdown'!AM$3*'[2]Feedstock Conversion Rates'!B$4)/12+5+15-10+2.5+7-35</f>
        <v>43.09375</v>
      </c>
      <c r="AN252" s="45">
        <f>('[2]Renewable Diesel'!K261*'[2]RD Feedstock Breakdown'!AN$3*'[2]Feedstock Conversion Rates'!B$6)/12-5-15+10-2.5-7+35</f>
        <v>39.927083333333329</v>
      </c>
      <c r="AO252" s="47">
        <f t="shared" si="135"/>
        <v>83.020833333333329</v>
      </c>
      <c r="AP252" s="45">
        <f>('[2]Renewable Diesel'!L261*'[2]RD Feedstock Breakdown'!AP$3*'[2]Feedstock Conversion Rates'!B$4)/12+15-10+5+2.5+7</f>
        <v>78.09375</v>
      </c>
      <c r="AQ252" s="45">
        <f>('[2]Renewable Diesel'!L261*'[2]RD Feedstock Breakdown'!AQ$3*'[2]Feedstock Conversion Rates'!B$6)/12-15+10-5-2.5-7</f>
        <v>4.9270833333333321</v>
      </c>
      <c r="AR252" s="47">
        <f t="shared" si="125"/>
        <v>83.020833333333329</v>
      </c>
      <c r="AS252" s="45">
        <f>('[2]Renewable Diesel'!M261*'[2]RD Feedstock Breakdown'!AS$3*'[2]Feedstock Conversion Rates'!B$4)/12</f>
        <v>456.25</v>
      </c>
      <c r="AT252" s="45">
        <f>('[2]Renewable Diesel'!M261*'[2]RD Feedstock Breakdown'!AT$3*'[2]Feedstock Conversion Rates'!B$5)/12</f>
        <v>0</v>
      </c>
      <c r="AU252" s="47">
        <f t="shared" si="159"/>
        <v>456.25</v>
      </c>
      <c r="AV252" s="45">
        <f>'[2]Renewable Diesel'!N261*'[2]RD Feedstock Breakdown'!$AV$3*'[2]Feedstock Conversion Rates'!$B$4/12-15-10+25+25-22+15-50</f>
        <v>46.749999999999986</v>
      </c>
      <c r="AW252" s="45">
        <f>'[2]Renewable Diesel'!N261*'[2]RD Feedstock Breakdown'!$AW$3*'[2]Feedstock Conversion Rates'!$B$7/12+15+10-25-25+22-15+50</f>
        <v>73.400000000000006</v>
      </c>
      <c r="AX252" s="47">
        <f t="shared" si="193"/>
        <v>120.14999999999999</v>
      </c>
      <c r="AY252" s="45">
        <f>('[2]Renewable Diesel'!O261*'[2]RD Feedstock Breakdown'!AY$3*'[2]Feedstock Conversion Rates'!B$4)/12+32+2-125-25</f>
        <v>94.9375</v>
      </c>
      <c r="AZ252" s="45">
        <f>('[2]Renewable Diesel'!O261*'[2]RD Feedstock Breakdown'!AZ$3*'[2]Feedstock Conversion Rates'!B$3)/12-32-2+125+25</f>
        <v>141.03125</v>
      </c>
      <c r="BA252" s="47">
        <f t="shared" si="173"/>
        <v>235.96875</v>
      </c>
      <c r="BB252" s="45">
        <f>('[2]Renewable Diesel'!Q261*'[2]RD Feedstock Breakdown'!BB$3*'[2]Feedstock Conversion Rates'!B$4)/12-10</f>
        <v>1.1562499999999982</v>
      </c>
      <c r="BC252" s="45">
        <f>('[2]Renewable Diesel'!Q261*'[2]RD Feedstock Breakdown'!BC$3*'[2]Feedstock Conversion Rates'!B$3)/12+10</f>
        <v>11.40175</v>
      </c>
      <c r="BD252" s="45">
        <f>('[2]Renewable Diesel'!Q261*'[2]RD Feedstock Breakdown'!BD$3*'[2]Feedstock Conversion Rates'!B$6)/12</f>
        <v>0.8207500000000002</v>
      </c>
      <c r="BE252" s="47">
        <f t="shared" si="151"/>
        <v>13.378749999999998</v>
      </c>
      <c r="BF252" s="45">
        <f>('[2]Renewable Diesel'!R261*'[2]RD Feedstock Breakdown'!BF$3*'[2]Feedstock Conversion Rates'!B$4)/12</f>
        <v>62.5</v>
      </c>
      <c r="BG252" s="47">
        <f t="shared" si="129"/>
        <v>62.5</v>
      </c>
      <c r="BH252" s="45">
        <f>('[2]Renewable Diesel'!T261*'[2]RD Feedstock Breakdown'!BH$3*'[2]Feedstock Conversion Rates'!B$7)/12</f>
        <v>27.599999999999998</v>
      </c>
      <c r="BI252" s="47">
        <f t="shared" si="112"/>
        <v>27.599999999999998</v>
      </c>
      <c r="BJ252" s="45">
        <f>('[2]Renewable Diesel'!W261*'[2]RD Feedstock Breakdown'!BJ$3*'[2]Feedstock Conversion Rates'!B$4)/12</f>
        <v>7.5</v>
      </c>
      <c r="BK252" s="45">
        <f>('[2]Renewable Diesel'!W261*'[2]RD Feedstock Breakdown'!BK$3*'[2]Feedstock Conversion Rates'!B$3)/12</f>
        <v>1.335</v>
      </c>
      <c r="BL252" s="45">
        <f>('[2]Renewable Diesel'!W261*'[2]RD Feedstock Breakdown'!BL$3*'[2]Feedstock Conversion Rates'!B$6)/12</f>
        <v>3.1266666666666669</v>
      </c>
      <c r="BM252" s="45">
        <f>('[2]Renewable Diesel'!W261*'[2]RD Feedstock Breakdown'!BM$3*'[2]Feedstock Conversion Rates'!B$7)/12</f>
        <v>1.5333333333333332</v>
      </c>
      <c r="BN252" s="47">
        <f t="shared" si="168"/>
        <v>13.495000000000001</v>
      </c>
      <c r="BO252" s="45">
        <f>('[2]Renewable Diesel'!P261*'[2]Feedstock Conversion Rates'!B$4)/12</f>
        <v>31.25</v>
      </c>
      <c r="BP252" s="47">
        <f t="shared" si="157"/>
        <v>31.25</v>
      </c>
      <c r="BQ252" s="45">
        <f>('[2]Renewable Diesel'!$S261*'[2]RD Feedstock Breakdown'!BQ$3*'[2]Feedstock Conversion Rates'!B$4)/12+10</f>
        <v>38.125</v>
      </c>
      <c r="BR252" s="45">
        <f>('[2]Renewable Diesel'!$S261*'[2]RD Feedstock Breakdown'!BR$3*'[2]Feedstock Conversion Rates'!B$7)/12-10</f>
        <v>1.5</v>
      </c>
      <c r="BS252" s="47">
        <f t="shared" si="174"/>
        <v>39.625</v>
      </c>
      <c r="BT252" s="47"/>
      <c r="BU252" s="45">
        <f>('[2]Renewable Diesel'!Y261*'[2]Feedstock Conversion Rates'!B$7)/12</f>
        <v>2.6833333333333331</v>
      </c>
      <c r="BV252" s="47">
        <f t="shared" si="153"/>
        <v>2.6833333333333331</v>
      </c>
      <c r="BW252" s="45">
        <f>('[2]Renewable Diesel'!$Z261*'[2]RD Feedstock Breakdown'!BW$3*'[2]Feedstock Conversion Rates'!$B$4)/12</f>
        <v>71.875</v>
      </c>
      <c r="BX252" s="45">
        <f>('[2]Renewable Diesel'!$Z261*'[2]RD Feedstock Breakdown'!BX$3*'[2]Feedstock Conversion Rates'!$B$5)/12</f>
        <v>7.2354166666666666</v>
      </c>
      <c r="BY252" s="45">
        <f>('[2]Renewable Diesel'!$Z261*'[2]RD Feedstock Breakdown'!BY$3*'[2]Feedstock Conversion Rates'!$B$7)/12</f>
        <v>61.716666666666661</v>
      </c>
      <c r="BZ252" s="45">
        <f>('[2]Renewable Diesel'!$Z261*'[2]RD Feedstock Breakdown'!BZ$3*'[2]Feedstock Conversion Rates'!$B$3)/12</f>
        <v>15.352499999999999</v>
      </c>
      <c r="CA252" s="47">
        <f t="shared" si="181"/>
        <v>156.17958333333331</v>
      </c>
      <c r="CB252" s="45">
        <f>('[2]Renewable Diesel'!AA261*'[2]Feedstock Conversion Rates'!B$4)/12</f>
        <v>191.25</v>
      </c>
      <c r="CC252" s="47">
        <f t="shared" si="171"/>
        <v>191.25</v>
      </c>
      <c r="CD252" s="45">
        <f>('[2]Renewable Diesel'!$AB261*'[2]RD Feedstock Breakdown'!CD$3*'[2]Feedstock Conversion Rates'!$B$6)/12-15</f>
        <v>17.830000000000005</v>
      </c>
      <c r="CE252" s="45">
        <f>('[2]Renewable Diesel'!$AB261*'[2]RD Feedstock Breakdown'!CE$3*'[2]Feedstock Conversion Rates'!$B$4)/12+15</f>
        <v>26.25</v>
      </c>
      <c r="CF252" s="47">
        <f t="shared" si="161"/>
        <v>44.080000000000005</v>
      </c>
      <c r="CG252" s="45">
        <f>('[2]Renewable Diesel'!AD261*'[2]Feedstock Conversion Rates'!B$4)/12</f>
        <v>112.5</v>
      </c>
      <c r="CH252" s="47">
        <f t="shared" si="149"/>
        <v>112.5</v>
      </c>
      <c r="CI252" s="45">
        <f>('[2]Renewable Diesel'!$AE261*'[2]RD Feedstock Breakdown'!CI$3*'[2]Feedstock Conversion Rates'!$B$5)/12</f>
        <v>0.34604166666666664</v>
      </c>
      <c r="CJ252" s="45">
        <f>('[2]Renewable Diesel'!$AE261*'[2]RD Feedstock Breakdown'!CJ$3*'[2]Feedstock Conversion Rates'!$B$4)/12</f>
        <v>0.34375</v>
      </c>
      <c r="CK252" s="47">
        <f t="shared" si="158"/>
        <v>0.68979166666666658</v>
      </c>
      <c r="CL252" s="45">
        <f>(((CL$3*'[2]Renewable Diesel'!$AF261)*'[2]Feedstock Conversion Rates'!$B$3)/12)</f>
        <v>91.78125</v>
      </c>
      <c r="CM252" s="45">
        <f>(((CM$3*'[2]Renewable Diesel'!$AF261)*'[2]Feedstock Conversion Rates'!$B$6)/12)</f>
        <v>53.739583333333336</v>
      </c>
      <c r="CN252" s="45">
        <f>(((CN$3*'[2]Renewable Diesel'!$AF261)*'[2]Feedstock Conversion Rates'!$B$4)/12)</f>
        <v>42.96875</v>
      </c>
      <c r="CO252" s="47">
        <f t="shared" si="152"/>
        <v>188.48958333333334</v>
      </c>
      <c r="CP252" s="45">
        <f>('[2]Renewable Diesel'!$AG261*'[2]RD Feedstock Breakdown'!CP$3*'[2]Feedstock Conversion Rates'!$B$3)/12</f>
        <v>6.0075000000000003</v>
      </c>
      <c r="CQ252" s="45">
        <f>('[2]Renewable Diesel'!$AG261*'[2]RD Feedstock Breakdown'!CQ$3*'[2]Feedstock Conversion Rates'!$B$6)/12</f>
        <v>3.5175000000000001</v>
      </c>
      <c r="CR252" s="45">
        <f>('[2]Renewable Diesel'!$AG261*'[2]RD Feedstock Breakdown'!CR$3*'[2]Feedstock Conversion Rates'!$B$4)/12</f>
        <v>2.8125</v>
      </c>
      <c r="CS252" s="47">
        <f t="shared" si="183"/>
        <v>12.3375</v>
      </c>
      <c r="CT252" s="45">
        <f>('[2]Renewable Diesel'!AI261*'[2]Feedstock Conversion Rates'!$B$4*'[2]RD Feedstock Breakdown'!$CT$3)/12</f>
        <v>29.375</v>
      </c>
      <c r="CU252" s="47">
        <f t="shared" si="154"/>
        <v>29.375</v>
      </c>
      <c r="CV252" s="45">
        <f>('[2]Renewable Diesel'!AN261*'[2]Feedstock Conversion Rates'!$B$3*'[2]RD Feedstock Breakdown'!$CV$3)/12</f>
        <v>0.50062499999999999</v>
      </c>
      <c r="CW252" s="47">
        <f t="shared" si="124"/>
        <v>0.50062499999999999</v>
      </c>
      <c r="CX252" s="45">
        <f>('[2]Renewable Diesel'!AO261*'[2]RD Feedstock Breakdown'!$CX$3*'[2]Feedstock Conversion Rates'!$B$3)/12</f>
        <v>6.3412499999999996</v>
      </c>
      <c r="CY252" s="45">
        <f>('[2]Renewable Diesel'!AO261*'[2]RD Feedstock Breakdown'!$CY$3*'[2]Feedstock Conversion Rates'!$B$6)/12</f>
        <v>7.4258333333333342</v>
      </c>
      <c r="CZ252" s="47">
        <f t="shared" si="188"/>
        <v>13.767083333333334</v>
      </c>
      <c r="DA252" s="45">
        <f>('[2]Renewable Diesel'!$AP261*'[2]RD Feedstock Breakdown'!DA$3*'[2]Feedstock Conversion Rates'!$B$3)/12</f>
        <v>6.3412499999999996</v>
      </c>
      <c r="DB252" s="45">
        <f>('[2]Renewable Diesel'!$AP261*'[2]RD Feedstock Breakdown'!DB$3*'[2]Feedstock Conversion Rates'!$B$8)/12</f>
        <v>7.421875</v>
      </c>
      <c r="DC252" s="47">
        <f t="shared" si="127"/>
        <v>13.763124999999999</v>
      </c>
      <c r="DD252" s="45">
        <f>('[2]Renewable Diesel'!AQ261*$DD$3*'[2]Feedstock Conversion Rates'!$B$14)/12</f>
        <v>3.1041666666666665</v>
      </c>
      <c r="DE252" s="47">
        <f t="shared" si="128"/>
        <v>3.1041666666666665</v>
      </c>
      <c r="DF252" s="45">
        <f>('[2]Renewable Diesel'!AR261*'[2]Feedstock Conversion Rates'!$B$4*$DF$3)/12</f>
        <v>75</v>
      </c>
      <c r="DG252" s="47">
        <f t="shared" si="189"/>
        <v>75</v>
      </c>
      <c r="DH252" s="45">
        <f>('[2]Renewable Diesel'!AS261*'[2]Feedstock Conversion Rates'!$B$4*$DH$3)/12</f>
        <v>75</v>
      </c>
      <c r="DI252" s="47">
        <f t="shared" si="194"/>
        <v>75</v>
      </c>
      <c r="DJ252" s="45">
        <f>('[2]Renewable Diesel'!AT261*'[2]Feedstock Conversion Rates'!$B$4*0.25)/12</f>
        <v>8.59375</v>
      </c>
      <c r="DK252" s="45">
        <f>('[2]Renewable Diesel'!$AT261*'[2]RD Feedstock Breakdown'!DK$3*'[2]Feedstock Conversion Rates'!$B$3)/12*0.5</f>
        <v>9.1781249999999996</v>
      </c>
      <c r="DL252" s="45">
        <f>('[2]Renewable Diesel'!$AT261*'[2]RD Feedstock Breakdown'!$DL$3*'[2]Feedstock Conversion Rates'!$B$6)/12</f>
        <v>10.747916666666669</v>
      </c>
      <c r="DM252" s="45">
        <f>('[2]Renewable Diesel'!$AT261*'[2]RD Feedstock Breakdown'!$DM$3*'[2]Feedstock Conversion Rates'!$B$8)/12</f>
        <v>10.7421875</v>
      </c>
      <c r="DN252" s="47">
        <f t="shared" si="169"/>
        <v>39.26197916666667</v>
      </c>
      <c r="DP252" s="45">
        <f t="shared" si="130"/>
        <v>122.22025000000001</v>
      </c>
      <c r="DQ252" s="45">
        <f t="shared" si="131"/>
        <v>647.3677674999999</v>
      </c>
      <c r="DR252" s="45">
        <f t="shared" si="136"/>
        <v>1903.203125</v>
      </c>
      <c r="DS252" s="45">
        <f t="shared" si="155"/>
        <v>52.901250000000005</v>
      </c>
      <c r="DT252" s="45">
        <f t="shared" si="132"/>
        <v>238.03923333333344</v>
      </c>
      <c r="DU252" s="45">
        <f t="shared" si="133"/>
        <v>280.90609999999998</v>
      </c>
      <c r="DV252" s="45">
        <f t="shared" si="137"/>
        <v>8</v>
      </c>
      <c r="DW252" s="45">
        <f t="shared" si="134"/>
        <v>3</v>
      </c>
      <c r="DX252" s="47">
        <f t="shared" si="138"/>
        <v>3255.6377258333332</v>
      </c>
      <c r="DY252" s="50">
        <f t="shared" si="126"/>
        <v>-135.00000000000003</v>
      </c>
      <c r="EA252" s="51">
        <f t="shared" si="117"/>
        <v>3.7541108775767044E-2</v>
      </c>
      <c r="EB252" s="51">
        <f t="shared" si="117"/>
        <v>0.1988451486365227</v>
      </c>
      <c r="EC252" s="51">
        <f t="shared" si="117"/>
        <v>0.584586887508451</v>
      </c>
      <c r="ED252" s="51">
        <f t="shared" si="117"/>
        <v>1.6249120588642606E-2</v>
      </c>
      <c r="EE252" s="51">
        <f t="shared" si="117"/>
        <v>7.3116007793036439E-2</v>
      </c>
      <c r="EF252" s="51">
        <f t="shared" si="117"/>
        <v>8.6282972386953011E-2</v>
      </c>
      <c r="EG252" s="51">
        <f t="shared" si="117"/>
        <v>2.4572758622743475E-3</v>
      </c>
      <c r="EH252" s="52">
        <f t="shared" si="139"/>
        <v>9.2147844835288031E-4</v>
      </c>
      <c r="EI252" s="51">
        <f t="shared" si="191"/>
        <v>0.99907852155164711</v>
      </c>
      <c r="EK252" s="53">
        <f>(EA252*'[2]Renewable Diesel'!BF261*'[2]Feedstock Conversion Rates'!B$2)+FB252</f>
        <v>216.68573555435506</v>
      </c>
      <c r="EL252" s="53">
        <f>(EB252*'[2]Renewable Diesel'!BF261*'[2]Feedstock Conversion Rates'!B$3)+FC252</f>
        <v>1081.5629889078934</v>
      </c>
      <c r="EM252" s="53">
        <f>(EC252*'[2]Renewable Diesel'!BF261*'[2]Feedstock Conversion Rates'!B$4)+FD252</f>
        <v>2977.2454120614616</v>
      </c>
      <c r="EN252" s="53">
        <f>(ED252*'[2]Renewable Diesel'!BF261*'[2]Feedstock Conversion Rates'!B$5)+FE252</f>
        <v>83.306927042017747</v>
      </c>
      <c r="EO252" s="53">
        <f>(EE252*'[2]Renewable Diesel'!BF261*'[2]Feedstock Conversion Rates'!B$6)+FF252</f>
        <v>465.7143396831363</v>
      </c>
      <c r="EP252" s="53">
        <f>(EF252*'[2]Renewable Diesel'!BF261*'[2]Feedstock Conversion Rates'!B$7)+FG252</f>
        <v>539.03532456594496</v>
      </c>
      <c r="EQ252" s="53">
        <f>(EG252*'[2]Renewable Diesel'!BF261*'[2]Feedstock Conversion Rates'!B$8)+FH252</f>
        <v>15.643340287503264</v>
      </c>
      <c r="ER252" s="53">
        <f>(EH252*'[2]Renewable Diesel'!BF261*'[2]Feedstock Conversion Rates'!B$9)+FI252</f>
        <v>5.7880359063762086</v>
      </c>
      <c r="ES252" s="53">
        <f t="shared" si="141"/>
        <v>5384.982104008689</v>
      </c>
      <c r="ET252" s="36">
        <f>ES252/'[2]Renewable Diesel'!BF261</f>
        <v>7.9301237178449373</v>
      </c>
    </row>
    <row r="253" spans="1:150" x14ac:dyDescent="0.25">
      <c r="A253" s="39">
        <v>48122</v>
      </c>
      <c r="B253" s="45">
        <f>115.75+145+100+235+31.5-21-287-20-28-32-70-39-47+40+20-3-10-4-65-60-1+20-2+25+34+31+30+2+8-37-110-1</f>
        <v>0.25</v>
      </c>
      <c r="C253" s="45">
        <f>50-1+1.5-50+15+37-26-5-15</f>
        <v>6.5</v>
      </c>
      <c r="D253" s="45">
        <f>1+1</f>
        <v>2</v>
      </c>
      <c r="E253" s="45">
        <f>('[2]Renewable Diesel'!B262*E$3*'[2]Feedstock Conversion Rates'!$B$2)/12+26+13-100+27.5+39+65-31-1.5-8+37-5-37+1+26</f>
        <v>141.93</v>
      </c>
      <c r="F253" s="45">
        <f>('[2]Renewable Diesel'!B262*'[2]RD Feedstock Breakdown'!F$3*'[2]Feedstock Conversion Rates'!B$8)/12+77+23-10-12-115.75+24+8+4+2-34-15</f>
        <v>5.15625</v>
      </c>
      <c r="G253" s="45">
        <f>('[2]Renewable Diesel'!B262*'[2]RD Feedstock Breakdown'!G$3*'[2]Feedstock Conversion Rates'!B$7)/12+116.75-39-57.5-145-31.5+32+70-40+10-20-25-5+3+5+5</f>
        <v>54.907000000000039</v>
      </c>
      <c r="H253" s="45">
        <f>('[2]Renewable Diesel'!B262*'[2]RD Feedstock Breakdown'!H$3*'[2]Feedstock Conversion Rates'!B$3)/12+67+10+12+3-235+20+47-20+60-30+160+15</f>
        <v>285.40022499999998</v>
      </c>
      <c r="I253" s="47">
        <f t="shared" si="160"/>
        <v>496.14347500000002</v>
      </c>
      <c r="J253" s="45">
        <f>87-50+15+53+55-6+84+19-11-40-29-30-13-50-7+30+25+15-7.5-45-10-1-55+5+15+18+90-5+15+5-100-70+11+40-24-14</f>
        <v>14.5</v>
      </c>
      <c r="K253" s="45"/>
      <c r="L253" s="45">
        <v>1</v>
      </c>
      <c r="M253" s="45">
        <f>('[2]Renewable Diesel'!C262*'[2]RD Feedstock Breakdown'!M$3*'[2]Feedstock Conversion Rates'!B$2)/12-55+5.75+13+7.5-18+24</f>
        <v>-14.95975</v>
      </c>
      <c r="N253" s="45">
        <f>('[2]Renewable Diesel'!C262*'[2]RD Feedstock Breakdown'!N$3*'[2]Feedstock Conversion Rates'!B$8)/12-15+11+7-15+10.25-5-15+5-11</f>
        <v>-24.078125</v>
      </c>
      <c r="O253" s="45">
        <f>('[2]Renewable Diesel'!C262*'[2]RD Feedstock Breakdown'!O$3*'[2]Feedstock Conversion Rates'!B$7)/12-87+50-53+10+100-40+14</f>
        <v>5.9990999999999985</v>
      </c>
      <c r="P253" s="45">
        <f>('[2]Renewable Diesel'!C262*'[2]RD Feedstock Breakdown'!P$3*'[2]Feedstock Conversion Rates'!B$3)/12-84+40+50-25+45+55-90-15-5+70</f>
        <v>51.447042499999995</v>
      </c>
      <c r="Q253" s="47">
        <f t="shared" si="172"/>
        <v>33.908267499999994</v>
      </c>
      <c r="R253" s="45">
        <f>('[2]Renewable Diesel'!D262*'[2]RD Feedstock Breakdown'!R$3*'[2]Feedstock Conversion Rates'!B$7)/12</f>
        <v>2.2999999999999998</v>
      </c>
      <c r="S253" s="47">
        <f t="shared" si="116"/>
        <v>2.2999999999999998</v>
      </c>
      <c r="T253" s="45">
        <f>5.825+20-25+35+4-35</f>
        <v>4.8250000000000028</v>
      </c>
      <c r="U253" s="45">
        <v>35</v>
      </c>
      <c r="V253" s="45">
        <f>('[2]Renewable Diesel'!E262*'[2]RD Feedstock Breakdown'!V$3*'[2]Feedstock Conversion Rates'!B$6)/12-20+25-35-4</f>
        <v>10.250150000000012</v>
      </c>
      <c r="W253" s="45">
        <f>('[2]Renewable Diesel'!E262*'[2]RD Feedstock Breakdown'!W$3*'[2]Feedstock Conversion Rates'!B$8)/12-6</f>
        <v>16.1796875</v>
      </c>
      <c r="X253" s="47">
        <f t="shared" si="147"/>
        <v>66.254837500000008</v>
      </c>
      <c r="Y253" s="45">
        <f>50+32-80+171+60-15-75-30-15-5-47.5+5-22.5+85-70+57.5+18+10+25+7-7-7</f>
        <v>146.5</v>
      </c>
      <c r="Z253" s="45">
        <f>('[2]Renewable Diesel'!F262*'[2]RD Feedstock Breakdown'!Z$3*'[2]Feedstock Conversion Rates'!B$6)/12-50-32-60+15+15+47.5+22.5-85+70-10-25-7+7+7</f>
        <v>74.460000000000008</v>
      </c>
      <c r="AA253" s="45">
        <f>('[2]Renewable Diesel'!F262*'[2]RD Feedstock Breakdown'!AA$3*'[2]Feedstock Conversion Rates'!B$7)/12+80-171+75+30-57.5-18</f>
        <v>42.766666666666652</v>
      </c>
      <c r="AB253" s="47">
        <f t="shared" si="190"/>
        <v>263.72666666666669</v>
      </c>
      <c r="AC253" s="45">
        <f>('[2]Renewable Diesel'!G262*'[2]RD Feedstock Breakdown'!AC$3*'[2]Feedstock Conversion Rates'!B$5)/12</f>
        <v>11.796875</v>
      </c>
      <c r="AD253" s="45">
        <f>('[2]Renewable Diesel'!G262*'[2]RD Feedstock Breakdown'!AD$3*'[2]Feedstock Conversion Rates'!B$4)/12</f>
        <v>5.859375</v>
      </c>
      <c r="AE253" s="45">
        <f>('[2]Renewable Diesel'!G262*'[2]RD Feedstock Breakdown'!AE$3*'[2]Feedstock Conversion Rates'!B$6)/12</f>
        <v>7.3281250000000009</v>
      </c>
      <c r="AF253" s="47">
        <f t="shared" si="156"/>
        <v>24.984375</v>
      </c>
      <c r="AG253" s="45">
        <f t="shared" si="182"/>
        <v>6.5</v>
      </c>
      <c r="AH253" s="45">
        <v>135</v>
      </c>
      <c r="AI253" s="45">
        <f>('[2]Renewable Diesel'!H262*'[2]RD Feedstock Breakdown'!AI$3*'[2]Feedstock Conversion Rates'!B$6)/12-130-20+51-120+105-37.5+20-10</f>
        <v>7.0166666666666799</v>
      </c>
      <c r="AJ253" s="47">
        <f t="shared" si="113"/>
        <v>13.51666666666668</v>
      </c>
      <c r="AK253" s="45">
        <f>('[2]Renewable Diesel'!J262*'[2]RD Feedstock Breakdown'!AK$3*'[2]Feedstock Conversion Rates'!B$4)/12</f>
        <v>95.8125</v>
      </c>
      <c r="AL253" s="47">
        <f t="shared" si="123"/>
        <v>95.8125</v>
      </c>
      <c r="AM253" s="45">
        <f>('[2]Renewable Diesel'!K262*'[2]RD Feedstock Breakdown'!AM$3*'[2]Feedstock Conversion Rates'!B$4)/12+5+15-10+4+5-28</f>
        <v>49.59375</v>
      </c>
      <c r="AN253" s="45">
        <f>('[2]Renewable Diesel'!K262*'[2]RD Feedstock Breakdown'!AN$3*'[2]Feedstock Conversion Rates'!B$6)/12-5-15+10-4-5+28</f>
        <v>33.427083333333329</v>
      </c>
      <c r="AO253" s="47">
        <f t="shared" si="135"/>
        <v>83.020833333333329</v>
      </c>
      <c r="AP253" s="45">
        <f>('[2]Renewable Diesel'!L262*'[2]RD Feedstock Breakdown'!AP$3*'[2]Feedstock Conversion Rates'!B$4)/12+15-10+5+2+7</f>
        <v>77.59375</v>
      </c>
      <c r="AQ253" s="45">
        <f>('[2]Renewable Diesel'!L262*'[2]RD Feedstock Breakdown'!AQ$3*'[2]Feedstock Conversion Rates'!B$6)/12-15+10-5-2-7</f>
        <v>5.4270833333333321</v>
      </c>
      <c r="AR253" s="47">
        <f t="shared" si="125"/>
        <v>83.020833333333329</v>
      </c>
      <c r="AS253" s="45">
        <f>('[2]Renewable Diesel'!M262*'[2]RD Feedstock Breakdown'!AS$3*'[2]Feedstock Conversion Rates'!B$4)/12</f>
        <v>456.25</v>
      </c>
      <c r="AT253" s="45">
        <f>('[2]Renewable Diesel'!M262*'[2]RD Feedstock Breakdown'!AT$3*'[2]Feedstock Conversion Rates'!B$5)/12</f>
        <v>0</v>
      </c>
      <c r="AU253" s="47">
        <f t="shared" si="159"/>
        <v>456.25</v>
      </c>
      <c r="AV253" s="45">
        <f>'[2]Renewable Diesel'!N262*'[2]RD Feedstock Breakdown'!$AV$3*'[2]Feedstock Conversion Rates'!$B$4/12-15-10+25+25-22+15-62.5+1</f>
        <v>35.249999999999986</v>
      </c>
      <c r="AW253" s="45">
        <f>'[2]Renewable Diesel'!N262*'[2]RD Feedstock Breakdown'!$AW$3*'[2]Feedstock Conversion Rates'!$B$7/12+15+10-25-25+22-15+62.5-1</f>
        <v>84.9</v>
      </c>
      <c r="AX253" s="47">
        <f t="shared" si="193"/>
        <v>120.14999999999999</v>
      </c>
      <c r="AY253" s="45">
        <f>('[2]Renewable Diesel'!O262*'[2]RD Feedstock Breakdown'!AY$3*'[2]Feedstock Conversion Rates'!B$4)/12+12+3+19-125-100</f>
        <v>19.9375</v>
      </c>
      <c r="AZ253" s="45">
        <f>('[2]Renewable Diesel'!O262*'[2]RD Feedstock Breakdown'!AZ$3*'[2]Feedstock Conversion Rates'!B$3)/12-15-19+125+100</f>
        <v>216.03125</v>
      </c>
      <c r="BA253" s="47">
        <f t="shared" si="173"/>
        <v>235.96875</v>
      </c>
      <c r="BB253" s="45">
        <f>('[2]Renewable Diesel'!Q262*'[2]RD Feedstock Breakdown'!BB$3*'[2]Feedstock Conversion Rates'!B$4)/12-10</f>
        <v>1.1562499999999982</v>
      </c>
      <c r="BC253" s="45">
        <f>('[2]Renewable Diesel'!Q262*'[2]RD Feedstock Breakdown'!BC$3*'[2]Feedstock Conversion Rates'!B$3)/12+10</f>
        <v>11.40175</v>
      </c>
      <c r="BD253" s="45">
        <f>('[2]Renewable Diesel'!Q262*'[2]RD Feedstock Breakdown'!BD$3*'[2]Feedstock Conversion Rates'!B$6)/12</f>
        <v>0.8207500000000002</v>
      </c>
      <c r="BE253" s="47">
        <f t="shared" si="151"/>
        <v>13.378749999999998</v>
      </c>
      <c r="BF253" s="45">
        <f>('[2]Renewable Diesel'!R262*'[2]RD Feedstock Breakdown'!BF$3*'[2]Feedstock Conversion Rates'!B$4)/12</f>
        <v>62.5</v>
      </c>
      <c r="BG253" s="47">
        <f t="shared" si="129"/>
        <v>62.5</v>
      </c>
      <c r="BH253" s="45">
        <f>('[2]Renewable Diesel'!T262*'[2]RD Feedstock Breakdown'!BH$3*'[2]Feedstock Conversion Rates'!B$7)/12</f>
        <v>27.599999999999998</v>
      </c>
      <c r="BI253" s="47">
        <f t="shared" ref="BI253:BI316" si="195">BH253</f>
        <v>27.599999999999998</v>
      </c>
      <c r="BJ253" s="45">
        <f>('[2]Renewable Diesel'!W262*'[2]RD Feedstock Breakdown'!BJ$3*'[2]Feedstock Conversion Rates'!B$4)/12</f>
        <v>7.5</v>
      </c>
      <c r="BK253" s="45">
        <f>('[2]Renewable Diesel'!W262*'[2]RD Feedstock Breakdown'!BK$3*'[2]Feedstock Conversion Rates'!B$3)/12</f>
        <v>1.335</v>
      </c>
      <c r="BL253" s="45">
        <f>('[2]Renewable Diesel'!W262*'[2]RD Feedstock Breakdown'!BL$3*'[2]Feedstock Conversion Rates'!B$6)/12</f>
        <v>3.1266666666666669</v>
      </c>
      <c r="BM253" s="45">
        <f>('[2]Renewable Diesel'!W262*'[2]RD Feedstock Breakdown'!BM$3*'[2]Feedstock Conversion Rates'!B$7)/12</f>
        <v>1.5333333333333332</v>
      </c>
      <c r="BN253" s="47">
        <f t="shared" si="168"/>
        <v>13.495000000000001</v>
      </c>
      <c r="BO253" s="45">
        <f>('[2]Renewable Diesel'!P262*'[2]Feedstock Conversion Rates'!B$4)/12</f>
        <v>31.25</v>
      </c>
      <c r="BP253" s="47">
        <f t="shared" si="157"/>
        <v>31.25</v>
      </c>
      <c r="BQ253" s="45">
        <f>('[2]Renewable Diesel'!$S262*'[2]RD Feedstock Breakdown'!BQ$3*'[2]Feedstock Conversion Rates'!B$4)/12+10</f>
        <v>38.125</v>
      </c>
      <c r="BR253" s="45">
        <f>('[2]Renewable Diesel'!$S262*'[2]RD Feedstock Breakdown'!BR$3*'[2]Feedstock Conversion Rates'!B$7)/12-10</f>
        <v>1.5</v>
      </c>
      <c r="BS253" s="47">
        <f t="shared" si="174"/>
        <v>39.625</v>
      </c>
      <c r="BT253" s="47"/>
      <c r="BU253" s="45">
        <f>('[2]Renewable Diesel'!Y262*'[2]Feedstock Conversion Rates'!B$7)/12</f>
        <v>2.6833333333333331</v>
      </c>
      <c r="BV253" s="47">
        <f t="shared" si="153"/>
        <v>2.6833333333333331</v>
      </c>
      <c r="BW253" s="45">
        <f>('[2]Renewable Diesel'!$Z262*'[2]RD Feedstock Breakdown'!BW$3*'[2]Feedstock Conversion Rates'!$B$4)/12</f>
        <v>71.875</v>
      </c>
      <c r="BX253" s="45">
        <f>('[2]Renewable Diesel'!$Z262*'[2]RD Feedstock Breakdown'!BX$3*'[2]Feedstock Conversion Rates'!$B$5)/12</f>
        <v>7.2354166666666666</v>
      </c>
      <c r="BY253" s="45">
        <f>('[2]Renewable Diesel'!$Z262*'[2]RD Feedstock Breakdown'!BY$3*'[2]Feedstock Conversion Rates'!$B$7)/12</f>
        <v>61.716666666666661</v>
      </c>
      <c r="BZ253" s="45">
        <f>('[2]Renewable Diesel'!$Z262*'[2]RD Feedstock Breakdown'!BZ$3*'[2]Feedstock Conversion Rates'!$B$3)/12</f>
        <v>15.352499999999999</v>
      </c>
      <c r="CA253" s="47">
        <f t="shared" si="181"/>
        <v>156.17958333333331</v>
      </c>
      <c r="CB253" s="45">
        <f>('[2]Renewable Diesel'!AA262*'[2]Feedstock Conversion Rates'!B$4)/12</f>
        <v>191.25</v>
      </c>
      <c r="CC253" s="47">
        <f t="shared" si="171"/>
        <v>191.25</v>
      </c>
      <c r="CD253" s="45">
        <f>('[2]Renewable Diesel'!$AB262*'[2]RD Feedstock Breakdown'!CD$3*'[2]Feedstock Conversion Rates'!$B$6)/12-15</f>
        <v>17.830000000000005</v>
      </c>
      <c r="CE253" s="45">
        <f>('[2]Renewable Diesel'!$AB262*'[2]RD Feedstock Breakdown'!CE$3*'[2]Feedstock Conversion Rates'!$B$4)/12+15</f>
        <v>26.25</v>
      </c>
      <c r="CF253" s="47">
        <f t="shared" si="161"/>
        <v>44.080000000000005</v>
      </c>
      <c r="CG253" s="45">
        <f>('[2]Renewable Diesel'!AD262*'[2]Feedstock Conversion Rates'!B$4)/12</f>
        <v>112.5</v>
      </c>
      <c r="CH253" s="47">
        <f t="shared" si="149"/>
        <v>112.5</v>
      </c>
      <c r="CI253" s="45">
        <f>('[2]Renewable Diesel'!$AE262*'[2]RD Feedstock Breakdown'!CI$3*'[2]Feedstock Conversion Rates'!$B$5)/12</f>
        <v>0.34604166666666664</v>
      </c>
      <c r="CJ253" s="45">
        <f>('[2]Renewable Diesel'!$AE262*'[2]RD Feedstock Breakdown'!CJ$3*'[2]Feedstock Conversion Rates'!$B$4)/12</f>
        <v>0.34375</v>
      </c>
      <c r="CK253" s="47">
        <f t="shared" si="158"/>
        <v>0.68979166666666658</v>
      </c>
      <c r="CL253" s="45">
        <f>(((CL$3*'[2]Renewable Diesel'!$AF262)*'[2]Feedstock Conversion Rates'!$B$3)/12)-11</f>
        <v>80.78125</v>
      </c>
      <c r="CM253" s="45">
        <f>(((CM$3*'[2]Renewable Diesel'!$AF262)*'[2]Feedstock Conversion Rates'!$B$6)/12)+11</f>
        <v>64.739583333333343</v>
      </c>
      <c r="CN253" s="45">
        <f>(((CN$3*'[2]Renewable Diesel'!$AF262)*'[2]Feedstock Conversion Rates'!$B$4)/12)</f>
        <v>42.96875</v>
      </c>
      <c r="CO253" s="47">
        <f t="shared" si="152"/>
        <v>188.48958333333334</v>
      </c>
      <c r="CP253" s="45">
        <f>('[2]Renewable Diesel'!$AG262*'[2]RD Feedstock Breakdown'!CP$3*'[2]Feedstock Conversion Rates'!$B$3)/12</f>
        <v>6.0075000000000003</v>
      </c>
      <c r="CQ253" s="45">
        <f>('[2]Renewable Diesel'!$AG262*'[2]RD Feedstock Breakdown'!CQ$3*'[2]Feedstock Conversion Rates'!$B$6)/12</f>
        <v>3.5175000000000001</v>
      </c>
      <c r="CR253" s="45">
        <f>('[2]Renewable Diesel'!$AG262*'[2]RD Feedstock Breakdown'!CR$3*'[2]Feedstock Conversion Rates'!$B$4)/12</f>
        <v>2.8125</v>
      </c>
      <c r="CS253" s="47">
        <f t="shared" si="183"/>
        <v>12.3375</v>
      </c>
      <c r="CT253" s="45">
        <f>('[2]Renewable Diesel'!AI262*'[2]Feedstock Conversion Rates'!$B$4*'[2]RD Feedstock Breakdown'!$CT$3)/12</f>
        <v>29.375</v>
      </c>
      <c r="CU253" s="47">
        <f t="shared" si="154"/>
        <v>29.375</v>
      </c>
      <c r="CV253" s="45">
        <f>('[2]Renewable Diesel'!AN262*'[2]Feedstock Conversion Rates'!$B$3*'[2]RD Feedstock Breakdown'!$CV$3)/12</f>
        <v>0.50062499999999999</v>
      </c>
      <c r="CW253" s="47">
        <f t="shared" si="124"/>
        <v>0.50062499999999999</v>
      </c>
      <c r="CX253" s="45">
        <f>('[2]Renewable Diesel'!AO262*'[2]RD Feedstock Breakdown'!$CX$3*'[2]Feedstock Conversion Rates'!$B$3)/12</f>
        <v>6.3412499999999996</v>
      </c>
      <c r="CY253" s="45">
        <f>('[2]Renewable Diesel'!AO262*'[2]RD Feedstock Breakdown'!$CY$3*'[2]Feedstock Conversion Rates'!$B$6)/12</f>
        <v>7.4258333333333342</v>
      </c>
      <c r="CZ253" s="47">
        <f t="shared" si="188"/>
        <v>13.767083333333334</v>
      </c>
      <c r="DA253" s="45">
        <f>('[2]Renewable Diesel'!$AP262*'[2]RD Feedstock Breakdown'!DA$3*'[2]Feedstock Conversion Rates'!$B$3)/12</f>
        <v>6.3412499999999996</v>
      </c>
      <c r="DB253" s="45">
        <f>('[2]Renewable Diesel'!$AP262*'[2]RD Feedstock Breakdown'!DB$3*'[2]Feedstock Conversion Rates'!$B$8)/12</f>
        <v>7.421875</v>
      </c>
      <c r="DC253" s="47">
        <f t="shared" si="127"/>
        <v>13.763124999999999</v>
      </c>
      <c r="DD253" s="45">
        <f>('[2]Renewable Diesel'!AQ262*$DD$3*'[2]Feedstock Conversion Rates'!$B$14)/12</f>
        <v>3.1041666666666665</v>
      </c>
      <c r="DE253" s="47">
        <f t="shared" si="128"/>
        <v>3.1041666666666665</v>
      </c>
      <c r="DF253" s="45">
        <f>('[2]Renewable Diesel'!AR262*'[2]Feedstock Conversion Rates'!$B$4*$DF$3)/12</f>
        <v>75</v>
      </c>
      <c r="DG253" s="47">
        <f t="shared" si="189"/>
        <v>75</v>
      </c>
      <c r="DH253" s="45">
        <f>('[2]Renewable Diesel'!AS262*'[2]Feedstock Conversion Rates'!$B$4*$DH$3)/12</f>
        <v>75</v>
      </c>
      <c r="DI253" s="47">
        <f t="shared" si="194"/>
        <v>75</v>
      </c>
      <c r="DJ253" s="45">
        <f>('[2]Renewable Diesel'!AT262*'[2]Feedstock Conversion Rates'!$B$4*0.25)/12</f>
        <v>8.59375</v>
      </c>
      <c r="DK253" s="45">
        <f>('[2]Renewable Diesel'!$AT262*'[2]RD Feedstock Breakdown'!DK$3*'[2]Feedstock Conversion Rates'!$B$3)/12*0.5</f>
        <v>9.1781249999999996</v>
      </c>
      <c r="DL253" s="45">
        <f>('[2]Renewable Diesel'!$AT262*'[2]RD Feedstock Breakdown'!$DL$3*'[2]Feedstock Conversion Rates'!$B$6)/12</f>
        <v>10.747916666666669</v>
      </c>
      <c r="DM253" s="45">
        <f>('[2]Renewable Diesel'!$AT262*'[2]RD Feedstock Breakdown'!$DM$3*'[2]Feedstock Conversion Rates'!$B$8)/12</f>
        <v>10.7421875</v>
      </c>
      <c r="DN253" s="47">
        <f t="shared" si="169"/>
        <v>39.26197916666667</v>
      </c>
      <c r="DP253" s="45">
        <f t="shared" si="130"/>
        <v>126.97025000000001</v>
      </c>
      <c r="DQ253" s="45">
        <f t="shared" si="131"/>
        <v>690.11776750000001</v>
      </c>
      <c r="DR253" s="45">
        <f t="shared" si="136"/>
        <v>1839.453125</v>
      </c>
      <c r="DS253" s="45">
        <f t="shared" si="155"/>
        <v>48.901250000000005</v>
      </c>
      <c r="DT253" s="45">
        <f t="shared" si="132"/>
        <v>253.53923333333344</v>
      </c>
      <c r="DU253" s="45">
        <f t="shared" si="133"/>
        <v>285.90609999999998</v>
      </c>
      <c r="DV253" s="45">
        <f t="shared" si="137"/>
        <v>8</v>
      </c>
      <c r="DW253" s="45">
        <f t="shared" si="134"/>
        <v>3</v>
      </c>
      <c r="DX253" s="47">
        <f t="shared" si="138"/>
        <v>3255.8877258333337</v>
      </c>
      <c r="DY253" s="50">
        <f t="shared" si="126"/>
        <v>-135.00000000000048</v>
      </c>
      <c r="EA253" s="51">
        <f t="shared" si="117"/>
        <v>3.8997121735056879E-2</v>
      </c>
      <c r="EB253" s="51">
        <f t="shared" si="117"/>
        <v>0.21195994014915445</v>
      </c>
      <c r="EC253" s="51">
        <f t="shared" si="117"/>
        <v>0.56496208711533447</v>
      </c>
      <c r="ED253" s="51">
        <f t="shared" si="117"/>
        <v>1.5019329325148609E-2</v>
      </c>
      <c r="EE253" s="51">
        <f t="shared" si="117"/>
        <v>7.7871000072166463E-2</v>
      </c>
      <c r="EF253" s="51">
        <f t="shared" si="117"/>
        <v>8.7812026726696565E-2</v>
      </c>
      <c r="EG253" s="51">
        <f t="shared" si="117"/>
        <v>2.4570871828672857E-3</v>
      </c>
      <c r="EH253" s="52">
        <f t="shared" si="139"/>
        <v>9.2140769357523225E-4</v>
      </c>
      <c r="EI253" s="51">
        <f t="shared" si="191"/>
        <v>0.99907859230642482</v>
      </c>
      <c r="EK253" s="53">
        <f>(EA253*'[2]Renewable Diesel'!BF262*'[2]Feedstock Conversion Rates'!B$2)+FB253</f>
        <v>230.82022218236523</v>
      </c>
      <c r="EL253" s="53">
        <f>(EB253*'[2]Renewable Diesel'!BF262*'[2]Feedstock Conversion Rates'!B$3)+FC253</f>
        <v>1182.2482480785357</v>
      </c>
      <c r="EM253" s="53">
        <f>(EC253*'[2]Renewable Diesel'!BF262*'[2]Feedstock Conversion Rates'!B$4)+FD253</f>
        <v>2950.5497571273077</v>
      </c>
      <c r="EN253" s="53">
        <f>(ED253*'[2]Renewable Diesel'!BF262*'[2]Feedstock Conversion Rates'!B$5)+FE253</f>
        <v>78.962313932006225</v>
      </c>
      <c r="EO253" s="53">
        <f>(EE253*'[2]Renewable Diesel'!BF262*'[2]Feedstock Conversion Rates'!B$6)+FF253</f>
        <v>508.62882099787731</v>
      </c>
      <c r="EP253" s="53">
        <f>(EF253*'[2]Renewable Diesel'!BF262*'[2]Feedstock Conversion Rates'!B$7)+FG253</f>
        <v>562.55398190910205</v>
      </c>
      <c r="EQ253" s="53">
        <f>(EG253*'[2]Renewable Diesel'!BF262*'[2]Feedstock Conversion Rates'!B$8)+FH253</f>
        <v>16.040363937663852</v>
      </c>
      <c r="ER253" s="53">
        <f>(EH253*'[2]Renewable Diesel'!BF262*'[2]Feedstock Conversion Rates'!B$9)+FI253</f>
        <v>5.9349346569356252</v>
      </c>
      <c r="ES253" s="53">
        <f t="shared" si="141"/>
        <v>5535.7386428217933</v>
      </c>
      <c r="ET253" s="36">
        <f>ES253/'[2]Renewable Diesel'!BF262</f>
        <v>7.9497450851800719</v>
      </c>
    </row>
    <row r="254" spans="1:150" x14ac:dyDescent="0.25">
      <c r="A254" s="39">
        <v>48153</v>
      </c>
      <c r="B254" s="45">
        <f t="shared" ref="B254:B264" si="196">115.75+145+100+235+31.5-21-287-20-28-32-70-39-47+40+20-3-10-4-65-60-1+20-2+25+34+31+30+2+8-37-110-1</f>
        <v>0.25</v>
      </c>
      <c r="C254" s="45">
        <f t="shared" ref="C254:C264" si="197">50-1+1.5-50+15+37-26-5-15</f>
        <v>6.5</v>
      </c>
      <c r="D254" s="45">
        <f t="shared" ref="D254:D264" si="198">1+1</f>
        <v>2</v>
      </c>
      <c r="E254" s="45">
        <f>('[2]Renewable Diesel'!B263*E$3*'[2]Feedstock Conversion Rates'!$B$2)/12+26+13-100+27.5+39+65-31-1.5-8+37-5-37+1+26</f>
        <v>141.93</v>
      </c>
      <c r="F254" s="45">
        <f>('[2]Renewable Diesel'!B263*'[2]RD Feedstock Breakdown'!F$3*'[2]Feedstock Conversion Rates'!B$8)/12+77+23-10-12-115.75+24+8+4+2-34-15</f>
        <v>5.15625</v>
      </c>
      <c r="G254" s="45">
        <f>('[2]Renewable Diesel'!B263*'[2]RD Feedstock Breakdown'!G$3*'[2]Feedstock Conversion Rates'!B$7)/12+116.75-39-57.5-145-31.5+32+70-40+10-20-25-5+3+5+5</f>
        <v>54.907000000000039</v>
      </c>
      <c r="H254" s="45">
        <f>('[2]Renewable Diesel'!B263*'[2]RD Feedstock Breakdown'!H$3*'[2]Feedstock Conversion Rates'!B$3)/12+67+10+12+3-235+20+47-20+60-30+160+15</f>
        <v>285.40022499999998</v>
      </c>
      <c r="I254" s="47">
        <f t="shared" si="160"/>
        <v>496.14347500000002</v>
      </c>
      <c r="J254" s="45">
        <f t="shared" ref="J254:J264" si="199">87-50+15+53+55-6+84+19-11-40-29-30-13-50-7+30+25+15-7.5-45-10-1-55+5+15+18+90-5+15+5-100-70+11+40-24-14</f>
        <v>14.5</v>
      </c>
      <c r="K254" s="45"/>
      <c r="L254" s="45">
        <v>1</v>
      </c>
      <c r="M254" s="45">
        <f>('[2]Renewable Diesel'!C263*'[2]RD Feedstock Breakdown'!M$3*'[2]Feedstock Conversion Rates'!B$2)/12-55+5.75+13+7.5-18+24</f>
        <v>-14.95975</v>
      </c>
      <c r="N254" s="45">
        <f>('[2]Renewable Diesel'!C263*'[2]RD Feedstock Breakdown'!N$3*'[2]Feedstock Conversion Rates'!B$8)/12-15+11+7-15+10.25-5-15+5-11</f>
        <v>-24.078125</v>
      </c>
      <c r="O254" s="45">
        <f>('[2]Renewable Diesel'!C263*'[2]RD Feedstock Breakdown'!O$3*'[2]Feedstock Conversion Rates'!B$7)/12-87+50-53+10+100-40+14</f>
        <v>5.9990999999999985</v>
      </c>
      <c r="P254" s="45">
        <f>('[2]Renewable Diesel'!C263*'[2]RD Feedstock Breakdown'!P$3*'[2]Feedstock Conversion Rates'!B$3)/12-84+40+50-25+45+55-90-15-5+70</f>
        <v>51.447042499999995</v>
      </c>
      <c r="Q254" s="47">
        <f t="shared" si="172"/>
        <v>33.908267499999994</v>
      </c>
      <c r="R254" s="45">
        <f>('[2]Renewable Diesel'!D263*'[2]RD Feedstock Breakdown'!R$3*'[2]Feedstock Conversion Rates'!B$7)/12</f>
        <v>2.2999999999999998</v>
      </c>
      <c r="S254" s="47">
        <f t="shared" si="116"/>
        <v>2.2999999999999998</v>
      </c>
      <c r="T254" s="45">
        <f>5.825+20-25+35+4-35</f>
        <v>4.8250000000000028</v>
      </c>
      <c r="U254" s="45">
        <v>35</v>
      </c>
      <c r="V254" s="45">
        <f>('[2]Renewable Diesel'!E263*'[2]RD Feedstock Breakdown'!V$3*'[2]Feedstock Conversion Rates'!B$6)/12-20+25-35-4</f>
        <v>10.250150000000012</v>
      </c>
      <c r="W254" s="45">
        <f>('[2]Renewable Diesel'!E263*'[2]RD Feedstock Breakdown'!W$3*'[2]Feedstock Conversion Rates'!B$8)/12-6</f>
        <v>16.1796875</v>
      </c>
      <c r="X254" s="47">
        <f t="shared" si="147"/>
        <v>66.254837500000008</v>
      </c>
      <c r="Y254" s="45">
        <f t="shared" ref="Y254:Y264" si="200">50+32-80+171+60-15-75-30-15-5-47.5+5-22.5+85-70+57.5+18+10+25+7-7-7</f>
        <v>146.5</v>
      </c>
      <c r="Z254" s="45">
        <f>('[2]Renewable Diesel'!F263*'[2]RD Feedstock Breakdown'!Z$3*'[2]Feedstock Conversion Rates'!B$6)/12-50-32-60+15+15+47.5+22.5-85+70-10-25-7+7+7</f>
        <v>74.460000000000008</v>
      </c>
      <c r="AA254" s="45">
        <f>('[2]Renewable Diesel'!F263*'[2]RD Feedstock Breakdown'!AA$3*'[2]Feedstock Conversion Rates'!B$7)/12+80-171+75+30-57.5-18</f>
        <v>42.766666666666652</v>
      </c>
      <c r="AB254" s="47">
        <f t="shared" si="190"/>
        <v>263.72666666666669</v>
      </c>
      <c r="AC254" s="45">
        <f>('[2]Renewable Diesel'!G263*'[2]RD Feedstock Breakdown'!AC$3*'[2]Feedstock Conversion Rates'!B$5)/12</f>
        <v>11.796875</v>
      </c>
      <c r="AD254" s="45">
        <f>('[2]Renewable Diesel'!G263*'[2]RD Feedstock Breakdown'!AD$3*'[2]Feedstock Conversion Rates'!B$4)/12</f>
        <v>5.859375</v>
      </c>
      <c r="AE254" s="45">
        <f>('[2]Renewable Diesel'!G263*'[2]RD Feedstock Breakdown'!AE$3*'[2]Feedstock Conversion Rates'!B$6)/12</f>
        <v>7.3281250000000009</v>
      </c>
      <c r="AF254" s="47">
        <f t="shared" si="156"/>
        <v>24.984375</v>
      </c>
      <c r="AG254" s="45">
        <f t="shared" si="182"/>
        <v>6.5</v>
      </c>
      <c r="AH254" s="45">
        <v>135</v>
      </c>
      <c r="AI254" s="45">
        <f>('[2]Renewable Diesel'!H263*'[2]RD Feedstock Breakdown'!AI$3*'[2]Feedstock Conversion Rates'!B$6)/12-130-20+51-120+105-37.5+20-10</f>
        <v>7.0166666666666799</v>
      </c>
      <c r="AJ254" s="47">
        <f t="shared" si="113"/>
        <v>13.51666666666668</v>
      </c>
      <c r="AK254" s="45">
        <f>('[2]Renewable Diesel'!J263*'[2]RD Feedstock Breakdown'!AK$3*'[2]Feedstock Conversion Rates'!B$4)/12</f>
        <v>95.8125</v>
      </c>
      <c r="AL254" s="47">
        <f t="shared" si="123"/>
        <v>95.8125</v>
      </c>
      <c r="AM254" s="45">
        <f>('[2]Renewable Diesel'!K263*'[2]RD Feedstock Breakdown'!AM$3*'[2]Feedstock Conversion Rates'!B$4)/12+5+15-10+4+5-28</f>
        <v>49.59375</v>
      </c>
      <c r="AN254" s="45">
        <f>('[2]Renewable Diesel'!K263*'[2]RD Feedstock Breakdown'!AN$3*'[2]Feedstock Conversion Rates'!B$6)/12-5-15+10-4-5+28</f>
        <v>33.427083333333329</v>
      </c>
      <c r="AO254" s="47">
        <f t="shared" si="135"/>
        <v>83.020833333333329</v>
      </c>
      <c r="AP254" s="45">
        <f>('[2]Renewable Diesel'!L263*'[2]RD Feedstock Breakdown'!AP$3*'[2]Feedstock Conversion Rates'!B$4)/12+15-10+5+2+7</f>
        <v>77.59375</v>
      </c>
      <c r="AQ254" s="45">
        <f>('[2]Renewable Diesel'!L263*'[2]RD Feedstock Breakdown'!AQ$3*'[2]Feedstock Conversion Rates'!B$6)/12-15+10-5-2-7</f>
        <v>5.4270833333333321</v>
      </c>
      <c r="AR254" s="47">
        <f t="shared" si="125"/>
        <v>83.020833333333329</v>
      </c>
      <c r="AS254" s="45">
        <f>('[2]Renewable Diesel'!M263*'[2]RD Feedstock Breakdown'!AS$3*'[2]Feedstock Conversion Rates'!B$4)/12</f>
        <v>456.25</v>
      </c>
      <c r="AT254" s="45">
        <f>('[2]Renewable Diesel'!M263*'[2]RD Feedstock Breakdown'!AT$3*'[2]Feedstock Conversion Rates'!B$5)/12</f>
        <v>0</v>
      </c>
      <c r="AU254" s="47">
        <f t="shared" si="159"/>
        <v>456.25</v>
      </c>
      <c r="AV254" s="45">
        <f>'[2]Renewable Diesel'!N263*'[2]RD Feedstock Breakdown'!$AV$3*'[2]Feedstock Conversion Rates'!$B$4/12-15-10+25+25-22+15-62.5+1</f>
        <v>35.249999999999986</v>
      </c>
      <c r="AW254" s="45">
        <f>'[2]Renewable Diesel'!N263*'[2]RD Feedstock Breakdown'!$AW$3*'[2]Feedstock Conversion Rates'!$B$7/12+15+10-25-25+22-15+62.5-1</f>
        <v>84.9</v>
      </c>
      <c r="AX254" s="47">
        <f t="shared" si="193"/>
        <v>120.14999999999999</v>
      </c>
      <c r="AY254" s="45">
        <f>('[2]Renewable Diesel'!O263*'[2]RD Feedstock Breakdown'!AY$3*'[2]Feedstock Conversion Rates'!B$4)/12+12+3+19-125-100</f>
        <v>19.9375</v>
      </c>
      <c r="AZ254" s="45">
        <f>('[2]Renewable Diesel'!O263*'[2]RD Feedstock Breakdown'!AZ$3*'[2]Feedstock Conversion Rates'!B$3)/12-15-19+125+100</f>
        <v>216.03125</v>
      </c>
      <c r="BA254" s="47">
        <f t="shared" si="173"/>
        <v>235.96875</v>
      </c>
      <c r="BB254" s="45">
        <f>('[2]Renewable Diesel'!Q263*'[2]RD Feedstock Breakdown'!BB$3*'[2]Feedstock Conversion Rates'!B$4)/12-10</f>
        <v>1.1562499999999982</v>
      </c>
      <c r="BC254" s="45">
        <f>('[2]Renewable Diesel'!Q263*'[2]RD Feedstock Breakdown'!BC$3*'[2]Feedstock Conversion Rates'!B$3)/12+10</f>
        <v>11.40175</v>
      </c>
      <c r="BD254" s="45">
        <f>('[2]Renewable Diesel'!Q263*'[2]RD Feedstock Breakdown'!BD$3*'[2]Feedstock Conversion Rates'!B$6)/12</f>
        <v>0.8207500000000002</v>
      </c>
      <c r="BE254" s="47">
        <f t="shared" si="151"/>
        <v>13.378749999999998</v>
      </c>
      <c r="BF254" s="45">
        <f>('[2]Renewable Diesel'!R263*'[2]RD Feedstock Breakdown'!BF$3*'[2]Feedstock Conversion Rates'!B$4)/12</f>
        <v>62.5</v>
      </c>
      <c r="BG254" s="47">
        <f t="shared" si="129"/>
        <v>62.5</v>
      </c>
      <c r="BH254" s="45">
        <f>('[2]Renewable Diesel'!T263*'[2]RD Feedstock Breakdown'!BH$3*'[2]Feedstock Conversion Rates'!B$7)/12</f>
        <v>27.599999999999998</v>
      </c>
      <c r="BI254" s="47">
        <f t="shared" si="195"/>
        <v>27.599999999999998</v>
      </c>
      <c r="BJ254" s="45">
        <f>('[2]Renewable Diesel'!W263*'[2]RD Feedstock Breakdown'!BJ$3*'[2]Feedstock Conversion Rates'!B$4)/12</f>
        <v>7.5</v>
      </c>
      <c r="BK254" s="45">
        <f>('[2]Renewable Diesel'!W263*'[2]RD Feedstock Breakdown'!BK$3*'[2]Feedstock Conversion Rates'!B$3)/12</f>
        <v>1.335</v>
      </c>
      <c r="BL254" s="45">
        <f>('[2]Renewable Diesel'!W263*'[2]RD Feedstock Breakdown'!BL$3*'[2]Feedstock Conversion Rates'!B$6)/12</f>
        <v>3.1266666666666669</v>
      </c>
      <c r="BM254" s="45">
        <f>('[2]Renewable Diesel'!W263*'[2]RD Feedstock Breakdown'!BM$3*'[2]Feedstock Conversion Rates'!B$7)/12</f>
        <v>1.5333333333333332</v>
      </c>
      <c r="BN254" s="47">
        <f t="shared" si="168"/>
        <v>13.495000000000001</v>
      </c>
      <c r="BO254" s="45">
        <f>('[2]Renewable Diesel'!P263*'[2]Feedstock Conversion Rates'!B$4)/12</f>
        <v>31.25</v>
      </c>
      <c r="BP254" s="47">
        <f t="shared" si="157"/>
        <v>31.25</v>
      </c>
      <c r="BQ254" s="45">
        <f>('[2]Renewable Diesel'!$S263*'[2]RD Feedstock Breakdown'!BQ$3*'[2]Feedstock Conversion Rates'!B$4)/12+10</f>
        <v>38.125</v>
      </c>
      <c r="BR254" s="45">
        <f>('[2]Renewable Diesel'!$S263*'[2]RD Feedstock Breakdown'!BR$3*'[2]Feedstock Conversion Rates'!B$7)/12-10</f>
        <v>1.5</v>
      </c>
      <c r="BS254" s="47">
        <f t="shared" si="174"/>
        <v>39.625</v>
      </c>
      <c r="BT254" s="47"/>
      <c r="BU254" s="45">
        <f>('[2]Renewable Diesel'!Y263*'[2]Feedstock Conversion Rates'!B$7)/12</f>
        <v>2.6833333333333331</v>
      </c>
      <c r="BV254" s="47">
        <f t="shared" si="153"/>
        <v>2.6833333333333331</v>
      </c>
      <c r="BW254" s="45">
        <f>('[2]Renewable Diesel'!$Z263*'[2]RD Feedstock Breakdown'!BW$3*'[2]Feedstock Conversion Rates'!$B$4)/12</f>
        <v>71.875</v>
      </c>
      <c r="BX254" s="45">
        <f>('[2]Renewable Diesel'!$Z263*'[2]RD Feedstock Breakdown'!BX$3*'[2]Feedstock Conversion Rates'!$B$5)/12</f>
        <v>7.2354166666666666</v>
      </c>
      <c r="BY254" s="45">
        <f>('[2]Renewable Diesel'!$Z263*'[2]RD Feedstock Breakdown'!BY$3*'[2]Feedstock Conversion Rates'!$B$7)/12</f>
        <v>61.716666666666661</v>
      </c>
      <c r="BZ254" s="45">
        <f>('[2]Renewable Diesel'!$Z263*'[2]RD Feedstock Breakdown'!BZ$3*'[2]Feedstock Conversion Rates'!$B$3)/12</f>
        <v>15.352499999999999</v>
      </c>
      <c r="CA254" s="47">
        <f t="shared" si="181"/>
        <v>156.17958333333331</v>
      </c>
      <c r="CB254" s="45">
        <f>('[2]Renewable Diesel'!AA263*'[2]Feedstock Conversion Rates'!B$4)/12</f>
        <v>191.25</v>
      </c>
      <c r="CC254" s="47">
        <f t="shared" si="171"/>
        <v>191.25</v>
      </c>
      <c r="CD254" s="45">
        <f>('[2]Renewable Diesel'!$AB263*'[2]RD Feedstock Breakdown'!CD$3*'[2]Feedstock Conversion Rates'!$B$6)/12-15</f>
        <v>17.830000000000005</v>
      </c>
      <c r="CE254" s="45">
        <f>('[2]Renewable Diesel'!$AB263*'[2]RD Feedstock Breakdown'!CE$3*'[2]Feedstock Conversion Rates'!$B$4)/12+15</f>
        <v>26.25</v>
      </c>
      <c r="CF254" s="47">
        <f t="shared" si="161"/>
        <v>44.080000000000005</v>
      </c>
      <c r="CG254" s="45">
        <f>('[2]Renewable Diesel'!AD263*'[2]Feedstock Conversion Rates'!B$4)/12</f>
        <v>112.5</v>
      </c>
      <c r="CH254" s="47">
        <f t="shared" si="149"/>
        <v>112.5</v>
      </c>
      <c r="CI254" s="45">
        <f>('[2]Renewable Diesel'!$AE263*'[2]RD Feedstock Breakdown'!CI$3*'[2]Feedstock Conversion Rates'!$B$5)/12</f>
        <v>0.34604166666666664</v>
      </c>
      <c r="CJ254" s="45">
        <f>('[2]Renewable Diesel'!$AE263*'[2]RD Feedstock Breakdown'!CJ$3*'[2]Feedstock Conversion Rates'!$B$4)/12</f>
        <v>0.34375</v>
      </c>
      <c r="CK254" s="47">
        <f t="shared" si="158"/>
        <v>0.68979166666666658</v>
      </c>
      <c r="CL254" s="45">
        <f>(((CL$3*'[2]Renewable Diesel'!$AF263)*'[2]Feedstock Conversion Rates'!$B$3)/12)-11</f>
        <v>80.78125</v>
      </c>
      <c r="CM254" s="45">
        <f>(((CM$3*'[2]Renewable Diesel'!$AF263)*'[2]Feedstock Conversion Rates'!$B$6)/12)+11</f>
        <v>64.739583333333343</v>
      </c>
      <c r="CN254" s="45">
        <f>(((CN$3*'[2]Renewable Diesel'!$AF263)*'[2]Feedstock Conversion Rates'!$B$4)/12)</f>
        <v>42.96875</v>
      </c>
      <c r="CO254" s="47">
        <f t="shared" si="152"/>
        <v>188.48958333333334</v>
      </c>
      <c r="CP254" s="45">
        <f>('[2]Renewable Diesel'!$AG263*'[2]RD Feedstock Breakdown'!CP$3*'[2]Feedstock Conversion Rates'!$B$3)/12</f>
        <v>6.0075000000000003</v>
      </c>
      <c r="CQ254" s="45">
        <f>('[2]Renewable Diesel'!$AG263*'[2]RD Feedstock Breakdown'!CQ$3*'[2]Feedstock Conversion Rates'!$B$6)/12</f>
        <v>3.5175000000000001</v>
      </c>
      <c r="CR254" s="45">
        <f>('[2]Renewable Diesel'!$AG263*'[2]RD Feedstock Breakdown'!CR$3*'[2]Feedstock Conversion Rates'!$B$4)/12</f>
        <v>2.8125</v>
      </c>
      <c r="CS254" s="47">
        <f t="shared" si="183"/>
        <v>12.3375</v>
      </c>
      <c r="CT254" s="45">
        <f>('[2]Renewable Diesel'!AI263*'[2]Feedstock Conversion Rates'!$B$4*'[2]RD Feedstock Breakdown'!$CT$3)/12</f>
        <v>29.375</v>
      </c>
      <c r="CU254" s="47">
        <f t="shared" si="154"/>
        <v>29.375</v>
      </c>
      <c r="CV254" s="45">
        <f>('[2]Renewable Diesel'!AN263*'[2]Feedstock Conversion Rates'!$B$3*'[2]RD Feedstock Breakdown'!$CV$3)/12</f>
        <v>0.50062499999999999</v>
      </c>
      <c r="CW254" s="47">
        <f t="shared" si="124"/>
        <v>0.50062499999999999</v>
      </c>
      <c r="CX254" s="45">
        <f>('[2]Renewable Diesel'!AO263*'[2]RD Feedstock Breakdown'!$CX$3*'[2]Feedstock Conversion Rates'!$B$3)/12</f>
        <v>6.3412499999999996</v>
      </c>
      <c r="CY254" s="45">
        <f>('[2]Renewable Diesel'!AO263*'[2]RD Feedstock Breakdown'!$CY$3*'[2]Feedstock Conversion Rates'!$B$6)/12</f>
        <v>7.4258333333333342</v>
      </c>
      <c r="CZ254" s="47">
        <f t="shared" si="188"/>
        <v>13.767083333333334</v>
      </c>
      <c r="DA254" s="45">
        <f>('[2]Renewable Diesel'!$AP263*'[2]RD Feedstock Breakdown'!DA$3*'[2]Feedstock Conversion Rates'!$B$3)/12</f>
        <v>6.3412499999999996</v>
      </c>
      <c r="DB254" s="45">
        <f>('[2]Renewable Diesel'!$AP263*'[2]RD Feedstock Breakdown'!DB$3*'[2]Feedstock Conversion Rates'!$B$8)/12</f>
        <v>7.421875</v>
      </c>
      <c r="DC254" s="47">
        <f t="shared" si="127"/>
        <v>13.763124999999999</v>
      </c>
      <c r="DD254" s="45">
        <f>('[2]Renewable Diesel'!AQ263*$DD$3*'[2]Feedstock Conversion Rates'!$B$14)/12</f>
        <v>3.1041666666666665</v>
      </c>
      <c r="DE254" s="47">
        <f t="shared" si="128"/>
        <v>3.1041666666666665</v>
      </c>
      <c r="DF254" s="45">
        <f>('[2]Renewable Diesel'!AR263*'[2]Feedstock Conversion Rates'!$B$4*$DF$3)/12</f>
        <v>75</v>
      </c>
      <c r="DG254" s="47">
        <f t="shared" si="189"/>
        <v>75</v>
      </c>
      <c r="DH254" s="45">
        <f>('[2]Renewable Diesel'!AS263*'[2]Feedstock Conversion Rates'!$B$4*$DH$3)/12</f>
        <v>75</v>
      </c>
      <c r="DI254" s="47">
        <f t="shared" si="194"/>
        <v>75</v>
      </c>
      <c r="DJ254" s="45">
        <f>('[2]Renewable Diesel'!AT263*'[2]Feedstock Conversion Rates'!$B$4*0.25)/12</f>
        <v>8.59375</v>
      </c>
      <c r="DK254" s="45">
        <f>('[2]Renewable Diesel'!$AT263*'[2]RD Feedstock Breakdown'!DK$3*'[2]Feedstock Conversion Rates'!$B$3)/12*0.5</f>
        <v>9.1781249999999996</v>
      </c>
      <c r="DL254" s="45">
        <f>('[2]Renewable Diesel'!$AT263*'[2]RD Feedstock Breakdown'!$DL$3*'[2]Feedstock Conversion Rates'!$B$6)/12</f>
        <v>10.747916666666669</v>
      </c>
      <c r="DM254" s="45">
        <f>('[2]Renewable Diesel'!$AT263*'[2]RD Feedstock Breakdown'!$DM$3*'[2]Feedstock Conversion Rates'!$B$8)/12</f>
        <v>10.7421875</v>
      </c>
      <c r="DN254" s="47">
        <f t="shared" si="169"/>
        <v>39.26197916666667</v>
      </c>
      <c r="DP254" s="45">
        <f t="shared" si="130"/>
        <v>126.97025000000001</v>
      </c>
      <c r="DQ254" s="45">
        <f t="shared" si="131"/>
        <v>690.11776750000001</v>
      </c>
      <c r="DR254" s="45">
        <f t="shared" si="136"/>
        <v>1839.453125</v>
      </c>
      <c r="DS254" s="45">
        <f t="shared" si="155"/>
        <v>48.901250000000005</v>
      </c>
      <c r="DT254" s="45">
        <f t="shared" si="132"/>
        <v>253.53923333333344</v>
      </c>
      <c r="DU254" s="45">
        <f t="shared" si="133"/>
        <v>285.90609999999998</v>
      </c>
      <c r="DV254" s="45">
        <f t="shared" si="137"/>
        <v>8</v>
      </c>
      <c r="DW254" s="45">
        <f t="shared" si="134"/>
        <v>3</v>
      </c>
      <c r="DX254" s="47">
        <f t="shared" si="138"/>
        <v>3255.8877258333337</v>
      </c>
      <c r="DY254" s="50">
        <f t="shared" si="126"/>
        <v>-135.00000000000048</v>
      </c>
      <c r="EA254" s="51">
        <f t="shared" si="117"/>
        <v>3.8997121735056879E-2</v>
      </c>
      <c r="EB254" s="51">
        <f t="shared" si="117"/>
        <v>0.21195994014915445</v>
      </c>
      <c r="EC254" s="51">
        <f t="shared" si="117"/>
        <v>0.56496208711533447</v>
      </c>
      <c r="ED254" s="51">
        <f t="shared" si="117"/>
        <v>1.5019329325148609E-2</v>
      </c>
      <c r="EE254" s="51">
        <f t="shared" si="117"/>
        <v>7.7871000072166463E-2</v>
      </c>
      <c r="EF254" s="51">
        <f t="shared" si="117"/>
        <v>8.7812026726696565E-2</v>
      </c>
      <c r="EG254" s="51">
        <f t="shared" si="117"/>
        <v>2.4570871828672857E-3</v>
      </c>
      <c r="EH254" s="52">
        <f t="shared" si="139"/>
        <v>9.2140769357523225E-4</v>
      </c>
      <c r="EI254" s="51">
        <f t="shared" si="191"/>
        <v>0.99907859230642482</v>
      </c>
      <c r="EK254" s="53">
        <f>(EA254*'[2]Renewable Diesel'!BF263*'[2]Feedstock Conversion Rates'!B$2)+FB254</f>
        <v>234.10638032365821</v>
      </c>
      <c r="EL254" s="53">
        <f>(EB254*'[2]Renewable Diesel'!BF263*'[2]Feedstock Conversion Rates'!B$3)+FC254</f>
        <v>1199.0797659963339</v>
      </c>
      <c r="EM254" s="53">
        <f>(EC254*'[2]Renewable Diesel'!BF263*'[2]Feedstock Conversion Rates'!B$4)+FD254</f>
        <v>2992.5563586893381</v>
      </c>
      <c r="EN254" s="53">
        <f>(ED254*'[2]Renewable Diesel'!BF263*'[2]Feedstock Conversion Rates'!B$5)+FE254</f>
        <v>80.086490350907638</v>
      </c>
      <c r="EO254" s="53">
        <f>(EE254*'[2]Renewable Diesel'!BF263*'[2]Feedstock Conversion Rates'!B$6)+FF254</f>
        <v>515.87010482134531</v>
      </c>
      <c r="EP254" s="53">
        <f>(EF254*'[2]Renewable Diesel'!BF263*'[2]Feedstock Conversion Rates'!B$7)+FG254</f>
        <v>570.56299138881229</v>
      </c>
      <c r="EQ254" s="53">
        <f>(EG254*'[2]Renewable Diesel'!BF263*'[2]Feedstock Conversion Rates'!B$8)+FH254</f>
        <v>16.268728558599925</v>
      </c>
      <c r="ER254" s="53">
        <f>(EH254*'[2]Renewable Diesel'!BF263*'[2]Feedstock Conversion Rates'!B$9)+FI254</f>
        <v>6.0194295666819739</v>
      </c>
      <c r="ES254" s="53">
        <f t="shared" si="141"/>
        <v>5614.550249695676</v>
      </c>
      <c r="ET254" s="36">
        <f>ES254/'[2]Renewable Diesel'!BF263</f>
        <v>7.9497450851800702</v>
      </c>
    </row>
    <row r="255" spans="1:150" x14ac:dyDescent="0.25">
      <c r="A255" s="39">
        <v>48183</v>
      </c>
      <c r="B255" s="45">
        <f t="shared" si="196"/>
        <v>0.25</v>
      </c>
      <c r="C255" s="45">
        <f t="shared" si="197"/>
        <v>6.5</v>
      </c>
      <c r="D255" s="45">
        <f t="shared" si="198"/>
        <v>2</v>
      </c>
      <c r="E255" s="45">
        <f>('[2]Renewable Diesel'!B264*E$3*'[2]Feedstock Conversion Rates'!$B$2)/12+26+13-100+27.5+39+65-31-1.5-8+37-5-37+1+26</f>
        <v>141.93</v>
      </c>
      <c r="F255" s="45">
        <f>('[2]Renewable Diesel'!B264*'[2]RD Feedstock Breakdown'!F$3*'[2]Feedstock Conversion Rates'!B$8)/12+77+23-10-12-115.75+24+8+4+2-34-15</f>
        <v>5.15625</v>
      </c>
      <c r="G255" s="45">
        <f>('[2]Renewable Diesel'!B264*'[2]RD Feedstock Breakdown'!G$3*'[2]Feedstock Conversion Rates'!B$7)/12+116.75-39-57.5-145-31.5+32+70-40+10-20-25-5+3+5+5</f>
        <v>54.907000000000039</v>
      </c>
      <c r="H255" s="45">
        <f>('[2]Renewable Diesel'!B264*'[2]RD Feedstock Breakdown'!H$3*'[2]Feedstock Conversion Rates'!B$3)/12+67+10+12+3-235+20+47-20+60-30+160+15</f>
        <v>285.40022499999998</v>
      </c>
      <c r="I255" s="47">
        <f t="shared" si="160"/>
        <v>496.14347500000002</v>
      </c>
      <c r="J255" s="45">
        <f t="shared" si="199"/>
        <v>14.5</v>
      </c>
      <c r="K255" s="45"/>
      <c r="L255" s="45">
        <v>1</v>
      </c>
      <c r="M255" s="45">
        <f>('[2]Renewable Diesel'!C264*'[2]RD Feedstock Breakdown'!M$3*'[2]Feedstock Conversion Rates'!B$2)/12-55+5.75+13+7.5-18+24</f>
        <v>-14.95975</v>
      </c>
      <c r="N255" s="45">
        <f>('[2]Renewable Diesel'!C264*'[2]RD Feedstock Breakdown'!N$3*'[2]Feedstock Conversion Rates'!B$8)/12-15+11+7-15+10.25-5-15+5-11</f>
        <v>-24.078125</v>
      </c>
      <c r="O255" s="45">
        <f>('[2]Renewable Diesel'!C264*'[2]RD Feedstock Breakdown'!O$3*'[2]Feedstock Conversion Rates'!B$7)/12-87+50-53+10+100-40+14</f>
        <v>5.9990999999999985</v>
      </c>
      <c r="P255" s="45">
        <f>('[2]Renewable Diesel'!C264*'[2]RD Feedstock Breakdown'!P$3*'[2]Feedstock Conversion Rates'!B$3)/12-84+40+50-25+45+55-90-15-5+70</f>
        <v>51.447042499999995</v>
      </c>
      <c r="Q255" s="47">
        <f t="shared" si="172"/>
        <v>33.908267499999994</v>
      </c>
      <c r="R255" s="45">
        <f>('[2]Renewable Diesel'!D264*'[2]RD Feedstock Breakdown'!R$3*'[2]Feedstock Conversion Rates'!B$7)/12</f>
        <v>2.2999999999999998</v>
      </c>
      <c r="S255" s="47">
        <f t="shared" si="116"/>
        <v>2.2999999999999998</v>
      </c>
      <c r="T255" s="45">
        <f t="shared" ref="T255:T264" si="201">5.825+20-25+35+4-35</f>
        <v>4.8250000000000028</v>
      </c>
      <c r="U255" s="45">
        <v>35</v>
      </c>
      <c r="V255" s="45">
        <f>('[2]Renewable Diesel'!E264*'[2]RD Feedstock Breakdown'!V$3*'[2]Feedstock Conversion Rates'!B$6)/12-20+25-35-4</f>
        <v>10.250150000000012</v>
      </c>
      <c r="W255" s="45">
        <f>('[2]Renewable Diesel'!E264*'[2]RD Feedstock Breakdown'!W$3*'[2]Feedstock Conversion Rates'!B$8)/12-6</f>
        <v>16.1796875</v>
      </c>
      <c r="X255" s="47">
        <f t="shared" si="147"/>
        <v>66.254837500000008</v>
      </c>
      <c r="Y255" s="45">
        <f t="shared" si="200"/>
        <v>146.5</v>
      </c>
      <c r="Z255" s="45">
        <f>('[2]Renewable Diesel'!F264*'[2]RD Feedstock Breakdown'!Z$3*'[2]Feedstock Conversion Rates'!B$6)/12-50-32-60+15+15+47.5+22.5-85+70-10-25-7+7+7</f>
        <v>74.460000000000008</v>
      </c>
      <c r="AA255" s="45">
        <f>('[2]Renewable Diesel'!F264*'[2]RD Feedstock Breakdown'!AA$3*'[2]Feedstock Conversion Rates'!B$7)/12+80-171+75+30-57.5-18</f>
        <v>42.766666666666652</v>
      </c>
      <c r="AB255" s="47">
        <f t="shared" si="190"/>
        <v>263.72666666666669</v>
      </c>
      <c r="AC255" s="45">
        <f>('[2]Renewable Diesel'!G264*'[2]RD Feedstock Breakdown'!AC$3*'[2]Feedstock Conversion Rates'!B$5)/12</f>
        <v>11.796875</v>
      </c>
      <c r="AD255" s="45">
        <f>('[2]Renewable Diesel'!G264*'[2]RD Feedstock Breakdown'!AD$3*'[2]Feedstock Conversion Rates'!B$4)/12</f>
        <v>5.859375</v>
      </c>
      <c r="AE255" s="45">
        <f>('[2]Renewable Diesel'!G264*'[2]RD Feedstock Breakdown'!AE$3*'[2]Feedstock Conversion Rates'!B$6)/12</f>
        <v>7.3281250000000009</v>
      </c>
      <c r="AF255" s="47">
        <f t="shared" si="156"/>
        <v>24.984375</v>
      </c>
      <c r="AG255" s="45">
        <f t="shared" si="182"/>
        <v>6.5</v>
      </c>
      <c r="AH255" s="45">
        <v>135</v>
      </c>
      <c r="AI255" s="45">
        <f>('[2]Renewable Diesel'!H264*'[2]RD Feedstock Breakdown'!AI$3*'[2]Feedstock Conversion Rates'!B$6)/12-130-20+51-120+105-37.5+20-10</f>
        <v>7.0166666666666799</v>
      </c>
      <c r="AJ255" s="47">
        <f t="shared" si="113"/>
        <v>13.51666666666668</v>
      </c>
      <c r="AK255" s="45">
        <f>('[2]Renewable Diesel'!J264*'[2]RD Feedstock Breakdown'!AK$3*'[2]Feedstock Conversion Rates'!B$4)/12</f>
        <v>95.8125</v>
      </c>
      <c r="AL255" s="47">
        <f t="shared" si="123"/>
        <v>95.8125</v>
      </c>
      <c r="AM255" s="45">
        <f>('[2]Renewable Diesel'!K264*'[2]RD Feedstock Breakdown'!AM$3*'[2]Feedstock Conversion Rates'!B$4)/12+5+15-10+4+5-28</f>
        <v>49.59375</v>
      </c>
      <c r="AN255" s="45">
        <f>('[2]Renewable Diesel'!K264*'[2]RD Feedstock Breakdown'!AN$3*'[2]Feedstock Conversion Rates'!B$6)/12-5-15+10-4-5+28</f>
        <v>33.427083333333329</v>
      </c>
      <c r="AO255" s="47">
        <f t="shared" si="135"/>
        <v>83.020833333333329</v>
      </c>
      <c r="AP255" s="45">
        <f>('[2]Renewable Diesel'!L264*'[2]RD Feedstock Breakdown'!AP$3*'[2]Feedstock Conversion Rates'!B$4)/12+15-10+5+2+7</f>
        <v>77.59375</v>
      </c>
      <c r="AQ255" s="45">
        <f>('[2]Renewable Diesel'!L264*'[2]RD Feedstock Breakdown'!AQ$3*'[2]Feedstock Conversion Rates'!B$6)/12-15+10-5-2-7</f>
        <v>5.4270833333333321</v>
      </c>
      <c r="AR255" s="47">
        <f t="shared" si="125"/>
        <v>83.020833333333329</v>
      </c>
      <c r="AS255" s="45">
        <f>('[2]Renewable Diesel'!M264*'[2]RD Feedstock Breakdown'!AS$3*'[2]Feedstock Conversion Rates'!B$4)/12</f>
        <v>456.25</v>
      </c>
      <c r="AT255" s="45">
        <f>('[2]Renewable Diesel'!M264*'[2]RD Feedstock Breakdown'!AT$3*'[2]Feedstock Conversion Rates'!B$5)/12</f>
        <v>0</v>
      </c>
      <c r="AU255" s="47">
        <f t="shared" si="159"/>
        <v>456.25</v>
      </c>
      <c r="AV255" s="45">
        <f>'[2]Renewable Diesel'!N264*'[2]RD Feedstock Breakdown'!$AV$3*'[2]Feedstock Conversion Rates'!$B$4/12-15-10+25+25-22+15-62.5+1</f>
        <v>35.249999999999986</v>
      </c>
      <c r="AW255" s="45">
        <f>'[2]Renewable Diesel'!N264*'[2]RD Feedstock Breakdown'!$AW$3*'[2]Feedstock Conversion Rates'!$B$7/12+15+10-25-25+22-15+62.5-1</f>
        <v>84.9</v>
      </c>
      <c r="AX255" s="47">
        <f t="shared" si="193"/>
        <v>120.14999999999999</v>
      </c>
      <c r="AY255" s="45">
        <f>('[2]Renewable Diesel'!O264*'[2]RD Feedstock Breakdown'!AY$3*'[2]Feedstock Conversion Rates'!B$4)/12+12+3+19-125-100</f>
        <v>19.9375</v>
      </c>
      <c r="AZ255" s="45">
        <f>('[2]Renewable Diesel'!O264*'[2]RD Feedstock Breakdown'!AZ$3*'[2]Feedstock Conversion Rates'!B$3)/12-15-19+125+100</f>
        <v>216.03125</v>
      </c>
      <c r="BA255" s="47">
        <f t="shared" si="173"/>
        <v>235.96875</v>
      </c>
      <c r="BB255" s="45">
        <f>('[2]Renewable Diesel'!Q264*'[2]RD Feedstock Breakdown'!BB$3*'[2]Feedstock Conversion Rates'!B$4)/12-10</f>
        <v>1.1562499999999982</v>
      </c>
      <c r="BC255" s="45">
        <f>('[2]Renewable Diesel'!Q264*'[2]RD Feedstock Breakdown'!BC$3*'[2]Feedstock Conversion Rates'!B$3)/12+10</f>
        <v>11.40175</v>
      </c>
      <c r="BD255" s="45">
        <f>('[2]Renewable Diesel'!Q264*'[2]RD Feedstock Breakdown'!BD$3*'[2]Feedstock Conversion Rates'!B$6)/12</f>
        <v>0.8207500000000002</v>
      </c>
      <c r="BE255" s="47">
        <f t="shared" si="151"/>
        <v>13.378749999999998</v>
      </c>
      <c r="BF255" s="45">
        <f>('[2]Renewable Diesel'!R264*'[2]RD Feedstock Breakdown'!BF$3*'[2]Feedstock Conversion Rates'!B$4)/12</f>
        <v>62.5</v>
      </c>
      <c r="BG255" s="47">
        <f t="shared" si="129"/>
        <v>62.5</v>
      </c>
      <c r="BH255" s="45">
        <f>('[2]Renewable Diesel'!T264*'[2]RD Feedstock Breakdown'!BH$3*'[2]Feedstock Conversion Rates'!B$7)/12</f>
        <v>27.599999999999998</v>
      </c>
      <c r="BI255" s="47">
        <f t="shared" si="195"/>
        <v>27.599999999999998</v>
      </c>
      <c r="BJ255" s="45">
        <f>('[2]Renewable Diesel'!W264*'[2]RD Feedstock Breakdown'!BJ$3*'[2]Feedstock Conversion Rates'!B$4)/12</f>
        <v>7.5</v>
      </c>
      <c r="BK255" s="45">
        <f>('[2]Renewable Diesel'!W264*'[2]RD Feedstock Breakdown'!BK$3*'[2]Feedstock Conversion Rates'!B$3)/12</f>
        <v>1.335</v>
      </c>
      <c r="BL255" s="45">
        <f>('[2]Renewable Diesel'!W264*'[2]RD Feedstock Breakdown'!BL$3*'[2]Feedstock Conversion Rates'!B$6)/12</f>
        <v>3.1266666666666669</v>
      </c>
      <c r="BM255" s="45">
        <f>('[2]Renewable Diesel'!W264*'[2]RD Feedstock Breakdown'!BM$3*'[2]Feedstock Conversion Rates'!B$7)/12</f>
        <v>1.5333333333333332</v>
      </c>
      <c r="BN255" s="47">
        <f t="shared" si="168"/>
        <v>13.495000000000001</v>
      </c>
      <c r="BO255" s="45">
        <f>('[2]Renewable Diesel'!P264*'[2]Feedstock Conversion Rates'!B$4)/12</f>
        <v>31.25</v>
      </c>
      <c r="BP255" s="47">
        <f t="shared" si="157"/>
        <v>31.25</v>
      </c>
      <c r="BQ255" s="45">
        <f>('[2]Renewable Diesel'!$S264*'[2]RD Feedstock Breakdown'!BQ$3*'[2]Feedstock Conversion Rates'!B$4)/12+10</f>
        <v>38.125</v>
      </c>
      <c r="BR255" s="45">
        <f>('[2]Renewable Diesel'!$S264*'[2]RD Feedstock Breakdown'!BR$3*'[2]Feedstock Conversion Rates'!B$7)/12-10</f>
        <v>1.5</v>
      </c>
      <c r="BS255" s="47">
        <f t="shared" si="174"/>
        <v>39.625</v>
      </c>
      <c r="BT255" s="47"/>
      <c r="BU255" s="45">
        <f>('[2]Renewable Diesel'!Y264*'[2]Feedstock Conversion Rates'!B$7)/12</f>
        <v>2.6833333333333331</v>
      </c>
      <c r="BV255" s="47">
        <f t="shared" si="153"/>
        <v>2.6833333333333331</v>
      </c>
      <c r="BW255" s="45">
        <f>('[2]Renewable Diesel'!$Z264*'[2]RD Feedstock Breakdown'!BW$3*'[2]Feedstock Conversion Rates'!$B$4)/12</f>
        <v>71.875</v>
      </c>
      <c r="BX255" s="45">
        <f>('[2]Renewable Diesel'!$Z264*'[2]RD Feedstock Breakdown'!BX$3*'[2]Feedstock Conversion Rates'!$B$5)/12</f>
        <v>7.2354166666666666</v>
      </c>
      <c r="BY255" s="45">
        <f>('[2]Renewable Diesel'!$Z264*'[2]RD Feedstock Breakdown'!BY$3*'[2]Feedstock Conversion Rates'!$B$7)/12</f>
        <v>61.716666666666661</v>
      </c>
      <c r="BZ255" s="45">
        <f>('[2]Renewable Diesel'!$Z264*'[2]RD Feedstock Breakdown'!BZ$3*'[2]Feedstock Conversion Rates'!$B$3)/12</f>
        <v>15.352499999999999</v>
      </c>
      <c r="CA255" s="47">
        <f t="shared" si="181"/>
        <v>156.17958333333331</v>
      </c>
      <c r="CB255" s="45">
        <f>('[2]Renewable Diesel'!AA264*'[2]Feedstock Conversion Rates'!B$4)/12</f>
        <v>191.25</v>
      </c>
      <c r="CC255" s="47">
        <f t="shared" si="171"/>
        <v>191.25</v>
      </c>
      <c r="CD255" s="45">
        <f>('[2]Renewable Diesel'!$AB264*'[2]RD Feedstock Breakdown'!CD$3*'[2]Feedstock Conversion Rates'!$B$6)/12-15</f>
        <v>17.830000000000005</v>
      </c>
      <c r="CE255" s="45">
        <f>('[2]Renewable Diesel'!$AB264*'[2]RD Feedstock Breakdown'!CE$3*'[2]Feedstock Conversion Rates'!$B$4)/12+15</f>
        <v>26.25</v>
      </c>
      <c r="CF255" s="47">
        <f t="shared" si="161"/>
        <v>44.080000000000005</v>
      </c>
      <c r="CG255" s="45">
        <f>('[2]Renewable Diesel'!AD264*'[2]Feedstock Conversion Rates'!B$4)/12</f>
        <v>112.5</v>
      </c>
      <c r="CH255" s="47">
        <f t="shared" si="149"/>
        <v>112.5</v>
      </c>
      <c r="CI255" s="45">
        <f>('[2]Renewable Diesel'!$AE264*'[2]RD Feedstock Breakdown'!CI$3*'[2]Feedstock Conversion Rates'!$B$5)/12</f>
        <v>0.34604166666666664</v>
      </c>
      <c r="CJ255" s="45">
        <f>('[2]Renewable Diesel'!$AE264*'[2]RD Feedstock Breakdown'!CJ$3*'[2]Feedstock Conversion Rates'!$B$4)/12</f>
        <v>0.34375</v>
      </c>
      <c r="CK255" s="47">
        <f t="shared" si="158"/>
        <v>0.68979166666666658</v>
      </c>
      <c r="CL255" s="45">
        <f>(((CL$3*'[2]Renewable Diesel'!$AF264)*'[2]Feedstock Conversion Rates'!$B$3)/12)-11</f>
        <v>80.78125</v>
      </c>
      <c r="CM255" s="45">
        <f>(((CM$3*'[2]Renewable Diesel'!$AF264)*'[2]Feedstock Conversion Rates'!$B$6)/12)+11</f>
        <v>64.739583333333343</v>
      </c>
      <c r="CN255" s="45">
        <f>(((CN$3*'[2]Renewable Diesel'!$AF264)*'[2]Feedstock Conversion Rates'!$B$4)/12)</f>
        <v>42.96875</v>
      </c>
      <c r="CO255" s="47">
        <f t="shared" si="152"/>
        <v>188.48958333333334</v>
      </c>
      <c r="CP255" s="45">
        <f>('[2]Renewable Diesel'!$AG264*'[2]RD Feedstock Breakdown'!CP$3*'[2]Feedstock Conversion Rates'!$B$3)/12</f>
        <v>6.0075000000000003</v>
      </c>
      <c r="CQ255" s="45">
        <f>('[2]Renewable Diesel'!$AG264*'[2]RD Feedstock Breakdown'!CQ$3*'[2]Feedstock Conversion Rates'!$B$6)/12</f>
        <v>3.5175000000000001</v>
      </c>
      <c r="CR255" s="45">
        <f>('[2]Renewable Diesel'!$AG264*'[2]RD Feedstock Breakdown'!CR$3*'[2]Feedstock Conversion Rates'!$B$4)/12</f>
        <v>2.8125</v>
      </c>
      <c r="CS255" s="47">
        <f t="shared" si="183"/>
        <v>12.3375</v>
      </c>
      <c r="CT255" s="45">
        <f>('[2]Renewable Diesel'!AI264*'[2]Feedstock Conversion Rates'!$B$4*'[2]RD Feedstock Breakdown'!$CT$3)/12</f>
        <v>29.375</v>
      </c>
      <c r="CU255" s="47">
        <f t="shared" si="154"/>
        <v>29.375</v>
      </c>
      <c r="CV255" s="45">
        <f>('[2]Renewable Diesel'!AN264*'[2]Feedstock Conversion Rates'!$B$3*'[2]RD Feedstock Breakdown'!$CV$3)/12</f>
        <v>0.50062499999999999</v>
      </c>
      <c r="CW255" s="47">
        <f t="shared" si="124"/>
        <v>0.50062499999999999</v>
      </c>
      <c r="CX255" s="45">
        <f>('[2]Renewable Diesel'!AO264*'[2]RD Feedstock Breakdown'!$CX$3*'[2]Feedstock Conversion Rates'!$B$3)/12</f>
        <v>6.3412499999999996</v>
      </c>
      <c r="CY255" s="45">
        <f>('[2]Renewable Diesel'!AO264*'[2]RD Feedstock Breakdown'!$CY$3*'[2]Feedstock Conversion Rates'!$B$6)/12</f>
        <v>7.4258333333333342</v>
      </c>
      <c r="CZ255" s="47">
        <f t="shared" si="188"/>
        <v>13.767083333333334</v>
      </c>
      <c r="DA255" s="45">
        <f>('[2]Renewable Diesel'!$AP264*'[2]RD Feedstock Breakdown'!DA$3*'[2]Feedstock Conversion Rates'!$B$3)/12</f>
        <v>6.3412499999999996</v>
      </c>
      <c r="DB255" s="45">
        <f>('[2]Renewable Diesel'!$AP264*'[2]RD Feedstock Breakdown'!DB$3*'[2]Feedstock Conversion Rates'!$B$8)/12</f>
        <v>7.421875</v>
      </c>
      <c r="DC255" s="47">
        <f t="shared" si="127"/>
        <v>13.763124999999999</v>
      </c>
      <c r="DD255" s="45">
        <f>('[2]Renewable Diesel'!AQ264*$DD$3*'[2]Feedstock Conversion Rates'!$B$14)/12</f>
        <v>3.1041666666666665</v>
      </c>
      <c r="DE255" s="47">
        <f t="shared" si="128"/>
        <v>3.1041666666666665</v>
      </c>
      <c r="DF255" s="45">
        <f>('[2]Renewable Diesel'!AR264*'[2]Feedstock Conversion Rates'!$B$4*$DF$3)/12</f>
        <v>75</v>
      </c>
      <c r="DG255" s="47">
        <f t="shared" si="189"/>
        <v>75</v>
      </c>
      <c r="DH255" s="45">
        <f>('[2]Renewable Diesel'!AS264*'[2]Feedstock Conversion Rates'!$B$4*$DH$3)/12</f>
        <v>75</v>
      </c>
      <c r="DI255" s="47">
        <f t="shared" si="194"/>
        <v>75</v>
      </c>
      <c r="DJ255" s="45">
        <f>('[2]Renewable Diesel'!AT264*'[2]Feedstock Conversion Rates'!$B$4*0.25)/12</f>
        <v>8.59375</v>
      </c>
      <c r="DK255" s="45">
        <f>('[2]Renewable Diesel'!$AT264*'[2]RD Feedstock Breakdown'!DK$3*'[2]Feedstock Conversion Rates'!$B$3)/12*0.5</f>
        <v>9.1781249999999996</v>
      </c>
      <c r="DL255" s="45">
        <f>('[2]Renewable Diesel'!$AT264*'[2]RD Feedstock Breakdown'!$DL$3*'[2]Feedstock Conversion Rates'!$B$6)/12</f>
        <v>10.747916666666669</v>
      </c>
      <c r="DM255" s="45">
        <f>('[2]Renewable Diesel'!$AT264*'[2]RD Feedstock Breakdown'!$DM$3*'[2]Feedstock Conversion Rates'!$B$8)/12</f>
        <v>10.7421875</v>
      </c>
      <c r="DN255" s="47">
        <f t="shared" si="169"/>
        <v>39.26197916666667</v>
      </c>
      <c r="DP255" s="45">
        <f t="shared" si="130"/>
        <v>126.97025000000001</v>
      </c>
      <c r="DQ255" s="45">
        <f t="shared" si="131"/>
        <v>690.11776750000001</v>
      </c>
      <c r="DR255" s="45">
        <f t="shared" si="136"/>
        <v>1839.453125</v>
      </c>
      <c r="DS255" s="45">
        <f t="shared" si="155"/>
        <v>48.901250000000005</v>
      </c>
      <c r="DT255" s="45">
        <f t="shared" si="132"/>
        <v>253.53923333333344</v>
      </c>
      <c r="DU255" s="45">
        <f t="shared" si="133"/>
        <v>285.90609999999998</v>
      </c>
      <c r="DV255" s="45">
        <f t="shared" si="137"/>
        <v>8</v>
      </c>
      <c r="DW255" s="45">
        <f t="shared" si="134"/>
        <v>3</v>
      </c>
      <c r="DX255" s="47">
        <f t="shared" si="138"/>
        <v>3255.8877258333337</v>
      </c>
      <c r="DY255" s="50">
        <f t="shared" si="126"/>
        <v>-135.00000000000048</v>
      </c>
      <c r="EA255" s="51">
        <f t="shared" si="117"/>
        <v>3.8997121735056879E-2</v>
      </c>
      <c r="EB255" s="51">
        <f t="shared" si="117"/>
        <v>0.21195994014915445</v>
      </c>
      <c r="EC255" s="51">
        <f t="shared" si="117"/>
        <v>0.56496208711533447</v>
      </c>
      <c r="ED255" s="51">
        <f t="shared" si="117"/>
        <v>1.5019329325148609E-2</v>
      </c>
      <c r="EE255" s="51">
        <f t="shared" si="117"/>
        <v>7.7871000072166463E-2</v>
      </c>
      <c r="EF255" s="51">
        <f t="shared" si="117"/>
        <v>8.7812026726696565E-2</v>
      </c>
      <c r="EG255" s="51">
        <f t="shared" si="117"/>
        <v>2.4570871828672857E-3</v>
      </c>
      <c r="EH255" s="52">
        <f t="shared" si="139"/>
        <v>9.2140769357523225E-4</v>
      </c>
      <c r="EI255" s="51">
        <f t="shared" si="191"/>
        <v>0.99907859230642482</v>
      </c>
      <c r="EK255" s="53">
        <f>(EA255*'[2]Renewable Diesel'!BF264*'[2]Feedstock Conversion Rates'!B$2)+FB255</f>
        <v>238.66198835099206</v>
      </c>
      <c r="EL255" s="53">
        <f>(EB255*'[2]Renewable Diesel'!BF264*'[2]Feedstock Conversion Rates'!B$3)+FC255</f>
        <v>1222.4133351192017</v>
      </c>
      <c r="EM255" s="53">
        <f>(EC255*'[2]Renewable Diesel'!BF264*'[2]Feedstock Conversion Rates'!B$4)+FD255</f>
        <v>3050.7901998646457</v>
      </c>
      <c r="EN255" s="53">
        <f>(ED255*'[2]Renewable Diesel'!BF264*'[2]Feedstock Conversion Rates'!B$5)+FE255</f>
        <v>81.644938513743625</v>
      </c>
      <c r="EO255" s="53">
        <f>(EE255*'[2]Renewable Diesel'!BF264*'[2]Feedstock Conversion Rates'!B$6)+FF255</f>
        <v>525.90871200213451</v>
      </c>
      <c r="EP255" s="53">
        <f>(EF255*'[2]Renewable Diesel'!BF264*'[2]Feedstock Conversion Rates'!B$7)+FG255</f>
        <v>581.66589828129815</v>
      </c>
      <c r="EQ255" s="53">
        <f>(EG255*'[2]Renewable Diesel'!BF264*'[2]Feedstock Conversion Rates'!B$8)+FH255</f>
        <v>16.585310918779978</v>
      </c>
      <c r="ER255" s="53">
        <f>(EH255*'[2]Renewable Diesel'!BF264*'[2]Feedstock Conversion Rates'!B$9)+FI255</f>
        <v>6.1365650399485929</v>
      </c>
      <c r="ES255" s="53">
        <f t="shared" si="141"/>
        <v>5723.8069480907443</v>
      </c>
      <c r="ET255" s="36">
        <f>ES255/'[2]Renewable Diesel'!BF264</f>
        <v>7.9497450851800719</v>
      </c>
    </row>
    <row r="256" spans="1:150" x14ac:dyDescent="0.25">
      <c r="A256" s="39">
        <v>48214</v>
      </c>
      <c r="B256" s="45">
        <f t="shared" si="196"/>
        <v>0.25</v>
      </c>
      <c r="C256" s="45">
        <f t="shared" si="197"/>
        <v>6.5</v>
      </c>
      <c r="D256" s="45">
        <f t="shared" si="198"/>
        <v>2</v>
      </c>
      <c r="E256" s="45">
        <f>('[2]Renewable Diesel'!B265*E$3*'[2]Feedstock Conversion Rates'!$B$2)/12+26+13-100+27.5+39+65-31-1.5-8+37-5-37+1+26</f>
        <v>141.93</v>
      </c>
      <c r="F256" s="45">
        <f>('[2]Renewable Diesel'!B265*'[2]RD Feedstock Breakdown'!F$3*'[2]Feedstock Conversion Rates'!B$8)/12+77+23-10-12-115.75+24+8+4+2-34-15</f>
        <v>5.15625</v>
      </c>
      <c r="G256" s="45">
        <f>('[2]Renewable Diesel'!B265*'[2]RD Feedstock Breakdown'!G$3*'[2]Feedstock Conversion Rates'!B$7)/12+116.75-39-57.5-145-31.5+32+70-40+10-20-25-5+3+5+5</f>
        <v>54.907000000000039</v>
      </c>
      <c r="H256" s="45">
        <f>('[2]Renewable Diesel'!B265*'[2]RD Feedstock Breakdown'!H$3*'[2]Feedstock Conversion Rates'!B$3)/12+67+10+12+3-235+20+47-20+60-30+160+15</f>
        <v>285.40022499999998</v>
      </c>
      <c r="I256" s="47">
        <f t="shared" si="160"/>
        <v>496.14347500000002</v>
      </c>
      <c r="J256" s="45">
        <f t="shared" si="199"/>
        <v>14.5</v>
      </c>
      <c r="K256" s="45"/>
      <c r="L256" s="45">
        <v>1</v>
      </c>
      <c r="M256" s="45">
        <f>('[2]Renewable Diesel'!C265*'[2]RD Feedstock Breakdown'!M$3*'[2]Feedstock Conversion Rates'!B$2)/12-55+5.75+13+7.5-18+24</f>
        <v>-14.95975</v>
      </c>
      <c r="N256" s="45">
        <f>('[2]Renewable Diesel'!C265*'[2]RD Feedstock Breakdown'!N$3*'[2]Feedstock Conversion Rates'!B$8)/12-15+11+7-15+10.25-5-15+5-11</f>
        <v>-24.078125</v>
      </c>
      <c r="O256" s="45">
        <f>('[2]Renewable Diesel'!C265*'[2]RD Feedstock Breakdown'!O$3*'[2]Feedstock Conversion Rates'!B$7)/12-87+50-53+10+100-40+14</f>
        <v>5.9990999999999985</v>
      </c>
      <c r="P256" s="45">
        <f>('[2]Renewable Diesel'!C265*'[2]RD Feedstock Breakdown'!P$3*'[2]Feedstock Conversion Rates'!B$3)/12-84+40+50-25+45+55-90-15-5+70</f>
        <v>51.447042499999995</v>
      </c>
      <c r="Q256" s="47">
        <f t="shared" si="172"/>
        <v>33.908267499999994</v>
      </c>
      <c r="R256" s="45">
        <f>('[2]Renewable Diesel'!D265*'[2]RD Feedstock Breakdown'!R$3*'[2]Feedstock Conversion Rates'!B$7)/12</f>
        <v>2.2999999999999998</v>
      </c>
      <c r="S256" s="47">
        <f t="shared" si="116"/>
        <v>2.2999999999999998</v>
      </c>
      <c r="T256" s="45">
        <f t="shared" si="201"/>
        <v>4.8250000000000028</v>
      </c>
      <c r="U256" s="45">
        <v>35</v>
      </c>
      <c r="V256" s="45">
        <f>('[2]Renewable Diesel'!E265*'[2]RD Feedstock Breakdown'!V$3*'[2]Feedstock Conversion Rates'!B$6)/12-20+25-35-4</f>
        <v>10.250150000000012</v>
      </c>
      <c r="W256" s="45">
        <f>('[2]Renewable Diesel'!E265*'[2]RD Feedstock Breakdown'!W$3*'[2]Feedstock Conversion Rates'!B$8)/12-6</f>
        <v>16.1796875</v>
      </c>
      <c r="X256" s="47">
        <f t="shared" si="147"/>
        <v>66.254837500000008</v>
      </c>
      <c r="Y256" s="45">
        <f t="shared" si="200"/>
        <v>146.5</v>
      </c>
      <c r="Z256" s="45">
        <f>('[2]Renewable Diesel'!F265*'[2]RD Feedstock Breakdown'!Z$3*'[2]Feedstock Conversion Rates'!B$6)/12-50-32-60+15+15+47.5+22.5-85+70-10-25-7+7+7</f>
        <v>74.460000000000008</v>
      </c>
      <c r="AA256" s="45">
        <f>('[2]Renewable Diesel'!F265*'[2]RD Feedstock Breakdown'!AA$3*'[2]Feedstock Conversion Rates'!B$7)/12+80-171+75+30-57.5-18</f>
        <v>42.766666666666652</v>
      </c>
      <c r="AB256" s="47">
        <f t="shared" si="190"/>
        <v>263.72666666666669</v>
      </c>
      <c r="AC256" s="45">
        <f>('[2]Renewable Diesel'!G265*'[2]RD Feedstock Breakdown'!AC$3*'[2]Feedstock Conversion Rates'!B$5)/12</f>
        <v>11.796875</v>
      </c>
      <c r="AD256" s="45">
        <f>('[2]Renewable Diesel'!G265*'[2]RD Feedstock Breakdown'!AD$3*'[2]Feedstock Conversion Rates'!B$4)/12</f>
        <v>5.859375</v>
      </c>
      <c r="AE256" s="45">
        <f>('[2]Renewable Diesel'!G265*'[2]RD Feedstock Breakdown'!AE$3*'[2]Feedstock Conversion Rates'!B$6)/12</f>
        <v>7.3281250000000009</v>
      </c>
      <c r="AF256" s="47">
        <f t="shared" si="156"/>
        <v>24.984375</v>
      </c>
      <c r="AG256" s="45">
        <f t="shared" si="182"/>
        <v>6.5</v>
      </c>
      <c r="AH256" s="45">
        <v>135</v>
      </c>
      <c r="AI256" s="45">
        <f>('[2]Renewable Diesel'!H265*'[2]RD Feedstock Breakdown'!AI$3*'[2]Feedstock Conversion Rates'!B$6)/12-130-20+51-120+105-37.5+20-10</f>
        <v>7.0166666666666799</v>
      </c>
      <c r="AJ256" s="47">
        <f t="shared" ref="AJ256:AJ319" si="202">AI256+AG256</f>
        <v>13.51666666666668</v>
      </c>
      <c r="AK256" s="45">
        <f>('[2]Renewable Diesel'!J265*'[2]RD Feedstock Breakdown'!AK$3*'[2]Feedstock Conversion Rates'!B$4)/12</f>
        <v>95.8125</v>
      </c>
      <c r="AL256" s="47">
        <f t="shared" si="123"/>
        <v>95.8125</v>
      </c>
      <c r="AM256" s="45">
        <f>('[2]Renewable Diesel'!K265*'[2]RD Feedstock Breakdown'!AM$3*'[2]Feedstock Conversion Rates'!B$4)/12+5+15-10+4+5-28</f>
        <v>49.59375</v>
      </c>
      <c r="AN256" s="45">
        <f>('[2]Renewable Diesel'!K265*'[2]RD Feedstock Breakdown'!AN$3*'[2]Feedstock Conversion Rates'!B$6)/12-5-15+10-4-5+28</f>
        <v>33.427083333333329</v>
      </c>
      <c r="AO256" s="47">
        <f t="shared" si="135"/>
        <v>83.020833333333329</v>
      </c>
      <c r="AP256" s="45">
        <f>('[2]Renewable Diesel'!L265*'[2]RD Feedstock Breakdown'!AP$3*'[2]Feedstock Conversion Rates'!B$4)/12+15-10+5+2+7</f>
        <v>77.59375</v>
      </c>
      <c r="AQ256" s="45">
        <f>('[2]Renewable Diesel'!L265*'[2]RD Feedstock Breakdown'!AQ$3*'[2]Feedstock Conversion Rates'!B$6)/12-15+10-5-2-7</f>
        <v>5.4270833333333321</v>
      </c>
      <c r="AR256" s="47">
        <f t="shared" si="125"/>
        <v>83.020833333333329</v>
      </c>
      <c r="AS256" s="45">
        <f>('[2]Renewable Diesel'!M265*'[2]RD Feedstock Breakdown'!AS$3*'[2]Feedstock Conversion Rates'!B$4)/12</f>
        <v>456.25</v>
      </c>
      <c r="AT256" s="45">
        <f>('[2]Renewable Diesel'!M265*'[2]RD Feedstock Breakdown'!AT$3*'[2]Feedstock Conversion Rates'!B$5)/12</f>
        <v>0</v>
      </c>
      <c r="AU256" s="47">
        <f t="shared" si="159"/>
        <v>456.25</v>
      </c>
      <c r="AV256" s="45">
        <f>'[2]Renewable Diesel'!N265*'[2]RD Feedstock Breakdown'!$AV$3*'[2]Feedstock Conversion Rates'!$B$4/12-15-10+25+25-22+15-62.5+1</f>
        <v>35.249999999999986</v>
      </c>
      <c r="AW256" s="45">
        <f>'[2]Renewable Diesel'!N265*'[2]RD Feedstock Breakdown'!$AW$3*'[2]Feedstock Conversion Rates'!$B$7/12+15+10-25-25+22-15+62.5-1</f>
        <v>84.9</v>
      </c>
      <c r="AX256" s="47">
        <f t="shared" si="193"/>
        <v>120.14999999999999</v>
      </c>
      <c r="AY256" s="45">
        <f>('[2]Renewable Diesel'!O265*'[2]RD Feedstock Breakdown'!AY$3*'[2]Feedstock Conversion Rates'!B$4)/12-115-95</f>
        <v>0.9375</v>
      </c>
      <c r="AZ256" s="45">
        <f>('[2]Renewable Diesel'!O265*'[2]RD Feedstock Breakdown'!AZ$3*'[2]Feedstock Conversion Rates'!B$3)/12+115+95</f>
        <v>235.03125</v>
      </c>
      <c r="BA256" s="47">
        <f t="shared" si="173"/>
        <v>235.96875</v>
      </c>
      <c r="BB256" s="45">
        <f>('[2]Renewable Diesel'!Q265*'[2]RD Feedstock Breakdown'!BB$3*'[2]Feedstock Conversion Rates'!B$4)/12</f>
        <v>11.156249999999998</v>
      </c>
      <c r="BC256" s="45">
        <f>('[2]Renewable Diesel'!Q265*'[2]RD Feedstock Breakdown'!BC$3*'[2]Feedstock Conversion Rates'!B$3)/12</f>
        <v>1.4017500000000001</v>
      </c>
      <c r="BD256" s="45">
        <f>('[2]Renewable Diesel'!Q265*'[2]RD Feedstock Breakdown'!BD$3*'[2]Feedstock Conversion Rates'!B$6)/12</f>
        <v>0.8207500000000002</v>
      </c>
      <c r="BE256" s="47">
        <f t="shared" si="151"/>
        <v>13.378749999999998</v>
      </c>
      <c r="BF256" s="45">
        <f>('[2]Renewable Diesel'!R265*'[2]RD Feedstock Breakdown'!BF$3*'[2]Feedstock Conversion Rates'!B$4)/12</f>
        <v>62.5</v>
      </c>
      <c r="BG256" s="47">
        <f t="shared" si="129"/>
        <v>62.5</v>
      </c>
      <c r="BH256" s="45">
        <f>('[2]Renewable Diesel'!T265*'[2]RD Feedstock Breakdown'!BH$3*'[2]Feedstock Conversion Rates'!B$7)/12</f>
        <v>27.599999999999998</v>
      </c>
      <c r="BI256" s="47">
        <f t="shared" si="195"/>
        <v>27.599999999999998</v>
      </c>
      <c r="BJ256" s="45">
        <f>('[2]Renewable Diesel'!W265*'[2]RD Feedstock Breakdown'!BJ$3*'[2]Feedstock Conversion Rates'!B$4)/12</f>
        <v>7.5</v>
      </c>
      <c r="BK256" s="45">
        <f>('[2]Renewable Diesel'!W265*'[2]RD Feedstock Breakdown'!BK$3*'[2]Feedstock Conversion Rates'!B$3)/12</f>
        <v>1.335</v>
      </c>
      <c r="BL256" s="45">
        <f>('[2]Renewable Diesel'!W265*'[2]RD Feedstock Breakdown'!BL$3*'[2]Feedstock Conversion Rates'!B$6)/12</f>
        <v>3.1266666666666669</v>
      </c>
      <c r="BM256" s="45">
        <f>('[2]Renewable Diesel'!W265*'[2]RD Feedstock Breakdown'!BM$3*'[2]Feedstock Conversion Rates'!B$7)/12</f>
        <v>1.5333333333333332</v>
      </c>
      <c r="BN256" s="47">
        <f t="shared" si="168"/>
        <v>13.495000000000001</v>
      </c>
      <c r="BO256" s="45">
        <f>('[2]Renewable Diesel'!P265*'[2]Feedstock Conversion Rates'!B$4)/12</f>
        <v>31.25</v>
      </c>
      <c r="BP256" s="47">
        <f t="shared" si="157"/>
        <v>31.25</v>
      </c>
      <c r="BQ256" s="45">
        <f>('[2]Renewable Diesel'!$S265*'[2]RD Feedstock Breakdown'!BQ$3*'[2]Feedstock Conversion Rates'!B$4)/12+10</f>
        <v>38.125</v>
      </c>
      <c r="BR256" s="45">
        <f>('[2]Renewable Diesel'!$S265*'[2]RD Feedstock Breakdown'!BR$3*'[2]Feedstock Conversion Rates'!B$7)/12-10</f>
        <v>1.5</v>
      </c>
      <c r="BS256" s="47">
        <f t="shared" si="174"/>
        <v>39.625</v>
      </c>
      <c r="BT256" s="47"/>
      <c r="BU256" s="45">
        <f>('[2]Renewable Diesel'!Y265*'[2]Feedstock Conversion Rates'!B$7)/12</f>
        <v>2.6833333333333331</v>
      </c>
      <c r="BV256" s="47">
        <f t="shared" si="153"/>
        <v>2.6833333333333331</v>
      </c>
      <c r="BW256" s="45">
        <f>('[2]Renewable Diesel'!$Z265*'[2]RD Feedstock Breakdown'!BW$3*'[2]Feedstock Conversion Rates'!$B$4)/12</f>
        <v>71.875</v>
      </c>
      <c r="BX256" s="45">
        <f>('[2]Renewable Diesel'!$Z265*'[2]RD Feedstock Breakdown'!BX$3*'[2]Feedstock Conversion Rates'!$B$5)/12</f>
        <v>7.2354166666666666</v>
      </c>
      <c r="BY256" s="45">
        <f>('[2]Renewable Diesel'!$Z265*'[2]RD Feedstock Breakdown'!BY$3*'[2]Feedstock Conversion Rates'!$B$7)/12</f>
        <v>61.716666666666661</v>
      </c>
      <c r="BZ256" s="45">
        <f>('[2]Renewable Diesel'!$Z265*'[2]RD Feedstock Breakdown'!BZ$3*'[2]Feedstock Conversion Rates'!$B$3)/12</f>
        <v>15.352499999999999</v>
      </c>
      <c r="CA256" s="47">
        <f t="shared" si="181"/>
        <v>156.17958333333331</v>
      </c>
      <c r="CB256" s="45">
        <f>('[2]Renewable Diesel'!AA265*'[2]Feedstock Conversion Rates'!B$4)/12</f>
        <v>191.25</v>
      </c>
      <c r="CC256" s="47">
        <f t="shared" si="171"/>
        <v>191.25</v>
      </c>
      <c r="CD256" s="45">
        <f>('[2]Renewable Diesel'!$AB265*'[2]RD Feedstock Breakdown'!CD$3*'[2]Feedstock Conversion Rates'!$B$6)/12-15</f>
        <v>17.830000000000005</v>
      </c>
      <c r="CE256" s="45">
        <f>('[2]Renewable Diesel'!$AB265*'[2]RD Feedstock Breakdown'!CE$3*'[2]Feedstock Conversion Rates'!$B$4)/12+15</f>
        <v>26.25</v>
      </c>
      <c r="CF256" s="47">
        <f t="shared" si="161"/>
        <v>44.080000000000005</v>
      </c>
      <c r="CG256" s="45">
        <f>('[2]Renewable Diesel'!AD265*'[2]Feedstock Conversion Rates'!B$4)/12</f>
        <v>112.5</v>
      </c>
      <c r="CH256" s="47">
        <f t="shared" si="149"/>
        <v>112.5</v>
      </c>
      <c r="CI256" s="45">
        <f>('[2]Renewable Diesel'!$AE265*'[2]RD Feedstock Breakdown'!CI$3*'[2]Feedstock Conversion Rates'!$B$5)/12</f>
        <v>0.34604166666666664</v>
      </c>
      <c r="CJ256" s="45">
        <f>('[2]Renewable Diesel'!$AE265*'[2]RD Feedstock Breakdown'!CJ$3*'[2]Feedstock Conversion Rates'!$B$4)/12</f>
        <v>0.34375</v>
      </c>
      <c r="CK256" s="47">
        <f t="shared" si="158"/>
        <v>0.68979166666666658</v>
      </c>
      <c r="CL256" s="45">
        <f>(((CL$3*'[2]Renewable Diesel'!$AF265)*'[2]Feedstock Conversion Rates'!$B$3)/12)-11</f>
        <v>80.78125</v>
      </c>
      <c r="CM256" s="45">
        <f>(((CM$3*'[2]Renewable Diesel'!$AF265)*'[2]Feedstock Conversion Rates'!$B$6)/12)+11</f>
        <v>64.739583333333343</v>
      </c>
      <c r="CN256" s="45">
        <f>(((CN$3*'[2]Renewable Diesel'!$AF265)*'[2]Feedstock Conversion Rates'!$B$4)/12)</f>
        <v>42.96875</v>
      </c>
      <c r="CO256" s="47">
        <f t="shared" si="152"/>
        <v>188.48958333333334</v>
      </c>
      <c r="CP256" s="45">
        <f>('[2]Renewable Diesel'!$AG265*'[2]RD Feedstock Breakdown'!CP$3*'[2]Feedstock Conversion Rates'!$B$3)/12</f>
        <v>6.0075000000000003</v>
      </c>
      <c r="CQ256" s="45">
        <f>('[2]Renewable Diesel'!$AG265*'[2]RD Feedstock Breakdown'!CQ$3*'[2]Feedstock Conversion Rates'!$B$6)/12</f>
        <v>3.5175000000000001</v>
      </c>
      <c r="CR256" s="45">
        <f>('[2]Renewable Diesel'!$AG265*'[2]RD Feedstock Breakdown'!CR$3*'[2]Feedstock Conversion Rates'!$B$4)/12</f>
        <v>2.8125</v>
      </c>
      <c r="CS256" s="47">
        <f t="shared" si="183"/>
        <v>12.3375</v>
      </c>
      <c r="CT256" s="45">
        <f>('[2]Renewable Diesel'!AI265*'[2]Feedstock Conversion Rates'!$B$4*'[2]RD Feedstock Breakdown'!$CT$3)/12</f>
        <v>29.375</v>
      </c>
      <c r="CU256" s="47">
        <f t="shared" si="154"/>
        <v>29.375</v>
      </c>
      <c r="CV256" s="45">
        <f>('[2]Renewable Diesel'!AN265*'[2]Feedstock Conversion Rates'!$B$3*'[2]RD Feedstock Breakdown'!$CV$3)/12</f>
        <v>0.50062499999999999</v>
      </c>
      <c r="CW256" s="47">
        <f t="shared" si="124"/>
        <v>0.50062499999999999</v>
      </c>
      <c r="CX256" s="45">
        <f>('[2]Renewable Diesel'!AO265*'[2]RD Feedstock Breakdown'!$CX$3*'[2]Feedstock Conversion Rates'!$B$3)/12</f>
        <v>6.3412499999999996</v>
      </c>
      <c r="CY256" s="45">
        <f>('[2]Renewable Diesel'!AO265*'[2]RD Feedstock Breakdown'!$CY$3*'[2]Feedstock Conversion Rates'!$B$6)/12</f>
        <v>7.4258333333333342</v>
      </c>
      <c r="CZ256" s="47">
        <f t="shared" si="188"/>
        <v>13.767083333333334</v>
      </c>
      <c r="DA256" s="45">
        <f>('[2]Renewable Diesel'!$AP265*'[2]RD Feedstock Breakdown'!DA$3*'[2]Feedstock Conversion Rates'!$B$3)/12</f>
        <v>6.3412499999999996</v>
      </c>
      <c r="DB256" s="45">
        <f>('[2]Renewable Diesel'!$AP265*'[2]RD Feedstock Breakdown'!DB$3*'[2]Feedstock Conversion Rates'!$B$8)/12</f>
        <v>7.421875</v>
      </c>
      <c r="DC256" s="47">
        <f t="shared" si="127"/>
        <v>13.763124999999999</v>
      </c>
      <c r="DD256" s="45">
        <f>('[2]Renewable Diesel'!AQ265*$DD$3*'[2]Feedstock Conversion Rates'!$B$14)/12</f>
        <v>3.1041666666666665</v>
      </c>
      <c r="DE256" s="47">
        <f t="shared" si="128"/>
        <v>3.1041666666666665</v>
      </c>
      <c r="DF256" s="45">
        <f>('[2]Renewable Diesel'!AR265*'[2]Feedstock Conversion Rates'!$B$4*$DF$3)/12</f>
        <v>75</v>
      </c>
      <c r="DG256" s="47">
        <f t="shared" si="189"/>
        <v>75</v>
      </c>
      <c r="DH256" s="45">
        <f>('[2]Renewable Diesel'!AS265*'[2]Feedstock Conversion Rates'!$B$4*$DH$3)/12</f>
        <v>75</v>
      </c>
      <c r="DI256" s="47">
        <f t="shared" si="194"/>
        <v>75</v>
      </c>
      <c r="DJ256" s="45">
        <f>('[2]Renewable Diesel'!AT265*'[2]Feedstock Conversion Rates'!$B$4*0.25)/12</f>
        <v>8.59375</v>
      </c>
      <c r="DK256" s="45">
        <f>('[2]Renewable Diesel'!$AT265*'[2]RD Feedstock Breakdown'!DK$3*'[2]Feedstock Conversion Rates'!$B$3)/12*0.5</f>
        <v>9.1781249999999996</v>
      </c>
      <c r="DL256" s="45">
        <f>('[2]Renewable Diesel'!$AT265*'[2]RD Feedstock Breakdown'!$DL$3*'[2]Feedstock Conversion Rates'!$B$6)/12</f>
        <v>10.747916666666669</v>
      </c>
      <c r="DM256" s="45">
        <f>('[2]Renewable Diesel'!$AT265*'[2]RD Feedstock Breakdown'!$DM$3*'[2]Feedstock Conversion Rates'!$B$8)/12</f>
        <v>10.7421875</v>
      </c>
      <c r="DN256" s="47">
        <f t="shared" si="169"/>
        <v>39.26197916666667</v>
      </c>
      <c r="DP256" s="45">
        <f t="shared" si="130"/>
        <v>126.97025000000001</v>
      </c>
      <c r="DQ256" s="45">
        <f t="shared" si="131"/>
        <v>699.11776750000001</v>
      </c>
      <c r="DR256" s="45">
        <f t="shared" si="136"/>
        <v>1830.453125</v>
      </c>
      <c r="DS256" s="45">
        <f t="shared" si="155"/>
        <v>48.901250000000005</v>
      </c>
      <c r="DT256" s="45">
        <f t="shared" si="132"/>
        <v>253.53923333333344</v>
      </c>
      <c r="DU256" s="45">
        <f t="shared" si="133"/>
        <v>285.90609999999998</v>
      </c>
      <c r="DV256" s="45">
        <f t="shared" si="137"/>
        <v>8</v>
      </c>
      <c r="DW256" s="45">
        <f t="shared" si="134"/>
        <v>3</v>
      </c>
      <c r="DX256" s="47">
        <f t="shared" si="138"/>
        <v>3255.8877258333337</v>
      </c>
      <c r="DY256" s="50">
        <f t="shared" si="126"/>
        <v>-135.00000000000048</v>
      </c>
      <c r="EA256" s="51">
        <f t="shared" si="117"/>
        <v>3.8997121735056879E-2</v>
      </c>
      <c r="EB256" s="51">
        <f t="shared" si="117"/>
        <v>0.21472416322988014</v>
      </c>
      <c r="EC256" s="51">
        <f t="shared" si="117"/>
        <v>0.5621978640346087</v>
      </c>
      <c r="ED256" s="51">
        <f t="shared" si="117"/>
        <v>1.5019329325148609E-2</v>
      </c>
      <c r="EE256" s="51">
        <f t="shared" si="117"/>
        <v>7.7871000072166463E-2</v>
      </c>
      <c r="EF256" s="51">
        <f t="shared" si="117"/>
        <v>8.7812026726696565E-2</v>
      </c>
      <c r="EG256" s="51">
        <f t="shared" si="117"/>
        <v>2.4570871828672857E-3</v>
      </c>
      <c r="EH256" s="52">
        <f t="shared" si="139"/>
        <v>9.2140769357523225E-4</v>
      </c>
      <c r="EI256" s="51">
        <f t="shared" si="191"/>
        <v>0.9990785923064246</v>
      </c>
      <c r="EK256" s="53">
        <f>(EA256*'[2]Renewable Diesel'!BF265*'[2]Feedstock Conversion Rates'!B$2)+FB256</f>
        <v>162.17329659986825</v>
      </c>
      <c r="EL256" s="53">
        <f>(EB256*'[2]Renewable Diesel'!BF265*'[2]Feedstock Conversion Rates'!B$3)+FC256</f>
        <v>841.47515970152983</v>
      </c>
      <c r="EM256" s="53">
        <f>(EC256*'[2]Renewable Diesel'!BF265*'[2]Feedstock Conversion Rates'!B$4)+FD256</f>
        <v>2062.9006833313133</v>
      </c>
      <c r="EN256" s="53">
        <f>(ED256*'[2]Renewable Diesel'!BF265*'[2]Feedstock Conversion Rates'!B$5)+FE256</f>
        <v>55.478582580125028</v>
      </c>
      <c r="EO256" s="53">
        <f>(EE256*'[2]Renewable Diesel'!BF265*'[2]Feedstock Conversion Rates'!B$6)+FF256</f>
        <v>357.36042478011285</v>
      </c>
      <c r="EP256" s="53">
        <f>(EF256*'[2]Renewable Diesel'!BF265*'[2]Feedstock Conversion Rates'!B$7)+FG256</f>
        <v>395.2480111967929</v>
      </c>
      <c r="EQ256" s="53">
        <f>(EG256*'[2]Renewable Diesel'!BF265*'[2]Feedstock Conversion Rates'!B$8)+FH256</f>
        <v>11.269890800024246</v>
      </c>
      <c r="ER256" s="53">
        <f>(EH256*'[2]Renewable Diesel'!BF265*'[2]Feedstock Conversion Rates'!B$9)+FI256</f>
        <v>4.1698595960089717</v>
      </c>
      <c r="ES256" s="53">
        <f t="shared" si="141"/>
        <v>3890.0759085857753</v>
      </c>
      <c r="ET256" s="36">
        <f>ES256/'[2]Renewable Diesel'!BF265</f>
        <v>7.9511548389512425</v>
      </c>
    </row>
    <row r="257" spans="1:150" x14ac:dyDescent="0.25">
      <c r="A257" s="39">
        <v>48245</v>
      </c>
      <c r="B257" s="45">
        <f t="shared" si="196"/>
        <v>0.25</v>
      </c>
      <c r="C257" s="45">
        <f t="shared" si="197"/>
        <v>6.5</v>
      </c>
      <c r="D257" s="45">
        <f t="shared" si="198"/>
        <v>2</v>
      </c>
      <c r="E257" s="45">
        <f>('[2]Renewable Diesel'!B266*E$3*'[2]Feedstock Conversion Rates'!$B$2)/12+26+13-100+27.5+39+65-31-1.5-8+37-5-37+1+26</f>
        <v>141.93</v>
      </c>
      <c r="F257" s="45">
        <f>('[2]Renewable Diesel'!B266*'[2]RD Feedstock Breakdown'!F$3*'[2]Feedstock Conversion Rates'!B$8)/12+77+23-10-12-115.75+24+8+4+2-34-15</f>
        <v>5.15625</v>
      </c>
      <c r="G257" s="45">
        <f>('[2]Renewable Diesel'!B266*'[2]RD Feedstock Breakdown'!G$3*'[2]Feedstock Conversion Rates'!B$7)/12+116.75-39-57.5-145-31.5+32+70-40+10-20-25-5+3+5+5</f>
        <v>54.907000000000039</v>
      </c>
      <c r="H257" s="45">
        <f>('[2]Renewable Diesel'!B266*'[2]RD Feedstock Breakdown'!H$3*'[2]Feedstock Conversion Rates'!B$3)/12+67+10+12+3-235+20+47-20+60-30+160+15</f>
        <v>285.40022499999998</v>
      </c>
      <c r="I257" s="47">
        <f t="shared" si="160"/>
        <v>496.14347500000002</v>
      </c>
      <c r="J257" s="45">
        <f t="shared" si="199"/>
        <v>14.5</v>
      </c>
      <c r="K257" s="45"/>
      <c r="L257" s="45">
        <v>1</v>
      </c>
      <c r="M257" s="45">
        <f>('[2]Renewable Diesel'!C266*'[2]RD Feedstock Breakdown'!M$3*'[2]Feedstock Conversion Rates'!B$2)/12-55+5.75+13+7.5-18+24</f>
        <v>-14.95975</v>
      </c>
      <c r="N257" s="45">
        <f>('[2]Renewable Diesel'!C266*'[2]RD Feedstock Breakdown'!N$3*'[2]Feedstock Conversion Rates'!B$8)/12-15+11+7-15+10.25-5-15+5-11</f>
        <v>-24.078125</v>
      </c>
      <c r="O257" s="45">
        <f>('[2]Renewable Diesel'!C266*'[2]RD Feedstock Breakdown'!O$3*'[2]Feedstock Conversion Rates'!B$7)/12-87+50-53+10+100-40+14</f>
        <v>5.9990999999999985</v>
      </c>
      <c r="P257" s="45">
        <f>('[2]Renewable Diesel'!C266*'[2]RD Feedstock Breakdown'!P$3*'[2]Feedstock Conversion Rates'!B$3)/12-84+40+50-25+45+55-90-15-5+70</f>
        <v>51.447042499999995</v>
      </c>
      <c r="Q257" s="47">
        <f t="shared" si="172"/>
        <v>33.908267499999994</v>
      </c>
      <c r="R257" s="45">
        <f>('[2]Renewable Diesel'!D266*'[2]RD Feedstock Breakdown'!R$3*'[2]Feedstock Conversion Rates'!B$7)/12</f>
        <v>2.2999999999999998</v>
      </c>
      <c r="S257" s="47">
        <f t="shared" ref="S257:S320" si="203">R257</f>
        <v>2.2999999999999998</v>
      </c>
      <c r="T257" s="45">
        <f t="shared" si="201"/>
        <v>4.8250000000000028</v>
      </c>
      <c r="U257" s="45">
        <v>35</v>
      </c>
      <c r="V257" s="45">
        <f>('[2]Renewable Diesel'!E266*'[2]RD Feedstock Breakdown'!V$3*'[2]Feedstock Conversion Rates'!B$6)/12-20+25-35-4</f>
        <v>10.250150000000012</v>
      </c>
      <c r="W257" s="45">
        <f>('[2]Renewable Diesel'!E266*'[2]RD Feedstock Breakdown'!W$3*'[2]Feedstock Conversion Rates'!B$8)/12-6</f>
        <v>16.1796875</v>
      </c>
      <c r="X257" s="47">
        <f t="shared" si="147"/>
        <v>66.254837500000008</v>
      </c>
      <c r="Y257" s="45">
        <f t="shared" si="200"/>
        <v>146.5</v>
      </c>
      <c r="Z257" s="45">
        <f>('[2]Renewable Diesel'!F266*'[2]RD Feedstock Breakdown'!Z$3*'[2]Feedstock Conversion Rates'!B$6)/12-50-32-60+15+15+47.5+22.5-85+70-10-25-7+7+7</f>
        <v>74.460000000000008</v>
      </c>
      <c r="AA257" s="45">
        <f>('[2]Renewable Diesel'!F266*'[2]RD Feedstock Breakdown'!AA$3*'[2]Feedstock Conversion Rates'!B$7)/12+80-171+75+30-57.5-18</f>
        <v>42.766666666666652</v>
      </c>
      <c r="AB257" s="47">
        <f t="shared" si="190"/>
        <v>263.72666666666669</v>
      </c>
      <c r="AC257" s="45">
        <f>('[2]Renewable Diesel'!G266*'[2]RD Feedstock Breakdown'!AC$3*'[2]Feedstock Conversion Rates'!B$5)/12</f>
        <v>11.796875</v>
      </c>
      <c r="AD257" s="45">
        <f>('[2]Renewable Diesel'!G266*'[2]RD Feedstock Breakdown'!AD$3*'[2]Feedstock Conversion Rates'!B$4)/12</f>
        <v>5.859375</v>
      </c>
      <c r="AE257" s="45">
        <f>('[2]Renewable Diesel'!G266*'[2]RD Feedstock Breakdown'!AE$3*'[2]Feedstock Conversion Rates'!B$6)/12</f>
        <v>7.3281250000000009</v>
      </c>
      <c r="AF257" s="47">
        <f t="shared" si="156"/>
        <v>24.984375</v>
      </c>
      <c r="AG257" s="45">
        <f t="shared" si="182"/>
        <v>6.5</v>
      </c>
      <c r="AH257" s="45">
        <v>135</v>
      </c>
      <c r="AI257" s="45">
        <f>('[2]Renewable Diesel'!H266*'[2]RD Feedstock Breakdown'!AI$3*'[2]Feedstock Conversion Rates'!B$6)/12-130-20+51-120+105-37.5+20-10</f>
        <v>7.0166666666666799</v>
      </c>
      <c r="AJ257" s="47">
        <f t="shared" si="202"/>
        <v>13.51666666666668</v>
      </c>
      <c r="AK257" s="45">
        <f>('[2]Renewable Diesel'!J266*'[2]RD Feedstock Breakdown'!AK$3*'[2]Feedstock Conversion Rates'!B$4)/12</f>
        <v>95.8125</v>
      </c>
      <c r="AL257" s="47">
        <f t="shared" si="123"/>
        <v>95.8125</v>
      </c>
      <c r="AM257" s="45">
        <f>('[2]Renewable Diesel'!K266*'[2]RD Feedstock Breakdown'!AM$3*'[2]Feedstock Conversion Rates'!B$4)/12+5+15-10+4+5-28</f>
        <v>49.59375</v>
      </c>
      <c r="AN257" s="45">
        <f>('[2]Renewable Diesel'!K266*'[2]RD Feedstock Breakdown'!AN$3*'[2]Feedstock Conversion Rates'!B$6)/12-5-15+10-4-5+28</f>
        <v>33.427083333333329</v>
      </c>
      <c r="AO257" s="47">
        <f t="shared" si="135"/>
        <v>83.020833333333329</v>
      </c>
      <c r="AP257" s="45">
        <f>('[2]Renewable Diesel'!L266*'[2]RD Feedstock Breakdown'!AP$3*'[2]Feedstock Conversion Rates'!B$4)/12+15-10+5+2+7</f>
        <v>77.59375</v>
      </c>
      <c r="AQ257" s="45">
        <f>('[2]Renewable Diesel'!L266*'[2]RD Feedstock Breakdown'!AQ$3*'[2]Feedstock Conversion Rates'!B$6)/12-15+10-5-2-7</f>
        <v>5.4270833333333321</v>
      </c>
      <c r="AR257" s="47">
        <f t="shared" si="125"/>
        <v>83.020833333333329</v>
      </c>
      <c r="AS257" s="45">
        <f>('[2]Renewable Diesel'!M266*'[2]RD Feedstock Breakdown'!AS$3*'[2]Feedstock Conversion Rates'!B$4)/12</f>
        <v>456.25</v>
      </c>
      <c r="AT257" s="45">
        <f>('[2]Renewable Diesel'!M266*'[2]RD Feedstock Breakdown'!AT$3*'[2]Feedstock Conversion Rates'!B$5)/12</f>
        <v>0</v>
      </c>
      <c r="AU257" s="47">
        <f t="shared" si="159"/>
        <v>456.25</v>
      </c>
      <c r="AV257" s="45">
        <f>'[2]Renewable Diesel'!N266*'[2]RD Feedstock Breakdown'!$AV$3*'[2]Feedstock Conversion Rates'!$B$4/12-15-10+25+25-22+15-62.5+1</f>
        <v>35.249999999999986</v>
      </c>
      <c r="AW257" s="45">
        <f>'[2]Renewable Diesel'!N266*'[2]RD Feedstock Breakdown'!$AW$3*'[2]Feedstock Conversion Rates'!$B$7/12+15+10-25-25+22-15+62.5-1</f>
        <v>84.9</v>
      </c>
      <c r="AX257" s="47">
        <f t="shared" si="193"/>
        <v>120.14999999999999</v>
      </c>
      <c r="AY257" s="45">
        <f>('[2]Renewable Diesel'!O266*'[2]RD Feedstock Breakdown'!AY$3*'[2]Feedstock Conversion Rates'!B$4)/12-115-95</f>
        <v>0.9375</v>
      </c>
      <c r="AZ257" s="45">
        <f>('[2]Renewable Diesel'!O266*'[2]RD Feedstock Breakdown'!AZ$3*'[2]Feedstock Conversion Rates'!B$3)/12+115+95</f>
        <v>235.03125</v>
      </c>
      <c r="BA257" s="47">
        <f t="shared" si="173"/>
        <v>235.96875</v>
      </c>
      <c r="BB257" s="45">
        <f>('[2]Renewable Diesel'!Q266*'[2]RD Feedstock Breakdown'!BB$3*'[2]Feedstock Conversion Rates'!B$4)/12</f>
        <v>11.156249999999998</v>
      </c>
      <c r="BC257" s="45">
        <f>('[2]Renewable Diesel'!Q266*'[2]RD Feedstock Breakdown'!BC$3*'[2]Feedstock Conversion Rates'!B$3)/12</f>
        <v>1.4017500000000001</v>
      </c>
      <c r="BD257" s="45">
        <f>('[2]Renewable Diesel'!Q266*'[2]RD Feedstock Breakdown'!BD$3*'[2]Feedstock Conversion Rates'!B$6)/12</f>
        <v>0.8207500000000002</v>
      </c>
      <c r="BE257" s="47">
        <f t="shared" si="151"/>
        <v>13.378749999999998</v>
      </c>
      <c r="BF257" s="45">
        <f>('[2]Renewable Diesel'!R266*'[2]RD Feedstock Breakdown'!BF$3*'[2]Feedstock Conversion Rates'!B$4)/12</f>
        <v>62.5</v>
      </c>
      <c r="BG257" s="47">
        <f t="shared" si="129"/>
        <v>62.5</v>
      </c>
      <c r="BH257" s="45">
        <f>('[2]Renewable Diesel'!T266*'[2]RD Feedstock Breakdown'!BH$3*'[2]Feedstock Conversion Rates'!B$7)/12</f>
        <v>27.599999999999998</v>
      </c>
      <c r="BI257" s="47">
        <f t="shared" si="195"/>
        <v>27.599999999999998</v>
      </c>
      <c r="BJ257" s="45">
        <f>('[2]Renewable Diesel'!W266*'[2]RD Feedstock Breakdown'!BJ$3*'[2]Feedstock Conversion Rates'!B$4)/12</f>
        <v>7.5</v>
      </c>
      <c r="BK257" s="45">
        <f>('[2]Renewable Diesel'!W266*'[2]RD Feedstock Breakdown'!BK$3*'[2]Feedstock Conversion Rates'!B$3)/12</f>
        <v>1.335</v>
      </c>
      <c r="BL257" s="45">
        <f>('[2]Renewable Diesel'!W266*'[2]RD Feedstock Breakdown'!BL$3*'[2]Feedstock Conversion Rates'!B$6)/12</f>
        <v>3.1266666666666669</v>
      </c>
      <c r="BM257" s="45">
        <f>('[2]Renewable Diesel'!W266*'[2]RD Feedstock Breakdown'!BM$3*'[2]Feedstock Conversion Rates'!B$7)/12</f>
        <v>1.5333333333333332</v>
      </c>
      <c r="BN257" s="47">
        <f t="shared" si="168"/>
        <v>13.495000000000001</v>
      </c>
      <c r="BO257" s="45">
        <f>('[2]Renewable Diesel'!P266*'[2]Feedstock Conversion Rates'!B$4)/12</f>
        <v>31.25</v>
      </c>
      <c r="BP257" s="47">
        <f t="shared" si="157"/>
        <v>31.25</v>
      </c>
      <c r="BQ257" s="45">
        <f>('[2]Renewable Diesel'!$S266*'[2]RD Feedstock Breakdown'!BQ$3*'[2]Feedstock Conversion Rates'!B$4)/12+10</f>
        <v>38.125</v>
      </c>
      <c r="BR257" s="45">
        <f>('[2]Renewable Diesel'!$S266*'[2]RD Feedstock Breakdown'!BR$3*'[2]Feedstock Conversion Rates'!B$7)/12-10</f>
        <v>1.5</v>
      </c>
      <c r="BS257" s="47">
        <f t="shared" si="174"/>
        <v>39.625</v>
      </c>
      <c r="BT257" s="47"/>
      <c r="BU257" s="45">
        <f>('[2]Renewable Diesel'!Y266*'[2]Feedstock Conversion Rates'!B$7)/12</f>
        <v>2.6833333333333331</v>
      </c>
      <c r="BV257" s="47">
        <f t="shared" si="153"/>
        <v>2.6833333333333331</v>
      </c>
      <c r="BW257" s="45">
        <f>('[2]Renewable Diesel'!$Z266*'[2]RD Feedstock Breakdown'!BW$3*'[2]Feedstock Conversion Rates'!$B$4)/12</f>
        <v>71.875</v>
      </c>
      <c r="BX257" s="45">
        <f>('[2]Renewable Diesel'!$Z266*'[2]RD Feedstock Breakdown'!BX$3*'[2]Feedstock Conversion Rates'!$B$5)/12</f>
        <v>7.2354166666666666</v>
      </c>
      <c r="BY257" s="45">
        <f>('[2]Renewable Diesel'!$Z266*'[2]RD Feedstock Breakdown'!BY$3*'[2]Feedstock Conversion Rates'!$B$7)/12</f>
        <v>61.716666666666661</v>
      </c>
      <c r="BZ257" s="45">
        <f>('[2]Renewable Diesel'!$Z266*'[2]RD Feedstock Breakdown'!BZ$3*'[2]Feedstock Conversion Rates'!$B$3)/12</f>
        <v>15.352499999999999</v>
      </c>
      <c r="CA257" s="47">
        <f t="shared" si="181"/>
        <v>156.17958333333331</v>
      </c>
      <c r="CB257" s="45">
        <f>('[2]Renewable Diesel'!AA266*'[2]Feedstock Conversion Rates'!B$4)/12</f>
        <v>191.25</v>
      </c>
      <c r="CC257" s="47">
        <f t="shared" si="171"/>
        <v>191.25</v>
      </c>
      <c r="CD257" s="45">
        <f>('[2]Renewable Diesel'!$AB266*'[2]RD Feedstock Breakdown'!CD$3*'[2]Feedstock Conversion Rates'!$B$6)/12-15</f>
        <v>17.830000000000005</v>
      </c>
      <c r="CE257" s="45">
        <f>('[2]Renewable Diesel'!$AB266*'[2]RD Feedstock Breakdown'!CE$3*'[2]Feedstock Conversion Rates'!$B$4)/12+15</f>
        <v>26.25</v>
      </c>
      <c r="CF257" s="47">
        <f t="shared" si="161"/>
        <v>44.080000000000005</v>
      </c>
      <c r="CG257" s="45">
        <f>('[2]Renewable Diesel'!AD266*'[2]Feedstock Conversion Rates'!B$4)/12</f>
        <v>112.5</v>
      </c>
      <c r="CH257" s="47">
        <f t="shared" si="149"/>
        <v>112.5</v>
      </c>
      <c r="CI257" s="45">
        <f>('[2]Renewable Diesel'!$AE266*'[2]RD Feedstock Breakdown'!CI$3*'[2]Feedstock Conversion Rates'!$B$5)/12</f>
        <v>0.34604166666666664</v>
      </c>
      <c r="CJ257" s="45">
        <f>('[2]Renewable Diesel'!$AE266*'[2]RD Feedstock Breakdown'!CJ$3*'[2]Feedstock Conversion Rates'!$B$4)/12</f>
        <v>0.34375</v>
      </c>
      <c r="CK257" s="47">
        <f t="shared" si="158"/>
        <v>0.68979166666666658</v>
      </c>
      <c r="CL257" s="45">
        <f>(((CL$3*'[2]Renewable Diesel'!$AF266)*'[2]Feedstock Conversion Rates'!$B$3)/12)-11</f>
        <v>80.78125</v>
      </c>
      <c r="CM257" s="45">
        <f>(((CM$3*'[2]Renewable Diesel'!$AF266)*'[2]Feedstock Conversion Rates'!$B$6)/12)+11</f>
        <v>64.739583333333343</v>
      </c>
      <c r="CN257" s="45">
        <f>(((CN$3*'[2]Renewable Diesel'!$AF266)*'[2]Feedstock Conversion Rates'!$B$4)/12)</f>
        <v>42.96875</v>
      </c>
      <c r="CO257" s="47">
        <f t="shared" si="152"/>
        <v>188.48958333333334</v>
      </c>
      <c r="CP257" s="45">
        <f>('[2]Renewable Diesel'!$AG266*'[2]RD Feedstock Breakdown'!CP$3*'[2]Feedstock Conversion Rates'!$B$3)/12</f>
        <v>6.0075000000000003</v>
      </c>
      <c r="CQ257" s="45">
        <f>('[2]Renewable Diesel'!$AG266*'[2]RD Feedstock Breakdown'!CQ$3*'[2]Feedstock Conversion Rates'!$B$6)/12</f>
        <v>3.5175000000000001</v>
      </c>
      <c r="CR257" s="45">
        <f>('[2]Renewable Diesel'!$AG266*'[2]RD Feedstock Breakdown'!CR$3*'[2]Feedstock Conversion Rates'!$B$4)/12</f>
        <v>2.8125</v>
      </c>
      <c r="CS257" s="47">
        <f t="shared" si="183"/>
        <v>12.3375</v>
      </c>
      <c r="CT257" s="45">
        <f>('[2]Renewable Diesel'!AI266*'[2]Feedstock Conversion Rates'!$B$4*'[2]RD Feedstock Breakdown'!$CT$3)/12</f>
        <v>29.375</v>
      </c>
      <c r="CU257" s="47">
        <f t="shared" si="154"/>
        <v>29.375</v>
      </c>
      <c r="CV257" s="45">
        <f>('[2]Renewable Diesel'!AN266*'[2]Feedstock Conversion Rates'!$B$3*'[2]RD Feedstock Breakdown'!$CV$3)/12</f>
        <v>0.50062499999999999</v>
      </c>
      <c r="CW257" s="47">
        <f t="shared" si="124"/>
        <v>0.50062499999999999</v>
      </c>
      <c r="CX257" s="45">
        <f>('[2]Renewable Diesel'!AO266*'[2]RD Feedstock Breakdown'!$CX$3*'[2]Feedstock Conversion Rates'!$B$3)/12</f>
        <v>6.3412499999999996</v>
      </c>
      <c r="CY257" s="45">
        <f>('[2]Renewable Diesel'!AO266*'[2]RD Feedstock Breakdown'!$CY$3*'[2]Feedstock Conversion Rates'!$B$6)/12</f>
        <v>7.4258333333333342</v>
      </c>
      <c r="CZ257" s="47">
        <f t="shared" si="188"/>
        <v>13.767083333333334</v>
      </c>
      <c r="DA257" s="45">
        <f>('[2]Renewable Diesel'!$AP266*'[2]RD Feedstock Breakdown'!DA$3*'[2]Feedstock Conversion Rates'!$B$3)/12</f>
        <v>6.3412499999999996</v>
      </c>
      <c r="DB257" s="45">
        <f>('[2]Renewable Diesel'!$AP266*'[2]RD Feedstock Breakdown'!DB$3*'[2]Feedstock Conversion Rates'!$B$8)/12</f>
        <v>7.421875</v>
      </c>
      <c r="DC257" s="47">
        <f t="shared" si="127"/>
        <v>13.763124999999999</v>
      </c>
      <c r="DD257" s="45">
        <f>('[2]Renewable Diesel'!AQ266*$DD$3*'[2]Feedstock Conversion Rates'!$B$14)/12</f>
        <v>3.1041666666666665</v>
      </c>
      <c r="DE257" s="47">
        <f t="shared" si="128"/>
        <v>3.1041666666666665</v>
      </c>
      <c r="DF257" s="45">
        <f>('[2]Renewable Diesel'!AR266*'[2]Feedstock Conversion Rates'!$B$4*$DF$3)/12</f>
        <v>75</v>
      </c>
      <c r="DG257" s="47">
        <f t="shared" si="189"/>
        <v>75</v>
      </c>
      <c r="DH257" s="45">
        <f>('[2]Renewable Diesel'!AS266*'[2]Feedstock Conversion Rates'!$B$4*$DH$3)/12</f>
        <v>75</v>
      </c>
      <c r="DI257" s="47">
        <f t="shared" si="194"/>
        <v>75</v>
      </c>
      <c r="DJ257" s="45">
        <f>('[2]Renewable Diesel'!AT266*'[2]Feedstock Conversion Rates'!$B$4*0.25)/12</f>
        <v>8.59375</v>
      </c>
      <c r="DK257" s="45">
        <f>('[2]Renewable Diesel'!$AT266*'[2]RD Feedstock Breakdown'!DK$3*'[2]Feedstock Conversion Rates'!$B$3)/12*0.5</f>
        <v>9.1781249999999996</v>
      </c>
      <c r="DL257" s="45">
        <f>('[2]Renewable Diesel'!$AT266*'[2]RD Feedstock Breakdown'!$DL$3*'[2]Feedstock Conversion Rates'!$B$6)/12</f>
        <v>10.747916666666669</v>
      </c>
      <c r="DM257" s="45">
        <f>('[2]Renewable Diesel'!$AT266*'[2]RD Feedstock Breakdown'!$DM$3*'[2]Feedstock Conversion Rates'!$B$8)/12</f>
        <v>10.7421875</v>
      </c>
      <c r="DN257" s="47">
        <f t="shared" si="169"/>
        <v>39.26197916666667</v>
      </c>
      <c r="DP257" s="45">
        <f t="shared" si="130"/>
        <v>126.97025000000001</v>
      </c>
      <c r="DQ257" s="45">
        <f t="shared" si="131"/>
        <v>699.11776750000001</v>
      </c>
      <c r="DR257" s="45">
        <f t="shared" si="136"/>
        <v>1830.453125</v>
      </c>
      <c r="DS257" s="45">
        <f t="shared" si="155"/>
        <v>48.901250000000005</v>
      </c>
      <c r="DT257" s="45">
        <f t="shared" si="132"/>
        <v>253.53923333333344</v>
      </c>
      <c r="DU257" s="45">
        <f t="shared" si="133"/>
        <v>285.90609999999998</v>
      </c>
      <c r="DV257" s="45">
        <f t="shared" si="137"/>
        <v>8</v>
      </c>
      <c r="DW257" s="45">
        <f t="shared" si="134"/>
        <v>3</v>
      </c>
      <c r="DX257" s="47">
        <f t="shared" si="138"/>
        <v>3255.8877258333337</v>
      </c>
      <c r="DY257" s="50">
        <f t="shared" si="126"/>
        <v>-135.00000000000048</v>
      </c>
      <c r="EA257" s="51">
        <f t="shared" ref="EA257:EG293" si="204">DP257/$DX257</f>
        <v>3.8997121735056879E-2</v>
      </c>
      <c r="EB257" s="51">
        <f t="shared" si="204"/>
        <v>0.21472416322988014</v>
      </c>
      <c r="EC257" s="51">
        <f t="shared" si="204"/>
        <v>0.5621978640346087</v>
      </c>
      <c r="ED257" s="51">
        <f t="shared" si="204"/>
        <v>1.5019329325148609E-2</v>
      </c>
      <c r="EE257" s="51">
        <f t="shared" si="204"/>
        <v>7.7871000072166463E-2</v>
      </c>
      <c r="EF257" s="51">
        <f t="shared" si="204"/>
        <v>8.7812026726696565E-2</v>
      </c>
      <c r="EG257" s="51">
        <f t="shared" si="204"/>
        <v>2.4570871828672857E-3</v>
      </c>
      <c r="EH257" s="52">
        <f t="shared" si="139"/>
        <v>9.2140769357523225E-4</v>
      </c>
      <c r="EI257" s="51">
        <f t="shared" si="191"/>
        <v>0.9990785923064246</v>
      </c>
      <c r="EK257" s="53">
        <f>(EA257*'[2]Renewable Diesel'!BF266*'[2]Feedstock Conversion Rates'!B$2)+FB257</f>
        <v>240.69209210061189</v>
      </c>
      <c r="EL257" s="53">
        <f>(EB257*'[2]Renewable Diesel'!BF266*'[2]Feedstock Conversion Rates'!B$3)+FC257</f>
        <v>1248.8888176145163</v>
      </c>
      <c r="EM257" s="53">
        <f>(EC257*'[2]Renewable Diesel'!BF266*'[2]Feedstock Conversion Rates'!B$4)+FD257</f>
        <v>3061.6870451358818</v>
      </c>
      <c r="EN257" s="53">
        <f>(ED257*'[2]Renewable Diesel'!BF266*'[2]Feedstock Conversion Rates'!B$5)+FE257</f>
        <v>82.339425712813096</v>
      </c>
      <c r="EO257" s="53">
        <f>(EE257*'[2]Renewable Diesel'!BF266*'[2]Feedstock Conversion Rates'!B$6)+FF257</f>
        <v>530.38219039544754</v>
      </c>
      <c r="EP257" s="53">
        <f>(EF257*'[2]Renewable Diesel'!BF266*'[2]Feedstock Conversion Rates'!B$7)+FG257</f>
        <v>586.61365778538072</v>
      </c>
      <c r="EQ257" s="53">
        <f>(EG257*'[2]Renewable Diesel'!BF266*'[2]Feedstock Conversion Rates'!B$8)+FH257</f>
        <v>16.726388692067065</v>
      </c>
      <c r="ER257" s="53">
        <f>(EH257*'[2]Renewable Diesel'!BF266*'[2]Feedstock Conversion Rates'!B$9)+FI257</f>
        <v>6.1887638160648137</v>
      </c>
      <c r="ES257" s="53">
        <f t="shared" si="141"/>
        <v>5773.518381252783</v>
      </c>
      <c r="ET257" s="36">
        <f>ES257/'[2]Renewable Diesel'!BF266</f>
        <v>7.9511548389512416</v>
      </c>
    </row>
    <row r="258" spans="1:150" x14ac:dyDescent="0.25">
      <c r="A258" s="39">
        <v>48274</v>
      </c>
      <c r="B258" s="45">
        <f t="shared" si="196"/>
        <v>0.25</v>
      </c>
      <c r="C258" s="45">
        <f t="shared" si="197"/>
        <v>6.5</v>
      </c>
      <c r="D258" s="45">
        <f t="shared" si="198"/>
        <v>2</v>
      </c>
      <c r="E258" s="45">
        <f>('[2]Renewable Diesel'!B267*E$3*'[2]Feedstock Conversion Rates'!$B$2)/12+26+13-100+27.5+39+65-31-1.5-8+37-5-37+1+26</f>
        <v>141.93</v>
      </c>
      <c r="F258" s="45">
        <f>('[2]Renewable Diesel'!B267*'[2]RD Feedstock Breakdown'!F$3*'[2]Feedstock Conversion Rates'!B$8)/12+77+23-10-12-115.75+24+8+4+2-34-15</f>
        <v>5.15625</v>
      </c>
      <c r="G258" s="45">
        <f>('[2]Renewable Diesel'!B267*'[2]RD Feedstock Breakdown'!G$3*'[2]Feedstock Conversion Rates'!B$7)/12+116.75-39-57.5-145-31.5+32+70-40+10-20-25-5+3+5+5</f>
        <v>54.907000000000039</v>
      </c>
      <c r="H258" s="45">
        <f>('[2]Renewable Diesel'!B267*'[2]RD Feedstock Breakdown'!H$3*'[2]Feedstock Conversion Rates'!B$3)/12+67+10+12+3-235+20+47-20+60-30+160+15</f>
        <v>285.40022499999998</v>
      </c>
      <c r="I258" s="47">
        <f t="shared" si="160"/>
        <v>496.14347500000002</v>
      </c>
      <c r="J258" s="45">
        <f t="shared" si="199"/>
        <v>14.5</v>
      </c>
      <c r="K258" s="45"/>
      <c r="L258" s="45">
        <v>1</v>
      </c>
      <c r="M258" s="45">
        <f>('[2]Renewable Diesel'!C267*'[2]RD Feedstock Breakdown'!M$3*'[2]Feedstock Conversion Rates'!B$2)/12-55+5.75+13+7.5-18+24</f>
        <v>-14.95975</v>
      </c>
      <c r="N258" s="45">
        <f>('[2]Renewable Diesel'!C267*'[2]RD Feedstock Breakdown'!N$3*'[2]Feedstock Conversion Rates'!B$8)/12-15+11+7-15+10.25-5-15+5-11</f>
        <v>-24.078125</v>
      </c>
      <c r="O258" s="45">
        <f>('[2]Renewable Diesel'!C267*'[2]RD Feedstock Breakdown'!O$3*'[2]Feedstock Conversion Rates'!B$7)/12-87+50-53+10+100-40+14</f>
        <v>5.9990999999999985</v>
      </c>
      <c r="P258" s="45">
        <f>('[2]Renewable Diesel'!C267*'[2]RD Feedstock Breakdown'!P$3*'[2]Feedstock Conversion Rates'!B$3)/12-84+40+50-25+45+55-90-15-5+70</f>
        <v>51.447042499999995</v>
      </c>
      <c r="Q258" s="47">
        <f t="shared" si="172"/>
        <v>33.908267499999994</v>
      </c>
      <c r="R258" s="45">
        <f>('[2]Renewable Diesel'!D267*'[2]RD Feedstock Breakdown'!R$3*'[2]Feedstock Conversion Rates'!B$7)/12</f>
        <v>2.2999999999999998</v>
      </c>
      <c r="S258" s="47">
        <f t="shared" si="203"/>
        <v>2.2999999999999998</v>
      </c>
      <c r="T258" s="45">
        <f t="shared" si="201"/>
        <v>4.8250000000000028</v>
      </c>
      <c r="U258" s="45">
        <v>35</v>
      </c>
      <c r="V258" s="45">
        <f>('[2]Renewable Diesel'!E267*'[2]RD Feedstock Breakdown'!V$3*'[2]Feedstock Conversion Rates'!B$6)/12-20+25-35-4</f>
        <v>10.250150000000012</v>
      </c>
      <c r="W258" s="45">
        <f>('[2]Renewable Diesel'!E267*'[2]RD Feedstock Breakdown'!W$3*'[2]Feedstock Conversion Rates'!B$8)/12-6</f>
        <v>16.1796875</v>
      </c>
      <c r="X258" s="47">
        <f t="shared" si="147"/>
        <v>66.254837500000008</v>
      </c>
      <c r="Y258" s="45">
        <f t="shared" si="200"/>
        <v>146.5</v>
      </c>
      <c r="Z258" s="45">
        <f>('[2]Renewable Diesel'!F267*'[2]RD Feedstock Breakdown'!Z$3*'[2]Feedstock Conversion Rates'!B$6)/12-50-32-60+15+15+47.5+22.5-85+70-10-25-7+7+7</f>
        <v>74.460000000000008</v>
      </c>
      <c r="AA258" s="45">
        <f>('[2]Renewable Diesel'!F267*'[2]RD Feedstock Breakdown'!AA$3*'[2]Feedstock Conversion Rates'!B$7)/12+80-171+75+30-57.5-18</f>
        <v>42.766666666666652</v>
      </c>
      <c r="AB258" s="47">
        <f t="shared" si="190"/>
        <v>263.72666666666669</v>
      </c>
      <c r="AC258" s="45">
        <f>('[2]Renewable Diesel'!G267*'[2]RD Feedstock Breakdown'!AC$3*'[2]Feedstock Conversion Rates'!B$5)/12</f>
        <v>11.796875</v>
      </c>
      <c r="AD258" s="45">
        <f>('[2]Renewable Diesel'!G267*'[2]RD Feedstock Breakdown'!AD$3*'[2]Feedstock Conversion Rates'!B$4)/12</f>
        <v>5.859375</v>
      </c>
      <c r="AE258" s="45">
        <f>('[2]Renewable Diesel'!G267*'[2]RD Feedstock Breakdown'!AE$3*'[2]Feedstock Conversion Rates'!B$6)/12</f>
        <v>7.3281250000000009</v>
      </c>
      <c r="AF258" s="47">
        <f t="shared" si="156"/>
        <v>24.984375</v>
      </c>
      <c r="AG258" s="45">
        <f t="shared" si="182"/>
        <v>6.5</v>
      </c>
      <c r="AH258" s="45">
        <v>135</v>
      </c>
      <c r="AI258" s="45">
        <f>('[2]Renewable Diesel'!H267*'[2]RD Feedstock Breakdown'!AI$3*'[2]Feedstock Conversion Rates'!B$6)/12-130-20+51-120+105-37.5+20-10</f>
        <v>7.0166666666666799</v>
      </c>
      <c r="AJ258" s="47">
        <f t="shared" si="202"/>
        <v>13.51666666666668</v>
      </c>
      <c r="AK258" s="45">
        <f>('[2]Renewable Diesel'!J267*'[2]RD Feedstock Breakdown'!AK$3*'[2]Feedstock Conversion Rates'!B$4)/12</f>
        <v>95.8125</v>
      </c>
      <c r="AL258" s="47">
        <f t="shared" si="123"/>
        <v>95.8125</v>
      </c>
      <c r="AM258" s="45">
        <f>('[2]Renewable Diesel'!K267*'[2]RD Feedstock Breakdown'!AM$3*'[2]Feedstock Conversion Rates'!B$4)/12+5+15-10+4+5-28</f>
        <v>49.59375</v>
      </c>
      <c r="AN258" s="45">
        <f>('[2]Renewable Diesel'!K267*'[2]RD Feedstock Breakdown'!AN$3*'[2]Feedstock Conversion Rates'!B$6)/12-5-15+10-4-5+28</f>
        <v>33.427083333333329</v>
      </c>
      <c r="AO258" s="47">
        <f t="shared" si="135"/>
        <v>83.020833333333329</v>
      </c>
      <c r="AP258" s="45">
        <f>('[2]Renewable Diesel'!L267*'[2]RD Feedstock Breakdown'!AP$3*'[2]Feedstock Conversion Rates'!B$4)/12+15-10+5+2+7</f>
        <v>77.59375</v>
      </c>
      <c r="AQ258" s="45">
        <f>('[2]Renewable Diesel'!L267*'[2]RD Feedstock Breakdown'!AQ$3*'[2]Feedstock Conversion Rates'!B$6)/12-15+10-5-2-7</f>
        <v>5.4270833333333321</v>
      </c>
      <c r="AR258" s="47">
        <f t="shared" si="125"/>
        <v>83.020833333333329</v>
      </c>
      <c r="AS258" s="45">
        <f>('[2]Renewable Diesel'!M267*'[2]RD Feedstock Breakdown'!AS$3*'[2]Feedstock Conversion Rates'!B$4)/12</f>
        <v>456.25</v>
      </c>
      <c r="AT258" s="45">
        <f>('[2]Renewable Diesel'!M267*'[2]RD Feedstock Breakdown'!AT$3*'[2]Feedstock Conversion Rates'!B$5)/12</f>
        <v>0</v>
      </c>
      <c r="AU258" s="47">
        <f t="shared" si="159"/>
        <v>456.25</v>
      </c>
      <c r="AV258" s="45">
        <f>'[2]Renewable Diesel'!N267*'[2]RD Feedstock Breakdown'!$AV$3*'[2]Feedstock Conversion Rates'!$B$4/12-15-10+25+25-22+15-62.5+1</f>
        <v>35.249999999999986</v>
      </c>
      <c r="AW258" s="45">
        <f>'[2]Renewable Diesel'!N267*'[2]RD Feedstock Breakdown'!$AW$3*'[2]Feedstock Conversion Rates'!$B$7/12+15+10-25-25+22-15+62.5-1</f>
        <v>84.9</v>
      </c>
      <c r="AX258" s="47">
        <f t="shared" si="193"/>
        <v>120.14999999999999</v>
      </c>
      <c r="AY258" s="45">
        <f>('[2]Renewable Diesel'!O267*'[2]RD Feedstock Breakdown'!AY$3*'[2]Feedstock Conversion Rates'!B$4)/12-115-95</f>
        <v>0.9375</v>
      </c>
      <c r="AZ258" s="45">
        <f>('[2]Renewable Diesel'!O267*'[2]RD Feedstock Breakdown'!AZ$3*'[2]Feedstock Conversion Rates'!B$3)/12+115+95</f>
        <v>235.03125</v>
      </c>
      <c r="BA258" s="47">
        <f t="shared" si="173"/>
        <v>235.96875</v>
      </c>
      <c r="BB258" s="45">
        <f>('[2]Renewable Diesel'!Q267*'[2]RD Feedstock Breakdown'!BB$3*'[2]Feedstock Conversion Rates'!B$4)/12</f>
        <v>11.156249999999998</v>
      </c>
      <c r="BC258" s="45">
        <f>('[2]Renewable Diesel'!Q267*'[2]RD Feedstock Breakdown'!BC$3*'[2]Feedstock Conversion Rates'!B$3)/12</f>
        <v>1.4017500000000001</v>
      </c>
      <c r="BD258" s="45">
        <f>('[2]Renewable Diesel'!Q267*'[2]RD Feedstock Breakdown'!BD$3*'[2]Feedstock Conversion Rates'!B$6)/12</f>
        <v>0.8207500000000002</v>
      </c>
      <c r="BE258" s="47">
        <f t="shared" si="151"/>
        <v>13.378749999999998</v>
      </c>
      <c r="BF258" s="45">
        <f>('[2]Renewable Diesel'!R267*'[2]RD Feedstock Breakdown'!BF$3*'[2]Feedstock Conversion Rates'!B$4)/12</f>
        <v>62.5</v>
      </c>
      <c r="BG258" s="47">
        <f t="shared" si="129"/>
        <v>62.5</v>
      </c>
      <c r="BH258" s="45">
        <f>('[2]Renewable Diesel'!T267*'[2]RD Feedstock Breakdown'!BH$3*'[2]Feedstock Conversion Rates'!B$7)/12</f>
        <v>27.599999999999998</v>
      </c>
      <c r="BI258" s="47">
        <f t="shared" si="195"/>
        <v>27.599999999999998</v>
      </c>
      <c r="BJ258" s="45">
        <f>('[2]Renewable Diesel'!W267*'[2]RD Feedstock Breakdown'!BJ$3*'[2]Feedstock Conversion Rates'!B$4)/12</f>
        <v>7.5</v>
      </c>
      <c r="BK258" s="45">
        <f>('[2]Renewable Diesel'!W267*'[2]RD Feedstock Breakdown'!BK$3*'[2]Feedstock Conversion Rates'!B$3)/12</f>
        <v>1.335</v>
      </c>
      <c r="BL258" s="45">
        <f>('[2]Renewable Diesel'!W267*'[2]RD Feedstock Breakdown'!BL$3*'[2]Feedstock Conversion Rates'!B$6)/12</f>
        <v>3.1266666666666669</v>
      </c>
      <c r="BM258" s="45">
        <f>('[2]Renewable Diesel'!W267*'[2]RD Feedstock Breakdown'!BM$3*'[2]Feedstock Conversion Rates'!B$7)/12</f>
        <v>1.5333333333333332</v>
      </c>
      <c r="BN258" s="47">
        <f t="shared" si="168"/>
        <v>13.495000000000001</v>
      </c>
      <c r="BO258" s="45">
        <f>('[2]Renewable Diesel'!P267*'[2]Feedstock Conversion Rates'!B$4)/12</f>
        <v>31.25</v>
      </c>
      <c r="BP258" s="47">
        <f t="shared" si="157"/>
        <v>31.25</v>
      </c>
      <c r="BQ258" s="45">
        <f>('[2]Renewable Diesel'!$S267*'[2]RD Feedstock Breakdown'!BQ$3*'[2]Feedstock Conversion Rates'!B$4)/12+10</f>
        <v>38.125</v>
      </c>
      <c r="BR258" s="45">
        <f>('[2]Renewable Diesel'!$S267*'[2]RD Feedstock Breakdown'!BR$3*'[2]Feedstock Conversion Rates'!B$7)/12-10</f>
        <v>1.5</v>
      </c>
      <c r="BS258" s="47">
        <f t="shared" si="174"/>
        <v>39.625</v>
      </c>
      <c r="BT258" s="47"/>
      <c r="BU258" s="45">
        <f>('[2]Renewable Diesel'!Y267*'[2]Feedstock Conversion Rates'!B$7)/12</f>
        <v>2.6833333333333331</v>
      </c>
      <c r="BV258" s="47">
        <f t="shared" si="153"/>
        <v>2.6833333333333331</v>
      </c>
      <c r="BW258" s="45">
        <f>('[2]Renewable Diesel'!$Z267*'[2]RD Feedstock Breakdown'!BW$3*'[2]Feedstock Conversion Rates'!$B$4)/12</f>
        <v>71.875</v>
      </c>
      <c r="BX258" s="45">
        <f>('[2]Renewable Diesel'!$Z267*'[2]RD Feedstock Breakdown'!BX$3*'[2]Feedstock Conversion Rates'!$B$5)/12</f>
        <v>7.2354166666666666</v>
      </c>
      <c r="BY258" s="45">
        <f>('[2]Renewable Diesel'!$Z267*'[2]RD Feedstock Breakdown'!BY$3*'[2]Feedstock Conversion Rates'!$B$7)/12</f>
        <v>61.716666666666661</v>
      </c>
      <c r="BZ258" s="45">
        <f>('[2]Renewable Diesel'!$Z267*'[2]RD Feedstock Breakdown'!BZ$3*'[2]Feedstock Conversion Rates'!$B$3)/12</f>
        <v>15.352499999999999</v>
      </c>
      <c r="CA258" s="47">
        <f t="shared" si="181"/>
        <v>156.17958333333331</v>
      </c>
      <c r="CB258" s="45">
        <f>('[2]Renewable Diesel'!AA267*'[2]Feedstock Conversion Rates'!B$4)/12</f>
        <v>191.25</v>
      </c>
      <c r="CC258" s="47">
        <f t="shared" si="171"/>
        <v>191.25</v>
      </c>
      <c r="CD258" s="45">
        <f>('[2]Renewable Diesel'!$AB267*'[2]RD Feedstock Breakdown'!CD$3*'[2]Feedstock Conversion Rates'!$B$6)/12-15</f>
        <v>17.830000000000005</v>
      </c>
      <c r="CE258" s="45">
        <f>('[2]Renewable Diesel'!$AB267*'[2]RD Feedstock Breakdown'!CE$3*'[2]Feedstock Conversion Rates'!$B$4)/12+15</f>
        <v>26.25</v>
      </c>
      <c r="CF258" s="47">
        <f t="shared" si="161"/>
        <v>44.080000000000005</v>
      </c>
      <c r="CG258" s="45">
        <f>('[2]Renewable Diesel'!AD267*'[2]Feedstock Conversion Rates'!B$4)/12</f>
        <v>112.5</v>
      </c>
      <c r="CH258" s="47">
        <f t="shared" si="149"/>
        <v>112.5</v>
      </c>
      <c r="CI258" s="45">
        <f>('[2]Renewable Diesel'!$AE267*'[2]RD Feedstock Breakdown'!CI$3*'[2]Feedstock Conversion Rates'!$B$5)/12</f>
        <v>0.34604166666666664</v>
      </c>
      <c r="CJ258" s="45">
        <f>('[2]Renewable Diesel'!$AE267*'[2]RD Feedstock Breakdown'!CJ$3*'[2]Feedstock Conversion Rates'!$B$4)/12</f>
        <v>0.34375</v>
      </c>
      <c r="CK258" s="47">
        <f t="shared" si="158"/>
        <v>0.68979166666666658</v>
      </c>
      <c r="CL258" s="45">
        <f>(((CL$3*'[2]Renewable Diesel'!$AF267)*'[2]Feedstock Conversion Rates'!$B$3)/12)-11</f>
        <v>80.78125</v>
      </c>
      <c r="CM258" s="45">
        <f>(((CM$3*'[2]Renewable Diesel'!$AF267)*'[2]Feedstock Conversion Rates'!$B$6)/12)+11</f>
        <v>64.739583333333343</v>
      </c>
      <c r="CN258" s="45">
        <f>(((CN$3*'[2]Renewable Diesel'!$AF267)*'[2]Feedstock Conversion Rates'!$B$4)/12)</f>
        <v>42.96875</v>
      </c>
      <c r="CO258" s="47">
        <f t="shared" si="152"/>
        <v>188.48958333333334</v>
      </c>
      <c r="CP258" s="45">
        <f>('[2]Renewable Diesel'!$AG267*'[2]RD Feedstock Breakdown'!CP$3*'[2]Feedstock Conversion Rates'!$B$3)/12</f>
        <v>6.0075000000000003</v>
      </c>
      <c r="CQ258" s="45">
        <f>('[2]Renewable Diesel'!$AG267*'[2]RD Feedstock Breakdown'!CQ$3*'[2]Feedstock Conversion Rates'!$B$6)/12</f>
        <v>3.5175000000000001</v>
      </c>
      <c r="CR258" s="45">
        <f>('[2]Renewable Diesel'!$AG267*'[2]RD Feedstock Breakdown'!CR$3*'[2]Feedstock Conversion Rates'!$B$4)/12</f>
        <v>2.8125</v>
      </c>
      <c r="CS258" s="47">
        <f t="shared" si="183"/>
        <v>12.3375</v>
      </c>
      <c r="CT258" s="45">
        <f>('[2]Renewable Diesel'!AI267*'[2]Feedstock Conversion Rates'!$B$4*'[2]RD Feedstock Breakdown'!$CT$3)/12</f>
        <v>29.375</v>
      </c>
      <c r="CU258" s="47">
        <f t="shared" si="154"/>
        <v>29.375</v>
      </c>
      <c r="CV258" s="45">
        <f>('[2]Renewable Diesel'!AN267*'[2]Feedstock Conversion Rates'!$B$3*'[2]RD Feedstock Breakdown'!$CV$3)/12</f>
        <v>0.50062499999999999</v>
      </c>
      <c r="CW258" s="47">
        <f t="shared" si="124"/>
        <v>0.50062499999999999</v>
      </c>
      <c r="CX258" s="45">
        <f>('[2]Renewable Diesel'!AO267*'[2]RD Feedstock Breakdown'!$CX$3*'[2]Feedstock Conversion Rates'!$B$3)/12</f>
        <v>6.3412499999999996</v>
      </c>
      <c r="CY258" s="45">
        <f>('[2]Renewable Diesel'!AO267*'[2]RD Feedstock Breakdown'!$CY$3*'[2]Feedstock Conversion Rates'!$B$6)/12</f>
        <v>7.4258333333333342</v>
      </c>
      <c r="CZ258" s="47">
        <f t="shared" si="188"/>
        <v>13.767083333333334</v>
      </c>
      <c r="DA258" s="45">
        <f>('[2]Renewable Diesel'!$AP267*'[2]RD Feedstock Breakdown'!DA$3*'[2]Feedstock Conversion Rates'!$B$3)/12</f>
        <v>6.3412499999999996</v>
      </c>
      <c r="DB258" s="45">
        <f>('[2]Renewable Diesel'!$AP267*'[2]RD Feedstock Breakdown'!DB$3*'[2]Feedstock Conversion Rates'!$B$8)/12</f>
        <v>7.421875</v>
      </c>
      <c r="DC258" s="47">
        <f t="shared" si="127"/>
        <v>13.763124999999999</v>
      </c>
      <c r="DD258" s="45">
        <f>('[2]Renewable Diesel'!AQ267*$DD$3*'[2]Feedstock Conversion Rates'!$B$14)/12</f>
        <v>3.1041666666666665</v>
      </c>
      <c r="DE258" s="47">
        <f t="shared" si="128"/>
        <v>3.1041666666666665</v>
      </c>
      <c r="DF258" s="45">
        <f>('[2]Renewable Diesel'!AR267*'[2]Feedstock Conversion Rates'!$B$4*$DF$3)/12</f>
        <v>75</v>
      </c>
      <c r="DG258" s="47">
        <f t="shared" si="189"/>
        <v>75</v>
      </c>
      <c r="DH258" s="45">
        <f>('[2]Renewable Diesel'!AS267*'[2]Feedstock Conversion Rates'!$B$4*$DH$3)/12</f>
        <v>75</v>
      </c>
      <c r="DI258" s="47">
        <f t="shared" si="194"/>
        <v>75</v>
      </c>
      <c r="DJ258" s="45">
        <f>('[2]Renewable Diesel'!AT267*'[2]Feedstock Conversion Rates'!$B$4*0.25)/12</f>
        <v>8.59375</v>
      </c>
      <c r="DK258" s="45">
        <f>('[2]Renewable Diesel'!$AT267*'[2]RD Feedstock Breakdown'!DK$3*'[2]Feedstock Conversion Rates'!$B$3)/12*0.5</f>
        <v>9.1781249999999996</v>
      </c>
      <c r="DL258" s="45">
        <f>('[2]Renewable Diesel'!$AT267*'[2]RD Feedstock Breakdown'!$DL$3*'[2]Feedstock Conversion Rates'!$B$6)/12</f>
        <v>10.747916666666669</v>
      </c>
      <c r="DM258" s="45">
        <f>('[2]Renewable Diesel'!$AT267*'[2]RD Feedstock Breakdown'!$DM$3*'[2]Feedstock Conversion Rates'!$B$8)/12</f>
        <v>10.7421875</v>
      </c>
      <c r="DN258" s="47">
        <f t="shared" si="169"/>
        <v>39.26197916666667</v>
      </c>
      <c r="DP258" s="45">
        <f t="shared" si="130"/>
        <v>126.97025000000001</v>
      </c>
      <c r="DQ258" s="45">
        <f t="shared" si="131"/>
        <v>699.11776750000001</v>
      </c>
      <c r="DR258" s="45">
        <f t="shared" si="136"/>
        <v>1830.453125</v>
      </c>
      <c r="DS258" s="45">
        <f t="shared" si="155"/>
        <v>48.901250000000005</v>
      </c>
      <c r="DT258" s="45">
        <f t="shared" si="132"/>
        <v>253.53923333333344</v>
      </c>
      <c r="DU258" s="45">
        <f t="shared" si="133"/>
        <v>285.90609999999998</v>
      </c>
      <c r="DV258" s="45">
        <f t="shared" si="137"/>
        <v>8</v>
      </c>
      <c r="DW258" s="45">
        <f t="shared" si="134"/>
        <v>3</v>
      </c>
      <c r="DX258" s="47">
        <f t="shared" si="138"/>
        <v>3255.8877258333337</v>
      </c>
      <c r="DY258" s="50">
        <f t="shared" si="126"/>
        <v>-135.00000000000048</v>
      </c>
      <c r="EA258" s="51">
        <f t="shared" si="204"/>
        <v>3.8997121735056879E-2</v>
      </c>
      <c r="EB258" s="51">
        <f t="shared" si="204"/>
        <v>0.21472416322988014</v>
      </c>
      <c r="EC258" s="51">
        <f t="shared" si="204"/>
        <v>0.5621978640346087</v>
      </c>
      <c r="ED258" s="51">
        <f t="shared" si="204"/>
        <v>1.5019329325148609E-2</v>
      </c>
      <c r="EE258" s="51">
        <f t="shared" si="204"/>
        <v>7.7871000072166463E-2</v>
      </c>
      <c r="EF258" s="51">
        <f t="shared" si="204"/>
        <v>8.7812026726696565E-2</v>
      </c>
      <c r="EG258" s="51">
        <f t="shared" si="204"/>
        <v>2.4570871828672857E-3</v>
      </c>
      <c r="EH258" s="52">
        <f t="shared" si="139"/>
        <v>9.2140769357523225E-4</v>
      </c>
      <c r="EI258" s="51">
        <f t="shared" si="191"/>
        <v>0.9990785923064246</v>
      </c>
      <c r="EK258" s="53">
        <f>(EA258*'[2]Renewable Diesel'!BF267*'[2]Feedstock Conversion Rates'!B$2)+FB258</f>
        <v>157.01324721358264</v>
      </c>
      <c r="EL258" s="53">
        <f>(EB258*'[2]Renewable Diesel'!BF267*'[2]Feedstock Conversion Rates'!B$3)+FC258</f>
        <v>814.70100222660562</v>
      </c>
      <c r="EM258" s="53">
        <f>(EC258*'[2]Renewable Diesel'!BF267*'[2]Feedstock Conversion Rates'!B$4)+FD258</f>
        <v>1997.263062168221</v>
      </c>
      <c r="EN258" s="53">
        <f>(ED258*'[2]Renewable Diesel'!BF267*'[2]Feedstock Conversion Rates'!B$5)+FE258</f>
        <v>53.713358390960941</v>
      </c>
      <c r="EO258" s="53">
        <f>(EE258*'[2]Renewable Diesel'!BF267*'[2]Feedstock Conversion Rates'!B$6)+FF258</f>
        <v>345.98988795789421</v>
      </c>
      <c r="EP258" s="53">
        <f>(EF258*'[2]Renewable Diesel'!BF267*'[2]Feedstock Conversion Rates'!B$7)+FG258</f>
        <v>382.67196260946793</v>
      </c>
      <c r="EQ258" s="53">
        <f>(EG258*'[2]Renewable Diesel'!BF267*'[2]Feedstock Conversion Rates'!B$8)+FH258</f>
        <v>10.911304063949855</v>
      </c>
      <c r="ER258" s="53">
        <f>(EH258*'[2]Renewable Diesel'!BF267*'[2]Feedstock Conversion Rates'!B$9)+FI258</f>
        <v>4.0371825036614464</v>
      </c>
      <c r="ES258" s="53">
        <f t="shared" si="141"/>
        <v>3766.3010071343433</v>
      </c>
      <c r="ET258" s="36">
        <f>ES258/'[2]Renewable Diesel'!BF267</f>
        <v>7.9511548389512408</v>
      </c>
    </row>
    <row r="259" spans="1:150" x14ac:dyDescent="0.25">
      <c r="A259" s="39">
        <v>48305</v>
      </c>
      <c r="B259" s="45">
        <f t="shared" si="196"/>
        <v>0.25</v>
      </c>
      <c r="C259" s="45">
        <f t="shared" si="197"/>
        <v>6.5</v>
      </c>
      <c r="D259" s="45">
        <f t="shared" si="198"/>
        <v>2</v>
      </c>
      <c r="E259" s="45">
        <f>('[2]Renewable Diesel'!B268*E$3*'[2]Feedstock Conversion Rates'!$B$2)/12+26+13-100+27.5+39+65-31-1.5-8+37-5-37+1+26</f>
        <v>141.93</v>
      </c>
      <c r="F259" s="45">
        <f>('[2]Renewable Diesel'!B268*'[2]RD Feedstock Breakdown'!F$3*'[2]Feedstock Conversion Rates'!B$8)/12+77+23-10-12-115.75+24+8+4+2-34-15</f>
        <v>5.15625</v>
      </c>
      <c r="G259" s="45">
        <f>('[2]Renewable Diesel'!B268*'[2]RD Feedstock Breakdown'!G$3*'[2]Feedstock Conversion Rates'!B$7)/12+116.75-39-57.5-145-31.5+32+70-40+10-20-25-5+3+5+5</f>
        <v>54.907000000000039</v>
      </c>
      <c r="H259" s="45">
        <f>('[2]Renewable Diesel'!B268*'[2]RD Feedstock Breakdown'!H$3*'[2]Feedstock Conversion Rates'!B$3)/12+67+10+12+3-235+20+47-20+60-30+160+15</f>
        <v>285.40022499999998</v>
      </c>
      <c r="I259" s="47">
        <f t="shared" si="160"/>
        <v>496.14347500000002</v>
      </c>
      <c r="J259" s="45">
        <f t="shared" si="199"/>
        <v>14.5</v>
      </c>
      <c r="K259" s="45"/>
      <c r="L259" s="45">
        <v>1</v>
      </c>
      <c r="M259" s="45">
        <f>('[2]Renewable Diesel'!C268*'[2]RD Feedstock Breakdown'!M$3*'[2]Feedstock Conversion Rates'!B$2)/12-55+5.75+13+7.5-18+24</f>
        <v>-14.95975</v>
      </c>
      <c r="N259" s="45">
        <f>('[2]Renewable Diesel'!C268*'[2]RD Feedstock Breakdown'!N$3*'[2]Feedstock Conversion Rates'!B$8)/12-15+11+7-15+10.25-5-15+5-11</f>
        <v>-24.078125</v>
      </c>
      <c r="O259" s="45">
        <f>('[2]Renewable Diesel'!C268*'[2]RD Feedstock Breakdown'!O$3*'[2]Feedstock Conversion Rates'!B$7)/12-87+50-53+10+100-40+14</f>
        <v>5.9990999999999985</v>
      </c>
      <c r="P259" s="45">
        <f>('[2]Renewable Diesel'!C268*'[2]RD Feedstock Breakdown'!P$3*'[2]Feedstock Conversion Rates'!B$3)/12-84+40+50-25+45+55-90-15-5+70</f>
        <v>51.447042499999995</v>
      </c>
      <c r="Q259" s="47">
        <f t="shared" si="172"/>
        <v>33.908267499999994</v>
      </c>
      <c r="R259" s="45">
        <f>('[2]Renewable Diesel'!D268*'[2]RD Feedstock Breakdown'!R$3*'[2]Feedstock Conversion Rates'!B$7)/12</f>
        <v>2.2999999999999998</v>
      </c>
      <c r="S259" s="47">
        <f t="shared" si="203"/>
        <v>2.2999999999999998</v>
      </c>
      <c r="T259" s="45">
        <f t="shared" si="201"/>
        <v>4.8250000000000028</v>
      </c>
      <c r="U259" s="45">
        <v>35</v>
      </c>
      <c r="V259" s="45">
        <f>('[2]Renewable Diesel'!E268*'[2]RD Feedstock Breakdown'!V$3*'[2]Feedstock Conversion Rates'!B$6)/12-20+25-35-4</f>
        <v>10.250150000000012</v>
      </c>
      <c r="W259" s="45">
        <f>('[2]Renewable Diesel'!E268*'[2]RD Feedstock Breakdown'!W$3*'[2]Feedstock Conversion Rates'!B$8)/12-6</f>
        <v>16.1796875</v>
      </c>
      <c r="X259" s="47">
        <f t="shared" si="147"/>
        <v>66.254837500000008</v>
      </c>
      <c r="Y259" s="45">
        <f t="shared" si="200"/>
        <v>146.5</v>
      </c>
      <c r="Z259" s="45">
        <f>('[2]Renewable Diesel'!F268*'[2]RD Feedstock Breakdown'!Z$3*'[2]Feedstock Conversion Rates'!B$6)/12-50-32-60+15+15+47.5+22.5-85+70-10-25-7+7+7</f>
        <v>74.460000000000008</v>
      </c>
      <c r="AA259" s="45">
        <f>('[2]Renewable Diesel'!F268*'[2]RD Feedstock Breakdown'!AA$3*'[2]Feedstock Conversion Rates'!B$7)/12+80-171+75+30-57.5-18</f>
        <v>42.766666666666652</v>
      </c>
      <c r="AB259" s="47">
        <f t="shared" si="190"/>
        <v>263.72666666666669</v>
      </c>
      <c r="AC259" s="45">
        <f>('[2]Renewable Diesel'!G268*'[2]RD Feedstock Breakdown'!AC$3*'[2]Feedstock Conversion Rates'!B$5)/12</f>
        <v>11.796875</v>
      </c>
      <c r="AD259" s="45">
        <f>('[2]Renewable Diesel'!G268*'[2]RD Feedstock Breakdown'!AD$3*'[2]Feedstock Conversion Rates'!B$4)/12</f>
        <v>5.859375</v>
      </c>
      <c r="AE259" s="45">
        <f>('[2]Renewable Diesel'!G268*'[2]RD Feedstock Breakdown'!AE$3*'[2]Feedstock Conversion Rates'!B$6)/12</f>
        <v>7.3281250000000009</v>
      </c>
      <c r="AF259" s="47">
        <f t="shared" si="156"/>
        <v>24.984375</v>
      </c>
      <c r="AG259" s="45">
        <f t="shared" si="182"/>
        <v>6.5</v>
      </c>
      <c r="AH259" s="45">
        <v>135</v>
      </c>
      <c r="AI259" s="45">
        <f>('[2]Renewable Diesel'!H268*'[2]RD Feedstock Breakdown'!AI$3*'[2]Feedstock Conversion Rates'!B$6)/12-130-20+51-120+105-37.5+20-10</f>
        <v>7.0166666666666799</v>
      </c>
      <c r="AJ259" s="47">
        <f t="shared" si="202"/>
        <v>13.51666666666668</v>
      </c>
      <c r="AK259" s="45">
        <f>('[2]Renewable Diesel'!J268*'[2]RD Feedstock Breakdown'!AK$3*'[2]Feedstock Conversion Rates'!B$4)/12</f>
        <v>95.8125</v>
      </c>
      <c r="AL259" s="47">
        <f t="shared" si="123"/>
        <v>95.8125</v>
      </c>
      <c r="AM259" s="45">
        <f>('[2]Renewable Diesel'!K268*'[2]RD Feedstock Breakdown'!AM$3*'[2]Feedstock Conversion Rates'!B$4)/12+5+15-10+4+5-28</f>
        <v>49.59375</v>
      </c>
      <c r="AN259" s="45">
        <f>('[2]Renewable Diesel'!K268*'[2]RD Feedstock Breakdown'!AN$3*'[2]Feedstock Conversion Rates'!B$6)/12-5-15+10-4-5+28</f>
        <v>33.427083333333329</v>
      </c>
      <c r="AO259" s="47">
        <f t="shared" si="135"/>
        <v>83.020833333333329</v>
      </c>
      <c r="AP259" s="45">
        <f>('[2]Renewable Diesel'!L268*'[2]RD Feedstock Breakdown'!AP$3*'[2]Feedstock Conversion Rates'!B$4)/12+15-10+5+2+7</f>
        <v>77.59375</v>
      </c>
      <c r="AQ259" s="45">
        <f>('[2]Renewable Diesel'!L268*'[2]RD Feedstock Breakdown'!AQ$3*'[2]Feedstock Conversion Rates'!B$6)/12-15+10-5-2-7</f>
        <v>5.4270833333333321</v>
      </c>
      <c r="AR259" s="47">
        <f t="shared" si="125"/>
        <v>83.020833333333329</v>
      </c>
      <c r="AS259" s="45">
        <f>('[2]Renewable Diesel'!M268*'[2]RD Feedstock Breakdown'!AS$3*'[2]Feedstock Conversion Rates'!B$4)/12</f>
        <v>456.25</v>
      </c>
      <c r="AT259" s="45">
        <f>('[2]Renewable Diesel'!M268*'[2]RD Feedstock Breakdown'!AT$3*'[2]Feedstock Conversion Rates'!B$5)/12</f>
        <v>0</v>
      </c>
      <c r="AU259" s="47">
        <f t="shared" si="159"/>
        <v>456.25</v>
      </c>
      <c r="AV259" s="45">
        <f>'[2]Renewable Diesel'!N268*'[2]RD Feedstock Breakdown'!$AV$3*'[2]Feedstock Conversion Rates'!$B$4/12-15-10+25+25-22+15-62.5+1</f>
        <v>35.249999999999986</v>
      </c>
      <c r="AW259" s="45">
        <f>'[2]Renewable Diesel'!N268*'[2]RD Feedstock Breakdown'!$AW$3*'[2]Feedstock Conversion Rates'!$B$7/12+15+10-25-25+22-15+62.5-1</f>
        <v>84.9</v>
      </c>
      <c r="AX259" s="47">
        <f t="shared" si="193"/>
        <v>120.14999999999999</v>
      </c>
      <c r="AY259" s="45">
        <f>('[2]Renewable Diesel'!O268*'[2]RD Feedstock Breakdown'!AY$3*'[2]Feedstock Conversion Rates'!B$4)/12-115-95</f>
        <v>0.9375</v>
      </c>
      <c r="AZ259" s="45">
        <f>('[2]Renewable Diesel'!O268*'[2]RD Feedstock Breakdown'!AZ$3*'[2]Feedstock Conversion Rates'!B$3)/12+115+95</f>
        <v>235.03125</v>
      </c>
      <c r="BA259" s="47">
        <f t="shared" si="173"/>
        <v>235.96875</v>
      </c>
      <c r="BB259" s="45">
        <f>('[2]Renewable Diesel'!Q268*'[2]RD Feedstock Breakdown'!BB$3*'[2]Feedstock Conversion Rates'!B$4)/12</f>
        <v>11.156249999999998</v>
      </c>
      <c r="BC259" s="45">
        <f>('[2]Renewable Diesel'!Q268*'[2]RD Feedstock Breakdown'!BC$3*'[2]Feedstock Conversion Rates'!B$3)/12</f>
        <v>1.4017500000000001</v>
      </c>
      <c r="BD259" s="45">
        <f>('[2]Renewable Diesel'!Q268*'[2]RD Feedstock Breakdown'!BD$3*'[2]Feedstock Conversion Rates'!B$6)/12</f>
        <v>0.8207500000000002</v>
      </c>
      <c r="BE259" s="47">
        <f t="shared" si="151"/>
        <v>13.378749999999998</v>
      </c>
      <c r="BF259" s="45">
        <f>('[2]Renewable Diesel'!R268*'[2]RD Feedstock Breakdown'!BF$3*'[2]Feedstock Conversion Rates'!B$4)/12</f>
        <v>62.5</v>
      </c>
      <c r="BG259" s="47">
        <f t="shared" si="129"/>
        <v>62.5</v>
      </c>
      <c r="BH259" s="45">
        <f>('[2]Renewable Diesel'!T268*'[2]RD Feedstock Breakdown'!BH$3*'[2]Feedstock Conversion Rates'!B$7)/12</f>
        <v>27.599999999999998</v>
      </c>
      <c r="BI259" s="47">
        <f t="shared" si="195"/>
        <v>27.599999999999998</v>
      </c>
      <c r="BJ259" s="45">
        <f>('[2]Renewable Diesel'!W268*'[2]RD Feedstock Breakdown'!BJ$3*'[2]Feedstock Conversion Rates'!B$4)/12</f>
        <v>7.5</v>
      </c>
      <c r="BK259" s="45">
        <f>('[2]Renewable Diesel'!W268*'[2]RD Feedstock Breakdown'!BK$3*'[2]Feedstock Conversion Rates'!B$3)/12</f>
        <v>1.335</v>
      </c>
      <c r="BL259" s="45">
        <f>('[2]Renewable Diesel'!W268*'[2]RD Feedstock Breakdown'!BL$3*'[2]Feedstock Conversion Rates'!B$6)/12</f>
        <v>3.1266666666666669</v>
      </c>
      <c r="BM259" s="45">
        <f>('[2]Renewable Diesel'!W268*'[2]RD Feedstock Breakdown'!BM$3*'[2]Feedstock Conversion Rates'!B$7)/12</f>
        <v>1.5333333333333332</v>
      </c>
      <c r="BN259" s="47">
        <f t="shared" si="168"/>
        <v>13.495000000000001</v>
      </c>
      <c r="BO259" s="45">
        <f>('[2]Renewable Diesel'!P268*'[2]Feedstock Conversion Rates'!B$4)/12</f>
        <v>31.25</v>
      </c>
      <c r="BP259" s="47">
        <f t="shared" si="157"/>
        <v>31.25</v>
      </c>
      <c r="BQ259" s="45">
        <f>('[2]Renewable Diesel'!$S268*'[2]RD Feedstock Breakdown'!BQ$3*'[2]Feedstock Conversion Rates'!B$4)/12+10</f>
        <v>38.125</v>
      </c>
      <c r="BR259" s="45">
        <f>('[2]Renewable Diesel'!$S268*'[2]RD Feedstock Breakdown'!BR$3*'[2]Feedstock Conversion Rates'!B$7)/12-10</f>
        <v>1.5</v>
      </c>
      <c r="BS259" s="47">
        <f t="shared" si="174"/>
        <v>39.625</v>
      </c>
      <c r="BT259" s="47"/>
      <c r="BU259" s="45">
        <f>('[2]Renewable Diesel'!Y268*'[2]Feedstock Conversion Rates'!B$7)/12</f>
        <v>2.6833333333333331</v>
      </c>
      <c r="BV259" s="47">
        <f t="shared" si="153"/>
        <v>2.6833333333333331</v>
      </c>
      <c r="BW259" s="45">
        <f>('[2]Renewable Diesel'!$Z268*'[2]RD Feedstock Breakdown'!BW$3*'[2]Feedstock Conversion Rates'!$B$4)/12</f>
        <v>71.875</v>
      </c>
      <c r="BX259" s="45">
        <f>('[2]Renewable Diesel'!$Z268*'[2]RD Feedstock Breakdown'!BX$3*'[2]Feedstock Conversion Rates'!$B$5)/12</f>
        <v>7.2354166666666666</v>
      </c>
      <c r="BY259" s="45">
        <f>('[2]Renewable Diesel'!$Z268*'[2]RD Feedstock Breakdown'!BY$3*'[2]Feedstock Conversion Rates'!$B$7)/12</f>
        <v>61.716666666666661</v>
      </c>
      <c r="BZ259" s="45">
        <f>('[2]Renewable Diesel'!$Z268*'[2]RD Feedstock Breakdown'!BZ$3*'[2]Feedstock Conversion Rates'!$B$3)/12</f>
        <v>15.352499999999999</v>
      </c>
      <c r="CA259" s="47">
        <f t="shared" si="181"/>
        <v>156.17958333333331</v>
      </c>
      <c r="CB259" s="45">
        <f>('[2]Renewable Diesel'!AA268*'[2]Feedstock Conversion Rates'!B$4)/12</f>
        <v>191.25</v>
      </c>
      <c r="CC259" s="47">
        <f t="shared" si="171"/>
        <v>191.25</v>
      </c>
      <c r="CD259" s="45">
        <f>('[2]Renewable Diesel'!$AB268*'[2]RD Feedstock Breakdown'!CD$3*'[2]Feedstock Conversion Rates'!$B$6)/12-15</f>
        <v>17.830000000000005</v>
      </c>
      <c r="CE259" s="45">
        <f>('[2]Renewable Diesel'!$AB268*'[2]RD Feedstock Breakdown'!CE$3*'[2]Feedstock Conversion Rates'!$B$4)/12+15</f>
        <v>26.25</v>
      </c>
      <c r="CF259" s="47">
        <f t="shared" si="161"/>
        <v>44.080000000000005</v>
      </c>
      <c r="CG259" s="45">
        <f>('[2]Renewable Diesel'!AD268*'[2]Feedstock Conversion Rates'!B$4)/12</f>
        <v>112.5</v>
      </c>
      <c r="CH259" s="47">
        <f t="shared" si="149"/>
        <v>112.5</v>
      </c>
      <c r="CI259" s="45">
        <f>('[2]Renewable Diesel'!$AE268*'[2]RD Feedstock Breakdown'!CI$3*'[2]Feedstock Conversion Rates'!$B$5)/12</f>
        <v>0.34604166666666664</v>
      </c>
      <c r="CJ259" s="45">
        <f>('[2]Renewable Diesel'!$AE268*'[2]RD Feedstock Breakdown'!CJ$3*'[2]Feedstock Conversion Rates'!$B$4)/12</f>
        <v>0.34375</v>
      </c>
      <c r="CK259" s="47">
        <f t="shared" si="158"/>
        <v>0.68979166666666658</v>
      </c>
      <c r="CL259" s="45">
        <f>(((CL$3*'[2]Renewable Diesel'!$AF268)*'[2]Feedstock Conversion Rates'!$B$3)/12)-11</f>
        <v>80.78125</v>
      </c>
      <c r="CM259" s="45">
        <f>(((CM$3*'[2]Renewable Diesel'!$AF268)*'[2]Feedstock Conversion Rates'!$B$6)/12)+11</f>
        <v>64.739583333333343</v>
      </c>
      <c r="CN259" s="45">
        <f>(((CN$3*'[2]Renewable Diesel'!$AF268)*'[2]Feedstock Conversion Rates'!$B$4)/12)</f>
        <v>42.96875</v>
      </c>
      <c r="CO259" s="47">
        <f t="shared" si="152"/>
        <v>188.48958333333334</v>
      </c>
      <c r="CP259" s="45">
        <f>('[2]Renewable Diesel'!$AG268*'[2]RD Feedstock Breakdown'!CP$3*'[2]Feedstock Conversion Rates'!$B$3)/12</f>
        <v>6.0075000000000003</v>
      </c>
      <c r="CQ259" s="45">
        <f>('[2]Renewable Diesel'!$AG268*'[2]RD Feedstock Breakdown'!CQ$3*'[2]Feedstock Conversion Rates'!$B$6)/12</f>
        <v>3.5175000000000001</v>
      </c>
      <c r="CR259" s="45">
        <f>('[2]Renewable Diesel'!$AG268*'[2]RD Feedstock Breakdown'!CR$3*'[2]Feedstock Conversion Rates'!$B$4)/12</f>
        <v>2.8125</v>
      </c>
      <c r="CS259" s="47">
        <f t="shared" si="183"/>
        <v>12.3375</v>
      </c>
      <c r="CT259" s="45">
        <f>('[2]Renewable Diesel'!AI268*'[2]Feedstock Conversion Rates'!$B$4*'[2]RD Feedstock Breakdown'!$CT$3)/12</f>
        <v>29.375</v>
      </c>
      <c r="CU259" s="47">
        <f t="shared" si="154"/>
        <v>29.375</v>
      </c>
      <c r="CV259" s="45">
        <f>('[2]Renewable Diesel'!AN268*'[2]Feedstock Conversion Rates'!$B$3*'[2]RD Feedstock Breakdown'!$CV$3)/12</f>
        <v>0.50062499999999999</v>
      </c>
      <c r="CW259" s="47">
        <f t="shared" si="124"/>
        <v>0.50062499999999999</v>
      </c>
      <c r="CX259" s="45">
        <f>('[2]Renewable Diesel'!AO268*'[2]RD Feedstock Breakdown'!$CX$3*'[2]Feedstock Conversion Rates'!$B$3)/12</f>
        <v>6.3412499999999996</v>
      </c>
      <c r="CY259" s="45">
        <f>('[2]Renewable Diesel'!AO268*'[2]RD Feedstock Breakdown'!$CY$3*'[2]Feedstock Conversion Rates'!$B$6)/12</f>
        <v>7.4258333333333342</v>
      </c>
      <c r="CZ259" s="47">
        <f t="shared" si="188"/>
        <v>13.767083333333334</v>
      </c>
      <c r="DA259" s="45">
        <f>('[2]Renewable Diesel'!$AP268*'[2]RD Feedstock Breakdown'!DA$3*'[2]Feedstock Conversion Rates'!$B$3)/12</f>
        <v>6.3412499999999996</v>
      </c>
      <c r="DB259" s="45">
        <f>('[2]Renewable Diesel'!$AP268*'[2]RD Feedstock Breakdown'!DB$3*'[2]Feedstock Conversion Rates'!$B$8)/12</f>
        <v>7.421875</v>
      </c>
      <c r="DC259" s="47">
        <f t="shared" si="127"/>
        <v>13.763124999999999</v>
      </c>
      <c r="DD259" s="45">
        <f>('[2]Renewable Diesel'!AQ268*$DD$3*'[2]Feedstock Conversion Rates'!$B$14)/12</f>
        <v>3.1041666666666665</v>
      </c>
      <c r="DE259" s="47">
        <f t="shared" si="128"/>
        <v>3.1041666666666665</v>
      </c>
      <c r="DF259" s="45">
        <f>('[2]Renewable Diesel'!AR268*'[2]Feedstock Conversion Rates'!$B$4*$DF$3)/12</f>
        <v>75</v>
      </c>
      <c r="DG259" s="47">
        <f t="shared" si="189"/>
        <v>75</v>
      </c>
      <c r="DH259" s="45">
        <f>('[2]Renewable Diesel'!AS268*'[2]Feedstock Conversion Rates'!$B$4*$DH$3)/12</f>
        <v>75</v>
      </c>
      <c r="DI259" s="47">
        <f t="shared" si="194"/>
        <v>75</v>
      </c>
      <c r="DJ259" s="45">
        <f>('[2]Renewable Diesel'!AT268*'[2]Feedstock Conversion Rates'!$B$4*0.25)/12</f>
        <v>8.59375</v>
      </c>
      <c r="DK259" s="45">
        <f>('[2]Renewable Diesel'!$AT268*'[2]RD Feedstock Breakdown'!DK$3*'[2]Feedstock Conversion Rates'!$B$3)/12*0.5</f>
        <v>9.1781249999999996</v>
      </c>
      <c r="DL259" s="45">
        <f>('[2]Renewable Diesel'!$AT268*'[2]RD Feedstock Breakdown'!$DL$3*'[2]Feedstock Conversion Rates'!$B$6)/12</f>
        <v>10.747916666666669</v>
      </c>
      <c r="DM259" s="45">
        <f>('[2]Renewable Diesel'!$AT268*'[2]RD Feedstock Breakdown'!$DM$3*'[2]Feedstock Conversion Rates'!$B$8)/12</f>
        <v>10.7421875</v>
      </c>
      <c r="DN259" s="47">
        <f t="shared" si="169"/>
        <v>39.26197916666667</v>
      </c>
      <c r="DP259" s="45">
        <f t="shared" si="130"/>
        <v>126.97025000000001</v>
      </c>
      <c r="DQ259" s="45">
        <f t="shared" si="131"/>
        <v>699.11776750000001</v>
      </c>
      <c r="DR259" s="45">
        <f t="shared" si="136"/>
        <v>1830.453125</v>
      </c>
      <c r="DS259" s="45">
        <f t="shared" si="155"/>
        <v>48.901250000000005</v>
      </c>
      <c r="DT259" s="45">
        <f t="shared" si="132"/>
        <v>253.53923333333344</v>
      </c>
      <c r="DU259" s="45">
        <f t="shared" si="133"/>
        <v>285.90609999999998</v>
      </c>
      <c r="DV259" s="45">
        <f t="shared" si="137"/>
        <v>8</v>
      </c>
      <c r="DW259" s="45">
        <f t="shared" si="134"/>
        <v>3</v>
      </c>
      <c r="DX259" s="47">
        <f t="shared" si="138"/>
        <v>3255.8877258333337</v>
      </c>
      <c r="DY259" s="50">
        <f t="shared" si="126"/>
        <v>-135.00000000000048</v>
      </c>
      <c r="EA259" s="51">
        <f t="shared" si="204"/>
        <v>3.8997121735056879E-2</v>
      </c>
      <c r="EB259" s="51">
        <f t="shared" si="204"/>
        <v>0.21472416322988014</v>
      </c>
      <c r="EC259" s="51">
        <f t="shared" si="204"/>
        <v>0.5621978640346087</v>
      </c>
      <c r="ED259" s="51">
        <f t="shared" si="204"/>
        <v>1.5019329325148609E-2</v>
      </c>
      <c r="EE259" s="51">
        <f t="shared" si="204"/>
        <v>7.7871000072166463E-2</v>
      </c>
      <c r="EF259" s="51">
        <f t="shared" si="204"/>
        <v>8.7812026726696565E-2</v>
      </c>
      <c r="EG259" s="51">
        <f t="shared" si="204"/>
        <v>2.4570871828672857E-3</v>
      </c>
      <c r="EH259" s="52">
        <f t="shared" si="139"/>
        <v>9.2140769357523225E-4</v>
      </c>
      <c r="EI259" s="51">
        <f t="shared" si="191"/>
        <v>0.9990785923064246</v>
      </c>
      <c r="EK259" s="53">
        <f>(EA259*'[2]Renewable Diesel'!BF268*'[2]Feedstock Conversion Rates'!B$2)+FB259</f>
        <v>189.78855856782877</v>
      </c>
      <c r="EL259" s="53">
        <f>(EB259*'[2]Renewable Diesel'!BF268*'[2]Feedstock Conversion Rates'!B$3)+FC259</f>
        <v>984.76358918954486</v>
      </c>
      <c r="EM259" s="53">
        <f>(EC259*'[2]Renewable Diesel'!BF268*'[2]Feedstock Conversion Rates'!B$4)+FD259</f>
        <v>2414.1764110772656</v>
      </c>
      <c r="EN259" s="53">
        <f>(ED259*'[2]Renewable Diesel'!BF268*'[2]Feedstock Conversion Rates'!B$5)+FE259</f>
        <v>64.925610072828349</v>
      </c>
      <c r="EO259" s="53">
        <f>(EE259*'[2]Renewable Diesel'!BF268*'[2]Feedstock Conversion Rates'!B$6)+FF259</f>
        <v>418.21262396573684</v>
      </c>
      <c r="EP259" s="53">
        <f>(EF259*'[2]Renewable Diesel'!BF268*'[2]Feedstock Conversion Rates'!B$7)+FG259</f>
        <v>462.55180041706893</v>
      </c>
      <c r="EQ259" s="53">
        <f>(EG259*'[2]Renewable Diesel'!BF268*'[2]Feedstock Conversion Rates'!B$8)+FH259</f>
        <v>13.188955117751329</v>
      </c>
      <c r="ER259" s="53">
        <f>(EH259*'[2]Renewable Diesel'!BF268*'[2]Feedstock Conversion Rates'!B$9)+FI259</f>
        <v>4.8799133935679908</v>
      </c>
      <c r="ES259" s="53">
        <f t="shared" si="141"/>
        <v>4552.4874618015929</v>
      </c>
      <c r="ET259" s="36">
        <f>ES259/'[2]Renewable Diesel'!BF268</f>
        <v>7.9511548389512416</v>
      </c>
    </row>
    <row r="260" spans="1:150" x14ac:dyDescent="0.25">
      <c r="A260" s="39">
        <v>48335</v>
      </c>
      <c r="B260" s="45">
        <f t="shared" si="196"/>
        <v>0.25</v>
      </c>
      <c r="C260" s="45">
        <f t="shared" si="197"/>
        <v>6.5</v>
      </c>
      <c r="D260" s="45">
        <f t="shared" si="198"/>
        <v>2</v>
      </c>
      <c r="E260" s="45">
        <f>('[2]Renewable Diesel'!B269*E$3*'[2]Feedstock Conversion Rates'!$B$2)/12+26+13-100+27.5+39+65-31-1.5-8+37-5-37+1+26</f>
        <v>141.93</v>
      </c>
      <c r="F260" s="45">
        <f>('[2]Renewable Diesel'!B269*'[2]RD Feedstock Breakdown'!F$3*'[2]Feedstock Conversion Rates'!B$8)/12+77+23-10-12-115.75+24+8+4+2-34-15</f>
        <v>5.15625</v>
      </c>
      <c r="G260" s="45">
        <f>('[2]Renewable Diesel'!B269*'[2]RD Feedstock Breakdown'!G$3*'[2]Feedstock Conversion Rates'!B$7)/12+116.75-39-57.5-145-31.5+32+70-40+10-20-25-5+3+5+5</f>
        <v>54.907000000000039</v>
      </c>
      <c r="H260" s="45">
        <f>('[2]Renewable Diesel'!B269*'[2]RD Feedstock Breakdown'!H$3*'[2]Feedstock Conversion Rates'!B$3)/12+67+10+12+3-235+20+47-20+60-30+160+15</f>
        <v>285.40022499999998</v>
      </c>
      <c r="I260" s="47">
        <f t="shared" si="160"/>
        <v>496.14347500000002</v>
      </c>
      <c r="J260" s="45">
        <f t="shared" si="199"/>
        <v>14.5</v>
      </c>
      <c r="K260" s="45"/>
      <c r="L260" s="45">
        <v>1</v>
      </c>
      <c r="M260" s="45">
        <f>('[2]Renewable Diesel'!C269*'[2]RD Feedstock Breakdown'!M$3*'[2]Feedstock Conversion Rates'!B$2)/12-55+5.75+13+7.5-18+24</f>
        <v>-14.95975</v>
      </c>
      <c r="N260" s="45">
        <f>('[2]Renewable Diesel'!C269*'[2]RD Feedstock Breakdown'!N$3*'[2]Feedstock Conversion Rates'!B$8)/12-15+11+7-15+10.25-5-15+5-11</f>
        <v>-24.078125</v>
      </c>
      <c r="O260" s="45">
        <f>('[2]Renewable Diesel'!C269*'[2]RD Feedstock Breakdown'!O$3*'[2]Feedstock Conversion Rates'!B$7)/12-87+50-53+10+100-40+14</f>
        <v>5.9990999999999985</v>
      </c>
      <c r="P260" s="45">
        <f>('[2]Renewable Diesel'!C269*'[2]RD Feedstock Breakdown'!P$3*'[2]Feedstock Conversion Rates'!B$3)/12-84+40+50-25+45+55-90-15-5+70</f>
        <v>51.447042499999995</v>
      </c>
      <c r="Q260" s="47">
        <f t="shared" si="172"/>
        <v>33.908267499999994</v>
      </c>
      <c r="R260" s="45">
        <f>('[2]Renewable Diesel'!D269*'[2]RD Feedstock Breakdown'!R$3*'[2]Feedstock Conversion Rates'!B$7)/12</f>
        <v>2.2999999999999998</v>
      </c>
      <c r="S260" s="47">
        <f t="shared" si="203"/>
        <v>2.2999999999999998</v>
      </c>
      <c r="T260" s="45">
        <f t="shared" si="201"/>
        <v>4.8250000000000028</v>
      </c>
      <c r="U260" s="45">
        <v>35</v>
      </c>
      <c r="V260" s="45">
        <f>('[2]Renewable Diesel'!E269*'[2]RD Feedstock Breakdown'!V$3*'[2]Feedstock Conversion Rates'!B$6)/12-20+25-35-4</f>
        <v>10.250150000000012</v>
      </c>
      <c r="W260" s="45">
        <f>('[2]Renewable Diesel'!E269*'[2]RD Feedstock Breakdown'!W$3*'[2]Feedstock Conversion Rates'!B$8)/12-6</f>
        <v>16.1796875</v>
      </c>
      <c r="X260" s="47">
        <f t="shared" si="147"/>
        <v>66.254837500000008</v>
      </c>
      <c r="Y260" s="45">
        <f t="shared" si="200"/>
        <v>146.5</v>
      </c>
      <c r="Z260" s="45">
        <f>('[2]Renewable Diesel'!F269*'[2]RD Feedstock Breakdown'!Z$3*'[2]Feedstock Conversion Rates'!B$6)/12-50-32-60+15+15+47.5+22.5-85+70-10-25-7+7+7</f>
        <v>74.460000000000008</v>
      </c>
      <c r="AA260" s="45">
        <f>('[2]Renewable Diesel'!F269*'[2]RD Feedstock Breakdown'!AA$3*'[2]Feedstock Conversion Rates'!B$7)/12+80-171+75+30-57.5-18</f>
        <v>42.766666666666652</v>
      </c>
      <c r="AB260" s="47">
        <f t="shared" si="190"/>
        <v>263.72666666666669</v>
      </c>
      <c r="AC260" s="45">
        <f>('[2]Renewable Diesel'!G269*'[2]RD Feedstock Breakdown'!AC$3*'[2]Feedstock Conversion Rates'!B$5)/12</f>
        <v>11.796875</v>
      </c>
      <c r="AD260" s="45">
        <f>('[2]Renewable Diesel'!G269*'[2]RD Feedstock Breakdown'!AD$3*'[2]Feedstock Conversion Rates'!B$4)/12</f>
        <v>5.859375</v>
      </c>
      <c r="AE260" s="45">
        <f>('[2]Renewable Diesel'!G269*'[2]RD Feedstock Breakdown'!AE$3*'[2]Feedstock Conversion Rates'!B$6)/12</f>
        <v>7.3281250000000009</v>
      </c>
      <c r="AF260" s="47">
        <f t="shared" si="156"/>
        <v>24.984375</v>
      </c>
      <c r="AG260" s="45">
        <f t="shared" si="182"/>
        <v>6.5</v>
      </c>
      <c r="AH260" s="45">
        <v>135</v>
      </c>
      <c r="AI260" s="45">
        <f>('[2]Renewable Diesel'!H269*'[2]RD Feedstock Breakdown'!AI$3*'[2]Feedstock Conversion Rates'!B$6)/12-130-20+51-120+105-37.5+20-10</f>
        <v>7.0166666666666799</v>
      </c>
      <c r="AJ260" s="47">
        <f t="shared" si="202"/>
        <v>13.51666666666668</v>
      </c>
      <c r="AK260" s="45">
        <f>('[2]Renewable Diesel'!J269*'[2]RD Feedstock Breakdown'!AK$3*'[2]Feedstock Conversion Rates'!B$4)/12</f>
        <v>95.8125</v>
      </c>
      <c r="AL260" s="47">
        <f t="shared" ref="AL260:AL323" si="205">AK260</f>
        <v>95.8125</v>
      </c>
      <c r="AM260" s="45">
        <f>('[2]Renewable Diesel'!K269*'[2]RD Feedstock Breakdown'!AM$3*'[2]Feedstock Conversion Rates'!B$4)/12+5+15-10+4+5-28</f>
        <v>49.59375</v>
      </c>
      <c r="AN260" s="45">
        <f>('[2]Renewable Diesel'!K269*'[2]RD Feedstock Breakdown'!AN$3*'[2]Feedstock Conversion Rates'!B$6)/12-5-15+10-4-5+28</f>
        <v>33.427083333333329</v>
      </c>
      <c r="AO260" s="47">
        <f t="shared" si="135"/>
        <v>83.020833333333329</v>
      </c>
      <c r="AP260" s="45">
        <f>('[2]Renewable Diesel'!L269*'[2]RD Feedstock Breakdown'!AP$3*'[2]Feedstock Conversion Rates'!B$4)/12+15-10+5+2+7</f>
        <v>77.59375</v>
      </c>
      <c r="AQ260" s="45">
        <f>('[2]Renewable Diesel'!L269*'[2]RD Feedstock Breakdown'!AQ$3*'[2]Feedstock Conversion Rates'!B$6)/12-15+10-5-2-7</f>
        <v>5.4270833333333321</v>
      </c>
      <c r="AR260" s="47">
        <f t="shared" si="125"/>
        <v>83.020833333333329</v>
      </c>
      <c r="AS260" s="45">
        <f>('[2]Renewable Diesel'!M269*'[2]RD Feedstock Breakdown'!AS$3*'[2]Feedstock Conversion Rates'!B$4)/12</f>
        <v>456.25</v>
      </c>
      <c r="AT260" s="45">
        <f>('[2]Renewable Diesel'!M269*'[2]RD Feedstock Breakdown'!AT$3*'[2]Feedstock Conversion Rates'!B$5)/12</f>
        <v>0</v>
      </c>
      <c r="AU260" s="47">
        <f t="shared" si="159"/>
        <v>456.25</v>
      </c>
      <c r="AV260" s="45">
        <f>'[2]Renewable Diesel'!N269*'[2]RD Feedstock Breakdown'!$AV$3*'[2]Feedstock Conversion Rates'!$B$4/12-15-10+25+25-22+15-62.5+1</f>
        <v>35.249999999999986</v>
      </c>
      <c r="AW260" s="45">
        <f>'[2]Renewable Diesel'!N269*'[2]RD Feedstock Breakdown'!$AW$3*'[2]Feedstock Conversion Rates'!$B$7/12+15+10-25-25+22-15+62.5-1</f>
        <v>84.9</v>
      </c>
      <c r="AX260" s="47">
        <f t="shared" si="193"/>
        <v>120.14999999999999</v>
      </c>
      <c r="AY260" s="45">
        <f>('[2]Renewable Diesel'!O269*'[2]RD Feedstock Breakdown'!AY$3*'[2]Feedstock Conversion Rates'!B$4)/12-115-95</f>
        <v>0.9375</v>
      </c>
      <c r="AZ260" s="45">
        <f>('[2]Renewable Diesel'!O269*'[2]RD Feedstock Breakdown'!AZ$3*'[2]Feedstock Conversion Rates'!B$3)/12+115+95</f>
        <v>235.03125</v>
      </c>
      <c r="BA260" s="47">
        <f t="shared" si="173"/>
        <v>235.96875</v>
      </c>
      <c r="BB260" s="45">
        <f>('[2]Renewable Diesel'!Q269*'[2]RD Feedstock Breakdown'!BB$3*'[2]Feedstock Conversion Rates'!B$4)/12</f>
        <v>11.156249999999998</v>
      </c>
      <c r="BC260" s="45">
        <f>('[2]Renewable Diesel'!Q269*'[2]RD Feedstock Breakdown'!BC$3*'[2]Feedstock Conversion Rates'!B$3)/12</f>
        <v>1.4017500000000001</v>
      </c>
      <c r="BD260" s="45">
        <f>('[2]Renewable Diesel'!Q269*'[2]RD Feedstock Breakdown'!BD$3*'[2]Feedstock Conversion Rates'!B$6)/12</f>
        <v>0.8207500000000002</v>
      </c>
      <c r="BE260" s="47">
        <f t="shared" si="151"/>
        <v>13.378749999999998</v>
      </c>
      <c r="BF260" s="45">
        <f>('[2]Renewable Diesel'!R269*'[2]RD Feedstock Breakdown'!BF$3*'[2]Feedstock Conversion Rates'!B$4)/12</f>
        <v>62.5</v>
      </c>
      <c r="BG260" s="47">
        <f t="shared" si="129"/>
        <v>62.5</v>
      </c>
      <c r="BH260" s="45">
        <f>('[2]Renewable Diesel'!T269*'[2]RD Feedstock Breakdown'!BH$3*'[2]Feedstock Conversion Rates'!B$7)/12</f>
        <v>27.599999999999998</v>
      </c>
      <c r="BI260" s="47">
        <f t="shared" si="195"/>
        <v>27.599999999999998</v>
      </c>
      <c r="BJ260" s="45">
        <f>('[2]Renewable Diesel'!W269*'[2]RD Feedstock Breakdown'!BJ$3*'[2]Feedstock Conversion Rates'!B$4)/12</f>
        <v>7.5</v>
      </c>
      <c r="BK260" s="45">
        <f>('[2]Renewable Diesel'!W269*'[2]RD Feedstock Breakdown'!BK$3*'[2]Feedstock Conversion Rates'!B$3)/12</f>
        <v>1.335</v>
      </c>
      <c r="BL260" s="45">
        <f>('[2]Renewable Diesel'!W269*'[2]RD Feedstock Breakdown'!BL$3*'[2]Feedstock Conversion Rates'!B$6)/12</f>
        <v>3.1266666666666669</v>
      </c>
      <c r="BM260" s="45">
        <f>('[2]Renewable Diesel'!W269*'[2]RD Feedstock Breakdown'!BM$3*'[2]Feedstock Conversion Rates'!B$7)/12</f>
        <v>1.5333333333333332</v>
      </c>
      <c r="BN260" s="47">
        <f t="shared" si="168"/>
        <v>13.495000000000001</v>
      </c>
      <c r="BO260" s="45">
        <f>('[2]Renewable Diesel'!P269*'[2]Feedstock Conversion Rates'!B$4)/12</f>
        <v>31.25</v>
      </c>
      <c r="BP260" s="47">
        <f t="shared" si="157"/>
        <v>31.25</v>
      </c>
      <c r="BQ260" s="45">
        <f>('[2]Renewable Diesel'!$S269*'[2]RD Feedstock Breakdown'!BQ$3*'[2]Feedstock Conversion Rates'!B$4)/12+10</f>
        <v>38.125</v>
      </c>
      <c r="BR260" s="45">
        <f>('[2]Renewable Diesel'!$S269*'[2]RD Feedstock Breakdown'!BR$3*'[2]Feedstock Conversion Rates'!B$7)/12-10</f>
        <v>1.5</v>
      </c>
      <c r="BS260" s="47">
        <f t="shared" si="174"/>
        <v>39.625</v>
      </c>
      <c r="BT260" s="47"/>
      <c r="BU260" s="45">
        <f>('[2]Renewable Diesel'!Y269*'[2]Feedstock Conversion Rates'!B$7)/12</f>
        <v>2.6833333333333331</v>
      </c>
      <c r="BV260" s="47">
        <f t="shared" si="153"/>
        <v>2.6833333333333331</v>
      </c>
      <c r="BW260" s="45">
        <f>('[2]Renewable Diesel'!$Z269*'[2]RD Feedstock Breakdown'!BW$3*'[2]Feedstock Conversion Rates'!$B$4)/12</f>
        <v>71.875</v>
      </c>
      <c r="BX260" s="45">
        <f>('[2]Renewable Diesel'!$Z269*'[2]RD Feedstock Breakdown'!BX$3*'[2]Feedstock Conversion Rates'!$B$5)/12</f>
        <v>7.2354166666666666</v>
      </c>
      <c r="BY260" s="45">
        <f>('[2]Renewable Diesel'!$Z269*'[2]RD Feedstock Breakdown'!BY$3*'[2]Feedstock Conversion Rates'!$B$7)/12</f>
        <v>61.716666666666661</v>
      </c>
      <c r="BZ260" s="45">
        <f>('[2]Renewable Diesel'!$Z269*'[2]RD Feedstock Breakdown'!BZ$3*'[2]Feedstock Conversion Rates'!$B$3)/12</f>
        <v>15.352499999999999</v>
      </c>
      <c r="CA260" s="47">
        <f t="shared" si="181"/>
        <v>156.17958333333331</v>
      </c>
      <c r="CB260" s="45">
        <f>('[2]Renewable Diesel'!AA269*'[2]Feedstock Conversion Rates'!B$4)/12</f>
        <v>191.25</v>
      </c>
      <c r="CC260" s="47">
        <f t="shared" si="171"/>
        <v>191.25</v>
      </c>
      <c r="CD260" s="45">
        <f>('[2]Renewable Diesel'!$AB269*'[2]RD Feedstock Breakdown'!CD$3*'[2]Feedstock Conversion Rates'!$B$6)/12-15</f>
        <v>17.830000000000005</v>
      </c>
      <c r="CE260" s="45">
        <f>('[2]Renewable Diesel'!$AB269*'[2]RD Feedstock Breakdown'!CE$3*'[2]Feedstock Conversion Rates'!$B$4)/12+15</f>
        <v>26.25</v>
      </c>
      <c r="CF260" s="47">
        <f t="shared" si="161"/>
        <v>44.080000000000005</v>
      </c>
      <c r="CG260" s="45">
        <f>('[2]Renewable Diesel'!AD269*'[2]Feedstock Conversion Rates'!B$4)/12</f>
        <v>112.5</v>
      </c>
      <c r="CH260" s="47">
        <f t="shared" si="149"/>
        <v>112.5</v>
      </c>
      <c r="CI260" s="45">
        <f>('[2]Renewable Diesel'!$AE269*'[2]RD Feedstock Breakdown'!CI$3*'[2]Feedstock Conversion Rates'!$B$5)/12</f>
        <v>0.34604166666666664</v>
      </c>
      <c r="CJ260" s="45">
        <f>('[2]Renewable Diesel'!$AE269*'[2]RD Feedstock Breakdown'!CJ$3*'[2]Feedstock Conversion Rates'!$B$4)/12</f>
        <v>0.34375</v>
      </c>
      <c r="CK260" s="47">
        <f t="shared" si="158"/>
        <v>0.68979166666666658</v>
      </c>
      <c r="CL260" s="45">
        <f>(((CL$3*'[2]Renewable Diesel'!$AF269)*'[2]Feedstock Conversion Rates'!$B$3)/12)-11</f>
        <v>80.78125</v>
      </c>
      <c r="CM260" s="45">
        <f>(((CM$3*'[2]Renewable Diesel'!$AF269)*'[2]Feedstock Conversion Rates'!$B$6)/12)+11</f>
        <v>64.739583333333343</v>
      </c>
      <c r="CN260" s="45">
        <f>(((CN$3*'[2]Renewable Diesel'!$AF269)*'[2]Feedstock Conversion Rates'!$B$4)/12)</f>
        <v>42.96875</v>
      </c>
      <c r="CO260" s="47">
        <f t="shared" si="152"/>
        <v>188.48958333333334</v>
      </c>
      <c r="CP260" s="45">
        <f>('[2]Renewable Diesel'!$AG269*'[2]RD Feedstock Breakdown'!CP$3*'[2]Feedstock Conversion Rates'!$B$3)/12</f>
        <v>6.0075000000000003</v>
      </c>
      <c r="CQ260" s="45">
        <f>('[2]Renewable Diesel'!$AG269*'[2]RD Feedstock Breakdown'!CQ$3*'[2]Feedstock Conversion Rates'!$B$6)/12</f>
        <v>3.5175000000000001</v>
      </c>
      <c r="CR260" s="45">
        <f>('[2]Renewable Diesel'!$AG269*'[2]RD Feedstock Breakdown'!CR$3*'[2]Feedstock Conversion Rates'!$B$4)/12</f>
        <v>2.8125</v>
      </c>
      <c r="CS260" s="47">
        <f t="shared" si="183"/>
        <v>12.3375</v>
      </c>
      <c r="CT260" s="45">
        <f>('[2]Renewable Diesel'!AI269*'[2]Feedstock Conversion Rates'!$B$4*'[2]RD Feedstock Breakdown'!$CT$3)/12</f>
        <v>29.375</v>
      </c>
      <c r="CU260" s="47">
        <f t="shared" si="154"/>
        <v>29.375</v>
      </c>
      <c r="CV260" s="45">
        <f>('[2]Renewable Diesel'!AN269*'[2]Feedstock Conversion Rates'!$B$3*'[2]RD Feedstock Breakdown'!$CV$3)/12</f>
        <v>0.50062499999999999</v>
      </c>
      <c r="CW260" s="47">
        <f t="shared" si="124"/>
        <v>0.50062499999999999</v>
      </c>
      <c r="CX260" s="45">
        <f>('[2]Renewable Diesel'!AO269*'[2]RD Feedstock Breakdown'!$CX$3*'[2]Feedstock Conversion Rates'!$B$3)/12</f>
        <v>6.3412499999999996</v>
      </c>
      <c r="CY260" s="45">
        <f>('[2]Renewable Diesel'!AO269*'[2]RD Feedstock Breakdown'!$CY$3*'[2]Feedstock Conversion Rates'!$B$6)/12</f>
        <v>7.4258333333333342</v>
      </c>
      <c r="CZ260" s="47">
        <f t="shared" si="188"/>
        <v>13.767083333333334</v>
      </c>
      <c r="DA260" s="45">
        <f>('[2]Renewable Diesel'!$AP269*'[2]RD Feedstock Breakdown'!DA$3*'[2]Feedstock Conversion Rates'!$B$3)/12</f>
        <v>6.3412499999999996</v>
      </c>
      <c r="DB260" s="45">
        <f>('[2]Renewable Diesel'!$AP269*'[2]RD Feedstock Breakdown'!DB$3*'[2]Feedstock Conversion Rates'!$B$8)/12</f>
        <v>7.421875</v>
      </c>
      <c r="DC260" s="47">
        <f t="shared" si="127"/>
        <v>13.763124999999999</v>
      </c>
      <c r="DD260" s="45">
        <f>('[2]Renewable Diesel'!AQ269*$DD$3*'[2]Feedstock Conversion Rates'!$B$14)/12</f>
        <v>3.1041666666666665</v>
      </c>
      <c r="DE260" s="47">
        <f t="shared" si="128"/>
        <v>3.1041666666666665</v>
      </c>
      <c r="DF260" s="45">
        <f>('[2]Renewable Diesel'!AR269*'[2]Feedstock Conversion Rates'!$B$4*$DF$3)/12</f>
        <v>75</v>
      </c>
      <c r="DG260" s="47">
        <f t="shared" si="189"/>
        <v>75</v>
      </c>
      <c r="DH260" s="45">
        <f>('[2]Renewable Diesel'!AS269*'[2]Feedstock Conversion Rates'!$B$4*$DH$3)/12</f>
        <v>75</v>
      </c>
      <c r="DI260" s="47">
        <f t="shared" si="194"/>
        <v>75</v>
      </c>
      <c r="DJ260" s="45">
        <f>('[2]Renewable Diesel'!AT269*'[2]Feedstock Conversion Rates'!$B$4*0.25)/12</f>
        <v>8.59375</v>
      </c>
      <c r="DK260" s="45">
        <f>('[2]Renewable Diesel'!$AT269*'[2]RD Feedstock Breakdown'!DK$3*'[2]Feedstock Conversion Rates'!$B$3)/12*0.5</f>
        <v>9.1781249999999996</v>
      </c>
      <c r="DL260" s="45">
        <f>('[2]Renewable Diesel'!$AT269*'[2]RD Feedstock Breakdown'!$DL$3*'[2]Feedstock Conversion Rates'!$B$6)/12</f>
        <v>10.747916666666669</v>
      </c>
      <c r="DM260" s="45">
        <f>('[2]Renewable Diesel'!$AT269*'[2]RD Feedstock Breakdown'!$DM$3*'[2]Feedstock Conversion Rates'!$B$8)/12</f>
        <v>10.7421875</v>
      </c>
      <c r="DN260" s="47">
        <f t="shared" si="169"/>
        <v>39.26197916666667</v>
      </c>
      <c r="DP260" s="45">
        <f t="shared" si="130"/>
        <v>126.97025000000001</v>
      </c>
      <c r="DQ260" s="45">
        <f t="shared" si="131"/>
        <v>699.11776750000001</v>
      </c>
      <c r="DR260" s="45">
        <f t="shared" si="136"/>
        <v>1830.453125</v>
      </c>
      <c r="DS260" s="45">
        <f t="shared" si="155"/>
        <v>48.901250000000005</v>
      </c>
      <c r="DT260" s="45">
        <f t="shared" si="132"/>
        <v>253.53923333333344</v>
      </c>
      <c r="DU260" s="45">
        <f t="shared" si="133"/>
        <v>285.90609999999998</v>
      </c>
      <c r="DV260" s="45">
        <f t="shared" si="137"/>
        <v>8</v>
      </c>
      <c r="DW260" s="45">
        <f t="shared" si="134"/>
        <v>3</v>
      </c>
      <c r="DX260" s="47">
        <f t="shared" si="138"/>
        <v>3255.8877258333337</v>
      </c>
      <c r="DY260" s="50">
        <f t="shared" si="126"/>
        <v>-135.00000000000048</v>
      </c>
      <c r="EA260" s="51">
        <f t="shared" si="204"/>
        <v>3.8997121735056879E-2</v>
      </c>
      <c r="EB260" s="51">
        <f t="shared" si="204"/>
        <v>0.21472416322988014</v>
      </c>
      <c r="EC260" s="51">
        <f t="shared" si="204"/>
        <v>0.5621978640346087</v>
      </c>
      <c r="ED260" s="51">
        <f t="shared" si="204"/>
        <v>1.5019329325148609E-2</v>
      </c>
      <c r="EE260" s="51">
        <f t="shared" si="204"/>
        <v>7.7871000072166463E-2</v>
      </c>
      <c r="EF260" s="51">
        <f t="shared" si="204"/>
        <v>8.7812026726696565E-2</v>
      </c>
      <c r="EG260" s="51">
        <f t="shared" si="204"/>
        <v>2.4570871828672857E-3</v>
      </c>
      <c r="EH260" s="52">
        <f t="shared" si="139"/>
        <v>9.2140769357523225E-4</v>
      </c>
      <c r="EI260" s="51">
        <f t="shared" si="191"/>
        <v>0.9990785923064246</v>
      </c>
      <c r="EK260" s="53">
        <f>(EA260*'[2]Renewable Diesel'!BF269*'[2]Feedstock Conversion Rates'!B$2)+FB260</f>
        <v>230.86879055249446</v>
      </c>
      <c r="EL260" s="53">
        <f>(EB260*'[2]Renewable Diesel'!BF269*'[2]Feedstock Conversion Rates'!B$3)+FC260</f>
        <v>1197.9182545668073</v>
      </c>
      <c r="EM260" s="53">
        <f>(EC260*'[2]Renewable Diesel'!BF269*'[2]Feedstock Conversion Rates'!B$4)+FD260</f>
        <v>2936.7312361275731</v>
      </c>
      <c r="EN260" s="53">
        <f>(ED260*'[2]Renewable Diesel'!BF269*'[2]Feedstock Conversion Rates'!B$5)+FE260</f>
        <v>78.978928901236614</v>
      </c>
      <c r="EO260" s="53">
        <f>(EE260*'[2]Renewable Diesel'!BF269*'[2]Feedstock Conversion Rates'!B$6)+FF260</f>
        <v>508.73584486521037</v>
      </c>
      <c r="EP260" s="53">
        <f>(EF260*'[2]Renewable Diesel'!BF269*'[2]Feedstock Conversion Rates'!B$7)+FG260</f>
        <v>562.67235251698344</v>
      </c>
      <c r="EQ260" s="53">
        <f>(EG260*'[2]Renewable Diesel'!BF269*'[2]Feedstock Conversion Rates'!B$8)+FH260</f>
        <v>16.0437390939884</v>
      </c>
      <c r="ER260" s="53">
        <f>(EH260*'[2]Renewable Diesel'!BF269*'[2]Feedstock Conversion Rates'!B$9)+FI260</f>
        <v>5.9361834647757075</v>
      </c>
      <c r="ES260" s="53">
        <f t="shared" si="141"/>
        <v>5537.8853300890705</v>
      </c>
      <c r="ET260" s="36">
        <f>ES260/'[2]Renewable Diesel'!BF269</f>
        <v>7.9511548389512434</v>
      </c>
    </row>
    <row r="261" spans="1:150" x14ac:dyDescent="0.25">
      <c r="A261" s="39">
        <v>48366</v>
      </c>
      <c r="B261" s="45">
        <f t="shared" si="196"/>
        <v>0.25</v>
      </c>
      <c r="C261" s="45">
        <f t="shared" si="197"/>
        <v>6.5</v>
      </c>
      <c r="D261" s="45">
        <f t="shared" si="198"/>
        <v>2</v>
      </c>
      <c r="E261" s="45">
        <f>('[2]Renewable Diesel'!B270*E$3*'[2]Feedstock Conversion Rates'!$B$2)/12+26+13-100+27.5+39+65-31-1.5-8+37-5-37+1+26</f>
        <v>141.93</v>
      </c>
      <c r="F261" s="45">
        <f>('[2]Renewable Diesel'!B270*'[2]RD Feedstock Breakdown'!F$3*'[2]Feedstock Conversion Rates'!B$8)/12+77+23-10-12-115.75+24+8+4+2-34-15</f>
        <v>5.15625</v>
      </c>
      <c r="G261" s="45">
        <f>('[2]Renewable Diesel'!B270*'[2]RD Feedstock Breakdown'!G$3*'[2]Feedstock Conversion Rates'!B$7)/12+116.75-39-57.5-145-31.5+32+70-40+10-20-25-5+3+5+5</f>
        <v>54.907000000000039</v>
      </c>
      <c r="H261" s="45">
        <f>('[2]Renewable Diesel'!B270*'[2]RD Feedstock Breakdown'!H$3*'[2]Feedstock Conversion Rates'!B$3)/12+67+10+12+3-235+20+47-20+60-30+160+15</f>
        <v>285.40022499999998</v>
      </c>
      <c r="I261" s="47">
        <f t="shared" si="160"/>
        <v>496.14347500000002</v>
      </c>
      <c r="J261" s="45">
        <f t="shared" si="199"/>
        <v>14.5</v>
      </c>
      <c r="K261" s="45"/>
      <c r="L261" s="45">
        <v>1</v>
      </c>
      <c r="M261" s="45">
        <f>('[2]Renewable Diesel'!C270*'[2]RD Feedstock Breakdown'!M$3*'[2]Feedstock Conversion Rates'!B$2)/12-55+5.75+13+7.5-18+24</f>
        <v>-14.95975</v>
      </c>
      <c r="N261" s="45">
        <f>('[2]Renewable Diesel'!C270*'[2]RD Feedstock Breakdown'!N$3*'[2]Feedstock Conversion Rates'!B$8)/12-15+11+7-15+10.25-5-15+5-11</f>
        <v>-24.078125</v>
      </c>
      <c r="O261" s="45">
        <f>('[2]Renewable Diesel'!C270*'[2]RD Feedstock Breakdown'!O$3*'[2]Feedstock Conversion Rates'!B$7)/12-87+50-53+10+100-40+14</f>
        <v>5.9990999999999985</v>
      </c>
      <c r="P261" s="45">
        <f>('[2]Renewable Diesel'!C270*'[2]RD Feedstock Breakdown'!P$3*'[2]Feedstock Conversion Rates'!B$3)/12-84+40+50-25+45+55-90-15-5+70</f>
        <v>51.447042499999995</v>
      </c>
      <c r="Q261" s="47">
        <f t="shared" si="172"/>
        <v>33.908267499999994</v>
      </c>
      <c r="R261" s="45">
        <f>('[2]Renewable Diesel'!D270*'[2]RD Feedstock Breakdown'!R$3*'[2]Feedstock Conversion Rates'!B$7)/12</f>
        <v>2.2999999999999998</v>
      </c>
      <c r="S261" s="47">
        <f t="shared" si="203"/>
        <v>2.2999999999999998</v>
      </c>
      <c r="T261" s="45">
        <f t="shared" si="201"/>
        <v>4.8250000000000028</v>
      </c>
      <c r="U261" s="45">
        <v>35</v>
      </c>
      <c r="V261" s="45">
        <f>('[2]Renewable Diesel'!E270*'[2]RD Feedstock Breakdown'!V$3*'[2]Feedstock Conversion Rates'!B$6)/12-20+25-35-4</f>
        <v>10.250150000000012</v>
      </c>
      <c r="W261" s="45">
        <f>('[2]Renewable Diesel'!E270*'[2]RD Feedstock Breakdown'!W$3*'[2]Feedstock Conversion Rates'!B$8)/12-6</f>
        <v>16.1796875</v>
      </c>
      <c r="X261" s="47">
        <f t="shared" si="147"/>
        <v>66.254837500000008</v>
      </c>
      <c r="Y261" s="45">
        <f t="shared" si="200"/>
        <v>146.5</v>
      </c>
      <c r="Z261" s="45">
        <f>('[2]Renewable Diesel'!F270*'[2]RD Feedstock Breakdown'!Z$3*'[2]Feedstock Conversion Rates'!B$6)/12-50-32-60+15+15+47.5+22.5-85+70-10-25-7+7+7</f>
        <v>74.460000000000008</v>
      </c>
      <c r="AA261" s="45">
        <f>('[2]Renewable Diesel'!F270*'[2]RD Feedstock Breakdown'!AA$3*'[2]Feedstock Conversion Rates'!B$7)/12+80-171+75+30-57.5-18</f>
        <v>42.766666666666652</v>
      </c>
      <c r="AB261" s="47">
        <f t="shared" si="190"/>
        <v>263.72666666666669</v>
      </c>
      <c r="AC261" s="45">
        <f>('[2]Renewable Diesel'!G270*'[2]RD Feedstock Breakdown'!AC$3*'[2]Feedstock Conversion Rates'!B$5)/12</f>
        <v>11.796875</v>
      </c>
      <c r="AD261" s="45">
        <f>('[2]Renewable Diesel'!G270*'[2]RD Feedstock Breakdown'!AD$3*'[2]Feedstock Conversion Rates'!B$4)/12</f>
        <v>5.859375</v>
      </c>
      <c r="AE261" s="45">
        <f>('[2]Renewable Diesel'!G270*'[2]RD Feedstock Breakdown'!AE$3*'[2]Feedstock Conversion Rates'!B$6)/12</f>
        <v>7.3281250000000009</v>
      </c>
      <c r="AF261" s="47">
        <f t="shared" si="156"/>
        <v>24.984375</v>
      </c>
      <c r="AG261" s="45">
        <f t="shared" si="182"/>
        <v>6.5</v>
      </c>
      <c r="AH261" s="45">
        <v>135</v>
      </c>
      <c r="AI261" s="45">
        <f>('[2]Renewable Diesel'!H270*'[2]RD Feedstock Breakdown'!AI$3*'[2]Feedstock Conversion Rates'!B$6)/12-130-20+51-120+105-37.5+20-10</f>
        <v>7.0166666666666799</v>
      </c>
      <c r="AJ261" s="47">
        <f t="shared" si="202"/>
        <v>13.51666666666668</v>
      </c>
      <c r="AK261" s="45">
        <f>('[2]Renewable Diesel'!J270*'[2]RD Feedstock Breakdown'!AK$3*'[2]Feedstock Conversion Rates'!B$4)/12</f>
        <v>95.8125</v>
      </c>
      <c r="AL261" s="47">
        <f t="shared" si="205"/>
        <v>95.8125</v>
      </c>
      <c r="AM261" s="45">
        <f>('[2]Renewable Diesel'!K270*'[2]RD Feedstock Breakdown'!AM$3*'[2]Feedstock Conversion Rates'!B$4)/12+5+15-10+4+5-28</f>
        <v>49.59375</v>
      </c>
      <c r="AN261" s="45">
        <f>('[2]Renewable Diesel'!K270*'[2]RD Feedstock Breakdown'!AN$3*'[2]Feedstock Conversion Rates'!B$6)/12-5-15+10-4-5+28</f>
        <v>33.427083333333329</v>
      </c>
      <c r="AO261" s="47">
        <f t="shared" si="135"/>
        <v>83.020833333333329</v>
      </c>
      <c r="AP261" s="45">
        <f>('[2]Renewable Diesel'!L270*'[2]RD Feedstock Breakdown'!AP$3*'[2]Feedstock Conversion Rates'!B$4)/12+15-10+5+2+7</f>
        <v>77.59375</v>
      </c>
      <c r="AQ261" s="45">
        <f>('[2]Renewable Diesel'!L270*'[2]RD Feedstock Breakdown'!AQ$3*'[2]Feedstock Conversion Rates'!B$6)/12-15+10-5-2-7</f>
        <v>5.4270833333333321</v>
      </c>
      <c r="AR261" s="47">
        <f t="shared" si="125"/>
        <v>83.020833333333329</v>
      </c>
      <c r="AS261" s="45">
        <f>('[2]Renewable Diesel'!M270*'[2]RD Feedstock Breakdown'!AS$3*'[2]Feedstock Conversion Rates'!B$4)/12</f>
        <v>456.25</v>
      </c>
      <c r="AT261" s="45">
        <f>('[2]Renewable Diesel'!M270*'[2]RD Feedstock Breakdown'!AT$3*'[2]Feedstock Conversion Rates'!B$5)/12</f>
        <v>0</v>
      </c>
      <c r="AU261" s="47">
        <f t="shared" si="159"/>
        <v>456.25</v>
      </c>
      <c r="AV261" s="45">
        <f>'[2]Renewable Diesel'!N270*'[2]RD Feedstock Breakdown'!$AV$3*'[2]Feedstock Conversion Rates'!$B$4/12-15-10+25+25-22+15-62.5+1</f>
        <v>35.249999999999986</v>
      </c>
      <c r="AW261" s="45">
        <f>'[2]Renewable Diesel'!N270*'[2]RD Feedstock Breakdown'!$AW$3*'[2]Feedstock Conversion Rates'!$B$7/12+15+10-25-25+22-15+62.5-1</f>
        <v>84.9</v>
      </c>
      <c r="AX261" s="47">
        <f t="shared" si="193"/>
        <v>120.14999999999999</v>
      </c>
      <c r="AY261" s="45">
        <f>('[2]Renewable Diesel'!O270*'[2]RD Feedstock Breakdown'!AY$3*'[2]Feedstock Conversion Rates'!B$4)/12-115-95</f>
        <v>0.9375</v>
      </c>
      <c r="AZ261" s="45">
        <f>('[2]Renewable Diesel'!O270*'[2]RD Feedstock Breakdown'!AZ$3*'[2]Feedstock Conversion Rates'!B$3)/12+115+95</f>
        <v>235.03125</v>
      </c>
      <c r="BA261" s="47">
        <f t="shared" si="173"/>
        <v>235.96875</v>
      </c>
      <c r="BB261" s="45">
        <f>('[2]Renewable Diesel'!Q270*'[2]RD Feedstock Breakdown'!BB$3*'[2]Feedstock Conversion Rates'!B$4)/12</f>
        <v>11.156249999999998</v>
      </c>
      <c r="BC261" s="45">
        <f>('[2]Renewable Diesel'!Q270*'[2]RD Feedstock Breakdown'!BC$3*'[2]Feedstock Conversion Rates'!B$3)/12</f>
        <v>1.4017500000000001</v>
      </c>
      <c r="BD261" s="45">
        <f>('[2]Renewable Diesel'!Q270*'[2]RD Feedstock Breakdown'!BD$3*'[2]Feedstock Conversion Rates'!B$6)/12</f>
        <v>0.8207500000000002</v>
      </c>
      <c r="BE261" s="47">
        <f t="shared" si="151"/>
        <v>13.378749999999998</v>
      </c>
      <c r="BF261" s="45">
        <f>('[2]Renewable Diesel'!R270*'[2]RD Feedstock Breakdown'!BF$3*'[2]Feedstock Conversion Rates'!B$4)/12</f>
        <v>62.5</v>
      </c>
      <c r="BG261" s="47">
        <f t="shared" si="129"/>
        <v>62.5</v>
      </c>
      <c r="BH261" s="45">
        <f>('[2]Renewable Diesel'!T270*'[2]RD Feedstock Breakdown'!BH$3*'[2]Feedstock Conversion Rates'!B$7)/12</f>
        <v>27.599999999999998</v>
      </c>
      <c r="BI261" s="47">
        <f t="shared" si="195"/>
        <v>27.599999999999998</v>
      </c>
      <c r="BJ261" s="45">
        <f>('[2]Renewable Diesel'!W270*'[2]RD Feedstock Breakdown'!BJ$3*'[2]Feedstock Conversion Rates'!B$4)/12</f>
        <v>7.5</v>
      </c>
      <c r="BK261" s="45">
        <f>('[2]Renewable Diesel'!W270*'[2]RD Feedstock Breakdown'!BK$3*'[2]Feedstock Conversion Rates'!B$3)/12</f>
        <v>1.335</v>
      </c>
      <c r="BL261" s="45">
        <f>('[2]Renewable Diesel'!W270*'[2]RD Feedstock Breakdown'!BL$3*'[2]Feedstock Conversion Rates'!B$6)/12</f>
        <v>3.1266666666666669</v>
      </c>
      <c r="BM261" s="45">
        <f>('[2]Renewable Diesel'!W270*'[2]RD Feedstock Breakdown'!BM$3*'[2]Feedstock Conversion Rates'!B$7)/12</f>
        <v>1.5333333333333332</v>
      </c>
      <c r="BN261" s="47">
        <f t="shared" si="168"/>
        <v>13.495000000000001</v>
      </c>
      <c r="BO261" s="45">
        <f>('[2]Renewable Diesel'!P270*'[2]Feedstock Conversion Rates'!B$4)/12</f>
        <v>31.25</v>
      </c>
      <c r="BP261" s="47">
        <f t="shared" si="157"/>
        <v>31.25</v>
      </c>
      <c r="BQ261" s="45">
        <f>('[2]Renewable Diesel'!$S270*'[2]RD Feedstock Breakdown'!BQ$3*'[2]Feedstock Conversion Rates'!B$4)/12+10</f>
        <v>38.125</v>
      </c>
      <c r="BR261" s="45">
        <f>('[2]Renewable Diesel'!$S270*'[2]RD Feedstock Breakdown'!BR$3*'[2]Feedstock Conversion Rates'!B$7)/12-10</f>
        <v>1.5</v>
      </c>
      <c r="BS261" s="47">
        <f t="shared" si="174"/>
        <v>39.625</v>
      </c>
      <c r="BT261" s="47"/>
      <c r="BU261" s="45">
        <f>('[2]Renewable Diesel'!Y270*'[2]Feedstock Conversion Rates'!B$7)/12</f>
        <v>2.6833333333333331</v>
      </c>
      <c r="BV261" s="47">
        <f t="shared" si="153"/>
        <v>2.6833333333333331</v>
      </c>
      <c r="BW261" s="45">
        <f>('[2]Renewable Diesel'!$Z270*'[2]RD Feedstock Breakdown'!BW$3*'[2]Feedstock Conversion Rates'!$B$4)/12</f>
        <v>71.875</v>
      </c>
      <c r="BX261" s="45">
        <f>('[2]Renewable Diesel'!$Z270*'[2]RD Feedstock Breakdown'!BX$3*'[2]Feedstock Conversion Rates'!$B$5)/12</f>
        <v>7.2354166666666666</v>
      </c>
      <c r="BY261" s="45">
        <f>('[2]Renewable Diesel'!$Z270*'[2]RD Feedstock Breakdown'!BY$3*'[2]Feedstock Conversion Rates'!$B$7)/12</f>
        <v>61.716666666666661</v>
      </c>
      <c r="BZ261" s="45">
        <f>('[2]Renewable Diesel'!$Z270*'[2]RD Feedstock Breakdown'!BZ$3*'[2]Feedstock Conversion Rates'!$B$3)/12</f>
        <v>15.352499999999999</v>
      </c>
      <c r="CA261" s="47">
        <f t="shared" si="181"/>
        <v>156.17958333333331</v>
      </c>
      <c r="CB261" s="45">
        <f>('[2]Renewable Diesel'!AA270*'[2]Feedstock Conversion Rates'!B$4)/12</f>
        <v>191.25</v>
      </c>
      <c r="CC261" s="47">
        <f t="shared" si="171"/>
        <v>191.25</v>
      </c>
      <c r="CD261" s="45">
        <f>('[2]Renewable Diesel'!$AB270*'[2]RD Feedstock Breakdown'!CD$3*'[2]Feedstock Conversion Rates'!$B$6)/12-15</f>
        <v>17.830000000000005</v>
      </c>
      <c r="CE261" s="45">
        <f>('[2]Renewable Diesel'!$AB270*'[2]RD Feedstock Breakdown'!CE$3*'[2]Feedstock Conversion Rates'!$B$4)/12+15</f>
        <v>26.25</v>
      </c>
      <c r="CF261" s="47">
        <f t="shared" si="161"/>
        <v>44.080000000000005</v>
      </c>
      <c r="CG261" s="45">
        <f>('[2]Renewable Diesel'!AD270*'[2]Feedstock Conversion Rates'!B$4)/12</f>
        <v>112.5</v>
      </c>
      <c r="CH261" s="47">
        <f t="shared" si="149"/>
        <v>112.5</v>
      </c>
      <c r="CI261" s="45">
        <f>('[2]Renewable Diesel'!$AE270*'[2]RD Feedstock Breakdown'!CI$3*'[2]Feedstock Conversion Rates'!$B$5)/12</f>
        <v>0.34604166666666664</v>
      </c>
      <c r="CJ261" s="45">
        <f>('[2]Renewable Diesel'!$AE270*'[2]RD Feedstock Breakdown'!CJ$3*'[2]Feedstock Conversion Rates'!$B$4)/12</f>
        <v>0.34375</v>
      </c>
      <c r="CK261" s="47">
        <f t="shared" si="158"/>
        <v>0.68979166666666658</v>
      </c>
      <c r="CL261" s="45">
        <f>(((CL$3*'[2]Renewable Diesel'!$AF270)*'[2]Feedstock Conversion Rates'!$B$3)/12)-11</f>
        <v>80.78125</v>
      </c>
      <c r="CM261" s="45">
        <f>(((CM$3*'[2]Renewable Diesel'!$AF270)*'[2]Feedstock Conversion Rates'!$B$6)/12)+11</f>
        <v>64.739583333333343</v>
      </c>
      <c r="CN261" s="45">
        <f>(((CN$3*'[2]Renewable Diesel'!$AF270)*'[2]Feedstock Conversion Rates'!$B$4)/12)</f>
        <v>42.96875</v>
      </c>
      <c r="CO261" s="47">
        <f t="shared" si="152"/>
        <v>188.48958333333334</v>
      </c>
      <c r="CP261" s="45">
        <f>('[2]Renewable Diesel'!$AG270*'[2]RD Feedstock Breakdown'!CP$3*'[2]Feedstock Conversion Rates'!$B$3)/12</f>
        <v>6.0075000000000003</v>
      </c>
      <c r="CQ261" s="45">
        <f>('[2]Renewable Diesel'!$AG270*'[2]RD Feedstock Breakdown'!CQ$3*'[2]Feedstock Conversion Rates'!$B$6)/12</f>
        <v>3.5175000000000001</v>
      </c>
      <c r="CR261" s="45">
        <f>('[2]Renewable Diesel'!$AG270*'[2]RD Feedstock Breakdown'!CR$3*'[2]Feedstock Conversion Rates'!$B$4)/12</f>
        <v>2.8125</v>
      </c>
      <c r="CS261" s="47">
        <f t="shared" si="183"/>
        <v>12.3375</v>
      </c>
      <c r="CT261" s="45">
        <f>('[2]Renewable Diesel'!AI270*'[2]Feedstock Conversion Rates'!$B$4*'[2]RD Feedstock Breakdown'!$CT$3)/12</f>
        <v>29.375</v>
      </c>
      <c r="CU261" s="47">
        <f t="shared" si="154"/>
        <v>29.375</v>
      </c>
      <c r="CV261" s="45">
        <f>('[2]Renewable Diesel'!AN270*'[2]Feedstock Conversion Rates'!$B$3*'[2]RD Feedstock Breakdown'!$CV$3)/12</f>
        <v>0.50062499999999999</v>
      </c>
      <c r="CW261" s="47">
        <f t="shared" si="124"/>
        <v>0.50062499999999999</v>
      </c>
      <c r="CX261" s="45">
        <f>('[2]Renewable Diesel'!AO270*'[2]RD Feedstock Breakdown'!$CX$3*'[2]Feedstock Conversion Rates'!$B$3)/12</f>
        <v>6.3412499999999996</v>
      </c>
      <c r="CY261" s="45">
        <f>('[2]Renewable Diesel'!AO270*'[2]RD Feedstock Breakdown'!$CY$3*'[2]Feedstock Conversion Rates'!$B$6)/12</f>
        <v>7.4258333333333342</v>
      </c>
      <c r="CZ261" s="47">
        <f t="shared" si="188"/>
        <v>13.767083333333334</v>
      </c>
      <c r="DA261" s="45">
        <f>('[2]Renewable Diesel'!$AP270*'[2]RD Feedstock Breakdown'!DA$3*'[2]Feedstock Conversion Rates'!$B$3)/12</f>
        <v>6.3412499999999996</v>
      </c>
      <c r="DB261" s="45">
        <f>('[2]Renewable Diesel'!$AP270*'[2]RD Feedstock Breakdown'!DB$3*'[2]Feedstock Conversion Rates'!$B$8)/12</f>
        <v>7.421875</v>
      </c>
      <c r="DC261" s="47">
        <f t="shared" si="127"/>
        <v>13.763124999999999</v>
      </c>
      <c r="DD261" s="45">
        <f>('[2]Renewable Diesel'!AQ270*$DD$3*'[2]Feedstock Conversion Rates'!$B$14)/12</f>
        <v>3.1041666666666665</v>
      </c>
      <c r="DE261" s="47">
        <f t="shared" si="128"/>
        <v>3.1041666666666665</v>
      </c>
      <c r="DF261" s="45">
        <f>('[2]Renewable Diesel'!AR270*'[2]Feedstock Conversion Rates'!$B$4*$DF$3)/12</f>
        <v>75</v>
      </c>
      <c r="DG261" s="47">
        <f t="shared" si="189"/>
        <v>75</v>
      </c>
      <c r="DH261" s="45">
        <f>('[2]Renewable Diesel'!AS270*'[2]Feedstock Conversion Rates'!$B$4*$DH$3)/12</f>
        <v>75</v>
      </c>
      <c r="DI261" s="47">
        <f t="shared" si="194"/>
        <v>75</v>
      </c>
      <c r="DJ261" s="45">
        <f>('[2]Renewable Diesel'!AT270*'[2]Feedstock Conversion Rates'!$B$4*0.25)/12</f>
        <v>8.59375</v>
      </c>
      <c r="DK261" s="45">
        <f>('[2]Renewable Diesel'!$AT270*'[2]RD Feedstock Breakdown'!DK$3*'[2]Feedstock Conversion Rates'!$B$3)/12*0.5</f>
        <v>9.1781249999999996</v>
      </c>
      <c r="DL261" s="45">
        <f>('[2]Renewable Diesel'!$AT270*'[2]RD Feedstock Breakdown'!$DL$3*'[2]Feedstock Conversion Rates'!$B$6)/12</f>
        <v>10.747916666666669</v>
      </c>
      <c r="DM261" s="45">
        <f>('[2]Renewable Diesel'!$AT270*'[2]RD Feedstock Breakdown'!$DM$3*'[2]Feedstock Conversion Rates'!$B$8)/12</f>
        <v>10.7421875</v>
      </c>
      <c r="DN261" s="47">
        <f t="shared" si="169"/>
        <v>39.26197916666667</v>
      </c>
      <c r="DP261" s="45">
        <f t="shared" si="130"/>
        <v>126.97025000000001</v>
      </c>
      <c r="DQ261" s="45">
        <f t="shared" si="131"/>
        <v>699.11776750000001</v>
      </c>
      <c r="DR261" s="45">
        <f t="shared" si="136"/>
        <v>1830.453125</v>
      </c>
      <c r="DS261" s="45">
        <f t="shared" si="155"/>
        <v>48.901250000000005</v>
      </c>
      <c r="DT261" s="45">
        <f t="shared" si="132"/>
        <v>253.53923333333344</v>
      </c>
      <c r="DU261" s="45">
        <f t="shared" si="133"/>
        <v>285.90609999999998</v>
      </c>
      <c r="DV261" s="45">
        <f t="shared" si="137"/>
        <v>8</v>
      </c>
      <c r="DW261" s="45">
        <f t="shared" si="134"/>
        <v>3</v>
      </c>
      <c r="DX261" s="47">
        <f t="shared" si="138"/>
        <v>3255.8877258333337</v>
      </c>
      <c r="DY261" s="50">
        <f t="shared" si="126"/>
        <v>-135.00000000000048</v>
      </c>
      <c r="EA261" s="51">
        <f t="shared" si="204"/>
        <v>3.8997121735056879E-2</v>
      </c>
      <c r="EB261" s="51">
        <f t="shared" si="204"/>
        <v>0.21472416322988014</v>
      </c>
      <c r="EC261" s="51">
        <f t="shared" si="204"/>
        <v>0.5621978640346087</v>
      </c>
      <c r="ED261" s="51">
        <f t="shared" si="204"/>
        <v>1.5019329325148609E-2</v>
      </c>
      <c r="EE261" s="51">
        <f t="shared" si="204"/>
        <v>7.7871000072166463E-2</v>
      </c>
      <c r="EF261" s="51">
        <f t="shared" si="204"/>
        <v>8.7812026726696565E-2</v>
      </c>
      <c r="EG261" s="51">
        <f t="shared" si="204"/>
        <v>2.4570871828672857E-3</v>
      </c>
      <c r="EH261" s="52">
        <f t="shared" si="139"/>
        <v>9.2140769357523225E-4</v>
      </c>
      <c r="EI261" s="51">
        <f t="shared" si="191"/>
        <v>0.9990785923064246</v>
      </c>
      <c r="EK261" s="53">
        <f>(EA261*'[2]Renewable Diesel'!BF270*'[2]Feedstock Conversion Rates'!B$2)+FB261</f>
        <v>224.24809043592205</v>
      </c>
      <c r="EL261" s="53">
        <f>(EB261*'[2]Renewable Diesel'!BF270*'[2]Feedstock Conversion Rates'!B$3)+FC261</f>
        <v>1163.5651594227004</v>
      </c>
      <c r="EM261" s="53">
        <f>(EC261*'[2]Renewable Diesel'!BF270*'[2]Feedstock Conversion Rates'!B$4)+FD261</f>
        <v>2852.5136301408916</v>
      </c>
      <c r="EN261" s="53">
        <f>(ED261*'[2]Renewable Diesel'!BF270*'[2]Feedstock Conversion Rates'!B$5)+FE261</f>
        <v>76.714024222991313</v>
      </c>
      <c r="EO261" s="53">
        <f>(EE261*'[2]Renewable Diesel'!BF270*'[2]Feedstock Conversion Rates'!B$6)+FF261</f>
        <v>494.14665998949278</v>
      </c>
      <c r="EP261" s="53">
        <f>(EF261*'[2]Renewable Diesel'!BF270*'[2]Feedstock Conversion Rates'!B$7)+FG261</f>
        <v>546.53641270031846</v>
      </c>
      <c r="EQ261" s="53">
        <f>(EG261*'[2]Renewable Diesel'!BF270*'[2]Feedstock Conversion Rates'!B$8)+FH261</f>
        <v>15.583647519741275</v>
      </c>
      <c r="ER261" s="53">
        <f>(EH261*'[2]Renewable Diesel'!BF270*'[2]Feedstock Conversion Rates'!B$9)+FI261</f>
        <v>5.7659495823042723</v>
      </c>
      <c r="ES261" s="53">
        <f t="shared" si="141"/>
        <v>5379.0735740143627</v>
      </c>
      <c r="ET261" s="36">
        <f>ES261/'[2]Renewable Diesel'!BF270</f>
        <v>7.9511548389512425</v>
      </c>
    </row>
    <row r="262" spans="1:150" x14ac:dyDescent="0.25">
      <c r="A262" s="39">
        <v>48396</v>
      </c>
      <c r="B262" s="45">
        <f t="shared" si="196"/>
        <v>0.25</v>
      </c>
      <c r="C262" s="45">
        <f t="shared" si="197"/>
        <v>6.5</v>
      </c>
      <c r="D262" s="45">
        <f t="shared" si="198"/>
        <v>2</v>
      </c>
      <c r="E262" s="45">
        <f>('[2]Renewable Diesel'!B271*E$3*'[2]Feedstock Conversion Rates'!$B$2)/12+26+13-100+27.5+39+65-31-1.5-8+37-5-37+1+26</f>
        <v>141.93</v>
      </c>
      <c r="F262" s="45">
        <f>('[2]Renewable Diesel'!B271*'[2]RD Feedstock Breakdown'!F$3*'[2]Feedstock Conversion Rates'!B$8)/12+77+23-10-12-115.75+24+8+4+2-34-15</f>
        <v>5.15625</v>
      </c>
      <c r="G262" s="45">
        <f>('[2]Renewable Diesel'!B271*'[2]RD Feedstock Breakdown'!G$3*'[2]Feedstock Conversion Rates'!B$7)/12+116.75-39-57.5-145-31.5+32+70-40+10-20-25-5+3+5+5</f>
        <v>54.907000000000039</v>
      </c>
      <c r="H262" s="45">
        <f>('[2]Renewable Diesel'!B271*'[2]RD Feedstock Breakdown'!H$3*'[2]Feedstock Conversion Rates'!B$3)/12+67+10+12+3-235+20+47-20+60-30+160+15</f>
        <v>285.40022499999998</v>
      </c>
      <c r="I262" s="47">
        <f t="shared" si="160"/>
        <v>496.14347500000002</v>
      </c>
      <c r="J262" s="45">
        <f t="shared" si="199"/>
        <v>14.5</v>
      </c>
      <c r="K262" s="45"/>
      <c r="L262" s="45">
        <v>1</v>
      </c>
      <c r="M262" s="45">
        <f>('[2]Renewable Diesel'!C271*'[2]RD Feedstock Breakdown'!M$3*'[2]Feedstock Conversion Rates'!B$2)/12-55+5.75+13+7.5-18+24</f>
        <v>-14.95975</v>
      </c>
      <c r="N262" s="45">
        <f>('[2]Renewable Diesel'!C271*'[2]RD Feedstock Breakdown'!N$3*'[2]Feedstock Conversion Rates'!B$8)/12-15+11+7-15+10.25-5-15+5-11</f>
        <v>-24.078125</v>
      </c>
      <c r="O262" s="45">
        <f>('[2]Renewable Diesel'!C271*'[2]RD Feedstock Breakdown'!O$3*'[2]Feedstock Conversion Rates'!B$7)/12-87+50-53+10+100-40+14</f>
        <v>5.9990999999999985</v>
      </c>
      <c r="P262" s="45">
        <f>('[2]Renewable Diesel'!C271*'[2]RD Feedstock Breakdown'!P$3*'[2]Feedstock Conversion Rates'!B$3)/12-84+40+50-25+45+55-90-15-5+70</f>
        <v>51.447042499999995</v>
      </c>
      <c r="Q262" s="47">
        <f t="shared" si="172"/>
        <v>33.908267499999994</v>
      </c>
      <c r="R262" s="45">
        <f>('[2]Renewable Diesel'!D271*'[2]RD Feedstock Breakdown'!R$3*'[2]Feedstock Conversion Rates'!B$7)/12</f>
        <v>2.2999999999999998</v>
      </c>
      <c r="S262" s="47">
        <f t="shared" si="203"/>
        <v>2.2999999999999998</v>
      </c>
      <c r="T262" s="45">
        <f t="shared" si="201"/>
        <v>4.8250000000000028</v>
      </c>
      <c r="U262" s="45">
        <v>35</v>
      </c>
      <c r="V262" s="45">
        <f>('[2]Renewable Diesel'!E271*'[2]RD Feedstock Breakdown'!V$3*'[2]Feedstock Conversion Rates'!B$6)/12-20+25-35-4</f>
        <v>10.250150000000012</v>
      </c>
      <c r="W262" s="45">
        <f>('[2]Renewable Diesel'!E271*'[2]RD Feedstock Breakdown'!W$3*'[2]Feedstock Conversion Rates'!B$8)/12-6</f>
        <v>16.1796875</v>
      </c>
      <c r="X262" s="47">
        <f t="shared" si="147"/>
        <v>66.254837500000008</v>
      </c>
      <c r="Y262" s="45">
        <f t="shared" si="200"/>
        <v>146.5</v>
      </c>
      <c r="Z262" s="45">
        <f>('[2]Renewable Diesel'!F271*'[2]RD Feedstock Breakdown'!Z$3*'[2]Feedstock Conversion Rates'!B$6)/12-50-32-60+15+15+47.5+22.5-85+70-10-25-7+7+7</f>
        <v>74.460000000000008</v>
      </c>
      <c r="AA262" s="45">
        <f>('[2]Renewable Diesel'!F271*'[2]RD Feedstock Breakdown'!AA$3*'[2]Feedstock Conversion Rates'!B$7)/12+80-171+75+30-57.5-18</f>
        <v>42.766666666666652</v>
      </c>
      <c r="AB262" s="47">
        <f t="shared" si="190"/>
        <v>263.72666666666669</v>
      </c>
      <c r="AC262" s="45">
        <f>('[2]Renewable Diesel'!G271*'[2]RD Feedstock Breakdown'!AC$3*'[2]Feedstock Conversion Rates'!B$5)/12</f>
        <v>11.796875</v>
      </c>
      <c r="AD262" s="45">
        <f>('[2]Renewable Diesel'!G271*'[2]RD Feedstock Breakdown'!AD$3*'[2]Feedstock Conversion Rates'!B$4)/12</f>
        <v>5.859375</v>
      </c>
      <c r="AE262" s="45">
        <f>('[2]Renewable Diesel'!G271*'[2]RD Feedstock Breakdown'!AE$3*'[2]Feedstock Conversion Rates'!B$6)/12</f>
        <v>7.3281250000000009</v>
      </c>
      <c r="AF262" s="47">
        <f t="shared" si="156"/>
        <v>24.984375</v>
      </c>
      <c r="AG262" s="45">
        <f t="shared" si="182"/>
        <v>6.5</v>
      </c>
      <c r="AH262" s="45">
        <v>135</v>
      </c>
      <c r="AI262" s="45">
        <f>('[2]Renewable Diesel'!H271*'[2]RD Feedstock Breakdown'!AI$3*'[2]Feedstock Conversion Rates'!B$6)/12-130-20+51-120+105-37.5+20-10</f>
        <v>7.0166666666666799</v>
      </c>
      <c r="AJ262" s="47">
        <f t="shared" si="202"/>
        <v>13.51666666666668</v>
      </c>
      <c r="AK262" s="45">
        <f>('[2]Renewable Diesel'!J271*'[2]RD Feedstock Breakdown'!AK$3*'[2]Feedstock Conversion Rates'!B$4)/12</f>
        <v>95.8125</v>
      </c>
      <c r="AL262" s="47">
        <f t="shared" si="205"/>
        <v>95.8125</v>
      </c>
      <c r="AM262" s="45">
        <f>('[2]Renewable Diesel'!K271*'[2]RD Feedstock Breakdown'!AM$3*'[2]Feedstock Conversion Rates'!B$4)/12+5+15-10+4+5-28</f>
        <v>49.59375</v>
      </c>
      <c r="AN262" s="45">
        <f>('[2]Renewable Diesel'!K271*'[2]RD Feedstock Breakdown'!AN$3*'[2]Feedstock Conversion Rates'!B$6)/12-5-15+10-4-5+28</f>
        <v>33.427083333333329</v>
      </c>
      <c r="AO262" s="47">
        <f t="shared" si="135"/>
        <v>83.020833333333329</v>
      </c>
      <c r="AP262" s="45">
        <f>('[2]Renewable Diesel'!L271*'[2]RD Feedstock Breakdown'!AP$3*'[2]Feedstock Conversion Rates'!B$4)/12+15-10+5+2+7</f>
        <v>77.59375</v>
      </c>
      <c r="AQ262" s="45">
        <f>('[2]Renewable Diesel'!L271*'[2]RD Feedstock Breakdown'!AQ$3*'[2]Feedstock Conversion Rates'!B$6)/12-15+10-5-2-7</f>
        <v>5.4270833333333321</v>
      </c>
      <c r="AR262" s="47">
        <f t="shared" si="125"/>
        <v>83.020833333333329</v>
      </c>
      <c r="AS262" s="45">
        <f>('[2]Renewable Diesel'!M271*'[2]RD Feedstock Breakdown'!AS$3*'[2]Feedstock Conversion Rates'!B$4)/12</f>
        <v>456.25</v>
      </c>
      <c r="AT262" s="45">
        <f>('[2]Renewable Diesel'!M271*'[2]RD Feedstock Breakdown'!AT$3*'[2]Feedstock Conversion Rates'!B$5)/12</f>
        <v>0</v>
      </c>
      <c r="AU262" s="47">
        <f t="shared" si="159"/>
        <v>456.25</v>
      </c>
      <c r="AV262" s="45">
        <f>'[2]Renewable Diesel'!N271*'[2]RD Feedstock Breakdown'!$AV$3*'[2]Feedstock Conversion Rates'!$B$4/12-15-10+25+25-22+15-62.5+1</f>
        <v>35.249999999999986</v>
      </c>
      <c r="AW262" s="45">
        <f>'[2]Renewable Diesel'!N271*'[2]RD Feedstock Breakdown'!$AW$3*'[2]Feedstock Conversion Rates'!$B$7/12+15+10-25-25+22-15+62.5-1</f>
        <v>84.9</v>
      </c>
      <c r="AX262" s="47">
        <f t="shared" si="193"/>
        <v>120.14999999999999</v>
      </c>
      <c r="AY262" s="45">
        <f>('[2]Renewable Diesel'!O271*'[2]RD Feedstock Breakdown'!AY$3*'[2]Feedstock Conversion Rates'!B$4)/12-115-95</f>
        <v>0.9375</v>
      </c>
      <c r="AZ262" s="45">
        <f>('[2]Renewable Diesel'!O271*'[2]RD Feedstock Breakdown'!AZ$3*'[2]Feedstock Conversion Rates'!B$3)/12+115+95</f>
        <v>235.03125</v>
      </c>
      <c r="BA262" s="47">
        <f t="shared" si="173"/>
        <v>235.96875</v>
      </c>
      <c r="BB262" s="45">
        <f>('[2]Renewable Diesel'!Q271*'[2]RD Feedstock Breakdown'!BB$3*'[2]Feedstock Conversion Rates'!B$4)/12</f>
        <v>11.156249999999998</v>
      </c>
      <c r="BC262" s="45">
        <f>('[2]Renewable Diesel'!Q271*'[2]RD Feedstock Breakdown'!BC$3*'[2]Feedstock Conversion Rates'!B$3)/12</f>
        <v>1.4017500000000001</v>
      </c>
      <c r="BD262" s="45">
        <f>('[2]Renewable Diesel'!Q271*'[2]RD Feedstock Breakdown'!BD$3*'[2]Feedstock Conversion Rates'!B$6)/12</f>
        <v>0.8207500000000002</v>
      </c>
      <c r="BE262" s="47">
        <f t="shared" si="151"/>
        <v>13.378749999999998</v>
      </c>
      <c r="BF262" s="45">
        <f>('[2]Renewable Diesel'!R271*'[2]RD Feedstock Breakdown'!BF$3*'[2]Feedstock Conversion Rates'!B$4)/12</f>
        <v>62.5</v>
      </c>
      <c r="BG262" s="47">
        <f t="shared" si="129"/>
        <v>62.5</v>
      </c>
      <c r="BH262" s="45">
        <f>('[2]Renewable Diesel'!T271*'[2]RD Feedstock Breakdown'!BH$3*'[2]Feedstock Conversion Rates'!B$7)/12</f>
        <v>27.599999999999998</v>
      </c>
      <c r="BI262" s="47">
        <f t="shared" si="195"/>
        <v>27.599999999999998</v>
      </c>
      <c r="BJ262" s="45">
        <f>('[2]Renewable Diesel'!W271*'[2]RD Feedstock Breakdown'!BJ$3*'[2]Feedstock Conversion Rates'!B$4)/12</f>
        <v>7.5</v>
      </c>
      <c r="BK262" s="45">
        <f>('[2]Renewable Diesel'!W271*'[2]RD Feedstock Breakdown'!BK$3*'[2]Feedstock Conversion Rates'!B$3)/12</f>
        <v>1.335</v>
      </c>
      <c r="BL262" s="45">
        <f>('[2]Renewable Diesel'!W271*'[2]RD Feedstock Breakdown'!BL$3*'[2]Feedstock Conversion Rates'!B$6)/12</f>
        <v>3.1266666666666669</v>
      </c>
      <c r="BM262" s="45">
        <f>('[2]Renewable Diesel'!W271*'[2]RD Feedstock Breakdown'!BM$3*'[2]Feedstock Conversion Rates'!B$7)/12</f>
        <v>1.5333333333333332</v>
      </c>
      <c r="BN262" s="47">
        <f t="shared" si="168"/>
        <v>13.495000000000001</v>
      </c>
      <c r="BO262" s="45">
        <f>('[2]Renewable Diesel'!P271*'[2]Feedstock Conversion Rates'!B$4)/12</f>
        <v>31.25</v>
      </c>
      <c r="BP262" s="47">
        <f t="shared" si="157"/>
        <v>31.25</v>
      </c>
      <c r="BQ262" s="45">
        <f>('[2]Renewable Diesel'!$S271*'[2]RD Feedstock Breakdown'!BQ$3*'[2]Feedstock Conversion Rates'!B$4)/12+10</f>
        <v>38.125</v>
      </c>
      <c r="BR262" s="45">
        <f>('[2]Renewable Diesel'!$S271*'[2]RD Feedstock Breakdown'!BR$3*'[2]Feedstock Conversion Rates'!B$7)/12-10</f>
        <v>1.5</v>
      </c>
      <c r="BS262" s="47">
        <f t="shared" si="174"/>
        <v>39.625</v>
      </c>
      <c r="BT262" s="47"/>
      <c r="BU262" s="45">
        <f>('[2]Renewable Diesel'!Y271*'[2]Feedstock Conversion Rates'!B$7)/12</f>
        <v>2.6833333333333331</v>
      </c>
      <c r="BV262" s="47">
        <f t="shared" si="153"/>
        <v>2.6833333333333331</v>
      </c>
      <c r="BW262" s="45">
        <f>('[2]Renewable Diesel'!$Z271*'[2]RD Feedstock Breakdown'!BW$3*'[2]Feedstock Conversion Rates'!$B$4)/12</f>
        <v>71.875</v>
      </c>
      <c r="BX262" s="45">
        <f>('[2]Renewable Diesel'!$Z271*'[2]RD Feedstock Breakdown'!BX$3*'[2]Feedstock Conversion Rates'!$B$5)/12</f>
        <v>7.2354166666666666</v>
      </c>
      <c r="BY262" s="45">
        <f>('[2]Renewable Diesel'!$Z271*'[2]RD Feedstock Breakdown'!BY$3*'[2]Feedstock Conversion Rates'!$B$7)/12</f>
        <v>61.716666666666661</v>
      </c>
      <c r="BZ262" s="45">
        <f>('[2]Renewable Diesel'!$Z271*'[2]RD Feedstock Breakdown'!BZ$3*'[2]Feedstock Conversion Rates'!$B$3)/12</f>
        <v>15.352499999999999</v>
      </c>
      <c r="CA262" s="47">
        <f t="shared" si="181"/>
        <v>156.17958333333331</v>
      </c>
      <c r="CB262" s="45">
        <f>('[2]Renewable Diesel'!AA271*'[2]Feedstock Conversion Rates'!B$4)/12</f>
        <v>191.25</v>
      </c>
      <c r="CC262" s="47">
        <f t="shared" si="171"/>
        <v>191.25</v>
      </c>
      <c r="CD262" s="45">
        <f>('[2]Renewable Diesel'!$AB271*'[2]RD Feedstock Breakdown'!CD$3*'[2]Feedstock Conversion Rates'!$B$6)/12-15</f>
        <v>17.830000000000005</v>
      </c>
      <c r="CE262" s="45">
        <f>('[2]Renewable Diesel'!$AB271*'[2]RD Feedstock Breakdown'!CE$3*'[2]Feedstock Conversion Rates'!$B$4)/12+15</f>
        <v>26.25</v>
      </c>
      <c r="CF262" s="47">
        <f t="shared" si="161"/>
        <v>44.080000000000005</v>
      </c>
      <c r="CG262" s="45">
        <f>('[2]Renewable Diesel'!AD271*'[2]Feedstock Conversion Rates'!B$4)/12</f>
        <v>112.5</v>
      </c>
      <c r="CH262" s="47">
        <f t="shared" si="149"/>
        <v>112.5</v>
      </c>
      <c r="CI262" s="45">
        <f>('[2]Renewable Diesel'!$AE271*'[2]RD Feedstock Breakdown'!CI$3*'[2]Feedstock Conversion Rates'!$B$5)/12</f>
        <v>0.34604166666666664</v>
      </c>
      <c r="CJ262" s="45">
        <f>('[2]Renewable Diesel'!$AE271*'[2]RD Feedstock Breakdown'!CJ$3*'[2]Feedstock Conversion Rates'!$B$4)/12</f>
        <v>0.34375</v>
      </c>
      <c r="CK262" s="47">
        <f t="shared" si="158"/>
        <v>0.68979166666666658</v>
      </c>
      <c r="CL262" s="45">
        <f>(((CL$3*'[2]Renewable Diesel'!$AF271)*'[2]Feedstock Conversion Rates'!$B$3)/12)-11</f>
        <v>80.78125</v>
      </c>
      <c r="CM262" s="45">
        <f>(((CM$3*'[2]Renewable Diesel'!$AF271)*'[2]Feedstock Conversion Rates'!$B$6)/12)+11</f>
        <v>64.739583333333343</v>
      </c>
      <c r="CN262" s="45">
        <f>(((CN$3*'[2]Renewable Diesel'!$AF271)*'[2]Feedstock Conversion Rates'!$B$4)/12)</f>
        <v>42.96875</v>
      </c>
      <c r="CO262" s="47">
        <f t="shared" si="152"/>
        <v>188.48958333333334</v>
      </c>
      <c r="CP262" s="45">
        <f>('[2]Renewable Diesel'!$AG271*'[2]RD Feedstock Breakdown'!CP$3*'[2]Feedstock Conversion Rates'!$B$3)/12</f>
        <v>6.0075000000000003</v>
      </c>
      <c r="CQ262" s="45">
        <f>('[2]Renewable Diesel'!$AG271*'[2]RD Feedstock Breakdown'!CQ$3*'[2]Feedstock Conversion Rates'!$B$6)/12</f>
        <v>3.5175000000000001</v>
      </c>
      <c r="CR262" s="45">
        <f>('[2]Renewable Diesel'!$AG271*'[2]RD Feedstock Breakdown'!CR$3*'[2]Feedstock Conversion Rates'!$B$4)/12</f>
        <v>2.8125</v>
      </c>
      <c r="CS262" s="47">
        <f t="shared" si="183"/>
        <v>12.3375</v>
      </c>
      <c r="CT262" s="45">
        <f>('[2]Renewable Diesel'!AI271*'[2]Feedstock Conversion Rates'!$B$4*'[2]RD Feedstock Breakdown'!$CT$3)/12</f>
        <v>29.375</v>
      </c>
      <c r="CU262" s="47">
        <f t="shared" si="154"/>
        <v>29.375</v>
      </c>
      <c r="CV262" s="45">
        <f>('[2]Renewable Diesel'!AN271*'[2]Feedstock Conversion Rates'!$B$3*'[2]RD Feedstock Breakdown'!$CV$3)/12</f>
        <v>0.50062499999999999</v>
      </c>
      <c r="CW262" s="47">
        <f t="shared" si="124"/>
        <v>0.50062499999999999</v>
      </c>
      <c r="CX262" s="45">
        <f>('[2]Renewable Diesel'!AO271*'[2]RD Feedstock Breakdown'!$CX$3*'[2]Feedstock Conversion Rates'!$B$3)/12</f>
        <v>6.3412499999999996</v>
      </c>
      <c r="CY262" s="45">
        <f>('[2]Renewable Diesel'!AO271*'[2]RD Feedstock Breakdown'!$CY$3*'[2]Feedstock Conversion Rates'!$B$6)/12</f>
        <v>7.4258333333333342</v>
      </c>
      <c r="CZ262" s="47">
        <f t="shared" si="188"/>
        <v>13.767083333333334</v>
      </c>
      <c r="DA262" s="45">
        <f>('[2]Renewable Diesel'!$AP271*'[2]RD Feedstock Breakdown'!DA$3*'[2]Feedstock Conversion Rates'!$B$3)/12</f>
        <v>6.3412499999999996</v>
      </c>
      <c r="DB262" s="45">
        <f>('[2]Renewable Diesel'!$AP271*'[2]RD Feedstock Breakdown'!DB$3*'[2]Feedstock Conversion Rates'!$B$8)/12</f>
        <v>7.421875</v>
      </c>
      <c r="DC262" s="47">
        <f t="shared" si="127"/>
        <v>13.763124999999999</v>
      </c>
      <c r="DD262" s="45">
        <f>('[2]Renewable Diesel'!AQ271*$DD$3*'[2]Feedstock Conversion Rates'!$B$14)/12</f>
        <v>3.1041666666666665</v>
      </c>
      <c r="DE262" s="47">
        <f t="shared" si="128"/>
        <v>3.1041666666666665</v>
      </c>
      <c r="DF262" s="45">
        <f>('[2]Renewable Diesel'!AR271*'[2]Feedstock Conversion Rates'!$B$4*$DF$3)/12</f>
        <v>75</v>
      </c>
      <c r="DG262" s="47">
        <f t="shared" si="189"/>
        <v>75</v>
      </c>
      <c r="DH262" s="45">
        <f>('[2]Renewable Diesel'!AS271*'[2]Feedstock Conversion Rates'!$B$4*$DH$3)/12</f>
        <v>75</v>
      </c>
      <c r="DI262" s="47">
        <f t="shared" si="194"/>
        <v>75</v>
      </c>
      <c r="DJ262" s="45">
        <f>('[2]Renewable Diesel'!AT271*'[2]Feedstock Conversion Rates'!$B$4*0.25)/12</f>
        <v>8.59375</v>
      </c>
      <c r="DK262" s="45">
        <f>('[2]Renewable Diesel'!$AT271*'[2]RD Feedstock Breakdown'!DK$3*'[2]Feedstock Conversion Rates'!$B$3)/12*0.5</f>
        <v>9.1781249999999996</v>
      </c>
      <c r="DL262" s="45">
        <f>('[2]Renewable Diesel'!$AT271*'[2]RD Feedstock Breakdown'!$DL$3*'[2]Feedstock Conversion Rates'!$B$6)/12</f>
        <v>10.747916666666669</v>
      </c>
      <c r="DM262" s="45">
        <f>('[2]Renewable Diesel'!$AT271*'[2]RD Feedstock Breakdown'!$DM$3*'[2]Feedstock Conversion Rates'!$B$8)/12</f>
        <v>10.7421875</v>
      </c>
      <c r="DN262" s="47">
        <f t="shared" si="169"/>
        <v>39.26197916666667</v>
      </c>
      <c r="DP262" s="45">
        <f t="shared" si="130"/>
        <v>126.97025000000001</v>
      </c>
      <c r="DQ262" s="45">
        <f t="shared" si="131"/>
        <v>699.11776750000001</v>
      </c>
      <c r="DR262" s="45">
        <f t="shared" si="136"/>
        <v>1830.453125</v>
      </c>
      <c r="DS262" s="45">
        <f t="shared" si="155"/>
        <v>48.901250000000005</v>
      </c>
      <c r="DT262" s="45">
        <f t="shared" si="132"/>
        <v>253.53923333333344</v>
      </c>
      <c r="DU262" s="45">
        <f t="shared" si="133"/>
        <v>285.90609999999998</v>
      </c>
      <c r="DV262" s="45">
        <f t="shared" si="137"/>
        <v>8</v>
      </c>
      <c r="DW262" s="45">
        <f t="shared" si="134"/>
        <v>3</v>
      </c>
      <c r="DX262" s="47">
        <f t="shared" si="138"/>
        <v>3255.8877258333337</v>
      </c>
      <c r="DY262" s="50">
        <f t="shared" si="126"/>
        <v>-135.00000000000048</v>
      </c>
      <c r="EA262" s="51">
        <f t="shared" si="204"/>
        <v>3.8997121735056879E-2</v>
      </c>
      <c r="EB262" s="51">
        <f t="shared" si="204"/>
        <v>0.21472416322988014</v>
      </c>
      <c r="EC262" s="51">
        <f t="shared" si="204"/>
        <v>0.5621978640346087</v>
      </c>
      <c r="ED262" s="51">
        <f t="shared" si="204"/>
        <v>1.5019329325148609E-2</v>
      </c>
      <c r="EE262" s="51">
        <f t="shared" si="204"/>
        <v>7.7871000072166463E-2</v>
      </c>
      <c r="EF262" s="51">
        <f t="shared" si="204"/>
        <v>8.7812026726696565E-2</v>
      </c>
      <c r="EG262" s="51">
        <f t="shared" si="204"/>
        <v>2.4570871828672857E-3</v>
      </c>
      <c r="EH262" s="52">
        <f t="shared" si="139"/>
        <v>9.2140769357523225E-4</v>
      </c>
      <c r="EI262" s="51">
        <f t="shared" si="191"/>
        <v>0.9990785923064246</v>
      </c>
      <c r="EK262" s="53">
        <f>(EA262*'[2]Renewable Diesel'!BF271*'[2]Feedstock Conversion Rates'!B$2)+FB262</f>
        <v>232.51962462126141</v>
      </c>
      <c r="EL262" s="53">
        <f>(EB262*'[2]Renewable Diesel'!BF271*'[2]Feedstock Conversion Rates'!B$3)+FC262</f>
        <v>1206.4840042357175</v>
      </c>
      <c r="EM262" s="53">
        <f>(EC262*'[2]Renewable Diesel'!BF271*'[2]Feedstock Conversion Rates'!B$4)+FD262</f>
        <v>2957.7304190998993</v>
      </c>
      <c r="EN262" s="53">
        <f>(ED262*'[2]Renewable Diesel'!BF271*'[2]Feedstock Conversion Rates'!B$5)+FE262</f>
        <v>79.543670052402476</v>
      </c>
      <c r="EO262" s="53">
        <f>(EE262*'[2]Renewable Diesel'!BF271*'[2]Feedstock Conversion Rates'!B$6)+FF262</f>
        <v>512.37357546836643</v>
      </c>
      <c r="EP262" s="53">
        <f>(EF262*'[2]Renewable Diesel'!BF271*'[2]Feedstock Conversion Rates'!B$7)+FG262</f>
        <v>566.69575770252357</v>
      </c>
      <c r="EQ262" s="53">
        <f>(EG262*'[2]Renewable Diesel'!BF271*'[2]Feedstock Conversion Rates'!B$8)+FH262</f>
        <v>16.158460321675264</v>
      </c>
      <c r="ER262" s="53">
        <f>(EH262*'[2]Renewable Diesel'!BF271*'[2]Feedstock Conversion Rates'!B$9)+FI262</f>
        <v>5.9786303190198486</v>
      </c>
      <c r="ES262" s="53">
        <f t="shared" si="141"/>
        <v>5577.4841418208653</v>
      </c>
      <c r="ET262" s="36">
        <f>ES262/'[2]Renewable Diesel'!BF271</f>
        <v>7.9511548389512416</v>
      </c>
    </row>
    <row r="263" spans="1:150" x14ac:dyDescent="0.25">
      <c r="A263" s="39">
        <v>48427</v>
      </c>
      <c r="B263" s="45">
        <f t="shared" si="196"/>
        <v>0.25</v>
      </c>
      <c r="C263" s="45">
        <f t="shared" si="197"/>
        <v>6.5</v>
      </c>
      <c r="D263" s="45">
        <f t="shared" si="198"/>
        <v>2</v>
      </c>
      <c r="E263" s="45">
        <f>('[2]Renewable Diesel'!B272*E$3*'[2]Feedstock Conversion Rates'!$B$2)/12+26+13-100+27.5+39+65-31-1.5-8+37-5-37+1+26</f>
        <v>141.93</v>
      </c>
      <c r="F263" s="45">
        <f>('[2]Renewable Diesel'!B272*'[2]RD Feedstock Breakdown'!F$3*'[2]Feedstock Conversion Rates'!B$8)/12+77+23-10-12-115.75+24+8+4+2-34-15</f>
        <v>5.15625</v>
      </c>
      <c r="G263" s="45">
        <f>('[2]Renewable Diesel'!B272*'[2]RD Feedstock Breakdown'!G$3*'[2]Feedstock Conversion Rates'!B$7)/12+116.75-39-57.5-145-31.5+32+70-40+10-20-25-5+3+5+5</f>
        <v>54.907000000000039</v>
      </c>
      <c r="H263" s="45">
        <f>('[2]Renewable Diesel'!B272*'[2]RD Feedstock Breakdown'!H$3*'[2]Feedstock Conversion Rates'!B$3)/12+67+10+12+3-235+20+47-20+60-30+160+15</f>
        <v>285.40022499999998</v>
      </c>
      <c r="I263" s="47">
        <f t="shared" si="160"/>
        <v>496.14347500000002</v>
      </c>
      <c r="J263" s="45">
        <f t="shared" si="199"/>
        <v>14.5</v>
      </c>
      <c r="K263" s="45"/>
      <c r="L263" s="45">
        <v>1</v>
      </c>
      <c r="M263" s="45">
        <f>('[2]Renewable Diesel'!C272*'[2]RD Feedstock Breakdown'!M$3*'[2]Feedstock Conversion Rates'!B$2)/12-55+5.75+13+7.5-18+24</f>
        <v>-14.95975</v>
      </c>
      <c r="N263" s="45">
        <f>('[2]Renewable Diesel'!C272*'[2]RD Feedstock Breakdown'!N$3*'[2]Feedstock Conversion Rates'!B$8)/12-15+11+7-15+10.25-5-15+5-11</f>
        <v>-24.078125</v>
      </c>
      <c r="O263" s="45">
        <f>('[2]Renewable Diesel'!C272*'[2]RD Feedstock Breakdown'!O$3*'[2]Feedstock Conversion Rates'!B$7)/12-87+50-53+10+100-40+14</f>
        <v>5.9990999999999985</v>
      </c>
      <c r="P263" s="45">
        <f>('[2]Renewable Diesel'!C272*'[2]RD Feedstock Breakdown'!P$3*'[2]Feedstock Conversion Rates'!B$3)/12-84+40+50-25+45+55-90-15-5+70</f>
        <v>51.447042499999995</v>
      </c>
      <c r="Q263" s="47">
        <f t="shared" si="172"/>
        <v>33.908267499999994</v>
      </c>
      <c r="R263" s="45">
        <f>('[2]Renewable Diesel'!D272*'[2]RD Feedstock Breakdown'!R$3*'[2]Feedstock Conversion Rates'!B$7)/12</f>
        <v>2.2999999999999998</v>
      </c>
      <c r="S263" s="47">
        <f t="shared" si="203"/>
        <v>2.2999999999999998</v>
      </c>
      <c r="T263" s="45">
        <f t="shared" si="201"/>
        <v>4.8250000000000028</v>
      </c>
      <c r="U263" s="45">
        <v>35</v>
      </c>
      <c r="V263" s="45">
        <f>('[2]Renewable Diesel'!E272*'[2]RD Feedstock Breakdown'!V$3*'[2]Feedstock Conversion Rates'!B$6)/12-20+25-35-4</f>
        <v>10.250150000000012</v>
      </c>
      <c r="W263" s="45">
        <f>('[2]Renewable Diesel'!E272*'[2]RD Feedstock Breakdown'!W$3*'[2]Feedstock Conversion Rates'!B$8)/12-6</f>
        <v>16.1796875</v>
      </c>
      <c r="X263" s="47">
        <f t="shared" si="147"/>
        <v>66.254837500000008</v>
      </c>
      <c r="Y263" s="45">
        <f t="shared" si="200"/>
        <v>146.5</v>
      </c>
      <c r="Z263" s="45">
        <f>('[2]Renewable Diesel'!F272*'[2]RD Feedstock Breakdown'!Z$3*'[2]Feedstock Conversion Rates'!B$6)/12-50-32-60+15+15+47.5+22.5-85+70-10-25-7+7+7</f>
        <v>74.460000000000008</v>
      </c>
      <c r="AA263" s="45">
        <f>('[2]Renewable Diesel'!F272*'[2]RD Feedstock Breakdown'!AA$3*'[2]Feedstock Conversion Rates'!B$7)/12+80-171+75+30-57.5-18</f>
        <v>42.766666666666652</v>
      </c>
      <c r="AB263" s="47">
        <f t="shared" si="190"/>
        <v>263.72666666666669</v>
      </c>
      <c r="AC263" s="45">
        <f>('[2]Renewable Diesel'!G272*'[2]RD Feedstock Breakdown'!AC$3*'[2]Feedstock Conversion Rates'!B$5)/12</f>
        <v>11.796875</v>
      </c>
      <c r="AD263" s="45">
        <f>('[2]Renewable Diesel'!G272*'[2]RD Feedstock Breakdown'!AD$3*'[2]Feedstock Conversion Rates'!B$4)/12</f>
        <v>5.859375</v>
      </c>
      <c r="AE263" s="45">
        <f>('[2]Renewable Diesel'!G272*'[2]RD Feedstock Breakdown'!AE$3*'[2]Feedstock Conversion Rates'!B$6)/12</f>
        <v>7.3281250000000009</v>
      </c>
      <c r="AF263" s="47">
        <f t="shared" si="156"/>
        <v>24.984375</v>
      </c>
      <c r="AG263" s="45">
        <f t="shared" si="182"/>
        <v>6.5</v>
      </c>
      <c r="AH263" s="45">
        <v>135</v>
      </c>
      <c r="AI263" s="45">
        <f>('[2]Renewable Diesel'!H272*'[2]RD Feedstock Breakdown'!AI$3*'[2]Feedstock Conversion Rates'!B$6)/12-130-20+51-120+105-37.5+20-10</f>
        <v>7.0166666666666799</v>
      </c>
      <c r="AJ263" s="47">
        <f t="shared" si="202"/>
        <v>13.51666666666668</v>
      </c>
      <c r="AK263" s="45">
        <f>('[2]Renewable Diesel'!J272*'[2]RD Feedstock Breakdown'!AK$3*'[2]Feedstock Conversion Rates'!B$4)/12</f>
        <v>95.8125</v>
      </c>
      <c r="AL263" s="47">
        <f t="shared" si="205"/>
        <v>95.8125</v>
      </c>
      <c r="AM263" s="45">
        <f>('[2]Renewable Diesel'!K272*'[2]RD Feedstock Breakdown'!AM$3*'[2]Feedstock Conversion Rates'!B$4)/12+5+15-10+4+5-28</f>
        <v>49.59375</v>
      </c>
      <c r="AN263" s="45">
        <f>('[2]Renewable Diesel'!K272*'[2]RD Feedstock Breakdown'!AN$3*'[2]Feedstock Conversion Rates'!B$6)/12-5-15+10-4-5+28</f>
        <v>33.427083333333329</v>
      </c>
      <c r="AO263" s="47">
        <f t="shared" si="135"/>
        <v>83.020833333333329</v>
      </c>
      <c r="AP263" s="45">
        <f>('[2]Renewable Diesel'!L272*'[2]RD Feedstock Breakdown'!AP$3*'[2]Feedstock Conversion Rates'!B$4)/12+15-10+5+2+7</f>
        <v>77.59375</v>
      </c>
      <c r="AQ263" s="45">
        <f>('[2]Renewable Diesel'!L272*'[2]RD Feedstock Breakdown'!AQ$3*'[2]Feedstock Conversion Rates'!B$6)/12-15+10-5-2-7</f>
        <v>5.4270833333333321</v>
      </c>
      <c r="AR263" s="47">
        <f t="shared" si="125"/>
        <v>83.020833333333329</v>
      </c>
      <c r="AS263" s="45">
        <f>('[2]Renewable Diesel'!M272*'[2]RD Feedstock Breakdown'!AS$3*'[2]Feedstock Conversion Rates'!B$4)/12</f>
        <v>456.25</v>
      </c>
      <c r="AT263" s="45">
        <f>('[2]Renewable Diesel'!M272*'[2]RD Feedstock Breakdown'!AT$3*'[2]Feedstock Conversion Rates'!B$5)/12</f>
        <v>0</v>
      </c>
      <c r="AU263" s="47">
        <f t="shared" si="159"/>
        <v>456.25</v>
      </c>
      <c r="AV263" s="45">
        <f>'[2]Renewable Diesel'!N272*'[2]RD Feedstock Breakdown'!$AV$3*'[2]Feedstock Conversion Rates'!$B$4/12-15-10+25+25-22+15-62.5+1</f>
        <v>35.249999999999986</v>
      </c>
      <c r="AW263" s="45">
        <f>'[2]Renewable Diesel'!N272*'[2]RD Feedstock Breakdown'!$AW$3*'[2]Feedstock Conversion Rates'!$B$7/12+15+10-25-25+22-15+62.5-1</f>
        <v>84.9</v>
      </c>
      <c r="AX263" s="47">
        <f t="shared" si="193"/>
        <v>120.14999999999999</v>
      </c>
      <c r="AY263" s="45">
        <f>('[2]Renewable Diesel'!O272*'[2]RD Feedstock Breakdown'!AY$3*'[2]Feedstock Conversion Rates'!B$4)/12-115-95</f>
        <v>0.9375</v>
      </c>
      <c r="AZ263" s="45">
        <f>('[2]Renewable Diesel'!O272*'[2]RD Feedstock Breakdown'!AZ$3*'[2]Feedstock Conversion Rates'!B$3)/12+115+95</f>
        <v>235.03125</v>
      </c>
      <c r="BA263" s="47">
        <f t="shared" si="173"/>
        <v>235.96875</v>
      </c>
      <c r="BB263" s="45">
        <f>('[2]Renewable Diesel'!Q272*'[2]RD Feedstock Breakdown'!BB$3*'[2]Feedstock Conversion Rates'!B$4)/12</f>
        <v>11.156249999999998</v>
      </c>
      <c r="BC263" s="45">
        <f>('[2]Renewable Diesel'!Q272*'[2]RD Feedstock Breakdown'!BC$3*'[2]Feedstock Conversion Rates'!B$3)/12</f>
        <v>1.4017500000000001</v>
      </c>
      <c r="BD263" s="45">
        <f>('[2]Renewable Diesel'!Q272*'[2]RD Feedstock Breakdown'!BD$3*'[2]Feedstock Conversion Rates'!B$6)/12</f>
        <v>0.8207500000000002</v>
      </c>
      <c r="BE263" s="47">
        <f t="shared" si="151"/>
        <v>13.378749999999998</v>
      </c>
      <c r="BF263" s="45">
        <f>('[2]Renewable Diesel'!R272*'[2]RD Feedstock Breakdown'!BF$3*'[2]Feedstock Conversion Rates'!B$4)/12</f>
        <v>62.5</v>
      </c>
      <c r="BG263" s="47">
        <f t="shared" si="129"/>
        <v>62.5</v>
      </c>
      <c r="BH263" s="45">
        <f>('[2]Renewable Diesel'!T272*'[2]RD Feedstock Breakdown'!BH$3*'[2]Feedstock Conversion Rates'!B$7)/12</f>
        <v>27.599999999999998</v>
      </c>
      <c r="BI263" s="47">
        <f t="shared" si="195"/>
        <v>27.599999999999998</v>
      </c>
      <c r="BJ263" s="45">
        <f>('[2]Renewable Diesel'!W272*'[2]RD Feedstock Breakdown'!BJ$3*'[2]Feedstock Conversion Rates'!B$4)/12</f>
        <v>7.5</v>
      </c>
      <c r="BK263" s="45">
        <f>('[2]Renewable Diesel'!W272*'[2]RD Feedstock Breakdown'!BK$3*'[2]Feedstock Conversion Rates'!B$3)/12</f>
        <v>1.335</v>
      </c>
      <c r="BL263" s="45">
        <f>('[2]Renewable Diesel'!W272*'[2]RD Feedstock Breakdown'!BL$3*'[2]Feedstock Conversion Rates'!B$6)/12</f>
        <v>3.1266666666666669</v>
      </c>
      <c r="BM263" s="45">
        <f>('[2]Renewable Diesel'!W272*'[2]RD Feedstock Breakdown'!BM$3*'[2]Feedstock Conversion Rates'!B$7)/12</f>
        <v>1.5333333333333332</v>
      </c>
      <c r="BN263" s="47">
        <f t="shared" si="168"/>
        <v>13.495000000000001</v>
      </c>
      <c r="BO263" s="45">
        <f>('[2]Renewable Diesel'!P272*'[2]Feedstock Conversion Rates'!B$4)/12</f>
        <v>31.25</v>
      </c>
      <c r="BP263" s="47">
        <f t="shared" si="157"/>
        <v>31.25</v>
      </c>
      <c r="BQ263" s="45">
        <f>('[2]Renewable Diesel'!$S272*'[2]RD Feedstock Breakdown'!BQ$3*'[2]Feedstock Conversion Rates'!B$4)/12+10</f>
        <v>38.125</v>
      </c>
      <c r="BR263" s="45">
        <f>('[2]Renewable Diesel'!$S272*'[2]RD Feedstock Breakdown'!BR$3*'[2]Feedstock Conversion Rates'!B$7)/12-10</f>
        <v>1.5</v>
      </c>
      <c r="BS263" s="47">
        <f t="shared" si="174"/>
        <v>39.625</v>
      </c>
      <c r="BT263" s="47"/>
      <c r="BU263" s="45">
        <f>('[2]Renewable Diesel'!Y272*'[2]Feedstock Conversion Rates'!B$7)/12</f>
        <v>2.6833333333333331</v>
      </c>
      <c r="BV263" s="47">
        <f t="shared" si="153"/>
        <v>2.6833333333333331</v>
      </c>
      <c r="BW263" s="45">
        <f>('[2]Renewable Diesel'!$Z272*'[2]RD Feedstock Breakdown'!BW$3*'[2]Feedstock Conversion Rates'!$B$4)/12</f>
        <v>71.875</v>
      </c>
      <c r="BX263" s="45">
        <f>('[2]Renewable Diesel'!$Z272*'[2]RD Feedstock Breakdown'!BX$3*'[2]Feedstock Conversion Rates'!$B$5)/12</f>
        <v>7.2354166666666666</v>
      </c>
      <c r="BY263" s="45">
        <f>('[2]Renewable Diesel'!$Z272*'[2]RD Feedstock Breakdown'!BY$3*'[2]Feedstock Conversion Rates'!$B$7)/12</f>
        <v>61.716666666666661</v>
      </c>
      <c r="BZ263" s="45">
        <f>('[2]Renewable Diesel'!$Z272*'[2]RD Feedstock Breakdown'!BZ$3*'[2]Feedstock Conversion Rates'!$B$3)/12</f>
        <v>15.352499999999999</v>
      </c>
      <c r="CA263" s="47">
        <f t="shared" si="181"/>
        <v>156.17958333333331</v>
      </c>
      <c r="CB263" s="45">
        <f>('[2]Renewable Diesel'!AA272*'[2]Feedstock Conversion Rates'!B$4)/12</f>
        <v>191.25</v>
      </c>
      <c r="CC263" s="47">
        <f t="shared" si="171"/>
        <v>191.25</v>
      </c>
      <c r="CD263" s="45">
        <f>('[2]Renewable Diesel'!$AB272*'[2]RD Feedstock Breakdown'!CD$3*'[2]Feedstock Conversion Rates'!$B$6)/12-15</f>
        <v>17.830000000000005</v>
      </c>
      <c r="CE263" s="45">
        <f>('[2]Renewable Diesel'!$AB272*'[2]RD Feedstock Breakdown'!CE$3*'[2]Feedstock Conversion Rates'!$B$4)/12+15</f>
        <v>26.25</v>
      </c>
      <c r="CF263" s="47">
        <f t="shared" si="161"/>
        <v>44.080000000000005</v>
      </c>
      <c r="CG263" s="45">
        <f>('[2]Renewable Diesel'!AD272*'[2]Feedstock Conversion Rates'!B$4)/12</f>
        <v>112.5</v>
      </c>
      <c r="CH263" s="47">
        <f t="shared" si="149"/>
        <v>112.5</v>
      </c>
      <c r="CI263" s="45">
        <f>('[2]Renewable Diesel'!$AE272*'[2]RD Feedstock Breakdown'!CI$3*'[2]Feedstock Conversion Rates'!$B$5)/12</f>
        <v>0.34604166666666664</v>
      </c>
      <c r="CJ263" s="45">
        <f>('[2]Renewable Diesel'!$AE272*'[2]RD Feedstock Breakdown'!CJ$3*'[2]Feedstock Conversion Rates'!$B$4)/12</f>
        <v>0.34375</v>
      </c>
      <c r="CK263" s="47">
        <f t="shared" si="158"/>
        <v>0.68979166666666658</v>
      </c>
      <c r="CL263" s="45">
        <f>(((CL$3*'[2]Renewable Diesel'!$AF272)*'[2]Feedstock Conversion Rates'!$B$3)/12)-11</f>
        <v>80.78125</v>
      </c>
      <c r="CM263" s="45">
        <f>(((CM$3*'[2]Renewable Diesel'!$AF272)*'[2]Feedstock Conversion Rates'!$B$6)/12)+11</f>
        <v>64.739583333333343</v>
      </c>
      <c r="CN263" s="45">
        <f>(((CN$3*'[2]Renewable Diesel'!$AF272)*'[2]Feedstock Conversion Rates'!$B$4)/12)</f>
        <v>42.96875</v>
      </c>
      <c r="CO263" s="47">
        <f t="shared" si="152"/>
        <v>188.48958333333334</v>
      </c>
      <c r="CP263" s="45">
        <f>('[2]Renewable Diesel'!$AG272*'[2]RD Feedstock Breakdown'!CP$3*'[2]Feedstock Conversion Rates'!$B$3)/12</f>
        <v>6.0075000000000003</v>
      </c>
      <c r="CQ263" s="45">
        <f>('[2]Renewable Diesel'!$AG272*'[2]RD Feedstock Breakdown'!CQ$3*'[2]Feedstock Conversion Rates'!$B$6)/12</f>
        <v>3.5175000000000001</v>
      </c>
      <c r="CR263" s="45">
        <f>('[2]Renewable Diesel'!$AG272*'[2]RD Feedstock Breakdown'!CR$3*'[2]Feedstock Conversion Rates'!$B$4)/12</f>
        <v>2.8125</v>
      </c>
      <c r="CS263" s="47">
        <f t="shared" si="183"/>
        <v>12.3375</v>
      </c>
      <c r="CT263" s="45">
        <f>('[2]Renewable Diesel'!AI272*'[2]Feedstock Conversion Rates'!$B$4*'[2]RD Feedstock Breakdown'!$CT$3)/12</f>
        <v>29.375</v>
      </c>
      <c r="CU263" s="47">
        <f t="shared" si="154"/>
        <v>29.375</v>
      </c>
      <c r="CV263" s="45">
        <f>('[2]Renewable Diesel'!AN272*'[2]Feedstock Conversion Rates'!$B$3*'[2]RD Feedstock Breakdown'!$CV$3)/12</f>
        <v>0.50062499999999999</v>
      </c>
      <c r="CW263" s="47">
        <f t="shared" ref="CW263:CW326" si="206">CV263</f>
        <v>0.50062499999999999</v>
      </c>
      <c r="CX263" s="45">
        <f>('[2]Renewable Diesel'!AO272*'[2]RD Feedstock Breakdown'!$CX$3*'[2]Feedstock Conversion Rates'!$B$3)/12</f>
        <v>6.3412499999999996</v>
      </c>
      <c r="CY263" s="45">
        <f>('[2]Renewable Diesel'!AO272*'[2]RD Feedstock Breakdown'!$CY$3*'[2]Feedstock Conversion Rates'!$B$6)/12</f>
        <v>7.4258333333333342</v>
      </c>
      <c r="CZ263" s="47">
        <f t="shared" si="188"/>
        <v>13.767083333333334</v>
      </c>
      <c r="DA263" s="45">
        <f>('[2]Renewable Diesel'!$AP272*'[2]RD Feedstock Breakdown'!DA$3*'[2]Feedstock Conversion Rates'!$B$3)/12</f>
        <v>6.3412499999999996</v>
      </c>
      <c r="DB263" s="45">
        <f>('[2]Renewable Diesel'!$AP272*'[2]RD Feedstock Breakdown'!DB$3*'[2]Feedstock Conversion Rates'!$B$8)/12</f>
        <v>7.421875</v>
      </c>
      <c r="DC263" s="47">
        <f t="shared" si="127"/>
        <v>13.763124999999999</v>
      </c>
      <c r="DD263" s="45">
        <f>('[2]Renewable Diesel'!AQ272*$DD$3*'[2]Feedstock Conversion Rates'!$B$14)/12</f>
        <v>3.1041666666666665</v>
      </c>
      <c r="DE263" s="47">
        <f t="shared" si="128"/>
        <v>3.1041666666666665</v>
      </c>
      <c r="DF263" s="45">
        <f>('[2]Renewable Diesel'!AR272*'[2]Feedstock Conversion Rates'!$B$4*$DF$3)/12</f>
        <v>75</v>
      </c>
      <c r="DG263" s="47">
        <f t="shared" si="189"/>
        <v>75</v>
      </c>
      <c r="DH263" s="45">
        <f>('[2]Renewable Diesel'!AS272*'[2]Feedstock Conversion Rates'!$B$4*$DH$3)/12</f>
        <v>75</v>
      </c>
      <c r="DI263" s="47">
        <f t="shared" si="194"/>
        <v>75</v>
      </c>
      <c r="DJ263" s="45">
        <f>('[2]Renewable Diesel'!AT272*'[2]Feedstock Conversion Rates'!$B$4*0.25)/12</f>
        <v>8.59375</v>
      </c>
      <c r="DK263" s="45">
        <f>('[2]Renewable Diesel'!$AT272*'[2]RD Feedstock Breakdown'!DK$3*'[2]Feedstock Conversion Rates'!$B$3)/12*0.5</f>
        <v>9.1781249999999996</v>
      </c>
      <c r="DL263" s="45">
        <f>('[2]Renewable Diesel'!$AT272*'[2]RD Feedstock Breakdown'!$DL$3*'[2]Feedstock Conversion Rates'!$B$6)/12</f>
        <v>10.747916666666669</v>
      </c>
      <c r="DM263" s="45">
        <f>('[2]Renewable Diesel'!$AT272*'[2]RD Feedstock Breakdown'!$DM$3*'[2]Feedstock Conversion Rates'!$B$8)/12</f>
        <v>10.7421875</v>
      </c>
      <c r="DN263" s="47">
        <f t="shared" si="169"/>
        <v>39.26197916666667</v>
      </c>
      <c r="DP263" s="45">
        <f t="shared" si="130"/>
        <v>126.97025000000001</v>
      </c>
      <c r="DQ263" s="45">
        <f t="shared" si="131"/>
        <v>699.11776750000001</v>
      </c>
      <c r="DR263" s="45">
        <f t="shared" si="136"/>
        <v>1830.453125</v>
      </c>
      <c r="DS263" s="45">
        <f t="shared" si="155"/>
        <v>48.901250000000005</v>
      </c>
      <c r="DT263" s="45">
        <f t="shared" si="132"/>
        <v>253.53923333333344</v>
      </c>
      <c r="DU263" s="45">
        <f t="shared" si="133"/>
        <v>285.90609999999998</v>
      </c>
      <c r="DV263" s="45">
        <f t="shared" si="137"/>
        <v>8</v>
      </c>
      <c r="DW263" s="45">
        <f t="shared" si="134"/>
        <v>3</v>
      </c>
      <c r="DX263" s="47">
        <f t="shared" si="138"/>
        <v>3255.8877258333337</v>
      </c>
      <c r="DY263" s="50">
        <f t="shared" si="126"/>
        <v>-135.00000000000048</v>
      </c>
      <c r="EA263" s="51">
        <f t="shared" si="204"/>
        <v>3.8997121735056879E-2</v>
      </c>
      <c r="EB263" s="51">
        <f t="shared" si="204"/>
        <v>0.21472416322988014</v>
      </c>
      <c r="EC263" s="51">
        <f t="shared" si="204"/>
        <v>0.5621978640346087</v>
      </c>
      <c r="ED263" s="51">
        <f t="shared" si="204"/>
        <v>1.5019329325148609E-2</v>
      </c>
      <c r="EE263" s="51">
        <f t="shared" si="204"/>
        <v>7.7871000072166463E-2</v>
      </c>
      <c r="EF263" s="51">
        <f t="shared" si="204"/>
        <v>8.7812026726696565E-2</v>
      </c>
      <c r="EG263" s="51">
        <f t="shared" si="204"/>
        <v>2.4570871828672857E-3</v>
      </c>
      <c r="EH263" s="52">
        <f t="shared" si="139"/>
        <v>9.2140769357523225E-4</v>
      </c>
      <c r="EI263" s="51">
        <f t="shared" si="191"/>
        <v>0.9990785923064246</v>
      </c>
      <c r="EK263" s="53">
        <f>(EA263*'[2]Renewable Diesel'!BF272*'[2]Feedstock Conversion Rates'!B$2)+FB263</f>
        <v>245.50771729673977</v>
      </c>
      <c r="EL263" s="53">
        <f>(EB263*'[2]Renewable Diesel'!BF272*'[2]Feedstock Conversion Rates'!B$3)+FC263</f>
        <v>1273.8758473286159</v>
      </c>
      <c r="EM263" s="53">
        <f>(EC263*'[2]Renewable Diesel'!BF272*'[2]Feedstock Conversion Rates'!B$4)+FD263</f>
        <v>3122.9434709226148</v>
      </c>
      <c r="EN263" s="53">
        <f>(ED263*'[2]Renewable Diesel'!BF272*'[2]Feedstock Conversion Rates'!B$5)+FE263</f>
        <v>83.98682430259133</v>
      </c>
      <c r="EO263" s="53">
        <f>(EE263*'[2]Renewable Diesel'!BF272*'[2]Feedstock Conversion Rates'!B$6)+FF263</f>
        <v>540.99376395133379</v>
      </c>
      <c r="EP263" s="53">
        <f>(EF263*'[2]Renewable Diesel'!BF272*'[2]Feedstock Conversion Rates'!B$7)+FG263</f>
        <v>598.35027732352148</v>
      </c>
      <c r="EQ263" s="53">
        <f>(EG263*'[2]Renewable Diesel'!BF272*'[2]Feedstock Conversion Rates'!B$8)+FH263</f>
        <v>17.061040396336917</v>
      </c>
      <c r="ER263" s="53">
        <f>(EH263*'[2]Renewable Diesel'!BF272*'[2]Feedstock Conversion Rates'!B$9)+FI263</f>
        <v>6.3125849466446597</v>
      </c>
      <c r="ES263" s="53">
        <f t="shared" si="141"/>
        <v>5889.0315264683986</v>
      </c>
      <c r="ET263" s="36">
        <f>ES263/'[2]Renewable Diesel'!BF272</f>
        <v>7.9511548389512416</v>
      </c>
    </row>
    <row r="264" spans="1:150" x14ac:dyDescent="0.25">
      <c r="A264" s="39">
        <v>48458</v>
      </c>
      <c r="B264" s="45">
        <f t="shared" si="196"/>
        <v>0.25</v>
      </c>
      <c r="C264" s="45">
        <f t="shared" si="197"/>
        <v>6.5</v>
      </c>
      <c r="D264" s="45">
        <f t="shared" si="198"/>
        <v>2</v>
      </c>
      <c r="E264" s="45">
        <f>('[2]Renewable Diesel'!B273*E$3*'[2]Feedstock Conversion Rates'!$B$2)/12+26+13-100+27.5+39+65-31-1.5-8+37-5-37+1+26</f>
        <v>141.93</v>
      </c>
      <c r="F264" s="45">
        <f>('[2]Renewable Diesel'!B273*'[2]RD Feedstock Breakdown'!F$3*'[2]Feedstock Conversion Rates'!B$8)/12+77+23-10-12-115.75+24+8+4+2-34-15</f>
        <v>5.15625</v>
      </c>
      <c r="G264" s="45">
        <f>('[2]Renewable Diesel'!B273*'[2]RD Feedstock Breakdown'!G$3*'[2]Feedstock Conversion Rates'!B$7)/12+116.75-39-57.5-145-31.5+32+70-40+10-20-25-5+3+5+5</f>
        <v>54.907000000000039</v>
      </c>
      <c r="H264" s="45">
        <f>('[2]Renewable Diesel'!B273*'[2]RD Feedstock Breakdown'!H$3*'[2]Feedstock Conversion Rates'!B$3)/12+67+10+12+3-235+20+47-20+60-30+160+15</f>
        <v>285.40022499999998</v>
      </c>
      <c r="I264" s="47">
        <f t="shared" si="160"/>
        <v>496.14347500000002</v>
      </c>
      <c r="J264" s="45">
        <f t="shared" si="199"/>
        <v>14.5</v>
      </c>
      <c r="K264" s="45"/>
      <c r="L264" s="45">
        <v>1</v>
      </c>
      <c r="M264" s="45">
        <f>('[2]Renewable Diesel'!C273*'[2]RD Feedstock Breakdown'!M$3*'[2]Feedstock Conversion Rates'!B$2)/12-55+5.75+13+7.5-18+24</f>
        <v>-14.95975</v>
      </c>
      <c r="N264" s="45">
        <f>('[2]Renewable Diesel'!C273*'[2]RD Feedstock Breakdown'!N$3*'[2]Feedstock Conversion Rates'!B$8)/12-15+11+7-15+10.25-5-15+5-11</f>
        <v>-24.078125</v>
      </c>
      <c r="O264" s="45">
        <f>('[2]Renewable Diesel'!C273*'[2]RD Feedstock Breakdown'!O$3*'[2]Feedstock Conversion Rates'!B$7)/12-87+50-53+10+100-40+14</f>
        <v>5.9990999999999985</v>
      </c>
      <c r="P264" s="45">
        <f>('[2]Renewable Diesel'!C273*'[2]RD Feedstock Breakdown'!P$3*'[2]Feedstock Conversion Rates'!B$3)/12-84+40+50-25+45+55-90-15-5+70</f>
        <v>51.447042499999995</v>
      </c>
      <c r="Q264" s="47">
        <f t="shared" si="172"/>
        <v>33.908267499999994</v>
      </c>
      <c r="R264" s="45">
        <f>('[2]Renewable Diesel'!D273*'[2]RD Feedstock Breakdown'!R$3*'[2]Feedstock Conversion Rates'!B$7)/12</f>
        <v>2.2999999999999998</v>
      </c>
      <c r="S264" s="47">
        <f t="shared" si="203"/>
        <v>2.2999999999999998</v>
      </c>
      <c r="T264" s="45">
        <f t="shared" si="201"/>
        <v>4.8250000000000028</v>
      </c>
      <c r="U264" s="45">
        <v>35</v>
      </c>
      <c r="V264" s="45">
        <f>('[2]Renewable Diesel'!E273*'[2]RD Feedstock Breakdown'!V$3*'[2]Feedstock Conversion Rates'!B$6)/12-20+25-35-4</f>
        <v>10.250150000000012</v>
      </c>
      <c r="W264" s="45">
        <f>('[2]Renewable Diesel'!E273*'[2]RD Feedstock Breakdown'!W$3*'[2]Feedstock Conversion Rates'!B$8)/12-6</f>
        <v>16.1796875</v>
      </c>
      <c r="X264" s="47">
        <f t="shared" si="147"/>
        <v>66.254837500000008</v>
      </c>
      <c r="Y264" s="45">
        <f t="shared" si="200"/>
        <v>146.5</v>
      </c>
      <c r="Z264" s="45">
        <f>('[2]Renewable Diesel'!F273*'[2]RD Feedstock Breakdown'!Z$3*'[2]Feedstock Conversion Rates'!B$6)/12-50-32-60+15+15+47.5+22.5-85+70-10-25-7+7+7</f>
        <v>74.460000000000008</v>
      </c>
      <c r="AA264" s="45">
        <f>('[2]Renewable Diesel'!F273*'[2]RD Feedstock Breakdown'!AA$3*'[2]Feedstock Conversion Rates'!B$7)/12+80-171+75+30-57.5-18</f>
        <v>42.766666666666652</v>
      </c>
      <c r="AB264" s="47">
        <f t="shared" si="190"/>
        <v>263.72666666666669</v>
      </c>
      <c r="AC264" s="45">
        <f>('[2]Renewable Diesel'!G273*'[2]RD Feedstock Breakdown'!AC$3*'[2]Feedstock Conversion Rates'!B$5)/12</f>
        <v>11.796875</v>
      </c>
      <c r="AD264" s="45">
        <f>('[2]Renewable Diesel'!G273*'[2]RD Feedstock Breakdown'!AD$3*'[2]Feedstock Conversion Rates'!B$4)/12</f>
        <v>5.859375</v>
      </c>
      <c r="AE264" s="45">
        <f>('[2]Renewable Diesel'!G273*'[2]RD Feedstock Breakdown'!AE$3*'[2]Feedstock Conversion Rates'!B$6)/12</f>
        <v>7.3281250000000009</v>
      </c>
      <c r="AF264" s="47">
        <f t="shared" si="156"/>
        <v>24.984375</v>
      </c>
      <c r="AG264" s="45">
        <f t="shared" si="182"/>
        <v>6.5</v>
      </c>
      <c r="AH264" s="45">
        <v>135</v>
      </c>
      <c r="AI264" s="45">
        <f>('[2]Renewable Diesel'!H273*'[2]RD Feedstock Breakdown'!AI$3*'[2]Feedstock Conversion Rates'!B$6)/12-130-20+51-120+105-37.5+20-10</f>
        <v>7.0166666666666799</v>
      </c>
      <c r="AJ264" s="47">
        <f t="shared" si="202"/>
        <v>13.51666666666668</v>
      </c>
      <c r="AK264" s="45">
        <f>('[2]Renewable Diesel'!J273*'[2]RD Feedstock Breakdown'!AK$3*'[2]Feedstock Conversion Rates'!B$4)/12</f>
        <v>95.8125</v>
      </c>
      <c r="AL264" s="47">
        <f t="shared" si="205"/>
        <v>95.8125</v>
      </c>
      <c r="AM264" s="45">
        <f>('[2]Renewable Diesel'!K273*'[2]RD Feedstock Breakdown'!AM$3*'[2]Feedstock Conversion Rates'!B$4)/12+5+15-10+4+5-28</f>
        <v>49.59375</v>
      </c>
      <c r="AN264" s="45">
        <f>('[2]Renewable Diesel'!K273*'[2]RD Feedstock Breakdown'!AN$3*'[2]Feedstock Conversion Rates'!B$6)/12-5-15+10-4-5+28</f>
        <v>33.427083333333329</v>
      </c>
      <c r="AO264" s="47">
        <f t="shared" si="135"/>
        <v>83.020833333333329</v>
      </c>
      <c r="AP264" s="45">
        <f>('[2]Renewable Diesel'!L273*'[2]RD Feedstock Breakdown'!AP$3*'[2]Feedstock Conversion Rates'!B$4)/12+15-10+5+2+7</f>
        <v>77.59375</v>
      </c>
      <c r="AQ264" s="45">
        <f>('[2]Renewable Diesel'!L273*'[2]RD Feedstock Breakdown'!AQ$3*'[2]Feedstock Conversion Rates'!B$6)/12-15+10-5-2-7</f>
        <v>5.4270833333333321</v>
      </c>
      <c r="AR264" s="47">
        <f t="shared" si="125"/>
        <v>83.020833333333329</v>
      </c>
      <c r="AS264" s="45">
        <f>('[2]Renewable Diesel'!M273*'[2]RD Feedstock Breakdown'!AS$3*'[2]Feedstock Conversion Rates'!B$4)/12</f>
        <v>456.25</v>
      </c>
      <c r="AT264" s="45">
        <f>('[2]Renewable Diesel'!M273*'[2]RD Feedstock Breakdown'!AT$3*'[2]Feedstock Conversion Rates'!B$5)/12</f>
        <v>0</v>
      </c>
      <c r="AU264" s="47">
        <f t="shared" si="159"/>
        <v>456.25</v>
      </c>
      <c r="AV264" s="45">
        <f>'[2]Renewable Diesel'!N273*'[2]RD Feedstock Breakdown'!$AV$3*'[2]Feedstock Conversion Rates'!$B$4/12-15-10+25+25-22+15-62.5+1</f>
        <v>35.249999999999986</v>
      </c>
      <c r="AW264" s="45">
        <f>'[2]Renewable Diesel'!N273*'[2]RD Feedstock Breakdown'!$AW$3*'[2]Feedstock Conversion Rates'!$B$7/12+15+10-25-25+22-15+62.5-1</f>
        <v>84.9</v>
      </c>
      <c r="AX264" s="47">
        <f t="shared" si="193"/>
        <v>120.14999999999999</v>
      </c>
      <c r="AY264" s="45">
        <f>('[2]Renewable Diesel'!O273*'[2]RD Feedstock Breakdown'!AY$3*'[2]Feedstock Conversion Rates'!B$4)/12-115-95</f>
        <v>0.9375</v>
      </c>
      <c r="AZ264" s="45">
        <f>('[2]Renewable Diesel'!O273*'[2]RD Feedstock Breakdown'!AZ$3*'[2]Feedstock Conversion Rates'!B$3)/12+115+95</f>
        <v>235.03125</v>
      </c>
      <c r="BA264" s="47">
        <f t="shared" si="173"/>
        <v>235.96875</v>
      </c>
      <c r="BB264" s="45">
        <f>('[2]Renewable Diesel'!Q273*'[2]RD Feedstock Breakdown'!BB$3*'[2]Feedstock Conversion Rates'!B$4)/12</f>
        <v>11.156249999999998</v>
      </c>
      <c r="BC264" s="45">
        <f>('[2]Renewable Diesel'!Q273*'[2]RD Feedstock Breakdown'!BC$3*'[2]Feedstock Conversion Rates'!B$3)/12</f>
        <v>1.4017500000000001</v>
      </c>
      <c r="BD264" s="45">
        <f>('[2]Renewable Diesel'!Q273*'[2]RD Feedstock Breakdown'!BD$3*'[2]Feedstock Conversion Rates'!B$6)/12</f>
        <v>0.8207500000000002</v>
      </c>
      <c r="BE264" s="47">
        <f t="shared" si="151"/>
        <v>13.378749999999998</v>
      </c>
      <c r="BF264" s="45">
        <f>('[2]Renewable Diesel'!R273*'[2]RD Feedstock Breakdown'!BF$3*'[2]Feedstock Conversion Rates'!B$4)/12</f>
        <v>62.5</v>
      </c>
      <c r="BG264" s="47">
        <f t="shared" si="129"/>
        <v>62.5</v>
      </c>
      <c r="BH264" s="45">
        <f>('[2]Renewable Diesel'!T273*'[2]RD Feedstock Breakdown'!BH$3*'[2]Feedstock Conversion Rates'!B$7)/12</f>
        <v>27.599999999999998</v>
      </c>
      <c r="BI264" s="47">
        <f t="shared" si="195"/>
        <v>27.599999999999998</v>
      </c>
      <c r="BJ264" s="45">
        <f>('[2]Renewable Diesel'!W273*'[2]RD Feedstock Breakdown'!BJ$3*'[2]Feedstock Conversion Rates'!B$4)/12</f>
        <v>7.5</v>
      </c>
      <c r="BK264" s="45">
        <f>('[2]Renewable Diesel'!W273*'[2]RD Feedstock Breakdown'!BK$3*'[2]Feedstock Conversion Rates'!B$3)/12</f>
        <v>1.335</v>
      </c>
      <c r="BL264" s="45">
        <f>('[2]Renewable Diesel'!W273*'[2]RD Feedstock Breakdown'!BL$3*'[2]Feedstock Conversion Rates'!B$6)/12</f>
        <v>3.1266666666666669</v>
      </c>
      <c r="BM264" s="45">
        <f>('[2]Renewable Diesel'!W273*'[2]RD Feedstock Breakdown'!BM$3*'[2]Feedstock Conversion Rates'!B$7)/12</f>
        <v>1.5333333333333332</v>
      </c>
      <c r="BN264" s="47">
        <f t="shared" si="168"/>
        <v>13.495000000000001</v>
      </c>
      <c r="BO264" s="45">
        <f>('[2]Renewable Diesel'!P273*'[2]Feedstock Conversion Rates'!B$4)/12</f>
        <v>31.25</v>
      </c>
      <c r="BP264" s="47">
        <f t="shared" si="157"/>
        <v>31.25</v>
      </c>
      <c r="BQ264" s="45">
        <f>('[2]Renewable Diesel'!$S273*'[2]RD Feedstock Breakdown'!BQ$3*'[2]Feedstock Conversion Rates'!B$4)/12+10</f>
        <v>38.125</v>
      </c>
      <c r="BR264" s="45">
        <f>('[2]Renewable Diesel'!$S273*'[2]RD Feedstock Breakdown'!BR$3*'[2]Feedstock Conversion Rates'!B$7)/12-10</f>
        <v>1.5</v>
      </c>
      <c r="BS264" s="47">
        <f t="shared" si="174"/>
        <v>39.625</v>
      </c>
      <c r="BT264" s="47"/>
      <c r="BU264" s="45">
        <f>('[2]Renewable Diesel'!Y273*'[2]Feedstock Conversion Rates'!B$7)/12</f>
        <v>2.6833333333333331</v>
      </c>
      <c r="BV264" s="47">
        <f t="shared" si="153"/>
        <v>2.6833333333333331</v>
      </c>
      <c r="BW264" s="45">
        <f>('[2]Renewable Diesel'!$Z273*'[2]RD Feedstock Breakdown'!BW$3*'[2]Feedstock Conversion Rates'!$B$4)/12</f>
        <v>71.875</v>
      </c>
      <c r="BX264" s="45">
        <f>('[2]Renewable Diesel'!$Z273*'[2]RD Feedstock Breakdown'!BX$3*'[2]Feedstock Conversion Rates'!$B$5)/12</f>
        <v>7.2354166666666666</v>
      </c>
      <c r="BY264" s="45">
        <f>('[2]Renewable Diesel'!$Z273*'[2]RD Feedstock Breakdown'!BY$3*'[2]Feedstock Conversion Rates'!$B$7)/12</f>
        <v>61.716666666666661</v>
      </c>
      <c r="BZ264" s="45">
        <f>('[2]Renewable Diesel'!$Z273*'[2]RD Feedstock Breakdown'!BZ$3*'[2]Feedstock Conversion Rates'!$B$3)/12</f>
        <v>15.352499999999999</v>
      </c>
      <c r="CA264" s="47">
        <f t="shared" si="181"/>
        <v>156.17958333333331</v>
      </c>
      <c r="CB264" s="45">
        <f>('[2]Renewable Diesel'!AA273*'[2]Feedstock Conversion Rates'!B$4)/12</f>
        <v>191.25</v>
      </c>
      <c r="CC264" s="47">
        <f t="shared" si="171"/>
        <v>191.25</v>
      </c>
      <c r="CD264" s="45">
        <f>('[2]Renewable Diesel'!$AB273*'[2]RD Feedstock Breakdown'!CD$3*'[2]Feedstock Conversion Rates'!$B$6)/12-15</f>
        <v>17.830000000000005</v>
      </c>
      <c r="CE264" s="45">
        <f>('[2]Renewable Diesel'!$AB273*'[2]RD Feedstock Breakdown'!CE$3*'[2]Feedstock Conversion Rates'!$B$4)/12+15</f>
        <v>26.25</v>
      </c>
      <c r="CF264" s="47">
        <f t="shared" si="161"/>
        <v>44.080000000000005</v>
      </c>
      <c r="CG264" s="45">
        <f>('[2]Renewable Diesel'!AD273*'[2]Feedstock Conversion Rates'!B$4)/12</f>
        <v>112.5</v>
      </c>
      <c r="CH264" s="47">
        <f t="shared" si="149"/>
        <v>112.5</v>
      </c>
      <c r="CI264" s="45">
        <f>('[2]Renewable Diesel'!$AE273*'[2]RD Feedstock Breakdown'!CI$3*'[2]Feedstock Conversion Rates'!$B$5)/12</f>
        <v>0.34604166666666664</v>
      </c>
      <c r="CJ264" s="45">
        <f>('[2]Renewable Diesel'!$AE273*'[2]RD Feedstock Breakdown'!CJ$3*'[2]Feedstock Conversion Rates'!$B$4)/12</f>
        <v>0.34375</v>
      </c>
      <c r="CK264" s="47">
        <f t="shared" si="158"/>
        <v>0.68979166666666658</v>
      </c>
      <c r="CL264" s="45">
        <f>(((CL$3*'[2]Renewable Diesel'!$AF273)*'[2]Feedstock Conversion Rates'!$B$3)/12)-11</f>
        <v>80.78125</v>
      </c>
      <c r="CM264" s="45">
        <f>(((CM$3*'[2]Renewable Diesel'!$AF273)*'[2]Feedstock Conversion Rates'!$B$6)/12)+11</f>
        <v>64.739583333333343</v>
      </c>
      <c r="CN264" s="45">
        <f>(((CN$3*'[2]Renewable Diesel'!$AF273)*'[2]Feedstock Conversion Rates'!$B$4)/12)</f>
        <v>42.96875</v>
      </c>
      <c r="CO264" s="47">
        <f t="shared" si="152"/>
        <v>188.48958333333334</v>
      </c>
      <c r="CP264" s="45">
        <f>('[2]Renewable Diesel'!$AG273*'[2]RD Feedstock Breakdown'!CP$3*'[2]Feedstock Conversion Rates'!$B$3)/12</f>
        <v>6.0075000000000003</v>
      </c>
      <c r="CQ264" s="45">
        <f>('[2]Renewable Diesel'!$AG273*'[2]RD Feedstock Breakdown'!CQ$3*'[2]Feedstock Conversion Rates'!$B$6)/12</f>
        <v>3.5175000000000001</v>
      </c>
      <c r="CR264" s="45">
        <f>('[2]Renewable Diesel'!$AG273*'[2]RD Feedstock Breakdown'!CR$3*'[2]Feedstock Conversion Rates'!$B$4)/12</f>
        <v>2.8125</v>
      </c>
      <c r="CS264" s="47">
        <f t="shared" si="183"/>
        <v>12.3375</v>
      </c>
      <c r="CT264" s="45">
        <f>('[2]Renewable Diesel'!AI273*'[2]Feedstock Conversion Rates'!$B$4*'[2]RD Feedstock Breakdown'!$CT$3)/12</f>
        <v>29.375</v>
      </c>
      <c r="CU264" s="47">
        <f t="shared" si="154"/>
        <v>29.375</v>
      </c>
      <c r="CV264" s="45">
        <f>('[2]Renewable Diesel'!AN273*'[2]Feedstock Conversion Rates'!$B$3*'[2]RD Feedstock Breakdown'!$CV$3)/12</f>
        <v>0.50062499999999999</v>
      </c>
      <c r="CW264" s="47">
        <f t="shared" si="206"/>
        <v>0.50062499999999999</v>
      </c>
      <c r="CX264" s="45">
        <f>('[2]Renewable Diesel'!AO273*'[2]RD Feedstock Breakdown'!$CX$3*'[2]Feedstock Conversion Rates'!$B$3)/12</f>
        <v>6.3412499999999996</v>
      </c>
      <c r="CY264" s="45">
        <f>('[2]Renewable Diesel'!AO273*'[2]RD Feedstock Breakdown'!$CY$3*'[2]Feedstock Conversion Rates'!$B$6)/12</f>
        <v>7.4258333333333342</v>
      </c>
      <c r="CZ264" s="47">
        <f t="shared" si="188"/>
        <v>13.767083333333334</v>
      </c>
      <c r="DA264" s="45">
        <f>('[2]Renewable Diesel'!$AP273*'[2]RD Feedstock Breakdown'!DA$3*'[2]Feedstock Conversion Rates'!$B$3)/12</f>
        <v>6.3412499999999996</v>
      </c>
      <c r="DB264" s="45">
        <f>('[2]Renewable Diesel'!$AP273*'[2]RD Feedstock Breakdown'!DB$3*'[2]Feedstock Conversion Rates'!$B$8)/12</f>
        <v>7.421875</v>
      </c>
      <c r="DC264" s="47">
        <f t="shared" si="127"/>
        <v>13.763124999999999</v>
      </c>
      <c r="DD264" s="45">
        <f>('[2]Renewable Diesel'!AQ273*$DD$3*'[2]Feedstock Conversion Rates'!$B$14)/12</f>
        <v>3.1041666666666665</v>
      </c>
      <c r="DE264" s="47">
        <f t="shared" si="128"/>
        <v>3.1041666666666665</v>
      </c>
      <c r="DF264" s="45">
        <f>('[2]Renewable Diesel'!AR273*'[2]Feedstock Conversion Rates'!$B$4*$DF$3)/12</f>
        <v>75</v>
      </c>
      <c r="DG264" s="47">
        <f t="shared" si="189"/>
        <v>75</v>
      </c>
      <c r="DH264" s="45">
        <f>('[2]Renewable Diesel'!AS273*'[2]Feedstock Conversion Rates'!$B$4*$DH$3)/12</f>
        <v>75</v>
      </c>
      <c r="DI264" s="47">
        <f t="shared" si="194"/>
        <v>75</v>
      </c>
      <c r="DJ264" s="45">
        <f>('[2]Renewable Diesel'!AT273*'[2]Feedstock Conversion Rates'!$B$4*0.25)/12</f>
        <v>8.59375</v>
      </c>
      <c r="DK264" s="45">
        <f>('[2]Renewable Diesel'!$AT273*'[2]RD Feedstock Breakdown'!DK$3*'[2]Feedstock Conversion Rates'!$B$3)/12*0.5</f>
        <v>9.1781249999999996</v>
      </c>
      <c r="DL264" s="45">
        <f>('[2]Renewable Diesel'!$AT273*'[2]RD Feedstock Breakdown'!$DL$3*'[2]Feedstock Conversion Rates'!$B$6)/12</f>
        <v>10.747916666666669</v>
      </c>
      <c r="DM264" s="45">
        <f>('[2]Renewable Diesel'!$AT273*'[2]RD Feedstock Breakdown'!$DM$3*'[2]Feedstock Conversion Rates'!$B$8)/12</f>
        <v>10.7421875</v>
      </c>
      <c r="DN264" s="47">
        <f t="shared" si="169"/>
        <v>39.26197916666667</v>
      </c>
      <c r="DP264" s="45">
        <f t="shared" si="130"/>
        <v>126.97025000000001</v>
      </c>
      <c r="DQ264" s="45">
        <f t="shared" si="131"/>
        <v>699.11776750000001</v>
      </c>
      <c r="DR264" s="45">
        <f t="shared" si="136"/>
        <v>1830.453125</v>
      </c>
      <c r="DS264" s="45">
        <f t="shared" si="155"/>
        <v>48.901250000000005</v>
      </c>
      <c r="DT264" s="45">
        <f t="shared" si="132"/>
        <v>253.53923333333344</v>
      </c>
      <c r="DU264" s="45">
        <f t="shared" si="133"/>
        <v>285.90609999999998</v>
      </c>
      <c r="DV264" s="45">
        <f t="shared" si="137"/>
        <v>8</v>
      </c>
      <c r="DW264" s="45">
        <f t="shared" si="134"/>
        <v>3</v>
      </c>
      <c r="DX264" s="47">
        <f t="shared" si="138"/>
        <v>3255.8877258333337</v>
      </c>
      <c r="DY264" s="50">
        <f t="shared" si="126"/>
        <v>-135.00000000000048</v>
      </c>
      <c r="EA264" s="51">
        <f t="shared" si="204"/>
        <v>3.8997121735056879E-2</v>
      </c>
      <c r="EB264" s="51">
        <f t="shared" si="204"/>
        <v>0.21472416322988014</v>
      </c>
      <c r="EC264" s="51">
        <f t="shared" si="204"/>
        <v>0.5621978640346087</v>
      </c>
      <c r="ED264" s="51">
        <f t="shared" si="204"/>
        <v>1.5019329325148609E-2</v>
      </c>
      <c r="EE264" s="51">
        <f t="shared" si="204"/>
        <v>7.7871000072166463E-2</v>
      </c>
      <c r="EF264" s="51">
        <f t="shared" si="204"/>
        <v>8.7812026726696565E-2</v>
      </c>
      <c r="EG264" s="51">
        <f t="shared" si="204"/>
        <v>2.4570871828672857E-3</v>
      </c>
      <c r="EH264" s="52">
        <f t="shared" si="139"/>
        <v>9.2140769357523225E-4</v>
      </c>
      <c r="EI264" s="51">
        <f t="shared" si="191"/>
        <v>0.9990785923064246</v>
      </c>
      <c r="EK264" s="53">
        <f>(EA264*'[2]Renewable Diesel'!BF273*'[2]Feedstock Conversion Rates'!B$2)+FB264</f>
        <v>277.84881022748891</v>
      </c>
      <c r="EL264" s="53">
        <f>(EB264*'[2]Renewable Diesel'!BF273*'[2]Feedstock Conversion Rates'!B$3)+FC264</f>
        <v>1441.6853875513202</v>
      </c>
      <c r="EM264" s="53">
        <f>(EC264*'[2]Renewable Diesel'!BF273*'[2]Feedstock Conversion Rates'!B$4)+FD264</f>
        <v>3534.3334106062989</v>
      </c>
      <c r="EN264" s="53">
        <f>(ED264*'[2]Renewable Diesel'!BF273*'[2]Feedstock Conversion Rates'!B$5)+FE264</f>
        <v>95.050532277382061</v>
      </c>
      <c r="EO264" s="53">
        <f>(EE264*'[2]Renewable Diesel'!BF273*'[2]Feedstock Conversion Rates'!B$6)+FF264</f>
        <v>612.25966869582066</v>
      </c>
      <c r="EP264" s="53">
        <f>(EF264*'[2]Renewable Diesel'!BF273*'[2]Feedstock Conversion Rates'!B$7)+FG264</f>
        <v>677.17183999020563</v>
      </c>
      <c r="EQ264" s="53">
        <f>(EG264*'[2]Renewable Diesel'!BF273*'[2]Feedstock Conversion Rates'!B$8)+FH264</f>
        <v>19.308516357698583</v>
      </c>
      <c r="ER264" s="53">
        <f>(EH264*'[2]Renewable Diesel'!BF273*'[2]Feedstock Conversion Rates'!B$9)+FI264</f>
        <v>7.1441510523484766</v>
      </c>
      <c r="ES264" s="53">
        <f t="shared" si="141"/>
        <v>6664.8023167585634</v>
      </c>
      <c r="ET264" s="36">
        <f>ES264/'[2]Renewable Diesel'!BF273</f>
        <v>7.9511548389512416</v>
      </c>
    </row>
    <row r="265" spans="1:150" x14ac:dyDescent="0.25">
      <c r="A265" s="39">
        <v>48488</v>
      </c>
      <c r="B265" s="45">
        <f>115.75+145+100+235+31.5-21-287-20-28-32-70-39-47+40+20-3-10-2.5-15-75-35-1+35-1+25+32+10+32+5+7-46-100</f>
        <v>0.75</v>
      </c>
      <c r="C265" s="45">
        <f>50-1+1+5-50+15+46.5-27-6-20</f>
        <v>13.5</v>
      </c>
      <c r="D265" s="45">
        <f>1+1</f>
        <v>2</v>
      </c>
      <c r="E265" s="45">
        <f>('[2]Renewable Diesel'!B274*E$3*'[2]Feedstock Conversion Rates'!$B$2)/12+26+13-100+27.5+39+75-10-32-1-7+46-46.5+27</f>
        <v>146.93</v>
      </c>
      <c r="F265" s="45">
        <f>('[2]Renewable Diesel'!B274*'[2]RD Feedstock Breakdown'!F$3*'[2]Feedstock Conversion Rates'!B$8)/12+77+23-10-12-115.75+24+8+2.5+1-32-15</f>
        <v>4.65625</v>
      </c>
      <c r="G265" s="45">
        <f>('[2]Renewable Diesel'!B274*'[2]RD Feedstock Breakdown'!G$3*'[2]Feedstock Conversion Rates'!B$7)/12+116.75-39-57.5-145-31.5+32+70-40+10+15-35-25-5+6</f>
        <v>47.907000000000039</v>
      </c>
      <c r="H265" s="45">
        <f>('[2]Renewable Diesel'!B274*'[2]RD Feedstock Breakdown'!H$3*'[2]Feedstock Conversion Rates'!B$3)/12+67+10+12+3-235+20+47-20+35-5+150+20</f>
        <v>280.40022499999998</v>
      </c>
      <c r="I265" s="47">
        <f t="shared" si="160"/>
        <v>496.14347500000002</v>
      </c>
      <c r="J265" s="45">
        <f>55-37-6-8+80+25+15+20-10.5-50-10-1-60+5+15+20+105-3+20-120-50+11+40-30-20-5</f>
        <v>0.5</v>
      </c>
      <c r="K265" s="45"/>
      <c r="L265" s="45">
        <v>1</v>
      </c>
      <c r="M265" s="45">
        <f>('[2]Renewable Diesel'!C274*'[2]RD Feedstock Breakdown'!M$3*'[2]Feedstock Conversion Rates'!B$2)/12-55+37-25+10.5-20+30</f>
        <v>-14.70975</v>
      </c>
      <c r="N265" s="45">
        <f>('[2]Renewable Diesel'!C274*'[2]RD Feedstock Breakdown'!N$3*'[2]Feedstock Conversion Rates'!B$8)/12+8-20+10-5-15+3-11</f>
        <v>-26.328125</v>
      </c>
      <c r="O265" s="45">
        <f>('[2]Renewable Diesel'!C274*'[2]RD Feedstock Breakdown'!O$3*'[2]Feedstock Conversion Rates'!B$7)/12-80+120-40+20</f>
        <v>31.999099999999999</v>
      </c>
      <c r="P265" s="45">
        <f>('[2]Renewable Diesel'!C274*'[2]RD Feedstock Breakdown'!P$3*'[2]Feedstock Conversion Rates'!B$3)/12+6-15+50+60-105-20+50+5</f>
        <v>41.447042500000009</v>
      </c>
      <c r="Q265" s="47">
        <f t="shared" si="172"/>
        <v>33.908267500000008</v>
      </c>
      <c r="R265" s="45">
        <f>('[2]Renewable Diesel'!D274*'[2]RD Feedstock Breakdown'!R$3*'[2]Feedstock Conversion Rates'!B$7)/12</f>
        <v>2.2999999999999998</v>
      </c>
      <c r="S265" s="47">
        <f t="shared" si="203"/>
        <v>2.2999999999999998</v>
      </c>
      <c r="T265" s="45">
        <f>5.825+20-25+35-35</f>
        <v>0.82500000000000284</v>
      </c>
      <c r="U265" s="45">
        <v>35</v>
      </c>
      <c r="V265" s="45">
        <f>('[2]Renewable Diesel'!E274*'[2]RD Feedstock Breakdown'!V$3*'[2]Feedstock Conversion Rates'!B$6)/12-20+25-35</f>
        <v>14.250150000000012</v>
      </c>
      <c r="W265" s="45">
        <f>('[2]Renewable Diesel'!E274*'[2]RD Feedstock Breakdown'!W$3*'[2]Feedstock Conversion Rates'!B$8)/12-6</f>
        <v>16.1796875</v>
      </c>
      <c r="X265" s="47">
        <f t="shared" si="147"/>
        <v>66.254837500000008</v>
      </c>
      <c r="Y265" s="45">
        <f>142-15-5-24-75+30+45-52.5+87.5-80+55+10+20+17-2-7</f>
        <v>146</v>
      </c>
      <c r="Z265" s="45">
        <f>('[2]Renewable Diesel'!F274*'[2]RD Feedstock Breakdown'!Z$3*'[2]Feedstock Conversion Rates'!B$6)/12-142+15+5+75-45+52.5-87.5+80-10-20-17+2+7</f>
        <v>74.460000000000008</v>
      </c>
      <c r="AA265" s="45">
        <f>('[2]Renewable Diesel'!F274*'[2]RD Feedstock Breakdown'!AA$3*'[2]Feedstock Conversion Rates'!B$7)/12+24-30-55</f>
        <v>43.266666666666652</v>
      </c>
      <c r="AB265" s="47">
        <f t="shared" si="190"/>
        <v>263.72666666666669</v>
      </c>
      <c r="AC265" s="45">
        <f>('[2]Renewable Diesel'!G274*'[2]RD Feedstock Breakdown'!AC$3*'[2]Feedstock Conversion Rates'!B$5)/12</f>
        <v>11.796875</v>
      </c>
      <c r="AD265" s="45">
        <f>('[2]Renewable Diesel'!G274*'[2]RD Feedstock Breakdown'!AD$3*'[2]Feedstock Conversion Rates'!B$4)/12</f>
        <v>5.859375</v>
      </c>
      <c r="AE265" s="45">
        <f>('[2]Renewable Diesel'!G274*'[2]RD Feedstock Breakdown'!AE$3*'[2]Feedstock Conversion Rates'!B$6)/12</f>
        <v>7.3281250000000009</v>
      </c>
      <c r="AF265" s="47">
        <f t="shared" si="156"/>
        <v>24.984375</v>
      </c>
      <c r="AG265" s="45">
        <f t="shared" si="182"/>
        <v>6.5</v>
      </c>
      <c r="AH265" s="45">
        <v>135</v>
      </c>
      <c r="AI265" s="45">
        <f>('[2]Renewable Diesel'!H274*'[2]RD Feedstock Breakdown'!AI$3*'[2]Feedstock Conversion Rates'!B$6)/12-130-20+51-120+105-37.5+10</f>
        <v>7.0166666666666799</v>
      </c>
      <c r="AJ265" s="47">
        <f t="shared" si="202"/>
        <v>13.51666666666668</v>
      </c>
      <c r="AK265" s="45">
        <f>('[2]Renewable Diesel'!J274*'[2]RD Feedstock Breakdown'!AK$3*'[2]Feedstock Conversion Rates'!B$4)/12</f>
        <v>95.8125</v>
      </c>
      <c r="AL265" s="47">
        <f t="shared" si="205"/>
        <v>95.8125</v>
      </c>
      <c r="AM265" s="45">
        <f>('[2]Renewable Diesel'!K274*'[2]RD Feedstock Breakdown'!AM$3*'[2]Feedstock Conversion Rates'!B$4)/12+5+15-10+5-26</f>
        <v>47.59375</v>
      </c>
      <c r="AN265" s="45">
        <f>('[2]Renewable Diesel'!K274*'[2]RD Feedstock Breakdown'!AN$3*'[2]Feedstock Conversion Rates'!B$6)/12-5-15+10-5+26</f>
        <v>35.427083333333329</v>
      </c>
      <c r="AO265" s="47">
        <f t="shared" si="135"/>
        <v>83.020833333333329</v>
      </c>
      <c r="AP265" s="45">
        <f>('[2]Renewable Diesel'!L274*'[2]RD Feedstock Breakdown'!AP$3*'[2]Feedstock Conversion Rates'!B$4)/12+15-10+10+2.5</f>
        <v>76.09375</v>
      </c>
      <c r="AQ265" s="45">
        <f>('[2]Renewable Diesel'!L274*'[2]RD Feedstock Breakdown'!AQ$3*'[2]Feedstock Conversion Rates'!B$6)/12-15+10-10-2.5</f>
        <v>6.9270833333333321</v>
      </c>
      <c r="AR265" s="47">
        <f t="shared" ref="AR265:AR328" si="207">SUM(AP265:AQ265)</f>
        <v>83.020833333333329</v>
      </c>
      <c r="AS265" s="45">
        <f>('[2]Renewable Diesel'!M274*'[2]RD Feedstock Breakdown'!AS$3*'[2]Feedstock Conversion Rates'!B$4)/12</f>
        <v>456.25</v>
      </c>
      <c r="AT265" s="45">
        <f>('[2]Renewable Diesel'!M274*'[2]RD Feedstock Breakdown'!AT$3*'[2]Feedstock Conversion Rates'!B$5)/12</f>
        <v>0</v>
      </c>
      <c r="AU265" s="47">
        <f t="shared" si="159"/>
        <v>456.25</v>
      </c>
      <c r="AV265" s="45">
        <f>'[2]Renewable Diesel'!N274*'[2]RD Feedstock Breakdown'!$AV$3*'[2]Feedstock Conversion Rates'!$B$4/12-15-10+25+25-22+15-68+11</f>
        <v>39.749999999999986</v>
      </c>
      <c r="AW265" s="45">
        <f>'[2]Renewable Diesel'!N274*'[2]RD Feedstock Breakdown'!$AW$3*'[2]Feedstock Conversion Rates'!$B$7/12+15+10-25-25+22-15+68-11</f>
        <v>80.400000000000006</v>
      </c>
      <c r="AX265" s="47">
        <f t="shared" si="193"/>
        <v>120.14999999999999</v>
      </c>
      <c r="AY265" s="45">
        <f>('[2]Renewable Diesel'!O274*'[2]RD Feedstock Breakdown'!AY$3*'[2]Feedstock Conversion Rates'!B$4)/12-100-160</f>
        <v>-49.0625</v>
      </c>
      <c r="AZ265" s="45">
        <f>('[2]Renewable Diesel'!O274*'[2]RD Feedstock Breakdown'!AZ$3*'[2]Feedstock Conversion Rates'!B$3)/12+100+160</f>
        <v>285.03125</v>
      </c>
      <c r="BA265" s="47">
        <f t="shared" si="173"/>
        <v>235.96875</v>
      </c>
      <c r="BB265" s="45">
        <f>('[2]Renewable Diesel'!Q274*'[2]RD Feedstock Breakdown'!BB$3*'[2]Feedstock Conversion Rates'!B$4)/12</f>
        <v>11.156249999999998</v>
      </c>
      <c r="BC265" s="45">
        <f>('[2]Renewable Diesel'!Q274*'[2]RD Feedstock Breakdown'!BC$3*'[2]Feedstock Conversion Rates'!B$3)/12</f>
        <v>1.4017500000000001</v>
      </c>
      <c r="BD265" s="45">
        <f>('[2]Renewable Diesel'!Q274*'[2]RD Feedstock Breakdown'!BD$3*'[2]Feedstock Conversion Rates'!B$6)/12</f>
        <v>0.8207500000000002</v>
      </c>
      <c r="BE265" s="47">
        <f t="shared" si="151"/>
        <v>13.378749999999998</v>
      </c>
      <c r="BF265" s="45">
        <f>('[2]Renewable Diesel'!R274*'[2]RD Feedstock Breakdown'!BF$3*'[2]Feedstock Conversion Rates'!B$4)/12</f>
        <v>62.5</v>
      </c>
      <c r="BG265" s="47">
        <f t="shared" si="129"/>
        <v>62.5</v>
      </c>
      <c r="BH265" s="45">
        <f>('[2]Renewable Diesel'!T274*'[2]RD Feedstock Breakdown'!BH$3*'[2]Feedstock Conversion Rates'!B$7)/12</f>
        <v>27.599999999999998</v>
      </c>
      <c r="BI265" s="47">
        <f t="shared" si="195"/>
        <v>27.599999999999998</v>
      </c>
      <c r="BJ265" s="45">
        <f>('[2]Renewable Diesel'!W274*'[2]RD Feedstock Breakdown'!BJ$3*'[2]Feedstock Conversion Rates'!B$4)/12</f>
        <v>7.5</v>
      </c>
      <c r="BK265" s="45">
        <f>('[2]Renewable Diesel'!W274*'[2]RD Feedstock Breakdown'!BK$3*'[2]Feedstock Conversion Rates'!B$3)/12</f>
        <v>1.335</v>
      </c>
      <c r="BL265" s="45">
        <f>('[2]Renewable Diesel'!W274*'[2]RD Feedstock Breakdown'!BL$3*'[2]Feedstock Conversion Rates'!B$6)/12</f>
        <v>3.1266666666666669</v>
      </c>
      <c r="BM265" s="45">
        <f>('[2]Renewable Diesel'!W274*'[2]RD Feedstock Breakdown'!BM$3*'[2]Feedstock Conversion Rates'!B$7)/12</f>
        <v>1.5333333333333332</v>
      </c>
      <c r="BN265" s="47">
        <f t="shared" si="168"/>
        <v>13.495000000000001</v>
      </c>
      <c r="BO265" s="45">
        <f>('[2]Renewable Diesel'!P274*'[2]Feedstock Conversion Rates'!B$4)/12</f>
        <v>31.25</v>
      </c>
      <c r="BP265" s="47">
        <f t="shared" si="157"/>
        <v>31.25</v>
      </c>
      <c r="BQ265" s="45">
        <f>('[2]Renewable Diesel'!$S274*'[2]RD Feedstock Breakdown'!BQ$3*'[2]Feedstock Conversion Rates'!B$4)/12+10</f>
        <v>38.125</v>
      </c>
      <c r="BR265" s="45">
        <f>('[2]Renewable Diesel'!$S274*'[2]RD Feedstock Breakdown'!BR$3*'[2]Feedstock Conversion Rates'!B$7)/12-10</f>
        <v>1.5</v>
      </c>
      <c r="BS265" s="47">
        <f t="shared" si="174"/>
        <v>39.625</v>
      </c>
      <c r="BT265" s="47"/>
      <c r="BU265" s="45">
        <f>('[2]Renewable Diesel'!Y274*'[2]Feedstock Conversion Rates'!B$7)/12</f>
        <v>2.6833333333333331</v>
      </c>
      <c r="BV265" s="47">
        <f t="shared" si="153"/>
        <v>2.6833333333333331</v>
      </c>
      <c r="BW265" s="45">
        <f>('[2]Renewable Diesel'!$Z274*'[2]RD Feedstock Breakdown'!BW$3*'[2]Feedstock Conversion Rates'!$B$4)/12</f>
        <v>71.875</v>
      </c>
      <c r="BX265" s="45">
        <f>('[2]Renewable Diesel'!$Z274*'[2]RD Feedstock Breakdown'!BX$3*'[2]Feedstock Conversion Rates'!$B$5)/12</f>
        <v>7.2354166666666666</v>
      </c>
      <c r="BY265" s="45">
        <f>('[2]Renewable Diesel'!$Z274*'[2]RD Feedstock Breakdown'!BY$3*'[2]Feedstock Conversion Rates'!$B$7)/12</f>
        <v>61.716666666666661</v>
      </c>
      <c r="BZ265" s="45">
        <f>('[2]Renewable Diesel'!$Z274*'[2]RD Feedstock Breakdown'!BZ$3*'[2]Feedstock Conversion Rates'!$B$3)/12</f>
        <v>15.352499999999999</v>
      </c>
      <c r="CA265" s="47">
        <f t="shared" si="181"/>
        <v>156.17958333333331</v>
      </c>
      <c r="CB265" s="45">
        <f>('[2]Renewable Diesel'!AA274*'[2]Feedstock Conversion Rates'!B$4)/12</f>
        <v>191.25</v>
      </c>
      <c r="CC265" s="47">
        <f t="shared" si="171"/>
        <v>191.25</v>
      </c>
      <c r="CD265" s="45">
        <f>('[2]Renewable Diesel'!$AB274*'[2]RD Feedstock Breakdown'!CD$3*'[2]Feedstock Conversion Rates'!$B$6)/12-15-5+5</f>
        <v>17.830000000000005</v>
      </c>
      <c r="CE265" s="45">
        <f>('[2]Renewable Diesel'!$AB274*'[2]RD Feedstock Breakdown'!CE$3*'[2]Feedstock Conversion Rates'!$B$4)/12+15+5-5</f>
        <v>26.25</v>
      </c>
      <c r="CF265" s="47">
        <f t="shared" si="161"/>
        <v>44.080000000000005</v>
      </c>
      <c r="CG265" s="45">
        <f>('[2]Renewable Diesel'!AD274*'[2]Feedstock Conversion Rates'!B$4)/12</f>
        <v>112.5</v>
      </c>
      <c r="CH265" s="47">
        <f t="shared" si="149"/>
        <v>112.5</v>
      </c>
      <c r="CI265" s="45">
        <f>('[2]Renewable Diesel'!$AE274*'[2]RD Feedstock Breakdown'!CI$3*'[2]Feedstock Conversion Rates'!$B$5)/12</f>
        <v>0.34604166666666664</v>
      </c>
      <c r="CJ265" s="45">
        <f>('[2]Renewable Diesel'!$AE274*'[2]RD Feedstock Breakdown'!CJ$3*'[2]Feedstock Conversion Rates'!$B$4)/12</f>
        <v>0.34375</v>
      </c>
      <c r="CK265" s="47">
        <f t="shared" si="158"/>
        <v>0.68979166666666658</v>
      </c>
      <c r="CL265" s="45">
        <f>(((CL$3*'[2]Renewable Diesel'!$AF274)*'[2]Feedstock Conversion Rates'!$B$3)/12)</f>
        <v>91.78125</v>
      </c>
      <c r="CM265" s="45">
        <f>(((CM$3*'[2]Renewable Diesel'!$AF274)*'[2]Feedstock Conversion Rates'!$B$6)/12)</f>
        <v>53.739583333333336</v>
      </c>
      <c r="CN265" s="45">
        <f>(((CN$3*'[2]Renewable Diesel'!$AF274)*'[2]Feedstock Conversion Rates'!$B$4)/12)</f>
        <v>42.96875</v>
      </c>
      <c r="CO265" s="47">
        <f t="shared" si="152"/>
        <v>188.48958333333334</v>
      </c>
      <c r="CP265" s="45">
        <f>('[2]Renewable Diesel'!$AG274*'[2]RD Feedstock Breakdown'!CP$3*'[2]Feedstock Conversion Rates'!$B$3)/12</f>
        <v>6.0075000000000003</v>
      </c>
      <c r="CQ265" s="45">
        <f>('[2]Renewable Diesel'!$AG274*'[2]RD Feedstock Breakdown'!CQ$3*'[2]Feedstock Conversion Rates'!$B$6)/12</f>
        <v>3.5175000000000001</v>
      </c>
      <c r="CR265" s="45">
        <f>('[2]Renewable Diesel'!$AG274*'[2]RD Feedstock Breakdown'!CR$3*'[2]Feedstock Conversion Rates'!$B$4)/12</f>
        <v>2.8125</v>
      </c>
      <c r="CS265" s="47">
        <f t="shared" si="183"/>
        <v>12.3375</v>
      </c>
      <c r="CT265" s="45">
        <f>('[2]Renewable Diesel'!AI274*'[2]Feedstock Conversion Rates'!$B$4*'[2]RD Feedstock Breakdown'!$CT$3)/12</f>
        <v>29.375</v>
      </c>
      <c r="CU265" s="47">
        <f t="shared" si="154"/>
        <v>29.375</v>
      </c>
      <c r="CV265" s="45">
        <f>('[2]Renewable Diesel'!AN274*'[2]Feedstock Conversion Rates'!$B$3*'[2]RD Feedstock Breakdown'!$CV$3)/12</f>
        <v>0.50062499999999999</v>
      </c>
      <c r="CW265" s="47">
        <f t="shared" si="206"/>
        <v>0.50062499999999999</v>
      </c>
      <c r="CX265" s="45">
        <f>('[2]Renewable Diesel'!AO274*'[2]RD Feedstock Breakdown'!$CX$3*'[2]Feedstock Conversion Rates'!$B$3)/12</f>
        <v>6.3412499999999996</v>
      </c>
      <c r="CY265" s="45">
        <f>('[2]Renewable Diesel'!AO274*'[2]RD Feedstock Breakdown'!$CY$3*'[2]Feedstock Conversion Rates'!$B$6)/12</f>
        <v>7.4258333333333342</v>
      </c>
      <c r="CZ265" s="47">
        <f t="shared" si="188"/>
        <v>13.767083333333334</v>
      </c>
      <c r="DA265" s="45">
        <f>('[2]Renewable Diesel'!$AP274*'[2]RD Feedstock Breakdown'!DA$3*'[2]Feedstock Conversion Rates'!$B$3)/12</f>
        <v>6.3412499999999996</v>
      </c>
      <c r="DB265" s="45">
        <f>('[2]Renewable Diesel'!$AP274*'[2]RD Feedstock Breakdown'!DB$3*'[2]Feedstock Conversion Rates'!$B$8)/12</f>
        <v>7.421875</v>
      </c>
      <c r="DC265" s="47">
        <f t="shared" si="127"/>
        <v>13.763124999999999</v>
      </c>
      <c r="DD265" s="45">
        <f>('[2]Renewable Diesel'!AQ274*$DD$3*'[2]Feedstock Conversion Rates'!$B$14)/12</f>
        <v>3.1041666666666665</v>
      </c>
      <c r="DE265" s="47">
        <f t="shared" si="128"/>
        <v>3.1041666666666665</v>
      </c>
      <c r="DF265" s="45">
        <f>('[2]Renewable Diesel'!AR274*'[2]Feedstock Conversion Rates'!$B$4*$DF$3)/12</f>
        <v>75</v>
      </c>
      <c r="DG265" s="47">
        <f t="shared" si="189"/>
        <v>75</v>
      </c>
      <c r="DH265" s="45">
        <f>('[2]Renewable Diesel'!AS274*'[2]Feedstock Conversion Rates'!$B$4*$DH$3)/12</f>
        <v>75</v>
      </c>
      <c r="DI265" s="47">
        <f t="shared" si="194"/>
        <v>75</v>
      </c>
      <c r="DJ265" s="45">
        <f>('[2]Renewable Diesel'!AT274*'[2]Feedstock Conversion Rates'!$B$4*0.25)/12</f>
        <v>8.59375</v>
      </c>
      <c r="DK265" s="45">
        <f>('[2]Renewable Diesel'!$AT274*'[2]RD Feedstock Breakdown'!DK$3*'[2]Feedstock Conversion Rates'!$B$3)/12*0.5</f>
        <v>9.1781249999999996</v>
      </c>
      <c r="DL265" s="45">
        <f>('[2]Renewable Diesel'!$AT274*'[2]RD Feedstock Breakdown'!$DL$3*'[2]Feedstock Conversion Rates'!$B$6)/12</f>
        <v>10.747916666666669</v>
      </c>
      <c r="DM265" s="45">
        <f>('[2]Renewable Diesel'!$AT274*'[2]RD Feedstock Breakdown'!$DM$3*'[2]Feedstock Conversion Rates'!$B$8)/12</f>
        <v>10.7421875</v>
      </c>
      <c r="DN265" s="47">
        <f t="shared" si="169"/>
        <v>39.26197916666667</v>
      </c>
      <c r="DP265" s="45">
        <f t="shared" si="130"/>
        <v>132.22025000000002</v>
      </c>
      <c r="DQ265" s="45">
        <f t="shared" si="131"/>
        <v>745.11776750000001</v>
      </c>
      <c r="DR265" s="45">
        <f t="shared" si="136"/>
        <v>1767.453125</v>
      </c>
      <c r="DS265" s="45">
        <f t="shared" si="155"/>
        <v>51.901249999999997</v>
      </c>
      <c r="DT265" s="45">
        <f t="shared" si="132"/>
        <v>250.03923333333344</v>
      </c>
      <c r="DU265" s="45">
        <f t="shared" si="133"/>
        <v>300.90609999999998</v>
      </c>
      <c r="DV265" s="45">
        <f t="shared" si="137"/>
        <v>5.25</v>
      </c>
      <c r="DW265" s="45">
        <f t="shared" si="134"/>
        <v>3</v>
      </c>
      <c r="DX265" s="47">
        <f t="shared" si="138"/>
        <v>3255.8877258333337</v>
      </c>
      <c r="DY265" s="50">
        <f t="shared" ref="DY265:DY328" si="208">I265+Q265+S265+X265+AB265+AF265+AJ265+AL265+AO265+AR265+AU265+AX265+BA265+BE265+BG265+BI265+BN265-DX265+BP265+BS265+BV265+CA265+CC265+CF265+CH265+CK265+CO265+CS265+CU265+CW265+CZ265+DN265+DG265+DI265+DE265+DC265</f>
        <v>-135.00000000000048</v>
      </c>
      <c r="EA265" s="51">
        <f t="shared" si="204"/>
        <v>4.0609585198813539E-2</v>
      </c>
      <c r="EB265" s="51">
        <f t="shared" si="204"/>
        <v>0.22885241453136704</v>
      </c>
      <c r="EC265" s="51">
        <f t="shared" si="204"/>
        <v>0.54284830246952887</v>
      </c>
      <c r="ED265" s="51">
        <f t="shared" si="204"/>
        <v>1.5940737018723838E-2</v>
      </c>
      <c r="EE265" s="51">
        <f t="shared" si="204"/>
        <v>7.6796024429662033E-2</v>
      </c>
      <c r="EF265" s="51">
        <f t="shared" si="204"/>
        <v>9.2419065194572728E-2</v>
      </c>
      <c r="EG265" s="51">
        <f t="shared" si="204"/>
        <v>1.6124634637566563E-3</v>
      </c>
      <c r="EH265" s="52">
        <f t="shared" si="139"/>
        <v>9.2140769357523225E-4</v>
      </c>
      <c r="EI265" s="51">
        <f t="shared" si="191"/>
        <v>0.99907859230642471</v>
      </c>
      <c r="EK265" s="53">
        <f>(EA265*'[2]Renewable Diesel'!BF274*'[2]Feedstock Conversion Rates'!B$2)+FB265</f>
        <v>296.03781029247568</v>
      </c>
      <c r="EL265" s="53">
        <f>(EB265*'[2]Renewable Diesel'!BF274*'[2]Feedstock Conversion Rates'!B$3)+FC265</f>
        <v>1572.1273349748317</v>
      </c>
      <c r="EM265" s="53">
        <f>(EC265*'[2]Renewable Diesel'!BF274*'[2]Feedstock Conversion Rates'!B$4)+FD265</f>
        <v>3491.7203297456545</v>
      </c>
      <c r="EN265" s="53">
        <f>(ED265*'[2]Renewable Diesel'!BF274*'[2]Feedstock Conversion Rates'!B$5)+FE265</f>
        <v>103.21790802569264</v>
      </c>
      <c r="EO265" s="53">
        <f>(EE265*'[2]Renewable Diesel'!BF274*'[2]Feedstock Conversion Rates'!B$6)+FF265</f>
        <v>617.79057792335971</v>
      </c>
      <c r="EP265" s="53">
        <f>(EF265*'[2]Renewable Diesel'!BF274*'[2]Feedstock Conversion Rates'!B$7)+FG265</f>
        <v>729.20410150609257</v>
      </c>
      <c r="EQ265" s="53">
        <f>(EG265*'[2]Renewable Diesel'!BF274*'[2]Feedstock Conversion Rates'!B$8)+FH265</f>
        <v>12.96465198416838</v>
      </c>
      <c r="ER265" s="53">
        <f>(EH265*'[2]Renewable Diesel'!BF274*'[2]Feedstock Conversion Rates'!B$9)+FI265</f>
        <v>7.3095942615501723</v>
      </c>
      <c r="ES265" s="53">
        <f t="shared" si="141"/>
        <v>6830.3723087138242</v>
      </c>
      <c r="ET265" s="36">
        <f>ES265/'[2]Renewable Diesel'!BF274</f>
        <v>7.9642461226775838</v>
      </c>
    </row>
    <row r="266" spans="1:150" x14ac:dyDescent="0.25">
      <c r="A266" s="39">
        <v>48519</v>
      </c>
      <c r="B266" s="45">
        <f>115.75+145+100+235+31.5-21-287-20-28-32-70-39-47+40+20-3-10-2.5-15-75-35-1+35-1+25+32+10+32+5+7-46-100</f>
        <v>0.75</v>
      </c>
      <c r="C266" s="45">
        <f>50-1+1+5-50+15+46.5-27-6-20</f>
        <v>13.5</v>
      </c>
      <c r="D266" s="45">
        <f t="shared" ref="D266:D275" si="209">1+1</f>
        <v>2</v>
      </c>
      <c r="E266" s="45">
        <f>('[2]Renewable Diesel'!B275*E$3*'[2]Feedstock Conversion Rates'!$B$2)/12+26+13-100+27.5+39+75-10-32-1-7+46-46.5+27</f>
        <v>146.93</v>
      </c>
      <c r="F266" s="45">
        <f>('[2]Renewable Diesel'!B275*'[2]RD Feedstock Breakdown'!F$3*'[2]Feedstock Conversion Rates'!B$8)/12+77+23-10-12-115.75+24+8+2.5+1-32-15</f>
        <v>4.65625</v>
      </c>
      <c r="G266" s="45">
        <f>('[2]Renewable Diesel'!B275*'[2]RD Feedstock Breakdown'!G$3*'[2]Feedstock Conversion Rates'!B$7)/12+116.75-39-57.5-145-31.5+32+70-40+10+15-35-25-5+6</f>
        <v>47.907000000000039</v>
      </c>
      <c r="H266" s="45">
        <f>('[2]Renewable Diesel'!B275*'[2]RD Feedstock Breakdown'!H$3*'[2]Feedstock Conversion Rates'!B$3)/12+67+10+12+3-235+20+47-20+35-5+150+20</f>
        <v>280.40022499999998</v>
      </c>
      <c r="I266" s="47">
        <f t="shared" si="160"/>
        <v>496.14347500000002</v>
      </c>
      <c r="J266" s="45">
        <f t="shared" ref="J266:J276" si="210">55-37-6-8+80+25+15+20-10.5-50-10-1-60+5+15+20+105-3+20-120-50+11+40-30-20-5</f>
        <v>0.5</v>
      </c>
      <c r="K266" s="45"/>
      <c r="L266" s="45">
        <v>1</v>
      </c>
      <c r="M266" s="45">
        <f>('[2]Renewable Diesel'!C275*'[2]RD Feedstock Breakdown'!M$3*'[2]Feedstock Conversion Rates'!B$2)/12-55+37-25+10.5-20+30</f>
        <v>-14.70975</v>
      </c>
      <c r="N266" s="45">
        <f>('[2]Renewable Diesel'!C275*'[2]RD Feedstock Breakdown'!N$3*'[2]Feedstock Conversion Rates'!B$8)/12+8-20+10-5-15+3-11</f>
        <v>-26.328125</v>
      </c>
      <c r="O266" s="45">
        <f>('[2]Renewable Diesel'!C275*'[2]RD Feedstock Breakdown'!O$3*'[2]Feedstock Conversion Rates'!B$7)/12-80+120-40+20</f>
        <v>31.999099999999999</v>
      </c>
      <c r="P266" s="45">
        <f>('[2]Renewable Diesel'!C275*'[2]RD Feedstock Breakdown'!P$3*'[2]Feedstock Conversion Rates'!B$3)/12+6-15+50+60-105-20+50+5</f>
        <v>41.447042500000009</v>
      </c>
      <c r="Q266" s="47">
        <f t="shared" si="172"/>
        <v>33.908267500000008</v>
      </c>
      <c r="R266" s="45">
        <f>('[2]Renewable Diesel'!D275*'[2]RD Feedstock Breakdown'!R$3*'[2]Feedstock Conversion Rates'!B$7)/12</f>
        <v>2.2999999999999998</v>
      </c>
      <c r="S266" s="47">
        <f t="shared" si="203"/>
        <v>2.2999999999999998</v>
      </c>
      <c r="T266" s="45">
        <f>5.825+20-25+35-35</f>
        <v>0.82500000000000284</v>
      </c>
      <c r="U266" s="45">
        <v>35</v>
      </c>
      <c r="V266" s="45">
        <f>('[2]Renewable Diesel'!E275*'[2]RD Feedstock Breakdown'!V$3*'[2]Feedstock Conversion Rates'!B$6)/12-20+25-35</f>
        <v>14.250150000000012</v>
      </c>
      <c r="W266" s="45">
        <f>('[2]Renewable Diesel'!E275*'[2]RD Feedstock Breakdown'!W$3*'[2]Feedstock Conversion Rates'!B$8)/12-6</f>
        <v>16.1796875</v>
      </c>
      <c r="X266" s="47">
        <f t="shared" si="147"/>
        <v>66.254837500000008</v>
      </c>
      <c r="Y266" s="45">
        <f t="shared" ref="Y266:Y276" si="211">142-15-5-24-75+30+45-52.5+87.5-80+55+10+20+17-2-7</f>
        <v>146</v>
      </c>
      <c r="Z266" s="45">
        <f>('[2]Renewable Diesel'!F275*'[2]RD Feedstock Breakdown'!Z$3*'[2]Feedstock Conversion Rates'!B$6)/12-142+15+5+75-45+52.5-87.5+80-10-20-17+2+7</f>
        <v>74.460000000000008</v>
      </c>
      <c r="AA266" s="45">
        <f>('[2]Renewable Diesel'!F275*'[2]RD Feedstock Breakdown'!AA$3*'[2]Feedstock Conversion Rates'!B$7)/12+24-30-55</f>
        <v>43.266666666666652</v>
      </c>
      <c r="AB266" s="47">
        <f t="shared" si="190"/>
        <v>263.72666666666669</v>
      </c>
      <c r="AC266" s="45">
        <f>('[2]Renewable Diesel'!G275*'[2]RD Feedstock Breakdown'!AC$3*'[2]Feedstock Conversion Rates'!B$5)/12</f>
        <v>11.796875</v>
      </c>
      <c r="AD266" s="45">
        <f>('[2]Renewable Diesel'!G275*'[2]RD Feedstock Breakdown'!AD$3*'[2]Feedstock Conversion Rates'!B$4)/12</f>
        <v>5.859375</v>
      </c>
      <c r="AE266" s="45">
        <f>('[2]Renewable Diesel'!G275*'[2]RD Feedstock Breakdown'!AE$3*'[2]Feedstock Conversion Rates'!B$6)/12</f>
        <v>7.3281250000000009</v>
      </c>
      <c r="AF266" s="47">
        <f t="shared" si="156"/>
        <v>24.984375</v>
      </c>
      <c r="AG266" s="45">
        <f t="shared" si="182"/>
        <v>6.5</v>
      </c>
      <c r="AH266" s="45">
        <v>135</v>
      </c>
      <c r="AI266" s="45">
        <f>('[2]Renewable Diesel'!H275*'[2]RD Feedstock Breakdown'!AI$3*'[2]Feedstock Conversion Rates'!B$6)/12-130-20+51-120+105-37.5+10</f>
        <v>7.0166666666666799</v>
      </c>
      <c r="AJ266" s="47">
        <f t="shared" si="202"/>
        <v>13.51666666666668</v>
      </c>
      <c r="AK266" s="45">
        <f>('[2]Renewable Diesel'!J275*'[2]RD Feedstock Breakdown'!AK$3*'[2]Feedstock Conversion Rates'!B$4)/12</f>
        <v>95.8125</v>
      </c>
      <c r="AL266" s="47">
        <f t="shared" si="205"/>
        <v>95.8125</v>
      </c>
      <c r="AM266" s="45">
        <f>('[2]Renewable Diesel'!K275*'[2]RD Feedstock Breakdown'!AM$3*'[2]Feedstock Conversion Rates'!B$4)/12+5+15-10+5-26</f>
        <v>47.59375</v>
      </c>
      <c r="AN266" s="45">
        <f>('[2]Renewable Diesel'!K275*'[2]RD Feedstock Breakdown'!AN$3*'[2]Feedstock Conversion Rates'!B$6)/12-5-15+10-5+26</f>
        <v>35.427083333333329</v>
      </c>
      <c r="AO266" s="47">
        <f t="shared" si="135"/>
        <v>83.020833333333329</v>
      </c>
      <c r="AP266" s="45">
        <f>('[2]Renewable Diesel'!L275*'[2]RD Feedstock Breakdown'!AP$3*'[2]Feedstock Conversion Rates'!B$4)/12+15-10+10+2.5</f>
        <v>76.09375</v>
      </c>
      <c r="AQ266" s="45">
        <f>('[2]Renewable Diesel'!L275*'[2]RD Feedstock Breakdown'!AQ$3*'[2]Feedstock Conversion Rates'!B$6)/12-15+10-10-2.5</f>
        <v>6.9270833333333321</v>
      </c>
      <c r="AR266" s="47">
        <f t="shared" si="207"/>
        <v>83.020833333333329</v>
      </c>
      <c r="AS266" s="45">
        <f>('[2]Renewable Diesel'!M275*'[2]RD Feedstock Breakdown'!AS$3*'[2]Feedstock Conversion Rates'!B$4)/12</f>
        <v>456.25</v>
      </c>
      <c r="AT266" s="45">
        <f>('[2]Renewable Diesel'!M275*'[2]RD Feedstock Breakdown'!AT$3*'[2]Feedstock Conversion Rates'!B$5)/12</f>
        <v>0</v>
      </c>
      <c r="AU266" s="47">
        <f t="shared" si="159"/>
        <v>456.25</v>
      </c>
      <c r="AV266" s="45">
        <f>'[2]Renewable Diesel'!N275*'[2]RD Feedstock Breakdown'!$AV$3*'[2]Feedstock Conversion Rates'!$B$4/12-15-10+25+25-22+15-68+11</f>
        <v>39.749999999999986</v>
      </c>
      <c r="AW266" s="45">
        <f>'[2]Renewable Diesel'!N275*'[2]RD Feedstock Breakdown'!$AW$3*'[2]Feedstock Conversion Rates'!$B$7/12+15+10-25-25+22-15+68-11</f>
        <v>80.400000000000006</v>
      </c>
      <c r="AX266" s="47">
        <f t="shared" si="193"/>
        <v>120.14999999999999</v>
      </c>
      <c r="AY266" s="45">
        <f>('[2]Renewable Diesel'!O275*'[2]RD Feedstock Breakdown'!AY$3*'[2]Feedstock Conversion Rates'!B$4)/12-100-160</f>
        <v>-49.0625</v>
      </c>
      <c r="AZ266" s="45">
        <f>('[2]Renewable Diesel'!O275*'[2]RD Feedstock Breakdown'!AZ$3*'[2]Feedstock Conversion Rates'!B$3)/12+100+160</f>
        <v>285.03125</v>
      </c>
      <c r="BA266" s="47">
        <f t="shared" si="173"/>
        <v>235.96875</v>
      </c>
      <c r="BB266" s="45">
        <f>('[2]Renewable Diesel'!Q275*'[2]RD Feedstock Breakdown'!BB$3*'[2]Feedstock Conversion Rates'!B$4)/12</f>
        <v>11.156249999999998</v>
      </c>
      <c r="BC266" s="45">
        <f>('[2]Renewable Diesel'!Q275*'[2]RD Feedstock Breakdown'!BC$3*'[2]Feedstock Conversion Rates'!B$3)/12</f>
        <v>1.4017500000000001</v>
      </c>
      <c r="BD266" s="45">
        <f>('[2]Renewable Diesel'!Q275*'[2]RD Feedstock Breakdown'!BD$3*'[2]Feedstock Conversion Rates'!B$6)/12</f>
        <v>0.8207500000000002</v>
      </c>
      <c r="BE266" s="47">
        <f t="shared" si="151"/>
        <v>13.378749999999998</v>
      </c>
      <c r="BF266" s="45">
        <f>('[2]Renewable Diesel'!R275*'[2]RD Feedstock Breakdown'!BF$3*'[2]Feedstock Conversion Rates'!B$4)/12</f>
        <v>62.5</v>
      </c>
      <c r="BG266" s="47">
        <f t="shared" si="129"/>
        <v>62.5</v>
      </c>
      <c r="BH266" s="45">
        <f>('[2]Renewable Diesel'!T275*'[2]RD Feedstock Breakdown'!BH$3*'[2]Feedstock Conversion Rates'!B$7)/12</f>
        <v>27.599999999999998</v>
      </c>
      <c r="BI266" s="47">
        <f t="shared" si="195"/>
        <v>27.599999999999998</v>
      </c>
      <c r="BJ266" s="45">
        <f>('[2]Renewable Diesel'!W275*'[2]RD Feedstock Breakdown'!BJ$3*'[2]Feedstock Conversion Rates'!B$4)/12</f>
        <v>7.5</v>
      </c>
      <c r="BK266" s="45">
        <f>('[2]Renewable Diesel'!W275*'[2]RD Feedstock Breakdown'!BK$3*'[2]Feedstock Conversion Rates'!B$3)/12</f>
        <v>1.335</v>
      </c>
      <c r="BL266" s="45">
        <f>('[2]Renewable Diesel'!W275*'[2]RD Feedstock Breakdown'!BL$3*'[2]Feedstock Conversion Rates'!B$6)/12</f>
        <v>3.1266666666666669</v>
      </c>
      <c r="BM266" s="45">
        <f>('[2]Renewable Diesel'!W275*'[2]RD Feedstock Breakdown'!BM$3*'[2]Feedstock Conversion Rates'!B$7)/12</f>
        <v>1.5333333333333332</v>
      </c>
      <c r="BN266" s="47">
        <f t="shared" si="168"/>
        <v>13.495000000000001</v>
      </c>
      <c r="BO266" s="45">
        <f>('[2]Renewable Diesel'!P275*'[2]Feedstock Conversion Rates'!B$4)/12</f>
        <v>31.25</v>
      </c>
      <c r="BP266" s="47">
        <f t="shared" si="157"/>
        <v>31.25</v>
      </c>
      <c r="BQ266" s="45">
        <f>('[2]Renewable Diesel'!$S275*'[2]RD Feedstock Breakdown'!BQ$3*'[2]Feedstock Conversion Rates'!B$4)/12+10</f>
        <v>38.125</v>
      </c>
      <c r="BR266" s="45">
        <f>('[2]Renewable Diesel'!$S275*'[2]RD Feedstock Breakdown'!BR$3*'[2]Feedstock Conversion Rates'!B$7)/12-10</f>
        <v>1.5</v>
      </c>
      <c r="BS266" s="47">
        <f t="shared" si="174"/>
        <v>39.625</v>
      </c>
      <c r="BT266" s="47"/>
      <c r="BU266" s="45">
        <f>('[2]Renewable Diesel'!Y275*'[2]Feedstock Conversion Rates'!B$7)/12</f>
        <v>2.6833333333333331</v>
      </c>
      <c r="BV266" s="47">
        <f t="shared" si="153"/>
        <v>2.6833333333333331</v>
      </c>
      <c r="BW266" s="45">
        <f>('[2]Renewable Diesel'!$Z275*'[2]RD Feedstock Breakdown'!BW$3*'[2]Feedstock Conversion Rates'!$B$4)/12</f>
        <v>71.875</v>
      </c>
      <c r="BX266" s="45">
        <f>('[2]Renewable Diesel'!$Z275*'[2]RD Feedstock Breakdown'!BX$3*'[2]Feedstock Conversion Rates'!$B$5)/12</f>
        <v>7.2354166666666666</v>
      </c>
      <c r="BY266" s="45">
        <f>('[2]Renewable Diesel'!$Z275*'[2]RD Feedstock Breakdown'!BY$3*'[2]Feedstock Conversion Rates'!$B$7)/12</f>
        <v>61.716666666666661</v>
      </c>
      <c r="BZ266" s="45">
        <f>('[2]Renewable Diesel'!$Z275*'[2]RD Feedstock Breakdown'!BZ$3*'[2]Feedstock Conversion Rates'!$B$3)/12</f>
        <v>15.352499999999999</v>
      </c>
      <c r="CA266" s="47">
        <f t="shared" si="181"/>
        <v>156.17958333333331</v>
      </c>
      <c r="CB266" s="45">
        <f>('[2]Renewable Diesel'!AA275*'[2]Feedstock Conversion Rates'!B$4)/12</f>
        <v>191.25</v>
      </c>
      <c r="CC266" s="47">
        <f t="shared" si="171"/>
        <v>191.25</v>
      </c>
      <c r="CD266" s="45">
        <f>('[2]Renewable Diesel'!$AB275*'[2]RD Feedstock Breakdown'!CD$3*'[2]Feedstock Conversion Rates'!$B$6)/12-15-5+5</f>
        <v>17.830000000000005</v>
      </c>
      <c r="CE266" s="45">
        <f>('[2]Renewable Diesel'!$AB275*'[2]RD Feedstock Breakdown'!CE$3*'[2]Feedstock Conversion Rates'!$B$4)/12+15+5-5</f>
        <v>26.25</v>
      </c>
      <c r="CF266" s="47">
        <f t="shared" si="161"/>
        <v>44.080000000000005</v>
      </c>
      <c r="CG266" s="45">
        <f>('[2]Renewable Diesel'!AD275*'[2]Feedstock Conversion Rates'!B$4)/12</f>
        <v>112.5</v>
      </c>
      <c r="CH266" s="47">
        <f t="shared" si="149"/>
        <v>112.5</v>
      </c>
      <c r="CI266" s="45">
        <f>('[2]Renewable Diesel'!$AE275*'[2]RD Feedstock Breakdown'!CI$3*'[2]Feedstock Conversion Rates'!$B$5)/12</f>
        <v>0.34604166666666664</v>
      </c>
      <c r="CJ266" s="45">
        <f>('[2]Renewable Diesel'!$AE275*'[2]RD Feedstock Breakdown'!CJ$3*'[2]Feedstock Conversion Rates'!$B$4)/12</f>
        <v>0.34375</v>
      </c>
      <c r="CK266" s="47">
        <f t="shared" si="158"/>
        <v>0.68979166666666658</v>
      </c>
      <c r="CL266" s="45">
        <f>(((CL$3*'[2]Renewable Diesel'!$AF275)*'[2]Feedstock Conversion Rates'!$B$3)/12)</f>
        <v>91.78125</v>
      </c>
      <c r="CM266" s="45">
        <f>(((CM$3*'[2]Renewable Diesel'!$AF275)*'[2]Feedstock Conversion Rates'!$B$6)/12)</f>
        <v>53.739583333333336</v>
      </c>
      <c r="CN266" s="45">
        <f>(((CN$3*'[2]Renewable Diesel'!$AF275)*'[2]Feedstock Conversion Rates'!$B$4)/12)</f>
        <v>42.96875</v>
      </c>
      <c r="CO266" s="47">
        <f t="shared" si="152"/>
        <v>188.48958333333334</v>
      </c>
      <c r="CP266" s="45">
        <f>('[2]Renewable Diesel'!$AG275*'[2]RD Feedstock Breakdown'!CP$3*'[2]Feedstock Conversion Rates'!$B$3)/12</f>
        <v>6.0075000000000003</v>
      </c>
      <c r="CQ266" s="45">
        <f>('[2]Renewable Diesel'!$AG275*'[2]RD Feedstock Breakdown'!CQ$3*'[2]Feedstock Conversion Rates'!$B$6)/12</f>
        <v>3.5175000000000001</v>
      </c>
      <c r="CR266" s="45">
        <f>('[2]Renewable Diesel'!$AG275*'[2]RD Feedstock Breakdown'!CR$3*'[2]Feedstock Conversion Rates'!$B$4)/12</f>
        <v>2.8125</v>
      </c>
      <c r="CS266" s="47">
        <f t="shared" si="183"/>
        <v>12.3375</v>
      </c>
      <c r="CT266" s="45">
        <f>('[2]Renewable Diesel'!AI275*'[2]Feedstock Conversion Rates'!$B$4*'[2]RD Feedstock Breakdown'!$CT$3)/12</f>
        <v>29.375</v>
      </c>
      <c r="CU266" s="47">
        <f t="shared" si="154"/>
        <v>29.375</v>
      </c>
      <c r="CV266" s="45">
        <f>('[2]Renewable Diesel'!AN275*'[2]Feedstock Conversion Rates'!$B$3*'[2]RD Feedstock Breakdown'!$CV$3)/12</f>
        <v>0.50062499999999999</v>
      </c>
      <c r="CW266" s="47">
        <f t="shared" si="206"/>
        <v>0.50062499999999999</v>
      </c>
      <c r="CX266" s="45">
        <f>('[2]Renewable Diesel'!AO275*'[2]RD Feedstock Breakdown'!$CX$3*'[2]Feedstock Conversion Rates'!$B$3)/12</f>
        <v>6.3412499999999996</v>
      </c>
      <c r="CY266" s="45">
        <f>('[2]Renewable Diesel'!AO275*'[2]RD Feedstock Breakdown'!$CY$3*'[2]Feedstock Conversion Rates'!$B$6)/12</f>
        <v>7.4258333333333342</v>
      </c>
      <c r="CZ266" s="47">
        <f t="shared" si="188"/>
        <v>13.767083333333334</v>
      </c>
      <c r="DA266" s="45">
        <f>('[2]Renewable Diesel'!$AP275*'[2]RD Feedstock Breakdown'!DA$3*'[2]Feedstock Conversion Rates'!$B$3)/12</f>
        <v>6.3412499999999996</v>
      </c>
      <c r="DB266" s="45">
        <f>('[2]Renewable Diesel'!$AP275*'[2]RD Feedstock Breakdown'!DB$3*'[2]Feedstock Conversion Rates'!$B$8)/12</f>
        <v>7.421875</v>
      </c>
      <c r="DC266" s="47">
        <f t="shared" ref="DC266:DC329" si="212">SUM(DA266:DB266)</f>
        <v>13.763124999999999</v>
      </c>
      <c r="DD266" s="45">
        <f>('[2]Renewable Diesel'!AQ275*$DD$3*'[2]Feedstock Conversion Rates'!$B$14)/12</f>
        <v>3.1041666666666665</v>
      </c>
      <c r="DE266" s="47">
        <f t="shared" ref="DE266:DE329" si="213">DD266</f>
        <v>3.1041666666666665</v>
      </c>
      <c r="DF266" s="45">
        <f>('[2]Renewable Diesel'!AR275*'[2]Feedstock Conversion Rates'!$B$4*$DF$3)/12</f>
        <v>75</v>
      </c>
      <c r="DG266" s="47">
        <f t="shared" si="189"/>
        <v>75</v>
      </c>
      <c r="DH266" s="45">
        <f>('[2]Renewable Diesel'!AS275*'[2]Feedstock Conversion Rates'!$B$4*$DH$3)/12</f>
        <v>75</v>
      </c>
      <c r="DI266" s="47">
        <f t="shared" si="194"/>
        <v>75</v>
      </c>
      <c r="DJ266" s="45">
        <f>('[2]Renewable Diesel'!AT275*'[2]Feedstock Conversion Rates'!$B$4*0.25)/12</f>
        <v>8.59375</v>
      </c>
      <c r="DK266" s="45">
        <f>('[2]Renewable Diesel'!$AT275*'[2]RD Feedstock Breakdown'!DK$3*'[2]Feedstock Conversion Rates'!$B$3)/12*0.5</f>
        <v>9.1781249999999996</v>
      </c>
      <c r="DL266" s="45">
        <f>('[2]Renewable Diesel'!$AT275*'[2]RD Feedstock Breakdown'!$DL$3*'[2]Feedstock Conversion Rates'!$B$6)/12</f>
        <v>10.747916666666669</v>
      </c>
      <c r="DM266" s="45">
        <f>('[2]Renewable Diesel'!$AT275*'[2]RD Feedstock Breakdown'!$DM$3*'[2]Feedstock Conversion Rates'!$B$8)/12</f>
        <v>10.7421875</v>
      </c>
      <c r="DN266" s="47">
        <f t="shared" si="169"/>
        <v>39.26197916666667</v>
      </c>
      <c r="DP266" s="45">
        <f t="shared" si="130"/>
        <v>132.22025000000002</v>
      </c>
      <c r="DQ266" s="45">
        <f t="shared" si="131"/>
        <v>745.11776750000001</v>
      </c>
      <c r="DR266" s="45">
        <f t="shared" si="136"/>
        <v>1767.453125</v>
      </c>
      <c r="DS266" s="45">
        <f t="shared" si="155"/>
        <v>51.901249999999997</v>
      </c>
      <c r="DT266" s="45">
        <f t="shared" si="132"/>
        <v>250.03923333333344</v>
      </c>
      <c r="DU266" s="45">
        <f t="shared" si="133"/>
        <v>300.90609999999998</v>
      </c>
      <c r="DV266" s="45">
        <f t="shared" si="137"/>
        <v>5.25</v>
      </c>
      <c r="DW266" s="45">
        <f t="shared" si="134"/>
        <v>3</v>
      </c>
      <c r="DX266" s="47">
        <f t="shared" si="138"/>
        <v>3255.8877258333337</v>
      </c>
      <c r="DY266" s="50">
        <f t="shared" si="208"/>
        <v>-135.00000000000048</v>
      </c>
      <c r="EA266" s="51">
        <f t="shared" si="204"/>
        <v>4.0609585198813539E-2</v>
      </c>
      <c r="EB266" s="51">
        <f t="shared" si="204"/>
        <v>0.22885241453136704</v>
      </c>
      <c r="EC266" s="51">
        <f t="shared" si="204"/>
        <v>0.54284830246952887</v>
      </c>
      <c r="ED266" s="51">
        <f t="shared" si="204"/>
        <v>1.5940737018723838E-2</v>
      </c>
      <c r="EE266" s="51">
        <f t="shared" si="204"/>
        <v>7.6796024429662033E-2</v>
      </c>
      <c r="EF266" s="51">
        <f t="shared" si="204"/>
        <v>9.2419065194572728E-2</v>
      </c>
      <c r="EG266" s="51">
        <f t="shared" si="204"/>
        <v>1.6124634637566563E-3</v>
      </c>
      <c r="EH266" s="52">
        <f t="shared" si="139"/>
        <v>9.2140769357523225E-4</v>
      </c>
      <c r="EI266" s="51">
        <f t="shared" si="191"/>
        <v>0.99907859230642471</v>
      </c>
      <c r="EK266" s="53">
        <f>(EA266*'[2]Renewable Diesel'!BF275*'[2]Feedstock Conversion Rates'!B$2)+FB266</f>
        <v>298.79808968769629</v>
      </c>
      <c r="EL266" s="53">
        <f>(EB266*'[2]Renewable Diesel'!BF275*'[2]Feedstock Conversion Rates'!B$3)+FC266</f>
        <v>1586.785971603399</v>
      </c>
      <c r="EM266" s="53">
        <f>(EC266*'[2]Renewable Diesel'!BF275*'[2]Feedstock Conversion Rates'!B$4)+FD266</f>
        <v>3524.2773996366514</v>
      </c>
      <c r="EN266" s="53">
        <f>(ED266*'[2]Renewable Diesel'!BF275*'[2]Feedstock Conversion Rates'!B$5)+FE266</f>
        <v>104.18031976782656</v>
      </c>
      <c r="EO266" s="53">
        <f>(EE266*'[2]Renewable Diesel'!BF275*'[2]Feedstock Conversion Rates'!B$6)+FF266</f>
        <v>623.55090496103958</v>
      </c>
      <c r="EP266" s="53">
        <f>(EF266*'[2]Renewable Diesel'!BF275*'[2]Feedstock Conversion Rates'!B$7)+FG266</f>
        <v>736.00325683800463</v>
      </c>
      <c r="EQ266" s="53">
        <f>(EG266*'[2]Renewable Diesel'!BF275*'[2]Feedstock Conversion Rates'!B$8)+FH266</f>
        <v>13.085535400049448</v>
      </c>
      <c r="ER266" s="53">
        <f>(EH266*'[2]Renewable Diesel'!BF275*'[2]Feedstock Conversion Rates'!B$9)+FI266</f>
        <v>7.3777494826945471</v>
      </c>
      <c r="ES266" s="53">
        <f t="shared" si="141"/>
        <v>6894.0592273773618</v>
      </c>
      <c r="ET266" s="36">
        <f>ES266/'[2]Renewable Diesel'!BF275</f>
        <v>7.9642461226775856</v>
      </c>
    </row>
    <row r="267" spans="1:150" x14ac:dyDescent="0.25">
      <c r="A267" s="39">
        <v>48549</v>
      </c>
      <c r="B267" s="45">
        <f>115.75+145+100+235+31.5-21-287-20-28-32-70-39-47+40+20-3-10-2.5-15-75-35-1+35-1+25+32+10+32+5+7-46-100</f>
        <v>0.75</v>
      </c>
      <c r="C267" s="45">
        <f>50-1+1+5-50+15+46.5-27-6-20</f>
        <v>13.5</v>
      </c>
      <c r="D267" s="45">
        <f t="shared" si="209"/>
        <v>2</v>
      </c>
      <c r="E267" s="45">
        <f>('[2]Renewable Diesel'!B276*E$3*'[2]Feedstock Conversion Rates'!$B$2)/12+26+13-100+27.5+39+75-10-32-1-7+46-46.5+27</f>
        <v>146.93</v>
      </c>
      <c r="F267" s="45">
        <f>('[2]Renewable Diesel'!B276*'[2]RD Feedstock Breakdown'!F$3*'[2]Feedstock Conversion Rates'!B$8)/12+77+23-10-12-115.75+24+8+2.5+1-32-15</f>
        <v>4.65625</v>
      </c>
      <c r="G267" s="45">
        <f>('[2]Renewable Diesel'!B276*'[2]RD Feedstock Breakdown'!G$3*'[2]Feedstock Conversion Rates'!B$7)/12+116.75-39-57.5-145-31.5+32+70-40+10+15-35-25-5+6</f>
        <v>47.907000000000039</v>
      </c>
      <c r="H267" s="45">
        <f>('[2]Renewable Diesel'!B276*'[2]RD Feedstock Breakdown'!H$3*'[2]Feedstock Conversion Rates'!B$3)/12+67+10+12+3-235+20+47-20+35-5+150+20</f>
        <v>280.40022499999998</v>
      </c>
      <c r="I267" s="47">
        <f t="shared" si="160"/>
        <v>496.14347500000002</v>
      </c>
      <c r="J267" s="45">
        <f t="shared" si="210"/>
        <v>0.5</v>
      </c>
      <c r="K267" s="45"/>
      <c r="L267" s="45">
        <v>1</v>
      </c>
      <c r="M267" s="45">
        <f>('[2]Renewable Diesel'!C276*'[2]RD Feedstock Breakdown'!M$3*'[2]Feedstock Conversion Rates'!B$2)/12-55+37-25+10.5-20+30</f>
        <v>-14.70975</v>
      </c>
      <c r="N267" s="45">
        <f>('[2]Renewable Diesel'!C276*'[2]RD Feedstock Breakdown'!N$3*'[2]Feedstock Conversion Rates'!B$8)/12+8-20+10-5-15+3-11</f>
        <v>-26.328125</v>
      </c>
      <c r="O267" s="45">
        <f>('[2]Renewable Diesel'!C276*'[2]RD Feedstock Breakdown'!O$3*'[2]Feedstock Conversion Rates'!B$7)/12-80+120-40+20</f>
        <v>31.999099999999999</v>
      </c>
      <c r="P267" s="45">
        <f>('[2]Renewable Diesel'!C276*'[2]RD Feedstock Breakdown'!P$3*'[2]Feedstock Conversion Rates'!B$3)/12+6-15+50+60-105-20+50+5</f>
        <v>41.447042500000009</v>
      </c>
      <c r="Q267" s="47">
        <f t="shared" si="172"/>
        <v>33.908267500000008</v>
      </c>
      <c r="R267" s="45">
        <f>('[2]Renewable Diesel'!D276*'[2]RD Feedstock Breakdown'!R$3*'[2]Feedstock Conversion Rates'!B$7)/12</f>
        <v>2.2999999999999998</v>
      </c>
      <c r="S267" s="47">
        <f t="shared" si="203"/>
        <v>2.2999999999999998</v>
      </c>
      <c r="T267" s="45">
        <f t="shared" ref="T267:T276" si="214">5.825+20-25+35-35</f>
        <v>0.82500000000000284</v>
      </c>
      <c r="U267" s="45">
        <v>35</v>
      </c>
      <c r="V267" s="45">
        <f>('[2]Renewable Diesel'!E276*'[2]RD Feedstock Breakdown'!V$3*'[2]Feedstock Conversion Rates'!B$6)/12-20+25-35</f>
        <v>14.250150000000012</v>
      </c>
      <c r="W267" s="45">
        <f>('[2]Renewable Diesel'!E276*'[2]RD Feedstock Breakdown'!W$3*'[2]Feedstock Conversion Rates'!B$8)/12-6</f>
        <v>16.1796875</v>
      </c>
      <c r="X267" s="47">
        <f t="shared" si="147"/>
        <v>66.254837500000008</v>
      </c>
      <c r="Y267" s="45">
        <f t="shared" si="211"/>
        <v>146</v>
      </c>
      <c r="Z267" s="45">
        <f>('[2]Renewable Diesel'!F276*'[2]RD Feedstock Breakdown'!Z$3*'[2]Feedstock Conversion Rates'!B$6)/12-142+15+5+75-45+52.5-87.5+80-10-20-17+2+7</f>
        <v>74.460000000000008</v>
      </c>
      <c r="AA267" s="45">
        <f>('[2]Renewable Diesel'!F276*'[2]RD Feedstock Breakdown'!AA$3*'[2]Feedstock Conversion Rates'!B$7)/12+24-30-55</f>
        <v>43.266666666666652</v>
      </c>
      <c r="AB267" s="47">
        <f t="shared" si="190"/>
        <v>263.72666666666669</v>
      </c>
      <c r="AC267" s="45">
        <f>('[2]Renewable Diesel'!G276*'[2]RD Feedstock Breakdown'!AC$3*'[2]Feedstock Conversion Rates'!B$5)/12</f>
        <v>11.796875</v>
      </c>
      <c r="AD267" s="45">
        <f>('[2]Renewable Diesel'!G276*'[2]RD Feedstock Breakdown'!AD$3*'[2]Feedstock Conversion Rates'!B$4)/12</f>
        <v>5.859375</v>
      </c>
      <c r="AE267" s="45">
        <f>('[2]Renewable Diesel'!G276*'[2]RD Feedstock Breakdown'!AE$3*'[2]Feedstock Conversion Rates'!B$6)/12</f>
        <v>7.3281250000000009</v>
      </c>
      <c r="AF267" s="47">
        <f t="shared" si="156"/>
        <v>24.984375</v>
      </c>
      <c r="AG267" s="45">
        <f t="shared" si="182"/>
        <v>6.5</v>
      </c>
      <c r="AH267" s="45">
        <v>135</v>
      </c>
      <c r="AI267" s="45">
        <f>('[2]Renewable Diesel'!H276*'[2]RD Feedstock Breakdown'!AI$3*'[2]Feedstock Conversion Rates'!B$6)/12-130-20+51-120+105-37.5+10</f>
        <v>7.0166666666666799</v>
      </c>
      <c r="AJ267" s="47">
        <f t="shared" si="202"/>
        <v>13.51666666666668</v>
      </c>
      <c r="AK267" s="45">
        <f>('[2]Renewable Diesel'!J276*'[2]RD Feedstock Breakdown'!AK$3*'[2]Feedstock Conversion Rates'!B$4)/12</f>
        <v>95.8125</v>
      </c>
      <c r="AL267" s="47">
        <f t="shared" si="205"/>
        <v>95.8125</v>
      </c>
      <c r="AM267" s="45">
        <f>('[2]Renewable Diesel'!K276*'[2]RD Feedstock Breakdown'!AM$3*'[2]Feedstock Conversion Rates'!B$4)/12+5+15-10+5-26</f>
        <v>47.59375</v>
      </c>
      <c r="AN267" s="45">
        <f>('[2]Renewable Diesel'!K276*'[2]RD Feedstock Breakdown'!AN$3*'[2]Feedstock Conversion Rates'!B$6)/12-5-15+10-5+26</f>
        <v>35.427083333333329</v>
      </c>
      <c r="AO267" s="47">
        <f t="shared" si="135"/>
        <v>83.020833333333329</v>
      </c>
      <c r="AP267" s="45">
        <f>('[2]Renewable Diesel'!L276*'[2]RD Feedstock Breakdown'!AP$3*'[2]Feedstock Conversion Rates'!B$4)/12+15-10+10+2.5</f>
        <v>76.09375</v>
      </c>
      <c r="AQ267" s="45">
        <f>('[2]Renewable Diesel'!L276*'[2]RD Feedstock Breakdown'!AQ$3*'[2]Feedstock Conversion Rates'!B$6)/12-15+10-10-2.5</f>
        <v>6.9270833333333321</v>
      </c>
      <c r="AR267" s="47">
        <f t="shared" si="207"/>
        <v>83.020833333333329</v>
      </c>
      <c r="AS267" s="45">
        <f>('[2]Renewable Diesel'!M276*'[2]RD Feedstock Breakdown'!AS$3*'[2]Feedstock Conversion Rates'!B$4)/12</f>
        <v>456.25</v>
      </c>
      <c r="AT267" s="45">
        <f>('[2]Renewable Diesel'!M276*'[2]RD Feedstock Breakdown'!AT$3*'[2]Feedstock Conversion Rates'!B$5)/12</f>
        <v>0</v>
      </c>
      <c r="AU267" s="47">
        <f t="shared" si="159"/>
        <v>456.25</v>
      </c>
      <c r="AV267" s="45">
        <f>'[2]Renewable Diesel'!N276*'[2]RD Feedstock Breakdown'!$AV$3*'[2]Feedstock Conversion Rates'!$B$4/12-15-10+25+25-22+15-68+11</f>
        <v>39.749999999999986</v>
      </c>
      <c r="AW267" s="45">
        <f>'[2]Renewable Diesel'!N276*'[2]RD Feedstock Breakdown'!$AW$3*'[2]Feedstock Conversion Rates'!$B$7/12+15+10-25-25+22-15+68-11</f>
        <v>80.400000000000006</v>
      </c>
      <c r="AX267" s="47">
        <f t="shared" si="193"/>
        <v>120.14999999999999</v>
      </c>
      <c r="AY267" s="45">
        <f>('[2]Renewable Diesel'!O276*'[2]RD Feedstock Breakdown'!AY$3*'[2]Feedstock Conversion Rates'!B$4)/12-100-160</f>
        <v>-49.0625</v>
      </c>
      <c r="AZ267" s="45">
        <f>('[2]Renewable Diesel'!O276*'[2]RD Feedstock Breakdown'!AZ$3*'[2]Feedstock Conversion Rates'!B$3)/12+100+160</f>
        <v>285.03125</v>
      </c>
      <c r="BA267" s="47">
        <f t="shared" si="173"/>
        <v>235.96875</v>
      </c>
      <c r="BB267" s="45">
        <f>('[2]Renewable Diesel'!Q276*'[2]RD Feedstock Breakdown'!BB$3*'[2]Feedstock Conversion Rates'!B$4)/12</f>
        <v>11.156249999999998</v>
      </c>
      <c r="BC267" s="45">
        <f>('[2]Renewable Diesel'!Q276*'[2]RD Feedstock Breakdown'!BC$3*'[2]Feedstock Conversion Rates'!B$3)/12</f>
        <v>1.4017500000000001</v>
      </c>
      <c r="BD267" s="45">
        <f>('[2]Renewable Diesel'!Q276*'[2]RD Feedstock Breakdown'!BD$3*'[2]Feedstock Conversion Rates'!B$6)/12</f>
        <v>0.8207500000000002</v>
      </c>
      <c r="BE267" s="47">
        <f t="shared" si="151"/>
        <v>13.378749999999998</v>
      </c>
      <c r="BF267" s="45">
        <f>('[2]Renewable Diesel'!R276*'[2]RD Feedstock Breakdown'!BF$3*'[2]Feedstock Conversion Rates'!B$4)/12</f>
        <v>62.5</v>
      </c>
      <c r="BG267" s="47">
        <f t="shared" ref="BG267:BG330" si="215">BF267</f>
        <v>62.5</v>
      </c>
      <c r="BH267" s="45">
        <f>('[2]Renewable Diesel'!T276*'[2]RD Feedstock Breakdown'!BH$3*'[2]Feedstock Conversion Rates'!B$7)/12</f>
        <v>27.599999999999998</v>
      </c>
      <c r="BI267" s="47">
        <f t="shared" si="195"/>
        <v>27.599999999999998</v>
      </c>
      <c r="BJ267" s="45">
        <f>('[2]Renewable Diesel'!W276*'[2]RD Feedstock Breakdown'!BJ$3*'[2]Feedstock Conversion Rates'!B$4)/12</f>
        <v>7.5</v>
      </c>
      <c r="BK267" s="45">
        <f>('[2]Renewable Diesel'!W276*'[2]RD Feedstock Breakdown'!BK$3*'[2]Feedstock Conversion Rates'!B$3)/12</f>
        <v>1.335</v>
      </c>
      <c r="BL267" s="45">
        <f>('[2]Renewable Diesel'!W276*'[2]RD Feedstock Breakdown'!BL$3*'[2]Feedstock Conversion Rates'!B$6)/12</f>
        <v>3.1266666666666669</v>
      </c>
      <c r="BM267" s="45">
        <f>('[2]Renewable Diesel'!W276*'[2]RD Feedstock Breakdown'!BM$3*'[2]Feedstock Conversion Rates'!B$7)/12</f>
        <v>1.5333333333333332</v>
      </c>
      <c r="BN267" s="47">
        <f t="shared" si="168"/>
        <v>13.495000000000001</v>
      </c>
      <c r="BO267" s="45">
        <f>('[2]Renewable Diesel'!P276*'[2]Feedstock Conversion Rates'!B$4)/12</f>
        <v>31.25</v>
      </c>
      <c r="BP267" s="47">
        <f t="shared" si="157"/>
        <v>31.25</v>
      </c>
      <c r="BQ267" s="45">
        <f>('[2]Renewable Diesel'!$S276*'[2]RD Feedstock Breakdown'!BQ$3*'[2]Feedstock Conversion Rates'!B$4)/12+10</f>
        <v>38.125</v>
      </c>
      <c r="BR267" s="45">
        <f>('[2]Renewable Diesel'!$S276*'[2]RD Feedstock Breakdown'!BR$3*'[2]Feedstock Conversion Rates'!B$7)/12-10</f>
        <v>1.5</v>
      </c>
      <c r="BS267" s="47">
        <f t="shared" si="174"/>
        <v>39.625</v>
      </c>
      <c r="BT267" s="47"/>
      <c r="BU267" s="45">
        <f>('[2]Renewable Diesel'!Y276*'[2]Feedstock Conversion Rates'!B$7)/12</f>
        <v>2.6833333333333331</v>
      </c>
      <c r="BV267" s="47">
        <f t="shared" si="153"/>
        <v>2.6833333333333331</v>
      </c>
      <c r="BW267" s="45">
        <f>('[2]Renewable Diesel'!$Z276*'[2]RD Feedstock Breakdown'!BW$3*'[2]Feedstock Conversion Rates'!$B$4)/12</f>
        <v>71.875</v>
      </c>
      <c r="BX267" s="45">
        <f>('[2]Renewable Diesel'!$Z276*'[2]RD Feedstock Breakdown'!BX$3*'[2]Feedstock Conversion Rates'!$B$5)/12</f>
        <v>7.2354166666666666</v>
      </c>
      <c r="BY267" s="45">
        <f>('[2]Renewable Diesel'!$Z276*'[2]RD Feedstock Breakdown'!BY$3*'[2]Feedstock Conversion Rates'!$B$7)/12</f>
        <v>61.716666666666661</v>
      </c>
      <c r="BZ267" s="45">
        <f>('[2]Renewable Diesel'!$Z276*'[2]RD Feedstock Breakdown'!BZ$3*'[2]Feedstock Conversion Rates'!$B$3)/12</f>
        <v>15.352499999999999</v>
      </c>
      <c r="CA267" s="47">
        <f t="shared" si="181"/>
        <v>156.17958333333331</v>
      </c>
      <c r="CB267" s="45">
        <f>('[2]Renewable Diesel'!AA276*'[2]Feedstock Conversion Rates'!B$4)/12</f>
        <v>191.25</v>
      </c>
      <c r="CC267" s="47">
        <f t="shared" si="171"/>
        <v>191.25</v>
      </c>
      <c r="CD267" s="45">
        <f>('[2]Renewable Diesel'!$AB276*'[2]RD Feedstock Breakdown'!CD$3*'[2]Feedstock Conversion Rates'!$B$6)/12-15-5+5</f>
        <v>17.830000000000005</v>
      </c>
      <c r="CE267" s="45">
        <f>('[2]Renewable Diesel'!$AB276*'[2]RD Feedstock Breakdown'!CE$3*'[2]Feedstock Conversion Rates'!$B$4)/12+15+5-5</f>
        <v>26.25</v>
      </c>
      <c r="CF267" s="47">
        <f t="shared" si="161"/>
        <v>44.080000000000005</v>
      </c>
      <c r="CG267" s="45">
        <f>('[2]Renewable Diesel'!AD276*'[2]Feedstock Conversion Rates'!B$4)/12</f>
        <v>112.5</v>
      </c>
      <c r="CH267" s="47">
        <f t="shared" si="149"/>
        <v>112.5</v>
      </c>
      <c r="CI267" s="45">
        <f>('[2]Renewable Diesel'!$AE276*'[2]RD Feedstock Breakdown'!CI$3*'[2]Feedstock Conversion Rates'!$B$5)/12</f>
        <v>0.34604166666666664</v>
      </c>
      <c r="CJ267" s="45">
        <f>('[2]Renewable Diesel'!$AE276*'[2]RD Feedstock Breakdown'!CJ$3*'[2]Feedstock Conversion Rates'!$B$4)/12</f>
        <v>0.34375</v>
      </c>
      <c r="CK267" s="47">
        <f t="shared" si="158"/>
        <v>0.68979166666666658</v>
      </c>
      <c r="CL267" s="45">
        <f>(((CL$3*'[2]Renewable Diesel'!$AF276)*'[2]Feedstock Conversion Rates'!$B$3)/12)</f>
        <v>91.78125</v>
      </c>
      <c r="CM267" s="45">
        <f>(((CM$3*'[2]Renewable Diesel'!$AF276)*'[2]Feedstock Conversion Rates'!$B$6)/12)</f>
        <v>53.739583333333336</v>
      </c>
      <c r="CN267" s="45">
        <f>(((CN$3*'[2]Renewable Diesel'!$AF276)*'[2]Feedstock Conversion Rates'!$B$4)/12)</f>
        <v>42.96875</v>
      </c>
      <c r="CO267" s="47">
        <f t="shared" si="152"/>
        <v>188.48958333333334</v>
      </c>
      <c r="CP267" s="45">
        <f>('[2]Renewable Diesel'!$AG276*'[2]RD Feedstock Breakdown'!CP$3*'[2]Feedstock Conversion Rates'!$B$3)/12</f>
        <v>6.0075000000000003</v>
      </c>
      <c r="CQ267" s="45">
        <f>('[2]Renewable Diesel'!$AG276*'[2]RD Feedstock Breakdown'!CQ$3*'[2]Feedstock Conversion Rates'!$B$6)/12</f>
        <v>3.5175000000000001</v>
      </c>
      <c r="CR267" s="45">
        <f>('[2]Renewable Diesel'!$AG276*'[2]RD Feedstock Breakdown'!CR$3*'[2]Feedstock Conversion Rates'!$B$4)/12</f>
        <v>2.8125</v>
      </c>
      <c r="CS267" s="47">
        <f t="shared" si="183"/>
        <v>12.3375</v>
      </c>
      <c r="CT267" s="45">
        <f>('[2]Renewable Diesel'!AI276*'[2]Feedstock Conversion Rates'!$B$4*'[2]RD Feedstock Breakdown'!$CT$3)/12</f>
        <v>29.375</v>
      </c>
      <c r="CU267" s="47">
        <f t="shared" si="154"/>
        <v>29.375</v>
      </c>
      <c r="CV267" s="45">
        <f>('[2]Renewable Diesel'!AN276*'[2]Feedstock Conversion Rates'!$B$3*'[2]RD Feedstock Breakdown'!$CV$3)/12</f>
        <v>0.50062499999999999</v>
      </c>
      <c r="CW267" s="47">
        <f t="shared" si="206"/>
        <v>0.50062499999999999</v>
      </c>
      <c r="CX267" s="45">
        <f>('[2]Renewable Diesel'!AO276*'[2]RD Feedstock Breakdown'!$CX$3*'[2]Feedstock Conversion Rates'!$B$3)/12</f>
        <v>6.3412499999999996</v>
      </c>
      <c r="CY267" s="45">
        <f>('[2]Renewable Diesel'!AO276*'[2]RD Feedstock Breakdown'!$CY$3*'[2]Feedstock Conversion Rates'!$B$6)/12</f>
        <v>7.4258333333333342</v>
      </c>
      <c r="CZ267" s="47">
        <f t="shared" si="188"/>
        <v>13.767083333333334</v>
      </c>
      <c r="DA267" s="45">
        <f>('[2]Renewable Diesel'!$AP276*'[2]RD Feedstock Breakdown'!DA$3*'[2]Feedstock Conversion Rates'!$B$3)/12</f>
        <v>6.3412499999999996</v>
      </c>
      <c r="DB267" s="45">
        <f>('[2]Renewable Diesel'!$AP276*'[2]RD Feedstock Breakdown'!DB$3*'[2]Feedstock Conversion Rates'!$B$8)/12</f>
        <v>7.421875</v>
      </c>
      <c r="DC267" s="47">
        <f t="shared" si="212"/>
        <v>13.763124999999999</v>
      </c>
      <c r="DD267" s="45">
        <f>('[2]Renewable Diesel'!AQ276*$DD$3*'[2]Feedstock Conversion Rates'!$B$14)/12</f>
        <v>3.1041666666666665</v>
      </c>
      <c r="DE267" s="47">
        <f t="shared" si="213"/>
        <v>3.1041666666666665</v>
      </c>
      <c r="DF267" s="45">
        <f>('[2]Renewable Diesel'!AR276*'[2]Feedstock Conversion Rates'!$B$4*$DF$3)/12</f>
        <v>75</v>
      </c>
      <c r="DG267" s="47">
        <f t="shared" si="189"/>
        <v>75</v>
      </c>
      <c r="DH267" s="45">
        <f>('[2]Renewable Diesel'!AS276*'[2]Feedstock Conversion Rates'!$B$4*$DH$3)/12</f>
        <v>75</v>
      </c>
      <c r="DI267" s="47">
        <f t="shared" si="194"/>
        <v>75</v>
      </c>
      <c r="DJ267" s="45">
        <f>('[2]Renewable Diesel'!AT276*'[2]Feedstock Conversion Rates'!$B$4*0.25)/12</f>
        <v>8.59375</v>
      </c>
      <c r="DK267" s="45">
        <f>('[2]Renewable Diesel'!$AT276*'[2]RD Feedstock Breakdown'!DK$3*'[2]Feedstock Conversion Rates'!$B$3)/12*0.5</f>
        <v>9.1781249999999996</v>
      </c>
      <c r="DL267" s="45">
        <f>('[2]Renewable Diesel'!$AT276*'[2]RD Feedstock Breakdown'!$DL$3*'[2]Feedstock Conversion Rates'!$B$6)/12</f>
        <v>10.747916666666669</v>
      </c>
      <c r="DM267" s="45">
        <f>('[2]Renewable Diesel'!$AT276*'[2]RD Feedstock Breakdown'!$DM$3*'[2]Feedstock Conversion Rates'!$B$8)/12</f>
        <v>10.7421875</v>
      </c>
      <c r="DN267" s="47">
        <f t="shared" si="169"/>
        <v>39.26197916666667</v>
      </c>
      <c r="DP267" s="45">
        <f t="shared" si="130"/>
        <v>132.22025000000002</v>
      </c>
      <c r="DQ267" s="45">
        <f t="shared" si="131"/>
        <v>745.11776750000001</v>
      </c>
      <c r="DR267" s="45">
        <f t="shared" si="136"/>
        <v>1767.453125</v>
      </c>
      <c r="DS267" s="45">
        <f t="shared" si="155"/>
        <v>51.901249999999997</v>
      </c>
      <c r="DT267" s="45">
        <f t="shared" si="132"/>
        <v>250.03923333333344</v>
      </c>
      <c r="DU267" s="45">
        <f t="shared" si="133"/>
        <v>300.90609999999998</v>
      </c>
      <c r="DV267" s="45">
        <f t="shared" si="137"/>
        <v>5.25</v>
      </c>
      <c r="DW267" s="45">
        <f t="shared" si="134"/>
        <v>3</v>
      </c>
      <c r="DX267" s="47">
        <f t="shared" si="138"/>
        <v>3255.8877258333337</v>
      </c>
      <c r="DY267" s="50">
        <f t="shared" si="208"/>
        <v>-135.00000000000048</v>
      </c>
      <c r="EA267" s="51">
        <f t="shared" si="204"/>
        <v>4.0609585198813539E-2</v>
      </c>
      <c r="EB267" s="51">
        <f t="shared" si="204"/>
        <v>0.22885241453136704</v>
      </c>
      <c r="EC267" s="51">
        <f t="shared" si="204"/>
        <v>0.54284830246952887</v>
      </c>
      <c r="ED267" s="51">
        <f t="shared" si="204"/>
        <v>1.5940737018723838E-2</v>
      </c>
      <c r="EE267" s="51">
        <f t="shared" si="204"/>
        <v>7.6796024429662033E-2</v>
      </c>
      <c r="EF267" s="51">
        <f t="shared" si="204"/>
        <v>9.2419065194572728E-2</v>
      </c>
      <c r="EG267" s="51">
        <f t="shared" si="204"/>
        <v>1.6124634637566563E-3</v>
      </c>
      <c r="EH267" s="52">
        <f t="shared" si="139"/>
        <v>9.2140769357523225E-4</v>
      </c>
      <c r="EI267" s="51">
        <f t="shared" si="191"/>
        <v>0.99907859230642471</v>
      </c>
      <c r="EK267" s="53">
        <f>(EA267*'[2]Renewable Diesel'!BF276*'[2]Feedstock Conversion Rates'!B$2)+FB267</f>
        <v>303.47308136236677</v>
      </c>
      <c r="EL267" s="53">
        <f>(EB267*'[2]Renewable Diesel'!BF276*'[2]Feedstock Conversion Rates'!B$3)+FC267</f>
        <v>1611.6128077270278</v>
      </c>
      <c r="EM267" s="53">
        <f>(EC267*'[2]Renewable Diesel'!BF276*'[2]Feedstock Conversion Rates'!B$4)+FD267</f>
        <v>3579.4182056563664</v>
      </c>
      <c r="EN267" s="53">
        <f>(ED267*'[2]Renewable Diesel'!BF276*'[2]Feedstock Conversion Rates'!B$5)+FE267</f>
        <v>105.81032392243195</v>
      </c>
      <c r="EO267" s="53">
        <f>(EE267*'[2]Renewable Diesel'!BF276*'[2]Feedstock Conversion Rates'!B$6)+FF267</f>
        <v>633.30697566575168</v>
      </c>
      <c r="EP267" s="53">
        <f>(EF267*'[2]Renewable Diesel'!BF276*'[2]Feedstock Conversion Rates'!B$7)+FG267</f>
        <v>747.51875582209891</v>
      </c>
      <c r="EQ267" s="53">
        <f>(EG267*'[2]Renewable Diesel'!BF276*'[2]Feedstock Conversion Rates'!B$8)+FH267</f>
        <v>13.290271545176001</v>
      </c>
      <c r="ER267" s="53">
        <f>(EH267*'[2]Renewable Diesel'!BF276*'[2]Feedstock Conversion Rates'!B$9)+FI267</f>
        <v>7.4931816711849466</v>
      </c>
      <c r="ES267" s="53">
        <f t="shared" si="141"/>
        <v>7001.9236033724046</v>
      </c>
      <c r="ET267" s="36">
        <f>ES267/'[2]Renewable Diesel'!BF276</f>
        <v>7.9642461226775856</v>
      </c>
    </row>
    <row r="268" spans="1:150" x14ac:dyDescent="0.25">
      <c r="A268" s="39">
        <v>48580</v>
      </c>
      <c r="B268" s="45">
        <f>115.75+145+100+235+31.5-21-287-20-28-32-70-39-47+40+20-3-10-2.5-15-75-35-1+35-1+25+32+10+32+7-46-95</f>
        <v>0.75</v>
      </c>
      <c r="C268" s="45">
        <f>50-1+1+5-55+15+46.5-27-6-15</f>
        <v>13.5</v>
      </c>
      <c r="D268" s="45">
        <f t="shared" si="209"/>
        <v>2</v>
      </c>
      <c r="E268" s="45">
        <f>('[2]Renewable Diesel'!B277*E$3*'[2]Feedstock Conversion Rates'!$B$2)/12+26+13-100+27.5+39+75-10-32-1-7+46-46.5+27</f>
        <v>146.93</v>
      </c>
      <c r="F268" s="45">
        <f>('[2]Renewable Diesel'!B277*'[2]RD Feedstock Breakdown'!F$3*'[2]Feedstock Conversion Rates'!B$8)/12+77+23-10-12-115.75+24+8+2.5+1-32-15</f>
        <v>4.65625</v>
      </c>
      <c r="G268" s="45">
        <f>('[2]Renewable Diesel'!B277*'[2]RD Feedstock Breakdown'!G$3*'[2]Feedstock Conversion Rates'!B$7)/12+116.75-39-57.5-145-31.5+32+70-40+10+15-35-25-5+6</f>
        <v>47.907000000000039</v>
      </c>
      <c r="H268" s="45">
        <f>('[2]Renewable Diesel'!B277*'[2]RD Feedstock Breakdown'!H$3*'[2]Feedstock Conversion Rates'!B$3)/12+67+10+12+3-235+20+47-20+35-5+150+20</f>
        <v>280.40022499999998</v>
      </c>
      <c r="I268" s="47">
        <f t="shared" si="160"/>
        <v>496.14347500000002</v>
      </c>
      <c r="J268" s="45">
        <f t="shared" si="210"/>
        <v>0.5</v>
      </c>
      <c r="K268" s="45"/>
      <c r="L268" s="45">
        <v>1</v>
      </c>
      <c r="M268" s="45">
        <f>('[2]Renewable Diesel'!C277*'[2]RD Feedstock Breakdown'!M$3*'[2]Feedstock Conversion Rates'!B$2)/12-55+37-25+10.5-20+30</f>
        <v>-14.70975</v>
      </c>
      <c r="N268" s="45">
        <f>('[2]Renewable Diesel'!C277*'[2]RD Feedstock Breakdown'!N$3*'[2]Feedstock Conversion Rates'!B$8)/12+8-20+10-5-15+3-11</f>
        <v>-26.328125</v>
      </c>
      <c r="O268" s="45">
        <f>('[2]Renewable Diesel'!C277*'[2]RD Feedstock Breakdown'!O$3*'[2]Feedstock Conversion Rates'!B$7)/12-80+120-40+20</f>
        <v>31.999099999999999</v>
      </c>
      <c r="P268" s="45">
        <f>('[2]Renewable Diesel'!C277*'[2]RD Feedstock Breakdown'!P$3*'[2]Feedstock Conversion Rates'!B$3)/12+6-15+50+60-105-20+50+5</f>
        <v>41.447042500000009</v>
      </c>
      <c r="Q268" s="47">
        <f t="shared" si="172"/>
        <v>33.908267500000008</v>
      </c>
      <c r="R268" s="45">
        <f>('[2]Renewable Diesel'!D277*'[2]RD Feedstock Breakdown'!R$3*'[2]Feedstock Conversion Rates'!B$7)/12</f>
        <v>2.2999999999999998</v>
      </c>
      <c r="S268" s="47">
        <f t="shared" si="203"/>
        <v>2.2999999999999998</v>
      </c>
      <c r="T268" s="45">
        <f t="shared" si="214"/>
        <v>0.82500000000000284</v>
      </c>
      <c r="U268" s="45">
        <v>35</v>
      </c>
      <c r="V268" s="45">
        <f>('[2]Renewable Diesel'!E277*'[2]RD Feedstock Breakdown'!V$3*'[2]Feedstock Conversion Rates'!B$6)/12-20+25-35</f>
        <v>14.250150000000012</v>
      </c>
      <c r="W268" s="45">
        <f>('[2]Renewable Diesel'!E277*'[2]RD Feedstock Breakdown'!W$3*'[2]Feedstock Conversion Rates'!B$8)/12-6</f>
        <v>16.1796875</v>
      </c>
      <c r="X268" s="47">
        <f t="shared" si="147"/>
        <v>66.254837500000008</v>
      </c>
      <c r="Y268" s="45">
        <f t="shared" si="211"/>
        <v>146</v>
      </c>
      <c r="Z268" s="45">
        <f>('[2]Renewable Diesel'!F277*'[2]RD Feedstock Breakdown'!Z$3*'[2]Feedstock Conversion Rates'!B$6)/12-142+15+5+75-45+52.5-87.5+80-10-20-17+2+7</f>
        <v>74.460000000000008</v>
      </c>
      <c r="AA268" s="45">
        <f>('[2]Renewable Diesel'!F277*'[2]RD Feedstock Breakdown'!AA$3*'[2]Feedstock Conversion Rates'!B$7)/12+24-30-55</f>
        <v>43.266666666666652</v>
      </c>
      <c r="AB268" s="47">
        <f t="shared" si="190"/>
        <v>263.72666666666669</v>
      </c>
      <c r="AC268" s="45">
        <f>('[2]Renewable Diesel'!G277*'[2]RD Feedstock Breakdown'!AC$3*'[2]Feedstock Conversion Rates'!B$5)/12</f>
        <v>11.796875</v>
      </c>
      <c r="AD268" s="45">
        <f>('[2]Renewable Diesel'!G277*'[2]RD Feedstock Breakdown'!AD$3*'[2]Feedstock Conversion Rates'!B$4)/12</f>
        <v>5.859375</v>
      </c>
      <c r="AE268" s="45">
        <f>('[2]Renewable Diesel'!G277*'[2]RD Feedstock Breakdown'!AE$3*'[2]Feedstock Conversion Rates'!B$6)/12</f>
        <v>7.3281250000000009</v>
      </c>
      <c r="AF268" s="47">
        <f t="shared" si="156"/>
        <v>24.984375</v>
      </c>
      <c r="AG268" s="45">
        <f t="shared" si="182"/>
        <v>6.5</v>
      </c>
      <c r="AH268" s="45">
        <v>135</v>
      </c>
      <c r="AI268" s="45">
        <f>('[2]Renewable Diesel'!H277*'[2]RD Feedstock Breakdown'!AI$3*'[2]Feedstock Conversion Rates'!B$6)/12-130-20+51-120+105-37.5+10</f>
        <v>7.0166666666666799</v>
      </c>
      <c r="AJ268" s="47">
        <f t="shared" si="202"/>
        <v>13.51666666666668</v>
      </c>
      <c r="AK268" s="45">
        <f>('[2]Renewable Diesel'!J277*'[2]RD Feedstock Breakdown'!AK$3*'[2]Feedstock Conversion Rates'!B$4)/12</f>
        <v>95.8125</v>
      </c>
      <c r="AL268" s="47">
        <f t="shared" si="205"/>
        <v>95.8125</v>
      </c>
      <c r="AM268" s="45">
        <f>('[2]Renewable Diesel'!K277*'[2]RD Feedstock Breakdown'!AM$3*'[2]Feedstock Conversion Rates'!B$4)/12+5+15-10+5-26</f>
        <v>47.59375</v>
      </c>
      <c r="AN268" s="45">
        <f>('[2]Renewable Diesel'!K277*'[2]RD Feedstock Breakdown'!AN$3*'[2]Feedstock Conversion Rates'!B$6)/12-5-15+10-5+26</f>
        <v>35.427083333333329</v>
      </c>
      <c r="AO268" s="47">
        <f t="shared" si="135"/>
        <v>83.020833333333329</v>
      </c>
      <c r="AP268" s="45">
        <f>('[2]Renewable Diesel'!L277*'[2]RD Feedstock Breakdown'!AP$3*'[2]Feedstock Conversion Rates'!B$4)/12+15-10+10+2.5</f>
        <v>76.09375</v>
      </c>
      <c r="AQ268" s="45">
        <f>('[2]Renewable Diesel'!L277*'[2]RD Feedstock Breakdown'!AQ$3*'[2]Feedstock Conversion Rates'!B$6)/12-15+10-10-2.5</f>
        <v>6.9270833333333321</v>
      </c>
      <c r="AR268" s="47">
        <f t="shared" si="207"/>
        <v>83.020833333333329</v>
      </c>
      <c r="AS268" s="45">
        <f>('[2]Renewable Diesel'!M277*'[2]RD Feedstock Breakdown'!AS$3*'[2]Feedstock Conversion Rates'!B$4)/12</f>
        <v>456.25</v>
      </c>
      <c r="AT268" s="45">
        <f>('[2]Renewable Diesel'!M277*'[2]RD Feedstock Breakdown'!AT$3*'[2]Feedstock Conversion Rates'!B$5)/12</f>
        <v>0</v>
      </c>
      <c r="AU268" s="47">
        <f t="shared" si="159"/>
        <v>456.25</v>
      </c>
      <c r="AV268" s="45">
        <f>'[2]Renewable Diesel'!N277*'[2]RD Feedstock Breakdown'!$AV$3*'[2]Feedstock Conversion Rates'!$B$4/12-15-10+25+25-22+15-68+11</f>
        <v>39.749999999999986</v>
      </c>
      <c r="AW268" s="45">
        <f>'[2]Renewable Diesel'!N277*'[2]RD Feedstock Breakdown'!$AW$3*'[2]Feedstock Conversion Rates'!$B$7/12+15+10-25-25+22-15+68-11</f>
        <v>80.400000000000006</v>
      </c>
      <c r="AX268" s="47">
        <f t="shared" si="193"/>
        <v>120.14999999999999</v>
      </c>
      <c r="AY268" s="45">
        <f>('[2]Renewable Diesel'!O277*'[2]RD Feedstock Breakdown'!AY$3*'[2]Feedstock Conversion Rates'!B$4)/12-100-160</f>
        <v>-49.0625</v>
      </c>
      <c r="AZ268" s="45">
        <f>('[2]Renewable Diesel'!O277*'[2]RD Feedstock Breakdown'!AZ$3*'[2]Feedstock Conversion Rates'!B$3)/12+100+160</f>
        <v>285.03125</v>
      </c>
      <c r="BA268" s="47">
        <f t="shared" si="173"/>
        <v>235.96875</v>
      </c>
      <c r="BB268" s="45">
        <f>('[2]Renewable Diesel'!Q277*'[2]RD Feedstock Breakdown'!BB$3*'[2]Feedstock Conversion Rates'!B$4)/12</f>
        <v>11.156249999999998</v>
      </c>
      <c r="BC268" s="45">
        <f>('[2]Renewable Diesel'!Q277*'[2]RD Feedstock Breakdown'!BC$3*'[2]Feedstock Conversion Rates'!B$3)/12</f>
        <v>1.4017500000000001</v>
      </c>
      <c r="BD268" s="45">
        <f>('[2]Renewable Diesel'!Q277*'[2]RD Feedstock Breakdown'!BD$3*'[2]Feedstock Conversion Rates'!B$6)/12</f>
        <v>0.8207500000000002</v>
      </c>
      <c r="BE268" s="47">
        <f t="shared" si="151"/>
        <v>13.378749999999998</v>
      </c>
      <c r="BF268" s="45">
        <f>('[2]Renewable Diesel'!R277*'[2]RD Feedstock Breakdown'!BF$3*'[2]Feedstock Conversion Rates'!B$4)/12</f>
        <v>62.5</v>
      </c>
      <c r="BG268" s="47">
        <f t="shared" si="215"/>
        <v>62.5</v>
      </c>
      <c r="BH268" s="45">
        <f>('[2]Renewable Diesel'!T277*'[2]RD Feedstock Breakdown'!BH$3*'[2]Feedstock Conversion Rates'!B$7)/12</f>
        <v>27.599999999999998</v>
      </c>
      <c r="BI268" s="47">
        <f t="shared" si="195"/>
        <v>27.599999999999998</v>
      </c>
      <c r="BJ268" s="45">
        <f>('[2]Renewable Diesel'!W277*'[2]RD Feedstock Breakdown'!BJ$3*'[2]Feedstock Conversion Rates'!B$4)/12</f>
        <v>7.5</v>
      </c>
      <c r="BK268" s="45">
        <f>('[2]Renewable Diesel'!W277*'[2]RD Feedstock Breakdown'!BK$3*'[2]Feedstock Conversion Rates'!B$3)/12</f>
        <v>1.335</v>
      </c>
      <c r="BL268" s="45">
        <f>('[2]Renewable Diesel'!W277*'[2]RD Feedstock Breakdown'!BL$3*'[2]Feedstock Conversion Rates'!B$6)/12</f>
        <v>3.1266666666666669</v>
      </c>
      <c r="BM268" s="45">
        <f>('[2]Renewable Diesel'!W277*'[2]RD Feedstock Breakdown'!BM$3*'[2]Feedstock Conversion Rates'!B$7)/12</f>
        <v>1.5333333333333332</v>
      </c>
      <c r="BN268" s="47">
        <f t="shared" si="168"/>
        <v>13.495000000000001</v>
      </c>
      <c r="BO268" s="45">
        <f>('[2]Renewable Diesel'!P277*'[2]Feedstock Conversion Rates'!B$4)/12</f>
        <v>31.25</v>
      </c>
      <c r="BP268" s="47">
        <f t="shared" si="157"/>
        <v>31.25</v>
      </c>
      <c r="BQ268" s="45">
        <f>('[2]Renewable Diesel'!$S277*'[2]RD Feedstock Breakdown'!BQ$3*'[2]Feedstock Conversion Rates'!B$4)/12+10</f>
        <v>38.125</v>
      </c>
      <c r="BR268" s="45">
        <f>('[2]Renewable Diesel'!$S277*'[2]RD Feedstock Breakdown'!BR$3*'[2]Feedstock Conversion Rates'!B$7)/12-10</f>
        <v>1.5</v>
      </c>
      <c r="BS268" s="47">
        <f t="shared" si="174"/>
        <v>39.625</v>
      </c>
      <c r="BT268" s="47"/>
      <c r="BU268" s="45">
        <f>('[2]Renewable Diesel'!Y277*'[2]Feedstock Conversion Rates'!B$7)/12</f>
        <v>2.6833333333333331</v>
      </c>
      <c r="BV268" s="47">
        <f t="shared" si="153"/>
        <v>2.6833333333333331</v>
      </c>
      <c r="BW268" s="45">
        <f>('[2]Renewable Diesel'!$Z277*'[2]RD Feedstock Breakdown'!BW$3*'[2]Feedstock Conversion Rates'!$B$4)/12</f>
        <v>71.875</v>
      </c>
      <c r="BX268" s="45">
        <f>('[2]Renewable Diesel'!$Z277*'[2]RD Feedstock Breakdown'!BX$3*'[2]Feedstock Conversion Rates'!$B$5)/12</f>
        <v>7.2354166666666666</v>
      </c>
      <c r="BY268" s="45">
        <f>('[2]Renewable Diesel'!$Z277*'[2]RD Feedstock Breakdown'!BY$3*'[2]Feedstock Conversion Rates'!$B$7)/12</f>
        <v>61.716666666666661</v>
      </c>
      <c r="BZ268" s="45">
        <f>('[2]Renewable Diesel'!$Z277*'[2]RD Feedstock Breakdown'!BZ$3*'[2]Feedstock Conversion Rates'!$B$3)/12</f>
        <v>15.352499999999999</v>
      </c>
      <c r="CA268" s="47">
        <f t="shared" si="181"/>
        <v>156.17958333333331</v>
      </c>
      <c r="CB268" s="45">
        <f>('[2]Renewable Diesel'!AA277*'[2]Feedstock Conversion Rates'!B$4)/12</f>
        <v>191.25</v>
      </c>
      <c r="CC268" s="47">
        <f t="shared" si="171"/>
        <v>191.25</v>
      </c>
      <c r="CD268" s="45">
        <f>('[2]Renewable Diesel'!$AB277*'[2]RD Feedstock Breakdown'!CD$3*'[2]Feedstock Conversion Rates'!$B$6)/12-15-5+5</f>
        <v>17.830000000000005</v>
      </c>
      <c r="CE268" s="45">
        <f>('[2]Renewable Diesel'!$AB277*'[2]RD Feedstock Breakdown'!CE$3*'[2]Feedstock Conversion Rates'!$B$4)/12+15+5-5</f>
        <v>26.25</v>
      </c>
      <c r="CF268" s="47">
        <f t="shared" si="161"/>
        <v>44.080000000000005</v>
      </c>
      <c r="CG268" s="45">
        <f>('[2]Renewable Diesel'!AD277*'[2]Feedstock Conversion Rates'!B$4)/12</f>
        <v>112.5</v>
      </c>
      <c r="CH268" s="47">
        <f t="shared" si="149"/>
        <v>112.5</v>
      </c>
      <c r="CI268" s="45">
        <f>('[2]Renewable Diesel'!$AE277*'[2]RD Feedstock Breakdown'!CI$3*'[2]Feedstock Conversion Rates'!$B$5)/12</f>
        <v>0.34604166666666664</v>
      </c>
      <c r="CJ268" s="45">
        <f>('[2]Renewable Diesel'!$AE277*'[2]RD Feedstock Breakdown'!CJ$3*'[2]Feedstock Conversion Rates'!$B$4)/12</f>
        <v>0.34375</v>
      </c>
      <c r="CK268" s="47">
        <f t="shared" si="158"/>
        <v>0.68979166666666658</v>
      </c>
      <c r="CL268" s="45">
        <f>(((CL$3*'[2]Renewable Diesel'!$AF277)*'[2]Feedstock Conversion Rates'!$B$3)/12)</f>
        <v>91.78125</v>
      </c>
      <c r="CM268" s="45">
        <f>(((CM$3*'[2]Renewable Diesel'!$AF277)*'[2]Feedstock Conversion Rates'!$B$6)/12)</f>
        <v>53.739583333333336</v>
      </c>
      <c r="CN268" s="45">
        <f>(((CN$3*'[2]Renewable Diesel'!$AF277)*'[2]Feedstock Conversion Rates'!$B$4)/12)</f>
        <v>42.96875</v>
      </c>
      <c r="CO268" s="47">
        <f t="shared" si="152"/>
        <v>188.48958333333334</v>
      </c>
      <c r="CP268" s="45">
        <f>('[2]Renewable Diesel'!$AG277*'[2]RD Feedstock Breakdown'!CP$3*'[2]Feedstock Conversion Rates'!$B$3)/12</f>
        <v>6.0075000000000003</v>
      </c>
      <c r="CQ268" s="45">
        <f>('[2]Renewable Diesel'!$AG277*'[2]RD Feedstock Breakdown'!CQ$3*'[2]Feedstock Conversion Rates'!$B$6)/12</f>
        <v>3.5175000000000001</v>
      </c>
      <c r="CR268" s="45">
        <f>('[2]Renewable Diesel'!$AG277*'[2]RD Feedstock Breakdown'!CR$3*'[2]Feedstock Conversion Rates'!$B$4)/12</f>
        <v>2.8125</v>
      </c>
      <c r="CS268" s="47">
        <f t="shared" si="183"/>
        <v>12.3375</v>
      </c>
      <c r="CT268" s="45">
        <f>('[2]Renewable Diesel'!AI277*'[2]Feedstock Conversion Rates'!$B$4*'[2]RD Feedstock Breakdown'!$CT$3)/12</f>
        <v>29.375</v>
      </c>
      <c r="CU268" s="47">
        <f t="shared" si="154"/>
        <v>29.375</v>
      </c>
      <c r="CV268" s="45">
        <f>('[2]Renewable Diesel'!AN277*'[2]Feedstock Conversion Rates'!$B$3*'[2]RD Feedstock Breakdown'!$CV$3)/12</f>
        <v>0.50062499999999999</v>
      </c>
      <c r="CW268" s="47">
        <f t="shared" si="206"/>
        <v>0.50062499999999999</v>
      </c>
      <c r="CX268" s="45">
        <f>('[2]Renewable Diesel'!AO277*'[2]RD Feedstock Breakdown'!$CX$3*'[2]Feedstock Conversion Rates'!$B$3)/12</f>
        <v>6.3412499999999996</v>
      </c>
      <c r="CY268" s="45">
        <f>('[2]Renewable Diesel'!AO277*'[2]RD Feedstock Breakdown'!$CY$3*'[2]Feedstock Conversion Rates'!$B$6)/12</f>
        <v>7.4258333333333342</v>
      </c>
      <c r="CZ268" s="47">
        <f t="shared" si="188"/>
        <v>13.767083333333334</v>
      </c>
      <c r="DA268" s="45">
        <f>('[2]Renewable Diesel'!$AP277*'[2]RD Feedstock Breakdown'!DA$3*'[2]Feedstock Conversion Rates'!$B$3)/12</f>
        <v>6.3412499999999996</v>
      </c>
      <c r="DB268" s="45">
        <f>('[2]Renewable Diesel'!$AP277*'[2]RD Feedstock Breakdown'!DB$3*'[2]Feedstock Conversion Rates'!$B$8)/12</f>
        <v>7.421875</v>
      </c>
      <c r="DC268" s="47">
        <f t="shared" si="212"/>
        <v>13.763124999999999</v>
      </c>
      <c r="DD268" s="45">
        <f>('[2]Renewable Diesel'!AQ277*$DD$3*'[2]Feedstock Conversion Rates'!$B$14)/12</f>
        <v>3.1041666666666665</v>
      </c>
      <c r="DE268" s="47">
        <f t="shared" si="213"/>
        <v>3.1041666666666665</v>
      </c>
      <c r="DF268" s="45">
        <f>('[2]Renewable Diesel'!AR277*'[2]Feedstock Conversion Rates'!$B$4*$DF$3)/12</f>
        <v>75</v>
      </c>
      <c r="DG268" s="47">
        <f t="shared" si="189"/>
        <v>75</v>
      </c>
      <c r="DH268" s="45">
        <f>('[2]Renewable Diesel'!AS277*'[2]Feedstock Conversion Rates'!$B$4*$DH$3)/12</f>
        <v>75</v>
      </c>
      <c r="DI268" s="47">
        <f t="shared" si="194"/>
        <v>75</v>
      </c>
      <c r="DJ268" s="45">
        <f>('[2]Renewable Diesel'!AT277*'[2]Feedstock Conversion Rates'!$B$4*0.25)/12</f>
        <v>8.59375</v>
      </c>
      <c r="DK268" s="45">
        <f>('[2]Renewable Diesel'!$AT277*'[2]RD Feedstock Breakdown'!DK$3*'[2]Feedstock Conversion Rates'!$B$3)/12*0.5</f>
        <v>9.1781249999999996</v>
      </c>
      <c r="DL268" s="45">
        <f>('[2]Renewable Diesel'!$AT277*'[2]RD Feedstock Breakdown'!$DL$3*'[2]Feedstock Conversion Rates'!$B$6)/12</f>
        <v>10.747916666666669</v>
      </c>
      <c r="DM268" s="45">
        <f>('[2]Renewable Diesel'!$AT277*'[2]RD Feedstock Breakdown'!$DM$3*'[2]Feedstock Conversion Rates'!$B$8)/12</f>
        <v>10.7421875</v>
      </c>
      <c r="DN268" s="47">
        <f t="shared" si="169"/>
        <v>39.26197916666667</v>
      </c>
      <c r="DP268" s="45">
        <f t="shared" ref="DP268:DP331" si="216">E268+M268</f>
        <v>132.22025000000002</v>
      </c>
      <c r="DQ268" s="45">
        <f t="shared" ref="DQ268:DQ331" si="217">H268+P268+AZ268+BC268+BK268+BZ268+CL268+CP268+CV268+CX268+DA268+DK268</f>
        <v>745.11776750000001</v>
      </c>
      <c r="DR268" s="45">
        <f t="shared" si="136"/>
        <v>1767.453125</v>
      </c>
      <c r="DS268" s="45">
        <f t="shared" si="155"/>
        <v>51.901249999999997</v>
      </c>
      <c r="DT268" s="45">
        <f t="shared" ref="DT268:DT331" si="218">V268+Z268+AE268+AI268+BD268+BL268+AN268+AQ268+CD268+CM268+CQ268+CY268+DB268+DL268</f>
        <v>250.03923333333344</v>
      </c>
      <c r="DU268" s="45">
        <f t="shared" ref="DU268:DU331" si="219">G268+O268+R268+AA268+AW268+BH268+BM268+BR268+BU268+BY268</f>
        <v>300.90609999999998</v>
      </c>
      <c r="DV268" s="45">
        <f t="shared" si="137"/>
        <v>5.25</v>
      </c>
      <c r="DW268" s="45">
        <f t="shared" ref="DW268:DW331" si="220">D268+L268</f>
        <v>3</v>
      </c>
      <c r="DX268" s="47">
        <f t="shared" si="138"/>
        <v>3255.8877258333337</v>
      </c>
      <c r="DY268" s="50">
        <f t="shared" si="208"/>
        <v>-135.00000000000048</v>
      </c>
      <c r="EA268" s="51">
        <f t="shared" si="204"/>
        <v>4.0609585198813539E-2</v>
      </c>
      <c r="EB268" s="51">
        <f t="shared" si="204"/>
        <v>0.22885241453136704</v>
      </c>
      <c r="EC268" s="51">
        <f t="shared" si="204"/>
        <v>0.54284830246952887</v>
      </c>
      <c r="ED268" s="51">
        <f t="shared" si="204"/>
        <v>1.5940737018723838E-2</v>
      </c>
      <c r="EE268" s="51">
        <f t="shared" si="204"/>
        <v>7.6796024429662033E-2</v>
      </c>
      <c r="EF268" s="51">
        <f t="shared" si="204"/>
        <v>9.2419065194572728E-2</v>
      </c>
      <c r="EG268" s="51">
        <f t="shared" si="204"/>
        <v>1.6124634637566563E-3</v>
      </c>
      <c r="EH268" s="52">
        <f t="shared" si="139"/>
        <v>9.2140769357523225E-4</v>
      </c>
      <c r="EI268" s="51">
        <f t="shared" si="191"/>
        <v>0.99907859230642471</v>
      </c>
      <c r="EK268" s="53">
        <f>(EA268*'[2]Renewable Diesel'!BF277*'[2]Feedstock Conversion Rates'!B$2)+FB268</f>
        <v>171.9529523057432</v>
      </c>
      <c r="EL268" s="53">
        <f>(EB268*'[2]Renewable Diesel'!BF277*'[2]Feedstock Conversion Rates'!B$3)+FC268</f>
        <v>913.16692412500709</v>
      </c>
      <c r="EM268" s="53">
        <f>(EC268*'[2]Renewable Diesel'!BF277*'[2]Feedstock Conversion Rates'!B$4)+FD268</f>
        <v>2028.1585610046272</v>
      </c>
      <c r="EN268" s="53">
        <f>(ED268*'[2]Renewable Diesel'!BF277*'[2]Feedstock Conversion Rates'!B$5)+FE268</f>
        <v>59.953909260122721</v>
      </c>
      <c r="EO268" s="53">
        <f>(EE268*'[2]Renewable Diesel'!BF277*'[2]Feedstock Conversion Rates'!B$6)+FF268</f>
        <v>358.84238461175056</v>
      </c>
      <c r="EP268" s="53">
        <f>(EF268*'[2]Renewable Diesel'!BF277*'[2]Feedstock Conversion Rates'!B$7)+FG268</f>
        <v>423.55670028618778</v>
      </c>
      <c r="EQ268" s="53">
        <f>(EG268*'[2]Renewable Diesel'!BF277*'[2]Feedstock Conversion Rates'!B$8)+FH268</f>
        <v>7.5304913993647586</v>
      </c>
      <c r="ER268" s="53">
        <f>(EH268*'[2]Renewable Diesel'!BF277*'[2]Feedstock Conversion Rates'!B$9)+FI268</f>
        <v>4.24576276992756</v>
      </c>
      <c r="ES268" s="53">
        <f t="shared" si="141"/>
        <v>3967.407685762731</v>
      </c>
      <c r="ET268" s="36">
        <f>ES268/'[2]Renewable Diesel'!BF277</f>
        <v>7.9642461226775856</v>
      </c>
    </row>
    <row r="269" spans="1:150" x14ac:dyDescent="0.25">
      <c r="A269" s="39">
        <v>48611</v>
      </c>
      <c r="B269" s="45">
        <f t="shared" ref="B269:B276" si="221">115.75+145+100+235+31.5-21-287-20-28-32-70-39-47+40+20-3-10-2.5-15-75-35-1+35-1+25+32+10+32+7-46-95</f>
        <v>0.75</v>
      </c>
      <c r="C269" s="45">
        <f t="shared" ref="C269:C276" si="222">50-1+1+5-55+15+46.5-27-6-15</f>
        <v>13.5</v>
      </c>
      <c r="D269" s="45">
        <f t="shared" si="209"/>
        <v>2</v>
      </c>
      <c r="E269" s="45">
        <f>('[2]Renewable Diesel'!B278*E$3*'[2]Feedstock Conversion Rates'!$B$2)/12+26+13-100+27.5+39+75-10-32-1-7+46-46.5+27</f>
        <v>146.93</v>
      </c>
      <c r="F269" s="45">
        <f>('[2]Renewable Diesel'!B278*'[2]RD Feedstock Breakdown'!F$3*'[2]Feedstock Conversion Rates'!B$8)/12+77+23-10-12-115.75+24+8+2.5+1-32-15</f>
        <v>4.65625</v>
      </c>
      <c r="G269" s="45">
        <f>('[2]Renewable Diesel'!B278*'[2]RD Feedstock Breakdown'!G$3*'[2]Feedstock Conversion Rates'!B$7)/12+116.75-39-57.5-145-31.5+32+70-40+10+15-35-25-5+6</f>
        <v>47.907000000000039</v>
      </c>
      <c r="H269" s="45">
        <f>('[2]Renewable Diesel'!B278*'[2]RD Feedstock Breakdown'!H$3*'[2]Feedstock Conversion Rates'!B$3)/12+67+10+12+3-235+20+47-20+35-5+150+20</f>
        <v>280.40022499999998</v>
      </c>
      <c r="I269" s="47">
        <f t="shared" si="160"/>
        <v>496.14347500000002</v>
      </c>
      <c r="J269" s="45">
        <f t="shared" si="210"/>
        <v>0.5</v>
      </c>
      <c r="K269" s="45"/>
      <c r="L269" s="45">
        <v>1</v>
      </c>
      <c r="M269" s="45">
        <f>('[2]Renewable Diesel'!C278*'[2]RD Feedstock Breakdown'!M$3*'[2]Feedstock Conversion Rates'!B$2)/12-55+37-25+10.5-20+30</f>
        <v>-14.70975</v>
      </c>
      <c r="N269" s="45">
        <f>('[2]Renewable Diesel'!C278*'[2]RD Feedstock Breakdown'!N$3*'[2]Feedstock Conversion Rates'!B$8)/12+8-20+10-5-15+3-11</f>
        <v>-26.328125</v>
      </c>
      <c r="O269" s="45">
        <f>('[2]Renewable Diesel'!C278*'[2]RD Feedstock Breakdown'!O$3*'[2]Feedstock Conversion Rates'!B$7)/12-80+120-40+20</f>
        <v>31.999099999999999</v>
      </c>
      <c r="P269" s="45">
        <f>('[2]Renewable Diesel'!C278*'[2]RD Feedstock Breakdown'!P$3*'[2]Feedstock Conversion Rates'!B$3)/12+6-15+50+60-105-20+50+5</f>
        <v>41.447042500000009</v>
      </c>
      <c r="Q269" s="47">
        <f t="shared" si="172"/>
        <v>33.908267500000008</v>
      </c>
      <c r="R269" s="45">
        <f>('[2]Renewable Diesel'!D278*'[2]RD Feedstock Breakdown'!R$3*'[2]Feedstock Conversion Rates'!B$7)/12</f>
        <v>2.2999999999999998</v>
      </c>
      <c r="S269" s="47">
        <f t="shared" si="203"/>
        <v>2.2999999999999998</v>
      </c>
      <c r="T269" s="45">
        <f t="shared" si="214"/>
        <v>0.82500000000000284</v>
      </c>
      <c r="U269" s="45">
        <v>35</v>
      </c>
      <c r="V269" s="45">
        <f>('[2]Renewable Diesel'!E278*'[2]RD Feedstock Breakdown'!V$3*'[2]Feedstock Conversion Rates'!B$6)/12-20+25-35</f>
        <v>14.250150000000012</v>
      </c>
      <c r="W269" s="45">
        <f>('[2]Renewable Diesel'!E278*'[2]RD Feedstock Breakdown'!W$3*'[2]Feedstock Conversion Rates'!B$8)/12-6</f>
        <v>16.1796875</v>
      </c>
      <c r="X269" s="47">
        <f t="shared" si="147"/>
        <v>66.254837500000008</v>
      </c>
      <c r="Y269" s="45">
        <f t="shared" si="211"/>
        <v>146</v>
      </c>
      <c r="Z269" s="45">
        <f>('[2]Renewable Diesel'!F278*'[2]RD Feedstock Breakdown'!Z$3*'[2]Feedstock Conversion Rates'!B$6)/12-142+15+5+75-45+52.5-87.5+80-10-20-17+2+7</f>
        <v>74.460000000000008</v>
      </c>
      <c r="AA269" s="45">
        <f>('[2]Renewable Diesel'!F278*'[2]RD Feedstock Breakdown'!AA$3*'[2]Feedstock Conversion Rates'!B$7)/12+24-30-55</f>
        <v>43.266666666666652</v>
      </c>
      <c r="AB269" s="47">
        <f t="shared" si="190"/>
        <v>263.72666666666669</v>
      </c>
      <c r="AC269" s="45">
        <f>('[2]Renewable Diesel'!G278*'[2]RD Feedstock Breakdown'!AC$3*'[2]Feedstock Conversion Rates'!B$5)/12</f>
        <v>11.796875</v>
      </c>
      <c r="AD269" s="45">
        <f>('[2]Renewable Diesel'!G278*'[2]RD Feedstock Breakdown'!AD$3*'[2]Feedstock Conversion Rates'!B$4)/12</f>
        <v>5.859375</v>
      </c>
      <c r="AE269" s="45">
        <f>('[2]Renewable Diesel'!G278*'[2]RD Feedstock Breakdown'!AE$3*'[2]Feedstock Conversion Rates'!B$6)/12</f>
        <v>7.3281250000000009</v>
      </c>
      <c r="AF269" s="47">
        <f t="shared" si="156"/>
        <v>24.984375</v>
      </c>
      <c r="AG269" s="45">
        <f t="shared" si="182"/>
        <v>6.5</v>
      </c>
      <c r="AH269" s="45">
        <v>135</v>
      </c>
      <c r="AI269" s="45">
        <f>('[2]Renewable Diesel'!H278*'[2]RD Feedstock Breakdown'!AI$3*'[2]Feedstock Conversion Rates'!B$6)/12-130-20+51-120+105-37.5+10</f>
        <v>7.0166666666666799</v>
      </c>
      <c r="AJ269" s="47">
        <f t="shared" si="202"/>
        <v>13.51666666666668</v>
      </c>
      <c r="AK269" s="45">
        <f>('[2]Renewable Diesel'!J278*'[2]RD Feedstock Breakdown'!AK$3*'[2]Feedstock Conversion Rates'!B$4)/12</f>
        <v>95.8125</v>
      </c>
      <c r="AL269" s="47">
        <f t="shared" si="205"/>
        <v>95.8125</v>
      </c>
      <c r="AM269" s="45">
        <f>('[2]Renewable Diesel'!K278*'[2]RD Feedstock Breakdown'!AM$3*'[2]Feedstock Conversion Rates'!B$4)/12+5+15-10+5-26</f>
        <v>47.59375</v>
      </c>
      <c r="AN269" s="45">
        <f>('[2]Renewable Diesel'!K278*'[2]RD Feedstock Breakdown'!AN$3*'[2]Feedstock Conversion Rates'!B$6)/12-5-15+10-5+26</f>
        <v>35.427083333333329</v>
      </c>
      <c r="AO269" s="47">
        <f t="shared" ref="AO269:AO332" si="223">SUM(AM269:AN269)</f>
        <v>83.020833333333329</v>
      </c>
      <c r="AP269" s="45">
        <f>('[2]Renewable Diesel'!L278*'[2]RD Feedstock Breakdown'!AP$3*'[2]Feedstock Conversion Rates'!B$4)/12+15-10+10+2.5</f>
        <v>76.09375</v>
      </c>
      <c r="AQ269" s="45">
        <f>('[2]Renewable Diesel'!L278*'[2]RD Feedstock Breakdown'!AQ$3*'[2]Feedstock Conversion Rates'!B$6)/12-15+10-10-2.5</f>
        <v>6.9270833333333321</v>
      </c>
      <c r="AR269" s="47">
        <f t="shared" si="207"/>
        <v>83.020833333333329</v>
      </c>
      <c r="AS269" s="45">
        <f>('[2]Renewable Diesel'!M278*'[2]RD Feedstock Breakdown'!AS$3*'[2]Feedstock Conversion Rates'!B$4)/12</f>
        <v>456.25</v>
      </c>
      <c r="AT269" s="45">
        <f>('[2]Renewable Diesel'!M278*'[2]RD Feedstock Breakdown'!AT$3*'[2]Feedstock Conversion Rates'!B$5)/12</f>
        <v>0</v>
      </c>
      <c r="AU269" s="47">
        <f t="shared" si="159"/>
        <v>456.25</v>
      </c>
      <c r="AV269" s="45">
        <f>'[2]Renewable Diesel'!N278*'[2]RD Feedstock Breakdown'!$AV$3*'[2]Feedstock Conversion Rates'!$B$4/12-15-10+25+25-22+15-68+11</f>
        <v>39.749999999999986</v>
      </c>
      <c r="AW269" s="45">
        <f>'[2]Renewable Diesel'!N278*'[2]RD Feedstock Breakdown'!$AW$3*'[2]Feedstock Conversion Rates'!$B$7/12+15+10-25-25+22-15+68-11</f>
        <v>80.400000000000006</v>
      </c>
      <c r="AX269" s="47">
        <f t="shared" si="193"/>
        <v>120.14999999999999</v>
      </c>
      <c r="AY269" s="45">
        <f>('[2]Renewable Diesel'!O278*'[2]RD Feedstock Breakdown'!AY$3*'[2]Feedstock Conversion Rates'!B$4)/12-100-160</f>
        <v>-49.0625</v>
      </c>
      <c r="AZ269" s="45">
        <f>('[2]Renewable Diesel'!O278*'[2]RD Feedstock Breakdown'!AZ$3*'[2]Feedstock Conversion Rates'!B$3)/12+100+160</f>
        <v>285.03125</v>
      </c>
      <c r="BA269" s="47">
        <f t="shared" si="173"/>
        <v>235.96875</v>
      </c>
      <c r="BB269" s="45">
        <f>('[2]Renewable Diesel'!Q278*'[2]RD Feedstock Breakdown'!BB$3*'[2]Feedstock Conversion Rates'!B$4)/12</f>
        <v>11.156249999999998</v>
      </c>
      <c r="BC269" s="45">
        <f>('[2]Renewable Diesel'!Q278*'[2]RD Feedstock Breakdown'!BC$3*'[2]Feedstock Conversion Rates'!B$3)/12</f>
        <v>1.4017500000000001</v>
      </c>
      <c r="BD269" s="45">
        <f>('[2]Renewable Diesel'!Q278*'[2]RD Feedstock Breakdown'!BD$3*'[2]Feedstock Conversion Rates'!B$6)/12</f>
        <v>0.8207500000000002</v>
      </c>
      <c r="BE269" s="47">
        <f t="shared" si="151"/>
        <v>13.378749999999998</v>
      </c>
      <c r="BF269" s="45">
        <f>('[2]Renewable Diesel'!R278*'[2]RD Feedstock Breakdown'!BF$3*'[2]Feedstock Conversion Rates'!B$4)/12</f>
        <v>62.5</v>
      </c>
      <c r="BG269" s="47">
        <f t="shared" si="215"/>
        <v>62.5</v>
      </c>
      <c r="BH269" s="45">
        <f>('[2]Renewable Diesel'!T278*'[2]RD Feedstock Breakdown'!BH$3*'[2]Feedstock Conversion Rates'!B$7)/12</f>
        <v>27.599999999999998</v>
      </c>
      <c r="BI269" s="47">
        <f t="shared" si="195"/>
        <v>27.599999999999998</v>
      </c>
      <c r="BJ269" s="45">
        <f>('[2]Renewable Diesel'!W278*'[2]RD Feedstock Breakdown'!BJ$3*'[2]Feedstock Conversion Rates'!B$4)/12</f>
        <v>7.5</v>
      </c>
      <c r="BK269" s="45">
        <f>('[2]Renewable Diesel'!W278*'[2]RD Feedstock Breakdown'!BK$3*'[2]Feedstock Conversion Rates'!B$3)/12</f>
        <v>1.335</v>
      </c>
      <c r="BL269" s="45">
        <f>('[2]Renewable Diesel'!W278*'[2]RD Feedstock Breakdown'!BL$3*'[2]Feedstock Conversion Rates'!B$6)/12</f>
        <v>3.1266666666666669</v>
      </c>
      <c r="BM269" s="45">
        <f>('[2]Renewable Diesel'!W278*'[2]RD Feedstock Breakdown'!BM$3*'[2]Feedstock Conversion Rates'!B$7)/12</f>
        <v>1.5333333333333332</v>
      </c>
      <c r="BN269" s="47">
        <f t="shared" si="168"/>
        <v>13.495000000000001</v>
      </c>
      <c r="BO269" s="45">
        <f>('[2]Renewable Diesel'!P278*'[2]Feedstock Conversion Rates'!B$4)/12</f>
        <v>31.25</v>
      </c>
      <c r="BP269" s="47">
        <f t="shared" si="157"/>
        <v>31.25</v>
      </c>
      <c r="BQ269" s="45">
        <f>('[2]Renewable Diesel'!$S278*'[2]RD Feedstock Breakdown'!BQ$3*'[2]Feedstock Conversion Rates'!B$4)/12+10</f>
        <v>38.125</v>
      </c>
      <c r="BR269" s="45">
        <f>('[2]Renewable Diesel'!$S278*'[2]RD Feedstock Breakdown'!BR$3*'[2]Feedstock Conversion Rates'!B$7)/12-10</f>
        <v>1.5</v>
      </c>
      <c r="BS269" s="47">
        <f t="shared" si="174"/>
        <v>39.625</v>
      </c>
      <c r="BT269" s="47"/>
      <c r="BU269" s="45">
        <f>('[2]Renewable Diesel'!Y278*'[2]Feedstock Conversion Rates'!B$7)/12</f>
        <v>2.6833333333333331</v>
      </c>
      <c r="BV269" s="47">
        <f t="shared" si="153"/>
        <v>2.6833333333333331</v>
      </c>
      <c r="BW269" s="45">
        <f>('[2]Renewable Diesel'!$Z278*'[2]RD Feedstock Breakdown'!BW$3*'[2]Feedstock Conversion Rates'!$B$4)/12</f>
        <v>71.875</v>
      </c>
      <c r="BX269" s="45">
        <f>('[2]Renewable Diesel'!$Z278*'[2]RD Feedstock Breakdown'!BX$3*'[2]Feedstock Conversion Rates'!$B$5)/12</f>
        <v>7.2354166666666666</v>
      </c>
      <c r="BY269" s="45">
        <f>('[2]Renewable Diesel'!$Z278*'[2]RD Feedstock Breakdown'!BY$3*'[2]Feedstock Conversion Rates'!$B$7)/12</f>
        <v>61.716666666666661</v>
      </c>
      <c r="BZ269" s="45">
        <f>('[2]Renewable Diesel'!$Z278*'[2]RD Feedstock Breakdown'!BZ$3*'[2]Feedstock Conversion Rates'!$B$3)/12</f>
        <v>15.352499999999999</v>
      </c>
      <c r="CA269" s="47">
        <f t="shared" si="181"/>
        <v>156.17958333333331</v>
      </c>
      <c r="CB269" s="45">
        <f>('[2]Renewable Diesel'!AA278*'[2]Feedstock Conversion Rates'!B$4)/12</f>
        <v>191.25</v>
      </c>
      <c r="CC269" s="47">
        <f t="shared" si="171"/>
        <v>191.25</v>
      </c>
      <c r="CD269" s="45">
        <f>('[2]Renewable Diesel'!$AB278*'[2]RD Feedstock Breakdown'!CD$3*'[2]Feedstock Conversion Rates'!$B$6)/12-15-5+5</f>
        <v>17.830000000000005</v>
      </c>
      <c r="CE269" s="45">
        <f>('[2]Renewable Diesel'!$AB278*'[2]RD Feedstock Breakdown'!CE$3*'[2]Feedstock Conversion Rates'!$B$4)/12+15+5-5</f>
        <v>26.25</v>
      </c>
      <c r="CF269" s="47">
        <f t="shared" si="161"/>
        <v>44.080000000000005</v>
      </c>
      <c r="CG269" s="45">
        <f>('[2]Renewable Diesel'!AD278*'[2]Feedstock Conversion Rates'!B$4)/12</f>
        <v>112.5</v>
      </c>
      <c r="CH269" s="47">
        <f t="shared" si="149"/>
        <v>112.5</v>
      </c>
      <c r="CI269" s="45">
        <f>('[2]Renewable Diesel'!$AE278*'[2]RD Feedstock Breakdown'!CI$3*'[2]Feedstock Conversion Rates'!$B$5)/12</f>
        <v>0.34604166666666664</v>
      </c>
      <c r="CJ269" s="45">
        <f>('[2]Renewable Diesel'!$AE278*'[2]RD Feedstock Breakdown'!CJ$3*'[2]Feedstock Conversion Rates'!$B$4)/12</f>
        <v>0.34375</v>
      </c>
      <c r="CK269" s="47">
        <f t="shared" si="158"/>
        <v>0.68979166666666658</v>
      </c>
      <c r="CL269" s="45">
        <f>(((CL$3*'[2]Renewable Diesel'!$AF278)*'[2]Feedstock Conversion Rates'!$B$3)/12)</f>
        <v>91.78125</v>
      </c>
      <c r="CM269" s="45">
        <f>(((CM$3*'[2]Renewable Diesel'!$AF278)*'[2]Feedstock Conversion Rates'!$B$6)/12)</f>
        <v>53.739583333333336</v>
      </c>
      <c r="CN269" s="45">
        <f>(((CN$3*'[2]Renewable Diesel'!$AF278)*'[2]Feedstock Conversion Rates'!$B$4)/12)</f>
        <v>42.96875</v>
      </c>
      <c r="CO269" s="47">
        <f t="shared" si="152"/>
        <v>188.48958333333334</v>
      </c>
      <c r="CP269" s="45">
        <f>('[2]Renewable Diesel'!$AG278*'[2]RD Feedstock Breakdown'!CP$3*'[2]Feedstock Conversion Rates'!$B$3)/12</f>
        <v>6.0075000000000003</v>
      </c>
      <c r="CQ269" s="45">
        <f>('[2]Renewable Diesel'!$AG278*'[2]RD Feedstock Breakdown'!CQ$3*'[2]Feedstock Conversion Rates'!$B$6)/12</f>
        <v>3.5175000000000001</v>
      </c>
      <c r="CR269" s="45">
        <f>('[2]Renewable Diesel'!$AG278*'[2]RD Feedstock Breakdown'!CR$3*'[2]Feedstock Conversion Rates'!$B$4)/12</f>
        <v>2.8125</v>
      </c>
      <c r="CS269" s="47">
        <f t="shared" si="183"/>
        <v>12.3375</v>
      </c>
      <c r="CT269" s="45">
        <f>('[2]Renewable Diesel'!AI278*'[2]Feedstock Conversion Rates'!$B$4*'[2]RD Feedstock Breakdown'!$CT$3)/12</f>
        <v>29.375</v>
      </c>
      <c r="CU269" s="47">
        <f t="shared" si="154"/>
        <v>29.375</v>
      </c>
      <c r="CV269" s="45">
        <f>('[2]Renewable Diesel'!AN278*'[2]Feedstock Conversion Rates'!$B$3*'[2]RD Feedstock Breakdown'!$CV$3)/12</f>
        <v>0.50062499999999999</v>
      </c>
      <c r="CW269" s="47">
        <f t="shared" si="206"/>
        <v>0.50062499999999999</v>
      </c>
      <c r="CX269" s="45">
        <f>('[2]Renewable Diesel'!AO278*'[2]RD Feedstock Breakdown'!$CX$3*'[2]Feedstock Conversion Rates'!$B$3)/12</f>
        <v>6.3412499999999996</v>
      </c>
      <c r="CY269" s="45">
        <f>('[2]Renewable Diesel'!AO278*'[2]RD Feedstock Breakdown'!$CY$3*'[2]Feedstock Conversion Rates'!$B$6)/12</f>
        <v>7.4258333333333342</v>
      </c>
      <c r="CZ269" s="47">
        <f t="shared" si="188"/>
        <v>13.767083333333334</v>
      </c>
      <c r="DA269" s="45">
        <f>('[2]Renewable Diesel'!$AP278*'[2]RD Feedstock Breakdown'!DA$3*'[2]Feedstock Conversion Rates'!$B$3)/12</f>
        <v>6.3412499999999996</v>
      </c>
      <c r="DB269" s="45">
        <f>('[2]Renewable Diesel'!$AP278*'[2]RD Feedstock Breakdown'!DB$3*'[2]Feedstock Conversion Rates'!$B$8)/12</f>
        <v>7.421875</v>
      </c>
      <c r="DC269" s="47">
        <f t="shared" si="212"/>
        <v>13.763124999999999</v>
      </c>
      <c r="DD269" s="45">
        <f>('[2]Renewable Diesel'!AQ278*$DD$3*'[2]Feedstock Conversion Rates'!$B$14)/12</f>
        <v>3.1041666666666665</v>
      </c>
      <c r="DE269" s="47">
        <f t="shared" si="213"/>
        <v>3.1041666666666665</v>
      </c>
      <c r="DF269" s="45">
        <f>('[2]Renewable Diesel'!AR278*'[2]Feedstock Conversion Rates'!$B$4*$DF$3)/12</f>
        <v>75</v>
      </c>
      <c r="DG269" s="47">
        <f t="shared" si="189"/>
        <v>75</v>
      </c>
      <c r="DH269" s="45">
        <f>('[2]Renewable Diesel'!AS278*'[2]Feedstock Conversion Rates'!$B$4*$DH$3)/12</f>
        <v>75</v>
      </c>
      <c r="DI269" s="47">
        <f t="shared" si="194"/>
        <v>75</v>
      </c>
      <c r="DJ269" s="45">
        <f>('[2]Renewable Diesel'!AT278*'[2]Feedstock Conversion Rates'!$B$4*0.25)/12</f>
        <v>8.59375</v>
      </c>
      <c r="DK269" s="45">
        <f>('[2]Renewable Diesel'!$AT278*'[2]RD Feedstock Breakdown'!DK$3*'[2]Feedstock Conversion Rates'!$B$3)/12*0.5</f>
        <v>9.1781249999999996</v>
      </c>
      <c r="DL269" s="45">
        <f>('[2]Renewable Diesel'!$AT278*'[2]RD Feedstock Breakdown'!$DL$3*'[2]Feedstock Conversion Rates'!$B$6)/12</f>
        <v>10.747916666666669</v>
      </c>
      <c r="DM269" s="45">
        <f>('[2]Renewable Diesel'!$AT278*'[2]RD Feedstock Breakdown'!$DM$3*'[2]Feedstock Conversion Rates'!$B$8)/12</f>
        <v>10.7421875</v>
      </c>
      <c r="DN269" s="47">
        <f t="shared" si="169"/>
        <v>39.26197916666667</v>
      </c>
      <c r="DP269" s="45">
        <f t="shared" si="216"/>
        <v>132.22025000000002</v>
      </c>
      <c r="DQ269" s="45">
        <f t="shared" si="217"/>
        <v>745.11776750000001</v>
      </c>
      <c r="DR269" s="45">
        <f t="shared" ref="DR269:DR332" si="224">AD269+AK269+AM269+AP269+AV269+AY269+BB269+BF269+BJ269+Y269+B269+BO269+BQ269+BW269+CB269+CE269+CG269+CJ269+BT269+CN269+CR269+CT269+DF269+DH269+AS269+J269+U269+AH269</f>
        <v>1767.453125</v>
      </c>
      <c r="DS269" s="45">
        <f t="shared" si="155"/>
        <v>51.901249999999997</v>
      </c>
      <c r="DT269" s="45">
        <f t="shared" si="218"/>
        <v>250.03923333333344</v>
      </c>
      <c r="DU269" s="45">
        <f t="shared" si="219"/>
        <v>300.90609999999998</v>
      </c>
      <c r="DV269" s="45">
        <f t="shared" ref="DV269:DV332" si="225">F269+N269+W269+DM269</f>
        <v>5.25</v>
      </c>
      <c r="DW269" s="45">
        <f t="shared" si="220"/>
        <v>3</v>
      </c>
      <c r="DX269" s="47">
        <f t="shared" ref="DX269:DX332" si="226">SUM(DP269:DW269)</f>
        <v>3255.8877258333337</v>
      </c>
      <c r="DY269" s="50">
        <f t="shared" si="208"/>
        <v>-135.00000000000048</v>
      </c>
      <c r="EA269" s="51">
        <f t="shared" si="204"/>
        <v>4.0609585198813539E-2</v>
      </c>
      <c r="EB269" s="51">
        <f t="shared" si="204"/>
        <v>0.22885241453136704</v>
      </c>
      <c r="EC269" s="51">
        <f t="shared" si="204"/>
        <v>0.54284830246952887</v>
      </c>
      <c r="ED269" s="51">
        <f t="shared" si="204"/>
        <v>1.5940737018723838E-2</v>
      </c>
      <c r="EE269" s="51">
        <f t="shared" si="204"/>
        <v>7.6796024429662033E-2</v>
      </c>
      <c r="EF269" s="51">
        <f t="shared" si="204"/>
        <v>9.2419065194572728E-2</v>
      </c>
      <c r="EG269" s="51">
        <f t="shared" si="204"/>
        <v>1.6124634637566563E-3</v>
      </c>
      <c r="EH269" s="52">
        <f t="shared" ref="EH269:EH332" si="227">DW269/DX269</f>
        <v>9.2140769357523225E-4</v>
      </c>
      <c r="EI269" s="51">
        <f t="shared" si="191"/>
        <v>0.99907859230642471</v>
      </c>
      <c r="EK269" s="53">
        <f>(EA269*'[2]Renewable Diesel'!BF278*'[2]Feedstock Conversion Rates'!B$2)+FB269</f>
        <v>256.90271779398233</v>
      </c>
      <c r="EL269" s="53">
        <f>(EB269*'[2]Renewable Diesel'!BF278*'[2]Feedstock Conversion Rates'!B$3)+FC269</f>
        <v>1364.2979748911825</v>
      </c>
      <c r="EM269" s="53">
        <f>(EC269*'[2]Renewable Diesel'!BF278*'[2]Feedstock Conversion Rates'!B$4)+FD269</f>
        <v>3030.1279475142719</v>
      </c>
      <c r="EN269" s="53">
        <f>(ED269*'[2]Renewable Diesel'!BF278*'[2]Feedstock Conversion Rates'!B$5)+FE269</f>
        <v>89.572886215486605</v>
      </c>
      <c r="EO269" s="53">
        <f>(EE269*'[2]Renewable Diesel'!BF278*'[2]Feedstock Conversion Rates'!B$6)+FF269</f>
        <v>536.12097163947999</v>
      </c>
      <c r="EP269" s="53">
        <f>(EF269*'[2]Renewable Diesel'!BF278*'[2]Feedstock Conversion Rates'!B$7)+FG269</f>
        <v>632.80604365487557</v>
      </c>
      <c r="EQ269" s="53">
        <f>(EG269*'[2]Renewable Diesel'!BF278*'[2]Feedstock Conversion Rates'!B$8)+FH269</f>
        <v>11.250773428892156</v>
      </c>
      <c r="ER269" s="53">
        <f>(EH269*'[2]Renewable Diesel'!BF278*'[2]Feedstock Conversion Rates'!B$9)+FI269</f>
        <v>6.3432932094325309</v>
      </c>
      <c r="ES269" s="53">
        <f t="shared" ref="ES269:ES332" si="228">SUM(EK269:ER269)</f>
        <v>5927.4226083476042</v>
      </c>
      <c r="ET269" s="36">
        <f>ES269/'[2]Renewable Diesel'!BF278</f>
        <v>7.9642461226775856</v>
      </c>
    </row>
    <row r="270" spans="1:150" x14ac:dyDescent="0.25">
      <c r="A270" s="39">
        <v>48639</v>
      </c>
      <c r="B270" s="45">
        <f t="shared" si="221"/>
        <v>0.75</v>
      </c>
      <c r="C270" s="45">
        <f t="shared" si="222"/>
        <v>13.5</v>
      </c>
      <c r="D270" s="45">
        <f t="shared" si="209"/>
        <v>2</v>
      </c>
      <c r="E270" s="45">
        <f>('[2]Renewable Diesel'!B279*E$3*'[2]Feedstock Conversion Rates'!$B$2)/12+26+13-100+27.5+39+75-10-32-1-7+46-46.5+27</f>
        <v>146.93</v>
      </c>
      <c r="F270" s="45">
        <f>('[2]Renewable Diesel'!B279*'[2]RD Feedstock Breakdown'!F$3*'[2]Feedstock Conversion Rates'!B$8)/12+77+23-10-12-115.75+24+8+2.5+1-32-15</f>
        <v>4.65625</v>
      </c>
      <c r="G270" s="45">
        <f>('[2]Renewable Diesel'!B279*'[2]RD Feedstock Breakdown'!G$3*'[2]Feedstock Conversion Rates'!B$7)/12+116.75-39-57.5-145-31.5+32+70-40+10+15-35-25-5+6</f>
        <v>47.907000000000039</v>
      </c>
      <c r="H270" s="45">
        <f>('[2]Renewable Diesel'!B279*'[2]RD Feedstock Breakdown'!H$3*'[2]Feedstock Conversion Rates'!B$3)/12+67+10+12+3-235+20+47-20+35-5+150+20</f>
        <v>280.40022499999998</v>
      </c>
      <c r="I270" s="47">
        <f t="shared" si="160"/>
        <v>496.14347500000002</v>
      </c>
      <c r="J270" s="45">
        <f t="shared" si="210"/>
        <v>0.5</v>
      </c>
      <c r="K270" s="45"/>
      <c r="L270" s="45">
        <v>1</v>
      </c>
      <c r="M270" s="45">
        <f>('[2]Renewable Diesel'!C279*'[2]RD Feedstock Breakdown'!M$3*'[2]Feedstock Conversion Rates'!B$2)/12-55+37-25+10.5-20+30</f>
        <v>-14.70975</v>
      </c>
      <c r="N270" s="45">
        <f>('[2]Renewable Diesel'!C279*'[2]RD Feedstock Breakdown'!N$3*'[2]Feedstock Conversion Rates'!B$8)/12+8-20+10-5-15+3-11</f>
        <v>-26.328125</v>
      </c>
      <c r="O270" s="45">
        <f>('[2]Renewable Diesel'!C279*'[2]RD Feedstock Breakdown'!O$3*'[2]Feedstock Conversion Rates'!B$7)/12-80+120-40+20</f>
        <v>31.999099999999999</v>
      </c>
      <c r="P270" s="45">
        <f>('[2]Renewable Diesel'!C279*'[2]RD Feedstock Breakdown'!P$3*'[2]Feedstock Conversion Rates'!B$3)/12+6-15+50+60-105-20+50+5</f>
        <v>41.447042500000009</v>
      </c>
      <c r="Q270" s="47">
        <f t="shared" si="172"/>
        <v>33.908267500000008</v>
      </c>
      <c r="R270" s="45">
        <f>('[2]Renewable Diesel'!D279*'[2]RD Feedstock Breakdown'!R$3*'[2]Feedstock Conversion Rates'!B$7)/12</f>
        <v>2.2999999999999998</v>
      </c>
      <c r="S270" s="47">
        <f t="shared" si="203"/>
        <v>2.2999999999999998</v>
      </c>
      <c r="T270" s="45">
        <f t="shared" si="214"/>
        <v>0.82500000000000284</v>
      </c>
      <c r="U270" s="45">
        <v>35</v>
      </c>
      <c r="V270" s="45">
        <f>('[2]Renewable Diesel'!E279*'[2]RD Feedstock Breakdown'!V$3*'[2]Feedstock Conversion Rates'!B$6)/12-20+25-35</f>
        <v>14.250150000000012</v>
      </c>
      <c r="W270" s="45">
        <f>('[2]Renewable Diesel'!E279*'[2]RD Feedstock Breakdown'!W$3*'[2]Feedstock Conversion Rates'!B$8)/12-6</f>
        <v>16.1796875</v>
      </c>
      <c r="X270" s="47">
        <f t="shared" ref="X270:X333" si="229">SUM(T270:W270)</f>
        <v>66.254837500000008</v>
      </c>
      <c r="Y270" s="45">
        <f t="shared" si="211"/>
        <v>146</v>
      </c>
      <c r="Z270" s="45">
        <f>('[2]Renewable Diesel'!F279*'[2]RD Feedstock Breakdown'!Z$3*'[2]Feedstock Conversion Rates'!B$6)/12-142+15+5+75-45+52.5-87.5+80-10-20-17+2+7</f>
        <v>74.460000000000008</v>
      </c>
      <c r="AA270" s="45">
        <f>('[2]Renewable Diesel'!F279*'[2]RD Feedstock Breakdown'!AA$3*'[2]Feedstock Conversion Rates'!B$7)/12+24-30-55</f>
        <v>43.266666666666652</v>
      </c>
      <c r="AB270" s="47">
        <f t="shared" si="190"/>
        <v>263.72666666666669</v>
      </c>
      <c r="AC270" s="45">
        <f>('[2]Renewable Diesel'!G279*'[2]RD Feedstock Breakdown'!AC$3*'[2]Feedstock Conversion Rates'!B$5)/12</f>
        <v>11.796875</v>
      </c>
      <c r="AD270" s="45">
        <f>('[2]Renewable Diesel'!G279*'[2]RD Feedstock Breakdown'!AD$3*'[2]Feedstock Conversion Rates'!B$4)/12</f>
        <v>5.859375</v>
      </c>
      <c r="AE270" s="45">
        <f>('[2]Renewable Diesel'!G279*'[2]RD Feedstock Breakdown'!AE$3*'[2]Feedstock Conversion Rates'!B$6)/12</f>
        <v>7.3281250000000009</v>
      </c>
      <c r="AF270" s="47">
        <f t="shared" si="156"/>
        <v>24.984375</v>
      </c>
      <c r="AG270" s="45">
        <f t="shared" si="182"/>
        <v>6.5</v>
      </c>
      <c r="AH270" s="45">
        <v>135</v>
      </c>
      <c r="AI270" s="45">
        <f>('[2]Renewable Diesel'!H279*'[2]RD Feedstock Breakdown'!AI$3*'[2]Feedstock Conversion Rates'!B$6)/12-130-20+51-120+105-37.5+10</f>
        <v>7.0166666666666799</v>
      </c>
      <c r="AJ270" s="47">
        <f t="shared" si="202"/>
        <v>13.51666666666668</v>
      </c>
      <c r="AK270" s="45">
        <f>('[2]Renewable Diesel'!J279*'[2]RD Feedstock Breakdown'!AK$3*'[2]Feedstock Conversion Rates'!B$4)/12</f>
        <v>95.8125</v>
      </c>
      <c r="AL270" s="47">
        <f t="shared" si="205"/>
        <v>95.8125</v>
      </c>
      <c r="AM270" s="45">
        <f>('[2]Renewable Diesel'!K279*'[2]RD Feedstock Breakdown'!AM$3*'[2]Feedstock Conversion Rates'!B$4)/12+5+15-10+5-26</f>
        <v>47.59375</v>
      </c>
      <c r="AN270" s="45">
        <f>('[2]Renewable Diesel'!K279*'[2]RD Feedstock Breakdown'!AN$3*'[2]Feedstock Conversion Rates'!B$6)/12-5-15+10-5+26</f>
        <v>35.427083333333329</v>
      </c>
      <c r="AO270" s="47">
        <f t="shared" si="223"/>
        <v>83.020833333333329</v>
      </c>
      <c r="AP270" s="45">
        <f>('[2]Renewable Diesel'!L279*'[2]RD Feedstock Breakdown'!AP$3*'[2]Feedstock Conversion Rates'!B$4)/12+15-10+10+2.5</f>
        <v>76.09375</v>
      </c>
      <c r="AQ270" s="45">
        <f>('[2]Renewable Diesel'!L279*'[2]RD Feedstock Breakdown'!AQ$3*'[2]Feedstock Conversion Rates'!B$6)/12-15+10-10-2.5</f>
        <v>6.9270833333333321</v>
      </c>
      <c r="AR270" s="47">
        <f t="shared" si="207"/>
        <v>83.020833333333329</v>
      </c>
      <c r="AS270" s="45">
        <f>('[2]Renewable Diesel'!M279*'[2]RD Feedstock Breakdown'!AS$3*'[2]Feedstock Conversion Rates'!B$4)/12</f>
        <v>456.25</v>
      </c>
      <c r="AT270" s="45">
        <f>('[2]Renewable Diesel'!M279*'[2]RD Feedstock Breakdown'!AT$3*'[2]Feedstock Conversion Rates'!B$5)/12</f>
        <v>0</v>
      </c>
      <c r="AU270" s="47">
        <f t="shared" si="159"/>
        <v>456.25</v>
      </c>
      <c r="AV270" s="45">
        <f>'[2]Renewable Diesel'!N279*'[2]RD Feedstock Breakdown'!$AV$3*'[2]Feedstock Conversion Rates'!$B$4/12-15-10+25+25-22+15-68+11</f>
        <v>39.749999999999986</v>
      </c>
      <c r="AW270" s="45">
        <f>'[2]Renewable Diesel'!N279*'[2]RD Feedstock Breakdown'!$AW$3*'[2]Feedstock Conversion Rates'!$B$7/12+15+10-25-25+22-15+68-11</f>
        <v>80.400000000000006</v>
      </c>
      <c r="AX270" s="47">
        <f t="shared" si="193"/>
        <v>120.14999999999999</v>
      </c>
      <c r="AY270" s="45">
        <f>('[2]Renewable Diesel'!O279*'[2]RD Feedstock Breakdown'!AY$3*'[2]Feedstock Conversion Rates'!B$4)/12-100-160</f>
        <v>-49.0625</v>
      </c>
      <c r="AZ270" s="45">
        <f>('[2]Renewable Diesel'!O279*'[2]RD Feedstock Breakdown'!AZ$3*'[2]Feedstock Conversion Rates'!B$3)/12+100+160</f>
        <v>285.03125</v>
      </c>
      <c r="BA270" s="47">
        <f t="shared" si="173"/>
        <v>235.96875</v>
      </c>
      <c r="BB270" s="45">
        <f>('[2]Renewable Diesel'!Q279*'[2]RD Feedstock Breakdown'!BB$3*'[2]Feedstock Conversion Rates'!B$4)/12</f>
        <v>11.156249999999998</v>
      </c>
      <c r="BC270" s="45">
        <f>('[2]Renewable Diesel'!Q279*'[2]RD Feedstock Breakdown'!BC$3*'[2]Feedstock Conversion Rates'!B$3)/12</f>
        <v>1.4017500000000001</v>
      </c>
      <c r="BD270" s="45">
        <f>('[2]Renewable Diesel'!Q279*'[2]RD Feedstock Breakdown'!BD$3*'[2]Feedstock Conversion Rates'!B$6)/12</f>
        <v>0.8207500000000002</v>
      </c>
      <c r="BE270" s="47">
        <f t="shared" si="151"/>
        <v>13.378749999999998</v>
      </c>
      <c r="BF270" s="45">
        <f>('[2]Renewable Diesel'!R279*'[2]RD Feedstock Breakdown'!BF$3*'[2]Feedstock Conversion Rates'!B$4)/12</f>
        <v>62.5</v>
      </c>
      <c r="BG270" s="47">
        <f t="shared" si="215"/>
        <v>62.5</v>
      </c>
      <c r="BH270" s="45">
        <f>('[2]Renewable Diesel'!T279*'[2]RD Feedstock Breakdown'!BH$3*'[2]Feedstock Conversion Rates'!B$7)/12</f>
        <v>27.599999999999998</v>
      </c>
      <c r="BI270" s="47">
        <f t="shared" si="195"/>
        <v>27.599999999999998</v>
      </c>
      <c r="BJ270" s="45">
        <f>('[2]Renewable Diesel'!W279*'[2]RD Feedstock Breakdown'!BJ$3*'[2]Feedstock Conversion Rates'!B$4)/12</f>
        <v>7.5</v>
      </c>
      <c r="BK270" s="45">
        <f>('[2]Renewable Diesel'!W279*'[2]RD Feedstock Breakdown'!BK$3*'[2]Feedstock Conversion Rates'!B$3)/12</f>
        <v>1.335</v>
      </c>
      <c r="BL270" s="45">
        <f>('[2]Renewable Diesel'!W279*'[2]RD Feedstock Breakdown'!BL$3*'[2]Feedstock Conversion Rates'!B$6)/12</f>
        <v>3.1266666666666669</v>
      </c>
      <c r="BM270" s="45">
        <f>('[2]Renewable Diesel'!W279*'[2]RD Feedstock Breakdown'!BM$3*'[2]Feedstock Conversion Rates'!B$7)/12</f>
        <v>1.5333333333333332</v>
      </c>
      <c r="BN270" s="47">
        <f t="shared" si="168"/>
        <v>13.495000000000001</v>
      </c>
      <c r="BO270" s="45">
        <f>('[2]Renewable Diesel'!P279*'[2]Feedstock Conversion Rates'!B$4)/12</f>
        <v>31.25</v>
      </c>
      <c r="BP270" s="47">
        <f t="shared" si="157"/>
        <v>31.25</v>
      </c>
      <c r="BQ270" s="45">
        <f>('[2]Renewable Diesel'!$S279*'[2]RD Feedstock Breakdown'!BQ$3*'[2]Feedstock Conversion Rates'!B$4)/12+10</f>
        <v>38.125</v>
      </c>
      <c r="BR270" s="45">
        <f>('[2]Renewable Diesel'!$S279*'[2]RD Feedstock Breakdown'!BR$3*'[2]Feedstock Conversion Rates'!B$7)/12-10</f>
        <v>1.5</v>
      </c>
      <c r="BS270" s="47">
        <f t="shared" si="174"/>
        <v>39.625</v>
      </c>
      <c r="BT270" s="47"/>
      <c r="BU270" s="45">
        <f>('[2]Renewable Diesel'!Y279*'[2]Feedstock Conversion Rates'!B$7)/12</f>
        <v>2.6833333333333331</v>
      </c>
      <c r="BV270" s="47">
        <f t="shared" si="153"/>
        <v>2.6833333333333331</v>
      </c>
      <c r="BW270" s="45">
        <f>('[2]Renewable Diesel'!$Z279*'[2]RD Feedstock Breakdown'!BW$3*'[2]Feedstock Conversion Rates'!$B$4)/12</f>
        <v>71.875</v>
      </c>
      <c r="BX270" s="45">
        <f>('[2]Renewable Diesel'!$Z279*'[2]RD Feedstock Breakdown'!BX$3*'[2]Feedstock Conversion Rates'!$B$5)/12</f>
        <v>7.2354166666666666</v>
      </c>
      <c r="BY270" s="45">
        <f>('[2]Renewable Diesel'!$Z279*'[2]RD Feedstock Breakdown'!BY$3*'[2]Feedstock Conversion Rates'!$B$7)/12</f>
        <v>61.716666666666661</v>
      </c>
      <c r="BZ270" s="45">
        <f>('[2]Renewable Diesel'!$Z279*'[2]RD Feedstock Breakdown'!BZ$3*'[2]Feedstock Conversion Rates'!$B$3)/12</f>
        <v>15.352499999999999</v>
      </c>
      <c r="CA270" s="47">
        <f t="shared" si="181"/>
        <v>156.17958333333331</v>
      </c>
      <c r="CB270" s="45">
        <f>('[2]Renewable Diesel'!AA279*'[2]Feedstock Conversion Rates'!B$4)/12</f>
        <v>191.25</v>
      </c>
      <c r="CC270" s="47">
        <f t="shared" si="171"/>
        <v>191.25</v>
      </c>
      <c r="CD270" s="45">
        <f>('[2]Renewable Diesel'!$AB279*'[2]RD Feedstock Breakdown'!CD$3*'[2]Feedstock Conversion Rates'!$B$6)/12-15-5+5</f>
        <v>17.830000000000005</v>
      </c>
      <c r="CE270" s="45">
        <f>('[2]Renewable Diesel'!$AB279*'[2]RD Feedstock Breakdown'!CE$3*'[2]Feedstock Conversion Rates'!$B$4)/12+15+5-5</f>
        <v>26.25</v>
      </c>
      <c r="CF270" s="47">
        <f t="shared" si="161"/>
        <v>44.080000000000005</v>
      </c>
      <c r="CG270" s="45">
        <f>('[2]Renewable Diesel'!AD279*'[2]Feedstock Conversion Rates'!B$4)/12</f>
        <v>112.5</v>
      </c>
      <c r="CH270" s="47">
        <f t="shared" ref="CH270:CH333" si="230">CG270</f>
        <v>112.5</v>
      </c>
      <c r="CI270" s="45">
        <f>('[2]Renewable Diesel'!$AE279*'[2]RD Feedstock Breakdown'!CI$3*'[2]Feedstock Conversion Rates'!$B$5)/12</f>
        <v>0.34604166666666664</v>
      </c>
      <c r="CJ270" s="45">
        <f>('[2]Renewable Diesel'!$AE279*'[2]RD Feedstock Breakdown'!CJ$3*'[2]Feedstock Conversion Rates'!$B$4)/12</f>
        <v>0.34375</v>
      </c>
      <c r="CK270" s="47">
        <f t="shared" si="158"/>
        <v>0.68979166666666658</v>
      </c>
      <c r="CL270" s="45">
        <f>(((CL$3*'[2]Renewable Diesel'!$AF279)*'[2]Feedstock Conversion Rates'!$B$3)/12)</f>
        <v>91.78125</v>
      </c>
      <c r="CM270" s="45">
        <f>(((CM$3*'[2]Renewable Diesel'!$AF279)*'[2]Feedstock Conversion Rates'!$B$6)/12)</f>
        <v>53.739583333333336</v>
      </c>
      <c r="CN270" s="45">
        <f>(((CN$3*'[2]Renewable Diesel'!$AF279)*'[2]Feedstock Conversion Rates'!$B$4)/12)</f>
        <v>42.96875</v>
      </c>
      <c r="CO270" s="47">
        <f t="shared" si="152"/>
        <v>188.48958333333334</v>
      </c>
      <c r="CP270" s="45">
        <f>('[2]Renewable Diesel'!$AG279*'[2]RD Feedstock Breakdown'!CP$3*'[2]Feedstock Conversion Rates'!$B$3)/12</f>
        <v>6.0075000000000003</v>
      </c>
      <c r="CQ270" s="45">
        <f>('[2]Renewable Diesel'!$AG279*'[2]RD Feedstock Breakdown'!CQ$3*'[2]Feedstock Conversion Rates'!$B$6)/12</f>
        <v>3.5175000000000001</v>
      </c>
      <c r="CR270" s="45">
        <f>('[2]Renewable Diesel'!$AG279*'[2]RD Feedstock Breakdown'!CR$3*'[2]Feedstock Conversion Rates'!$B$4)/12</f>
        <v>2.8125</v>
      </c>
      <c r="CS270" s="47">
        <f t="shared" si="183"/>
        <v>12.3375</v>
      </c>
      <c r="CT270" s="45">
        <f>('[2]Renewable Diesel'!AI279*'[2]Feedstock Conversion Rates'!$B$4*'[2]RD Feedstock Breakdown'!$CT$3)/12</f>
        <v>29.375</v>
      </c>
      <c r="CU270" s="47">
        <f t="shared" si="154"/>
        <v>29.375</v>
      </c>
      <c r="CV270" s="45">
        <f>('[2]Renewable Diesel'!AN279*'[2]Feedstock Conversion Rates'!$B$3*'[2]RD Feedstock Breakdown'!$CV$3)/12</f>
        <v>0.50062499999999999</v>
      </c>
      <c r="CW270" s="47">
        <f t="shared" si="206"/>
        <v>0.50062499999999999</v>
      </c>
      <c r="CX270" s="45">
        <f>('[2]Renewable Diesel'!AO279*'[2]RD Feedstock Breakdown'!$CX$3*'[2]Feedstock Conversion Rates'!$B$3)/12</f>
        <v>6.3412499999999996</v>
      </c>
      <c r="CY270" s="45">
        <f>('[2]Renewable Diesel'!AO279*'[2]RD Feedstock Breakdown'!$CY$3*'[2]Feedstock Conversion Rates'!$B$6)/12</f>
        <v>7.4258333333333342</v>
      </c>
      <c r="CZ270" s="47">
        <f t="shared" si="188"/>
        <v>13.767083333333334</v>
      </c>
      <c r="DA270" s="45">
        <f>('[2]Renewable Diesel'!$AP279*'[2]RD Feedstock Breakdown'!DA$3*'[2]Feedstock Conversion Rates'!$B$3)/12</f>
        <v>6.3412499999999996</v>
      </c>
      <c r="DB270" s="45">
        <f>('[2]Renewable Diesel'!$AP279*'[2]RD Feedstock Breakdown'!DB$3*'[2]Feedstock Conversion Rates'!$B$8)/12</f>
        <v>7.421875</v>
      </c>
      <c r="DC270" s="47">
        <f t="shared" si="212"/>
        <v>13.763124999999999</v>
      </c>
      <c r="DD270" s="45">
        <f>('[2]Renewable Diesel'!AQ279*$DD$3*'[2]Feedstock Conversion Rates'!$B$14)/12</f>
        <v>3.1041666666666665</v>
      </c>
      <c r="DE270" s="47">
        <f t="shared" si="213"/>
        <v>3.1041666666666665</v>
      </c>
      <c r="DF270" s="45">
        <f>('[2]Renewable Diesel'!AR279*'[2]Feedstock Conversion Rates'!$B$4*$DF$3)/12</f>
        <v>75</v>
      </c>
      <c r="DG270" s="47">
        <f t="shared" si="189"/>
        <v>75</v>
      </c>
      <c r="DH270" s="45">
        <f>('[2]Renewable Diesel'!AS279*'[2]Feedstock Conversion Rates'!$B$4*$DH$3)/12</f>
        <v>75</v>
      </c>
      <c r="DI270" s="47">
        <f t="shared" si="194"/>
        <v>75</v>
      </c>
      <c r="DJ270" s="45">
        <f>('[2]Renewable Diesel'!AT279*'[2]Feedstock Conversion Rates'!$B$4*0.25)/12</f>
        <v>8.59375</v>
      </c>
      <c r="DK270" s="45">
        <f>('[2]Renewable Diesel'!$AT279*'[2]RD Feedstock Breakdown'!DK$3*'[2]Feedstock Conversion Rates'!$B$3)/12*0.5</f>
        <v>9.1781249999999996</v>
      </c>
      <c r="DL270" s="45">
        <f>('[2]Renewable Diesel'!$AT279*'[2]RD Feedstock Breakdown'!$DL$3*'[2]Feedstock Conversion Rates'!$B$6)/12</f>
        <v>10.747916666666669</v>
      </c>
      <c r="DM270" s="45">
        <f>('[2]Renewable Diesel'!$AT279*'[2]RD Feedstock Breakdown'!$DM$3*'[2]Feedstock Conversion Rates'!$B$8)/12</f>
        <v>10.7421875</v>
      </c>
      <c r="DN270" s="47">
        <f t="shared" si="169"/>
        <v>39.26197916666667</v>
      </c>
      <c r="DP270" s="45">
        <f t="shared" si="216"/>
        <v>132.22025000000002</v>
      </c>
      <c r="DQ270" s="45">
        <f t="shared" si="217"/>
        <v>745.11776750000001</v>
      </c>
      <c r="DR270" s="45">
        <f t="shared" si="224"/>
        <v>1767.453125</v>
      </c>
      <c r="DS270" s="45">
        <f t="shared" si="155"/>
        <v>51.901249999999997</v>
      </c>
      <c r="DT270" s="45">
        <f t="shared" si="218"/>
        <v>250.03923333333344</v>
      </c>
      <c r="DU270" s="45">
        <f t="shared" si="219"/>
        <v>300.90609999999998</v>
      </c>
      <c r="DV270" s="45">
        <f t="shared" si="225"/>
        <v>5.25</v>
      </c>
      <c r="DW270" s="45">
        <f t="shared" si="220"/>
        <v>3</v>
      </c>
      <c r="DX270" s="47">
        <f t="shared" si="226"/>
        <v>3255.8877258333337</v>
      </c>
      <c r="DY270" s="50">
        <f t="shared" si="208"/>
        <v>-135.00000000000048</v>
      </c>
      <c r="EA270" s="51">
        <f t="shared" si="204"/>
        <v>4.0609585198813539E-2</v>
      </c>
      <c r="EB270" s="51">
        <f t="shared" si="204"/>
        <v>0.22885241453136704</v>
      </c>
      <c r="EC270" s="51">
        <f t="shared" si="204"/>
        <v>0.54284830246952887</v>
      </c>
      <c r="ED270" s="51">
        <f t="shared" si="204"/>
        <v>1.5940737018723838E-2</v>
      </c>
      <c r="EE270" s="51">
        <f t="shared" si="204"/>
        <v>7.6796024429662033E-2</v>
      </c>
      <c r="EF270" s="51">
        <f t="shared" si="204"/>
        <v>9.2419065194572728E-2</v>
      </c>
      <c r="EG270" s="51">
        <f t="shared" si="204"/>
        <v>1.6124634637566563E-3</v>
      </c>
      <c r="EH270" s="52">
        <f t="shared" si="227"/>
        <v>9.2140769357523225E-4</v>
      </c>
      <c r="EI270" s="51">
        <f t="shared" si="191"/>
        <v>0.99907859230642471</v>
      </c>
      <c r="EK270" s="53">
        <f>(EA270*'[2]Renewable Diesel'!BF279*'[2]Feedstock Conversion Rates'!B$2)+FB270</f>
        <v>165.56806082212793</v>
      </c>
      <c r="EL270" s="53">
        <f>(EB270*'[2]Renewable Diesel'!BF279*'[2]Feedstock Conversion Rates'!B$3)+FC270</f>
        <v>879.25955796011601</v>
      </c>
      <c r="EM270" s="53">
        <f>(EC270*'[2]Renewable Diesel'!BF279*'[2]Feedstock Conversion Rates'!B$4)+FD270</f>
        <v>1952.8497503681306</v>
      </c>
      <c r="EN270" s="53">
        <f>(ED270*'[2]Renewable Diesel'!BF279*'[2]Feedstock Conversion Rates'!B$5)+FE270</f>
        <v>57.727723553443163</v>
      </c>
      <c r="EO270" s="53">
        <f>(EE270*'[2]Renewable Diesel'!BF279*'[2]Feedstock Conversion Rates'!B$6)+FF270</f>
        <v>345.51798596232283</v>
      </c>
      <c r="EP270" s="53">
        <f>(EF270*'[2]Renewable Diesel'!BF279*'[2]Feedstock Conversion Rates'!B$7)+FG270</f>
        <v>407.82935433357562</v>
      </c>
      <c r="EQ270" s="53">
        <f>(EG270*'[2]Renewable Diesel'!BF279*'[2]Feedstock Conversion Rates'!B$8)+FH270</f>
        <v>7.2508720630375176</v>
      </c>
      <c r="ER270" s="53">
        <f>(EH270*'[2]Renewable Diesel'!BF279*'[2]Feedstock Conversion Rates'!B$9)+FI270</f>
        <v>4.0881107250649631</v>
      </c>
      <c r="ES270" s="53">
        <f t="shared" si="228"/>
        <v>3820.0914157878183</v>
      </c>
      <c r="ET270" s="36">
        <f>ES270/'[2]Renewable Diesel'!BF279</f>
        <v>7.9642461226775838</v>
      </c>
    </row>
    <row r="271" spans="1:150" x14ac:dyDescent="0.25">
      <c r="A271" s="39">
        <v>48670</v>
      </c>
      <c r="B271" s="45">
        <f t="shared" si="221"/>
        <v>0.75</v>
      </c>
      <c r="C271" s="45">
        <f t="shared" si="222"/>
        <v>13.5</v>
      </c>
      <c r="D271" s="45">
        <f t="shared" si="209"/>
        <v>2</v>
      </c>
      <c r="E271" s="45">
        <f>('[2]Renewable Diesel'!B280*E$3*'[2]Feedstock Conversion Rates'!$B$2)/12+26+13-100+27.5+39+75-10-32-1-7+46-46.5+27</f>
        <v>146.93</v>
      </c>
      <c r="F271" s="45">
        <f>('[2]Renewable Diesel'!B280*'[2]RD Feedstock Breakdown'!F$3*'[2]Feedstock Conversion Rates'!B$8)/12+77+23-10-12-115.75+24+8+2.5+1-32-15</f>
        <v>4.65625</v>
      </c>
      <c r="G271" s="45">
        <f>('[2]Renewable Diesel'!B280*'[2]RD Feedstock Breakdown'!G$3*'[2]Feedstock Conversion Rates'!B$7)/12+116.75-39-57.5-145-31.5+32+70-40+10+15-35-25-5+6</f>
        <v>47.907000000000039</v>
      </c>
      <c r="H271" s="45">
        <f>('[2]Renewable Diesel'!B280*'[2]RD Feedstock Breakdown'!H$3*'[2]Feedstock Conversion Rates'!B$3)/12+67+10+12+3-235+20+47-20+35-5+150+20</f>
        <v>280.40022499999998</v>
      </c>
      <c r="I271" s="47">
        <f t="shared" si="160"/>
        <v>496.14347500000002</v>
      </c>
      <c r="J271" s="45">
        <f t="shared" si="210"/>
        <v>0.5</v>
      </c>
      <c r="K271" s="45"/>
      <c r="L271" s="45">
        <v>1</v>
      </c>
      <c r="M271" s="45">
        <f>('[2]Renewable Diesel'!C280*'[2]RD Feedstock Breakdown'!M$3*'[2]Feedstock Conversion Rates'!B$2)/12-55+37-25+10.5-20+30</f>
        <v>-14.70975</v>
      </c>
      <c r="N271" s="45">
        <f>('[2]Renewable Diesel'!C280*'[2]RD Feedstock Breakdown'!N$3*'[2]Feedstock Conversion Rates'!B$8)/12+8-20+10-5-15+3-11</f>
        <v>-26.328125</v>
      </c>
      <c r="O271" s="45">
        <f>('[2]Renewable Diesel'!C280*'[2]RD Feedstock Breakdown'!O$3*'[2]Feedstock Conversion Rates'!B$7)/12-80+120-40+20</f>
        <v>31.999099999999999</v>
      </c>
      <c r="P271" s="45">
        <f>('[2]Renewable Diesel'!C280*'[2]RD Feedstock Breakdown'!P$3*'[2]Feedstock Conversion Rates'!B$3)/12+6-15+50+60-105-20+50+5</f>
        <v>41.447042500000009</v>
      </c>
      <c r="Q271" s="47">
        <f t="shared" si="172"/>
        <v>33.908267500000008</v>
      </c>
      <c r="R271" s="45">
        <f>('[2]Renewable Diesel'!D280*'[2]RD Feedstock Breakdown'!R$3*'[2]Feedstock Conversion Rates'!B$7)/12</f>
        <v>2.2999999999999998</v>
      </c>
      <c r="S271" s="47">
        <f t="shared" si="203"/>
        <v>2.2999999999999998</v>
      </c>
      <c r="T271" s="45">
        <f t="shared" si="214"/>
        <v>0.82500000000000284</v>
      </c>
      <c r="U271" s="45">
        <v>35</v>
      </c>
      <c r="V271" s="45">
        <f>('[2]Renewable Diesel'!E280*'[2]RD Feedstock Breakdown'!V$3*'[2]Feedstock Conversion Rates'!B$6)/12-20+25-35</f>
        <v>14.250150000000012</v>
      </c>
      <c r="W271" s="45">
        <f>('[2]Renewable Diesel'!E280*'[2]RD Feedstock Breakdown'!W$3*'[2]Feedstock Conversion Rates'!B$8)/12-6</f>
        <v>16.1796875</v>
      </c>
      <c r="X271" s="47">
        <f t="shared" si="229"/>
        <v>66.254837500000008</v>
      </c>
      <c r="Y271" s="45">
        <f t="shared" si="211"/>
        <v>146</v>
      </c>
      <c r="Z271" s="45">
        <f>('[2]Renewable Diesel'!F280*'[2]RD Feedstock Breakdown'!Z$3*'[2]Feedstock Conversion Rates'!B$6)/12-142+15+5+75-45+52.5-87.5+80-10-20-17+2+7</f>
        <v>74.460000000000008</v>
      </c>
      <c r="AA271" s="45">
        <f>('[2]Renewable Diesel'!F280*'[2]RD Feedstock Breakdown'!AA$3*'[2]Feedstock Conversion Rates'!B$7)/12+24-30-55</f>
        <v>43.266666666666652</v>
      </c>
      <c r="AB271" s="47">
        <f t="shared" si="190"/>
        <v>263.72666666666669</v>
      </c>
      <c r="AC271" s="45">
        <f>('[2]Renewable Diesel'!G280*'[2]RD Feedstock Breakdown'!AC$3*'[2]Feedstock Conversion Rates'!B$5)/12</f>
        <v>11.796875</v>
      </c>
      <c r="AD271" s="45">
        <f>('[2]Renewable Diesel'!G280*'[2]RD Feedstock Breakdown'!AD$3*'[2]Feedstock Conversion Rates'!B$4)/12</f>
        <v>5.859375</v>
      </c>
      <c r="AE271" s="45">
        <f>('[2]Renewable Diesel'!G280*'[2]RD Feedstock Breakdown'!AE$3*'[2]Feedstock Conversion Rates'!B$6)/12</f>
        <v>7.3281250000000009</v>
      </c>
      <c r="AF271" s="47">
        <f t="shared" si="156"/>
        <v>24.984375</v>
      </c>
      <c r="AG271" s="45">
        <f t="shared" si="182"/>
        <v>6.5</v>
      </c>
      <c r="AH271" s="45">
        <v>135</v>
      </c>
      <c r="AI271" s="45">
        <f>('[2]Renewable Diesel'!H280*'[2]RD Feedstock Breakdown'!AI$3*'[2]Feedstock Conversion Rates'!B$6)/12-130-20+51-120+105-37.5+10</f>
        <v>7.0166666666666799</v>
      </c>
      <c r="AJ271" s="47">
        <f t="shared" si="202"/>
        <v>13.51666666666668</v>
      </c>
      <c r="AK271" s="45">
        <f>('[2]Renewable Diesel'!J280*'[2]RD Feedstock Breakdown'!AK$3*'[2]Feedstock Conversion Rates'!B$4)/12</f>
        <v>95.8125</v>
      </c>
      <c r="AL271" s="47">
        <f t="shared" si="205"/>
        <v>95.8125</v>
      </c>
      <c r="AM271" s="45">
        <f>('[2]Renewable Diesel'!K280*'[2]RD Feedstock Breakdown'!AM$3*'[2]Feedstock Conversion Rates'!B$4)/12+5+15-10+5-26</f>
        <v>47.59375</v>
      </c>
      <c r="AN271" s="45">
        <f>('[2]Renewable Diesel'!K280*'[2]RD Feedstock Breakdown'!AN$3*'[2]Feedstock Conversion Rates'!B$6)/12-5-15+10-5+26</f>
        <v>35.427083333333329</v>
      </c>
      <c r="AO271" s="47">
        <f t="shared" si="223"/>
        <v>83.020833333333329</v>
      </c>
      <c r="AP271" s="45">
        <f>('[2]Renewable Diesel'!L280*'[2]RD Feedstock Breakdown'!AP$3*'[2]Feedstock Conversion Rates'!B$4)/12+15-10+10+2.5</f>
        <v>76.09375</v>
      </c>
      <c r="AQ271" s="45">
        <f>('[2]Renewable Diesel'!L280*'[2]RD Feedstock Breakdown'!AQ$3*'[2]Feedstock Conversion Rates'!B$6)/12-15+10-10-2.5</f>
        <v>6.9270833333333321</v>
      </c>
      <c r="AR271" s="47">
        <f t="shared" si="207"/>
        <v>83.020833333333329</v>
      </c>
      <c r="AS271" s="45">
        <f>('[2]Renewable Diesel'!M280*'[2]RD Feedstock Breakdown'!AS$3*'[2]Feedstock Conversion Rates'!B$4)/12</f>
        <v>456.25</v>
      </c>
      <c r="AT271" s="45">
        <f>('[2]Renewable Diesel'!M280*'[2]RD Feedstock Breakdown'!AT$3*'[2]Feedstock Conversion Rates'!B$5)/12</f>
        <v>0</v>
      </c>
      <c r="AU271" s="47">
        <f t="shared" si="159"/>
        <v>456.25</v>
      </c>
      <c r="AV271" s="45">
        <f>'[2]Renewable Diesel'!N280*'[2]RD Feedstock Breakdown'!$AV$3*'[2]Feedstock Conversion Rates'!$B$4/12-15-10+25+25-22+15-68+11</f>
        <v>39.749999999999986</v>
      </c>
      <c r="AW271" s="45">
        <f>'[2]Renewable Diesel'!N280*'[2]RD Feedstock Breakdown'!$AW$3*'[2]Feedstock Conversion Rates'!$B$7/12+15+10-25-25+22-15+68-11</f>
        <v>80.400000000000006</v>
      </c>
      <c r="AX271" s="47">
        <f t="shared" si="193"/>
        <v>120.14999999999999</v>
      </c>
      <c r="AY271" s="45">
        <f>('[2]Renewable Diesel'!O280*'[2]RD Feedstock Breakdown'!AY$3*'[2]Feedstock Conversion Rates'!B$4)/12-100-160</f>
        <v>-49.0625</v>
      </c>
      <c r="AZ271" s="45">
        <f>('[2]Renewable Diesel'!O280*'[2]RD Feedstock Breakdown'!AZ$3*'[2]Feedstock Conversion Rates'!B$3)/12+100+160</f>
        <v>285.03125</v>
      </c>
      <c r="BA271" s="47">
        <f t="shared" si="173"/>
        <v>235.96875</v>
      </c>
      <c r="BB271" s="45">
        <f>('[2]Renewable Diesel'!Q280*'[2]RD Feedstock Breakdown'!BB$3*'[2]Feedstock Conversion Rates'!B$4)/12</f>
        <v>11.156249999999998</v>
      </c>
      <c r="BC271" s="45">
        <f>('[2]Renewable Diesel'!Q280*'[2]RD Feedstock Breakdown'!BC$3*'[2]Feedstock Conversion Rates'!B$3)/12</f>
        <v>1.4017500000000001</v>
      </c>
      <c r="BD271" s="45">
        <f>('[2]Renewable Diesel'!Q280*'[2]RD Feedstock Breakdown'!BD$3*'[2]Feedstock Conversion Rates'!B$6)/12</f>
        <v>0.8207500000000002</v>
      </c>
      <c r="BE271" s="47">
        <f t="shared" ref="BE271:BE334" si="231">SUM(BB271:BD271)</f>
        <v>13.378749999999998</v>
      </c>
      <c r="BF271" s="45">
        <f>('[2]Renewable Diesel'!R280*'[2]RD Feedstock Breakdown'!BF$3*'[2]Feedstock Conversion Rates'!B$4)/12</f>
        <v>62.5</v>
      </c>
      <c r="BG271" s="47">
        <f t="shared" si="215"/>
        <v>62.5</v>
      </c>
      <c r="BH271" s="45">
        <f>('[2]Renewable Diesel'!T280*'[2]RD Feedstock Breakdown'!BH$3*'[2]Feedstock Conversion Rates'!B$7)/12</f>
        <v>27.599999999999998</v>
      </c>
      <c r="BI271" s="47">
        <f t="shared" si="195"/>
        <v>27.599999999999998</v>
      </c>
      <c r="BJ271" s="45">
        <f>('[2]Renewable Diesel'!W280*'[2]RD Feedstock Breakdown'!BJ$3*'[2]Feedstock Conversion Rates'!B$4)/12</f>
        <v>7.5</v>
      </c>
      <c r="BK271" s="45">
        <f>('[2]Renewable Diesel'!W280*'[2]RD Feedstock Breakdown'!BK$3*'[2]Feedstock Conversion Rates'!B$3)/12</f>
        <v>1.335</v>
      </c>
      <c r="BL271" s="45">
        <f>('[2]Renewable Diesel'!W280*'[2]RD Feedstock Breakdown'!BL$3*'[2]Feedstock Conversion Rates'!B$6)/12</f>
        <v>3.1266666666666669</v>
      </c>
      <c r="BM271" s="45">
        <f>('[2]Renewable Diesel'!W280*'[2]RD Feedstock Breakdown'!BM$3*'[2]Feedstock Conversion Rates'!B$7)/12</f>
        <v>1.5333333333333332</v>
      </c>
      <c r="BN271" s="47">
        <f t="shared" si="168"/>
        <v>13.495000000000001</v>
      </c>
      <c r="BO271" s="45">
        <f>('[2]Renewable Diesel'!P280*'[2]Feedstock Conversion Rates'!B$4)/12</f>
        <v>31.25</v>
      </c>
      <c r="BP271" s="47">
        <f t="shared" si="157"/>
        <v>31.25</v>
      </c>
      <c r="BQ271" s="45">
        <f>('[2]Renewable Diesel'!$S280*'[2]RD Feedstock Breakdown'!BQ$3*'[2]Feedstock Conversion Rates'!B$4)/12+10</f>
        <v>38.125</v>
      </c>
      <c r="BR271" s="45">
        <f>('[2]Renewable Diesel'!$S280*'[2]RD Feedstock Breakdown'!BR$3*'[2]Feedstock Conversion Rates'!B$7)/12-10</f>
        <v>1.5</v>
      </c>
      <c r="BS271" s="47">
        <f t="shared" si="174"/>
        <v>39.625</v>
      </c>
      <c r="BT271" s="47"/>
      <c r="BU271" s="45">
        <f>('[2]Renewable Diesel'!Y280*'[2]Feedstock Conversion Rates'!B$7)/12</f>
        <v>2.6833333333333331</v>
      </c>
      <c r="BV271" s="47">
        <f t="shared" si="153"/>
        <v>2.6833333333333331</v>
      </c>
      <c r="BW271" s="45">
        <f>('[2]Renewable Diesel'!$Z280*'[2]RD Feedstock Breakdown'!BW$3*'[2]Feedstock Conversion Rates'!$B$4)/12</f>
        <v>71.875</v>
      </c>
      <c r="BX271" s="45">
        <f>('[2]Renewable Diesel'!$Z280*'[2]RD Feedstock Breakdown'!BX$3*'[2]Feedstock Conversion Rates'!$B$5)/12</f>
        <v>7.2354166666666666</v>
      </c>
      <c r="BY271" s="45">
        <f>('[2]Renewable Diesel'!$Z280*'[2]RD Feedstock Breakdown'!BY$3*'[2]Feedstock Conversion Rates'!$B$7)/12</f>
        <v>61.716666666666661</v>
      </c>
      <c r="BZ271" s="45">
        <f>('[2]Renewable Diesel'!$Z280*'[2]RD Feedstock Breakdown'!BZ$3*'[2]Feedstock Conversion Rates'!$B$3)/12</f>
        <v>15.352499999999999</v>
      </c>
      <c r="CA271" s="47">
        <f t="shared" si="181"/>
        <v>156.17958333333331</v>
      </c>
      <c r="CB271" s="45">
        <f>('[2]Renewable Diesel'!AA280*'[2]Feedstock Conversion Rates'!B$4)/12</f>
        <v>191.25</v>
      </c>
      <c r="CC271" s="47">
        <f t="shared" si="171"/>
        <v>191.25</v>
      </c>
      <c r="CD271" s="45">
        <f>('[2]Renewable Diesel'!$AB280*'[2]RD Feedstock Breakdown'!CD$3*'[2]Feedstock Conversion Rates'!$B$6)/12-15-5+5</f>
        <v>17.830000000000005</v>
      </c>
      <c r="CE271" s="45">
        <f>('[2]Renewable Diesel'!$AB280*'[2]RD Feedstock Breakdown'!CE$3*'[2]Feedstock Conversion Rates'!$B$4)/12+15+5-5</f>
        <v>26.25</v>
      </c>
      <c r="CF271" s="47">
        <f t="shared" si="161"/>
        <v>44.080000000000005</v>
      </c>
      <c r="CG271" s="45">
        <f>('[2]Renewable Diesel'!AD280*'[2]Feedstock Conversion Rates'!B$4)/12</f>
        <v>112.5</v>
      </c>
      <c r="CH271" s="47">
        <f t="shared" si="230"/>
        <v>112.5</v>
      </c>
      <c r="CI271" s="45">
        <f>('[2]Renewable Diesel'!$AE280*'[2]RD Feedstock Breakdown'!CI$3*'[2]Feedstock Conversion Rates'!$B$5)/12</f>
        <v>0.34604166666666664</v>
      </c>
      <c r="CJ271" s="45">
        <f>('[2]Renewable Diesel'!$AE280*'[2]RD Feedstock Breakdown'!CJ$3*'[2]Feedstock Conversion Rates'!$B$4)/12</f>
        <v>0.34375</v>
      </c>
      <c r="CK271" s="47">
        <f t="shared" si="158"/>
        <v>0.68979166666666658</v>
      </c>
      <c r="CL271" s="45">
        <f>(((CL$3*'[2]Renewable Diesel'!$AF280)*'[2]Feedstock Conversion Rates'!$B$3)/12)</f>
        <v>91.78125</v>
      </c>
      <c r="CM271" s="45">
        <f>(((CM$3*'[2]Renewable Diesel'!$AF280)*'[2]Feedstock Conversion Rates'!$B$6)/12)</f>
        <v>53.739583333333336</v>
      </c>
      <c r="CN271" s="45">
        <f>(((CN$3*'[2]Renewable Diesel'!$AF280)*'[2]Feedstock Conversion Rates'!$B$4)/12)</f>
        <v>42.96875</v>
      </c>
      <c r="CO271" s="47">
        <f t="shared" ref="CO271:CO334" si="232">SUM(CL271:CN271)</f>
        <v>188.48958333333334</v>
      </c>
      <c r="CP271" s="45">
        <f>('[2]Renewable Diesel'!$AG280*'[2]RD Feedstock Breakdown'!CP$3*'[2]Feedstock Conversion Rates'!$B$3)/12</f>
        <v>6.0075000000000003</v>
      </c>
      <c r="CQ271" s="45">
        <f>('[2]Renewable Diesel'!$AG280*'[2]RD Feedstock Breakdown'!CQ$3*'[2]Feedstock Conversion Rates'!$B$6)/12</f>
        <v>3.5175000000000001</v>
      </c>
      <c r="CR271" s="45">
        <f>('[2]Renewable Diesel'!$AG280*'[2]RD Feedstock Breakdown'!CR$3*'[2]Feedstock Conversion Rates'!$B$4)/12</f>
        <v>2.8125</v>
      </c>
      <c r="CS271" s="47">
        <f t="shared" si="183"/>
        <v>12.3375</v>
      </c>
      <c r="CT271" s="45">
        <f>('[2]Renewable Diesel'!AI280*'[2]Feedstock Conversion Rates'!$B$4*'[2]RD Feedstock Breakdown'!$CT$3)/12</f>
        <v>29.375</v>
      </c>
      <c r="CU271" s="47">
        <f t="shared" si="154"/>
        <v>29.375</v>
      </c>
      <c r="CV271" s="45">
        <f>('[2]Renewable Diesel'!AN280*'[2]Feedstock Conversion Rates'!$B$3*'[2]RD Feedstock Breakdown'!$CV$3)/12</f>
        <v>0.50062499999999999</v>
      </c>
      <c r="CW271" s="47">
        <f t="shared" si="206"/>
        <v>0.50062499999999999</v>
      </c>
      <c r="CX271" s="45">
        <f>('[2]Renewable Diesel'!AO280*'[2]RD Feedstock Breakdown'!$CX$3*'[2]Feedstock Conversion Rates'!$B$3)/12</f>
        <v>6.3412499999999996</v>
      </c>
      <c r="CY271" s="45">
        <f>('[2]Renewable Diesel'!AO280*'[2]RD Feedstock Breakdown'!$CY$3*'[2]Feedstock Conversion Rates'!$B$6)/12</f>
        <v>7.4258333333333342</v>
      </c>
      <c r="CZ271" s="47">
        <f t="shared" si="188"/>
        <v>13.767083333333334</v>
      </c>
      <c r="DA271" s="45">
        <f>('[2]Renewable Diesel'!$AP280*'[2]RD Feedstock Breakdown'!DA$3*'[2]Feedstock Conversion Rates'!$B$3)/12</f>
        <v>6.3412499999999996</v>
      </c>
      <c r="DB271" s="45">
        <f>('[2]Renewable Diesel'!$AP280*'[2]RD Feedstock Breakdown'!DB$3*'[2]Feedstock Conversion Rates'!$B$8)/12</f>
        <v>7.421875</v>
      </c>
      <c r="DC271" s="47">
        <f t="shared" si="212"/>
        <v>13.763124999999999</v>
      </c>
      <c r="DD271" s="45">
        <f>('[2]Renewable Diesel'!AQ280*$DD$3*'[2]Feedstock Conversion Rates'!$B$14)/12</f>
        <v>3.1041666666666665</v>
      </c>
      <c r="DE271" s="47">
        <f t="shared" si="213"/>
        <v>3.1041666666666665</v>
      </c>
      <c r="DF271" s="45">
        <f>('[2]Renewable Diesel'!AR280*'[2]Feedstock Conversion Rates'!$B$4*$DF$3)/12</f>
        <v>75</v>
      </c>
      <c r="DG271" s="47">
        <f t="shared" si="189"/>
        <v>75</v>
      </c>
      <c r="DH271" s="45">
        <f>('[2]Renewable Diesel'!AS280*'[2]Feedstock Conversion Rates'!$B$4*$DH$3)/12</f>
        <v>75</v>
      </c>
      <c r="DI271" s="47">
        <f t="shared" si="194"/>
        <v>75</v>
      </c>
      <c r="DJ271" s="45">
        <f>('[2]Renewable Diesel'!AT280*'[2]Feedstock Conversion Rates'!$B$4*0.25)/12</f>
        <v>8.59375</v>
      </c>
      <c r="DK271" s="45">
        <f>('[2]Renewable Diesel'!$AT280*'[2]RD Feedstock Breakdown'!DK$3*'[2]Feedstock Conversion Rates'!$B$3)/12*0.5</f>
        <v>9.1781249999999996</v>
      </c>
      <c r="DL271" s="45">
        <f>('[2]Renewable Diesel'!$AT280*'[2]RD Feedstock Breakdown'!$DL$3*'[2]Feedstock Conversion Rates'!$B$6)/12</f>
        <v>10.747916666666669</v>
      </c>
      <c r="DM271" s="45">
        <f>('[2]Renewable Diesel'!$AT280*'[2]RD Feedstock Breakdown'!$DM$3*'[2]Feedstock Conversion Rates'!$B$8)/12</f>
        <v>10.7421875</v>
      </c>
      <c r="DN271" s="47">
        <f t="shared" si="169"/>
        <v>39.26197916666667</v>
      </c>
      <c r="DP271" s="45">
        <f t="shared" si="216"/>
        <v>132.22025000000002</v>
      </c>
      <c r="DQ271" s="45">
        <f t="shared" si="217"/>
        <v>745.11776750000001</v>
      </c>
      <c r="DR271" s="45">
        <f t="shared" si="224"/>
        <v>1767.453125</v>
      </c>
      <c r="DS271" s="45">
        <f t="shared" si="155"/>
        <v>51.901249999999997</v>
      </c>
      <c r="DT271" s="45">
        <f t="shared" si="218"/>
        <v>250.03923333333344</v>
      </c>
      <c r="DU271" s="45">
        <f t="shared" si="219"/>
        <v>300.90609999999998</v>
      </c>
      <c r="DV271" s="45">
        <f t="shared" si="225"/>
        <v>5.25</v>
      </c>
      <c r="DW271" s="45">
        <f t="shared" si="220"/>
        <v>3</v>
      </c>
      <c r="DX271" s="47">
        <f t="shared" si="226"/>
        <v>3255.8877258333337</v>
      </c>
      <c r="DY271" s="50">
        <f t="shared" si="208"/>
        <v>-135.00000000000048</v>
      </c>
      <c r="EA271" s="51">
        <f t="shared" si="204"/>
        <v>4.0609585198813539E-2</v>
      </c>
      <c r="EB271" s="51">
        <f t="shared" si="204"/>
        <v>0.22885241453136704</v>
      </c>
      <c r="EC271" s="51">
        <f t="shared" si="204"/>
        <v>0.54284830246952887</v>
      </c>
      <c r="ED271" s="51">
        <f t="shared" si="204"/>
        <v>1.5940737018723838E-2</v>
      </c>
      <c r="EE271" s="51">
        <f t="shared" si="204"/>
        <v>7.6796024429662033E-2</v>
      </c>
      <c r="EF271" s="51">
        <f t="shared" si="204"/>
        <v>9.2419065194572728E-2</v>
      </c>
      <c r="EG271" s="51">
        <f t="shared" si="204"/>
        <v>1.6124634637566563E-3</v>
      </c>
      <c r="EH271" s="52">
        <f t="shared" si="227"/>
        <v>9.2140769357523225E-4</v>
      </c>
      <c r="EI271" s="51">
        <f t="shared" si="191"/>
        <v>0.99907859230642471</v>
      </c>
      <c r="EK271" s="53">
        <f>(EA271*'[2]Renewable Diesel'!BF280*'[2]Feedstock Conversion Rates'!B$2)+FB271</f>
        <v>201.41321661982565</v>
      </c>
      <c r="EL271" s="53">
        <f>(EB271*'[2]Renewable Diesel'!BF280*'[2]Feedstock Conversion Rates'!B$3)+FC271</f>
        <v>1069.6175031169087</v>
      </c>
      <c r="EM271" s="53">
        <f>(EC271*'[2]Renewable Diesel'!BF280*'[2]Feedstock Conversion Rates'!B$4)+FD271</f>
        <v>2375.6378364510065</v>
      </c>
      <c r="EN271" s="53">
        <f>(ED271*'[2]Renewable Diesel'!BF280*'[2]Feedstock Conversion Rates'!B$5)+FE271</f>
        <v>70.225660862998453</v>
      </c>
      <c r="EO271" s="53">
        <f>(EE271*'[2]Renewable Diesel'!BF280*'[2]Feedstock Conversion Rates'!B$6)+FF271</f>
        <v>420.32194257223756</v>
      </c>
      <c r="EP271" s="53">
        <f>(EF271*'[2]Renewable Diesel'!BF280*'[2]Feedstock Conversion Rates'!B$7)+FG271</f>
        <v>496.12359823769759</v>
      </c>
      <c r="EQ271" s="53">
        <f>(EG271*'[2]Renewable Diesel'!BF280*'[2]Feedstock Conversion Rates'!B$8)+FH271</f>
        <v>8.8206714402735464</v>
      </c>
      <c r="ER271" s="53">
        <f>(EH271*'[2]Renewable Diesel'!BF280*'[2]Feedstock Conversion Rates'!B$9)+FI271</f>
        <v>4.9731785644208948</v>
      </c>
      <c r="ES271" s="53">
        <f t="shared" si="228"/>
        <v>4647.1336078653685</v>
      </c>
      <c r="ET271" s="36">
        <f>ES271/'[2]Renewable Diesel'!BF280</f>
        <v>7.9642461226775847</v>
      </c>
    </row>
    <row r="272" spans="1:150" x14ac:dyDescent="0.25">
      <c r="A272" s="39">
        <v>48700</v>
      </c>
      <c r="B272" s="45">
        <f t="shared" si="221"/>
        <v>0.75</v>
      </c>
      <c r="C272" s="45">
        <f t="shared" si="222"/>
        <v>13.5</v>
      </c>
      <c r="D272" s="45">
        <f t="shared" si="209"/>
        <v>2</v>
      </c>
      <c r="E272" s="45">
        <f>('[2]Renewable Diesel'!B281*E$3*'[2]Feedstock Conversion Rates'!$B$2)/12+26+13-100+27.5+39+75-10-32-1-7+46-46.5+27</f>
        <v>146.93</v>
      </c>
      <c r="F272" s="45">
        <f>('[2]Renewable Diesel'!B281*'[2]RD Feedstock Breakdown'!F$3*'[2]Feedstock Conversion Rates'!B$8)/12+77+23-10-12-115.75+24+8+2.5+1-32-15</f>
        <v>4.65625</v>
      </c>
      <c r="G272" s="45">
        <f>('[2]Renewable Diesel'!B281*'[2]RD Feedstock Breakdown'!G$3*'[2]Feedstock Conversion Rates'!B$7)/12+116.75-39-57.5-145-31.5+32+70-40+10+15-35-25-5+6</f>
        <v>47.907000000000039</v>
      </c>
      <c r="H272" s="45">
        <f>('[2]Renewable Diesel'!B281*'[2]RD Feedstock Breakdown'!H$3*'[2]Feedstock Conversion Rates'!B$3)/12+67+10+12+3-235+20+47-20+35-5+150+20</f>
        <v>280.40022499999998</v>
      </c>
      <c r="I272" s="47">
        <f t="shared" si="160"/>
        <v>496.14347500000002</v>
      </c>
      <c r="J272" s="45">
        <f t="shared" si="210"/>
        <v>0.5</v>
      </c>
      <c r="K272" s="45"/>
      <c r="L272" s="45">
        <v>1</v>
      </c>
      <c r="M272" s="45">
        <f>('[2]Renewable Diesel'!C281*'[2]RD Feedstock Breakdown'!M$3*'[2]Feedstock Conversion Rates'!B$2)/12-55+37-25+10.5-20+30</f>
        <v>-14.70975</v>
      </c>
      <c r="N272" s="45">
        <f>('[2]Renewable Diesel'!C281*'[2]RD Feedstock Breakdown'!N$3*'[2]Feedstock Conversion Rates'!B$8)/12+8-20+10-5-15+3-11</f>
        <v>-26.328125</v>
      </c>
      <c r="O272" s="45">
        <f>('[2]Renewable Diesel'!C281*'[2]RD Feedstock Breakdown'!O$3*'[2]Feedstock Conversion Rates'!B$7)/12-80+120-40+20</f>
        <v>31.999099999999999</v>
      </c>
      <c r="P272" s="45">
        <f>('[2]Renewable Diesel'!C281*'[2]RD Feedstock Breakdown'!P$3*'[2]Feedstock Conversion Rates'!B$3)/12+6-15+50+60-105-20+50+5</f>
        <v>41.447042500000009</v>
      </c>
      <c r="Q272" s="47">
        <f t="shared" si="172"/>
        <v>33.908267500000008</v>
      </c>
      <c r="R272" s="45">
        <f>('[2]Renewable Diesel'!D281*'[2]RD Feedstock Breakdown'!R$3*'[2]Feedstock Conversion Rates'!B$7)/12</f>
        <v>2.2999999999999998</v>
      </c>
      <c r="S272" s="47">
        <f t="shared" si="203"/>
        <v>2.2999999999999998</v>
      </c>
      <c r="T272" s="45">
        <f t="shared" si="214"/>
        <v>0.82500000000000284</v>
      </c>
      <c r="U272" s="45">
        <v>35</v>
      </c>
      <c r="V272" s="45">
        <f>('[2]Renewable Diesel'!E281*'[2]RD Feedstock Breakdown'!V$3*'[2]Feedstock Conversion Rates'!B$6)/12-20+25-35</f>
        <v>14.250150000000012</v>
      </c>
      <c r="W272" s="45">
        <f>('[2]Renewable Diesel'!E281*'[2]RD Feedstock Breakdown'!W$3*'[2]Feedstock Conversion Rates'!B$8)/12-6</f>
        <v>16.1796875</v>
      </c>
      <c r="X272" s="47">
        <f t="shared" si="229"/>
        <v>66.254837500000008</v>
      </c>
      <c r="Y272" s="45">
        <f t="shared" si="211"/>
        <v>146</v>
      </c>
      <c r="Z272" s="45">
        <f>('[2]Renewable Diesel'!F281*'[2]RD Feedstock Breakdown'!Z$3*'[2]Feedstock Conversion Rates'!B$6)/12-142+15+5+75-45+52.5-87.5+80-10-20-17+2+7</f>
        <v>74.460000000000008</v>
      </c>
      <c r="AA272" s="45">
        <f>('[2]Renewable Diesel'!F281*'[2]RD Feedstock Breakdown'!AA$3*'[2]Feedstock Conversion Rates'!B$7)/12+24-30-55</f>
        <v>43.266666666666652</v>
      </c>
      <c r="AB272" s="47">
        <f t="shared" si="190"/>
        <v>263.72666666666669</v>
      </c>
      <c r="AC272" s="45">
        <f>('[2]Renewable Diesel'!G281*'[2]RD Feedstock Breakdown'!AC$3*'[2]Feedstock Conversion Rates'!B$5)/12</f>
        <v>11.796875</v>
      </c>
      <c r="AD272" s="45">
        <f>('[2]Renewable Diesel'!G281*'[2]RD Feedstock Breakdown'!AD$3*'[2]Feedstock Conversion Rates'!B$4)/12</f>
        <v>5.859375</v>
      </c>
      <c r="AE272" s="45">
        <f>('[2]Renewable Diesel'!G281*'[2]RD Feedstock Breakdown'!AE$3*'[2]Feedstock Conversion Rates'!B$6)/12</f>
        <v>7.3281250000000009</v>
      </c>
      <c r="AF272" s="47">
        <f t="shared" si="156"/>
        <v>24.984375</v>
      </c>
      <c r="AG272" s="45">
        <f t="shared" si="182"/>
        <v>6.5</v>
      </c>
      <c r="AH272" s="45">
        <v>135</v>
      </c>
      <c r="AI272" s="45">
        <f>('[2]Renewable Diesel'!H281*'[2]RD Feedstock Breakdown'!AI$3*'[2]Feedstock Conversion Rates'!B$6)/12-130-20+51-120+105-37.5+10</f>
        <v>7.0166666666666799</v>
      </c>
      <c r="AJ272" s="47">
        <f t="shared" si="202"/>
        <v>13.51666666666668</v>
      </c>
      <c r="AK272" s="45">
        <f>('[2]Renewable Diesel'!J281*'[2]RD Feedstock Breakdown'!AK$3*'[2]Feedstock Conversion Rates'!B$4)/12</f>
        <v>95.8125</v>
      </c>
      <c r="AL272" s="47">
        <f t="shared" si="205"/>
        <v>95.8125</v>
      </c>
      <c r="AM272" s="45">
        <f>('[2]Renewable Diesel'!K281*'[2]RD Feedstock Breakdown'!AM$3*'[2]Feedstock Conversion Rates'!B$4)/12+5+15-10+5-26</f>
        <v>47.59375</v>
      </c>
      <c r="AN272" s="45">
        <f>('[2]Renewable Diesel'!K281*'[2]RD Feedstock Breakdown'!AN$3*'[2]Feedstock Conversion Rates'!B$6)/12-5-15+10-5+26</f>
        <v>35.427083333333329</v>
      </c>
      <c r="AO272" s="47">
        <f t="shared" si="223"/>
        <v>83.020833333333329</v>
      </c>
      <c r="AP272" s="45">
        <f>('[2]Renewable Diesel'!L281*'[2]RD Feedstock Breakdown'!AP$3*'[2]Feedstock Conversion Rates'!B$4)/12+15-10+10+2.5</f>
        <v>76.09375</v>
      </c>
      <c r="AQ272" s="45">
        <f>('[2]Renewable Diesel'!L281*'[2]RD Feedstock Breakdown'!AQ$3*'[2]Feedstock Conversion Rates'!B$6)/12-15+10-10-2.5</f>
        <v>6.9270833333333321</v>
      </c>
      <c r="AR272" s="47">
        <f t="shared" si="207"/>
        <v>83.020833333333329</v>
      </c>
      <c r="AS272" s="45">
        <f>('[2]Renewable Diesel'!M281*'[2]RD Feedstock Breakdown'!AS$3*'[2]Feedstock Conversion Rates'!B$4)/12</f>
        <v>456.25</v>
      </c>
      <c r="AT272" s="45">
        <f>('[2]Renewable Diesel'!M281*'[2]RD Feedstock Breakdown'!AT$3*'[2]Feedstock Conversion Rates'!B$5)/12</f>
        <v>0</v>
      </c>
      <c r="AU272" s="47">
        <f t="shared" si="159"/>
        <v>456.25</v>
      </c>
      <c r="AV272" s="45">
        <f>'[2]Renewable Diesel'!N281*'[2]RD Feedstock Breakdown'!$AV$3*'[2]Feedstock Conversion Rates'!$B$4/12-15-10+25+25-22+15-68+11</f>
        <v>39.749999999999986</v>
      </c>
      <c r="AW272" s="45">
        <f>'[2]Renewable Diesel'!N281*'[2]RD Feedstock Breakdown'!$AW$3*'[2]Feedstock Conversion Rates'!$B$7/12+15+10-25-25+22-15+68-11</f>
        <v>80.400000000000006</v>
      </c>
      <c r="AX272" s="47">
        <f t="shared" si="193"/>
        <v>120.14999999999999</v>
      </c>
      <c r="AY272" s="45">
        <f>('[2]Renewable Diesel'!O281*'[2]RD Feedstock Breakdown'!AY$3*'[2]Feedstock Conversion Rates'!B$4)/12-100-160</f>
        <v>-49.0625</v>
      </c>
      <c r="AZ272" s="45">
        <f>('[2]Renewable Diesel'!O281*'[2]RD Feedstock Breakdown'!AZ$3*'[2]Feedstock Conversion Rates'!B$3)/12+100+160</f>
        <v>285.03125</v>
      </c>
      <c r="BA272" s="47">
        <f t="shared" si="173"/>
        <v>235.96875</v>
      </c>
      <c r="BB272" s="45">
        <f>('[2]Renewable Diesel'!Q281*'[2]RD Feedstock Breakdown'!BB$3*'[2]Feedstock Conversion Rates'!B$4)/12</f>
        <v>11.156249999999998</v>
      </c>
      <c r="BC272" s="45">
        <f>('[2]Renewable Diesel'!Q281*'[2]RD Feedstock Breakdown'!BC$3*'[2]Feedstock Conversion Rates'!B$3)/12</f>
        <v>1.4017500000000001</v>
      </c>
      <c r="BD272" s="45">
        <f>('[2]Renewable Diesel'!Q281*'[2]RD Feedstock Breakdown'!BD$3*'[2]Feedstock Conversion Rates'!B$6)/12</f>
        <v>0.8207500000000002</v>
      </c>
      <c r="BE272" s="47">
        <f t="shared" si="231"/>
        <v>13.378749999999998</v>
      </c>
      <c r="BF272" s="45">
        <f>('[2]Renewable Diesel'!R281*'[2]RD Feedstock Breakdown'!BF$3*'[2]Feedstock Conversion Rates'!B$4)/12</f>
        <v>62.5</v>
      </c>
      <c r="BG272" s="47">
        <f t="shared" si="215"/>
        <v>62.5</v>
      </c>
      <c r="BH272" s="45">
        <f>('[2]Renewable Diesel'!T281*'[2]RD Feedstock Breakdown'!BH$3*'[2]Feedstock Conversion Rates'!B$7)/12</f>
        <v>27.599999999999998</v>
      </c>
      <c r="BI272" s="47">
        <f t="shared" si="195"/>
        <v>27.599999999999998</v>
      </c>
      <c r="BJ272" s="45">
        <f>('[2]Renewable Diesel'!W281*'[2]RD Feedstock Breakdown'!BJ$3*'[2]Feedstock Conversion Rates'!B$4)/12</f>
        <v>7.5</v>
      </c>
      <c r="BK272" s="45">
        <f>('[2]Renewable Diesel'!W281*'[2]RD Feedstock Breakdown'!BK$3*'[2]Feedstock Conversion Rates'!B$3)/12</f>
        <v>1.335</v>
      </c>
      <c r="BL272" s="45">
        <f>('[2]Renewable Diesel'!W281*'[2]RD Feedstock Breakdown'!BL$3*'[2]Feedstock Conversion Rates'!B$6)/12</f>
        <v>3.1266666666666669</v>
      </c>
      <c r="BM272" s="45">
        <f>('[2]Renewable Diesel'!W281*'[2]RD Feedstock Breakdown'!BM$3*'[2]Feedstock Conversion Rates'!B$7)/12</f>
        <v>1.5333333333333332</v>
      </c>
      <c r="BN272" s="47">
        <f t="shared" si="168"/>
        <v>13.495000000000001</v>
      </c>
      <c r="BO272" s="45">
        <f>('[2]Renewable Diesel'!P281*'[2]Feedstock Conversion Rates'!B$4)/12</f>
        <v>31.25</v>
      </c>
      <c r="BP272" s="47">
        <f t="shared" si="157"/>
        <v>31.25</v>
      </c>
      <c r="BQ272" s="45">
        <f>('[2]Renewable Diesel'!$S281*'[2]RD Feedstock Breakdown'!BQ$3*'[2]Feedstock Conversion Rates'!B$4)/12+10</f>
        <v>38.125</v>
      </c>
      <c r="BR272" s="45">
        <f>('[2]Renewable Diesel'!$S281*'[2]RD Feedstock Breakdown'!BR$3*'[2]Feedstock Conversion Rates'!B$7)/12-10</f>
        <v>1.5</v>
      </c>
      <c r="BS272" s="47">
        <f t="shared" si="174"/>
        <v>39.625</v>
      </c>
      <c r="BT272" s="47"/>
      <c r="BU272" s="45">
        <f>('[2]Renewable Diesel'!Y281*'[2]Feedstock Conversion Rates'!B$7)/12</f>
        <v>2.6833333333333331</v>
      </c>
      <c r="BV272" s="47">
        <f t="shared" si="153"/>
        <v>2.6833333333333331</v>
      </c>
      <c r="BW272" s="45">
        <f>('[2]Renewable Diesel'!$Z281*'[2]RD Feedstock Breakdown'!BW$3*'[2]Feedstock Conversion Rates'!$B$4)/12</f>
        <v>71.875</v>
      </c>
      <c r="BX272" s="45">
        <f>('[2]Renewable Diesel'!$Z281*'[2]RD Feedstock Breakdown'!BX$3*'[2]Feedstock Conversion Rates'!$B$5)/12</f>
        <v>7.2354166666666666</v>
      </c>
      <c r="BY272" s="45">
        <f>('[2]Renewable Diesel'!$Z281*'[2]RD Feedstock Breakdown'!BY$3*'[2]Feedstock Conversion Rates'!$B$7)/12</f>
        <v>61.716666666666661</v>
      </c>
      <c r="BZ272" s="45">
        <f>('[2]Renewable Diesel'!$Z281*'[2]RD Feedstock Breakdown'!BZ$3*'[2]Feedstock Conversion Rates'!$B$3)/12</f>
        <v>15.352499999999999</v>
      </c>
      <c r="CA272" s="47">
        <f t="shared" si="181"/>
        <v>156.17958333333331</v>
      </c>
      <c r="CB272" s="45">
        <f>('[2]Renewable Diesel'!AA281*'[2]Feedstock Conversion Rates'!B$4)/12</f>
        <v>191.25</v>
      </c>
      <c r="CC272" s="47">
        <f t="shared" si="171"/>
        <v>191.25</v>
      </c>
      <c r="CD272" s="45">
        <f>('[2]Renewable Diesel'!$AB281*'[2]RD Feedstock Breakdown'!CD$3*'[2]Feedstock Conversion Rates'!$B$6)/12-15-5+5</f>
        <v>17.830000000000005</v>
      </c>
      <c r="CE272" s="45">
        <f>('[2]Renewable Diesel'!$AB281*'[2]RD Feedstock Breakdown'!CE$3*'[2]Feedstock Conversion Rates'!$B$4)/12+15+5-5</f>
        <v>26.25</v>
      </c>
      <c r="CF272" s="47">
        <f t="shared" si="161"/>
        <v>44.080000000000005</v>
      </c>
      <c r="CG272" s="45">
        <f>('[2]Renewable Diesel'!AD281*'[2]Feedstock Conversion Rates'!B$4)/12</f>
        <v>112.5</v>
      </c>
      <c r="CH272" s="47">
        <f t="shared" si="230"/>
        <v>112.5</v>
      </c>
      <c r="CI272" s="45">
        <f>('[2]Renewable Diesel'!$AE281*'[2]RD Feedstock Breakdown'!CI$3*'[2]Feedstock Conversion Rates'!$B$5)/12</f>
        <v>0.34604166666666664</v>
      </c>
      <c r="CJ272" s="45">
        <f>('[2]Renewable Diesel'!$AE281*'[2]RD Feedstock Breakdown'!CJ$3*'[2]Feedstock Conversion Rates'!$B$4)/12</f>
        <v>0.34375</v>
      </c>
      <c r="CK272" s="47">
        <f t="shared" si="158"/>
        <v>0.68979166666666658</v>
      </c>
      <c r="CL272" s="45">
        <f>(((CL$3*'[2]Renewable Diesel'!$AF281)*'[2]Feedstock Conversion Rates'!$B$3)/12)</f>
        <v>91.78125</v>
      </c>
      <c r="CM272" s="45">
        <f>(((CM$3*'[2]Renewable Diesel'!$AF281)*'[2]Feedstock Conversion Rates'!$B$6)/12)</f>
        <v>53.739583333333336</v>
      </c>
      <c r="CN272" s="45">
        <f>(((CN$3*'[2]Renewable Diesel'!$AF281)*'[2]Feedstock Conversion Rates'!$B$4)/12)</f>
        <v>42.96875</v>
      </c>
      <c r="CO272" s="47">
        <f t="shared" si="232"/>
        <v>188.48958333333334</v>
      </c>
      <c r="CP272" s="45">
        <f>('[2]Renewable Diesel'!$AG281*'[2]RD Feedstock Breakdown'!CP$3*'[2]Feedstock Conversion Rates'!$B$3)/12</f>
        <v>6.0075000000000003</v>
      </c>
      <c r="CQ272" s="45">
        <f>('[2]Renewable Diesel'!$AG281*'[2]RD Feedstock Breakdown'!CQ$3*'[2]Feedstock Conversion Rates'!$B$6)/12</f>
        <v>3.5175000000000001</v>
      </c>
      <c r="CR272" s="45">
        <f>('[2]Renewable Diesel'!$AG281*'[2]RD Feedstock Breakdown'!CR$3*'[2]Feedstock Conversion Rates'!$B$4)/12</f>
        <v>2.8125</v>
      </c>
      <c r="CS272" s="47">
        <f t="shared" si="183"/>
        <v>12.3375</v>
      </c>
      <c r="CT272" s="45">
        <f>('[2]Renewable Diesel'!AI281*'[2]Feedstock Conversion Rates'!$B$4*'[2]RD Feedstock Breakdown'!$CT$3)/12</f>
        <v>29.375</v>
      </c>
      <c r="CU272" s="47">
        <f t="shared" si="154"/>
        <v>29.375</v>
      </c>
      <c r="CV272" s="45">
        <f>('[2]Renewable Diesel'!AN281*'[2]Feedstock Conversion Rates'!$B$3*'[2]RD Feedstock Breakdown'!$CV$3)/12</f>
        <v>0.50062499999999999</v>
      </c>
      <c r="CW272" s="47">
        <f t="shared" si="206"/>
        <v>0.50062499999999999</v>
      </c>
      <c r="CX272" s="45">
        <f>('[2]Renewable Diesel'!AO281*'[2]RD Feedstock Breakdown'!$CX$3*'[2]Feedstock Conversion Rates'!$B$3)/12</f>
        <v>6.3412499999999996</v>
      </c>
      <c r="CY272" s="45">
        <f>('[2]Renewable Diesel'!AO281*'[2]RD Feedstock Breakdown'!$CY$3*'[2]Feedstock Conversion Rates'!$B$6)/12</f>
        <v>7.4258333333333342</v>
      </c>
      <c r="CZ272" s="47">
        <f t="shared" si="188"/>
        <v>13.767083333333334</v>
      </c>
      <c r="DA272" s="45">
        <f>('[2]Renewable Diesel'!$AP281*'[2]RD Feedstock Breakdown'!DA$3*'[2]Feedstock Conversion Rates'!$B$3)/12</f>
        <v>6.3412499999999996</v>
      </c>
      <c r="DB272" s="45">
        <f>('[2]Renewable Diesel'!$AP281*'[2]RD Feedstock Breakdown'!DB$3*'[2]Feedstock Conversion Rates'!$B$8)/12</f>
        <v>7.421875</v>
      </c>
      <c r="DC272" s="47">
        <f t="shared" si="212"/>
        <v>13.763124999999999</v>
      </c>
      <c r="DD272" s="45">
        <f>('[2]Renewable Diesel'!AQ281*$DD$3*'[2]Feedstock Conversion Rates'!$B$14)/12</f>
        <v>3.1041666666666665</v>
      </c>
      <c r="DE272" s="47">
        <f t="shared" si="213"/>
        <v>3.1041666666666665</v>
      </c>
      <c r="DF272" s="45">
        <f>('[2]Renewable Diesel'!AR281*'[2]Feedstock Conversion Rates'!$B$4*$DF$3)/12</f>
        <v>75</v>
      </c>
      <c r="DG272" s="47">
        <f t="shared" si="189"/>
        <v>75</v>
      </c>
      <c r="DH272" s="45">
        <f>('[2]Renewable Diesel'!AS281*'[2]Feedstock Conversion Rates'!$B$4*$DH$3)/12</f>
        <v>75</v>
      </c>
      <c r="DI272" s="47">
        <f t="shared" si="194"/>
        <v>75</v>
      </c>
      <c r="DJ272" s="45">
        <f>('[2]Renewable Diesel'!AT281*'[2]Feedstock Conversion Rates'!$B$4*0.25)/12</f>
        <v>8.59375</v>
      </c>
      <c r="DK272" s="45">
        <f>('[2]Renewable Diesel'!$AT281*'[2]RD Feedstock Breakdown'!DK$3*'[2]Feedstock Conversion Rates'!$B$3)/12*0.5</f>
        <v>9.1781249999999996</v>
      </c>
      <c r="DL272" s="45">
        <f>('[2]Renewable Diesel'!$AT281*'[2]RD Feedstock Breakdown'!$DL$3*'[2]Feedstock Conversion Rates'!$B$6)/12</f>
        <v>10.747916666666669</v>
      </c>
      <c r="DM272" s="45">
        <f>('[2]Renewable Diesel'!$AT281*'[2]RD Feedstock Breakdown'!$DM$3*'[2]Feedstock Conversion Rates'!$B$8)/12</f>
        <v>10.7421875</v>
      </c>
      <c r="DN272" s="47">
        <f t="shared" si="169"/>
        <v>39.26197916666667</v>
      </c>
      <c r="DP272" s="45">
        <f t="shared" si="216"/>
        <v>132.22025000000002</v>
      </c>
      <c r="DQ272" s="45">
        <f t="shared" si="217"/>
        <v>745.11776750000001</v>
      </c>
      <c r="DR272" s="45">
        <f t="shared" si="224"/>
        <v>1767.453125</v>
      </c>
      <c r="DS272" s="45">
        <f t="shared" si="155"/>
        <v>51.901249999999997</v>
      </c>
      <c r="DT272" s="45">
        <f t="shared" si="218"/>
        <v>250.03923333333344</v>
      </c>
      <c r="DU272" s="45">
        <f t="shared" si="219"/>
        <v>300.90609999999998</v>
      </c>
      <c r="DV272" s="45">
        <f t="shared" si="225"/>
        <v>5.25</v>
      </c>
      <c r="DW272" s="45">
        <f t="shared" si="220"/>
        <v>3</v>
      </c>
      <c r="DX272" s="47">
        <f t="shared" si="226"/>
        <v>3255.8877258333337</v>
      </c>
      <c r="DY272" s="50">
        <f t="shared" si="208"/>
        <v>-135.00000000000048</v>
      </c>
      <c r="EA272" s="51">
        <f t="shared" si="204"/>
        <v>4.0609585198813539E-2</v>
      </c>
      <c r="EB272" s="51">
        <f t="shared" si="204"/>
        <v>0.22885241453136704</v>
      </c>
      <c r="EC272" s="51">
        <f t="shared" si="204"/>
        <v>0.54284830246952887</v>
      </c>
      <c r="ED272" s="51">
        <f t="shared" si="204"/>
        <v>1.5940737018723838E-2</v>
      </c>
      <c r="EE272" s="51">
        <f t="shared" si="204"/>
        <v>7.6796024429662033E-2</v>
      </c>
      <c r="EF272" s="51">
        <f t="shared" si="204"/>
        <v>9.2419065194572728E-2</v>
      </c>
      <c r="EG272" s="51">
        <f t="shared" si="204"/>
        <v>1.6124634637566563E-3</v>
      </c>
      <c r="EH272" s="52">
        <f t="shared" si="227"/>
        <v>9.2140769357523225E-4</v>
      </c>
      <c r="EI272" s="51">
        <f t="shared" si="191"/>
        <v>0.99907859230642471</v>
      </c>
      <c r="EK272" s="53">
        <f>(EA272*'[2]Renewable Diesel'!BF281*'[2]Feedstock Conversion Rates'!B$2)+FB272</f>
        <v>245.49399431268301</v>
      </c>
      <c r="EL272" s="53">
        <f>(EB272*'[2]Renewable Diesel'!BF281*'[2]Feedstock Conversion Rates'!B$3)+FC272</f>
        <v>1303.7112342164032</v>
      </c>
      <c r="EM272" s="53">
        <f>(EC272*'[2]Renewable Diesel'!BF281*'[2]Feedstock Conversion Rates'!B$4)+FD272</f>
        <v>2895.5638130317793</v>
      </c>
      <c r="EN272" s="53">
        <f>(ED272*'[2]Renewable Diesel'!BF281*'[2]Feedstock Conversion Rates'!B$5)+FE272</f>
        <v>85.595068078607767</v>
      </c>
      <c r="EO272" s="53">
        <f>(EE272*'[2]Renewable Diesel'!BF281*'[2]Feedstock Conversion Rates'!B$6)+FF272</f>
        <v>512.31252005717613</v>
      </c>
      <c r="EP272" s="53">
        <f>(EF272*'[2]Renewable Diesel'!BF281*'[2]Feedstock Conversion Rates'!B$7)+FG272</f>
        <v>604.7039307953961</v>
      </c>
      <c r="EQ272" s="53">
        <f>(EG272*'[2]Renewable Diesel'!BF281*'[2]Feedstock Conversion Rates'!B$8)+FH272</f>
        <v>10.751140867184837</v>
      </c>
      <c r="ER272" s="53">
        <f>(EH272*'[2]Renewable Diesel'!BF281*'[2]Feedstock Conversion Rates'!B$9)+FI272</f>
        <v>6.0615956127365944</v>
      </c>
      <c r="ES272" s="53">
        <f t="shared" si="228"/>
        <v>5664.1932969719674</v>
      </c>
      <c r="ET272" s="36">
        <f>ES272/'[2]Renewable Diesel'!BF281</f>
        <v>7.9642461226775856</v>
      </c>
    </row>
    <row r="273" spans="1:150" x14ac:dyDescent="0.25">
      <c r="A273" s="39">
        <v>48731</v>
      </c>
      <c r="B273" s="45">
        <f t="shared" si="221"/>
        <v>0.75</v>
      </c>
      <c r="C273" s="45">
        <f t="shared" si="222"/>
        <v>13.5</v>
      </c>
      <c r="D273" s="45">
        <f t="shared" si="209"/>
        <v>2</v>
      </c>
      <c r="E273" s="45">
        <f>('[2]Renewable Diesel'!B282*E$3*'[2]Feedstock Conversion Rates'!$B$2)/12+26+13-100+27.5+39+75-10-32-1-7+46-46.5+27</f>
        <v>146.93</v>
      </c>
      <c r="F273" s="45">
        <f>('[2]Renewable Diesel'!B282*'[2]RD Feedstock Breakdown'!F$3*'[2]Feedstock Conversion Rates'!B$8)/12+77+23-10-12-115.75+24+8+2.5+1-32-15</f>
        <v>4.65625</v>
      </c>
      <c r="G273" s="45">
        <f>('[2]Renewable Diesel'!B282*'[2]RD Feedstock Breakdown'!G$3*'[2]Feedstock Conversion Rates'!B$7)/12+116.75-39-57.5-145-31.5+32+70-40+10+15-35-25-5+6</f>
        <v>47.907000000000039</v>
      </c>
      <c r="H273" s="45">
        <f>('[2]Renewable Diesel'!B282*'[2]RD Feedstock Breakdown'!H$3*'[2]Feedstock Conversion Rates'!B$3)/12+67+10+12+3-235+20+47-20+35-5+150+20</f>
        <v>280.40022499999998</v>
      </c>
      <c r="I273" s="47">
        <f t="shared" si="160"/>
        <v>496.14347500000002</v>
      </c>
      <c r="J273" s="45">
        <f t="shared" si="210"/>
        <v>0.5</v>
      </c>
      <c r="K273" s="45"/>
      <c r="L273" s="45">
        <v>1</v>
      </c>
      <c r="M273" s="45">
        <f>('[2]Renewable Diesel'!C282*'[2]RD Feedstock Breakdown'!M$3*'[2]Feedstock Conversion Rates'!B$2)/12-55+37-25+10.5-20+30</f>
        <v>-14.70975</v>
      </c>
      <c r="N273" s="45">
        <f>('[2]Renewable Diesel'!C282*'[2]RD Feedstock Breakdown'!N$3*'[2]Feedstock Conversion Rates'!B$8)/12+8-20+10-5-15+3-11</f>
        <v>-26.328125</v>
      </c>
      <c r="O273" s="45">
        <f>('[2]Renewable Diesel'!C282*'[2]RD Feedstock Breakdown'!O$3*'[2]Feedstock Conversion Rates'!B$7)/12-80+120-40+20</f>
        <v>31.999099999999999</v>
      </c>
      <c r="P273" s="45">
        <f>('[2]Renewable Diesel'!C282*'[2]RD Feedstock Breakdown'!P$3*'[2]Feedstock Conversion Rates'!B$3)/12+6-15+50+60-105-20+50+5</f>
        <v>41.447042500000009</v>
      </c>
      <c r="Q273" s="47">
        <f t="shared" si="172"/>
        <v>33.908267500000008</v>
      </c>
      <c r="R273" s="45">
        <f>('[2]Renewable Diesel'!D282*'[2]RD Feedstock Breakdown'!R$3*'[2]Feedstock Conversion Rates'!B$7)/12</f>
        <v>2.2999999999999998</v>
      </c>
      <c r="S273" s="47">
        <f t="shared" si="203"/>
        <v>2.2999999999999998</v>
      </c>
      <c r="T273" s="45">
        <f t="shared" si="214"/>
        <v>0.82500000000000284</v>
      </c>
      <c r="U273" s="45">
        <v>35</v>
      </c>
      <c r="V273" s="45">
        <f>('[2]Renewable Diesel'!E282*'[2]RD Feedstock Breakdown'!V$3*'[2]Feedstock Conversion Rates'!B$6)/12-20+25-35</f>
        <v>14.250150000000012</v>
      </c>
      <c r="W273" s="45">
        <f>('[2]Renewable Diesel'!E282*'[2]RD Feedstock Breakdown'!W$3*'[2]Feedstock Conversion Rates'!B$8)/12-6</f>
        <v>16.1796875</v>
      </c>
      <c r="X273" s="47">
        <f t="shared" si="229"/>
        <v>66.254837500000008</v>
      </c>
      <c r="Y273" s="45">
        <f t="shared" si="211"/>
        <v>146</v>
      </c>
      <c r="Z273" s="45">
        <f>('[2]Renewable Diesel'!F282*'[2]RD Feedstock Breakdown'!Z$3*'[2]Feedstock Conversion Rates'!B$6)/12-142+15+5+75-45+52.5-87.5+80-10-20-17+2+7</f>
        <v>74.460000000000008</v>
      </c>
      <c r="AA273" s="45">
        <f>('[2]Renewable Diesel'!F282*'[2]RD Feedstock Breakdown'!AA$3*'[2]Feedstock Conversion Rates'!B$7)/12+24-30-55</f>
        <v>43.266666666666652</v>
      </c>
      <c r="AB273" s="47">
        <f t="shared" si="190"/>
        <v>263.72666666666669</v>
      </c>
      <c r="AC273" s="45">
        <f>('[2]Renewable Diesel'!G282*'[2]RD Feedstock Breakdown'!AC$3*'[2]Feedstock Conversion Rates'!B$5)/12</f>
        <v>11.796875</v>
      </c>
      <c r="AD273" s="45">
        <f>('[2]Renewable Diesel'!G282*'[2]RD Feedstock Breakdown'!AD$3*'[2]Feedstock Conversion Rates'!B$4)/12</f>
        <v>5.859375</v>
      </c>
      <c r="AE273" s="45">
        <f>('[2]Renewable Diesel'!G282*'[2]RD Feedstock Breakdown'!AE$3*'[2]Feedstock Conversion Rates'!B$6)/12</f>
        <v>7.3281250000000009</v>
      </c>
      <c r="AF273" s="47">
        <f t="shared" si="156"/>
        <v>24.984375</v>
      </c>
      <c r="AG273" s="45">
        <f t="shared" si="182"/>
        <v>6.5</v>
      </c>
      <c r="AH273" s="45">
        <v>135</v>
      </c>
      <c r="AI273" s="45">
        <f>('[2]Renewable Diesel'!H282*'[2]RD Feedstock Breakdown'!AI$3*'[2]Feedstock Conversion Rates'!B$6)/12-130-20+51-120+105-37.5+10</f>
        <v>7.0166666666666799</v>
      </c>
      <c r="AJ273" s="47">
        <f t="shared" si="202"/>
        <v>13.51666666666668</v>
      </c>
      <c r="AK273" s="45">
        <f>('[2]Renewable Diesel'!J282*'[2]RD Feedstock Breakdown'!AK$3*'[2]Feedstock Conversion Rates'!B$4)/12</f>
        <v>95.8125</v>
      </c>
      <c r="AL273" s="47">
        <f t="shared" si="205"/>
        <v>95.8125</v>
      </c>
      <c r="AM273" s="45">
        <f>('[2]Renewable Diesel'!K282*'[2]RD Feedstock Breakdown'!AM$3*'[2]Feedstock Conversion Rates'!B$4)/12+5+15-10+5-26</f>
        <v>47.59375</v>
      </c>
      <c r="AN273" s="45">
        <f>('[2]Renewable Diesel'!K282*'[2]RD Feedstock Breakdown'!AN$3*'[2]Feedstock Conversion Rates'!B$6)/12-5-15+10-5+26</f>
        <v>35.427083333333329</v>
      </c>
      <c r="AO273" s="47">
        <f t="shared" si="223"/>
        <v>83.020833333333329</v>
      </c>
      <c r="AP273" s="45">
        <f>('[2]Renewable Diesel'!L282*'[2]RD Feedstock Breakdown'!AP$3*'[2]Feedstock Conversion Rates'!B$4)/12+15-10+10+2.5</f>
        <v>76.09375</v>
      </c>
      <c r="AQ273" s="45">
        <f>('[2]Renewable Diesel'!L282*'[2]RD Feedstock Breakdown'!AQ$3*'[2]Feedstock Conversion Rates'!B$6)/12-15+10-10-2.5</f>
        <v>6.9270833333333321</v>
      </c>
      <c r="AR273" s="47">
        <f t="shared" si="207"/>
        <v>83.020833333333329</v>
      </c>
      <c r="AS273" s="45">
        <f>('[2]Renewable Diesel'!M282*'[2]RD Feedstock Breakdown'!AS$3*'[2]Feedstock Conversion Rates'!B$4)/12</f>
        <v>456.25</v>
      </c>
      <c r="AT273" s="45">
        <f>('[2]Renewable Diesel'!M282*'[2]RD Feedstock Breakdown'!AT$3*'[2]Feedstock Conversion Rates'!B$5)/12</f>
        <v>0</v>
      </c>
      <c r="AU273" s="47">
        <f t="shared" si="159"/>
        <v>456.25</v>
      </c>
      <c r="AV273" s="45">
        <f>'[2]Renewable Diesel'!N282*'[2]RD Feedstock Breakdown'!$AV$3*'[2]Feedstock Conversion Rates'!$B$4/12-15-10+25+25-22+15-68+11</f>
        <v>39.749999999999986</v>
      </c>
      <c r="AW273" s="45">
        <f>'[2]Renewable Diesel'!N282*'[2]RD Feedstock Breakdown'!$AW$3*'[2]Feedstock Conversion Rates'!$B$7/12+15+10-25-25+22-15+68-11</f>
        <v>80.400000000000006</v>
      </c>
      <c r="AX273" s="47">
        <f t="shared" si="193"/>
        <v>120.14999999999999</v>
      </c>
      <c r="AY273" s="45">
        <f>('[2]Renewable Diesel'!O282*'[2]RD Feedstock Breakdown'!AY$3*'[2]Feedstock Conversion Rates'!B$4)/12-100-160</f>
        <v>-49.0625</v>
      </c>
      <c r="AZ273" s="45">
        <f>('[2]Renewable Diesel'!O282*'[2]RD Feedstock Breakdown'!AZ$3*'[2]Feedstock Conversion Rates'!B$3)/12+100+160</f>
        <v>285.03125</v>
      </c>
      <c r="BA273" s="47">
        <f t="shared" si="173"/>
        <v>235.96875</v>
      </c>
      <c r="BB273" s="45">
        <f>('[2]Renewable Diesel'!Q282*'[2]RD Feedstock Breakdown'!BB$3*'[2]Feedstock Conversion Rates'!B$4)/12</f>
        <v>11.156249999999998</v>
      </c>
      <c r="BC273" s="45">
        <f>('[2]Renewable Diesel'!Q282*'[2]RD Feedstock Breakdown'!BC$3*'[2]Feedstock Conversion Rates'!B$3)/12</f>
        <v>1.4017500000000001</v>
      </c>
      <c r="BD273" s="45">
        <f>('[2]Renewable Diesel'!Q282*'[2]RD Feedstock Breakdown'!BD$3*'[2]Feedstock Conversion Rates'!B$6)/12</f>
        <v>0.8207500000000002</v>
      </c>
      <c r="BE273" s="47">
        <f t="shared" si="231"/>
        <v>13.378749999999998</v>
      </c>
      <c r="BF273" s="45">
        <f>('[2]Renewable Diesel'!R282*'[2]RD Feedstock Breakdown'!BF$3*'[2]Feedstock Conversion Rates'!B$4)/12</f>
        <v>62.5</v>
      </c>
      <c r="BG273" s="47">
        <f t="shared" si="215"/>
        <v>62.5</v>
      </c>
      <c r="BH273" s="45">
        <f>('[2]Renewable Diesel'!T282*'[2]RD Feedstock Breakdown'!BH$3*'[2]Feedstock Conversion Rates'!B$7)/12</f>
        <v>27.599999999999998</v>
      </c>
      <c r="BI273" s="47">
        <f t="shared" si="195"/>
        <v>27.599999999999998</v>
      </c>
      <c r="BJ273" s="45">
        <f>('[2]Renewable Diesel'!W282*'[2]RD Feedstock Breakdown'!BJ$3*'[2]Feedstock Conversion Rates'!B$4)/12</f>
        <v>7.5</v>
      </c>
      <c r="BK273" s="45">
        <f>('[2]Renewable Diesel'!W282*'[2]RD Feedstock Breakdown'!BK$3*'[2]Feedstock Conversion Rates'!B$3)/12</f>
        <v>1.335</v>
      </c>
      <c r="BL273" s="45">
        <f>('[2]Renewable Diesel'!W282*'[2]RD Feedstock Breakdown'!BL$3*'[2]Feedstock Conversion Rates'!B$6)/12</f>
        <v>3.1266666666666669</v>
      </c>
      <c r="BM273" s="45">
        <f>('[2]Renewable Diesel'!W282*'[2]RD Feedstock Breakdown'!BM$3*'[2]Feedstock Conversion Rates'!B$7)/12</f>
        <v>1.5333333333333332</v>
      </c>
      <c r="BN273" s="47">
        <f t="shared" si="168"/>
        <v>13.495000000000001</v>
      </c>
      <c r="BO273" s="45">
        <f>('[2]Renewable Diesel'!P282*'[2]Feedstock Conversion Rates'!B$4)/12</f>
        <v>31.25</v>
      </c>
      <c r="BP273" s="47">
        <f t="shared" si="157"/>
        <v>31.25</v>
      </c>
      <c r="BQ273" s="45">
        <f>('[2]Renewable Diesel'!$S282*'[2]RD Feedstock Breakdown'!BQ$3*'[2]Feedstock Conversion Rates'!B$4)/12+10</f>
        <v>38.125</v>
      </c>
      <c r="BR273" s="45">
        <f>('[2]Renewable Diesel'!$S282*'[2]RD Feedstock Breakdown'!BR$3*'[2]Feedstock Conversion Rates'!B$7)/12-10</f>
        <v>1.5</v>
      </c>
      <c r="BS273" s="47">
        <f t="shared" si="174"/>
        <v>39.625</v>
      </c>
      <c r="BT273" s="47"/>
      <c r="BU273" s="45">
        <f>('[2]Renewable Diesel'!Y282*'[2]Feedstock Conversion Rates'!B$7)/12</f>
        <v>2.6833333333333331</v>
      </c>
      <c r="BV273" s="47">
        <f t="shared" ref="BV273:BV336" si="233">BU273</f>
        <v>2.6833333333333331</v>
      </c>
      <c r="BW273" s="45">
        <f>('[2]Renewable Diesel'!$Z282*'[2]RD Feedstock Breakdown'!BW$3*'[2]Feedstock Conversion Rates'!$B$4)/12</f>
        <v>71.875</v>
      </c>
      <c r="BX273" s="45">
        <f>('[2]Renewable Diesel'!$Z282*'[2]RD Feedstock Breakdown'!BX$3*'[2]Feedstock Conversion Rates'!$B$5)/12</f>
        <v>7.2354166666666666</v>
      </c>
      <c r="BY273" s="45">
        <f>('[2]Renewable Diesel'!$Z282*'[2]RD Feedstock Breakdown'!BY$3*'[2]Feedstock Conversion Rates'!$B$7)/12</f>
        <v>61.716666666666661</v>
      </c>
      <c r="BZ273" s="45">
        <f>('[2]Renewable Diesel'!$Z282*'[2]RD Feedstock Breakdown'!BZ$3*'[2]Feedstock Conversion Rates'!$B$3)/12</f>
        <v>15.352499999999999</v>
      </c>
      <c r="CA273" s="47">
        <f t="shared" si="181"/>
        <v>156.17958333333331</v>
      </c>
      <c r="CB273" s="45">
        <f>('[2]Renewable Diesel'!AA282*'[2]Feedstock Conversion Rates'!B$4)/12</f>
        <v>191.25</v>
      </c>
      <c r="CC273" s="47">
        <f t="shared" si="171"/>
        <v>191.25</v>
      </c>
      <c r="CD273" s="45">
        <f>('[2]Renewable Diesel'!$AB282*'[2]RD Feedstock Breakdown'!CD$3*'[2]Feedstock Conversion Rates'!$B$6)/12-15-5+5</f>
        <v>17.830000000000005</v>
      </c>
      <c r="CE273" s="45">
        <f>('[2]Renewable Diesel'!$AB282*'[2]RD Feedstock Breakdown'!CE$3*'[2]Feedstock Conversion Rates'!$B$4)/12+15+5-5</f>
        <v>26.25</v>
      </c>
      <c r="CF273" s="47">
        <f t="shared" si="161"/>
        <v>44.080000000000005</v>
      </c>
      <c r="CG273" s="45">
        <f>('[2]Renewable Diesel'!AD282*'[2]Feedstock Conversion Rates'!B$4)/12</f>
        <v>112.5</v>
      </c>
      <c r="CH273" s="47">
        <f t="shared" si="230"/>
        <v>112.5</v>
      </c>
      <c r="CI273" s="45">
        <f>('[2]Renewable Diesel'!$AE282*'[2]RD Feedstock Breakdown'!CI$3*'[2]Feedstock Conversion Rates'!$B$5)/12</f>
        <v>0.34604166666666664</v>
      </c>
      <c r="CJ273" s="45">
        <f>('[2]Renewable Diesel'!$AE282*'[2]RD Feedstock Breakdown'!CJ$3*'[2]Feedstock Conversion Rates'!$B$4)/12</f>
        <v>0.34375</v>
      </c>
      <c r="CK273" s="47">
        <f t="shared" si="158"/>
        <v>0.68979166666666658</v>
      </c>
      <c r="CL273" s="45">
        <f>(((CL$3*'[2]Renewable Diesel'!$AF282)*'[2]Feedstock Conversion Rates'!$B$3)/12)</f>
        <v>91.78125</v>
      </c>
      <c r="CM273" s="45">
        <f>(((CM$3*'[2]Renewable Diesel'!$AF282)*'[2]Feedstock Conversion Rates'!$B$6)/12)</f>
        <v>53.739583333333336</v>
      </c>
      <c r="CN273" s="45">
        <f>(((CN$3*'[2]Renewable Diesel'!$AF282)*'[2]Feedstock Conversion Rates'!$B$4)/12)</f>
        <v>42.96875</v>
      </c>
      <c r="CO273" s="47">
        <f t="shared" si="232"/>
        <v>188.48958333333334</v>
      </c>
      <c r="CP273" s="45">
        <f>('[2]Renewable Diesel'!$AG282*'[2]RD Feedstock Breakdown'!CP$3*'[2]Feedstock Conversion Rates'!$B$3)/12</f>
        <v>6.0075000000000003</v>
      </c>
      <c r="CQ273" s="45">
        <f>('[2]Renewable Diesel'!$AG282*'[2]RD Feedstock Breakdown'!CQ$3*'[2]Feedstock Conversion Rates'!$B$6)/12</f>
        <v>3.5175000000000001</v>
      </c>
      <c r="CR273" s="45">
        <f>('[2]Renewable Diesel'!$AG282*'[2]RD Feedstock Breakdown'!CR$3*'[2]Feedstock Conversion Rates'!$B$4)/12</f>
        <v>2.8125</v>
      </c>
      <c r="CS273" s="47">
        <f t="shared" si="183"/>
        <v>12.3375</v>
      </c>
      <c r="CT273" s="45">
        <f>('[2]Renewable Diesel'!AI282*'[2]Feedstock Conversion Rates'!$B$4*'[2]RD Feedstock Breakdown'!$CT$3)/12</f>
        <v>29.375</v>
      </c>
      <c r="CU273" s="47">
        <f t="shared" si="154"/>
        <v>29.375</v>
      </c>
      <c r="CV273" s="45">
        <f>('[2]Renewable Diesel'!AN282*'[2]Feedstock Conversion Rates'!$B$3*'[2]RD Feedstock Breakdown'!$CV$3)/12</f>
        <v>0.50062499999999999</v>
      </c>
      <c r="CW273" s="47">
        <f t="shared" si="206"/>
        <v>0.50062499999999999</v>
      </c>
      <c r="CX273" s="45">
        <f>('[2]Renewable Diesel'!AO282*'[2]RD Feedstock Breakdown'!$CX$3*'[2]Feedstock Conversion Rates'!$B$3)/12</f>
        <v>6.3412499999999996</v>
      </c>
      <c r="CY273" s="45">
        <f>('[2]Renewable Diesel'!AO282*'[2]RD Feedstock Breakdown'!$CY$3*'[2]Feedstock Conversion Rates'!$B$6)/12</f>
        <v>7.4258333333333342</v>
      </c>
      <c r="CZ273" s="47">
        <f t="shared" si="188"/>
        <v>13.767083333333334</v>
      </c>
      <c r="DA273" s="45">
        <f>('[2]Renewable Diesel'!$AP282*'[2]RD Feedstock Breakdown'!DA$3*'[2]Feedstock Conversion Rates'!$B$3)/12</f>
        <v>6.3412499999999996</v>
      </c>
      <c r="DB273" s="45">
        <f>('[2]Renewable Diesel'!$AP282*'[2]RD Feedstock Breakdown'!DB$3*'[2]Feedstock Conversion Rates'!$B$8)/12</f>
        <v>7.421875</v>
      </c>
      <c r="DC273" s="47">
        <f t="shared" si="212"/>
        <v>13.763124999999999</v>
      </c>
      <c r="DD273" s="45">
        <f>('[2]Renewable Diesel'!AQ282*$DD$3*'[2]Feedstock Conversion Rates'!$B$14)/12</f>
        <v>3.1041666666666665</v>
      </c>
      <c r="DE273" s="47">
        <f t="shared" si="213"/>
        <v>3.1041666666666665</v>
      </c>
      <c r="DF273" s="45">
        <f>('[2]Renewable Diesel'!AR282*'[2]Feedstock Conversion Rates'!$B$4*$DF$3)/12</f>
        <v>75</v>
      </c>
      <c r="DG273" s="47">
        <f t="shared" si="189"/>
        <v>75</v>
      </c>
      <c r="DH273" s="45">
        <f>('[2]Renewable Diesel'!AS282*'[2]Feedstock Conversion Rates'!$B$4*$DH$3)/12</f>
        <v>75</v>
      </c>
      <c r="DI273" s="47">
        <f t="shared" si="194"/>
        <v>75</v>
      </c>
      <c r="DJ273" s="45">
        <f>('[2]Renewable Diesel'!AT282*'[2]Feedstock Conversion Rates'!$B$4*0.25)/12</f>
        <v>8.59375</v>
      </c>
      <c r="DK273" s="45">
        <f>('[2]Renewable Diesel'!$AT282*'[2]RD Feedstock Breakdown'!DK$3*'[2]Feedstock Conversion Rates'!$B$3)/12*0.5</f>
        <v>9.1781249999999996</v>
      </c>
      <c r="DL273" s="45">
        <f>('[2]Renewable Diesel'!$AT282*'[2]RD Feedstock Breakdown'!$DL$3*'[2]Feedstock Conversion Rates'!$B$6)/12</f>
        <v>10.747916666666669</v>
      </c>
      <c r="DM273" s="45">
        <f>('[2]Renewable Diesel'!$AT282*'[2]RD Feedstock Breakdown'!$DM$3*'[2]Feedstock Conversion Rates'!$B$8)/12</f>
        <v>10.7421875</v>
      </c>
      <c r="DN273" s="47">
        <f t="shared" si="169"/>
        <v>39.26197916666667</v>
      </c>
      <c r="DP273" s="45">
        <f t="shared" si="216"/>
        <v>132.22025000000002</v>
      </c>
      <c r="DQ273" s="45">
        <f t="shared" si="217"/>
        <v>745.11776750000001</v>
      </c>
      <c r="DR273" s="45">
        <f t="shared" si="224"/>
        <v>1767.453125</v>
      </c>
      <c r="DS273" s="45">
        <f t="shared" si="155"/>
        <v>51.901249999999997</v>
      </c>
      <c r="DT273" s="45">
        <f t="shared" si="218"/>
        <v>250.03923333333344</v>
      </c>
      <c r="DU273" s="45">
        <f t="shared" si="219"/>
        <v>300.90609999999998</v>
      </c>
      <c r="DV273" s="45">
        <f t="shared" si="225"/>
        <v>5.25</v>
      </c>
      <c r="DW273" s="45">
        <f t="shared" si="220"/>
        <v>3</v>
      </c>
      <c r="DX273" s="47">
        <f t="shared" si="226"/>
        <v>3255.8877258333337</v>
      </c>
      <c r="DY273" s="50">
        <f t="shared" si="208"/>
        <v>-135.00000000000048</v>
      </c>
      <c r="EA273" s="51">
        <f t="shared" si="204"/>
        <v>4.0609585198813539E-2</v>
      </c>
      <c r="EB273" s="51">
        <f t="shared" si="204"/>
        <v>0.22885241453136704</v>
      </c>
      <c r="EC273" s="51">
        <f t="shared" si="204"/>
        <v>0.54284830246952887</v>
      </c>
      <c r="ED273" s="51">
        <f t="shared" si="204"/>
        <v>1.5940737018723838E-2</v>
      </c>
      <c r="EE273" s="51">
        <f t="shared" si="204"/>
        <v>7.6796024429662033E-2</v>
      </c>
      <c r="EF273" s="51">
        <f t="shared" si="204"/>
        <v>9.2419065194572728E-2</v>
      </c>
      <c r="EG273" s="51">
        <f t="shared" si="204"/>
        <v>1.6124634637566563E-3</v>
      </c>
      <c r="EH273" s="52">
        <f t="shared" si="227"/>
        <v>9.2140769357523225E-4</v>
      </c>
      <c r="EI273" s="51">
        <f t="shared" si="191"/>
        <v>0.99907859230642471</v>
      </c>
      <c r="EK273" s="53">
        <f>(EA273*'[2]Renewable Diesel'!BF282*'[2]Feedstock Conversion Rates'!B$2)+FB273</f>
        <v>238.34977042087391</v>
      </c>
      <c r="EL273" s="53">
        <f>(EB273*'[2]Renewable Diesel'!BF282*'[2]Feedstock Conversion Rates'!B$3)+FC273</f>
        <v>1265.7713857342212</v>
      </c>
      <c r="EM273" s="53">
        <f>(EC273*'[2]Renewable Diesel'!BF282*'[2]Feedstock Conversion Rates'!B$4)+FD273</f>
        <v>2811.2987937133375</v>
      </c>
      <c r="EN273" s="53">
        <f>(ED273*'[2]Renewable Diesel'!BF282*'[2]Feedstock Conversion Rates'!B$5)+FE273</f>
        <v>83.10413003305483</v>
      </c>
      <c r="EO273" s="53">
        <f>(EE273*'[2]Renewable Diesel'!BF282*'[2]Feedstock Conversion Rates'!B$6)+FF273</f>
        <v>497.40349812320716</v>
      </c>
      <c r="EP273" s="53">
        <f>(EF273*'[2]Renewable Diesel'!BF282*'[2]Feedstock Conversion Rates'!B$7)+FG273</f>
        <v>587.10618759212718</v>
      </c>
      <c r="EQ273" s="53">
        <f>(EG273*'[2]Renewable Diesel'!BF282*'[2]Feedstock Conversion Rates'!B$8)+FH273</f>
        <v>10.438267398884356</v>
      </c>
      <c r="ER273" s="53">
        <f>(EH273*'[2]Renewable Diesel'!BF282*'[2]Feedstock Conversion Rates'!B$9)+FI273</f>
        <v>5.8851945715614669</v>
      </c>
      <c r="ES273" s="53">
        <f t="shared" si="228"/>
        <v>5499.3572275872666</v>
      </c>
      <c r="ET273" s="36">
        <f>ES273/'[2]Renewable Diesel'!BF282</f>
        <v>7.9642461226775829</v>
      </c>
    </row>
    <row r="274" spans="1:150" x14ac:dyDescent="0.25">
      <c r="A274" s="39">
        <v>48761</v>
      </c>
      <c r="B274" s="45">
        <f t="shared" si="221"/>
        <v>0.75</v>
      </c>
      <c r="C274" s="45">
        <f t="shared" si="222"/>
        <v>13.5</v>
      </c>
      <c r="D274" s="45">
        <f t="shared" si="209"/>
        <v>2</v>
      </c>
      <c r="E274" s="45">
        <f>('[2]Renewable Diesel'!B283*E$3*'[2]Feedstock Conversion Rates'!$B$2)/12+26+13-100+27.5+39+75-10-32-1-7+46-46.5+27</f>
        <v>146.93</v>
      </c>
      <c r="F274" s="45">
        <f>('[2]Renewable Diesel'!B283*'[2]RD Feedstock Breakdown'!F$3*'[2]Feedstock Conversion Rates'!B$8)/12+77+23-10-12-115.75+24+8+2.5+1-32-15</f>
        <v>4.65625</v>
      </c>
      <c r="G274" s="45">
        <f>('[2]Renewable Diesel'!B283*'[2]RD Feedstock Breakdown'!G$3*'[2]Feedstock Conversion Rates'!B$7)/12+116.75-39-57.5-145-31.5+32+70-40+10+15-35-25-5+6</f>
        <v>47.907000000000039</v>
      </c>
      <c r="H274" s="45">
        <f>('[2]Renewable Diesel'!B283*'[2]RD Feedstock Breakdown'!H$3*'[2]Feedstock Conversion Rates'!B$3)/12+67+10+12+3-235+20+47-20+35-5+150+20</f>
        <v>280.40022499999998</v>
      </c>
      <c r="I274" s="47">
        <f t="shared" si="160"/>
        <v>496.14347500000002</v>
      </c>
      <c r="J274" s="45">
        <f t="shared" si="210"/>
        <v>0.5</v>
      </c>
      <c r="K274" s="45"/>
      <c r="L274" s="45">
        <v>1</v>
      </c>
      <c r="M274" s="45">
        <f>('[2]Renewable Diesel'!C283*'[2]RD Feedstock Breakdown'!M$3*'[2]Feedstock Conversion Rates'!B$2)/12-55+37-25+10.5-20+30</f>
        <v>-14.70975</v>
      </c>
      <c r="N274" s="45">
        <f>('[2]Renewable Diesel'!C283*'[2]RD Feedstock Breakdown'!N$3*'[2]Feedstock Conversion Rates'!B$8)/12+8-20+10-5-15+3-11</f>
        <v>-26.328125</v>
      </c>
      <c r="O274" s="45">
        <f>('[2]Renewable Diesel'!C283*'[2]RD Feedstock Breakdown'!O$3*'[2]Feedstock Conversion Rates'!B$7)/12-80+120-40+20</f>
        <v>31.999099999999999</v>
      </c>
      <c r="P274" s="45">
        <f>('[2]Renewable Diesel'!C283*'[2]RD Feedstock Breakdown'!P$3*'[2]Feedstock Conversion Rates'!B$3)/12+6-15+50+60-105-20+50+5</f>
        <v>41.447042500000009</v>
      </c>
      <c r="Q274" s="47">
        <f t="shared" si="172"/>
        <v>33.908267500000008</v>
      </c>
      <c r="R274" s="45">
        <f>('[2]Renewable Diesel'!D283*'[2]RD Feedstock Breakdown'!R$3*'[2]Feedstock Conversion Rates'!B$7)/12</f>
        <v>2.2999999999999998</v>
      </c>
      <c r="S274" s="47">
        <f t="shared" si="203"/>
        <v>2.2999999999999998</v>
      </c>
      <c r="T274" s="45">
        <f t="shared" si="214"/>
        <v>0.82500000000000284</v>
      </c>
      <c r="U274" s="45">
        <v>35</v>
      </c>
      <c r="V274" s="45">
        <f>('[2]Renewable Diesel'!E283*'[2]RD Feedstock Breakdown'!V$3*'[2]Feedstock Conversion Rates'!B$6)/12-20+25-35</f>
        <v>14.250150000000012</v>
      </c>
      <c r="W274" s="45">
        <f>('[2]Renewable Diesel'!E283*'[2]RD Feedstock Breakdown'!W$3*'[2]Feedstock Conversion Rates'!B$8)/12-6</f>
        <v>16.1796875</v>
      </c>
      <c r="X274" s="47">
        <f t="shared" si="229"/>
        <v>66.254837500000008</v>
      </c>
      <c r="Y274" s="45">
        <f t="shared" si="211"/>
        <v>146</v>
      </c>
      <c r="Z274" s="45">
        <f>('[2]Renewable Diesel'!F283*'[2]RD Feedstock Breakdown'!Z$3*'[2]Feedstock Conversion Rates'!B$6)/12-142+15+5+75-45+52.5-87.5+80-10-20-17+2+7</f>
        <v>74.460000000000008</v>
      </c>
      <c r="AA274" s="45">
        <f>('[2]Renewable Diesel'!F283*'[2]RD Feedstock Breakdown'!AA$3*'[2]Feedstock Conversion Rates'!B$7)/12+24-30-55</f>
        <v>43.266666666666652</v>
      </c>
      <c r="AB274" s="47">
        <f t="shared" si="190"/>
        <v>263.72666666666669</v>
      </c>
      <c r="AC274" s="45">
        <f>('[2]Renewable Diesel'!G283*'[2]RD Feedstock Breakdown'!AC$3*'[2]Feedstock Conversion Rates'!B$5)/12</f>
        <v>11.796875</v>
      </c>
      <c r="AD274" s="45">
        <f>('[2]Renewable Diesel'!G283*'[2]RD Feedstock Breakdown'!AD$3*'[2]Feedstock Conversion Rates'!B$4)/12</f>
        <v>5.859375</v>
      </c>
      <c r="AE274" s="45">
        <f>('[2]Renewable Diesel'!G283*'[2]RD Feedstock Breakdown'!AE$3*'[2]Feedstock Conversion Rates'!B$6)/12</f>
        <v>7.3281250000000009</v>
      </c>
      <c r="AF274" s="47">
        <f t="shared" si="156"/>
        <v>24.984375</v>
      </c>
      <c r="AG274" s="45">
        <f t="shared" si="182"/>
        <v>6.5</v>
      </c>
      <c r="AH274" s="45">
        <v>135</v>
      </c>
      <c r="AI274" s="45">
        <f>('[2]Renewable Diesel'!H283*'[2]RD Feedstock Breakdown'!AI$3*'[2]Feedstock Conversion Rates'!B$6)/12-130-20+51-120+105-37.5+10</f>
        <v>7.0166666666666799</v>
      </c>
      <c r="AJ274" s="47">
        <f t="shared" si="202"/>
        <v>13.51666666666668</v>
      </c>
      <c r="AK274" s="45">
        <f>('[2]Renewable Diesel'!J283*'[2]RD Feedstock Breakdown'!AK$3*'[2]Feedstock Conversion Rates'!B$4)/12</f>
        <v>95.8125</v>
      </c>
      <c r="AL274" s="47">
        <f t="shared" si="205"/>
        <v>95.8125</v>
      </c>
      <c r="AM274" s="45">
        <f>('[2]Renewable Diesel'!K283*'[2]RD Feedstock Breakdown'!AM$3*'[2]Feedstock Conversion Rates'!B$4)/12+5+15-10+5-26</f>
        <v>47.59375</v>
      </c>
      <c r="AN274" s="45">
        <f>('[2]Renewable Diesel'!K283*'[2]RD Feedstock Breakdown'!AN$3*'[2]Feedstock Conversion Rates'!B$6)/12-5-15+10-5+26</f>
        <v>35.427083333333329</v>
      </c>
      <c r="AO274" s="47">
        <f t="shared" si="223"/>
        <v>83.020833333333329</v>
      </c>
      <c r="AP274" s="45">
        <f>('[2]Renewable Diesel'!L283*'[2]RD Feedstock Breakdown'!AP$3*'[2]Feedstock Conversion Rates'!B$4)/12+15-10+10+2.5</f>
        <v>76.09375</v>
      </c>
      <c r="AQ274" s="45">
        <f>('[2]Renewable Diesel'!L283*'[2]RD Feedstock Breakdown'!AQ$3*'[2]Feedstock Conversion Rates'!B$6)/12-15+10-10-2.5</f>
        <v>6.9270833333333321</v>
      </c>
      <c r="AR274" s="47">
        <f t="shared" si="207"/>
        <v>83.020833333333329</v>
      </c>
      <c r="AS274" s="45">
        <f>('[2]Renewable Diesel'!M283*'[2]RD Feedstock Breakdown'!AS$3*'[2]Feedstock Conversion Rates'!B$4)/12</f>
        <v>456.25</v>
      </c>
      <c r="AT274" s="45">
        <f>('[2]Renewable Diesel'!M283*'[2]RD Feedstock Breakdown'!AT$3*'[2]Feedstock Conversion Rates'!B$5)/12</f>
        <v>0</v>
      </c>
      <c r="AU274" s="47">
        <f t="shared" si="159"/>
        <v>456.25</v>
      </c>
      <c r="AV274" s="45">
        <f>'[2]Renewable Diesel'!N283*'[2]RD Feedstock Breakdown'!$AV$3*'[2]Feedstock Conversion Rates'!$B$4/12-15-10+25+25-22+15-68+11</f>
        <v>39.749999999999986</v>
      </c>
      <c r="AW274" s="45">
        <f>'[2]Renewable Diesel'!N283*'[2]RD Feedstock Breakdown'!$AW$3*'[2]Feedstock Conversion Rates'!$B$7/12+15+10-25-25+22-15+68-11</f>
        <v>80.400000000000006</v>
      </c>
      <c r="AX274" s="47">
        <f t="shared" si="193"/>
        <v>120.14999999999999</v>
      </c>
      <c r="AY274" s="45">
        <f>('[2]Renewable Diesel'!O283*'[2]RD Feedstock Breakdown'!AY$3*'[2]Feedstock Conversion Rates'!B$4)/12-100-160</f>
        <v>-49.0625</v>
      </c>
      <c r="AZ274" s="45">
        <f>('[2]Renewable Diesel'!O283*'[2]RD Feedstock Breakdown'!AZ$3*'[2]Feedstock Conversion Rates'!B$3)/12+100+160</f>
        <v>285.03125</v>
      </c>
      <c r="BA274" s="47">
        <f t="shared" si="173"/>
        <v>235.96875</v>
      </c>
      <c r="BB274" s="45">
        <f>('[2]Renewable Diesel'!Q283*'[2]RD Feedstock Breakdown'!BB$3*'[2]Feedstock Conversion Rates'!B$4)/12</f>
        <v>11.156249999999998</v>
      </c>
      <c r="BC274" s="45">
        <f>('[2]Renewable Diesel'!Q283*'[2]RD Feedstock Breakdown'!BC$3*'[2]Feedstock Conversion Rates'!B$3)/12</f>
        <v>1.4017500000000001</v>
      </c>
      <c r="BD274" s="45">
        <f>('[2]Renewable Diesel'!Q283*'[2]RD Feedstock Breakdown'!BD$3*'[2]Feedstock Conversion Rates'!B$6)/12</f>
        <v>0.8207500000000002</v>
      </c>
      <c r="BE274" s="47">
        <f t="shared" si="231"/>
        <v>13.378749999999998</v>
      </c>
      <c r="BF274" s="45">
        <f>('[2]Renewable Diesel'!R283*'[2]RD Feedstock Breakdown'!BF$3*'[2]Feedstock Conversion Rates'!B$4)/12</f>
        <v>62.5</v>
      </c>
      <c r="BG274" s="47">
        <f t="shared" si="215"/>
        <v>62.5</v>
      </c>
      <c r="BH274" s="45">
        <f>('[2]Renewable Diesel'!T283*'[2]RD Feedstock Breakdown'!BH$3*'[2]Feedstock Conversion Rates'!B$7)/12</f>
        <v>27.599999999999998</v>
      </c>
      <c r="BI274" s="47">
        <f t="shared" si="195"/>
        <v>27.599999999999998</v>
      </c>
      <c r="BJ274" s="45">
        <f>('[2]Renewable Diesel'!W283*'[2]RD Feedstock Breakdown'!BJ$3*'[2]Feedstock Conversion Rates'!B$4)/12</f>
        <v>7.5</v>
      </c>
      <c r="BK274" s="45">
        <f>('[2]Renewable Diesel'!W283*'[2]RD Feedstock Breakdown'!BK$3*'[2]Feedstock Conversion Rates'!B$3)/12</f>
        <v>1.335</v>
      </c>
      <c r="BL274" s="45">
        <f>('[2]Renewable Diesel'!W283*'[2]RD Feedstock Breakdown'!BL$3*'[2]Feedstock Conversion Rates'!B$6)/12</f>
        <v>3.1266666666666669</v>
      </c>
      <c r="BM274" s="45">
        <f>('[2]Renewable Diesel'!W283*'[2]RD Feedstock Breakdown'!BM$3*'[2]Feedstock Conversion Rates'!B$7)/12</f>
        <v>1.5333333333333332</v>
      </c>
      <c r="BN274" s="47">
        <f t="shared" si="168"/>
        <v>13.495000000000001</v>
      </c>
      <c r="BO274" s="45">
        <f>('[2]Renewable Diesel'!P283*'[2]Feedstock Conversion Rates'!B$4)/12</f>
        <v>31.25</v>
      </c>
      <c r="BP274" s="47">
        <f t="shared" si="157"/>
        <v>31.25</v>
      </c>
      <c r="BQ274" s="45">
        <f>('[2]Renewable Diesel'!$S283*'[2]RD Feedstock Breakdown'!BQ$3*'[2]Feedstock Conversion Rates'!B$4)/12+10</f>
        <v>38.125</v>
      </c>
      <c r="BR274" s="45">
        <f>('[2]Renewable Diesel'!$S283*'[2]RD Feedstock Breakdown'!BR$3*'[2]Feedstock Conversion Rates'!B$7)/12-10</f>
        <v>1.5</v>
      </c>
      <c r="BS274" s="47">
        <f t="shared" si="174"/>
        <v>39.625</v>
      </c>
      <c r="BT274" s="47"/>
      <c r="BU274" s="45">
        <f>('[2]Renewable Diesel'!Y283*'[2]Feedstock Conversion Rates'!B$7)/12</f>
        <v>2.6833333333333331</v>
      </c>
      <c r="BV274" s="47">
        <f t="shared" si="233"/>
        <v>2.6833333333333331</v>
      </c>
      <c r="BW274" s="45">
        <f>('[2]Renewable Diesel'!$Z283*'[2]RD Feedstock Breakdown'!BW$3*'[2]Feedstock Conversion Rates'!$B$4)/12</f>
        <v>71.875</v>
      </c>
      <c r="BX274" s="45">
        <f>('[2]Renewable Diesel'!$Z283*'[2]RD Feedstock Breakdown'!BX$3*'[2]Feedstock Conversion Rates'!$B$5)/12</f>
        <v>7.2354166666666666</v>
      </c>
      <c r="BY274" s="45">
        <f>('[2]Renewable Diesel'!$Z283*'[2]RD Feedstock Breakdown'!BY$3*'[2]Feedstock Conversion Rates'!$B$7)/12</f>
        <v>61.716666666666661</v>
      </c>
      <c r="BZ274" s="45">
        <f>('[2]Renewable Diesel'!$Z283*'[2]RD Feedstock Breakdown'!BZ$3*'[2]Feedstock Conversion Rates'!$B$3)/12</f>
        <v>15.352499999999999</v>
      </c>
      <c r="CA274" s="47">
        <f t="shared" si="181"/>
        <v>156.17958333333331</v>
      </c>
      <c r="CB274" s="45">
        <f>('[2]Renewable Diesel'!AA283*'[2]Feedstock Conversion Rates'!B$4)/12</f>
        <v>191.25</v>
      </c>
      <c r="CC274" s="47">
        <f t="shared" si="171"/>
        <v>191.25</v>
      </c>
      <c r="CD274" s="45">
        <f>('[2]Renewable Diesel'!$AB283*'[2]RD Feedstock Breakdown'!CD$3*'[2]Feedstock Conversion Rates'!$B$6)/12-15-5+5</f>
        <v>17.830000000000005</v>
      </c>
      <c r="CE274" s="45">
        <f>('[2]Renewable Diesel'!$AB283*'[2]RD Feedstock Breakdown'!CE$3*'[2]Feedstock Conversion Rates'!$B$4)/12+15+5-5</f>
        <v>26.25</v>
      </c>
      <c r="CF274" s="47">
        <f t="shared" si="161"/>
        <v>44.080000000000005</v>
      </c>
      <c r="CG274" s="45">
        <f>('[2]Renewable Diesel'!AD283*'[2]Feedstock Conversion Rates'!B$4)/12</f>
        <v>112.5</v>
      </c>
      <c r="CH274" s="47">
        <f t="shared" si="230"/>
        <v>112.5</v>
      </c>
      <c r="CI274" s="45">
        <f>('[2]Renewable Diesel'!$AE283*'[2]RD Feedstock Breakdown'!CI$3*'[2]Feedstock Conversion Rates'!$B$5)/12</f>
        <v>0.34604166666666664</v>
      </c>
      <c r="CJ274" s="45">
        <f>('[2]Renewable Diesel'!$AE283*'[2]RD Feedstock Breakdown'!CJ$3*'[2]Feedstock Conversion Rates'!$B$4)/12</f>
        <v>0.34375</v>
      </c>
      <c r="CK274" s="47">
        <f t="shared" si="158"/>
        <v>0.68979166666666658</v>
      </c>
      <c r="CL274" s="45">
        <f>(((CL$3*'[2]Renewable Diesel'!$AF283)*'[2]Feedstock Conversion Rates'!$B$3)/12)</f>
        <v>91.78125</v>
      </c>
      <c r="CM274" s="45">
        <f>(((CM$3*'[2]Renewable Diesel'!$AF283)*'[2]Feedstock Conversion Rates'!$B$6)/12)</f>
        <v>53.739583333333336</v>
      </c>
      <c r="CN274" s="45">
        <f>(((CN$3*'[2]Renewable Diesel'!$AF283)*'[2]Feedstock Conversion Rates'!$B$4)/12)</f>
        <v>42.96875</v>
      </c>
      <c r="CO274" s="47">
        <f t="shared" si="232"/>
        <v>188.48958333333334</v>
      </c>
      <c r="CP274" s="45">
        <f>('[2]Renewable Diesel'!$AG283*'[2]RD Feedstock Breakdown'!CP$3*'[2]Feedstock Conversion Rates'!$B$3)/12</f>
        <v>6.0075000000000003</v>
      </c>
      <c r="CQ274" s="45">
        <f>('[2]Renewable Diesel'!$AG283*'[2]RD Feedstock Breakdown'!CQ$3*'[2]Feedstock Conversion Rates'!$B$6)/12</f>
        <v>3.5175000000000001</v>
      </c>
      <c r="CR274" s="45">
        <f>('[2]Renewable Diesel'!$AG283*'[2]RD Feedstock Breakdown'!CR$3*'[2]Feedstock Conversion Rates'!$B$4)/12</f>
        <v>2.8125</v>
      </c>
      <c r="CS274" s="47">
        <f t="shared" si="183"/>
        <v>12.3375</v>
      </c>
      <c r="CT274" s="45">
        <f>('[2]Renewable Diesel'!AI283*'[2]Feedstock Conversion Rates'!$B$4*'[2]RD Feedstock Breakdown'!$CT$3)/12</f>
        <v>29.375</v>
      </c>
      <c r="CU274" s="47">
        <f t="shared" si="154"/>
        <v>29.375</v>
      </c>
      <c r="CV274" s="45">
        <f>('[2]Renewable Diesel'!AN283*'[2]Feedstock Conversion Rates'!$B$3*'[2]RD Feedstock Breakdown'!$CV$3)/12</f>
        <v>0.50062499999999999</v>
      </c>
      <c r="CW274" s="47">
        <f t="shared" si="206"/>
        <v>0.50062499999999999</v>
      </c>
      <c r="CX274" s="45">
        <f>('[2]Renewable Diesel'!AO283*'[2]RD Feedstock Breakdown'!$CX$3*'[2]Feedstock Conversion Rates'!$B$3)/12</f>
        <v>6.3412499999999996</v>
      </c>
      <c r="CY274" s="45">
        <f>('[2]Renewable Diesel'!AO283*'[2]RD Feedstock Breakdown'!$CY$3*'[2]Feedstock Conversion Rates'!$B$6)/12</f>
        <v>7.4258333333333342</v>
      </c>
      <c r="CZ274" s="47">
        <f t="shared" si="188"/>
        <v>13.767083333333334</v>
      </c>
      <c r="DA274" s="45">
        <f>('[2]Renewable Diesel'!$AP283*'[2]RD Feedstock Breakdown'!DA$3*'[2]Feedstock Conversion Rates'!$B$3)/12</f>
        <v>6.3412499999999996</v>
      </c>
      <c r="DB274" s="45">
        <f>('[2]Renewable Diesel'!$AP283*'[2]RD Feedstock Breakdown'!DB$3*'[2]Feedstock Conversion Rates'!$B$8)/12</f>
        <v>7.421875</v>
      </c>
      <c r="DC274" s="47">
        <f t="shared" si="212"/>
        <v>13.763124999999999</v>
      </c>
      <c r="DD274" s="45">
        <f>('[2]Renewable Diesel'!AQ283*$DD$3*'[2]Feedstock Conversion Rates'!$B$14)/12</f>
        <v>3.1041666666666665</v>
      </c>
      <c r="DE274" s="47">
        <f t="shared" si="213"/>
        <v>3.1041666666666665</v>
      </c>
      <c r="DF274" s="45">
        <f>('[2]Renewable Diesel'!AR283*'[2]Feedstock Conversion Rates'!$B$4*$DF$3)/12</f>
        <v>75</v>
      </c>
      <c r="DG274" s="47">
        <f t="shared" si="189"/>
        <v>75</v>
      </c>
      <c r="DH274" s="45">
        <f>('[2]Renewable Diesel'!AS283*'[2]Feedstock Conversion Rates'!$B$4*$DH$3)/12</f>
        <v>75</v>
      </c>
      <c r="DI274" s="47">
        <f t="shared" si="194"/>
        <v>75</v>
      </c>
      <c r="DJ274" s="45">
        <f>('[2]Renewable Diesel'!AT283*'[2]Feedstock Conversion Rates'!$B$4*0.25)/12</f>
        <v>8.59375</v>
      </c>
      <c r="DK274" s="45">
        <f>('[2]Renewable Diesel'!$AT283*'[2]RD Feedstock Breakdown'!DK$3*'[2]Feedstock Conversion Rates'!$B$3)/12*0.5</f>
        <v>9.1781249999999996</v>
      </c>
      <c r="DL274" s="45">
        <f>('[2]Renewable Diesel'!$AT283*'[2]RD Feedstock Breakdown'!$DL$3*'[2]Feedstock Conversion Rates'!$B$6)/12</f>
        <v>10.747916666666669</v>
      </c>
      <c r="DM274" s="45">
        <f>('[2]Renewable Diesel'!$AT283*'[2]RD Feedstock Breakdown'!$DM$3*'[2]Feedstock Conversion Rates'!$B$8)/12</f>
        <v>10.7421875</v>
      </c>
      <c r="DN274" s="47">
        <f t="shared" si="169"/>
        <v>39.26197916666667</v>
      </c>
      <c r="DP274" s="45">
        <f t="shared" si="216"/>
        <v>132.22025000000002</v>
      </c>
      <c r="DQ274" s="45">
        <f t="shared" si="217"/>
        <v>745.11776750000001</v>
      </c>
      <c r="DR274" s="45">
        <f t="shared" si="224"/>
        <v>1767.453125</v>
      </c>
      <c r="DS274" s="45">
        <f t="shared" si="155"/>
        <v>51.901249999999997</v>
      </c>
      <c r="DT274" s="45">
        <f t="shared" si="218"/>
        <v>250.03923333333344</v>
      </c>
      <c r="DU274" s="45">
        <f t="shared" si="219"/>
        <v>300.90609999999998</v>
      </c>
      <c r="DV274" s="45">
        <f t="shared" si="225"/>
        <v>5.25</v>
      </c>
      <c r="DW274" s="45">
        <f t="shared" si="220"/>
        <v>3</v>
      </c>
      <c r="DX274" s="47">
        <f t="shared" si="226"/>
        <v>3255.8877258333337</v>
      </c>
      <c r="DY274" s="50">
        <f t="shared" si="208"/>
        <v>-135.00000000000048</v>
      </c>
      <c r="EA274" s="51">
        <f t="shared" si="204"/>
        <v>4.0609585198813539E-2</v>
      </c>
      <c r="EB274" s="51">
        <f t="shared" si="204"/>
        <v>0.22885241453136704</v>
      </c>
      <c r="EC274" s="51">
        <f t="shared" si="204"/>
        <v>0.54284830246952887</v>
      </c>
      <c r="ED274" s="51">
        <f t="shared" si="204"/>
        <v>1.5940737018723838E-2</v>
      </c>
      <c r="EE274" s="51">
        <f t="shared" si="204"/>
        <v>7.6796024429662033E-2</v>
      </c>
      <c r="EF274" s="51">
        <f t="shared" si="204"/>
        <v>9.2419065194572728E-2</v>
      </c>
      <c r="EG274" s="51">
        <f t="shared" si="204"/>
        <v>1.6124634637566563E-3</v>
      </c>
      <c r="EH274" s="52">
        <f t="shared" si="227"/>
        <v>9.2140769357523225E-4</v>
      </c>
      <c r="EI274" s="51">
        <f t="shared" si="191"/>
        <v>0.99907859230642471</v>
      </c>
      <c r="EK274" s="53">
        <f>(EA274*'[2]Renewable Diesel'!BF283*'[2]Feedstock Conversion Rates'!B$2)+FB274</f>
        <v>247.44703790260013</v>
      </c>
      <c r="EL274" s="53">
        <f>(EB274*'[2]Renewable Diesel'!BF283*'[2]Feedstock Conversion Rates'!B$3)+FC274</f>
        <v>1314.0829945367236</v>
      </c>
      <c r="EM274" s="53">
        <f>(EC274*'[2]Renewable Diesel'!BF283*'[2]Feedstock Conversion Rates'!B$4)+FD274</f>
        <v>2918.5996610575958</v>
      </c>
      <c r="EN274" s="53">
        <f>(ED274*'[2]Renewable Diesel'!BF283*'[2]Feedstock Conversion Rates'!B$5)+FE274</f>
        <v>86.276025262540017</v>
      </c>
      <c r="EO274" s="53">
        <f>(EE274*'[2]Renewable Diesel'!BF283*'[2]Feedstock Conversion Rates'!B$6)+FF274</f>
        <v>516.38825594690024</v>
      </c>
      <c r="EP274" s="53">
        <f>(EF274*'[2]Renewable Diesel'!BF283*'[2]Feedstock Conversion Rates'!B$7)+FG274</f>
        <v>609.51469261930208</v>
      </c>
      <c r="EQ274" s="53">
        <f>(EG274*'[2]Renewable Diesel'!BF283*'[2]Feedstock Conversion Rates'!B$8)+FH274</f>
        <v>10.836672274231018</v>
      </c>
      <c r="ER274" s="53">
        <f>(EH274*'[2]Renewable Diesel'!BF283*'[2]Feedstock Conversion Rates'!B$9)+FI274</f>
        <v>6.1098190346140608</v>
      </c>
      <c r="ES274" s="53">
        <f t="shared" si="228"/>
        <v>5709.2551586345071</v>
      </c>
      <c r="ET274" s="36">
        <f>ES274/'[2]Renewable Diesel'!BF283</f>
        <v>7.9642461226775856</v>
      </c>
    </row>
    <row r="275" spans="1:150" x14ac:dyDescent="0.25">
      <c r="A275" s="39">
        <v>48792</v>
      </c>
      <c r="B275" s="45">
        <f t="shared" si="221"/>
        <v>0.75</v>
      </c>
      <c r="C275" s="45">
        <f t="shared" si="222"/>
        <v>13.5</v>
      </c>
      <c r="D275" s="45">
        <f t="shared" si="209"/>
        <v>2</v>
      </c>
      <c r="E275" s="45">
        <f>('[2]Renewable Diesel'!B284*E$3*'[2]Feedstock Conversion Rates'!$B$2)/12+26+13-100+27.5+39+75-10-32-1-7+46-46.5+27</f>
        <v>146.93</v>
      </c>
      <c r="F275" s="45">
        <f>('[2]Renewable Diesel'!B284*'[2]RD Feedstock Breakdown'!F$3*'[2]Feedstock Conversion Rates'!B$8)/12+77+23-10-12-115.75+24+8+2.5+1-32-15</f>
        <v>4.65625</v>
      </c>
      <c r="G275" s="45">
        <f>('[2]Renewable Diesel'!B284*'[2]RD Feedstock Breakdown'!G$3*'[2]Feedstock Conversion Rates'!B$7)/12+116.75-39-57.5-145-31.5+32+70-40+10+15-35-25-5+6</f>
        <v>47.907000000000039</v>
      </c>
      <c r="H275" s="45">
        <f>('[2]Renewable Diesel'!B284*'[2]RD Feedstock Breakdown'!H$3*'[2]Feedstock Conversion Rates'!B$3)/12+67+10+12+3-235+20+47-20+35-5+150+20</f>
        <v>280.40022499999998</v>
      </c>
      <c r="I275" s="47">
        <f t="shared" si="160"/>
        <v>496.14347500000002</v>
      </c>
      <c r="J275" s="45">
        <f t="shared" si="210"/>
        <v>0.5</v>
      </c>
      <c r="K275" s="45"/>
      <c r="L275" s="45">
        <v>1</v>
      </c>
      <c r="M275" s="45">
        <f>('[2]Renewable Diesel'!C284*'[2]RD Feedstock Breakdown'!M$3*'[2]Feedstock Conversion Rates'!B$2)/12-55+37-25+10.5-20+30</f>
        <v>-14.70975</v>
      </c>
      <c r="N275" s="45">
        <f>('[2]Renewable Diesel'!C284*'[2]RD Feedstock Breakdown'!N$3*'[2]Feedstock Conversion Rates'!B$8)/12+8-20+10-5-15+3-11</f>
        <v>-26.328125</v>
      </c>
      <c r="O275" s="45">
        <f>('[2]Renewable Diesel'!C284*'[2]RD Feedstock Breakdown'!O$3*'[2]Feedstock Conversion Rates'!B$7)/12-80+120-40+20</f>
        <v>31.999099999999999</v>
      </c>
      <c r="P275" s="45">
        <f>('[2]Renewable Diesel'!C284*'[2]RD Feedstock Breakdown'!P$3*'[2]Feedstock Conversion Rates'!B$3)/12+6-15+50+60-105-20+50+5</f>
        <v>41.447042500000009</v>
      </c>
      <c r="Q275" s="47">
        <f t="shared" si="172"/>
        <v>33.908267500000008</v>
      </c>
      <c r="R275" s="45">
        <f>('[2]Renewable Diesel'!D284*'[2]RD Feedstock Breakdown'!R$3*'[2]Feedstock Conversion Rates'!B$7)/12</f>
        <v>2.2999999999999998</v>
      </c>
      <c r="S275" s="47">
        <f t="shared" si="203"/>
        <v>2.2999999999999998</v>
      </c>
      <c r="T275" s="45">
        <f t="shared" si="214"/>
        <v>0.82500000000000284</v>
      </c>
      <c r="U275" s="45">
        <v>35</v>
      </c>
      <c r="V275" s="45">
        <f>('[2]Renewable Diesel'!E284*'[2]RD Feedstock Breakdown'!V$3*'[2]Feedstock Conversion Rates'!B$6)/12-20+25-35</f>
        <v>14.250150000000012</v>
      </c>
      <c r="W275" s="45">
        <f>('[2]Renewable Diesel'!E284*'[2]RD Feedstock Breakdown'!W$3*'[2]Feedstock Conversion Rates'!B$8)/12-6</f>
        <v>16.1796875</v>
      </c>
      <c r="X275" s="47">
        <f t="shared" si="229"/>
        <v>66.254837500000008</v>
      </c>
      <c r="Y275" s="45">
        <f t="shared" si="211"/>
        <v>146</v>
      </c>
      <c r="Z275" s="45">
        <f>('[2]Renewable Diesel'!F284*'[2]RD Feedstock Breakdown'!Z$3*'[2]Feedstock Conversion Rates'!B$6)/12-142+15+5+75-45+52.5-87.5+80-10-20-17+2+7</f>
        <v>74.460000000000008</v>
      </c>
      <c r="AA275" s="45">
        <f>('[2]Renewable Diesel'!F284*'[2]RD Feedstock Breakdown'!AA$3*'[2]Feedstock Conversion Rates'!B$7)/12+24-30-55</f>
        <v>43.266666666666652</v>
      </c>
      <c r="AB275" s="47">
        <f t="shared" si="190"/>
        <v>263.72666666666669</v>
      </c>
      <c r="AC275" s="45">
        <f>('[2]Renewable Diesel'!G284*'[2]RD Feedstock Breakdown'!AC$3*'[2]Feedstock Conversion Rates'!B$5)/12</f>
        <v>11.796875</v>
      </c>
      <c r="AD275" s="45">
        <f>('[2]Renewable Diesel'!G284*'[2]RD Feedstock Breakdown'!AD$3*'[2]Feedstock Conversion Rates'!B$4)/12</f>
        <v>5.859375</v>
      </c>
      <c r="AE275" s="45">
        <f>('[2]Renewable Diesel'!G284*'[2]RD Feedstock Breakdown'!AE$3*'[2]Feedstock Conversion Rates'!B$6)/12</f>
        <v>7.3281250000000009</v>
      </c>
      <c r="AF275" s="47">
        <f t="shared" si="156"/>
        <v>24.984375</v>
      </c>
      <c r="AG275" s="45">
        <f t="shared" si="182"/>
        <v>6.5</v>
      </c>
      <c r="AH275" s="45">
        <v>135</v>
      </c>
      <c r="AI275" s="45">
        <f>('[2]Renewable Diesel'!H284*'[2]RD Feedstock Breakdown'!AI$3*'[2]Feedstock Conversion Rates'!B$6)/12-130-20+51-120+105-37.5+10</f>
        <v>7.0166666666666799</v>
      </c>
      <c r="AJ275" s="47">
        <f t="shared" si="202"/>
        <v>13.51666666666668</v>
      </c>
      <c r="AK275" s="45">
        <f>('[2]Renewable Diesel'!J284*'[2]RD Feedstock Breakdown'!AK$3*'[2]Feedstock Conversion Rates'!B$4)/12</f>
        <v>95.8125</v>
      </c>
      <c r="AL275" s="47">
        <f t="shared" si="205"/>
        <v>95.8125</v>
      </c>
      <c r="AM275" s="45">
        <f>('[2]Renewable Diesel'!K284*'[2]RD Feedstock Breakdown'!AM$3*'[2]Feedstock Conversion Rates'!B$4)/12+5+15-10+5-26</f>
        <v>47.59375</v>
      </c>
      <c r="AN275" s="45">
        <f>('[2]Renewable Diesel'!K284*'[2]RD Feedstock Breakdown'!AN$3*'[2]Feedstock Conversion Rates'!B$6)/12-5-15+10-5+26</f>
        <v>35.427083333333329</v>
      </c>
      <c r="AO275" s="47">
        <f t="shared" si="223"/>
        <v>83.020833333333329</v>
      </c>
      <c r="AP275" s="45">
        <f>('[2]Renewable Diesel'!L284*'[2]RD Feedstock Breakdown'!AP$3*'[2]Feedstock Conversion Rates'!B$4)/12+15-10+10+2.5</f>
        <v>76.09375</v>
      </c>
      <c r="AQ275" s="45">
        <f>('[2]Renewable Diesel'!L284*'[2]RD Feedstock Breakdown'!AQ$3*'[2]Feedstock Conversion Rates'!B$6)/12-15+10-10-2.5</f>
        <v>6.9270833333333321</v>
      </c>
      <c r="AR275" s="47">
        <f t="shared" si="207"/>
        <v>83.020833333333329</v>
      </c>
      <c r="AS275" s="45">
        <f>('[2]Renewable Diesel'!M284*'[2]RD Feedstock Breakdown'!AS$3*'[2]Feedstock Conversion Rates'!B$4)/12</f>
        <v>456.25</v>
      </c>
      <c r="AT275" s="45">
        <f>('[2]Renewable Diesel'!M284*'[2]RD Feedstock Breakdown'!AT$3*'[2]Feedstock Conversion Rates'!B$5)/12</f>
        <v>0</v>
      </c>
      <c r="AU275" s="47">
        <f t="shared" si="159"/>
        <v>456.25</v>
      </c>
      <c r="AV275" s="45">
        <f>'[2]Renewable Diesel'!N284*'[2]RD Feedstock Breakdown'!$AV$3*'[2]Feedstock Conversion Rates'!$B$4/12-15-10+25+25-22+15-68+11</f>
        <v>39.749999999999986</v>
      </c>
      <c r="AW275" s="45">
        <f>'[2]Renewable Diesel'!N284*'[2]RD Feedstock Breakdown'!$AW$3*'[2]Feedstock Conversion Rates'!$B$7/12+15+10-25-25+22-15+68-11</f>
        <v>80.400000000000006</v>
      </c>
      <c r="AX275" s="47">
        <f t="shared" si="193"/>
        <v>120.14999999999999</v>
      </c>
      <c r="AY275" s="45">
        <f>('[2]Renewable Diesel'!O284*'[2]RD Feedstock Breakdown'!AY$3*'[2]Feedstock Conversion Rates'!B$4)/12-100-160</f>
        <v>-49.0625</v>
      </c>
      <c r="AZ275" s="45">
        <f>('[2]Renewable Diesel'!O284*'[2]RD Feedstock Breakdown'!AZ$3*'[2]Feedstock Conversion Rates'!B$3)/12+100+160</f>
        <v>285.03125</v>
      </c>
      <c r="BA275" s="47">
        <f t="shared" si="173"/>
        <v>235.96875</v>
      </c>
      <c r="BB275" s="45">
        <f>('[2]Renewable Diesel'!Q284*'[2]RD Feedstock Breakdown'!BB$3*'[2]Feedstock Conversion Rates'!B$4)/12</f>
        <v>11.156249999999998</v>
      </c>
      <c r="BC275" s="45">
        <f>('[2]Renewable Diesel'!Q284*'[2]RD Feedstock Breakdown'!BC$3*'[2]Feedstock Conversion Rates'!B$3)/12</f>
        <v>1.4017500000000001</v>
      </c>
      <c r="BD275" s="45">
        <f>('[2]Renewable Diesel'!Q284*'[2]RD Feedstock Breakdown'!BD$3*'[2]Feedstock Conversion Rates'!B$6)/12</f>
        <v>0.8207500000000002</v>
      </c>
      <c r="BE275" s="47">
        <f t="shared" si="231"/>
        <v>13.378749999999998</v>
      </c>
      <c r="BF275" s="45">
        <f>('[2]Renewable Diesel'!R284*'[2]RD Feedstock Breakdown'!BF$3*'[2]Feedstock Conversion Rates'!B$4)/12</f>
        <v>62.5</v>
      </c>
      <c r="BG275" s="47">
        <f t="shared" si="215"/>
        <v>62.5</v>
      </c>
      <c r="BH275" s="45">
        <f>('[2]Renewable Diesel'!T284*'[2]RD Feedstock Breakdown'!BH$3*'[2]Feedstock Conversion Rates'!B$7)/12</f>
        <v>27.599999999999998</v>
      </c>
      <c r="BI275" s="47">
        <f t="shared" si="195"/>
        <v>27.599999999999998</v>
      </c>
      <c r="BJ275" s="45">
        <f>('[2]Renewable Diesel'!W284*'[2]RD Feedstock Breakdown'!BJ$3*'[2]Feedstock Conversion Rates'!B$4)/12</f>
        <v>7.5</v>
      </c>
      <c r="BK275" s="45">
        <f>('[2]Renewable Diesel'!W284*'[2]RD Feedstock Breakdown'!BK$3*'[2]Feedstock Conversion Rates'!B$3)/12</f>
        <v>1.335</v>
      </c>
      <c r="BL275" s="45">
        <f>('[2]Renewable Diesel'!W284*'[2]RD Feedstock Breakdown'!BL$3*'[2]Feedstock Conversion Rates'!B$6)/12</f>
        <v>3.1266666666666669</v>
      </c>
      <c r="BM275" s="45">
        <f>('[2]Renewable Diesel'!W284*'[2]RD Feedstock Breakdown'!BM$3*'[2]Feedstock Conversion Rates'!B$7)/12</f>
        <v>1.5333333333333332</v>
      </c>
      <c r="BN275" s="47">
        <f t="shared" si="168"/>
        <v>13.495000000000001</v>
      </c>
      <c r="BO275" s="45">
        <f>('[2]Renewable Diesel'!P284*'[2]Feedstock Conversion Rates'!B$4)/12</f>
        <v>31.25</v>
      </c>
      <c r="BP275" s="47">
        <f t="shared" si="157"/>
        <v>31.25</v>
      </c>
      <c r="BQ275" s="45">
        <f>('[2]Renewable Diesel'!$S284*'[2]RD Feedstock Breakdown'!BQ$3*'[2]Feedstock Conversion Rates'!B$4)/12+10</f>
        <v>38.125</v>
      </c>
      <c r="BR275" s="45">
        <f>('[2]Renewable Diesel'!$S284*'[2]RD Feedstock Breakdown'!BR$3*'[2]Feedstock Conversion Rates'!B$7)/12-10</f>
        <v>1.5</v>
      </c>
      <c r="BS275" s="47">
        <f t="shared" si="174"/>
        <v>39.625</v>
      </c>
      <c r="BT275" s="47"/>
      <c r="BU275" s="45">
        <f>('[2]Renewable Diesel'!Y284*'[2]Feedstock Conversion Rates'!B$7)/12</f>
        <v>2.6833333333333331</v>
      </c>
      <c r="BV275" s="47">
        <f t="shared" si="233"/>
        <v>2.6833333333333331</v>
      </c>
      <c r="BW275" s="45">
        <f>('[2]Renewable Diesel'!$Z284*'[2]RD Feedstock Breakdown'!BW$3*'[2]Feedstock Conversion Rates'!$B$4)/12</f>
        <v>71.875</v>
      </c>
      <c r="BX275" s="45">
        <f>('[2]Renewable Diesel'!$Z284*'[2]RD Feedstock Breakdown'!BX$3*'[2]Feedstock Conversion Rates'!$B$5)/12</f>
        <v>7.2354166666666666</v>
      </c>
      <c r="BY275" s="45">
        <f>('[2]Renewable Diesel'!$Z284*'[2]RD Feedstock Breakdown'!BY$3*'[2]Feedstock Conversion Rates'!$B$7)/12</f>
        <v>61.716666666666661</v>
      </c>
      <c r="BZ275" s="45">
        <f>('[2]Renewable Diesel'!$Z284*'[2]RD Feedstock Breakdown'!BZ$3*'[2]Feedstock Conversion Rates'!$B$3)/12</f>
        <v>15.352499999999999</v>
      </c>
      <c r="CA275" s="47">
        <f t="shared" si="181"/>
        <v>156.17958333333331</v>
      </c>
      <c r="CB275" s="45">
        <f>('[2]Renewable Diesel'!AA284*'[2]Feedstock Conversion Rates'!B$4)/12</f>
        <v>191.25</v>
      </c>
      <c r="CC275" s="47">
        <f t="shared" si="171"/>
        <v>191.25</v>
      </c>
      <c r="CD275" s="45">
        <f>('[2]Renewable Diesel'!$AB284*'[2]RD Feedstock Breakdown'!CD$3*'[2]Feedstock Conversion Rates'!$B$6)/12-15-5+5</f>
        <v>17.830000000000005</v>
      </c>
      <c r="CE275" s="45">
        <f>('[2]Renewable Diesel'!$AB284*'[2]RD Feedstock Breakdown'!CE$3*'[2]Feedstock Conversion Rates'!$B$4)/12+15+5-5</f>
        <v>26.25</v>
      </c>
      <c r="CF275" s="47">
        <f t="shared" si="161"/>
        <v>44.080000000000005</v>
      </c>
      <c r="CG275" s="45">
        <f>('[2]Renewable Diesel'!AD284*'[2]Feedstock Conversion Rates'!B$4)/12</f>
        <v>112.5</v>
      </c>
      <c r="CH275" s="47">
        <f t="shared" si="230"/>
        <v>112.5</v>
      </c>
      <c r="CI275" s="45">
        <f>('[2]Renewable Diesel'!$AE284*'[2]RD Feedstock Breakdown'!CI$3*'[2]Feedstock Conversion Rates'!$B$5)/12</f>
        <v>0.34604166666666664</v>
      </c>
      <c r="CJ275" s="45">
        <f>('[2]Renewable Diesel'!$AE284*'[2]RD Feedstock Breakdown'!CJ$3*'[2]Feedstock Conversion Rates'!$B$4)/12</f>
        <v>0.34375</v>
      </c>
      <c r="CK275" s="47">
        <f t="shared" si="158"/>
        <v>0.68979166666666658</v>
      </c>
      <c r="CL275" s="45">
        <f>(((CL$3*'[2]Renewable Diesel'!$AF284)*'[2]Feedstock Conversion Rates'!$B$3)/12)</f>
        <v>91.78125</v>
      </c>
      <c r="CM275" s="45">
        <f>(((CM$3*'[2]Renewable Diesel'!$AF284)*'[2]Feedstock Conversion Rates'!$B$6)/12)</f>
        <v>53.739583333333336</v>
      </c>
      <c r="CN275" s="45">
        <f>(((CN$3*'[2]Renewable Diesel'!$AF284)*'[2]Feedstock Conversion Rates'!$B$4)/12)</f>
        <v>42.96875</v>
      </c>
      <c r="CO275" s="47">
        <f t="shared" si="232"/>
        <v>188.48958333333334</v>
      </c>
      <c r="CP275" s="45">
        <f>('[2]Renewable Diesel'!$AG284*'[2]RD Feedstock Breakdown'!CP$3*'[2]Feedstock Conversion Rates'!$B$3)/12</f>
        <v>6.0075000000000003</v>
      </c>
      <c r="CQ275" s="45">
        <f>('[2]Renewable Diesel'!$AG284*'[2]RD Feedstock Breakdown'!CQ$3*'[2]Feedstock Conversion Rates'!$B$6)/12</f>
        <v>3.5175000000000001</v>
      </c>
      <c r="CR275" s="45">
        <f>('[2]Renewable Diesel'!$AG284*'[2]RD Feedstock Breakdown'!CR$3*'[2]Feedstock Conversion Rates'!$B$4)/12</f>
        <v>2.8125</v>
      </c>
      <c r="CS275" s="47">
        <f t="shared" si="183"/>
        <v>12.3375</v>
      </c>
      <c r="CT275" s="45">
        <f>('[2]Renewable Diesel'!AI284*'[2]Feedstock Conversion Rates'!$B$4*'[2]RD Feedstock Breakdown'!$CT$3)/12</f>
        <v>29.375</v>
      </c>
      <c r="CU275" s="47">
        <f t="shared" ref="CU275:CU338" si="234">CT275</f>
        <v>29.375</v>
      </c>
      <c r="CV275" s="45">
        <f>('[2]Renewable Diesel'!AN284*'[2]Feedstock Conversion Rates'!$B$3*'[2]RD Feedstock Breakdown'!$CV$3)/12</f>
        <v>0.50062499999999999</v>
      </c>
      <c r="CW275" s="47">
        <f t="shared" si="206"/>
        <v>0.50062499999999999</v>
      </c>
      <c r="CX275" s="45">
        <f>('[2]Renewable Diesel'!AO284*'[2]RD Feedstock Breakdown'!$CX$3*'[2]Feedstock Conversion Rates'!$B$3)/12</f>
        <v>6.3412499999999996</v>
      </c>
      <c r="CY275" s="45">
        <f>('[2]Renewable Diesel'!AO284*'[2]RD Feedstock Breakdown'!$CY$3*'[2]Feedstock Conversion Rates'!$B$6)/12</f>
        <v>7.4258333333333342</v>
      </c>
      <c r="CZ275" s="47">
        <f t="shared" si="188"/>
        <v>13.767083333333334</v>
      </c>
      <c r="DA275" s="45">
        <f>('[2]Renewable Diesel'!$AP284*'[2]RD Feedstock Breakdown'!DA$3*'[2]Feedstock Conversion Rates'!$B$3)/12</f>
        <v>6.3412499999999996</v>
      </c>
      <c r="DB275" s="45">
        <f>('[2]Renewable Diesel'!$AP284*'[2]RD Feedstock Breakdown'!DB$3*'[2]Feedstock Conversion Rates'!$B$8)/12</f>
        <v>7.421875</v>
      </c>
      <c r="DC275" s="47">
        <f t="shared" si="212"/>
        <v>13.763124999999999</v>
      </c>
      <c r="DD275" s="45">
        <f>('[2]Renewable Diesel'!AQ284*$DD$3*'[2]Feedstock Conversion Rates'!$B$14)/12</f>
        <v>3.1041666666666665</v>
      </c>
      <c r="DE275" s="47">
        <f t="shared" si="213"/>
        <v>3.1041666666666665</v>
      </c>
      <c r="DF275" s="45">
        <f>('[2]Renewable Diesel'!AR284*'[2]Feedstock Conversion Rates'!$B$4*$DF$3)/12</f>
        <v>75</v>
      </c>
      <c r="DG275" s="47">
        <f t="shared" si="189"/>
        <v>75</v>
      </c>
      <c r="DH275" s="45">
        <f>('[2]Renewable Diesel'!AS284*'[2]Feedstock Conversion Rates'!$B$4*$DH$3)/12</f>
        <v>75</v>
      </c>
      <c r="DI275" s="47">
        <f t="shared" si="194"/>
        <v>75</v>
      </c>
      <c r="DJ275" s="45">
        <f>('[2]Renewable Diesel'!AT284*'[2]Feedstock Conversion Rates'!$B$4*0.25)/12</f>
        <v>8.59375</v>
      </c>
      <c r="DK275" s="45">
        <f>('[2]Renewable Diesel'!$AT284*'[2]RD Feedstock Breakdown'!DK$3*'[2]Feedstock Conversion Rates'!$B$3)/12*0.5</f>
        <v>9.1781249999999996</v>
      </c>
      <c r="DL275" s="45">
        <f>('[2]Renewable Diesel'!$AT284*'[2]RD Feedstock Breakdown'!$DL$3*'[2]Feedstock Conversion Rates'!$B$6)/12</f>
        <v>10.747916666666669</v>
      </c>
      <c r="DM275" s="45">
        <f>('[2]Renewable Diesel'!$AT284*'[2]RD Feedstock Breakdown'!$DM$3*'[2]Feedstock Conversion Rates'!$B$8)/12</f>
        <v>10.7421875</v>
      </c>
      <c r="DN275" s="47">
        <f t="shared" si="169"/>
        <v>39.26197916666667</v>
      </c>
      <c r="DP275" s="45">
        <f t="shared" si="216"/>
        <v>132.22025000000002</v>
      </c>
      <c r="DQ275" s="45">
        <f t="shared" si="217"/>
        <v>745.11776750000001</v>
      </c>
      <c r="DR275" s="45">
        <f t="shared" si="224"/>
        <v>1767.453125</v>
      </c>
      <c r="DS275" s="45">
        <f t="shared" si="155"/>
        <v>51.901249999999997</v>
      </c>
      <c r="DT275" s="45">
        <f t="shared" si="218"/>
        <v>250.03923333333344</v>
      </c>
      <c r="DU275" s="45">
        <f t="shared" si="219"/>
        <v>300.90609999999998</v>
      </c>
      <c r="DV275" s="45">
        <f t="shared" si="225"/>
        <v>5.25</v>
      </c>
      <c r="DW275" s="45">
        <f t="shared" si="220"/>
        <v>3</v>
      </c>
      <c r="DX275" s="47">
        <f t="shared" si="226"/>
        <v>3255.8877258333337</v>
      </c>
      <c r="DY275" s="50">
        <f t="shared" si="208"/>
        <v>-135.00000000000048</v>
      </c>
      <c r="EA275" s="51">
        <f t="shared" si="204"/>
        <v>4.0609585198813539E-2</v>
      </c>
      <c r="EB275" s="51">
        <f t="shared" si="204"/>
        <v>0.22885241453136704</v>
      </c>
      <c r="EC275" s="51">
        <f t="shared" si="204"/>
        <v>0.54284830246952887</v>
      </c>
      <c r="ED275" s="51">
        <f t="shared" si="204"/>
        <v>1.5940737018723838E-2</v>
      </c>
      <c r="EE275" s="51">
        <f t="shared" si="204"/>
        <v>7.6796024429662033E-2</v>
      </c>
      <c r="EF275" s="51">
        <f t="shared" si="204"/>
        <v>9.2419065194572728E-2</v>
      </c>
      <c r="EG275" s="51">
        <f t="shared" si="204"/>
        <v>1.6124634637566563E-3</v>
      </c>
      <c r="EH275" s="52">
        <f t="shared" si="227"/>
        <v>9.2140769357523225E-4</v>
      </c>
      <c r="EI275" s="51">
        <f t="shared" si="191"/>
        <v>0.99907859230642471</v>
      </c>
      <c r="EK275" s="53">
        <f>(EA275*'[2]Renewable Diesel'!BF284*'[2]Feedstock Conversion Rates'!B$2)+FB275</f>
        <v>261.46815584609055</v>
      </c>
      <c r="EL275" s="53">
        <f>(EB275*'[2]Renewable Diesel'!BF284*'[2]Feedstock Conversion Rates'!B$3)+FC275</f>
        <v>1388.5430196399011</v>
      </c>
      <c r="EM275" s="53">
        <f>(EC275*'[2]Renewable Diesel'!BF284*'[2]Feedstock Conversion Rates'!B$4)+FD275</f>
        <v>3083.9765854466746</v>
      </c>
      <c r="EN275" s="53">
        <f>(ED275*'[2]Renewable Diesel'!BF284*'[2]Feedstock Conversion Rates'!B$5)+FE275</f>
        <v>91.164692898875956</v>
      </c>
      <c r="EO275" s="53">
        <f>(EE275*'[2]Renewable Diesel'!BF284*'[2]Feedstock Conversion Rates'!B$6)+FF275</f>
        <v>545.64841885947783</v>
      </c>
      <c r="EP275" s="53">
        <f>(EF275*'[2]Renewable Diesel'!BF284*'[2]Feedstock Conversion Rates'!B$7)+FG275</f>
        <v>644.05168876176322</v>
      </c>
      <c r="EQ275" s="53">
        <f>(EG275*'[2]Renewable Diesel'!BF284*'[2]Feedstock Conversion Rates'!B$8)+FH275</f>
        <v>11.450711792989587</v>
      </c>
      <c r="ER275" s="53">
        <f>(EH275*'[2]Renewable Diesel'!BF284*'[2]Feedstock Conversion Rates'!B$9)+FI275</f>
        <v>6.4560203632855586</v>
      </c>
      <c r="ES275" s="53">
        <f t="shared" si="228"/>
        <v>6032.7592936090587</v>
      </c>
      <c r="ET275" s="36">
        <f>ES275/'[2]Renewable Diesel'!BF284</f>
        <v>7.9642461226775856</v>
      </c>
    </row>
    <row r="276" spans="1:150" x14ac:dyDescent="0.25">
      <c r="A276" s="39">
        <v>48823</v>
      </c>
      <c r="B276" s="45">
        <f t="shared" si="221"/>
        <v>0.75</v>
      </c>
      <c r="C276" s="45">
        <f t="shared" si="222"/>
        <v>13.5</v>
      </c>
      <c r="D276" s="45">
        <f>1+1</f>
        <v>2</v>
      </c>
      <c r="E276" s="45">
        <f>('[2]Renewable Diesel'!B285*E$3*'[2]Feedstock Conversion Rates'!$B$2)/12+26+13-100+27.5+39+75-10-32-1-7+46-46.5+27</f>
        <v>146.93</v>
      </c>
      <c r="F276" s="45">
        <f>('[2]Renewable Diesel'!B285*'[2]RD Feedstock Breakdown'!F$3*'[2]Feedstock Conversion Rates'!B$8)/12+77+23-10-12-115.75+24+8+2.5+1-32-15</f>
        <v>4.65625</v>
      </c>
      <c r="G276" s="45">
        <f>('[2]Renewable Diesel'!B285*'[2]RD Feedstock Breakdown'!G$3*'[2]Feedstock Conversion Rates'!B$7)/12+116.75-39-57.5-145-31.5+32+70-40+10+15-35-25-5+6</f>
        <v>47.907000000000039</v>
      </c>
      <c r="H276" s="45">
        <f>('[2]Renewable Diesel'!B285*'[2]RD Feedstock Breakdown'!H$3*'[2]Feedstock Conversion Rates'!B$3)/12+67+10+12+3-235+20+47-20+35-5+150+20</f>
        <v>280.40022499999998</v>
      </c>
      <c r="I276" s="47">
        <f t="shared" si="160"/>
        <v>496.14347500000002</v>
      </c>
      <c r="J276" s="45">
        <f t="shared" si="210"/>
        <v>0.5</v>
      </c>
      <c r="K276" s="45"/>
      <c r="L276" s="45">
        <v>1</v>
      </c>
      <c r="M276" s="45">
        <f>('[2]Renewable Diesel'!C285*'[2]RD Feedstock Breakdown'!M$3*'[2]Feedstock Conversion Rates'!B$2)/12-55+37-25+10.5-20+30</f>
        <v>-14.70975</v>
      </c>
      <c r="N276" s="45">
        <f>('[2]Renewable Diesel'!C285*'[2]RD Feedstock Breakdown'!N$3*'[2]Feedstock Conversion Rates'!B$8)/12+8-20+10-5-15+3-11</f>
        <v>-26.328125</v>
      </c>
      <c r="O276" s="45">
        <f>('[2]Renewable Diesel'!C285*'[2]RD Feedstock Breakdown'!O$3*'[2]Feedstock Conversion Rates'!B$7)/12-80+120-40+20</f>
        <v>31.999099999999999</v>
      </c>
      <c r="P276" s="45">
        <f>('[2]Renewable Diesel'!C285*'[2]RD Feedstock Breakdown'!P$3*'[2]Feedstock Conversion Rates'!B$3)/12+6-15+50+60-105-20+50+5</f>
        <v>41.447042500000009</v>
      </c>
      <c r="Q276" s="47">
        <f t="shared" si="172"/>
        <v>33.908267500000008</v>
      </c>
      <c r="R276" s="45">
        <f>('[2]Renewable Diesel'!D285*'[2]RD Feedstock Breakdown'!R$3*'[2]Feedstock Conversion Rates'!B$7)/12</f>
        <v>2.2999999999999998</v>
      </c>
      <c r="S276" s="47">
        <f t="shared" si="203"/>
        <v>2.2999999999999998</v>
      </c>
      <c r="T276" s="45">
        <f t="shared" si="214"/>
        <v>0.82500000000000284</v>
      </c>
      <c r="U276" s="45">
        <v>35</v>
      </c>
      <c r="V276" s="45">
        <f>('[2]Renewable Diesel'!E285*'[2]RD Feedstock Breakdown'!V$3*'[2]Feedstock Conversion Rates'!B$6)/12-20+25-35</f>
        <v>14.250150000000012</v>
      </c>
      <c r="W276" s="45">
        <f>('[2]Renewable Diesel'!E285*'[2]RD Feedstock Breakdown'!W$3*'[2]Feedstock Conversion Rates'!B$8)/12-6</f>
        <v>16.1796875</v>
      </c>
      <c r="X276" s="47">
        <f t="shared" si="229"/>
        <v>66.254837500000008</v>
      </c>
      <c r="Y276" s="45">
        <f t="shared" si="211"/>
        <v>146</v>
      </c>
      <c r="Z276" s="45">
        <f>('[2]Renewable Diesel'!F285*'[2]RD Feedstock Breakdown'!Z$3*'[2]Feedstock Conversion Rates'!B$6)/12-142+15+5+75-45+52.5-87.5+80-10-20-17+2+7</f>
        <v>74.460000000000008</v>
      </c>
      <c r="AA276" s="45">
        <f>('[2]Renewable Diesel'!F285*'[2]RD Feedstock Breakdown'!AA$3*'[2]Feedstock Conversion Rates'!B$7)/12+24-30-55</f>
        <v>43.266666666666652</v>
      </c>
      <c r="AB276" s="47">
        <f t="shared" si="190"/>
        <v>263.72666666666669</v>
      </c>
      <c r="AC276" s="45">
        <f>('[2]Renewable Diesel'!G285*'[2]RD Feedstock Breakdown'!AC$3*'[2]Feedstock Conversion Rates'!B$5)/12</f>
        <v>11.796875</v>
      </c>
      <c r="AD276" s="45">
        <f>('[2]Renewable Diesel'!G285*'[2]RD Feedstock Breakdown'!AD$3*'[2]Feedstock Conversion Rates'!B$4)/12</f>
        <v>5.859375</v>
      </c>
      <c r="AE276" s="45">
        <f>('[2]Renewable Diesel'!G285*'[2]RD Feedstock Breakdown'!AE$3*'[2]Feedstock Conversion Rates'!B$6)/12</f>
        <v>7.3281250000000009</v>
      </c>
      <c r="AF276" s="47">
        <f t="shared" si="156"/>
        <v>24.984375</v>
      </c>
      <c r="AG276" s="45">
        <f t="shared" si="182"/>
        <v>6.5</v>
      </c>
      <c r="AH276" s="45">
        <v>135</v>
      </c>
      <c r="AI276" s="45">
        <f>('[2]Renewable Diesel'!H285*'[2]RD Feedstock Breakdown'!AI$3*'[2]Feedstock Conversion Rates'!B$6)/12-130-20+51-120+105-37.5+10</f>
        <v>7.0166666666666799</v>
      </c>
      <c r="AJ276" s="47">
        <f t="shared" si="202"/>
        <v>13.51666666666668</v>
      </c>
      <c r="AK276" s="45">
        <f>('[2]Renewable Diesel'!J285*'[2]RD Feedstock Breakdown'!AK$3*'[2]Feedstock Conversion Rates'!B$4)/12</f>
        <v>95.8125</v>
      </c>
      <c r="AL276" s="47">
        <f t="shared" si="205"/>
        <v>95.8125</v>
      </c>
      <c r="AM276" s="45">
        <f>('[2]Renewable Diesel'!K285*'[2]RD Feedstock Breakdown'!AM$3*'[2]Feedstock Conversion Rates'!B$4)/12+5+15-10+5-26</f>
        <v>47.59375</v>
      </c>
      <c r="AN276" s="45">
        <f>('[2]Renewable Diesel'!K285*'[2]RD Feedstock Breakdown'!AN$3*'[2]Feedstock Conversion Rates'!B$6)/12-5-15+10-5+26</f>
        <v>35.427083333333329</v>
      </c>
      <c r="AO276" s="47">
        <f t="shared" si="223"/>
        <v>83.020833333333329</v>
      </c>
      <c r="AP276" s="45">
        <f>('[2]Renewable Diesel'!L285*'[2]RD Feedstock Breakdown'!AP$3*'[2]Feedstock Conversion Rates'!B$4)/12+15-10+10+2.5</f>
        <v>76.09375</v>
      </c>
      <c r="AQ276" s="45">
        <f>('[2]Renewable Diesel'!L285*'[2]RD Feedstock Breakdown'!AQ$3*'[2]Feedstock Conversion Rates'!B$6)/12-15+10-10-2.5</f>
        <v>6.9270833333333321</v>
      </c>
      <c r="AR276" s="47">
        <f t="shared" si="207"/>
        <v>83.020833333333329</v>
      </c>
      <c r="AS276" s="45">
        <f>('[2]Renewable Diesel'!M285*'[2]RD Feedstock Breakdown'!AS$3*'[2]Feedstock Conversion Rates'!B$4)/12</f>
        <v>456.25</v>
      </c>
      <c r="AT276" s="45">
        <f>('[2]Renewable Diesel'!M285*'[2]RD Feedstock Breakdown'!AT$3*'[2]Feedstock Conversion Rates'!B$5)/12</f>
        <v>0</v>
      </c>
      <c r="AU276" s="47">
        <f t="shared" si="159"/>
        <v>456.25</v>
      </c>
      <c r="AV276" s="45">
        <f>'[2]Renewable Diesel'!N285*'[2]RD Feedstock Breakdown'!$AV$3*'[2]Feedstock Conversion Rates'!$B$4/12-15-10+25+25-22+15-68+11</f>
        <v>39.749999999999986</v>
      </c>
      <c r="AW276" s="45">
        <f>'[2]Renewable Diesel'!N285*'[2]RD Feedstock Breakdown'!$AW$3*'[2]Feedstock Conversion Rates'!$B$7/12+15+10-25-25+22-15+68-11</f>
        <v>80.400000000000006</v>
      </c>
      <c r="AX276" s="47">
        <f t="shared" si="193"/>
        <v>120.14999999999999</v>
      </c>
      <c r="AY276" s="45">
        <f>('[2]Renewable Diesel'!O285*'[2]RD Feedstock Breakdown'!AY$3*'[2]Feedstock Conversion Rates'!B$4)/12-100-160</f>
        <v>-49.0625</v>
      </c>
      <c r="AZ276" s="45">
        <f>('[2]Renewable Diesel'!O285*'[2]RD Feedstock Breakdown'!AZ$3*'[2]Feedstock Conversion Rates'!B$3)/12+100+160</f>
        <v>285.03125</v>
      </c>
      <c r="BA276" s="47">
        <f t="shared" si="173"/>
        <v>235.96875</v>
      </c>
      <c r="BB276" s="45">
        <f>('[2]Renewable Diesel'!Q285*'[2]RD Feedstock Breakdown'!BB$3*'[2]Feedstock Conversion Rates'!B$4)/12</f>
        <v>11.156249999999998</v>
      </c>
      <c r="BC276" s="45">
        <f>('[2]Renewable Diesel'!Q285*'[2]RD Feedstock Breakdown'!BC$3*'[2]Feedstock Conversion Rates'!B$3)/12</f>
        <v>1.4017500000000001</v>
      </c>
      <c r="BD276" s="45">
        <f>('[2]Renewable Diesel'!Q285*'[2]RD Feedstock Breakdown'!BD$3*'[2]Feedstock Conversion Rates'!B$6)/12</f>
        <v>0.8207500000000002</v>
      </c>
      <c r="BE276" s="47">
        <f t="shared" si="231"/>
        <v>13.378749999999998</v>
      </c>
      <c r="BF276" s="45">
        <f>('[2]Renewable Diesel'!R285*'[2]RD Feedstock Breakdown'!BF$3*'[2]Feedstock Conversion Rates'!B$4)/12</f>
        <v>62.5</v>
      </c>
      <c r="BG276" s="47">
        <f t="shared" si="215"/>
        <v>62.5</v>
      </c>
      <c r="BH276" s="45">
        <f>('[2]Renewable Diesel'!T285*'[2]RD Feedstock Breakdown'!BH$3*'[2]Feedstock Conversion Rates'!B$7)/12</f>
        <v>27.599999999999998</v>
      </c>
      <c r="BI276" s="47">
        <f t="shared" si="195"/>
        <v>27.599999999999998</v>
      </c>
      <c r="BJ276" s="45">
        <f>('[2]Renewable Diesel'!W285*'[2]RD Feedstock Breakdown'!BJ$3*'[2]Feedstock Conversion Rates'!B$4)/12</f>
        <v>7.5</v>
      </c>
      <c r="BK276" s="45">
        <f>('[2]Renewable Diesel'!W285*'[2]RD Feedstock Breakdown'!BK$3*'[2]Feedstock Conversion Rates'!B$3)/12</f>
        <v>1.335</v>
      </c>
      <c r="BL276" s="45">
        <f>('[2]Renewable Diesel'!W285*'[2]RD Feedstock Breakdown'!BL$3*'[2]Feedstock Conversion Rates'!B$6)/12</f>
        <v>3.1266666666666669</v>
      </c>
      <c r="BM276" s="45">
        <f>('[2]Renewable Diesel'!W285*'[2]RD Feedstock Breakdown'!BM$3*'[2]Feedstock Conversion Rates'!B$7)/12</f>
        <v>1.5333333333333332</v>
      </c>
      <c r="BN276" s="47">
        <f t="shared" si="168"/>
        <v>13.495000000000001</v>
      </c>
      <c r="BO276" s="45">
        <f>('[2]Renewable Diesel'!P285*'[2]Feedstock Conversion Rates'!B$4)/12</f>
        <v>31.25</v>
      </c>
      <c r="BP276" s="47">
        <f t="shared" si="157"/>
        <v>31.25</v>
      </c>
      <c r="BQ276" s="45">
        <f>('[2]Renewable Diesel'!$S285*'[2]RD Feedstock Breakdown'!BQ$3*'[2]Feedstock Conversion Rates'!B$4)/12+10</f>
        <v>38.125</v>
      </c>
      <c r="BR276" s="45">
        <f>('[2]Renewable Diesel'!$S285*'[2]RD Feedstock Breakdown'!BR$3*'[2]Feedstock Conversion Rates'!B$7)/12-10</f>
        <v>1.5</v>
      </c>
      <c r="BS276" s="47">
        <f t="shared" si="174"/>
        <v>39.625</v>
      </c>
      <c r="BT276" s="47"/>
      <c r="BU276" s="45">
        <f>('[2]Renewable Diesel'!Y285*'[2]Feedstock Conversion Rates'!B$7)/12</f>
        <v>2.6833333333333331</v>
      </c>
      <c r="BV276" s="47">
        <f t="shared" si="233"/>
        <v>2.6833333333333331</v>
      </c>
      <c r="BW276" s="45">
        <f>('[2]Renewable Diesel'!$Z285*'[2]RD Feedstock Breakdown'!BW$3*'[2]Feedstock Conversion Rates'!$B$4)/12</f>
        <v>71.875</v>
      </c>
      <c r="BX276" s="45">
        <f>('[2]Renewable Diesel'!$Z285*'[2]RD Feedstock Breakdown'!BX$3*'[2]Feedstock Conversion Rates'!$B$5)/12</f>
        <v>7.2354166666666666</v>
      </c>
      <c r="BY276" s="45">
        <f>('[2]Renewable Diesel'!$Z285*'[2]RD Feedstock Breakdown'!BY$3*'[2]Feedstock Conversion Rates'!$B$7)/12</f>
        <v>61.716666666666661</v>
      </c>
      <c r="BZ276" s="45">
        <f>('[2]Renewable Diesel'!$Z285*'[2]RD Feedstock Breakdown'!BZ$3*'[2]Feedstock Conversion Rates'!$B$3)/12</f>
        <v>15.352499999999999</v>
      </c>
      <c r="CA276" s="47">
        <f t="shared" si="181"/>
        <v>156.17958333333331</v>
      </c>
      <c r="CB276" s="45">
        <f>('[2]Renewable Diesel'!AA285*'[2]Feedstock Conversion Rates'!B$4)/12</f>
        <v>191.25</v>
      </c>
      <c r="CC276" s="47">
        <f t="shared" si="171"/>
        <v>191.25</v>
      </c>
      <c r="CD276" s="45">
        <f>('[2]Renewable Diesel'!$AB285*'[2]RD Feedstock Breakdown'!CD$3*'[2]Feedstock Conversion Rates'!$B$6)/12-15-5+5</f>
        <v>17.830000000000005</v>
      </c>
      <c r="CE276" s="45">
        <f>('[2]Renewable Diesel'!$AB285*'[2]RD Feedstock Breakdown'!CE$3*'[2]Feedstock Conversion Rates'!$B$4)/12+15+5-5</f>
        <v>26.25</v>
      </c>
      <c r="CF276" s="47">
        <f t="shared" si="161"/>
        <v>44.080000000000005</v>
      </c>
      <c r="CG276" s="45">
        <f>('[2]Renewable Diesel'!AD285*'[2]Feedstock Conversion Rates'!B$4)/12</f>
        <v>112.5</v>
      </c>
      <c r="CH276" s="47">
        <f t="shared" si="230"/>
        <v>112.5</v>
      </c>
      <c r="CI276" s="45">
        <f>('[2]Renewable Diesel'!$AE285*'[2]RD Feedstock Breakdown'!CI$3*'[2]Feedstock Conversion Rates'!$B$5)/12</f>
        <v>0.34604166666666664</v>
      </c>
      <c r="CJ276" s="45">
        <f>('[2]Renewable Diesel'!$AE285*'[2]RD Feedstock Breakdown'!CJ$3*'[2]Feedstock Conversion Rates'!$B$4)/12</f>
        <v>0.34375</v>
      </c>
      <c r="CK276" s="47">
        <f t="shared" si="158"/>
        <v>0.68979166666666658</v>
      </c>
      <c r="CL276" s="45">
        <f>(((CL$3*'[2]Renewable Diesel'!$AF285)*'[2]Feedstock Conversion Rates'!$B$3)/12)</f>
        <v>91.78125</v>
      </c>
      <c r="CM276" s="45">
        <f>(((CM$3*'[2]Renewable Diesel'!$AF285)*'[2]Feedstock Conversion Rates'!$B$6)/12)</f>
        <v>53.739583333333336</v>
      </c>
      <c r="CN276" s="45">
        <f>(((CN$3*'[2]Renewable Diesel'!$AF285)*'[2]Feedstock Conversion Rates'!$B$4)/12)</f>
        <v>42.96875</v>
      </c>
      <c r="CO276" s="47">
        <f t="shared" si="232"/>
        <v>188.48958333333334</v>
      </c>
      <c r="CP276" s="45">
        <f>('[2]Renewable Diesel'!$AG285*'[2]RD Feedstock Breakdown'!CP$3*'[2]Feedstock Conversion Rates'!$B$3)/12</f>
        <v>6.0075000000000003</v>
      </c>
      <c r="CQ276" s="45">
        <f>('[2]Renewable Diesel'!$AG285*'[2]RD Feedstock Breakdown'!CQ$3*'[2]Feedstock Conversion Rates'!$B$6)/12</f>
        <v>3.5175000000000001</v>
      </c>
      <c r="CR276" s="45">
        <f>('[2]Renewable Diesel'!$AG285*'[2]RD Feedstock Breakdown'!CR$3*'[2]Feedstock Conversion Rates'!$B$4)/12</f>
        <v>2.8125</v>
      </c>
      <c r="CS276" s="47">
        <f t="shared" si="183"/>
        <v>12.3375</v>
      </c>
      <c r="CT276" s="45">
        <f>('[2]Renewable Diesel'!AI285*'[2]Feedstock Conversion Rates'!$B$4*'[2]RD Feedstock Breakdown'!$CT$3)/12</f>
        <v>29.375</v>
      </c>
      <c r="CU276" s="47">
        <f t="shared" si="234"/>
        <v>29.375</v>
      </c>
      <c r="CV276" s="45">
        <f>('[2]Renewable Diesel'!AN285*'[2]Feedstock Conversion Rates'!$B$3*'[2]RD Feedstock Breakdown'!$CV$3)/12</f>
        <v>0.50062499999999999</v>
      </c>
      <c r="CW276" s="47">
        <f t="shared" si="206"/>
        <v>0.50062499999999999</v>
      </c>
      <c r="CX276" s="45">
        <f>('[2]Renewable Diesel'!AO285*'[2]RD Feedstock Breakdown'!$CX$3*'[2]Feedstock Conversion Rates'!$B$3)/12</f>
        <v>6.3412499999999996</v>
      </c>
      <c r="CY276" s="45">
        <f>('[2]Renewable Diesel'!AO285*'[2]RD Feedstock Breakdown'!$CY$3*'[2]Feedstock Conversion Rates'!$B$6)/12</f>
        <v>7.4258333333333342</v>
      </c>
      <c r="CZ276" s="47">
        <f t="shared" si="188"/>
        <v>13.767083333333334</v>
      </c>
      <c r="DA276" s="45">
        <f>('[2]Renewable Diesel'!$AP285*'[2]RD Feedstock Breakdown'!DA$3*'[2]Feedstock Conversion Rates'!$B$3)/12</f>
        <v>6.3412499999999996</v>
      </c>
      <c r="DB276" s="45">
        <f>('[2]Renewable Diesel'!$AP285*'[2]RD Feedstock Breakdown'!DB$3*'[2]Feedstock Conversion Rates'!$B$8)/12</f>
        <v>7.421875</v>
      </c>
      <c r="DC276" s="47">
        <f t="shared" si="212"/>
        <v>13.763124999999999</v>
      </c>
      <c r="DD276" s="45">
        <f>('[2]Renewable Diesel'!AQ285*$DD$3*'[2]Feedstock Conversion Rates'!$B$14)/12</f>
        <v>3.1041666666666665</v>
      </c>
      <c r="DE276" s="47">
        <f t="shared" si="213"/>
        <v>3.1041666666666665</v>
      </c>
      <c r="DF276" s="45">
        <f>('[2]Renewable Diesel'!AR285*'[2]Feedstock Conversion Rates'!$B$4*$DF$3)/12</f>
        <v>75</v>
      </c>
      <c r="DG276" s="47">
        <f t="shared" si="189"/>
        <v>75</v>
      </c>
      <c r="DH276" s="45">
        <f>('[2]Renewable Diesel'!AS285*'[2]Feedstock Conversion Rates'!$B$4*$DH$3)/12</f>
        <v>75</v>
      </c>
      <c r="DI276" s="47">
        <f t="shared" si="194"/>
        <v>75</v>
      </c>
      <c r="DJ276" s="45">
        <f>('[2]Renewable Diesel'!AT285*'[2]Feedstock Conversion Rates'!$B$4*0.25)/12</f>
        <v>8.59375</v>
      </c>
      <c r="DK276" s="45">
        <f>('[2]Renewable Diesel'!$AT285*'[2]RD Feedstock Breakdown'!DK$3*'[2]Feedstock Conversion Rates'!$B$3)/12*0.5</f>
        <v>9.1781249999999996</v>
      </c>
      <c r="DL276" s="45">
        <f>('[2]Renewable Diesel'!$AT285*'[2]RD Feedstock Breakdown'!$DL$3*'[2]Feedstock Conversion Rates'!$B$6)/12</f>
        <v>10.747916666666669</v>
      </c>
      <c r="DM276" s="45">
        <f>('[2]Renewable Diesel'!$AT285*'[2]RD Feedstock Breakdown'!$DM$3*'[2]Feedstock Conversion Rates'!$B$8)/12</f>
        <v>10.7421875</v>
      </c>
      <c r="DN276" s="47">
        <f t="shared" si="169"/>
        <v>39.26197916666667</v>
      </c>
      <c r="DP276" s="45">
        <f t="shared" si="216"/>
        <v>132.22025000000002</v>
      </c>
      <c r="DQ276" s="45">
        <f t="shared" si="217"/>
        <v>745.11776750000001</v>
      </c>
      <c r="DR276" s="45">
        <f t="shared" si="224"/>
        <v>1767.453125</v>
      </c>
      <c r="DS276" s="45">
        <f t="shared" ref="DS276:DS339" si="235">AC276+C276+BX276+CI276+DD276+AG276+T276+DJ276+AT276+K276</f>
        <v>51.901249999999997</v>
      </c>
      <c r="DT276" s="45">
        <f t="shared" si="218"/>
        <v>250.03923333333344</v>
      </c>
      <c r="DU276" s="45">
        <f t="shared" si="219"/>
        <v>300.90609999999998</v>
      </c>
      <c r="DV276" s="45">
        <f t="shared" si="225"/>
        <v>5.25</v>
      </c>
      <c r="DW276" s="45">
        <f t="shared" si="220"/>
        <v>3</v>
      </c>
      <c r="DX276" s="47">
        <f t="shared" si="226"/>
        <v>3255.8877258333337</v>
      </c>
      <c r="DY276" s="50">
        <f t="shared" si="208"/>
        <v>-135.00000000000048</v>
      </c>
      <c r="EA276" s="51">
        <f t="shared" si="204"/>
        <v>4.0609585198813539E-2</v>
      </c>
      <c r="EB276" s="51">
        <f t="shared" si="204"/>
        <v>0.22885241453136704</v>
      </c>
      <c r="EC276" s="51">
        <f t="shared" si="204"/>
        <v>0.54284830246952887</v>
      </c>
      <c r="ED276" s="51">
        <f t="shared" si="204"/>
        <v>1.5940737018723838E-2</v>
      </c>
      <c r="EE276" s="51">
        <f t="shared" si="204"/>
        <v>7.6796024429662033E-2</v>
      </c>
      <c r="EF276" s="51">
        <f t="shared" si="204"/>
        <v>9.2419065194572728E-2</v>
      </c>
      <c r="EG276" s="51">
        <f t="shared" si="204"/>
        <v>1.6124634637566563E-3</v>
      </c>
      <c r="EH276" s="52">
        <f t="shared" si="227"/>
        <v>9.2140769357523225E-4</v>
      </c>
      <c r="EI276" s="51">
        <f t="shared" si="191"/>
        <v>0.99907859230642471</v>
      </c>
      <c r="EK276" s="53">
        <f>(EA276*'[2]Renewable Diesel'!BF285*'[2]Feedstock Conversion Rates'!B$2)+FB276</f>
        <v>296.56638219311856</v>
      </c>
      <c r="EL276" s="53">
        <f>(EB276*'[2]Renewable Diesel'!BF285*'[2]Feedstock Conversion Rates'!B$3)+FC276</f>
        <v>1574.9343491622399</v>
      </c>
      <c r="EM276" s="53">
        <f>(EC276*'[2]Renewable Diesel'!BF285*'[2]Feedstock Conversion Rates'!B$4)+FD276</f>
        <v>3497.9547538193347</v>
      </c>
      <c r="EN276" s="53">
        <f>(ED276*'[2]Renewable Diesel'!BF285*'[2]Feedstock Conversion Rates'!B$5)+FE276</f>
        <v>103.40220234192076</v>
      </c>
      <c r="EO276" s="53">
        <f>(EE276*'[2]Renewable Diesel'!BF285*'[2]Feedstock Conversion Rates'!B$6)+FF276</f>
        <v>618.89363546742675</v>
      </c>
      <c r="EP276" s="53">
        <f>(EF276*'[2]Renewable Diesel'!BF285*'[2]Feedstock Conversion Rates'!B$7)+FG276</f>
        <v>730.50608653803454</v>
      </c>
      <c r="EQ276" s="53">
        <f>(EG276*'[2]Renewable Diesel'!BF285*'[2]Feedstock Conversion Rates'!B$8)+FH276</f>
        <v>12.987800212206128</v>
      </c>
      <c r="ER276" s="53">
        <f>(EH276*'[2]Renewable Diesel'!BF285*'[2]Feedstock Conversion Rates'!B$9)+FI276</f>
        <v>7.3226454529771701</v>
      </c>
      <c r="ES276" s="53">
        <f t="shared" si="228"/>
        <v>6842.5678551872579</v>
      </c>
      <c r="ET276" s="36">
        <f>ES276/'[2]Renewable Diesel'!BF285</f>
        <v>7.9642461226775847</v>
      </c>
    </row>
    <row r="277" spans="1:150" x14ac:dyDescent="0.25">
      <c r="A277" s="39">
        <v>48853</v>
      </c>
      <c r="B277" s="45">
        <f>115.75+145+100+235+31.5-21-287-20-28-32-70-39-47+40+20-3-10+65-105+5-15-75-1+20+33+40+14-5-40+26+55-55.5-91</f>
        <v>0.75</v>
      </c>
      <c r="C277" s="45">
        <f>50-1-49+16+51-29-13-15</f>
        <v>10</v>
      </c>
      <c r="D277" s="45">
        <f>1+1</f>
        <v>2</v>
      </c>
      <c r="E277" s="45">
        <f>('[2]Renewable Diesel'!B286*E$3*'[2]Feedstock Conversion Rates'!$B$2)/12+26+13-100+27.5+39+105-40-14-26+55.5-51+29</f>
        <v>153.93</v>
      </c>
      <c r="F277" s="45">
        <f>('[2]Renewable Diesel'!B286*'[2]RD Feedstock Breakdown'!F$3*'[2]Feedstock Conversion Rates'!B$8)/12+77+23-10-12-115.75+24+8-33+5-16</f>
        <v>4.15625</v>
      </c>
      <c r="G277" s="45">
        <f>('[2]Renewable Diesel'!B286*'[2]RD Feedstock Breakdown'!G$3*'[2]Feedstock Conversion Rates'!B$7)/12+116.75-39-57.5-145-31.5+32+70-40+10-70-20+40+13</f>
        <v>54.907000000000039</v>
      </c>
      <c r="H277" s="45">
        <f>('[2]Renewable Diesel'!B286*'[2]RD Feedstock Breakdown'!H$3*'[2]Feedstock Conversion Rates'!B$3)/12+67+10+12+3-235+20+47-20+15+75-55+140+15</f>
        <v>270.40022499999998</v>
      </c>
      <c r="I277" s="47">
        <f t="shared" si="160"/>
        <v>496.14347500000002</v>
      </c>
      <c r="J277" s="45">
        <f>54-15-35+7+35+20+34-7.5+35+37.5-145-20+15+40-32-5</f>
        <v>18</v>
      </c>
      <c r="K277" s="45"/>
      <c r="L277" s="45">
        <v>1</v>
      </c>
      <c r="M277" s="45">
        <f>('[2]Renewable Diesel'!C286*'[2]RD Feedstock Breakdown'!M$3*'[2]Feedstock Conversion Rates'!B$2)/12-55+32</f>
        <v>-15.20975</v>
      </c>
      <c r="N277" s="45">
        <f>('[2]Renewable Diesel'!C286*'[2]RD Feedstock Breakdown'!N$3*'[2]Feedstock Conversion Rates'!B$8)/12-7-20+7.5-15</f>
        <v>-30.828125</v>
      </c>
      <c r="O277" s="45">
        <f>('[2]Renewable Diesel'!C286*'[2]RD Feedstock Breakdown'!O$3*'[2]Feedstock Conversion Rates'!B$7)/12-35-35+145-40</f>
        <v>46.999099999999999</v>
      </c>
      <c r="P277" s="45">
        <f>('[2]Renewable Diesel'!C286*'[2]RD Feedstock Breakdown'!P$3*'[2]Feedstock Conversion Rates'!B$3)/12+15+35-34-37.5+20+5</f>
        <v>13.947042500000002</v>
      </c>
      <c r="Q277" s="47">
        <f t="shared" si="172"/>
        <v>33.908267500000001</v>
      </c>
      <c r="R277" s="45">
        <f>('[2]Renewable Diesel'!D286*'[2]RD Feedstock Breakdown'!R$3*'[2]Feedstock Conversion Rates'!B$7)/12</f>
        <v>2.2999999999999998</v>
      </c>
      <c r="S277" s="47">
        <f t="shared" si="203"/>
        <v>2.2999999999999998</v>
      </c>
      <c r="T277" s="45">
        <f>5.825+20-25+35-5-30</f>
        <v>0.82500000000000284</v>
      </c>
      <c r="U277" s="45">
        <v>30</v>
      </c>
      <c r="V277" s="45">
        <f>('[2]Renewable Diesel'!E286*'[2]RD Feedstock Breakdown'!V$3*'[2]Feedstock Conversion Rates'!B$6)/12-20+25-35</f>
        <v>14.250150000000012</v>
      </c>
      <c r="W277" s="45">
        <f>('[2]Renewable Diesel'!E286*'[2]RD Feedstock Breakdown'!W$3*'[2]Feedstock Conversion Rates'!B$8)/12-6+5</f>
        <v>21.1796875</v>
      </c>
      <c r="X277" s="47">
        <f t="shared" si="229"/>
        <v>66.254837500000008</v>
      </c>
      <c r="Y277" s="45">
        <f>142-15-5-24+5-70+10+25+1+41+10-14-4</f>
        <v>102</v>
      </c>
      <c r="Z277" s="45">
        <f>('[2]Renewable Diesel'!F286*'[2]RD Feedstock Breakdown'!Z$3*'[2]Feedstock Conversion Rates'!B$6)/12-142+15+5-5+70-41-10+14+4</f>
        <v>69.460000000000008</v>
      </c>
      <c r="AA277" s="45">
        <f>('[2]Renewable Diesel'!F286*'[2]RD Feedstock Breakdown'!AA$3*'[2]Feedstock Conversion Rates'!B$7)/12+24-10-25-1</f>
        <v>92.266666666666652</v>
      </c>
      <c r="AB277" s="47">
        <f t="shared" si="190"/>
        <v>263.72666666666669</v>
      </c>
      <c r="AC277" s="45">
        <f>('[2]Renewable Diesel'!G286*'[2]RD Feedstock Breakdown'!AC$3*'[2]Feedstock Conversion Rates'!B$5)/12</f>
        <v>11.796875</v>
      </c>
      <c r="AD277" s="45">
        <f>('[2]Renewable Diesel'!G286*'[2]RD Feedstock Breakdown'!AD$3*'[2]Feedstock Conversion Rates'!B$4)/12</f>
        <v>5.859375</v>
      </c>
      <c r="AE277" s="45">
        <f>('[2]Renewable Diesel'!G286*'[2]RD Feedstock Breakdown'!AE$3*'[2]Feedstock Conversion Rates'!B$6)/12</f>
        <v>7.3281250000000009</v>
      </c>
      <c r="AF277" s="47">
        <f t="shared" ref="AF277:AF340" si="236">SUM(AC277:AE277)</f>
        <v>24.984375</v>
      </c>
      <c r="AG277" s="45">
        <f t="shared" si="182"/>
        <v>6.5</v>
      </c>
      <c r="AH277" s="45">
        <v>135</v>
      </c>
      <c r="AI277" s="45">
        <f>('[2]Renewable Diesel'!H286*'[2]RD Feedstock Breakdown'!AI$3*'[2]Feedstock Conversion Rates'!B$6)/12-130-20+51-52.5+10</f>
        <v>7.0166666666666799</v>
      </c>
      <c r="AJ277" s="47">
        <f t="shared" si="202"/>
        <v>13.51666666666668</v>
      </c>
      <c r="AK277" s="45">
        <f>('[2]Renewable Diesel'!J286*'[2]RD Feedstock Breakdown'!AK$3*'[2]Feedstock Conversion Rates'!B$4)/12</f>
        <v>95.8125</v>
      </c>
      <c r="AL277" s="47">
        <f t="shared" si="205"/>
        <v>95.8125</v>
      </c>
      <c r="AM277" s="45">
        <f>('[2]Renewable Diesel'!K286*'[2]RD Feedstock Breakdown'!AM$3*'[2]Feedstock Conversion Rates'!B$4)/12+5+15-10-5+10-35</f>
        <v>38.59375</v>
      </c>
      <c r="AN277" s="45">
        <f>('[2]Renewable Diesel'!K286*'[2]RD Feedstock Breakdown'!AN$3*'[2]Feedstock Conversion Rates'!B$6)/12-5-15+10+5-10+35</f>
        <v>44.427083333333329</v>
      </c>
      <c r="AO277" s="47">
        <f t="shared" si="223"/>
        <v>83.020833333333329</v>
      </c>
      <c r="AP277" s="45">
        <f>('[2]Renewable Diesel'!L286*'[2]RD Feedstock Breakdown'!AP$3*'[2]Feedstock Conversion Rates'!B$4)/12+15-10-10+22</f>
        <v>75.59375</v>
      </c>
      <c r="AQ277" s="45">
        <f>('[2]Renewable Diesel'!L286*'[2]RD Feedstock Breakdown'!AQ$3*'[2]Feedstock Conversion Rates'!B$6)/12-15+10+10-22</f>
        <v>7.4270833333333321</v>
      </c>
      <c r="AR277" s="47">
        <f t="shared" si="207"/>
        <v>83.020833333333329</v>
      </c>
      <c r="AS277" s="45">
        <f>('[2]Renewable Diesel'!M286*'[2]RD Feedstock Breakdown'!AS$3*'[2]Feedstock Conversion Rates'!B$4)/12</f>
        <v>456.25</v>
      </c>
      <c r="AT277" s="45">
        <f>('[2]Renewable Diesel'!M286*'[2]RD Feedstock Breakdown'!AT$3*'[2]Feedstock Conversion Rates'!B$5)/12</f>
        <v>0</v>
      </c>
      <c r="AU277" s="47">
        <f t="shared" si="159"/>
        <v>456.25</v>
      </c>
      <c r="AV277" s="45">
        <f>'[2]Renewable Diesel'!N286*'[2]RD Feedstock Breakdown'!$AV$3*'[2]Feedstock Conversion Rates'!$B$4/12-15-10+25+25-22+25-77.5+56</f>
        <v>85.249999999999986</v>
      </c>
      <c r="AW277" s="45">
        <f>'[2]Renewable Diesel'!N286*'[2]RD Feedstock Breakdown'!$AW$3*'[2]Feedstock Conversion Rates'!$B$7/12+15+10-25-25+22-25+77.5-56</f>
        <v>34.900000000000006</v>
      </c>
      <c r="AX277" s="47">
        <f t="shared" si="193"/>
        <v>120.14999999999999</v>
      </c>
      <c r="AY277" s="45">
        <f>('[2]Renewable Diesel'!O286*'[2]RD Feedstock Breakdown'!AY$3*'[2]Feedstock Conversion Rates'!B$4)/12-95-250</f>
        <v>-134.0625</v>
      </c>
      <c r="AZ277" s="45">
        <f>('[2]Renewable Diesel'!O286*'[2]RD Feedstock Breakdown'!AZ$3*'[2]Feedstock Conversion Rates'!B$3)/12+95+250</f>
        <v>370.03125</v>
      </c>
      <c r="BA277" s="47">
        <f t="shared" si="173"/>
        <v>235.96875</v>
      </c>
      <c r="BB277" s="45">
        <f>('[2]Renewable Diesel'!Q286*'[2]RD Feedstock Breakdown'!BB$3*'[2]Feedstock Conversion Rates'!B$4)/12</f>
        <v>11.156249999999998</v>
      </c>
      <c r="BC277" s="45">
        <f>('[2]Renewable Diesel'!Q286*'[2]RD Feedstock Breakdown'!BC$3*'[2]Feedstock Conversion Rates'!B$3)/12</f>
        <v>1.4017500000000001</v>
      </c>
      <c r="BD277" s="45">
        <f>('[2]Renewable Diesel'!Q286*'[2]RD Feedstock Breakdown'!BD$3*'[2]Feedstock Conversion Rates'!B$6)/12</f>
        <v>0.8207500000000002</v>
      </c>
      <c r="BE277" s="47">
        <f t="shared" si="231"/>
        <v>13.378749999999998</v>
      </c>
      <c r="BF277" s="45">
        <f>('[2]Renewable Diesel'!R286*'[2]RD Feedstock Breakdown'!BF$3*'[2]Feedstock Conversion Rates'!B$4)/12</f>
        <v>62.5</v>
      </c>
      <c r="BG277" s="47">
        <f t="shared" si="215"/>
        <v>62.5</v>
      </c>
      <c r="BH277" s="45">
        <f>('[2]Renewable Diesel'!T286*'[2]RD Feedstock Breakdown'!BH$3*'[2]Feedstock Conversion Rates'!B$7)/12</f>
        <v>27.599999999999998</v>
      </c>
      <c r="BI277" s="47">
        <f t="shared" si="195"/>
        <v>27.599999999999998</v>
      </c>
      <c r="BJ277" s="45">
        <f>('[2]Renewable Diesel'!W286*'[2]RD Feedstock Breakdown'!BJ$3*'[2]Feedstock Conversion Rates'!B$4)/12</f>
        <v>7.5</v>
      </c>
      <c r="BK277" s="45">
        <f>('[2]Renewable Diesel'!W286*'[2]RD Feedstock Breakdown'!BK$3*'[2]Feedstock Conversion Rates'!B$3)/12</f>
        <v>1.335</v>
      </c>
      <c r="BL277" s="45">
        <f>('[2]Renewable Diesel'!W286*'[2]RD Feedstock Breakdown'!BL$3*'[2]Feedstock Conversion Rates'!B$6)/12</f>
        <v>3.1266666666666669</v>
      </c>
      <c r="BM277" s="45">
        <f>('[2]Renewable Diesel'!W286*'[2]RD Feedstock Breakdown'!BM$3*'[2]Feedstock Conversion Rates'!B$7)/12</f>
        <v>1.5333333333333332</v>
      </c>
      <c r="BN277" s="47">
        <f t="shared" si="168"/>
        <v>13.495000000000001</v>
      </c>
      <c r="BO277" s="45">
        <f>('[2]Renewable Diesel'!P286*'[2]Feedstock Conversion Rates'!B$4)/12</f>
        <v>31.25</v>
      </c>
      <c r="BP277" s="47">
        <f t="shared" ref="BP277:BP340" si="237">BO277</f>
        <v>31.25</v>
      </c>
      <c r="BQ277" s="45">
        <f>('[2]Renewable Diesel'!$S286*'[2]RD Feedstock Breakdown'!BQ$3*'[2]Feedstock Conversion Rates'!B$4)/12+10+15-15</f>
        <v>38.125</v>
      </c>
      <c r="BR277" s="45">
        <f>('[2]Renewable Diesel'!$S286*'[2]RD Feedstock Breakdown'!BR$3*'[2]Feedstock Conversion Rates'!B$7)/12-10-15+15</f>
        <v>1.5</v>
      </c>
      <c r="BS277" s="47">
        <f t="shared" si="174"/>
        <v>39.625</v>
      </c>
      <c r="BT277" s="47"/>
      <c r="BU277" s="45">
        <f>('[2]Renewable Diesel'!Y286*'[2]Feedstock Conversion Rates'!B$7)/12</f>
        <v>2.6833333333333331</v>
      </c>
      <c r="BV277" s="47">
        <f t="shared" si="233"/>
        <v>2.6833333333333331</v>
      </c>
      <c r="BW277" s="45">
        <f>('[2]Renewable Diesel'!$Z286*'[2]RD Feedstock Breakdown'!BW$3*'[2]Feedstock Conversion Rates'!$B$4)/12</f>
        <v>71.875</v>
      </c>
      <c r="BX277" s="45">
        <f>('[2]Renewable Diesel'!$Z286*'[2]RD Feedstock Breakdown'!BX$3*'[2]Feedstock Conversion Rates'!$B$5)/12</f>
        <v>7.2354166666666666</v>
      </c>
      <c r="BY277" s="45">
        <f>('[2]Renewable Diesel'!$Z286*'[2]RD Feedstock Breakdown'!BY$3*'[2]Feedstock Conversion Rates'!$B$7)/12</f>
        <v>61.716666666666661</v>
      </c>
      <c r="BZ277" s="45">
        <f>('[2]Renewable Diesel'!$Z286*'[2]RD Feedstock Breakdown'!BZ$3*'[2]Feedstock Conversion Rates'!$B$3)/12</f>
        <v>15.352499999999999</v>
      </c>
      <c r="CA277" s="47">
        <f t="shared" si="181"/>
        <v>156.17958333333331</v>
      </c>
      <c r="CB277" s="45">
        <f>('[2]Renewable Diesel'!AA286*'[2]Feedstock Conversion Rates'!B$4)/12</f>
        <v>191.25</v>
      </c>
      <c r="CC277" s="47">
        <f t="shared" si="171"/>
        <v>191.25</v>
      </c>
      <c r="CD277" s="45">
        <f>('[2]Renewable Diesel'!$AB286*'[2]RD Feedstock Breakdown'!CD$3*'[2]Feedstock Conversion Rates'!$B$6)/12-15-5</f>
        <v>12.830000000000005</v>
      </c>
      <c r="CE277" s="45">
        <f>('[2]Renewable Diesel'!$AB286*'[2]RD Feedstock Breakdown'!CE$3*'[2]Feedstock Conversion Rates'!$B$4)/12+15+5</f>
        <v>31.25</v>
      </c>
      <c r="CF277" s="47">
        <f t="shared" si="161"/>
        <v>44.080000000000005</v>
      </c>
      <c r="CG277" s="45">
        <f>('[2]Renewable Diesel'!AD286*'[2]Feedstock Conversion Rates'!B$4)/12</f>
        <v>112.5</v>
      </c>
      <c r="CH277" s="47">
        <f t="shared" si="230"/>
        <v>112.5</v>
      </c>
      <c r="CI277" s="45">
        <f>('[2]Renewable Diesel'!$AE286*'[2]RD Feedstock Breakdown'!CI$3*'[2]Feedstock Conversion Rates'!$B$5)/12</f>
        <v>0.34604166666666664</v>
      </c>
      <c r="CJ277" s="45">
        <f>('[2]Renewable Diesel'!$AE286*'[2]RD Feedstock Breakdown'!CJ$3*'[2]Feedstock Conversion Rates'!$B$4)/12</f>
        <v>0.34375</v>
      </c>
      <c r="CK277" s="47">
        <f t="shared" ref="CK277:CK340" si="238">SUM(CI277:CJ277)</f>
        <v>0.68979166666666658</v>
      </c>
      <c r="CL277" s="45">
        <f>(((CL$3*'[2]Renewable Diesel'!$AF286)*'[2]Feedstock Conversion Rates'!$B$3)/12)</f>
        <v>91.78125</v>
      </c>
      <c r="CM277" s="45">
        <f>(((CM$3*'[2]Renewable Diesel'!$AF286)*'[2]Feedstock Conversion Rates'!$B$6)/12)</f>
        <v>53.739583333333336</v>
      </c>
      <c r="CN277" s="45">
        <f>(((CN$3*'[2]Renewable Diesel'!$AF286)*'[2]Feedstock Conversion Rates'!$B$4)/12)</f>
        <v>42.96875</v>
      </c>
      <c r="CO277" s="47">
        <f t="shared" si="232"/>
        <v>188.48958333333334</v>
      </c>
      <c r="CP277" s="45">
        <f>('[2]Renewable Diesel'!$AG286*'[2]RD Feedstock Breakdown'!CP$3*'[2]Feedstock Conversion Rates'!$B$3)/12+4-4</f>
        <v>6.0075000000000003</v>
      </c>
      <c r="CQ277" s="45">
        <f>('[2]Renewable Diesel'!$AG286*'[2]RD Feedstock Breakdown'!CQ$3*'[2]Feedstock Conversion Rates'!$B$6)/12</f>
        <v>3.5175000000000001</v>
      </c>
      <c r="CR277" s="45">
        <f>('[2]Renewable Diesel'!$AG286*'[2]RD Feedstock Breakdown'!CR$3*'[2]Feedstock Conversion Rates'!$B$4)/12-4+4</f>
        <v>2.8125</v>
      </c>
      <c r="CS277" s="47">
        <f t="shared" si="183"/>
        <v>12.3375</v>
      </c>
      <c r="CT277" s="45">
        <f>('[2]Renewable Diesel'!AI286*'[2]Feedstock Conversion Rates'!$B$4*'[2]RD Feedstock Breakdown'!$CT$3)/12</f>
        <v>29.375</v>
      </c>
      <c r="CU277" s="47">
        <f t="shared" si="234"/>
        <v>29.375</v>
      </c>
      <c r="CV277" s="45">
        <f>('[2]Renewable Diesel'!AN286*'[2]Feedstock Conversion Rates'!$B$3*'[2]RD Feedstock Breakdown'!$CV$3)/12</f>
        <v>0.50062499999999999</v>
      </c>
      <c r="CW277" s="47">
        <f t="shared" si="206"/>
        <v>0.50062499999999999</v>
      </c>
      <c r="CX277" s="45">
        <f>('[2]Renewable Diesel'!AO286*'[2]RD Feedstock Breakdown'!$CX$3*'[2]Feedstock Conversion Rates'!$B$3)/12</f>
        <v>6.3412499999999996</v>
      </c>
      <c r="CY277" s="45">
        <f>('[2]Renewable Diesel'!AO286*'[2]RD Feedstock Breakdown'!$CY$3*'[2]Feedstock Conversion Rates'!$B$6)/12</f>
        <v>7.4258333333333342</v>
      </c>
      <c r="CZ277" s="47">
        <f t="shared" si="188"/>
        <v>13.767083333333334</v>
      </c>
      <c r="DA277" s="45">
        <f>('[2]Renewable Diesel'!$AP286*'[2]RD Feedstock Breakdown'!DA$3*'[2]Feedstock Conversion Rates'!$B$3)/12</f>
        <v>6.3412499999999996</v>
      </c>
      <c r="DB277" s="45">
        <f>('[2]Renewable Diesel'!$AP286*'[2]RD Feedstock Breakdown'!DB$3*'[2]Feedstock Conversion Rates'!$B$8)/12</f>
        <v>7.421875</v>
      </c>
      <c r="DC277" s="47">
        <f t="shared" si="212"/>
        <v>13.763124999999999</v>
      </c>
      <c r="DD277" s="45">
        <f>('[2]Renewable Diesel'!AQ286*$DD$3*'[2]Feedstock Conversion Rates'!$B$14)/12</f>
        <v>3.1041666666666665</v>
      </c>
      <c r="DE277" s="47">
        <f t="shared" si="213"/>
        <v>3.1041666666666665</v>
      </c>
      <c r="DF277" s="45">
        <f>('[2]Renewable Diesel'!AR286*'[2]Feedstock Conversion Rates'!$B$4*$DF$3)/12</f>
        <v>75</v>
      </c>
      <c r="DG277" s="47">
        <f t="shared" si="189"/>
        <v>75</v>
      </c>
      <c r="DH277" s="45">
        <f>('[2]Renewable Diesel'!AS286*'[2]Feedstock Conversion Rates'!$B$4*$DH$3)/12</f>
        <v>75</v>
      </c>
      <c r="DI277" s="47">
        <f t="shared" si="194"/>
        <v>75</v>
      </c>
      <c r="DJ277" s="45">
        <f>('[2]Renewable Diesel'!AT286*'[2]Feedstock Conversion Rates'!$B$4*0.25)/12</f>
        <v>8.59375</v>
      </c>
      <c r="DK277" s="45">
        <f>('[2]Renewable Diesel'!$AT286*'[2]RD Feedstock Breakdown'!DK$3*'[2]Feedstock Conversion Rates'!$B$3)/12*0.5</f>
        <v>9.1781249999999996</v>
      </c>
      <c r="DL277" s="45">
        <f>('[2]Renewable Diesel'!$AT286*'[2]RD Feedstock Breakdown'!$DL$3*'[2]Feedstock Conversion Rates'!$B$6)/12</f>
        <v>10.747916666666669</v>
      </c>
      <c r="DM277" s="45">
        <f>('[2]Renewable Diesel'!$AT286*'[2]RD Feedstock Breakdown'!$DM$3*'[2]Feedstock Conversion Rates'!$B$8)/12</f>
        <v>10.7421875</v>
      </c>
      <c r="DN277" s="47">
        <f t="shared" si="169"/>
        <v>39.26197916666667</v>
      </c>
      <c r="DP277" s="45">
        <f t="shared" si="216"/>
        <v>138.72025000000002</v>
      </c>
      <c r="DQ277" s="45">
        <f t="shared" si="217"/>
        <v>792.61776750000001</v>
      </c>
      <c r="DR277" s="45">
        <f t="shared" si="224"/>
        <v>1691.953125</v>
      </c>
      <c r="DS277" s="45">
        <f t="shared" si="235"/>
        <v>48.401250000000005</v>
      </c>
      <c r="DT277" s="45">
        <f t="shared" si="218"/>
        <v>249.53923333333344</v>
      </c>
      <c r="DU277" s="45">
        <f t="shared" si="219"/>
        <v>326.40610000000004</v>
      </c>
      <c r="DV277" s="45">
        <f t="shared" si="225"/>
        <v>5.25</v>
      </c>
      <c r="DW277" s="45">
        <f t="shared" si="220"/>
        <v>3</v>
      </c>
      <c r="DX277" s="47">
        <f t="shared" si="226"/>
        <v>3255.8877258333337</v>
      </c>
      <c r="DY277" s="50">
        <f t="shared" si="208"/>
        <v>-135.00000000000048</v>
      </c>
      <c r="EA277" s="51">
        <f t="shared" si="204"/>
        <v>4.2605968534893207E-2</v>
      </c>
      <c r="EB277" s="51">
        <f t="shared" si="204"/>
        <v>0.24344136967964156</v>
      </c>
      <c r="EC277" s="51">
        <f t="shared" si="204"/>
        <v>0.5196595421812189</v>
      </c>
      <c r="ED277" s="51">
        <f t="shared" si="204"/>
        <v>1.4865761376219404E-2</v>
      </c>
      <c r="EE277" s="51">
        <f t="shared" si="204"/>
        <v>7.6642456480732826E-2</v>
      </c>
      <c r="EF277" s="51">
        <f t="shared" si="204"/>
        <v>0.10025103058996221</v>
      </c>
      <c r="EG277" s="51">
        <f t="shared" si="204"/>
        <v>1.6124634637566563E-3</v>
      </c>
      <c r="EH277" s="52">
        <f t="shared" si="227"/>
        <v>9.2140769357523225E-4</v>
      </c>
      <c r="EI277" s="51">
        <f t="shared" si="191"/>
        <v>0.99907859230642482</v>
      </c>
      <c r="EK277" s="53">
        <f>(EA277*'[2]Renewable Diesel'!BF286*'[2]Feedstock Conversion Rates'!B$2)+FB277</f>
        <v>317.94397855434931</v>
      </c>
      <c r="EL277" s="53">
        <f>(EB277*'[2]Renewable Diesel'!BF286*'[2]Feedstock Conversion Rates'!B$3)+FC277</f>
        <v>1711.9384069222244</v>
      </c>
      <c r="EM277" s="53">
        <f>(EC277*'[2]Renewable Diesel'!BF286*'[2]Feedstock Conversion Rates'!B$4)+FD277</f>
        <v>3421.6958745259167</v>
      </c>
      <c r="EN277" s="53">
        <f>(ED277*'[2]Renewable Diesel'!BF286*'[2]Feedstock Conversion Rates'!B$5)+FE277</f>
        <v>98.536094587851053</v>
      </c>
      <c r="EO277" s="53">
        <f>(EE277*'[2]Renewable Diesel'!BF286*'[2]Feedstock Conversion Rates'!B$6)+FF277</f>
        <v>631.15131402538316</v>
      </c>
      <c r="EP277" s="53">
        <f>(EF277*'[2]Renewable Diesel'!BF286*'[2]Feedstock Conversion Rates'!B$7)+FG277</f>
        <v>809.72567395201816</v>
      </c>
      <c r="EQ277" s="53">
        <f>(EG277*'[2]Renewable Diesel'!BF286*'[2]Feedstock Conversion Rates'!B$8)+FH277</f>
        <v>13.271572861438655</v>
      </c>
      <c r="ER277" s="53">
        <f>(EH277*'[2]Renewable Diesel'!BF286*'[2]Feedstock Conversion Rates'!B$9)+FI277</f>
        <v>7.4826391752111281</v>
      </c>
      <c r="ES277" s="53">
        <f t="shared" si="228"/>
        <v>7011.7455546043921</v>
      </c>
      <c r="ET277" s="36">
        <f>ES277/'[2]Renewable Diesel'!BF286</f>
        <v>7.9866547577853346</v>
      </c>
    </row>
    <row r="278" spans="1:150" x14ac:dyDescent="0.25">
      <c r="A278" s="39">
        <v>48884</v>
      </c>
      <c r="B278" s="45">
        <f t="shared" ref="B278:B288" si="239">115.75+145+100+235+31.5-21-287-20-28-32-70-39-47+40+20-3-10+65-105+5-15-75-1+20+33+40+14-5-40+26+55-55.5-91</f>
        <v>0.75</v>
      </c>
      <c r="C278" s="45">
        <f t="shared" ref="C278:C288" si="240">50-1-49+16+51-29-13-15</f>
        <v>10</v>
      </c>
      <c r="D278" s="45">
        <f t="shared" ref="D278:D288" si="241">1+1</f>
        <v>2</v>
      </c>
      <c r="E278" s="45">
        <f>('[2]Renewable Diesel'!B287*E$3*'[2]Feedstock Conversion Rates'!$B$2)/12+26+13-100+27.5+39+105-40-14-26+55.5-51+29</f>
        <v>153.93</v>
      </c>
      <c r="F278" s="45">
        <f>('[2]Renewable Diesel'!B287*'[2]RD Feedstock Breakdown'!F$3*'[2]Feedstock Conversion Rates'!B$8)/12+77+23-10-12-115.75+24+8-33+5-16</f>
        <v>4.15625</v>
      </c>
      <c r="G278" s="45">
        <f>('[2]Renewable Diesel'!B287*'[2]RD Feedstock Breakdown'!G$3*'[2]Feedstock Conversion Rates'!B$7)/12+116.75-39-57.5-145-31.5+32+70-40+10-70-20+40+13</f>
        <v>54.907000000000039</v>
      </c>
      <c r="H278" s="45">
        <f>('[2]Renewable Diesel'!B287*'[2]RD Feedstock Breakdown'!H$3*'[2]Feedstock Conversion Rates'!B$3)/12+67+10+12+3-235+20+47-20+15+75-55+140+15</f>
        <v>270.40022499999998</v>
      </c>
      <c r="I278" s="47">
        <f t="shared" si="160"/>
        <v>496.14347500000002</v>
      </c>
      <c r="J278" s="45">
        <f t="shared" ref="J278:J288" si="242">54-15-35+7+35+20+34-7.5+35+37.5-145-20+15+40-32-5</f>
        <v>18</v>
      </c>
      <c r="K278" s="45"/>
      <c r="L278" s="45">
        <v>1</v>
      </c>
      <c r="M278" s="45">
        <f>('[2]Renewable Diesel'!C287*'[2]RD Feedstock Breakdown'!M$3*'[2]Feedstock Conversion Rates'!B$2)/12-55+32</f>
        <v>-15.20975</v>
      </c>
      <c r="N278" s="45">
        <f>('[2]Renewable Diesel'!C287*'[2]RD Feedstock Breakdown'!N$3*'[2]Feedstock Conversion Rates'!B$8)/12-7-20+7.5-15</f>
        <v>-30.828125</v>
      </c>
      <c r="O278" s="45">
        <f>('[2]Renewable Diesel'!C287*'[2]RD Feedstock Breakdown'!O$3*'[2]Feedstock Conversion Rates'!B$7)/12-35-35+145-40</f>
        <v>46.999099999999999</v>
      </c>
      <c r="P278" s="45">
        <f>('[2]Renewable Diesel'!C287*'[2]RD Feedstock Breakdown'!P$3*'[2]Feedstock Conversion Rates'!B$3)/12+15+35-34-37.5+20+5</f>
        <v>13.947042500000002</v>
      </c>
      <c r="Q278" s="47">
        <f t="shared" si="172"/>
        <v>33.908267500000001</v>
      </c>
      <c r="R278" s="45">
        <f>('[2]Renewable Diesel'!D287*'[2]RD Feedstock Breakdown'!R$3*'[2]Feedstock Conversion Rates'!B$7)/12</f>
        <v>2.2999999999999998</v>
      </c>
      <c r="S278" s="47">
        <f t="shared" si="203"/>
        <v>2.2999999999999998</v>
      </c>
      <c r="T278" s="45">
        <f>5.825+20-25+35-5-30</f>
        <v>0.82500000000000284</v>
      </c>
      <c r="U278" s="45">
        <v>30</v>
      </c>
      <c r="V278" s="45">
        <f>('[2]Renewable Diesel'!E287*'[2]RD Feedstock Breakdown'!V$3*'[2]Feedstock Conversion Rates'!B$6)/12-20+25-35</f>
        <v>14.250150000000012</v>
      </c>
      <c r="W278" s="45">
        <f>('[2]Renewable Diesel'!E287*'[2]RD Feedstock Breakdown'!W$3*'[2]Feedstock Conversion Rates'!B$8)/12-6+5</f>
        <v>21.1796875</v>
      </c>
      <c r="X278" s="47">
        <f t="shared" si="229"/>
        <v>66.254837500000008</v>
      </c>
      <c r="Y278" s="45">
        <f t="shared" ref="Y278:Y288" si="243">142-15-5-24+5-70+10+25+1+41+10-14-4</f>
        <v>102</v>
      </c>
      <c r="Z278" s="45">
        <f>('[2]Renewable Diesel'!F287*'[2]RD Feedstock Breakdown'!Z$3*'[2]Feedstock Conversion Rates'!B$6)/12-142+15+5-5+70-41-10+14+4</f>
        <v>69.460000000000008</v>
      </c>
      <c r="AA278" s="45">
        <f>('[2]Renewable Diesel'!F287*'[2]RD Feedstock Breakdown'!AA$3*'[2]Feedstock Conversion Rates'!B$7)/12+24-10-25-1</f>
        <v>92.266666666666652</v>
      </c>
      <c r="AB278" s="47">
        <f t="shared" si="190"/>
        <v>263.72666666666669</v>
      </c>
      <c r="AC278" s="45">
        <f>('[2]Renewable Diesel'!G287*'[2]RD Feedstock Breakdown'!AC$3*'[2]Feedstock Conversion Rates'!B$5)/12</f>
        <v>11.796875</v>
      </c>
      <c r="AD278" s="45">
        <f>('[2]Renewable Diesel'!G287*'[2]RD Feedstock Breakdown'!AD$3*'[2]Feedstock Conversion Rates'!B$4)/12</f>
        <v>5.859375</v>
      </c>
      <c r="AE278" s="45">
        <f>('[2]Renewable Diesel'!G287*'[2]RD Feedstock Breakdown'!AE$3*'[2]Feedstock Conversion Rates'!B$6)/12</f>
        <v>7.3281250000000009</v>
      </c>
      <c r="AF278" s="47">
        <f t="shared" si="236"/>
        <v>24.984375</v>
      </c>
      <c r="AG278" s="45">
        <f t="shared" si="182"/>
        <v>6.5</v>
      </c>
      <c r="AH278" s="45">
        <v>135</v>
      </c>
      <c r="AI278" s="45">
        <f>('[2]Renewable Diesel'!H287*'[2]RD Feedstock Breakdown'!AI$3*'[2]Feedstock Conversion Rates'!B$6)/12-130-20+51-52.5+10</f>
        <v>7.0166666666666799</v>
      </c>
      <c r="AJ278" s="47">
        <f t="shared" si="202"/>
        <v>13.51666666666668</v>
      </c>
      <c r="AK278" s="45">
        <f>('[2]Renewable Diesel'!J287*'[2]RD Feedstock Breakdown'!AK$3*'[2]Feedstock Conversion Rates'!B$4)/12</f>
        <v>95.8125</v>
      </c>
      <c r="AL278" s="47">
        <f t="shared" si="205"/>
        <v>95.8125</v>
      </c>
      <c r="AM278" s="45">
        <f>('[2]Renewable Diesel'!K287*'[2]RD Feedstock Breakdown'!AM$3*'[2]Feedstock Conversion Rates'!B$4)/12+5+15-10-5+10-35</f>
        <v>38.59375</v>
      </c>
      <c r="AN278" s="45">
        <f>('[2]Renewable Diesel'!K287*'[2]RD Feedstock Breakdown'!AN$3*'[2]Feedstock Conversion Rates'!B$6)/12-5-15+10+5-10+35</f>
        <v>44.427083333333329</v>
      </c>
      <c r="AO278" s="47">
        <f t="shared" si="223"/>
        <v>83.020833333333329</v>
      </c>
      <c r="AP278" s="45">
        <f>('[2]Renewable Diesel'!L287*'[2]RD Feedstock Breakdown'!AP$3*'[2]Feedstock Conversion Rates'!B$4)/12+15-10-10+22</f>
        <v>75.59375</v>
      </c>
      <c r="AQ278" s="45">
        <f>('[2]Renewable Diesel'!L287*'[2]RD Feedstock Breakdown'!AQ$3*'[2]Feedstock Conversion Rates'!B$6)/12-15+10+10-22</f>
        <v>7.4270833333333321</v>
      </c>
      <c r="AR278" s="47">
        <f t="shared" si="207"/>
        <v>83.020833333333329</v>
      </c>
      <c r="AS278" s="45">
        <f>('[2]Renewable Diesel'!M287*'[2]RD Feedstock Breakdown'!AS$3*'[2]Feedstock Conversion Rates'!B$4)/12</f>
        <v>456.25</v>
      </c>
      <c r="AT278" s="45">
        <f>('[2]Renewable Diesel'!M287*'[2]RD Feedstock Breakdown'!AT$3*'[2]Feedstock Conversion Rates'!B$5)/12</f>
        <v>0</v>
      </c>
      <c r="AU278" s="47">
        <f t="shared" ref="AU278:AU341" si="244">SUM(AS278:AT278)</f>
        <v>456.25</v>
      </c>
      <c r="AV278" s="45">
        <f>'[2]Renewable Diesel'!N287*'[2]RD Feedstock Breakdown'!$AV$3*'[2]Feedstock Conversion Rates'!$B$4/12-15-10+25+25-22+25-77.5+56</f>
        <v>85.249999999999986</v>
      </c>
      <c r="AW278" s="45">
        <f>'[2]Renewable Diesel'!N287*'[2]RD Feedstock Breakdown'!$AW$3*'[2]Feedstock Conversion Rates'!$B$7/12+15+10-25-25+22-25+77.5-56</f>
        <v>34.900000000000006</v>
      </c>
      <c r="AX278" s="47">
        <f t="shared" si="193"/>
        <v>120.14999999999999</v>
      </c>
      <c r="AY278" s="45">
        <f>('[2]Renewable Diesel'!O287*'[2]RD Feedstock Breakdown'!AY$3*'[2]Feedstock Conversion Rates'!B$4)/12-95-250</f>
        <v>-134.0625</v>
      </c>
      <c r="AZ278" s="45">
        <f>('[2]Renewable Diesel'!O287*'[2]RD Feedstock Breakdown'!AZ$3*'[2]Feedstock Conversion Rates'!B$3)/12+95+250</f>
        <v>370.03125</v>
      </c>
      <c r="BA278" s="47">
        <f t="shared" si="173"/>
        <v>235.96875</v>
      </c>
      <c r="BB278" s="45">
        <f>('[2]Renewable Diesel'!Q287*'[2]RD Feedstock Breakdown'!BB$3*'[2]Feedstock Conversion Rates'!B$4)/12</f>
        <v>11.156249999999998</v>
      </c>
      <c r="BC278" s="45">
        <f>('[2]Renewable Diesel'!Q287*'[2]RD Feedstock Breakdown'!BC$3*'[2]Feedstock Conversion Rates'!B$3)/12</f>
        <v>1.4017500000000001</v>
      </c>
      <c r="BD278" s="45">
        <f>('[2]Renewable Diesel'!Q287*'[2]RD Feedstock Breakdown'!BD$3*'[2]Feedstock Conversion Rates'!B$6)/12</f>
        <v>0.8207500000000002</v>
      </c>
      <c r="BE278" s="47">
        <f t="shared" si="231"/>
        <v>13.378749999999998</v>
      </c>
      <c r="BF278" s="45">
        <f>('[2]Renewable Diesel'!R287*'[2]RD Feedstock Breakdown'!BF$3*'[2]Feedstock Conversion Rates'!B$4)/12</f>
        <v>62.5</v>
      </c>
      <c r="BG278" s="47">
        <f t="shared" si="215"/>
        <v>62.5</v>
      </c>
      <c r="BH278" s="45">
        <f>('[2]Renewable Diesel'!T287*'[2]RD Feedstock Breakdown'!BH$3*'[2]Feedstock Conversion Rates'!B$7)/12</f>
        <v>27.599999999999998</v>
      </c>
      <c r="BI278" s="47">
        <f t="shared" si="195"/>
        <v>27.599999999999998</v>
      </c>
      <c r="BJ278" s="45">
        <f>('[2]Renewable Diesel'!W287*'[2]RD Feedstock Breakdown'!BJ$3*'[2]Feedstock Conversion Rates'!B$4)/12</f>
        <v>7.5</v>
      </c>
      <c r="BK278" s="45">
        <f>('[2]Renewable Diesel'!W287*'[2]RD Feedstock Breakdown'!BK$3*'[2]Feedstock Conversion Rates'!B$3)/12</f>
        <v>1.335</v>
      </c>
      <c r="BL278" s="45">
        <f>('[2]Renewable Diesel'!W287*'[2]RD Feedstock Breakdown'!BL$3*'[2]Feedstock Conversion Rates'!B$6)/12</f>
        <v>3.1266666666666669</v>
      </c>
      <c r="BM278" s="45">
        <f>('[2]Renewable Diesel'!W287*'[2]RD Feedstock Breakdown'!BM$3*'[2]Feedstock Conversion Rates'!B$7)/12</f>
        <v>1.5333333333333332</v>
      </c>
      <c r="BN278" s="47">
        <f t="shared" si="168"/>
        <v>13.495000000000001</v>
      </c>
      <c r="BO278" s="45">
        <f>('[2]Renewable Diesel'!P287*'[2]Feedstock Conversion Rates'!B$4)/12</f>
        <v>31.25</v>
      </c>
      <c r="BP278" s="47">
        <f t="shared" si="237"/>
        <v>31.25</v>
      </c>
      <c r="BQ278" s="45">
        <f>('[2]Renewable Diesel'!$S287*'[2]RD Feedstock Breakdown'!BQ$3*'[2]Feedstock Conversion Rates'!B$4)/12+10+15-15</f>
        <v>38.125</v>
      </c>
      <c r="BR278" s="45">
        <f>('[2]Renewable Diesel'!$S287*'[2]RD Feedstock Breakdown'!BR$3*'[2]Feedstock Conversion Rates'!B$7)/12-10-15+15</f>
        <v>1.5</v>
      </c>
      <c r="BS278" s="47">
        <f t="shared" si="174"/>
        <v>39.625</v>
      </c>
      <c r="BT278" s="47"/>
      <c r="BU278" s="45">
        <f>('[2]Renewable Diesel'!Y287*'[2]Feedstock Conversion Rates'!B$7)/12</f>
        <v>2.6833333333333331</v>
      </c>
      <c r="BV278" s="47">
        <f t="shared" si="233"/>
        <v>2.6833333333333331</v>
      </c>
      <c r="BW278" s="45">
        <f>('[2]Renewable Diesel'!$Z287*'[2]RD Feedstock Breakdown'!BW$3*'[2]Feedstock Conversion Rates'!$B$4)/12</f>
        <v>71.875</v>
      </c>
      <c r="BX278" s="45">
        <f>('[2]Renewable Diesel'!$Z287*'[2]RD Feedstock Breakdown'!BX$3*'[2]Feedstock Conversion Rates'!$B$5)/12</f>
        <v>7.2354166666666666</v>
      </c>
      <c r="BY278" s="45">
        <f>('[2]Renewable Diesel'!$Z287*'[2]RD Feedstock Breakdown'!BY$3*'[2]Feedstock Conversion Rates'!$B$7)/12</f>
        <v>61.716666666666661</v>
      </c>
      <c r="BZ278" s="45">
        <f>('[2]Renewable Diesel'!$Z287*'[2]RD Feedstock Breakdown'!BZ$3*'[2]Feedstock Conversion Rates'!$B$3)/12</f>
        <v>15.352499999999999</v>
      </c>
      <c r="CA278" s="47">
        <f t="shared" si="181"/>
        <v>156.17958333333331</v>
      </c>
      <c r="CB278" s="45">
        <f>('[2]Renewable Diesel'!AA287*'[2]Feedstock Conversion Rates'!B$4)/12</f>
        <v>191.25</v>
      </c>
      <c r="CC278" s="47">
        <f t="shared" si="171"/>
        <v>191.25</v>
      </c>
      <c r="CD278" s="45">
        <f>('[2]Renewable Diesel'!$AB287*'[2]RD Feedstock Breakdown'!CD$3*'[2]Feedstock Conversion Rates'!$B$6)/12-15-5</f>
        <v>12.830000000000005</v>
      </c>
      <c r="CE278" s="45">
        <f>('[2]Renewable Diesel'!$AB287*'[2]RD Feedstock Breakdown'!CE$3*'[2]Feedstock Conversion Rates'!$B$4)/12+15+5</f>
        <v>31.25</v>
      </c>
      <c r="CF278" s="47">
        <f t="shared" si="161"/>
        <v>44.080000000000005</v>
      </c>
      <c r="CG278" s="45">
        <f>('[2]Renewable Diesel'!AD287*'[2]Feedstock Conversion Rates'!B$4)/12</f>
        <v>112.5</v>
      </c>
      <c r="CH278" s="47">
        <f t="shared" si="230"/>
        <v>112.5</v>
      </c>
      <c r="CI278" s="45">
        <f>('[2]Renewable Diesel'!$AE287*'[2]RD Feedstock Breakdown'!CI$3*'[2]Feedstock Conversion Rates'!$B$5)/12</f>
        <v>0.34604166666666664</v>
      </c>
      <c r="CJ278" s="45">
        <f>('[2]Renewable Diesel'!$AE287*'[2]RD Feedstock Breakdown'!CJ$3*'[2]Feedstock Conversion Rates'!$B$4)/12</f>
        <v>0.34375</v>
      </c>
      <c r="CK278" s="47">
        <f t="shared" si="238"/>
        <v>0.68979166666666658</v>
      </c>
      <c r="CL278" s="45">
        <f>(((CL$3*'[2]Renewable Diesel'!$AF287)*'[2]Feedstock Conversion Rates'!$B$3)/12)</f>
        <v>91.78125</v>
      </c>
      <c r="CM278" s="45">
        <f>(((CM$3*'[2]Renewable Diesel'!$AF287)*'[2]Feedstock Conversion Rates'!$B$6)/12)</f>
        <v>53.739583333333336</v>
      </c>
      <c r="CN278" s="45">
        <f>(((CN$3*'[2]Renewable Diesel'!$AF287)*'[2]Feedstock Conversion Rates'!$B$4)/12)</f>
        <v>42.96875</v>
      </c>
      <c r="CO278" s="47">
        <f t="shared" si="232"/>
        <v>188.48958333333334</v>
      </c>
      <c r="CP278" s="45">
        <f>('[2]Renewable Diesel'!$AG287*'[2]RD Feedstock Breakdown'!CP$3*'[2]Feedstock Conversion Rates'!$B$3)/12+4-4</f>
        <v>6.0075000000000003</v>
      </c>
      <c r="CQ278" s="45">
        <f>('[2]Renewable Diesel'!$AG287*'[2]RD Feedstock Breakdown'!CQ$3*'[2]Feedstock Conversion Rates'!$B$6)/12</f>
        <v>3.5175000000000001</v>
      </c>
      <c r="CR278" s="45">
        <f>('[2]Renewable Diesel'!$AG287*'[2]RD Feedstock Breakdown'!CR$3*'[2]Feedstock Conversion Rates'!$B$4)/12-4+4</f>
        <v>2.8125</v>
      </c>
      <c r="CS278" s="47">
        <f t="shared" si="183"/>
        <v>12.3375</v>
      </c>
      <c r="CT278" s="45">
        <f>('[2]Renewable Diesel'!AI287*'[2]Feedstock Conversion Rates'!$B$4*'[2]RD Feedstock Breakdown'!$CT$3)/12</f>
        <v>29.375</v>
      </c>
      <c r="CU278" s="47">
        <f t="shared" si="234"/>
        <v>29.375</v>
      </c>
      <c r="CV278" s="45">
        <f>('[2]Renewable Diesel'!AN287*'[2]Feedstock Conversion Rates'!$B$3*'[2]RD Feedstock Breakdown'!$CV$3)/12</f>
        <v>0.50062499999999999</v>
      </c>
      <c r="CW278" s="47">
        <f t="shared" si="206"/>
        <v>0.50062499999999999</v>
      </c>
      <c r="CX278" s="45">
        <f>('[2]Renewable Diesel'!AO287*'[2]RD Feedstock Breakdown'!$CX$3*'[2]Feedstock Conversion Rates'!$B$3)/12</f>
        <v>6.3412499999999996</v>
      </c>
      <c r="CY278" s="45">
        <f>('[2]Renewable Diesel'!AO287*'[2]RD Feedstock Breakdown'!$CY$3*'[2]Feedstock Conversion Rates'!$B$6)/12</f>
        <v>7.4258333333333342</v>
      </c>
      <c r="CZ278" s="47">
        <f t="shared" si="188"/>
        <v>13.767083333333334</v>
      </c>
      <c r="DA278" s="45">
        <f>('[2]Renewable Diesel'!$AP287*'[2]RD Feedstock Breakdown'!DA$3*'[2]Feedstock Conversion Rates'!$B$3)/12</f>
        <v>6.3412499999999996</v>
      </c>
      <c r="DB278" s="45">
        <f>('[2]Renewable Diesel'!$AP287*'[2]RD Feedstock Breakdown'!DB$3*'[2]Feedstock Conversion Rates'!$B$8)/12</f>
        <v>7.421875</v>
      </c>
      <c r="DC278" s="47">
        <f t="shared" si="212"/>
        <v>13.763124999999999</v>
      </c>
      <c r="DD278" s="45">
        <f>('[2]Renewable Diesel'!AQ287*$DD$3*'[2]Feedstock Conversion Rates'!$B$14)/12</f>
        <v>3.1041666666666665</v>
      </c>
      <c r="DE278" s="47">
        <f t="shared" si="213"/>
        <v>3.1041666666666665</v>
      </c>
      <c r="DF278" s="45">
        <f>('[2]Renewable Diesel'!AR287*'[2]Feedstock Conversion Rates'!$B$4*$DF$3)/12</f>
        <v>75</v>
      </c>
      <c r="DG278" s="47">
        <f t="shared" si="189"/>
        <v>75</v>
      </c>
      <c r="DH278" s="45">
        <f>('[2]Renewable Diesel'!AS287*'[2]Feedstock Conversion Rates'!$B$4*$DH$3)/12</f>
        <v>75</v>
      </c>
      <c r="DI278" s="47">
        <f t="shared" si="194"/>
        <v>75</v>
      </c>
      <c r="DJ278" s="45">
        <f>('[2]Renewable Diesel'!AT287*'[2]Feedstock Conversion Rates'!$B$4*0.25)/12</f>
        <v>8.59375</v>
      </c>
      <c r="DK278" s="45">
        <f>('[2]Renewable Diesel'!$AT287*'[2]RD Feedstock Breakdown'!DK$3*'[2]Feedstock Conversion Rates'!$B$3)/12*0.5</f>
        <v>9.1781249999999996</v>
      </c>
      <c r="DL278" s="45">
        <f>('[2]Renewable Diesel'!$AT287*'[2]RD Feedstock Breakdown'!$DL$3*'[2]Feedstock Conversion Rates'!$B$6)/12</f>
        <v>10.747916666666669</v>
      </c>
      <c r="DM278" s="45">
        <f>('[2]Renewable Diesel'!$AT287*'[2]RD Feedstock Breakdown'!$DM$3*'[2]Feedstock Conversion Rates'!$B$8)/12</f>
        <v>10.7421875</v>
      </c>
      <c r="DN278" s="47">
        <f t="shared" si="169"/>
        <v>39.26197916666667</v>
      </c>
      <c r="DP278" s="45">
        <f t="shared" si="216"/>
        <v>138.72025000000002</v>
      </c>
      <c r="DQ278" s="45">
        <f t="shared" si="217"/>
        <v>792.61776750000001</v>
      </c>
      <c r="DR278" s="45">
        <f t="shared" si="224"/>
        <v>1691.953125</v>
      </c>
      <c r="DS278" s="45">
        <f t="shared" si="235"/>
        <v>48.401250000000005</v>
      </c>
      <c r="DT278" s="45">
        <f t="shared" si="218"/>
        <v>249.53923333333344</v>
      </c>
      <c r="DU278" s="45">
        <f t="shared" si="219"/>
        <v>326.40610000000004</v>
      </c>
      <c r="DV278" s="45">
        <f t="shared" si="225"/>
        <v>5.25</v>
      </c>
      <c r="DW278" s="45">
        <f t="shared" si="220"/>
        <v>3</v>
      </c>
      <c r="DX278" s="47">
        <f t="shared" si="226"/>
        <v>3255.8877258333337</v>
      </c>
      <c r="DY278" s="50">
        <f t="shared" si="208"/>
        <v>-135.00000000000048</v>
      </c>
      <c r="EA278" s="51">
        <f t="shared" si="204"/>
        <v>4.2605968534893207E-2</v>
      </c>
      <c r="EB278" s="51">
        <f t="shared" si="204"/>
        <v>0.24344136967964156</v>
      </c>
      <c r="EC278" s="51">
        <f t="shared" si="204"/>
        <v>0.5196595421812189</v>
      </c>
      <c r="ED278" s="51">
        <f t="shared" si="204"/>
        <v>1.4865761376219404E-2</v>
      </c>
      <c r="EE278" s="51">
        <f t="shared" si="204"/>
        <v>7.6642456480732826E-2</v>
      </c>
      <c r="EF278" s="51">
        <f t="shared" si="204"/>
        <v>0.10025103058996221</v>
      </c>
      <c r="EG278" s="51">
        <f t="shared" si="204"/>
        <v>1.6124634637566563E-3</v>
      </c>
      <c r="EH278" s="52">
        <f t="shared" si="227"/>
        <v>9.2140769357523225E-4</v>
      </c>
      <c r="EI278" s="51">
        <f t="shared" si="191"/>
        <v>0.99907859230642482</v>
      </c>
      <c r="EK278" s="53">
        <f>(EA278*'[2]Renewable Diesel'!BF287*'[2]Feedstock Conversion Rates'!B$2)+FB278</f>
        <v>319.62486061137929</v>
      </c>
      <c r="EL278" s="53">
        <f>(EB278*'[2]Renewable Diesel'!BF287*'[2]Feedstock Conversion Rates'!B$3)+FC278</f>
        <v>1720.9889527574369</v>
      </c>
      <c r="EM278" s="53">
        <f>(EC278*'[2]Renewable Diesel'!BF287*'[2]Feedstock Conversion Rates'!B$4)+FD278</f>
        <v>3439.7854361721388</v>
      </c>
      <c r="EN278" s="53">
        <f>(ED278*'[2]Renewable Diesel'!BF287*'[2]Feedstock Conversion Rates'!B$5)+FE278</f>
        <v>99.057027722410211</v>
      </c>
      <c r="EO278" s="53">
        <f>(EE278*'[2]Renewable Diesel'!BF287*'[2]Feedstock Conversion Rates'!B$6)+FF278</f>
        <v>634.48803681485026</v>
      </c>
      <c r="EP278" s="53">
        <f>(EF278*'[2]Renewable Diesel'!BF287*'[2]Feedstock Conversion Rates'!B$7)+FG278</f>
        <v>814.0064700930584</v>
      </c>
      <c r="EQ278" s="53">
        <f>(EG278*'[2]Renewable Diesel'!BF287*'[2]Feedstock Conversion Rates'!B$8)+FH278</f>
        <v>13.341736003992226</v>
      </c>
      <c r="ER278" s="53">
        <f>(EH278*'[2]Renewable Diesel'!BF287*'[2]Feedstock Conversion Rates'!B$9)+FI278</f>
        <v>7.5221978232032365</v>
      </c>
      <c r="ES278" s="53">
        <f t="shared" si="228"/>
        <v>7048.8147179984699</v>
      </c>
      <c r="ET278" s="36">
        <f>ES278/'[2]Renewable Diesel'!BF287</f>
        <v>7.9866547577853355</v>
      </c>
    </row>
    <row r="279" spans="1:150" x14ac:dyDescent="0.25">
      <c r="A279" s="39">
        <v>48914</v>
      </c>
      <c r="B279" s="45">
        <f t="shared" si="239"/>
        <v>0.75</v>
      </c>
      <c r="C279" s="45">
        <f t="shared" si="240"/>
        <v>10</v>
      </c>
      <c r="D279" s="45">
        <f t="shared" si="241"/>
        <v>2</v>
      </c>
      <c r="E279" s="45">
        <f>('[2]Renewable Diesel'!B288*E$3*'[2]Feedstock Conversion Rates'!$B$2)/12+26+13-100+27.5+39+105-40-14-26+55.5-51+29</f>
        <v>153.93</v>
      </c>
      <c r="F279" s="45">
        <f>('[2]Renewable Diesel'!B288*'[2]RD Feedstock Breakdown'!F$3*'[2]Feedstock Conversion Rates'!B$8)/12+77+23-10-12-115.75+24+8-33+5-16</f>
        <v>4.15625</v>
      </c>
      <c r="G279" s="45">
        <f>('[2]Renewable Diesel'!B288*'[2]RD Feedstock Breakdown'!G$3*'[2]Feedstock Conversion Rates'!B$7)/12+116.75-39-57.5-145-31.5+32+70-40+10-70-20+40+13</f>
        <v>54.907000000000039</v>
      </c>
      <c r="H279" s="45">
        <f>('[2]Renewable Diesel'!B288*'[2]RD Feedstock Breakdown'!H$3*'[2]Feedstock Conversion Rates'!B$3)/12+67+10+12+3-235+20+47-20+15+75-55+140+15</f>
        <v>270.40022499999998</v>
      </c>
      <c r="I279" s="47">
        <f t="shared" ref="I279:I342" si="245">SUM(B279:H279)</f>
        <v>496.14347500000002</v>
      </c>
      <c r="J279" s="45">
        <f t="shared" si="242"/>
        <v>18</v>
      </c>
      <c r="K279" s="45"/>
      <c r="L279" s="45">
        <v>1</v>
      </c>
      <c r="M279" s="45">
        <f>('[2]Renewable Diesel'!C288*'[2]RD Feedstock Breakdown'!M$3*'[2]Feedstock Conversion Rates'!B$2)/12-55+32</f>
        <v>-15.20975</v>
      </c>
      <c r="N279" s="45">
        <f>('[2]Renewable Diesel'!C288*'[2]RD Feedstock Breakdown'!N$3*'[2]Feedstock Conversion Rates'!B$8)/12-7-20+7.5-15</f>
        <v>-30.828125</v>
      </c>
      <c r="O279" s="45">
        <f>('[2]Renewable Diesel'!C288*'[2]RD Feedstock Breakdown'!O$3*'[2]Feedstock Conversion Rates'!B$7)/12-35-35+145-40</f>
        <v>46.999099999999999</v>
      </c>
      <c r="P279" s="45">
        <f>('[2]Renewable Diesel'!C288*'[2]RD Feedstock Breakdown'!P$3*'[2]Feedstock Conversion Rates'!B$3)/12+15+35-34-37.5+20+5</f>
        <v>13.947042500000002</v>
      </c>
      <c r="Q279" s="47">
        <f t="shared" si="172"/>
        <v>33.908267500000001</v>
      </c>
      <c r="R279" s="45">
        <f>('[2]Renewable Diesel'!D288*'[2]RD Feedstock Breakdown'!R$3*'[2]Feedstock Conversion Rates'!B$7)/12</f>
        <v>2.2999999999999998</v>
      </c>
      <c r="S279" s="47">
        <f t="shared" si="203"/>
        <v>2.2999999999999998</v>
      </c>
      <c r="T279" s="45">
        <f t="shared" ref="T279:T288" si="246">5.825+20-25+35-5-30</f>
        <v>0.82500000000000284</v>
      </c>
      <c r="U279" s="45">
        <v>30</v>
      </c>
      <c r="V279" s="45">
        <f>('[2]Renewable Diesel'!E288*'[2]RD Feedstock Breakdown'!V$3*'[2]Feedstock Conversion Rates'!B$6)/12-20+25-35</f>
        <v>14.250150000000012</v>
      </c>
      <c r="W279" s="45">
        <f>('[2]Renewable Diesel'!E288*'[2]RD Feedstock Breakdown'!W$3*'[2]Feedstock Conversion Rates'!B$8)/12-6+5</f>
        <v>21.1796875</v>
      </c>
      <c r="X279" s="47">
        <f t="shared" si="229"/>
        <v>66.254837500000008</v>
      </c>
      <c r="Y279" s="45">
        <f t="shared" si="243"/>
        <v>102</v>
      </c>
      <c r="Z279" s="45">
        <f>('[2]Renewable Diesel'!F288*'[2]RD Feedstock Breakdown'!Z$3*'[2]Feedstock Conversion Rates'!B$6)/12-142+15+5-5+70-41-10+14+4</f>
        <v>69.460000000000008</v>
      </c>
      <c r="AA279" s="45">
        <f>('[2]Renewable Diesel'!F288*'[2]RD Feedstock Breakdown'!AA$3*'[2]Feedstock Conversion Rates'!B$7)/12+24-10-25-1</f>
        <v>92.266666666666652</v>
      </c>
      <c r="AB279" s="47">
        <f t="shared" si="190"/>
        <v>263.72666666666669</v>
      </c>
      <c r="AC279" s="45">
        <f>('[2]Renewable Diesel'!G288*'[2]RD Feedstock Breakdown'!AC$3*'[2]Feedstock Conversion Rates'!B$5)/12</f>
        <v>11.796875</v>
      </c>
      <c r="AD279" s="45">
        <f>('[2]Renewable Diesel'!G288*'[2]RD Feedstock Breakdown'!AD$3*'[2]Feedstock Conversion Rates'!B$4)/12</f>
        <v>5.859375</v>
      </c>
      <c r="AE279" s="45">
        <f>('[2]Renewable Diesel'!G288*'[2]RD Feedstock Breakdown'!AE$3*'[2]Feedstock Conversion Rates'!B$6)/12</f>
        <v>7.3281250000000009</v>
      </c>
      <c r="AF279" s="47">
        <f t="shared" si="236"/>
        <v>24.984375</v>
      </c>
      <c r="AG279" s="45">
        <f t="shared" si="182"/>
        <v>6.5</v>
      </c>
      <c r="AH279" s="45">
        <v>135</v>
      </c>
      <c r="AI279" s="45">
        <f>('[2]Renewable Diesel'!H288*'[2]RD Feedstock Breakdown'!AI$3*'[2]Feedstock Conversion Rates'!B$6)/12-130-20+51-52.5+10</f>
        <v>7.0166666666666799</v>
      </c>
      <c r="AJ279" s="47">
        <f t="shared" si="202"/>
        <v>13.51666666666668</v>
      </c>
      <c r="AK279" s="45">
        <f>('[2]Renewable Diesel'!J288*'[2]RD Feedstock Breakdown'!AK$3*'[2]Feedstock Conversion Rates'!B$4)/12</f>
        <v>95.8125</v>
      </c>
      <c r="AL279" s="47">
        <f t="shared" si="205"/>
        <v>95.8125</v>
      </c>
      <c r="AM279" s="45">
        <f>('[2]Renewable Diesel'!K288*'[2]RD Feedstock Breakdown'!AM$3*'[2]Feedstock Conversion Rates'!B$4)/12+5+15-10-5+10-35</f>
        <v>38.59375</v>
      </c>
      <c r="AN279" s="45">
        <f>('[2]Renewable Diesel'!K288*'[2]RD Feedstock Breakdown'!AN$3*'[2]Feedstock Conversion Rates'!B$6)/12-5-15+10+5-10+35</f>
        <v>44.427083333333329</v>
      </c>
      <c r="AO279" s="47">
        <f t="shared" si="223"/>
        <v>83.020833333333329</v>
      </c>
      <c r="AP279" s="45">
        <f>('[2]Renewable Diesel'!L288*'[2]RD Feedstock Breakdown'!AP$3*'[2]Feedstock Conversion Rates'!B$4)/12+15-10-10+22</f>
        <v>75.59375</v>
      </c>
      <c r="AQ279" s="45">
        <f>('[2]Renewable Diesel'!L288*'[2]RD Feedstock Breakdown'!AQ$3*'[2]Feedstock Conversion Rates'!B$6)/12-15+10+10-22</f>
        <v>7.4270833333333321</v>
      </c>
      <c r="AR279" s="47">
        <f t="shared" si="207"/>
        <v>83.020833333333329</v>
      </c>
      <c r="AS279" s="45">
        <f>('[2]Renewable Diesel'!M288*'[2]RD Feedstock Breakdown'!AS$3*'[2]Feedstock Conversion Rates'!B$4)/12</f>
        <v>456.25</v>
      </c>
      <c r="AT279" s="45">
        <f>('[2]Renewable Diesel'!M288*'[2]RD Feedstock Breakdown'!AT$3*'[2]Feedstock Conversion Rates'!B$5)/12</f>
        <v>0</v>
      </c>
      <c r="AU279" s="47">
        <f t="shared" si="244"/>
        <v>456.25</v>
      </c>
      <c r="AV279" s="45">
        <f>'[2]Renewable Diesel'!N288*'[2]RD Feedstock Breakdown'!$AV$3*'[2]Feedstock Conversion Rates'!$B$4/12-15-10+25+25-22+25-77.5+56</f>
        <v>85.249999999999986</v>
      </c>
      <c r="AW279" s="45">
        <f>'[2]Renewable Diesel'!N288*'[2]RD Feedstock Breakdown'!$AW$3*'[2]Feedstock Conversion Rates'!$B$7/12+15+10-25-25+22-25+77.5-56</f>
        <v>34.900000000000006</v>
      </c>
      <c r="AX279" s="47">
        <f t="shared" si="193"/>
        <v>120.14999999999999</v>
      </c>
      <c r="AY279" s="45">
        <f>('[2]Renewable Diesel'!O288*'[2]RD Feedstock Breakdown'!AY$3*'[2]Feedstock Conversion Rates'!B$4)/12-95-250</f>
        <v>-134.0625</v>
      </c>
      <c r="AZ279" s="45">
        <f>('[2]Renewable Diesel'!O288*'[2]RD Feedstock Breakdown'!AZ$3*'[2]Feedstock Conversion Rates'!B$3)/12+95+250</f>
        <v>370.03125</v>
      </c>
      <c r="BA279" s="47">
        <f t="shared" si="173"/>
        <v>235.96875</v>
      </c>
      <c r="BB279" s="45">
        <f>('[2]Renewable Diesel'!Q288*'[2]RD Feedstock Breakdown'!BB$3*'[2]Feedstock Conversion Rates'!B$4)/12</f>
        <v>11.156249999999998</v>
      </c>
      <c r="BC279" s="45">
        <f>('[2]Renewable Diesel'!Q288*'[2]RD Feedstock Breakdown'!BC$3*'[2]Feedstock Conversion Rates'!B$3)/12</f>
        <v>1.4017500000000001</v>
      </c>
      <c r="BD279" s="45">
        <f>('[2]Renewable Diesel'!Q288*'[2]RD Feedstock Breakdown'!BD$3*'[2]Feedstock Conversion Rates'!B$6)/12</f>
        <v>0.8207500000000002</v>
      </c>
      <c r="BE279" s="47">
        <f t="shared" si="231"/>
        <v>13.378749999999998</v>
      </c>
      <c r="BF279" s="45">
        <f>('[2]Renewable Diesel'!R288*'[2]RD Feedstock Breakdown'!BF$3*'[2]Feedstock Conversion Rates'!B$4)/12</f>
        <v>62.5</v>
      </c>
      <c r="BG279" s="47">
        <f t="shared" si="215"/>
        <v>62.5</v>
      </c>
      <c r="BH279" s="45">
        <f>('[2]Renewable Diesel'!T288*'[2]RD Feedstock Breakdown'!BH$3*'[2]Feedstock Conversion Rates'!B$7)/12</f>
        <v>27.599999999999998</v>
      </c>
      <c r="BI279" s="47">
        <f t="shared" si="195"/>
        <v>27.599999999999998</v>
      </c>
      <c r="BJ279" s="45">
        <f>('[2]Renewable Diesel'!W288*'[2]RD Feedstock Breakdown'!BJ$3*'[2]Feedstock Conversion Rates'!B$4)/12</f>
        <v>7.5</v>
      </c>
      <c r="BK279" s="45">
        <f>('[2]Renewable Diesel'!W288*'[2]RD Feedstock Breakdown'!BK$3*'[2]Feedstock Conversion Rates'!B$3)/12</f>
        <v>1.335</v>
      </c>
      <c r="BL279" s="45">
        <f>('[2]Renewable Diesel'!W288*'[2]RD Feedstock Breakdown'!BL$3*'[2]Feedstock Conversion Rates'!B$6)/12</f>
        <v>3.1266666666666669</v>
      </c>
      <c r="BM279" s="45">
        <f>('[2]Renewable Diesel'!W288*'[2]RD Feedstock Breakdown'!BM$3*'[2]Feedstock Conversion Rates'!B$7)/12</f>
        <v>1.5333333333333332</v>
      </c>
      <c r="BN279" s="47">
        <f t="shared" si="168"/>
        <v>13.495000000000001</v>
      </c>
      <c r="BO279" s="45">
        <f>('[2]Renewable Diesel'!P288*'[2]Feedstock Conversion Rates'!B$4)/12</f>
        <v>31.25</v>
      </c>
      <c r="BP279" s="47">
        <f t="shared" si="237"/>
        <v>31.25</v>
      </c>
      <c r="BQ279" s="45">
        <f>('[2]Renewable Diesel'!$S288*'[2]RD Feedstock Breakdown'!BQ$3*'[2]Feedstock Conversion Rates'!B$4)/12+10+15-15</f>
        <v>38.125</v>
      </c>
      <c r="BR279" s="45">
        <f>('[2]Renewable Diesel'!$S288*'[2]RD Feedstock Breakdown'!BR$3*'[2]Feedstock Conversion Rates'!B$7)/12-10-15+15</f>
        <v>1.5</v>
      </c>
      <c r="BS279" s="47">
        <f t="shared" si="174"/>
        <v>39.625</v>
      </c>
      <c r="BT279" s="47"/>
      <c r="BU279" s="45">
        <f>('[2]Renewable Diesel'!Y288*'[2]Feedstock Conversion Rates'!B$7)/12</f>
        <v>2.6833333333333331</v>
      </c>
      <c r="BV279" s="47">
        <f t="shared" si="233"/>
        <v>2.6833333333333331</v>
      </c>
      <c r="BW279" s="45">
        <f>('[2]Renewable Diesel'!$Z288*'[2]RD Feedstock Breakdown'!BW$3*'[2]Feedstock Conversion Rates'!$B$4)/12</f>
        <v>71.875</v>
      </c>
      <c r="BX279" s="45">
        <f>('[2]Renewable Diesel'!$Z288*'[2]RD Feedstock Breakdown'!BX$3*'[2]Feedstock Conversion Rates'!$B$5)/12</f>
        <v>7.2354166666666666</v>
      </c>
      <c r="BY279" s="45">
        <f>('[2]Renewable Diesel'!$Z288*'[2]RD Feedstock Breakdown'!BY$3*'[2]Feedstock Conversion Rates'!$B$7)/12</f>
        <v>61.716666666666661</v>
      </c>
      <c r="BZ279" s="45">
        <f>('[2]Renewable Diesel'!$Z288*'[2]RD Feedstock Breakdown'!BZ$3*'[2]Feedstock Conversion Rates'!$B$3)/12</f>
        <v>15.352499999999999</v>
      </c>
      <c r="CA279" s="47">
        <f t="shared" si="181"/>
        <v>156.17958333333331</v>
      </c>
      <c r="CB279" s="45">
        <f>('[2]Renewable Diesel'!AA288*'[2]Feedstock Conversion Rates'!B$4)/12</f>
        <v>191.25</v>
      </c>
      <c r="CC279" s="47">
        <f t="shared" si="171"/>
        <v>191.25</v>
      </c>
      <c r="CD279" s="45">
        <f>('[2]Renewable Diesel'!$AB288*'[2]RD Feedstock Breakdown'!CD$3*'[2]Feedstock Conversion Rates'!$B$6)/12-15-5</f>
        <v>12.830000000000005</v>
      </c>
      <c r="CE279" s="45">
        <f>('[2]Renewable Diesel'!$AB288*'[2]RD Feedstock Breakdown'!CE$3*'[2]Feedstock Conversion Rates'!$B$4)/12+15+5</f>
        <v>31.25</v>
      </c>
      <c r="CF279" s="47">
        <f t="shared" si="161"/>
        <v>44.080000000000005</v>
      </c>
      <c r="CG279" s="45">
        <f>('[2]Renewable Diesel'!AD288*'[2]Feedstock Conversion Rates'!B$4)/12</f>
        <v>112.5</v>
      </c>
      <c r="CH279" s="47">
        <f t="shared" si="230"/>
        <v>112.5</v>
      </c>
      <c r="CI279" s="45">
        <f>('[2]Renewable Diesel'!$AE288*'[2]RD Feedstock Breakdown'!CI$3*'[2]Feedstock Conversion Rates'!$B$5)/12</f>
        <v>0.34604166666666664</v>
      </c>
      <c r="CJ279" s="45">
        <f>('[2]Renewable Diesel'!$AE288*'[2]RD Feedstock Breakdown'!CJ$3*'[2]Feedstock Conversion Rates'!$B$4)/12</f>
        <v>0.34375</v>
      </c>
      <c r="CK279" s="47">
        <f t="shared" si="238"/>
        <v>0.68979166666666658</v>
      </c>
      <c r="CL279" s="45">
        <f>(((CL$3*'[2]Renewable Diesel'!$AF288)*'[2]Feedstock Conversion Rates'!$B$3)/12)</f>
        <v>91.78125</v>
      </c>
      <c r="CM279" s="45">
        <f>(((CM$3*'[2]Renewable Diesel'!$AF288)*'[2]Feedstock Conversion Rates'!$B$6)/12)</f>
        <v>53.739583333333336</v>
      </c>
      <c r="CN279" s="45">
        <f>(((CN$3*'[2]Renewable Diesel'!$AF288)*'[2]Feedstock Conversion Rates'!$B$4)/12)</f>
        <v>42.96875</v>
      </c>
      <c r="CO279" s="47">
        <f t="shared" si="232"/>
        <v>188.48958333333334</v>
      </c>
      <c r="CP279" s="45">
        <f>('[2]Renewable Diesel'!$AG288*'[2]RD Feedstock Breakdown'!CP$3*'[2]Feedstock Conversion Rates'!$B$3)/12+4-4</f>
        <v>6.0075000000000003</v>
      </c>
      <c r="CQ279" s="45">
        <f>('[2]Renewable Diesel'!$AG288*'[2]RD Feedstock Breakdown'!CQ$3*'[2]Feedstock Conversion Rates'!$B$6)/12</f>
        <v>3.5175000000000001</v>
      </c>
      <c r="CR279" s="45">
        <f>('[2]Renewable Diesel'!$AG288*'[2]RD Feedstock Breakdown'!CR$3*'[2]Feedstock Conversion Rates'!$B$4)/12-4+4</f>
        <v>2.8125</v>
      </c>
      <c r="CS279" s="47">
        <f t="shared" si="183"/>
        <v>12.3375</v>
      </c>
      <c r="CT279" s="45">
        <f>('[2]Renewable Diesel'!AI288*'[2]Feedstock Conversion Rates'!$B$4*'[2]RD Feedstock Breakdown'!$CT$3)/12</f>
        <v>29.375</v>
      </c>
      <c r="CU279" s="47">
        <f t="shared" si="234"/>
        <v>29.375</v>
      </c>
      <c r="CV279" s="45">
        <f>('[2]Renewable Diesel'!AN288*'[2]Feedstock Conversion Rates'!$B$3*'[2]RD Feedstock Breakdown'!$CV$3)/12</f>
        <v>0.50062499999999999</v>
      </c>
      <c r="CW279" s="47">
        <f t="shared" si="206"/>
        <v>0.50062499999999999</v>
      </c>
      <c r="CX279" s="45">
        <f>('[2]Renewable Diesel'!AO288*'[2]RD Feedstock Breakdown'!$CX$3*'[2]Feedstock Conversion Rates'!$B$3)/12</f>
        <v>6.3412499999999996</v>
      </c>
      <c r="CY279" s="45">
        <f>('[2]Renewable Diesel'!AO288*'[2]RD Feedstock Breakdown'!$CY$3*'[2]Feedstock Conversion Rates'!$B$6)/12</f>
        <v>7.4258333333333342</v>
      </c>
      <c r="CZ279" s="47">
        <f t="shared" si="188"/>
        <v>13.767083333333334</v>
      </c>
      <c r="DA279" s="45">
        <f>('[2]Renewable Diesel'!$AP288*'[2]RD Feedstock Breakdown'!DA$3*'[2]Feedstock Conversion Rates'!$B$3)/12</f>
        <v>6.3412499999999996</v>
      </c>
      <c r="DB279" s="45">
        <f>('[2]Renewable Diesel'!$AP288*'[2]RD Feedstock Breakdown'!DB$3*'[2]Feedstock Conversion Rates'!$B$8)/12</f>
        <v>7.421875</v>
      </c>
      <c r="DC279" s="47">
        <f t="shared" si="212"/>
        <v>13.763124999999999</v>
      </c>
      <c r="DD279" s="45">
        <f>('[2]Renewable Diesel'!AQ288*$DD$3*'[2]Feedstock Conversion Rates'!$B$14)/12</f>
        <v>3.1041666666666665</v>
      </c>
      <c r="DE279" s="47">
        <f t="shared" si="213"/>
        <v>3.1041666666666665</v>
      </c>
      <c r="DF279" s="45">
        <f>('[2]Renewable Diesel'!AR288*'[2]Feedstock Conversion Rates'!$B$4*$DF$3)/12</f>
        <v>75</v>
      </c>
      <c r="DG279" s="47">
        <f t="shared" si="189"/>
        <v>75</v>
      </c>
      <c r="DH279" s="45">
        <f>('[2]Renewable Diesel'!AS288*'[2]Feedstock Conversion Rates'!$B$4*$DH$3)/12</f>
        <v>75</v>
      </c>
      <c r="DI279" s="47">
        <f t="shared" si="194"/>
        <v>75</v>
      </c>
      <c r="DJ279" s="45">
        <f>('[2]Renewable Diesel'!AT288*'[2]Feedstock Conversion Rates'!$B$4*0.25)/12</f>
        <v>8.59375</v>
      </c>
      <c r="DK279" s="45">
        <f>('[2]Renewable Diesel'!$AT288*'[2]RD Feedstock Breakdown'!DK$3*'[2]Feedstock Conversion Rates'!$B$3)/12*0.5</f>
        <v>9.1781249999999996</v>
      </c>
      <c r="DL279" s="45">
        <f>('[2]Renewable Diesel'!$AT288*'[2]RD Feedstock Breakdown'!$DL$3*'[2]Feedstock Conversion Rates'!$B$6)/12</f>
        <v>10.747916666666669</v>
      </c>
      <c r="DM279" s="45">
        <f>('[2]Renewable Diesel'!$AT288*'[2]RD Feedstock Breakdown'!$DM$3*'[2]Feedstock Conversion Rates'!$B$8)/12</f>
        <v>10.7421875</v>
      </c>
      <c r="DN279" s="47">
        <f t="shared" si="169"/>
        <v>39.26197916666667</v>
      </c>
      <c r="DP279" s="45">
        <f t="shared" si="216"/>
        <v>138.72025000000002</v>
      </c>
      <c r="DQ279" s="45">
        <f t="shared" si="217"/>
        <v>792.61776750000001</v>
      </c>
      <c r="DR279" s="45">
        <f t="shared" si="224"/>
        <v>1691.953125</v>
      </c>
      <c r="DS279" s="45">
        <f t="shared" si="235"/>
        <v>48.401250000000005</v>
      </c>
      <c r="DT279" s="45">
        <f t="shared" si="218"/>
        <v>249.53923333333344</v>
      </c>
      <c r="DU279" s="45">
        <f t="shared" si="219"/>
        <v>326.40610000000004</v>
      </c>
      <c r="DV279" s="45">
        <f t="shared" si="225"/>
        <v>5.25</v>
      </c>
      <c r="DW279" s="45">
        <f t="shared" si="220"/>
        <v>3</v>
      </c>
      <c r="DX279" s="47">
        <f t="shared" si="226"/>
        <v>3255.8877258333337</v>
      </c>
      <c r="DY279" s="50">
        <f t="shared" si="208"/>
        <v>-135.00000000000048</v>
      </c>
      <c r="EA279" s="51">
        <f t="shared" si="204"/>
        <v>4.2605968534893207E-2</v>
      </c>
      <c r="EB279" s="51">
        <f t="shared" si="204"/>
        <v>0.24344136967964156</v>
      </c>
      <c r="EC279" s="51">
        <f t="shared" si="204"/>
        <v>0.5196595421812189</v>
      </c>
      <c r="ED279" s="51">
        <f t="shared" si="204"/>
        <v>1.4865761376219404E-2</v>
      </c>
      <c r="EE279" s="51">
        <f t="shared" si="204"/>
        <v>7.6642456480732826E-2</v>
      </c>
      <c r="EF279" s="51">
        <f t="shared" si="204"/>
        <v>0.10025103058996221</v>
      </c>
      <c r="EG279" s="51">
        <f t="shared" si="204"/>
        <v>1.6124634637566563E-3</v>
      </c>
      <c r="EH279" s="52">
        <f t="shared" si="227"/>
        <v>9.2140769357523225E-4</v>
      </c>
      <c r="EI279" s="51">
        <f t="shared" si="191"/>
        <v>0.99907859230642482</v>
      </c>
      <c r="EK279" s="53">
        <f>(EA279*'[2]Renewable Diesel'!BF288*'[2]Feedstock Conversion Rates'!B$2)+FB279</f>
        <v>323.74064015086475</v>
      </c>
      <c r="EL279" s="53">
        <f>(EB279*'[2]Renewable Diesel'!BF288*'[2]Feedstock Conversion Rates'!B$3)+FC279</f>
        <v>1743.149967097469</v>
      </c>
      <c r="EM279" s="53">
        <f>(EC279*'[2]Renewable Diesel'!BF288*'[2]Feedstock Conversion Rates'!B$4)+FD279</f>
        <v>3484.0792326288256</v>
      </c>
      <c r="EN279" s="53">
        <f>(ED279*'[2]Renewable Diesel'!BF288*'[2]Feedstock Conversion Rates'!B$5)+FE279</f>
        <v>100.33257583579004</v>
      </c>
      <c r="EO279" s="53">
        <f>(EE279*'[2]Renewable Diesel'!BF288*'[2]Feedstock Conversion Rates'!B$6)+FF279</f>
        <v>642.65828012751285</v>
      </c>
      <c r="EP279" s="53">
        <f>(EF279*'[2]Renewable Diesel'!BF288*'[2]Feedstock Conversion Rates'!B$7)+FG279</f>
        <v>824.48835553904462</v>
      </c>
      <c r="EQ279" s="53">
        <f>(EG279*'[2]Renewable Diesel'!BF288*'[2]Feedstock Conversion Rates'!B$8)+FH279</f>
        <v>13.513536295000291</v>
      </c>
      <c r="ER279" s="53">
        <f>(EH279*'[2]Renewable Diesel'!BF288*'[2]Feedstock Conversion Rates'!B$9)+FI279</f>
        <v>7.6190604634668313</v>
      </c>
      <c r="ES279" s="53">
        <f t="shared" si="228"/>
        <v>7139.5816481379734</v>
      </c>
      <c r="ET279" s="36">
        <f>ES279/'[2]Renewable Diesel'!BF288</f>
        <v>7.9866547577853346</v>
      </c>
    </row>
    <row r="280" spans="1:150" x14ac:dyDescent="0.25">
      <c r="A280" s="39">
        <v>48945</v>
      </c>
      <c r="B280" s="45">
        <f t="shared" si="239"/>
        <v>0.75</v>
      </c>
      <c r="C280" s="45">
        <f t="shared" si="240"/>
        <v>10</v>
      </c>
      <c r="D280" s="45">
        <f t="shared" si="241"/>
        <v>2</v>
      </c>
      <c r="E280" s="45">
        <f>('[2]Renewable Diesel'!B289*E$3*'[2]Feedstock Conversion Rates'!$B$2)/12+26+13-100+27.5+39+105-40-14-26+55.5-51+29</f>
        <v>153.93</v>
      </c>
      <c r="F280" s="45">
        <f>('[2]Renewable Diesel'!B289*'[2]RD Feedstock Breakdown'!F$3*'[2]Feedstock Conversion Rates'!B$8)/12+77+23-10-12-115.75+24+8-33+5-16</f>
        <v>4.15625</v>
      </c>
      <c r="G280" s="45">
        <f>('[2]Renewable Diesel'!B289*'[2]RD Feedstock Breakdown'!G$3*'[2]Feedstock Conversion Rates'!B$7)/12+116.75-39-57.5-145-31.5+32+70-40+10-70-20+40+13</f>
        <v>54.907000000000039</v>
      </c>
      <c r="H280" s="45">
        <f>('[2]Renewable Diesel'!B289*'[2]RD Feedstock Breakdown'!H$3*'[2]Feedstock Conversion Rates'!B$3)/12+67+10+12+3-235+20+47-20+15+75-55+140+15</f>
        <v>270.40022499999998</v>
      </c>
      <c r="I280" s="47">
        <f t="shared" si="245"/>
        <v>496.14347500000002</v>
      </c>
      <c r="J280" s="45">
        <f t="shared" si="242"/>
        <v>18</v>
      </c>
      <c r="K280" s="45"/>
      <c r="L280" s="45">
        <v>1</v>
      </c>
      <c r="M280" s="45">
        <f>('[2]Renewable Diesel'!C289*'[2]RD Feedstock Breakdown'!M$3*'[2]Feedstock Conversion Rates'!B$2)/12-55+32</f>
        <v>-15.20975</v>
      </c>
      <c r="N280" s="45">
        <f>('[2]Renewable Diesel'!C289*'[2]RD Feedstock Breakdown'!N$3*'[2]Feedstock Conversion Rates'!B$8)/12-7-20+7.5-15</f>
        <v>-30.828125</v>
      </c>
      <c r="O280" s="45">
        <f>('[2]Renewable Diesel'!C289*'[2]RD Feedstock Breakdown'!O$3*'[2]Feedstock Conversion Rates'!B$7)/12-35-35+145-40</f>
        <v>46.999099999999999</v>
      </c>
      <c r="P280" s="45">
        <f>('[2]Renewable Diesel'!C289*'[2]RD Feedstock Breakdown'!P$3*'[2]Feedstock Conversion Rates'!B$3)/12+15+35-34-37.5+20+5</f>
        <v>13.947042500000002</v>
      </c>
      <c r="Q280" s="47">
        <f t="shared" si="172"/>
        <v>33.908267500000001</v>
      </c>
      <c r="R280" s="45">
        <f>('[2]Renewable Diesel'!D289*'[2]RD Feedstock Breakdown'!R$3*'[2]Feedstock Conversion Rates'!B$7)/12</f>
        <v>2.2999999999999998</v>
      </c>
      <c r="S280" s="47">
        <f t="shared" si="203"/>
        <v>2.2999999999999998</v>
      </c>
      <c r="T280" s="45">
        <f t="shared" si="246"/>
        <v>0.82500000000000284</v>
      </c>
      <c r="U280" s="45">
        <v>30</v>
      </c>
      <c r="V280" s="45">
        <f>('[2]Renewable Diesel'!E289*'[2]RD Feedstock Breakdown'!V$3*'[2]Feedstock Conversion Rates'!B$6)/12-20+25-35</f>
        <v>14.250150000000012</v>
      </c>
      <c r="W280" s="45">
        <f>('[2]Renewable Diesel'!E289*'[2]RD Feedstock Breakdown'!W$3*'[2]Feedstock Conversion Rates'!B$8)/12-6+5</f>
        <v>21.1796875</v>
      </c>
      <c r="X280" s="47">
        <f t="shared" si="229"/>
        <v>66.254837500000008</v>
      </c>
      <c r="Y280" s="45">
        <f t="shared" si="243"/>
        <v>102</v>
      </c>
      <c r="Z280" s="45">
        <f>('[2]Renewable Diesel'!F289*'[2]RD Feedstock Breakdown'!Z$3*'[2]Feedstock Conversion Rates'!B$6)/12-142+15+5-5+70-41-10+14+4</f>
        <v>69.460000000000008</v>
      </c>
      <c r="AA280" s="45">
        <f>('[2]Renewable Diesel'!F289*'[2]RD Feedstock Breakdown'!AA$3*'[2]Feedstock Conversion Rates'!B$7)/12+24-10-25-1</f>
        <v>92.266666666666652</v>
      </c>
      <c r="AB280" s="47">
        <f t="shared" si="190"/>
        <v>263.72666666666669</v>
      </c>
      <c r="AC280" s="45">
        <f>('[2]Renewable Diesel'!G289*'[2]RD Feedstock Breakdown'!AC$3*'[2]Feedstock Conversion Rates'!B$5)/12</f>
        <v>11.796875</v>
      </c>
      <c r="AD280" s="45">
        <f>('[2]Renewable Diesel'!G289*'[2]RD Feedstock Breakdown'!AD$3*'[2]Feedstock Conversion Rates'!B$4)/12</f>
        <v>5.859375</v>
      </c>
      <c r="AE280" s="45">
        <f>('[2]Renewable Diesel'!G289*'[2]RD Feedstock Breakdown'!AE$3*'[2]Feedstock Conversion Rates'!B$6)/12</f>
        <v>7.3281250000000009</v>
      </c>
      <c r="AF280" s="47">
        <f t="shared" si="236"/>
        <v>24.984375</v>
      </c>
      <c r="AG280" s="45">
        <f t="shared" si="182"/>
        <v>6.5</v>
      </c>
      <c r="AH280" s="45">
        <v>135</v>
      </c>
      <c r="AI280" s="45">
        <f>('[2]Renewable Diesel'!H289*'[2]RD Feedstock Breakdown'!AI$3*'[2]Feedstock Conversion Rates'!B$6)/12-130-20+51-52.5+10</f>
        <v>7.0166666666666799</v>
      </c>
      <c r="AJ280" s="47">
        <f t="shared" si="202"/>
        <v>13.51666666666668</v>
      </c>
      <c r="AK280" s="45">
        <f>('[2]Renewable Diesel'!J289*'[2]RD Feedstock Breakdown'!AK$3*'[2]Feedstock Conversion Rates'!B$4)/12</f>
        <v>95.8125</v>
      </c>
      <c r="AL280" s="47">
        <f t="shared" si="205"/>
        <v>95.8125</v>
      </c>
      <c r="AM280" s="45">
        <f>('[2]Renewable Diesel'!K289*'[2]RD Feedstock Breakdown'!AM$3*'[2]Feedstock Conversion Rates'!B$4)/12+5+15-10-5+10-35</f>
        <v>38.59375</v>
      </c>
      <c r="AN280" s="45">
        <f>('[2]Renewable Diesel'!K289*'[2]RD Feedstock Breakdown'!AN$3*'[2]Feedstock Conversion Rates'!B$6)/12-5-15+10+5-10+35</f>
        <v>44.427083333333329</v>
      </c>
      <c r="AO280" s="47">
        <f t="shared" si="223"/>
        <v>83.020833333333329</v>
      </c>
      <c r="AP280" s="45">
        <f>('[2]Renewable Diesel'!L289*'[2]RD Feedstock Breakdown'!AP$3*'[2]Feedstock Conversion Rates'!B$4)/12+15-10-10+22</f>
        <v>75.59375</v>
      </c>
      <c r="AQ280" s="45">
        <f>('[2]Renewable Diesel'!L289*'[2]RD Feedstock Breakdown'!AQ$3*'[2]Feedstock Conversion Rates'!B$6)/12-15+10+10-22</f>
        <v>7.4270833333333321</v>
      </c>
      <c r="AR280" s="47">
        <f t="shared" si="207"/>
        <v>83.020833333333329</v>
      </c>
      <c r="AS280" s="45">
        <f>('[2]Renewable Diesel'!M289*'[2]RD Feedstock Breakdown'!AS$3*'[2]Feedstock Conversion Rates'!B$4)/12</f>
        <v>456.25</v>
      </c>
      <c r="AT280" s="45">
        <f>('[2]Renewable Diesel'!M289*'[2]RD Feedstock Breakdown'!AT$3*'[2]Feedstock Conversion Rates'!B$5)/12</f>
        <v>0</v>
      </c>
      <c r="AU280" s="47">
        <f t="shared" si="244"/>
        <v>456.25</v>
      </c>
      <c r="AV280" s="45">
        <f>'[2]Renewable Diesel'!N289*'[2]RD Feedstock Breakdown'!$AV$3*'[2]Feedstock Conversion Rates'!$B$4/12-15-10+25+25-22+25-77.5+56</f>
        <v>85.249999999999986</v>
      </c>
      <c r="AW280" s="45">
        <f>'[2]Renewable Diesel'!N289*'[2]RD Feedstock Breakdown'!$AW$3*'[2]Feedstock Conversion Rates'!$B$7/12+15+10-25-25+22-25+77.5-56</f>
        <v>34.900000000000006</v>
      </c>
      <c r="AX280" s="47">
        <f t="shared" si="193"/>
        <v>120.14999999999999</v>
      </c>
      <c r="AY280" s="45">
        <f>('[2]Renewable Diesel'!O289*'[2]RD Feedstock Breakdown'!AY$3*'[2]Feedstock Conversion Rates'!B$4)/12-95-250</f>
        <v>-134.0625</v>
      </c>
      <c r="AZ280" s="45">
        <f>('[2]Renewable Diesel'!O289*'[2]RD Feedstock Breakdown'!AZ$3*'[2]Feedstock Conversion Rates'!B$3)/12+95+250</f>
        <v>370.03125</v>
      </c>
      <c r="BA280" s="47">
        <f t="shared" si="173"/>
        <v>235.96875</v>
      </c>
      <c r="BB280" s="45">
        <f>('[2]Renewable Diesel'!Q289*'[2]RD Feedstock Breakdown'!BB$3*'[2]Feedstock Conversion Rates'!B$4)/12</f>
        <v>11.156249999999998</v>
      </c>
      <c r="BC280" s="45">
        <f>('[2]Renewable Diesel'!Q289*'[2]RD Feedstock Breakdown'!BC$3*'[2]Feedstock Conversion Rates'!B$3)/12</f>
        <v>1.4017500000000001</v>
      </c>
      <c r="BD280" s="45">
        <f>('[2]Renewable Diesel'!Q289*'[2]RD Feedstock Breakdown'!BD$3*'[2]Feedstock Conversion Rates'!B$6)/12</f>
        <v>0.8207500000000002</v>
      </c>
      <c r="BE280" s="47">
        <f t="shared" si="231"/>
        <v>13.378749999999998</v>
      </c>
      <c r="BF280" s="45">
        <f>('[2]Renewable Diesel'!R289*'[2]RD Feedstock Breakdown'!BF$3*'[2]Feedstock Conversion Rates'!B$4)/12</f>
        <v>62.5</v>
      </c>
      <c r="BG280" s="47">
        <f t="shared" si="215"/>
        <v>62.5</v>
      </c>
      <c r="BH280" s="45">
        <f>('[2]Renewable Diesel'!T289*'[2]RD Feedstock Breakdown'!BH$3*'[2]Feedstock Conversion Rates'!B$7)/12</f>
        <v>27.599999999999998</v>
      </c>
      <c r="BI280" s="47">
        <f t="shared" si="195"/>
        <v>27.599999999999998</v>
      </c>
      <c r="BJ280" s="45">
        <f>('[2]Renewable Diesel'!W289*'[2]RD Feedstock Breakdown'!BJ$3*'[2]Feedstock Conversion Rates'!B$4)/12</f>
        <v>7.5</v>
      </c>
      <c r="BK280" s="45">
        <f>('[2]Renewable Diesel'!W289*'[2]RD Feedstock Breakdown'!BK$3*'[2]Feedstock Conversion Rates'!B$3)/12</f>
        <v>1.335</v>
      </c>
      <c r="BL280" s="45">
        <f>('[2]Renewable Diesel'!W289*'[2]RD Feedstock Breakdown'!BL$3*'[2]Feedstock Conversion Rates'!B$6)/12</f>
        <v>3.1266666666666669</v>
      </c>
      <c r="BM280" s="45">
        <f>('[2]Renewable Diesel'!W289*'[2]RD Feedstock Breakdown'!BM$3*'[2]Feedstock Conversion Rates'!B$7)/12</f>
        <v>1.5333333333333332</v>
      </c>
      <c r="BN280" s="47">
        <f t="shared" si="168"/>
        <v>13.495000000000001</v>
      </c>
      <c r="BO280" s="45">
        <f>('[2]Renewable Diesel'!P289*'[2]Feedstock Conversion Rates'!B$4)/12</f>
        <v>31.25</v>
      </c>
      <c r="BP280" s="47">
        <f t="shared" si="237"/>
        <v>31.25</v>
      </c>
      <c r="BQ280" s="45">
        <f>('[2]Renewable Diesel'!$S289*'[2]RD Feedstock Breakdown'!BQ$3*'[2]Feedstock Conversion Rates'!B$4)/12+10+15-15</f>
        <v>38.125</v>
      </c>
      <c r="BR280" s="45">
        <f>('[2]Renewable Diesel'!$S289*'[2]RD Feedstock Breakdown'!BR$3*'[2]Feedstock Conversion Rates'!B$7)/12-10-15+15</f>
        <v>1.5</v>
      </c>
      <c r="BS280" s="47">
        <f t="shared" si="174"/>
        <v>39.625</v>
      </c>
      <c r="BT280" s="47"/>
      <c r="BU280" s="45">
        <f>('[2]Renewable Diesel'!Y289*'[2]Feedstock Conversion Rates'!B$7)/12</f>
        <v>2.6833333333333331</v>
      </c>
      <c r="BV280" s="47">
        <f t="shared" si="233"/>
        <v>2.6833333333333331</v>
      </c>
      <c r="BW280" s="45">
        <f>('[2]Renewable Diesel'!$Z289*'[2]RD Feedstock Breakdown'!BW$3*'[2]Feedstock Conversion Rates'!$B$4)/12</f>
        <v>71.875</v>
      </c>
      <c r="BX280" s="45">
        <f>('[2]Renewable Diesel'!$Z289*'[2]RD Feedstock Breakdown'!BX$3*'[2]Feedstock Conversion Rates'!$B$5)/12</f>
        <v>7.2354166666666666</v>
      </c>
      <c r="BY280" s="45">
        <f>('[2]Renewable Diesel'!$Z289*'[2]RD Feedstock Breakdown'!BY$3*'[2]Feedstock Conversion Rates'!$B$7)/12</f>
        <v>61.716666666666661</v>
      </c>
      <c r="BZ280" s="45">
        <f>('[2]Renewable Diesel'!$Z289*'[2]RD Feedstock Breakdown'!BZ$3*'[2]Feedstock Conversion Rates'!$B$3)/12</f>
        <v>15.352499999999999</v>
      </c>
      <c r="CA280" s="47">
        <f t="shared" si="181"/>
        <v>156.17958333333331</v>
      </c>
      <c r="CB280" s="45">
        <f>('[2]Renewable Diesel'!AA289*'[2]Feedstock Conversion Rates'!B$4)/12</f>
        <v>191.25</v>
      </c>
      <c r="CC280" s="47">
        <f t="shared" si="171"/>
        <v>191.25</v>
      </c>
      <c r="CD280" s="45">
        <f>('[2]Renewable Diesel'!$AB289*'[2]RD Feedstock Breakdown'!CD$3*'[2]Feedstock Conversion Rates'!$B$6)/12-15-5</f>
        <v>12.830000000000005</v>
      </c>
      <c r="CE280" s="45">
        <f>('[2]Renewable Diesel'!$AB289*'[2]RD Feedstock Breakdown'!CE$3*'[2]Feedstock Conversion Rates'!$B$4)/12+15+5</f>
        <v>31.25</v>
      </c>
      <c r="CF280" s="47">
        <f t="shared" ref="CF280:CF343" si="247">SUM(CD280:CE280)</f>
        <v>44.080000000000005</v>
      </c>
      <c r="CG280" s="45">
        <f>('[2]Renewable Diesel'!AD289*'[2]Feedstock Conversion Rates'!B$4)/12</f>
        <v>112.5</v>
      </c>
      <c r="CH280" s="47">
        <f t="shared" si="230"/>
        <v>112.5</v>
      </c>
      <c r="CI280" s="45">
        <f>('[2]Renewable Diesel'!$AE289*'[2]RD Feedstock Breakdown'!CI$3*'[2]Feedstock Conversion Rates'!$B$5)/12</f>
        <v>0.34604166666666664</v>
      </c>
      <c r="CJ280" s="45">
        <f>('[2]Renewable Diesel'!$AE289*'[2]RD Feedstock Breakdown'!CJ$3*'[2]Feedstock Conversion Rates'!$B$4)/12</f>
        <v>0.34375</v>
      </c>
      <c r="CK280" s="47">
        <f t="shared" si="238"/>
        <v>0.68979166666666658</v>
      </c>
      <c r="CL280" s="45">
        <f>(((CL$3*'[2]Renewable Diesel'!$AF289)*'[2]Feedstock Conversion Rates'!$B$3)/12)</f>
        <v>91.78125</v>
      </c>
      <c r="CM280" s="45">
        <f>(((CM$3*'[2]Renewable Diesel'!$AF289)*'[2]Feedstock Conversion Rates'!$B$6)/12)</f>
        <v>53.739583333333336</v>
      </c>
      <c r="CN280" s="45">
        <f>(((CN$3*'[2]Renewable Diesel'!$AF289)*'[2]Feedstock Conversion Rates'!$B$4)/12)</f>
        <v>42.96875</v>
      </c>
      <c r="CO280" s="47">
        <f t="shared" si="232"/>
        <v>188.48958333333334</v>
      </c>
      <c r="CP280" s="45">
        <f>('[2]Renewable Diesel'!$AG289*'[2]RD Feedstock Breakdown'!CP$3*'[2]Feedstock Conversion Rates'!$B$3)/12+4-4</f>
        <v>6.0075000000000003</v>
      </c>
      <c r="CQ280" s="45">
        <f>('[2]Renewable Diesel'!$AG289*'[2]RD Feedstock Breakdown'!CQ$3*'[2]Feedstock Conversion Rates'!$B$6)/12</f>
        <v>3.5175000000000001</v>
      </c>
      <c r="CR280" s="45">
        <f>('[2]Renewable Diesel'!$AG289*'[2]RD Feedstock Breakdown'!CR$3*'[2]Feedstock Conversion Rates'!$B$4)/12-4+4</f>
        <v>2.8125</v>
      </c>
      <c r="CS280" s="47">
        <f t="shared" si="183"/>
        <v>12.3375</v>
      </c>
      <c r="CT280" s="45">
        <f>('[2]Renewable Diesel'!AI289*'[2]Feedstock Conversion Rates'!$B$4*'[2]RD Feedstock Breakdown'!$CT$3)/12</f>
        <v>29.375</v>
      </c>
      <c r="CU280" s="47">
        <f t="shared" si="234"/>
        <v>29.375</v>
      </c>
      <c r="CV280" s="45">
        <f>('[2]Renewable Diesel'!AN289*'[2]Feedstock Conversion Rates'!$B$3*'[2]RD Feedstock Breakdown'!$CV$3)/12</f>
        <v>0.50062499999999999</v>
      </c>
      <c r="CW280" s="47">
        <f t="shared" si="206"/>
        <v>0.50062499999999999</v>
      </c>
      <c r="CX280" s="45">
        <f>('[2]Renewable Diesel'!AO289*'[2]RD Feedstock Breakdown'!$CX$3*'[2]Feedstock Conversion Rates'!$B$3)/12</f>
        <v>6.3412499999999996</v>
      </c>
      <c r="CY280" s="45">
        <f>('[2]Renewable Diesel'!AO289*'[2]RD Feedstock Breakdown'!$CY$3*'[2]Feedstock Conversion Rates'!$B$6)/12</f>
        <v>7.4258333333333342</v>
      </c>
      <c r="CZ280" s="47">
        <f t="shared" si="188"/>
        <v>13.767083333333334</v>
      </c>
      <c r="DA280" s="45">
        <f>('[2]Renewable Diesel'!$AP289*'[2]RD Feedstock Breakdown'!DA$3*'[2]Feedstock Conversion Rates'!$B$3)/12</f>
        <v>6.3412499999999996</v>
      </c>
      <c r="DB280" s="45">
        <f>('[2]Renewable Diesel'!$AP289*'[2]RD Feedstock Breakdown'!DB$3*'[2]Feedstock Conversion Rates'!$B$8)/12</f>
        <v>7.421875</v>
      </c>
      <c r="DC280" s="47">
        <f t="shared" si="212"/>
        <v>13.763124999999999</v>
      </c>
      <c r="DD280" s="45">
        <f>('[2]Renewable Diesel'!AQ289*$DD$3*'[2]Feedstock Conversion Rates'!$B$14)/12</f>
        <v>3.1041666666666665</v>
      </c>
      <c r="DE280" s="47">
        <f t="shared" si="213"/>
        <v>3.1041666666666665</v>
      </c>
      <c r="DF280" s="45">
        <f>('[2]Renewable Diesel'!AR289*'[2]Feedstock Conversion Rates'!$B$4*$DF$3)/12</f>
        <v>75</v>
      </c>
      <c r="DG280" s="47">
        <f t="shared" si="189"/>
        <v>75</v>
      </c>
      <c r="DH280" s="45">
        <f>('[2]Renewable Diesel'!AS289*'[2]Feedstock Conversion Rates'!$B$4*$DH$3)/12</f>
        <v>75</v>
      </c>
      <c r="DI280" s="47">
        <f t="shared" si="194"/>
        <v>75</v>
      </c>
      <c r="DJ280" s="45">
        <f>('[2]Renewable Diesel'!AT289*'[2]Feedstock Conversion Rates'!$B$4*0.25)/12</f>
        <v>8.59375</v>
      </c>
      <c r="DK280" s="45">
        <f>('[2]Renewable Diesel'!$AT289*'[2]RD Feedstock Breakdown'!DK$3*'[2]Feedstock Conversion Rates'!$B$3)/12*0.5</f>
        <v>9.1781249999999996</v>
      </c>
      <c r="DL280" s="45">
        <f>('[2]Renewable Diesel'!$AT289*'[2]RD Feedstock Breakdown'!$DL$3*'[2]Feedstock Conversion Rates'!$B$6)/12</f>
        <v>10.747916666666669</v>
      </c>
      <c r="DM280" s="45">
        <f>('[2]Renewable Diesel'!$AT289*'[2]RD Feedstock Breakdown'!$DM$3*'[2]Feedstock Conversion Rates'!$B$8)/12</f>
        <v>10.7421875</v>
      </c>
      <c r="DN280" s="47">
        <f t="shared" si="169"/>
        <v>39.26197916666667</v>
      </c>
      <c r="DP280" s="45">
        <f t="shared" si="216"/>
        <v>138.72025000000002</v>
      </c>
      <c r="DQ280" s="45">
        <f t="shared" si="217"/>
        <v>792.61776750000001</v>
      </c>
      <c r="DR280" s="45">
        <f t="shared" si="224"/>
        <v>1691.953125</v>
      </c>
      <c r="DS280" s="45">
        <f t="shared" si="235"/>
        <v>48.401250000000005</v>
      </c>
      <c r="DT280" s="45">
        <f t="shared" si="218"/>
        <v>249.53923333333344</v>
      </c>
      <c r="DU280" s="45">
        <f t="shared" si="219"/>
        <v>326.40610000000004</v>
      </c>
      <c r="DV280" s="45">
        <f t="shared" si="225"/>
        <v>5.25</v>
      </c>
      <c r="DW280" s="45">
        <f t="shared" si="220"/>
        <v>3</v>
      </c>
      <c r="DX280" s="47">
        <f t="shared" si="226"/>
        <v>3255.8877258333337</v>
      </c>
      <c r="DY280" s="50">
        <f t="shared" si="208"/>
        <v>-135.00000000000048</v>
      </c>
      <c r="EA280" s="51">
        <f t="shared" si="204"/>
        <v>4.2605968534893207E-2</v>
      </c>
      <c r="EB280" s="51">
        <f t="shared" si="204"/>
        <v>0.24344136967964156</v>
      </c>
      <c r="EC280" s="51">
        <f t="shared" si="204"/>
        <v>0.5196595421812189</v>
      </c>
      <c r="ED280" s="51">
        <f t="shared" si="204"/>
        <v>1.4865761376219404E-2</v>
      </c>
      <c r="EE280" s="51">
        <f t="shared" si="204"/>
        <v>7.6642456480732826E-2</v>
      </c>
      <c r="EF280" s="51">
        <f t="shared" si="204"/>
        <v>0.10025103058996221</v>
      </c>
      <c r="EG280" s="51">
        <f t="shared" si="204"/>
        <v>1.6124634637566563E-3</v>
      </c>
      <c r="EH280" s="52">
        <f t="shared" si="227"/>
        <v>9.2140769357523225E-4</v>
      </c>
      <c r="EI280" s="51">
        <f t="shared" si="191"/>
        <v>0.99907859230642482</v>
      </c>
      <c r="EK280" s="53">
        <f>(EA280*'[2]Renewable Diesel'!BF289*'[2]Feedstock Conversion Rates'!B$2)+FB280</f>
        <v>185.39131426156615</v>
      </c>
      <c r="EL280" s="53">
        <f>(EB280*'[2]Renewable Diesel'!BF289*'[2]Feedstock Conversion Rates'!B$3)+FC280</f>
        <v>998.2214874370087</v>
      </c>
      <c r="EM280" s="53">
        <f>(EC280*'[2]Renewable Diesel'!BF289*'[2]Feedstock Conversion Rates'!B$4)+FD280</f>
        <v>1995.1712816391725</v>
      </c>
      <c r="EN280" s="53">
        <f>(ED280*'[2]Renewable Diesel'!BF289*'[2]Feedstock Conversion Rates'!B$5)+FE280</f>
        <v>57.455832819683408</v>
      </c>
      <c r="EO280" s="53">
        <f>(EE280*'[2]Renewable Diesel'!BF289*'[2]Feedstock Conversion Rates'!B$6)+FF280</f>
        <v>368.02071904965658</v>
      </c>
      <c r="EP280" s="53">
        <f>(EF280*'[2]Renewable Diesel'!BF289*'[2]Feedstock Conversion Rates'!B$7)+FG280</f>
        <v>472.14640631930138</v>
      </c>
      <c r="EQ280" s="53">
        <f>(EG280*'[2]Renewable Diesel'!BF289*'[2]Feedstock Conversion Rates'!B$8)+FH280</f>
        <v>7.7385781806201441</v>
      </c>
      <c r="ER280" s="53">
        <f>(EH280*'[2]Renewable Diesel'!BF289*'[2]Feedstock Conversion Rates'!B$9)+FI280</f>
        <v>4.3630840789782148</v>
      </c>
      <c r="ES280" s="53">
        <f t="shared" si="228"/>
        <v>4088.508703785988</v>
      </c>
      <c r="ET280" s="36">
        <f>ES280/'[2]Renewable Diesel'!BF289</f>
        <v>7.9866547577853373</v>
      </c>
    </row>
    <row r="281" spans="1:150" x14ac:dyDescent="0.25">
      <c r="A281" s="39">
        <v>48976</v>
      </c>
      <c r="B281" s="45">
        <f t="shared" si="239"/>
        <v>0.75</v>
      </c>
      <c r="C281" s="45">
        <f t="shared" si="240"/>
        <v>10</v>
      </c>
      <c r="D281" s="45">
        <f t="shared" si="241"/>
        <v>2</v>
      </c>
      <c r="E281" s="45">
        <f>('[2]Renewable Diesel'!B290*E$3*'[2]Feedstock Conversion Rates'!$B$2)/12+26+13-100+27.5+39+105-40-14-26+55.5-51+29</f>
        <v>153.93</v>
      </c>
      <c r="F281" s="45">
        <f>('[2]Renewable Diesel'!B290*'[2]RD Feedstock Breakdown'!F$3*'[2]Feedstock Conversion Rates'!B$8)/12+77+23-10-12-115.75+24+8-33+5-16</f>
        <v>4.15625</v>
      </c>
      <c r="G281" s="45">
        <f>('[2]Renewable Diesel'!B290*'[2]RD Feedstock Breakdown'!G$3*'[2]Feedstock Conversion Rates'!B$7)/12+116.75-39-57.5-145-31.5+32+70-40+10-70-20+40+13</f>
        <v>54.907000000000039</v>
      </c>
      <c r="H281" s="45">
        <f>('[2]Renewable Diesel'!B290*'[2]RD Feedstock Breakdown'!H$3*'[2]Feedstock Conversion Rates'!B$3)/12+67+10+12+3-235+20+47-20+15+75-55+140+15</f>
        <v>270.40022499999998</v>
      </c>
      <c r="I281" s="47">
        <f t="shared" si="245"/>
        <v>496.14347500000002</v>
      </c>
      <c r="J281" s="45">
        <f t="shared" si="242"/>
        <v>18</v>
      </c>
      <c r="K281" s="45"/>
      <c r="L281" s="45">
        <v>1</v>
      </c>
      <c r="M281" s="45">
        <f>('[2]Renewable Diesel'!C290*'[2]RD Feedstock Breakdown'!M$3*'[2]Feedstock Conversion Rates'!B$2)/12-55+32</f>
        <v>-15.20975</v>
      </c>
      <c r="N281" s="45">
        <f>('[2]Renewable Diesel'!C290*'[2]RD Feedstock Breakdown'!N$3*'[2]Feedstock Conversion Rates'!B$8)/12-7-20+7.5-15</f>
        <v>-30.828125</v>
      </c>
      <c r="O281" s="45">
        <f>('[2]Renewable Diesel'!C290*'[2]RD Feedstock Breakdown'!O$3*'[2]Feedstock Conversion Rates'!B$7)/12-35-35+145-40</f>
        <v>46.999099999999999</v>
      </c>
      <c r="P281" s="45">
        <f>('[2]Renewable Diesel'!C290*'[2]RD Feedstock Breakdown'!P$3*'[2]Feedstock Conversion Rates'!B$3)/12+15+35-34-37.5+20+5</f>
        <v>13.947042500000002</v>
      </c>
      <c r="Q281" s="47">
        <f t="shared" si="172"/>
        <v>33.908267500000001</v>
      </c>
      <c r="R281" s="45">
        <f>('[2]Renewable Diesel'!D290*'[2]RD Feedstock Breakdown'!R$3*'[2]Feedstock Conversion Rates'!B$7)/12</f>
        <v>2.2999999999999998</v>
      </c>
      <c r="S281" s="47">
        <f t="shared" si="203"/>
        <v>2.2999999999999998</v>
      </c>
      <c r="T281" s="45">
        <f t="shared" si="246"/>
        <v>0.82500000000000284</v>
      </c>
      <c r="U281" s="45">
        <v>30</v>
      </c>
      <c r="V281" s="45">
        <f>('[2]Renewable Diesel'!E290*'[2]RD Feedstock Breakdown'!V$3*'[2]Feedstock Conversion Rates'!B$6)/12-20+25-35</f>
        <v>14.250150000000012</v>
      </c>
      <c r="W281" s="45">
        <f>('[2]Renewable Diesel'!E290*'[2]RD Feedstock Breakdown'!W$3*'[2]Feedstock Conversion Rates'!B$8)/12-6+5</f>
        <v>21.1796875</v>
      </c>
      <c r="X281" s="47">
        <f t="shared" si="229"/>
        <v>66.254837500000008</v>
      </c>
      <c r="Y281" s="45">
        <f t="shared" si="243"/>
        <v>102</v>
      </c>
      <c r="Z281" s="45">
        <f>('[2]Renewable Diesel'!F290*'[2]RD Feedstock Breakdown'!Z$3*'[2]Feedstock Conversion Rates'!B$6)/12-142+15+5-5+70-41-10+14+4</f>
        <v>69.460000000000008</v>
      </c>
      <c r="AA281" s="45">
        <f>('[2]Renewable Diesel'!F290*'[2]RD Feedstock Breakdown'!AA$3*'[2]Feedstock Conversion Rates'!B$7)/12+24-10-25-1</f>
        <v>92.266666666666652</v>
      </c>
      <c r="AB281" s="47">
        <f t="shared" si="190"/>
        <v>263.72666666666669</v>
      </c>
      <c r="AC281" s="45">
        <f>('[2]Renewable Diesel'!G290*'[2]RD Feedstock Breakdown'!AC$3*'[2]Feedstock Conversion Rates'!B$5)/12</f>
        <v>11.796875</v>
      </c>
      <c r="AD281" s="45">
        <f>('[2]Renewable Diesel'!G290*'[2]RD Feedstock Breakdown'!AD$3*'[2]Feedstock Conversion Rates'!B$4)/12</f>
        <v>5.859375</v>
      </c>
      <c r="AE281" s="45">
        <f>('[2]Renewable Diesel'!G290*'[2]RD Feedstock Breakdown'!AE$3*'[2]Feedstock Conversion Rates'!B$6)/12</f>
        <v>7.3281250000000009</v>
      </c>
      <c r="AF281" s="47">
        <f t="shared" si="236"/>
        <v>24.984375</v>
      </c>
      <c r="AG281" s="45">
        <f t="shared" si="182"/>
        <v>6.5</v>
      </c>
      <c r="AH281" s="45">
        <v>135</v>
      </c>
      <c r="AI281" s="45">
        <f>('[2]Renewable Diesel'!H290*'[2]RD Feedstock Breakdown'!AI$3*'[2]Feedstock Conversion Rates'!B$6)/12-130-20+51-52.5+10</f>
        <v>7.0166666666666799</v>
      </c>
      <c r="AJ281" s="47">
        <f t="shared" si="202"/>
        <v>13.51666666666668</v>
      </c>
      <c r="AK281" s="45">
        <f>('[2]Renewable Diesel'!J290*'[2]RD Feedstock Breakdown'!AK$3*'[2]Feedstock Conversion Rates'!B$4)/12</f>
        <v>95.8125</v>
      </c>
      <c r="AL281" s="47">
        <f t="shared" si="205"/>
        <v>95.8125</v>
      </c>
      <c r="AM281" s="45">
        <f>('[2]Renewable Diesel'!K290*'[2]RD Feedstock Breakdown'!AM$3*'[2]Feedstock Conversion Rates'!B$4)/12+5+15-10-5+10-35</f>
        <v>38.59375</v>
      </c>
      <c r="AN281" s="45">
        <f>('[2]Renewable Diesel'!K290*'[2]RD Feedstock Breakdown'!AN$3*'[2]Feedstock Conversion Rates'!B$6)/12-5-15+10+5-10+35</f>
        <v>44.427083333333329</v>
      </c>
      <c r="AO281" s="47">
        <f t="shared" si="223"/>
        <v>83.020833333333329</v>
      </c>
      <c r="AP281" s="45">
        <f>('[2]Renewable Diesel'!L290*'[2]RD Feedstock Breakdown'!AP$3*'[2]Feedstock Conversion Rates'!B$4)/12+15-10-10+22</f>
        <v>75.59375</v>
      </c>
      <c r="AQ281" s="45">
        <f>('[2]Renewable Diesel'!L290*'[2]RD Feedstock Breakdown'!AQ$3*'[2]Feedstock Conversion Rates'!B$6)/12-15+10+10-22</f>
        <v>7.4270833333333321</v>
      </c>
      <c r="AR281" s="47">
        <f t="shared" si="207"/>
        <v>83.020833333333329</v>
      </c>
      <c r="AS281" s="45">
        <f>('[2]Renewable Diesel'!M290*'[2]RD Feedstock Breakdown'!AS$3*'[2]Feedstock Conversion Rates'!B$4)/12</f>
        <v>456.25</v>
      </c>
      <c r="AT281" s="45">
        <f>('[2]Renewable Diesel'!M290*'[2]RD Feedstock Breakdown'!AT$3*'[2]Feedstock Conversion Rates'!B$5)/12</f>
        <v>0</v>
      </c>
      <c r="AU281" s="47">
        <f t="shared" si="244"/>
        <v>456.25</v>
      </c>
      <c r="AV281" s="45">
        <f>'[2]Renewable Diesel'!N290*'[2]RD Feedstock Breakdown'!$AV$3*'[2]Feedstock Conversion Rates'!$B$4/12-15-10+25+25-22+25-77.5+56</f>
        <v>85.249999999999986</v>
      </c>
      <c r="AW281" s="45">
        <f>'[2]Renewable Diesel'!N290*'[2]RD Feedstock Breakdown'!$AW$3*'[2]Feedstock Conversion Rates'!$B$7/12+15+10-25-25+22-25+77.5-56</f>
        <v>34.900000000000006</v>
      </c>
      <c r="AX281" s="47">
        <f t="shared" si="193"/>
        <v>120.14999999999999</v>
      </c>
      <c r="AY281" s="45">
        <f>('[2]Renewable Diesel'!O290*'[2]RD Feedstock Breakdown'!AY$3*'[2]Feedstock Conversion Rates'!B$4)/12-95-250</f>
        <v>-134.0625</v>
      </c>
      <c r="AZ281" s="45">
        <f>('[2]Renewable Diesel'!O290*'[2]RD Feedstock Breakdown'!AZ$3*'[2]Feedstock Conversion Rates'!B$3)/12+95+250</f>
        <v>370.03125</v>
      </c>
      <c r="BA281" s="47">
        <f t="shared" si="173"/>
        <v>235.96875</v>
      </c>
      <c r="BB281" s="45">
        <f>('[2]Renewable Diesel'!Q290*'[2]RD Feedstock Breakdown'!BB$3*'[2]Feedstock Conversion Rates'!B$4)/12</f>
        <v>11.156249999999998</v>
      </c>
      <c r="BC281" s="45">
        <f>('[2]Renewable Diesel'!Q290*'[2]RD Feedstock Breakdown'!BC$3*'[2]Feedstock Conversion Rates'!B$3)/12</f>
        <v>1.4017500000000001</v>
      </c>
      <c r="BD281" s="45">
        <f>('[2]Renewable Diesel'!Q290*'[2]RD Feedstock Breakdown'!BD$3*'[2]Feedstock Conversion Rates'!B$6)/12</f>
        <v>0.8207500000000002</v>
      </c>
      <c r="BE281" s="47">
        <f t="shared" si="231"/>
        <v>13.378749999999998</v>
      </c>
      <c r="BF281" s="45">
        <f>('[2]Renewable Diesel'!R290*'[2]RD Feedstock Breakdown'!BF$3*'[2]Feedstock Conversion Rates'!B$4)/12</f>
        <v>62.5</v>
      </c>
      <c r="BG281" s="47">
        <f t="shared" si="215"/>
        <v>62.5</v>
      </c>
      <c r="BH281" s="45">
        <f>('[2]Renewable Diesel'!T290*'[2]RD Feedstock Breakdown'!BH$3*'[2]Feedstock Conversion Rates'!B$7)/12</f>
        <v>27.599999999999998</v>
      </c>
      <c r="BI281" s="47">
        <f t="shared" si="195"/>
        <v>27.599999999999998</v>
      </c>
      <c r="BJ281" s="45">
        <f>('[2]Renewable Diesel'!W290*'[2]RD Feedstock Breakdown'!BJ$3*'[2]Feedstock Conversion Rates'!B$4)/12</f>
        <v>7.5</v>
      </c>
      <c r="BK281" s="45">
        <f>('[2]Renewable Diesel'!W290*'[2]RD Feedstock Breakdown'!BK$3*'[2]Feedstock Conversion Rates'!B$3)/12</f>
        <v>1.335</v>
      </c>
      <c r="BL281" s="45">
        <f>('[2]Renewable Diesel'!W290*'[2]RD Feedstock Breakdown'!BL$3*'[2]Feedstock Conversion Rates'!B$6)/12</f>
        <v>3.1266666666666669</v>
      </c>
      <c r="BM281" s="45">
        <f>('[2]Renewable Diesel'!W290*'[2]RD Feedstock Breakdown'!BM$3*'[2]Feedstock Conversion Rates'!B$7)/12</f>
        <v>1.5333333333333332</v>
      </c>
      <c r="BN281" s="47">
        <f t="shared" si="168"/>
        <v>13.495000000000001</v>
      </c>
      <c r="BO281" s="45">
        <f>('[2]Renewable Diesel'!P290*'[2]Feedstock Conversion Rates'!B$4)/12</f>
        <v>31.25</v>
      </c>
      <c r="BP281" s="47">
        <f t="shared" si="237"/>
        <v>31.25</v>
      </c>
      <c r="BQ281" s="45">
        <f>('[2]Renewable Diesel'!$S290*'[2]RD Feedstock Breakdown'!BQ$3*'[2]Feedstock Conversion Rates'!B$4)/12+10+15-15</f>
        <v>38.125</v>
      </c>
      <c r="BR281" s="45">
        <f>('[2]Renewable Diesel'!$S290*'[2]RD Feedstock Breakdown'!BR$3*'[2]Feedstock Conversion Rates'!B$7)/12-10-15+15</f>
        <v>1.5</v>
      </c>
      <c r="BS281" s="47">
        <f t="shared" si="174"/>
        <v>39.625</v>
      </c>
      <c r="BT281" s="47"/>
      <c r="BU281" s="45">
        <f>('[2]Renewable Diesel'!Y290*'[2]Feedstock Conversion Rates'!B$7)/12</f>
        <v>2.6833333333333331</v>
      </c>
      <c r="BV281" s="47">
        <f t="shared" si="233"/>
        <v>2.6833333333333331</v>
      </c>
      <c r="BW281" s="45">
        <f>('[2]Renewable Diesel'!$Z290*'[2]RD Feedstock Breakdown'!BW$3*'[2]Feedstock Conversion Rates'!$B$4)/12</f>
        <v>71.875</v>
      </c>
      <c r="BX281" s="45">
        <f>('[2]Renewable Diesel'!$Z290*'[2]RD Feedstock Breakdown'!BX$3*'[2]Feedstock Conversion Rates'!$B$5)/12</f>
        <v>7.2354166666666666</v>
      </c>
      <c r="BY281" s="45">
        <f>('[2]Renewable Diesel'!$Z290*'[2]RD Feedstock Breakdown'!BY$3*'[2]Feedstock Conversion Rates'!$B$7)/12</f>
        <v>61.716666666666661</v>
      </c>
      <c r="BZ281" s="45">
        <f>('[2]Renewable Diesel'!$Z290*'[2]RD Feedstock Breakdown'!BZ$3*'[2]Feedstock Conversion Rates'!$B$3)/12</f>
        <v>15.352499999999999</v>
      </c>
      <c r="CA281" s="47">
        <f t="shared" si="181"/>
        <v>156.17958333333331</v>
      </c>
      <c r="CB281" s="45">
        <f>('[2]Renewable Diesel'!AA290*'[2]Feedstock Conversion Rates'!B$4)/12</f>
        <v>191.25</v>
      </c>
      <c r="CC281" s="47">
        <f t="shared" si="171"/>
        <v>191.25</v>
      </c>
      <c r="CD281" s="45">
        <f>('[2]Renewable Diesel'!$AB290*'[2]RD Feedstock Breakdown'!CD$3*'[2]Feedstock Conversion Rates'!$B$6)/12-15-5</f>
        <v>12.830000000000005</v>
      </c>
      <c r="CE281" s="45">
        <f>('[2]Renewable Diesel'!$AB290*'[2]RD Feedstock Breakdown'!CE$3*'[2]Feedstock Conversion Rates'!$B$4)/12+15+5</f>
        <v>31.25</v>
      </c>
      <c r="CF281" s="47">
        <f t="shared" si="247"/>
        <v>44.080000000000005</v>
      </c>
      <c r="CG281" s="45">
        <f>('[2]Renewable Diesel'!AD290*'[2]Feedstock Conversion Rates'!B$4)/12</f>
        <v>112.5</v>
      </c>
      <c r="CH281" s="47">
        <f t="shared" si="230"/>
        <v>112.5</v>
      </c>
      <c r="CI281" s="45">
        <f>('[2]Renewable Diesel'!$AE290*'[2]RD Feedstock Breakdown'!CI$3*'[2]Feedstock Conversion Rates'!$B$5)/12</f>
        <v>0.34604166666666664</v>
      </c>
      <c r="CJ281" s="45">
        <f>('[2]Renewable Diesel'!$AE290*'[2]RD Feedstock Breakdown'!CJ$3*'[2]Feedstock Conversion Rates'!$B$4)/12</f>
        <v>0.34375</v>
      </c>
      <c r="CK281" s="47">
        <f t="shared" si="238"/>
        <v>0.68979166666666658</v>
      </c>
      <c r="CL281" s="45">
        <f>(((CL$3*'[2]Renewable Diesel'!$AF290)*'[2]Feedstock Conversion Rates'!$B$3)/12)</f>
        <v>91.78125</v>
      </c>
      <c r="CM281" s="45">
        <f>(((CM$3*'[2]Renewable Diesel'!$AF290)*'[2]Feedstock Conversion Rates'!$B$6)/12)</f>
        <v>53.739583333333336</v>
      </c>
      <c r="CN281" s="45">
        <f>(((CN$3*'[2]Renewable Diesel'!$AF290)*'[2]Feedstock Conversion Rates'!$B$4)/12)</f>
        <v>42.96875</v>
      </c>
      <c r="CO281" s="47">
        <f t="shared" si="232"/>
        <v>188.48958333333334</v>
      </c>
      <c r="CP281" s="45">
        <f>('[2]Renewable Diesel'!$AG290*'[2]RD Feedstock Breakdown'!CP$3*'[2]Feedstock Conversion Rates'!$B$3)/12+4-4</f>
        <v>6.0075000000000003</v>
      </c>
      <c r="CQ281" s="45">
        <f>('[2]Renewable Diesel'!$AG290*'[2]RD Feedstock Breakdown'!CQ$3*'[2]Feedstock Conversion Rates'!$B$6)/12</f>
        <v>3.5175000000000001</v>
      </c>
      <c r="CR281" s="45">
        <f>('[2]Renewable Diesel'!$AG290*'[2]RD Feedstock Breakdown'!CR$3*'[2]Feedstock Conversion Rates'!$B$4)/12-4+4</f>
        <v>2.8125</v>
      </c>
      <c r="CS281" s="47">
        <f t="shared" si="183"/>
        <v>12.3375</v>
      </c>
      <c r="CT281" s="45">
        <f>('[2]Renewable Diesel'!AI290*'[2]Feedstock Conversion Rates'!$B$4*'[2]RD Feedstock Breakdown'!$CT$3)/12</f>
        <v>29.375</v>
      </c>
      <c r="CU281" s="47">
        <f t="shared" si="234"/>
        <v>29.375</v>
      </c>
      <c r="CV281" s="45">
        <f>('[2]Renewable Diesel'!AN290*'[2]Feedstock Conversion Rates'!$B$3*'[2]RD Feedstock Breakdown'!$CV$3)/12</f>
        <v>0.50062499999999999</v>
      </c>
      <c r="CW281" s="47">
        <f t="shared" si="206"/>
        <v>0.50062499999999999</v>
      </c>
      <c r="CX281" s="45">
        <f>('[2]Renewable Diesel'!AO290*'[2]RD Feedstock Breakdown'!$CX$3*'[2]Feedstock Conversion Rates'!$B$3)/12</f>
        <v>6.3412499999999996</v>
      </c>
      <c r="CY281" s="45">
        <f>('[2]Renewable Diesel'!AO290*'[2]RD Feedstock Breakdown'!$CY$3*'[2]Feedstock Conversion Rates'!$B$6)/12</f>
        <v>7.4258333333333342</v>
      </c>
      <c r="CZ281" s="47">
        <f t="shared" si="188"/>
        <v>13.767083333333334</v>
      </c>
      <c r="DA281" s="45">
        <f>('[2]Renewable Diesel'!$AP290*'[2]RD Feedstock Breakdown'!DA$3*'[2]Feedstock Conversion Rates'!$B$3)/12</f>
        <v>6.3412499999999996</v>
      </c>
      <c r="DB281" s="45">
        <f>('[2]Renewable Diesel'!$AP290*'[2]RD Feedstock Breakdown'!DB$3*'[2]Feedstock Conversion Rates'!$B$8)/12</f>
        <v>7.421875</v>
      </c>
      <c r="DC281" s="47">
        <f t="shared" si="212"/>
        <v>13.763124999999999</v>
      </c>
      <c r="DD281" s="45">
        <f>('[2]Renewable Diesel'!AQ290*$DD$3*'[2]Feedstock Conversion Rates'!$B$14)/12</f>
        <v>3.1041666666666665</v>
      </c>
      <c r="DE281" s="47">
        <f t="shared" si="213"/>
        <v>3.1041666666666665</v>
      </c>
      <c r="DF281" s="45">
        <f>('[2]Renewable Diesel'!AR290*'[2]Feedstock Conversion Rates'!$B$4*$DF$3)/12</f>
        <v>75</v>
      </c>
      <c r="DG281" s="47">
        <f t="shared" si="189"/>
        <v>75</v>
      </c>
      <c r="DH281" s="45">
        <f>('[2]Renewable Diesel'!AS290*'[2]Feedstock Conversion Rates'!$B$4*$DH$3)/12</f>
        <v>75</v>
      </c>
      <c r="DI281" s="47">
        <f t="shared" si="194"/>
        <v>75</v>
      </c>
      <c r="DJ281" s="45">
        <f>('[2]Renewable Diesel'!AT290*'[2]Feedstock Conversion Rates'!$B$4*0.25)/12</f>
        <v>8.59375</v>
      </c>
      <c r="DK281" s="45">
        <f>('[2]Renewable Diesel'!$AT290*'[2]RD Feedstock Breakdown'!DK$3*'[2]Feedstock Conversion Rates'!$B$3)/12*0.5</f>
        <v>9.1781249999999996</v>
      </c>
      <c r="DL281" s="45">
        <f>('[2]Renewable Diesel'!$AT290*'[2]RD Feedstock Breakdown'!$DL$3*'[2]Feedstock Conversion Rates'!$B$6)/12</f>
        <v>10.747916666666669</v>
      </c>
      <c r="DM281" s="45">
        <f>('[2]Renewable Diesel'!$AT290*'[2]RD Feedstock Breakdown'!$DM$3*'[2]Feedstock Conversion Rates'!$B$8)/12</f>
        <v>10.7421875</v>
      </c>
      <c r="DN281" s="47">
        <f t="shared" si="169"/>
        <v>39.26197916666667</v>
      </c>
      <c r="DP281" s="45">
        <f t="shared" si="216"/>
        <v>138.72025000000002</v>
      </c>
      <c r="DQ281" s="45">
        <f t="shared" si="217"/>
        <v>792.61776750000001</v>
      </c>
      <c r="DR281" s="45">
        <f t="shared" si="224"/>
        <v>1691.953125</v>
      </c>
      <c r="DS281" s="45">
        <f t="shared" si="235"/>
        <v>48.401250000000005</v>
      </c>
      <c r="DT281" s="45">
        <f t="shared" si="218"/>
        <v>249.53923333333344</v>
      </c>
      <c r="DU281" s="45">
        <f t="shared" si="219"/>
        <v>326.40610000000004</v>
      </c>
      <c r="DV281" s="45">
        <f t="shared" si="225"/>
        <v>5.25</v>
      </c>
      <c r="DW281" s="45">
        <f t="shared" si="220"/>
        <v>3</v>
      </c>
      <c r="DX281" s="47">
        <f t="shared" si="226"/>
        <v>3255.8877258333337</v>
      </c>
      <c r="DY281" s="50">
        <f t="shared" si="208"/>
        <v>-135.00000000000048</v>
      </c>
      <c r="EA281" s="51">
        <f t="shared" si="204"/>
        <v>4.2605968534893207E-2</v>
      </c>
      <c r="EB281" s="51">
        <f t="shared" si="204"/>
        <v>0.24344136967964156</v>
      </c>
      <c r="EC281" s="51">
        <f t="shared" si="204"/>
        <v>0.5196595421812189</v>
      </c>
      <c r="ED281" s="51">
        <f t="shared" si="204"/>
        <v>1.4865761376219404E-2</v>
      </c>
      <c r="EE281" s="51">
        <f t="shared" si="204"/>
        <v>7.6642456480732826E-2</v>
      </c>
      <c r="EF281" s="51">
        <f t="shared" si="204"/>
        <v>0.10025103058996221</v>
      </c>
      <c r="EG281" s="51">
        <f t="shared" si="204"/>
        <v>1.6124634637566563E-3</v>
      </c>
      <c r="EH281" s="52">
        <f t="shared" si="227"/>
        <v>9.2140769357523225E-4</v>
      </c>
      <c r="EI281" s="51">
        <f t="shared" si="191"/>
        <v>0.99907859230642482</v>
      </c>
      <c r="EK281" s="53">
        <f>(EA281*'[2]Renewable Diesel'!BF290*'[2]Feedstock Conversion Rates'!B$2)+FB281</f>
        <v>281.14743122791083</v>
      </c>
      <c r="EL281" s="53">
        <f>(EB281*'[2]Renewable Diesel'!BF290*'[2]Feedstock Conversion Rates'!B$3)+FC281</f>
        <v>1513.81097926442</v>
      </c>
      <c r="EM281" s="53">
        <f>(EC281*'[2]Renewable Diesel'!BF290*'[2]Feedstock Conversion Rates'!B$4)+FD281</f>
        <v>3025.6934254273256</v>
      </c>
      <c r="EN281" s="53">
        <f>(ED281*'[2]Renewable Diesel'!BF290*'[2]Feedstock Conversion Rates'!B$5)+FE281</f>
        <v>87.132236322158221</v>
      </c>
      <c r="EO281" s="53">
        <f>(EE281*'[2]Renewable Diesel'!BF290*'[2]Feedstock Conversion Rates'!B$6)+FF281</f>
        <v>558.10640434577147</v>
      </c>
      <c r="EP281" s="53">
        <f>(EF281*'[2]Renewable Diesel'!BF290*'[2]Feedstock Conversion Rates'!B$7)+FG281</f>
        <v>716.01385333983899</v>
      </c>
      <c r="EQ281" s="53">
        <f>(EG281*'[2]Renewable Diesel'!BF290*'[2]Feedstock Conversion Rates'!B$8)+FH281</f>
        <v>11.735616555196717</v>
      </c>
      <c r="ER281" s="53">
        <f>(EH281*'[2]Renewable Diesel'!BF290*'[2]Feedstock Conversion Rates'!B$9)+FI281</f>
        <v>6.6166523815966265</v>
      </c>
      <c r="ES281" s="53">
        <f t="shared" si="228"/>
        <v>6200.2565988642182</v>
      </c>
      <c r="ET281" s="36">
        <f>ES281/'[2]Renewable Diesel'!BF290</f>
        <v>7.9866547577853355</v>
      </c>
    </row>
    <row r="282" spans="1:150" x14ac:dyDescent="0.25">
      <c r="A282" s="39">
        <v>49004</v>
      </c>
      <c r="B282" s="45">
        <f t="shared" si="239"/>
        <v>0.75</v>
      </c>
      <c r="C282" s="45">
        <f t="shared" si="240"/>
        <v>10</v>
      </c>
      <c r="D282" s="45">
        <f t="shared" si="241"/>
        <v>2</v>
      </c>
      <c r="E282" s="45">
        <f>('[2]Renewable Diesel'!B291*E$3*'[2]Feedstock Conversion Rates'!$B$2)/12+26+13-100+27.5+39+105-40-14-26+55.5-51+29</f>
        <v>153.93</v>
      </c>
      <c r="F282" s="45">
        <f>('[2]Renewable Diesel'!B291*'[2]RD Feedstock Breakdown'!F$3*'[2]Feedstock Conversion Rates'!B$8)/12+77+23-10-12-115.75+24+8-33+5-16</f>
        <v>4.15625</v>
      </c>
      <c r="G282" s="45">
        <f>('[2]Renewable Diesel'!B291*'[2]RD Feedstock Breakdown'!G$3*'[2]Feedstock Conversion Rates'!B$7)/12+116.75-39-57.5-145-31.5+32+70-40+10-70-20+40+13</f>
        <v>54.907000000000039</v>
      </c>
      <c r="H282" s="45">
        <f>('[2]Renewable Diesel'!B291*'[2]RD Feedstock Breakdown'!H$3*'[2]Feedstock Conversion Rates'!B$3)/12+67+10+12+3-235+20+47-20+15+75-55+140+15</f>
        <v>270.40022499999998</v>
      </c>
      <c r="I282" s="47">
        <f t="shared" si="245"/>
        <v>496.14347500000002</v>
      </c>
      <c r="J282" s="45">
        <f t="shared" si="242"/>
        <v>18</v>
      </c>
      <c r="K282" s="45"/>
      <c r="L282" s="45">
        <v>1</v>
      </c>
      <c r="M282" s="45">
        <f>('[2]Renewable Diesel'!C291*'[2]RD Feedstock Breakdown'!M$3*'[2]Feedstock Conversion Rates'!B$2)/12-55+32</f>
        <v>-15.20975</v>
      </c>
      <c r="N282" s="45">
        <f>('[2]Renewable Diesel'!C291*'[2]RD Feedstock Breakdown'!N$3*'[2]Feedstock Conversion Rates'!B$8)/12-7-20+7.5-15</f>
        <v>-30.828125</v>
      </c>
      <c r="O282" s="45">
        <f>('[2]Renewable Diesel'!C291*'[2]RD Feedstock Breakdown'!O$3*'[2]Feedstock Conversion Rates'!B$7)/12-35-35+145-40</f>
        <v>46.999099999999999</v>
      </c>
      <c r="P282" s="45">
        <f>('[2]Renewable Diesel'!C291*'[2]RD Feedstock Breakdown'!P$3*'[2]Feedstock Conversion Rates'!B$3)/12+15+35-34-37.5+20+5</f>
        <v>13.947042500000002</v>
      </c>
      <c r="Q282" s="47">
        <f t="shared" si="172"/>
        <v>33.908267500000001</v>
      </c>
      <c r="R282" s="45">
        <f>('[2]Renewable Diesel'!D291*'[2]RD Feedstock Breakdown'!R$3*'[2]Feedstock Conversion Rates'!B$7)/12</f>
        <v>2.2999999999999998</v>
      </c>
      <c r="S282" s="47">
        <f t="shared" si="203"/>
        <v>2.2999999999999998</v>
      </c>
      <c r="T282" s="45">
        <f t="shared" si="246"/>
        <v>0.82500000000000284</v>
      </c>
      <c r="U282" s="45">
        <v>30</v>
      </c>
      <c r="V282" s="45">
        <f>('[2]Renewable Diesel'!E291*'[2]RD Feedstock Breakdown'!V$3*'[2]Feedstock Conversion Rates'!B$6)/12-20+25-35</f>
        <v>14.250150000000012</v>
      </c>
      <c r="W282" s="45">
        <f>('[2]Renewable Diesel'!E291*'[2]RD Feedstock Breakdown'!W$3*'[2]Feedstock Conversion Rates'!B$8)/12-6+5</f>
        <v>21.1796875</v>
      </c>
      <c r="X282" s="47">
        <f t="shared" si="229"/>
        <v>66.254837500000008</v>
      </c>
      <c r="Y282" s="45">
        <f t="shared" si="243"/>
        <v>102</v>
      </c>
      <c r="Z282" s="45">
        <f>('[2]Renewable Diesel'!F291*'[2]RD Feedstock Breakdown'!Z$3*'[2]Feedstock Conversion Rates'!B$6)/12-142+15+5-5+70-41-10+14+4</f>
        <v>69.460000000000008</v>
      </c>
      <c r="AA282" s="45">
        <f>('[2]Renewable Diesel'!F291*'[2]RD Feedstock Breakdown'!AA$3*'[2]Feedstock Conversion Rates'!B$7)/12+24-10-25-1</f>
        <v>92.266666666666652</v>
      </c>
      <c r="AB282" s="47">
        <f t="shared" si="190"/>
        <v>263.72666666666669</v>
      </c>
      <c r="AC282" s="45">
        <f>('[2]Renewable Diesel'!G291*'[2]RD Feedstock Breakdown'!AC$3*'[2]Feedstock Conversion Rates'!B$5)/12</f>
        <v>11.796875</v>
      </c>
      <c r="AD282" s="45">
        <f>('[2]Renewable Diesel'!G291*'[2]RD Feedstock Breakdown'!AD$3*'[2]Feedstock Conversion Rates'!B$4)/12</f>
        <v>5.859375</v>
      </c>
      <c r="AE282" s="45">
        <f>('[2]Renewable Diesel'!G291*'[2]RD Feedstock Breakdown'!AE$3*'[2]Feedstock Conversion Rates'!B$6)/12</f>
        <v>7.3281250000000009</v>
      </c>
      <c r="AF282" s="47">
        <f t="shared" si="236"/>
        <v>24.984375</v>
      </c>
      <c r="AG282" s="45">
        <f t="shared" si="182"/>
        <v>6.5</v>
      </c>
      <c r="AH282" s="45">
        <v>135</v>
      </c>
      <c r="AI282" s="45">
        <f>('[2]Renewable Diesel'!H291*'[2]RD Feedstock Breakdown'!AI$3*'[2]Feedstock Conversion Rates'!B$6)/12-130-20+51-52.5+10</f>
        <v>7.0166666666666799</v>
      </c>
      <c r="AJ282" s="47">
        <f t="shared" si="202"/>
        <v>13.51666666666668</v>
      </c>
      <c r="AK282" s="45">
        <f>('[2]Renewable Diesel'!J291*'[2]RD Feedstock Breakdown'!AK$3*'[2]Feedstock Conversion Rates'!B$4)/12</f>
        <v>95.8125</v>
      </c>
      <c r="AL282" s="47">
        <f t="shared" si="205"/>
        <v>95.8125</v>
      </c>
      <c r="AM282" s="45">
        <f>('[2]Renewable Diesel'!K291*'[2]RD Feedstock Breakdown'!AM$3*'[2]Feedstock Conversion Rates'!B$4)/12+5+15-10-5+10-35</f>
        <v>38.59375</v>
      </c>
      <c r="AN282" s="45">
        <f>('[2]Renewable Diesel'!K291*'[2]RD Feedstock Breakdown'!AN$3*'[2]Feedstock Conversion Rates'!B$6)/12-5-15+10+5-10+35</f>
        <v>44.427083333333329</v>
      </c>
      <c r="AO282" s="47">
        <f t="shared" si="223"/>
        <v>83.020833333333329</v>
      </c>
      <c r="AP282" s="45">
        <f>('[2]Renewable Diesel'!L291*'[2]RD Feedstock Breakdown'!AP$3*'[2]Feedstock Conversion Rates'!B$4)/12+15-10-10+22</f>
        <v>75.59375</v>
      </c>
      <c r="AQ282" s="45">
        <f>('[2]Renewable Diesel'!L291*'[2]RD Feedstock Breakdown'!AQ$3*'[2]Feedstock Conversion Rates'!B$6)/12-15+10+10-22</f>
        <v>7.4270833333333321</v>
      </c>
      <c r="AR282" s="47">
        <f t="shared" si="207"/>
        <v>83.020833333333329</v>
      </c>
      <c r="AS282" s="45">
        <f>('[2]Renewable Diesel'!M291*'[2]RD Feedstock Breakdown'!AS$3*'[2]Feedstock Conversion Rates'!B$4)/12</f>
        <v>456.25</v>
      </c>
      <c r="AT282" s="45">
        <f>('[2]Renewable Diesel'!M291*'[2]RD Feedstock Breakdown'!AT$3*'[2]Feedstock Conversion Rates'!B$5)/12</f>
        <v>0</v>
      </c>
      <c r="AU282" s="47">
        <f t="shared" si="244"/>
        <v>456.25</v>
      </c>
      <c r="AV282" s="45">
        <f>'[2]Renewable Diesel'!N291*'[2]RD Feedstock Breakdown'!$AV$3*'[2]Feedstock Conversion Rates'!$B$4/12-15-10+25+25-22+25-77.5+56</f>
        <v>85.249999999999986</v>
      </c>
      <c r="AW282" s="45">
        <f>'[2]Renewable Diesel'!N291*'[2]RD Feedstock Breakdown'!$AW$3*'[2]Feedstock Conversion Rates'!$B$7/12+15+10-25-25+22-25+77.5-56</f>
        <v>34.900000000000006</v>
      </c>
      <c r="AX282" s="47">
        <f t="shared" si="193"/>
        <v>120.14999999999999</v>
      </c>
      <c r="AY282" s="45">
        <f>('[2]Renewable Diesel'!O291*'[2]RD Feedstock Breakdown'!AY$3*'[2]Feedstock Conversion Rates'!B$4)/12-95-250</f>
        <v>-134.0625</v>
      </c>
      <c r="AZ282" s="45">
        <f>('[2]Renewable Diesel'!O291*'[2]RD Feedstock Breakdown'!AZ$3*'[2]Feedstock Conversion Rates'!B$3)/12+95+250</f>
        <v>370.03125</v>
      </c>
      <c r="BA282" s="47">
        <f t="shared" si="173"/>
        <v>235.96875</v>
      </c>
      <c r="BB282" s="45">
        <f>('[2]Renewable Diesel'!Q291*'[2]RD Feedstock Breakdown'!BB$3*'[2]Feedstock Conversion Rates'!B$4)/12</f>
        <v>11.156249999999998</v>
      </c>
      <c r="BC282" s="45">
        <f>('[2]Renewable Diesel'!Q291*'[2]RD Feedstock Breakdown'!BC$3*'[2]Feedstock Conversion Rates'!B$3)/12</f>
        <v>1.4017500000000001</v>
      </c>
      <c r="BD282" s="45">
        <f>('[2]Renewable Diesel'!Q291*'[2]RD Feedstock Breakdown'!BD$3*'[2]Feedstock Conversion Rates'!B$6)/12</f>
        <v>0.8207500000000002</v>
      </c>
      <c r="BE282" s="47">
        <f t="shared" si="231"/>
        <v>13.378749999999998</v>
      </c>
      <c r="BF282" s="45">
        <f>('[2]Renewable Diesel'!R291*'[2]RD Feedstock Breakdown'!BF$3*'[2]Feedstock Conversion Rates'!B$4)/12</f>
        <v>62.5</v>
      </c>
      <c r="BG282" s="47">
        <f t="shared" si="215"/>
        <v>62.5</v>
      </c>
      <c r="BH282" s="45">
        <f>('[2]Renewable Diesel'!T291*'[2]RD Feedstock Breakdown'!BH$3*'[2]Feedstock Conversion Rates'!B$7)/12</f>
        <v>27.599999999999998</v>
      </c>
      <c r="BI282" s="47">
        <f t="shared" si="195"/>
        <v>27.599999999999998</v>
      </c>
      <c r="BJ282" s="45">
        <f>('[2]Renewable Diesel'!W291*'[2]RD Feedstock Breakdown'!BJ$3*'[2]Feedstock Conversion Rates'!B$4)/12</f>
        <v>7.5</v>
      </c>
      <c r="BK282" s="45">
        <f>('[2]Renewable Diesel'!W291*'[2]RD Feedstock Breakdown'!BK$3*'[2]Feedstock Conversion Rates'!B$3)/12</f>
        <v>1.335</v>
      </c>
      <c r="BL282" s="45">
        <f>('[2]Renewable Diesel'!W291*'[2]RD Feedstock Breakdown'!BL$3*'[2]Feedstock Conversion Rates'!B$6)/12</f>
        <v>3.1266666666666669</v>
      </c>
      <c r="BM282" s="45">
        <f>('[2]Renewable Diesel'!W291*'[2]RD Feedstock Breakdown'!BM$3*'[2]Feedstock Conversion Rates'!B$7)/12</f>
        <v>1.5333333333333332</v>
      </c>
      <c r="BN282" s="47">
        <f t="shared" ref="BN282:BN345" si="248">SUM(BJ282:BM282)</f>
        <v>13.495000000000001</v>
      </c>
      <c r="BO282" s="45">
        <f>('[2]Renewable Diesel'!P291*'[2]Feedstock Conversion Rates'!B$4)/12</f>
        <v>31.25</v>
      </c>
      <c r="BP282" s="47">
        <f t="shared" si="237"/>
        <v>31.25</v>
      </c>
      <c r="BQ282" s="45">
        <f>('[2]Renewable Diesel'!$S291*'[2]RD Feedstock Breakdown'!BQ$3*'[2]Feedstock Conversion Rates'!B$4)/12+10+15-15</f>
        <v>38.125</v>
      </c>
      <c r="BR282" s="45">
        <f>('[2]Renewable Diesel'!$S291*'[2]RD Feedstock Breakdown'!BR$3*'[2]Feedstock Conversion Rates'!B$7)/12-10-15+15</f>
        <v>1.5</v>
      </c>
      <c r="BS282" s="47">
        <f t="shared" si="174"/>
        <v>39.625</v>
      </c>
      <c r="BT282" s="47"/>
      <c r="BU282" s="45">
        <f>('[2]Renewable Diesel'!Y291*'[2]Feedstock Conversion Rates'!B$7)/12</f>
        <v>2.6833333333333331</v>
      </c>
      <c r="BV282" s="47">
        <f t="shared" si="233"/>
        <v>2.6833333333333331</v>
      </c>
      <c r="BW282" s="45">
        <f>('[2]Renewable Diesel'!$Z291*'[2]RD Feedstock Breakdown'!BW$3*'[2]Feedstock Conversion Rates'!$B$4)/12</f>
        <v>71.875</v>
      </c>
      <c r="BX282" s="45">
        <f>('[2]Renewable Diesel'!$Z291*'[2]RD Feedstock Breakdown'!BX$3*'[2]Feedstock Conversion Rates'!$B$5)/12</f>
        <v>7.2354166666666666</v>
      </c>
      <c r="BY282" s="45">
        <f>('[2]Renewable Diesel'!$Z291*'[2]RD Feedstock Breakdown'!BY$3*'[2]Feedstock Conversion Rates'!$B$7)/12</f>
        <v>61.716666666666661</v>
      </c>
      <c r="BZ282" s="45">
        <f>('[2]Renewable Diesel'!$Z291*'[2]RD Feedstock Breakdown'!BZ$3*'[2]Feedstock Conversion Rates'!$B$3)/12</f>
        <v>15.352499999999999</v>
      </c>
      <c r="CA282" s="47">
        <f t="shared" si="181"/>
        <v>156.17958333333331</v>
      </c>
      <c r="CB282" s="45">
        <f>('[2]Renewable Diesel'!AA291*'[2]Feedstock Conversion Rates'!B$4)/12</f>
        <v>191.25</v>
      </c>
      <c r="CC282" s="47">
        <f t="shared" si="171"/>
        <v>191.25</v>
      </c>
      <c r="CD282" s="45">
        <f>('[2]Renewable Diesel'!$AB291*'[2]RD Feedstock Breakdown'!CD$3*'[2]Feedstock Conversion Rates'!$B$6)/12-15-5</f>
        <v>12.830000000000005</v>
      </c>
      <c r="CE282" s="45">
        <f>('[2]Renewable Diesel'!$AB291*'[2]RD Feedstock Breakdown'!CE$3*'[2]Feedstock Conversion Rates'!$B$4)/12+15+5</f>
        <v>31.25</v>
      </c>
      <c r="CF282" s="47">
        <f t="shared" si="247"/>
        <v>44.080000000000005</v>
      </c>
      <c r="CG282" s="45">
        <f>('[2]Renewable Diesel'!AD291*'[2]Feedstock Conversion Rates'!B$4)/12</f>
        <v>112.5</v>
      </c>
      <c r="CH282" s="47">
        <f t="shared" si="230"/>
        <v>112.5</v>
      </c>
      <c r="CI282" s="45">
        <f>('[2]Renewable Diesel'!$AE291*'[2]RD Feedstock Breakdown'!CI$3*'[2]Feedstock Conversion Rates'!$B$5)/12</f>
        <v>0.34604166666666664</v>
      </c>
      <c r="CJ282" s="45">
        <f>('[2]Renewable Diesel'!$AE291*'[2]RD Feedstock Breakdown'!CJ$3*'[2]Feedstock Conversion Rates'!$B$4)/12</f>
        <v>0.34375</v>
      </c>
      <c r="CK282" s="47">
        <f t="shared" si="238"/>
        <v>0.68979166666666658</v>
      </c>
      <c r="CL282" s="45">
        <f>(((CL$3*'[2]Renewable Diesel'!$AF291)*'[2]Feedstock Conversion Rates'!$B$3)/12)</f>
        <v>91.78125</v>
      </c>
      <c r="CM282" s="45">
        <f>(((CM$3*'[2]Renewable Diesel'!$AF291)*'[2]Feedstock Conversion Rates'!$B$6)/12)</f>
        <v>53.739583333333336</v>
      </c>
      <c r="CN282" s="45">
        <f>(((CN$3*'[2]Renewable Diesel'!$AF291)*'[2]Feedstock Conversion Rates'!$B$4)/12)</f>
        <v>42.96875</v>
      </c>
      <c r="CO282" s="47">
        <f t="shared" si="232"/>
        <v>188.48958333333334</v>
      </c>
      <c r="CP282" s="45">
        <f>('[2]Renewable Diesel'!$AG291*'[2]RD Feedstock Breakdown'!CP$3*'[2]Feedstock Conversion Rates'!$B$3)/12+4-4</f>
        <v>6.0075000000000003</v>
      </c>
      <c r="CQ282" s="45">
        <f>('[2]Renewable Diesel'!$AG291*'[2]RD Feedstock Breakdown'!CQ$3*'[2]Feedstock Conversion Rates'!$B$6)/12</f>
        <v>3.5175000000000001</v>
      </c>
      <c r="CR282" s="45">
        <f>('[2]Renewable Diesel'!$AG291*'[2]RD Feedstock Breakdown'!CR$3*'[2]Feedstock Conversion Rates'!$B$4)/12-4+4</f>
        <v>2.8125</v>
      </c>
      <c r="CS282" s="47">
        <f t="shared" si="183"/>
        <v>12.3375</v>
      </c>
      <c r="CT282" s="45">
        <f>('[2]Renewable Diesel'!AI291*'[2]Feedstock Conversion Rates'!$B$4*'[2]RD Feedstock Breakdown'!$CT$3)/12</f>
        <v>29.375</v>
      </c>
      <c r="CU282" s="47">
        <f t="shared" si="234"/>
        <v>29.375</v>
      </c>
      <c r="CV282" s="45">
        <f>('[2]Renewable Diesel'!AN291*'[2]Feedstock Conversion Rates'!$B$3*'[2]RD Feedstock Breakdown'!$CV$3)/12</f>
        <v>0.50062499999999999</v>
      </c>
      <c r="CW282" s="47">
        <f t="shared" si="206"/>
        <v>0.50062499999999999</v>
      </c>
      <c r="CX282" s="45">
        <f>('[2]Renewable Diesel'!AO291*'[2]RD Feedstock Breakdown'!$CX$3*'[2]Feedstock Conversion Rates'!$B$3)/12</f>
        <v>6.3412499999999996</v>
      </c>
      <c r="CY282" s="45">
        <f>('[2]Renewable Diesel'!AO291*'[2]RD Feedstock Breakdown'!$CY$3*'[2]Feedstock Conversion Rates'!$B$6)/12</f>
        <v>7.4258333333333342</v>
      </c>
      <c r="CZ282" s="47">
        <f t="shared" si="188"/>
        <v>13.767083333333334</v>
      </c>
      <c r="DA282" s="45">
        <f>('[2]Renewable Diesel'!$AP291*'[2]RD Feedstock Breakdown'!DA$3*'[2]Feedstock Conversion Rates'!$B$3)/12</f>
        <v>6.3412499999999996</v>
      </c>
      <c r="DB282" s="45">
        <f>('[2]Renewable Diesel'!$AP291*'[2]RD Feedstock Breakdown'!DB$3*'[2]Feedstock Conversion Rates'!$B$8)/12</f>
        <v>7.421875</v>
      </c>
      <c r="DC282" s="47">
        <f t="shared" si="212"/>
        <v>13.763124999999999</v>
      </c>
      <c r="DD282" s="45">
        <f>('[2]Renewable Diesel'!AQ291*$DD$3*'[2]Feedstock Conversion Rates'!$B$14)/12</f>
        <v>3.1041666666666665</v>
      </c>
      <c r="DE282" s="47">
        <f t="shared" si="213"/>
        <v>3.1041666666666665</v>
      </c>
      <c r="DF282" s="45">
        <f>('[2]Renewable Diesel'!AR291*'[2]Feedstock Conversion Rates'!$B$4*$DF$3)/12</f>
        <v>75</v>
      </c>
      <c r="DG282" s="47">
        <f t="shared" si="189"/>
        <v>75</v>
      </c>
      <c r="DH282" s="45">
        <f>('[2]Renewable Diesel'!AS291*'[2]Feedstock Conversion Rates'!$B$4*$DH$3)/12</f>
        <v>75</v>
      </c>
      <c r="DI282" s="47">
        <f t="shared" si="194"/>
        <v>75</v>
      </c>
      <c r="DJ282" s="45">
        <f>('[2]Renewable Diesel'!AT291*'[2]Feedstock Conversion Rates'!$B$4*0.25)/12</f>
        <v>8.59375</v>
      </c>
      <c r="DK282" s="45">
        <f>('[2]Renewable Diesel'!$AT291*'[2]RD Feedstock Breakdown'!DK$3*'[2]Feedstock Conversion Rates'!$B$3)/12*0.5</f>
        <v>9.1781249999999996</v>
      </c>
      <c r="DL282" s="45">
        <f>('[2]Renewable Diesel'!$AT291*'[2]RD Feedstock Breakdown'!$DL$3*'[2]Feedstock Conversion Rates'!$B$6)/12</f>
        <v>10.747916666666669</v>
      </c>
      <c r="DM282" s="45">
        <f>('[2]Renewable Diesel'!$AT291*'[2]RD Feedstock Breakdown'!$DM$3*'[2]Feedstock Conversion Rates'!$B$8)/12</f>
        <v>10.7421875</v>
      </c>
      <c r="DN282" s="47">
        <f t="shared" ref="DN282:DN345" si="249">SUM(DJ282:DM282)</f>
        <v>39.26197916666667</v>
      </c>
      <c r="DP282" s="45">
        <f t="shared" si="216"/>
        <v>138.72025000000002</v>
      </c>
      <c r="DQ282" s="45">
        <f t="shared" si="217"/>
        <v>792.61776750000001</v>
      </c>
      <c r="DR282" s="45">
        <f t="shared" si="224"/>
        <v>1691.953125</v>
      </c>
      <c r="DS282" s="45">
        <f t="shared" si="235"/>
        <v>48.401250000000005</v>
      </c>
      <c r="DT282" s="45">
        <f t="shared" si="218"/>
        <v>249.53923333333344</v>
      </c>
      <c r="DU282" s="45">
        <f t="shared" si="219"/>
        <v>326.40610000000004</v>
      </c>
      <c r="DV282" s="45">
        <f t="shared" si="225"/>
        <v>5.25</v>
      </c>
      <c r="DW282" s="45">
        <f t="shared" si="220"/>
        <v>3</v>
      </c>
      <c r="DX282" s="47">
        <f t="shared" si="226"/>
        <v>3255.8877258333337</v>
      </c>
      <c r="DY282" s="50">
        <f t="shared" si="208"/>
        <v>-135.00000000000048</v>
      </c>
      <c r="EA282" s="51">
        <f t="shared" si="204"/>
        <v>4.2605968534893207E-2</v>
      </c>
      <c r="EB282" s="51">
        <f t="shared" si="204"/>
        <v>0.24344136967964156</v>
      </c>
      <c r="EC282" s="51">
        <f t="shared" si="204"/>
        <v>0.5196595421812189</v>
      </c>
      <c r="ED282" s="51">
        <f t="shared" si="204"/>
        <v>1.4865761376219404E-2</v>
      </c>
      <c r="EE282" s="51">
        <f t="shared" si="204"/>
        <v>7.6642456480732826E-2</v>
      </c>
      <c r="EF282" s="51">
        <f t="shared" si="204"/>
        <v>0.10025103058996221</v>
      </c>
      <c r="EG282" s="51">
        <f t="shared" si="204"/>
        <v>1.6124634637566563E-3</v>
      </c>
      <c r="EH282" s="52">
        <f t="shared" si="227"/>
        <v>9.2140769357523225E-4</v>
      </c>
      <c r="EI282" s="51">
        <f t="shared" si="191"/>
        <v>0.99907859230642482</v>
      </c>
      <c r="EK282" s="53">
        <f>(EA282*'[2]Renewable Diesel'!BF291*'[2]Feedstock Conversion Rates'!B$2)+FB282</f>
        <v>176.3318484453074</v>
      </c>
      <c r="EL282" s="53">
        <f>(EB282*'[2]Renewable Diesel'!BF291*'[2]Feedstock Conversion Rates'!B$3)+FC282</f>
        <v>949.44167551048349</v>
      </c>
      <c r="EM282" s="53">
        <f>(EC282*'[2]Renewable Diesel'!BF291*'[2]Feedstock Conversion Rates'!B$4)+FD282</f>
        <v>1897.6738012659052</v>
      </c>
      <c r="EN282" s="53">
        <f>(ED282*'[2]Renewable Diesel'!BF291*'[2]Feedstock Conversion Rates'!B$5)+FE282</f>
        <v>54.648154609688063</v>
      </c>
      <c r="EO282" s="53">
        <f>(EE282*'[2]Renewable Diesel'!BF291*'[2]Feedstock Conversion Rates'!B$6)+FF282</f>
        <v>350.0367528795839</v>
      </c>
      <c r="EP282" s="53">
        <f>(EF282*'[2]Renewable Diesel'!BF291*'[2]Feedstock Conversion Rates'!B$7)+FG282</f>
        <v>449.07415913578876</v>
      </c>
      <c r="EQ282" s="53">
        <f>(EG282*'[2]Renewable Diesel'!BF291*'[2]Feedstock Conversion Rates'!B$8)+FH282</f>
        <v>7.3604192319497628</v>
      </c>
      <c r="ER282" s="53">
        <f>(EH282*'[2]Renewable Diesel'!BF291*'[2]Feedstock Conversion Rates'!B$9)+FI282</f>
        <v>4.1498744622040578</v>
      </c>
      <c r="ES282" s="53">
        <f t="shared" si="228"/>
        <v>3888.7166855409109</v>
      </c>
      <c r="ET282" s="36">
        <f>ES282/'[2]Renewable Diesel'!BF291</f>
        <v>7.9866547577853355</v>
      </c>
    </row>
    <row r="283" spans="1:150" x14ac:dyDescent="0.25">
      <c r="A283" s="39">
        <v>49035</v>
      </c>
      <c r="B283" s="45">
        <f t="shared" si="239"/>
        <v>0.75</v>
      </c>
      <c r="C283" s="45">
        <f t="shared" si="240"/>
        <v>10</v>
      </c>
      <c r="D283" s="45">
        <f t="shared" si="241"/>
        <v>2</v>
      </c>
      <c r="E283" s="45">
        <f>('[2]Renewable Diesel'!B292*E$3*'[2]Feedstock Conversion Rates'!$B$2)/12+26+13-100+27.5+39+105-40-14-26+55.5-51+29</f>
        <v>153.93</v>
      </c>
      <c r="F283" s="45">
        <f>('[2]Renewable Diesel'!B292*'[2]RD Feedstock Breakdown'!F$3*'[2]Feedstock Conversion Rates'!B$8)/12+77+23-10-12-115.75+24+8-33+5-16</f>
        <v>4.15625</v>
      </c>
      <c r="G283" s="45">
        <f>('[2]Renewable Diesel'!B292*'[2]RD Feedstock Breakdown'!G$3*'[2]Feedstock Conversion Rates'!B$7)/12+116.75-39-57.5-145-31.5+32+70-40+10-70-20+40+13</f>
        <v>54.907000000000039</v>
      </c>
      <c r="H283" s="45">
        <f>('[2]Renewable Diesel'!B292*'[2]RD Feedstock Breakdown'!H$3*'[2]Feedstock Conversion Rates'!B$3)/12+67+10+12+3-235+20+47-20+15+75-55+140+15</f>
        <v>270.40022499999998</v>
      </c>
      <c r="I283" s="47">
        <f t="shared" si="245"/>
        <v>496.14347500000002</v>
      </c>
      <c r="J283" s="45">
        <f t="shared" si="242"/>
        <v>18</v>
      </c>
      <c r="K283" s="45"/>
      <c r="L283" s="45">
        <v>1</v>
      </c>
      <c r="M283" s="45">
        <f>('[2]Renewable Diesel'!C292*'[2]RD Feedstock Breakdown'!M$3*'[2]Feedstock Conversion Rates'!B$2)/12-55+32</f>
        <v>-15.20975</v>
      </c>
      <c r="N283" s="45">
        <f>('[2]Renewable Diesel'!C292*'[2]RD Feedstock Breakdown'!N$3*'[2]Feedstock Conversion Rates'!B$8)/12-7-20+7.5-15</f>
        <v>-30.828125</v>
      </c>
      <c r="O283" s="45">
        <f>('[2]Renewable Diesel'!C292*'[2]RD Feedstock Breakdown'!O$3*'[2]Feedstock Conversion Rates'!B$7)/12-35-35+145-40</f>
        <v>46.999099999999999</v>
      </c>
      <c r="P283" s="45">
        <f>('[2]Renewable Diesel'!C292*'[2]RD Feedstock Breakdown'!P$3*'[2]Feedstock Conversion Rates'!B$3)/12+15+35-34-37.5+20+5</f>
        <v>13.947042500000002</v>
      </c>
      <c r="Q283" s="47">
        <f t="shared" si="172"/>
        <v>33.908267500000001</v>
      </c>
      <c r="R283" s="45">
        <f>('[2]Renewable Diesel'!D292*'[2]RD Feedstock Breakdown'!R$3*'[2]Feedstock Conversion Rates'!B$7)/12</f>
        <v>2.2999999999999998</v>
      </c>
      <c r="S283" s="47">
        <f t="shared" si="203"/>
        <v>2.2999999999999998</v>
      </c>
      <c r="T283" s="45">
        <f t="shared" si="246"/>
        <v>0.82500000000000284</v>
      </c>
      <c r="U283" s="45">
        <v>30</v>
      </c>
      <c r="V283" s="45">
        <f>('[2]Renewable Diesel'!E292*'[2]RD Feedstock Breakdown'!V$3*'[2]Feedstock Conversion Rates'!B$6)/12-20+25-35</f>
        <v>14.250150000000012</v>
      </c>
      <c r="W283" s="45">
        <f>('[2]Renewable Diesel'!E292*'[2]RD Feedstock Breakdown'!W$3*'[2]Feedstock Conversion Rates'!B$8)/12-6+5</f>
        <v>21.1796875</v>
      </c>
      <c r="X283" s="47">
        <f t="shared" si="229"/>
        <v>66.254837500000008</v>
      </c>
      <c r="Y283" s="45">
        <f t="shared" si="243"/>
        <v>102</v>
      </c>
      <c r="Z283" s="45">
        <f>('[2]Renewable Diesel'!F292*'[2]RD Feedstock Breakdown'!Z$3*'[2]Feedstock Conversion Rates'!B$6)/12-142+15+5-5+70-41-10+14+4</f>
        <v>69.460000000000008</v>
      </c>
      <c r="AA283" s="45">
        <f>('[2]Renewable Diesel'!F292*'[2]RD Feedstock Breakdown'!AA$3*'[2]Feedstock Conversion Rates'!B$7)/12+24-10-25-1</f>
        <v>92.266666666666652</v>
      </c>
      <c r="AB283" s="47">
        <f t="shared" si="190"/>
        <v>263.72666666666669</v>
      </c>
      <c r="AC283" s="45">
        <f>('[2]Renewable Diesel'!G292*'[2]RD Feedstock Breakdown'!AC$3*'[2]Feedstock Conversion Rates'!B$5)/12</f>
        <v>11.796875</v>
      </c>
      <c r="AD283" s="45">
        <f>('[2]Renewable Diesel'!G292*'[2]RD Feedstock Breakdown'!AD$3*'[2]Feedstock Conversion Rates'!B$4)/12</f>
        <v>5.859375</v>
      </c>
      <c r="AE283" s="45">
        <f>('[2]Renewable Diesel'!G292*'[2]RD Feedstock Breakdown'!AE$3*'[2]Feedstock Conversion Rates'!B$6)/12</f>
        <v>7.3281250000000009</v>
      </c>
      <c r="AF283" s="47">
        <f t="shared" si="236"/>
        <v>24.984375</v>
      </c>
      <c r="AG283" s="45">
        <f t="shared" si="182"/>
        <v>6.5</v>
      </c>
      <c r="AH283" s="45">
        <v>135</v>
      </c>
      <c r="AI283" s="45">
        <f>('[2]Renewable Diesel'!H292*'[2]RD Feedstock Breakdown'!AI$3*'[2]Feedstock Conversion Rates'!B$6)/12-130-20+51-52.5+10</f>
        <v>7.0166666666666799</v>
      </c>
      <c r="AJ283" s="47">
        <f t="shared" si="202"/>
        <v>13.51666666666668</v>
      </c>
      <c r="AK283" s="45">
        <f>('[2]Renewable Diesel'!J292*'[2]RD Feedstock Breakdown'!AK$3*'[2]Feedstock Conversion Rates'!B$4)/12</f>
        <v>95.8125</v>
      </c>
      <c r="AL283" s="47">
        <f t="shared" si="205"/>
        <v>95.8125</v>
      </c>
      <c r="AM283" s="45">
        <f>('[2]Renewable Diesel'!K292*'[2]RD Feedstock Breakdown'!AM$3*'[2]Feedstock Conversion Rates'!B$4)/12+5+15-10-5+10-35</f>
        <v>38.59375</v>
      </c>
      <c r="AN283" s="45">
        <f>('[2]Renewable Diesel'!K292*'[2]RD Feedstock Breakdown'!AN$3*'[2]Feedstock Conversion Rates'!B$6)/12-5-15+10+5-10+35</f>
        <v>44.427083333333329</v>
      </c>
      <c r="AO283" s="47">
        <f t="shared" si="223"/>
        <v>83.020833333333329</v>
      </c>
      <c r="AP283" s="45">
        <f>('[2]Renewable Diesel'!L292*'[2]RD Feedstock Breakdown'!AP$3*'[2]Feedstock Conversion Rates'!B$4)/12+15-10-10+22</f>
        <v>75.59375</v>
      </c>
      <c r="AQ283" s="45">
        <f>('[2]Renewable Diesel'!L292*'[2]RD Feedstock Breakdown'!AQ$3*'[2]Feedstock Conversion Rates'!B$6)/12-15+10+10-22</f>
        <v>7.4270833333333321</v>
      </c>
      <c r="AR283" s="47">
        <f t="shared" si="207"/>
        <v>83.020833333333329</v>
      </c>
      <c r="AS283" s="45">
        <f>('[2]Renewable Diesel'!M292*'[2]RD Feedstock Breakdown'!AS$3*'[2]Feedstock Conversion Rates'!B$4)/12</f>
        <v>456.25</v>
      </c>
      <c r="AT283" s="45">
        <f>('[2]Renewable Diesel'!M292*'[2]RD Feedstock Breakdown'!AT$3*'[2]Feedstock Conversion Rates'!B$5)/12</f>
        <v>0</v>
      </c>
      <c r="AU283" s="47">
        <f t="shared" si="244"/>
        <v>456.25</v>
      </c>
      <c r="AV283" s="45">
        <f>'[2]Renewable Diesel'!N292*'[2]RD Feedstock Breakdown'!$AV$3*'[2]Feedstock Conversion Rates'!$B$4/12-15-10+25+25-22+25-77.5+56</f>
        <v>85.249999999999986</v>
      </c>
      <c r="AW283" s="45">
        <f>'[2]Renewable Diesel'!N292*'[2]RD Feedstock Breakdown'!$AW$3*'[2]Feedstock Conversion Rates'!$B$7/12+15+10-25-25+22-25+77.5-56</f>
        <v>34.900000000000006</v>
      </c>
      <c r="AX283" s="47">
        <f t="shared" si="193"/>
        <v>120.14999999999999</v>
      </c>
      <c r="AY283" s="45">
        <f>('[2]Renewable Diesel'!O292*'[2]RD Feedstock Breakdown'!AY$3*'[2]Feedstock Conversion Rates'!B$4)/12-95-250</f>
        <v>-134.0625</v>
      </c>
      <c r="AZ283" s="45">
        <f>('[2]Renewable Diesel'!O292*'[2]RD Feedstock Breakdown'!AZ$3*'[2]Feedstock Conversion Rates'!B$3)/12+95+250</f>
        <v>370.03125</v>
      </c>
      <c r="BA283" s="47">
        <f t="shared" si="173"/>
        <v>235.96875</v>
      </c>
      <c r="BB283" s="45">
        <f>('[2]Renewable Diesel'!Q292*'[2]RD Feedstock Breakdown'!BB$3*'[2]Feedstock Conversion Rates'!B$4)/12</f>
        <v>11.156249999999998</v>
      </c>
      <c r="BC283" s="45">
        <f>('[2]Renewable Diesel'!Q292*'[2]RD Feedstock Breakdown'!BC$3*'[2]Feedstock Conversion Rates'!B$3)/12</f>
        <v>1.4017500000000001</v>
      </c>
      <c r="BD283" s="45">
        <f>('[2]Renewable Diesel'!Q292*'[2]RD Feedstock Breakdown'!BD$3*'[2]Feedstock Conversion Rates'!B$6)/12</f>
        <v>0.8207500000000002</v>
      </c>
      <c r="BE283" s="47">
        <f t="shared" si="231"/>
        <v>13.378749999999998</v>
      </c>
      <c r="BF283" s="45">
        <f>('[2]Renewable Diesel'!R292*'[2]RD Feedstock Breakdown'!BF$3*'[2]Feedstock Conversion Rates'!B$4)/12</f>
        <v>62.5</v>
      </c>
      <c r="BG283" s="47">
        <f t="shared" si="215"/>
        <v>62.5</v>
      </c>
      <c r="BH283" s="45">
        <f>('[2]Renewable Diesel'!T292*'[2]RD Feedstock Breakdown'!BH$3*'[2]Feedstock Conversion Rates'!B$7)/12</f>
        <v>27.599999999999998</v>
      </c>
      <c r="BI283" s="47">
        <f t="shared" si="195"/>
        <v>27.599999999999998</v>
      </c>
      <c r="BJ283" s="45">
        <f>('[2]Renewable Diesel'!W292*'[2]RD Feedstock Breakdown'!BJ$3*'[2]Feedstock Conversion Rates'!B$4)/12</f>
        <v>7.5</v>
      </c>
      <c r="BK283" s="45">
        <f>('[2]Renewable Diesel'!W292*'[2]RD Feedstock Breakdown'!BK$3*'[2]Feedstock Conversion Rates'!B$3)/12</f>
        <v>1.335</v>
      </c>
      <c r="BL283" s="45">
        <f>('[2]Renewable Diesel'!W292*'[2]RD Feedstock Breakdown'!BL$3*'[2]Feedstock Conversion Rates'!B$6)/12</f>
        <v>3.1266666666666669</v>
      </c>
      <c r="BM283" s="45">
        <f>('[2]Renewable Diesel'!W292*'[2]RD Feedstock Breakdown'!BM$3*'[2]Feedstock Conversion Rates'!B$7)/12</f>
        <v>1.5333333333333332</v>
      </c>
      <c r="BN283" s="47">
        <f t="shared" si="248"/>
        <v>13.495000000000001</v>
      </c>
      <c r="BO283" s="45">
        <f>('[2]Renewable Diesel'!P292*'[2]Feedstock Conversion Rates'!B$4)/12</f>
        <v>31.25</v>
      </c>
      <c r="BP283" s="47">
        <f t="shared" si="237"/>
        <v>31.25</v>
      </c>
      <c r="BQ283" s="45">
        <f>('[2]Renewable Diesel'!$S292*'[2]RD Feedstock Breakdown'!BQ$3*'[2]Feedstock Conversion Rates'!B$4)/12+10+15-15</f>
        <v>38.125</v>
      </c>
      <c r="BR283" s="45">
        <f>('[2]Renewable Diesel'!$S292*'[2]RD Feedstock Breakdown'!BR$3*'[2]Feedstock Conversion Rates'!B$7)/12-10-15+15</f>
        <v>1.5</v>
      </c>
      <c r="BS283" s="47">
        <f t="shared" si="174"/>
        <v>39.625</v>
      </c>
      <c r="BT283" s="47"/>
      <c r="BU283" s="45">
        <f>('[2]Renewable Diesel'!Y292*'[2]Feedstock Conversion Rates'!B$7)/12</f>
        <v>2.6833333333333331</v>
      </c>
      <c r="BV283" s="47">
        <f t="shared" si="233"/>
        <v>2.6833333333333331</v>
      </c>
      <c r="BW283" s="45">
        <f>('[2]Renewable Diesel'!$Z292*'[2]RD Feedstock Breakdown'!BW$3*'[2]Feedstock Conversion Rates'!$B$4)/12</f>
        <v>71.875</v>
      </c>
      <c r="BX283" s="45">
        <f>('[2]Renewable Diesel'!$Z292*'[2]RD Feedstock Breakdown'!BX$3*'[2]Feedstock Conversion Rates'!$B$5)/12</f>
        <v>7.2354166666666666</v>
      </c>
      <c r="BY283" s="45">
        <f>('[2]Renewable Diesel'!$Z292*'[2]RD Feedstock Breakdown'!BY$3*'[2]Feedstock Conversion Rates'!$B$7)/12</f>
        <v>61.716666666666661</v>
      </c>
      <c r="BZ283" s="45">
        <f>('[2]Renewable Diesel'!$Z292*'[2]RD Feedstock Breakdown'!BZ$3*'[2]Feedstock Conversion Rates'!$B$3)/12</f>
        <v>15.352499999999999</v>
      </c>
      <c r="CA283" s="47">
        <f t="shared" si="181"/>
        <v>156.17958333333331</v>
      </c>
      <c r="CB283" s="45">
        <f>('[2]Renewable Diesel'!AA292*'[2]Feedstock Conversion Rates'!B$4)/12</f>
        <v>191.25</v>
      </c>
      <c r="CC283" s="47">
        <f t="shared" si="171"/>
        <v>191.25</v>
      </c>
      <c r="CD283" s="45">
        <f>('[2]Renewable Diesel'!$AB292*'[2]RD Feedstock Breakdown'!CD$3*'[2]Feedstock Conversion Rates'!$B$6)/12-15-5</f>
        <v>12.830000000000005</v>
      </c>
      <c r="CE283" s="45">
        <f>('[2]Renewable Diesel'!$AB292*'[2]RD Feedstock Breakdown'!CE$3*'[2]Feedstock Conversion Rates'!$B$4)/12+15+5</f>
        <v>31.25</v>
      </c>
      <c r="CF283" s="47">
        <f t="shared" si="247"/>
        <v>44.080000000000005</v>
      </c>
      <c r="CG283" s="45">
        <f>('[2]Renewable Diesel'!AD292*'[2]Feedstock Conversion Rates'!B$4)/12</f>
        <v>112.5</v>
      </c>
      <c r="CH283" s="47">
        <f t="shared" si="230"/>
        <v>112.5</v>
      </c>
      <c r="CI283" s="45">
        <f>('[2]Renewable Diesel'!$AE292*'[2]RD Feedstock Breakdown'!CI$3*'[2]Feedstock Conversion Rates'!$B$5)/12</f>
        <v>0.34604166666666664</v>
      </c>
      <c r="CJ283" s="45">
        <f>('[2]Renewable Diesel'!$AE292*'[2]RD Feedstock Breakdown'!CJ$3*'[2]Feedstock Conversion Rates'!$B$4)/12</f>
        <v>0.34375</v>
      </c>
      <c r="CK283" s="47">
        <f t="shared" si="238"/>
        <v>0.68979166666666658</v>
      </c>
      <c r="CL283" s="45">
        <f>(((CL$3*'[2]Renewable Diesel'!$AF292)*'[2]Feedstock Conversion Rates'!$B$3)/12)</f>
        <v>91.78125</v>
      </c>
      <c r="CM283" s="45">
        <f>(((CM$3*'[2]Renewable Diesel'!$AF292)*'[2]Feedstock Conversion Rates'!$B$6)/12)</f>
        <v>53.739583333333336</v>
      </c>
      <c r="CN283" s="45">
        <f>(((CN$3*'[2]Renewable Diesel'!$AF292)*'[2]Feedstock Conversion Rates'!$B$4)/12)</f>
        <v>42.96875</v>
      </c>
      <c r="CO283" s="47">
        <f t="shared" si="232"/>
        <v>188.48958333333334</v>
      </c>
      <c r="CP283" s="45">
        <f>('[2]Renewable Diesel'!$AG292*'[2]RD Feedstock Breakdown'!CP$3*'[2]Feedstock Conversion Rates'!$B$3)/12+4-4</f>
        <v>6.0075000000000003</v>
      </c>
      <c r="CQ283" s="45">
        <f>('[2]Renewable Diesel'!$AG292*'[2]RD Feedstock Breakdown'!CQ$3*'[2]Feedstock Conversion Rates'!$B$6)/12</f>
        <v>3.5175000000000001</v>
      </c>
      <c r="CR283" s="45">
        <f>('[2]Renewable Diesel'!$AG292*'[2]RD Feedstock Breakdown'!CR$3*'[2]Feedstock Conversion Rates'!$B$4)/12-4+4</f>
        <v>2.8125</v>
      </c>
      <c r="CS283" s="47">
        <f t="shared" si="183"/>
        <v>12.3375</v>
      </c>
      <c r="CT283" s="45">
        <f>('[2]Renewable Diesel'!AI292*'[2]Feedstock Conversion Rates'!$B$4*'[2]RD Feedstock Breakdown'!$CT$3)/12</f>
        <v>29.375</v>
      </c>
      <c r="CU283" s="47">
        <f t="shared" si="234"/>
        <v>29.375</v>
      </c>
      <c r="CV283" s="45">
        <f>('[2]Renewable Diesel'!AN292*'[2]Feedstock Conversion Rates'!$B$3*'[2]RD Feedstock Breakdown'!$CV$3)/12</f>
        <v>0.50062499999999999</v>
      </c>
      <c r="CW283" s="47">
        <f t="shared" si="206"/>
        <v>0.50062499999999999</v>
      </c>
      <c r="CX283" s="45">
        <f>('[2]Renewable Diesel'!AO292*'[2]RD Feedstock Breakdown'!$CX$3*'[2]Feedstock Conversion Rates'!$B$3)/12</f>
        <v>6.3412499999999996</v>
      </c>
      <c r="CY283" s="45">
        <f>('[2]Renewable Diesel'!AO292*'[2]RD Feedstock Breakdown'!$CY$3*'[2]Feedstock Conversion Rates'!$B$6)/12</f>
        <v>7.4258333333333342</v>
      </c>
      <c r="CZ283" s="47">
        <f t="shared" si="188"/>
        <v>13.767083333333334</v>
      </c>
      <c r="DA283" s="45">
        <f>('[2]Renewable Diesel'!$AP292*'[2]RD Feedstock Breakdown'!DA$3*'[2]Feedstock Conversion Rates'!$B$3)/12</f>
        <v>6.3412499999999996</v>
      </c>
      <c r="DB283" s="45">
        <f>('[2]Renewable Diesel'!$AP292*'[2]RD Feedstock Breakdown'!DB$3*'[2]Feedstock Conversion Rates'!$B$8)/12</f>
        <v>7.421875</v>
      </c>
      <c r="DC283" s="47">
        <f t="shared" si="212"/>
        <v>13.763124999999999</v>
      </c>
      <c r="DD283" s="45">
        <f>('[2]Renewable Diesel'!AQ292*$DD$3*'[2]Feedstock Conversion Rates'!$B$14)/12</f>
        <v>3.1041666666666665</v>
      </c>
      <c r="DE283" s="47">
        <f t="shared" si="213"/>
        <v>3.1041666666666665</v>
      </c>
      <c r="DF283" s="45">
        <f>('[2]Renewable Diesel'!AR292*'[2]Feedstock Conversion Rates'!$B$4*$DF$3)/12</f>
        <v>75</v>
      </c>
      <c r="DG283" s="47">
        <f t="shared" si="189"/>
        <v>75</v>
      </c>
      <c r="DH283" s="45">
        <f>('[2]Renewable Diesel'!AS292*'[2]Feedstock Conversion Rates'!$B$4*$DH$3)/12</f>
        <v>75</v>
      </c>
      <c r="DI283" s="47">
        <f t="shared" si="194"/>
        <v>75</v>
      </c>
      <c r="DJ283" s="45">
        <f>('[2]Renewable Diesel'!AT292*'[2]Feedstock Conversion Rates'!$B$4*0.25)/12</f>
        <v>8.59375</v>
      </c>
      <c r="DK283" s="45">
        <f>('[2]Renewable Diesel'!$AT292*'[2]RD Feedstock Breakdown'!DK$3*'[2]Feedstock Conversion Rates'!$B$3)/12*0.5</f>
        <v>9.1781249999999996</v>
      </c>
      <c r="DL283" s="45">
        <f>('[2]Renewable Diesel'!$AT292*'[2]RD Feedstock Breakdown'!$DL$3*'[2]Feedstock Conversion Rates'!$B$6)/12</f>
        <v>10.747916666666669</v>
      </c>
      <c r="DM283" s="45">
        <f>('[2]Renewable Diesel'!$AT292*'[2]RD Feedstock Breakdown'!$DM$3*'[2]Feedstock Conversion Rates'!$B$8)/12</f>
        <v>10.7421875</v>
      </c>
      <c r="DN283" s="47">
        <f t="shared" si="249"/>
        <v>39.26197916666667</v>
      </c>
      <c r="DP283" s="45">
        <f t="shared" si="216"/>
        <v>138.72025000000002</v>
      </c>
      <c r="DQ283" s="45">
        <f t="shared" si="217"/>
        <v>792.61776750000001</v>
      </c>
      <c r="DR283" s="45">
        <f t="shared" si="224"/>
        <v>1691.953125</v>
      </c>
      <c r="DS283" s="45">
        <f t="shared" si="235"/>
        <v>48.401250000000005</v>
      </c>
      <c r="DT283" s="45">
        <f t="shared" si="218"/>
        <v>249.53923333333344</v>
      </c>
      <c r="DU283" s="45">
        <f t="shared" si="219"/>
        <v>326.40610000000004</v>
      </c>
      <c r="DV283" s="45">
        <f t="shared" si="225"/>
        <v>5.25</v>
      </c>
      <c r="DW283" s="45">
        <f t="shared" si="220"/>
        <v>3</v>
      </c>
      <c r="DX283" s="47">
        <f t="shared" si="226"/>
        <v>3255.8877258333337</v>
      </c>
      <c r="DY283" s="50">
        <f t="shared" si="208"/>
        <v>-135.00000000000048</v>
      </c>
      <c r="EA283" s="51">
        <f t="shared" si="204"/>
        <v>4.2605968534893207E-2</v>
      </c>
      <c r="EB283" s="51">
        <f t="shared" si="204"/>
        <v>0.24344136967964156</v>
      </c>
      <c r="EC283" s="51">
        <f t="shared" si="204"/>
        <v>0.5196595421812189</v>
      </c>
      <c r="ED283" s="51">
        <f t="shared" si="204"/>
        <v>1.4865761376219404E-2</v>
      </c>
      <c r="EE283" s="51">
        <f t="shared" si="204"/>
        <v>7.6642456480732826E-2</v>
      </c>
      <c r="EF283" s="51">
        <f t="shared" si="204"/>
        <v>0.10025103058996221</v>
      </c>
      <c r="EG283" s="51">
        <f t="shared" si="204"/>
        <v>1.6124634637566563E-3</v>
      </c>
      <c r="EH283" s="52">
        <f t="shared" si="227"/>
        <v>9.2140769357523225E-4</v>
      </c>
      <c r="EI283" s="51">
        <f t="shared" si="191"/>
        <v>0.99907859230642482</v>
      </c>
      <c r="EK283" s="53">
        <f>(EA283*'[2]Renewable Diesel'!BF292*'[2]Feedstock Conversion Rates'!B$2)+FB283</f>
        <v>217.57302261159703</v>
      </c>
      <c r="EL283" s="53">
        <f>(EB283*'[2]Renewable Diesel'!BF292*'[2]Feedstock Conversion Rates'!B$3)+FC283</f>
        <v>1171.5007637903111</v>
      </c>
      <c r="EM283" s="53">
        <f>(EC283*'[2]Renewable Diesel'!BF292*'[2]Feedstock Conversion Rates'!B$4)+FD283</f>
        <v>2341.5090836544218</v>
      </c>
      <c r="EN283" s="53">
        <f>(ED283*'[2]Renewable Diesel'!BF292*'[2]Feedstock Conversion Rates'!B$5)+FE283</f>
        <v>67.429476203010509</v>
      </c>
      <c r="EO283" s="53">
        <f>(EE283*'[2]Renewable Diesel'!BF292*'[2]Feedstock Conversion Rates'!B$6)+FF283</f>
        <v>431.9047013947777</v>
      </c>
      <c r="EP283" s="53">
        <f>(EF283*'[2]Renewable Diesel'!BF292*'[2]Feedstock Conversion Rates'!B$7)+FG283</f>
        <v>554.10535896605404</v>
      </c>
      <c r="EQ283" s="53">
        <f>(EG283*'[2]Renewable Diesel'!BF292*'[2]Feedstock Conversion Rates'!B$8)+FH283</f>
        <v>9.0819025269876441</v>
      </c>
      <c r="ER283" s="53">
        <f>(EH283*'[2]Renewable Diesel'!BF292*'[2]Feedstock Conversion Rates'!B$9)+FI283</f>
        <v>5.1204631390254143</v>
      </c>
      <c r="ES283" s="53">
        <f t="shared" si="228"/>
        <v>4798.2247722861848</v>
      </c>
      <c r="ET283" s="36">
        <f>ES283/'[2]Renewable Diesel'!BF292</f>
        <v>7.9866547577853346</v>
      </c>
    </row>
    <row r="284" spans="1:150" x14ac:dyDescent="0.25">
      <c r="A284" s="39">
        <v>49065</v>
      </c>
      <c r="B284" s="45">
        <f t="shared" si="239"/>
        <v>0.75</v>
      </c>
      <c r="C284" s="45">
        <f t="shared" si="240"/>
        <v>10</v>
      </c>
      <c r="D284" s="45">
        <f t="shared" si="241"/>
        <v>2</v>
      </c>
      <c r="E284" s="45">
        <f>('[2]Renewable Diesel'!B293*E$3*'[2]Feedstock Conversion Rates'!$B$2)/12+26+13-100+27.5+39+105-40-14-26+55.5-51+29</f>
        <v>153.93</v>
      </c>
      <c r="F284" s="45">
        <f>('[2]Renewable Diesel'!B293*'[2]RD Feedstock Breakdown'!F$3*'[2]Feedstock Conversion Rates'!B$8)/12+77+23-10-12-115.75+24+8-33+5-16</f>
        <v>4.15625</v>
      </c>
      <c r="G284" s="45">
        <f>('[2]Renewable Diesel'!B293*'[2]RD Feedstock Breakdown'!G$3*'[2]Feedstock Conversion Rates'!B$7)/12+116.75-39-57.5-145-31.5+32+70-40+10-70-20+40+13</f>
        <v>54.907000000000039</v>
      </c>
      <c r="H284" s="45">
        <f>('[2]Renewable Diesel'!B293*'[2]RD Feedstock Breakdown'!H$3*'[2]Feedstock Conversion Rates'!B$3)/12+67+10+12+3-235+20+47-20+15+75-55+140+15</f>
        <v>270.40022499999998</v>
      </c>
      <c r="I284" s="47">
        <f t="shared" si="245"/>
        <v>496.14347500000002</v>
      </c>
      <c r="J284" s="45">
        <f t="shared" si="242"/>
        <v>18</v>
      </c>
      <c r="K284" s="45"/>
      <c r="L284" s="45">
        <v>1</v>
      </c>
      <c r="M284" s="45">
        <f>('[2]Renewable Diesel'!C293*'[2]RD Feedstock Breakdown'!M$3*'[2]Feedstock Conversion Rates'!B$2)/12-55+32</f>
        <v>-15.20975</v>
      </c>
      <c r="N284" s="45">
        <f>('[2]Renewable Diesel'!C293*'[2]RD Feedstock Breakdown'!N$3*'[2]Feedstock Conversion Rates'!B$8)/12-7-20+7.5-15</f>
        <v>-30.828125</v>
      </c>
      <c r="O284" s="45">
        <f>('[2]Renewable Diesel'!C293*'[2]RD Feedstock Breakdown'!O$3*'[2]Feedstock Conversion Rates'!B$7)/12-35-35+145-40</f>
        <v>46.999099999999999</v>
      </c>
      <c r="P284" s="45">
        <f>('[2]Renewable Diesel'!C293*'[2]RD Feedstock Breakdown'!P$3*'[2]Feedstock Conversion Rates'!B$3)/12+15+35-34-37.5+20+5</f>
        <v>13.947042500000002</v>
      </c>
      <c r="Q284" s="47">
        <f t="shared" si="172"/>
        <v>33.908267500000001</v>
      </c>
      <c r="R284" s="45">
        <f>('[2]Renewable Diesel'!D293*'[2]RD Feedstock Breakdown'!R$3*'[2]Feedstock Conversion Rates'!B$7)/12</f>
        <v>2.2999999999999998</v>
      </c>
      <c r="S284" s="47">
        <f t="shared" si="203"/>
        <v>2.2999999999999998</v>
      </c>
      <c r="T284" s="45">
        <f t="shared" si="246"/>
        <v>0.82500000000000284</v>
      </c>
      <c r="U284" s="45">
        <v>30</v>
      </c>
      <c r="V284" s="45">
        <f>('[2]Renewable Diesel'!E293*'[2]RD Feedstock Breakdown'!V$3*'[2]Feedstock Conversion Rates'!B$6)/12-20+25-35</f>
        <v>14.250150000000012</v>
      </c>
      <c r="W284" s="45">
        <f>('[2]Renewable Diesel'!E293*'[2]RD Feedstock Breakdown'!W$3*'[2]Feedstock Conversion Rates'!B$8)/12-6+5</f>
        <v>21.1796875</v>
      </c>
      <c r="X284" s="47">
        <f t="shared" si="229"/>
        <v>66.254837500000008</v>
      </c>
      <c r="Y284" s="45">
        <f t="shared" si="243"/>
        <v>102</v>
      </c>
      <c r="Z284" s="45">
        <f>('[2]Renewable Diesel'!F293*'[2]RD Feedstock Breakdown'!Z$3*'[2]Feedstock Conversion Rates'!B$6)/12-142+15+5-5+70-41-10+14+4</f>
        <v>69.460000000000008</v>
      </c>
      <c r="AA284" s="45">
        <f>('[2]Renewable Diesel'!F293*'[2]RD Feedstock Breakdown'!AA$3*'[2]Feedstock Conversion Rates'!B$7)/12+24-10-25-1</f>
        <v>92.266666666666652</v>
      </c>
      <c r="AB284" s="47">
        <f t="shared" si="190"/>
        <v>263.72666666666669</v>
      </c>
      <c r="AC284" s="45">
        <f>('[2]Renewable Diesel'!G293*'[2]RD Feedstock Breakdown'!AC$3*'[2]Feedstock Conversion Rates'!B$5)/12</f>
        <v>11.796875</v>
      </c>
      <c r="AD284" s="45">
        <f>('[2]Renewable Diesel'!G293*'[2]RD Feedstock Breakdown'!AD$3*'[2]Feedstock Conversion Rates'!B$4)/12</f>
        <v>5.859375</v>
      </c>
      <c r="AE284" s="45">
        <f>('[2]Renewable Diesel'!G293*'[2]RD Feedstock Breakdown'!AE$3*'[2]Feedstock Conversion Rates'!B$6)/12</f>
        <v>7.3281250000000009</v>
      </c>
      <c r="AF284" s="47">
        <f t="shared" si="236"/>
        <v>24.984375</v>
      </c>
      <c r="AG284" s="45">
        <f t="shared" si="182"/>
        <v>6.5</v>
      </c>
      <c r="AH284" s="45">
        <v>135</v>
      </c>
      <c r="AI284" s="45">
        <f>('[2]Renewable Diesel'!H293*'[2]RD Feedstock Breakdown'!AI$3*'[2]Feedstock Conversion Rates'!B$6)/12-130-20+51-52.5+10</f>
        <v>7.0166666666666799</v>
      </c>
      <c r="AJ284" s="47">
        <f t="shared" si="202"/>
        <v>13.51666666666668</v>
      </c>
      <c r="AK284" s="45">
        <f>('[2]Renewable Diesel'!J293*'[2]RD Feedstock Breakdown'!AK$3*'[2]Feedstock Conversion Rates'!B$4)/12</f>
        <v>95.8125</v>
      </c>
      <c r="AL284" s="47">
        <f t="shared" si="205"/>
        <v>95.8125</v>
      </c>
      <c r="AM284" s="45">
        <f>('[2]Renewable Diesel'!K293*'[2]RD Feedstock Breakdown'!AM$3*'[2]Feedstock Conversion Rates'!B$4)/12+5+15-10-5+10-35</f>
        <v>38.59375</v>
      </c>
      <c r="AN284" s="45">
        <f>('[2]Renewable Diesel'!K293*'[2]RD Feedstock Breakdown'!AN$3*'[2]Feedstock Conversion Rates'!B$6)/12-5-15+10+5-10+35</f>
        <v>44.427083333333329</v>
      </c>
      <c r="AO284" s="47">
        <f t="shared" si="223"/>
        <v>83.020833333333329</v>
      </c>
      <c r="AP284" s="45">
        <f>('[2]Renewable Diesel'!L293*'[2]RD Feedstock Breakdown'!AP$3*'[2]Feedstock Conversion Rates'!B$4)/12+15-10-10+22</f>
        <v>75.59375</v>
      </c>
      <c r="AQ284" s="45">
        <f>('[2]Renewable Diesel'!L293*'[2]RD Feedstock Breakdown'!AQ$3*'[2]Feedstock Conversion Rates'!B$6)/12-15+10+10-22</f>
        <v>7.4270833333333321</v>
      </c>
      <c r="AR284" s="47">
        <f t="shared" si="207"/>
        <v>83.020833333333329</v>
      </c>
      <c r="AS284" s="45">
        <f>('[2]Renewable Diesel'!M293*'[2]RD Feedstock Breakdown'!AS$3*'[2]Feedstock Conversion Rates'!B$4)/12</f>
        <v>456.25</v>
      </c>
      <c r="AT284" s="45">
        <f>('[2]Renewable Diesel'!M293*'[2]RD Feedstock Breakdown'!AT$3*'[2]Feedstock Conversion Rates'!B$5)/12</f>
        <v>0</v>
      </c>
      <c r="AU284" s="47">
        <f t="shared" si="244"/>
        <v>456.25</v>
      </c>
      <c r="AV284" s="45">
        <f>'[2]Renewable Diesel'!N293*'[2]RD Feedstock Breakdown'!$AV$3*'[2]Feedstock Conversion Rates'!$B$4/12-15-10+25+25-22+25-77.5+56</f>
        <v>85.249999999999986</v>
      </c>
      <c r="AW284" s="45">
        <f>'[2]Renewable Diesel'!N293*'[2]RD Feedstock Breakdown'!$AW$3*'[2]Feedstock Conversion Rates'!$B$7/12+15+10-25-25+22-25+77.5-56</f>
        <v>34.900000000000006</v>
      </c>
      <c r="AX284" s="47">
        <f t="shared" si="193"/>
        <v>120.14999999999999</v>
      </c>
      <c r="AY284" s="45">
        <f>('[2]Renewable Diesel'!O293*'[2]RD Feedstock Breakdown'!AY$3*'[2]Feedstock Conversion Rates'!B$4)/12-95-250</f>
        <v>-134.0625</v>
      </c>
      <c r="AZ284" s="45">
        <f>('[2]Renewable Diesel'!O293*'[2]RD Feedstock Breakdown'!AZ$3*'[2]Feedstock Conversion Rates'!B$3)/12+95+250</f>
        <v>370.03125</v>
      </c>
      <c r="BA284" s="47">
        <f t="shared" si="173"/>
        <v>235.96875</v>
      </c>
      <c r="BB284" s="45">
        <f>('[2]Renewable Diesel'!Q293*'[2]RD Feedstock Breakdown'!BB$3*'[2]Feedstock Conversion Rates'!B$4)/12</f>
        <v>11.156249999999998</v>
      </c>
      <c r="BC284" s="45">
        <f>('[2]Renewable Diesel'!Q293*'[2]RD Feedstock Breakdown'!BC$3*'[2]Feedstock Conversion Rates'!B$3)/12</f>
        <v>1.4017500000000001</v>
      </c>
      <c r="BD284" s="45">
        <f>('[2]Renewable Diesel'!Q293*'[2]RD Feedstock Breakdown'!BD$3*'[2]Feedstock Conversion Rates'!B$6)/12</f>
        <v>0.8207500000000002</v>
      </c>
      <c r="BE284" s="47">
        <f t="shared" si="231"/>
        <v>13.378749999999998</v>
      </c>
      <c r="BF284" s="45">
        <f>('[2]Renewable Diesel'!R293*'[2]RD Feedstock Breakdown'!BF$3*'[2]Feedstock Conversion Rates'!B$4)/12</f>
        <v>62.5</v>
      </c>
      <c r="BG284" s="47">
        <f t="shared" si="215"/>
        <v>62.5</v>
      </c>
      <c r="BH284" s="45">
        <f>('[2]Renewable Diesel'!T293*'[2]RD Feedstock Breakdown'!BH$3*'[2]Feedstock Conversion Rates'!B$7)/12</f>
        <v>27.599999999999998</v>
      </c>
      <c r="BI284" s="47">
        <f t="shared" si="195"/>
        <v>27.599999999999998</v>
      </c>
      <c r="BJ284" s="45">
        <f>('[2]Renewable Diesel'!W293*'[2]RD Feedstock Breakdown'!BJ$3*'[2]Feedstock Conversion Rates'!B$4)/12</f>
        <v>7.5</v>
      </c>
      <c r="BK284" s="45">
        <f>('[2]Renewable Diesel'!W293*'[2]RD Feedstock Breakdown'!BK$3*'[2]Feedstock Conversion Rates'!B$3)/12</f>
        <v>1.335</v>
      </c>
      <c r="BL284" s="45">
        <f>('[2]Renewable Diesel'!W293*'[2]RD Feedstock Breakdown'!BL$3*'[2]Feedstock Conversion Rates'!B$6)/12</f>
        <v>3.1266666666666669</v>
      </c>
      <c r="BM284" s="45">
        <f>('[2]Renewable Diesel'!W293*'[2]RD Feedstock Breakdown'!BM$3*'[2]Feedstock Conversion Rates'!B$7)/12</f>
        <v>1.5333333333333332</v>
      </c>
      <c r="BN284" s="47">
        <f t="shared" si="248"/>
        <v>13.495000000000001</v>
      </c>
      <c r="BO284" s="45">
        <f>('[2]Renewable Diesel'!P293*'[2]Feedstock Conversion Rates'!B$4)/12</f>
        <v>31.25</v>
      </c>
      <c r="BP284" s="47">
        <f t="shared" si="237"/>
        <v>31.25</v>
      </c>
      <c r="BQ284" s="45">
        <f>('[2]Renewable Diesel'!$S293*'[2]RD Feedstock Breakdown'!BQ$3*'[2]Feedstock Conversion Rates'!B$4)/12+10+15-15</f>
        <v>38.125</v>
      </c>
      <c r="BR284" s="45">
        <f>('[2]Renewable Diesel'!$S293*'[2]RD Feedstock Breakdown'!BR$3*'[2]Feedstock Conversion Rates'!B$7)/12-10-15+15</f>
        <v>1.5</v>
      </c>
      <c r="BS284" s="47">
        <f t="shared" si="174"/>
        <v>39.625</v>
      </c>
      <c r="BT284" s="47"/>
      <c r="BU284" s="45">
        <f>('[2]Renewable Diesel'!Y293*'[2]Feedstock Conversion Rates'!B$7)/12</f>
        <v>2.6833333333333331</v>
      </c>
      <c r="BV284" s="47">
        <f t="shared" si="233"/>
        <v>2.6833333333333331</v>
      </c>
      <c r="BW284" s="45">
        <f>('[2]Renewable Diesel'!$Z293*'[2]RD Feedstock Breakdown'!BW$3*'[2]Feedstock Conversion Rates'!$B$4)/12</f>
        <v>71.875</v>
      </c>
      <c r="BX284" s="45">
        <f>('[2]Renewable Diesel'!$Z293*'[2]RD Feedstock Breakdown'!BX$3*'[2]Feedstock Conversion Rates'!$B$5)/12</f>
        <v>7.2354166666666666</v>
      </c>
      <c r="BY284" s="45">
        <f>('[2]Renewable Diesel'!$Z293*'[2]RD Feedstock Breakdown'!BY$3*'[2]Feedstock Conversion Rates'!$B$7)/12</f>
        <v>61.716666666666661</v>
      </c>
      <c r="BZ284" s="45">
        <f>('[2]Renewable Diesel'!$Z293*'[2]RD Feedstock Breakdown'!BZ$3*'[2]Feedstock Conversion Rates'!$B$3)/12</f>
        <v>15.352499999999999</v>
      </c>
      <c r="CA284" s="47">
        <f t="shared" si="181"/>
        <v>156.17958333333331</v>
      </c>
      <c r="CB284" s="45">
        <f>('[2]Renewable Diesel'!AA293*'[2]Feedstock Conversion Rates'!B$4)/12</f>
        <v>191.25</v>
      </c>
      <c r="CC284" s="47">
        <f t="shared" ref="CC284:CC347" si="250">CB284</f>
        <v>191.25</v>
      </c>
      <c r="CD284" s="45">
        <f>('[2]Renewable Diesel'!$AB293*'[2]RD Feedstock Breakdown'!CD$3*'[2]Feedstock Conversion Rates'!$B$6)/12-15-5</f>
        <v>12.830000000000005</v>
      </c>
      <c r="CE284" s="45">
        <f>('[2]Renewable Diesel'!$AB293*'[2]RD Feedstock Breakdown'!CE$3*'[2]Feedstock Conversion Rates'!$B$4)/12+15+5</f>
        <v>31.25</v>
      </c>
      <c r="CF284" s="47">
        <f t="shared" si="247"/>
        <v>44.080000000000005</v>
      </c>
      <c r="CG284" s="45">
        <f>('[2]Renewable Diesel'!AD293*'[2]Feedstock Conversion Rates'!B$4)/12</f>
        <v>112.5</v>
      </c>
      <c r="CH284" s="47">
        <f t="shared" si="230"/>
        <v>112.5</v>
      </c>
      <c r="CI284" s="45">
        <f>('[2]Renewable Diesel'!$AE293*'[2]RD Feedstock Breakdown'!CI$3*'[2]Feedstock Conversion Rates'!$B$5)/12</f>
        <v>0.34604166666666664</v>
      </c>
      <c r="CJ284" s="45">
        <f>('[2]Renewable Diesel'!$AE293*'[2]RD Feedstock Breakdown'!CJ$3*'[2]Feedstock Conversion Rates'!$B$4)/12</f>
        <v>0.34375</v>
      </c>
      <c r="CK284" s="47">
        <f t="shared" si="238"/>
        <v>0.68979166666666658</v>
      </c>
      <c r="CL284" s="45">
        <f>(((CL$3*'[2]Renewable Diesel'!$AF293)*'[2]Feedstock Conversion Rates'!$B$3)/12)</f>
        <v>91.78125</v>
      </c>
      <c r="CM284" s="45">
        <f>(((CM$3*'[2]Renewable Diesel'!$AF293)*'[2]Feedstock Conversion Rates'!$B$6)/12)</f>
        <v>53.739583333333336</v>
      </c>
      <c r="CN284" s="45">
        <f>(((CN$3*'[2]Renewable Diesel'!$AF293)*'[2]Feedstock Conversion Rates'!$B$4)/12)</f>
        <v>42.96875</v>
      </c>
      <c r="CO284" s="47">
        <f t="shared" si="232"/>
        <v>188.48958333333334</v>
      </c>
      <c r="CP284" s="45">
        <f>('[2]Renewable Diesel'!$AG293*'[2]RD Feedstock Breakdown'!CP$3*'[2]Feedstock Conversion Rates'!$B$3)/12+4-4</f>
        <v>6.0075000000000003</v>
      </c>
      <c r="CQ284" s="45">
        <f>('[2]Renewable Diesel'!$AG293*'[2]RD Feedstock Breakdown'!CQ$3*'[2]Feedstock Conversion Rates'!$B$6)/12</f>
        <v>3.5175000000000001</v>
      </c>
      <c r="CR284" s="45">
        <f>('[2]Renewable Diesel'!$AG293*'[2]RD Feedstock Breakdown'!CR$3*'[2]Feedstock Conversion Rates'!$B$4)/12-4+4</f>
        <v>2.8125</v>
      </c>
      <c r="CS284" s="47">
        <f t="shared" si="183"/>
        <v>12.3375</v>
      </c>
      <c r="CT284" s="45">
        <f>('[2]Renewable Diesel'!AI293*'[2]Feedstock Conversion Rates'!$B$4*'[2]RD Feedstock Breakdown'!$CT$3)/12</f>
        <v>29.375</v>
      </c>
      <c r="CU284" s="47">
        <f t="shared" si="234"/>
        <v>29.375</v>
      </c>
      <c r="CV284" s="45">
        <f>('[2]Renewable Diesel'!AN293*'[2]Feedstock Conversion Rates'!$B$3*'[2]RD Feedstock Breakdown'!$CV$3)/12</f>
        <v>0.50062499999999999</v>
      </c>
      <c r="CW284" s="47">
        <f t="shared" si="206"/>
        <v>0.50062499999999999</v>
      </c>
      <c r="CX284" s="45">
        <f>('[2]Renewable Diesel'!AO293*'[2]RD Feedstock Breakdown'!$CX$3*'[2]Feedstock Conversion Rates'!$B$3)/12</f>
        <v>6.3412499999999996</v>
      </c>
      <c r="CY284" s="45">
        <f>('[2]Renewable Diesel'!AO293*'[2]RD Feedstock Breakdown'!$CY$3*'[2]Feedstock Conversion Rates'!$B$6)/12</f>
        <v>7.4258333333333342</v>
      </c>
      <c r="CZ284" s="47">
        <f t="shared" si="188"/>
        <v>13.767083333333334</v>
      </c>
      <c r="DA284" s="45">
        <f>('[2]Renewable Diesel'!$AP293*'[2]RD Feedstock Breakdown'!DA$3*'[2]Feedstock Conversion Rates'!$B$3)/12</f>
        <v>6.3412499999999996</v>
      </c>
      <c r="DB284" s="45">
        <f>('[2]Renewable Diesel'!$AP293*'[2]RD Feedstock Breakdown'!DB$3*'[2]Feedstock Conversion Rates'!$B$8)/12</f>
        <v>7.421875</v>
      </c>
      <c r="DC284" s="47">
        <f t="shared" si="212"/>
        <v>13.763124999999999</v>
      </c>
      <c r="DD284" s="45">
        <f>('[2]Renewable Diesel'!AQ293*$DD$3*'[2]Feedstock Conversion Rates'!$B$14)/12</f>
        <v>3.1041666666666665</v>
      </c>
      <c r="DE284" s="47">
        <f t="shared" si="213"/>
        <v>3.1041666666666665</v>
      </c>
      <c r="DF284" s="45">
        <f>('[2]Renewable Diesel'!AR293*'[2]Feedstock Conversion Rates'!$B$4*$DF$3)/12</f>
        <v>75</v>
      </c>
      <c r="DG284" s="47">
        <f t="shared" si="189"/>
        <v>75</v>
      </c>
      <c r="DH284" s="45">
        <f>('[2]Renewable Diesel'!AS293*'[2]Feedstock Conversion Rates'!$B$4*$DH$3)/12</f>
        <v>75</v>
      </c>
      <c r="DI284" s="47">
        <f t="shared" si="194"/>
        <v>75</v>
      </c>
      <c r="DJ284" s="45">
        <f>('[2]Renewable Diesel'!AT293*'[2]Feedstock Conversion Rates'!$B$4*0.25)/12</f>
        <v>8.59375</v>
      </c>
      <c r="DK284" s="45">
        <f>('[2]Renewable Diesel'!$AT293*'[2]RD Feedstock Breakdown'!DK$3*'[2]Feedstock Conversion Rates'!$B$3)/12*0.5</f>
        <v>9.1781249999999996</v>
      </c>
      <c r="DL284" s="45">
        <f>('[2]Renewable Diesel'!$AT293*'[2]RD Feedstock Breakdown'!$DL$3*'[2]Feedstock Conversion Rates'!$B$6)/12</f>
        <v>10.747916666666669</v>
      </c>
      <c r="DM284" s="45">
        <f>('[2]Renewable Diesel'!$AT293*'[2]RD Feedstock Breakdown'!$DM$3*'[2]Feedstock Conversion Rates'!$B$8)/12</f>
        <v>10.7421875</v>
      </c>
      <c r="DN284" s="47">
        <f t="shared" si="249"/>
        <v>39.26197916666667</v>
      </c>
      <c r="DP284" s="45">
        <f t="shared" si="216"/>
        <v>138.72025000000002</v>
      </c>
      <c r="DQ284" s="45">
        <f t="shared" si="217"/>
        <v>792.61776750000001</v>
      </c>
      <c r="DR284" s="45">
        <f t="shared" si="224"/>
        <v>1691.953125</v>
      </c>
      <c r="DS284" s="45">
        <f t="shared" si="235"/>
        <v>48.401250000000005</v>
      </c>
      <c r="DT284" s="45">
        <f t="shared" si="218"/>
        <v>249.53923333333344</v>
      </c>
      <c r="DU284" s="45">
        <f t="shared" si="219"/>
        <v>326.40610000000004</v>
      </c>
      <c r="DV284" s="45">
        <f t="shared" si="225"/>
        <v>5.25</v>
      </c>
      <c r="DW284" s="45">
        <f t="shared" si="220"/>
        <v>3</v>
      </c>
      <c r="DX284" s="47">
        <f t="shared" si="226"/>
        <v>3255.8877258333337</v>
      </c>
      <c r="DY284" s="50">
        <f t="shared" si="208"/>
        <v>-135.00000000000048</v>
      </c>
      <c r="EA284" s="51">
        <f t="shared" si="204"/>
        <v>4.2605968534893207E-2</v>
      </c>
      <c r="EB284" s="51">
        <f t="shared" si="204"/>
        <v>0.24344136967964156</v>
      </c>
      <c r="EC284" s="51">
        <f t="shared" si="204"/>
        <v>0.5196595421812189</v>
      </c>
      <c r="ED284" s="51">
        <f t="shared" si="204"/>
        <v>1.4865761376219404E-2</v>
      </c>
      <c r="EE284" s="51">
        <f t="shared" si="204"/>
        <v>7.6642456480732826E-2</v>
      </c>
      <c r="EF284" s="51">
        <f t="shared" si="204"/>
        <v>0.10025103058996221</v>
      </c>
      <c r="EG284" s="51">
        <f t="shared" si="204"/>
        <v>1.6124634637566563E-3</v>
      </c>
      <c r="EH284" s="52">
        <f t="shared" si="227"/>
        <v>9.2140769357523225E-4</v>
      </c>
      <c r="EI284" s="51">
        <f t="shared" si="191"/>
        <v>0.99907859230642482</v>
      </c>
      <c r="EK284" s="53">
        <f>(EA284*'[2]Renewable Diesel'!BF293*'[2]Feedstock Conversion Rates'!B$2)+FB284</f>
        <v>266.41201211665759</v>
      </c>
      <c r="EL284" s="53">
        <f>(EB284*'[2]Renewable Diesel'!BF293*'[2]Feedstock Conversion Rates'!B$3)+FC284</f>
        <v>1434.4695492636058</v>
      </c>
      <c r="EM284" s="53">
        <f>(EC284*'[2]Renewable Diesel'!BF293*'[2]Feedstock Conversion Rates'!B$4)+FD284</f>
        <v>2867.1116431534811</v>
      </c>
      <c r="EN284" s="53">
        <f>(ED284*'[2]Renewable Diesel'!BF293*'[2]Feedstock Conversion Rates'!B$5)+FE284</f>
        <v>82.565486362180977</v>
      </c>
      <c r="EO284" s="53">
        <f>(EE284*'[2]Renewable Diesel'!BF293*'[2]Feedstock Conversion Rates'!B$6)+FF284</f>
        <v>528.85509039710212</v>
      </c>
      <c r="EP284" s="53">
        <f>(EF284*'[2]Renewable Diesel'!BF293*'[2]Feedstock Conversion Rates'!B$7)+FG284</f>
        <v>678.48633913725303</v>
      </c>
      <c r="EQ284" s="53">
        <f>(EG284*'[2]Renewable Diesel'!BF293*'[2]Feedstock Conversion Rates'!B$8)+FH284</f>
        <v>11.120532761919582</v>
      </c>
      <c r="ER284" s="53">
        <f>(EH284*'[2]Renewable Diesel'!BF293*'[2]Feedstock Conversion Rates'!B$9)+FI284</f>
        <v>6.2698622810060884</v>
      </c>
      <c r="ES284" s="53">
        <f t="shared" si="228"/>
        <v>5875.2905154732061</v>
      </c>
      <c r="ET284" s="36">
        <f>ES284/'[2]Renewable Diesel'!BF293</f>
        <v>7.9866547577853346</v>
      </c>
    </row>
    <row r="285" spans="1:150" x14ac:dyDescent="0.25">
      <c r="A285" s="39">
        <v>49096</v>
      </c>
      <c r="B285" s="45">
        <f t="shared" si="239"/>
        <v>0.75</v>
      </c>
      <c r="C285" s="45">
        <f t="shared" si="240"/>
        <v>10</v>
      </c>
      <c r="D285" s="45">
        <f t="shared" si="241"/>
        <v>2</v>
      </c>
      <c r="E285" s="45">
        <f>('[2]Renewable Diesel'!B294*E$3*'[2]Feedstock Conversion Rates'!$B$2)/12+26+13-100+27.5+39+105-40-14-26+55.5-51+29</f>
        <v>153.93</v>
      </c>
      <c r="F285" s="45">
        <f>('[2]Renewable Diesel'!B294*'[2]RD Feedstock Breakdown'!F$3*'[2]Feedstock Conversion Rates'!B$8)/12+77+23-10-12-115.75+24+8-33+5-16</f>
        <v>4.15625</v>
      </c>
      <c r="G285" s="45">
        <f>('[2]Renewable Diesel'!B294*'[2]RD Feedstock Breakdown'!G$3*'[2]Feedstock Conversion Rates'!B$7)/12+116.75-39-57.5-145-31.5+32+70-40+10-70-20+40+13</f>
        <v>54.907000000000039</v>
      </c>
      <c r="H285" s="45">
        <f>('[2]Renewable Diesel'!B294*'[2]RD Feedstock Breakdown'!H$3*'[2]Feedstock Conversion Rates'!B$3)/12+67+10+12+3-235+20+47-20+15+75-55+140+15</f>
        <v>270.40022499999998</v>
      </c>
      <c r="I285" s="47">
        <f t="shared" si="245"/>
        <v>496.14347500000002</v>
      </c>
      <c r="J285" s="45">
        <f t="shared" si="242"/>
        <v>18</v>
      </c>
      <c r="K285" s="45"/>
      <c r="L285" s="45">
        <v>1</v>
      </c>
      <c r="M285" s="45">
        <f>('[2]Renewable Diesel'!C294*'[2]RD Feedstock Breakdown'!M$3*'[2]Feedstock Conversion Rates'!B$2)/12-55+32</f>
        <v>-15.20975</v>
      </c>
      <c r="N285" s="45">
        <f>('[2]Renewable Diesel'!C294*'[2]RD Feedstock Breakdown'!N$3*'[2]Feedstock Conversion Rates'!B$8)/12-7-20+7.5-15</f>
        <v>-30.828125</v>
      </c>
      <c r="O285" s="45">
        <f>('[2]Renewable Diesel'!C294*'[2]RD Feedstock Breakdown'!O$3*'[2]Feedstock Conversion Rates'!B$7)/12-35-35+145-40</f>
        <v>46.999099999999999</v>
      </c>
      <c r="P285" s="45">
        <f>('[2]Renewable Diesel'!C294*'[2]RD Feedstock Breakdown'!P$3*'[2]Feedstock Conversion Rates'!B$3)/12+15+35-34-37.5+20+5</f>
        <v>13.947042500000002</v>
      </c>
      <c r="Q285" s="47">
        <f t="shared" si="172"/>
        <v>33.908267500000001</v>
      </c>
      <c r="R285" s="45">
        <f>('[2]Renewable Diesel'!D294*'[2]RD Feedstock Breakdown'!R$3*'[2]Feedstock Conversion Rates'!B$7)/12</f>
        <v>2.2999999999999998</v>
      </c>
      <c r="S285" s="47">
        <f t="shared" si="203"/>
        <v>2.2999999999999998</v>
      </c>
      <c r="T285" s="45">
        <f t="shared" si="246"/>
        <v>0.82500000000000284</v>
      </c>
      <c r="U285" s="45">
        <v>30</v>
      </c>
      <c r="V285" s="45">
        <f>('[2]Renewable Diesel'!E294*'[2]RD Feedstock Breakdown'!V$3*'[2]Feedstock Conversion Rates'!B$6)/12-20+25-35</f>
        <v>14.250150000000012</v>
      </c>
      <c r="W285" s="45">
        <f>('[2]Renewable Diesel'!E294*'[2]RD Feedstock Breakdown'!W$3*'[2]Feedstock Conversion Rates'!B$8)/12-6+5</f>
        <v>21.1796875</v>
      </c>
      <c r="X285" s="47">
        <f t="shared" si="229"/>
        <v>66.254837500000008</v>
      </c>
      <c r="Y285" s="45">
        <f t="shared" si="243"/>
        <v>102</v>
      </c>
      <c r="Z285" s="45">
        <f>('[2]Renewable Diesel'!F294*'[2]RD Feedstock Breakdown'!Z$3*'[2]Feedstock Conversion Rates'!B$6)/12-142+15+5-5+70-41-10+14+4</f>
        <v>69.460000000000008</v>
      </c>
      <c r="AA285" s="45">
        <f>('[2]Renewable Diesel'!F294*'[2]RD Feedstock Breakdown'!AA$3*'[2]Feedstock Conversion Rates'!B$7)/12+24-10-25-1</f>
        <v>92.266666666666652</v>
      </c>
      <c r="AB285" s="47">
        <f t="shared" si="190"/>
        <v>263.72666666666669</v>
      </c>
      <c r="AC285" s="45">
        <f>('[2]Renewable Diesel'!G294*'[2]RD Feedstock Breakdown'!AC$3*'[2]Feedstock Conversion Rates'!B$5)/12</f>
        <v>11.796875</v>
      </c>
      <c r="AD285" s="45">
        <f>('[2]Renewable Diesel'!G294*'[2]RD Feedstock Breakdown'!AD$3*'[2]Feedstock Conversion Rates'!B$4)/12</f>
        <v>5.859375</v>
      </c>
      <c r="AE285" s="45">
        <f>('[2]Renewable Diesel'!G294*'[2]RD Feedstock Breakdown'!AE$3*'[2]Feedstock Conversion Rates'!B$6)/12</f>
        <v>7.3281250000000009</v>
      </c>
      <c r="AF285" s="47">
        <f t="shared" si="236"/>
        <v>24.984375</v>
      </c>
      <c r="AG285" s="45">
        <f t="shared" si="182"/>
        <v>6.5</v>
      </c>
      <c r="AH285" s="45">
        <v>135</v>
      </c>
      <c r="AI285" s="45">
        <f>('[2]Renewable Diesel'!H294*'[2]RD Feedstock Breakdown'!AI$3*'[2]Feedstock Conversion Rates'!B$6)/12-130-20+51-52.5+10</f>
        <v>7.0166666666666799</v>
      </c>
      <c r="AJ285" s="47">
        <f t="shared" si="202"/>
        <v>13.51666666666668</v>
      </c>
      <c r="AK285" s="45">
        <f>('[2]Renewable Diesel'!J294*'[2]RD Feedstock Breakdown'!AK$3*'[2]Feedstock Conversion Rates'!B$4)/12</f>
        <v>95.8125</v>
      </c>
      <c r="AL285" s="47">
        <f t="shared" si="205"/>
        <v>95.8125</v>
      </c>
      <c r="AM285" s="45">
        <f>('[2]Renewable Diesel'!K294*'[2]RD Feedstock Breakdown'!AM$3*'[2]Feedstock Conversion Rates'!B$4)/12+5+15-10-5+10-35</f>
        <v>38.59375</v>
      </c>
      <c r="AN285" s="45">
        <f>('[2]Renewable Diesel'!K294*'[2]RD Feedstock Breakdown'!AN$3*'[2]Feedstock Conversion Rates'!B$6)/12-5-15+10+5-10+35</f>
        <v>44.427083333333329</v>
      </c>
      <c r="AO285" s="47">
        <f t="shared" si="223"/>
        <v>83.020833333333329</v>
      </c>
      <c r="AP285" s="45">
        <f>('[2]Renewable Diesel'!L294*'[2]RD Feedstock Breakdown'!AP$3*'[2]Feedstock Conversion Rates'!B$4)/12+15-10-10+22</f>
        <v>75.59375</v>
      </c>
      <c r="AQ285" s="45">
        <f>('[2]Renewable Diesel'!L294*'[2]RD Feedstock Breakdown'!AQ$3*'[2]Feedstock Conversion Rates'!B$6)/12-15+10+10-22</f>
        <v>7.4270833333333321</v>
      </c>
      <c r="AR285" s="47">
        <f t="shared" si="207"/>
        <v>83.020833333333329</v>
      </c>
      <c r="AS285" s="45">
        <f>('[2]Renewable Diesel'!M294*'[2]RD Feedstock Breakdown'!AS$3*'[2]Feedstock Conversion Rates'!B$4)/12</f>
        <v>456.25</v>
      </c>
      <c r="AT285" s="45">
        <f>('[2]Renewable Diesel'!M294*'[2]RD Feedstock Breakdown'!AT$3*'[2]Feedstock Conversion Rates'!B$5)/12</f>
        <v>0</v>
      </c>
      <c r="AU285" s="47">
        <f t="shared" si="244"/>
        <v>456.25</v>
      </c>
      <c r="AV285" s="45">
        <f>'[2]Renewable Diesel'!N294*'[2]RD Feedstock Breakdown'!$AV$3*'[2]Feedstock Conversion Rates'!$B$4/12-15-10+25+25-22+25-77.5+56</f>
        <v>85.249999999999986</v>
      </c>
      <c r="AW285" s="45">
        <f>'[2]Renewable Diesel'!N294*'[2]RD Feedstock Breakdown'!$AW$3*'[2]Feedstock Conversion Rates'!$B$7/12+15+10-25-25+22-25+77.5-56</f>
        <v>34.900000000000006</v>
      </c>
      <c r="AX285" s="47">
        <f t="shared" si="193"/>
        <v>120.14999999999999</v>
      </c>
      <c r="AY285" s="45">
        <f>('[2]Renewable Diesel'!O294*'[2]RD Feedstock Breakdown'!AY$3*'[2]Feedstock Conversion Rates'!B$4)/12-95-250</f>
        <v>-134.0625</v>
      </c>
      <c r="AZ285" s="45">
        <f>('[2]Renewable Diesel'!O294*'[2]RD Feedstock Breakdown'!AZ$3*'[2]Feedstock Conversion Rates'!B$3)/12+95+250</f>
        <v>370.03125</v>
      </c>
      <c r="BA285" s="47">
        <f t="shared" si="173"/>
        <v>235.96875</v>
      </c>
      <c r="BB285" s="45">
        <f>('[2]Renewable Diesel'!Q294*'[2]RD Feedstock Breakdown'!BB$3*'[2]Feedstock Conversion Rates'!B$4)/12</f>
        <v>11.156249999999998</v>
      </c>
      <c r="BC285" s="45">
        <f>('[2]Renewable Diesel'!Q294*'[2]RD Feedstock Breakdown'!BC$3*'[2]Feedstock Conversion Rates'!B$3)/12</f>
        <v>1.4017500000000001</v>
      </c>
      <c r="BD285" s="45">
        <f>('[2]Renewable Diesel'!Q294*'[2]RD Feedstock Breakdown'!BD$3*'[2]Feedstock Conversion Rates'!B$6)/12</f>
        <v>0.8207500000000002</v>
      </c>
      <c r="BE285" s="47">
        <f t="shared" si="231"/>
        <v>13.378749999999998</v>
      </c>
      <c r="BF285" s="45">
        <f>('[2]Renewable Diesel'!R294*'[2]RD Feedstock Breakdown'!BF$3*'[2]Feedstock Conversion Rates'!B$4)/12</f>
        <v>62.5</v>
      </c>
      <c r="BG285" s="47">
        <f t="shared" si="215"/>
        <v>62.5</v>
      </c>
      <c r="BH285" s="45">
        <f>('[2]Renewable Diesel'!T294*'[2]RD Feedstock Breakdown'!BH$3*'[2]Feedstock Conversion Rates'!B$7)/12</f>
        <v>27.599999999999998</v>
      </c>
      <c r="BI285" s="47">
        <f t="shared" si="195"/>
        <v>27.599999999999998</v>
      </c>
      <c r="BJ285" s="45">
        <f>('[2]Renewable Diesel'!W294*'[2]RD Feedstock Breakdown'!BJ$3*'[2]Feedstock Conversion Rates'!B$4)/12</f>
        <v>7.5</v>
      </c>
      <c r="BK285" s="45">
        <f>('[2]Renewable Diesel'!W294*'[2]RD Feedstock Breakdown'!BK$3*'[2]Feedstock Conversion Rates'!B$3)/12</f>
        <v>1.335</v>
      </c>
      <c r="BL285" s="45">
        <f>('[2]Renewable Diesel'!W294*'[2]RD Feedstock Breakdown'!BL$3*'[2]Feedstock Conversion Rates'!B$6)/12</f>
        <v>3.1266666666666669</v>
      </c>
      <c r="BM285" s="45">
        <f>('[2]Renewable Diesel'!W294*'[2]RD Feedstock Breakdown'!BM$3*'[2]Feedstock Conversion Rates'!B$7)/12</f>
        <v>1.5333333333333332</v>
      </c>
      <c r="BN285" s="47">
        <f t="shared" si="248"/>
        <v>13.495000000000001</v>
      </c>
      <c r="BO285" s="45">
        <f>('[2]Renewable Diesel'!P294*'[2]Feedstock Conversion Rates'!B$4)/12</f>
        <v>31.25</v>
      </c>
      <c r="BP285" s="47">
        <f t="shared" si="237"/>
        <v>31.25</v>
      </c>
      <c r="BQ285" s="45">
        <f>('[2]Renewable Diesel'!$S294*'[2]RD Feedstock Breakdown'!BQ$3*'[2]Feedstock Conversion Rates'!B$4)/12+10+15-15</f>
        <v>38.125</v>
      </c>
      <c r="BR285" s="45">
        <f>('[2]Renewable Diesel'!$S294*'[2]RD Feedstock Breakdown'!BR$3*'[2]Feedstock Conversion Rates'!B$7)/12-10-15+15</f>
        <v>1.5</v>
      </c>
      <c r="BS285" s="47">
        <f t="shared" si="174"/>
        <v>39.625</v>
      </c>
      <c r="BT285" s="47"/>
      <c r="BU285" s="45">
        <f>('[2]Renewable Diesel'!Y294*'[2]Feedstock Conversion Rates'!B$7)/12</f>
        <v>2.6833333333333331</v>
      </c>
      <c r="BV285" s="47">
        <f t="shared" si="233"/>
        <v>2.6833333333333331</v>
      </c>
      <c r="BW285" s="45">
        <f>('[2]Renewable Diesel'!$Z294*'[2]RD Feedstock Breakdown'!BW$3*'[2]Feedstock Conversion Rates'!$B$4)/12</f>
        <v>71.875</v>
      </c>
      <c r="BX285" s="45">
        <f>('[2]Renewable Diesel'!$Z294*'[2]RD Feedstock Breakdown'!BX$3*'[2]Feedstock Conversion Rates'!$B$5)/12</f>
        <v>7.2354166666666666</v>
      </c>
      <c r="BY285" s="45">
        <f>('[2]Renewable Diesel'!$Z294*'[2]RD Feedstock Breakdown'!BY$3*'[2]Feedstock Conversion Rates'!$B$7)/12</f>
        <v>61.716666666666661</v>
      </c>
      <c r="BZ285" s="45">
        <f>('[2]Renewable Diesel'!$Z294*'[2]RD Feedstock Breakdown'!BZ$3*'[2]Feedstock Conversion Rates'!$B$3)/12</f>
        <v>15.352499999999999</v>
      </c>
      <c r="CA285" s="47">
        <f t="shared" si="181"/>
        <v>156.17958333333331</v>
      </c>
      <c r="CB285" s="45">
        <f>('[2]Renewable Diesel'!AA294*'[2]Feedstock Conversion Rates'!B$4)/12</f>
        <v>191.25</v>
      </c>
      <c r="CC285" s="47">
        <f t="shared" si="250"/>
        <v>191.25</v>
      </c>
      <c r="CD285" s="45">
        <f>('[2]Renewable Diesel'!$AB294*'[2]RD Feedstock Breakdown'!CD$3*'[2]Feedstock Conversion Rates'!$B$6)/12-15-5</f>
        <v>12.830000000000005</v>
      </c>
      <c r="CE285" s="45">
        <f>('[2]Renewable Diesel'!$AB294*'[2]RD Feedstock Breakdown'!CE$3*'[2]Feedstock Conversion Rates'!$B$4)/12+15+5</f>
        <v>31.25</v>
      </c>
      <c r="CF285" s="47">
        <f t="shared" si="247"/>
        <v>44.080000000000005</v>
      </c>
      <c r="CG285" s="45">
        <f>('[2]Renewable Diesel'!AD294*'[2]Feedstock Conversion Rates'!B$4)/12</f>
        <v>112.5</v>
      </c>
      <c r="CH285" s="47">
        <f t="shared" si="230"/>
        <v>112.5</v>
      </c>
      <c r="CI285" s="45">
        <f>('[2]Renewable Diesel'!$AE294*'[2]RD Feedstock Breakdown'!CI$3*'[2]Feedstock Conversion Rates'!$B$5)/12</f>
        <v>0.34604166666666664</v>
      </c>
      <c r="CJ285" s="45">
        <f>('[2]Renewable Diesel'!$AE294*'[2]RD Feedstock Breakdown'!CJ$3*'[2]Feedstock Conversion Rates'!$B$4)/12</f>
        <v>0.34375</v>
      </c>
      <c r="CK285" s="47">
        <f t="shared" si="238"/>
        <v>0.68979166666666658</v>
      </c>
      <c r="CL285" s="45">
        <f>(((CL$3*'[2]Renewable Diesel'!$AF294)*'[2]Feedstock Conversion Rates'!$B$3)/12)</f>
        <v>91.78125</v>
      </c>
      <c r="CM285" s="45">
        <f>(((CM$3*'[2]Renewable Diesel'!$AF294)*'[2]Feedstock Conversion Rates'!$B$6)/12)</f>
        <v>53.739583333333336</v>
      </c>
      <c r="CN285" s="45">
        <f>(((CN$3*'[2]Renewable Diesel'!$AF294)*'[2]Feedstock Conversion Rates'!$B$4)/12)</f>
        <v>42.96875</v>
      </c>
      <c r="CO285" s="47">
        <f t="shared" si="232"/>
        <v>188.48958333333334</v>
      </c>
      <c r="CP285" s="45">
        <f>('[2]Renewable Diesel'!$AG294*'[2]RD Feedstock Breakdown'!CP$3*'[2]Feedstock Conversion Rates'!$B$3)/12+4-4</f>
        <v>6.0075000000000003</v>
      </c>
      <c r="CQ285" s="45">
        <f>('[2]Renewable Diesel'!$AG294*'[2]RD Feedstock Breakdown'!CQ$3*'[2]Feedstock Conversion Rates'!$B$6)/12</f>
        <v>3.5175000000000001</v>
      </c>
      <c r="CR285" s="45">
        <f>('[2]Renewable Diesel'!$AG294*'[2]RD Feedstock Breakdown'!CR$3*'[2]Feedstock Conversion Rates'!$B$4)/12-4+4</f>
        <v>2.8125</v>
      </c>
      <c r="CS285" s="47">
        <f t="shared" si="183"/>
        <v>12.3375</v>
      </c>
      <c r="CT285" s="45">
        <f>('[2]Renewable Diesel'!AI294*'[2]Feedstock Conversion Rates'!$B$4*'[2]RD Feedstock Breakdown'!$CT$3)/12</f>
        <v>29.375</v>
      </c>
      <c r="CU285" s="47">
        <f t="shared" si="234"/>
        <v>29.375</v>
      </c>
      <c r="CV285" s="45">
        <f>('[2]Renewable Diesel'!AN294*'[2]Feedstock Conversion Rates'!$B$3*'[2]RD Feedstock Breakdown'!$CV$3)/12</f>
        <v>0.50062499999999999</v>
      </c>
      <c r="CW285" s="47">
        <f t="shared" si="206"/>
        <v>0.50062499999999999</v>
      </c>
      <c r="CX285" s="45">
        <f>('[2]Renewable Diesel'!AO294*'[2]RD Feedstock Breakdown'!$CX$3*'[2]Feedstock Conversion Rates'!$B$3)/12</f>
        <v>6.3412499999999996</v>
      </c>
      <c r="CY285" s="45">
        <f>('[2]Renewable Diesel'!AO294*'[2]RD Feedstock Breakdown'!$CY$3*'[2]Feedstock Conversion Rates'!$B$6)/12</f>
        <v>7.4258333333333342</v>
      </c>
      <c r="CZ285" s="47">
        <f t="shared" si="188"/>
        <v>13.767083333333334</v>
      </c>
      <c r="DA285" s="45">
        <f>('[2]Renewable Diesel'!$AP294*'[2]RD Feedstock Breakdown'!DA$3*'[2]Feedstock Conversion Rates'!$B$3)/12</f>
        <v>6.3412499999999996</v>
      </c>
      <c r="DB285" s="45">
        <f>('[2]Renewable Diesel'!$AP294*'[2]RD Feedstock Breakdown'!DB$3*'[2]Feedstock Conversion Rates'!$B$8)/12</f>
        <v>7.421875</v>
      </c>
      <c r="DC285" s="47">
        <f t="shared" si="212"/>
        <v>13.763124999999999</v>
      </c>
      <c r="DD285" s="45">
        <f>('[2]Renewable Diesel'!AQ294*$DD$3*'[2]Feedstock Conversion Rates'!$B$14)/12</f>
        <v>3.1041666666666665</v>
      </c>
      <c r="DE285" s="47">
        <f t="shared" si="213"/>
        <v>3.1041666666666665</v>
      </c>
      <c r="DF285" s="45">
        <f>('[2]Renewable Diesel'!AR294*'[2]Feedstock Conversion Rates'!$B$4*$DF$3)/12</f>
        <v>75</v>
      </c>
      <c r="DG285" s="47">
        <f t="shared" si="189"/>
        <v>75</v>
      </c>
      <c r="DH285" s="45">
        <f>('[2]Renewable Diesel'!AS294*'[2]Feedstock Conversion Rates'!$B$4*$DH$3)/12</f>
        <v>75</v>
      </c>
      <c r="DI285" s="47">
        <f t="shared" si="194"/>
        <v>75</v>
      </c>
      <c r="DJ285" s="45">
        <f>('[2]Renewable Diesel'!AT294*'[2]Feedstock Conversion Rates'!$B$4*0.25)/12</f>
        <v>8.59375</v>
      </c>
      <c r="DK285" s="45">
        <f>('[2]Renewable Diesel'!$AT294*'[2]RD Feedstock Breakdown'!DK$3*'[2]Feedstock Conversion Rates'!$B$3)/12*0.5</f>
        <v>9.1781249999999996</v>
      </c>
      <c r="DL285" s="45">
        <f>('[2]Renewable Diesel'!$AT294*'[2]RD Feedstock Breakdown'!$DL$3*'[2]Feedstock Conversion Rates'!$B$6)/12</f>
        <v>10.747916666666669</v>
      </c>
      <c r="DM285" s="45">
        <f>('[2]Renewable Diesel'!$AT294*'[2]RD Feedstock Breakdown'!$DM$3*'[2]Feedstock Conversion Rates'!$B$8)/12</f>
        <v>10.7421875</v>
      </c>
      <c r="DN285" s="47">
        <f t="shared" si="249"/>
        <v>39.26197916666667</v>
      </c>
      <c r="DP285" s="45">
        <f t="shared" si="216"/>
        <v>138.72025000000002</v>
      </c>
      <c r="DQ285" s="45">
        <f t="shared" si="217"/>
        <v>792.61776750000001</v>
      </c>
      <c r="DR285" s="45">
        <f t="shared" si="224"/>
        <v>1691.953125</v>
      </c>
      <c r="DS285" s="45">
        <f t="shared" si="235"/>
        <v>48.401250000000005</v>
      </c>
      <c r="DT285" s="45">
        <f t="shared" si="218"/>
        <v>249.53923333333344</v>
      </c>
      <c r="DU285" s="45">
        <f t="shared" si="219"/>
        <v>326.40610000000004</v>
      </c>
      <c r="DV285" s="45">
        <f t="shared" si="225"/>
        <v>5.25</v>
      </c>
      <c r="DW285" s="45">
        <f t="shared" si="220"/>
        <v>3</v>
      </c>
      <c r="DX285" s="47">
        <f t="shared" si="226"/>
        <v>3255.8877258333337</v>
      </c>
      <c r="DY285" s="50">
        <f t="shared" si="208"/>
        <v>-135.00000000000048</v>
      </c>
      <c r="EA285" s="51">
        <f t="shared" si="204"/>
        <v>4.2605968534893207E-2</v>
      </c>
      <c r="EB285" s="51">
        <f t="shared" si="204"/>
        <v>0.24344136967964156</v>
      </c>
      <c r="EC285" s="51">
        <f t="shared" si="204"/>
        <v>0.5196595421812189</v>
      </c>
      <c r="ED285" s="51">
        <f t="shared" si="204"/>
        <v>1.4865761376219404E-2</v>
      </c>
      <c r="EE285" s="51">
        <f t="shared" si="204"/>
        <v>7.6642456480732826E-2</v>
      </c>
      <c r="EF285" s="51">
        <f t="shared" si="204"/>
        <v>0.10025103058996221</v>
      </c>
      <c r="EG285" s="51">
        <f t="shared" si="204"/>
        <v>1.6124634637566563E-3</v>
      </c>
      <c r="EH285" s="52">
        <f t="shared" si="227"/>
        <v>9.2140769357523225E-4</v>
      </c>
      <c r="EI285" s="51">
        <f t="shared" si="191"/>
        <v>0.99907859230642482</v>
      </c>
      <c r="EK285" s="53">
        <f>(EA285*'[2]Renewable Diesel'!BF294*'[2]Feedstock Conversion Rates'!B$2)+FB285</f>
        <v>258.39294799731988</v>
      </c>
      <c r="EL285" s="53">
        <f>(EB285*'[2]Renewable Diesel'!BF294*'[2]Feedstock Conversion Rates'!B$3)+FC285</f>
        <v>1391.2916790114748</v>
      </c>
      <c r="EM285" s="53">
        <f>(EC285*'[2]Renewable Diesel'!BF294*'[2]Feedstock Conversion Rates'!B$4)+FD285</f>
        <v>2780.810909485062</v>
      </c>
      <c r="EN285" s="53">
        <f>(ED285*'[2]Renewable Diesel'!BF294*'[2]Feedstock Conversion Rates'!B$5)+FE285</f>
        <v>80.080245835966622</v>
      </c>
      <c r="EO285" s="53">
        <f>(EE285*'[2]Renewable Diesel'!BF294*'[2]Feedstock Conversion Rates'!B$6)+FF285</f>
        <v>512.93642799881866</v>
      </c>
      <c r="EP285" s="53">
        <f>(EF285*'[2]Renewable Diesel'!BF294*'[2]Feedstock Conversion Rates'!B$7)+FG285</f>
        <v>658.06374101786412</v>
      </c>
      <c r="EQ285" s="53">
        <f>(EG285*'[2]Renewable Diesel'!BF294*'[2]Feedstock Conversion Rates'!B$8)+FH285</f>
        <v>10.785802114639386</v>
      </c>
      <c r="ER285" s="53">
        <f>(EH285*'[2]Renewable Diesel'!BF294*'[2]Feedstock Conversion Rates'!B$9)+FI285</f>
        <v>6.0811379541585877</v>
      </c>
      <c r="ES285" s="53">
        <f t="shared" si="228"/>
        <v>5698.4428914153041</v>
      </c>
      <c r="ET285" s="36">
        <f>ES285/'[2]Renewable Diesel'!BF294</f>
        <v>7.9866547577853355</v>
      </c>
    </row>
    <row r="286" spans="1:150" x14ac:dyDescent="0.25">
      <c r="A286" s="39">
        <v>49126</v>
      </c>
      <c r="B286" s="45">
        <f t="shared" si="239"/>
        <v>0.75</v>
      </c>
      <c r="C286" s="45">
        <f t="shared" si="240"/>
        <v>10</v>
      </c>
      <c r="D286" s="45">
        <f t="shared" si="241"/>
        <v>2</v>
      </c>
      <c r="E286" s="45">
        <f>('[2]Renewable Diesel'!B295*E$3*'[2]Feedstock Conversion Rates'!$B$2)/12+26+13-100+27.5+39+105-40-14-26+55.5-51+29</f>
        <v>153.93</v>
      </c>
      <c r="F286" s="45">
        <f>('[2]Renewable Diesel'!B295*'[2]RD Feedstock Breakdown'!F$3*'[2]Feedstock Conversion Rates'!B$8)/12+77+23-10-12-115.75+24+8-33+5-16</f>
        <v>4.15625</v>
      </c>
      <c r="G286" s="45">
        <f>('[2]Renewable Diesel'!B295*'[2]RD Feedstock Breakdown'!G$3*'[2]Feedstock Conversion Rates'!B$7)/12+116.75-39-57.5-145-31.5+32+70-40+10-70-20+40+13</f>
        <v>54.907000000000039</v>
      </c>
      <c r="H286" s="45">
        <f>('[2]Renewable Diesel'!B295*'[2]RD Feedstock Breakdown'!H$3*'[2]Feedstock Conversion Rates'!B$3)/12+67+10+12+3-235+20+47-20+15+75-55+140+15</f>
        <v>270.40022499999998</v>
      </c>
      <c r="I286" s="47">
        <f t="shared" si="245"/>
        <v>496.14347500000002</v>
      </c>
      <c r="J286" s="45">
        <f t="shared" si="242"/>
        <v>18</v>
      </c>
      <c r="K286" s="45"/>
      <c r="L286" s="45">
        <v>1</v>
      </c>
      <c r="M286" s="45">
        <f>('[2]Renewable Diesel'!C295*'[2]RD Feedstock Breakdown'!M$3*'[2]Feedstock Conversion Rates'!B$2)/12-55+32</f>
        <v>-15.20975</v>
      </c>
      <c r="N286" s="45">
        <f>('[2]Renewable Diesel'!C295*'[2]RD Feedstock Breakdown'!N$3*'[2]Feedstock Conversion Rates'!B$8)/12-7-20+7.5-15</f>
        <v>-30.828125</v>
      </c>
      <c r="O286" s="45">
        <f>('[2]Renewable Diesel'!C295*'[2]RD Feedstock Breakdown'!O$3*'[2]Feedstock Conversion Rates'!B$7)/12-35-35+145-40</f>
        <v>46.999099999999999</v>
      </c>
      <c r="P286" s="45">
        <f>('[2]Renewable Diesel'!C295*'[2]RD Feedstock Breakdown'!P$3*'[2]Feedstock Conversion Rates'!B$3)/12+15+35-34-37.5+20+5</f>
        <v>13.947042500000002</v>
      </c>
      <c r="Q286" s="47">
        <f t="shared" si="172"/>
        <v>33.908267500000001</v>
      </c>
      <c r="R286" s="45">
        <f>('[2]Renewable Diesel'!D295*'[2]RD Feedstock Breakdown'!R$3*'[2]Feedstock Conversion Rates'!B$7)/12</f>
        <v>2.2999999999999998</v>
      </c>
      <c r="S286" s="47">
        <f t="shared" si="203"/>
        <v>2.2999999999999998</v>
      </c>
      <c r="T286" s="45">
        <f t="shared" si="246"/>
        <v>0.82500000000000284</v>
      </c>
      <c r="U286" s="45">
        <v>30</v>
      </c>
      <c r="V286" s="45">
        <f>('[2]Renewable Diesel'!E295*'[2]RD Feedstock Breakdown'!V$3*'[2]Feedstock Conversion Rates'!B$6)/12-20+25-35</f>
        <v>14.250150000000012</v>
      </c>
      <c r="W286" s="45">
        <f>('[2]Renewable Diesel'!E295*'[2]RD Feedstock Breakdown'!W$3*'[2]Feedstock Conversion Rates'!B$8)/12-6+5</f>
        <v>21.1796875</v>
      </c>
      <c r="X286" s="47">
        <f t="shared" si="229"/>
        <v>66.254837500000008</v>
      </c>
      <c r="Y286" s="45">
        <f t="shared" si="243"/>
        <v>102</v>
      </c>
      <c r="Z286" s="45">
        <f>('[2]Renewable Diesel'!F295*'[2]RD Feedstock Breakdown'!Z$3*'[2]Feedstock Conversion Rates'!B$6)/12-142+15+5-5+70-41-10+14+4</f>
        <v>69.460000000000008</v>
      </c>
      <c r="AA286" s="45">
        <f>('[2]Renewable Diesel'!F295*'[2]RD Feedstock Breakdown'!AA$3*'[2]Feedstock Conversion Rates'!B$7)/12+24-10-25-1</f>
        <v>92.266666666666652</v>
      </c>
      <c r="AB286" s="47">
        <f t="shared" si="190"/>
        <v>263.72666666666669</v>
      </c>
      <c r="AC286" s="45">
        <f>('[2]Renewable Diesel'!G295*'[2]RD Feedstock Breakdown'!AC$3*'[2]Feedstock Conversion Rates'!B$5)/12</f>
        <v>11.796875</v>
      </c>
      <c r="AD286" s="45">
        <f>('[2]Renewable Diesel'!G295*'[2]RD Feedstock Breakdown'!AD$3*'[2]Feedstock Conversion Rates'!B$4)/12</f>
        <v>5.859375</v>
      </c>
      <c r="AE286" s="45">
        <f>('[2]Renewable Diesel'!G295*'[2]RD Feedstock Breakdown'!AE$3*'[2]Feedstock Conversion Rates'!B$6)/12</f>
        <v>7.3281250000000009</v>
      </c>
      <c r="AF286" s="47">
        <f t="shared" si="236"/>
        <v>24.984375</v>
      </c>
      <c r="AG286" s="45">
        <f t="shared" si="182"/>
        <v>6.5</v>
      </c>
      <c r="AH286" s="45">
        <v>135</v>
      </c>
      <c r="AI286" s="45">
        <f>('[2]Renewable Diesel'!H295*'[2]RD Feedstock Breakdown'!AI$3*'[2]Feedstock Conversion Rates'!B$6)/12-130-20+51-52.5+10</f>
        <v>7.0166666666666799</v>
      </c>
      <c r="AJ286" s="47">
        <f t="shared" si="202"/>
        <v>13.51666666666668</v>
      </c>
      <c r="AK286" s="45">
        <f>('[2]Renewable Diesel'!J295*'[2]RD Feedstock Breakdown'!AK$3*'[2]Feedstock Conversion Rates'!B$4)/12</f>
        <v>95.8125</v>
      </c>
      <c r="AL286" s="47">
        <f t="shared" si="205"/>
        <v>95.8125</v>
      </c>
      <c r="AM286" s="45">
        <f>('[2]Renewable Diesel'!K295*'[2]RD Feedstock Breakdown'!AM$3*'[2]Feedstock Conversion Rates'!B$4)/12+5+15-10-5+10-35</f>
        <v>38.59375</v>
      </c>
      <c r="AN286" s="45">
        <f>('[2]Renewable Diesel'!K295*'[2]RD Feedstock Breakdown'!AN$3*'[2]Feedstock Conversion Rates'!B$6)/12-5-15+10+5-10+35</f>
        <v>44.427083333333329</v>
      </c>
      <c r="AO286" s="47">
        <f t="shared" si="223"/>
        <v>83.020833333333329</v>
      </c>
      <c r="AP286" s="45">
        <f>('[2]Renewable Diesel'!L295*'[2]RD Feedstock Breakdown'!AP$3*'[2]Feedstock Conversion Rates'!B$4)/12+15-10-10+22</f>
        <v>75.59375</v>
      </c>
      <c r="AQ286" s="45">
        <f>('[2]Renewable Diesel'!L295*'[2]RD Feedstock Breakdown'!AQ$3*'[2]Feedstock Conversion Rates'!B$6)/12-15+10+10-22</f>
        <v>7.4270833333333321</v>
      </c>
      <c r="AR286" s="47">
        <f t="shared" si="207"/>
        <v>83.020833333333329</v>
      </c>
      <c r="AS286" s="45">
        <f>('[2]Renewable Diesel'!M295*'[2]RD Feedstock Breakdown'!AS$3*'[2]Feedstock Conversion Rates'!B$4)/12</f>
        <v>456.25</v>
      </c>
      <c r="AT286" s="45">
        <f>('[2]Renewable Diesel'!M295*'[2]RD Feedstock Breakdown'!AT$3*'[2]Feedstock Conversion Rates'!B$5)/12</f>
        <v>0</v>
      </c>
      <c r="AU286" s="47">
        <f t="shared" si="244"/>
        <v>456.25</v>
      </c>
      <c r="AV286" s="45">
        <f>'[2]Renewable Diesel'!N295*'[2]RD Feedstock Breakdown'!$AV$3*'[2]Feedstock Conversion Rates'!$B$4/12-15-10+25+25-22+25-77.5+56</f>
        <v>85.249999999999986</v>
      </c>
      <c r="AW286" s="45">
        <f>'[2]Renewable Diesel'!N295*'[2]RD Feedstock Breakdown'!$AW$3*'[2]Feedstock Conversion Rates'!$B$7/12+15+10-25-25+22-25+77.5-56</f>
        <v>34.900000000000006</v>
      </c>
      <c r="AX286" s="47">
        <f t="shared" si="193"/>
        <v>120.14999999999999</v>
      </c>
      <c r="AY286" s="45">
        <f>('[2]Renewable Diesel'!O295*'[2]RD Feedstock Breakdown'!AY$3*'[2]Feedstock Conversion Rates'!B$4)/12-95-250</f>
        <v>-134.0625</v>
      </c>
      <c r="AZ286" s="45">
        <f>('[2]Renewable Diesel'!O295*'[2]RD Feedstock Breakdown'!AZ$3*'[2]Feedstock Conversion Rates'!B$3)/12+95+250</f>
        <v>370.03125</v>
      </c>
      <c r="BA286" s="47">
        <f t="shared" si="173"/>
        <v>235.96875</v>
      </c>
      <c r="BB286" s="45">
        <f>('[2]Renewable Diesel'!Q295*'[2]RD Feedstock Breakdown'!BB$3*'[2]Feedstock Conversion Rates'!B$4)/12</f>
        <v>11.156249999999998</v>
      </c>
      <c r="BC286" s="45">
        <f>('[2]Renewable Diesel'!Q295*'[2]RD Feedstock Breakdown'!BC$3*'[2]Feedstock Conversion Rates'!B$3)/12</f>
        <v>1.4017500000000001</v>
      </c>
      <c r="BD286" s="45">
        <f>('[2]Renewable Diesel'!Q295*'[2]RD Feedstock Breakdown'!BD$3*'[2]Feedstock Conversion Rates'!B$6)/12</f>
        <v>0.8207500000000002</v>
      </c>
      <c r="BE286" s="47">
        <f t="shared" si="231"/>
        <v>13.378749999999998</v>
      </c>
      <c r="BF286" s="45">
        <f>('[2]Renewable Diesel'!R295*'[2]RD Feedstock Breakdown'!BF$3*'[2]Feedstock Conversion Rates'!B$4)/12</f>
        <v>62.5</v>
      </c>
      <c r="BG286" s="47">
        <f t="shared" si="215"/>
        <v>62.5</v>
      </c>
      <c r="BH286" s="45">
        <f>('[2]Renewable Diesel'!T295*'[2]RD Feedstock Breakdown'!BH$3*'[2]Feedstock Conversion Rates'!B$7)/12</f>
        <v>27.599999999999998</v>
      </c>
      <c r="BI286" s="47">
        <f t="shared" si="195"/>
        <v>27.599999999999998</v>
      </c>
      <c r="BJ286" s="45">
        <f>('[2]Renewable Diesel'!W295*'[2]RD Feedstock Breakdown'!BJ$3*'[2]Feedstock Conversion Rates'!B$4)/12</f>
        <v>7.5</v>
      </c>
      <c r="BK286" s="45">
        <f>('[2]Renewable Diesel'!W295*'[2]RD Feedstock Breakdown'!BK$3*'[2]Feedstock Conversion Rates'!B$3)/12</f>
        <v>1.335</v>
      </c>
      <c r="BL286" s="45">
        <f>('[2]Renewable Diesel'!W295*'[2]RD Feedstock Breakdown'!BL$3*'[2]Feedstock Conversion Rates'!B$6)/12</f>
        <v>3.1266666666666669</v>
      </c>
      <c r="BM286" s="45">
        <f>('[2]Renewable Diesel'!W295*'[2]RD Feedstock Breakdown'!BM$3*'[2]Feedstock Conversion Rates'!B$7)/12</f>
        <v>1.5333333333333332</v>
      </c>
      <c r="BN286" s="47">
        <f t="shared" si="248"/>
        <v>13.495000000000001</v>
      </c>
      <c r="BO286" s="45">
        <f>('[2]Renewable Diesel'!P295*'[2]Feedstock Conversion Rates'!B$4)/12</f>
        <v>31.25</v>
      </c>
      <c r="BP286" s="47">
        <f t="shared" si="237"/>
        <v>31.25</v>
      </c>
      <c r="BQ286" s="45">
        <f>('[2]Renewable Diesel'!$S295*'[2]RD Feedstock Breakdown'!BQ$3*'[2]Feedstock Conversion Rates'!B$4)/12+10+15-15</f>
        <v>38.125</v>
      </c>
      <c r="BR286" s="45">
        <f>('[2]Renewable Diesel'!$S295*'[2]RD Feedstock Breakdown'!BR$3*'[2]Feedstock Conversion Rates'!B$7)/12-10-15+15</f>
        <v>1.5</v>
      </c>
      <c r="BS286" s="47">
        <f t="shared" si="174"/>
        <v>39.625</v>
      </c>
      <c r="BT286" s="47"/>
      <c r="BU286" s="45">
        <f>('[2]Renewable Diesel'!Y295*'[2]Feedstock Conversion Rates'!B$7)/12</f>
        <v>2.6833333333333331</v>
      </c>
      <c r="BV286" s="47">
        <f t="shared" si="233"/>
        <v>2.6833333333333331</v>
      </c>
      <c r="BW286" s="45">
        <f>('[2]Renewable Diesel'!$Z295*'[2]RD Feedstock Breakdown'!BW$3*'[2]Feedstock Conversion Rates'!$B$4)/12</f>
        <v>71.875</v>
      </c>
      <c r="BX286" s="45">
        <f>('[2]Renewable Diesel'!$Z295*'[2]RD Feedstock Breakdown'!BX$3*'[2]Feedstock Conversion Rates'!$B$5)/12</f>
        <v>7.2354166666666666</v>
      </c>
      <c r="BY286" s="45">
        <f>('[2]Renewable Diesel'!$Z295*'[2]RD Feedstock Breakdown'!BY$3*'[2]Feedstock Conversion Rates'!$B$7)/12</f>
        <v>61.716666666666661</v>
      </c>
      <c r="BZ286" s="45">
        <f>('[2]Renewable Diesel'!$Z295*'[2]RD Feedstock Breakdown'!BZ$3*'[2]Feedstock Conversion Rates'!$B$3)/12</f>
        <v>15.352499999999999</v>
      </c>
      <c r="CA286" s="47">
        <f t="shared" si="181"/>
        <v>156.17958333333331</v>
      </c>
      <c r="CB286" s="45">
        <f>('[2]Renewable Diesel'!AA295*'[2]Feedstock Conversion Rates'!B$4)/12</f>
        <v>191.25</v>
      </c>
      <c r="CC286" s="47">
        <f t="shared" si="250"/>
        <v>191.25</v>
      </c>
      <c r="CD286" s="45">
        <f>('[2]Renewable Diesel'!$AB295*'[2]RD Feedstock Breakdown'!CD$3*'[2]Feedstock Conversion Rates'!$B$6)/12-15-5</f>
        <v>12.830000000000005</v>
      </c>
      <c r="CE286" s="45">
        <f>('[2]Renewable Diesel'!$AB295*'[2]RD Feedstock Breakdown'!CE$3*'[2]Feedstock Conversion Rates'!$B$4)/12+15+5</f>
        <v>31.25</v>
      </c>
      <c r="CF286" s="47">
        <f t="shared" si="247"/>
        <v>44.080000000000005</v>
      </c>
      <c r="CG286" s="45">
        <f>('[2]Renewable Diesel'!AD295*'[2]Feedstock Conversion Rates'!B$4)/12</f>
        <v>112.5</v>
      </c>
      <c r="CH286" s="47">
        <f t="shared" si="230"/>
        <v>112.5</v>
      </c>
      <c r="CI286" s="45">
        <f>('[2]Renewable Diesel'!$AE295*'[2]RD Feedstock Breakdown'!CI$3*'[2]Feedstock Conversion Rates'!$B$5)/12</f>
        <v>0.34604166666666664</v>
      </c>
      <c r="CJ286" s="45">
        <f>('[2]Renewable Diesel'!$AE295*'[2]RD Feedstock Breakdown'!CJ$3*'[2]Feedstock Conversion Rates'!$B$4)/12</f>
        <v>0.34375</v>
      </c>
      <c r="CK286" s="47">
        <f t="shared" si="238"/>
        <v>0.68979166666666658</v>
      </c>
      <c r="CL286" s="45">
        <f>(((CL$3*'[2]Renewable Diesel'!$AF295)*'[2]Feedstock Conversion Rates'!$B$3)/12)</f>
        <v>91.78125</v>
      </c>
      <c r="CM286" s="45">
        <f>(((CM$3*'[2]Renewable Diesel'!$AF295)*'[2]Feedstock Conversion Rates'!$B$6)/12)</f>
        <v>53.739583333333336</v>
      </c>
      <c r="CN286" s="45">
        <f>(((CN$3*'[2]Renewable Diesel'!$AF295)*'[2]Feedstock Conversion Rates'!$B$4)/12)</f>
        <v>42.96875</v>
      </c>
      <c r="CO286" s="47">
        <f t="shared" si="232"/>
        <v>188.48958333333334</v>
      </c>
      <c r="CP286" s="45">
        <f>('[2]Renewable Diesel'!$AG295*'[2]RD Feedstock Breakdown'!CP$3*'[2]Feedstock Conversion Rates'!$B$3)/12+4-4</f>
        <v>6.0075000000000003</v>
      </c>
      <c r="CQ286" s="45">
        <f>('[2]Renewable Diesel'!$AG295*'[2]RD Feedstock Breakdown'!CQ$3*'[2]Feedstock Conversion Rates'!$B$6)/12</f>
        <v>3.5175000000000001</v>
      </c>
      <c r="CR286" s="45">
        <f>('[2]Renewable Diesel'!$AG295*'[2]RD Feedstock Breakdown'!CR$3*'[2]Feedstock Conversion Rates'!$B$4)/12-4+4</f>
        <v>2.8125</v>
      </c>
      <c r="CS286" s="47">
        <f t="shared" si="183"/>
        <v>12.3375</v>
      </c>
      <c r="CT286" s="45">
        <f>('[2]Renewable Diesel'!AI295*'[2]Feedstock Conversion Rates'!$B$4*'[2]RD Feedstock Breakdown'!$CT$3)/12</f>
        <v>29.375</v>
      </c>
      <c r="CU286" s="47">
        <f t="shared" si="234"/>
        <v>29.375</v>
      </c>
      <c r="CV286" s="45">
        <f>('[2]Renewable Diesel'!AN295*'[2]Feedstock Conversion Rates'!$B$3*'[2]RD Feedstock Breakdown'!$CV$3)/12</f>
        <v>0.50062499999999999</v>
      </c>
      <c r="CW286" s="47">
        <f t="shared" si="206"/>
        <v>0.50062499999999999</v>
      </c>
      <c r="CX286" s="45">
        <f>('[2]Renewable Diesel'!AO295*'[2]RD Feedstock Breakdown'!$CX$3*'[2]Feedstock Conversion Rates'!$B$3)/12</f>
        <v>6.3412499999999996</v>
      </c>
      <c r="CY286" s="45">
        <f>('[2]Renewable Diesel'!AO295*'[2]RD Feedstock Breakdown'!$CY$3*'[2]Feedstock Conversion Rates'!$B$6)/12</f>
        <v>7.4258333333333342</v>
      </c>
      <c r="CZ286" s="47">
        <f t="shared" si="188"/>
        <v>13.767083333333334</v>
      </c>
      <c r="DA286" s="45">
        <f>('[2]Renewable Diesel'!$AP295*'[2]RD Feedstock Breakdown'!DA$3*'[2]Feedstock Conversion Rates'!$B$3)/12</f>
        <v>6.3412499999999996</v>
      </c>
      <c r="DB286" s="45">
        <f>('[2]Renewable Diesel'!$AP295*'[2]RD Feedstock Breakdown'!DB$3*'[2]Feedstock Conversion Rates'!$B$8)/12</f>
        <v>7.421875</v>
      </c>
      <c r="DC286" s="47">
        <f t="shared" si="212"/>
        <v>13.763124999999999</v>
      </c>
      <c r="DD286" s="45">
        <f>('[2]Renewable Diesel'!AQ295*$DD$3*'[2]Feedstock Conversion Rates'!$B$14)/12</f>
        <v>3.1041666666666665</v>
      </c>
      <c r="DE286" s="47">
        <f t="shared" si="213"/>
        <v>3.1041666666666665</v>
      </c>
      <c r="DF286" s="45">
        <f>('[2]Renewable Diesel'!AR295*'[2]Feedstock Conversion Rates'!$B$4*$DF$3)/12</f>
        <v>75</v>
      </c>
      <c r="DG286" s="47">
        <f t="shared" si="189"/>
        <v>75</v>
      </c>
      <c r="DH286" s="45">
        <f>('[2]Renewable Diesel'!AS295*'[2]Feedstock Conversion Rates'!$B$4*$DH$3)/12</f>
        <v>75</v>
      </c>
      <c r="DI286" s="47">
        <f t="shared" si="194"/>
        <v>75</v>
      </c>
      <c r="DJ286" s="45">
        <f>('[2]Renewable Diesel'!AT295*'[2]Feedstock Conversion Rates'!$B$4*0.25)/12</f>
        <v>8.59375</v>
      </c>
      <c r="DK286" s="45">
        <f>('[2]Renewable Diesel'!$AT295*'[2]RD Feedstock Breakdown'!DK$3*'[2]Feedstock Conversion Rates'!$B$3)/12*0.5</f>
        <v>9.1781249999999996</v>
      </c>
      <c r="DL286" s="45">
        <f>('[2]Renewable Diesel'!$AT295*'[2]RD Feedstock Breakdown'!$DL$3*'[2]Feedstock Conversion Rates'!$B$6)/12</f>
        <v>10.747916666666669</v>
      </c>
      <c r="DM286" s="45">
        <f>('[2]Renewable Diesel'!$AT295*'[2]RD Feedstock Breakdown'!$DM$3*'[2]Feedstock Conversion Rates'!$B$8)/12</f>
        <v>10.7421875</v>
      </c>
      <c r="DN286" s="47">
        <f t="shared" si="249"/>
        <v>39.26197916666667</v>
      </c>
      <c r="DP286" s="45">
        <f t="shared" si="216"/>
        <v>138.72025000000002</v>
      </c>
      <c r="DQ286" s="45">
        <f t="shared" si="217"/>
        <v>792.61776750000001</v>
      </c>
      <c r="DR286" s="45">
        <f t="shared" si="224"/>
        <v>1691.953125</v>
      </c>
      <c r="DS286" s="45">
        <f t="shared" si="235"/>
        <v>48.401250000000005</v>
      </c>
      <c r="DT286" s="45">
        <f t="shared" si="218"/>
        <v>249.53923333333344</v>
      </c>
      <c r="DU286" s="45">
        <f t="shared" si="219"/>
        <v>326.40610000000004</v>
      </c>
      <c r="DV286" s="45">
        <f t="shared" si="225"/>
        <v>5.25</v>
      </c>
      <c r="DW286" s="45">
        <f t="shared" si="220"/>
        <v>3</v>
      </c>
      <c r="DX286" s="47">
        <f t="shared" si="226"/>
        <v>3255.8877258333337</v>
      </c>
      <c r="DY286" s="50">
        <f t="shared" si="208"/>
        <v>-135.00000000000048</v>
      </c>
      <c r="EA286" s="51">
        <f t="shared" si="204"/>
        <v>4.2605968534893207E-2</v>
      </c>
      <c r="EB286" s="51">
        <f t="shared" si="204"/>
        <v>0.24344136967964156</v>
      </c>
      <c r="EC286" s="51">
        <f t="shared" si="204"/>
        <v>0.5196595421812189</v>
      </c>
      <c r="ED286" s="51">
        <f t="shared" si="204"/>
        <v>1.4865761376219404E-2</v>
      </c>
      <c r="EE286" s="51">
        <f t="shared" si="204"/>
        <v>7.6642456480732826E-2</v>
      </c>
      <c r="EF286" s="51">
        <f t="shared" si="204"/>
        <v>0.10025103058996221</v>
      </c>
      <c r="EG286" s="51">
        <f t="shared" si="204"/>
        <v>1.6124634637566563E-3</v>
      </c>
      <c r="EH286" s="52">
        <f t="shared" si="227"/>
        <v>9.2140769357523225E-4</v>
      </c>
      <c r="EI286" s="51">
        <f t="shared" si="191"/>
        <v>0.99907859230642482</v>
      </c>
      <c r="EK286" s="53">
        <f>(EA286*'[2]Renewable Diesel'!BF295*'[2]Feedstock Conversion Rates'!B$2)+FB286</f>
        <v>269.02662583764317</v>
      </c>
      <c r="EL286" s="53">
        <f>(EB286*'[2]Renewable Diesel'!BF295*'[2]Feedstock Conversion Rates'!B$3)+FC286</f>
        <v>1448.5476823629438</v>
      </c>
      <c r="EM286" s="53">
        <f>(EC286*'[2]Renewable Diesel'!BF295*'[2]Feedstock Conversion Rates'!B$4)+FD286</f>
        <v>2895.2499743879762</v>
      </c>
      <c r="EN286" s="53">
        <f>(ED286*'[2]Renewable Diesel'!BF295*'[2]Feedstock Conversion Rates'!B$5)+FE286</f>
        <v>83.375798374042816</v>
      </c>
      <c r="EO286" s="53">
        <f>(EE286*'[2]Renewable Diesel'!BF295*'[2]Feedstock Conversion Rates'!B$6)+FF286</f>
        <v>534.04536603362203</v>
      </c>
      <c r="EP286" s="53">
        <f>(EF286*'[2]Renewable Diesel'!BF295*'[2]Feedstock Conversion Rates'!B$7)+FG286</f>
        <v>685.14512181643931</v>
      </c>
      <c r="EQ286" s="53">
        <f>(EG286*'[2]Renewable Diesel'!BF295*'[2]Feedstock Conversion Rates'!B$8)+FH286</f>
        <v>11.229671600341227</v>
      </c>
      <c r="ER286" s="53">
        <f>(EH286*'[2]Renewable Diesel'!BF295*'[2]Feedstock Conversion Rates'!B$9)+FI286</f>
        <v>6.3313957975257207</v>
      </c>
      <c r="ES286" s="53">
        <f t="shared" si="228"/>
        <v>5932.9516362105333</v>
      </c>
      <c r="ET286" s="36">
        <f>ES286/'[2]Renewable Diesel'!BF295</f>
        <v>7.9866547577853337</v>
      </c>
    </row>
    <row r="287" spans="1:150" x14ac:dyDescent="0.25">
      <c r="A287" s="39">
        <v>49157</v>
      </c>
      <c r="B287" s="45">
        <f t="shared" si="239"/>
        <v>0.75</v>
      </c>
      <c r="C287" s="45">
        <f t="shared" si="240"/>
        <v>10</v>
      </c>
      <c r="D287" s="45">
        <f t="shared" si="241"/>
        <v>2</v>
      </c>
      <c r="E287" s="45">
        <f>('[2]Renewable Diesel'!B296*E$3*'[2]Feedstock Conversion Rates'!$B$2)/12+26+13-100+27.5+39+105-40-14-26+55.5-51+29</f>
        <v>153.93</v>
      </c>
      <c r="F287" s="45">
        <f>('[2]Renewable Diesel'!B296*'[2]RD Feedstock Breakdown'!F$3*'[2]Feedstock Conversion Rates'!B$8)/12+77+23-10-12-115.75+24+8-33+5-16</f>
        <v>4.15625</v>
      </c>
      <c r="G287" s="45">
        <f>('[2]Renewable Diesel'!B296*'[2]RD Feedstock Breakdown'!G$3*'[2]Feedstock Conversion Rates'!B$7)/12+116.75-39-57.5-145-31.5+32+70-40+10-70-20+40+13</f>
        <v>54.907000000000039</v>
      </c>
      <c r="H287" s="45">
        <f>('[2]Renewable Diesel'!B296*'[2]RD Feedstock Breakdown'!H$3*'[2]Feedstock Conversion Rates'!B$3)/12+67+10+12+3-235+20+47-20+15+75-55+140+15</f>
        <v>270.40022499999998</v>
      </c>
      <c r="I287" s="47">
        <f t="shared" si="245"/>
        <v>496.14347500000002</v>
      </c>
      <c r="J287" s="45">
        <f t="shared" si="242"/>
        <v>18</v>
      </c>
      <c r="K287" s="45"/>
      <c r="L287" s="45">
        <v>1</v>
      </c>
      <c r="M287" s="45">
        <f>('[2]Renewable Diesel'!C296*'[2]RD Feedstock Breakdown'!M$3*'[2]Feedstock Conversion Rates'!B$2)/12-55+32</f>
        <v>-15.20975</v>
      </c>
      <c r="N287" s="45">
        <f>('[2]Renewable Diesel'!C296*'[2]RD Feedstock Breakdown'!N$3*'[2]Feedstock Conversion Rates'!B$8)/12-7-20+7.5-15</f>
        <v>-30.828125</v>
      </c>
      <c r="O287" s="45">
        <f>('[2]Renewable Diesel'!C296*'[2]RD Feedstock Breakdown'!O$3*'[2]Feedstock Conversion Rates'!B$7)/12-35-35+145-40</f>
        <v>46.999099999999999</v>
      </c>
      <c r="P287" s="45">
        <f>('[2]Renewable Diesel'!C296*'[2]RD Feedstock Breakdown'!P$3*'[2]Feedstock Conversion Rates'!B$3)/12+15+35-34-37.5+20+5</f>
        <v>13.947042500000002</v>
      </c>
      <c r="Q287" s="47">
        <f t="shared" si="172"/>
        <v>33.908267500000001</v>
      </c>
      <c r="R287" s="45">
        <f>('[2]Renewable Diesel'!D296*'[2]RD Feedstock Breakdown'!R$3*'[2]Feedstock Conversion Rates'!B$7)/12</f>
        <v>2.2999999999999998</v>
      </c>
      <c r="S287" s="47">
        <f t="shared" si="203"/>
        <v>2.2999999999999998</v>
      </c>
      <c r="T287" s="45">
        <f t="shared" si="246"/>
        <v>0.82500000000000284</v>
      </c>
      <c r="U287" s="45">
        <v>30</v>
      </c>
      <c r="V287" s="45">
        <f>('[2]Renewable Diesel'!E296*'[2]RD Feedstock Breakdown'!V$3*'[2]Feedstock Conversion Rates'!B$6)/12-20+25-35</f>
        <v>14.250150000000012</v>
      </c>
      <c r="W287" s="45">
        <f>('[2]Renewable Diesel'!E296*'[2]RD Feedstock Breakdown'!W$3*'[2]Feedstock Conversion Rates'!B$8)/12-6+5</f>
        <v>21.1796875</v>
      </c>
      <c r="X287" s="47">
        <f t="shared" si="229"/>
        <v>66.254837500000008</v>
      </c>
      <c r="Y287" s="45">
        <f t="shared" si="243"/>
        <v>102</v>
      </c>
      <c r="Z287" s="45">
        <f>('[2]Renewable Diesel'!F296*'[2]RD Feedstock Breakdown'!Z$3*'[2]Feedstock Conversion Rates'!B$6)/12-142+15+5-5+70-41-10+14+4</f>
        <v>69.460000000000008</v>
      </c>
      <c r="AA287" s="45">
        <f>('[2]Renewable Diesel'!F296*'[2]RD Feedstock Breakdown'!AA$3*'[2]Feedstock Conversion Rates'!B$7)/12+24-10-25-1</f>
        <v>92.266666666666652</v>
      </c>
      <c r="AB287" s="47">
        <f t="shared" si="190"/>
        <v>263.72666666666669</v>
      </c>
      <c r="AC287" s="45">
        <f>('[2]Renewable Diesel'!G296*'[2]RD Feedstock Breakdown'!AC$3*'[2]Feedstock Conversion Rates'!B$5)/12</f>
        <v>11.796875</v>
      </c>
      <c r="AD287" s="45">
        <f>('[2]Renewable Diesel'!G296*'[2]RD Feedstock Breakdown'!AD$3*'[2]Feedstock Conversion Rates'!B$4)/12</f>
        <v>5.859375</v>
      </c>
      <c r="AE287" s="45">
        <f>('[2]Renewable Diesel'!G296*'[2]RD Feedstock Breakdown'!AE$3*'[2]Feedstock Conversion Rates'!B$6)/12</f>
        <v>7.3281250000000009</v>
      </c>
      <c r="AF287" s="47">
        <f t="shared" si="236"/>
        <v>24.984375</v>
      </c>
      <c r="AG287" s="45">
        <f t="shared" si="182"/>
        <v>6.5</v>
      </c>
      <c r="AH287" s="45">
        <v>135</v>
      </c>
      <c r="AI287" s="45">
        <f>('[2]Renewable Diesel'!H296*'[2]RD Feedstock Breakdown'!AI$3*'[2]Feedstock Conversion Rates'!B$6)/12-130-20+51-52.5+10</f>
        <v>7.0166666666666799</v>
      </c>
      <c r="AJ287" s="47">
        <f t="shared" si="202"/>
        <v>13.51666666666668</v>
      </c>
      <c r="AK287" s="45">
        <f>('[2]Renewable Diesel'!J296*'[2]RD Feedstock Breakdown'!AK$3*'[2]Feedstock Conversion Rates'!B$4)/12</f>
        <v>95.8125</v>
      </c>
      <c r="AL287" s="47">
        <f t="shared" si="205"/>
        <v>95.8125</v>
      </c>
      <c r="AM287" s="45">
        <f>('[2]Renewable Diesel'!K296*'[2]RD Feedstock Breakdown'!AM$3*'[2]Feedstock Conversion Rates'!B$4)/12+5+15-10-5+10-35</f>
        <v>38.59375</v>
      </c>
      <c r="AN287" s="45">
        <f>('[2]Renewable Diesel'!K296*'[2]RD Feedstock Breakdown'!AN$3*'[2]Feedstock Conversion Rates'!B$6)/12-5-15+10+5-10+35</f>
        <v>44.427083333333329</v>
      </c>
      <c r="AO287" s="47">
        <f t="shared" si="223"/>
        <v>83.020833333333329</v>
      </c>
      <c r="AP287" s="45">
        <f>('[2]Renewable Diesel'!L296*'[2]RD Feedstock Breakdown'!AP$3*'[2]Feedstock Conversion Rates'!B$4)/12+15-10-10+22</f>
        <v>75.59375</v>
      </c>
      <c r="AQ287" s="45">
        <f>('[2]Renewable Diesel'!L296*'[2]RD Feedstock Breakdown'!AQ$3*'[2]Feedstock Conversion Rates'!B$6)/12-15+10+10-22</f>
        <v>7.4270833333333321</v>
      </c>
      <c r="AR287" s="47">
        <f t="shared" si="207"/>
        <v>83.020833333333329</v>
      </c>
      <c r="AS287" s="45">
        <f>('[2]Renewable Diesel'!M296*'[2]RD Feedstock Breakdown'!AS$3*'[2]Feedstock Conversion Rates'!B$4)/12</f>
        <v>456.25</v>
      </c>
      <c r="AT287" s="45">
        <f>('[2]Renewable Diesel'!M296*'[2]RD Feedstock Breakdown'!AT$3*'[2]Feedstock Conversion Rates'!B$5)/12</f>
        <v>0</v>
      </c>
      <c r="AU287" s="47">
        <f t="shared" si="244"/>
        <v>456.25</v>
      </c>
      <c r="AV287" s="45">
        <f>'[2]Renewable Diesel'!N296*'[2]RD Feedstock Breakdown'!$AV$3*'[2]Feedstock Conversion Rates'!$B$4/12-15-10+25+25-22+25-77.5+56</f>
        <v>85.249999999999986</v>
      </c>
      <c r="AW287" s="45">
        <f>'[2]Renewable Diesel'!N296*'[2]RD Feedstock Breakdown'!$AW$3*'[2]Feedstock Conversion Rates'!$B$7/12+15+10-25-25+22-25+77.5-56</f>
        <v>34.900000000000006</v>
      </c>
      <c r="AX287" s="47">
        <f t="shared" si="193"/>
        <v>120.14999999999999</v>
      </c>
      <c r="AY287" s="45">
        <f>('[2]Renewable Diesel'!O296*'[2]RD Feedstock Breakdown'!AY$3*'[2]Feedstock Conversion Rates'!B$4)/12-95-250</f>
        <v>-134.0625</v>
      </c>
      <c r="AZ287" s="45">
        <f>('[2]Renewable Diesel'!O296*'[2]RD Feedstock Breakdown'!AZ$3*'[2]Feedstock Conversion Rates'!B$3)/12+95+250</f>
        <v>370.03125</v>
      </c>
      <c r="BA287" s="47">
        <f t="shared" si="173"/>
        <v>235.96875</v>
      </c>
      <c r="BB287" s="45">
        <f>('[2]Renewable Diesel'!Q296*'[2]RD Feedstock Breakdown'!BB$3*'[2]Feedstock Conversion Rates'!B$4)/12</f>
        <v>11.156249999999998</v>
      </c>
      <c r="BC287" s="45">
        <f>('[2]Renewable Diesel'!Q296*'[2]RD Feedstock Breakdown'!BC$3*'[2]Feedstock Conversion Rates'!B$3)/12</f>
        <v>1.4017500000000001</v>
      </c>
      <c r="BD287" s="45">
        <f>('[2]Renewable Diesel'!Q296*'[2]RD Feedstock Breakdown'!BD$3*'[2]Feedstock Conversion Rates'!B$6)/12</f>
        <v>0.8207500000000002</v>
      </c>
      <c r="BE287" s="47">
        <f t="shared" si="231"/>
        <v>13.378749999999998</v>
      </c>
      <c r="BF287" s="45">
        <f>('[2]Renewable Diesel'!R296*'[2]RD Feedstock Breakdown'!BF$3*'[2]Feedstock Conversion Rates'!B$4)/12</f>
        <v>62.5</v>
      </c>
      <c r="BG287" s="47">
        <f t="shared" si="215"/>
        <v>62.5</v>
      </c>
      <c r="BH287" s="45">
        <f>('[2]Renewable Diesel'!T296*'[2]RD Feedstock Breakdown'!BH$3*'[2]Feedstock Conversion Rates'!B$7)/12</f>
        <v>27.599999999999998</v>
      </c>
      <c r="BI287" s="47">
        <f t="shared" si="195"/>
        <v>27.599999999999998</v>
      </c>
      <c r="BJ287" s="45">
        <f>('[2]Renewable Diesel'!W296*'[2]RD Feedstock Breakdown'!BJ$3*'[2]Feedstock Conversion Rates'!B$4)/12</f>
        <v>7.5</v>
      </c>
      <c r="BK287" s="45">
        <f>('[2]Renewable Diesel'!W296*'[2]RD Feedstock Breakdown'!BK$3*'[2]Feedstock Conversion Rates'!B$3)/12</f>
        <v>1.335</v>
      </c>
      <c r="BL287" s="45">
        <f>('[2]Renewable Diesel'!W296*'[2]RD Feedstock Breakdown'!BL$3*'[2]Feedstock Conversion Rates'!B$6)/12</f>
        <v>3.1266666666666669</v>
      </c>
      <c r="BM287" s="45">
        <f>('[2]Renewable Diesel'!W296*'[2]RD Feedstock Breakdown'!BM$3*'[2]Feedstock Conversion Rates'!B$7)/12</f>
        <v>1.5333333333333332</v>
      </c>
      <c r="BN287" s="47">
        <f t="shared" si="248"/>
        <v>13.495000000000001</v>
      </c>
      <c r="BO287" s="45">
        <f>('[2]Renewable Diesel'!P296*'[2]Feedstock Conversion Rates'!B$4)/12</f>
        <v>31.25</v>
      </c>
      <c r="BP287" s="47">
        <f t="shared" si="237"/>
        <v>31.25</v>
      </c>
      <c r="BQ287" s="45">
        <f>('[2]Renewable Diesel'!$S296*'[2]RD Feedstock Breakdown'!BQ$3*'[2]Feedstock Conversion Rates'!B$4)/12+10+15-15</f>
        <v>38.125</v>
      </c>
      <c r="BR287" s="45">
        <f>('[2]Renewable Diesel'!$S296*'[2]RD Feedstock Breakdown'!BR$3*'[2]Feedstock Conversion Rates'!B$7)/12-10-15+15</f>
        <v>1.5</v>
      </c>
      <c r="BS287" s="47">
        <f t="shared" si="174"/>
        <v>39.625</v>
      </c>
      <c r="BT287" s="47"/>
      <c r="BU287" s="45">
        <f>('[2]Renewable Diesel'!Y296*'[2]Feedstock Conversion Rates'!B$7)/12</f>
        <v>2.6833333333333331</v>
      </c>
      <c r="BV287" s="47">
        <f t="shared" si="233"/>
        <v>2.6833333333333331</v>
      </c>
      <c r="BW287" s="45">
        <f>('[2]Renewable Diesel'!$Z296*'[2]RD Feedstock Breakdown'!BW$3*'[2]Feedstock Conversion Rates'!$B$4)/12</f>
        <v>71.875</v>
      </c>
      <c r="BX287" s="45">
        <f>('[2]Renewable Diesel'!$Z296*'[2]RD Feedstock Breakdown'!BX$3*'[2]Feedstock Conversion Rates'!$B$5)/12</f>
        <v>7.2354166666666666</v>
      </c>
      <c r="BY287" s="45">
        <f>('[2]Renewable Diesel'!$Z296*'[2]RD Feedstock Breakdown'!BY$3*'[2]Feedstock Conversion Rates'!$B$7)/12</f>
        <v>61.716666666666661</v>
      </c>
      <c r="BZ287" s="45">
        <f>('[2]Renewable Diesel'!$Z296*'[2]RD Feedstock Breakdown'!BZ$3*'[2]Feedstock Conversion Rates'!$B$3)/12</f>
        <v>15.352499999999999</v>
      </c>
      <c r="CA287" s="47">
        <f t="shared" si="181"/>
        <v>156.17958333333331</v>
      </c>
      <c r="CB287" s="45">
        <f>('[2]Renewable Diesel'!AA296*'[2]Feedstock Conversion Rates'!B$4)/12</f>
        <v>191.25</v>
      </c>
      <c r="CC287" s="47">
        <f t="shared" si="250"/>
        <v>191.25</v>
      </c>
      <c r="CD287" s="45">
        <f>('[2]Renewable Diesel'!$AB296*'[2]RD Feedstock Breakdown'!CD$3*'[2]Feedstock Conversion Rates'!$B$6)/12-15-5</f>
        <v>12.830000000000005</v>
      </c>
      <c r="CE287" s="45">
        <f>('[2]Renewable Diesel'!$AB296*'[2]RD Feedstock Breakdown'!CE$3*'[2]Feedstock Conversion Rates'!$B$4)/12+15+5</f>
        <v>31.25</v>
      </c>
      <c r="CF287" s="47">
        <f t="shared" si="247"/>
        <v>44.080000000000005</v>
      </c>
      <c r="CG287" s="45">
        <f>('[2]Renewable Diesel'!AD296*'[2]Feedstock Conversion Rates'!B$4)/12</f>
        <v>112.5</v>
      </c>
      <c r="CH287" s="47">
        <f t="shared" si="230"/>
        <v>112.5</v>
      </c>
      <c r="CI287" s="45">
        <f>('[2]Renewable Diesel'!$AE296*'[2]RD Feedstock Breakdown'!CI$3*'[2]Feedstock Conversion Rates'!$B$5)/12</f>
        <v>0.34604166666666664</v>
      </c>
      <c r="CJ287" s="45">
        <f>('[2]Renewable Diesel'!$AE296*'[2]RD Feedstock Breakdown'!CJ$3*'[2]Feedstock Conversion Rates'!$B$4)/12</f>
        <v>0.34375</v>
      </c>
      <c r="CK287" s="47">
        <f t="shared" si="238"/>
        <v>0.68979166666666658</v>
      </c>
      <c r="CL287" s="45">
        <f>(((CL$3*'[2]Renewable Diesel'!$AF296)*'[2]Feedstock Conversion Rates'!$B$3)/12)</f>
        <v>91.78125</v>
      </c>
      <c r="CM287" s="45">
        <f>(((CM$3*'[2]Renewable Diesel'!$AF296)*'[2]Feedstock Conversion Rates'!$B$6)/12)</f>
        <v>53.739583333333336</v>
      </c>
      <c r="CN287" s="45">
        <f>(((CN$3*'[2]Renewable Diesel'!$AF296)*'[2]Feedstock Conversion Rates'!$B$4)/12)</f>
        <v>42.96875</v>
      </c>
      <c r="CO287" s="47">
        <f t="shared" si="232"/>
        <v>188.48958333333334</v>
      </c>
      <c r="CP287" s="45">
        <f>('[2]Renewable Diesel'!$AG296*'[2]RD Feedstock Breakdown'!CP$3*'[2]Feedstock Conversion Rates'!$B$3)/12+4-4</f>
        <v>6.0075000000000003</v>
      </c>
      <c r="CQ287" s="45">
        <f>('[2]Renewable Diesel'!$AG296*'[2]RD Feedstock Breakdown'!CQ$3*'[2]Feedstock Conversion Rates'!$B$6)/12</f>
        <v>3.5175000000000001</v>
      </c>
      <c r="CR287" s="45">
        <f>('[2]Renewable Diesel'!$AG296*'[2]RD Feedstock Breakdown'!CR$3*'[2]Feedstock Conversion Rates'!$B$4)/12-4+4</f>
        <v>2.8125</v>
      </c>
      <c r="CS287" s="47">
        <f t="shared" si="183"/>
        <v>12.3375</v>
      </c>
      <c r="CT287" s="45">
        <f>('[2]Renewable Diesel'!AI296*'[2]Feedstock Conversion Rates'!$B$4*'[2]RD Feedstock Breakdown'!$CT$3)/12</f>
        <v>29.375</v>
      </c>
      <c r="CU287" s="47">
        <f t="shared" si="234"/>
        <v>29.375</v>
      </c>
      <c r="CV287" s="45">
        <f>('[2]Renewable Diesel'!AN296*'[2]Feedstock Conversion Rates'!$B$3*'[2]RD Feedstock Breakdown'!$CV$3)/12</f>
        <v>0.50062499999999999</v>
      </c>
      <c r="CW287" s="47">
        <f t="shared" si="206"/>
        <v>0.50062499999999999</v>
      </c>
      <c r="CX287" s="45">
        <f>('[2]Renewable Diesel'!AO296*'[2]RD Feedstock Breakdown'!$CX$3*'[2]Feedstock Conversion Rates'!$B$3)/12</f>
        <v>6.3412499999999996</v>
      </c>
      <c r="CY287" s="45">
        <f>('[2]Renewable Diesel'!AO296*'[2]RD Feedstock Breakdown'!$CY$3*'[2]Feedstock Conversion Rates'!$B$6)/12</f>
        <v>7.4258333333333342</v>
      </c>
      <c r="CZ287" s="47">
        <f t="shared" si="188"/>
        <v>13.767083333333334</v>
      </c>
      <c r="DA287" s="45">
        <f>('[2]Renewable Diesel'!$AP296*'[2]RD Feedstock Breakdown'!DA$3*'[2]Feedstock Conversion Rates'!$B$3)/12</f>
        <v>6.3412499999999996</v>
      </c>
      <c r="DB287" s="45">
        <f>('[2]Renewable Diesel'!$AP296*'[2]RD Feedstock Breakdown'!DB$3*'[2]Feedstock Conversion Rates'!$B$8)/12</f>
        <v>7.421875</v>
      </c>
      <c r="DC287" s="47">
        <f t="shared" si="212"/>
        <v>13.763124999999999</v>
      </c>
      <c r="DD287" s="45">
        <f>('[2]Renewable Diesel'!AQ296*$DD$3*'[2]Feedstock Conversion Rates'!$B$14)/12</f>
        <v>3.1041666666666665</v>
      </c>
      <c r="DE287" s="47">
        <f t="shared" si="213"/>
        <v>3.1041666666666665</v>
      </c>
      <c r="DF287" s="45">
        <f>('[2]Renewable Diesel'!AR296*'[2]Feedstock Conversion Rates'!$B$4*$DF$3)/12</f>
        <v>75</v>
      </c>
      <c r="DG287" s="47">
        <f t="shared" si="189"/>
        <v>75</v>
      </c>
      <c r="DH287" s="45">
        <f>('[2]Renewable Diesel'!AS296*'[2]Feedstock Conversion Rates'!$B$4*$DH$3)/12</f>
        <v>75</v>
      </c>
      <c r="DI287" s="47">
        <f t="shared" si="194"/>
        <v>75</v>
      </c>
      <c r="DJ287" s="45">
        <f>('[2]Renewable Diesel'!AT296*'[2]Feedstock Conversion Rates'!$B$4*0.25)/12</f>
        <v>8.59375</v>
      </c>
      <c r="DK287" s="45">
        <f>('[2]Renewable Diesel'!$AT296*'[2]RD Feedstock Breakdown'!DK$3*'[2]Feedstock Conversion Rates'!$B$3)/12*0.5</f>
        <v>9.1781249999999996</v>
      </c>
      <c r="DL287" s="45">
        <f>('[2]Renewable Diesel'!$AT296*'[2]RD Feedstock Breakdown'!$DL$3*'[2]Feedstock Conversion Rates'!$B$6)/12</f>
        <v>10.747916666666669</v>
      </c>
      <c r="DM287" s="45">
        <f>('[2]Renewable Diesel'!$AT296*'[2]RD Feedstock Breakdown'!$DM$3*'[2]Feedstock Conversion Rates'!$B$8)/12</f>
        <v>10.7421875</v>
      </c>
      <c r="DN287" s="47">
        <f t="shared" si="249"/>
        <v>39.26197916666667</v>
      </c>
      <c r="DP287" s="45">
        <f t="shared" si="216"/>
        <v>138.72025000000002</v>
      </c>
      <c r="DQ287" s="45">
        <f t="shared" si="217"/>
        <v>792.61776750000001</v>
      </c>
      <c r="DR287" s="45">
        <f t="shared" si="224"/>
        <v>1691.953125</v>
      </c>
      <c r="DS287" s="45">
        <f t="shared" si="235"/>
        <v>48.401250000000005</v>
      </c>
      <c r="DT287" s="45">
        <f t="shared" si="218"/>
        <v>249.53923333333344</v>
      </c>
      <c r="DU287" s="45">
        <f t="shared" si="219"/>
        <v>326.40610000000004</v>
      </c>
      <c r="DV287" s="45">
        <f t="shared" si="225"/>
        <v>5.25</v>
      </c>
      <c r="DW287" s="45">
        <f t="shared" si="220"/>
        <v>3</v>
      </c>
      <c r="DX287" s="47">
        <f t="shared" si="226"/>
        <v>3255.8877258333337</v>
      </c>
      <c r="DY287" s="50">
        <f t="shared" si="208"/>
        <v>-135.00000000000048</v>
      </c>
      <c r="EA287" s="51">
        <f t="shared" si="204"/>
        <v>4.2605968534893207E-2</v>
      </c>
      <c r="EB287" s="51">
        <f t="shared" si="204"/>
        <v>0.24344136967964156</v>
      </c>
      <c r="EC287" s="51">
        <f t="shared" si="204"/>
        <v>0.5196595421812189</v>
      </c>
      <c r="ED287" s="51">
        <f t="shared" si="204"/>
        <v>1.4865761376219404E-2</v>
      </c>
      <c r="EE287" s="51">
        <f t="shared" si="204"/>
        <v>7.6642456480732826E-2</v>
      </c>
      <c r="EF287" s="51">
        <f t="shared" si="204"/>
        <v>0.10025103058996221</v>
      </c>
      <c r="EG287" s="51">
        <f t="shared" si="204"/>
        <v>1.6124634637566563E-3</v>
      </c>
      <c r="EH287" s="52">
        <f t="shared" si="227"/>
        <v>9.2140769357523225E-4</v>
      </c>
      <c r="EI287" s="51">
        <f t="shared" si="191"/>
        <v>0.99907859230642482</v>
      </c>
      <c r="EK287" s="53">
        <f>(EA287*'[2]Renewable Diesel'!BF296*'[2]Feedstock Conversion Rates'!B$2)+FB287</f>
        <v>284.8149256665115</v>
      </c>
      <c r="EL287" s="53">
        <f>(EB287*'[2]Renewable Diesel'!BF296*'[2]Feedstock Conversion Rates'!B$3)+FC287</f>
        <v>1533.5582461104907</v>
      </c>
      <c r="EM287" s="53">
        <f>(EC287*'[2]Renewable Diesel'!BF296*'[2]Feedstock Conversion Rates'!B$4)+FD287</f>
        <v>3065.1628019114014</v>
      </c>
      <c r="EN287" s="53">
        <f>(ED287*'[2]Renewable Diesel'!BF296*'[2]Feedstock Conversion Rates'!B$5)+FE287</f>
        <v>88.268853472593094</v>
      </c>
      <c r="EO287" s="53">
        <f>(EE287*'[2]Renewable Diesel'!BF296*'[2]Feedstock Conversion Rates'!B$6)+FF287</f>
        <v>565.38675588640581</v>
      </c>
      <c r="EP287" s="53">
        <f>(EF287*'[2]Renewable Diesel'!BF296*'[2]Feedstock Conversion Rates'!B$7)+FG287</f>
        <v>725.35406610157725</v>
      </c>
      <c r="EQ287" s="53">
        <f>(EG287*'[2]Renewable Diesel'!BF296*'[2]Feedstock Conversion Rates'!B$8)+FH287</f>
        <v>11.888704592536255</v>
      </c>
      <c r="ER287" s="53">
        <f>(EH287*'[2]Renewable Diesel'!BF296*'[2]Feedstock Conversion Rates'!B$9)+FI287</f>
        <v>6.7029648750299655</v>
      </c>
      <c r="ES287" s="53">
        <f t="shared" si="228"/>
        <v>6281.1373186165474</v>
      </c>
      <c r="ET287" s="36">
        <f>ES287/'[2]Renewable Diesel'!BF296</f>
        <v>7.9866547577853373</v>
      </c>
    </row>
    <row r="288" spans="1:150" x14ac:dyDescent="0.25">
      <c r="A288" s="39">
        <v>49188</v>
      </c>
      <c r="B288" s="45">
        <f t="shared" si="239"/>
        <v>0.75</v>
      </c>
      <c r="C288" s="45">
        <f t="shared" si="240"/>
        <v>10</v>
      </c>
      <c r="D288" s="45">
        <f t="shared" si="241"/>
        <v>2</v>
      </c>
      <c r="E288" s="45">
        <f>('[2]Renewable Diesel'!B297*E$3*'[2]Feedstock Conversion Rates'!$B$2)/12+26+13-100+27.5+39+105-40-14-26+55.5-51+29</f>
        <v>153.93</v>
      </c>
      <c r="F288" s="45">
        <f>('[2]Renewable Diesel'!B297*'[2]RD Feedstock Breakdown'!F$3*'[2]Feedstock Conversion Rates'!B$8)/12+77+23-10-12-115.75+24+8-33+5-16</f>
        <v>4.15625</v>
      </c>
      <c r="G288" s="45">
        <f>('[2]Renewable Diesel'!B297*'[2]RD Feedstock Breakdown'!G$3*'[2]Feedstock Conversion Rates'!B$7)/12+116.75-39-57.5-145-31.5+32+70-40+10-70-20+40+13</f>
        <v>54.907000000000039</v>
      </c>
      <c r="H288" s="45">
        <f>('[2]Renewable Diesel'!B297*'[2]RD Feedstock Breakdown'!H$3*'[2]Feedstock Conversion Rates'!B$3)/12+67+10+12+3-235+20+47-20+15+75-55+140+15</f>
        <v>270.40022499999998</v>
      </c>
      <c r="I288" s="47">
        <f t="shared" si="245"/>
        <v>496.14347500000002</v>
      </c>
      <c r="J288" s="45">
        <f t="shared" si="242"/>
        <v>18</v>
      </c>
      <c r="K288" s="45"/>
      <c r="L288" s="45">
        <v>1</v>
      </c>
      <c r="M288" s="45">
        <f>('[2]Renewable Diesel'!C297*'[2]RD Feedstock Breakdown'!M$3*'[2]Feedstock Conversion Rates'!B$2)/12-55+32</f>
        <v>-15.20975</v>
      </c>
      <c r="N288" s="45">
        <f>('[2]Renewable Diesel'!C297*'[2]RD Feedstock Breakdown'!N$3*'[2]Feedstock Conversion Rates'!B$8)/12-7-20+7.5-15</f>
        <v>-30.828125</v>
      </c>
      <c r="O288" s="45">
        <f>('[2]Renewable Diesel'!C297*'[2]RD Feedstock Breakdown'!O$3*'[2]Feedstock Conversion Rates'!B$7)/12-35-35+145-40</f>
        <v>46.999099999999999</v>
      </c>
      <c r="P288" s="45">
        <f>('[2]Renewable Diesel'!C297*'[2]RD Feedstock Breakdown'!P$3*'[2]Feedstock Conversion Rates'!B$3)/12+15+35-34-37.5+20+5</f>
        <v>13.947042500000002</v>
      </c>
      <c r="Q288" s="47">
        <f t="shared" si="172"/>
        <v>33.908267500000001</v>
      </c>
      <c r="R288" s="45">
        <f>('[2]Renewable Diesel'!D297*'[2]RD Feedstock Breakdown'!R$3*'[2]Feedstock Conversion Rates'!B$7)/12</f>
        <v>2.2999999999999998</v>
      </c>
      <c r="S288" s="47">
        <f t="shared" si="203"/>
        <v>2.2999999999999998</v>
      </c>
      <c r="T288" s="45">
        <f t="shared" si="246"/>
        <v>0.82500000000000284</v>
      </c>
      <c r="U288" s="45">
        <v>30</v>
      </c>
      <c r="V288" s="45">
        <f>('[2]Renewable Diesel'!E297*'[2]RD Feedstock Breakdown'!V$3*'[2]Feedstock Conversion Rates'!B$6)/12-20+25-35</f>
        <v>14.250150000000012</v>
      </c>
      <c r="W288" s="45">
        <f>('[2]Renewable Diesel'!E297*'[2]RD Feedstock Breakdown'!W$3*'[2]Feedstock Conversion Rates'!B$8)/12-6+5</f>
        <v>21.1796875</v>
      </c>
      <c r="X288" s="47">
        <f t="shared" si="229"/>
        <v>66.254837500000008</v>
      </c>
      <c r="Y288" s="45">
        <f t="shared" si="243"/>
        <v>102</v>
      </c>
      <c r="Z288" s="45">
        <f>('[2]Renewable Diesel'!F297*'[2]RD Feedstock Breakdown'!Z$3*'[2]Feedstock Conversion Rates'!B$6)/12-142+15+5-5+70-41-10+14+4</f>
        <v>69.460000000000008</v>
      </c>
      <c r="AA288" s="45">
        <f>('[2]Renewable Diesel'!F297*'[2]RD Feedstock Breakdown'!AA$3*'[2]Feedstock Conversion Rates'!B$7)/12+24-10-25-1</f>
        <v>92.266666666666652</v>
      </c>
      <c r="AB288" s="47">
        <f t="shared" si="190"/>
        <v>263.72666666666669</v>
      </c>
      <c r="AC288" s="45">
        <f>('[2]Renewable Diesel'!G297*'[2]RD Feedstock Breakdown'!AC$3*'[2]Feedstock Conversion Rates'!B$5)/12</f>
        <v>11.796875</v>
      </c>
      <c r="AD288" s="45">
        <f>('[2]Renewable Diesel'!G297*'[2]RD Feedstock Breakdown'!AD$3*'[2]Feedstock Conversion Rates'!B$4)/12</f>
        <v>5.859375</v>
      </c>
      <c r="AE288" s="45">
        <f>('[2]Renewable Diesel'!G297*'[2]RD Feedstock Breakdown'!AE$3*'[2]Feedstock Conversion Rates'!B$6)/12</f>
        <v>7.3281250000000009</v>
      </c>
      <c r="AF288" s="47">
        <f t="shared" si="236"/>
        <v>24.984375</v>
      </c>
      <c r="AG288" s="45">
        <f t="shared" si="182"/>
        <v>6.5</v>
      </c>
      <c r="AH288" s="45">
        <v>135</v>
      </c>
      <c r="AI288" s="45">
        <f>('[2]Renewable Diesel'!H297*'[2]RD Feedstock Breakdown'!AI$3*'[2]Feedstock Conversion Rates'!B$6)/12-130-20+51-52.5+10</f>
        <v>7.0166666666666799</v>
      </c>
      <c r="AJ288" s="47">
        <f t="shared" si="202"/>
        <v>13.51666666666668</v>
      </c>
      <c r="AK288" s="45">
        <f>('[2]Renewable Diesel'!J297*'[2]RD Feedstock Breakdown'!AK$3*'[2]Feedstock Conversion Rates'!B$4)/12</f>
        <v>95.8125</v>
      </c>
      <c r="AL288" s="47">
        <f t="shared" si="205"/>
        <v>95.8125</v>
      </c>
      <c r="AM288" s="45">
        <f>('[2]Renewable Diesel'!K297*'[2]RD Feedstock Breakdown'!AM$3*'[2]Feedstock Conversion Rates'!B$4)/12+5+15-10-5+10-35</f>
        <v>38.59375</v>
      </c>
      <c r="AN288" s="45">
        <f>('[2]Renewable Diesel'!K297*'[2]RD Feedstock Breakdown'!AN$3*'[2]Feedstock Conversion Rates'!B$6)/12-5-15+10+5-10+35</f>
        <v>44.427083333333329</v>
      </c>
      <c r="AO288" s="47">
        <f t="shared" si="223"/>
        <v>83.020833333333329</v>
      </c>
      <c r="AP288" s="45">
        <f>('[2]Renewable Diesel'!L297*'[2]RD Feedstock Breakdown'!AP$3*'[2]Feedstock Conversion Rates'!B$4)/12+15-10-10+22</f>
        <v>75.59375</v>
      </c>
      <c r="AQ288" s="45">
        <f>('[2]Renewable Diesel'!L297*'[2]RD Feedstock Breakdown'!AQ$3*'[2]Feedstock Conversion Rates'!B$6)/12-15+10+10-22</f>
        <v>7.4270833333333321</v>
      </c>
      <c r="AR288" s="47">
        <f t="shared" si="207"/>
        <v>83.020833333333329</v>
      </c>
      <c r="AS288" s="45">
        <f>('[2]Renewable Diesel'!M297*'[2]RD Feedstock Breakdown'!AS$3*'[2]Feedstock Conversion Rates'!B$4)/12</f>
        <v>456.25</v>
      </c>
      <c r="AT288" s="45">
        <f>('[2]Renewable Diesel'!M297*'[2]RD Feedstock Breakdown'!AT$3*'[2]Feedstock Conversion Rates'!B$5)/12</f>
        <v>0</v>
      </c>
      <c r="AU288" s="47">
        <f t="shared" si="244"/>
        <v>456.25</v>
      </c>
      <c r="AV288" s="45">
        <f>'[2]Renewable Diesel'!N297*'[2]RD Feedstock Breakdown'!$AV$3*'[2]Feedstock Conversion Rates'!$B$4/12-15-10+25+25-22+25-77.5+56</f>
        <v>85.249999999999986</v>
      </c>
      <c r="AW288" s="45">
        <f>'[2]Renewable Diesel'!N297*'[2]RD Feedstock Breakdown'!$AW$3*'[2]Feedstock Conversion Rates'!$B$7/12+15+10-25-25+22-25+77.5-56</f>
        <v>34.900000000000006</v>
      </c>
      <c r="AX288" s="47">
        <f t="shared" si="193"/>
        <v>120.14999999999999</v>
      </c>
      <c r="AY288" s="45">
        <f>('[2]Renewable Diesel'!O297*'[2]RD Feedstock Breakdown'!AY$3*'[2]Feedstock Conversion Rates'!B$4)/12-95-250</f>
        <v>-134.0625</v>
      </c>
      <c r="AZ288" s="45">
        <f>('[2]Renewable Diesel'!O297*'[2]RD Feedstock Breakdown'!AZ$3*'[2]Feedstock Conversion Rates'!B$3)/12+95+250</f>
        <v>370.03125</v>
      </c>
      <c r="BA288" s="47">
        <f t="shared" si="173"/>
        <v>235.96875</v>
      </c>
      <c r="BB288" s="45">
        <f>('[2]Renewable Diesel'!Q297*'[2]RD Feedstock Breakdown'!BB$3*'[2]Feedstock Conversion Rates'!B$4)/12</f>
        <v>11.156249999999998</v>
      </c>
      <c r="BC288" s="45">
        <f>('[2]Renewable Diesel'!Q297*'[2]RD Feedstock Breakdown'!BC$3*'[2]Feedstock Conversion Rates'!B$3)/12</f>
        <v>1.4017500000000001</v>
      </c>
      <c r="BD288" s="45">
        <f>('[2]Renewable Diesel'!Q297*'[2]RD Feedstock Breakdown'!BD$3*'[2]Feedstock Conversion Rates'!B$6)/12</f>
        <v>0.8207500000000002</v>
      </c>
      <c r="BE288" s="47">
        <f t="shared" si="231"/>
        <v>13.378749999999998</v>
      </c>
      <c r="BF288" s="45">
        <f>('[2]Renewable Diesel'!R297*'[2]RD Feedstock Breakdown'!BF$3*'[2]Feedstock Conversion Rates'!B$4)/12</f>
        <v>62.5</v>
      </c>
      <c r="BG288" s="47">
        <f t="shared" si="215"/>
        <v>62.5</v>
      </c>
      <c r="BH288" s="45">
        <f>('[2]Renewable Diesel'!T297*'[2]RD Feedstock Breakdown'!BH$3*'[2]Feedstock Conversion Rates'!B$7)/12</f>
        <v>27.599999999999998</v>
      </c>
      <c r="BI288" s="47">
        <f t="shared" si="195"/>
        <v>27.599999999999998</v>
      </c>
      <c r="BJ288" s="45">
        <f>('[2]Renewable Diesel'!W297*'[2]RD Feedstock Breakdown'!BJ$3*'[2]Feedstock Conversion Rates'!B$4)/12</f>
        <v>7.5</v>
      </c>
      <c r="BK288" s="45">
        <f>('[2]Renewable Diesel'!W297*'[2]RD Feedstock Breakdown'!BK$3*'[2]Feedstock Conversion Rates'!B$3)/12</f>
        <v>1.335</v>
      </c>
      <c r="BL288" s="45">
        <f>('[2]Renewable Diesel'!W297*'[2]RD Feedstock Breakdown'!BL$3*'[2]Feedstock Conversion Rates'!B$6)/12</f>
        <v>3.1266666666666669</v>
      </c>
      <c r="BM288" s="45">
        <f>('[2]Renewable Diesel'!W297*'[2]RD Feedstock Breakdown'!BM$3*'[2]Feedstock Conversion Rates'!B$7)/12</f>
        <v>1.5333333333333332</v>
      </c>
      <c r="BN288" s="47">
        <f t="shared" si="248"/>
        <v>13.495000000000001</v>
      </c>
      <c r="BO288" s="45">
        <f>('[2]Renewable Diesel'!P297*'[2]Feedstock Conversion Rates'!B$4)/12</f>
        <v>31.25</v>
      </c>
      <c r="BP288" s="47">
        <f t="shared" si="237"/>
        <v>31.25</v>
      </c>
      <c r="BQ288" s="45">
        <f>('[2]Renewable Diesel'!$S297*'[2]RD Feedstock Breakdown'!BQ$3*'[2]Feedstock Conversion Rates'!B$4)/12+10+15-15</f>
        <v>38.125</v>
      </c>
      <c r="BR288" s="45">
        <f>('[2]Renewable Diesel'!$S297*'[2]RD Feedstock Breakdown'!BR$3*'[2]Feedstock Conversion Rates'!B$7)/12-10-15+15</f>
        <v>1.5</v>
      </c>
      <c r="BS288" s="47">
        <f t="shared" si="174"/>
        <v>39.625</v>
      </c>
      <c r="BT288" s="47"/>
      <c r="BU288" s="45">
        <f>('[2]Renewable Diesel'!Y297*'[2]Feedstock Conversion Rates'!B$7)/12</f>
        <v>2.6833333333333331</v>
      </c>
      <c r="BV288" s="47">
        <f t="shared" si="233"/>
        <v>2.6833333333333331</v>
      </c>
      <c r="BW288" s="45">
        <f>('[2]Renewable Diesel'!$Z297*'[2]RD Feedstock Breakdown'!BW$3*'[2]Feedstock Conversion Rates'!$B$4)/12</f>
        <v>71.875</v>
      </c>
      <c r="BX288" s="45">
        <f>('[2]Renewable Diesel'!$Z297*'[2]RD Feedstock Breakdown'!BX$3*'[2]Feedstock Conversion Rates'!$B$5)/12</f>
        <v>7.2354166666666666</v>
      </c>
      <c r="BY288" s="45">
        <f>('[2]Renewable Diesel'!$Z297*'[2]RD Feedstock Breakdown'!BY$3*'[2]Feedstock Conversion Rates'!$B$7)/12</f>
        <v>61.716666666666661</v>
      </c>
      <c r="BZ288" s="45">
        <f>('[2]Renewable Diesel'!$Z297*'[2]RD Feedstock Breakdown'!BZ$3*'[2]Feedstock Conversion Rates'!$B$3)/12</f>
        <v>15.352499999999999</v>
      </c>
      <c r="CA288" s="47">
        <f t="shared" si="181"/>
        <v>156.17958333333331</v>
      </c>
      <c r="CB288" s="45">
        <f>('[2]Renewable Diesel'!AA297*'[2]Feedstock Conversion Rates'!B$4)/12</f>
        <v>191.25</v>
      </c>
      <c r="CC288" s="47">
        <f t="shared" si="250"/>
        <v>191.25</v>
      </c>
      <c r="CD288" s="45">
        <f>('[2]Renewable Diesel'!$AB297*'[2]RD Feedstock Breakdown'!CD$3*'[2]Feedstock Conversion Rates'!$B$6)/12-15-5</f>
        <v>12.830000000000005</v>
      </c>
      <c r="CE288" s="45">
        <f>('[2]Renewable Diesel'!$AB297*'[2]RD Feedstock Breakdown'!CE$3*'[2]Feedstock Conversion Rates'!$B$4)/12+15+5</f>
        <v>31.25</v>
      </c>
      <c r="CF288" s="47">
        <f t="shared" si="247"/>
        <v>44.080000000000005</v>
      </c>
      <c r="CG288" s="45">
        <f>('[2]Renewable Diesel'!AD297*'[2]Feedstock Conversion Rates'!B$4)/12</f>
        <v>112.5</v>
      </c>
      <c r="CH288" s="47">
        <f t="shared" si="230"/>
        <v>112.5</v>
      </c>
      <c r="CI288" s="45">
        <f>('[2]Renewable Diesel'!$AE297*'[2]RD Feedstock Breakdown'!CI$3*'[2]Feedstock Conversion Rates'!$B$5)/12</f>
        <v>0.34604166666666664</v>
      </c>
      <c r="CJ288" s="45">
        <f>('[2]Renewable Diesel'!$AE297*'[2]RD Feedstock Breakdown'!CJ$3*'[2]Feedstock Conversion Rates'!$B$4)/12</f>
        <v>0.34375</v>
      </c>
      <c r="CK288" s="47">
        <f t="shared" si="238"/>
        <v>0.68979166666666658</v>
      </c>
      <c r="CL288" s="45">
        <f>(((CL$3*'[2]Renewable Diesel'!$AF297)*'[2]Feedstock Conversion Rates'!$B$3)/12)</f>
        <v>91.78125</v>
      </c>
      <c r="CM288" s="45">
        <f>(((CM$3*'[2]Renewable Diesel'!$AF297)*'[2]Feedstock Conversion Rates'!$B$6)/12)</f>
        <v>53.739583333333336</v>
      </c>
      <c r="CN288" s="45">
        <f>(((CN$3*'[2]Renewable Diesel'!$AF297)*'[2]Feedstock Conversion Rates'!$B$4)/12)</f>
        <v>42.96875</v>
      </c>
      <c r="CO288" s="47">
        <f t="shared" si="232"/>
        <v>188.48958333333334</v>
      </c>
      <c r="CP288" s="45">
        <f>('[2]Renewable Diesel'!$AG297*'[2]RD Feedstock Breakdown'!CP$3*'[2]Feedstock Conversion Rates'!$B$3)/12+4-4</f>
        <v>6.0075000000000003</v>
      </c>
      <c r="CQ288" s="45">
        <f>('[2]Renewable Diesel'!$AG297*'[2]RD Feedstock Breakdown'!CQ$3*'[2]Feedstock Conversion Rates'!$B$6)/12</f>
        <v>3.5175000000000001</v>
      </c>
      <c r="CR288" s="45">
        <f>('[2]Renewable Diesel'!$AG297*'[2]RD Feedstock Breakdown'!CR$3*'[2]Feedstock Conversion Rates'!$B$4)/12-4+4</f>
        <v>2.8125</v>
      </c>
      <c r="CS288" s="47">
        <f t="shared" si="183"/>
        <v>12.3375</v>
      </c>
      <c r="CT288" s="45">
        <f>('[2]Renewable Diesel'!AI297*'[2]Feedstock Conversion Rates'!$B$4*'[2]RD Feedstock Breakdown'!$CT$3)/12</f>
        <v>29.375</v>
      </c>
      <c r="CU288" s="47">
        <f t="shared" si="234"/>
        <v>29.375</v>
      </c>
      <c r="CV288" s="45">
        <f>('[2]Renewable Diesel'!AN297*'[2]Feedstock Conversion Rates'!$B$3*'[2]RD Feedstock Breakdown'!$CV$3)/12</f>
        <v>0.50062499999999999</v>
      </c>
      <c r="CW288" s="47">
        <f t="shared" si="206"/>
        <v>0.50062499999999999</v>
      </c>
      <c r="CX288" s="45">
        <f>('[2]Renewable Diesel'!AO297*'[2]RD Feedstock Breakdown'!$CX$3*'[2]Feedstock Conversion Rates'!$B$3)/12</f>
        <v>6.3412499999999996</v>
      </c>
      <c r="CY288" s="45">
        <f>('[2]Renewable Diesel'!AO297*'[2]RD Feedstock Breakdown'!$CY$3*'[2]Feedstock Conversion Rates'!$B$6)/12</f>
        <v>7.4258333333333342</v>
      </c>
      <c r="CZ288" s="47">
        <f t="shared" si="188"/>
        <v>13.767083333333334</v>
      </c>
      <c r="DA288" s="45">
        <f>('[2]Renewable Diesel'!$AP297*'[2]RD Feedstock Breakdown'!DA$3*'[2]Feedstock Conversion Rates'!$B$3)/12</f>
        <v>6.3412499999999996</v>
      </c>
      <c r="DB288" s="45">
        <f>('[2]Renewable Diesel'!$AP297*'[2]RD Feedstock Breakdown'!DB$3*'[2]Feedstock Conversion Rates'!$B$8)/12</f>
        <v>7.421875</v>
      </c>
      <c r="DC288" s="47">
        <f t="shared" si="212"/>
        <v>13.763124999999999</v>
      </c>
      <c r="DD288" s="45">
        <f>('[2]Renewable Diesel'!AQ297*$DD$3*'[2]Feedstock Conversion Rates'!$B$14)/12</f>
        <v>3.1041666666666665</v>
      </c>
      <c r="DE288" s="47">
        <f t="shared" si="213"/>
        <v>3.1041666666666665</v>
      </c>
      <c r="DF288" s="45">
        <f>('[2]Renewable Diesel'!AR297*'[2]Feedstock Conversion Rates'!$B$4*$DF$3)/12</f>
        <v>75</v>
      </c>
      <c r="DG288" s="47">
        <f t="shared" si="189"/>
        <v>75</v>
      </c>
      <c r="DH288" s="45">
        <f>('[2]Renewable Diesel'!AS297*'[2]Feedstock Conversion Rates'!$B$4*$DH$3)/12</f>
        <v>75</v>
      </c>
      <c r="DI288" s="47">
        <f t="shared" si="194"/>
        <v>75</v>
      </c>
      <c r="DJ288" s="45">
        <f>('[2]Renewable Diesel'!AT297*'[2]Feedstock Conversion Rates'!$B$4*0.25)/12</f>
        <v>8.59375</v>
      </c>
      <c r="DK288" s="45">
        <f>('[2]Renewable Diesel'!$AT297*'[2]RD Feedstock Breakdown'!DK$3*'[2]Feedstock Conversion Rates'!$B$3)/12*0.5</f>
        <v>9.1781249999999996</v>
      </c>
      <c r="DL288" s="45">
        <f>('[2]Renewable Diesel'!$AT297*'[2]RD Feedstock Breakdown'!$DL$3*'[2]Feedstock Conversion Rates'!$B$6)/12</f>
        <v>10.747916666666669</v>
      </c>
      <c r="DM288" s="45">
        <f>('[2]Renewable Diesel'!$AT297*'[2]RD Feedstock Breakdown'!$DM$3*'[2]Feedstock Conversion Rates'!$B$8)/12</f>
        <v>10.7421875</v>
      </c>
      <c r="DN288" s="47">
        <f t="shared" si="249"/>
        <v>39.26197916666667</v>
      </c>
      <c r="DP288" s="45">
        <f t="shared" si="216"/>
        <v>138.72025000000002</v>
      </c>
      <c r="DQ288" s="45">
        <f t="shared" si="217"/>
        <v>792.61776750000001</v>
      </c>
      <c r="DR288" s="45">
        <f t="shared" si="224"/>
        <v>1691.953125</v>
      </c>
      <c r="DS288" s="45">
        <f t="shared" si="235"/>
        <v>48.401250000000005</v>
      </c>
      <c r="DT288" s="45">
        <f t="shared" si="218"/>
        <v>249.53923333333344</v>
      </c>
      <c r="DU288" s="45">
        <f t="shared" si="219"/>
        <v>326.40610000000004</v>
      </c>
      <c r="DV288" s="45">
        <f t="shared" si="225"/>
        <v>5.25</v>
      </c>
      <c r="DW288" s="45">
        <f t="shared" si="220"/>
        <v>3</v>
      </c>
      <c r="DX288" s="47">
        <f t="shared" si="226"/>
        <v>3255.8877258333337</v>
      </c>
      <c r="DY288" s="50">
        <f t="shared" si="208"/>
        <v>-135.00000000000048</v>
      </c>
      <c r="EA288" s="51">
        <f t="shared" si="204"/>
        <v>4.2605968534893207E-2</v>
      </c>
      <c r="EB288" s="51">
        <f t="shared" si="204"/>
        <v>0.24344136967964156</v>
      </c>
      <c r="EC288" s="51">
        <f t="shared" si="204"/>
        <v>0.5196595421812189</v>
      </c>
      <c r="ED288" s="51">
        <f t="shared" si="204"/>
        <v>1.4865761376219404E-2</v>
      </c>
      <c r="EE288" s="51">
        <f t="shared" si="204"/>
        <v>7.6642456480732826E-2</v>
      </c>
      <c r="EF288" s="51">
        <f t="shared" si="204"/>
        <v>0.10025103058996221</v>
      </c>
      <c r="EG288" s="51">
        <f t="shared" si="204"/>
        <v>1.6124634637566563E-3</v>
      </c>
      <c r="EH288" s="52">
        <f t="shared" si="227"/>
        <v>9.2140769357523225E-4</v>
      </c>
      <c r="EI288" s="51">
        <f t="shared" si="191"/>
        <v>0.99907859230642482</v>
      </c>
      <c r="EK288" s="53">
        <f>(EA288*'[2]Renewable Diesel'!BF297*'[2]Feedstock Conversion Rates'!B$2)+FB288</f>
        <v>324.59410755791112</v>
      </c>
      <c r="EL288" s="53">
        <f>(EB288*'[2]Renewable Diesel'!BF297*'[2]Feedstock Conversion Rates'!B$3)+FC288</f>
        <v>1747.7453792824156</v>
      </c>
      <c r="EM288" s="53">
        <f>(EC288*'[2]Renewable Diesel'!BF297*'[2]Feedstock Conversion Rates'!B$4)+FD288</f>
        <v>3493.2642026320668</v>
      </c>
      <c r="EN288" s="53">
        <f>(ED288*'[2]Renewable Diesel'!BF297*'[2]Feedstock Conversion Rates'!B$5)+FE288</f>
        <v>100.59707949310335</v>
      </c>
      <c r="EO288" s="53">
        <f>(EE288*'[2]Renewable Diesel'!BF297*'[2]Feedstock Conversion Rates'!B$6)+FF288</f>
        <v>644.35250021585807</v>
      </c>
      <c r="EP288" s="53">
        <f>(EF288*'[2]Renewable Diesel'!BF297*'[2]Feedstock Conversion Rates'!B$7)+FG288</f>
        <v>826.66192861474474</v>
      </c>
      <c r="EQ288" s="53">
        <f>(EG288*'[2]Renewable Diesel'!BF297*'[2]Feedstock Conversion Rates'!B$8)+FH288</f>
        <v>13.549161611538699</v>
      </c>
      <c r="ER288" s="53">
        <f>(EH288*'[2]Renewable Diesel'!BF297*'[2]Feedstock Conversion Rates'!B$9)+FI288</f>
        <v>7.6391463562199142</v>
      </c>
      <c r="ES288" s="53">
        <f t="shared" si="228"/>
        <v>7158.4035057638584</v>
      </c>
      <c r="ET288" s="36">
        <f>ES288/'[2]Renewable Diesel'!BF297</f>
        <v>7.9866547577853346</v>
      </c>
    </row>
    <row r="289" spans="1:150" x14ac:dyDescent="0.25">
      <c r="A289" s="39">
        <v>49218</v>
      </c>
      <c r="B289" s="45">
        <f>115.75+145+100+235+31.5-21-287-20-28-32-70-39-47+40+20-3-10+50+12.5-65-1-1</f>
        <v>125.75</v>
      </c>
      <c r="C289" s="45">
        <f t="shared" ref="C289:C352" si="251">50-1</f>
        <v>49</v>
      </c>
      <c r="D289" s="45">
        <f>1+1</f>
        <v>2</v>
      </c>
      <c r="E289" s="45">
        <f>('[2]Renewable Diesel'!B298*E$3*'[2]Feedstock Conversion Rates'!$B$2)/12+26+13-100+27.5+39</f>
        <v>95.43</v>
      </c>
      <c r="F289" s="45">
        <f>('[2]Renewable Diesel'!B298*'[2]RD Feedstock Breakdown'!F$3*'[2]Feedstock Conversion Rates'!B$8)/12+77+23-10-12-115.75+24+8+1</f>
        <v>49.15625</v>
      </c>
      <c r="G289" s="45">
        <f>('[2]Renewable Diesel'!B298*'[2]RD Feedstock Breakdown'!G$3*'[2]Feedstock Conversion Rates'!B$7)/12+116.75-39-57.5-145-31.5+32+70-40+10-50-12.5</f>
        <v>29.407000000000039</v>
      </c>
      <c r="H289" s="45">
        <f>('[2]Renewable Diesel'!B298*'[2]RD Feedstock Breakdown'!H$3*'[2]Feedstock Conversion Rates'!B$3)/12+67+10+12+3-235+20+47-20+65</f>
        <v>145.40022499999998</v>
      </c>
      <c r="I289" s="47">
        <f t="shared" si="245"/>
        <v>496.14347500000002</v>
      </c>
      <c r="J289" s="45">
        <f>54-15-35+10+45</f>
        <v>59</v>
      </c>
      <c r="K289" s="45"/>
      <c r="L289" s="45">
        <v>1</v>
      </c>
      <c r="M289" s="45">
        <f>('[2]Renewable Diesel'!C298*'[2]RD Feedstock Breakdown'!M$3*'[2]Feedstock Conversion Rates'!B$2)/12-55</f>
        <v>-47.20975</v>
      </c>
      <c r="N289" s="45">
        <f>('[2]Renewable Diesel'!C298*'[2]RD Feedstock Breakdown'!N$3*'[2]Feedstock Conversion Rates'!B$8)/12-10</f>
        <v>-6.328125</v>
      </c>
      <c r="O289" s="45">
        <f>('[2]Renewable Diesel'!C298*'[2]RD Feedstock Breakdown'!O$3*'[2]Feedstock Conversion Rates'!B$7)/12-45</f>
        <v>-33.000900000000001</v>
      </c>
      <c r="P289" s="45">
        <f>('[2]Renewable Diesel'!C298*'[2]RD Feedstock Breakdown'!P$3*'[2]Feedstock Conversion Rates'!B$3)/12+15+35</f>
        <v>60.447042500000002</v>
      </c>
      <c r="Q289" s="47">
        <f t="shared" ref="Q289:Q352" si="252">SUM(J289:P289)</f>
        <v>33.908267500000001</v>
      </c>
      <c r="R289" s="45">
        <f>('[2]Renewable Diesel'!D298*'[2]RD Feedstock Breakdown'!R$3*'[2]Feedstock Conversion Rates'!B$7)/12</f>
        <v>2.2999999999999998</v>
      </c>
      <c r="S289" s="47">
        <f t="shared" si="203"/>
        <v>2.2999999999999998</v>
      </c>
      <c r="T289" s="45">
        <f t="shared" ref="T289:T352" si="253">5.825+20-25</f>
        <v>0.82499999999999929</v>
      </c>
      <c r="U289" s="45"/>
      <c r="V289" s="45">
        <f>('[2]Renewable Diesel'!E298*'[2]RD Feedstock Breakdown'!V$3*'[2]Feedstock Conversion Rates'!B$6)/12-20+25</f>
        <v>49.250150000000012</v>
      </c>
      <c r="W289" s="45">
        <f>('[2]Renewable Diesel'!E298*'[2]RD Feedstock Breakdown'!W$3*'[2]Feedstock Conversion Rates'!B$8)/12-6</f>
        <v>16.1796875</v>
      </c>
      <c r="X289" s="47">
        <f t="shared" si="229"/>
        <v>66.254837500000008</v>
      </c>
      <c r="Y289" s="45">
        <f t="shared" ref="Y289:Y352" si="254">142-15-5-24</f>
        <v>98</v>
      </c>
      <c r="Z289" s="45">
        <f>('[2]Renewable Diesel'!F298*'[2]RD Feedstock Breakdown'!Z$3*'[2]Feedstock Conversion Rates'!B$6)/12-142+15+5</f>
        <v>37.460000000000008</v>
      </c>
      <c r="AA289" s="45">
        <f>('[2]Renewable Diesel'!F298*'[2]RD Feedstock Breakdown'!AA$3*'[2]Feedstock Conversion Rates'!B$7)/12+24</f>
        <v>128.26666666666665</v>
      </c>
      <c r="AB289" s="47">
        <f t="shared" si="190"/>
        <v>263.72666666666669</v>
      </c>
      <c r="AC289" s="45">
        <f>('[2]Renewable Diesel'!G298*'[2]RD Feedstock Breakdown'!AC$3*'[2]Feedstock Conversion Rates'!B$5)/12</f>
        <v>11.796875</v>
      </c>
      <c r="AD289" s="45">
        <f>('[2]Renewable Diesel'!G298*'[2]RD Feedstock Breakdown'!AD$3*'[2]Feedstock Conversion Rates'!B$4)/12</f>
        <v>5.859375</v>
      </c>
      <c r="AE289" s="45">
        <f>('[2]Renewable Diesel'!G298*'[2]RD Feedstock Breakdown'!AE$3*'[2]Feedstock Conversion Rates'!B$6)/12</f>
        <v>7.3281250000000009</v>
      </c>
      <c r="AF289" s="47">
        <f t="shared" si="236"/>
        <v>24.984375</v>
      </c>
      <c r="AG289" s="45">
        <f>130+20-51+49</f>
        <v>148</v>
      </c>
      <c r="AH289" s="45"/>
      <c r="AI289" s="45">
        <f>('[2]Renewable Diesel'!H298*'[2]RD Feedstock Breakdown'!AI$3*'[2]Feedstock Conversion Rates'!B$6)/12-130-20+51-49</f>
        <v>0.51666666666667993</v>
      </c>
      <c r="AJ289" s="47">
        <f t="shared" si="202"/>
        <v>148.51666666666668</v>
      </c>
      <c r="AK289" s="45">
        <f>('[2]Renewable Diesel'!J298*'[2]RD Feedstock Breakdown'!AK$3*'[2]Feedstock Conversion Rates'!B$4)/12</f>
        <v>95.8125</v>
      </c>
      <c r="AL289" s="47">
        <f t="shared" si="205"/>
        <v>95.8125</v>
      </c>
      <c r="AM289" s="45">
        <f>('[2]Renewable Diesel'!K298*'[2]RD Feedstock Breakdown'!AM$3*'[2]Feedstock Conversion Rates'!B$4)/12+5+15-10</f>
        <v>68.59375</v>
      </c>
      <c r="AN289" s="45">
        <f>('[2]Renewable Diesel'!K298*'[2]RD Feedstock Breakdown'!AN$3*'[2]Feedstock Conversion Rates'!B$6)/12-5-15+10</f>
        <v>14.427083333333332</v>
      </c>
      <c r="AO289" s="47">
        <f t="shared" si="223"/>
        <v>83.020833333333329</v>
      </c>
      <c r="AP289" s="45">
        <f>('[2]Renewable Diesel'!L298*'[2]RD Feedstock Breakdown'!AP$3*'[2]Feedstock Conversion Rates'!B$4)/12+15-10</f>
        <v>63.59375</v>
      </c>
      <c r="AQ289" s="45">
        <f>('[2]Renewable Diesel'!L298*'[2]RD Feedstock Breakdown'!AQ$3*'[2]Feedstock Conversion Rates'!B$6)/12-15+10</f>
        <v>19.427083333333332</v>
      </c>
      <c r="AR289" s="47">
        <f t="shared" si="207"/>
        <v>83.020833333333329</v>
      </c>
      <c r="AS289" s="45">
        <f>('[2]Renewable Diesel'!M298*'[2]RD Feedstock Breakdown'!AS$3*'[2]Feedstock Conversion Rates'!B$4)/12</f>
        <v>456.25</v>
      </c>
      <c r="AT289" s="45">
        <f>('[2]Renewable Diesel'!M298*'[2]RD Feedstock Breakdown'!AT$3*'[2]Feedstock Conversion Rates'!B$5)/12</f>
        <v>0</v>
      </c>
      <c r="AU289" s="47">
        <f t="shared" si="244"/>
        <v>456.25</v>
      </c>
      <c r="AV289" s="45">
        <f>'[2]Renewable Diesel'!N298*'[2]RD Feedstock Breakdown'!$AV$3*'[2]Feedstock Conversion Rates'!$B$4/12-15-10+25+25-22+25</f>
        <v>106.74999999999999</v>
      </c>
      <c r="AW289" s="45">
        <f>'[2]Renewable Diesel'!N298*'[2]RD Feedstock Breakdown'!$AW$3*'[2]Feedstock Conversion Rates'!$B$7/12+15+10-25-25+22-25</f>
        <v>13.400000000000006</v>
      </c>
      <c r="AX289" s="47">
        <f t="shared" si="193"/>
        <v>120.14999999999999</v>
      </c>
      <c r="AY289" s="45">
        <f>('[2]Renewable Diesel'!O298*'[2]RD Feedstock Breakdown'!AY$3*'[2]Feedstock Conversion Rates'!B$4)/12-90</f>
        <v>120.9375</v>
      </c>
      <c r="AZ289" s="45">
        <f>('[2]Renewable Diesel'!O298*'[2]RD Feedstock Breakdown'!AZ$3*'[2]Feedstock Conversion Rates'!B$3)/12+90</f>
        <v>115.03125</v>
      </c>
      <c r="BA289" s="47">
        <f t="shared" ref="BA289:BA352" si="255">SUM(AY289:AZ289)</f>
        <v>235.96875</v>
      </c>
      <c r="BB289" s="45">
        <f>('[2]Renewable Diesel'!Q298*'[2]RD Feedstock Breakdown'!BB$3*'[2]Feedstock Conversion Rates'!B$4)/12</f>
        <v>11.156249999999998</v>
      </c>
      <c r="BC289" s="45">
        <f>('[2]Renewable Diesel'!Q298*'[2]RD Feedstock Breakdown'!BC$3*'[2]Feedstock Conversion Rates'!B$3)/12</f>
        <v>1.4017500000000001</v>
      </c>
      <c r="BD289" s="45">
        <f>('[2]Renewable Diesel'!Q298*'[2]RD Feedstock Breakdown'!BD$3*'[2]Feedstock Conversion Rates'!B$6)/12</f>
        <v>0.8207500000000002</v>
      </c>
      <c r="BE289" s="47">
        <f t="shared" si="231"/>
        <v>13.378749999999998</v>
      </c>
      <c r="BF289" s="45">
        <f>('[2]Renewable Diesel'!R298*'[2]RD Feedstock Breakdown'!BF$3*'[2]Feedstock Conversion Rates'!B$4)/12</f>
        <v>62.5</v>
      </c>
      <c r="BG289" s="47">
        <f t="shared" si="215"/>
        <v>62.5</v>
      </c>
      <c r="BH289" s="45">
        <f>('[2]Renewable Diesel'!T298*'[2]RD Feedstock Breakdown'!BH$3*'[2]Feedstock Conversion Rates'!B$7)/12</f>
        <v>27.599999999999998</v>
      </c>
      <c r="BI289" s="47">
        <f t="shared" si="195"/>
        <v>27.599999999999998</v>
      </c>
      <c r="BJ289" s="45">
        <f>('[2]Renewable Diesel'!W298*'[2]RD Feedstock Breakdown'!BJ$3*'[2]Feedstock Conversion Rates'!B$4)/12</f>
        <v>7.5</v>
      </c>
      <c r="BK289" s="45">
        <f>('[2]Renewable Diesel'!W298*'[2]RD Feedstock Breakdown'!BK$3*'[2]Feedstock Conversion Rates'!B$3)/12</f>
        <v>1.335</v>
      </c>
      <c r="BL289" s="45">
        <f>('[2]Renewable Diesel'!W298*'[2]RD Feedstock Breakdown'!BL$3*'[2]Feedstock Conversion Rates'!B$6)/12</f>
        <v>3.1266666666666669</v>
      </c>
      <c r="BM289" s="45">
        <f>('[2]Renewable Diesel'!W298*'[2]RD Feedstock Breakdown'!BM$3*'[2]Feedstock Conversion Rates'!B$7)/12</f>
        <v>1.5333333333333332</v>
      </c>
      <c r="BN289" s="47">
        <f t="shared" si="248"/>
        <v>13.495000000000001</v>
      </c>
      <c r="BO289" s="45">
        <f>('[2]Renewable Diesel'!P298*'[2]Feedstock Conversion Rates'!B$4)/12</f>
        <v>31.25</v>
      </c>
      <c r="BP289" s="47">
        <f t="shared" si="237"/>
        <v>31.25</v>
      </c>
      <c r="BQ289" s="45">
        <f>('[2]Renewable Diesel'!$S298*'[2]RD Feedstock Breakdown'!BQ$3*'[2]Feedstock Conversion Rates'!B$4)/12+10+15-15</f>
        <v>38.125</v>
      </c>
      <c r="BR289" s="45">
        <f>('[2]Renewable Diesel'!$S298*'[2]RD Feedstock Breakdown'!BR$3*'[2]Feedstock Conversion Rates'!B$7)/12-10-15+15</f>
        <v>1.5</v>
      </c>
      <c r="BS289" s="47">
        <f t="shared" si="174"/>
        <v>39.625</v>
      </c>
      <c r="BT289" s="47"/>
      <c r="BU289" s="45">
        <f>('[2]Renewable Diesel'!Y298*'[2]Feedstock Conversion Rates'!B$7)/12</f>
        <v>2.6833333333333331</v>
      </c>
      <c r="BV289" s="47">
        <f t="shared" si="233"/>
        <v>2.6833333333333331</v>
      </c>
      <c r="BW289" s="45">
        <f>('[2]Renewable Diesel'!$Z298*'[2]RD Feedstock Breakdown'!BW$3*'[2]Feedstock Conversion Rates'!$B$4)/12</f>
        <v>71.875</v>
      </c>
      <c r="BX289" s="45">
        <f>('[2]Renewable Diesel'!$Z298*'[2]RD Feedstock Breakdown'!BX$3*'[2]Feedstock Conversion Rates'!$B$5)/12</f>
        <v>7.2354166666666666</v>
      </c>
      <c r="BY289" s="45">
        <f>('[2]Renewable Diesel'!$Z298*'[2]RD Feedstock Breakdown'!BY$3*'[2]Feedstock Conversion Rates'!$B$7)/12</f>
        <v>61.716666666666661</v>
      </c>
      <c r="BZ289" s="45">
        <f>('[2]Renewable Diesel'!$Z298*'[2]RD Feedstock Breakdown'!BZ$3*'[2]Feedstock Conversion Rates'!$B$3)/12</f>
        <v>15.352499999999999</v>
      </c>
      <c r="CA289" s="47">
        <f t="shared" si="181"/>
        <v>156.17958333333331</v>
      </c>
      <c r="CB289" s="45">
        <f>('[2]Renewable Diesel'!AA298*'[2]Feedstock Conversion Rates'!B$4)/12</f>
        <v>191.25</v>
      </c>
      <c r="CC289" s="47">
        <f t="shared" si="250"/>
        <v>191.25</v>
      </c>
      <c r="CD289" s="45">
        <f>('[2]Renewable Diesel'!$AB298*'[2]RD Feedstock Breakdown'!CD$3*'[2]Feedstock Conversion Rates'!$B$6)/12-15-5</f>
        <v>12.830000000000005</v>
      </c>
      <c r="CE289" s="45">
        <f>('[2]Renewable Diesel'!$AB298*'[2]RD Feedstock Breakdown'!CE$3*'[2]Feedstock Conversion Rates'!$B$4)/12+15+5</f>
        <v>31.25</v>
      </c>
      <c r="CF289" s="47">
        <f t="shared" si="247"/>
        <v>44.080000000000005</v>
      </c>
      <c r="CG289" s="45">
        <f>('[2]Renewable Diesel'!AD298*'[2]Feedstock Conversion Rates'!B$4)/12</f>
        <v>112.5</v>
      </c>
      <c r="CH289" s="47">
        <f t="shared" si="230"/>
        <v>112.5</v>
      </c>
      <c r="CI289" s="45">
        <f>('[2]Renewable Diesel'!$AE298*'[2]RD Feedstock Breakdown'!CI$3*'[2]Feedstock Conversion Rates'!$B$5)/12</f>
        <v>0.34604166666666664</v>
      </c>
      <c r="CJ289" s="45">
        <f>('[2]Renewable Diesel'!$AE298*'[2]RD Feedstock Breakdown'!CJ$3*'[2]Feedstock Conversion Rates'!$B$4)/12</f>
        <v>0.34375</v>
      </c>
      <c r="CK289" s="47">
        <f t="shared" si="238"/>
        <v>0.68979166666666658</v>
      </c>
      <c r="CL289" s="45">
        <f>(((CL$3*'[2]Renewable Diesel'!$AF298)*'[2]Feedstock Conversion Rates'!$B$3)/12)</f>
        <v>91.78125</v>
      </c>
      <c r="CM289" s="45">
        <f>(((CM$3*'[2]Renewable Diesel'!$AF298)*'[2]Feedstock Conversion Rates'!$B$6)/12)</f>
        <v>53.739583333333336</v>
      </c>
      <c r="CN289" s="45">
        <f>(((CN$3*'[2]Renewable Diesel'!$AF298)*'[2]Feedstock Conversion Rates'!$B$4)/12)</f>
        <v>42.96875</v>
      </c>
      <c r="CO289" s="47">
        <f t="shared" si="232"/>
        <v>188.48958333333334</v>
      </c>
      <c r="CP289" s="45">
        <f>('[2]Renewable Diesel'!$AG298*'[2]RD Feedstock Breakdown'!CP$3*'[2]Feedstock Conversion Rates'!$B$3)/12</f>
        <v>6.0075000000000003</v>
      </c>
      <c r="CQ289" s="45">
        <f>('[2]Renewable Diesel'!$AG298*'[2]RD Feedstock Breakdown'!CQ$3*'[2]Feedstock Conversion Rates'!$B$6)/12</f>
        <v>3.5175000000000001</v>
      </c>
      <c r="CR289" s="45">
        <f>('[2]Renewable Diesel'!$AG298*'[2]RD Feedstock Breakdown'!CR$3*'[2]Feedstock Conversion Rates'!$B$4)/12</f>
        <v>2.8125</v>
      </c>
      <c r="CS289" s="47">
        <f t="shared" si="183"/>
        <v>12.3375</v>
      </c>
      <c r="CT289" s="45">
        <f>('[2]Renewable Diesel'!AI298*'[2]Feedstock Conversion Rates'!$B$4*'[2]RD Feedstock Breakdown'!$CT$3)/12</f>
        <v>29.375</v>
      </c>
      <c r="CU289" s="47">
        <f t="shared" si="234"/>
        <v>29.375</v>
      </c>
      <c r="CV289" s="45">
        <f>('[2]Renewable Diesel'!AN298*'[2]Feedstock Conversion Rates'!$B$3*'[2]RD Feedstock Breakdown'!$CV$3)/12</f>
        <v>0.50062499999999999</v>
      </c>
      <c r="CW289" s="47">
        <f t="shared" si="206"/>
        <v>0.50062499999999999</v>
      </c>
      <c r="CX289" s="45">
        <f>('[2]Renewable Diesel'!AO298*'[2]RD Feedstock Breakdown'!$CX$3*'[2]Feedstock Conversion Rates'!$B$3)/12</f>
        <v>6.3412499999999996</v>
      </c>
      <c r="CY289" s="45">
        <f>('[2]Renewable Diesel'!AO298*'[2]RD Feedstock Breakdown'!$CY$3*'[2]Feedstock Conversion Rates'!$B$6)/12</f>
        <v>7.4258333333333342</v>
      </c>
      <c r="CZ289" s="47">
        <f t="shared" si="188"/>
        <v>13.767083333333334</v>
      </c>
      <c r="DA289" s="45">
        <f>('[2]Renewable Diesel'!$AP298*'[2]RD Feedstock Breakdown'!DA$3*'[2]Feedstock Conversion Rates'!$B$3)/12</f>
        <v>6.3412499999999996</v>
      </c>
      <c r="DB289" s="45">
        <f>('[2]Renewable Diesel'!$AP298*'[2]RD Feedstock Breakdown'!DB$3*'[2]Feedstock Conversion Rates'!$B$8)/12</f>
        <v>7.421875</v>
      </c>
      <c r="DC289" s="47">
        <f t="shared" si="212"/>
        <v>13.763124999999999</v>
      </c>
      <c r="DD289" s="45">
        <f>('[2]Renewable Diesel'!AQ298*$DD$3*'[2]Feedstock Conversion Rates'!$B$14)/12</f>
        <v>3.1041666666666665</v>
      </c>
      <c r="DE289" s="47">
        <f t="shared" si="213"/>
        <v>3.1041666666666665</v>
      </c>
      <c r="DF289" s="45">
        <f>('[2]Renewable Diesel'!AR298*'[2]Feedstock Conversion Rates'!$B$4*$DF$3)/12</f>
        <v>75</v>
      </c>
      <c r="DG289" s="47">
        <f t="shared" si="189"/>
        <v>75</v>
      </c>
      <c r="DH289" s="45">
        <f>('[2]Renewable Diesel'!AS298*'[2]Feedstock Conversion Rates'!$B$4*$DH$3)/12</f>
        <v>75</v>
      </c>
      <c r="DI289" s="47">
        <f t="shared" si="194"/>
        <v>75</v>
      </c>
      <c r="DJ289" s="45">
        <f>('[2]Renewable Diesel'!AT298*'[2]Feedstock Conversion Rates'!$B$4*0.25)/12</f>
        <v>8.59375</v>
      </c>
      <c r="DK289" s="45">
        <f>('[2]Renewable Diesel'!$AT298*'[2]RD Feedstock Breakdown'!DK$3*'[2]Feedstock Conversion Rates'!$B$3)/12*0.5</f>
        <v>9.1781249999999996</v>
      </c>
      <c r="DL289" s="45">
        <f>('[2]Renewable Diesel'!$AT298*'[2]RD Feedstock Breakdown'!$DL$3*'[2]Feedstock Conversion Rates'!$B$6)/12</f>
        <v>10.747916666666669</v>
      </c>
      <c r="DM289" s="45">
        <f>('[2]Renewable Diesel'!$AT298*'[2]RD Feedstock Breakdown'!$DM$3*'[2]Feedstock Conversion Rates'!$B$8)/12</f>
        <v>10.7421875</v>
      </c>
      <c r="DN289" s="47">
        <f t="shared" si="249"/>
        <v>39.26197916666667</v>
      </c>
      <c r="DP289" s="45">
        <f t="shared" si="216"/>
        <v>48.220250000000007</v>
      </c>
      <c r="DQ289" s="45">
        <f t="shared" si="217"/>
        <v>459.11776750000001</v>
      </c>
      <c r="DR289" s="45">
        <f t="shared" si="224"/>
        <v>1983.453125</v>
      </c>
      <c r="DS289" s="45">
        <f t="shared" si="235"/>
        <v>228.90125</v>
      </c>
      <c r="DT289" s="45">
        <f t="shared" si="218"/>
        <v>228.03923333333341</v>
      </c>
      <c r="DU289" s="45">
        <f t="shared" si="219"/>
        <v>235.40610000000001</v>
      </c>
      <c r="DV289" s="45">
        <f t="shared" si="225"/>
        <v>69.75</v>
      </c>
      <c r="DW289" s="45">
        <f t="shared" si="220"/>
        <v>3</v>
      </c>
      <c r="DX289" s="47">
        <f t="shared" si="226"/>
        <v>3255.8877258333337</v>
      </c>
      <c r="DY289" s="50">
        <f t="shared" si="208"/>
        <v>-5.631051180898794E-13</v>
      </c>
      <c r="EA289" s="51">
        <f t="shared" si="204"/>
        <v>1.4810169778707033E-2</v>
      </c>
      <c r="EB289" s="51">
        <f t="shared" si="204"/>
        <v>0.14101154774386157</v>
      </c>
      <c r="EC289" s="51">
        <f t="shared" si="204"/>
        <v>0.60918965640694556</v>
      </c>
      <c r="ED289" s="51">
        <f t="shared" si="204"/>
        <v>7.0303790939662547E-2</v>
      </c>
      <c r="EE289" s="51">
        <f t="shared" si="204"/>
        <v>7.0039034676776982E-2</v>
      </c>
      <c r="EF289" s="51">
        <f t="shared" si="204"/>
        <v>7.2301663884846823E-2</v>
      </c>
      <c r="EG289" s="51">
        <f t="shared" si="204"/>
        <v>2.1422728875624148E-2</v>
      </c>
      <c r="EH289" s="52">
        <f t="shared" si="227"/>
        <v>9.2140769357523225E-4</v>
      </c>
      <c r="EI289" s="51">
        <f t="shared" si="191"/>
        <v>0.9990785923064246</v>
      </c>
      <c r="EK289" s="53">
        <f>(EA289*'[2]Renewable Diesel'!BF298*'[2]Feedstock Conversion Rates'!B$2)+FB289</f>
        <v>114.94568512243461</v>
      </c>
      <c r="EL289" s="53">
        <f>(EB289*'[2]Renewable Diesel'!BF298*'[2]Feedstock Conversion Rates'!B$3)+FC289</f>
        <v>1031.3377294460624</v>
      </c>
      <c r="EM289" s="53">
        <f>(EC289*'[2]Renewable Diesel'!BF298*'[2]Feedstock Conversion Rates'!B$4)+FD289</f>
        <v>4171.8385647967443</v>
      </c>
      <c r="EN289" s="53">
        <f>(ED289*'[2]Renewable Diesel'!BF298*'[2]Feedstock Conversion Rates'!B$5)+FE289</f>
        <v>484.66248613532622</v>
      </c>
      <c r="EO289" s="53">
        <f>(EE289*'[2]Renewable Diesel'!BF298*'[2]Feedstock Conversion Rates'!B$6)+FF289</f>
        <v>599.86938862593934</v>
      </c>
      <c r="EP289" s="53">
        <f>(EF289*'[2]Renewable Diesel'!BF298*'[2]Feedstock Conversion Rates'!B$7)+FG289</f>
        <v>607.36509492516279</v>
      </c>
      <c r="EQ289" s="53">
        <f>(EG289*'[2]Renewable Diesel'!BF298*'[2]Feedstock Conversion Rates'!B$8)+FH289</f>
        <v>183.38329768605755</v>
      </c>
      <c r="ER289" s="53">
        <f>(EH289*'[2]Renewable Diesel'!BF298*'[2]Feedstock Conversion Rates'!B$9)+FI289</f>
        <v>7.7822876150642353</v>
      </c>
      <c r="ES289" s="53">
        <f t="shared" si="228"/>
        <v>7201.1845343527912</v>
      </c>
      <c r="ET289" s="36">
        <f>ES289/'[2]Renewable Diesel'!BF298</f>
        <v>7.8866075425771909</v>
      </c>
    </row>
    <row r="290" spans="1:150" x14ac:dyDescent="0.25">
      <c r="A290" s="39">
        <v>49249</v>
      </c>
      <c r="B290" s="45">
        <f t="shared" ref="B290:B300" si="256">115.75+145+100+235+31.5-21-287-20-28-32-70-39-47+40+20-3-10+50+12.5-65-1-1</f>
        <v>125.75</v>
      </c>
      <c r="C290" s="45">
        <f t="shared" si="251"/>
        <v>49</v>
      </c>
      <c r="D290" s="45">
        <f t="shared" ref="D290:D300" si="257">1+1</f>
        <v>2</v>
      </c>
      <c r="E290" s="45">
        <f>('[2]Renewable Diesel'!B299*E$3*'[2]Feedstock Conversion Rates'!$B$2)/12+26+13-100+27.5+39</f>
        <v>95.43</v>
      </c>
      <c r="F290" s="45">
        <f>('[2]Renewable Diesel'!B299*'[2]RD Feedstock Breakdown'!F$3*'[2]Feedstock Conversion Rates'!B$8)/12+77+23-10-12-115.75+24+8+1</f>
        <v>49.15625</v>
      </c>
      <c r="G290" s="45">
        <f>('[2]Renewable Diesel'!B299*'[2]RD Feedstock Breakdown'!G$3*'[2]Feedstock Conversion Rates'!B$7)/12+116.75-39-57.5-145-31.5+32+70-40+10-50-12.5</f>
        <v>29.407000000000039</v>
      </c>
      <c r="H290" s="45">
        <f>('[2]Renewable Diesel'!B299*'[2]RD Feedstock Breakdown'!H$3*'[2]Feedstock Conversion Rates'!B$3)/12+67+10+12+3-235+20+47-20+65</f>
        <v>145.40022499999998</v>
      </c>
      <c r="I290" s="47">
        <f t="shared" si="245"/>
        <v>496.14347500000002</v>
      </c>
      <c r="J290" s="45">
        <f t="shared" ref="J290:J300" si="258">54-15-35+10+45</f>
        <v>59</v>
      </c>
      <c r="K290" s="45"/>
      <c r="L290" s="45">
        <v>1</v>
      </c>
      <c r="M290" s="45">
        <f>('[2]Renewable Diesel'!C299*'[2]RD Feedstock Breakdown'!M$3*'[2]Feedstock Conversion Rates'!B$2)/12-55</f>
        <v>-47.20975</v>
      </c>
      <c r="N290" s="45">
        <f>('[2]Renewable Diesel'!C299*'[2]RD Feedstock Breakdown'!N$3*'[2]Feedstock Conversion Rates'!B$8)/12-10</f>
        <v>-6.328125</v>
      </c>
      <c r="O290" s="45">
        <f>('[2]Renewable Diesel'!C299*'[2]RD Feedstock Breakdown'!O$3*'[2]Feedstock Conversion Rates'!B$7)/12-45</f>
        <v>-33.000900000000001</v>
      </c>
      <c r="P290" s="45">
        <f>('[2]Renewable Diesel'!C299*'[2]RD Feedstock Breakdown'!P$3*'[2]Feedstock Conversion Rates'!B$3)/12+15+35</f>
        <v>60.447042500000002</v>
      </c>
      <c r="Q290" s="47">
        <f t="shared" si="252"/>
        <v>33.908267500000001</v>
      </c>
      <c r="R290" s="45">
        <f>('[2]Renewable Diesel'!D299*'[2]RD Feedstock Breakdown'!R$3*'[2]Feedstock Conversion Rates'!B$7)/12</f>
        <v>2.2999999999999998</v>
      </c>
      <c r="S290" s="47">
        <f t="shared" si="203"/>
        <v>2.2999999999999998</v>
      </c>
      <c r="T290" s="45">
        <f t="shared" si="253"/>
        <v>0.82499999999999929</v>
      </c>
      <c r="U290" s="45"/>
      <c r="V290" s="45">
        <f>('[2]Renewable Diesel'!E299*'[2]RD Feedstock Breakdown'!V$3*'[2]Feedstock Conversion Rates'!B$6)/12-20+25</f>
        <v>49.250150000000012</v>
      </c>
      <c r="W290" s="45">
        <f>('[2]Renewable Diesel'!E299*'[2]RD Feedstock Breakdown'!W$3*'[2]Feedstock Conversion Rates'!B$8)/12-6</f>
        <v>16.1796875</v>
      </c>
      <c r="X290" s="47">
        <f t="shared" si="229"/>
        <v>66.254837500000008</v>
      </c>
      <c r="Y290" s="45">
        <f t="shared" si="254"/>
        <v>98</v>
      </c>
      <c r="Z290" s="45">
        <f>('[2]Renewable Diesel'!F299*'[2]RD Feedstock Breakdown'!Z$3*'[2]Feedstock Conversion Rates'!B$6)/12-142+15+5</f>
        <v>37.460000000000008</v>
      </c>
      <c r="AA290" s="45">
        <f>('[2]Renewable Diesel'!F299*'[2]RD Feedstock Breakdown'!AA$3*'[2]Feedstock Conversion Rates'!B$7)/12+24</f>
        <v>128.26666666666665</v>
      </c>
      <c r="AB290" s="47">
        <f t="shared" si="190"/>
        <v>263.72666666666669</v>
      </c>
      <c r="AC290" s="45">
        <f>('[2]Renewable Diesel'!G299*'[2]RD Feedstock Breakdown'!AC$3*'[2]Feedstock Conversion Rates'!B$5)/12</f>
        <v>11.796875</v>
      </c>
      <c r="AD290" s="45">
        <f>('[2]Renewable Diesel'!G299*'[2]RD Feedstock Breakdown'!AD$3*'[2]Feedstock Conversion Rates'!B$4)/12</f>
        <v>5.859375</v>
      </c>
      <c r="AE290" s="45">
        <f>('[2]Renewable Diesel'!G299*'[2]RD Feedstock Breakdown'!AE$3*'[2]Feedstock Conversion Rates'!B$6)/12</f>
        <v>7.3281250000000009</v>
      </c>
      <c r="AF290" s="47">
        <f t="shared" si="236"/>
        <v>24.984375</v>
      </c>
      <c r="AG290" s="45">
        <f t="shared" ref="AG290:AG353" si="259">130+20-51+49</f>
        <v>148</v>
      </c>
      <c r="AH290" s="45"/>
      <c r="AI290" s="45">
        <f>('[2]Renewable Diesel'!H299*'[2]RD Feedstock Breakdown'!AI$3*'[2]Feedstock Conversion Rates'!B$6)/12-130-20+51-49</f>
        <v>0.51666666666667993</v>
      </c>
      <c r="AJ290" s="47">
        <f t="shared" si="202"/>
        <v>148.51666666666668</v>
      </c>
      <c r="AK290" s="45">
        <f>('[2]Renewable Diesel'!J299*'[2]RD Feedstock Breakdown'!AK$3*'[2]Feedstock Conversion Rates'!B$4)/12</f>
        <v>95.8125</v>
      </c>
      <c r="AL290" s="47">
        <f t="shared" si="205"/>
        <v>95.8125</v>
      </c>
      <c r="AM290" s="45">
        <f>('[2]Renewable Diesel'!K299*'[2]RD Feedstock Breakdown'!AM$3*'[2]Feedstock Conversion Rates'!B$4)/12+5+15-10</f>
        <v>68.59375</v>
      </c>
      <c r="AN290" s="45">
        <f>('[2]Renewable Diesel'!K299*'[2]RD Feedstock Breakdown'!AN$3*'[2]Feedstock Conversion Rates'!B$6)/12-5-15+10</f>
        <v>14.427083333333332</v>
      </c>
      <c r="AO290" s="47">
        <f t="shared" si="223"/>
        <v>83.020833333333329</v>
      </c>
      <c r="AP290" s="45">
        <f>('[2]Renewable Diesel'!L299*'[2]RD Feedstock Breakdown'!AP$3*'[2]Feedstock Conversion Rates'!B$4)/12+15-10</f>
        <v>63.59375</v>
      </c>
      <c r="AQ290" s="45">
        <f>('[2]Renewable Diesel'!L299*'[2]RD Feedstock Breakdown'!AQ$3*'[2]Feedstock Conversion Rates'!B$6)/12-15+10</f>
        <v>19.427083333333332</v>
      </c>
      <c r="AR290" s="47">
        <f t="shared" si="207"/>
        <v>83.020833333333329</v>
      </c>
      <c r="AS290" s="45">
        <f>('[2]Renewable Diesel'!M299*'[2]RD Feedstock Breakdown'!AS$3*'[2]Feedstock Conversion Rates'!B$4)/12</f>
        <v>456.25</v>
      </c>
      <c r="AT290" s="45">
        <f>('[2]Renewable Diesel'!M299*'[2]RD Feedstock Breakdown'!AT$3*'[2]Feedstock Conversion Rates'!B$5)/12</f>
        <v>0</v>
      </c>
      <c r="AU290" s="47">
        <f t="shared" si="244"/>
        <v>456.25</v>
      </c>
      <c r="AV290" s="45">
        <f>'[2]Renewable Diesel'!N299*'[2]RD Feedstock Breakdown'!$AV$3*'[2]Feedstock Conversion Rates'!$B$4/12-15-10+25+25-22+25</f>
        <v>106.74999999999999</v>
      </c>
      <c r="AW290" s="45">
        <f>'[2]Renewable Diesel'!N299*'[2]RD Feedstock Breakdown'!$AW$3*'[2]Feedstock Conversion Rates'!$B$7/12+15+10-25-25+22-25</f>
        <v>13.400000000000006</v>
      </c>
      <c r="AX290" s="47">
        <f t="shared" si="193"/>
        <v>120.14999999999999</v>
      </c>
      <c r="AY290" s="45">
        <f>('[2]Renewable Diesel'!O299*'[2]RD Feedstock Breakdown'!AY$3*'[2]Feedstock Conversion Rates'!B$4)/12-90</f>
        <v>120.9375</v>
      </c>
      <c r="AZ290" s="45">
        <f>('[2]Renewable Diesel'!O299*'[2]RD Feedstock Breakdown'!AZ$3*'[2]Feedstock Conversion Rates'!B$3)/12+90</f>
        <v>115.03125</v>
      </c>
      <c r="BA290" s="47">
        <f t="shared" si="255"/>
        <v>235.96875</v>
      </c>
      <c r="BB290" s="45">
        <f>('[2]Renewable Diesel'!Q299*'[2]RD Feedstock Breakdown'!BB$3*'[2]Feedstock Conversion Rates'!B$4)/12</f>
        <v>11.156249999999998</v>
      </c>
      <c r="BC290" s="45">
        <f>('[2]Renewable Diesel'!Q299*'[2]RD Feedstock Breakdown'!BC$3*'[2]Feedstock Conversion Rates'!B$3)/12</f>
        <v>1.4017500000000001</v>
      </c>
      <c r="BD290" s="45">
        <f>('[2]Renewable Diesel'!Q299*'[2]RD Feedstock Breakdown'!BD$3*'[2]Feedstock Conversion Rates'!B$6)/12</f>
        <v>0.8207500000000002</v>
      </c>
      <c r="BE290" s="47">
        <f t="shared" si="231"/>
        <v>13.378749999999998</v>
      </c>
      <c r="BF290" s="45">
        <f>('[2]Renewable Diesel'!R299*'[2]RD Feedstock Breakdown'!BF$3*'[2]Feedstock Conversion Rates'!B$4)/12</f>
        <v>62.5</v>
      </c>
      <c r="BG290" s="47">
        <f t="shared" si="215"/>
        <v>62.5</v>
      </c>
      <c r="BH290" s="45">
        <f>('[2]Renewable Diesel'!T299*'[2]RD Feedstock Breakdown'!BH$3*'[2]Feedstock Conversion Rates'!B$7)/12</f>
        <v>27.599999999999998</v>
      </c>
      <c r="BI290" s="47">
        <f t="shared" si="195"/>
        <v>27.599999999999998</v>
      </c>
      <c r="BJ290" s="45">
        <f>('[2]Renewable Diesel'!W299*'[2]RD Feedstock Breakdown'!BJ$3*'[2]Feedstock Conversion Rates'!B$4)/12</f>
        <v>7.5</v>
      </c>
      <c r="BK290" s="45">
        <f>('[2]Renewable Diesel'!W299*'[2]RD Feedstock Breakdown'!BK$3*'[2]Feedstock Conversion Rates'!B$3)/12</f>
        <v>1.335</v>
      </c>
      <c r="BL290" s="45">
        <f>('[2]Renewable Diesel'!W299*'[2]RD Feedstock Breakdown'!BL$3*'[2]Feedstock Conversion Rates'!B$6)/12</f>
        <v>3.1266666666666669</v>
      </c>
      <c r="BM290" s="45">
        <f>('[2]Renewable Diesel'!W299*'[2]RD Feedstock Breakdown'!BM$3*'[2]Feedstock Conversion Rates'!B$7)/12</f>
        <v>1.5333333333333332</v>
      </c>
      <c r="BN290" s="47">
        <f t="shared" si="248"/>
        <v>13.495000000000001</v>
      </c>
      <c r="BO290" s="45">
        <f>('[2]Renewable Diesel'!P299*'[2]Feedstock Conversion Rates'!B$4)/12</f>
        <v>31.25</v>
      </c>
      <c r="BP290" s="47">
        <f t="shared" si="237"/>
        <v>31.25</v>
      </c>
      <c r="BQ290" s="45">
        <f>('[2]Renewable Diesel'!$S299*'[2]RD Feedstock Breakdown'!BQ$3*'[2]Feedstock Conversion Rates'!B$4)/12+10+15-15</f>
        <v>38.125</v>
      </c>
      <c r="BR290" s="45">
        <f>('[2]Renewable Diesel'!$S299*'[2]RD Feedstock Breakdown'!BR$3*'[2]Feedstock Conversion Rates'!B$7)/12-10-15+15</f>
        <v>1.5</v>
      </c>
      <c r="BS290" s="47">
        <f t="shared" si="174"/>
        <v>39.625</v>
      </c>
      <c r="BT290" s="47"/>
      <c r="BU290" s="45">
        <f>('[2]Renewable Diesel'!Y299*'[2]Feedstock Conversion Rates'!B$7)/12</f>
        <v>2.6833333333333331</v>
      </c>
      <c r="BV290" s="47">
        <f t="shared" si="233"/>
        <v>2.6833333333333331</v>
      </c>
      <c r="BW290" s="45">
        <f>('[2]Renewable Diesel'!$Z299*'[2]RD Feedstock Breakdown'!BW$3*'[2]Feedstock Conversion Rates'!$B$4)/12</f>
        <v>71.875</v>
      </c>
      <c r="BX290" s="45">
        <f>('[2]Renewable Diesel'!$Z299*'[2]RD Feedstock Breakdown'!BX$3*'[2]Feedstock Conversion Rates'!$B$5)/12</f>
        <v>7.2354166666666666</v>
      </c>
      <c r="BY290" s="45">
        <f>('[2]Renewable Diesel'!$Z299*'[2]RD Feedstock Breakdown'!BY$3*'[2]Feedstock Conversion Rates'!$B$7)/12</f>
        <v>61.716666666666661</v>
      </c>
      <c r="BZ290" s="45">
        <f>('[2]Renewable Diesel'!$Z299*'[2]RD Feedstock Breakdown'!BZ$3*'[2]Feedstock Conversion Rates'!$B$3)/12</f>
        <v>15.352499999999999</v>
      </c>
      <c r="CA290" s="47">
        <f t="shared" si="181"/>
        <v>156.17958333333331</v>
      </c>
      <c r="CB290" s="45">
        <f>('[2]Renewable Diesel'!AA299*'[2]Feedstock Conversion Rates'!B$4)/12</f>
        <v>191.25</v>
      </c>
      <c r="CC290" s="47">
        <f t="shared" si="250"/>
        <v>191.25</v>
      </c>
      <c r="CD290" s="45">
        <f>('[2]Renewable Diesel'!$AB299*'[2]RD Feedstock Breakdown'!CD$3*'[2]Feedstock Conversion Rates'!$B$6)/12-15-5</f>
        <v>12.830000000000005</v>
      </c>
      <c r="CE290" s="45">
        <f>('[2]Renewable Diesel'!$AB299*'[2]RD Feedstock Breakdown'!CE$3*'[2]Feedstock Conversion Rates'!$B$4)/12+15+5</f>
        <v>31.25</v>
      </c>
      <c r="CF290" s="47">
        <f t="shared" si="247"/>
        <v>44.080000000000005</v>
      </c>
      <c r="CG290" s="45">
        <f>('[2]Renewable Diesel'!AD299*'[2]Feedstock Conversion Rates'!B$4)/12</f>
        <v>112.5</v>
      </c>
      <c r="CH290" s="47">
        <f t="shared" si="230"/>
        <v>112.5</v>
      </c>
      <c r="CI290" s="45">
        <f>('[2]Renewable Diesel'!$AE299*'[2]RD Feedstock Breakdown'!CI$3*'[2]Feedstock Conversion Rates'!$B$5)/12</f>
        <v>0.34604166666666664</v>
      </c>
      <c r="CJ290" s="45">
        <f>('[2]Renewable Diesel'!$AE299*'[2]RD Feedstock Breakdown'!CJ$3*'[2]Feedstock Conversion Rates'!$B$4)/12</f>
        <v>0.34375</v>
      </c>
      <c r="CK290" s="47">
        <f t="shared" si="238"/>
        <v>0.68979166666666658</v>
      </c>
      <c r="CL290" s="45">
        <f>(((CL$3*'[2]Renewable Diesel'!$AF299)*'[2]Feedstock Conversion Rates'!$B$3)/12)</f>
        <v>91.78125</v>
      </c>
      <c r="CM290" s="45">
        <f>(((CM$3*'[2]Renewable Diesel'!$AF299)*'[2]Feedstock Conversion Rates'!$B$6)/12)</f>
        <v>53.739583333333336</v>
      </c>
      <c r="CN290" s="45">
        <f>(((CN$3*'[2]Renewable Diesel'!$AF299)*'[2]Feedstock Conversion Rates'!$B$4)/12)</f>
        <v>42.96875</v>
      </c>
      <c r="CO290" s="47">
        <f t="shared" si="232"/>
        <v>188.48958333333334</v>
      </c>
      <c r="CP290" s="45">
        <f>('[2]Renewable Diesel'!$AG299*'[2]RD Feedstock Breakdown'!CP$3*'[2]Feedstock Conversion Rates'!$B$3)/12</f>
        <v>6.0075000000000003</v>
      </c>
      <c r="CQ290" s="45">
        <f>('[2]Renewable Diesel'!$AG299*'[2]RD Feedstock Breakdown'!CQ$3*'[2]Feedstock Conversion Rates'!$B$6)/12</f>
        <v>3.5175000000000001</v>
      </c>
      <c r="CR290" s="45">
        <f>('[2]Renewable Diesel'!$AG299*'[2]RD Feedstock Breakdown'!CR$3*'[2]Feedstock Conversion Rates'!$B$4)/12</f>
        <v>2.8125</v>
      </c>
      <c r="CS290" s="47">
        <f t="shared" si="183"/>
        <v>12.3375</v>
      </c>
      <c r="CT290" s="45">
        <f>('[2]Renewable Diesel'!AI299*'[2]Feedstock Conversion Rates'!$B$4*'[2]RD Feedstock Breakdown'!$CT$3)/12</f>
        <v>29.375</v>
      </c>
      <c r="CU290" s="47">
        <f t="shared" si="234"/>
        <v>29.375</v>
      </c>
      <c r="CV290" s="45">
        <f>('[2]Renewable Diesel'!AN299*'[2]Feedstock Conversion Rates'!$B$3*'[2]RD Feedstock Breakdown'!$CV$3)/12</f>
        <v>0.50062499999999999</v>
      </c>
      <c r="CW290" s="47">
        <f t="shared" si="206"/>
        <v>0.50062499999999999</v>
      </c>
      <c r="CX290" s="45">
        <f>('[2]Renewable Diesel'!AO299*'[2]RD Feedstock Breakdown'!$CX$3*'[2]Feedstock Conversion Rates'!$B$3)/12</f>
        <v>6.3412499999999996</v>
      </c>
      <c r="CY290" s="45">
        <f>('[2]Renewable Diesel'!AO299*'[2]RD Feedstock Breakdown'!$CY$3*'[2]Feedstock Conversion Rates'!$B$6)/12</f>
        <v>7.4258333333333342</v>
      </c>
      <c r="CZ290" s="47">
        <f t="shared" si="188"/>
        <v>13.767083333333334</v>
      </c>
      <c r="DA290" s="45">
        <f>('[2]Renewable Diesel'!$AP299*'[2]RD Feedstock Breakdown'!DA$3*'[2]Feedstock Conversion Rates'!$B$3)/12</f>
        <v>6.3412499999999996</v>
      </c>
      <c r="DB290" s="45">
        <f>('[2]Renewable Diesel'!$AP299*'[2]RD Feedstock Breakdown'!DB$3*'[2]Feedstock Conversion Rates'!$B$8)/12</f>
        <v>7.421875</v>
      </c>
      <c r="DC290" s="47">
        <f t="shared" si="212"/>
        <v>13.763124999999999</v>
      </c>
      <c r="DD290" s="45">
        <f>('[2]Renewable Diesel'!AQ299*$DD$3*'[2]Feedstock Conversion Rates'!$B$14)/12</f>
        <v>3.1041666666666665</v>
      </c>
      <c r="DE290" s="47">
        <f t="shared" si="213"/>
        <v>3.1041666666666665</v>
      </c>
      <c r="DF290" s="45">
        <f>('[2]Renewable Diesel'!AR299*'[2]Feedstock Conversion Rates'!$B$4*$DF$3)/12</f>
        <v>75</v>
      </c>
      <c r="DG290" s="47">
        <f t="shared" si="189"/>
        <v>75</v>
      </c>
      <c r="DH290" s="45">
        <f>('[2]Renewable Diesel'!AS299*'[2]Feedstock Conversion Rates'!$B$4*$DH$3)/12</f>
        <v>75</v>
      </c>
      <c r="DI290" s="47">
        <f t="shared" si="194"/>
        <v>75</v>
      </c>
      <c r="DJ290" s="45">
        <f>('[2]Renewable Diesel'!AT299*'[2]Feedstock Conversion Rates'!$B$4*0.25)/12</f>
        <v>8.59375</v>
      </c>
      <c r="DK290" s="45">
        <f>('[2]Renewable Diesel'!$AT299*'[2]RD Feedstock Breakdown'!DK$3*'[2]Feedstock Conversion Rates'!$B$3)/12*0.5</f>
        <v>9.1781249999999996</v>
      </c>
      <c r="DL290" s="45">
        <f>('[2]Renewable Diesel'!$AT299*'[2]RD Feedstock Breakdown'!$DL$3*'[2]Feedstock Conversion Rates'!$B$6)/12</f>
        <v>10.747916666666669</v>
      </c>
      <c r="DM290" s="45">
        <f>('[2]Renewable Diesel'!$AT299*'[2]RD Feedstock Breakdown'!$DM$3*'[2]Feedstock Conversion Rates'!$B$8)/12</f>
        <v>10.7421875</v>
      </c>
      <c r="DN290" s="47">
        <f t="shared" si="249"/>
        <v>39.26197916666667</v>
      </c>
      <c r="DP290" s="45">
        <f t="shared" si="216"/>
        <v>48.220250000000007</v>
      </c>
      <c r="DQ290" s="45">
        <f t="shared" si="217"/>
        <v>459.11776750000001</v>
      </c>
      <c r="DR290" s="45">
        <f t="shared" si="224"/>
        <v>1983.453125</v>
      </c>
      <c r="DS290" s="45">
        <f t="shared" si="235"/>
        <v>228.90125</v>
      </c>
      <c r="DT290" s="45">
        <f t="shared" si="218"/>
        <v>228.03923333333341</v>
      </c>
      <c r="DU290" s="45">
        <f t="shared" si="219"/>
        <v>235.40610000000001</v>
      </c>
      <c r="DV290" s="45">
        <f t="shared" si="225"/>
        <v>69.75</v>
      </c>
      <c r="DW290" s="45">
        <f t="shared" si="220"/>
        <v>3</v>
      </c>
      <c r="DX290" s="47">
        <f t="shared" si="226"/>
        <v>3255.8877258333337</v>
      </c>
      <c r="DY290" s="50">
        <f t="shared" si="208"/>
        <v>-5.631051180898794E-13</v>
      </c>
      <c r="EA290" s="51">
        <f t="shared" si="204"/>
        <v>1.4810169778707033E-2</v>
      </c>
      <c r="EB290" s="51">
        <f t="shared" si="204"/>
        <v>0.14101154774386157</v>
      </c>
      <c r="EC290" s="51">
        <f t="shared" si="204"/>
        <v>0.60918965640694556</v>
      </c>
      <c r="ED290" s="51">
        <f t="shared" si="204"/>
        <v>7.0303790939662547E-2</v>
      </c>
      <c r="EE290" s="51">
        <f t="shared" si="204"/>
        <v>7.0039034676776982E-2</v>
      </c>
      <c r="EF290" s="51">
        <f t="shared" si="204"/>
        <v>7.2301663884846823E-2</v>
      </c>
      <c r="EG290" s="51">
        <f t="shared" si="204"/>
        <v>2.1422728875624148E-2</v>
      </c>
      <c r="EH290" s="52">
        <f t="shared" si="227"/>
        <v>9.2140769357523225E-4</v>
      </c>
      <c r="EI290" s="51">
        <f t="shared" si="191"/>
        <v>0.9990785923064246</v>
      </c>
      <c r="EK290" s="53">
        <f>(EA290*'[2]Renewable Diesel'!BF299*'[2]Feedstock Conversion Rates'!B$2)+FB290</f>
        <v>114.48458020903132</v>
      </c>
      <c r="EL290" s="53">
        <f>(EB290*'[2]Renewable Diesel'!BF299*'[2]Feedstock Conversion Rates'!B$3)+FC290</f>
        <v>1027.2005154747924</v>
      </c>
      <c r="EM290" s="53">
        <f>(EC290*'[2]Renewable Diesel'!BF299*'[2]Feedstock Conversion Rates'!B$4)+FD290</f>
        <v>4155.1032235953398</v>
      </c>
      <c r="EN290" s="53">
        <f>(ED290*'[2]Renewable Diesel'!BF299*'[2]Feedstock Conversion Rates'!B$5)+FE290</f>
        <v>482.71826131765511</v>
      </c>
      <c r="EO290" s="53">
        <f>(EE290*'[2]Renewable Diesel'!BF299*'[2]Feedstock Conversion Rates'!B$6)+FF290</f>
        <v>597.46301102071641</v>
      </c>
      <c r="EP290" s="53">
        <f>(EF290*'[2]Renewable Diesel'!BF299*'[2]Feedstock Conversion Rates'!B$7)+FG290</f>
        <v>604.92864827471806</v>
      </c>
      <c r="EQ290" s="53">
        <f>(EG290*'[2]Renewable Diesel'!BF299*'[2]Feedstock Conversion Rates'!B$8)+FH290</f>
        <v>182.64765511270591</v>
      </c>
      <c r="ER290" s="53">
        <f>(EH290*'[2]Renewable Diesel'!BF299*'[2]Feedstock Conversion Rates'!B$9)+FI290</f>
        <v>7.751068948152108</v>
      </c>
      <c r="ES290" s="53">
        <f t="shared" si="228"/>
        <v>7172.296963953112</v>
      </c>
      <c r="ET290" s="36">
        <f>ES290/'[2]Renewable Diesel'!BF299</f>
        <v>7.8866075425771918</v>
      </c>
    </row>
    <row r="291" spans="1:150" x14ac:dyDescent="0.25">
      <c r="A291" s="39">
        <v>49279</v>
      </c>
      <c r="B291" s="45">
        <f t="shared" si="256"/>
        <v>125.75</v>
      </c>
      <c r="C291" s="45">
        <f t="shared" si="251"/>
        <v>49</v>
      </c>
      <c r="D291" s="45">
        <f t="shared" si="257"/>
        <v>2</v>
      </c>
      <c r="E291" s="45">
        <f>('[2]Renewable Diesel'!B300*E$3*'[2]Feedstock Conversion Rates'!$B$2)/12+26+13-100+27.5+39</f>
        <v>95.43</v>
      </c>
      <c r="F291" s="45">
        <f>('[2]Renewable Diesel'!B300*'[2]RD Feedstock Breakdown'!F$3*'[2]Feedstock Conversion Rates'!B$8)/12+77+23-10-12-115.75+24+8+1</f>
        <v>49.15625</v>
      </c>
      <c r="G291" s="45">
        <f>('[2]Renewable Diesel'!B300*'[2]RD Feedstock Breakdown'!G$3*'[2]Feedstock Conversion Rates'!B$7)/12+116.75-39-57.5-145-31.5+32+70-40+10-50-12.5</f>
        <v>29.407000000000039</v>
      </c>
      <c r="H291" s="45">
        <f>('[2]Renewable Diesel'!B300*'[2]RD Feedstock Breakdown'!H$3*'[2]Feedstock Conversion Rates'!B$3)/12+67+10+12+3-235+20+47-20+65</f>
        <v>145.40022499999998</v>
      </c>
      <c r="I291" s="47">
        <f t="shared" si="245"/>
        <v>496.14347500000002</v>
      </c>
      <c r="J291" s="45">
        <f t="shared" si="258"/>
        <v>59</v>
      </c>
      <c r="K291" s="45"/>
      <c r="L291" s="45">
        <v>1</v>
      </c>
      <c r="M291" s="45">
        <f>('[2]Renewable Diesel'!C300*'[2]RD Feedstock Breakdown'!M$3*'[2]Feedstock Conversion Rates'!B$2)/12-55</f>
        <v>-47.20975</v>
      </c>
      <c r="N291" s="45">
        <f>('[2]Renewable Diesel'!C300*'[2]RD Feedstock Breakdown'!N$3*'[2]Feedstock Conversion Rates'!B$8)/12-10</f>
        <v>-6.328125</v>
      </c>
      <c r="O291" s="45">
        <f>('[2]Renewable Diesel'!C300*'[2]RD Feedstock Breakdown'!O$3*'[2]Feedstock Conversion Rates'!B$7)/12-45</f>
        <v>-33.000900000000001</v>
      </c>
      <c r="P291" s="45">
        <f>('[2]Renewable Diesel'!C300*'[2]RD Feedstock Breakdown'!P$3*'[2]Feedstock Conversion Rates'!B$3)/12+15+35</f>
        <v>60.447042500000002</v>
      </c>
      <c r="Q291" s="47">
        <f t="shared" si="252"/>
        <v>33.908267500000001</v>
      </c>
      <c r="R291" s="45">
        <f>('[2]Renewable Diesel'!D300*'[2]RD Feedstock Breakdown'!R$3*'[2]Feedstock Conversion Rates'!B$7)/12</f>
        <v>2.2999999999999998</v>
      </c>
      <c r="S291" s="47">
        <f t="shared" si="203"/>
        <v>2.2999999999999998</v>
      </c>
      <c r="T291" s="45">
        <f t="shared" si="253"/>
        <v>0.82499999999999929</v>
      </c>
      <c r="U291" s="45"/>
      <c r="V291" s="45">
        <f>('[2]Renewable Diesel'!E300*'[2]RD Feedstock Breakdown'!V$3*'[2]Feedstock Conversion Rates'!B$6)/12-20+25</f>
        <v>49.250150000000012</v>
      </c>
      <c r="W291" s="45">
        <f>('[2]Renewable Diesel'!E300*'[2]RD Feedstock Breakdown'!W$3*'[2]Feedstock Conversion Rates'!B$8)/12-6</f>
        <v>16.1796875</v>
      </c>
      <c r="X291" s="47">
        <f t="shared" si="229"/>
        <v>66.254837500000008</v>
      </c>
      <c r="Y291" s="45">
        <f t="shared" si="254"/>
        <v>98</v>
      </c>
      <c r="Z291" s="45">
        <f>('[2]Renewable Diesel'!F300*'[2]RD Feedstock Breakdown'!Z$3*'[2]Feedstock Conversion Rates'!B$6)/12-142+15+5</f>
        <v>37.460000000000008</v>
      </c>
      <c r="AA291" s="45">
        <f>('[2]Renewable Diesel'!F300*'[2]RD Feedstock Breakdown'!AA$3*'[2]Feedstock Conversion Rates'!B$7)/12+24</f>
        <v>128.26666666666665</v>
      </c>
      <c r="AB291" s="47">
        <f t="shared" si="190"/>
        <v>263.72666666666669</v>
      </c>
      <c r="AC291" s="45">
        <f>('[2]Renewable Diesel'!G300*'[2]RD Feedstock Breakdown'!AC$3*'[2]Feedstock Conversion Rates'!B$5)/12</f>
        <v>11.796875</v>
      </c>
      <c r="AD291" s="45">
        <f>('[2]Renewable Diesel'!G300*'[2]RD Feedstock Breakdown'!AD$3*'[2]Feedstock Conversion Rates'!B$4)/12</f>
        <v>5.859375</v>
      </c>
      <c r="AE291" s="45">
        <f>('[2]Renewable Diesel'!G300*'[2]RD Feedstock Breakdown'!AE$3*'[2]Feedstock Conversion Rates'!B$6)/12</f>
        <v>7.3281250000000009</v>
      </c>
      <c r="AF291" s="47">
        <f t="shared" si="236"/>
        <v>24.984375</v>
      </c>
      <c r="AG291" s="45">
        <f t="shared" si="259"/>
        <v>148</v>
      </c>
      <c r="AH291" s="45"/>
      <c r="AI291" s="45">
        <f>('[2]Renewable Diesel'!H300*'[2]RD Feedstock Breakdown'!AI$3*'[2]Feedstock Conversion Rates'!B$6)/12-130-20+51-49</f>
        <v>0.51666666666667993</v>
      </c>
      <c r="AJ291" s="47">
        <f t="shared" si="202"/>
        <v>148.51666666666668</v>
      </c>
      <c r="AK291" s="45">
        <f>('[2]Renewable Diesel'!J300*'[2]RD Feedstock Breakdown'!AK$3*'[2]Feedstock Conversion Rates'!B$4)/12</f>
        <v>95.8125</v>
      </c>
      <c r="AL291" s="47">
        <f t="shared" si="205"/>
        <v>95.8125</v>
      </c>
      <c r="AM291" s="45">
        <f>('[2]Renewable Diesel'!K300*'[2]RD Feedstock Breakdown'!AM$3*'[2]Feedstock Conversion Rates'!B$4)/12+5+15-10</f>
        <v>68.59375</v>
      </c>
      <c r="AN291" s="45">
        <f>('[2]Renewable Diesel'!K300*'[2]RD Feedstock Breakdown'!AN$3*'[2]Feedstock Conversion Rates'!B$6)/12-5-15+10</f>
        <v>14.427083333333332</v>
      </c>
      <c r="AO291" s="47">
        <f t="shared" si="223"/>
        <v>83.020833333333329</v>
      </c>
      <c r="AP291" s="45">
        <f>('[2]Renewable Diesel'!L300*'[2]RD Feedstock Breakdown'!AP$3*'[2]Feedstock Conversion Rates'!B$4)/12+15-10</f>
        <v>63.59375</v>
      </c>
      <c r="AQ291" s="45">
        <f>('[2]Renewable Diesel'!L300*'[2]RD Feedstock Breakdown'!AQ$3*'[2]Feedstock Conversion Rates'!B$6)/12-15+10</f>
        <v>19.427083333333332</v>
      </c>
      <c r="AR291" s="47">
        <f t="shared" si="207"/>
        <v>83.020833333333329</v>
      </c>
      <c r="AS291" s="45">
        <f>('[2]Renewable Diesel'!M300*'[2]RD Feedstock Breakdown'!AS$3*'[2]Feedstock Conversion Rates'!B$4)/12</f>
        <v>456.25</v>
      </c>
      <c r="AT291" s="45">
        <f>('[2]Renewable Diesel'!M300*'[2]RD Feedstock Breakdown'!AT$3*'[2]Feedstock Conversion Rates'!B$5)/12</f>
        <v>0</v>
      </c>
      <c r="AU291" s="47">
        <f t="shared" si="244"/>
        <v>456.25</v>
      </c>
      <c r="AV291" s="45">
        <f>'[2]Renewable Diesel'!N300*'[2]RD Feedstock Breakdown'!$AV$3*'[2]Feedstock Conversion Rates'!$B$4/12-15-10+25+25-22+25</f>
        <v>106.74999999999999</v>
      </c>
      <c r="AW291" s="45">
        <f>'[2]Renewable Diesel'!N300*'[2]RD Feedstock Breakdown'!$AW$3*'[2]Feedstock Conversion Rates'!$B$7/12+15+10-25-25+22-25</f>
        <v>13.400000000000006</v>
      </c>
      <c r="AX291" s="47">
        <f t="shared" si="193"/>
        <v>120.14999999999999</v>
      </c>
      <c r="AY291" s="45">
        <f>('[2]Renewable Diesel'!O300*'[2]RD Feedstock Breakdown'!AY$3*'[2]Feedstock Conversion Rates'!B$4)/12-90</f>
        <v>120.9375</v>
      </c>
      <c r="AZ291" s="45">
        <f>('[2]Renewable Diesel'!O300*'[2]RD Feedstock Breakdown'!AZ$3*'[2]Feedstock Conversion Rates'!B$3)/12+90</f>
        <v>115.03125</v>
      </c>
      <c r="BA291" s="47">
        <f t="shared" si="255"/>
        <v>235.96875</v>
      </c>
      <c r="BB291" s="45">
        <f>('[2]Renewable Diesel'!Q300*'[2]RD Feedstock Breakdown'!BB$3*'[2]Feedstock Conversion Rates'!B$4)/12</f>
        <v>11.156249999999998</v>
      </c>
      <c r="BC291" s="45">
        <f>('[2]Renewable Diesel'!Q300*'[2]RD Feedstock Breakdown'!BC$3*'[2]Feedstock Conversion Rates'!B$3)/12</f>
        <v>1.4017500000000001</v>
      </c>
      <c r="BD291" s="45">
        <f>('[2]Renewable Diesel'!Q300*'[2]RD Feedstock Breakdown'!BD$3*'[2]Feedstock Conversion Rates'!B$6)/12</f>
        <v>0.8207500000000002</v>
      </c>
      <c r="BE291" s="47">
        <f t="shared" si="231"/>
        <v>13.378749999999998</v>
      </c>
      <c r="BF291" s="45">
        <f>('[2]Renewable Diesel'!R300*'[2]RD Feedstock Breakdown'!BF$3*'[2]Feedstock Conversion Rates'!B$4)/12</f>
        <v>62.5</v>
      </c>
      <c r="BG291" s="47">
        <f t="shared" si="215"/>
        <v>62.5</v>
      </c>
      <c r="BH291" s="45">
        <f>('[2]Renewable Diesel'!T300*'[2]RD Feedstock Breakdown'!BH$3*'[2]Feedstock Conversion Rates'!B$7)/12</f>
        <v>27.599999999999998</v>
      </c>
      <c r="BI291" s="47">
        <f t="shared" si="195"/>
        <v>27.599999999999998</v>
      </c>
      <c r="BJ291" s="45">
        <f>('[2]Renewable Diesel'!W300*'[2]RD Feedstock Breakdown'!BJ$3*'[2]Feedstock Conversion Rates'!B$4)/12</f>
        <v>7.5</v>
      </c>
      <c r="BK291" s="45">
        <f>('[2]Renewable Diesel'!W300*'[2]RD Feedstock Breakdown'!BK$3*'[2]Feedstock Conversion Rates'!B$3)/12</f>
        <v>1.335</v>
      </c>
      <c r="BL291" s="45">
        <f>('[2]Renewable Diesel'!W300*'[2]RD Feedstock Breakdown'!BL$3*'[2]Feedstock Conversion Rates'!B$6)/12</f>
        <v>3.1266666666666669</v>
      </c>
      <c r="BM291" s="45">
        <f>('[2]Renewable Diesel'!W300*'[2]RD Feedstock Breakdown'!BM$3*'[2]Feedstock Conversion Rates'!B$7)/12</f>
        <v>1.5333333333333332</v>
      </c>
      <c r="BN291" s="47">
        <f t="shared" si="248"/>
        <v>13.495000000000001</v>
      </c>
      <c r="BO291" s="45">
        <f>('[2]Renewable Diesel'!P300*'[2]Feedstock Conversion Rates'!B$4)/12</f>
        <v>31.25</v>
      </c>
      <c r="BP291" s="47">
        <f t="shared" si="237"/>
        <v>31.25</v>
      </c>
      <c r="BQ291" s="45">
        <f>('[2]Renewable Diesel'!$S300*'[2]RD Feedstock Breakdown'!BQ$3*'[2]Feedstock Conversion Rates'!B$4)/12+10+15-15</f>
        <v>38.125</v>
      </c>
      <c r="BR291" s="45">
        <f>('[2]Renewable Diesel'!$S300*'[2]RD Feedstock Breakdown'!BR$3*'[2]Feedstock Conversion Rates'!B$7)/12-10-15+15</f>
        <v>1.5</v>
      </c>
      <c r="BS291" s="47">
        <f t="shared" si="174"/>
        <v>39.625</v>
      </c>
      <c r="BT291" s="47"/>
      <c r="BU291" s="45">
        <f>('[2]Renewable Diesel'!Y300*'[2]Feedstock Conversion Rates'!B$7)/12</f>
        <v>2.6833333333333331</v>
      </c>
      <c r="BV291" s="47">
        <f t="shared" si="233"/>
        <v>2.6833333333333331</v>
      </c>
      <c r="BW291" s="45">
        <f>('[2]Renewable Diesel'!$Z300*'[2]RD Feedstock Breakdown'!BW$3*'[2]Feedstock Conversion Rates'!$B$4)/12</f>
        <v>71.875</v>
      </c>
      <c r="BX291" s="45">
        <f>('[2]Renewable Diesel'!$Z300*'[2]RD Feedstock Breakdown'!BX$3*'[2]Feedstock Conversion Rates'!$B$5)/12</f>
        <v>7.2354166666666666</v>
      </c>
      <c r="BY291" s="45">
        <f>('[2]Renewable Diesel'!$Z300*'[2]RD Feedstock Breakdown'!BY$3*'[2]Feedstock Conversion Rates'!$B$7)/12</f>
        <v>61.716666666666661</v>
      </c>
      <c r="BZ291" s="45">
        <f>('[2]Renewable Diesel'!$Z300*'[2]RD Feedstock Breakdown'!BZ$3*'[2]Feedstock Conversion Rates'!$B$3)/12</f>
        <v>15.352499999999999</v>
      </c>
      <c r="CA291" s="47">
        <f t="shared" si="181"/>
        <v>156.17958333333331</v>
      </c>
      <c r="CB291" s="45">
        <f>('[2]Renewable Diesel'!AA300*'[2]Feedstock Conversion Rates'!B$4)/12</f>
        <v>191.25</v>
      </c>
      <c r="CC291" s="47">
        <f t="shared" si="250"/>
        <v>191.25</v>
      </c>
      <c r="CD291" s="45">
        <f>('[2]Renewable Diesel'!$AB300*'[2]RD Feedstock Breakdown'!CD$3*'[2]Feedstock Conversion Rates'!$B$6)/12-15-5</f>
        <v>12.830000000000005</v>
      </c>
      <c r="CE291" s="45">
        <f>('[2]Renewable Diesel'!$AB300*'[2]RD Feedstock Breakdown'!CE$3*'[2]Feedstock Conversion Rates'!$B$4)/12+15+5</f>
        <v>31.25</v>
      </c>
      <c r="CF291" s="47">
        <f t="shared" si="247"/>
        <v>44.080000000000005</v>
      </c>
      <c r="CG291" s="45">
        <f>('[2]Renewable Diesel'!AD300*'[2]Feedstock Conversion Rates'!B$4)/12</f>
        <v>112.5</v>
      </c>
      <c r="CH291" s="47">
        <f t="shared" si="230"/>
        <v>112.5</v>
      </c>
      <c r="CI291" s="45">
        <f>('[2]Renewable Diesel'!$AE300*'[2]RD Feedstock Breakdown'!CI$3*'[2]Feedstock Conversion Rates'!$B$5)/12</f>
        <v>0.34604166666666664</v>
      </c>
      <c r="CJ291" s="45">
        <f>('[2]Renewable Diesel'!$AE300*'[2]RD Feedstock Breakdown'!CJ$3*'[2]Feedstock Conversion Rates'!$B$4)/12</f>
        <v>0.34375</v>
      </c>
      <c r="CK291" s="47">
        <f t="shared" si="238"/>
        <v>0.68979166666666658</v>
      </c>
      <c r="CL291" s="45">
        <f>(((CL$3*'[2]Renewable Diesel'!$AF300)*'[2]Feedstock Conversion Rates'!$B$3)/12)</f>
        <v>91.78125</v>
      </c>
      <c r="CM291" s="45">
        <f>(((CM$3*'[2]Renewable Diesel'!$AF300)*'[2]Feedstock Conversion Rates'!$B$6)/12)</f>
        <v>53.739583333333336</v>
      </c>
      <c r="CN291" s="45">
        <f>(((CN$3*'[2]Renewable Diesel'!$AF300)*'[2]Feedstock Conversion Rates'!$B$4)/12)</f>
        <v>42.96875</v>
      </c>
      <c r="CO291" s="47">
        <f t="shared" si="232"/>
        <v>188.48958333333334</v>
      </c>
      <c r="CP291" s="45">
        <f>('[2]Renewable Diesel'!$AG300*'[2]RD Feedstock Breakdown'!CP$3*'[2]Feedstock Conversion Rates'!$B$3)/12</f>
        <v>6.0075000000000003</v>
      </c>
      <c r="CQ291" s="45">
        <f>('[2]Renewable Diesel'!$AG300*'[2]RD Feedstock Breakdown'!CQ$3*'[2]Feedstock Conversion Rates'!$B$6)/12</f>
        <v>3.5175000000000001</v>
      </c>
      <c r="CR291" s="45">
        <f>('[2]Renewable Diesel'!$AG300*'[2]RD Feedstock Breakdown'!CR$3*'[2]Feedstock Conversion Rates'!$B$4)/12</f>
        <v>2.8125</v>
      </c>
      <c r="CS291" s="47">
        <f t="shared" si="183"/>
        <v>12.3375</v>
      </c>
      <c r="CT291" s="45">
        <f>('[2]Renewable Diesel'!AI300*'[2]Feedstock Conversion Rates'!$B$4*'[2]RD Feedstock Breakdown'!$CT$3)/12</f>
        <v>29.375</v>
      </c>
      <c r="CU291" s="47">
        <f t="shared" si="234"/>
        <v>29.375</v>
      </c>
      <c r="CV291" s="45">
        <f>('[2]Renewable Diesel'!AN300*'[2]Feedstock Conversion Rates'!$B$3*'[2]RD Feedstock Breakdown'!$CV$3)/12</f>
        <v>0.50062499999999999</v>
      </c>
      <c r="CW291" s="47">
        <f t="shared" si="206"/>
        <v>0.50062499999999999</v>
      </c>
      <c r="CX291" s="45">
        <f>('[2]Renewable Diesel'!AO300*'[2]RD Feedstock Breakdown'!$CX$3*'[2]Feedstock Conversion Rates'!$B$3)/12</f>
        <v>6.3412499999999996</v>
      </c>
      <c r="CY291" s="45">
        <f>('[2]Renewable Diesel'!AO300*'[2]RD Feedstock Breakdown'!$CY$3*'[2]Feedstock Conversion Rates'!$B$6)/12</f>
        <v>7.4258333333333342</v>
      </c>
      <c r="CZ291" s="47">
        <f t="shared" si="188"/>
        <v>13.767083333333334</v>
      </c>
      <c r="DA291" s="45">
        <f>('[2]Renewable Diesel'!$AP300*'[2]RD Feedstock Breakdown'!DA$3*'[2]Feedstock Conversion Rates'!$B$3)/12</f>
        <v>6.3412499999999996</v>
      </c>
      <c r="DB291" s="45">
        <f>('[2]Renewable Diesel'!$AP300*'[2]RD Feedstock Breakdown'!DB$3*'[2]Feedstock Conversion Rates'!$B$8)/12</f>
        <v>7.421875</v>
      </c>
      <c r="DC291" s="47">
        <f t="shared" si="212"/>
        <v>13.763124999999999</v>
      </c>
      <c r="DD291" s="45">
        <f>('[2]Renewable Diesel'!AQ300*$DD$3*'[2]Feedstock Conversion Rates'!$B$14)/12</f>
        <v>3.1041666666666665</v>
      </c>
      <c r="DE291" s="47">
        <f t="shared" si="213"/>
        <v>3.1041666666666665</v>
      </c>
      <c r="DF291" s="45">
        <f>('[2]Renewable Diesel'!AR300*'[2]Feedstock Conversion Rates'!$B$4*$DF$3)/12</f>
        <v>75</v>
      </c>
      <c r="DG291" s="47">
        <f t="shared" si="189"/>
        <v>75</v>
      </c>
      <c r="DH291" s="45">
        <f>('[2]Renewable Diesel'!AS300*'[2]Feedstock Conversion Rates'!$B$4*$DH$3)/12</f>
        <v>75</v>
      </c>
      <c r="DI291" s="47">
        <f t="shared" si="194"/>
        <v>75</v>
      </c>
      <c r="DJ291" s="45">
        <f>('[2]Renewable Diesel'!AT300*'[2]Feedstock Conversion Rates'!$B$4*0.25)/12</f>
        <v>8.59375</v>
      </c>
      <c r="DK291" s="45">
        <f>('[2]Renewable Diesel'!$AT300*'[2]RD Feedstock Breakdown'!DK$3*'[2]Feedstock Conversion Rates'!$B$3)/12*0.5</f>
        <v>9.1781249999999996</v>
      </c>
      <c r="DL291" s="45">
        <f>('[2]Renewable Diesel'!$AT300*'[2]RD Feedstock Breakdown'!$DL$3*'[2]Feedstock Conversion Rates'!$B$6)/12</f>
        <v>10.747916666666669</v>
      </c>
      <c r="DM291" s="45">
        <f>('[2]Renewable Diesel'!$AT300*'[2]RD Feedstock Breakdown'!$DM$3*'[2]Feedstock Conversion Rates'!$B$8)/12</f>
        <v>10.7421875</v>
      </c>
      <c r="DN291" s="47">
        <f t="shared" si="249"/>
        <v>39.26197916666667</v>
      </c>
      <c r="DP291" s="45">
        <f t="shared" si="216"/>
        <v>48.220250000000007</v>
      </c>
      <c r="DQ291" s="45">
        <f t="shared" si="217"/>
        <v>459.11776750000001</v>
      </c>
      <c r="DR291" s="45">
        <f t="shared" si="224"/>
        <v>1983.453125</v>
      </c>
      <c r="DS291" s="45">
        <f t="shared" si="235"/>
        <v>228.90125</v>
      </c>
      <c r="DT291" s="45">
        <f t="shared" si="218"/>
        <v>228.03923333333341</v>
      </c>
      <c r="DU291" s="45">
        <f t="shared" si="219"/>
        <v>235.40610000000001</v>
      </c>
      <c r="DV291" s="45">
        <f t="shared" si="225"/>
        <v>69.75</v>
      </c>
      <c r="DW291" s="45">
        <f t="shared" si="220"/>
        <v>3</v>
      </c>
      <c r="DX291" s="47">
        <f t="shared" si="226"/>
        <v>3255.8877258333337</v>
      </c>
      <c r="DY291" s="50">
        <f t="shared" si="208"/>
        <v>-5.631051180898794E-13</v>
      </c>
      <c r="EA291" s="51">
        <f t="shared" si="204"/>
        <v>1.4810169778707033E-2</v>
      </c>
      <c r="EB291" s="51">
        <f t="shared" si="204"/>
        <v>0.14101154774386157</v>
      </c>
      <c r="EC291" s="51">
        <f t="shared" si="204"/>
        <v>0.60918965640694556</v>
      </c>
      <c r="ED291" s="51">
        <f t="shared" si="204"/>
        <v>7.0303790939662547E-2</v>
      </c>
      <c r="EE291" s="51">
        <f t="shared" si="204"/>
        <v>7.0039034676776982E-2</v>
      </c>
      <c r="EF291" s="51">
        <f t="shared" si="204"/>
        <v>7.2301663884846823E-2</v>
      </c>
      <c r="EG291" s="51">
        <f t="shared" si="204"/>
        <v>2.1422728875624148E-2</v>
      </c>
      <c r="EH291" s="52">
        <f t="shared" si="227"/>
        <v>9.2140769357523225E-4</v>
      </c>
      <c r="EI291" s="51">
        <f t="shared" si="191"/>
        <v>0.9990785923064246</v>
      </c>
      <c r="EK291" s="53">
        <f>(EA291*'[2]Renewable Diesel'!BF300*'[2]Feedstock Conversion Rates'!B$2)+FB291</f>
        <v>115.18647924897509</v>
      </c>
      <c r="EL291" s="53">
        <f>(EB291*'[2]Renewable Diesel'!BF300*'[2]Feedstock Conversion Rates'!B$3)+FC291</f>
        <v>1033.4982287067846</v>
      </c>
      <c r="EM291" s="53">
        <f>(EC291*'[2]Renewable Diesel'!BF300*'[2]Feedstock Conversion Rates'!B$4)+FD291</f>
        <v>4180.5779465509013</v>
      </c>
      <c r="EN291" s="53">
        <f>(ED291*'[2]Renewable Diesel'!BF300*'[2]Feedstock Conversion Rates'!B$5)+FE291</f>
        <v>485.67778201086594</v>
      </c>
      <c r="EO291" s="53">
        <f>(EE291*'[2]Renewable Diesel'!BF300*'[2]Feedstock Conversion Rates'!B$6)+FF291</f>
        <v>601.12602583958244</v>
      </c>
      <c r="EP291" s="53">
        <f>(EF291*'[2]Renewable Diesel'!BF300*'[2]Feedstock Conversion Rates'!B$7)+FG291</f>
        <v>608.63743452945414</v>
      </c>
      <c r="EQ291" s="53">
        <f>(EG291*'[2]Renewable Diesel'!BF300*'[2]Feedstock Conversion Rates'!B$8)+FH291</f>
        <v>183.76745843938545</v>
      </c>
      <c r="ER291" s="53">
        <f>(EH291*'[2]Renewable Diesel'!BF300*'[2]Feedstock Conversion Rates'!B$9)+FI291</f>
        <v>7.7985903509760721</v>
      </c>
      <c r="ES291" s="53">
        <f t="shared" si="228"/>
        <v>7216.2699456769251</v>
      </c>
      <c r="ET291" s="36">
        <f>ES291/'[2]Renewable Diesel'!BF300</f>
        <v>7.8866075425771909</v>
      </c>
    </row>
    <row r="292" spans="1:150" x14ac:dyDescent="0.25">
      <c r="A292" s="39">
        <v>49310</v>
      </c>
      <c r="B292" s="45">
        <f t="shared" si="256"/>
        <v>125.75</v>
      </c>
      <c r="C292" s="45">
        <f t="shared" si="251"/>
        <v>49</v>
      </c>
      <c r="D292" s="45">
        <f t="shared" si="257"/>
        <v>2</v>
      </c>
      <c r="E292" s="45">
        <f>('[2]Renewable Diesel'!B301*E$3*'[2]Feedstock Conversion Rates'!$B$2)/12+26+13-100+27.5+39</f>
        <v>95.43</v>
      </c>
      <c r="F292" s="45">
        <f>('[2]Renewable Diesel'!B301*'[2]RD Feedstock Breakdown'!F$3*'[2]Feedstock Conversion Rates'!B$8)/12+77+23-10-12-115.75+24+8+1</f>
        <v>49.15625</v>
      </c>
      <c r="G292" s="45">
        <f>('[2]Renewable Diesel'!B301*'[2]RD Feedstock Breakdown'!G$3*'[2]Feedstock Conversion Rates'!B$7)/12+116.75-39-57.5-145-31.5+32+70-40+10-50-12.5</f>
        <v>29.407000000000039</v>
      </c>
      <c r="H292" s="45">
        <f>('[2]Renewable Diesel'!B301*'[2]RD Feedstock Breakdown'!H$3*'[2]Feedstock Conversion Rates'!B$3)/12+67+10+12+3-235+20+47-20+65</f>
        <v>145.40022499999998</v>
      </c>
      <c r="I292" s="47">
        <f t="shared" si="245"/>
        <v>496.14347500000002</v>
      </c>
      <c r="J292" s="45">
        <f t="shared" si="258"/>
        <v>59</v>
      </c>
      <c r="K292" s="45"/>
      <c r="L292" s="45">
        <v>1</v>
      </c>
      <c r="M292" s="45">
        <f>('[2]Renewable Diesel'!C301*'[2]RD Feedstock Breakdown'!M$3*'[2]Feedstock Conversion Rates'!B$2)/12-55</f>
        <v>-47.20975</v>
      </c>
      <c r="N292" s="45">
        <f>('[2]Renewable Diesel'!C301*'[2]RD Feedstock Breakdown'!N$3*'[2]Feedstock Conversion Rates'!B$8)/12-10</f>
        <v>-6.328125</v>
      </c>
      <c r="O292" s="45">
        <f>('[2]Renewable Diesel'!C301*'[2]RD Feedstock Breakdown'!O$3*'[2]Feedstock Conversion Rates'!B$7)/12-45</f>
        <v>-33.000900000000001</v>
      </c>
      <c r="P292" s="45">
        <f>('[2]Renewable Diesel'!C301*'[2]RD Feedstock Breakdown'!P$3*'[2]Feedstock Conversion Rates'!B$3)/12+15+35</f>
        <v>60.447042500000002</v>
      </c>
      <c r="Q292" s="47">
        <f t="shared" si="252"/>
        <v>33.908267500000001</v>
      </c>
      <c r="R292" s="45">
        <f>('[2]Renewable Diesel'!D301*'[2]RD Feedstock Breakdown'!R$3*'[2]Feedstock Conversion Rates'!B$7)/12</f>
        <v>2.2999999999999998</v>
      </c>
      <c r="S292" s="47">
        <f t="shared" si="203"/>
        <v>2.2999999999999998</v>
      </c>
      <c r="T292" s="45">
        <f t="shared" si="253"/>
        <v>0.82499999999999929</v>
      </c>
      <c r="U292" s="45"/>
      <c r="V292" s="45">
        <f>('[2]Renewable Diesel'!E301*'[2]RD Feedstock Breakdown'!V$3*'[2]Feedstock Conversion Rates'!B$6)/12-20+25</f>
        <v>49.250150000000012</v>
      </c>
      <c r="W292" s="45">
        <f>('[2]Renewable Diesel'!E301*'[2]RD Feedstock Breakdown'!W$3*'[2]Feedstock Conversion Rates'!B$8)/12-6</f>
        <v>16.1796875</v>
      </c>
      <c r="X292" s="47">
        <f t="shared" si="229"/>
        <v>66.254837500000008</v>
      </c>
      <c r="Y292" s="45">
        <f t="shared" si="254"/>
        <v>98</v>
      </c>
      <c r="Z292" s="45">
        <f>('[2]Renewable Diesel'!F301*'[2]RD Feedstock Breakdown'!Z$3*'[2]Feedstock Conversion Rates'!B$6)/12-142+15+5</f>
        <v>37.460000000000008</v>
      </c>
      <c r="AA292" s="45">
        <f>('[2]Renewable Diesel'!F301*'[2]RD Feedstock Breakdown'!AA$3*'[2]Feedstock Conversion Rates'!B$7)/12+24</f>
        <v>128.26666666666665</v>
      </c>
      <c r="AB292" s="47">
        <f t="shared" si="190"/>
        <v>263.72666666666669</v>
      </c>
      <c r="AC292" s="45">
        <f>('[2]Renewable Diesel'!G301*'[2]RD Feedstock Breakdown'!AC$3*'[2]Feedstock Conversion Rates'!B$5)/12</f>
        <v>11.796875</v>
      </c>
      <c r="AD292" s="45">
        <f>('[2]Renewable Diesel'!G301*'[2]RD Feedstock Breakdown'!AD$3*'[2]Feedstock Conversion Rates'!B$4)/12</f>
        <v>5.859375</v>
      </c>
      <c r="AE292" s="45">
        <f>('[2]Renewable Diesel'!G301*'[2]RD Feedstock Breakdown'!AE$3*'[2]Feedstock Conversion Rates'!B$6)/12</f>
        <v>7.3281250000000009</v>
      </c>
      <c r="AF292" s="47">
        <f t="shared" si="236"/>
        <v>24.984375</v>
      </c>
      <c r="AG292" s="45">
        <f t="shared" si="259"/>
        <v>148</v>
      </c>
      <c r="AH292" s="45"/>
      <c r="AI292" s="45">
        <f>('[2]Renewable Diesel'!H301*'[2]RD Feedstock Breakdown'!AI$3*'[2]Feedstock Conversion Rates'!B$6)/12-130-20+51-49</f>
        <v>0.51666666666667993</v>
      </c>
      <c r="AJ292" s="47">
        <f t="shared" si="202"/>
        <v>148.51666666666668</v>
      </c>
      <c r="AK292" s="45">
        <f>('[2]Renewable Diesel'!J301*'[2]RD Feedstock Breakdown'!AK$3*'[2]Feedstock Conversion Rates'!B$4)/12</f>
        <v>95.8125</v>
      </c>
      <c r="AL292" s="47">
        <f t="shared" si="205"/>
        <v>95.8125</v>
      </c>
      <c r="AM292" s="45">
        <f>('[2]Renewable Diesel'!K301*'[2]RD Feedstock Breakdown'!AM$3*'[2]Feedstock Conversion Rates'!B$4)/12+5+15-10</f>
        <v>68.59375</v>
      </c>
      <c r="AN292" s="45">
        <f>('[2]Renewable Diesel'!K301*'[2]RD Feedstock Breakdown'!AN$3*'[2]Feedstock Conversion Rates'!B$6)/12-5-15+10</f>
        <v>14.427083333333332</v>
      </c>
      <c r="AO292" s="47">
        <f t="shared" si="223"/>
        <v>83.020833333333329</v>
      </c>
      <c r="AP292" s="45">
        <f>('[2]Renewable Diesel'!L301*'[2]RD Feedstock Breakdown'!AP$3*'[2]Feedstock Conversion Rates'!B$4)/12+15-10</f>
        <v>63.59375</v>
      </c>
      <c r="AQ292" s="45">
        <f>('[2]Renewable Diesel'!L301*'[2]RD Feedstock Breakdown'!AQ$3*'[2]Feedstock Conversion Rates'!B$6)/12-15+10</f>
        <v>19.427083333333332</v>
      </c>
      <c r="AR292" s="47">
        <f t="shared" si="207"/>
        <v>83.020833333333329</v>
      </c>
      <c r="AS292" s="45">
        <f>('[2]Renewable Diesel'!M301*'[2]RD Feedstock Breakdown'!AS$3*'[2]Feedstock Conversion Rates'!B$4)/12</f>
        <v>456.25</v>
      </c>
      <c r="AT292" s="45">
        <f>('[2]Renewable Diesel'!M301*'[2]RD Feedstock Breakdown'!AT$3*'[2]Feedstock Conversion Rates'!B$5)/12</f>
        <v>0</v>
      </c>
      <c r="AU292" s="47">
        <f t="shared" si="244"/>
        <v>456.25</v>
      </c>
      <c r="AV292" s="45">
        <f>'[2]Renewable Diesel'!N301*'[2]RD Feedstock Breakdown'!$AV$3*'[2]Feedstock Conversion Rates'!$B$4/12-15-10+25+25-22+25</f>
        <v>106.74999999999999</v>
      </c>
      <c r="AW292" s="45">
        <f>'[2]Renewable Diesel'!N301*'[2]RD Feedstock Breakdown'!$AW$3*'[2]Feedstock Conversion Rates'!$B$7/12+15+10-25-25+22-25</f>
        <v>13.400000000000006</v>
      </c>
      <c r="AX292" s="47">
        <f t="shared" si="193"/>
        <v>120.14999999999999</v>
      </c>
      <c r="AY292" s="45">
        <f>('[2]Renewable Diesel'!O301*'[2]RD Feedstock Breakdown'!AY$3*'[2]Feedstock Conversion Rates'!B$4)/12-90</f>
        <v>120.9375</v>
      </c>
      <c r="AZ292" s="45">
        <f>('[2]Renewable Diesel'!O301*'[2]RD Feedstock Breakdown'!AZ$3*'[2]Feedstock Conversion Rates'!B$3)/12+90</f>
        <v>115.03125</v>
      </c>
      <c r="BA292" s="47">
        <f t="shared" si="255"/>
        <v>235.96875</v>
      </c>
      <c r="BB292" s="45">
        <f>('[2]Renewable Diesel'!Q301*'[2]RD Feedstock Breakdown'!BB$3*'[2]Feedstock Conversion Rates'!B$4)/12</f>
        <v>11.156249999999998</v>
      </c>
      <c r="BC292" s="45">
        <f>('[2]Renewable Diesel'!Q301*'[2]RD Feedstock Breakdown'!BC$3*'[2]Feedstock Conversion Rates'!B$3)/12</f>
        <v>1.4017500000000001</v>
      </c>
      <c r="BD292" s="45">
        <f>('[2]Renewable Diesel'!Q301*'[2]RD Feedstock Breakdown'!BD$3*'[2]Feedstock Conversion Rates'!B$6)/12</f>
        <v>0.8207500000000002</v>
      </c>
      <c r="BE292" s="47">
        <f t="shared" si="231"/>
        <v>13.378749999999998</v>
      </c>
      <c r="BF292" s="45">
        <f>('[2]Renewable Diesel'!R301*'[2]RD Feedstock Breakdown'!BF$3*'[2]Feedstock Conversion Rates'!B$4)/12</f>
        <v>62.5</v>
      </c>
      <c r="BG292" s="47">
        <f t="shared" si="215"/>
        <v>62.5</v>
      </c>
      <c r="BH292" s="45">
        <f>('[2]Renewable Diesel'!T301*'[2]RD Feedstock Breakdown'!BH$3*'[2]Feedstock Conversion Rates'!B$7)/12</f>
        <v>27.599999999999998</v>
      </c>
      <c r="BI292" s="47">
        <f t="shared" si="195"/>
        <v>27.599999999999998</v>
      </c>
      <c r="BJ292" s="45">
        <f>('[2]Renewable Diesel'!W301*'[2]RD Feedstock Breakdown'!BJ$3*'[2]Feedstock Conversion Rates'!B$4)/12</f>
        <v>7.5</v>
      </c>
      <c r="BK292" s="45">
        <f>('[2]Renewable Diesel'!W301*'[2]RD Feedstock Breakdown'!BK$3*'[2]Feedstock Conversion Rates'!B$3)/12</f>
        <v>1.335</v>
      </c>
      <c r="BL292" s="45">
        <f>('[2]Renewable Diesel'!W301*'[2]RD Feedstock Breakdown'!BL$3*'[2]Feedstock Conversion Rates'!B$6)/12</f>
        <v>3.1266666666666669</v>
      </c>
      <c r="BM292" s="45">
        <f>('[2]Renewable Diesel'!W301*'[2]RD Feedstock Breakdown'!BM$3*'[2]Feedstock Conversion Rates'!B$7)/12</f>
        <v>1.5333333333333332</v>
      </c>
      <c r="BN292" s="47">
        <f t="shared" si="248"/>
        <v>13.495000000000001</v>
      </c>
      <c r="BO292" s="45">
        <f>('[2]Renewable Diesel'!P301*'[2]Feedstock Conversion Rates'!B$4)/12</f>
        <v>31.25</v>
      </c>
      <c r="BP292" s="47">
        <f t="shared" si="237"/>
        <v>31.25</v>
      </c>
      <c r="BQ292" s="45">
        <f>('[2]Renewable Diesel'!$S301*'[2]RD Feedstock Breakdown'!BQ$3*'[2]Feedstock Conversion Rates'!B$4)/12+10+15-15</f>
        <v>38.125</v>
      </c>
      <c r="BR292" s="45">
        <f>('[2]Renewable Diesel'!$S301*'[2]RD Feedstock Breakdown'!BR$3*'[2]Feedstock Conversion Rates'!B$7)/12-10-15+15</f>
        <v>1.5</v>
      </c>
      <c r="BS292" s="47">
        <f t="shared" si="174"/>
        <v>39.625</v>
      </c>
      <c r="BT292" s="47"/>
      <c r="BU292" s="45">
        <f>('[2]Renewable Diesel'!Y301*'[2]Feedstock Conversion Rates'!B$7)/12</f>
        <v>2.6833333333333331</v>
      </c>
      <c r="BV292" s="47">
        <f t="shared" si="233"/>
        <v>2.6833333333333331</v>
      </c>
      <c r="BW292" s="45">
        <f>('[2]Renewable Diesel'!$Z301*'[2]RD Feedstock Breakdown'!BW$3*'[2]Feedstock Conversion Rates'!$B$4)/12</f>
        <v>71.875</v>
      </c>
      <c r="BX292" s="45">
        <f>('[2]Renewable Diesel'!$Z301*'[2]RD Feedstock Breakdown'!BX$3*'[2]Feedstock Conversion Rates'!$B$5)/12</f>
        <v>7.2354166666666666</v>
      </c>
      <c r="BY292" s="45">
        <f>('[2]Renewable Diesel'!$Z301*'[2]RD Feedstock Breakdown'!BY$3*'[2]Feedstock Conversion Rates'!$B$7)/12</f>
        <v>61.716666666666661</v>
      </c>
      <c r="BZ292" s="45">
        <f>('[2]Renewable Diesel'!$Z301*'[2]RD Feedstock Breakdown'!BZ$3*'[2]Feedstock Conversion Rates'!$B$3)/12</f>
        <v>15.352499999999999</v>
      </c>
      <c r="CA292" s="47">
        <f t="shared" si="181"/>
        <v>156.17958333333331</v>
      </c>
      <c r="CB292" s="45">
        <f>('[2]Renewable Diesel'!AA301*'[2]Feedstock Conversion Rates'!B$4)/12</f>
        <v>191.25</v>
      </c>
      <c r="CC292" s="47">
        <f t="shared" si="250"/>
        <v>191.25</v>
      </c>
      <c r="CD292" s="45">
        <f>('[2]Renewable Diesel'!$AB301*'[2]RD Feedstock Breakdown'!CD$3*'[2]Feedstock Conversion Rates'!$B$6)/12-15-5</f>
        <v>12.830000000000005</v>
      </c>
      <c r="CE292" s="45">
        <f>('[2]Renewable Diesel'!$AB301*'[2]RD Feedstock Breakdown'!CE$3*'[2]Feedstock Conversion Rates'!$B$4)/12+15+5</f>
        <v>31.25</v>
      </c>
      <c r="CF292" s="47">
        <f t="shared" si="247"/>
        <v>44.080000000000005</v>
      </c>
      <c r="CG292" s="45">
        <f>('[2]Renewable Diesel'!AD301*'[2]Feedstock Conversion Rates'!B$4)/12</f>
        <v>112.5</v>
      </c>
      <c r="CH292" s="47">
        <f t="shared" si="230"/>
        <v>112.5</v>
      </c>
      <c r="CI292" s="45">
        <f>('[2]Renewable Diesel'!$AE301*'[2]RD Feedstock Breakdown'!CI$3*'[2]Feedstock Conversion Rates'!$B$5)/12</f>
        <v>0.34604166666666664</v>
      </c>
      <c r="CJ292" s="45">
        <f>('[2]Renewable Diesel'!$AE301*'[2]RD Feedstock Breakdown'!CJ$3*'[2]Feedstock Conversion Rates'!$B$4)/12</f>
        <v>0.34375</v>
      </c>
      <c r="CK292" s="47">
        <f t="shared" si="238"/>
        <v>0.68979166666666658</v>
      </c>
      <c r="CL292" s="45">
        <f>(((CL$3*'[2]Renewable Diesel'!$AF301)*'[2]Feedstock Conversion Rates'!$B$3)/12)</f>
        <v>91.78125</v>
      </c>
      <c r="CM292" s="45">
        <f>(((CM$3*'[2]Renewable Diesel'!$AF301)*'[2]Feedstock Conversion Rates'!$B$6)/12)</f>
        <v>53.739583333333336</v>
      </c>
      <c r="CN292" s="45">
        <f>(((CN$3*'[2]Renewable Diesel'!$AF301)*'[2]Feedstock Conversion Rates'!$B$4)/12)</f>
        <v>42.96875</v>
      </c>
      <c r="CO292" s="47">
        <f t="shared" si="232"/>
        <v>188.48958333333334</v>
      </c>
      <c r="CP292" s="45">
        <f>('[2]Renewable Diesel'!$AG301*'[2]RD Feedstock Breakdown'!CP$3*'[2]Feedstock Conversion Rates'!$B$3)/12</f>
        <v>6.0075000000000003</v>
      </c>
      <c r="CQ292" s="45">
        <f>('[2]Renewable Diesel'!$AG301*'[2]RD Feedstock Breakdown'!CQ$3*'[2]Feedstock Conversion Rates'!$B$6)/12</f>
        <v>3.5175000000000001</v>
      </c>
      <c r="CR292" s="45">
        <f>('[2]Renewable Diesel'!$AG301*'[2]RD Feedstock Breakdown'!CR$3*'[2]Feedstock Conversion Rates'!$B$4)/12</f>
        <v>2.8125</v>
      </c>
      <c r="CS292" s="47">
        <f t="shared" si="183"/>
        <v>12.3375</v>
      </c>
      <c r="CT292" s="45">
        <f>('[2]Renewable Diesel'!AI301*'[2]Feedstock Conversion Rates'!$B$4*'[2]RD Feedstock Breakdown'!$CT$3)/12</f>
        <v>29.375</v>
      </c>
      <c r="CU292" s="47">
        <f t="shared" si="234"/>
        <v>29.375</v>
      </c>
      <c r="CV292" s="45">
        <f>('[2]Renewable Diesel'!AN301*'[2]Feedstock Conversion Rates'!$B$3*'[2]RD Feedstock Breakdown'!$CV$3)/12</f>
        <v>0.50062499999999999</v>
      </c>
      <c r="CW292" s="47">
        <f t="shared" si="206"/>
        <v>0.50062499999999999</v>
      </c>
      <c r="CX292" s="45">
        <f>('[2]Renewable Diesel'!AO301*'[2]RD Feedstock Breakdown'!$CX$3*'[2]Feedstock Conversion Rates'!$B$3)/12</f>
        <v>6.3412499999999996</v>
      </c>
      <c r="CY292" s="45">
        <f>('[2]Renewable Diesel'!AO301*'[2]RD Feedstock Breakdown'!$CY$3*'[2]Feedstock Conversion Rates'!$B$6)/12</f>
        <v>7.4258333333333342</v>
      </c>
      <c r="CZ292" s="47">
        <f t="shared" si="188"/>
        <v>13.767083333333334</v>
      </c>
      <c r="DA292" s="45">
        <f>('[2]Renewable Diesel'!$AP301*'[2]RD Feedstock Breakdown'!DA$3*'[2]Feedstock Conversion Rates'!$B$3)/12</f>
        <v>6.3412499999999996</v>
      </c>
      <c r="DB292" s="45">
        <f>('[2]Renewable Diesel'!$AP301*'[2]RD Feedstock Breakdown'!DB$3*'[2]Feedstock Conversion Rates'!$B$8)/12</f>
        <v>7.421875</v>
      </c>
      <c r="DC292" s="47">
        <f t="shared" si="212"/>
        <v>13.763124999999999</v>
      </c>
      <c r="DD292" s="45">
        <f>('[2]Renewable Diesel'!AQ301*$DD$3*'[2]Feedstock Conversion Rates'!$B$14)/12</f>
        <v>3.1041666666666665</v>
      </c>
      <c r="DE292" s="47">
        <f t="shared" si="213"/>
        <v>3.1041666666666665</v>
      </c>
      <c r="DF292" s="45">
        <f>('[2]Renewable Diesel'!AR301*'[2]Feedstock Conversion Rates'!$B$4*$DF$3)/12</f>
        <v>75</v>
      </c>
      <c r="DG292" s="47">
        <f t="shared" si="189"/>
        <v>75</v>
      </c>
      <c r="DH292" s="45">
        <f>('[2]Renewable Diesel'!AS301*'[2]Feedstock Conversion Rates'!$B$4*$DH$3)/12</f>
        <v>75</v>
      </c>
      <c r="DI292" s="47">
        <f t="shared" si="194"/>
        <v>75</v>
      </c>
      <c r="DJ292" s="45">
        <f>('[2]Renewable Diesel'!AT301*'[2]Feedstock Conversion Rates'!$B$4*0.25)/12</f>
        <v>8.59375</v>
      </c>
      <c r="DK292" s="45">
        <f>('[2]Renewable Diesel'!$AT301*'[2]RD Feedstock Breakdown'!DK$3*'[2]Feedstock Conversion Rates'!$B$3)/12*0.5</f>
        <v>9.1781249999999996</v>
      </c>
      <c r="DL292" s="45">
        <f>('[2]Renewable Diesel'!$AT301*'[2]RD Feedstock Breakdown'!$DL$3*'[2]Feedstock Conversion Rates'!$B$6)/12</f>
        <v>10.747916666666669</v>
      </c>
      <c r="DM292" s="45">
        <f>('[2]Renewable Diesel'!$AT301*'[2]RD Feedstock Breakdown'!$DM$3*'[2]Feedstock Conversion Rates'!$B$8)/12</f>
        <v>10.7421875</v>
      </c>
      <c r="DN292" s="47">
        <f t="shared" si="249"/>
        <v>39.26197916666667</v>
      </c>
      <c r="DP292" s="45">
        <f t="shared" si="216"/>
        <v>48.220250000000007</v>
      </c>
      <c r="DQ292" s="45">
        <f t="shared" si="217"/>
        <v>459.11776750000001</v>
      </c>
      <c r="DR292" s="45">
        <f t="shared" si="224"/>
        <v>1983.453125</v>
      </c>
      <c r="DS292" s="45">
        <f t="shared" si="235"/>
        <v>228.90125</v>
      </c>
      <c r="DT292" s="45">
        <f t="shared" si="218"/>
        <v>228.03923333333341</v>
      </c>
      <c r="DU292" s="45">
        <f t="shared" si="219"/>
        <v>235.40610000000001</v>
      </c>
      <c r="DV292" s="45">
        <f t="shared" si="225"/>
        <v>69.75</v>
      </c>
      <c r="DW292" s="45">
        <f t="shared" si="220"/>
        <v>3</v>
      </c>
      <c r="DX292" s="47">
        <f t="shared" si="226"/>
        <v>3255.8877258333337</v>
      </c>
      <c r="DY292" s="50">
        <f t="shared" si="208"/>
        <v>-5.631051180898794E-13</v>
      </c>
      <c r="EA292" s="51">
        <f t="shared" si="204"/>
        <v>1.4810169778707033E-2</v>
      </c>
      <c r="EB292" s="51">
        <f t="shared" si="204"/>
        <v>0.14101154774386157</v>
      </c>
      <c r="EC292" s="51">
        <f t="shared" si="204"/>
        <v>0.60918965640694556</v>
      </c>
      <c r="ED292" s="51">
        <f t="shared" si="204"/>
        <v>7.0303790939662547E-2</v>
      </c>
      <c r="EE292" s="51">
        <f t="shared" si="204"/>
        <v>7.0039034676776982E-2</v>
      </c>
      <c r="EF292" s="51">
        <f t="shared" si="204"/>
        <v>7.2301663884846823E-2</v>
      </c>
      <c r="EG292" s="51">
        <f t="shared" si="204"/>
        <v>2.1422728875624148E-2</v>
      </c>
      <c r="EH292" s="52">
        <f t="shared" si="227"/>
        <v>9.2140769357523225E-4</v>
      </c>
      <c r="EI292" s="51">
        <f t="shared" si="191"/>
        <v>0.9990785923064246</v>
      </c>
      <c r="EK292" s="53">
        <f>(EA292*'[2]Renewable Diesel'!BF301*'[2]Feedstock Conversion Rates'!B$2)+FB292</f>
        <v>67.783952111443696</v>
      </c>
      <c r="EL292" s="53">
        <f>(EB292*'[2]Renewable Diesel'!BF301*'[2]Feedstock Conversion Rates'!B$3)+FC292</f>
        <v>608.18418011110373</v>
      </c>
      <c r="EM292" s="53">
        <f>(EC292*'[2]Renewable Diesel'!BF301*'[2]Feedstock Conversion Rates'!B$4)+FD292</f>
        <v>2460.1506806597299</v>
      </c>
      <c r="EN292" s="53">
        <f>(ED292*'[2]Renewable Diesel'!BF301*'[2]Feedstock Conversion Rates'!B$5)+FE292</f>
        <v>285.8074986931216</v>
      </c>
      <c r="EO292" s="53">
        <f>(EE292*'[2]Renewable Diesel'!BF301*'[2]Feedstock Conversion Rates'!B$6)+FF292</f>
        <v>353.74549178101807</v>
      </c>
      <c r="EP292" s="53">
        <f>(EF292*'[2]Renewable Diesel'!BF301*'[2]Feedstock Conversion Rates'!B$7)+FG292</f>
        <v>358.16574119087471</v>
      </c>
      <c r="EQ292" s="53">
        <f>(EG292*'[2]Renewable Diesel'!BF301*'[2]Feedstock Conversion Rates'!B$8)+FH292</f>
        <v>108.14189897733034</v>
      </c>
      <c r="ER292" s="53">
        <f>(EH292*'[2]Renewable Diesel'!BF301*'[2]Feedstock Conversion Rates'!B$9)+FI292</f>
        <v>4.5892476125146651</v>
      </c>
      <c r="ES292" s="53">
        <f t="shared" si="228"/>
        <v>4246.5686911371367</v>
      </c>
      <c r="ET292" s="36">
        <f>ES292/'[2]Renewable Diesel'!BF301</f>
        <v>7.8866075425771918</v>
      </c>
    </row>
    <row r="293" spans="1:150" x14ac:dyDescent="0.25">
      <c r="A293" s="39">
        <v>49341</v>
      </c>
      <c r="B293" s="45">
        <f t="shared" si="256"/>
        <v>125.75</v>
      </c>
      <c r="C293" s="45">
        <f t="shared" si="251"/>
        <v>49</v>
      </c>
      <c r="D293" s="45">
        <f t="shared" si="257"/>
        <v>2</v>
      </c>
      <c r="E293" s="45">
        <f>('[2]Renewable Diesel'!B302*E$3*'[2]Feedstock Conversion Rates'!$B$2)/12+26+13-100+27.5+39</f>
        <v>95.43</v>
      </c>
      <c r="F293" s="45">
        <f>('[2]Renewable Diesel'!B302*'[2]RD Feedstock Breakdown'!F$3*'[2]Feedstock Conversion Rates'!B$8)/12+77+23-10-12-115.75+24+8+1</f>
        <v>49.15625</v>
      </c>
      <c r="G293" s="45">
        <f>('[2]Renewable Diesel'!B302*'[2]RD Feedstock Breakdown'!G$3*'[2]Feedstock Conversion Rates'!B$7)/12+116.75-39-57.5-145-31.5+32+70-40+10-50-12.5</f>
        <v>29.407000000000039</v>
      </c>
      <c r="H293" s="45">
        <f>('[2]Renewable Diesel'!B302*'[2]RD Feedstock Breakdown'!H$3*'[2]Feedstock Conversion Rates'!B$3)/12+67+10+12+3-235+20+47-20+65</f>
        <v>145.40022499999998</v>
      </c>
      <c r="I293" s="47">
        <f t="shared" si="245"/>
        <v>496.14347500000002</v>
      </c>
      <c r="J293" s="45">
        <f t="shared" si="258"/>
        <v>59</v>
      </c>
      <c r="K293" s="45"/>
      <c r="L293" s="45">
        <v>1</v>
      </c>
      <c r="M293" s="45">
        <f>('[2]Renewable Diesel'!C302*'[2]RD Feedstock Breakdown'!M$3*'[2]Feedstock Conversion Rates'!B$2)/12-55</f>
        <v>-47.20975</v>
      </c>
      <c r="N293" s="45">
        <f>('[2]Renewable Diesel'!C302*'[2]RD Feedstock Breakdown'!N$3*'[2]Feedstock Conversion Rates'!B$8)/12-10</f>
        <v>-6.328125</v>
      </c>
      <c r="O293" s="45">
        <f>('[2]Renewable Diesel'!C302*'[2]RD Feedstock Breakdown'!O$3*'[2]Feedstock Conversion Rates'!B$7)/12-45</f>
        <v>-33.000900000000001</v>
      </c>
      <c r="P293" s="45">
        <f>('[2]Renewable Diesel'!C302*'[2]RD Feedstock Breakdown'!P$3*'[2]Feedstock Conversion Rates'!B$3)/12+15+35</f>
        <v>60.447042500000002</v>
      </c>
      <c r="Q293" s="47">
        <f t="shared" si="252"/>
        <v>33.908267500000001</v>
      </c>
      <c r="R293" s="45">
        <f>('[2]Renewable Diesel'!D302*'[2]RD Feedstock Breakdown'!R$3*'[2]Feedstock Conversion Rates'!B$7)/12</f>
        <v>2.2999999999999998</v>
      </c>
      <c r="S293" s="47">
        <f t="shared" si="203"/>
        <v>2.2999999999999998</v>
      </c>
      <c r="T293" s="45">
        <f t="shared" si="253"/>
        <v>0.82499999999999929</v>
      </c>
      <c r="U293" s="45"/>
      <c r="V293" s="45">
        <f>('[2]Renewable Diesel'!E302*'[2]RD Feedstock Breakdown'!V$3*'[2]Feedstock Conversion Rates'!B$6)/12-20+25</f>
        <v>49.250150000000012</v>
      </c>
      <c r="W293" s="45">
        <f>('[2]Renewable Diesel'!E302*'[2]RD Feedstock Breakdown'!W$3*'[2]Feedstock Conversion Rates'!B$8)/12-6</f>
        <v>16.1796875</v>
      </c>
      <c r="X293" s="47">
        <f t="shared" si="229"/>
        <v>66.254837500000008</v>
      </c>
      <c r="Y293" s="45">
        <f t="shared" si="254"/>
        <v>98</v>
      </c>
      <c r="Z293" s="45">
        <f>('[2]Renewable Diesel'!F302*'[2]RD Feedstock Breakdown'!Z$3*'[2]Feedstock Conversion Rates'!B$6)/12-142+15+5</f>
        <v>37.460000000000008</v>
      </c>
      <c r="AA293" s="45">
        <f>('[2]Renewable Diesel'!F302*'[2]RD Feedstock Breakdown'!AA$3*'[2]Feedstock Conversion Rates'!B$7)/12+24</f>
        <v>128.26666666666665</v>
      </c>
      <c r="AB293" s="47">
        <f t="shared" si="190"/>
        <v>263.72666666666669</v>
      </c>
      <c r="AC293" s="45">
        <f>('[2]Renewable Diesel'!G302*'[2]RD Feedstock Breakdown'!AC$3*'[2]Feedstock Conversion Rates'!B$5)/12</f>
        <v>11.796875</v>
      </c>
      <c r="AD293" s="45">
        <f>('[2]Renewable Diesel'!G302*'[2]RD Feedstock Breakdown'!AD$3*'[2]Feedstock Conversion Rates'!B$4)/12</f>
        <v>5.859375</v>
      </c>
      <c r="AE293" s="45">
        <f>('[2]Renewable Diesel'!G302*'[2]RD Feedstock Breakdown'!AE$3*'[2]Feedstock Conversion Rates'!B$6)/12</f>
        <v>7.3281250000000009</v>
      </c>
      <c r="AF293" s="47">
        <f t="shared" si="236"/>
        <v>24.984375</v>
      </c>
      <c r="AG293" s="45">
        <f t="shared" si="259"/>
        <v>148</v>
      </c>
      <c r="AH293" s="45"/>
      <c r="AI293" s="45">
        <f>('[2]Renewable Diesel'!H302*'[2]RD Feedstock Breakdown'!AI$3*'[2]Feedstock Conversion Rates'!B$6)/12-130-20+51-49</f>
        <v>0.51666666666667993</v>
      </c>
      <c r="AJ293" s="47">
        <f t="shared" si="202"/>
        <v>148.51666666666668</v>
      </c>
      <c r="AK293" s="45">
        <f>('[2]Renewable Diesel'!J302*'[2]RD Feedstock Breakdown'!AK$3*'[2]Feedstock Conversion Rates'!B$4)/12</f>
        <v>95.8125</v>
      </c>
      <c r="AL293" s="47">
        <f t="shared" si="205"/>
        <v>95.8125</v>
      </c>
      <c r="AM293" s="45">
        <f>('[2]Renewable Diesel'!K302*'[2]RD Feedstock Breakdown'!AM$3*'[2]Feedstock Conversion Rates'!B$4)/12+5+15-10</f>
        <v>68.59375</v>
      </c>
      <c r="AN293" s="45">
        <f>('[2]Renewable Diesel'!K302*'[2]RD Feedstock Breakdown'!AN$3*'[2]Feedstock Conversion Rates'!B$6)/12-5-15+10</f>
        <v>14.427083333333332</v>
      </c>
      <c r="AO293" s="47">
        <f t="shared" si="223"/>
        <v>83.020833333333329</v>
      </c>
      <c r="AP293" s="45">
        <f>('[2]Renewable Diesel'!L302*'[2]RD Feedstock Breakdown'!AP$3*'[2]Feedstock Conversion Rates'!B$4)/12+15-10</f>
        <v>63.59375</v>
      </c>
      <c r="AQ293" s="45">
        <f>('[2]Renewable Diesel'!L302*'[2]RD Feedstock Breakdown'!AQ$3*'[2]Feedstock Conversion Rates'!B$6)/12-15+10</f>
        <v>19.427083333333332</v>
      </c>
      <c r="AR293" s="47">
        <f t="shared" si="207"/>
        <v>83.020833333333329</v>
      </c>
      <c r="AS293" s="45">
        <f>('[2]Renewable Diesel'!M302*'[2]RD Feedstock Breakdown'!AS$3*'[2]Feedstock Conversion Rates'!B$4)/12</f>
        <v>456.25</v>
      </c>
      <c r="AT293" s="45">
        <f>('[2]Renewable Diesel'!M302*'[2]RD Feedstock Breakdown'!AT$3*'[2]Feedstock Conversion Rates'!B$5)/12</f>
        <v>0</v>
      </c>
      <c r="AU293" s="47">
        <f t="shared" si="244"/>
        <v>456.25</v>
      </c>
      <c r="AV293" s="45">
        <f>'[2]Renewable Diesel'!N302*'[2]RD Feedstock Breakdown'!$AV$3*'[2]Feedstock Conversion Rates'!$B$4/12-15-10+25+25-22+25</f>
        <v>106.74999999999999</v>
      </c>
      <c r="AW293" s="45">
        <f>'[2]Renewable Diesel'!N302*'[2]RD Feedstock Breakdown'!$AW$3*'[2]Feedstock Conversion Rates'!$B$7/12+15+10-25-25+22-25</f>
        <v>13.400000000000006</v>
      </c>
      <c r="AX293" s="47">
        <f t="shared" si="193"/>
        <v>120.14999999999999</v>
      </c>
      <c r="AY293" s="45">
        <f>('[2]Renewable Diesel'!O302*'[2]RD Feedstock Breakdown'!AY$3*'[2]Feedstock Conversion Rates'!B$4)/12-90</f>
        <v>120.9375</v>
      </c>
      <c r="AZ293" s="45">
        <f>('[2]Renewable Diesel'!O302*'[2]RD Feedstock Breakdown'!AZ$3*'[2]Feedstock Conversion Rates'!B$3)/12+90</f>
        <v>115.03125</v>
      </c>
      <c r="BA293" s="47">
        <f t="shared" si="255"/>
        <v>235.96875</v>
      </c>
      <c r="BB293" s="45">
        <f>('[2]Renewable Diesel'!Q302*'[2]RD Feedstock Breakdown'!BB$3*'[2]Feedstock Conversion Rates'!B$4)/12</f>
        <v>11.156249999999998</v>
      </c>
      <c r="BC293" s="45">
        <f>('[2]Renewable Diesel'!Q302*'[2]RD Feedstock Breakdown'!BC$3*'[2]Feedstock Conversion Rates'!B$3)/12</f>
        <v>1.4017500000000001</v>
      </c>
      <c r="BD293" s="45">
        <f>('[2]Renewable Diesel'!Q302*'[2]RD Feedstock Breakdown'!BD$3*'[2]Feedstock Conversion Rates'!B$6)/12</f>
        <v>0.8207500000000002</v>
      </c>
      <c r="BE293" s="47">
        <f t="shared" si="231"/>
        <v>13.378749999999998</v>
      </c>
      <c r="BF293" s="45">
        <f>('[2]Renewable Diesel'!R302*'[2]RD Feedstock Breakdown'!BF$3*'[2]Feedstock Conversion Rates'!B$4)/12</f>
        <v>62.5</v>
      </c>
      <c r="BG293" s="47">
        <f t="shared" si="215"/>
        <v>62.5</v>
      </c>
      <c r="BH293" s="45">
        <f>('[2]Renewable Diesel'!T302*'[2]RD Feedstock Breakdown'!BH$3*'[2]Feedstock Conversion Rates'!B$7)/12</f>
        <v>27.599999999999998</v>
      </c>
      <c r="BI293" s="47">
        <f t="shared" si="195"/>
        <v>27.599999999999998</v>
      </c>
      <c r="BJ293" s="45">
        <f>('[2]Renewable Diesel'!W302*'[2]RD Feedstock Breakdown'!BJ$3*'[2]Feedstock Conversion Rates'!B$4)/12</f>
        <v>7.5</v>
      </c>
      <c r="BK293" s="45">
        <f>('[2]Renewable Diesel'!W302*'[2]RD Feedstock Breakdown'!BK$3*'[2]Feedstock Conversion Rates'!B$3)/12</f>
        <v>1.335</v>
      </c>
      <c r="BL293" s="45">
        <f>('[2]Renewable Diesel'!W302*'[2]RD Feedstock Breakdown'!BL$3*'[2]Feedstock Conversion Rates'!B$6)/12</f>
        <v>3.1266666666666669</v>
      </c>
      <c r="BM293" s="45">
        <f>('[2]Renewable Diesel'!W302*'[2]RD Feedstock Breakdown'!BM$3*'[2]Feedstock Conversion Rates'!B$7)/12</f>
        <v>1.5333333333333332</v>
      </c>
      <c r="BN293" s="47">
        <f t="shared" si="248"/>
        <v>13.495000000000001</v>
      </c>
      <c r="BO293" s="45">
        <f>('[2]Renewable Diesel'!P302*'[2]Feedstock Conversion Rates'!B$4)/12</f>
        <v>31.25</v>
      </c>
      <c r="BP293" s="47">
        <f t="shared" si="237"/>
        <v>31.25</v>
      </c>
      <c r="BQ293" s="45">
        <f>('[2]Renewable Diesel'!$S302*'[2]RD Feedstock Breakdown'!BQ$3*'[2]Feedstock Conversion Rates'!B$4)/12+10+15-15</f>
        <v>38.125</v>
      </c>
      <c r="BR293" s="45">
        <f>('[2]Renewable Diesel'!$S302*'[2]RD Feedstock Breakdown'!BR$3*'[2]Feedstock Conversion Rates'!B$7)/12-10-15+15</f>
        <v>1.5</v>
      </c>
      <c r="BS293" s="47">
        <f t="shared" ref="BS293:BS356" si="260">SUM(BQ293:BR293)</f>
        <v>39.625</v>
      </c>
      <c r="BT293" s="47"/>
      <c r="BU293" s="45">
        <f>('[2]Renewable Diesel'!Y302*'[2]Feedstock Conversion Rates'!B$7)/12</f>
        <v>2.6833333333333331</v>
      </c>
      <c r="BV293" s="47">
        <f t="shared" si="233"/>
        <v>2.6833333333333331</v>
      </c>
      <c r="BW293" s="45">
        <f>('[2]Renewable Diesel'!$Z302*'[2]RD Feedstock Breakdown'!BW$3*'[2]Feedstock Conversion Rates'!$B$4)/12</f>
        <v>71.875</v>
      </c>
      <c r="BX293" s="45">
        <f>('[2]Renewable Diesel'!$Z302*'[2]RD Feedstock Breakdown'!BX$3*'[2]Feedstock Conversion Rates'!$B$5)/12</f>
        <v>7.2354166666666666</v>
      </c>
      <c r="BY293" s="45">
        <f>('[2]Renewable Diesel'!$Z302*'[2]RD Feedstock Breakdown'!BY$3*'[2]Feedstock Conversion Rates'!$B$7)/12</f>
        <v>61.716666666666661</v>
      </c>
      <c r="BZ293" s="45">
        <f>('[2]Renewable Diesel'!$Z302*'[2]RD Feedstock Breakdown'!BZ$3*'[2]Feedstock Conversion Rates'!$B$3)/12</f>
        <v>15.352499999999999</v>
      </c>
      <c r="CA293" s="47">
        <f t="shared" si="181"/>
        <v>156.17958333333331</v>
      </c>
      <c r="CB293" s="45">
        <f>('[2]Renewable Diesel'!AA302*'[2]Feedstock Conversion Rates'!B$4)/12</f>
        <v>191.25</v>
      </c>
      <c r="CC293" s="47">
        <f t="shared" si="250"/>
        <v>191.25</v>
      </c>
      <c r="CD293" s="45">
        <f>('[2]Renewable Diesel'!$AB302*'[2]RD Feedstock Breakdown'!CD$3*'[2]Feedstock Conversion Rates'!$B$6)/12-15-5</f>
        <v>12.830000000000005</v>
      </c>
      <c r="CE293" s="45">
        <f>('[2]Renewable Diesel'!$AB302*'[2]RD Feedstock Breakdown'!CE$3*'[2]Feedstock Conversion Rates'!$B$4)/12+15+5</f>
        <v>31.25</v>
      </c>
      <c r="CF293" s="47">
        <f t="shared" si="247"/>
        <v>44.080000000000005</v>
      </c>
      <c r="CG293" s="45">
        <f>('[2]Renewable Diesel'!AD302*'[2]Feedstock Conversion Rates'!B$4)/12</f>
        <v>112.5</v>
      </c>
      <c r="CH293" s="47">
        <f t="shared" si="230"/>
        <v>112.5</v>
      </c>
      <c r="CI293" s="45">
        <f>('[2]Renewable Diesel'!$AE302*'[2]RD Feedstock Breakdown'!CI$3*'[2]Feedstock Conversion Rates'!$B$5)/12</f>
        <v>0.34604166666666664</v>
      </c>
      <c r="CJ293" s="45">
        <f>('[2]Renewable Diesel'!$AE302*'[2]RD Feedstock Breakdown'!CJ$3*'[2]Feedstock Conversion Rates'!$B$4)/12</f>
        <v>0.34375</v>
      </c>
      <c r="CK293" s="47">
        <f t="shared" si="238"/>
        <v>0.68979166666666658</v>
      </c>
      <c r="CL293" s="45">
        <f>(((CL$3*'[2]Renewable Diesel'!$AF302)*'[2]Feedstock Conversion Rates'!$B$3)/12)</f>
        <v>91.78125</v>
      </c>
      <c r="CM293" s="45">
        <f>(((CM$3*'[2]Renewable Diesel'!$AF302)*'[2]Feedstock Conversion Rates'!$B$6)/12)</f>
        <v>53.739583333333336</v>
      </c>
      <c r="CN293" s="45">
        <f>(((CN$3*'[2]Renewable Diesel'!$AF302)*'[2]Feedstock Conversion Rates'!$B$4)/12)</f>
        <v>42.96875</v>
      </c>
      <c r="CO293" s="47">
        <f t="shared" si="232"/>
        <v>188.48958333333334</v>
      </c>
      <c r="CP293" s="45">
        <f>('[2]Renewable Diesel'!$AG302*'[2]RD Feedstock Breakdown'!CP$3*'[2]Feedstock Conversion Rates'!$B$3)/12</f>
        <v>6.0075000000000003</v>
      </c>
      <c r="CQ293" s="45">
        <f>('[2]Renewable Diesel'!$AG302*'[2]RD Feedstock Breakdown'!CQ$3*'[2]Feedstock Conversion Rates'!$B$6)/12</f>
        <v>3.5175000000000001</v>
      </c>
      <c r="CR293" s="45">
        <f>('[2]Renewable Diesel'!$AG302*'[2]RD Feedstock Breakdown'!CR$3*'[2]Feedstock Conversion Rates'!$B$4)/12</f>
        <v>2.8125</v>
      </c>
      <c r="CS293" s="47">
        <f t="shared" si="183"/>
        <v>12.3375</v>
      </c>
      <c r="CT293" s="45">
        <f>('[2]Renewable Diesel'!AI302*'[2]Feedstock Conversion Rates'!$B$4*'[2]RD Feedstock Breakdown'!$CT$3)/12</f>
        <v>29.375</v>
      </c>
      <c r="CU293" s="47">
        <f t="shared" si="234"/>
        <v>29.375</v>
      </c>
      <c r="CV293" s="45">
        <f>('[2]Renewable Diesel'!AN302*'[2]Feedstock Conversion Rates'!$B$3*'[2]RD Feedstock Breakdown'!$CV$3)/12</f>
        <v>0.50062499999999999</v>
      </c>
      <c r="CW293" s="47">
        <f t="shared" si="206"/>
        <v>0.50062499999999999</v>
      </c>
      <c r="CX293" s="45">
        <f>('[2]Renewable Diesel'!AO302*'[2]RD Feedstock Breakdown'!$CX$3*'[2]Feedstock Conversion Rates'!$B$3)/12</f>
        <v>6.3412499999999996</v>
      </c>
      <c r="CY293" s="45">
        <f>('[2]Renewable Diesel'!AO302*'[2]RD Feedstock Breakdown'!$CY$3*'[2]Feedstock Conversion Rates'!$B$6)/12</f>
        <v>7.4258333333333342</v>
      </c>
      <c r="CZ293" s="47">
        <f t="shared" si="188"/>
        <v>13.767083333333334</v>
      </c>
      <c r="DA293" s="45">
        <f>('[2]Renewable Diesel'!$AP302*'[2]RD Feedstock Breakdown'!DA$3*'[2]Feedstock Conversion Rates'!$B$3)/12</f>
        <v>6.3412499999999996</v>
      </c>
      <c r="DB293" s="45">
        <f>('[2]Renewable Diesel'!$AP302*'[2]RD Feedstock Breakdown'!DB$3*'[2]Feedstock Conversion Rates'!$B$8)/12</f>
        <v>7.421875</v>
      </c>
      <c r="DC293" s="47">
        <f t="shared" si="212"/>
        <v>13.763124999999999</v>
      </c>
      <c r="DD293" s="45">
        <f>('[2]Renewable Diesel'!AQ302*$DD$3*'[2]Feedstock Conversion Rates'!$B$14)/12</f>
        <v>3.1041666666666665</v>
      </c>
      <c r="DE293" s="47">
        <f t="shared" si="213"/>
        <v>3.1041666666666665</v>
      </c>
      <c r="DF293" s="45">
        <f>('[2]Renewable Diesel'!AR302*'[2]Feedstock Conversion Rates'!$B$4*$DF$3)/12</f>
        <v>75</v>
      </c>
      <c r="DG293" s="47">
        <f t="shared" si="189"/>
        <v>75</v>
      </c>
      <c r="DH293" s="45">
        <f>('[2]Renewable Diesel'!AS302*'[2]Feedstock Conversion Rates'!$B$4*$DH$3)/12</f>
        <v>75</v>
      </c>
      <c r="DI293" s="47">
        <f t="shared" si="194"/>
        <v>75</v>
      </c>
      <c r="DJ293" s="45">
        <f>('[2]Renewable Diesel'!AT302*'[2]Feedstock Conversion Rates'!$B$4*0.25)/12</f>
        <v>8.59375</v>
      </c>
      <c r="DK293" s="45">
        <f>('[2]Renewable Diesel'!$AT302*'[2]RD Feedstock Breakdown'!DK$3*'[2]Feedstock Conversion Rates'!$B$3)/12*0.5</f>
        <v>9.1781249999999996</v>
      </c>
      <c r="DL293" s="45">
        <f>('[2]Renewable Diesel'!$AT302*'[2]RD Feedstock Breakdown'!$DL$3*'[2]Feedstock Conversion Rates'!$B$6)/12</f>
        <v>10.747916666666669</v>
      </c>
      <c r="DM293" s="45">
        <f>('[2]Renewable Diesel'!$AT302*'[2]RD Feedstock Breakdown'!$DM$3*'[2]Feedstock Conversion Rates'!$B$8)/12</f>
        <v>10.7421875</v>
      </c>
      <c r="DN293" s="47">
        <f t="shared" si="249"/>
        <v>39.26197916666667</v>
      </c>
      <c r="DP293" s="45">
        <f t="shared" si="216"/>
        <v>48.220250000000007</v>
      </c>
      <c r="DQ293" s="45">
        <f t="shared" si="217"/>
        <v>459.11776750000001</v>
      </c>
      <c r="DR293" s="45">
        <f t="shared" si="224"/>
        <v>1983.453125</v>
      </c>
      <c r="DS293" s="45">
        <f t="shared" si="235"/>
        <v>228.90125</v>
      </c>
      <c r="DT293" s="45">
        <f t="shared" si="218"/>
        <v>228.03923333333341</v>
      </c>
      <c r="DU293" s="45">
        <f t="shared" si="219"/>
        <v>235.40610000000001</v>
      </c>
      <c r="DV293" s="45">
        <f t="shared" si="225"/>
        <v>69.75</v>
      </c>
      <c r="DW293" s="45">
        <f t="shared" si="220"/>
        <v>3</v>
      </c>
      <c r="DX293" s="47">
        <f t="shared" si="226"/>
        <v>3255.8877258333337</v>
      </c>
      <c r="DY293" s="50">
        <f t="shared" si="208"/>
        <v>-5.631051180898794E-13</v>
      </c>
      <c r="EA293" s="51">
        <f t="shared" si="204"/>
        <v>1.4810169778707033E-2</v>
      </c>
      <c r="EB293" s="51">
        <f t="shared" si="204"/>
        <v>0.14101154774386157</v>
      </c>
      <c r="EC293" s="51">
        <f t="shared" si="204"/>
        <v>0.60918965640694556</v>
      </c>
      <c r="ED293" s="51">
        <f t="shared" ref="ED293:EG356" si="261">DS293/$DX293</f>
        <v>7.0303790939662547E-2</v>
      </c>
      <c r="EE293" s="51">
        <f t="shared" si="261"/>
        <v>7.0039034676776982E-2</v>
      </c>
      <c r="EF293" s="51">
        <f t="shared" si="261"/>
        <v>7.2301663884846823E-2</v>
      </c>
      <c r="EG293" s="51">
        <f t="shared" si="261"/>
        <v>2.1422728875624148E-2</v>
      </c>
      <c r="EH293" s="52">
        <f t="shared" si="227"/>
        <v>9.2140769357523225E-4</v>
      </c>
      <c r="EI293" s="51">
        <f t="shared" si="191"/>
        <v>0.9990785923064246</v>
      </c>
      <c r="EK293" s="53">
        <f>(EA293*'[2]Renewable Diesel'!BF302*'[2]Feedstock Conversion Rates'!B$2)+FB293</f>
        <v>102.6144430841956</v>
      </c>
      <c r="EL293" s="53">
        <f>(EB293*'[2]Renewable Diesel'!BF302*'[2]Feedstock Conversion Rates'!B$3)+FC293</f>
        <v>920.69699376798133</v>
      </c>
      <c r="EM293" s="53">
        <f>(EC293*'[2]Renewable Diesel'!BF302*'[2]Feedstock Conversion Rates'!B$4)+FD293</f>
        <v>3724.2884803183865</v>
      </c>
      <c r="EN293" s="53">
        <f>(ED293*'[2]Renewable Diesel'!BF302*'[2]Feedstock Conversion Rates'!B$5)+FE293</f>
        <v>432.66844723753292</v>
      </c>
      <c r="EO293" s="53">
        <f>(EE293*'[2]Renewable Diesel'!BF302*'[2]Feedstock Conversion Rates'!B$6)+FF293</f>
        <v>535.51608458849034</v>
      </c>
      <c r="EP293" s="53">
        <f>(EF293*'[2]Renewable Diesel'!BF302*'[2]Feedstock Conversion Rates'!B$7)+FG293</f>
        <v>542.20766006257816</v>
      </c>
      <c r="EQ293" s="53">
        <f>(EG293*'[2]Renewable Diesel'!BF302*'[2]Feedstock Conversion Rates'!B$8)+FH293</f>
        <v>163.7101466049314</v>
      </c>
      <c r="ER293" s="53">
        <f>(EH293*'[2]Renewable Diesel'!BF302*'[2]Feedstock Conversion Rates'!B$9)+FI293</f>
        <v>6.9474126731268377</v>
      </c>
      <c r="ES293" s="53">
        <f t="shared" si="228"/>
        <v>6428.6496683372225</v>
      </c>
      <c r="ET293" s="36">
        <f>ES293/'[2]Renewable Diesel'!BF302</f>
        <v>7.8866075425771909</v>
      </c>
    </row>
    <row r="294" spans="1:150" x14ac:dyDescent="0.25">
      <c r="A294" s="39">
        <v>49369</v>
      </c>
      <c r="B294" s="45">
        <f t="shared" si="256"/>
        <v>125.75</v>
      </c>
      <c r="C294" s="45">
        <f t="shared" si="251"/>
        <v>49</v>
      </c>
      <c r="D294" s="45">
        <f t="shared" si="257"/>
        <v>2</v>
      </c>
      <c r="E294" s="45">
        <f>('[2]Renewable Diesel'!B303*E$3*'[2]Feedstock Conversion Rates'!$B$2)/12+26+13-100+27.5+39</f>
        <v>95.43</v>
      </c>
      <c r="F294" s="45">
        <f>('[2]Renewable Diesel'!B303*'[2]RD Feedstock Breakdown'!F$3*'[2]Feedstock Conversion Rates'!B$8)/12+77+23-10-12-115.75+24+8+1</f>
        <v>49.15625</v>
      </c>
      <c r="G294" s="45">
        <f>('[2]Renewable Diesel'!B303*'[2]RD Feedstock Breakdown'!G$3*'[2]Feedstock Conversion Rates'!B$7)/12+116.75-39-57.5-145-31.5+32+70-40+10-50-12.5</f>
        <v>29.407000000000039</v>
      </c>
      <c r="H294" s="45">
        <f>('[2]Renewable Diesel'!B303*'[2]RD Feedstock Breakdown'!H$3*'[2]Feedstock Conversion Rates'!B$3)/12+67+10+12+3-235+20+47-20+65</f>
        <v>145.40022499999998</v>
      </c>
      <c r="I294" s="47">
        <f t="shared" si="245"/>
        <v>496.14347500000002</v>
      </c>
      <c r="J294" s="45">
        <f t="shared" si="258"/>
        <v>59</v>
      </c>
      <c r="K294" s="45"/>
      <c r="L294" s="45">
        <v>1</v>
      </c>
      <c r="M294" s="45">
        <f>('[2]Renewable Diesel'!C303*'[2]RD Feedstock Breakdown'!M$3*'[2]Feedstock Conversion Rates'!B$2)/12-55</f>
        <v>-47.20975</v>
      </c>
      <c r="N294" s="45">
        <f>('[2]Renewable Diesel'!C303*'[2]RD Feedstock Breakdown'!N$3*'[2]Feedstock Conversion Rates'!B$8)/12-10</f>
        <v>-6.328125</v>
      </c>
      <c r="O294" s="45">
        <f>('[2]Renewable Diesel'!C303*'[2]RD Feedstock Breakdown'!O$3*'[2]Feedstock Conversion Rates'!B$7)/12-45</f>
        <v>-33.000900000000001</v>
      </c>
      <c r="P294" s="45">
        <f>('[2]Renewable Diesel'!C303*'[2]RD Feedstock Breakdown'!P$3*'[2]Feedstock Conversion Rates'!B$3)/12+15+35</f>
        <v>60.447042500000002</v>
      </c>
      <c r="Q294" s="47">
        <f t="shared" si="252"/>
        <v>33.908267500000001</v>
      </c>
      <c r="R294" s="45">
        <f>('[2]Renewable Diesel'!D303*'[2]RD Feedstock Breakdown'!R$3*'[2]Feedstock Conversion Rates'!B$7)/12</f>
        <v>2.2999999999999998</v>
      </c>
      <c r="S294" s="47">
        <f t="shared" si="203"/>
        <v>2.2999999999999998</v>
      </c>
      <c r="T294" s="45">
        <f t="shared" si="253"/>
        <v>0.82499999999999929</v>
      </c>
      <c r="U294" s="45"/>
      <c r="V294" s="45">
        <f>('[2]Renewable Diesel'!E303*'[2]RD Feedstock Breakdown'!V$3*'[2]Feedstock Conversion Rates'!B$6)/12-20+25</f>
        <v>49.250150000000012</v>
      </c>
      <c r="W294" s="45">
        <f>('[2]Renewable Diesel'!E303*'[2]RD Feedstock Breakdown'!W$3*'[2]Feedstock Conversion Rates'!B$8)/12-6</f>
        <v>16.1796875</v>
      </c>
      <c r="X294" s="47">
        <f t="shared" si="229"/>
        <v>66.254837500000008</v>
      </c>
      <c r="Y294" s="45">
        <f t="shared" si="254"/>
        <v>98</v>
      </c>
      <c r="Z294" s="45">
        <f>('[2]Renewable Diesel'!F303*'[2]RD Feedstock Breakdown'!Z$3*'[2]Feedstock Conversion Rates'!B$6)/12-142+15+5</f>
        <v>37.460000000000008</v>
      </c>
      <c r="AA294" s="45">
        <f>('[2]Renewable Diesel'!F303*'[2]RD Feedstock Breakdown'!AA$3*'[2]Feedstock Conversion Rates'!B$7)/12+24</f>
        <v>128.26666666666665</v>
      </c>
      <c r="AB294" s="47">
        <f t="shared" si="190"/>
        <v>263.72666666666669</v>
      </c>
      <c r="AC294" s="45">
        <f>('[2]Renewable Diesel'!G303*'[2]RD Feedstock Breakdown'!AC$3*'[2]Feedstock Conversion Rates'!B$5)/12</f>
        <v>11.796875</v>
      </c>
      <c r="AD294" s="45">
        <f>('[2]Renewable Diesel'!G303*'[2]RD Feedstock Breakdown'!AD$3*'[2]Feedstock Conversion Rates'!B$4)/12</f>
        <v>5.859375</v>
      </c>
      <c r="AE294" s="45">
        <f>('[2]Renewable Diesel'!G303*'[2]RD Feedstock Breakdown'!AE$3*'[2]Feedstock Conversion Rates'!B$6)/12</f>
        <v>7.3281250000000009</v>
      </c>
      <c r="AF294" s="47">
        <f t="shared" si="236"/>
        <v>24.984375</v>
      </c>
      <c r="AG294" s="45">
        <f t="shared" si="259"/>
        <v>148</v>
      </c>
      <c r="AH294" s="45"/>
      <c r="AI294" s="45">
        <f>('[2]Renewable Diesel'!H303*'[2]RD Feedstock Breakdown'!AI$3*'[2]Feedstock Conversion Rates'!B$6)/12-130-20+51-49</f>
        <v>0.51666666666667993</v>
      </c>
      <c r="AJ294" s="47">
        <f t="shared" si="202"/>
        <v>148.51666666666668</v>
      </c>
      <c r="AK294" s="45">
        <f>('[2]Renewable Diesel'!J303*'[2]RD Feedstock Breakdown'!AK$3*'[2]Feedstock Conversion Rates'!B$4)/12</f>
        <v>95.8125</v>
      </c>
      <c r="AL294" s="47">
        <f t="shared" si="205"/>
        <v>95.8125</v>
      </c>
      <c r="AM294" s="45">
        <f>('[2]Renewable Diesel'!K303*'[2]RD Feedstock Breakdown'!AM$3*'[2]Feedstock Conversion Rates'!B$4)/12+5+15-10</f>
        <v>68.59375</v>
      </c>
      <c r="AN294" s="45">
        <f>('[2]Renewable Diesel'!K303*'[2]RD Feedstock Breakdown'!AN$3*'[2]Feedstock Conversion Rates'!B$6)/12-5-15+10</f>
        <v>14.427083333333332</v>
      </c>
      <c r="AO294" s="47">
        <f t="shared" si="223"/>
        <v>83.020833333333329</v>
      </c>
      <c r="AP294" s="45">
        <f>('[2]Renewable Diesel'!L303*'[2]RD Feedstock Breakdown'!AP$3*'[2]Feedstock Conversion Rates'!B$4)/12+15-10</f>
        <v>63.59375</v>
      </c>
      <c r="AQ294" s="45">
        <f>('[2]Renewable Diesel'!L303*'[2]RD Feedstock Breakdown'!AQ$3*'[2]Feedstock Conversion Rates'!B$6)/12-15+10</f>
        <v>19.427083333333332</v>
      </c>
      <c r="AR294" s="47">
        <f t="shared" si="207"/>
        <v>83.020833333333329</v>
      </c>
      <c r="AS294" s="45">
        <f>('[2]Renewable Diesel'!M303*'[2]RD Feedstock Breakdown'!AS$3*'[2]Feedstock Conversion Rates'!B$4)/12</f>
        <v>456.25</v>
      </c>
      <c r="AT294" s="45">
        <f>('[2]Renewable Diesel'!M303*'[2]RD Feedstock Breakdown'!AT$3*'[2]Feedstock Conversion Rates'!B$5)/12</f>
        <v>0</v>
      </c>
      <c r="AU294" s="47">
        <f t="shared" si="244"/>
        <v>456.25</v>
      </c>
      <c r="AV294" s="45">
        <f>'[2]Renewable Diesel'!N303*'[2]RD Feedstock Breakdown'!$AV$3*'[2]Feedstock Conversion Rates'!$B$4/12-15-10+25+25-22+25</f>
        <v>106.74999999999999</v>
      </c>
      <c r="AW294" s="45">
        <f>'[2]Renewable Diesel'!N303*'[2]RD Feedstock Breakdown'!$AW$3*'[2]Feedstock Conversion Rates'!$B$7/12+15+10-25-25+22-25</f>
        <v>13.400000000000006</v>
      </c>
      <c r="AX294" s="47">
        <f t="shared" si="193"/>
        <v>120.14999999999999</v>
      </c>
      <c r="AY294" s="45">
        <f>('[2]Renewable Diesel'!O303*'[2]RD Feedstock Breakdown'!AY$3*'[2]Feedstock Conversion Rates'!B$4)/12-90</f>
        <v>120.9375</v>
      </c>
      <c r="AZ294" s="45">
        <f>('[2]Renewable Diesel'!O303*'[2]RD Feedstock Breakdown'!AZ$3*'[2]Feedstock Conversion Rates'!B$3)/12+90</f>
        <v>115.03125</v>
      </c>
      <c r="BA294" s="47">
        <f t="shared" si="255"/>
        <v>235.96875</v>
      </c>
      <c r="BB294" s="45">
        <f>('[2]Renewable Diesel'!Q303*'[2]RD Feedstock Breakdown'!BB$3*'[2]Feedstock Conversion Rates'!B$4)/12</f>
        <v>11.156249999999998</v>
      </c>
      <c r="BC294" s="45">
        <f>('[2]Renewable Diesel'!Q303*'[2]RD Feedstock Breakdown'!BC$3*'[2]Feedstock Conversion Rates'!B$3)/12</f>
        <v>1.4017500000000001</v>
      </c>
      <c r="BD294" s="45">
        <f>('[2]Renewable Diesel'!Q303*'[2]RD Feedstock Breakdown'!BD$3*'[2]Feedstock Conversion Rates'!B$6)/12</f>
        <v>0.8207500000000002</v>
      </c>
      <c r="BE294" s="47">
        <f t="shared" si="231"/>
        <v>13.378749999999998</v>
      </c>
      <c r="BF294" s="45">
        <f>('[2]Renewable Diesel'!R303*'[2]RD Feedstock Breakdown'!BF$3*'[2]Feedstock Conversion Rates'!B$4)/12</f>
        <v>62.5</v>
      </c>
      <c r="BG294" s="47">
        <f t="shared" si="215"/>
        <v>62.5</v>
      </c>
      <c r="BH294" s="45">
        <f>('[2]Renewable Diesel'!T303*'[2]RD Feedstock Breakdown'!BH$3*'[2]Feedstock Conversion Rates'!B$7)/12</f>
        <v>27.599999999999998</v>
      </c>
      <c r="BI294" s="47">
        <f t="shared" si="195"/>
        <v>27.599999999999998</v>
      </c>
      <c r="BJ294" s="45">
        <f>('[2]Renewable Diesel'!W303*'[2]RD Feedstock Breakdown'!BJ$3*'[2]Feedstock Conversion Rates'!B$4)/12</f>
        <v>7.5</v>
      </c>
      <c r="BK294" s="45">
        <f>('[2]Renewable Diesel'!W303*'[2]RD Feedstock Breakdown'!BK$3*'[2]Feedstock Conversion Rates'!B$3)/12</f>
        <v>1.335</v>
      </c>
      <c r="BL294" s="45">
        <f>('[2]Renewable Diesel'!W303*'[2]RD Feedstock Breakdown'!BL$3*'[2]Feedstock Conversion Rates'!B$6)/12</f>
        <v>3.1266666666666669</v>
      </c>
      <c r="BM294" s="45">
        <f>('[2]Renewable Diesel'!W303*'[2]RD Feedstock Breakdown'!BM$3*'[2]Feedstock Conversion Rates'!B$7)/12</f>
        <v>1.5333333333333332</v>
      </c>
      <c r="BN294" s="47">
        <f t="shared" si="248"/>
        <v>13.495000000000001</v>
      </c>
      <c r="BO294" s="45">
        <f>('[2]Renewable Diesel'!P303*'[2]Feedstock Conversion Rates'!B$4)/12</f>
        <v>31.25</v>
      </c>
      <c r="BP294" s="47">
        <f t="shared" si="237"/>
        <v>31.25</v>
      </c>
      <c r="BQ294" s="45">
        <f>('[2]Renewable Diesel'!$S303*'[2]RD Feedstock Breakdown'!BQ$3*'[2]Feedstock Conversion Rates'!B$4)/12+10+15-15</f>
        <v>38.125</v>
      </c>
      <c r="BR294" s="45">
        <f>('[2]Renewable Diesel'!$S303*'[2]RD Feedstock Breakdown'!BR$3*'[2]Feedstock Conversion Rates'!B$7)/12-10-15+15</f>
        <v>1.5</v>
      </c>
      <c r="BS294" s="47">
        <f t="shared" si="260"/>
        <v>39.625</v>
      </c>
      <c r="BT294" s="47"/>
      <c r="BU294" s="45">
        <f>('[2]Renewable Diesel'!Y303*'[2]Feedstock Conversion Rates'!B$7)/12</f>
        <v>2.6833333333333331</v>
      </c>
      <c r="BV294" s="47">
        <f t="shared" si="233"/>
        <v>2.6833333333333331</v>
      </c>
      <c r="BW294" s="45">
        <f>('[2]Renewable Diesel'!$Z303*'[2]RD Feedstock Breakdown'!BW$3*'[2]Feedstock Conversion Rates'!$B$4)/12</f>
        <v>71.875</v>
      </c>
      <c r="BX294" s="45">
        <f>('[2]Renewable Diesel'!$Z303*'[2]RD Feedstock Breakdown'!BX$3*'[2]Feedstock Conversion Rates'!$B$5)/12</f>
        <v>7.2354166666666666</v>
      </c>
      <c r="BY294" s="45">
        <f>('[2]Renewable Diesel'!$Z303*'[2]RD Feedstock Breakdown'!BY$3*'[2]Feedstock Conversion Rates'!$B$7)/12</f>
        <v>61.716666666666661</v>
      </c>
      <c r="BZ294" s="45">
        <f>('[2]Renewable Diesel'!$Z303*'[2]RD Feedstock Breakdown'!BZ$3*'[2]Feedstock Conversion Rates'!$B$3)/12</f>
        <v>15.352499999999999</v>
      </c>
      <c r="CA294" s="47">
        <f t="shared" ref="CA294:CA357" si="262">SUM(BW294:BZ294)</f>
        <v>156.17958333333331</v>
      </c>
      <c r="CB294" s="45">
        <f>('[2]Renewable Diesel'!AA303*'[2]Feedstock Conversion Rates'!B$4)/12</f>
        <v>191.25</v>
      </c>
      <c r="CC294" s="47">
        <f t="shared" si="250"/>
        <v>191.25</v>
      </c>
      <c r="CD294" s="45">
        <f>('[2]Renewable Diesel'!$AB303*'[2]RD Feedstock Breakdown'!CD$3*'[2]Feedstock Conversion Rates'!$B$6)/12-15-5</f>
        <v>12.830000000000005</v>
      </c>
      <c r="CE294" s="45">
        <f>('[2]Renewable Diesel'!$AB303*'[2]RD Feedstock Breakdown'!CE$3*'[2]Feedstock Conversion Rates'!$B$4)/12+15+5</f>
        <v>31.25</v>
      </c>
      <c r="CF294" s="47">
        <f t="shared" si="247"/>
        <v>44.080000000000005</v>
      </c>
      <c r="CG294" s="45">
        <f>('[2]Renewable Diesel'!AD303*'[2]Feedstock Conversion Rates'!B$4)/12</f>
        <v>112.5</v>
      </c>
      <c r="CH294" s="47">
        <f t="shared" si="230"/>
        <v>112.5</v>
      </c>
      <c r="CI294" s="45">
        <f>('[2]Renewable Diesel'!$AE303*'[2]RD Feedstock Breakdown'!CI$3*'[2]Feedstock Conversion Rates'!$B$5)/12</f>
        <v>0.34604166666666664</v>
      </c>
      <c r="CJ294" s="45">
        <f>('[2]Renewable Diesel'!$AE303*'[2]RD Feedstock Breakdown'!CJ$3*'[2]Feedstock Conversion Rates'!$B$4)/12</f>
        <v>0.34375</v>
      </c>
      <c r="CK294" s="47">
        <f t="shared" si="238"/>
        <v>0.68979166666666658</v>
      </c>
      <c r="CL294" s="45">
        <f>(((CL$3*'[2]Renewable Diesel'!$AF303)*'[2]Feedstock Conversion Rates'!$B$3)/12)</f>
        <v>91.78125</v>
      </c>
      <c r="CM294" s="45">
        <f>(((CM$3*'[2]Renewable Diesel'!$AF303)*'[2]Feedstock Conversion Rates'!$B$6)/12)</f>
        <v>53.739583333333336</v>
      </c>
      <c r="CN294" s="45">
        <f>(((CN$3*'[2]Renewable Diesel'!$AF303)*'[2]Feedstock Conversion Rates'!$B$4)/12)</f>
        <v>42.96875</v>
      </c>
      <c r="CO294" s="47">
        <f t="shared" si="232"/>
        <v>188.48958333333334</v>
      </c>
      <c r="CP294" s="45">
        <f>('[2]Renewable Diesel'!$AG303*'[2]RD Feedstock Breakdown'!CP$3*'[2]Feedstock Conversion Rates'!$B$3)/12</f>
        <v>6.0075000000000003</v>
      </c>
      <c r="CQ294" s="45">
        <f>('[2]Renewable Diesel'!$AG303*'[2]RD Feedstock Breakdown'!CQ$3*'[2]Feedstock Conversion Rates'!$B$6)/12</f>
        <v>3.5175000000000001</v>
      </c>
      <c r="CR294" s="45">
        <f>('[2]Renewable Diesel'!$AG303*'[2]RD Feedstock Breakdown'!CR$3*'[2]Feedstock Conversion Rates'!$B$4)/12</f>
        <v>2.8125</v>
      </c>
      <c r="CS294" s="47">
        <f t="shared" si="183"/>
        <v>12.3375</v>
      </c>
      <c r="CT294" s="45">
        <f>('[2]Renewable Diesel'!AI303*'[2]Feedstock Conversion Rates'!$B$4*'[2]RD Feedstock Breakdown'!$CT$3)/12</f>
        <v>29.375</v>
      </c>
      <c r="CU294" s="47">
        <f t="shared" si="234"/>
        <v>29.375</v>
      </c>
      <c r="CV294" s="45">
        <f>('[2]Renewable Diesel'!AN303*'[2]Feedstock Conversion Rates'!$B$3*'[2]RD Feedstock Breakdown'!$CV$3)/12</f>
        <v>0.50062499999999999</v>
      </c>
      <c r="CW294" s="47">
        <f t="shared" si="206"/>
        <v>0.50062499999999999</v>
      </c>
      <c r="CX294" s="45">
        <f>('[2]Renewable Diesel'!AO303*'[2]RD Feedstock Breakdown'!$CX$3*'[2]Feedstock Conversion Rates'!$B$3)/12</f>
        <v>6.3412499999999996</v>
      </c>
      <c r="CY294" s="45">
        <f>('[2]Renewable Diesel'!AO303*'[2]RD Feedstock Breakdown'!$CY$3*'[2]Feedstock Conversion Rates'!$B$6)/12</f>
        <v>7.4258333333333342</v>
      </c>
      <c r="CZ294" s="47">
        <f t="shared" si="188"/>
        <v>13.767083333333334</v>
      </c>
      <c r="DA294" s="45">
        <f>('[2]Renewable Diesel'!$AP303*'[2]RD Feedstock Breakdown'!DA$3*'[2]Feedstock Conversion Rates'!$B$3)/12</f>
        <v>6.3412499999999996</v>
      </c>
      <c r="DB294" s="45">
        <f>('[2]Renewable Diesel'!$AP303*'[2]RD Feedstock Breakdown'!DB$3*'[2]Feedstock Conversion Rates'!$B$8)/12</f>
        <v>7.421875</v>
      </c>
      <c r="DC294" s="47">
        <f t="shared" si="212"/>
        <v>13.763124999999999</v>
      </c>
      <c r="DD294" s="45">
        <f>('[2]Renewable Diesel'!AQ303*$DD$3*'[2]Feedstock Conversion Rates'!$B$14)/12</f>
        <v>3.1041666666666665</v>
      </c>
      <c r="DE294" s="47">
        <f t="shared" si="213"/>
        <v>3.1041666666666665</v>
      </c>
      <c r="DF294" s="45">
        <f>('[2]Renewable Diesel'!AR303*'[2]Feedstock Conversion Rates'!$B$4*$DF$3)/12</f>
        <v>75</v>
      </c>
      <c r="DG294" s="47">
        <f t="shared" si="189"/>
        <v>75</v>
      </c>
      <c r="DH294" s="45">
        <f>('[2]Renewable Diesel'!AS303*'[2]Feedstock Conversion Rates'!$B$4*$DH$3)/12</f>
        <v>75</v>
      </c>
      <c r="DI294" s="47">
        <f t="shared" si="194"/>
        <v>75</v>
      </c>
      <c r="DJ294" s="45">
        <f>('[2]Renewable Diesel'!AT303*'[2]Feedstock Conversion Rates'!$B$4*0.25)/12</f>
        <v>8.59375</v>
      </c>
      <c r="DK294" s="45">
        <f>('[2]Renewable Diesel'!$AT303*'[2]RD Feedstock Breakdown'!DK$3*'[2]Feedstock Conversion Rates'!$B$3)/12*0.5</f>
        <v>9.1781249999999996</v>
      </c>
      <c r="DL294" s="45">
        <f>('[2]Renewable Diesel'!$AT303*'[2]RD Feedstock Breakdown'!$DL$3*'[2]Feedstock Conversion Rates'!$B$6)/12</f>
        <v>10.747916666666669</v>
      </c>
      <c r="DM294" s="45">
        <f>('[2]Renewable Diesel'!$AT303*'[2]RD Feedstock Breakdown'!$DM$3*'[2]Feedstock Conversion Rates'!$B$8)/12</f>
        <v>10.7421875</v>
      </c>
      <c r="DN294" s="47">
        <f t="shared" si="249"/>
        <v>39.26197916666667</v>
      </c>
      <c r="DP294" s="45">
        <f t="shared" si="216"/>
        <v>48.220250000000007</v>
      </c>
      <c r="DQ294" s="45">
        <f t="shared" si="217"/>
        <v>459.11776750000001</v>
      </c>
      <c r="DR294" s="45">
        <f t="shared" si="224"/>
        <v>1983.453125</v>
      </c>
      <c r="DS294" s="45">
        <f t="shared" si="235"/>
        <v>228.90125</v>
      </c>
      <c r="DT294" s="45">
        <f t="shared" si="218"/>
        <v>228.03923333333341</v>
      </c>
      <c r="DU294" s="45">
        <f t="shared" si="219"/>
        <v>235.40610000000001</v>
      </c>
      <c r="DV294" s="45">
        <f t="shared" si="225"/>
        <v>69.75</v>
      </c>
      <c r="DW294" s="45">
        <f t="shared" si="220"/>
        <v>3</v>
      </c>
      <c r="DX294" s="47">
        <f t="shared" si="226"/>
        <v>3255.8877258333337</v>
      </c>
      <c r="DY294" s="50">
        <f t="shared" si="208"/>
        <v>-5.631051180898794E-13</v>
      </c>
      <c r="EA294" s="51">
        <f t="shared" ref="EA294:EF357" si="263">DP294/$DX294</f>
        <v>1.4810169778707033E-2</v>
      </c>
      <c r="EB294" s="51">
        <f t="shared" si="263"/>
        <v>0.14101154774386157</v>
      </c>
      <c r="EC294" s="51">
        <f t="shared" si="263"/>
        <v>0.60918965640694556</v>
      </c>
      <c r="ED294" s="51">
        <f t="shared" si="261"/>
        <v>7.0303790939662547E-2</v>
      </c>
      <c r="EE294" s="51">
        <f t="shared" si="261"/>
        <v>7.0039034676776982E-2</v>
      </c>
      <c r="EF294" s="51">
        <f t="shared" si="261"/>
        <v>7.2301663884846823E-2</v>
      </c>
      <c r="EG294" s="51">
        <f t="shared" si="261"/>
        <v>2.1422728875624148E-2</v>
      </c>
      <c r="EH294" s="52">
        <f t="shared" si="227"/>
        <v>9.2140769357523225E-4</v>
      </c>
      <c r="EI294" s="51">
        <f t="shared" si="191"/>
        <v>0.9990785923064246</v>
      </c>
      <c r="EK294" s="53">
        <f>(EA294*'[2]Renewable Diesel'!BF303*'[2]Feedstock Conversion Rates'!B$2)+FB294</f>
        <v>64.563884977618144</v>
      </c>
      <c r="EL294" s="53">
        <f>(EB294*'[2]Renewable Diesel'!BF303*'[2]Feedstock Conversion Rates'!B$3)+FC294</f>
        <v>579.29247597339565</v>
      </c>
      <c r="EM294" s="53">
        <f>(EC294*'[2]Renewable Diesel'!BF303*'[2]Feedstock Conversion Rates'!B$4)+FD294</f>
        <v>2343.2815677755088</v>
      </c>
      <c r="EN294" s="53">
        <f>(ED294*'[2]Renewable Diesel'!BF303*'[2]Feedstock Conversion Rates'!B$5)+FE294</f>
        <v>272.2302535713041</v>
      </c>
      <c r="EO294" s="53">
        <f>(EE294*'[2]Renewable Diesel'!BF303*'[2]Feedstock Conversion Rates'!B$6)+FF294</f>
        <v>336.94086183040315</v>
      </c>
      <c r="EP294" s="53">
        <f>(EF294*'[2]Renewable Diesel'!BF303*'[2]Feedstock Conversion Rates'!B$7)+FG294</f>
        <v>341.15112791227989</v>
      </c>
      <c r="EQ294" s="53">
        <f>(EG294*'[2]Renewable Diesel'!BF303*'[2]Feedstock Conversion Rates'!B$8)+FH294</f>
        <v>103.00463324053962</v>
      </c>
      <c r="ER294" s="53">
        <f>(EH294*'[2]Renewable Diesel'!BF303*'[2]Feedstock Conversion Rates'!B$9)+FI294</f>
        <v>4.3712360486307853</v>
      </c>
      <c r="ES294" s="53">
        <f t="shared" si="228"/>
        <v>4044.83604132968</v>
      </c>
      <c r="ET294" s="36">
        <f>ES294/'[2]Renewable Diesel'!BF303</f>
        <v>7.8866075425771909</v>
      </c>
    </row>
    <row r="295" spans="1:150" x14ac:dyDescent="0.25">
      <c r="A295" s="39">
        <v>49400</v>
      </c>
      <c r="B295" s="45">
        <f t="shared" si="256"/>
        <v>125.75</v>
      </c>
      <c r="C295" s="45">
        <f t="shared" si="251"/>
        <v>49</v>
      </c>
      <c r="D295" s="45">
        <f t="shared" si="257"/>
        <v>2</v>
      </c>
      <c r="E295" s="45">
        <f>('[2]Renewable Diesel'!B304*E$3*'[2]Feedstock Conversion Rates'!$B$2)/12+26+13-100+27.5+39</f>
        <v>95.43</v>
      </c>
      <c r="F295" s="45">
        <f>('[2]Renewable Diesel'!B304*'[2]RD Feedstock Breakdown'!F$3*'[2]Feedstock Conversion Rates'!B$8)/12+77+23-10-12-115.75+24+8+1</f>
        <v>49.15625</v>
      </c>
      <c r="G295" s="45">
        <f>('[2]Renewable Diesel'!B304*'[2]RD Feedstock Breakdown'!G$3*'[2]Feedstock Conversion Rates'!B$7)/12+116.75-39-57.5-145-31.5+32+70-40+10-50-12.5</f>
        <v>29.407000000000039</v>
      </c>
      <c r="H295" s="45">
        <f>('[2]Renewable Diesel'!B304*'[2]RD Feedstock Breakdown'!H$3*'[2]Feedstock Conversion Rates'!B$3)/12+67+10+12+3-235+20+47-20+65</f>
        <v>145.40022499999998</v>
      </c>
      <c r="I295" s="47">
        <f t="shared" si="245"/>
        <v>496.14347500000002</v>
      </c>
      <c r="J295" s="45">
        <f t="shared" si="258"/>
        <v>59</v>
      </c>
      <c r="K295" s="45"/>
      <c r="L295" s="45">
        <v>1</v>
      </c>
      <c r="M295" s="45">
        <f>('[2]Renewable Diesel'!C304*'[2]RD Feedstock Breakdown'!M$3*'[2]Feedstock Conversion Rates'!B$2)/12-55</f>
        <v>-47.20975</v>
      </c>
      <c r="N295" s="45">
        <f>('[2]Renewable Diesel'!C304*'[2]RD Feedstock Breakdown'!N$3*'[2]Feedstock Conversion Rates'!B$8)/12-10</f>
        <v>-6.328125</v>
      </c>
      <c r="O295" s="45">
        <f>('[2]Renewable Diesel'!C304*'[2]RD Feedstock Breakdown'!O$3*'[2]Feedstock Conversion Rates'!B$7)/12-45</f>
        <v>-33.000900000000001</v>
      </c>
      <c r="P295" s="45">
        <f>('[2]Renewable Diesel'!C304*'[2]RD Feedstock Breakdown'!P$3*'[2]Feedstock Conversion Rates'!B$3)/12+15+35</f>
        <v>60.447042500000002</v>
      </c>
      <c r="Q295" s="47">
        <f t="shared" si="252"/>
        <v>33.908267500000001</v>
      </c>
      <c r="R295" s="45">
        <f>('[2]Renewable Diesel'!D304*'[2]RD Feedstock Breakdown'!R$3*'[2]Feedstock Conversion Rates'!B$7)/12</f>
        <v>2.2999999999999998</v>
      </c>
      <c r="S295" s="47">
        <f t="shared" si="203"/>
        <v>2.2999999999999998</v>
      </c>
      <c r="T295" s="45">
        <f t="shared" si="253"/>
        <v>0.82499999999999929</v>
      </c>
      <c r="U295" s="45"/>
      <c r="V295" s="45">
        <f>('[2]Renewable Diesel'!E304*'[2]RD Feedstock Breakdown'!V$3*'[2]Feedstock Conversion Rates'!B$6)/12-20+25</f>
        <v>49.250150000000012</v>
      </c>
      <c r="W295" s="45">
        <f>('[2]Renewable Diesel'!E304*'[2]RD Feedstock Breakdown'!W$3*'[2]Feedstock Conversion Rates'!B$8)/12-6</f>
        <v>16.1796875</v>
      </c>
      <c r="X295" s="47">
        <f t="shared" si="229"/>
        <v>66.254837500000008</v>
      </c>
      <c r="Y295" s="45">
        <f t="shared" si="254"/>
        <v>98</v>
      </c>
      <c r="Z295" s="45">
        <f>('[2]Renewable Diesel'!F304*'[2]RD Feedstock Breakdown'!Z$3*'[2]Feedstock Conversion Rates'!B$6)/12-142+15+5</f>
        <v>37.460000000000008</v>
      </c>
      <c r="AA295" s="45">
        <f>('[2]Renewable Diesel'!F304*'[2]RD Feedstock Breakdown'!AA$3*'[2]Feedstock Conversion Rates'!B$7)/12+24</f>
        <v>128.26666666666665</v>
      </c>
      <c r="AB295" s="47">
        <f t="shared" si="190"/>
        <v>263.72666666666669</v>
      </c>
      <c r="AC295" s="45">
        <f>('[2]Renewable Diesel'!G304*'[2]RD Feedstock Breakdown'!AC$3*'[2]Feedstock Conversion Rates'!B$5)/12</f>
        <v>11.796875</v>
      </c>
      <c r="AD295" s="45">
        <f>('[2]Renewable Diesel'!G304*'[2]RD Feedstock Breakdown'!AD$3*'[2]Feedstock Conversion Rates'!B$4)/12</f>
        <v>5.859375</v>
      </c>
      <c r="AE295" s="45">
        <f>('[2]Renewable Diesel'!G304*'[2]RD Feedstock Breakdown'!AE$3*'[2]Feedstock Conversion Rates'!B$6)/12</f>
        <v>7.3281250000000009</v>
      </c>
      <c r="AF295" s="47">
        <f t="shared" si="236"/>
        <v>24.984375</v>
      </c>
      <c r="AG295" s="45">
        <f t="shared" si="259"/>
        <v>148</v>
      </c>
      <c r="AH295" s="45"/>
      <c r="AI295" s="45">
        <f>('[2]Renewable Diesel'!H304*'[2]RD Feedstock Breakdown'!AI$3*'[2]Feedstock Conversion Rates'!B$6)/12-130-20+51-49</f>
        <v>0.51666666666667993</v>
      </c>
      <c r="AJ295" s="47">
        <f t="shared" si="202"/>
        <v>148.51666666666668</v>
      </c>
      <c r="AK295" s="45">
        <f>('[2]Renewable Diesel'!J304*'[2]RD Feedstock Breakdown'!AK$3*'[2]Feedstock Conversion Rates'!B$4)/12</f>
        <v>95.8125</v>
      </c>
      <c r="AL295" s="47">
        <f t="shared" si="205"/>
        <v>95.8125</v>
      </c>
      <c r="AM295" s="45">
        <f>('[2]Renewable Diesel'!K304*'[2]RD Feedstock Breakdown'!AM$3*'[2]Feedstock Conversion Rates'!B$4)/12+5+15-10</f>
        <v>68.59375</v>
      </c>
      <c r="AN295" s="45">
        <f>('[2]Renewable Diesel'!K304*'[2]RD Feedstock Breakdown'!AN$3*'[2]Feedstock Conversion Rates'!B$6)/12-5-15+10</f>
        <v>14.427083333333332</v>
      </c>
      <c r="AO295" s="47">
        <f t="shared" si="223"/>
        <v>83.020833333333329</v>
      </c>
      <c r="AP295" s="45">
        <f>('[2]Renewable Diesel'!L304*'[2]RD Feedstock Breakdown'!AP$3*'[2]Feedstock Conversion Rates'!B$4)/12+15-10</f>
        <v>63.59375</v>
      </c>
      <c r="AQ295" s="45">
        <f>('[2]Renewable Diesel'!L304*'[2]RD Feedstock Breakdown'!AQ$3*'[2]Feedstock Conversion Rates'!B$6)/12-15+10</f>
        <v>19.427083333333332</v>
      </c>
      <c r="AR295" s="47">
        <f t="shared" si="207"/>
        <v>83.020833333333329</v>
      </c>
      <c r="AS295" s="45">
        <f>('[2]Renewable Diesel'!M304*'[2]RD Feedstock Breakdown'!AS$3*'[2]Feedstock Conversion Rates'!B$4)/12</f>
        <v>456.25</v>
      </c>
      <c r="AT295" s="45">
        <f>('[2]Renewable Diesel'!M304*'[2]RD Feedstock Breakdown'!AT$3*'[2]Feedstock Conversion Rates'!B$5)/12</f>
        <v>0</v>
      </c>
      <c r="AU295" s="47">
        <f t="shared" si="244"/>
        <v>456.25</v>
      </c>
      <c r="AV295" s="45">
        <f>'[2]Renewable Diesel'!N304*'[2]RD Feedstock Breakdown'!$AV$3*'[2]Feedstock Conversion Rates'!$B$4/12-15-10+25+25-22+25</f>
        <v>106.74999999999999</v>
      </c>
      <c r="AW295" s="45">
        <f>'[2]Renewable Diesel'!N304*'[2]RD Feedstock Breakdown'!$AW$3*'[2]Feedstock Conversion Rates'!$B$7/12+15+10-25-25+22-25</f>
        <v>13.400000000000006</v>
      </c>
      <c r="AX295" s="47">
        <f t="shared" si="193"/>
        <v>120.14999999999999</v>
      </c>
      <c r="AY295" s="45">
        <f>('[2]Renewable Diesel'!O304*'[2]RD Feedstock Breakdown'!AY$3*'[2]Feedstock Conversion Rates'!B$4)/12-90</f>
        <v>120.9375</v>
      </c>
      <c r="AZ295" s="45">
        <f>('[2]Renewable Diesel'!O304*'[2]RD Feedstock Breakdown'!AZ$3*'[2]Feedstock Conversion Rates'!B$3)/12+90</f>
        <v>115.03125</v>
      </c>
      <c r="BA295" s="47">
        <f t="shared" si="255"/>
        <v>235.96875</v>
      </c>
      <c r="BB295" s="45">
        <f>('[2]Renewable Diesel'!Q304*'[2]RD Feedstock Breakdown'!BB$3*'[2]Feedstock Conversion Rates'!B$4)/12</f>
        <v>11.156249999999998</v>
      </c>
      <c r="BC295" s="45">
        <f>('[2]Renewable Diesel'!Q304*'[2]RD Feedstock Breakdown'!BC$3*'[2]Feedstock Conversion Rates'!B$3)/12</f>
        <v>1.4017500000000001</v>
      </c>
      <c r="BD295" s="45">
        <f>('[2]Renewable Diesel'!Q304*'[2]RD Feedstock Breakdown'!BD$3*'[2]Feedstock Conversion Rates'!B$6)/12</f>
        <v>0.8207500000000002</v>
      </c>
      <c r="BE295" s="47">
        <f t="shared" si="231"/>
        <v>13.378749999999998</v>
      </c>
      <c r="BF295" s="45">
        <f>('[2]Renewable Diesel'!R304*'[2]RD Feedstock Breakdown'!BF$3*'[2]Feedstock Conversion Rates'!B$4)/12</f>
        <v>62.5</v>
      </c>
      <c r="BG295" s="47">
        <f t="shared" si="215"/>
        <v>62.5</v>
      </c>
      <c r="BH295" s="45">
        <f>('[2]Renewable Diesel'!T304*'[2]RD Feedstock Breakdown'!BH$3*'[2]Feedstock Conversion Rates'!B$7)/12</f>
        <v>27.599999999999998</v>
      </c>
      <c r="BI295" s="47">
        <f t="shared" si="195"/>
        <v>27.599999999999998</v>
      </c>
      <c r="BJ295" s="45">
        <f>('[2]Renewable Diesel'!W304*'[2]RD Feedstock Breakdown'!BJ$3*'[2]Feedstock Conversion Rates'!B$4)/12</f>
        <v>7.5</v>
      </c>
      <c r="BK295" s="45">
        <f>('[2]Renewable Diesel'!W304*'[2]RD Feedstock Breakdown'!BK$3*'[2]Feedstock Conversion Rates'!B$3)/12</f>
        <v>1.335</v>
      </c>
      <c r="BL295" s="45">
        <f>('[2]Renewable Diesel'!W304*'[2]RD Feedstock Breakdown'!BL$3*'[2]Feedstock Conversion Rates'!B$6)/12</f>
        <v>3.1266666666666669</v>
      </c>
      <c r="BM295" s="45">
        <f>('[2]Renewable Diesel'!W304*'[2]RD Feedstock Breakdown'!BM$3*'[2]Feedstock Conversion Rates'!B$7)/12</f>
        <v>1.5333333333333332</v>
      </c>
      <c r="BN295" s="47">
        <f t="shared" si="248"/>
        <v>13.495000000000001</v>
      </c>
      <c r="BO295" s="45">
        <f>('[2]Renewable Diesel'!P304*'[2]Feedstock Conversion Rates'!B$4)/12</f>
        <v>31.25</v>
      </c>
      <c r="BP295" s="47">
        <f t="shared" si="237"/>
        <v>31.25</v>
      </c>
      <c r="BQ295" s="45">
        <f>('[2]Renewable Diesel'!$S304*'[2]RD Feedstock Breakdown'!BQ$3*'[2]Feedstock Conversion Rates'!B$4)/12+10+15-15</f>
        <v>38.125</v>
      </c>
      <c r="BR295" s="45">
        <f>('[2]Renewable Diesel'!$S304*'[2]RD Feedstock Breakdown'!BR$3*'[2]Feedstock Conversion Rates'!B$7)/12-10-15+15</f>
        <v>1.5</v>
      </c>
      <c r="BS295" s="47">
        <f t="shared" si="260"/>
        <v>39.625</v>
      </c>
      <c r="BT295" s="47"/>
      <c r="BU295" s="45">
        <f>('[2]Renewable Diesel'!Y304*'[2]Feedstock Conversion Rates'!B$7)/12</f>
        <v>2.6833333333333331</v>
      </c>
      <c r="BV295" s="47">
        <f t="shared" si="233"/>
        <v>2.6833333333333331</v>
      </c>
      <c r="BW295" s="45">
        <f>('[2]Renewable Diesel'!$Z304*'[2]RD Feedstock Breakdown'!BW$3*'[2]Feedstock Conversion Rates'!$B$4)/12</f>
        <v>71.875</v>
      </c>
      <c r="BX295" s="45">
        <f>('[2]Renewable Diesel'!$Z304*'[2]RD Feedstock Breakdown'!BX$3*'[2]Feedstock Conversion Rates'!$B$5)/12</f>
        <v>7.2354166666666666</v>
      </c>
      <c r="BY295" s="45">
        <f>('[2]Renewable Diesel'!$Z304*'[2]RD Feedstock Breakdown'!BY$3*'[2]Feedstock Conversion Rates'!$B$7)/12</f>
        <v>61.716666666666661</v>
      </c>
      <c r="BZ295" s="45">
        <f>('[2]Renewable Diesel'!$Z304*'[2]RD Feedstock Breakdown'!BZ$3*'[2]Feedstock Conversion Rates'!$B$3)/12</f>
        <v>15.352499999999999</v>
      </c>
      <c r="CA295" s="47">
        <f t="shared" si="262"/>
        <v>156.17958333333331</v>
      </c>
      <c r="CB295" s="45">
        <f>('[2]Renewable Diesel'!AA304*'[2]Feedstock Conversion Rates'!B$4)/12</f>
        <v>191.25</v>
      </c>
      <c r="CC295" s="47">
        <f t="shared" si="250"/>
        <v>191.25</v>
      </c>
      <c r="CD295" s="45">
        <f>('[2]Renewable Diesel'!$AB304*'[2]RD Feedstock Breakdown'!CD$3*'[2]Feedstock Conversion Rates'!$B$6)/12-15-5</f>
        <v>12.830000000000005</v>
      </c>
      <c r="CE295" s="45">
        <f>('[2]Renewable Diesel'!$AB304*'[2]RD Feedstock Breakdown'!CE$3*'[2]Feedstock Conversion Rates'!$B$4)/12+15+5</f>
        <v>31.25</v>
      </c>
      <c r="CF295" s="47">
        <f t="shared" si="247"/>
        <v>44.080000000000005</v>
      </c>
      <c r="CG295" s="45">
        <f>('[2]Renewable Diesel'!AD304*'[2]Feedstock Conversion Rates'!B$4)/12</f>
        <v>112.5</v>
      </c>
      <c r="CH295" s="47">
        <f t="shared" si="230"/>
        <v>112.5</v>
      </c>
      <c r="CI295" s="45">
        <f>('[2]Renewable Diesel'!$AE304*'[2]RD Feedstock Breakdown'!CI$3*'[2]Feedstock Conversion Rates'!$B$5)/12</f>
        <v>0.34604166666666664</v>
      </c>
      <c r="CJ295" s="45">
        <f>('[2]Renewable Diesel'!$AE304*'[2]RD Feedstock Breakdown'!CJ$3*'[2]Feedstock Conversion Rates'!$B$4)/12</f>
        <v>0.34375</v>
      </c>
      <c r="CK295" s="47">
        <f t="shared" si="238"/>
        <v>0.68979166666666658</v>
      </c>
      <c r="CL295" s="45">
        <f>(((CL$3*'[2]Renewable Diesel'!$AF304)*'[2]Feedstock Conversion Rates'!$B$3)/12)</f>
        <v>91.78125</v>
      </c>
      <c r="CM295" s="45">
        <f>(((CM$3*'[2]Renewable Diesel'!$AF304)*'[2]Feedstock Conversion Rates'!$B$6)/12)</f>
        <v>53.739583333333336</v>
      </c>
      <c r="CN295" s="45">
        <f>(((CN$3*'[2]Renewable Diesel'!$AF304)*'[2]Feedstock Conversion Rates'!$B$4)/12)</f>
        <v>42.96875</v>
      </c>
      <c r="CO295" s="47">
        <f t="shared" si="232"/>
        <v>188.48958333333334</v>
      </c>
      <c r="CP295" s="45">
        <f>('[2]Renewable Diesel'!$AG304*'[2]RD Feedstock Breakdown'!CP$3*'[2]Feedstock Conversion Rates'!$B$3)/12</f>
        <v>6.0075000000000003</v>
      </c>
      <c r="CQ295" s="45">
        <f>('[2]Renewable Diesel'!$AG304*'[2]RD Feedstock Breakdown'!CQ$3*'[2]Feedstock Conversion Rates'!$B$6)/12</f>
        <v>3.5175000000000001</v>
      </c>
      <c r="CR295" s="45">
        <f>('[2]Renewable Diesel'!$AG304*'[2]RD Feedstock Breakdown'!CR$3*'[2]Feedstock Conversion Rates'!$B$4)/12</f>
        <v>2.8125</v>
      </c>
      <c r="CS295" s="47">
        <f t="shared" si="183"/>
        <v>12.3375</v>
      </c>
      <c r="CT295" s="45">
        <f>('[2]Renewable Diesel'!AI304*'[2]Feedstock Conversion Rates'!$B$4*'[2]RD Feedstock Breakdown'!$CT$3)/12</f>
        <v>29.375</v>
      </c>
      <c r="CU295" s="47">
        <f t="shared" si="234"/>
        <v>29.375</v>
      </c>
      <c r="CV295" s="45">
        <f>('[2]Renewable Diesel'!AN304*'[2]Feedstock Conversion Rates'!$B$3*'[2]RD Feedstock Breakdown'!$CV$3)/12</f>
        <v>0.50062499999999999</v>
      </c>
      <c r="CW295" s="47">
        <f t="shared" si="206"/>
        <v>0.50062499999999999</v>
      </c>
      <c r="CX295" s="45">
        <f>('[2]Renewable Diesel'!AO304*'[2]RD Feedstock Breakdown'!$CX$3*'[2]Feedstock Conversion Rates'!$B$3)/12</f>
        <v>6.3412499999999996</v>
      </c>
      <c r="CY295" s="45">
        <f>('[2]Renewable Diesel'!AO304*'[2]RD Feedstock Breakdown'!$CY$3*'[2]Feedstock Conversion Rates'!$B$6)/12</f>
        <v>7.4258333333333342</v>
      </c>
      <c r="CZ295" s="47">
        <f t="shared" si="188"/>
        <v>13.767083333333334</v>
      </c>
      <c r="DA295" s="45">
        <f>('[2]Renewable Diesel'!$AP304*'[2]RD Feedstock Breakdown'!DA$3*'[2]Feedstock Conversion Rates'!$B$3)/12</f>
        <v>6.3412499999999996</v>
      </c>
      <c r="DB295" s="45">
        <f>('[2]Renewable Diesel'!$AP304*'[2]RD Feedstock Breakdown'!DB$3*'[2]Feedstock Conversion Rates'!$B$8)/12</f>
        <v>7.421875</v>
      </c>
      <c r="DC295" s="47">
        <f t="shared" si="212"/>
        <v>13.763124999999999</v>
      </c>
      <c r="DD295" s="45">
        <f>('[2]Renewable Diesel'!AQ304*$DD$3*'[2]Feedstock Conversion Rates'!$B$14)/12</f>
        <v>3.1041666666666665</v>
      </c>
      <c r="DE295" s="47">
        <f t="shared" si="213"/>
        <v>3.1041666666666665</v>
      </c>
      <c r="DF295" s="45">
        <f>('[2]Renewable Diesel'!AR304*'[2]Feedstock Conversion Rates'!$B$4*$DF$3)/12</f>
        <v>75</v>
      </c>
      <c r="DG295" s="47">
        <f t="shared" si="189"/>
        <v>75</v>
      </c>
      <c r="DH295" s="45">
        <f>('[2]Renewable Diesel'!AS304*'[2]Feedstock Conversion Rates'!$B$4*$DH$3)/12</f>
        <v>75</v>
      </c>
      <c r="DI295" s="47">
        <f t="shared" si="194"/>
        <v>75</v>
      </c>
      <c r="DJ295" s="45">
        <f>('[2]Renewable Diesel'!AT304*'[2]Feedstock Conversion Rates'!$B$4*0.25)/12</f>
        <v>8.59375</v>
      </c>
      <c r="DK295" s="45">
        <f>('[2]Renewable Diesel'!$AT304*'[2]RD Feedstock Breakdown'!DK$3*'[2]Feedstock Conversion Rates'!$B$3)/12*0.5</f>
        <v>9.1781249999999996</v>
      </c>
      <c r="DL295" s="45">
        <f>('[2]Renewable Diesel'!$AT304*'[2]RD Feedstock Breakdown'!$DL$3*'[2]Feedstock Conversion Rates'!$B$6)/12</f>
        <v>10.747916666666669</v>
      </c>
      <c r="DM295" s="45">
        <f>('[2]Renewable Diesel'!$AT304*'[2]RD Feedstock Breakdown'!$DM$3*'[2]Feedstock Conversion Rates'!$B$8)/12</f>
        <v>10.7421875</v>
      </c>
      <c r="DN295" s="47">
        <f t="shared" si="249"/>
        <v>39.26197916666667</v>
      </c>
      <c r="DP295" s="45">
        <f t="shared" si="216"/>
        <v>48.220250000000007</v>
      </c>
      <c r="DQ295" s="45">
        <f t="shared" si="217"/>
        <v>459.11776750000001</v>
      </c>
      <c r="DR295" s="45">
        <f t="shared" si="224"/>
        <v>1983.453125</v>
      </c>
      <c r="DS295" s="45">
        <f t="shared" si="235"/>
        <v>228.90125</v>
      </c>
      <c r="DT295" s="45">
        <f t="shared" si="218"/>
        <v>228.03923333333341</v>
      </c>
      <c r="DU295" s="45">
        <f t="shared" si="219"/>
        <v>235.40610000000001</v>
      </c>
      <c r="DV295" s="45">
        <f t="shared" si="225"/>
        <v>69.75</v>
      </c>
      <c r="DW295" s="45">
        <f t="shared" si="220"/>
        <v>3</v>
      </c>
      <c r="DX295" s="47">
        <f t="shared" si="226"/>
        <v>3255.8877258333337</v>
      </c>
      <c r="DY295" s="50">
        <f t="shared" si="208"/>
        <v>-5.631051180898794E-13</v>
      </c>
      <c r="EA295" s="51">
        <f t="shared" si="263"/>
        <v>1.4810169778707033E-2</v>
      </c>
      <c r="EB295" s="51">
        <f t="shared" si="263"/>
        <v>0.14101154774386157</v>
      </c>
      <c r="EC295" s="51">
        <f t="shared" si="263"/>
        <v>0.60918965640694556</v>
      </c>
      <c r="ED295" s="51">
        <f t="shared" si="261"/>
        <v>7.0303790939662547E-2</v>
      </c>
      <c r="EE295" s="51">
        <f t="shared" si="261"/>
        <v>7.0039034676776982E-2</v>
      </c>
      <c r="EF295" s="51">
        <f t="shared" si="261"/>
        <v>7.2301663884846823E-2</v>
      </c>
      <c r="EG295" s="51">
        <f t="shared" si="261"/>
        <v>2.1422728875624148E-2</v>
      </c>
      <c r="EH295" s="52">
        <f t="shared" si="227"/>
        <v>9.2140769357523225E-4</v>
      </c>
      <c r="EI295" s="51">
        <f t="shared" si="191"/>
        <v>0.9990785923064246</v>
      </c>
      <c r="EK295" s="53">
        <f>(EA295*'[2]Renewable Diesel'!BF304*'[2]Feedstock Conversion Rates'!B$2)+FB295</f>
        <v>79.52239973964096</v>
      </c>
      <c r="EL295" s="53">
        <f>(EB295*'[2]Renewable Diesel'!BF304*'[2]Feedstock Conversion Rates'!B$3)+FC295</f>
        <v>713.50613205032982</v>
      </c>
      <c r="EM295" s="53">
        <f>(EC295*'[2]Renewable Diesel'!BF304*'[2]Feedstock Conversion Rates'!B$4)+FD295</f>
        <v>2886.1858854958118</v>
      </c>
      <c r="EN295" s="53">
        <f>(ED295*'[2]Renewable Diesel'!BF304*'[2]Feedstock Conversion Rates'!B$5)+FE295</f>
        <v>335.30205087915243</v>
      </c>
      <c r="EO295" s="53">
        <f>(EE295*'[2]Renewable Diesel'!BF304*'[2]Feedstock Conversion Rates'!B$6)+FF295</f>
        <v>415.00516755435399</v>
      </c>
      <c r="EP295" s="53">
        <f>(EF295*'[2]Renewable Diesel'!BF304*'[2]Feedstock Conversion Rates'!B$7)+FG295</f>
        <v>420.19089115957564</v>
      </c>
      <c r="EQ295" s="53">
        <f>(EG295*'[2]Renewable Diesel'!BF304*'[2]Feedstock Conversion Rates'!B$8)+FH295</f>
        <v>126.86931126323749</v>
      </c>
      <c r="ER295" s="53">
        <f>(EH295*'[2]Renewable Diesel'!BF304*'[2]Feedstock Conversion Rates'!B$9)+FI295</f>
        <v>5.3839879761890046</v>
      </c>
      <c r="ES295" s="53">
        <f t="shared" si="228"/>
        <v>4981.9658261182904</v>
      </c>
      <c r="ET295" s="36">
        <f>ES295/'[2]Renewable Diesel'!BF304</f>
        <v>7.8866075425771891</v>
      </c>
    </row>
    <row r="296" spans="1:150" x14ac:dyDescent="0.25">
      <c r="A296" s="39">
        <v>49430</v>
      </c>
      <c r="B296" s="45">
        <f t="shared" si="256"/>
        <v>125.75</v>
      </c>
      <c r="C296" s="45">
        <f t="shared" si="251"/>
        <v>49</v>
      </c>
      <c r="D296" s="45">
        <f t="shared" si="257"/>
        <v>2</v>
      </c>
      <c r="E296" s="45">
        <f>('[2]Renewable Diesel'!B305*E$3*'[2]Feedstock Conversion Rates'!$B$2)/12+26+13-100+27.5+39</f>
        <v>95.43</v>
      </c>
      <c r="F296" s="45">
        <f>('[2]Renewable Diesel'!B305*'[2]RD Feedstock Breakdown'!F$3*'[2]Feedstock Conversion Rates'!B$8)/12+77+23-10-12-115.75+24+8+1</f>
        <v>49.15625</v>
      </c>
      <c r="G296" s="45">
        <f>('[2]Renewable Diesel'!B305*'[2]RD Feedstock Breakdown'!G$3*'[2]Feedstock Conversion Rates'!B$7)/12+116.75-39-57.5-145-31.5+32+70-40+10-50-12.5</f>
        <v>29.407000000000039</v>
      </c>
      <c r="H296" s="45">
        <f>('[2]Renewable Diesel'!B305*'[2]RD Feedstock Breakdown'!H$3*'[2]Feedstock Conversion Rates'!B$3)/12+67+10+12+3-235+20+47-20+65</f>
        <v>145.40022499999998</v>
      </c>
      <c r="I296" s="47">
        <f t="shared" si="245"/>
        <v>496.14347500000002</v>
      </c>
      <c r="J296" s="45">
        <f t="shared" si="258"/>
        <v>59</v>
      </c>
      <c r="K296" s="45"/>
      <c r="L296" s="45">
        <v>1</v>
      </c>
      <c r="M296" s="45">
        <f>('[2]Renewable Diesel'!C305*'[2]RD Feedstock Breakdown'!M$3*'[2]Feedstock Conversion Rates'!B$2)/12-55</f>
        <v>-47.20975</v>
      </c>
      <c r="N296" s="45">
        <f>('[2]Renewable Diesel'!C305*'[2]RD Feedstock Breakdown'!N$3*'[2]Feedstock Conversion Rates'!B$8)/12-10</f>
        <v>-6.328125</v>
      </c>
      <c r="O296" s="45">
        <f>('[2]Renewable Diesel'!C305*'[2]RD Feedstock Breakdown'!O$3*'[2]Feedstock Conversion Rates'!B$7)/12-45</f>
        <v>-33.000900000000001</v>
      </c>
      <c r="P296" s="45">
        <f>('[2]Renewable Diesel'!C305*'[2]RD Feedstock Breakdown'!P$3*'[2]Feedstock Conversion Rates'!B$3)/12+15+35</f>
        <v>60.447042500000002</v>
      </c>
      <c r="Q296" s="47">
        <f t="shared" si="252"/>
        <v>33.908267500000001</v>
      </c>
      <c r="R296" s="45">
        <f>('[2]Renewable Diesel'!D305*'[2]RD Feedstock Breakdown'!R$3*'[2]Feedstock Conversion Rates'!B$7)/12</f>
        <v>2.2999999999999998</v>
      </c>
      <c r="S296" s="47">
        <f t="shared" si="203"/>
        <v>2.2999999999999998</v>
      </c>
      <c r="T296" s="45">
        <f t="shared" si="253"/>
        <v>0.82499999999999929</v>
      </c>
      <c r="U296" s="45"/>
      <c r="V296" s="45">
        <f>('[2]Renewable Diesel'!E305*'[2]RD Feedstock Breakdown'!V$3*'[2]Feedstock Conversion Rates'!B$6)/12-20+25</f>
        <v>49.250150000000012</v>
      </c>
      <c r="W296" s="45">
        <f>('[2]Renewable Diesel'!E305*'[2]RD Feedstock Breakdown'!W$3*'[2]Feedstock Conversion Rates'!B$8)/12-6</f>
        <v>16.1796875</v>
      </c>
      <c r="X296" s="47">
        <f t="shared" si="229"/>
        <v>66.254837500000008</v>
      </c>
      <c r="Y296" s="45">
        <f t="shared" si="254"/>
        <v>98</v>
      </c>
      <c r="Z296" s="45">
        <f>('[2]Renewable Diesel'!F305*'[2]RD Feedstock Breakdown'!Z$3*'[2]Feedstock Conversion Rates'!B$6)/12-142+15+5</f>
        <v>37.460000000000008</v>
      </c>
      <c r="AA296" s="45">
        <f>('[2]Renewable Diesel'!F305*'[2]RD Feedstock Breakdown'!AA$3*'[2]Feedstock Conversion Rates'!B$7)/12+24</f>
        <v>128.26666666666665</v>
      </c>
      <c r="AB296" s="47">
        <f t="shared" si="190"/>
        <v>263.72666666666669</v>
      </c>
      <c r="AC296" s="45">
        <f>('[2]Renewable Diesel'!G305*'[2]RD Feedstock Breakdown'!AC$3*'[2]Feedstock Conversion Rates'!B$5)/12</f>
        <v>11.796875</v>
      </c>
      <c r="AD296" s="45">
        <f>('[2]Renewable Diesel'!G305*'[2]RD Feedstock Breakdown'!AD$3*'[2]Feedstock Conversion Rates'!B$4)/12</f>
        <v>5.859375</v>
      </c>
      <c r="AE296" s="45">
        <f>('[2]Renewable Diesel'!G305*'[2]RD Feedstock Breakdown'!AE$3*'[2]Feedstock Conversion Rates'!B$6)/12</f>
        <v>7.3281250000000009</v>
      </c>
      <c r="AF296" s="47">
        <f t="shared" si="236"/>
        <v>24.984375</v>
      </c>
      <c r="AG296" s="45">
        <f t="shared" si="259"/>
        <v>148</v>
      </c>
      <c r="AH296" s="45"/>
      <c r="AI296" s="45">
        <f>('[2]Renewable Diesel'!H305*'[2]RD Feedstock Breakdown'!AI$3*'[2]Feedstock Conversion Rates'!B$6)/12-130-20+51-49</f>
        <v>0.51666666666667993</v>
      </c>
      <c r="AJ296" s="47">
        <f t="shared" si="202"/>
        <v>148.51666666666668</v>
      </c>
      <c r="AK296" s="45">
        <f>('[2]Renewable Diesel'!J305*'[2]RD Feedstock Breakdown'!AK$3*'[2]Feedstock Conversion Rates'!B$4)/12</f>
        <v>95.8125</v>
      </c>
      <c r="AL296" s="47">
        <f t="shared" si="205"/>
        <v>95.8125</v>
      </c>
      <c r="AM296" s="45">
        <f>('[2]Renewable Diesel'!K305*'[2]RD Feedstock Breakdown'!AM$3*'[2]Feedstock Conversion Rates'!B$4)/12+5+15-10</f>
        <v>68.59375</v>
      </c>
      <c r="AN296" s="45">
        <f>('[2]Renewable Diesel'!K305*'[2]RD Feedstock Breakdown'!AN$3*'[2]Feedstock Conversion Rates'!B$6)/12-5-15+10</f>
        <v>14.427083333333332</v>
      </c>
      <c r="AO296" s="47">
        <f t="shared" si="223"/>
        <v>83.020833333333329</v>
      </c>
      <c r="AP296" s="45">
        <f>('[2]Renewable Diesel'!L305*'[2]RD Feedstock Breakdown'!AP$3*'[2]Feedstock Conversion Rates'!B$4)/12+15-10</f>
        <v>63.59375</v>
      </c>
      <c r="AQ296" s="45">
        <f>('[2]Renewable Diesel'!L305*'[2]RD Feedstock Breakdown'!AQ$3*'[2]Feedstock Conversion Rates'!B$6)/12-15+10</f>
        <v>19.427083333333332</v>
      </c>
      <c r="AR296" s="47">
        <f t="shared" si="207"/>
        <v>83.020833333333329</v>
      </c>
      <c r="AS296" s="45">
        <f>('[2]Renewable Diesel'!M305*'[2]RD Feedstock Breakdown'!AS$3*'[2]Feedstock Conversion Rates'!B$4)/12</f>
        <v>456.25</v>
      </c>
      <c r="AT296" s="45">
        <f>('[2]Renewable Diesel'!M305*'[2]RD Feedstock Breakdown'!AT$3*'[2]Feedstock Conversion Rates'!B$5)/12</f>
        <v>0</v>
      </c>
      <c r="AU296" s="47">
        <f t="shared" si="244"/>
        <v>456.25</v>
      </c>
      <c r="AV296" s="45">
        <f>'[2]Renewable Diesel'!N305*'[2]RD Feedstock Breakdown'!$AV$3*'[2]Feedstock Conversion Rates'!$B$4/12-15-10+25+25-22+25</f>
        <v>106.74999999999999</v>
      </c>
      <c r="AW296" s="45">
        <f>'[2]Renewable Diesel'!N305*'[2]RD Feedstock Breakdown'!$AW$3*'[2]Feedstock Conversion Rates'!$B$7/12+15+10-25-25+22-25</f>
        <v>13.400000000000006</v>
      </c>
      <c r="AX296" s="47">
        <f t="shared" si="193"/>
        <v>120.14999999999999</v>
      </c>
      <c r="AY296" s="45">
        <f>('[2]Renewable Diesel'!O305*'[2]RD Feedstock Breakdown'!AY$3*'[2]Feedstock Conversion Rates'!B$4)/12-90</f>
        <v>120.9375</v>
      </c>
      <c r="AZ296" s="45">
        <f>('[2]Renewable Diesel'!O305*'[2]RD Feedstock Breakdown'!AZ$3*'[2]Feedstock Conversion Rates'!B$3)/12+90</f>
        <v>115.03125</v>
      </c>
      <c r="BA296" s="47">
        <f t="shared" si="255"/>
        <v>235.96875</v>
      </c>
      <c r="BB296" s="45">
        <f>('[2]Renewable Diesel'!Q305*'[2]RD Feedstock Breakdown'!BB$3*'[2]Feedstock Conversion Rates'!B$4)/12</f>
        <v>11.156249999999998</v>
      </c>
      <c r="BC296" s="45">
        <f>('[2]Renewable Diesel'!Q305*'[2]RD Feedstock Breakdown'!BC$3*'[2]Feedstock Conversion Rates'!B$3)/12</f>
        <v>1.4017500000000001</v>
      </c>
      <c r="BD296" s="45">
        <f>('[2]Renewable Diesel'!Q305*'[2]RD Feedstock Breakdown'!BD$3*'[2]Feedstock Conversion Rates'!B$6)/12</f>
        <v>0.8207500000000002</v>
      </c>
      <c r="BE296" s="47">
        <f t="shared" si="231"/>
        <v>13.378749999999998</v>
      </c>
      <c r="BF296" s="45">
        <f>('[2]Renewable Diesel'!R305*'[2]RD Feedstock Breakdown'!BF$3*'[2]Feedstock Conversion Rates'!B$4)/12</f>
        <v>62.5</v>
      </c>
      <c r="BG296" s="47">
        <f t="shared" si="215"/>
        <v>62.5</v>
      </c>
      <c r="BH296" s="45">
        <f>('[2]Renewable Diesel'!T305*'[2]RD Feedstock Breakdown'!BH$3*'[2]Feedstock Conversion Rates'!B$7)/12</f>
        <v>27.599999999999998</v>
      </c>
      <c r="BI296" s="47">
        <f t="shared" si="195"/>
        <v>27.599999999999998</v>
      </c>
      <c r="BJ296" s="45">
        <f>('[2]Renewable Diesel'!W305*'[2]RD Feedstock Breakdown'!BJ$3*'[2]Feedstock Conversion Rates'!B$4)/12</f>
        <v>7.5</v>
      </c>
      <c r="BK296" s="45">
        <f>('[2]Renewable Diesel'!W305*'[2]RD Feedstock Breakdown'!BK$3*'[2]Feedstock Conversion Rates'!B$3)/12</f>
        <v>1.335</v>
      </c>
      <c r="BL296" s="45">
        <f>('[2]Renewable Diesel'!W305*'[2]RD Feedstock Breakdown'!BL$3*'[2]Feedstock Conversion Rates'!B$6)/12</f>
        <v>3.1266666666666669</v>
      </c>
      <c r="BM296" s="45">
        <f>('[2]Renewable Diesel'!W305*'[2]RD Feedstock Breakdown'!BM$3*'[2]Feedstock Conversion Rates'!B$7)/12</f>
        <v>1.5333333333333332</v>
      </c>
      <c r="BN296" s="47">
        <f t="shared" si="248"/>
        <v>13.495000000000001</v>
      </c>
      <c r="BO296" s="45">
        <f>('[2]Renewable Diesel'!P305*'[2]Feedstock Conversion Rates'!B$4)/12</f>
        <v>31.25</v>
      </c>
      <c r="BP296" s="47">
        <f t="shared" si="237"/>
        <v>31.25</v>
      </c>
      <c r="BQ296" s="45">
        <f>('[2]Renewable Diesel'!$S305*'[2]RD Feedstock Breakdown'!BQ$3*'[2]Feedstock Conversion Rates'!B$4)/12+10+15-15</f>
        <v>38.125</v>
      </c>
      <c r="BR296" s="45">
        <f>('[2]Renewable Diesel'!$S305*'[2]RD Feedstock Breakdown'!BR$3*'[2]Feedstock Conversion Rates'!B$7)/12-10-15+15</f>
        <v>1.5</v>
      </c>
      <c r="BS296" s="47">
        <f t="shared" si="260"/>
        <v>39.625</v>
      </c>
      <c r="BT296" s="47"/>
      <c r="BU296" s="45">
        <f>('[2]Renewable Diesel'!Y305*'[2]Feedstock Conversion Rates'!B$7)/12</f>
        <v>2.6833333333333331</v>
      </c>
      <c r="BV296" s="47">
        <f t="shared" si="233"/>
        <v>2.6833333333333331</v>
      </c>
      <c r="BW296" s="45">
        <f>('[2]Renewable Diesel'!$Z305*'[2]RD Feedstock Breakdown'!BW$3*'[2]Feedstock Conversion Rates'!$B$4)/12</f>
        <v>71.875</v>
      </c>
      <c r="BX296" s="45">
        <f>('[2]Renewable Diesel'!$Z305*'[2]RD Feedstock Breakdown'!BX$3*'[2]Feedstock Conversion Rates'!$B$5)/12</f>
        <v>7.2354166666666666</v>
      </c>
      <c r="BY296" s="45">
        <f>('[2]Renewable Diesel'!$Z305*'[2]RD Feedstock Breakdown'!BY$3*'[2]Feedstock Conversion Rates'!$B$7)/12</f>
        <v>61.716666666666661</v>
      </c>
      <c r="BZ296" s="45">
        <f>('[2]Renewable Diesel'!$Z305*'[2]RD Feedstock Breakdown'!BZ$3*'[2]Feedstock Conversion Rates'!$B$3)/12</f>
        <v>15.352499999999999</v>
      </c>
      <c r="CA296" s="47">
        <f t="shared" si="262"/>
        <v>156.17958333333331</v>
      </c>
      <c r="CB296" s="45">
        <f>('[2]Renewable Diesel'!AA305*'[2]Feedstock Conversion Rates'!B$4)/12</f>
        <v>191.25</v>
      </c>
      <c r="CC296" s="47">
        <f t="shared" si="250"/>
        <v>191.25</v>
      </c>
      <c r="CD296" s="45">
        <f>('[2]Renewable Diesel'!$AB305*'[2]RD Feedstock Breakdown'!CD$3*'[2]Feedstock Conversion Rates'!$B$6)/12-15-5</f>
        <v>12.830000000000005</v>
      </c>
      <c r="CE296" s="45">
        <f>('[2]Renewable Diesel'!$AB305*'[2]RD Feedstock Breakdown'!CE$3*'[2]Feedstock Conversion Rates'!$B$4)/12+15+5</f>
        <v>31.25</v>
      </c>
      <c r="CF296" s="47">
        <f t="shared" si="247"/>
        <v>44.080000000000005</v>
      </c>
      <c r="CG296" s="45">
        <f>('[2]Renewable Diesel'!AD305*'[2]Feedstock Conversion Rates'!B$4)/12</f>
        <v>112.5</v>
      </c>
      <c r="CH296" s="47">
        <f t="shared" si="230"/>
        <v>112.5</v>
      </c>
      <c r="CI296" s="45">
        <f>('[2]Renewable Diesel'!$AE305*'[2]RD Feedstock Breakdown'!CI$3*'[2]Feedstock Conversion Rates'!$B$5)/12</f>
        <v>0.34604166666666664</v>
      </c>
      <c r="CJ296" s="45">
        <f>('[2]Renewable Diesel'!$AE305*'[2]RD Feedstock Breakdown'!CJ$3*'[2]Feedstock Conversion Rates'!$B$4)/12</f>
        <v>0.34375</v>
      </c>
      <c r="CK296" s="47">
        <f t="shared" si="238"/>
        <v>0.68979166666666658</v>
      </c>
      <c r="CL296" s="45">
        <f>(((CL$3*'[2]Renewable Diesel'!$AF305)*'[2]Feedstock Conversion Rates'!$B$3)/12)</f>
        <v>91.78125</v>
      </c>
      <c r="CM296" s="45">
        <f>(((CM$3*'[2]Renewable Diesel'!$AF305)*'[2]Feedstock Conversion Rates'!$B$6)/12)</f>
        <v>53.739583333333336</v>
      </c>
      <c r="CN296" s="45">
        <f>(((CN$3*'[2]Renewable Diesel'!$AF305)*'[2]Feedstock Conversion Rates'!$B$4)/12)</f>
        <v>42.96875</v>
      </c>
      <c r="CO296" s="47">
        <f t="shared" si="232"/>
        <v>188.48958333333334</v>
      </c>
      <c r="CP296" s="45">
        <f>('[2]Renewable Diesel'!$AG305*'[2]RD Feedstock Breakdown'!CP$3*'[2]Feedstock Conversion Rates'!$B$3)/12</f>
        <v>6.0075000000000003</v>
      </c>
      <c r="CQ296" s="45">
        <f>('[2]Renewable Diesel'!$AG305*'[2]RD Feedstock Breakdown'!CQ$3*'[2]Feedstock Conversion Rates'!$B$6)/12</f>
        <v>3.5175000000000001</v>
      </c>
      <c r="CR296" s="45">
        <f>('[2]Renewable Diesel'!$AG305*'[2]RD Feedstock Breakdown'!CR$3*'[2]Feedstock Conversion Rates'!$B$4)/12</f>
        <v>2.8125</v>
      </c>
      <c r="CS296" s="47">
        <f t="shared" si="183"/>
        <v>12.3375</v>
      </c>
      <c r="CT296" s="45">
        <f>('[2]Renewable Diesel'!AI305*'[2]Feedstock Conversion Rates'!$B$4*'[2]RD Feedstock Breakdown'!$CT$3)/12</f>
        <v>29.375</v>
      </c>
      <c r="CU296" s="47">
        <f t="shared" si="234"/>
        <v>29.375</v>
      </c>
      <c r="CV296" s="45">
        <f>('[2]Renewable Diesel'!AN305*'[2]Feedstock Conversion Rates'!$B$3*'[2]RD Feedstock Breakdown'!$CV$3)/12</f>
        <v>0.50062499999999999</v>
      </c>
      <c r="CW296" s="47">
        <f t="shared" si="206"/>
        <v>0.50062499999999999</v>
      </c>
      <c r="CX296" s="45">
        <f>('[2]Renewable Diesel'!AO305*'[2]RD Feedstock Breakdown'!$CX$3*'[2]Feedstock Conversion Rates'!$B$3)/12</f>
        <v>6.3412499999999996</v>
      </c>
      <c r="CY296" s="45">
        <f>('[2]Renewable Diesel'!AO305*'[2]RD Feedstock Breakdown'!$CY$3*'[2]Feedstock Conversion Rates'!$B$6)/12</f>
        <v>7.4258333333333342</v>
      </c>
      <c r="CZ296" s="47">
        <f t="shared" si="188"/>
        <v>13.767083333333334</v>
      </c>
      <c r="DA296" s="45">
        <f>('[2]Renewable Diesel'!$AP305*'[2]RD Feedstock Breakdown'!DA$3*'[2]Feedstock Conversion Rates'!$B$3)/12</f>
        <v>6.3412499999999996</v>
      </c>
      <c r="DB296" s="45">
        <f>('[2]Renewable Diesel'!$AP305*'[2]RD Feedstock Breakdown'!DB$3*'[2]Feedstock Conversion Rates'!$B$8)/12</f>
        <v>7.421875</v>
      </c>
      <c r="DC296" s="47">
        <f t="shared" si="212"/>
        <v>13.763124999999999</v>
      </c>
      <c r="DD296" s="45">
        <f>('[2]Renewable Diesel'!AQ305*$DD$3*'[2]Feedstock Conversion Rates'!$B$14)/12</f>
        <v>3.1041666666666665</v>
      </c>
      <c r="DE296" s="47">
        <f t="shared" si="213"/>
        <v>3.1041666666666665</v>
      </c>
      <c r="DF296" s="45">
        <f>('[2]Renewable Diesel'!AR305*'[2]Feedstock Conversion Rates'!$B$4*$DF$3)/12</f>
        <v>75</v>
      </c>
      <c r="DG296" s="47">
        <f t="shared" si="189"/>
        <v>75</v>
      </c>
      <c r="DH296" s="45">
        <f>('[2]Renewable Diesel'!AS305*'[2]Feedstock Conversion Rates'!$B$4*$DH$3)/12</f>
        <v>75</v>
      </c>
      <c r="DI296" s="47">
        <f t="shared" si="194"/>
        <v>75</v>
      </c>
      <c r="DJ296" s="45">
        <f>('[2]Renewable Diesel'!AT305*'[2]Feedstock Conversion Rates'!$B$4*0.25)/12</f>
        <v>8.59375</v>
      </c>
      <c r="DK296" s="45">
        <f>('[2]Renewable Diesel'!$AT305*'[2]RD Feedstock Breakdown'!DK$3*'[2]Feedstock Conversion Rates'!$B$3)/12*0.5</f>
        <v>9.1781249999999996</v>
      </c>
      <c r="DL296" s="45">
        <f>('[2]Renewable Diesel'!$AT305*'[2]RD Feedstock Breakdown'!$DL$3*'[2]Feedstock Conversion Rates'!$B$6)/12</f>
        <v>10.747916666666669</v>
      </c>
      <c r="DM296" s="45">
        <f>('[2]Renewable Diesel'!$AT305*'[2]RD Feedstock Breakdown'!$DM$3*'[2]Feedstock Conversion Rates'!$B$8)/12</f>
        <v>10.7421875</v>
      </c>
      <c r="DN296" s="47">
        <f t="shared" si="249"/>
        <v>39.26197916666667</v>
      </c>
      <c r="DP296" s="45">
        <f t="shared" si="216"/>
        <v>48.220250000000007</v>
      </c>
      <c r="DQ296" s="45">
        <f t="shared" si="217"/>
        <v>459.11776750000001</v>
      </c>
      <c r="DR296" s="45">
        <f t="shared" si="224"/>
        <v>1983.453125</v>
      </c>
      <c r="DS296" s="45">
        <f t="shared" si="235"/>
        <v>228.90125</v>
      </c>
      <c r="DT296" s="45">
        <f t="shared" si="218"/>
        <v>228.03923333333341</v>
      </c>
      <c r="DU296" s="45">
        <f t="shared" si="219"/>
        <v>235.40610000000001</v>
      </c>
      <c r="DV296" s="45">
        <f t="shared" si="225"/>
        <v>69.75</v>
      </c>
      <c r="DW296" s="45">
        <f t="shared" si="220"/>
        <v>3</v>
      </c>
      <c r="DX296" s="47">
        <f t="shared" si="226"/>
        <v>3255.8877258333337</v>
      </c>
      <c r="DY296" s="50">
        <f t="shared" si="208"/>
        <v>-5.631051180898794E-13</v>
      </c>
      <c r="EA296" s="51">
        <f t="shared" si="263"/>
        <v>1.4810169778707033E-2</v>
      </c>
      <c r="EB296" s="51">
        <f t="shared" si="263"/>
        <v>0.14101154774386157</v>
      </c>
      <c r="EC296" s="51">
        <f t="shared" si="263"/>
        <v>0.60918965640694556</v>
      </c>
      <c r="ED296" s="51">
        <f t="shared" si="261"/>
        <v>7.0303790939662547E-2</v>
      </c>
      <c r="EE296" s="51">
        <f t="shared" si="261"/>
        <v>7.0039034676776982E-2</v>
      </c>
      <c r="EF296" s="51">
        <f t="shared" si="261"/>
        <v>7.2301663884846823E-2</v>
      </c>
      <c r="EG296" s="51">
        <f t="shared" si="261"/>
        <v>2.1422728875624148E-2</v>
      </c>
      <c r="EH296" s="52">
        <f t="shared" si="227"/>
        <v>9.2140769357523225E-4</v>
      </c>
      <c r="EI296" s="51">
        <f t="shared" si="191"/>
        <v>0.9990785923064246</v>
      </c>
      <c r="EK296" s="53">
        <f>(EA296*'[2]Renewable Diesel'!BF305*'[2]Feedstock Conversion Rates'!B$2)+FB296</f>
        <v>97.321772913281919</v>
      </c>
      <c r="EL296" s="53">
        <f>(EB296*'[2]Renewable Diesel'!BF305*'[2]Feedstock Conversion Rates'!B$3)+FC296</f>
        <v>873.20908301288978</v>
      </c>
      <c r="EM296" s="53">
        <f>(EC296*'[2]Renewable Diesel'!BF305*'[2]Feedstock Conversion Rates'!B$4)+FD296</f>
        <v>3532.1963151688346</v>
      </c>
      <c r="EN296" s="53">
        <f>(ED296*'[2]Renewable Diesel'!BF305*'[2]Feedstock Conversion Rates'!B$5)+FE296</f>
        <v>410.35217950989249</v>
      </c>
      <c r="EO296" s="53">
        <f>(EE296*'[2]Renewable Diesel'!BF305*'[2]Feedstock Conversion Rates'!B$6)+FF296</f>
        <v>507.89511894508252</v>
      </c>
      <c r="EP296" s="53">
        <f>(EF296*'[2]Renewable Diesel'!BF305*'[2]Feedstock Conversion Rates'!B$7)+FG296</f>
        <v>514.24155487698079</v>
      </c>
      <c r="EQ296" s="53">
        <f>(EG296*'[2]Renewable Diesel'!BF305*'[2]Feedstock Conversion Rates'!B$8)+FH296</f>
        <v>155.26626888587688</v>
      </c>
      <c r="ER296" s="53">
        <f>(EH296*'[2]Renewable Diesel'!BF305*'[2]Feedstock Conversion Rates'!B$9)+FI296</f>
        <v>6.5890775039741305</v>
      </c>
      <c r="ES296" s="53">
        <f t="shared" si="228"/>
        <v>6097.0713708168132</v>
      </c>
      <c r="ET296" s="36">
        <f>ES296/'[2]Renewable Diesel'!BF305</f>
        <v>7.8866075425771909</v>
      </c>
    </row>
    <row r="297" spans="1:150" x14ac:dyDescent="0.25">
      <c r="A297" s="39">
        <v>49461</v>
      </c>
      <c r="B297" s="45">
        <f t="shared" si="256"/>
        <v>125.75</v>
      </c>
      <c r="C297" s="45">
        <f t="shared" si="251"/>
        <v>49</v>
      </c>
      <c r="D297" s="45">
        <f t="shared" si="257"/>
        <v>2</v>
      </c>
      <c r="E297" s="45">
        <f>('[2]Renewable Diesel'!B306*E$3*'[2]Feedstock Conversion Rates'!$B$2)/12+26+13-100+27.5+39</f>
        <v>95.43</v>
      </c>
      <c r="F297" s="45">
        <f>('[2]Renewable Diesel'!B306*'[2]RD Feedstock Breakdown'!F$3*'[2]Feedstock Conversion Rates'!B$8)/12+77+23-10-12-115.75+24+8+1</f>
        <v>49.15625</v>
      </c>
      <c r="G297" s="45">
        <f>('[2]Renewable Diesel'!B306*'[2]RD Feedstock Breakdown'!G$3*'[2]Feedstock Conversion Rates'!B$7)/12+116.75-39-57.5-145-31.5+32+70-40+10-50-12.5</f>
        <v>29.407000000000039</v>
      </c>
      <c r="H297" s="45">
        <f>('[2]Renewable Diesel'!B306*'[2]RD Feedstock Breakdown'!H$3*'[2]Feedstock Conversion Rates'!B$3)/12+67+10+12+3-235+20+47-20+65</f>
        <v>145.40022499999998</v>
      </c>
      <c r="I297" s="47">
        <f t="shared" si="245"/>
        <v>496.14347500000002</v>
      </c>
      <c r="J297" s="45">
        <f t="shared" si="258"/>
        <v>59</v>
      </c>
      <c r="K297" s="45"/>
      <c r="L297" s="45">
        <v>1</v>
      </c>
      <c r="M297" s="45">
        <f>('[2]Renewable Diesel'!C306*'[2]RD Feedstock Breakdown'!M$3*'[2]Feedstock Conversion Rates'!B$2)/12-55</f>
        <v>-47.20975</v>
      </c>
      <c r="N297" s="45">
        <f>('[2]Renewable Diesel'!C306*'[2]RD Feedstock Breakdown'!N$3*'[2]Feedstock Conversion Rates'!B$8)/12-10</f>
        <v>-6.328125</v>
      </c>
      <c r="O297" s="45">
        <f>('[2]Renewable Diesel'!C306*'[2]RD Feedstock Breakdown'!O$3*'[2]Feedstock Conversion Rates'!B$7)/12-45</f>
        <v>-33.000900000000001</v>
      </c>
      <c r="P297" s="45">
        <f>('[2]Renewable Diesel'!C306*'[2]RD Feedstock Breakdown'!P$3*'[2]Feedstock Conversion Rates'!B$3)/12+15+35</f>
        <v>60.447042500000002</v>
      </c>
      <c r="Q297" s="47">
        <f t="shared" si="252"/>
        <v>33.908267500000001</v>
      </c>
      <c r="R297" s="45">
        <f>('[2]Renewable Diesel'!D306*'[2]RD Feedstock Breakdown'!R$3*'[2]Feedstock Conversion Rates'!B$7)/12</f>
        <v>2.2999999999999998</v>
      </c>
      <c r="S297" s="47">
        <f t="shared" si="203"/>
        <v>2.2999999999999998</v>
      </c>
      <c r="T297" s="45">
        <f t="shared" si="253"/>
        <v>0.82499999999999929</v>
      </c>
      <c r="U297" s="45"/>
      <c r="V297" s="45">
        <f>('[2]Renewable Diesel'!E306*'[2]RD Feedstock Breakdown'!V$3*'[2]Feedstock Conversion Rates'!B$6)/12-20+25</f>
        <v>49.250150000000012</v>
      </c>
      <c r="W297" s="45">
        <f>('[2]Renewable Diesel'!E306*'[2]RD Feedstock Breakdown'!W$3*'[2]Feedstock Conversion Rates'!B$8)/12-6</f>
        <v>16.1796875</v>
      </c>
      <c r="X297" s="47">
        <f t="shared" si="229"/>
        <v>66.254837500000008</v>
      </c>
      <c r="Y297" s="45">
        <f t="shared" si="254"/>
        <v>98</v>
      </c>
      <c r="Z297" s="45">
        <f>('[2]Renewable Diesel'!F306*'[2]RD Feedstock Breakdown'!Z$3*'[2]Feedstock Conversion Rates'!B$6)/12-142+15+5</f>
        <v>37.460000000000008</v>
      </c>
      <c r="AA297" s="45">
        <f>('[2]Renewable Diesel'!F306*'[2]RD Feedstock Breakdown'!AA$3*'[2]Feedstock Conversion Rates'!B$7)/12+24</f>
        <v>128.26666666666665</v>
      </c>
      <c r="AB297" s="47">
        <f t="shared" si="190"/>
        <v>263.72666666666669</v>
      </c>
      <c r="AC297" s="45">
        <f>('[2]Renewable Diesel'!G306*'[2]RD Feedstock Breakdown'!AC$3*'[2]Feedstock Conversion Rates'!B$5)/12</f>
        <v>11.796875</v>
      </c>
      <c r="AD297" s="45">
        <f>('[2]Renewable Diesel'!G306*'[2]RD Feedstock Breakdown'!AD$3*'[2]Feedstock Conversion Rates'!B$4)/12</f>
        <v>5.859375</v>
      </c>
      <c r="AE297" s="45">
        <f>('[2]Renewable Diesel'!G306*'[2]RD Feedstock Breakdown'!AE$3*'[2]Feedstock Conversion Rates'!B$6)/12</f>
        <v>7.3281250000000009</v>
      </c>
      <c r="AF297" s="47">
        <f t="shared" si="236"/>
        <v>24.984375</v>
      </c>
      <c r="AG297" s="45">
        <f t="shared" si="259"/>
        <v>148</v>
      </c>
      <c r="AH297" s="45"/>
      <c r="AI297" s="45">
        <f>('[2]Renewable Diesel'!H306*'[2]RD Feedstock Breakdown'!AI$3*'[2]Feedstock Conversion Rates'!B$6)/12-130-20+51-49</f>
        <v>0.51666666666667993</v>
      </c>
      <c r="AJ297" s="47">
        <f t="shared" si="202"/>
        <v>148.51666666666668</v>
      </c>
      <c r="AK297" s="45">
        <f>('[2]Renewable Diesel'!J306*'[2]RD Feedstock Breakdown'!AK$3*'[2]Feedstock Conversion Rates'!B$4)/12</f>
        <v>95.8125</v>
      </c>
      <c r="AL297" s="47">
        <f t="shared" si="205"/>
        <v>95.8125</v>
      </c>
      <c r="AM297" s="45">
        <f>('[2]Renewable Diesel'!K306*'[2]RD Feedstock Breakdown'!AM$3*'[2]Feedstock Conversion Rates'!B$4)/12+5+15-10</f>
        <v>68.59375</v>
      </c>
      <c r="AN297" s="45">
        <f>('[2]Renewable Diesel'!K306*'[2]RD Feedstock Breakdown'!AN$3*'[2]Feedstock Conversion Rates'!B$6)/12-5-15+10</f>
        <v>14.427083333333332</v>
      </c>
      <c r="AO297" s="47">
        <f t="shared" si="223"/>
        <v>83.020833333333329</v>
      </c>
      <c r="AP297" s="45">
        <f>('[2]Renewable Diesel'!L306*'[2]RD Feedstock Breakdown'!AP$3*'[2]Feedstock Conversion Rates'!B$4)/12+15-10</f>
        <v>63.59375</v>
      </c>
      <c r="AQ297" s="45">
        <f>('[2]Renewable Diesel'!L306*'[2]RD Feedstock Breakdown'!AQ$3*'[2]Feedstock Conversion Rates'!B$6)/12-15+10</f>
        <v>19.427083333333332</v>
      </c>
      <c r="AR297" s="47">
        <f t="shared" si="207"/>
        <v>83.020833333333329</v>
      </c>
      <c r="AS297" s="45">
        <f>('[2]Renewable Diesel'!M306*'[2]RD Feedstock Breakdown'!AS$3*'[2]Feedstock Conversion Rates'!B$4)/12</f>
        <v>456.25</v>
      </c>
      <c r="AT297" s="45">
        <f>('[2]Renewable Diesel'!M306*'[2]RD Feedstock Breakdown'!AT$3*'[2]Feedstock Conversion Rates'!B$5)/12</f>
        <v>0</v>
      </c>
      <c r="AU297" s="47">
        <f t="shared" si="244"/>
        <v>456.25</v>
      </c>
      <c r="AV297" s="45">
        <f>'[2]Renewable Diesel'!N306*'[2]RD Feedstock Breakdown'!$AV$3*'[2]Feedstock Conversion Rates'!$B$4/12-15-10+25+25-22+25</f>
        <v>106.74999999999999</v>
      </c>
      <c r="AW297" s="45">
        <f>'[2]Renewable Diesel'!N306*'[2]RD Feedstock Breakdown'!$AW$3*'[2]Feedstock Conversion Rates'!$B$7/12+15+10-25-25+22-25</f>
        <v>13.400000000000006</v>
      </c>
      <c r="AX297" s="47">
        <f t="shared" si="193"/>
        <v>120.14999999999999</v>
      </c>
      <c r="AY297" s="45">
        <f>('[2]Renewable Diesel'!O306*'[2]RD Feedstock Breakdown'!AY$3*'[2]Feedstock Conversion Rates'!B$4)/12-90</f>
        <v>120.9375</v>
      </c>
      <c r="AZ297" s="45">
        <f>('[2]Renewable Diesel'!O306*'[2]RD Feedstock Breakdown'!AZ$3*'[2]Feedstock Conversion Rates'!B$3)/12+90</f>
        <v>115.03125</v>
      </c>
      <c r="BA297" s="47">
        <f t="shared" si="255"/>
        <v>235.96875</v>
      </c>
      <c r="BB297" s="45">
        <f>('[2]Renewable Diesel'!Q306*'[2]RD Feedstock Breakdown'!BB$3*'[2]Feedstock Conversion Rates'!B$4)/12</f>
        <v>11.156249999999998</v>
      </c>
      <c r="BC297" s="45">
        <f>('[2]Renewable Diesel'!Q306*'[2]RD Feedstock Breakdown'!BC$3*'[2]Feedstock Conversion Rates'!B$3)/12</f>
        <v>1.4017500000000001</v>
      </c>
      <c r="BD297" s="45">
        <f>('[2]Renewable Diesel'!Q306*'[2]RD Feedstock Breakdown'!BD$3*'[2]Feedstock Conversion Rates'!B$6)/12</f>
        <v>0.8207500000000002</v>
      </c>
      <c r="BE297" s="47">
        <f t="shared" si="231"/>
        <v>13.378749999999998</v>
      </c>
      <c r="BF297" s="45">
        <f>('[2]Renewable Diesel'!R306*'[2]RD Feedstock Breakdown'!BF$3*'[2]Feedstock Conversion Rates'!B$4)/12</f>
        <v>62.5</v>
      </c>
      <c r="BG297" s="47">
        <f t="shared" si="215"/>
        <v>62.5</v>
      </c>
      <c r="BH297" s="45">
        <f>('[2]Renewable Diesel'!T306*'[2]RD Feedstock Breakdown'!BH$3*'[2]Feedstock Conversion Rates'!B$7)/12</f>
        <v>27.599999999999998</v>
      </c>
      <c r="BI297" s="47">
        <f t="shared" si="195"/>
        <v>27.599999999999998</v>
      </c>
      <c r="BJ297" s="45">
        <f>('[2]Renewable Diesel'!W306*'[2]RD Feedstock Breakdown'!BJ$3*'[2]Feedstock Conversion Rates'!B$4)/12</f>
        <v>7.5</v>
      </c>
      <c r="BK297" s="45">
        <f>('[2]Renewable Diesel'!W306*'[2]RD Feedstock Breakdown'!BK$3*'[2]Feedstock Conversion Rates'!B$3)/12</f>
        <v>1.335</v>
      </c>
      <c r="BL297" s="45">
        <f>('[2]Renewable Diesel'!W306*'[2]RD Feedstock Breakdown'!BL$3*'[2]Feedstock Conversion Rates'!B$6)/12</f>
        <v>3.1266666666666669</v>
      </c>
      <c r="BM297" s="45">
        <f>('[2]Renewable Diesel'!W306*'[2]RD Feedstock Breakdown'!BM$3*'[2]Feedstock Conversion Rates'!B$7)/12</f>
        <v>1.5333333333333332</v>
      </c>
      <c r="BN297" s="47">
        <f t="shared" si="248"/>
        <v>13.495000000000001</v>
      </c>
      <c r="BO297" s="45">
        <f>('[2]Renewable Diesel'!P306*'[2]Feedstock Conversion Rates'!B$4)/12</f>
        <v>31.25</v>
      </c>
      <c r="BP297" s="47">
        <f t="shared" si="237"/>
        <v>31.25</v>
      </c>
      <c r="BQ297" s="45">
        <f>('[2]Renewable Diesel'!$S306*'[2]RD Feedstock Breakdown'!BQ$3*'[2]Feedstock Conversion Rates'!B$4)/12+10+15-15</f>
        <v>38.125</v>
      </c>
      <c r="BR297" s="45">
        <f>('[2]Renewable Diesel'!$S306*'[2]RD Feedstock Breakdown'!BR$3*'[2]Feedstock Conversion Rates'!B$7)/12-10-15+15</f>
        <v>1.5</v>
      </c>
      <c r="BS297" s="47">
        <f t="shared" si="260"/>
        <v>39.625</v>
      </c>
      <c r="BT297" s="47"/>
      <c r="BU297" s="45">
        <f>('[2]Renewable Diesel'!Y306*'[2]Feedstock Conversion Rates'!B$7)/12</f>
        <v>2.6833333333333331</v>
      </c>
      <c r="BV297" s="47">
        <f t="shared" si="233"/>
        <v>2.6833333333333331</v>
      </c>
      <c r="BW297" s="45">
        <f>('[2]Renewable Diesel'!$Z306*'[2]RD Feedstock Breakdown'!BW$3*'[2]Feedstock Conversion Rates'!$B$4)/12</f>
        <v>71.875</v>
      </c>
      <c r="BX297" s="45">
        <f>('[2]Renewable Diesel'!$Z306*'[2]RD Feedstock Breakdown'!BX$3*'[2]Feedstock Conversion Rates'!$B$5)/12</f>
        <v>7.2354166666666666</v>
      </c>
      <c r="BY297" s="45">
        <f>('[2]Renewable Diesel'!$Z306*'[2]RD Feedstock Breakdown'!BY$3*'[2]Feedstock Conversion Rates'!$B$7)/12</f>
        <v>61.716666666666661</v>
      </c>
      <c r="BZ297" s="45">
        <f>('[2]Renewable Diesel'!$Z306*'[2]RD Feedstock Breakdown'!BZ$3*'[2]Feedstock Conversion Rates'!$B$3)/12</f>
        <v>15.352499999999999</v>
      </c>
      <c r="CA297" s="47">
        <f t="shared" si="262"/>
        <v>156.17958333333331</v>
      </c>
      <c r="CB297" s="45">
        <f>('[2]Renewable Diesel'!AA306*'[2]Feedstock Conversion Rates'!B$4)/12</f>
        <v>191.25</v>
      </c>
      <c r="CC297" s="47">
        <f t="shared" si="250"/>
        <v>191.25</v>
      </c>
      <c r="CD297" s="45">
        <f>('[2]Renewable Diesel'!$AB306*'[2]RD Feedstock Breakdown'!CD$3*'[2]Feedstock Conversion Rates'!$B$6)/12-15-5</f>
        <v>12.830000000000005</v>
      </c>
      <c r="CE297" s="45">
        <f>('[2]Renewable Diesel'!$AB306*'[2]RD Feedstock Breakdown'!CE$3*'[2]Feedstock Conversion Rates'!$B$4)/12+15+5</f>
        <v>31.25</v>
      </c>
      <c r="CF297" s="47">
        <f t="shared" si="247"/>
        <v>44.080000000000005</v>
      </c>
      <c r="CG297" s="45">
        <f>('[2]Renewable Diesel'!AD306*'[2]Feedstock Conversion Rates'!B$4)/12</f>
        <v>112.5</v>
      </c>
      <c r="CH297" s="47">
        <f t="shared" si="230"/>
        <v>112.5</v>
      </c>
      <c r="CI297" s="45">
        <f>('[2]Renewable Diesel'!$AE306*'[2]RD Feedstock Breakdown'!CI$3*'[2]Feedstock Conversion Rates'!$B$5)/12</f>
        <v>0.34604166666666664</v>
      </c>
      <c r="CJ297" s="45">
        <f>('[2]Renewable Diesel'!$AE306*'[2]RD Feedstock Breakdown'!CJ$3*'[2]Feedstock Conversion Rates'!$B$4)/12</f>
        <v>0.34375</v>
      </c>
      <c r="CK297" s="47">
        <f t="shared" si="238"/>
        <v>0.68979166666666658</v>
      </c>
      <c r="CL297" s="45">
        <f>(((CL$3*'[2]Renewable Diesel'!$AF306)*'[2]Feedstock Conversion Rates'!$B$3)/12)</f>
        <v>91.78125</v>
      </c>
      <c r="CM297" s="45">
        <f>(((CM$3*'[2]Renewable Diesel'!$AF306)*'[2]Feedstock Conversion Rates'!$B$6)/12)</f>
        <v>53.739583333333336</v>
      </c>
      <c r="CN297" s="45">
        <f>(((CN$3*'[2]Renewable Diesel'!$AF306)*'[2]Feedstock Conversion Rates'!$B$4)/12)</f>
        <v>42.96875</v>
      </c>
      <c r="CO297" s="47">
        <f t="shared" si="232"/>
        <v>188.48958333333334</v>
      </c>
      <c r="CP297" s="45">
        <f>('[2]Renewable Diesel'!$AG306*'[2]RD Feedstock Breakdown'!CP$3*'[2]Feedstock Conversion Rates'!$B$3)/12</f>
        <v>6.0075000000000003</v>
      </c>
      <c r="CQ297" s="45">
        <f>('[2]Renewable Diesel'!$AG306*'[2]RD Feedstock Breakdown'!CQ$3*'[2]Feedstock Conversion Rates'!$B$6)/12</f>
        <v>3.5175000000000001</v>
      </c>
      <c r="CR297" s="45">
        <f>('[2]Renewable Diesel'!$AG306*'[2]RD Feedstock Breakdown'!CR$3*'[2]Feedstock Conversion Rates'!$B$4)/12</f>
        <v>2.8125</v>
      </c>
      <c r="CS297" s="47">
        <f t="shared" si="183"/>
        <v>12.3375</v>
      </c>
      <c r="CT297" s="45">
        <f>('[2]Renewable Diesel'!AI306*'[2]Feedstock Conversion Rates'!$B$4*'[2]RD Feedstock Breakdown'!$CT$3)/12</f>
        <v>29.375</v>
      </c>
      <c r="CU297" s="47">
        <f t="shared" si="234"/>
        <v>29.375</v>
      </c>
      <c r="CV297" s="45">
        <f>('[2]Renewable Diesel'!AN306*'[2]Feedstock Conversion Rates'!$B$3*'[2]RD Feedstock Breakdown'!$CV$3)/12</f>
        <v>0.50062499999999999</v>
      </c>
      <c r="CW297" s="47">
        <f t="shared" si="206"/>
        <v>0.50062499999999999</v>
      </c>
      <c r="CX297" s="45">
        <f>('[2]Renewable Diesel'!AO306*'[2]RD Feedstock Breakdown'!$CX$3*'[2]Feedstock Conversion Rates'!$B$3)/12</f>
        <v>6.3412499999999996</v>
      </c>
      <c r="CY297" s="45">
        <f>('[2]Renewable Diesel'!AO306*'[2]RD Feedstock Breakdown'!$CY$3*'[2]Feedstock Conversion Rates'!$B$6)/12</f>
        <v>7.4258333333333342</v>
      </c>
      <c r="CZ297" s="47">
        <f t="shared" si="188"/>
        <v>13.767083333333334</v>
      </c>
      <c r="DA297" s="45">
        <f>('[2]Renewable Diesel'!$AP306*'[2]RD Feedstock Breakdown'!DA$3*'[2]Feedstock Conversion Rates'!$B$3)/12</f>
        <v>6.3412499999999996</v>
      </c>
      <c r="DB297" s="45">
        <f>('[2]Renewable Diesel'!$AP306*'[2]RD Feedstock Breakdown'!DB$3*'[2]Feedstock Conversion Rates'!$B$8)/12</f>
        <v>7.421875</v>
      </c>
      <c r="DC297" s="47">
        <f t="shared" si="212"/>
        <v>13.763124999999999</v>
      </c>
      <c r="DD297" s="45">
        <f>('[2]Renewable Diesel'!AQ306*$DD$3*'[2]Feedstock Conversion Rates'!$B$14)/12</f>
        <v>3.1041666666666665</v>
      </c>
      <c r="DE297" s="47">
        <f t="shared" si="213"/>
        <v>3.1041666666666665</v>
      </c>
      <c r="DF297" s="45">
        <f>('[2]Renewable Diesel'!AR306*'[2]Feedstock Conversion Rates'!$B$4*$DF$3)/12</f>
        <v>75</v>
      </c>
      <c r="DG297" s="47">
        <f t="shared" si="189"/>
        <v>75</v>
      </c>
      <c r="DH297" s="45">
        <f>('[2]Renewable Diesel'!AS306*'[2]Feedstock Conversion Rates'!$B$4*$DH$3)/12</f>
        <v>75</v>
      </c>
      <c r="DI297" s="47">
        <f t="shared" si="194"/>
        <v>75</v>
      </c>
      <c r="DJ297" s="45">
        <f>('[2]Renewable Diesel'!AT306*'[2]Feedstock Conversion Rates'!$B$4*0.25)/12</f>
        <v>8.59375</v>
      </c>
      <c r="DK297" s="45">
        <f>('[2]Renewable Diesel'!$AT306*'[2]RD Feedstock Breakdown'!DK$3*'[2]Feedstock Conversion Rates'!$B$3)/12*0.5</f>
        <v>9.1781249999999996</v>
      </c>
      <c r="DL297" s="45">
        <f>('[2]Renewable Diesel'!$AT306*'[2]RD Feedstock Breakdown'!$DL$3*'[2]Feedstock Conversion Rates'!$B$6)/12</f>
        <v>10.747916666666669</v>
      </c>
      <c r="DM297" s="45">
        <f>('[2]Renewable Diesel'!$AT306*'[2]RD Feedstock Breakdown'!$DM$3*'[2]Feedstock Conversion Rates'!$B$8)/12</f>
        <v>10.7421875</v>
      </c>
      <c r="DN297" s="47">
        <f t="shared" si="249"/>
        <v>39.26197916666667</v>
      </c>
      <c r="DP297" s="45">
        <f t="shared" si="216"/>
        <v>48.220250000000007</v>
      </c>
      <c r="DQ297" s="45">
        <f t="shared" si="217"/>
        <v>459.11776750000001</v>
      </c>
      <c r="DR297" s="45">
        <f t="shared" si="224"/>
        <v>1983.453125</v>
      </c>
      <c r="DS297" s="45">
        <f t="shared" si="235"/>
        <v>228.90125</v>
      </c>
      <c r="DT297" s="45">
        <f t="shared" si="218"/>
        <v>228.03923333333341</v>
      </c>
      <c r="DU297" s="45">
        <f t="shared" si="219"/>
        <v>235.40610000000001</v>
      </c>
      <c r="DV297" s="45">
        <f t="shared" si="225"/>
        <v>69.75</v>
      </c>
      <c r="DW297" s="45">
        <f t="shared" si="220"/>
        <v>3</v>
      </c>
      <c r="DX297" s="47">
        <f t="shared" si="226"/>
        <v>3255.8877258333337</v>
      </c>
      <c r="DY297" s="50">
        <f t="shared" si="208"/>
        <v>-5.631051180898794E-13</v>
      </c>
      <c r="EA297" s="51">
        <f t="shared" si="263"/>
        <v>1.4810169778707033E-2</v>
      </c>
      <c r="EB297" s="51">
        <f t="shared" si="263"/>
        <v>0.14101154774386157</v>
      </c>
      <c r="EC297" s="51">
        <f t="shared" si="263"/>
        <v>0.60918965640694556</v>
      </c>
      <c r="ED297" s="51">
        <f t="shared" si="261"/>
        <v>7.0303790939662547E-2</v>
      </c>
      <c r="EE297" s="51">
        <f t="shared" si="261"/>
        <v>7.0039034676776982E-2</v>
      </c>
      <c r="EF297" s="51">
        <f t="shared" si="261"/>
        <v>7.2301663884846823E-2</v>
      </c>
      <c r="EG297" s="51">
        <f t="shared" si="261"/>
        <v>2.1422728875624148E-2</v>
      </c>
      <c r="EH297" s="52">
        <f t="shared" si="227"/>
        <v>9.2140769357523225E-4</v>
      </c>
      <c r="EI297" s="51">
        <f t="shared" si="191"/>
        <v>0.9990785923064246</v>
      </c>
      <c r="EK297" s="53">
        <f>(EA297*'[2]Renewable Diesel'!BF306*'[2]Feedstock Conversion Rates'!B$2)+FB297</f>
        <v>94.403996172835122</v>
      </c>
      <c r="EL297" s="53">
        <f>(EB297*'[2]Renewable Diesel'!BF306*'[2]Feedstock Conversion Rates'!B$3)+FC297</f>
        <v>847.0296467398565</v>
      </c>
      <c r="EM297" s="53">
        <f>(EC297*'[2]Renewable Diesel'!BF306*'[2]Feedstock Conversion Rates'!B$4)+FD297</f>
        <v>3426.2985294772943</v>
      </c>
      <c r="EN297" s="53">
        <f>(ED297*'[2]Renewable Diesel'!BF306*'[2]Feedstock Conversion Rates'!B$5)+FE297</f>
        <v>398.04952606529821</v>
      </c>
      <c r="EO297" s="53">
        <f>(EE297*'[2]Renewable Diesel'!BF306*'[2]Feedstock Conversion Rates'!B$6)+FF297</f>
        <v>492.66805802866378</v>
      </c>
      <c r="EP297" s="53">
        <f>(EF297*'[2]Renewable Diesel'!BF306*'[2]Feedstock Conversion Rates'!B$7)+FG297</f>
        <v>498.8242232473134</v>
      </c>
      <c r="EQ297" s="53">
        <f>(EG297*'[2]Renewable Diesel'!BF306*'[2]Feedstock Conversion Rates'!B$8)+FH297</f>
        <v>150.61127448565321</v>
      </c>
      <c r="ER297" s="53">
        <f>(EH297*'[2]Renewable Diesel'!BF306*'[2]Feedstock Conversion Rates'!B$9)+FI297</f>
        <v>6.3915322219001212</v>
      </c>
      <c r="ES297" s="53">
        <f t="shared" si="228"/>
        <v>5914.2767864388134</v>
      </c>
      <c r="ET297" s="36">
        <f>ES297/'[2]Renewable Diesel'!BF306</f>
        <v>7.8866075425771891</v>
      </c>
    </row>
    <row r="298" spans="1:150" x14ac:dyDescent="0.25">
      <c r="A298" s="39">
        <v>49491</v>
      </c>
      <c r="B298" s="45">
        <f t="shared" si="256"/>
        <v>125.75</v>
      </c>
      <c r="C298" s="45">
        <f t="shared" si="251"/>
        <v>49</v>
      </c>
      <c r="D298" s="45">
        <f t="shared" si="257"/>
        <v>2</v>
      </c>
      <c r="E298" s="45">
        <f>('[2]Renewable Diesel'!B307*E$3*'[2]Feedstock Conversion Rates'!$B$2)/12+26+13-100+27.5+39</f>
        <v>95.43</v>
      </c>
      <c r="F298" s="45">
        <f>('[2]Renewable Diesel'!B307*'[2]RD Feedstock Breakdown'!F$3*'[2]Feedstock Conversion Rates'!B$8)/12+77+23-10-12-115.75+24+8+1</f>
        <v>49.15625</v>
      </c>
      <c r="G298" s="45">
        <f>('[2]Renewable Diesel'!B307*'[2]RD Feedstock Breakdown'!G$3*'[2]Feedstock Conversion Rates'!B$7)/12+116.75-39-57.5-145-31.5+32+70-40+10-50-12.5</f>
        <v>29.407000000000039</v>
      </c>
      <c r="H298" s="45">
        <f>('[2]Renewable Diesel'!B307*'[2]RD Feedstock Breakdown'!H$3*'[2]Feedstock Conversion Rates'!B$3)/12+67+10+12+3-235+20+47-20+65</f>
        <v>145.40022499999998</v>
      </c>
      <c r="I298" s="47">
        <f t="shared" si="245"/>
        <v>496.14347500000002</v>
      </c>
      <c r="J298" s="45">
        <f t="shared" si="258"/>
        <v>59</v>
      </c>
      <c r="K298" s="45"/>
      <c r="L298" s="45">
        <v>1</v>
      </c>
      <c r="M298" s="45">
        <f>('[2]Renewable Diesel'!C307*'[2]RD Feedstock Breakdown'!M$3*'[2]Feedstock Conversion Rates'!B$2)/12-55</f>
        <v>-47.20975</v>
      </c>
      <c r="N298" s="45">
        <f>('[2]Renewable Diesel'!C307*'[2]RD Feedstock Breakdown'!N$3*'[2]Feedstock Conversion Rates'!B$8)/12-10</f>
        <v>-6.328125</v>
      </c>
      <c r="O298" s="45">
        <f>('[2]Renewable Diesel'!C307*'[2]RD Feedstock Breakdown'!O$3*'[2]Feedstock Conversion Rates'!B$7)/12-45</f>
        <v>-33.000900000000001</v>
      </c>
      <c r="P298" s="45">
        <f>('[2]Renewable Diesel'!C307*'[2]RD Feedstock Breakdown'!P$3*'[2]Feedstock Conversion Rates'!B$3)/12+15+35</f>
        <v>60.447042500000002</v>
      </c>
      <c r="Q298" s="47">
        <f t="shared" si="252"/>
        <v>33.908267500000001</v>
      </c>
      <c r="R298" s="45">
        <f>('[2]Renewable Diesel'!D307*'[2]RD Feedstock Breakdown'!R$3*'[2]Feedstock Conversion Rates'!B$7)/12</f>
        <v>2.2999999999999998</v>
      </c>
      <c r="S298" s="47">
        <f t="shared" si="203"/>
        <v>2.2999999999999998</v>
      </c>
      <c r="T298" s="45">
        <f t="shared" si="253"/>
        <v>0.82499999999999929</v>
      </c>
      <c r="U298" s="45"/>
      <c r="V298" s="45">
        <f>('[2]Renewable Diesel'!E307*'[2]RD Feedstock Breakdown'!V$3*'[2]Feedstock Conversion Rates'!B$6)/12-20+25</f>
        <v>49.250150000000012</v>
      </c>
      <c r="W298" s="45">
        <f>('[2]Renewable Diesel'!E307*'[2]RD Feedstock Breakdown'!W$3*'[2]Feedstock Conversion Rates'!B$8)/12-6</f>
        <v>16.1796875</v>
      </c>
      <c r="X298" s="47">
        <f t="shared" si="229"/>
        <v>66.254837500000008</v>
      </c>
      <c r="Y298" s="45">
        <f t="shared" si="254"/>
        <v>98</v>
      </c>
      <c r="Z298" s="45">
        <f>('[2]Renewable Diesel'!F307*'[2]RD Feedstock Breakdown'!Z$3*'[2]Feedstock Conversion Rates'!B$6)/12-142+15+5</f>
        <v>37.460000000000008</v>
      </c>
      <c r="AA298" s="45">
        <f>('[2]Renewable Diesel'!F307*'[2]RD Feedstock Breakdown'!AA$3*'[2]Feedstock Conversion Rates'!B$7)/12+24</f>
        <v>128.26666666666665</v>
      </c>
      <c r="AB298" s="47">
        <f t="shared" si="190"/>
        <v>263.72666666666669</v>
      </c>
      <c r="AC298" s="45">
        <f>('[2]Renewable Diesel'!G307*'[2]RD Feedstock Breakdown'!AC$3*'[2]Feedstock Conversion Rates'!B$5)/12</f>
        <v>11.796875</v>
      </c>
      <c r="AD298" s="45">
        <f>('[2]Renewable Diesel'!G307*'[2]RD Feedstock Breakdown'!AD$3*'[2]Feedstock Conversion Rates'!B$4)/12</f>
        <v>5.859375</v>
      </c>
      <c r="AE298" s="45">
        <f>('[2]Renewable Diesel'!G307*'[2]RD Feedstock Breakdown'!AE$3*'[2]Feedstock Conversion Rates'!B$6)/12</f>
        <v>7.3281250000000009</v>
      </c>
      <c r="AF298" s="47">
        <f t="shared" si="236"/>
        <v>24.984375</v>
      </c>
      <c r="AG298" s="45">
        <f t="shared" si="259"/>
        <v>148</v>
      </c>
      <c r="AH298" s="45"/>
      <c r="AI298" s="45">
        <f>('[2]Renewable Diesel'!H307*'[2]RD Feedstock Breakdown'!AI$3*'[2]Feedstock Conversion Rates'!B$6)/12-130-20+51-49</f>
        <v>0.51666666666667993</v>
      </c>
      <c r="AJ298" s="47">
        <f t="shared" si="202"/>
        <v>148.51666666666668</v>
      </c>
      <c r="AK298" s="45">
        <f>('[2]Renewable Diesel'!J307*'[2]RD Feedstock Breakdown'!AK$3*'[2]Feedstock Conversion Rates'!B$4)/12</f>
        <v>95.8125</v>
      </c>
      <c r="AL298" s="47">
        <f t="shared" si="205"/>
        <v>95.8125</v>
      </c>
      <c r="AM298" s="45">
        <f>('[2]Renewable Diesel'!K307*'[2]RD Feedstock Breakdown'!AM$3*'[2]Feedstock Conversion Rates'!B$4)/12+5+15-10</f>
        <v>68.59375</v>
      </c>
      <c r="AN298" s="45">
        <f>('[2]Renewable Diesel'!K307*'[2]RD Feedstock Breakdown'!AN$3*'[2]Feedstock Conversion Rates'!B$6)/12-5-15+10</f>
        <v>14.427083333333332</v>
      </c>
      <c r="AO298" s="47">
        <f t="shared" si="223"/>
        <v>83.020833333333329</v>
      </c>
      <c r="AP298" s="45">
        <f>('[2]Renewable Diesel'!L307*'[2]RD Feedstock Breakdown'!AP$3*'[2]Feedstock Conversion Rates'!B$4)/12+15-10</f>
        <v>63.59375</v>
      </c>
      <c r="AQ298" s="45">
        <f>('[2]Renewable Diesel'!L307*'[2]RD Feedstock Breakdown'!AQ$3*'[2]Feedstock Conversion Rates'!B$6)/12-15+10</f>
        <v>19.427083333333332</v>
      </c>
      <c r="AR298" s="47">
        <f t="shared" si="207"/>
        <v>83.020833333333329</v>
      </c>
      <c r="AS298" s="45">
        <f>('[2]Renewable Diesel'!M307*'[2]RD Feedstock Breakdown'!AS$3*'[2]Feedstock Conversion Rates'!B$4)/12</f>
        <v>456.25</v>
      </c>
      <c r="AT298" s="45">
        <f>('[2]Renewable Diesel'!M307*'[2]RD Feedstock Breakdown'!AT$3*'[2]Feedstock Conversion Rates'!B$5)/12</f>
        <v>0</v>
      </c>
      <c r="AU298" s="47">
        <f t="shared" si="244"/>
        <v>456.25</v>
      </c>
      <c r="AV298" s="45">
        <f>'[2]Renewable Diesel'!N307*'[2]RD Feedstock Breakdown'!$AV$3*'[2]Feedstock Conversion Rates'!$B$4/12-15-10+25+25-22+25</f>
        <v>106.74999999999999</v>
      </c>
      <c r="AW298" s="45">
        <f>'[2]Renewable Diesel'!N307*'[2]RD Feedstock Breakdown'!$AW$3*'[2]Feedstock Conversion Rates'!$B$7/12+15+10-25-25+22-25</f>
        <v>13.400000000000006</v>
      </c>
      <c r="AX298" s="47">
        <f t="shared" si="193"/>
        <v>120.14999999999999</v>
      </c>
      <c r="AY298" s="45">
        <f>('[2]Renewable Diesel'!O307*'[2]RD Feedstock Breakdown'!AY$3*'[2]Feedstock Conversion Rates'!B$4)/12-90</f>
        <v>120.9375</v>
      </c>
      <c r="AZ298" s="45">
        <f>('[2]Renewable Diesel'!O307*'[2]RD Feedstock Breakdown'!AZ$3*'[2]Feedstock Conversion Rates'!B$3)/12+90</f>
        <v>115.03125</v>
      </c>
      <c r="BA298" s="47">
        <f t="shared" si="255"/>
        <v>235.96875</v>
      </c>
      <c r="BB298" s="45">
        <f>('[2]Renewable Diesel'!Q307*'[2]RD Feedstock Breakdown'!BB$3*'[2]Feedstock Conversion Rates'!B$4)/12</f>
        <v>11.156249999999998</v>
      </c>
      <c r="BC298" s="45">
        <f>('[2]Renewable Diesel'!Q307*'[2]RD Feedstock Breakdown'!BC$3*'[2]Feedstock Conversion Rates'!B$3)/12</f>
        <v>1.4017500000000001</v>
      </c>
      <c r="BD298" s="45">
        <f>('[2]Renewable Diesel'!Q307*'[2]RD Feedstock Breakdown'!BD$3*'[2]Feedstock Conversion Rates'!B$6)/12</f>
        <v>0.8207500000000002</v>
      </c>
      <c r="BE298" s="47">
        <f t="shared" si="231"/>
        <v>13.378749999999998</v>
      </c>
      <c r="BF298" s="45">
        <f>('[2]Renewable Diesel'!R307*'[2]RD Feedstock Breakdown'!BF$3*'[2]Feedstock Conversion Rates'!B$4)/12</f>
        <v>62.5</v>
      </c>
      <c r="BG298" s="47">
        <f t="shared" si="215"/>
        <v>62.5</v>
      </c>
      <c r="BH298" s="45">
        <f>('[2]Renewable Diesel'!T307*'[2]RD Feedstock Breakdown'!BH$3*'[2]Feedstock Conversion Rates'!B$7)/12</f>
        <v>27.599999999999998</v>
      </c>
      <c r="BI298" s="47">
        <f t="shared" si="195"/>
        <v>27.599999999999998</v>
      </c>
      <c r="BJ298" s="45">
        <f>('[2]Renewable Diesel'!W307*'[2]RD Feedstock Breakdown'!BJ$3*'[2]Feedstock Conversion Rates'!B$4)/12</f>
        <v>7.5</v>
      </c>
      <c r="BK298" s="45">
        <f>('[2]Renewable Diesel'!W307*'[2]RD Feedstock Breakdown'!BK$3*'[2]Feedstock Conversion Rates'!B$3)/12</f>
        <v>1.335</v>
      </c>
      <c r="BL298" s="45">
        <f>('[2]Renewable Diesel'!W307*'[2]RD Feedstock Breakdown'!BL$3*'[2]Feedstock Conversion Rates'!B$6)/12</f>
        <v>3.1266666666666669</v>
      </c>
      <c r="BM298" s="45">
        <f>('[2]Renewable Diesel'!W307*'[2]RD Feedstock Breakdown'!BM$3*'[2]Feedstock Conversion Rates'!B$7)/12</f>
        <v>1.5333333333333332</v>
      </c>
      <c r="BN298" s="47">
        <f t="shared" si="248"/>
        <v>13.495000000000001</v>
      </c>
      <c r="BO298" s="45">
        <f>('[2]Renewable Diesel'!P307*'[2]Feedstock Conversion Rates'!B$4)/12</f>
        <v>31.25</v>
      </c>
      <c r="BP298" s="47">
        <f t="shared" si="237"/>
        <v>31.25</v>
      </c>
      <c r="BQ298" s="45">
        <f>('[2]Renewable Diesel'!$S307*'[2]RD Feedstock Breakdown'!BQ$3*'[2]Feedstock Conversion Rates'!B$4)/12+10+15-15</f>
        <v>38.125</v>
      </c>
      <c r="BR298" s="45">
        <f>('[2]Renewable Diesel'!$S307*'[2]RD Feedstock Breakdown'!BR$3*'[2]Feedstock Conversion Rates'!B$7)/12-10-15+15</f>
        <v>1.5</v>
      </c>
      <c r="BS298" s="47">
        <f t="shared" si="260"/>
        <v>39.625</v>
      </c>
      <c r="BT298" s="47"/>
      <c r="BU298" s="45">
        <f>('[2]Renewable Diesel'!Y307*'[2]Feedstock Conversion Rates'!B$7)/12</f>
        <v>2.6833333333333331</v>
      </c>
      <c r="BV298" s="47">
        <f t="shared" si="233"/>
        <v>2.6833333333333331</v>
      </c>
      <c r="BW298" s="45">
        <f>('[2]Renewable Diesel'!$Z307*'[2]RD Feedstock Breakdown'!BW$3*'[2]Feedstock Conversion Rates'!$B$4)/12</f>
        <v>71.875</v>
      </c>
      <c r="BX298" s="45">
        <f>('[2]Renewable Diesel'!$Z307*'[2]RD Feedstock Breakdown'!BX$3*'[2]Feedstock Conversion Rates'!$B$5)/12</f>
        <v>7.2354166666666666</v>
      </c>
      <c r="BY298" s="45">
        <f>('[2]Renewable Diesel'!$Z307*'[2]RD Feedstock Breakdown'!BY$3*'[2]Feedstock Conversion Rates'!$B$7)/12</f>
        <v>61.716666666666661</v>
      </c>
      <c r="BZ298" s="45">
        <f>('[2]Renewable Diesel'!$Z307*'[2]RD Feedstock Breakdown'!BZ$3*'[2]Feedstock Conversion Rates'!$B$3)/12</f>
        <v>15.352499999999999</v>
      </c>
      <c r="CA298" s="47">
        <f t="shared" si="262"/>
        <v>156.17958333333331</v>
      </c>
      <c r="CB298" s="45">
        <f>('[2]Renewable Diesel'!AA307*'[2]Feedstock Conversion Rates'!B$4)/12</f>
        <v>191.25</v>
      </c>
      <c r="CC298" s="47">
        <f t="shared" si="250"/>
        <v>191.25</v>
      </c>
      <c r="CD298" s="45">
        <f>('[2]Renewable Diesel'!$AB307*'[2]RD Feedstock Breakdown'!CD$3*'[2]Feedstock Conversion Rates'!$B$6)/12-15-5</f>
        <v>12.830000000000005</v>
      </c>
      <c r="CE298" s="45">
        <f>('[2]Renewable Diesel'!$AB307*'[2]RD Feedstock Breakdown'!CE$3*'[2]Feedstock Conversion Rates'!$B$4)/12+15+5</f>
        <v>31.25</v>
      </c>
      <c r="CF298" s="47">
        <f t="shared" si="247"/>
        <v>44.080000000000005</v>
      </c>
      <c r="CG298" s="45">
        <f>('[2]Renewable Diesel'!AD307*'[2]Feedstock Conversion Rates'!B$4)/12</f>
        <v>112.5</v>
      </c>
      <c r="CH298" s="47">
        <f t="shared" si="230"/>
        <v>112.5</v>
      </c>
      <c r="CI298" s="45">
        <f>('[2]Renewable Diesel'!$AE307*'[2]RD Feedstock Breakdown'!CI$3*'[2]Feedstock Conversion Rates'!$B$5)/12</f>
        <v>0.34604166666666664</v>
      </c>
      <c r="CJ298" s="45">
        <f>('[2]Renewable Diesel'!$AE307*'[2]RD Feedstock Breakdown'!CJ$3*'[2]Feedstock Conversion Rates'!$B$4)/12</f>
        <v>0.34375</v>
      </c>
      <c r="CK298" s="47">
        <f t="shared" si="238"/>
        <v>0.68979166666666658</v>
      </c>
      <c r="CL298" s="45">
        <f>(((CL$3*'[2]Renewable Diesel'!$AF307)*'[2]Feedstock Conversion Rates'!$B$3)/12)</f>
        <v>91.78125</v>
      </c>
      <c r="CM298" s="45">
        <f>(((CM$3*'[2]Renewable Diesel'!$AF307)*'[2]Feedstock Conversion Rates'!$B$6)/12)</f>
        <v>53.739583333333336</v>
      </c>
      <c r="CN298" s="45">
        <f>(((CN$3*'[2]Renewable Diesel'!$AF307)*'[2]Feedstock Conversion Rates'!$B$4)/12)</f>
        <v>42.96875</v>
      </c>
      <c r="CO298" s="47">
        <f t="shared" si="232"/>
        <v>188.48958333333334</v>
      </c>
      <c r="CP298" s="45">
        <f>('[2]Renewable Diesel'!$AG307*'[2]RD Feedstock Breakdown'!CP$3*'[2]Feedstock Conversion Rates'!$B$3)/12</f>
        <v>6.0075000000000003</v>
      </c>
      <c r="CQ298" s="45">
        <f>('[2]Renewable Diesel'!$AG307*'[2]RD Feedstock Breakdown'!CQ$3*'[2]Feedstock Conversion Rates'!$B$6)/12</f>
        <v>3.5175000000000001</v>
      </c>
      <c r="CR298" s="45">
        <f>('[2]Renewable Diesel'!$AG307*'[2]RD Feedstock Breakdown'!CR$3*'[2]Feedstock Conversion Rates'!$B$4)/12</f>
        <v>2.8125</v>
      </c>
      <c r="CS298" s="47">
        <f t="shared" si="183"/>
        <v>12.3375</v>
      </c>
      <c r="CT298" s="45">
        <f>('[2]Renewable Diesel'!AI307*'[2]Feedstock Conversion Rates'!$B$4*'[2]RD Feedstock Breakdown'!$CT$3)/12</f>
        <v>29.375</v>
      </c>
      <c r="CU298" s="47">
        <f t="shared" si="234"/>
        <v>29.375</v>
      </c>
      <c r="CV298" s="45">
        <f>('[2]Renewable Diesel'!AN307*'[2]Feedstock Conversion Rates'!$B$3*'[2]RD Feedstock Breakdown'!$CV$3)/12</f>
        <v>0.50062499999999999</v>
      </c>
      <c r="CW298" s="47">
        <f t="shared" si="206"/>
        <v>0.50062499999999999</v>
      </c>
      <c r="CX298" s="45">
        <f>('[2]Renewable Diesel'!AO307*'[2]RD Feedstock Breakdown'!$CX$3*'[2]Feedstock Conversion Rates'!$B$3)/12</f>
        <v>6.3412499999999996</v>
      </c>
      <c r="CY298" s="45">
        <f>('[2]Renewable Diesel'!AO307*'[2]RD Feedstock Breakdown'!$CY$3*'[2]Feedstock Conversion Rates'!$B$6)/12</f>
        <v>7.4258333333333342</v>
      </c>
      <c r="CZ298" s="47">
        <f t="shared" si="188"/>
        <v>13.767083333333334</v>
      </c>
      <c r="DA298" s="45">
        <f>('[2]Renewable Diesel'!$AP307*'[2]RD Feedstock Breakdown'!DA$3*'[2]Feedstock Conversion Rates'!$B$3)/12</f>
        <v>6.3412499999999996</v>
      </c>
      <c r="DB298" s="45">
        <f>('[2]Renewable Diesel'!$AP307*'[2]RD Feedstock Breakdown'!DB$3*'[2]Feedstock Conversion Rates'!$B$8)/12</f>
        <v>7.421875</v>
      </c>
      <c r="DC298" s="47">
        <f t="shared" si="212"/>
        <v>13.763124999999999</v>
      </c>
      <c r="DD298" s="45">
        <f>('[2]Renewable Diesel'!AQ307*$DD$3*'[2]Feedstock Conversion Rates'!$B$14)/12</f>
        <v>3.1041666666666665</v>
      </c>
      <c r="DE298" s="47">
        <f t="shared" si="213"/>
        <v>3.1041666666666665</v>
      </c>
      <c r="DF298" s="45">
        <f>('[2]Renewable Diesel'!AR307*'[2]Feedstock Conversion Rates'!$B$4*$DF$3)/12</f>
        <v>75</v>
      </c>
      <c r="DG298" s="47">
        <f t="shared" si="189"/>
        <v>75</v>
      </c>
      <c r="DH298" s="45">
        <f>('[2]Renewable Diesel'!AS307*'[2]Feedstock Conversion Rates'!$B$4*$DH$3)/12</f>
        <v>75</v>
      </c>
      <c r="DI298" s="47">
        <f t="shared" si="194"/>
        <v>75</v>
      </c>
      <c r="DJ298" s="45">
        <f>('[2]Renewable Diesel'!AT307*'[2]Feedstock Conversion Rates'!$B$4*0.25)/12</f>
        <v>8.59375</v>
      </c>
      <c r="DK298" s="45">
        <f>('[2]Renewable Diesel'!$AT307*'[2]RD Feedstock Breakdown'!DK$3*'[2]Feedstock Conversion Rates'!$B$3)/12*0.5</f>
        <v>9.1781249999999996</v>
      </c>
      <c r="DL298" s="45">
        <f>('[2]Renewable Diesel'!$AT307*'[2]RD Feedstock Breakdown'!$DL$3*'[2]Feedstock Conversion Rates'!$B$6)/12</f>
        <v>10.747916666666669</v>
      </c>
      <c r="DM298" s="45">
        <f>('[2]Renewable Diesel'!$AT307*'[2]RD Feedstock Breakdown'!$DM$3*'[2]Feedstock Conversion Rates'!$B$8)/12</f>
        <v>10.7421875</v>
      </c>
      <c r="DN298" s="47">
        <f t="shared" si="249"/>
        <v>39.26197916666667</v>
      </c>
      <c r="DP298" s="45">
        <f t="shared" si="216"/>
        <v>48.220250000000007</v>
      </c>
      <c r="DQ298" s="45">
        <f t="shared" si="217"/>
        <v>459.11776750000001</v>
      </c>
      <c r="DR298" s="45">
        <f t="shared" si="224"/>
        <v>1983.453125</v>
      </c>
      <c r="DS298" s="45">
        <f t="shared" si="235"/>
        <v>228.90125</v>
      </c>
      <c r="DT298" s="45">
        <f t="shared" si="218"/>
        <v>228.03923333333341</v>
      </c>
      <c r="DU298" s="45">
        <f t="shared" si="219"/>
        <v>235.40610000000001</v>
      </c>
      <c r="DV298" s="45">
        <f t="shared" si="225"/>
        <v>69.75</v>
      </c>
      <c r="DW298" s="45">
        <f t="shared" si="220"/>
        <v>3</v>
      </c>
      <c r="DX298" s="47">
        <f t="shared" si="226"/>
        <v>3255.8877258333337</v>
      </c>
      <c r="DY298" s="50">
        <f t="shared" si="208"/>
        <v>-5.631051180898794E-13</v>
      </c>
      <c r="EA298" s="51">
        <f t="shared" si="263"/>
        <v>1.4810169778707033E-2</v>
      </c>
      <c r="EB298" s="51">
        <f t="shared" si="263"/>
        <v>0.14101154774386157</v>
      </c>
      <c r="EC298" s="51">
        <f t="shared" si="263"/>
        <v>0.60918965640694556</v>
      </c>
      <c r="ED298" s="51">
        <f t="shared" si="261"/>
        <v>7.0303790939662547E-2</v>
      </c>
      <c r="EE298" s="51">
        <f t="shared" si="261"/>
        <v>7.0039034676776982E-2</v>
      </c>
      <c r="EF298" s="51">
        <f t="shared" si="261"/>
        <v>7.2301663884846823E-2</v>
      </c>
      <c r="EG298" s="51">
        <f t="shared" si="261"/>
        <v>2.1422728875624148E-2</v>
      </c>
      <c r="EH298" s="52">
        <f t="shared" si="227"/>
        <v>9.2140769357523225E-4</v>
      </c>
      <c r="EI298" s="51">
        <f t="shared" si="191"/>
        <v>0.9990785923064246</v>
      </c>
      <c r="EK298" s="53">
        <f>(EA298*'[2]Renewable Diesel'!BF307*'[2]Feedstock Conversion Rates'!B$2)+FB298</f>
        <v>98.25761432146551</v>
      </c>
      <c r="EL298" s="53">
        <f>(EB298*'[2]Renewable Diesel'!BF307*'[2]Feedstock Conversion Rates'!B$3)+FC298</f>
        <v>881.60581884520582</v>
      </c>
      <c r="EM298" s="53">
        <f>(EC298*'[2]Renewable Diesel'!BF307*'[2]Feedstock Conversion Rates'!B$4)+FD298</f>
        <v>3566.1617421706001</v>
      </c>
      <c r="EN298" s="53">
        <f>(ED298*'[2]Renewable Diesel'!BF307*'[2]Feedstock Conversion Rates'!B$5)+FE298</f>
        <v>414.29810599713318</v>
      </c>
      <c r="EO298" s="53">
        <f>(EE298*'[2]Renewable Diesel'!BF307*'[2]Feedstock Conversion Rates'!B$6)+FF298</f>
        <v>512.77901356696395</v>
      </c>
      <c r="EP298" s="53">
        <f>(EF298*'[2]Renewable Diesel'!BF307*'[2]Feedstock Conversion Rates'!B$7)+FG298</f>
        <v>519.18647651636979</v>
      </c>
      <c r="EQ298" s="53">
        <f>(EG298*'[2]Renewable Diesel'!BF307*'[2]Feedstock Conversion Rates'!B$8)+FH298</f>
        <v>156.75930173318272</v>
      </c>
      <c r="ER298" s="53">
        <f>(EH298*'[2]Renewable Diesel'!BF307*'[2]Feedstock Conversion Rates'!B$9)+FI298</f>
        <v>6.6524377509709094</v>
      </c>
      <c r="ES298" s="53">
        <f t="shared" si="228"/>
        <v>6155.7005109018928</v>
      </c>
      <c r="ET298" s="36">
        <f>ES298/'[2]Renewable Diesel'!BF307</f>
        <v>7.8866075425771918</v>
      </c>
    </row>
    <row r="299" spans="1:150" x14ac:dyDescent="0.25">
      <c r="A299" s="39">
        <v>49522</v>
      </c>
      <c r="B299" s="45">
        <f t="shared" si="256"/>
        <v>125.75</v>
      </c>
      <c r="C299" s="45">
        <f t="shared" si="251"/>
        <v>49</v>
      </c>
      <c r="D299" s="45">
        <f t="shared" si="257"/>
        <v>2</v>
      </c>
      <c r="E299" s="45">
        <f>('[2]Renewable Diesel'!B308*E$3*'[2]Feedstock Conversion Rates'!$B$2)/12+26+13-100+27.5+39</f>
        <v>95.43</v>
      </c>
      <c r="F299" s="45">
        <f>('[2]Renewable Diesel'!B308*'[2]RD Feedstock Breakdown'!F$3*'[2]Feedstock Conversion Rates'!B$8)/12+77+23-10-12-115.75+24+8+1</f>
        <v>49.15625</v>
      </c>
      <c r="G299" s="45">
        <f>('[2]Renewable Diesel'!B308*'[2]RD Feedstock Breakdown'!G$3*'[2]Feedstock Conversion Rates'!B$7)/12+116.75-39-57.5-145-31.5+32+70-40+10-50-12.5</f>
        <v>29.407000000000039</v>
      </c>
      <c r="H299" s="45">
        <f>('[2]Renewable Diesel'!B308*'[2]RD Feedstock Breakdown'!H$3*'[2]Feedstock Conversion Rates'!B$3)/12+67+10+12+3-235+20+47-20+65</f>
        <v>145.40022499999998</v>
      </c>
      <c r="I299" s="47">
        <f t="shared" si="245"/>
        <v>496.14347500000002</v>
      </c>
      <c r="J299" s="45">
        <f t="shared" si="258"/>
        <v>59</v>
      </c>
      <c r="K299" s="45"/>
      <c r="L299" s="45">
        <v>1</v>
      </c>
      <c r="M299" s="45">
        <f>('[2]Renewable Diesel'!C308*'[2]RD Feedstock Breakdown'!M$3*'[2]Feedstock Conversion Rates'!B$2)/12-55</f>
        <v>-47.20975</v>
      </c>
      <c r="N299" s="45">
        <f>('[2]Renewable Diesel'!C308*'[2]RD Feedstock Breakdown'!N$3*'[2]Feedstock Conversion Rates'!B$8)/12-10</f>
        <v>-6.328125</v>
      </c>
      <c r="O299" s="45">
        <f>('[2]Renewable Diesel'!C308*'[2]RD Feedstock Breakdown'!O$3*'[2]Feedstock Conversion Rates'!B$7)/12-45</f>
        <v>-33.000900000000001</v>
      </c>
      <c r="P299" s="45">
        <f>('[2]Renewable Diesel'!C308*'[2]RD Feedstock Breakdown'!P$3*'[2]Feedstock Conversion Rates'!B$3)/12+15+35</f>
        <v>60.447042500000002</v>
      </c>
      <c r="Q299" s="47">
        <f t="shared" si="252"/>
        <v>33.908267500000001</v>
      </c>
      <c r="R299" s="45">
        <f>('[2]Renewable Diesel'!D308*'[2]RD Feedstock Breakdown'!R$3*'[2]Feedstock Conversion Rates'!B$7)/12</f>
        <v>2.2999999999999998</v>
      </c>
      <c r="S299" s="47">
        <f t="shared" si="203"/>
        <v>2.2999999999999998</v>
      </c>
      <c r="T299" s="45">
        <f t="shared" si="253"/>
        <v>0.82499999999999929</v>
      </c>
      <c r="U299" s="45"/>
      <c r="V299" s="45">
        <f>('[2]Renewable Diesel'!E308*'[2]RD Feedstock Breakdown'!V$3*'[2]Feedstock Conversion Rates'!B$6)/12-20+25</f>
        <v>49.250150000000012</v>
      </c>
      <c r="W299" s="45">
        <f>('[2]Renewable Diesel'!E308*'[2]RD Feedstock Breakdown'!W$3*'[2]Feedstock Conversion Rates'!B$8)/12-6</f>
        <v>16.1796875</v>
      </c>
      <c r="X299" s="47">
        <f t="shared" si="229"/>
        <v>66.254837500000008</v>
      </c>
      <c r="Y299" s="45">
        <f t="shared" si="254"/>
        <v>98</v>
      </c>
      <c r="Z299" s="45">
        <f>('[2]Renewable Diesel'!F308*'[2]RD Feedstock Breakdown'!Z$3*'[2]Feedstock Conversion Rates'!B$6)/12-142+15+5</f>
        <v>37.460000000000008</v>
      </c>
      <c r="AA299" s="45">
        <f>('[2]Renewable Diesel'!F308*'[2]RD Feedstock Breakdown'!AA$3*'[2]Feedstock Conversion Rates'!B$7)/12+24</f>
        <v>128.26666666666665</v>
      </c>
      <c r="AB299" s="47">
        <f t="shared" si="190"/>
        <v>263.72666666666669</v>
      </c>
      <c r="AC299" s="45">
        <f>('[2]Renewable Diesel'!G308*'[2]RD Feedstock Breakdown'!AC$3*'[2]Feedstock Conversion Rates'!B$5)/12</f>
        <v>11.796875</v>
      </c>
      <c r="AD299" s="45">
        <f>('[2]Renewable Diesel'!G308*'[2]RD Feedstock Breakdown'!AD$3*'[2]Feedstock Conversion Rates'!B$4)/12</f>
        <v>5.859375</v>
      </c>
      <c r="AE299" s="45">
        <f>('[2]Renewable Diesel'!G308*'[2]RD Feedstock Breakdown'!AE$3*'[2]Feedstock Conversion Rates'!B$6)/12</f>
        <v>7.3281250000000009</v>
      </c>
      <c r="AF299" s="47">
        <f t="shared" si="236"/>
        <v>24.984375</v>
      </c>
      <c r="AG299" s="45">
        <f t="shared" si="259"/>
        <v>148</v>
      </c>
      <c r="AH299" s="45"/>
      <c r="AI299" s="45">
        <f>('[2]Renewable Diesel'!H308*'[2]RD Feedstock Breakdown'!AI$3*'[2]Feedstock Conversion Rates'!B$6)/12-130-20+51-49</f>
        <v>0.51666666666667993</v>
      </c>
      <c r="AJ299" s="47">
        <f t="shared" si="202"/>
        <v>148.51666666666668</v>
      </c>
      <c r="AK299" s="45">
        <f>('[2]Renewable Diesel'!J308*'[2]RD Feedstock Breakdown'!AK$3*'[2]Feedstock Conversion Rates'!B$4)/12</f>
        <v>95.8125</v>
      </c>
      <c r="AL299" s="47">
        <f t="shared" si="205"/>
        <v>95.8125</v>
      </c>
      <c r="AM299" s="45">
        <f>('[2]Renewable Diesel'!K308*'[2]RD Feedstock Breakdown'!AM$3*'[2]Feedstock Conversion Rates'!B$4)/12+5+15-10</f>
        <v>68.59375</v>
      </c>
      <c r="AN299" s="45">
        <f>('[2]Renewable Diesel'!K308*'[2]RD Feedstock Breakdown'!AN$3*'[2]Feedstock Conversion Rates'!B$6)/12-5-15+10</f>
        <v>14.427083333333332</v>
      </c>
      <c r="AO299" s="47">
        <f t="shared" si="223"/>
        <v>83.020833333333329</v>
      </c>
      <c r="AP299" s="45">
        <f>('[2]Renewable Diesel'!L308*'[2]RD Feedstock Breakdown'!AP$3*'[2]Feedstock Conversion Rates'!B$4)/12+15-10</f>
        <v>63.59375</v>
      </c>
      <c r="AQ299" s="45">
        <f>('[2]Renewable Diesel'!L308*'[2]RD Feedstock Breakdown'!AQ$3*'[2]Feedstock Conversion Rates'!B$6)/12-15+10</f>
        <v>19.427083333333332</v>
      </c>
      <c r="AR299" s="47">
        <f t="shared" si="207"/>
        <v>83.020833333333329</v>
      </c>
      <c r="AS299" s="45">
        <f>('[2]Renewable Diesel'!M308*'[2]RD Feedstock Breakdown'!AS$3*'[2]Feedstock Conversion Rates'!B$4)/12</f>
        <v>456.25</v>
      </c>
      <c r="AT299" s="45">
        <f>('[2]Renewable Diesel'!M308*'[2]RD Feedstock Breakdown'!AT$3*'[2]Feedstock Conversion Rates'!B$5)/12</f>
        <v>0</v>
      </c>
      <c r="AU299" s="47">
        <f t="shared" si="244"/>
        <v>456.25</v>
      </c>
      <c r="AV299" s="45">
        <f>'[2]Renewable Diesel'!N308*'[2]RD Feedstock Breakdown'!$AV$3*'[2]Feedstock Conversion Rates'!$B$4/12-15-10+25+25-22+25</f>
        <v>106.74999999999999</v>
      </c>
      <c r="AW299" s="45">
        <f>'[2]Renewable Diesel'!N308*'[2]RD Feedstock Breakdown'!$AW$3*'[2]Feedstock Conversion Rates'!$B$7/12+15+10-25-25+22-25</f>
        <v>13.400000000000006</v>
      </c>
      <c r="AX299" s="47">
        <f t="shared" si="193"/>
        <v>120.14999999999999</v>
      </c>
      <c r="AY299" s="45">
        <f>('[2]Renewable Diesel'!O308*'[2]RD Feedstock Breakdown'!AY$3*'[2]Feedstock Conversion Rates'!B$4)/12-90</f>
        <v>120.9375</v>
      </c>
      <c r="AZ299" s="45">
        <f>('[2]Renewable Diesel'!O308*'[2]RD Feedstock Breakdown'!AZ$3*'[2]Feedstock Conversion Rates'!B$3)/12+90</f>
        <v>115.03125</v>
      </c>
      <c r="BA299" s="47">
        <f t="shared" si="255"/>
        <v>235.96875</v>
      </c>
      <c r="BB299" s="45">
        <f>('[2]Renewable Diesel'!Q308*'[2]RD Feedstock Breakdown'!BB$3*'[2]Feedstock Conversion Rates'!B$4)/12</f>
        <v>11.156249999999998</v>
      </c>
      <c r="BC299" s="45">
        <f>('[2]Renewable Diesel'!Q308*'[2]RD Feedstock Breakdown'!BC$3*'[2]Feedstock Conversion Rates'!B$3)/12</f>
        <v>1.4017500000000001</v>
      </c>
      <c r="BD299" s="45">
        <f>('[2]Renewable Diesel'!Q308*'[2]RD Feedstock Breakdown'!BD$3*'[2]Feedstock Conversion Rates'!B$6)/12</f>
        <v>0.8207500000000002</v>
      </c>
      <c r="BE299" s="47">
        <f t="shared" si="231"/>
        <v>13.378749999999998</v>
      </c>
      <c r="BF299" s="45">
        <f>('[2]Renewable Diesel'!R308*'[2]RD Feedstock Breakdown'!BF$3*'[2]Feedstock Conversion Rates'!B$4)/12</f>
        <v>62.5</v>
      </c>
      <c r="BG299" s="47">
        <f t="shared" si="215"/>
        <v>62.5</v>
      </c>
      <c r="BH299" s="45">
        <f>('[2]Renewable Diesel'!T308*'[2]RD Feedstock Breakdown'!BH$3*'[2]Feedstock Conversion Rates'!B$7)/12</f>
        <v>27.599999999999998</v>
      </c>
      <c r="BI299" s="47">
        <f t="shared" si="195"/>
        <v>27.599999999999998</v>
      </c>
      <c r="BJ299" s="45">
        <f>('[2]Renewable Diesel'!W308*'[2]RD Feedstock Breakdown'!BJ$3*'[2]Feedstock Conversion Rates'!B$4)/12</f>
        <v>7.5</v>
      </c>
      <c r="BK299" s="45">
        <f>('[2]Renewable Diesel'!W308*'[2]RD Feedstock Breakdown'!BK$3*'[2]Feedstock Conversion Rates'!B$3)/12</f>
        <v>1.335</v>
      </c>
      <c r="BL299" s="45">
        <f>('[2]Renewable Diesel'!W308*'[2]RD Feedstock Breakdown'!BL$3*'[2]Feedstock Conversion Rates'!B$6)/12</f>
        <v>3.1266666666666669</v>
      </c>
      <c r="BM299" s="45">
        <f>('[2]Renewable Diesel'!W308*'[2]RD Feedstock Breakdown'!BM$3*'[2]Feedstock Conversion Rates'!B$7)/12</f>
        <v>1.5333333333333332</v>
      </c>
      <c r="BN299" s="47">
        <f t="shared" si="248"/>
        <v>13.495000000000001</v>
      </c>
      <c r="BO299" s="45">
        <f>('[2]Renewable Diesel'!P308*'[2]Feedstock Conversion Rates'!B$4)/12</f>
        <v>31.25</v>
      </c>
      <c r="BP299" s="47">
        <f t="shared" si="237"/>
        <v>31.25</v>
      </c>
      <c r="BQ299" s="45">
        <f>('[2]Renewable Diesel'!$S308*'[2]RD Feedstock Breakdown'!BQ$3*'[2]Feedstock Conversion Rates'!B$4)/12+10+15-15</f>
        <v>38.125</v>
      </c>
      <c r="BR299" s="45">
        <f>('[2]Renewable Diesel'!$S308*'[2]RD Feedstock Breakdown'!BR$3*'[2]Feedstock Conversion Rates'!B$7)/12-10-15+15</f>
        <v>1.5</v>
      </c>
      <c r="BS299" s="47">
        <f t="shared" si="260"/>
        <v>39.625</v>
      </c>
      <c r="BT299" s="47"/>
      <c r="BU299" s="45">
        <f>('[2]Renewable Diesel'!Y308*'[2]Feedstock Conversion Rates'!B$7)/12</f>
        <v>2.6833333333333331</v>
      </c>
      <c r="BV299" s="47">
        <f t="shared" si="233"/>
        <v>2.6833333333333331</v>
      </c>
      <c r="BW299" s="45">
        <f>('[2]Renewable Diesel'!$Z308*'[2]RD Feedstock Breakdown'!BW$3*'[2]Feedstock Conversion Rates'!$B$4)/12</f>
        <v>71.875</v>
      </c>
      <c r="BX299" s="45">
        <f>('[2]Renewable Diesel'!$Z308*'[2]RD Feedstock Breakdown'!BX$3*'[2]Feedstock Conversion Rates'!$B$5)/12</f>
        <v>7.2354166666666666</v>
      </c>
      <c r="BY299" s="45">
        <f>('[2]Renewable Diesel'!$Z308*'[2]RD Feedstock Breakdown'!BY$3*'[2]Feedstock Conversion Rates'!$B$7)/12</f>
        <v>61.716666666666661</v>
      </c>
      <c r="BZ299" s="45">
        <f>('[2]Renewable Diesel'!$Z308*'[2]RD Feedstock Breakdown'!BZ$3*'[2]Feedstock Conversion Rates'!$B$3)/12</f>
        <v>15.352499999999999</v>
      </c>
      <c r="CA299" s="47">
        <f t="shared" si="262"/>
        <v>156.17958333333331</v>
      </c>
      <c r="CB299" s="45">
        <f>('[2]Renewable Diesel'!AA308*'[2]Feedstock Conversion Rates'!B$4)/12</f>
        <v>191.25</v>
      </c>
      <c r="CC299" s="47">
        <f t="shared" si="250"/>
        <v>191.25</v>
      </c>
      <c r="CD299" s="45">
        <f>('[2]Renewable Diesel'!$AB308*'[2]RD Feedstock Breakdown'!CD$3*'[2]Feedstock Conversion Rates'!$B$6)/12-15-5</f>
        <v>12.830000000000005</v>
      </c>
      <c r="CE299" s="45">
        <f>('[2]Renewable Diesel'!$AB308*'[2]RD Feedstock Breakdown'!CE$3*'[2]Feedstock Conversion Rates'!$B$4)/12+15+5</f>
        <v>31.25</v>
      </c>
      <c r="CF299" s="47">
        <f t="shared" si="247"/>
        <v>44.080000000000005</v>
      </c>
      <c r="CG299" s="45">
        <f>('[2]Renewable Diesel'!AD308*'[2]Feedstock Conversion Rates'!B$4)/12</f>
        <v>112.5</v>
      </c>
      <c r="CH299" s="47">
        <f t="shared" si="230"/>
        <v>112.5</v>
      </c>
      <c r="CI299" s="45">
        <f>('[2]Renewable Diesel'!$AE308*'[2]RD Feedstock Breakdown'!CI$3*'[2]Feedstock Conversion Rates'!$B$5)/12</f>
        <v>0.34604166666666664</v>
      </c>
      <c r="CJ299" s="45">
        <f>('[2]Renewable Diesel'!$AE308*'[2]RD Feedstock Breakdown'!CJ$3*'[2]Feedstock Conversion Rates'!$B$4)/12</f>
        <v>0.34375</v>
      </c>
      <c r="CK299" s="47">
        <f t="shared" si="238"/>
        <v>0.68979166666666658</v>
      </c>
      <c r="CL299" s="45">
        <f>(((CL$3*'[2]Renewable Diesel'!$AF308)*'[2]Feedstock Conversion Rates'!$B$3)/12)</f>
        <v>91.78125</v>
      </c>
      <c r="CM299" s="45">
        <f>(((CM$3*'[2]Renewable Diesel'!$AF308)*'[2]Feedstock Conversion Rates'!$B$6)/12)</f>
        <v>53.739583333333336</v>
      </c>
      <c r="CN299" s="45">
        <f>(((CN$3*'[2]Renewable Diesel'!$AF308)*'[2]Feedstock Conversion Rates'!$B$4)/12)</f>
        <v>42.96875</v>
      </c>
      <c r="CO299" s="47">
        <f t="shared" si="232"/>
        <v>188.48958333333334</v>
      </c>
      <c r="CP299" s="45">
        <f>('[2]Renewable Diesel'!$AG308*'[2]RD Feedstock Breakdown'!CP$3*'[2]Feedstock Conversion Rates'!$B$3)/12</f>
        <v>6.0075000000000003</v>
      </c>
      <c r="CQ299" s="45">
        <f>('[2]Renewable Diesel'!$AG308*'[2]RD Feedstock Breakdown'!CQ$3*'[2]Feedstock Conversion Rates'!$B$6)/12</f>
        <v>3.5175000000000001</v>
      </c>
      <c r="CR299" s="45">
        <f>('[2]Renewable Diesel'!$AG308*'[2]RD Feedstock Breakdown'!CR$3*'[2]Feedstock Conversion Rates'!$B$4)/12</f>
        <v>2.8125</v>
      </c>
      <c r="CS299" s="47">
        <f t="shared" si="183"/>
        <v>12.3375</v>
      </c>
      <c r="CT299" s="45">
        <f>('[2]Renewable Diesel'!AI308*'[2]Feedstock Conversion Rates'!$B$4*'[2]RD Feedstock Breakdown'!$CT$3)/12</f>
        <v>29.375</v>
      </c>
      <c r="CU299" s="47">
        <f t="shared" si="234"/>
        <v>29.375</v>
      </c>
      <c r="CV299" s="45">
        <f>('[2]Renewable Diesel'!AN308*'[2]Feedstock Conversion Rates'!$B$3*'[2]RD Feedstock Breakdown'!$CV$3)/12</f>
        <v>0.50062499999999999</v>
      </c>
      <c r="CW299" s="47">
        <f t="shared" si="206"/>
        <v>0.50062499999999999</v>
      </c>
      <c r="CX299" s="45">
        <f>('[2]Renewable Diesel'!AO308*'[2]RD Feedstock Breakdown'!$CX$3*'[2]Feedstock Conversion Rates'!$B$3)/12</f>
        <v>6.3412499999999996</v>
      </c>
      <c r="CY299" s="45">
        <f>('[2]Renewable Diesel'!AO308*'[2]RD Feedstock Breakdown'!$CY$3*'[2]Feedstock Conversion Rates'!$B$6)/12</f>
        <v>7.4258333333333342</v>
      </c>
      <c r="CZ299" s="47">
        <f t="shared" si="188"/>
        <v>13.767083333333334</v>
      </c>
      <c r="DA299" s="45">
        <f>('[2]Renewable Diesel'!$AP308*'[2]RD Feedstock Breakdown'!DA$3*'[2]Feedstock Conversion Rates'!$B$3)/12</f>
        <v>6.3412499999999996</v>
      </c>
      <c r="DB299" s="45">
        <f>('[2]Renewable Diesel'!$AP308*'[2]RD Feedstock Breakdown'!DB$3*'[2]Feedstock Conversion Rates'!$B$8)/12</f>
        <v>7.421875</v>
      </c>
      <c r="DC299" s="47">
        <f t="shared" si="212"/>
        <v>13.763124999999999</v>
      </c>
      <c r="DD299" s="45">
        <f>('[2]Renewable Diesel'!AQ308*$DD$3*'[2]Feedstock Conversion Rates'!$B$14)/12</f>
        <v>3.1041666666666665</v>
      </c>
      <c r="DE299" s="47">
        <f t="shared" si="213"/>
        <v>3.1041666666666665</v>
      </c>
      <c r="DF299" s="45">
        <f>('[2]Renewable Diesel'!AR308*'[2]Feedstock Conversion Rates'!$B$4*$DF$3)/12</f>
        <v>75</v>
      </c>
      <c r="DG299" s="47">
        <f t="shared" si="189"/>
        <v>75</v>
      </c>
      <c r="DH299" s="45">
        <f>('[2]Renewable Diesel'!AS308*'[2]Feedstock Conversion Rates'!$B$4*$DH$3)/12</f>
        <v>75</v>
      </c>
      <c r="DI299" s="47">
        <f t="shared" si="194"/>
        <v>75</v>
      </c>
      <c r="DJ299" s="45">
        <f>('[2]Renewable Diesel'!AT308*'[2]Feedstock Conversion Rates'!$B$4*0.25)/12</f>
        <v>8.59375</v>
      </c>
      <c r="DK299" s="45">
        <f>('[2]Renewable Diesel'!$AT308*'[2]RD Feedstock Breakdown'!DK$3*'[2]Feedstock Conversion Rates'!$B$3)/12*0.5</f>
        <v>9.1781249999999996</v>
      </c>
      <c r="DL299" s="45">
        <f>('[2]Renewable Diesel'!$AT308*'[2]RD Feedstock Breakdown'!$DL$3*'[2]Feedstock Conversion Rates'!$B$6)/12</f>
        <v>10.747916666666669</v>
      </c>
      <c r="DM299" s="45">
        <f>('[2]Renewable Diesel'!$AT308*'[2]RD Feedstock Breakdown'!$DM$3*'[2]Feedstock Conversion Rates'!$B$8)/12</f>
        <v>10.7421875</v>
      </c>
      <c r="DN299" s="47">
        <f t="shared" si="249"/>
        <v>39.26197916666667</v>
      </c>
      <c r="DP299" s="45">
        <f t="shared" si="216"/>
        <v>48.220250000000007</v>
      </c>
      <c r="DQ299" s="45">
        <f t="shared" si="217"/>
        <v>459.11776750000001</v>
      </c>
      <c r="DR299" s="45">
        <f t="shared" si="224"/>
        <v>1983.453125</v>
      </c>
      <c r="DS299" s="45">
        <f t="shared" si="235"/>
        <v>228.90125</v>
      </c>
      <c r="DT299" s="45">
        <f t="shared" si="218"/>
        <v>228.03923333333341</v>
      </c>
      <c r="DU299" s="45">
        <f t="shared" si="219"/>
        <v>235.40610000000001</v>
      </c>
      <c r="DV299" s="45">
        <f t="shared" si="225"/>
        <v>69.75</v>
      </c>
      <c r="DW299" s="45">
        <f t="shared" si="220"/>
        <v>3</v>
      </c>
      <c r="DX299" s="47">
        <f t="shared" si="226"/>
        <v>3255.8877258333337</v>
      </c>
      <c r="DY299" s="50">
        <f t="shared" si="208"/>
        <v>-5.631051180898794E-13</v>
      </c>
      <c r="EA299" s="51">
        <f t="shared" si="263"/>
        <v>1.4810169778707033E-2</v>
      </c>
      <c r="EB299" s="51">
        <f t="shared" si="263"/>
        <v>0.14101154774386157</v>
      </c>
      <c r="EC299" s="51">
        <f t="shared" si="263"/>
        <v>0.60918965640694556</v>
      </c>
      <c r="ED299" s="51">
        <f t="shared" si="261"/>
        <v>7.0303790939662547E-2</v>
      </c>
      <c r="EE299" s="51">
        <f t="shared" si="261"/>
        <v>7.0039034676776982E-2</v>
      </c>
      <c r="EF299" s="51">
        <f t="shared" si="261"/>
        <v>7.2301663884846823E-2</v>
      </c>
      <c r="EG299" s="51">
        <f t="shared" si="261"/>
        <v>2.1422728875624148E-2</v>
      </c>
      <c r="EH299" s="52">
        <f t="shared" si="227"/>
        <v>9.2140769357523225E-4</v>
      </c>
      <c r="EI299" s="51">
        <f t="shared" si="191"/>
        <v>0.9990785923064246</v>
      </c>
      <c r="EK299" s="53">
        <f>(EA299*'[2]Renewable Diesel'!BF308*'[2]Feedstock Conversion Rates'!B$2)+FB299</f>
        <v>103.99653835222576</v>
      </c>
      <c r="EL299" s="53">
        <f>(EB299*'[2]Renewable Diesel'!BF308*'[2]Feedstock Conversion Rates'!B$3)+FC299</f>
        <v>933.09769409953435</v>
      </c>
      <c r="EM299" s="53">
        <f>(EC299*'[2]Renewable Diesel'!BF308*'[2]Feedstock Conversion Rates'!B$4)+FD299</f>
        <v>3774.4502444006985</v>
      </c>
      <c r="EN299" s="53">
        <f>(ED299*'[2]Renewable Diesel'!BF308*'[2]Feedstock Conversion Rates'!B$5)+FE299</f>
        <v>438.49597984970427</v>
      </c>
      <c r="EO299" s="53">
        <f>(EE299*'[2]Renewable Diesel'!BF308*'[2]Feedstock Conversion Rates'!B$6)+FF299</f>
        <v>542.72885331985219</v>
      </c>
      <c r="EP299" s="53">
        <f>(EF299*'[2]Renewable Diesel'!BF308*'[2]Feedstock Conversion Rates'!B$7)+FG299</f>
        <v>549.51055640678305</v>
      </c>
      <c r="EQ299" s="53">
        <f>(EG299*'[2]Renewable Diesel'!BF308*'[2]Feedstock Conversion Rates'!B$8)+FH299</f>
        <v>165.91512879019305</v>
      </c>
      <c r="ER299" s="53">
        <f>(EH299*'[2]Renewable Diesel'!BF308*'[2]Feedstock Conversion Rates'!B$9)+FI299</f>
        <v>7.0409861106662577</v>
      </c>
      <c r="ES299" s="53">
        <f t="shared" si="228"/>
        <v>6515.235981329658</v>
      </c>
      <c r="ET299" s="36">
        <f>ES299/'[2]Renewable Diesel'!BF308</f>
        <v>7.8866075425771918</v>
      </c>
    </row>
    <row r="300" spans="1:150" x14ac:dyDescent="0.25">
      <c r="A300" s="39">
        <v>49553</v>
      </c>
      <c r="B300" s="45">
        <f t="shared" si="256"/>
        <v>125.75</v>
      </c>
      <c r="C300" s="45">
        <f t="shared" si="251"/>
        <v>49</v>
      </c>
      <c r="D300" s="45">
        <f t="shared" si="257"/>
        <v>2</v>
      </c>
      <c r="E300" s="45">
        <f>('[2]Renewable Diesel'!B309*E$3*'[2]Feedstock Conversion Rates'!$B$2)/12+26+13-100+27.5+39</f>
        <v>95.43</v>
      </c>
      <c r="F300" s="45">
        <f>('[2]Renewable Diesel'!B309*'[2]RD Feedstock Breakdown'!F$3*'[2]Feedstock Conversion Rates'!B$8)/12+77+23-10-12-115.75+24+8+1</f>
        <v>49.15625</v>
      </c>
      <c r="G300" s="45">
        <f>('[2]Renewable Diesel'!B309*'[2]RD Feedstock Breakdown'!G$3*'[2]Feedstock Conversion Rates'!B$7)/12+116.75-39-57.5-145-31.5+32+70-40+10-50-12.5</f>
        <v>29.407000000000039</v>
      </c>
      <c r="H300" s="45">
        <f>('[2]Renewable Diesel'!B309*'[2]RD Feedstock Breakdown'!H$3*'[2]Feedstock Conversion Rates'!B$3)/12+67+10+12+3-235+20+47-20+65</f>
        <v>145.40022499999998</v>
      </c>
      <c r="I300" s="47">
        <f t="shared" si="245"/>
        <v>496.14347500000002</v>
      </c>
      <c r="J300" s="45">
        <f t="shared" si="258"/>
        <v>59</v>
      </c>
      <c r="K300" s="45"/>
      <c r="L300" s="45">
        <v>1</v>
      </c>
      <c r="M300" s="45">
        <f>('[2]Renewable Diesel'!C309*'[2]RD Feedstock Breakdown'!M$3*'[2]Feedstock Conversion Rates'!B$2)/12-55</f>
        <v>-47.20975</v>
      </c>
      <c r="N300" s="45">
        <f>('[2]Renewable Diesel'!C309*'[2]RD Feedstock Breakdown'!N$3*'[2]Feedstock Conversion Rates'!B$8)/12-10</f>
        <v>-6.328125</v>
      </c>
      <c r="O300" s="45">
        <f>('[2]Renewable Diesel'!C309*'[2]RD Feedstock Breakdown'!O$3*'[2]Feedstock Conversion Rates'!B$7)/12-45</f>
        <v>-33.000900000000001</v>
      </c>
      <c r="P300" s="45">
        <f>('[2]Renewable Diesel'!C309*'[2]RD Feedstock Breakdown'!P$3*'[2]Feedstock Conversion Rates'!B$3)/12+15+35</f>
        <v>60.447042500000002</v>
      </c>
      <c r="Q300" s="47">
        <f t="shared" si="252"/>
        <v>33.908267500000001</v>
      </c>
      <c r="R300" s="45">
        <f>('[2]Renewable Diesel'!D309*'[2]RD Feedstock Breakdown'!R$3*'[2]Feedstock Conversion Rates'!B$7)/12</f>
        <v>2.2999999999999998</v>
      </c>
      <c r="S300" s="47">
        <f t="shared" si="203"/>
        <v>2.2999999999999998</v>
      </c>
      <c r="T300" s="45">
        <f t="shared" si="253"/>
        <v>0.82499999999999929</v>
      </c>
      <c r="U300" s="45"/>
      <c r="V300" s="45">
        <f>('[2]Renewable Diesel'!E309*'[2]RD Feedstock Breakdown'!V$3*'[2]Feedstock Conversion Rates'!B$6)/12-20+25</f>
        <v>49.250150000000012</v>
      </c>
      <c r="W300" s="45">
        <f>('[2]Renewable Diesel'!E309*'[2]RD Feedstock Breakdown'!W$3*'[2]Feedstock Conversion Rates'!B$8)/12-6</f>
        <v>16.1796875</v>
      </c>
      <c r="X300" s="47">
        <f t="shared" si="229"/>
        <v>66.254837500000008</v>
      </c>
      <c r="Y300" s="45">
        <f t="shared" si="254"/>
        <v>98</v>
      </c>
      <c r="Z300" s="45">
        <f>('[2]Renewable Diesel'!F309*'[2]RD Feedstock Breakdown'!Z$3*'[2]Feedstock Conversion Rates'!B$6)/12-142+15+5</f>
        <v>37.460000000000008</v>
      </c>
      <c r="AA300" s="45">
        <f>('[2]Renewable Diesel'!F309*'[2]RD Feedstock Breakdown'!AA$3*'[2]Feedstock Conversion Rates'!B$7)/12+24</f>
        <v>128.26666666666665</v>
      </c>
      <c r="AB300" s="47">
        <f t="shared" si="190"/>
        <v>263.72666666666669</v>
      </c>
      <c r="AC300" s="45">
        <f>('[2]Renewable Diesel'!G309*'[2]RD Feedstock Breakdown'!AC$3*'[2]Feedstock Conversion Rates'!B$5)/12</f>
        <v>11.796875</v>
      </c>
      <c r="AD300" s="45">
        <f>('[2]Renewable Diesel'!G309*'[2]RD Feedstock Breakdown'!AD$3*'[2]Feedstock Conversion Rates'!B$4)/12</f>
        <v>5.859375</v>
      </c>
      <c r="AE300" s="45">
        <f>('[2]Renewable Diesel'!G309*'[2]RD Feedstock Breakdown'!AE$3*'[2]Feedstock Conversion Rates'!B$6)/12</f>
        <v>7.3281250000000009</v>
      </c>
      <c r="AF300" s="47">
        <f t="shared" si="236"/>
        <v>24.984375</v>
      </c>
      <c r="AG300" s="45">
        <f t="shared" si="259"/>
        <v>148</v>
      </c>
      <c r="AH300" s="45"/>
      <c r="AI300" s="45">
        <f>('[2]Renewable Diesel'!H309*'[2]RD Feedstock Breakdown'!AI$3*'[2]Feedstock Conversion Rates'!B$6)/12-130-20+51-49</f>
        <v>0.51666666666667993</v>
      </c>
      <c r="AJ300" s="47">
        <f t="shared" si="202"/>
        <v>148.51666666666668</v>
      </c>
      <c r="AK300" s="45">
        <f>('[2]Renewable Diesel'!J309*'[2]RD Feedstock Breakdown'!AK$3*'[2]Feedstock Conversion Rates'!B$4)/12</f>
        <v>95.8125</v>
      </c>
      <c r="AL300" s="47">
        <f t="shared" si="205"/>
        <v>95.8125</v>
      </c>
      <c r="AM300" s="45">
        <f>('[2]Renewable Diesel'!K309*'[2]RD Feedstock Breakdown'!AM$3*'[2]Feedstock Conversion Rates'!B$4)/12+5+15-10+10</f>
        <v>78.59375</v>
      </c>
      <c r="AN300" s="45">
        <f>('[2]Renewable Diesel'!K309*'[2]RD Feedstock Breakdown'!AN$3*'[2]Feedstock Conversion Rates'!B$6)/12-5-15+10-10</f>
        <v>4.4270833333333321</v>
      </c>
      <c r="AO300" s="47">
        <f t="shared" si="223"/>
        <v>83.020833333333329</v>
      </c>
      <c r="AP300" s="45">
        <f>('[2]Renewable Diesel'!L309*'[2]RD Feedstock Breakdown'!AP$3*'[2]Feedstock Conversion Rates'!B$4)/12+15-10+15</f>
        <v>78.59375</v>
      </c>
      <c r="AQ300" s="45">
        <f>('[2]Renewable Diesel'!L309*'[2]RD Feedstock Breakdown'!AQ$3*'[2]Feedstock Conversion Rates'!B$6)/12-15+10-15</f>
        <v>4.4270833333333321</v>
      </c>
      <c r="AR300" s="47">
        <f t="shared" si="207"/>
        <v>83.020833333333329</v>
      </c>
      <c r="AS300" s="45">
        <f>('[2]Renewable Diesel'!M309*'[2]RD Feedstock Breakdown'!AS$3*'[2]Feedstock Conversion Rates'!B$4)/12</f>
        <v>456.25</v>
      </c>
      <c r="AT300" s="45">
        <f>('[2]Renewable Diesel'!M309*'[2]RD Feedstock Breakdown'!AT$3*'[2]Feedstock Conversion Rates'!B$5)/12</f>
        <v>0</v>
      </c>
      <c r="AU300" s="47">
        <f t="shared" si="244"/>
        <v>456.25</v>
      </c>
      <c r="AV300" s="45">
        <f>'[2]Renewable Diesel'!N309*'[2]RD Feedstock Breakdown'!$AV$3*'[2]Feedstock Conversion Rates'!$B$4/12-15-10+25+25-22+25</f>
        <v>106.74999999999999</v>
      </c>
      <c r="AW300" s="45">
        <f>'[2]Renewable Diesel'!N309*'[2]RD Feedstock Breakdown'!$AW$3*'[2]Feedstock Conversion Rates'!$B$7/12+15+10-25-25+22-25</f>
        <v>13.400000000000006</v>
      </c>
      <c r="AX300" s="47">
        <f t="shared" si="193"/>
        <v>120.14999999999999</v>
      </c>
      <c r="AY300" s="45">
        <f>('[2]Renewable Diesel'!O309*'[2]RD Feedstock Breakdown'!AY$3*'[2]Feedstock Conversion Rates'!B$4)/12-90</f>
        <v>120.9375</v>
      </c>
      <c r="AZ300" s="45">
        <f>('[2]Renewable Diesel'!O309*'[2]RD Feedstock Breakdown'!AZ$3*'[2]Feedstock Conversion Rates'!B$3)/12+90</f>
        <v>115.03125</v>
      </c>
      <c r="BA300" s="47">
        <f t="shared" si="255"/>
        <v>235.96875</v>
      </c>
      <c r="BB300" s="45">
        <f>('[2]Renewable Diesel'!Q309*'[2]RD Feedstock Breakdown'!BB$3*'[2]Feedstock Conversion Rates'!B$4)/12</f>
        <v>11.156249999999998</v>
      </c>
      <c r="BC300" s="45">
        <f>('[2]Renewable Diesel'!Q309*'[2]RD Feedstock Breakdown'!BC$3*'[2]Feedstock Conversion Rates'!B$3)/12</f>
        <v>1.4017500000000001</v>
      </c>
      <c r="BD300" s="45">
        <f>('[2]Renewable Diesel'!Q309*'[2]RD Feedstock Breakdown'!BD$3*'[2]Feedstock Conversion Rates'!B$6)/12</f>
        <v>0.8207500000000002</v>
      </c>
      <c r="BE300" s="47">
        <f t="shared" si="231"/>
        <v>13.378749999999998</v>
      </c>
      <c r="BF300" s="45">
        <f>('[2]Renewable Diesel'!R309*'[2]RD Feedstock Breakdown'!BF$3*'[2]Feedstock Conversion Rates'!B$4)/12</f>
        <v>62.5</v>
      </c>
      <c r="BG300" s="47">
        <f t="shared" si="215"/>
        <v>62.5</v>
      </c>
      <c r="BH300" s="45">
        <f>('[2]Renewable Diesel'!T309*'[2]RD Feedstock Breakdown'!BH$3*'[2]Feedstock Conversion Rates'!B$7)/12</f>
        <v>27.599999999999998</v>
      </c>
      <c r="BI300" s="47">
        <f t="shared" si="195"/>
        <v>27.599999999999998</v>
      </c>
      <c r="BJ300" s="45">
        <f>('[2]Renewable Diesel'!W309*'[2]RD Feedstock Breakdown'!BJ$3*'[2]Feedstock Conversion Rates'!B$4)/12</f>
        <v>7.5</v>
      </c>
      <c r="BK300" s="45">
        <f>('[2]Renewable Diesel'!W309*'[2]RD Feedstock Breakdown'!BK$3*'[2]Feedstock Conversion Rates'!B$3)/12</f>
        <v>1.335</v>
      </c>
      <c r="BL300" s="45">
        <f>('[2]Renewable Diesel'!W309*'[2]RD Feedstock Breakdown'!BL$3*'[2]Feedstock Conversion Rates'!B$6)/12</f>
        <v>3.1266666666666669</v>
      </c>
      <c r="BM300" s="45">
        <f>('[2]Renewable Diesel'!W309*'[2]RD Feedstock Breakdown'!BM$3*'[2]Feedstock Conversion Rates'!B$7)/12</f>
        <v>1.5333333333333332</v>
      </c>
      <c r="BN300" s="47">
        <f t="shared" si="248"/>
        <v>13.495000000000001</v>
      </c>
      <c r="BO300" s="45">
        <f>('[2]Renewable Diesel'!P309*'[2]Feedstock Conversion Rates'!B$4)/12</f>
        <v>31.25</v>
      </c>
      <c r="BP300" s="47">
        <f t="shared" si="237"/>
        <v>31.25</v>
      </c>
      <c r="BQ300" s="45">
        <f>('[2]Renewable Diesel'!$S309*'[2]RD Feedstock Breakdown'!BQ$3*'[2]Feedstock Conversion Rates'!B$4)/12+10+15-15</f>
        <v>38.125</v>
      </c>
      <c r="BR300" s="45">
        <f>('[2]Renewable Diesel'!$S309*'[2]RD Feedstock Breakdown'!BR$3*'[2]Feedstock Conversion Rates'!B$7)/12-10-15+15</f>
        <v>1.5</v>
      </c>
      <c r="BS300" s="47">
        <f t="shared" si="260"/>
        <v>39.625</v>
      </c>
      <c r="BT300" s="47"/>
      <c r="BU300" s="45">
        <f>('[2]Renewable Diesel'!Y309*'[2]Feedstock Conversion Rates'!B$7)/12</f>
        <v>2.6833333333333331</v>
      </c>
      <c r="BV300" s="47">
        <f t="shared" si="233"/>
        <v>2.6833333333333331</v>
      </c>
      <c r="BW300" s="45">
        <f>('[2]Renewable Diesel'!$Z309*'[2]RD Feedstock Breakdown'!BW$3*'[2]Feedstock Conversion Rates'!$B$4)/12</f>
        <v>71.875</v>
      </c>
      <c r="BX300" s="45">
        <f>('[2]Renewable Diesel'!$Z309*'[2]RD Feedstock Breakdown'!BX$3*'[2]Feedstock Conversion Rates'!$B$5)/12</f>
        <v>7.2354166666666666</v>
      </c>
      <c r="BY300" s="45">
        <f>('[2]Renewable Diesel'!$Z309*'[2]RD Feedstock Breakdown'!BY$3*'[2]Feedstock Conversion Rates'!$B$7)/12</f>
        <v>61.716666666666661</v>
      </c>
      <c r="BZ300" s="45">
        <f>('[2]Renewable Diesel'!$Z309*'[2]RD Feedstock Breakdown'!BZ$3*'[2]Feedstock Conversion Rates'!$B$3)/12</f>
        <v>15.352499999999999</v>
      </c>
      <c r="CA300" s="47">
        <f t="shared" si="262"/>
        <v>156.17958333333331</v>
      </c>
      <c r="CB300" s="45">
        <f>('[2]Renewable Diesel'!AA309*'[2]Feedstock Conversion Rates'!B$4)/12</f>
        <v>191.25</v>
      </c>
      <c r="CC300" s="47">
        <f t="shared" si="250"/>
        <v>191.25</v>
      </c>
      <c r="CD300" s="45">
        <f>('[2]Renewable Diesel'!$AB309*'[2]RD Feedstock Breakdown'!CD$3*'[2]Feedstock Conversion Rates'!$B$6)/12-15-5</f>
        <v>12.830000000000005</v>
      </c>
      <c r="CE300" s="45">
        <f>('[2]Renewable Diesel'!$AB309*'[2]RD Feedstock Breakdown'!CE$3*'[2]Feedstock Conversion Rates'!$B$4)/12+15+5</f>
        <v>31.25</v>
      </c>
      <c r="CF300" s="47">
        <f t="shared" si="247"/>
        <v>44.080000000000005</v>
      </c>
      <c r="CG300" s="45">
        <f>('[2]Renewable Diesel'!AD309*'[2]Feedstock Conversion Rates'!B$4)/12</f>
        <v>112.5</v>
      </c>
      <c r="CH300" s="47">
        <f t="shared" si="230"/>
        <v>112.5</v>
      </c>
      <c r="CI300" s="45">
        <f>('[2]Renewable Diesel'!$AE309*'[2]RD Feedstock Breakdown'!CI$3*'[2]Feedstock Conversion Rates'!$B$5)/12</f>
        <v>0.34604166666666664</v>
      </c>
      <c r="CJ300" s="45">
        <f>('[2]Renewable Diesel'!$AE309*'[2]RD Feedstock Breakdown'!CJ$3*'[2]Feedstock Conversion Rates'!$B$4)/12</f>
        <v>0.34375</v>
      </c>
      <c r="CK300" s="47">
        <f t="shared" si="238"/>
        <v>0.68979166666666658</v>
      </c>
      <c r="CL300" s="45">
        <f>(((CL$3*'[2]Renewable Diesel'!$AF309)*'[2]Feedstock Conversion Rates'!$B$3)/12)</f>
        <v>91.78125</v>
      </c>
      <c r="CM300" s="45">
        <f>(((CM$3*'[2]Renewable Diesel'!$AF309)*'[2]Feedstock Conversion Rates'!$B$6)/12)</f>
        <v>53.739583333333336</v>
      </c>
      <c r="CN300" s="45">
        <f>(((CN$3*'[2]Renewable Diesel'!$AF309)*'[2]Feedstock Conversion Rates'!$B$4)/12)</f>
        <v>42.96875</v>
      </c>
      <c r="CO300" s="47">
        <f t="shared" si="232"/>
        <v>188.48958333333334</v>
      </c>
      <c r="CP300" s="45">
        <f>('[2]Renewable Diesel'!$AG309*'[2]RD Feedstock Breakdown'!CP$3*'[2]Feedstock Conversion Rates'!$B$3)/12</f>
        <v>6.0075000000000003</v>
      </c>
      <c r="CQ300" s="45">
        <f>('[2]Renewable Diesel'!$AG309*'[2]RD Feedstock Breakdown'!CQ$3*'[2]Feedstock Conversion Rates'!$B$6)/12</f>
        <v>3.5175000000000001</v>
      </c>
      <c r="CR300" s="45">
        <f>('[2]Renewable Diesel'!$AG309*'[2]RD Feedstock Breakdown'!CR$3*'[2]Feedstock Conversion Rates'!$B$4)/12</f>
        <v>2.8125</v>
      </c>
      <c r="CS300" s="47">
        <f t="shared" si="183"/>
        <v>12.3375</v>
      </c>
      <c r="CT300" s="45">
        <f>('[2]Renewable Diesel'!AI309*'[2]Feedstock Conversion Rates'!$B$4*'[2]RD Feedstock Breakdown'!$CT$3)/12</f>
        <v>29.375</v>
      </c>
      <c r="CU300" s="47">
        <f t="shared" si="234"/>
        <v>29.375</v>
      </c>
      <c r="CV300" s="45">
        <f>('[2]Renewable Diesel'!AN309*'[2]Feedstock Conversion Rates'!$B$3*'[2]RD Feedstock Breakdown'!$CV$3)/12</f>
        <v>0.50062499999999999</v>
      </c>
      <c r="CW300" s="47">
        <f t="shared" si="206"/>
        <v>0.50062499999999999</v>
      </c>
      <c r="CX300" s="45">
        <f>('[2]Renewable Diesel'!AO309*'[2]RD Feedstock Breakdown'!$CX$3*'[2]Feedstock Conversion Rates'!$B$3)/12</f>
        <v>6.3412499999999996</v>
      </c>
      <c r="CY300" s="45">
        <f>('[2]Renewable Diesel'!AO309*'[2]RD Feedstock Breakdown'!$CY$3*'[2]Feedstock Conversion Rates'!$B$6)/12</f>
        <v>7.4258333333333342</v>
      </c>
      <c r="CZ300" s="47">
        <f t="shared" si="188"/>
        <v>13.767083333333334</v>
      </c>
      <c r="DA300" s="45">
        <f>('[2]Renewable Diesel'!$AP309*'[2]RD Feedstock Breakdown'!DA$3*'[2]Feedstock Conversion Rates'!$B$3)/12</f>
        <v>6.3412499999999996</v>
      </c>
      <c r="DB300" s="45">
        <f>('[2]Renewable Diesel'!$AP309*'[2]RD Feedstock Breakdown'!DB$3*'[2]Feedstock Conversion Rates'!$B$8)/12</f>
        <v>7.421875</v>
      </c>
      <c r="DC300" s="47">
        <f t="shared" si="212"/>
        <v>13.763124999999999</v>
      </c>
      <c r="DD300" s="45">
        <f>('[2]Renewable Diesel'!AQ309*$DD$3*'[2]Feedstock Conversion Rates'!$B$14)/12</f>
        <v>3.1041666666666665</v>
      </c>
      <c r="DE300" s="47">
        <f t="shared" si="213"/>
        <v>3.1041666666666665</v>
      </c>
      <c r="DF300" s="45">
        <f>('[2]Renewable Diesel'!AR309*'[2]Feedstock Conversion Rates'!$B$4*$DF$3)/12</f>
        <v>75</v>
      </c>
      <c r="DG300" s="47">
        <f t="shared" si="189"/>
        <v>75</v>
      </c>
      <c r="DH300" s="45">
        <f>('[2]Renewable Diesel'!AS309*'[2]Feedstock Conversion Rates'!$B$4*$DH$3)/12</f>
        <v>75</v>
      </c>
      <c r="DI300" s="47">
        <f t="shared" si="194"/>
        <v>75</v>
      </c>
      <c r="DJ300" s="45">
        <f>('[2]Renewable Diesel'!AT309*'[2]Feedstock Conversion Rates'!$B$4*0.25)/12</f>
        <v>8.59375</v>
      </c>
      <c r="DK300" s="45">
        <f>('[2]Renewable Diesel'!$AT309*'[2]RD Feedstock Breakdown'!DK$3*'[2]Feedstock Conversion Rates'!$B$3)/12*0.5</f>
        <v>9.1781249999999996</v>
      </c>
      <c r="DL300" s="45">
        <f>('[2]Renewable Diesel'!$AT309*'[2]RD Feedstock Breakdown'!$DL$3*'[2]Feedstock Conversion Rates'!$B$6)/12</f>
        <v>10.747916666666669</v>
      </c>
      <c r="DM300" s="45">
        <f>('[2]Renewable Diesel'!$AT309*'[2]RD Feedstock Breakdown'!$DM$3*'[2]Feedstock Conversion Rates'!$B$8)/12</f>
        <v>10.7421875</v>
      </c>
      <c r="DN300" s="47">
        <f t="shared" si="249"/>
        <v>39.26197916666667</v>
      </c>
      <c r="DP300" s="45">
        <f t="shared" si="216"/>
        <v>48.220250000000007</v>
      </c>
      <c r="DQ300" s="45">
        <f t="shared" si="217"/>
        <v>459.11776750000001</v>
      </c>
      <c r="DR300" s="45">
        <f t="shared" si="224"/>
        <v>2008.453125</v>
      </c>
      <c r="DS300" s="45">
        <f t="shared" si="235"/>
        <v>228.90125</v>
      </c>
      <c r="DT300" s="45">
        <f t="shared" si="218"/>
        <v>203.03923333333341</v>
      </c>
      <c r="DU300" s="45">
        <f t="shared" si="219"/>
        <v>235.40610000000001</v>
      </c>
      <c r="DV300" s="45">
        <f t="shared" si="225"/>
        <v>69.75</v>
      </c>
      <c r="DW300" s="45">
        <f t="shared" si="220"/>
        <v>3</v>
      </c>
      <c r="DX300" s="47">
        <f t="shared" si="226"/>
        <v>3255.8877258333337</v>
      </c>
      <c r="DY300" s="50">
        <f t="shared" si="208"/>
        <v>-5.631051180898794E-13</v>
      </c>
      <c r="EA300" s="51">
        <f t="shared" si="263"/>
        <v>1.4810169778707033E-2</v>
      </c>
      <c r="EB300" s="51">
        <f t="shared" si="263"/>
        <v>0.14101154774386157</v>
      </c>
      <c r="EC300" s="51">
        <f t="shared" si="263"/>
        <v>0.61686805385340582</v>
      </c>
      <c r="ED300" s="51">
        <f t="shared" si="261"/>
        <v>7.0303790939662547E-2</v>
      </c>
      <c r="EE300" s="51">
        <f t="shared" si="261"/>
        <v>6.2360637230316714E-2</v>
      </c>
      <c r="EF300" s="51">
        <f t="shared" si="261"/>
        <v>7.2301663884846823E-2</v>
      </c>
      <c r="EG300" s="51">
        <f t="shared" si="261"/>
        <v>2.1422728875624148E-2</v>
      </c>
      <c r="EH300" s="52">
        <f t="shared" si="227"/>
        <v>9.2140769357523225E-4</v>
      </c>
      <c r="EI300" s="51">
        <f t="shared" si="191"/>
        <v>0.9990785923064246</v>
      </c>
      <c r="EK300" s="53">
        <f>(EA300*'[2]Renewable Diesel'!BF309*'[2]Feedstock Conversion Rates'!B$2)+FB300</f>
        <v>118.41877900976321</v>
      </c>
      <c r="EL300" s="53">
        <f>(EB300*'[2]Renewable Diesel'!BF309*'[2]Feedstock Conversion Rates'!B$3)+FC300</f>
        <v>1062.4996887670688</v>
      </c>
      <c r="EM300" s="53">
        <f>(EC300*'[2]Renewable Diesel'!BF309*'[2]Feedstock Conversion Rates'!B$4)+FD300</f>
        <v>4352.0628554730938</v>
      </c>
      <c r="EN300" s="53">
        <f>(ED300*'[2]Renewable Diesel'!BF309*'[2]Feedstock Conversion Rates'!B$5)+FE300</f>
        <v>499.30660536625817</v>
      </c>
      <c r="EO300" s="53">
        <f>(EE300*'[2]Renewable Diesel'!BF309*'[2]Feedstock Conversion Rates'!B$6)+FF300</f>
        <v>550.24359853850092</v>
      </c>
      <c r="EP300" s="53">
        <f>(EF300*'[2]Renewable Diesel'!BF309*'[2]Feedstock Conversion Rates'!B$7)+FG300</f>
        <v>625.71668416763396</v>
      </c>
      <c r="EQ300" s="53">
        <f>(EG300*'[2]Renewable Diesel'!BF309*'[2]Feedstock Conversion Rates'!B$8)+FH300</f>
        <v>188.92423999766504</v>
      </c>
      <c r="ER300" s="53">
        <f>(EH300*'[2]Renewable Diesel'!BF309*'[2]Feedstock Conversion Rates'!B$9)+FI300</f>
        <v>8.0174301131625594</v>
      </c>
      <c r="ES300" s="53">
        <f t="shared" si="228"/>
        <v>7405.1898814331453</v>
      </c>
      <c r="ET300" s="36">
        <f>ES300/'[2]Renewable Diesel'!BF309</f>
        <v>7.8721721553778448</v>
      </c>
    </row>
    <row r="301" spans="1:150" x14ac:dyDescent="0.25">
      <c r="A301" s="39">
        <v>49583</v>
      </c>
      <c r="B301" s="45">
        <f>115.75+145+100+235+31.5-21-287-20-28-32-70-39-47+40+20-3-10+35-105-1</f>
        <v>59.25</v>
      </c>
      <c r="C301" s="45">
        <f t="shared" si="251"/>
        <v>49</v>
      </c>
      <c r="D301" s="45">
        <f>1+1</f>
        <v>2</v>
      </c>
      <c r="E301" s="45">
        <f>('[2]Renewable Diesel'!B310*E$3*'[2]Feedstock Conversion Rates'!$B$2)/12+26+13-100+27.5+39</f>
        <v>95.43</v>
      </c>
      <c r="F301" s="45">
        <f>('[2]Renewable Diesel'!B310*'[2]RD Feedstock Breakdown'!F$3*'[2]Feedstock Conversion Rates'!B$8)/12+77+23-10-12-115.75+24+8</f>
        <v>48.15625</v>
      </c>
      <c r="G301" s="45">
        <f>('[2]Renewable Diesel'!B310*'[2]RD Feedstock Breakdown'!G$3*'[2]Feedstock Conversion Rates'!B$7)/12+116.75-39-57.5-145-31.5+32+70-40+10-35</f>
        <v>56.907000000000039</v>
      </c>
      <c r="H301" s="45">
        <f>('[2]Renewable Diesel'!B310*'[2]RD Feedstock Breakdown'!H$3*'[2]Feedstock Conversion Rates'!B$3)/12+67+10+12+3-235+20+47-20+105</f>
        <v>185.40022499999998</v>
      </c>
      <c r="I301" s="47">
        <f t="shared" si="245"/>
        <v>496.14347500000002</v>
      </c>
      <c r="J301" s="45">
        <f>54-15-35+65</f>
        <v>69</v>
      </c>
      <c r="K301" s="45"/>
      <c r="L301" s="45">
        <v>1</v>
      </c>
      <c r="M301" s="45">
        <f>('[2]Renewable Diesel'!C310*'[2]RD Feedstock Breakdown'!M$3*'[2]Feedstock Conversion Rates'!B$2)/12-55</f>
        <v>-47.20975</v>
      </c>
      <c r="N301" s="45">
        <f>('[2]Renewable Diesel'!C310*'[2]RD Feedstock Breakdown'!N$3*'[2]Feedstock Conversion Rates'!B$8)/12</f>
        <v>3.671875</v>
      </c>
      <c r="O301" s="45">
        <f>('[2]Renewable Diesel'!C310*'[2]RD Feedstock Breakdown'!O$3*'[2]Feedstock Conversion Rates'!B$7)/12-65</f>
        <v>-53.000900000000001</v>
      </c>
      <c r="P301" s="45">
        <f>('[2]Renewable Diesel'!C310*'[2]RD Feedstock Breakdown'!P$3*'[2]Feedstock Conversion Rates'!B$3)/12+15+35</f>
        <v>60.447042500000002</v>
      </c>
      <c r="Q301" s="47">
        <f t="shared" si="252"/>
        <v>33.908267500000001</v>
      </c>
      <c r="R301" s="45">
        <f>('[2]Renewable Diesel'!D310*'[2]RD Feedstock Breakdown'!R$3*'[2]Feedstock Conversion Rates'!B$7)/12</f>
        <v>2.2999999999999998</v>
      </c>
      <c r="S301" s="47">
        <f t="shared" si="203"/>
        <v>2.2999999999999998</v>
      </c>
      <c r="T301" s="45">
        <f t="shared" si="253"/>
        <v>0.82499999999999929</v>
      </c>
      <c r="U301" s="45"/>
      <c r="V301" s="45">
        <f>('[2]Renewable Diesel'!E310*'[2]RD Feedstock Breakdown'!V$3*'[2]Feedstock Conversion Rates'!B$6)/12-20+25</f>
        <v>49.250150000000012</v>
      </c>
      <c r="W301" s="45">
        <f>('[2]Renewable Diesel'!E310*'[2]RD Feedstock Breakdown'!W$3*'[2]Feedstock Conversion Rates'!B$8)/12-6</f>
        <v>16.1796875</v>
      </c>
      <c r="X301" s="47">
        <f t="shared" si="229"/>
        <v>66.254837500000008</v>
      </c>
      <c r="Y301" s="45">
        <f t="shared" si="254"/>
        <v>98</v>
      </c>
      <c r="Z301" s="45">
        <f>('[2]Renewable Diesel'!F310*'[2]RD Feedstock Breakdown'!Z$3*'[2]Feedstock Conversion Rates'!B$6)/12-142+15+5</f>
        <v>37.460000000000008</v>
      </c>
      <c r="AA301" s="45">
        <f>('[2]Renewable Diesel'!F310*'[2]RD Feedstock Breakdown'!AA$3*'[2]Feedstock Conversion Rates'!B$7)/12+24</f>
        <v>128.26666666666665</v>
      </c>
      <c r="AB301" s="47">
        <f t="shared" si="190"/>
        <v>263.72666666666669</v>
      </c>
      <c r="AC301" s="45">
        <f>('[2]Renewable Diesel'!G310*'[2]RD Feedstock Breakdown'!AC$3*'[2]Feedstock Conversion Rates'!B$5)/12</f>
        <v>11.796875</v>
      </c>
      <c r="AD301" s="45">
        <f>('[2]Renewable Diesel'!G310*'[2]RD Feedstock Breakdown'!AD$3*'[2]Feedstock Conversion Rates'!B$4)/12</f>
        <v>5.859375</v>
      </c>
      <c r="AE301" s="45">
        <f>('[2]Renewable Diesel'!G310*'[2]RD Feedstock Breakdown'!AE$3*'[2]Feedstock Conversion Rates'!B$6)/12</f>
        <v>7.3281250000000009</v>
      </c>
      <c r="AF301" s="47">
        <f t="shared" si="236"/>
        <v>24.984375</v>
      </c>
      <c r="AG301" s="45">
        <f t="shared" si="259"/>
        <v>148</v>
      </c>
      <c r="AH301" s="45"/>
      <c r="AI301" s="45">
        <f>('[2]Renewable Diesel'!H310*'[2]RD Feedstock Breakdown'!AI$3*'[2]Feedstock Conversion Rates'!B$6)/12-130-20+51-49</f>
        <v>0.51666666666667993</v>
      </c>
      <c r="AJ301" s="47">
        <f t="shared" si="202"/>
        <v>148.51666666666668</v>
      </c>
      <c r="AK301" s="45">
        <f>('[2]Renewable Diesel'!J310*'[2]RD Feedstock Breakdown'!AK$3*'[2]Feedstock Conversion Rates'!B$4)/12</f>
        <v>95.8125</v>
      </c>
      <c r="AL301" s="47">
        <f t="shared" si="205"/>
        <v>95.8125</v>
      </c>
      <c r="AM301" s="45">
        <f>('[2]Renewable Diesel'!K310*'[2]RD Feedstock Breakdown'!AM$3*'[2]Feedstock Conversion Rates'!B$4)/12+5+15-10+10</f>
        <v>78.59375</v>
      </c>
      <c r="AN301" s="45">
        <f>('[2]Renewable Diesel'!K310*'[2]RD Feedstock Breakdown'!AN$3*'[2]Feedstock Conversion Rates'!B$6)/12-5-15+10-10</f>
        <v>4.4270833333333321</v>
      </c>
      <c r="AO301" s="47">
        <f t="shared" si="223"/>
        <v>83.020833333333329</v>
      </c>
      <c r="AP301" s="45">
        <f>('[2]Renewable Diesel'!L310*'[2]RD Feedstock Breakdown'!AP$3*'[2]Feedstock Conversion Rates'!B$4)/12+15-10+15</f>
        <v>78.59375</v>
      </c>
      <c r="AQ301" s="45">
        <f>('[2]Renewable Diesel'!L310*'[2]RD Feedstock Breakdown'!AQ$3*'[2]Feedstock Conversion Rates'!B$6)/12-15+10-15</f>
        <v>4.4270833333333321</v>
      </c>
      <c r="AR301" s="47">
        <f t="shared" si="207"/>
        <v>83.020833333333329</v>
      </c>
      <c r="AS301" s="45">
        <f>('[2]Renewable Diesel'!M310*'[2]RD Feedstock Breakdown'!AS$3*'[2]Feedstock Conversion Rates'!B$4)/12</f>
        <v>456.25</v>
      </c>
      <c r="AT301" s="45">
        <f>('[2]Renewable Diesel'!M310*'[2]RD Feedstock Breakdown'!AT$3*'[2]Feedstock Conversion Rates'!B$5)/12</f>
        <v>0</v>
      </c>
      <c r="AU301" s="47">
        <f t="shared" si="244"/>
        <v>456.25</v>
      </c>
      <c r="AV301" s="45">
        <f>'[2]Renewable Diesel'!N310*'[2]RD Feedstock Breakdown'!$AV$3*'[2]Feedstock Conversion Rates'!$B$4/12-15-10+25+25-22+25</f>
        <v>106.74999999999999</v>
      </c>
      <c r="AW301" s="45">
        <f>'[2]Renewable Diesel'!N310*'[2]RD Feedstock Breakdown'!$AW$3*'[2]Feedstock Conversion Rates'!$B$7/12+15+10-25-25+22-25</f>
        <v>13.400000000000006</v>
      </c>
      <c r="AX301" s="47">
        <f t="shared" si="193"/>
        <v>120.14999999999999</v>
      </c>
      <c r="AY301" s="45">
        <f>('[2]Renewable Diesel'!O310*'[2]RD Feedstock Breakdown'!AY$3*'[2]Feedstock Conversion Rates'!B$4)/12</f>
        <v>210.9375</v>
      </c>
      <c r="AZ301" s="45">
        <f>('[2]Renewable Diesel'!O310*'[2]RD Feedstock Breakdown'!AZ$3*'[2]Feedstock Conversion Rates'!B$3)/12</f>
        <v>25.03125</v>
      </c>
      <c r="BA301" s="47">
        <f t="shared" si="255"/>
        <v>235.96875</v>
      </c>
      <c r="BB301" s="45">
        <f>('[2]Renewable Diesel'!Q310*'[2]RD Feedstock Breakdown'!BB$3*'[2]Feedstock Conversion Rates'!B$4)/12</f>
        <v>11.156249999999998</v>
      </c>
      <c r="BC301" s="45">
        <f>('[2]Renewable Diesel'!Q310*'[2]RD Feedstock Breakdown'!BC$3*'[2]Feedstock Conversion Rates'!B$3)/12</f>
        <v>1.4017500000000001</v>
      </c>
      <c r="BD301" s="45">
        <f>('[2]Renewable Diesel'!Q310*'[2]RD Feedstock Breakdown'!BD$3*'[2]Feedstock Conversion Rates'!B$6)/12</f>
        <v>0.8207500000000002</v>
      </c>
      <c r="BE301" s="47">
        <f t="shared" si="231"/>
        <v>13.378749999999998</v>
      </c>
      <c r="BF301" s="45">
        <f>('[2]Renewable Diesel'!R310*'[2]RD Feedstock Breakdown'!BF$3*'[2]Feedstock Conversion Rates'!B$4)/12</f>
        <v>62.5</v>
      </c>
      <c r="BG301" s="47">
        <f t="shared" si="215"/>
        <v>62.5</v>
      </c>
      <c r="BH301" s="45">
        <f>('[2]Renewable Diesel'!T310*'[2]RD Feedstock Breakdown'!BH$3*'[2]Feedstock Conversion Rates'!B$7)/12</f>
        <v>27.599999999999998</v>
      </c>
      <c r="BI301" s="47">
        <f t="shared" si="195"/>
        <v>27.599999999999998</v>
      </c>
      <c r="BJ301" s="45">
        <f>('[2]Renewable Diesel'!W310*'[2]RD Feedstock Breakdown'!BJ$3*'[2]Feedstock Conversion Rates'!B$4)/12</f>
        <v>7.5</v>
      </c>
      <c r="BK301" s="45">
        <f>('[2]Renewable Diesel'!W310*'[2]RD Feedstock Breakdown'!BK$3*'[2]Feedstock Conversion Rates'!B$3)/12</f>
        <v>1.335</v>
      </c>
      <c r="BL301" s="45">
        <f>('[2]Renewable Diesel'!W310*'[2]RD Feedstock Breakdown'!BL$3*'[2]Feedstock Conversion Rates'!B$6)/12</f>
        <v>3.1266666666666669</v>
      </c>
      <c r="BM301" s="45">
        <f>('[2]Renewable Diesel'!W310*'[2]RD Feedstock Breakdown'!BM$3*'[2]Feedstock Conversion Rates'!B$7)/12</f>
        <v>1.5333333333333332</v>
      </c>
      <c r="BN301" s="47">
        <f t="shared" si="248"/>
        <v>13.495000000000001</v>
      </c>
      <c r="BO301" s="45">
        <f>('[2]Renewable Diesel'!P310*'[2]Feedstock Conversion Rates'!B$4)/12</f>
        <v>31.25</v>
      </c>
      <c r="BP301" s="47">
        <f t="shared" si="237"/>
        <v>31.25</v>
      </c>
      <c r="BQ301" s="45">
        <f>('[2]Renewable Diesel'!$S310*'[2]RD Feedstock Breakdown'!BQ$3*'[2]Feedstock Conversion Rates'!B$4)/12+10+15-15</f>
        <v>38.125</v>
      </c>
      <c r="BR301" s="45">
        <f>('[2]Renewable Diesel'!$S310*'[2]RD Feedstock Breakdown'!BR$3*'[2]Feedstock Conversion Rates'!B$7)/12-10-15+15</f>
        <v>1.5</v>
      </c>
      <c r="BS301" s="47">
        <f t="shared" si="260"/>
        <v>39.625</v>
      </c>
      <c r="BT301" s="47"/>
      <c r="BU301" s="45">
        <f>('[2]Renewable Diesel'!Y310*'[2]Feedstock Conversion Rates'!B$7)/12</f>
        <v>2.6833333333333331</v>
      </c>
      <c r="BV301" s="47">
        <f t="shared" si="233"/>
        <v>2.6833333333333331</v>
      </c>
      <c r="BW301" s="45">
        <f>('[2]Renewable Diesel'!$Z310*'[2]RD Feedstock Breakdown'!BW$3*'[2]Feedstock Conversion Rates'!$B$4)/12</f>
        <v>71.875</v>
      </c>
      <c r="BX301" s="45">
        <f>('[2]Renewable Diesel'!$Z310*'[2]RD Feedstock Breakdown'!BX$3*'[2]Feedstock Conversion Rates'!$B$5)/12</f>
        <v>7.2354166666666666</v>
      </c>
      <c r="BY301" s="45">
        <f>('[2]Renewable Diesel'!$Z310*'[2]RD Feedstock Breakdown'!BY$3*'[2]Feedstock Conversion Rates'!$B$7)/12</f>
        <v>61.716666666666661</v>
      </c>
      <c r="BZ301" s="45">
        <f>('[2]Renewable Diesel'!$Z310*'[2]RD Feedstock Breakdown'!BZ$3*'[2]Feedstock Conversion Rates'!$B$3)/12</f>
        <v>15.352499999999999</v>
      </c>
      <c r="CA301" s="47">
        <f t="shared" si="262"/>
        <v>156.17958333333331</v>
      </c>
      <c r="CB301" s="45">
        <f>('[2]Renewable Diesel'!AA310*'[2]Feedstock Conversion Rates'!B$4)/12</f>
        <v>191.25</v>
      </c>
      <c r="CC301" s="47">
        <f t="shared" si="250"/>
        <v>191.25</v>
      </c>
      <c r="CD301" s="45">
        <f>('[2]Renewable Diesel'!$AB310*'[2]RD Feedstock Breakdown'!CD$3*'[2]Feedstock Conversion Rates'!$B$6)/12-15-5</f>
        <v>12.830000000000005</v>
      </c>
      <c r="CE301" s="45">
        <f>('[2]Renewable Diesel'!$AB310*'[2]RD Feedstock Breakdown'!CE$3*'[2]Feedstock Conversion Rates'!$B$4)/12+15+5</f>
        <v>31.25</v>
      </c>
      <c r="CF301" s="47">
        <f t="shared" si="247"/>
        <v>44.080000000000005</v>
      </c>
      <c r="CG301" s="45">
        <f>('[2]Renewable Diesel'!AD310*'[2]Feedstock Conversion Rates'!B$4)/12</f>
        <v>112.5</v>
      </c>
      <c r="CH301" s="47">
        <f t="shared" si="230"/>
        <v>112.5</v>
      </c>
      <c r="CI301" s="45">
        <f>('[2]Renewable Diesel'!$AE310*'[2]RD Feedstock Breakdown'!CI$3*'[2]Feedstock Conversion Rates'!$B$5)/12</f>
        <v>0.34604166666666664</v>
      </c>
      <c r="CJ301" s="45">
        <f>('[2]Renewable Diesel'!$AE310*'[2]RD Feedstock Breakdown'!CJ$3*'[2]Feedstock Conversion Rates'!$B$4)/12</f>
        <v>0.34375</v>
      </c>
      <c r="CK301" s="47">
        <f t="shared" si="238"/>
        <v>0.68979166666666658</v>
      </c>
      <c r="CL301" s="45">
        <f>(((CL$3*'[2]Renewable Diesel'!$AF310)*'[2]Feedstock Conversion Rates'!$B$3)/12)</f>
        <v>91.78125</v>
      </c>
      <c r="CM301" s="45">
        <f>(((CM$3*'[2]Renewable Diesel'!$AF310)*'[2]Feedstock Conversion Rates'!$B$6)/12)</f>
        <v>53.739583333333336</v>
      </c>
      <c r="CN301" s="45">
        <f>(((CN$3*'[2]Renewable Diesel'!$AF310)*'[2]Feedstock Conversion Rates'!$B$4)/12)</f>
        <v>42.96875</v>
      </c>
      <c r="CO301" s="47">
        <f t="shared" si="232"/>
        <v>188.48958333333334</v>
      </c>
      <c r="CP301" s="45">
        <f>('[2]Renewable Diesel'!$AG310*'[2]RD Feedstock Breakdown'!CP$3*'[2]Feedstock Conversion Rates'!$B$3)/12</f>
        <v>6.0075000000000003</v>
      </c>
      <c r="CQ301" s="45">
        <f>('[2]Renewable Diesel'!$AG310*'[2]RD Feedstock Breakdown'!CQ$3*'[2]Feedstock Conversion Rates'!$B$6)/12</f>
        <v>3.5175000000000001</v>
      </c>
      <c r="CR301" s="45">
        <f>('[2]Renewable Diesel'!$AG310*'[2]RD Feedstock Breakdown'!CR$3*'[2]Feedstock Conversion Rates'!$B$4)/12</f>
        <v>2.8125</v>
      </c>
      <c r="CS301" s="47">
        <f t="shared" si="183"/>
        <v>12.3375</v>
      </c>
      <c r="CT301" s="45">
        <f>('[2]Renewable Diesel'!AI310*'[2]Feedstock Conversion Rates'!$B$4*'[2]RD Feedstock Breakdown'!$CT$3)/12</f>
        <v>29.375</v>
      </c>
      <c r="CU301" s="47">
        <f t="shared" si="234"/>
        <v>29.375</v>
      </c>
      <c r="CV301" s="45">
        <f>('[2]Renewable Diesel'!AN310*'[2]Feedstock Conversion Rates'!$B$3*'[2]RD Feedstock Breakdown'!$CV$3)/12</f>
        <v>0.50062499999999999</v>
      </c>
      <c r="CW301" s="47">
        <f t="shared" si="206"/>
        <v>0.50062499999999999</v>
      </c>
      <c r="CX301" s="45">
        <f>('[2]Renewable Diesel'!AO310*'[2]RD Feedstock Breakdown'!$CX$3*'[2]Feedstock Conversion Rates'!$B$3)/12</f>
        <v>6.3412499999999996</v>
      </c>
      <c r="CY301" s="45">
        <f>('[2]Renewable Diesel'!AO310*'[2]RD Feedstock Breakdown'!$CY$3*'[2]Feedstock Conversion Rates'!$B$6)/12</f>
        <v>7.4258333333333342</v>
      </c>
      <c r="CZ301" s="47">
        <f t="shared" si="188"/>
        <v>13.767083333333334</v>
      </c>
      <c r="DA301" s="45">
        <f>('[2]Renewable Diesel'!$AP310*'[2]RD Feedstock Breakdown'!DA$3*'[2]Feedstock Conversion Rates'!$B$3)/12</f>
        <v>6.3412499999999996</v>
      </c>
      <c r="DB301" s="45">
        <f>('[2]Renewable Diesel'!$AP310*'[2]RD Feedstock Breakdown'!DB$3*'[2]Feedstock Conversion Rates'!$B$8)/12</f>
        <v>7.421875</v>
      </c>
      <c r="DC301" s="47">
        <f t="shared" si="212"/>
        <v>13.763124999999999</v>
      </c>
      <c r="DD301" s="45">
        <f>('[2]Renewable Diesel'!AQ310*$DD$3*'[2]Feedstock Conversion Rates'!$B$14)/12</f>
        <v>3.1041666666666665</v>
      </c>
      <c r="DE301" s="47">
        <f t="shared" si="213"/>
        <v>3.1041666666666665</v>
      </c>
      <c r="DF301" s="45">
        <f>('[2]Renewable Diesel'!AR310*'[2]Feedstock Conversion Rates'!$B$4*$DF$3)/12</f>
        <v>75</v>
      </c>
      <c r="DG301" s="47">
        <f t="shared" si="189"/>
        <v>75</v>
      </c>
      <c r="DH301" s="45">
        <f>('[2]Renewable Diesel'!AS310*'[2]Feedstock Conversion Rates'!$B$4*$DH$3)/12</f>
        <v>75</v>
      </c>
      <c r="DI301" s="47">
        <f t="shared" si="194"/>
        <v>75</v>
      </c>
      <c r="DJ301" s="45">
        <f>('[2]Renewable Diesel'!AT310*'[2]Feedstock Conversion Rates'!$B$4*0.25)/12</f>
        <v>8.59375</v>
      </c>
      <c r="DK301" s="45">
        <f>('[2]Renewable Diesel'!$AT310*'[2]RD Feedstock Breakdown'!DK$3*'[2]Feedstock Conversion Rates'!$B$3)/12*0.5</f>
        <v>9.1781249999999996</v>
      </c>
      <c r="DL301" s="45">
        <f>('[2]Renewable Diesel'!$AT310*'[2]RD Feedstock Breakdown'!$DL$3*'[2]Feedstock Conversion Rates'!$B$6)/12</f>
        <v>10.747916666666669</v>
      </c>
      <c r="DM301" s="45">
        <f>('[2]Renewable Diesel'!$AT310*'[2]RD Feedstock Breakdown'!$DM$3*'[2]Feedstock Conversion Rates'!$B$8)/12</f>
        <v>10.7421875</v>
      </c>
      <c r="DN301" s="47">
        <f t="shared" si="249"/>
        <v>39.26197916666667</v>
      </c>
      <c r="DP301" s="45">
        <f t="shared" si="216"/>
        <v>48.220250000000007</v>
      </c>
      <c r="DQ301" s="45">
        <f t="shared" si="217"/>
        <v>409.11776750000001</v>
      </c>
      <c r="DR301" s="45">
        <f t="shared" si="224"/>
        <v>2041.953125</v>
      </c>
      <c r="DS301" s="45">
        <f t="shared" si="235"/>
        <v>228.90125</v>
      </c>
      <c r="DT301" s="45">
        <f t="shared" si="218"/>
        <v>203.03923333333341</v>
      </c>
      <c r="DU301" s="45">
        <f t="shared" si="219"/>
        <v>242.90610000000004</v>
      </c>
      <c r="DV301" s="45">
        <f t="shared" si="225"/>
        <v>78.75</v>
      </c>
      <c r="DW301" s="45">
        <f t="shared" si="220"/>
        <v>3</v>
      </c>
      <c r="DX301" s="47">
        <f t="shared" si="226"/>
        <v>3255.8877258333337</v>
      </c>
      <c r="DY301" s="50">
        <f t="shared" si="208"/>
        <v>-5.631051180898794E-13</v>
      </c>
      <c r="EA301" s="51">
        <f t="shared" si="263"/>
        <v>1.4810169778707033E-2</v>
      </c>
      <c r="EB301" s="51">
        <f t="shared" si="263"/>
        <v>0.12565475285094105</v>
      </c>
      <c r="EC301" s="51">
        <f t="shared" si="263"/>
        <v>0.62715710643166267</v>
      </c>
      <c r="ED301" s="51">
        <f t="shared" si="261"/>
        <v>7.0303790939662547E-2</v>
      </c>
      <c r="EE301" s="51">
        <f t="shared" si="261"/>
        <v>6.2360637230316714E-2</v>
      </c>
      <c r="EF301" s="51">
        <f t="shared" si="261"/>
        <v>7.4605183118784918E-2</v>
      </c>
      <c r="EG301" s="51">
        <f t="shared" si="261"/>
        <v>2.4186951956349845E-2</v>
      </c>
      <c r="EH301" s="52">
        <f t="shared" si="227"/>
        <v>9.2140769357523225E-4</v>
      </c>
      <c r="EI301" s="51">
        <f t="shared" si="191"/>
        <v>0.99907859230642471</v>
      </c>
      <c r="EK301" s="53">
        <f>(EA301*'[2]Renewable Diesel'!BF310*'[2]Feedstock Conversion Rates'!B$2)+FB301</f>
        <v>120.71641046076017</v>
      </c>
      <c r="EL301" s="53">
        <f>(EB301*'[2]Renewable Diesel'!BF310*'[2]Feedstock Conversion Rates'!B$3)+FC301</f>
        <v>965.15882623157643</v>
      </c>
      <c r="EM301" s="53">
        <f>(EC301*'[2]Renewable Diesel'!BF310*'[2]Feedstock Conversion Rates'!B$4)+FD301</f>
        <v>4510.5028473050934</v>
      </c>
      <c r="EN301" s="53">
        <f>(ED301*'[2]Renewable Diesel'!BF310*'[2]Feedstock Conversion Rates'!B$5)+FE301</f>
        <v>508.99444854259644</v>
      </c>
      <c r="EO301" s="53">
        <f>(EE301*'[2]Renewable Diesel'!BF310*'[2]Feedstock Conversion Rates'!B$6)+FF301</f>
        <v>560.91975149569009</v>
      </c>
      <c r="EP301" s="53">
        <f>(EF301*'[2]Renewable Diesel'!BF310*'[2]Feedstock Conversion Rates'!B$7)+FG301</f>
        <v>658.17923756929463</v>
      </c>
      <c r="EQ301" s="53">
        <f>(EG301*'[2]Renewable Diesel'!BF310*'[2]Feedstock Conversion Rates'!B$8)+FH301</f>
        <v>217.44016480867805</v>
      </c>
      <c r="ER301" s="53">
        <f>(EH301*'[2]Renewable Diesel'!BF310*'[2]Feedstock Conversion Rates'!B$9)+FI301</f>
        <v>8.1729890518563426</v>
      </c>
      <c r="ES301" s="53">
        <f t="shared" si="228"/>
        <v>7550.0846754655458</v>
      </c>
      <c r="ET301" s="36">
        <f>ES301/'[2]Renewable Diesel'!BF310</f>
        <v>7.873439090956512</v>
      </c>
    </row>
    <row r="302" spans="1:150" x14ac:dyDescent="0.25">
      <c r="A302" s="39">
        <v>49614</v>
      </c>
      <c r="B302" s="45">
        <f t="shared" ref="B302:B312" si="264">115.75+145+100+235+31.5-21-287-20-28-32-70-39-47+40+20-3-10+35-105-1</f>
        <v>59.25</v>
      </c>
      <c r="C302" s="45">
        <f t="shared" si="251"/>
        <v>49</v>
      </c>
      <c r="D302" s="45">
        <f t="shared" ref="D302:D312" si="265">1+1</f>
        <v>2</v>
      </c>
      <c r="E302" s="45">
        <f>('[2]Renewable Diesel'!B311*E$3*'[2]Feedstock Conversion Rates'!$B$2)/12+26+13-100+27.5+39</f>
        <v>95.43</v>
      </c>
      <c r="F302" s="45">
        <f>('[2]Renewable Diesel'!B311*'[2]RD Feedstock Breakdown'!F$3*'[2]Feedstock Conversion Rates'!B$8)/12+77+23-10-12-115.75+24+8</f>
        <v>48.15625</v>
      </c>
      <c r="G302" s="45">
        <f>('[2]Renewable Diesel'!B311*'[2]RD Feedstock Breakdown'!G$3*'[2]Feedstock Conversion Rates'!B$7)/12+116.75-39-57.5-145-31.5+32+70-40+10-35</f>
        <v>56.907000000000039</v>
      </c>
      <c r="H302" s="45">
        <f>('[2]Renewable Diesel'!B311*'[2]RD Feedstock Breakdown'!H$3*'[2]Feedstock Conversion Rates'!B$3)/12+67+10+12+3-235+20+47-20+105</f>
        <v>185.40022499999998</v>
      </c>
      <c r="I302" s="47">
        <f t="shared" si="245"/>
        <v>496.14347500000002</v>
      </c>
      <c r="J302" s="45">
        <f t="shared" ref="J302:J312" si="266">54-15-35+65</f>
        <v>69</v>
      </c>
      <c r="K302" s="45"/>
      <c r="L302" s="45">
        <v>1</v>
      </c>
      <c r="M302" s="45">
        <f>('[2]Renewable Diesel'!C311*'[2]RD Feedstock Breakdown'!M$3*'[2]Feedstock Conversion Rates'!B$2)/12-55</f>
        <v>-47.20975</v>
      </c>
      <c r="N302" s="45">
        <f>('[2]Renewable Diesel'!C311*'[2]RD Feedstock Breakdown'!N$3*'[2]Feedstock Conversion Rates'!B$8)/12</f>
        <v>3.671875</v>
      </c>
      <c r="O302" s="45">
        <f>('[2]Renewable Diesel'!C311*'[2]RD Feedstock Breakdown'!O$3*'[2]Feedstock Conversion Rates'!B$7)/12-65</f>
        <v>-53.000900000000001</v>
      </c>
      <c r="P302" s="45">
        <f>('[2]Renewable Diesel'!C311*'[2]RD Feedstock Breakdown'!P$3*'[2]Feedstock Conversion Rates'!B$3)/12+15+35</f>
        <v>60.447042500000002</v>
      </c>
      <c r="Q302" s="47">
        <f t="shared" si="252"/>
        <v>33.908267500000001</v>
      </c>
      <c r="R302" s="45">
        <f>('[2]Renewable Diesel'!D311*'[2]RD Feedstock Breakdown'!R$3*'[2]Feedstock Conversion Rates'!B$7)/12</f>
        <v>2.2999999999999998</v>
      </c>
      <c r="S302" s="47">
        <f t="shared" si="203"/>
        <v>2.2999999999999998</v>
      </c>
      <c r="T302" s="45">
        <f t="shared" si="253"/>
        <v>0.82499999999999929</v>
      </c>
      <c r="U302" s="45"/>
      <c r="V302" s="45">
        <f>('[2]Renewable Diesel'!E311*'[2]RD Feedstock Breakdown'!V$3*'[2]Feedstock Conversion Rates'!B$6)/12-20+25</f>
        <v>49.250150000000012</v>
      </c>
      <c r="W302" s="45">
        <f>('[2]Renewable Diesel'!E311*'[2]RD Feedstock Breakdown'!W$3*'[2]Feedstock Conversion Rates'!B$8)/12-6</f>
        <v>16.1796875</v>
      </c>
      <c r="X302" s="47">
        <f t="shared" si="229"/>
        <v>66.254837500000008</v>
      </c>
      <c r="Y302" s="45">
        <f t="shared" si="254"/>
        <v>98</v>
      </c>
      <c r="Z302" s="45">
        <f>('[2]Renewable Diesel'!F311*'[2]RD Feedstock Breakdown'!Z$3*'[2]Feedstock Conversion Rates'!B$6)/12-142+15+5</f>
        <v>37.460000000000008</v>
      </c>
      <c r="AA302" s="45">
        <f>('[2]Renewable Diesel'!F311*'[2]RD Feedstock Breakdown'!AA$3*'[2]Feedstock Conversion Rates'!B$7)/12+24</f>
        <v>128.26666666666665</v>
      </c>
      <c r="AB302" s="47">
        <f t="shared" si="190"/>
        <v>263.72666666666669</v>
      </c>
      <c r="AC302" s="45">
        <f>('[2]Renewable Diesel'!G311*'[2]RD Feedstock Breakdown'!AC$3*'[2]Feedstock Conversion Rates'!B$5)/12</f>
        <v>11.796875</v>
      </c>
      <c r="AD302" s="45">
        <f>('[2]Renewable Diesel'!G311*'[2]RD Feedstock Breakdown'!AD$3*'[2]Feedstock Conversion Rates'!B$4)/12</f>
        <v>5.859375</v>
      </c>
      <c r="AE302" s="45">
        <f>('[2]Renewable Diesel'!G311*'[2]RD Feedstock Breakdown'!AE$3*'[2]Feedstock Conversion Rates'!B$6)/12</f>
        <v>7.3281250000000009</v>
      </c>
      <c r="AF302" s="47">
        <f t="shared" si="236"/>
        <v>24.984375</v>
      </c>
      <c r="AG302" s="45">
        <f t="shared" si="259"/>
        <v>148</v>
      </c>
      <c r="AH302" s="45"/>
      <c r="AI302" s="45">
        <f>('[2]Renewable Diesel'!H311*'[2]RD Feedstock Breakdown'!AI$3*'[2]Feedstock Conversion Rates'!B$6)/12-130-20+51-49</f>
        <v>0.51666666666667993</v>
      </c>
      <c r="AJ302" s="47">
        <f t="shared" si="202"/>
        <v>148.51666666666668</v>
      </c>
      <c r="AK302" s="45">
        <f>('[2]Renewable Diesel'!J311*'[2]RD Feedstock Breakdown'!AK$3*'[2]Feedstock Conversion Rates'!B$4)/12</f>
        <v>95.8125</v>
      </c>
      <c r="AL302" s="47">
        <f t="shared" si="205"/>
        <v>95.8125</v>
      </c>
      <c r="AM302" s="45">
        <f>('[2]Renewable Diesel'!K311*'[2]RD Feedstock Breakdown'!AM$3*'[2]Feedstock Conversion Rates'!B$4)/12+5+15-10+10</f>
        <v>78.59375</v>
      </c>
      <c r="AN302" s="45">
        <f>('[2]Renewable Diesel'!K311*'[2]RD Feedstock Breakdown'!AN$3*'[2]Feedstock Conversion Rates'!B$6)/12-5-15+10-10</f>
        <v>4.4270833333333321</v>
      </c>
      <c r="AO302" s="47">
        <f t="shared" si="223"/>
        <v>83.020833333333329</v>
      </c>
      <c r="AP302" s="45">
        <f>('[2]Renewable Diesel'!L311*'[2]RD Feedstock Breakdown'!AP$3*'[2]Feedstock Conversion Rates'!B$4)/12+15-10+15</f>
        <v>78.59375</v>
      </c>
      <c r="AQ302" s="45">
        <f>('[2]Renewable Diesel'!L311*'[2]RD Feedstock Breakdown'!AQ$3*'[2]Feedstock Conversion Rates'!B$6)/12-15+10-15</f>
        <v>4.4270833333333321</v>
      </c>
      <c r="AR302" s="47">
        <f t="shared" si="207"/>
        <v>83.020833333333329</v>
      </c>
      <c r="AS302" s="45">
        <f>('[2]Renewable Diesel'!M311*'[2]RD Feedstock Breakdown'!AS$3*'[2]Feedstock Conversion Rates'!B$4)/12</f>
        <v>456.25</v>
      </c>
      <c r="AT302" s="45">
        <f>('[2]Renewable Diesel'!M311*'[2]RD Feedstock Breakdown'!AT$3*'[2]Feedstock Conversion Rates'!B$5)/12</f>
        <v>0</v>
      </c>
      <c r="AU302" s="47">
        <f t="shared" si="244"/>
        <v>456.25</v>
      </c>
      <c r="AV302" s="45">
        <f>'[2]Renewable Diesel'!N311*'[2]RD Feedstock Breakdown'!$AV$3*'[2]Feedstock Conversion Rates'!$B$4/12-15-10+25+25-22+25</f>
        <v>106.74999999999999</v>
      </c>
      <c r="AW302" s="45">
        <f>'[2]Renewable Diesel'!N311*'[2]RD Feedstock Breakdown'!$AW$3*'[2]Feedstock Conversion Rates'!$B$7/12+15+10-25-25+22-25</f>
        <v>13.400000000000006</v>
      </c>
      <c r="AX302" s="47">
        <f t="shared" si="193"/>
        <v>120.14999999999999</v>
      </c>
      <c r="AY302" s="45">
        <f>('[2]Renewable Diesel'!O311*'[2]RD Feedstock Breakdown'!AY$3*'[2]Feedstock Conversion Rates'!B$4)/12</f>
        <v>210.9375</v>
      </c>
      <c r="AZ302" s="45">
        <f>('[2]Renewable Diesel'!O311*'[2]RD Feedstock Breakdown'!AZ$3*'[2]Feedstock Conversion Rates'!B$3)/12</f>
        <v>25.03125</v>
      </c>
      <c r="BA302" s="47">
        <f t="shared" si="255"/>
        <v>235.96875</v>
      </c>
      <c r="BB302" s="45">
        <f>('[2]Renewable Diesel'!Q311*'[2]RD Feedstock Breakdown'!BB$3*'[2]Feedstock Conversion Rates'!B$4)/12</f>
        <v>11.156249999999998</v>
      </c>
      <c r="BC302" s="45">
        <f>('[2]Renewable Diesel'!Q311*'[2]RD Feedstock Breakdown'!BC$3*'[2]Feedstock Conversion Rates'!B$3)/12</f>
        <v>1.4017500000000001</v>
      </c>
      <c r="BD302" s="45">
        <f>('[2]Renewable Diesel'!Q311*'[2]RD Feedstock Breakdown'!BD$3*'[2]Feedstock Conversion Rates'!B$6)/12</f>
        <v>0.8207500000000002</v>
      </c>
      <c r="BE302" s="47">
        <f t="shared" si="231"/>
        <v>13.378749999999998</v>
      </c>
      <c r="BF302" s="45">
        <f>('[2]Renewable Diesel'!R311*'[2]RD Feedstock Breakdown'!BF$3*'[2]Feedstock Conversion Rates'!B$4)/12</f>
        <v>62.5</v>
      </c>
      <c r="BG302" s="47">
        <f t="shared" si="215"/>
        <v>62.5</v>
      </c>
      <c r="BH302" s="45">
        <f>('[2]Renewable Diesel'!T311*'[2]RD Feedstock Breakdown'!BH$3*'[2]Feedstock Conversion Rates'!B$7)/12</f>
        <v>27.599999999999998</v>
      </c>
      <c r="BI302" s="47">
        <f t="shared" si="195"/>
        <v>27.599999999999998</v>
      </c>
      <c r="BJ302" s="45">
        <f>('[2]Renewable Diesel'!W311*'[2]RD Feedstock Breakdown'!BJ$3*'[2]Feedstock Conversion Rates'!B$4)/12</f>
        <v>7.5</v>
      </c>
      <c r="BK302" s="45">
        <f>('[2]Renewable Diesel'!W311*'[2]RD Feedstock Breakdown'!BK$3*'[2]Feedstock Conversion Rates'!B$3)/12</f>
        <v>1.335</v>
      </c>
      <c r="BL302" s="45">
        <f>('[2]Renewable Diesel'!W311*'[2]RD Feedstock Breakdown'!BL$3*'[2]Feedstock Conversion Rates'!B$6)/12</f>
        <v>3.1266666666666669</v>
      </c>
      <c r="BM302" s="45">
        <f>('[2]Renewable Diesel'!W311*'[2]RD Feedstock Breakdown'!BM$3*'[2]Feedstock Conversion Rates'!B$7)/12</f>
        <v>1.5333333333333332</v>
      </c>
      <c r="BN302" s="47">
        <f t="shared" si="248"/>
        <v>13.495000000000001</v>
      </c>
      <c r="BO302" s="45">
        <f>('[2]Renewable Diesel'!P311*'[2]Feedstock Conversion Rates'!B$4)/12</f>
        <v>31.25</v>
      </c>
      <c r="BP302" s="47">
        <f t="shared" si="237"/>
        <v>31.25</v>
      </c>
      <c r="BQ302" s="45">
        <f>('[2]Renewable Diesel'!$S311*'[2]RD Feedstock Breakdown'!BQ$3*'[2]Feedstock Conversion Rates'!B$4)/12+10+15-15</f>
        <v>38.125</v>
      </c>
      <c r="BR302" s="45">
        <f>('[2]Renewable Diesel'!$S311*'[2]RD Feedstock Breakdown'!BR$3*'[2]Feedstock Conversion Rates'!B$7)/12-10-15+15</f>
        <v>1.5</v>
      </c>
      <c r="BS302" s="47">
        <f t="shared" si="260"/>
        <v>39.625</v>
      </c>
      <c r="BT302" s="47"/>
      <c r="BU302" s="45">
        <f>('[2]Renewable Diesel'!Y311*'[2]Feedstock Conversion Rates'!B$7)/12</f>
        <v>2.6833333333333331</v>
      </c>
      <c r="BV302" s="47">
        <f t="shared" si="233"/>
        <v>2.6833333333333331</v>
      </c>
      <c r="BW302" s="45">
        <f>('[2]Renewable Diesel'!$Z311*'[2]RD Feedstock Breakdown'!BW$3*'[2]Feedstock Conversion Rates'!$B$4)/12</f>
        <v>71.875</v>
      </c>
      <c r="BX302" s="45">
        <f>('[2]Renewable Diesel'!$Z311*'[2]RD Feedstock Breakdown'!BX$3*'[2]Feedstock Conversion Rates'!$B$5)/12</f>
        <v>7.2354166666666666</v>
      </c>
      <c r="BY302" s="45">
        <f>('[2]Renewable Diesel'!$Z311*'[2]RD Feedstock Breakdown'!BY$3*'[2]Feedstock Conversion Rates'!$B$7)/12</f>
        <v>61.716666666666661</v>
      </c>
      <c r="BZ302" s="45">
        <f>('[2]Renewable Diesel'!$Z311*'[2]RD Feedstock Breakdown'!BZ$3*'[2]Feedstock Conversion Rates'!$B$3)/12</f>
        <v>15.352499999999999</v>
      </c>
      <c r="CA302" s="47">
        <f t="shared" si="262"/>
        <v>156.17958333333331</v>
      </c>
      <c r="CB302" s="45">
        <f>('[2]Renewable Diesel'!AA311*'[2]Feedstock Conversion Rates'!B$4)/12</f>
        <v>191.25</v>
      </c>
      <c r="CC302" s="47">
        <f t="shared" si="250"/>
        <v>191.25</v>
      </c>
      <c r="CD302" s="45">
        <f>('[2]Renewable Diesel'!$AB311*'[2]RD Feedstock Breakdown'!CD$3*'[2]Feedstock Conversion Rates'!$B$6)/12-15-5</f>
        <v>12.830000000000005</v>
      </c>
      <c r="CE302" s="45">
        <f>('[2]Renewable Diesel'!$AB311*'[2]RD Feedstock Breakdown'!CE$3*'[2]Feedstock Conversion Rates'!$B$4)/12+15+5</f>
        <v>31.25</v>
      </c>
      <c r="CF302" s="47">
        <f t="shared" si="247"/>
        <v>44.080000000000005</v>
      </c>
      <c r="CG302" s="45">
        <f>('[2]Renewable Diesel'!AD311*'[2]Feedstock Conversion Rates'!B$4)/12</f>
        <v>112.5</v>
      </c>
      <c r="CH302" s="47">
        <f t="shared" si="230"/>
        <v>112.5</v>
      </c>
      <c r="CI302" s="45">
        <f>('[2]Renewable Diesel'!$AE311*'[2]RD Feedstock Breakdown'!CI$3*'[2]Feedstock Conversion Rates'!$B$5)/12</f>
        <v>0.34604166666666664</v>
      </c>
      <c r="CJ302" s="45">
        <f>('[2]Renewable Diesel'!$AE311*'[2]RD Feedstock Breakdown'!CJ$3*'[2]Feedstock Conversion Rates'!$B$4)/12</f>
        <v>0.34375</v>
      </c>
      <c r="CK302" s="47">
        <f t="shared" si="238"/>
        <v>0.68979166666666658</v>
      </c>
      <c r="CL302" s="45">
        <f>(((CL$3*'[2]Renewable Diesel'!$AF311)*'[2]Feedstock Conversion Rates'!$B$3)/12)</f>
        <v>91.78125</v>
      </c>
      <c r="CM302" s="45">
        <f>(((CM$3*'[2]Renewable Diesel'!$AF311)*'[2]Feedstock Conversion Rates'!$B$6)/12)</f>
        <v>53.739583333333336</v>
      </c>
      <c r="CN302" s="45">
        <f>(((CN$3*'[2]Renewable Diesel'!$AF311)*'[2]Feedstock Conversion Rates'!$B$4)/12)</f>
        <v>42.96875</v>
      </c>
      <c r="CO302" s="47">
        <f t="shared" si="232"/>
        <v>188.48958333333334</v>
      </c>
      <c r="CP302" s="45">
        <f>('[2]Renewable Diesel'!$AG311*'[2]RD Feedstock Breakdown'!CP$3*'[2]Feedstock Conversion Rates'!$B$3)/12</f>
        <v>6.0075000000000003</v>
      </c>
      <c r="CQ302" s="45">
        <f>('[2]Renewable Diesel'!$AG311*'[2]RD Feedstock Breakdown'!CQ$3*'[2]Feedstock Conversion Rates'!$B$6)/12</f>
        <v>3.5175000000000001</v>
      </c>
      <c r="CR302" s="45">
        <f>('[2]Renewable Diesel'!$AG311*'[2]RD Feedstock Breakdown'!CR$3*'[2]Feedstock Conversion Rates'!$B$4)/12</f>
        <v>2.8125</v>
      </c>
      <c r="CS302" s="47">
        <f t="shared" si="183"/>
        <v>12.3375</v>
      </c>
      <c r="CT302" s="45">
        <f>('[2]Renewable Diesel'!AI311*'[2]Feedstock Conversion Rates'!$B$4*'[2]RD Feedstock Breakdown'!$CT$3)/12</f>
        <v>29.375</v>
      </c>
      <c r="CU302" s="47">
        <f t="shared" si="234"/>
        <v>29.375</v>
      </c>
      <c r="CV302" s="45">
        <f>('[2]Renewable Diesel'!AN311*'[2]Feedstock Conversion Rates'!$B$3*'[2]RD Feedstock Breakdown'!$CV$3)/12</f>
        <v>0.50062499999999999</v>
      </c>
      <c r="CW302" s="47">
        <f t="shared" si="206"/>
        <v>0.50062499999999999</v>
      </c>
      <c r="CX302" s="45">
        <f>('[2]Renewable Diesel'!AO311*'[2]RD Feedstock Breakdown'!$CX$3*'[2]Feedstock Conversion Rates'!$B$3)/12</f>
        <v>6.3412499999999996</v>
      </c>
      <c r="CY302" s="45">
        <f>('[2]Renewable Diesel'!AO311*'[2]RD Feedstock Breakdown'!$CY$3*'[2]Feedstock Conversion Rates'!$B$6)/12</f>
        <v>7.4258333333333342</v>
      </c>
      <c r="CZ302" s="47">
        <f t="shared" si="188"/>
        <v>13.767083333333334</v>
      </c>
      <c r="DA302" s="45">
        <f>('[2]Renewable Diesel'!$AP311*'[2]RD Feedstock Breakdown'!DA$3*'[2]Feedstock Conversion Rates'!$B$3)/12</f>
        <v>6.3412499999999996</v>
      </c>
      <c r="DB302" s="45">
        <f>('[2]Renewable Diesel'!$AP311*'[2]RD Feedstock Breakdown'!DB$3*'[2]Feedstock Conversion Rates'!$B$8)/12</f>
        <v>7.421875</v>
      </c>
      <c r="DC302" s="47">
        <f t="shared" si="212"/>
        <v>13.763124999999999</v>
      </c>
      <c r="DD302" s="45">
        <f>('[2]Renewable Diesel'!AQ311*$DD$3*'[2]Feedstock Conversion Rates'!$B$14)/12</f>
        <v>3.1041666666666665</v>
      </c>
      <c r="DE302" s="47">
        <f t="shared" si="213"/>
        <v>3.1041666666666665</v>
      </c>
      <c r="DF302" s="45">
        <f>('[2]Renewable Diesel'!AR311*'[2]Feedstock Conversion Rates'!$B$4*$DF$3)/12</f>
        <v>75</v>
      </c>
      <c r="DG302" s="47">
        <f t="shared" si="189"/>
        <v>75</v>
      </c>
      <c r="DH302" s="45">
        <f>('[2]Renewable Diesel'!AS311*'[2]Feedstock Conversion Rates'!$B$4*$DH$3)/12</f>
        <v>75</v>
      </c>
      <c r="DI302" s="47">
        <f t="shared" si="194"/>
        <v>75</v>
      </c>
      <c r="DJ302" s="45">
        <f>('[2]Renewable Diesel'!AT311*'[2]Feedstock Conversion Rates'!$B$4*0.25)/12</f>
        <v>8.59375</v>
      </c>
      <c r="DK302" s="45">
        <f>('[2]Renewable Diesel'!$AT311*'[2]RD Feedstock Breakdown'!DK$3*'[2]Feedstock Conversion Rates'!$B$3)/12*0.5</f>
        <v>9.1781249999999996</v>
      </c>
      <c r="DL302" s="45">
        <f>('[2]Renewable Diesel'!$AT311*'[2]RD Feedstock Breakdown'!$DL$3*'[2]Feedstock Conversion Rates'!$B$6)/12</f>
        <v>10.747916666666669</v>
      </c>
      <c r="DM302" s="45">
        <f>('[2]Renewable Diesel'!$AT311*'[2]RD Feedstock Breakdown'!$DM$3*'[2]Feedstock Conversion Rates'!$B$8)/12</f>
        <v>10.7421875</v>
      </c>
      <c r="DN302" s="47">
        <f t="shared" si="249"/>
        <v>39.26197916666667</v>
      </c>
      <c r="DP302" s="45">
        <f t="shared" si="216"/>
        <v>48.220250000000007</v>
      </c>
      <c r="DQ302" s="45">
        <f t="shared" si="217"/>
        <v>409.11776750000001</v>
      </c>
      <c r="DR302" s="45">
        <f t="shared" si="224"/>
        <v>2041.953125</v>
      </c>
      <c r="DS302" s="45">
        <f t="shared" si="235"/>
        <v>228.90125</v>
      </c>
      <c r="DT302" s="45">
        <f t="shared" si="218"/>
        <v>203.03923333333341</v>
      </c>
      <c r="DU302" s="45">
        <f t="shared" si="219"/>
        <v>242.90610000000004</v>
      </c>
      <c r="DV302" s="45">
        <f t="shared" si="225"/>
        <v>78.75</v>
      </c>
      <c r="DW302" s="45">
        <f t="shared" si="220"/>
        <v>3</v>
      </c>
      <c r="DX302" s="47">
        <f t="shared" si="226"/>
        <v>3255.8877258333337</v>
      </c>
      <c r="DY302" s="50">
        <f t="shared" si="208"/>
        <v>-5.631051180898794E-13</v>
      </c>
      <c r="EA302" s="51">
        <f t="shared" si="263"/>
        <v>1.4810169778707033E-2</v>
      </c>
      <c r="EB302" s="51">
        <f t="shared" si="263"/>
        <v>0.12565475285094105</v>
      </c>
      <c r="EC302" s="51">
        <f t="shared" si="263"/>
        <v>0.62715710643166267</v>
      </c>
      <c r="ED302" s="51">
        <f t="shared" si="261"/>
        <v>7.0303790939662547E-2</v>
      </c>
      <c r="EE302" s="51">
        <f t="shared" si="261"/>
        <v>6.2360637230316714E-2</v>
      </c>
      <c r="EF302" s="51">
        <f t="shared" si="261"/>
        <v>7.4605183118784918E-2</v>
      </c>
      <c r="EG302" s="51">
        <f t="shared" si="261"/>
        <v>2.4186951956349845E-2</v>
      </c>
      <c r="EH302" s="52">
        <f t="shared" si="227"/>
        <v>9.2140769357523225E-4</v>
      </c>
      <c r="EI302" s="51">
        <f t="shared" si="191"/>
        <v>0.99907859230642471</v>
      </c>
      <c r="EK302" s="53">
        <f>(EA302*'[2]Renewable Diesel'!BF311*'[2]Feedstock Conversion Rates'!B$2)+FB302</f>
        <v>120.36864153168149</v>
      </c>
      <c r="EL302" s="53">
        <f>(EB302*'[2]Renewable Diesel'!BF311*'[2]Feedstock Conversion Rates'!B$3)+FC302</f>
        <v>962.3783239775064</v>
      </c>
      <c r="EM302" s="53">
        <f>(EC302*'[2]Renewable Diesel'!BF311*'[2]Feedstock Conversion Rates'!B$4)+FD302</f>
        <v>4497.5086509168277</v>
      </c>
      <c r="EN302" s="53">
        <f>(ED302*'[2]Renewable Diesel'!BF311*'[2]Feedstock Conversion Rates'!B$5)+FE302</f>
        <v>507.52809899160314</v>
      </c>
      <c r="EO302" s="53">
        <f>(EE302*'[2]Renewable Diesel'!BF311*'[2]Feedstock Conversion Rates'!B$6)+FF302</f>
        <v>559.30381162030619</v>
      </c>
      <c r="EP302" s="53">
        <f>(EF302*'[2]Renewable Diesel'!BF311*'[2]Feedstock Conversion Rates'!B$7)+FG302</f>
        <v>656.2831052396665</v>
      </c>
      <c r="EQ302" s="53">
        <f>(EG302*'[2]Renewable Diesel'!BF311*'[2]Feedstock Conversion Rates'!B$8)+FH302</f>
        <v>216.81374680166823</v>
      </c>
      <c r="ER302" s="53">
        <f>(EH302*'[2]Renewable Diesel'!BF311*'[2]Feedstock Conversion Rates'!B$9)+FI302</f>
        <v>8.149443689307148</v>
      </c>
      <c r="ES302" s="53">
        <f t="shared" si="228"/>
        <v>7528.3338227685672</v>
      </c>
      <c r="ET302" s="36">
        <f>ES302/'[2]Renewable Diesel'!BF311</f>
        <v>7.8734390909565128</v>
      </c>
    </row>
    <row r="303" spans="1:150" x14ac:dyDescent="0.25">
      <c r="A303" s="39">
        <v>49644</v>
      </c>
      <c r="B303" s="45">
        <f t="shared" si="264"/>
        <v>59.25</v>
      </c>
      <c r="C303" s="45">
        <f t="shared" si="251"/>
        <v>49</v>
      </c>
      <c r="D303" s="45">
        <f t="shared" si="265"/>
        <v>2</v>
      </c>
      <c r="E303" s="45">
        <f>('[2]Renewable Diesel'!B312*E$3*'[2]Feedstock Conversion Rates'!$B$2)/12+26+13-100+27.5+39</f>
        <v>95.43</v>
      </c>
      <c r="F303" s="45">
        <f>('[2]Renewable Diesel'!B312*'[2]RD Feedstock Breakdown'!F$3*'[2]Feedstock Conversion Rates'!B$8)/12+77+23-10-12-115.75+24+8</f>
        <v>48.15625</v>
      </c>
      <c r="G303" s="45">
        <f>('[2]Renewable Diesel'!B312*'[2]RD Feedstock Breakdown'!G$3*'[2]Feedstock Conversion Rates'!B$7)/12+116.75-39-57.5-145-31.5+32+70-40+10-35</f>
        <v>56.907000000000039</v>
      </c>
      <c r="H303" s="45">
        <f>('[2]Renewable Diesel'!B312*'[2]RD Feedstock Breakdown'!H$3*'[2]Feedstock Conversion Rates'!B$3)/12+67+10+12+3-235+20+47-20+105</f>
        <v>185.40022499999998</v>
      </c>
      <c r="I303" s="47">
        <f t="shared" si="245"/>
        <v>496.14347500000002</v>
      </c>
      <c r="J303" s="45">
        <f t="shared" si="266"/>
        <v>69</v>
      </c>
      <c r="K303" s="45"/>
      <c r="L303" s="45">
        <v>1</v>
      </c>
      <c r="M303" s="45">
        <f>('[2]Renewable Diesel'!C312*'[2]RD Feedstock Breakdown'!M$3*'[2]Feedstock Conversion Rates'!B$2)/12-55</f>
        <v>-47.20975</v>
      </c>
      <c r="N303" s="45">
        <f>('[2]Renewable Diesel'!C312*'[2]RD Feedstock Breakdown'!N$3*'[2]Feedstock Conversion Rates'!B$8)/12</f>
        <v>3.671875</v>
      </c>
      <c r="O303" s="45">
        <f>('[2]Renewable Diesel'!C312*'[2]RD Feedstock Breakdown'!O$3*'[2]Feedstock Conversion Rates'!B$7)/12-65</f>
        <v>-53.000900000000001</v>
      </c>
      <c r="P303" s="45">
        <f>('[2]Renewable Diesel'!C312*'[2]RD Feedstock Breakdown'!P$3*'[2]Feedstock Conversion Rates'!B$3)/12+15+35</f>
        <v>60.447042500000002</v>
      </c>
      <c r="Q303" s="47">
        <f t="shared" si="252"/>
        <v>33.908267500000001</v>
      </c>
      <c r="R303" s="45">
        <f>('[2]Renewable Diesel'!D312*'[2]RD Feedstock Breakdown'!R$3*'[2]Feedstock Conversion Rates'!B$7)/12</f>
        <v>2.2999999999999998</v>
      </c>
      <c r="S303" s="47">
        <f t="shared" si="203"/>
        <v>2.2999999999999998</v>
      </c>
      <c r="T303" s="45">
        <f t="shared" si="253"/>
        <v>0.82499999999999929</v>
      </c>
      <c r="U303" s="45"/>
      <c r="V303" s="45">
        <f>('[2]Renewable Diesel'!E312*'[2]RD Feedstock Breakdown'!V$3*'[2]Feedstock Conversion Rates'!B$6)/12-20+25</f>
        <v>49.250150000000012</v>
      </c>
      <c r="W303" s="45">
        <f>('[2]Renewable Diesel'!E312*'[2]RD Feedstock Breakdown'!W$3*'[2]Feedstock Conversion Rates'!B$8)/12-6</f>
        <v>16.1796875</v>
      </c>
      <c r="X303" s="47">
        <f t="shared" si="229"/>
        <v>66.254837500000008</v>
      </c>
      <c r="Y303" s="45">
        <f t="shared" si="254"/>
        <v>98</v>
      </c>
      <c r="Z303" s="45">
        <f>('[2]Renewable Diesel'!F312*'[2]RD Feedstock Breakdown'!Z$3*'[2]Feedstock Conversion Rates'!B$6)/12-142+15+10</f>
        <v>42.460000000000008</v>
      </c>
      <c r="AA303" s="45">
        <f>('[2]Renewable Diesel'!F312*'[2]RD Feedstock Breakdown'!AA$3*'[2]Feedstock Conversion Rates'!B$7)/12+24</f>
        <v>128.26666666666665</v>
      </c>
      <c r="AB303" s="47">
        <f t="shared" si="190"/>
        <v>268.72666666666669</v>
      </c>
      <c r="AC303" s="45">
        <f>('[2]Renewable Diesel'!G312*'[2]RD Feedstock Breakdown'!AC$3*'[2]Feedstock Conversion Rates'!B$5)/12</f>
        <v>11.796875</v>
      </c>
      <c r="AD303" s="45">
        <f>('[2]Renewable Diesel'!G312*'[2]RD Feedstock Breakdown'!AD$3*'[2]Feedstock Conversion Rates'!B$4)/12</f>
        <v>5.859375</v>
      </c>
      <c r="AE303" s="45">
        <f>('[2]Renewable Diesel'!G312*'[2]RD Feedstock Breakdown'!AE$3*'[2]Feedstock Conversion Rates'!B$6)/12</f>
        <v>7.3281250000000009</v>
      </c>
      <c r="AF303" s="47">
        <f t="shared" si="236"/>
        <v>24.984375</v>
      </c>
      <c r="AG303" s="45">
        <f t="shared" si="259"/>
        <v>148</v>
      </c>
      <c r="AH303" s="45"/>
      <c r="AI303" s="45">
        <f>('[2]Renewable Diesel'!H312*'[2]RD Feedstock Breakdown'!AI$3*'[2]Feedstock Conversion Rates'!B$6)/12-130-20+51-49</f>
        <v>0.51666666666667993</v>
      </c>
      <c r="AJ303" s="47">
        <f t="shared" si="202"/>
        <v>148.51666666666668</v>
      </c>
      <c r="AK303" s="45">
        <f>('[2]Renewable Diesel'!J312*'[2]RD Feedstock Breakdown'!AK$3*'[2]Feedstock Conversion Rates'!B$4)/12</f>
        <v>95.8125</v>
      </c>
      <c r="AL303" s="47">
        <f t="shared" si="205"/>
        <v>95.8125</v>
      </c>
      <c r="AM303" s="45">
        <f>('[2]Renewable Diesel'!K312*'[2]RD Feedstock Breakdown'!AM$3*'[2]Feedstock Conversion Rates'!B$4)/12+5+15-10+10</f>
        <v>78.59375</v>
      </c>
      <c r="AN303" s="45">
        <f>('[2]Renewable Diesel'!K312*'[2]RD Feedstock Breakdown'!AN$3*'[2]Feedstock Conversion Rates'!B$6)/12-5-15+10-10</f>
        <v>4.4270833333333321</v>
      </c>
      <c r="AO303" s="47">
        <f t="shared" si="223"/>
        <v>83.020833333333329</v>
      </c>
      <c r="AP303" s="45">
        <f>('[2]Renewable Diesel'!L312*'[2]RD Feedstock Breakdown'!AP$3*'[2]Feedstock Conversion Rates'!B$4)/12+15-10+15</f>
        <v>78.59375</v>
      </c>
      <c r="AQ303" s="45">
        <f>('[2]Renewable Diesel'!L312*'[2]RD Feedstock Breakdown'!AQ$3*'[2]Feedstock Conversion Rates'!B$6)/12-15+10-15</f>
        <v>4.4270833333333321</v>
      </c>
      <c r="AR303" s="47">
        <f t="shared" si="207"/>
        <v>83.020833333333329</v>
      </c>
      <c r="AS303" s="45">
        <f>('[2]Renewable Diesel'!M312*'[2]RD Feedstock Breakdown'!AS$3*'[2]Feedstock Conversion Rates'!B$4)/12</f>
        <v>456.25</v>
      </c>
      <c r="AT303" s="45">
        <f>('[2]Renewable Diesel'!M312*'[2]RD Feedstock Breakdown'!AT$3*'[2]Feedstock Conversion Rates'!B$5)/12</f>
        <v>0</v>
      </c>
      <c r="AU303" s="47">
        <f t="shared" si="244"/>
        <v>456.25</v>
      </c>
      <c r="AV303" s="45">
        <f>'[2]Renewable Diesel'!N312*'[2]RD Feedstock Breakdown'!$AV$3*'[2]Feedstock Conversion Rates'!$B$4/12-15-10+25+25-22+25</f>
        <v>106.74999999999999</v>
      </c>
      <c r="AW303" s="45">
        <f>'[2]Renewable Diesel'!N312*'[2]RD Feedstock Breakdown'!$AW$3*'[2]Feedstock Conversion Rates'!$B$7/12+15+10-25-25+22-25</f>
        <v>13.400000000000006</v>
      </c>
      <c r="AX303" s="47">
        <f t="shared" si="193"/>
        <v>120.14999999999999</v>
      </c>
      <c r="AY303" s="45">
        <f>('[2]Renewable Diesel'!O312*'[2]RD Feedstock Breakdown'!AY$3*'[2]Feedstock Conversion Rates'!B$4)/12</f>
        <v>210.9375</v>
      </c>
      <c r="AZ303" s="45">
        <f>('[2]Renewable Diesel'!O312*'[2]RD Feedstock Breakdown'!AZ$3*'[2]Feedstock Conversion Rates'!B$3)/12</f>
        <v>25.03125</v>
      </c>
      <c r="BA303" s="47">
        <f t="shared" si="255"/>
        <v>235.96875</v>
      </c>
      <c r="BB303" s="45">
        <f>('[2]Renewable Diesel'!Q312*'[2]RD Feedstock Breakdown'!BB$3*'[2]Feedstock Conversion Rates'!B$4)/12</f>
        <v>11.156249999999998</v>
      </c>
      <c r="BC303" s="45">
        <f>('[2]Renewable Diesel'!Q312*'[2]RD Feedstock Breakdown'!BC$3*'[2]Feedstock Conversion Rates'!B$3)/12</f>
        <v>1.4017500000000001</v>
      </c>
      <c r="BD303" s="45">
        <f>('[2]Renewable Diesel'!Q312*'[2]RD Feedstock Breakdown'!BD$3*'[2]Feedstock Conversion Rates'!B$6)/12</f>
        <v>0.8207500000000002</v>
      </c>
      <c r="BE303" s="47">
        <f t="shared" si="231"/>
        <v>13.378749999999998</v>
      </c>
      <c r="BF303" s="45">
        <f>('[2]Renewable Diesel'!R312*'[2]RD Feedstock Breakdown'!BF$3*'[2]Feedstock Conversion Rates'!B$4)/12</f>
        <v>62.5</v>
      </c>
      <c r="BG303" s="47">
        <f t="shared" si="215"/>
        <v>62.5</v>
      </c>
      <c r="BH303" s="45">
        <f>('[2]Renewable Diesel'!T312*'[2]RD Feedstock Breakdown'!BH$3*'[2]Feedstock Conversion Rates'!B$7)/12</f>
        <v>27.599999999999998</v>
      </c>
      <c r="BI303" s="47">
        <f t="shared" si="195"/>
        <v>27.599999999999998</v>
      </c>
      <c r="BJ303" s="45">
        <f>('[2]Renewable Diesel'!W312*'[2]RD Feedstock Breakdown'!BJ$3*'[2]Feedstock Conversion Rates'!B$4)/12</f>
        <v>7.5</v>
      </c>
      <c r="BK303" s="45">
        <f>('[2]Renewable Diesel'!W312*'[2]RD Feedstock Breakdown'!BK$3*'[2]Feedstock Conversion Rates'!B$3)/12</f>
        <v>1.335</v>
      </c>
      <c r="BL303" s="45">
        <f>('[2]Renewable Diesel'!W312*'[2]RD Feedstock Breakdown'!BL$3*'[2]Feedstock Conversion Rates'!B$6)/12</f>
        <v>3.1266666666666669</v>
      </c>
      <c r="BM303" s="45">
        <f>('[2]Renewable Diesel'!W312*'[2]RD Feedstock Breakdown'!BM$3*'[2]Feedstock Conversion Rates'!B$7)/12</f>
        <v>1.5333333333333332</v>
      </c>
      <c r="BN303" s="47">
        <f t="shared" si="248"/>
        <v>13.495000000000001</v>
      </c>
      <c r="BO303" s="45">
        <f>('[2]Renewable Diesel'!P312*'[2]Feedstock Conversion Rates'!B$4)/12</f>
        <v>31.25</v>
      </c>
      <c r="BP303" s="47">
        <f t="shared" si="237"/>
        <v>31.25</v>
      </c>
      <c r="BQ303" s="45">
        <f>('[2]Renewable Diesel'!$S312*'[2]RD Feedstock Breakdown'!BQ$3*'[2]Feedstock Conversion Rates'!B$4)/12+10+15-15</f>
        <v>38.125</v>
      </c>
      <c r="BR303" s="45">
        <f>('[2]Renewable Diesel'!$S312*'[2]RD Feedstock Breakdown'!BR$3*'[2]Feedstock Conversion Rates'!B$7)/12-10-15+15</f>
        <v>1.5</v>
      </c>
      <c r="BS303" s="47">
        <f t="shared" si="260"/>
        <v>39.625</v>
      </c>
      <c r="BT303" s="47"/>
      <c r="BU303" s="45">
        <f>('[2]Renewable Diesel'!Y312*'[2]Feedstock Conversion Rates'!B$7)/12</f>
        <v>2.6833333333333331</v>
      </c>
      <c r="BV303" s="47">
        <f t="shared" si="233"/>
        <v>2.6833333333333331</v>
      </c>
      <c r="BW303" s="45">
        <f>('[2]Renewable Diesel'!$Z312*'[2]RD Feedstock Breakdown'!BW$3*'[2]Feedstock Conversion Rates'!$B$4)/12</f>
        <v>71.875</v>
      </c>
      <c r="BX303" s="45">
        <f>('[2]Renewable Diesel'!$Z312*'[2]RD Feedstock Breakdown'!BX$3*'[2]Feedstock Conversion Rates'!$B$5)/12</f>
        <v>7.2354166666666666</v>
      </c>
      <c r="BY303" s="45">
        <f>('[2]Renewable Diesel'!$Z312*'[2]RD Feedstock Breakdown'!BY$3*'[2]Feedstock Conversion Rates'!$B$7)/12</f>
        <v>61.716666666666661</v>
      </c>
      <c r="BZ303" s="45">
        <f>('[2]Renewable Diesel'!$Z312*'[2]RD Feedstock Breakdown'!BZ$3*'[2]Feedstock Conversion Rates'!$B$3)/12</f>
        <v>15.352499999999999</v>
      </c>
      <c r="CA303" s="47">
        <f t="shared" si="262"/>
        <v>156.17958333333331</v>
      </c>
      <c r="CB303" s="45">
        <f>('[2]Renewable Diesel'!AA312*'[2]Feedstock Conversion Rates'!B$4)/12</f>
        <v>191.25</v>
      </c>
      <c r="CC303" s="47">
        <f t="shared" si="250"/>
        <v>191.25</v>
      </c>
      <c r="CD303" s="45">
        <f>('[2]Renewable Diesel'!$AB312*'[2]RD Feedstock Breakdown'!CD$3*'[2]Feedstock Conversion Rates'!$B$6)/12-15-5</f>
        <v>12.830000000000005</v>
      </c>
      <c r="CE303" s="45">
        <f>('[2]Renewable Diesel'!$AB312*'[2]RD Feedstock Breakdown'!CE$3*'[2]Feedstock Conversion Rates'!$B$4)/12+15+5</f>
        <v>31.25</v>
      </c>
      <c r="CF303" s="47">
        <f t="shared" si="247"/>
        <v>44.080000000000005</v>
      </c>
      <c r="CG303" s="45">
        <f>('[2]Renewable Diesel'!AD312*'[2]Feedstock Conversion Rates'!B$4)/12</f>
        <v>112.5</v>
      </c>
      <c r="CH303" s="47">
        <f t="shared" si="230"/>
        <v>112.5</v>
      </c>
      <c r="CI303" s="45">
        <f>('[2]Renewable Diesel'!$AE312*'[2]RD Feedstock Breakdown'!CI$3*'[2]Feedstock Conversion Rates'!$B$5)/12</f>
        <v>0.34604166666666664</v>
      </c>
      <c r="CJ303" s="45">
        <f>('[2]Renewable Diesel'!$AE312*'[2]RD Feedstock Breakdown'!CJ$3*'[2]Feedstock Conversion Rates'!$B$4)/12</f>
        <v>0.34375</v>
      </c>
      <c r="CK303" s="47">
        <f t="shared" si="238"/>
        <v>0.68979166666666658</v>
      </c>
      <c r="CL303" s="45">
        <f>(((CL$3*'[2]Renewable Diesel'!$AF312)*'[2]Feedstock Conversion Rates'!$B$3)/12)</f>
        <v>91.78125</v>
      </c>
      <c r="CM303" s="45">
        <f>(((CM$3*'[2]Renewable Diesel'!$AF312)*'[2]Feedstock Conversion Rates'!$B$6)/12)</f>
        <v>53.739583333333336</v>
      </c>
      <c r="CN303" s="45">
        <f>(((CN$3*'[2]Renewable Diesel'!$AF312)*'[2]Feedstock Conversion Rates'!$B$4)/12)</f>
        <v>42.96875</v>
      </c>
      <c r="CO303" s="47">
        <f t="shared" si="232"/>
        <v>188.48958333333334</v>
      </c>
      <c r="CP303" s="45">
        <f>('[2]Renewable Diesel'!$AG312*'[2]RD Feedstock Breakdown'!CP$3*'[2]Feedstock Conversion Rates'!$B$3)/12</f>
        <v>6.0075000000000003</v>
      </c>
      <c r="CQ303" s="45">
        <f>('[2]Renewable Diesel'!$AG312*'[2]RD Feedstock Breakdown'!CQ$3*'[2]Feedstock Conversion Rates'!$B$6)/12</f>
        <v>3.5175000000000001</v>
      </c>
      <c r="CR303" s="45">
        <f>('[2]Renewable Diesel'!$AG312*'[2]RD Feedstock Breakdown'!CR$3*'[2]Feedstock Conversion Rates'!$B$4)/12</f>
        <v>2.8125</v>
      </c>
      <c r="CS303" s="47">
        <f t="shared" si="183"/>
        <v>12.3375</v>
      </c>
      <c r="CT303" s="45">
        <f>('[2]Renewable Diesel'!AI312*'[2]Feedstock Conversion Rates'!$B$4*'[2]RD Feedstock Breakdown'!$CT$3)/12</f>
        <v>29.375</v>
      </c>
      <c r="CU303" s="47">
        <f t="shared" si="234"/>
        <v>29.375</v>
      </c>
      <c r="CV303" s="45">
        <f>('[2]Renewable Diesel'!AN312*'[2]Feedstock Conversion Rates'!$B$3*'[2]RD Feedstock Breakdown'!$CV$3)/12</f>
        <v>0.50062499999999999</v>
      </c>
      <c r="CW303" s="47">
        <f t="shared" si="206"/>
        <v>0.50062499999999999</v>
      </c>
      <c r="CX303" s="45">
        <f>('[2]Renewable Diesel'!AO312*'[2]RD Feedstock Breakdown'!$CX$3*'[2]Feedstock Conversion Rates'!$B$3)/12</f>
        <v>6.3412499999999996</v>
      </c>
      <c r="CY303" s="45">
        <f>('[2]Renewable Diesel'!AO312*'[2]RD Feedstock Breakdown'!$CY$3*'[2]Feedstock Conversion Rates'!$B$6)/12</f>
        <v>7.4258333333333342</v>
      </c>
      <c r="CZ303" s="47">
        <f t="shared" si="188"/>
        <v>13.767083333333334</v>
      </c>
      <c r="DA303" s="45">
        <f>('[2]Renewable Diesel'!$AP312*'[2]RD Feedstock Breakdown'!DA$3*'[2]Feedstock Conversion Rates'!$B$3)/12</f>
        <v>6.3412499999999996</v>
      </c>
      <c r="DB303" s="45">
        <f>('[2]Renewable Diesel'!$AP312*'[2]RD Feedstock Breakdown'!DB$3*'[2]Feedstock Conversion Rates'!$B$8)/12</f>
        <v>7.421875</v>
      </c>
      <c r="DC303" s="47">
        <f t="shared" si="212"/>
        <v>13.763124999999999</v>
      </c>
      <c r="DD303" s="45">
        <f>('[2]Renewable Diesel'!AQ312*$DD$3*'[2]Feedstock Conversion Rates'!$B$14)/12</f>
        <v>3.1041666666666665</v>
      </c>
      <c r="DE303" s="47">
        <f t="shared" si="213"/>
        <v>3.1041666666666665</v>
      </c>
      <c r="DF303" s="45">
        <f>('[2]Renewable Diesel'!AR312*'[2]Feedstock Conversion Rates'!$B$4*$DF$3)/12</f>
        <v>75</v>
      </c>
      <c r="DG303" s="47">
        <f t="shared" si="189"/>
        <v>75</v>
      </c>
      <c r="DH303" s="45">
        <f>('[2]Renewable Diesel'!AS312*'[2]Feedstock Conversion Rates'!$B$4*$DH$3)/12</f>
        <v>75</v>
      </c>
      <c r="DI303" s="47">
        <f t="shared" si="194"/>
        <v>75</v>
      </c>
      <c r="DJ303" s="45">
        <f>('[2]Renewable Diesel'!AT312*'[2]Feedstock Conversion Rates'!$B$4*0.25)/12</f>
        <v>8.59375</v>
      </c>
      <c r="DK303" s="45">
        <f>('[2]Renewable Diesel'!$AT312*'[2]RD Feedstock Breakdown'!DK$3*'[2]Feedstock Conversion Rates'!$B$3)/12*0.5</f>
        <v>9.1781249999999996</v>
      </c>
      <c r="DL303" s="45">
        <f>('[2]Renewable Diesel'!$AT312*'[2]RD Feedstock Breakdown'!$DL$3*'[2]Feedstock Conversion Rates'!$B$6)/12</f>
        <v>10.747916666666669</v>
      </c>
      <c r="DM303" s="45">
        <f>('[2]Renewable Diesel'!$AT312*'[2]RD Feedstock Breakdown'!$DM$3*'[2]Feedstock Conversion Rates'!$B$8)/12</f>
        <v>10.7421875</v>
      </c>
      <c r="DN303" s="47">
        <f t="shared" si="249"/>
        <v>39.26197916666667</v>
      </c>
      <c r="DP303" s="45">
        <f t="shared" si="216"/>
        <v>48.220250000000007</v>
      </c>
      <c r="DQ303" s="45">
        <f t="shared" si="217"/>
        <v>409.11776750000001</v>
      </c>
      <c r="DR303" s="45">
        <f t="shared" si="224"/>
        <v>2041.953125</v>
      </c>
      <c r="DS303" s="45">
        <f t="shared" si="235"/>
        <v>228.90125</v>
      </c>
      <c r="DT303" s="45">
        <f t="shared" si="218"/>
        <v>208.03923333333341</v>
      </c>
      <c r="DU303" s="45">
        <f t="shared" si="219"/>
        <v>242.90610000000004</v>
      </c>
      <c r="DV303" s="45">
        <f t="shared" si="225"/>
        <v>78.75</v>
      </c>
      <c r="DW303" s="45">
        <f t="shared" si="220"/>
        <v>3</v>
      </c>
      <c r="DX303" s="47">
        <f t="shared" si="226"/>
        <v>3260.8877258333337</v>
      </c>
      <c r="DY303" s="50">
        <f t="shared" si="208"/>
        <v>-5.631051180898794E-13</v>
      </c>
      <c r="EA303" s="51">
        <f t="shared" si="263"/>
        <v>1.4787460978184128E-2</v>
      </c>
      <c r="EB303" s="51">
        <f t="shared" si="263"/>
        <v>0.12546208330292888</v>
      </c>
      <c r="EC303" s="51">
        <f t="shared" si="263"/>
        <v>0.62619547089072813</v>
      </c>
      <c r="ED303" s="51">
        <f t="shared" si="261"/>
        <v>7.0195992393912707E-2</v>
      </c>
      <c r="EE303" s="51">
        <f t="shared" si="261"/>
        <v>6.3798342912946532E-2</v>
      </c>
      <c r="EF303" s="51">
        <f t="shared" si="261"/>
        <v>7.4490789141758745E-2</v>
      </c>
      <c r="EG303" s="51">
        <f t="shared" si="261"/>
        <v>2.4149865503227379E-2</v>
      </c>
      <c r="EH303" s="52">
        <f t="shared" si="227"/>
        <v>9.1999487631342389E-4</v>
      </c>
      <c r="EI303" s="51">
        <f t="shared" si="191"/>
        <v>0.99908000512368655</v>
      </c>
      <c r="EK303" s="53">
        <f>(EA303*'[2]Renewable Diesel'!BF312*'[2]Feedstock Conversion Rates'!B$2)+FB303</f>
        <v>121.01749674359274</v>
      </c>
      <c r="EL303" s="53">
        <f>(EB303*'[2]Renewable Diesel'!BF312*'[2]Feedstock Conversion Rates'!B$3)+FC303</f>
        <v>967.56608869261152</v>
      </c>
      <c r="EM303" s="53">
        <f>(EC303*'[2]Renewable Diesel'!BF312*'[2]Feedstock Conversion Rates'!B$4)+FD303</f>
        <v>4521.7527720735425</v>
      </c>
      <c r="EN303" s="53">
        <f>(ED303*'[2]Renewable Diesel'!BF312*'[2]Feedstock Conversion Rates'!B$5)+FE303</f>
        <v>510.26396315050397</v>
      </c>
      <c r="EO303" s="53">
        <f>(EE303*'[2]Renewable Diesel'!BF312*'[2]Feedstock Conversion Rates'!B$6)+FF303</f>
        <v>576.16631610222146</v>
      </c>
      <c r="EP303" s="53">
        <f>(EF303*'[2]Renewable Diesel'!BF312*'[2]Feedstock Conversion Rates'!B$7)+FG303</f>
        <v>659.82084320783974</v>
      </c>
      <c r="EQ303" s="53">
        <f>(EG303*'[2]Renewable Diesel'!BF312*'[2]Feedstock Conversion Rates'!B$8)+FH303</f>
        <v>217.98249580336935</v>
      </c>
      <c r="ER303" s="53">
        <f>(EH303*'[2]Renewable Diesel'!BF312*'[2]Feedstock Conversion Rates'!B$9)+FI303</f>
        <v>8.1933738105139451</v>
      </c>
      <c r="ES303" s="53">
        <f t="shared" si="228"/>
        <v>7582.7633495841956</v>
      </c>
      <c r="ET303" s="36">
        <f>ES303/'[2]Renewable Diesel'!BF312</f>
        <v>7.8757491381518019</v>
      </c>
    </row>
    <row r="304" spans="1:150" x14ac:dyDescent="0.25">
      <c r="A304" s="39">
        <v>49675</v>
      </c>
      <c r="B304" s="45">
        <f t="shared" si="264"/>
        <v>59.25</v>
      </c>
      <c r="C304" s="45">
        <f t="shared" si="251"/>
        <v>49</v>
      </c>
      <c r="D304" s="45">
        <f t="shared" si="265"/>
        <v>2</v>
      </c>
      <c r="E304" s="45">
        <f>('[2]Renewable Diesel'!B313*E$3*'[2]Feedstock Conversion Rates'!$B$2)/12+26+13-100+27.5+39</f>
        <v>95.43</v>
      </c>
      <c r="F304" s="45">
        <f>('[2]Renewable Diesel'!B313*'[2]RD Feedstock Breakdown'!F$3*'[2]Feedstock Conversion Rates'!B$8)/12+77+23-10-12-115.75+24+8</f>
        <v>48.15625</v>
      </c>
      <c r="G304" s="45">
        <f>('[2]Renewable Diesel'!B313*'[2]RD Feedstock Breakdown'!G$3*'[2]Feedstock Conversion Rates'!B$7)/12+116.75-39-57.5-145-31.5+32+70-40+10-35</f>
        <v>56.907000000000039</v>
      </c>
      <c r="H304" s="45">
        <f>('[2]Renewable Diesel'!B313*'[2]RD Feedstock Breakdown'!H$3*'[2]Feedstock Conversion Rates'!B$3)/12+67+10+12+3-235+20+47-20+105</f>
        <v>185.40022499999998</v>
      </c>
      <c r="I304" s="47">
        <f t="shared" si="245"/>
        <v>496.14347500000002</v>
      </c>
      <c r="J304" s="45">
        <f t="shared" si="266"/>
        <v>69</v>
      </c>
      <c r="K304" s="45"/>
      <c r="L304" s="45">
        <v>1</v>
      </c>
      <c r="M304" s="45">
        <f>('[2]Renewable Diesel'!C313*'[2]RD Feedstock Breakdown'!M$3*'[2]Feedstock Conversion Rates'!B$2)/12-55</f>
        <v>-47.20975</v>
      </c>
      <c r="N304" s="45">
        <f>('[2]Renewable Diesel'!C313*'[2]RD Feedstock Breakdown'!N$3*'[2]Feedstock Conversion Rates'!B$8)/12</f>
        <v>3.671875</v>
      </c>
      <c r="O304" s="45">
        <f>('[2]Renewable Diesel'!C313*'[2]RD Feedstock Breakdown'!O$3*'[2]Feedstock Conversion Rates'!B$7)/12-65</f>
        <v>-53.000900000000001</v>
      </c>
      <c r="P304" s="45">
        <f>('[2]Renewable Diesel'!C313*'[2]RD Feedstock Breakdown'!P$3*'[2]Feedstock Conversion Rates'!B$3)/12+15+35</f>
        <v>60.447042500000002</v>
      </c>
      <c r="Q304" s="47">
        <f t="shared" si="252"/>
        <v>33.908267500000001</v>
      </c>
      <c r="R304" s="45">
        <f>('[2]Renewable Diesel'!D313*'[2]RD Feedstock Breakdown'!R$3*'[2]Feedstock Conversion Rates'!B$7)/12</f>
        <v>2.2999999999999998</v>
      </c>
      <c r="S304" s="47">
        <f t="shared" si="203"/>
        <v>2.2999999999999998</v>
      </c>
      <c r="T304" s="45">
        <f t="shared" si="253"/>
        <v>0.82499999999999929</v>
      </c>
      <c r="U304" s="45"/>
      <c r="V304" s="45">
        <f>('[2]Renewable Diesel'!E313*'[2]RD Feedstock Breakdown'!V$3*'[2]Feedstock Conversion Rates'!B$6)/12-20+25</f>
        <v>49.250150000000012</v>
      </c>
      <c r="W304" s="45">
        <f>('[2]Renewable Diesel'!E313*'[2]RD Feedstock Breakdown'!W$3*'[2]Feedstock Conversion Rates'!B$8)/12-6</f>
        <v>16.1796875</v>
      </c>
      <c r="X304" s="47">
        <f t="shared" si="229"/>
        <v>66.254837500000008</v>
      </c>
      <c r="Y304" s="45">
        <f t="shared" si="254"/>
        <v>98</v>
      </c>
      <c r="Z304" s="45">
        <f>('[2]Renewable Diesel'!F313*'[2]RD Feedstock Breakdown'!Z$3*'[2]Feedstock Conversion Rates'!B$6)/12-142+15+10</f>
        <v>42.460000000000008</v>
      </c>
      <c r="AA304" s="45">
        <f>('[2]Renewable Diesel'!F313*'[2]RD Feedstock Breakdown'!AA$3*'[2]Feedstock Conversion Rates'!B$7)/12+24</f>
        <v>128.26666666666665</v>
      </c>
      <c r="AB304" s="47">
        <f t="shared" si="190"/>
        <v>268.72666666666669</v>
      </c>
      <c r="AC304" s="45">
        <f>('[2]Renewable Diesel'!G313*'[2]RD Feedstock Breakdown'!AC$3*'[2]Feedstock Conversion Rates'!B$5)/12</f>
        <v>11.796875</v>
      </c>
      <c r="AD304" s="45">
        <f>('[2]Renewable Diesel'!G313*'[2]RD Feedstock Breakdown'!AD$3*'[2]Feedstock Conversion Rates'!B$4)/12</f>
        <v>5.859375</v>
      </c>
      <c r="AE304" s="45">
        <f>('[2]Renewable Diesel'!G313*'[2]RD Feedstock Breakdown'!AE$3*'[2]Feedstock Conversion Rates'!B$6)/12</f>
        <v>7.3281250000000009</v>
      </c>
      <c r="AF304" s="47">
        <f t="shared" si="236"/>
        <v>24.984375</v>
      </c>
      <c r="AG304" s="45">
        <f t="shared" si="259"/>
        <v>148</v>
      </c>
      <c r="AH304" s="45"/>
      <c r="AI304" s="45">
        <f>('[2]Renewable Diesel'!H313*'[2]RD Feedstock Breakdown'!AI$3*'[2]Feedstock Conversion Rates'!B$6)/12-130-20+51-49</f>
        <v>0.51666666666667993</v>
      </c>
      <c r="AJ304" s="47">
        <f t="shared" si="202"/>
        <v>148.51666666666668</v>
      </c>
      <c r="AK304" s="45">
        <f>('[2]Renewable Diesel'!J313*'[2]RD Feedstock Breakdown'!AK$3*'[2]Feedstock Conversion Rates'!B$4)/12</f>
        <v>95.8125</v>
      </c>
      <c r="AL304" s="47">
        <f t="shared" si="205"/>
        <v>95.8125</v>
      </c>
      <c r="AM304" s="45">
        <f>('[2]Renewable Diesel'!K313*'[2]RD Feedstock Breakdown'!AM$3*'[2]Feedstock Conversion Rates'!B$4)/12+5+15-10+10</f>
        <v>78.59375</v>
      </c>
      <c r="AN304" s="45">
        <f>('[2]Renewable Diesel'!K313*'[2]RD Feedstock Breakdown'!AN$3*'[2]Feedstock Conversion Rates'!B$6)/12-5-15+10-10</f>
        <v>4.4270833333333321</v>
      </c>
      <c r="AO304" s="47">
        <f t="shared" si="223"/>
        <v>83.020833333333329</v>
      </c>
      <c r="AP304" s="45">
        <f>('[2]Renewable Diesel'!L313*'[2]RD Feedstock Breakdown'!AP$3*'[2]Feedstock Conversion Rates'!B$4)/12+15-10+15</f>
        <v>78.59375</v>
      </c>
      <c r="AQ304" s="45">
        <f>('[2]Renewable Diesel'!L313*'[2]RD Feedstock Breakdown'!AQ$3*'[2]Feedstock Conversion Rates'!B$6)/12-15+10-15</f>
        <v>4.4270833333333321</v>
      </c>
      <c r="AR304" s="47">
        <f t="shared" si="207"/>
        <v>83.020833333333329</v>
      </c>
      <c r="AS304" s="45">
        <f>('[2]Renewable Diesel'!M313*'[2]RD Feedstock Breakdown'!AS$3*'[2]Feedstock Conversion Rates'!B$4)/12</f>
        <v>456.25</v>
      </c>
      <c r="AT304" s="45">
        <f>('[2]Renewable Diesel'!M313*'[2]RD Feedstock Breakdown'!AT$3*'[2]Feedstock Conversion Rates'!B$5)/12</f>
        <v>0</v>
      </c>
      <c r="AU304" s="47">
        <f t="shared" si="244"/>
        <v>456.25</v>
      </c>
      <c r="AV304" s="45">
        <f>'[2]Renewable Diesel'!N313*'[2]RD Feedstock Breakdown'!$AV$3*'[2]Feedstock Conversion Rates'!$B$4/12-15-10+25+25-22+25</f>
        <v>106.74999999999999</v>
      </c>
      <c r="AW304" s="45">
        <f>'[2]Renewable Diesel'!N313*'[2]RD Feedstock Breakdown'!$AW$3*'[2]Feedstock Conversion Rates'!$B$7/12+15+10-25-25+22-25</f>
        <v>13.400000000000006</v>
      </c>
      <c r="AX304" s="47">
        <f t="shared" si="193"/>
        <v>120.14999999999999</v>
      </c>
      <c r="AY304" s="45">
        <f>('[2]Renewable Diesel'!O313*'[2]RD Feedstock Breakdown'!AY$3*'[2]Feedstock Conversion Rates'!B$4)/12</f>
        <v>210.9375</v>
      </c>
      <c r="AZ304" s="45">
        <f>('[2]Renewable Diesel'!O313*'[2]RD Feedstock Breakdown'!AZ$3*'[2]Feedstock Conversion Rates'!B$3)/12</f>
        <v>25.03125</v>
      </c>
      <c r="BA304" s="47">
        <f t="shared" si="255"/>
        <v>235.96875</v>
      </c>
      <c r="BB304" s="45">
        <f>('[2]Renewable Diesel'!Q313*'[2]RD Feedstock Breakdown'!BB$3*'[2]Feedstock Conversion Rates'!B$4)/12</f>
        <v>11.156249999999998</v>
      </c>
      <c r="BC304" s="45">
        <f>('[2]Renewable Diesel'!Q313*'[2]RD Feedstock Breakdown'!BC$3*'[2]Feedstock Conversion Rates'!B$3)/12</f>
        <v>1.4017500000000001</v>
      </c>
      <c r="BD304" s="45">
        <f>('[2]Renewable Diesel'!Q313*'[2]RD Feedstock Breakdown'!BD$3*'[2]Feedstock Conversion Rates'!B$6)/12</f>
        <v>0.8207500000000002</v>
      </c>
      <c r="BE304" s="47">
        <f t="shared" si="231"/>
        <v>13.378749999999998</v>
      </c>
      <c r="BF304" s="45">
        <f>('[2]Renewable Diesel'!R313*'[2]RD Feedstock Breakdown'!BF$3*'[2]Feedstock Conversion Rates'!B$4)/12</f>
        <v>62.5</v>
      </c>
      <c r="BG304" s="47">
        <f t="shared" si="215"/>
        <v>62.5</v>
      </c>
      <c r="BH304" s="45">
        <f>('[2]Renewable Diesel'!T313*'[2]RD Feedstock Breakdown'!BH$3*'[2]Feedstock Conversion Rates'!B$7)/12</f>
        <v>27.599999999999998</v>
      </c>
      <c r="BI304" s="47">
        <f t="shared" si="195"/>
        <v>27.599999999999998</v>
      </c>
      <c r="BJ304" s="45">
        <f>('[2]Renewable Diesel'!W313*'[2]RD Feedstock Breakdown'!BJ$3*'[2]Feedstock Conversion Rates'!B$4)/12</f>
        <v>7.5</v>
      </c>
      <c r="BK304" s="45">
        <f>('[2]Renewable Diesel'!W313*'[2]RD Feedstock Breakdown'!BK$3*'[2]Feedstock Conversion Rates'!B$3)/12</f>
        <v>1.335</v>
      </c>
      <c r="BL304" s="45">
        <f>('[2]Renewable Diesel'!W313*'[2]RD Feedstock Breakdown'!BL$3*'[2]Feedstock Conversion Rates'!B$6)/12</f>
        <v>3.1266666666666669</v>
      </c>
      <c r="BM304" s="45">
        <f>('[2]Renewable Diesel'!W313*'[2]RD Feedstock Breakdown'!BM$3*'[2]Feedstock Conversion Rates'!B$7)/12</f>
        <v>1.5333333333333332</v>
      </c>
      <c r="BN304" s="47">
        <f t="shared" si="248"/>
        <v>13.495000000000001</v>
      </c>
      <c r="BO304" s="45">
        <f>('[2]Renewable Diesel'!P313*'[2]Feedstock Conversion Rates'!B$4)/12</f>
        <v>31.25</v>
      </c>
      <c r="BP304" s="47">
        <f t="shared" si="237"/>
        <v>31.25</v>
      </c>
      <c r="BQ304" s="45">
        <f>('[2]Renewable Diesel'!$S313*'[2]RD Feedstock Breakdown'!BQ$3*'[2]Feedstock Conversion Rates'!B$4)/12+10+15-15</f>
        <v>38.125</v>
      </c>
      <c r="BR304" s="45">
        <f>('[2]Renewable Diesel'!$S313*'[2]RD Feedstock Breakdown'!BR$3*'[2]Feedstock Conversion Rates'!B$7)/12-10-15+15</f>
        <v>1.5</v>
      </c>
      <c r="BS304" s="47">
        <f t="shared" si="260"/>
        <v>39.625</v>
      </c>
      <c r="BT304" s="47"/>
      <c r="BU304" s="45">
        <f>('[2]Renewable Diesel'!Y313*'[2]Feedstock Conversion Rates'!B$7)/12</f>
        <v>2.6833333333333331</v>
      </c>
      <c r="BV304" s="47">
        <f t="shared" si="233"/>
        <v>2.6833333333333331</v>
      </c>
      <c r="BW304" s="45">
        <f>('[2]Renewable Diesel'!$Z313*'[2]RD Feedstock Breakdown'!BW$3*'[2]Feedstock Conversion Rates'!$B$4)/12</f>
        <v>71.875</v>
      </c>
      <c r="BX304" s="45">
        <f>('[2]Renewable Diesel'!$Z313*'[2]RD Feedstock Breakdown'!BX$3*'[2]Feedstock Conversion Rates'!$B$5)/12</f>
        <v>7.2354166666666666</v>
      </c>
      <c r="BY304" s="45">
        <f>('[2]Renewable Diesel'!$Z313*'[2]RD Feedstock Breakdown'!BY$3*'[2]Feedstock Conversion Rates'!$B$7)/12</f>
        <v>61.716666666666661</v>
      </c>
      <c r="BZ304" s="45">
        <f>('[2]Renewable Diesel'!$Z313*'[2]RD Feedstock Breakdown'!BZ$3*'[2]Feedstock Conversion Rates'!$B$3)/12</f>
        <v>15.352499999999999</v>
      </c>
      <c r="CA304" s="47">
        <f t="shared" si="262"/>
        <v>156.17958333333331</v>
      </c>
      <c r="CB304" s="45">
        <f>('[2]Renewable Diesel'!AA313*'[2]Feedstock Conversion Rates'!B$4)/12</f>
        <v>191.25</v>
      </c>
      <c r="CC304" s="47">
        <f t="shared" si="250"/>
        <v>191.25</v>
      </c>
      <c r="CD304" s="45">
        <f>('[2]Renewable Diesel'!$AB313*'[2]RD Feedstock Breakdown'!CD$3*'[2]Feedstock Conversion Rates'!$B$6)/12-15-5</f>
        <v>12.830000000000005</v>
      </c>
      <c r="CE304" s="45">
        <f>('[2]Renewable Diesel'!$AB313*'[2]RD Feedstock Breakdown'!CE$3*'[2]Feedstock Conversion Rates'!$B$4)/12+15+5</f>
        <v>31.25</v>
      </c>
      <c r="CF304" s="47">
        <f t="shared" si="247"/>
        <v>44.080000000000005</v>
      </c>
      <c r="CG304" s="45">
        <f>('[2]Renewable Diesel'!AD313*'[2]Feedstock Conversion Rates'!B$4)/12</f>
        <v>112.5</v>
      </c>
      <c r="CH304" s="47">
        <f t="shared" si="230"/>
        <v>112.5</v>
      </c>
      <c r="CI304" s="45">
        <f>('[2]Renewable Diesel'!$AE313*'[2]RD Feedstock Breakdown'!CI$3*'[2]Feedstock Conversion Rates'!$B$5)/12</f>
        <v>0.34604166666666664</v>
      </c>
      <c r="CJ304" s="45">
        <f>('[2]Renewable Diesel'!$AE313*'[2]RD Feedstock Breakdown'!CJ$3*'[2]Feedstock Conversion Rates'!$B$4)/12</f>
        <v>0.34375</v>
      </c>
      <c r="CK304" s="47">
        <f t="shared" si="238"/>
        <v>0.68979166666666658</v>
      </c>
      <c r="CL304" s="45">
        <f>(((CL$3*'[2]Renewable Diesel'!$AF313)*'[2]Feedstock Conversion Rates'!$B$3)/12)</f>
        <v>91.78125</v>
      </c>
      <c r="CM304" s="45">
        <f>(((CM$3*'[2]Renewable Diesel'!$AF313)*'[2]Feedstock Conversion Rates'!$B$6)/12)</f>
        <v>53.739583333333336</v>
      </c>
      <c r="CN304" s="45">
        <f>(((CN$3*'[2]Renewable Diesel'!$AF313)*'[2]Feedstock Conversion Rates'!$B$4)/12)</f>
        <v>42.96875</v>
      </c>
      <c r="CO304" s="47">
        <f t="shared" si="232"/>
        <v>188.48958333333334</v>
      </c>
      <c r="CP304" s="45">
        <f>('[2]Renewable Diesel'!$AG313*'[2]RD Feedstock Breakdown'!CP$3*'[2]Feedstock Conversion Rates'!$B$3)/12</f>
        <v>6.0075000000000003</v>
      </c>
      <c r="CQ304" s="45">
        <f>('[2]Renewable Diesel'!$AG313*'[2]RD Feedstock Breakdown'!CQ$3*'[2]Feedstock Conversion Rates'!$B$6)/12</f>
        <v>3.5175000000000001</v>
      </c>
      <c r="CR304" s="45">
        <f>('[2]Renewable Diesel'!$AG313*'[2]RD Feedstock Breakdown'!CR$3*'[2]Feedstock Conversion Rates'!$B$4)/12</f>
        <v>2.8125</v>
      </c>
      <c r="CS304" s="47">
        <f t="shared" si="183"/>
        <v>12.3375</v>
      </c>
      <c r="CT304" s="45">
        <f>('[2]Renewable Diesel'!AI313*'[2]Feedstock Conversion Rates'!$B$4*'[2]RD Feedstock Breakdown'!$CT$3)/12</f>
        <v>29.375</v>
      </c>
      <c r="CU304" s="47">
        <f t="shared" si="234"/>
        <v>29.375</v>
      </c>
      <c r="CV304" s="45">
        <f>('[2]Renewable Diesel'!AN313*'[2]Feedstock Conversion Rates'!$B$3*'[2]RD Feedstock Breakdown'!$CV$3)/12</f>
        <v>0.50062499999999999</v>
      </c>
      <c r="CW304" s="47">
        <f t="shared" si="206"/>
        <v>0.50062499999999999</v>
      </c>
      <c r="CX304" s="45">
        <f>('[2]Renewable Diesel'!AO313*'[2]RD Feedstock Breakdown'!$CX$3*'[2]Feedstock Conversion Rates'!$B$3)/12</f>
        <v>6.3412499999999996</v>
      </c>
      <c r="CY304" s="45">
        <f>('[2]Renewable Diesel'!AO313*'[2]RD Feedstock Breakdown'!$CY$3*'[2]Feedstock Conversion Rates'!$B$6)/12</f>
        <v>7.4258333333333342</v>
      </c>
      <c r="CZ304" s="47">
        <f t="shared" si="188"/>
        <v>13.767083333333334</v>
      </c>
      <c r="DA304" s="45">
        <f>('[2]Renewable Diesel'!$AP313*'[2]RD Feedstock Breakdown'!DA$3*'[2]Feedstock Conversion Rates'!$B$3)/12</f>
        <v>6.3412499999999996</v>
      </c>
      <c r="DB304" s="45">
        <f>('[2]Renewable Diesel'!$AP313*'[2]RD Feedstock Breakdown'!DB$3*'[2]Feedstock Conversion Rates'!$B$8)/12</f>
        <v>7.421875</v>
      </c>
      <c r="DC304" s="47">
        <f t="shared" si="212"/>
        <v>13.763124999999999</v>
      </c>
      <c r="DD304" s="45">
        <f>('[2]Renewable Diesel'!AQ313*$DD$3*'[2]Feedstock Conversion Rates'!$B$14)/12</f>
        <v>3.1041666666666665</v>
      </c>
      <c r="DE304" s="47">
        <f t="shared" si="213"/>
        <v>3.1041666666666665</v>
      </c>
      <c r="DF304" s="45">
        <f>('[2]Renewable Diesel'!AR313*'[2]Feedstock Conversion Rates'!$B$4*$DF$3)/12</f>
        <v>75</v>
      </c>
      <c r="DG304" s="47">
        <f t="shared" si="189"/>
        <v>75</v>
      </c>
      <c r="DH304" s="45">
        <f>('[2]Renewable Diesel'!AS313*'[2]Feedstock Conversion Rates'!$B$4*$DH$3)/12</f>
        <v>75</v>
      </c>
      <c r="DI304" s="47">
        <f t="shared" si="194"/>
        <v>75</v>
      </c>
      <c r="DJ304" s="45">
        <f>('[2]Renewable Diesel'!AT313*'[2]Feedstock Conversion Rates'!$B$4*0.25)/12</f>
        <v>8.59375</v>
      </c>
      <c r="DK304" s="45">
        <f>('[2]Renewable Diesel'!$AT313*'[2]RD Feedstock Breakdown'!DK$3*'[2]Feedstock Conversion Rates'!$B$3)/12*0.5</f>
        <v>9.1781249999999996</v>
      </c>
      <c r="DL304" s="45">
        <f>('[2]Renewable Diesel'!$AT313*'[2]RD Feedstock Breakdown'!$DL$3*'[2]Feedstock Conversion Rates'!$B$6)/12</f>
        <v>10.747916666666669</v>
      </c>
      <c r="DM304" s="45">
        <f>('[2]Renewable Diesel'!$AT313*'[2]RD Feedstock Breakdown'!$DM$3*'[2]Feedstock Conversion Rates'!$B$8)/12</f>
        <v>10.7421875</v>
      </c>
      <c r="DN304" s="47">
        <f t="shared" si="249"/>
        <v>39.26197916666667</v>
      </c>
      <c r="DP304" s="45">
        <f t="shared" si="216"/>
        <v>48.220250000000007</v>
      </c>
      <c r="DQ304" s="45">
        <f t="shared" si="217"/>
        <v>409.11776750000001</v>
      </c>
      <c r="DR304" s="45">
        <f t="shared" si="224"/>
        <v>2041.953125</v>
      </c>
      <c r="DS304" s="45">
        <f t="shared" si="235"/>
        <v>228.90125</v>
      </c>
      <c r="DT304" s="45">
        <f t="shared" si="218"/>
        <v>208.03923333333341</v>
      </c>
      <c r="DU304" s="45">
        <f t="shared" si="219"/>
        <v>242.90610000000004</v>
      </c>
      <c r="DV304" s="45">
        <f t="shared" si="225"/>
        <v>78.75</v>
      </c>
      <c r="DW304" s="45">
        <f t="shared" si="220"/>
        <v>3</v>
      </c>
      <c r="DX304" s="47">
        <f t="shared" si="226"/>
        <v>3260.8877258333337</v>
      </c>
      <c r="DY304" s="50">
        <f t="shared" si="208"/>
        <v>-5.631051180898794E-13</v>
      </c>
      <c r="EA304" s="51">
        <f t="shared" si="263"/>
        <v>1.4787460978184128E-2</v>
      </c>
      <c r="EB304" s="51">
        <f t="shared" si="263"/>
        <v>0.12546208330292888</v>
      </c>
      <c r="EC304" s="51">
        <f t="shared" si="263"/>
        <v>0.62619547089072813</v>
      </c>
      <c r="ED304" s="51">
        <f t="shared" si="261"/>
        <v>7.0195992393912707E-2</v>
      </c>
      <c r="EE304" s="51">
        <f t="shared" si="261"/>
        <v>6.3798342912946532E-2</v>
      </c>
      <c r="EF304" s="51">
        <f t="shared" si="261"/>
        <v>7.4490789141758745E-2</v>
      </c>
      <c r="EG304" s="51">
        <f t="shared" si="261"/>
        <v>2.4149865503227379E-2</v>
      </c>
      <c r="EH304" s="52">
        <f t="shared" si="227"/>
        <v>9.1999487631342389E-4</v>
      </c>
      <c r="EI304" s="51">
        <f t="shared" si="191"/>
        <v>0.99908000512368655</v>
      </c>
      <c r="EK304" s="53">
        <f>(EA304*'[2]Renewable Diesel'!BF313*'[2]Feedstock Conversion Rates'!B$2)+FB304</f>
        <v>62.351792781161748</v>
      </c>
      <c r="EL304" s="53">
        <f>(EB304*'[2]Renewable Diesel'!BF313*'[2]Feedstock Conversion Rates'!B$3)+FC304</f>
        <v>498.51865959568386</v>
      </c>
      <c r="EM304" s="53">
        <f>(EC304*'[2]Renewable Diesel'!BF313*'[2]Feedstock Conversion Rates'!B$4)+FD304</f>
        <v>2329.7407353362769</v>
      </c>
      <c r="EN304" s="53">
        <f>(ED304*'[2]Renewable Diesel'!BF313*'[2]Feedstock Conversion Rates'!B$5)+FE304</f>
        <v>262.90308220029402</v>
      </c>
      <c r="EO304" s="53">
        <f>(EE304*'[2]Renewable Diesel'!BF313*'[2]Feedstock Conversion Rates'!B$6)+FF304</f>
        <v>296.85792315806674</v>
      </c>
      <c r="EP304" s="53">
        <f>(EF304*'[2]Renewable Diesel'!BF313*'[2]Feedstock Conversion Rates'!B$7)+FG304</f>
        <v>339.95920916753596</v>
      </c>
      <c r="EQ304" s="53">
        <f>(EG304*'[2]Renewable Diesel'!BF313*'[2]Feedstock Conversion Rates'!B$8)+FH304</f>
        <v>112.31102752893253</v>
      </c>
      <c r="ER304" s="53">
        <f>(EH304*'[2]Renewable Diesel'!BF313*'[2]Feedstock Conversion Rates'!B$9)+FI304</f>
        <v>4.2214684633097175</v>
      </c>
      <c r="ES304" s="53">
        <f t="shared" si="228"/>
        <v>3906.8638982312609</v>
      </c>
      <c r="ET304" s="36">
        <f>ES304/'[2]Renewable Diesel'!BF313</f>
        <v>7.875749138151801</v>
      </c>
    </row>
    <row r="305" spans="1:150" x14ac:dyDescent="0.25">
      <c r="A305" s="39">
        <v>49706</v>
      </c>
      <c r="B305" s="45">
        <f t="shared" si="264"/>
        <v>59.25</v>
      </c>
      <c r="C305" s="45">
        <f t="shared" si="251"/>
        <v>49</v>
      </c>
      <c r="D305" s="45">
        <f t="shared" si="265"/>
        <v>2</v>
      </c>
      <c r="E305" s="45">
        <f>('[2]Renewable Diesel'!B314*E$3*'[2]Feedstock Conversion Rates'!$B$2)/12+26+13-100+27.5+39</f>
        <v>95.43</v>
      </c>
      <c r="F305" s="45">
        <f>('[2]Renewable Diesel'!B314*'[2]RD Feedstock Breakdown'!F$3*'[2]Feedstock Conversion Rates'!B$8)/12+77+23-10-12-115.75+24+8</f>
        <v>48.15625</v>
      </c>
      <c r="G305" s="45">
        <f>('[2]Renewable Diesel'!B314*'[2]RD Feedstock Breakdown'!G$3*'[2]Feedstock Conversion Rates'!B$7)/12+116.75-39-57.5-145-31.5+32+70-40+10-35</f>
        <v>56.907000000000039</v>
      </c>
      <c r="H305" s="45">
        <f>('[2]Renewable Diesel'!B314*'[2]RD Feedstock Breakdown'!H$3*'[2]Feedstock Conversion Rates'!B$3)/12+67+10+12+3-235+20+47-20+105</f>
        <v>185.40022499999998</v>
      </c>
      <c r="I305" s="47">
        <f t="shared" si="245"/>
        <v>496.14347500000002</v>
      </c>
      <c r="J305" s="45">
        <f t="shared" si="266"/>
        <v>69</v>
      </c>
      <c r="K305" s="45"/>
      <c r="L305" s="45">
        <v>1</v>
      </c>
      <c r="M305" s="45">
        <f>('[2]Renewable Diesel'!C314*'[2]RD Feedstock Breakdown'!M$3*'[2]Feedstock Conversion Rates'!B$2)/12-55</f>
        <v>-47.20975</v>
      </c>
      <c r="N305" s="45">
        <f>('[2]Renewable Diesel'!C314*'[2]RD Feedstock Breakdown'!N$3*'[2]Feedstock Conversion Rates'!B$8)/12</f>
        <v>3.671875</v>
      </c>
      <c r="O305" s="45">
        <f>('[2]Renewable Diesel'!C314*'[2]RD Feedstock Breakdown'!O$3*'[2]Feedstock Conversion Rates'!B$7)/12-65</f>
        <v>-53.000900000000001</v>
      </c>
      <c r="P305" s="45">
        <f>('[2]Renewable Diesel'!C314*'[2]RD Feedstock Breakdown'!P$3*'[2]Feedstock Conversion Rates'!B$3)/12+15+35</f>
        <v>60.447042500000002</v>
      </c>
      <c r="Q305" s="47">
        <f t="shared" si="252"/>
        <v>33.908267500000001</v>
      </c>
      <c r="R305" s="45">
        <f>('[2]Renewable Diesel'!D314*'[2]RD Feedstock Breakdown'!R$3*'[2]Feedstock Conversion Rates'!B$7)/12</f>
        <v>2.2999999999999998</v>
      </c>
      <c r="S305" s="47">
        <f t="shared" si="203"/>
        <v>2.2999999999999998</v>
      </c>
      <c r="T305" s="45">
        <f t="shared" si="253"/>
        <v>0.82499999999999929</v>
      </c>
      <c r="U305" s="45"/>
      <c r="V305" s="45">
        <f>('[2]Renewable Diesel'!E314*'[2]RD Feedstock Breakdown'!V$3*'[2]Feedstock Conversion Rates'!B$6)/12-20+25</f>
        <v>49.250150000000012</v>
      </c>
      <c r="W305" s="45">
        <f>('[2]Renewable Diesel'!E314*'[2]RD Feedstock Breakdown'!W$3*'[2]Feedstock Conversion Rates'!B$8)/12-6</f>
        <v>16.1796875</v>
      </c>
      <c r="X305" s="47">
        <f t="shared" si="229"/>
        <v>66.254837500000008</v>
      </c>
      <c r="Y305" s="45">
        <f t="shared" si="254"/>
        <v>98</v>
      </c>
      <c r="Z305" s="45">
        <f>('[2]Renewable Diesel'!F314*'[2]RD Feedstock Breakdown'!Z$3*'[2]Feedstock Conversion Rates'!B$6)/12-142+15+10</f>
        <v>42.460000000000008</v>
      </c>
      <c r="AA305" s="45">
        <f>('[2]Renewable Diesel'!F314*'[2]RD Feedstock Breakdown'!AA$3*'[2]Feedstock Conversion Rates'!B$7)/12+24</f>
        <v>128.26666666666665</v>
      </c>
      <c r="AB305" s="47">
        <f t="shared" si="190"/>
        <v>268.72666666666669</v>
      </c>
      <c r="AC305" s="45">
        <f>('[2]Renewable Diesel'!G314*'[2]RD Feedstock Breakdown'!AC$3*'[2]Feedstock Conversion Rates'!B$5)/12</f>
        <v>11.796875</v>
      </c>
      <c r="AD305" s="45">
        <f>('[2]Renewable Diesel'!G314*'[2]RD Feedstock Breakdown'!AD$3*'[2]Feedstock Conversion Rates'!B$4)/12</f>
        <v>5.859375</v>
      </c>
      <c r="AE305" s="45">
        <f>('[2]Renewable Diesel'!G314*'[2]RD Feedstock Breakdown'!AE$3*'[2]Feedstock Conversion Rates'!B$6)/12</f>
        <v>7.3281250000000009</v>
      </c>
      <c r="AF305" s="47">
        <f t="shared" si="236"/>
        <v>24.984375</v>
      </c>
      <c r="AG305" s="45">
        <f t="shared" si="259"/>
        <v>148</v>
      </c>
      <c r="AH305" s="45"/>
      <c r="AI305" s="45">
        <f>('[2]Renewable Diesel'!H314*'[2]RD Feedstock Breakdown'!AI$3*'[2]Feedstock Conversion Rates'!B$6)/12-130-20+51-49</f>
        <v>0.51666666666667993</v>
      </c>
      <c r="AJ305" s="47">
        <f t="shared" si="202"/>
        <v>148.51666666666668</v>
      </c>
      <c r="AK305" s="45">
        <f>('[2]Renewable Diesel'!J314*'[2]RD Feedstock Breakdown'!AK$3*'[2]Feedstock Conversion Rates'!B$4)/12</f>
        <v>95.8125</v>
      </c>
      <c r="AL305" s="47">
        <f t="shared" si="205"/>
        <v>95.8125</v>
      </c>
      <c r="AM305" s="45">
        <f>('[2]Renewable Diesel'!K314*'[2]RD Feedstock Breakdown'!AM$3*'[2]Feedstock Conversion Rates'!B$4)/12+5+15-10+10</f>
        <v>78.59375</v>
      </c>
      <c r="AN305" s="45">
        <f>('[2]Renewable Diesel'!K314*'[2]RD Feedstock Breakdown'!AN$3*'[2]Feedstock Conversion Rates'!B$6)/12-5-15+10-10</f>
        <v>4.4270833333333321</v>
      </c>
      <c r="AO305" s="47">
        <f t="shared" si="223"/>
        <v>83.020833333333329</v>
      </c>
      <c r="AP305" s="45">
        <f>('[2]Renewable Diesel'!L314*'[2]RD Feedstock Breakdown'!AP$3*'[2]Feedstock Conversion Rates'!B$4)/12+15-10+15</f>
        <v>78.59375</v>
      </c>
      <c r="AQ305" s="45">
        <f>('[2]Renewable Diesel'!L314*'[2]RD Feedstock Breakdown'!AQ$3*'[2]Feedstock Conversion Rates'!B$6)/12-15+10-15</f>
        <v>4.4270833333333321</v>
      </c>
      <c r="AR305" s="47">
        <f t="shared" si="207"/>
        <v>83.020833333333329</v>
      </c>
      <c r="AS305" s="45">
        <f>('[2]Renewable Diesel'!M314*'[2]RD Feedstock Breakdown'!AS$3*'[2]Feedstock Conversion Rates'!B$4)/12</f>
        <v>456.25</v>
      </c>
      <c r="AT305" s="45">
        <f>('[2]Renewable Diesel'!M314*'[2]RD Feedstock Breakdown'!AT$3*'[2]Feedstock Conversion Rates'!B$5)/12</f>
        <v>0</v>
      </c>
      <c r="AU305" s="47">
        <f t="shared" si="244"/>
        <v>456.25</v>
      </c>
      <c r="AV305" s="45">
        <f>'[2]Renewable Diesel'!N314*'[2]RD Feedstock Breakdown'!$AV$3*'[2]Feedstock Conversion Rates'!$B$4/12-15-10+25+25-22+25</f>
        <v>106.74999999999999</v>
      </c>
      <c r="AW305" s="45">
        <f>'[2]Renewable Diesel'!N314*'[2]RD Feedstock Breakdown'!$AW$3*'[2]Feedstock Conversion Rates'!$B$7/12+15+10-25-25+22-25</f>
        <v>13.400000000000006</v>
      </c>
      <c r="AX305" s="47">
        <f t="shared" si="193"/>
        <v>120.14999999999999</v>
      </c>
      <c r="AY305" s="45">
        <f>('[2]Renewable Diesel'!O314*'[2]RD Feedstock Breakdown'!AY$3*'[2]Feedstock Conversion Rates'!B$4)/12</f>
        <v>210.9375</v>
      </c>
      <c r="AZ305" s="45">
        <f>('[2]Renewable Diesel'!O314*'[2]RD Feedstock Breakdown'!AZ$3*'[2]Feedstock Conversion Rates'!B$3)/12</f>
        <v>25.03125</v>
      </c>
      <c r="BA305" s="47">
        <f t="shared" si="255"/>
        <v>235.96875</v>
      </c>
      <c r="BB305" s="45">
        <f>('[2]Renewable Diesel'!Q314*'[2]RD Feedstock Breakdown'!BB$3*'[2]Feedstock Conversion Rates'!B$4)/12</f>
        <v>11.156249999999998</v>
      </c>
      <c r="BC305" s="45">
        <f>('[2]Renewable Diesel'!Q314*'[2]RD Feedstock Breakdown'!BC$3*'[2]Feedstock Conversion Rates'!B$3)/12</f>
        <v>1.4017500000000001</v>
      </c>
      <c r="BD305" s="45">
        <f>('[2]Renewable Diesel'!Q314*'[2]RD Feedstock Breakdown'!BD$3*'[2]Feedstock Conversion Rates'!B$6)/12</f>
        <v>0.8207500000000002</v>
      </c>
      <c r="BE305" s="47">
        <f t="shared" si="231"/>
        <v>13.378749999999998</v>
      </c>
      <c r="BF305" s="45">
        <f>('[2]Renewable Diesel'!R314*'[2]RD Feedstock Breakdown'!BF$3*'[2]Feedstock Conversion Rates'!B$4)/12</f>
        <v>62.5</v>
      </c>
      <c r="BG305" s="47">
        <f t="shared" si="215"/>
        <v>62.5</v>
      </c>
      <c r="BH305" s="45">
        <f>('[2]Renewable Diesel'!T314*'[2]RD Feedstock Breakdown'!BH$3*'[2]Feedstock Conversion Rates'!B$7)/12</f>
        <v>27.599999999999998</v>
      </c>
      <c r="BI305" s="47">
        <f t="shared" si="195"/>
        <v>27.599999999999998</v>
      </c>
      <c r="BJ305" s="45">
        <f>('[2]Renewable Diesel'!W314*'[2]RD Feedstock Breakdown'!BJ$3*'[2]Feedstock Conversion Rates'!B$4)/12</f>
        <v>7.5</v>
      </c>
      <c r="BK305" s="45">
        <f>('[2]Renewable Diesel'!W314*'[2]RD Feedstock Breakdown'!BK$3*'[2]Feedstock Conversion Rates'!B$3)/12</f>
        <v>1.335</v>
      </c>
      <c r="BL305" s="45">
        <f>('[2]Renewable Diesel'!W314*'[2]RD Feedstock Breakdown'!BL$3*'[2]Feedstock Conversion Rates'!B$6)/12</f>
        <v>3.1266666666666669</v>
      </c>
      <c r="BM305" s="45">
        <f>('[2]Renewable Diesel'!W314*'[2]RD Feedstock Breakdown'!BM$3*'[2]Feedstock Conversion Rates'!B$7)/12</f>
        <v>1.5333333333333332</v>
      </c>
      <c r="BN305" s="47">
        <f t="shared" si="248"/>
        <v>13.495000000000001</v>
      </c>
      <c r="BO305" s="45">
        <f>('[2]Renewable Diesel'!P314*'[2]Feedstock Conversion Rates'!B$4)/12</f>
        <v>31.25</v>
      </c>
      <c r="BP305" s="47">
        <f t="shared" si="237"/>
        <v>31.25</v>
      </c>
      <c r="BQ305" s="45">
        <f>('[2]Renewable Diesel'!$S314*'[2]RD Feedstock Breakdown'!BQ$3*'[2]Feedstock Conversion Rates'!B$4)/12+10+15-15</f>
        <v>38.125</v>
      </c>
      <c r="BR305" s="45">
        <f>('[2]Renewable Diesel'!$S314*'[2]RD Feedstock Breakdown'!BR$3*'[2]Feedstock Conversion Rates'!B$7)/12-10-15+15</f>
        <v>1.5</v>
      </c>
      <c r="BS305" s="47">
        <f t="shared" si="260"/>
        <v>39.625</v>
      </c>
      <c r="BT305" s="47"/>
      <c r="BU305" s="45">
        <f>('[2]Renewable Diesel'!Y314*'[2]Feedstock Conversion Rates'!B$7)/12</f>
        <v>2.6833333333333331</v>
      </c>
      <c r="BV305" s="47">
        <f t="shared" si="233"/>
        <v>2.6833333333333331</v>
      </c>
      <c r="BW305" s="45">
        <f>('[2]Renewable Diesel'!$Z314*'[2]RD Feedstock Breakdown'!BW$3*'[2]Feedstock Conversion Rates'!$B$4)/12</f>
        <v>71.875</v>
      </c>
      <c r="BX305" s="45">
        <f>('[2]Renewable Diesel'!$Z314*'[2]RD Feedstock Breakdown'!BX$3*'[2]Feedstock Conversion Rates'!$B$5)/12</f>
        <v>7.2354166666666666</v>
      </c>
      <c r="BY305" s="45">
        <f>('[2]Renewable Diesel'!$Z314*'[2]RD Feedstock Breakdown'!BY$3*'[2]Feedstock Conversion Rates'!$B$7)/12</f>
        <v>61.716666666666661</v>
      </c>
      <c r="BZ305" s="45">
        <f>('[2]Renewable Diesel'!$Z314*'[2]RD Feedstock Breakdown'!BZ$3*'[2]Feedstock Conversion Rates'!$B$3)/12</f>
        <v>15.352499999999999</v>
      </c>
      <c r="CA305" s="47">
        <f t="shared" si="262"/>
        <v>156.17958333333331</v>
      </c>
      <c r="CB305" s="45">
        <f>('[2]Renewable Diesel'!AA314*'[2]Feedstock Conversion Rates'!B$4)/12</f>
        <v>191.25</v>
      </c>
      <c r="CC305" s="47">
        <f t="shared" si="250"/>
        <v>191.25</v>
      </c>
      <c r="CD305" s="45">
        <f>('[2]Renewable Diesel'!$AB314*'[2]RD Feedstock Breakdown'!CD$3*'[2]Feedstock Conversion Rates'!$B$6)/12-15-5</f>
        <v>12.830000000000005</v>
      </c>
      <c r="CE305" s="45">
        <f>('[2]Renewable Diesel'!$AB314*'[2]RD Feedstock Breakdown'!CE$3*'[2]Feedstock Conversion Rates'!$B$4)/12+15+5</f>
        <v>31.25</v>
      </c>
      <c r="CF305" s="47">
        <f t="shared" si="247"/>
        <v>44.080000000000005</v>
      </c>
      <c r="CG305" s="45">
        <f>('[2]Renewable Diesel'!AD314*'[2]Feedstock Conversion Rates'!B$4)/12</f>
        <v>112.5</v>
      </c>
      <c r="CH305" s="47">
        <f t="shared" si="230"/>
        <v>112.5</v>
      </c>
      <c r="CI305" s="45">
        <f>('[2]Renewable Diesel'!$AE314*'[2]RD Feedstock Breakdown'!CI$3*'[2]Feedstock Conversion Rates'!$B$5)/12</f>
        <v>0.34604166666666664</v>
      </c>
      <c r="CJ305" s="45">
        <f>('[2]Renewable Diesel'!$AE314*'[2]RD Feedstock Breakdown'!CJ$3*'[2]Feedstock Conversion Rates'!$B$4)/12</f>
        <v>0.34375</v>
      </c>
      <c r="CK305" s="47">
        <f t="shared" si="238"/>
        <v>0.68979166666666658</v>
      </c>
      <c r="CL305" s="45">
        <f>(((CL$3*'[2]Renewable Diesel'!$AF314)*'[2]Feedstock Conversion Rates'!$B$3)/12)</f>
        <v>91.78125</v>
      </c>
      <c r="CM305" s="45">
        <f>(((CM$3*'[2]Renewable Diesel'!$AF314)*'[2]Feedstock Conversion Rates'!$B$6)/12)</f>
        <v>53.739583333333336</v>
      </c>
      <c r="CN305" s="45">
        <f>(((CN$3*'[2]Renewable Diesel'!$AF314)*'[2]Feedstock Conversion Rates'!$B$4)/12)</f>
        <v>42.96875</v>
      </c>
      <c r="CO305" s="47">
        <f t="shared" si="232"/>
        <v>188.48958333333334</v>
      </c>
      <c r="CP305" s="45">
        <f>('[2]Renewable Diesel'!$AG314*'[2]RD Feedstock Breakdown'!CP$3*'[2]Feedstock Conversion Rates'!$B$3)/12</f>
        <v>6.0075000000000003</v>
      </c>
      <c r="CQ305" s="45">
        <f>('[2]Renewable Diesel'!$AG314*'[2]RD Feedstock Breakdown'!CQ$3*'[2]Feedstock Conversion Rates'!$B$6)/12</f>
        <v>3.5175000000000001</v>
      </c>
      <c r="CR305" s="45">
        <f>('[2]Renewable Diesel'!$AG314*'[2]RD Feedstock Breakdown'!CR$3*'[2]Feedstock Conversion Rates'!$B$4)/12</f>
        <v>2.8125</v>
      </c>
      <c r="CS305" s="47">
        <f t="shared" ref="CS305:CS368" si="267">SUM(CP305:CR305)</f>
        <v>12.3375</v>
      </c>
      <c r="CT305" s="45">
        <f>('[2]Renewable Diesel'!AI314*'[2]Feedstock Conversion Rates'!$B$4*'[2]RD Feedstock Breakdown'!$CT$3)/12</f>
        <v>29.375</v>
      </c>
      <c r="CU305" s="47">
        <f t="shared" si="234"/>
        <v>29.375</v>
      </c>
      <c r="CV305" s="45">
        <f>('[2]Renewable Diesel'!AN314*'[2]Feedstock Conversion Rates'!$B$3*'[2]RD Feedstock Breakdown'!$CV$3)/12</f>
        <v>0.50062499999999999</v>
      </c>
      <c r="CW305" s="47">
        <f t="shared" si="206"/>
        <v>0.50062499999999999</v>
      </c>
      <c r="CX305" s="45">
        <f>('[2]Renewable Diesel'!AO314*'[2]RD Feedstock Breakdown'!$CX$3*'[2]Feedstock Conversion Rates'!$B$3)/12</f>
        <v>6.3412499999999996</v>
      </c>
      <c r="CY305" s="45">
        <f>('[2]Renewable Diesel'!AO314*'[2]RD Feedstock Breakdown'!$CY$3*'[2]Feedstock Conversion Rates'!$B$6)/12</f>
        <v>7.4258333333333342</v>
      </c>
      <c r="CZ305" s="47">
        <f t="shared" si="188"/>
        <v>13.767083333333334</v>
      </c>
      <c r="DA305" s="45">
        <f>('[2]Renewable Diesel'!$AP314*'[2]RD Feedstock Breakdown'!DA$3*'[2]Feedstock Conversion Rates'!$B$3)/12</f>
        <v>6.3412499999999996</v>
      </c>
      <c r="DB305" s="45">
        <f>('[2]Renewable Diesel'!$AP314*'[2]RD Feedstock Breakdown'!DB$3*'[2]Feedstock Conversion Rates'!$B$8)/12</f>
        <v>7.421875</v>
      </c>
      <c r="DC305" s="47">
        <f t="shared" si="212"/>
        <v>13.763124999999999</v>
      </c>
      <c r="DD305" s="45">
        <f>('[2]Renewable Diesel'!AQ314*$DD$3*'[2]Feedstock Conversion Rates'!$B$14)/12</f>
        <v>3.1041666666666665</v>
      </c>
      <c r="DE305" s="47">
        <f t="shared" si="213"/>
        <v>3.1041666666666665</v>
      </c>
      <c r="DF305" s="45">
        <f>('[2]Renewable Diesel'!AR314*'[2]Feedstock Conversion Rates'!$B$4*$DF$3)/12</f>
        <v>75</v>
      </c>
      <c r="DG305" s="47">
        <f t="shared" si="189"/>
        <v>75</v>
      </c>
      <c r="DH305" s="45">
        <f>('[2]Renewable Diesel'!AS314*'[2]Feedstock Conversion Rates'!$B$4*$DH$3)/12</f>
        <v>75</v>
      </c>
      <c r="DI305" s="47">
        <f t="shared" si="194"/>
        <v>75</v>
      </c>
      <c r="DJ305" s="45">
        <f>('[2]Renewable Diesel'!AT314*'[2]Feedstock Conversion Rates'!$B$4*0.25)/12</f>
        <v>8.59375</v>
      </c>
      <c r="DK305" s="45">
        <f>('[2]Renewable Diesel'!$AT314*'[2]RD Feedstock Breakdown'!DK$3*'[2]Feedstock Conversion Rates'!$B$3)/12*0.5</f>
        <v>9.1781249999999996</v>
      </c>
      <c r="DL305" s="45">
        <f>('[2]Renewable Diesel'!$AT314*'[2]RD Feedstock Breakdown'!$DL$3*'[2]Feedstock Conversion Rates'!$B$6)/12</f>
        <v>10.747916666666669</v>
      </c>
      <c r="DM305" s="45">
        <f>('[2]Renewable Diesel'!$AT314*'[2]RD Feedstock Breakdown'!$DM$3*'[2]Feedstock Conversion Rates'!$B$8)/12</f>
        <v>10.7421875</v>
      </c>
      <c r="DN305" s="47">
        <f t="shared" si="249"/>
        <v>39.26197916666667</v>
      </c>
      <c r="DP305" s="45">
        <f t="shared" si="216"/>
        <v>48.220250000000007</v>
      </c>
      <c r="DQ305" s="45">
        <f t="shared" si="217"/>
        <v>409.11776750000001</v>
      </c>
      <c r="DR305" s="45">
        <f t="shared" si="224"/>
        <v>2041.953125</v>
      </c>
      <c r="DS305" s="45">
        <f t="shared" si="235"/>
        <v>228.90125</v>
      </c>
      <c r="DT305" s="45">
        <f t="shared" si="218"/>
        <v>208.03923333333341</v>
      </c>
      <c r="DU305" s="45">
        <f t="shared" si="219"/>
        <v>242.90610000000004</v>
      </c>
      <c r="DV305" s="45">
        <f t="shared" si="225"/>
        <v>78.75</v>
      </c>
      <c r="DW305" s="45">
        <f t="shared" si="220"/>
        <v>3</v>
      </c>
      <c r="DX305" s="47">
        <f t="shared" si="226"/>
        <v>3260.8877258333337</v>
      </c>
      <c r="DY305" s="50">
        <f t="shared" si="208"/>
        <v>-5.631051180898794E-13</v>
      </c>
      <c r="EA305" s="51">
        <f t="shared" si="263"/>
        <v>1.4787460978184128E-2</v>
      </c>
      <c r="EB305" s="51">
        <f t="shared" si="263"/>
        <v>0.12546208330292888</v>
      </c>
      <c r="EC305" s="51">
        <f t="shared" si="263"/>
        <v>0.62619547089072813</v>
      </c>
      <c r="ED305" s="51">
        <f t="shared" si="261"/>
        <v>7.0195992393912707E-2</v>
      </c>
      <c r="EE305" s="51">
        <f t="shared" si="261"/>
        <v>6.3798342912946532E-2</v>
      </c>
      <c r="EF305" s="51">
        <f t="shared" si="261"/>
        <v>7.4490789141758745E-2</v>
      </c>
      <c r="EG305" s="51">
        <f t="shared" si="261"/>
        <v>2.4149865503227379E-2</v>
      </c>
      <c r="EH305" s="52">
        <f t="shared" si="227"/>
        <v>9.1999487631342389E-4</v>
      </c>
      <c r="EI305" s="51">
        <f t="shared" si="191"/>
        <v>0.99908000512368655</v>
      </c>
      <c r="EK305" s="53">
        <f>(EA305*'[2]Renewable Diesel'!BF314*'[2]Feedstock Conversion Rates'!B$2)+FB305</f>
        <v>90.16023718490888</v>
      </c>
      <c r="EL305" s="53">
        <f>(EB305*'[2]Renewable Diesel'!BF314*'[2]Feedstock Conversion Rates'!B$3)+FC305</f>
        <v>720.85434252067478</v>
      </c>
      <c r="EM305" s="53">
        <f>(EC305*'[2]Renewable Diesel'!BF314*'[2]Feedstock Conversion Rates'!B$4)+FD305</f>
        <v>3368.7880958689107</v>
      </c>
      <c r="EN305" s="53">
        <f>(ED305*'[2]Renewable Diesel'!BF314*'[2]Feedstock Conversion Rates'!B$5)+FE305</f>
        <v>380.15593763301672</v>
      </c>
      <c r="EO305" s="53">
        <f>(EE305*'[2]Renewable Diesel'!BF314*'[2]Feedstock Conversion Rates'!B$6)+FF305</f>
        <v>429.25438978295352</v>
      </c>
      <c r="EP305" s="53">
        <f>(EF305*'[2]Renewable Diesel'!BF314*'[2]Feedstock Conversion Rates'!B$7)+FG305</f>
        <v>491.57853470733835</v>
      </c>
      <c r="EQ305" s="53">
        <f>(EG305*'[2]Renewable Diesel'!BF314*'[2]Feedstock Conversion Rates'!B$8)+FH305</f>
        <v>162.40092592091011</v>
      </c>
      <c r="ER305" s="53">
        <f>(EH305*'[2]Renewable Diesel'!BF314*'[2]Feedstock Conversion Rates'!B$9)+FI305</f>
        <v>6.1042125806462719</v>
      </c>
      <c r="ES305" s="53">
        <f t="shared" si="228"/>
        <v>5649.2966761993594</v>
      </c>
      <c r="ET305" s="36">
        <f>ES305/'[2]Renewable Diesel'!BF314</f>
        <v>7.8757491381518019</v>
      </c>
    </row>
    <row r="306" spans="1:150" x14ac:dyDescent="0.25">
      <c r="A306" s="39">
        <v>49735</v>
      </c>
      <c r="B306" s="45">
        <f t="shared" si="264"/>
        <v>59.25</v>
      </c>
      <c r="C306" s="45">
        <f t="shared" si="251"/>
        <v>49</v>
      </c>
      <c r="D306" s="45">
        <f t="shared" si="265"/>
        <v>2</v>
      </c>
      <c r="E306" s="45">
        <f>('[2]Renewable Diesel'!B315*E$3*'[2]Feedstock Conversion Rates'!$B$2)/12+26+13-100+27.5+39</f>
        <v>95.43</v>
      </c>
      <c r="F306" s="45">
        <f>('[2]Renewable Diesel'!B315*'[2]RD Feedstock Breakdown'!F$3*'[2]Feedstock Conversion Rates'!B$8)/12+77+23-10-12-115.75+24+8</f>
        <v>48.15625</v>
      </c>
      <c r="G306" s="45">
        <f>('[2]Renewable Diesel'!B315*'[2]RD Feedstock Breakdown'!G$3*'[2]Feedstock Conversion Rates'!B$7)/12+116.75-39-57.5-145-31.5+32+70-40+10-35</f>
        <v>56.907000000000039</v>
      </c>
      <c r="H306" s="45">
        <f>('[2]Renewable Diesel'!B315*'[2]RD Feedstock Breakdown'!H$3*'[2]Feedstock Conversion Rates'!B$3)/12+67+10+12+3-235+20+47-20+105</f>
        <v>185.40022499999998</v>
      </c>
      <c r="I306" s="47">
        <f t="shared" si="245"/>
        <v>496.14347500000002</v>
      </c>
      <c r="J306" s="45">
        <f t="shared" si="266"/>
        <v>69</v>
      </c>
      <c r="K306" s="45"/>
      <c r="L306" s="45">
        <v>1</v>
      </c>
      <c r="M306" s="45">
        <f>('[2]Renewable Diesel'!C315*'[2]RD Feedstock Breakdown'!M$3*'[2]Feedstock Conversion Rates'!B$2)/12-55</f>
        <v>-47.20975</v>
      </c>
      <c r="N306" s="45">
        <f>('[2]Renewable Diesel'!C315*'[2]RD Feedstock Breakdown'!N$3*'[2]Feedstock Conversion Rates'!B$8)/12</f>
        <v>3.671875</v>
      </c>
      <c r="O306" s="45">
        <f>('[2]Renewable Diesel'!C315*'[2]RD Feedstock Breakdown'!O$3*'[2]Feedstock Conversion Rates'!B$7)/12-65</f>
        <v>-53.000900000000001</v>
      </c>
      <c r="P306" s="45">
        <f>('[2]Renewable Diesel'!C315*'[2]RD Feedstock Breakdown'!P$3*'[2]Feedstock Conversion Rates'!B$3)/12+15+35</f>
        <v>60.447042500000002</v>
      </c>
      <c r="Q306" s="47">
        <f t="shared" si="252"/>
        <v>33.908267500000001</v>
      </c>
      <c r="R306" s="45">
        <f>('[2]Renewable Diesel'!D315*'[2]RD Feedstock Breakdown'!R$3*'[2]Feedstock Conversion Rates'!B$7)/12</f>
        <v>2.2999999999999998</v>
      </c>
      <c r="S306" s="47">
        <f t="shared" si="203"/>
        <v>2.2999999999999998</v>
      </c>
      <c r="T306" s="45">
        <f t="shared" si="253"/>
        <v>0.82499999999999929</v>
      </c>
      <c r="U306" s="45"/>
      <c r="V306" s="45">
        <f>('[2]Renewable Diesel'!E315*'[2]RD Feedstock Breakdown'!V$3*'[2]Feedstock Conversion Rates'!B$6)/12-20+25</f>
        <v>49.250150000000012</v>
      </c>
      <c r="W306" s="45">
        <f>('[2]Renewable Diesel'!E315*'[2]RD Feedstock Breakdown'!W$3*'[2]Feedstock Conversion Rates'!B$8)/12-6</f>
        <v>16.1796875</v>
      </c>
      <c r="X306" s="47">
        <f t="shared" si="229"/>
        <v>66.254837500000008</v>
      </c>
      <c r="Y306" s="45">
        <f t="shared" si="254"/>
        <v>98</v>
      </c>
      <c r="Z306" s="45">
        <f>('[2]Renewable Diesel'!F315*'[2]RD Feedstock Breakdown'!Z$3*'[2]Feedstock Conversion Rates'!B$6)/12-142+15+10</f>
        <v>42.460000000000008</v>
      </c>
      <c r="AA306" s="45">
        <f>('[2]Renewable Diesel'!F315*'[2]RD Feedstock Breakdown'!AA$3*'[2]Feedstock Conversion Rates'!B$7)/12+24</f>
        <v>128.26666666666665</v>
      </c>
      <c r="AB306" s="47">
        <f t="shared" si="190"/>
        <v>268.72666666666669</v>
      </c>
      <c r="AC306" s="45">
        <f>('[2]Renewable Diesel'!G315*'[2]RD Feedstock Breakdown'!AC$3*'[2]Feedstock Conversion Rates'!B$5)/12</f>
        <v>11.796875</v>
      </c>
      <c r="AD306" s="45">
        <f>('[2]Renewable Diesel'!G315*'[2]RD Feedstock Breakdown'!AD$3*'[2]Feedstock Conversion Rates'!B$4)/12</f>
        <v>5.859375</v>
      </c>
      <c r="AE306" s="45">
        <f>('[2]Renewable Diesel'!G315*'[2]RD Feedstock Breakdown'!AE$3*'[2]Feedstock Conversion Rates'!B$6)/12</f>
        <v>7.3281250000000009</v>
      </c>
      <c r="AF306" s="47">
        <f t="shared" si="236"/>
        <v>24.984375</v>
      </c>
      <c r="AG306" s="45">
        <f t="shared" si="259"/>
        <v>148</v>
      </c>
      <c r="AH306" s="45"/>
      <c r="AI306" s="45">
        <f>('[2]Renewable Diesel'!H315*'[2]RD Feedstock Breakdown'!AI$3*'[2]Feedstock Conversion Rates'!B$6)/12-130-20+51-49</f>
        <v>0.51666666666667993</v>
      </c>
      <c r="AJ306" s="47">
        <f t="shared" si="202"/>
        <v>148.51666666666668</v>
      </c>
      <c r="AK306" s="45">
        <f>('[2]Renewable Diesel'!J315*'[2]RD Feedstock Breakdown'!AK$3*'[2]Feedstock Conversion Rates'!B$4)/12</f>
        <v>95.8125</v>
      </c>
      <c r="AL306" s="47">
        <f t="shared" si="205"/>
        <v>95.8125</v>
      </c>
      <c r="AM306" s="45">
        <f>('[2]Renewable Diesel'!K315*'[2]RD Feedstock Breakdown'!AM$3*'[2]Feedstock Conversion Rates'!B$4)/12+5+15-10+10</f>
        <v>78.59375</v>
      </c>
      <c r="AN306" s="45">
        <f>('[2]Renewable Diesel'!K315*'[2]RD Feedstock Breakdown'!AN$3*'[2]Feedstock Conversion Rates'!B$6)/12-5-15+10-10</f>
        <v>4.4270833333333321</v>
      </c>
      <c r="AO306" s="47">
        <f t="shared" si="223"/>
        <v>83.020833333333329</v>
      </c>
      <c r="AP306" s="45">
        <f>('[2]Renewable Diesel'!L315*'[2]RD Feedstock Breakdown'!AP$3*'[2]Feedstock Conversion Rates'!B$4)/12+15-10+15</f>
        <v>78.59375</v>
      </c>
      <c r="AQ306" s="45">
        <f>('[2]Renewable Diesel'!L315*'[2]RD Feedstock Breakdown'!AQ$3*'[2]Feedstock Conversion Rates'!B$6)/12-15+10-15</f>
        <v>4.4270833333333321</v>
      </c>
      <c r="AR306" s="47">
        <f t="shared" si="207"/>
        <v>83.020833333333329</v>
      </c>
      <c r="AS306" s="45">
        <f>('[2]Renewable Diesel'!M315*'[2]RD Feedstock Breakdown'!AS$3*'[2]Feedstock Conversion Rates'!B$4)/12</f>
        <v>456.25</v>
      </c>
      <c r="AT306" s="45">
        <f>('[2]Renewable Diesel'!M315*'[2]RD Feedstock Breakdown'!AT$3*'[2]Feedstock Conversion Rates'!B$5)/12</f>
        <v>0</v>
      </c>
      <c r="AU306" s="47">
        <f t="shared" si="244"/>
        <v>456.25</v>
      </c>
      <c r="AV306" s="45">
        <f>'[2]Renewable Diesel'!N315*'[2]RD Feedstock Breakdown'!$AV$3*'[2]Feedstock Conversion Rates'!$B$4/12-15-10+25+25-22+25</f>
        <v>106.74999999999999</v>
      </c>
      <c r="AW306" s="45">
        <f>'[2]Renewable Diesel'!N315*'[2]RD Feedstock Breakdown'!$AW$3*'[2]Feedstock Conversion Rates'!$B$7/12+15+10-25-25+22-25</f>
        <v>13.400000000000006</v>
      </c>
      <c r="AX306" s="47">
        <f t="shared" si="193"/>
        <v>120.14999999999999</v>
      </c>
      <c r="AY306" s="45">
        <f>('[2]Renewable Diesel'!O315*'[2]RD Feedstock Breakdown'!AY$3*'[2]Feedstock Conversion Rates'!B$4)/12</f>
        <v>210.9375</v>
      </c>
      <c r="AZ306" s="45">
        <f>('[2]Renewable Diesel'!O315*'[2]RD Feedstock Breakdown'!AZ$3*'[2]Feedstock Conversion Rates'!B$3)/12</f>
        <v>25.03125</v>
      </c>
      <c r="BA306" s="47">
        <f t="shared" si="255"/>
        <v>235.96875</v>
      </c>
      <c r="BB306" s="45">
        <f>('[2]Renewable Diesel'!Q315*'[2]RD Feedstock Breakdown'!BB$3*'[2]Feedstock Conversion Rates'!B$4)/12</f>
        <v>11.156249999999998</v>
      </c>
      <c r="BC306" s="45">
        <f>('[2]Renewable Diesel'!Q315*'[2]RD Feedstock Breakdown'!BC$3*'[2]Feedstock Conversion Rates'!B$3)/12</f>
        <v>1.4017500000000001</v>
      </c>
      <c r="BD306" s="45">
        <f>('[2]Renewable Diesel'!Q315*'[2]RD Feedstock Breakdown'!BD$3*'[2]Feedstock Conversion Rates'!B$6)/12</f>
        <v>0.8207500000000002</v>
      </c>
      <c r="BE306" s="47">
        <f t="shared" si="231"/>
        <v>13.378749999999998</v>
      </c>
      <c r="BF306" s="45">
        <f>('[2]Renewable Diesel'!R315*'[2]RD Feedstock Breakdown'!BF$3*'[2]Feedstock Conversion Rates'!B$4)/12</f>
        <v>62.5</v>
      </c>
      <c r="BG306" s="47">
        <f t="shared" si="215"/>
        <v>62.5</v>
      </c>
      <c r="BH306" s="45">
        <f>('[2]Renewable Diesel'!T315*'[2]RD Feedstock Breakdown'!BH$3*'[2]Feedstock Conversion Rates'!B$7)/12</f>
        <v>27.599999999999998</v>
      </c>
      <c r="BI306" s="47">
        <f t="shared" si="195"/>
        <v>27.599999999999998</v>
      </c>
      <c r="BJ306" s="45">
        <f>('[2]Renewable Diesel'!W315*'[2]RD Feedstock Breakdown'!BJ$3*'[2]Feedstock Conversion Rates'!B$4)/12</f>
        <v>7.5</v>
      </c>
      <c r="BK306" s="45">
        <f>('[2]Renewable Diesel'!W315*'[2]RD Feedstock Breakdown'!BK$3*'[2]Feedstock Conversion Rates'!B$3)/12</f>
        <v>1.335</v>
      </c>
      <c r="BL306" s="45">
        <f>('[2]Renewable Diesel'!W315*'[2]RD Feedstock Breakdown'!BL$3*'[2]Feedstock Conversion Rates'!B$6)/12</f>
        <v>3.1266666666666669</v>
      </c>
      <c r="BM306" s="45">
        <f>('[2]Renewable Diesel'!W315*'[2]RD Feedstock Breakdown'!BM$3*'[2]Feedstock Conversion Rates'!B$7)/12</f>
        <v>1.5333333333333332</v>
      </c>
      <c r="BN306" s="47">
        <f t="shared" si="248"/>
        <v>13.495000000000001</v>
      </c>
      <c r="BO306" s="45">
        <f>('[2]Renewable Diesel'!P315*'[2]Feedstock Conversion Rates'!B$4)/12</f>
        <v>31.25</v>
      </c>
      <c r="BP306" s="47">
        <f t="shared" si="237"/>
        <v>31.25</v>
      </c>
      <c r="BQ306" s="45">
        <f>('[2]Renewable Diesel'!$S315*'[2]RD Feedstock Breakdown'!BQ$3*'[2]Feedstock Conversion Rates'!B$4)/12+10+15-15</f>
        <v>38.125</v>
      </c>
      <c r="BR306" s="45">
        <f>('[2]Renewable Diesel'!$S315*'[2]RD Feedstock Breakdown'!BR$3*'[2]Feedstock Conversion Rates'!B$7)/12-10-15+15</f>
        <v>1.5</v>
      </c>
      <c r="BS306" s="47">
        <f t="shared" si="260"/>
        <v>39.625</v>
      </c>
      <c r="BT306" s="47"/>
      <c r="BU306" s="45">
        <f>('[2]Renewable Diesel'!Y315*'[2]Feedstock Conversion Rates'!B$7)/12</f>
        <v>2.6833333333333331</v>
      </c>
      <c r="BV306" s="47">
        <f t="shared" si="233"/>
        <v>2.6833333333333331</v>
      </c>
      <c r="BW306" s="45">
        <f>('[2]Renewable Diesel'!$Z315*'[2]RD Feedstock Breakdown'!BW$3*'[2]Feedstock Conversion Rates'!$B$4)/12</f>
        <v>71.875</v>
      </c>
      <c r="BX306" s="45">
        <f>('[2]Renewable Diesel'!$Z315*'[2]RD Feedstock Breakdown'!BX$3*'[2]Feedstock Conversion Rates'!$B$5)/12</f>
        <v>7.2354166666666666</v>
      </c>
      <c r="BY306" s="45">
        <f>('[2]Renewable Diesel'!$Z315*'[2]RD Feedstock Breakdown'!BY$3*'[2]Feedstock Conversion Rates'!$B$7)/12</f>
        <v>61.716666666666661</v>
      </c>
      <c r="BZ306" s="45">
        <f>('[2]Renewable Diesel'!$Z315*'[2]RD Feedstock Breakdown'!BZ$3*'[2]Feedstock Conversion Rates'!$B$3)/12</f>
        <v>15.352499999999999</v>
      </c>
      <c r="CA306" s="47">
        <f t="shared" si="262"/>
        <v>156.17958333333331</v>
      </c>
      <c r="CB306" s="45">
        <f>('[2]Renewable Diesel'!AA315*'[2]Feedstock Conversion Rates'!B$4)/12</f>
        <v>191.25</v>
      </c>
      <c r="CC306" s="47">
        <f t="shared" si="250"/>
        <v>191.25</v>
      </c>
      <c r="CD306" s="45">
        <f>('[2]Renewable Diesel'!$AB315*'[2]RD Feedstock Breakdown'!CD$3*'[2]Feedstock Conversion Rates'!$B$6)/12-15-5</f>
        <v>12.830000000000005</v>
      </c>
      <c r="CE306" s="45">
        <f>('[2]Renewable Diesel'!$AB315*'[2]RD Feedstock Breakdown'!CE$3*'[2]Feedstock Conversion Rates'!$B$4)/12+15+5</f>
        <v>31.25</v>
      </c>
      <c r="CF306" s="47">
        <f t="shared" si="247"/>
        <v>44.080000000000005</v>
      </c>
      <c r="CG306" s="45">
        <f>('[2]Renewable Diesel'!AD315*'[2]Feedstock Conversion Rates'!B$4)/12</f>
        <v>112.5</v>
      </c>
      <c r="CH306" s="47">
        <f t="shared" si="230"/>
        <v>112.5</v>
      </c>
      <c r="CI306" s="45">
        <f>('[2]Renewable Diesel'!$AE315*'[2]RD Feedstock Breakdown'!CI$3*'[2]Feedstock Conversion Rates'!$B$5)/12</f>
        <v>0.34604166666666664</v>
      </c>
      <c r="CJ306" s="45">
        <f>('[2]Renewable Diesel'!$AE315*'[2]RD Feedstock Breakdown'!CJ$3*'[2]Feedstock Conversion Rates'!$B$4)/12</f>
        <v>0.34375</v>
      </c>
      <c r="CK306" s="47">
        <f t="shared" si="238"/>
        <v>0.68979166666666658</v>
      </c>
      <c r="CL306" s="45">
        <f>(((CL$3*'[2]Renewable Diesel'!$AF315)*'[2]Feedstock Conversion Rates'!$B$3)/12)</f>
        <v>91.78125</v>
      </c>
      <c r="CM306" s="45">
        <f>(((CM$3*'[2]Renewable Diesel'!$AF315)*'[2]Feedstock Conversion Rates'!$B$6)/12)</f>
        <v>53.739583333333336</v>
      </c>
      <c r="CN306" s="45">
        <f>(((CN$3*'[2]Renewable Diesel'!$AF315)*'[2]Feedstock Conversion Rates'!$B$4)/12)</f>
        <v>42.96875</v>
      </c>
      <c r="CO306" s="47">
        <f t="shared" si="232"/>
        <v>188.48958333333334</v>
      </c>
      <c r="CP306" s="45">
        <f>('[2]Renewable Diesel'!$AG315*'[2]RD Feedstock Breakdown'!CP$3*'[2]Feedstock Conversion Rates'!$B$3)/12</f>
        <v>6.0075000000000003</v>
      </c>
      <c r="CQ306" s="45">
        <f>('[2]Renewable Diesel'!$AG315*'[2]RD Feedstock Breakdown'!CQ$3*'[2]Feedstock Conversion Rates'!$B$6)/12</f>
        <v>3.5175000000000001</v>
      </c>
      <c r="CR306" s="45">
        <f>('[2]Renewable Diesel'!$AG315*'[2]RD Feedstock Breakdown'!CR$3*'[2]Feedstock Conversion Rates'!$B$4)/12</f>
        <v>2.8125</v>
      </c>
      <c r="CS306" s="47">
        <f t="shared" si="267"/>
        <v>12.3375</v>
      </c>
      <c r="CT306" s="45">
        <f>('[2]Renewable Diesel'!AI315*'[2]Feedstock Conversion Rates'!$B$4*'[2]RD Feedstock Breakdown'!$CT$3)/12</f>
        <v>29.375</v>
      </c>
      <c r="CU306" s="47">
        <f t="shared" si="234"/>
        <v>29.375</v>
      </c>
      <c r="CV306" s="45">
        <f>('[2]Renewable Diesel'!AN315*'[2]Feedstock Conversion Rates'!$B$3*'[2]RD Feedstock Breakdown'!$CV$3)/12</f>
        <v>0.50062499999999999</v>
      </c>
      <c r="CW306" s="47">
        <f t="shared" si="206"/>
        <v>0.50062499999999999</v>
      </c>
      <c r="CX306" s="45">
        <f>('[2]Renewable Diesel'!AO315*'[2]RD Feedstock Breakdown'!$CX$3*'[2]Feedstock Conversion Rates'!$B$3)/12</f>
        <v>6.3412499999999996</v>
      </c>
      <c r="CY306" s="45">
        <f>('[2]Renewable Diesel'!AO315*'[2]RD Feedstock Breakdown'!$CY$3*'[2]Feedstock Conversion Rates'!$B$6)/12</f>
        <v>7.4258333333333342</v>
      </c>
      <c r="CZ306" s="47">
        <f t="shared" ref="CZ306:CZ369" si="268">CY306+CX306</f>
        <v>13.767083333333334</v>
      </c>
      <c r="DA306" s="45">
        <f>('[2]Renewable Diesel'!$AP315*'[2]RD Feedstock Breakdown'!DA$3*'[2]Feedstock Conversion Rates'!$B$3)/12</f>
        <v>6.3412499999999996</v>
      </c>
      <c r="DB306" s="45">
        <f>('[2]Renewable Diesel'!$AP315*'[2]RD Feedstock Breakdown'!DB$3*'[2]Feedstock Conversion Rates'!$B$8)/12</f>
        <v>7.421875</v>
      </c>
      <c r="DC306" s="47">
        <f t="shared" si="212"/>
        <v>13.763124999999999</v>
      </c>
      <c r="DD306" s="45">
        <f>('[2]Renewable Diesel'!AQ315*$DD$3*'[2]Feedstock Conversion Rates'!$B$14)/12</f>
        <v>3.1041666666666665</v>
      </c>
      <c r="DE306" s="47">
        <f t="shared" si="213"/>
        <v>3.1041666666666665</v>
      </c>
      <c r="DF306" s="45">
        <f>('[2]Renewable Diesel'!AR315*'[2]Feedstock Conversion Rates'!$B$4*$DF$3)/12</f>
        <v>75</v>
      </c>
      <c r="DG306" s="47">
        <f t="shared" ref="DG306:DG369" si="269">DF306</f>
        <v>75</v>
      </c>
      <c r="DH306" s="45">
        <f>('[2]Renewable Diesel'!AS315*'[2]Feedstock Conversion Rates'!$B$4*$DH$3)/12</f>
        <v>75</v>
      </c>
      <c r="DI306" s="47">
        <f t="shared" si="194"/>
        <v>75</v>
      </c>
      <c r="DJ306" s="45">
        <f>('[2]Renewable Diesel'!AT315*'[2]Feedstock Conversion Rates'!$B$4*0.25)/12</f>
        <v>8.59375</v>
      </c>
      <c r="DK306" s="45">
        <f>('[2]Renewable Diesel'!$AT315*'[2]RD Feedstock Breakdown'!DK$3*'[2]Feedstock Conversion Rates'!$B$3)/12*0.5</f>
        <v>9.1781249999999996</v>
      </c>
      <c r="DL306" s="45">
        <f>('[2]Renewable Diesel'!$AT315*'[2]RD Feedstock Breakdown'!$DL$3*'[2]Feedstock Conversion Rates'!$B$6)/12</f>
        <v>10.747916666666669</v>
      </c>
      <c r="DM306" s="45">
        <f>('[2]Renewable Diesel'!$AT315*'[2]RD Feedstock Breakdown'!$DM$3*'[2]Feedstock Conversion Rates'!$B$8)/12</f>
        <v>10.7421875</v>
      </c>
      <c r="DN306" s="47">
        <f t="shared" si="249"/>
        <v>39.26197916666667</v>
      </c>
      <c r="DP306" s="45">
        <f t="shared" si="216"/>
        <v>48.220250000000007</v>
      </c>
      <c r="DQ306" s="45">
        <f t="shared" si="217"/>
        <v>409.11776750000001</v>
      </c>
      <c r="DR306" s="45">
        <f t="shared" si="224"/>
        <v>2041.953125</v>
      </c>
      <c r="DS306" s="45">
        <f t="shared" si="235"/>
        <v>228.90125</v>
      </c>
      <c r="DT306" s="45">
        <f t="shared" si="218"/>
        <v>208.03923333333341</v>
      </c>
      <c r="DU306" s="45">
        <f t="shared" si="219"/>
        <v>242.90610000000004</v>
      </c>
      <c r="DV306" s="45">
        <f t="shared" si="225"/>
        <v>78.75</v>
      </c>
      <c r="DW306" s="45">
        <f t="shared" si="220"/>
        <v>3</v>
      </c>
      <c r="DX306" s="47">
        <f t="shared" si="226"/>
        <v>3260.8877258333337</v>
      </c>
      <c r="DY306" s="50">
        <f t="shared" si="208"/>
        <v>-5.631051180898794E-13</v>
      </c>
      <c r="EA306" s="51">
        <f t="shared" si="263"/>
        <v>1.4787460978184128E-2</v>
      </c>
      <c r="EB306" s="51">
        <f t="shared" si="263"/>
        <v>0.12546208330292888</v>
      </c>
      <c r="EC306" s="51">
        <f t="shared" si="263"/>
        <v>0.62619547089072813</v>
      </c>
      <c r="ED306" s="51">
        <f t="shared" si="261"/>
        <v>7.0195992393912707E-2</v>
      </c>
      <c r="EE306" s="51">
        <f t="shared" si="261"/>
        <v>6.3798342912946532E-2</v>
      </c>
      <c r="EF306" s="51">
        <f t="shared" si="261"/>
        <v>7.4490789141758745E-2</v>
      </c>
      <c r="EG306" s="51">
        <f t="shared" si="261"/>
        <v>2.4149865503227379E-2</v>
      </c>
      <c r="EH306" s="52">
        <f t="shared" si="227"/>
        <v>9.1999487631342389E-4</v>
      </c>
      <c r="EI306" s="51">
        <f t="shared" si="191"/>
        <v>0.99908000512368655</v>
      </c>
      <c r="EK306" s="53">
        <f>(EA306*'[2]Renewable Diesel'!BF315*'[2]Feedstock Conversion Rates'!B$2)+FB306</f>
        <v>61.555600693048135</v>
      </c>
      <c r="EL306" s="53">
        <f>(EB306*'[2]Renewable Diesel'!BF315*'[2]Feedstock Conversion Rates'!B$3)+FC306</f>
        <v>492.15289856712513</v>
      </c>
      <c r="EM306" s="53">
        <f>(EC306*'[2]Renewable Diesel'!BF315*'[2]Feedstock Conversion Rates'!B$4)+FD306</f>
        <v>2299.9914521466017</v>
      </c>
      <c r="EN306" s="53">
        <f>(ED306*'[2]Renewable Diesel'!BF315*'[2]Feedstock Conversion Rates'!B$5)+FE306</f>
        <v>259.54597978748581</v>
      </c>
      <c r="EO306" s="53">
        <f>(EE306*'[2]Renewable Diesel'!BF315*'[2]Feedstock Conversion Rates'!B$6)+FF306</f>
        <v>293.06723937545542</v>
      </c>
      <c r="EP306" s="53">
        <f>(EF306*'[2]Renewable Diesel'!BF315*'[2]Feedstock Conversion Rates'!B$7)+FG306</f>
        <v>335.61814982429388</v>
      </c>
      <c r="EQ306" s="53">
        <f>(EG306*'[2]Renewable Diesel'!BF315*'[2]Feedstock Conversion Rates'!B$8)+FH306</f>
        <v>110.87688830794347</v>
      </c>
      <c r="ER306" s="53">
        <f>(EH306*'[2]Renewable Diesel'!BF315*'[2]Feedstock Conversion Rates'!B$9)+FI306</f>
        <v>4.1675630398922241</v>
      </c>
      <c r="ES306" s="53">
        <f t="shared" si="228"/>
        <v>3856.9757717418456</v>
      </c>
      <c r="ET306" s="36">
        <f>ES306/'[2]Renewable Diesel'!BF315</f>
        <v>7.8757491381518019</v>
      </c>
    </row>
    <row r="307" spans="1:150" x14ac:dyDescent="0.25">
      <c r="A307" s="39">
        <v>49766</v>
      </c>
      <c r="B307" s="45">
        <f t="shared" si="264"/>
        <v>59.25</v>
      </c>
      <c r="C307" s="45">
        <f t="shared" si="251"/>
        <v>49</v>
      </c>
      <c r="D307" s="45">
        <f t="shared" si="265"/>
        <v>2</v>
      </c>
      <c r="E307" s="45">
        <f>('[2]Renewable Diesel'!B316*E$3*'[2]Feedstock Conversion Rates'!$B$2)/12+26+13-100+27.5+39</f>
        <v>95.43</v>
      </c>
      <c r="F307" s="45">
        <f>('[2]Renewable Diesel'!B316*'[2]RD Feedstock Breakdown'!F$3*'[2]Feedstock Conversion Rates'!B$8)/12+77+23-10-12-115.75+24+8</f>
        <v>48.15625</v>
      </c>
      <c r="G307" s="45">
        <f>('[2]Renewable Diesel'!B316*'[2]RD Feedstock Breakdown'!G$3*'[2]Feedstock Conversion Rates'!B$7)/12+116.75-39-57.5-145-31.5+32+70-40+10-35</f>
        <v>56.907000000000039</v>
      </c>
      <c r="H307" s="45">
        <f>('[2]Renewable Diesel'!B316*'[2]RD Feedstock Breakdown'!H$3*'[2]Feedstock Conversion Rates'!B$3)/12+67+10+12+3-235+20+47-20+105</f>
        <v>185.40022499999998</v>
      </c>
      <c r="I307" s="47">
        <f t="shared" si="245"/>
        <v>496.14347500000002</v>
      </c>
      <c r="J307" s="45">
        <f t="shared" si="266"/>
        <v>69</v>
      </c>
      <c r="K307" s="45"/>
      <c r="L307" s="45">
        <v>1</v>
      </c>
      <c r="M307" s="45">
        <f>('[2]Renewable Diesel'!C316*'[2]RD Feedstock Breakdown'!M$3*'[2]Feedstock Conversion Rates'!B$2)/12-55</f>
        <v>-47.20975</v>
      </c>
      <c r="N307" s="45">
        <f>('[2]Renewable Diesel'!C316*'[2]RD Feedstock Breakdown'!N$3*'[2]Feedstock Conversion Rates'!B$8)/12</f>
        <v>3.671875</v>
      </c>
      <c r="O307" s="45">
        <f>('[2]Renewable Diesel'!C316*'[2]RD Feedstock Breakdown'!O$3*'[2]Feedstock Conversion Rates'!B$7)/12-65</f>
        <v>-53.000900000000001</v>
      </c>
      <c r="P307" s="45">
        <f>('[2]Renewable Diesel'!C316*'[2]RD Feedstock Breakdown'!P$3*'[2]Feedstock Conversion Rates'!B$3)/12+15+35</f>
        <v>60.447042500000002</v>
      </c>
      <c r="Q307" s="47">
        <f t="shared" si="252"/>
        <v>33.908267500000001</v>
      </c>
      <c r="R307" s="45">
        <f>('[2]Renewable Diesel'!D316*'[2]RD Feedstock Breakdown'!R$3*'[2]Feedstock Conversion Rates'!B$7)/12</f>
        <v>2.2999999999999998</v>
      </c>
      <c r="S307" s="47">
        <f t="shared" si="203"/>
        <v>2.2999999999999998</v>
      </c>
      <c r="T307" s="45">
        <f t="shared" si="253"/>
        <v>0.82499999999999929</v>
      </c>
      <c r="U307" s="45"/>
      <c r="V307" s="45">
        <f>('[2]Renewable Diesel'!E316*'[2]RD Feedstock Breakdown'!V$3*'[2]Feedstock Conversion Rates'!B$6)/12-20+25</f>
        <v>49.250150000000012</v>
      </c>
      <c r="W307" s="45">
        <f>('[2]Renewable Diesel'!E316*'[2]RD Feedstock Breakdown'!W$3*'[2]Feedstock Conversion Rates'!B$8)/12-6</f>
        <v>16.1796875</v>
      </c>
      <c r="X307" s="47">
        <f t="shared" si="229"/>
        <v>66.254837500000008</v>
      </c>
      <c r="Y307" s="45">
        <f t="shared" si="254"/>
        <v>98</v>
      </c>
      <c r="Z307" s="45">
        <f>('[2]Renewable Diesel'!F316*'[2]RD Feedstock Breakdown'!Z$3*'[2]Feedstock Conversion Rates'!B$6)/12-142+15+10</f>
        <v>42.460000000000008</v>
      </c>
      <c r="AA307" s="45">
        <f>('[2]Renewable Diesel'!F316*'[2]RD Feedstock Breakdown'!AA$3*'[2]Feedstock Conversion Rates'!B$7)/12+24</f>
        <v>128.26666666666665</v>
      </c>
      <c r="AB307" s="47">
        <f t="shared" ref="AB307:AB370" si="270">SUM(Y307:AA307)</f>
        <v>268.72666666666669</v>
      </c>
      <c r="AC307" s="45">
        <f>('[2]Renewable Diesel'!G316*'[2]RD Feedstock Breakdown'!AC$3*'[2]Feedstock Conversion Rates'!B$5)/12</f>
        <v>11.796875</v>
      </c>
      <c r="AD307" s="45">
        <f>('[2]Renewable Diesel'!G316*'[2]RD Feedstock Breakdown'!AD$3*'[2]Feedstock Conversion Rates'!B$4)/12</f>
        <v>5.859375</v>
      </c>
      <c r="AE307" s="45">
        <f>('[2]Renewable Diesel'!G316*'[2]RD Feedstock Breakdown'!AE$3*'[2]Feedstock Conversion Rates'!B$6)/12</f>
        <v>7.3281250000000009</v>
      </c>
      <c r="AF307" s="47">
        <f t="shared" si="236"/>
        <v>24.984375</v>
      </c>
      <c r="AG307" s="45">
        <f t="shared" si="259"/>
        <v>148</v>
      </c>
      <c r="AH307" s="45"/>
      <c r="AI307" s="45">
        <f>('[2]Renewable Diesel'!H316*'[2]RD Feedstock Breakdown'!AI$3*'[2]Feedstock Conversion Rates'!B$6)/12-130-20+51-49</f>
        <v>0.51666666666667993</v>
      </c>
      <c r="AJ307" s="47">
        <f t="shared" si="202"/>
        <v>148.51666666666668</v>
      </c>
      <c r="AK307" s="45">
        <f>('[2]Renewable Diesel'!J316*'[2]RD Feedstock Breakdown'!AK$3*'[2]Feedstock Conversion Rates'!B$4)/12</f>
        <v>95.8125</v>
      </c>
      <c r="AL307" s="47">
        <f t="shared" si="205"/>
        <v>95.8125</v>
      </c>
      <c r="AM307" s="45">
        <f>('[2]Renewable Diesel'!K316*'[2]RD Feedstock Breakdown'!AM$3*'[2]Feedstock Conversion Rates'!B$4)/12+5+15-10+10</f>
        <v>78.59375</v>
      </c>
      <c r="AN307" s="45">
        <f>('[2]Renewable Diesel'!K316*'[2]RD Feedstock Breakdown'!AN$3*'[2]Feedstock Conversion Rates'!B$6)/12-5-15+10-10</f>
        <v>4.4270833333333321</v>
      </c>
      <c r="AO307" s="47">
        <f t="shared" si="223"/>
        <v>83.020833333333329</v>
      </c>
      <c r="AP307" s="45">
        <f>('[2]Renewable Diesel'!L316*'[2]RD Feedstock Breakdown'!AP$3*'[2]Feedstock Conversion Rates'!B$4)/12+15-10+15</f>
        <v>78.59375</v>
      </c>
      <c r="AQ307" s="45">
        <f>('[2]Renewable Diesel'!L316*'[2]RD Feedstock Breakdown'!AQ$3*'[2]Feedstock Conversion Rates'!B$6)/12-15+10-15</f>
        <v>4.4270833333333321</v>
      </c>
      <c r="AR307" s="47">
        <f t="shared" si="207"/>
        <v>83.020833333333329</v>
      </c>
      <c r="AS307" s="45">
        <f>('[2]Renewable Diesel'!M316*'[2]RD Feedstock Breakdown'!AS$3*'[2]Feedstock Conversion Rates'!B$4)/12</f>
        <v>456.25</v>
      </c>
      <c r="AT307" s="45">
        <f>('[2]Renewable Diesel'!M316*'[2]RD Feedstock Breakdown'!AT$3*'[2]Feedstock Conversion Rates'!B$5)/12</f>
        <v>0</v>
      </c>
      <c r="AU307" s="47">
        <f t="shared" si="244"/>
        <v>456.25</v>
      </c>
      <c r="AV307" s="45">
        <f>'[2]Renewable Diesel'!N316*'[2]RD Feedstock Breakdown'!$AV$3*'[2]Feedstock Conversion Rates'!$B$4/12-15-10+25+25-22+25</f>
        <v>106.74999999999999</v>
      </c>
      <c r="AW307" s="45">
        <f>'[2]Renewable Diesel'!N316*'[2]RD Feedstock Breakdown'!$AW$3*'[2]Feedstock Conversion Rates'!$B$7/12+15+10-25-25+22-25</f>
        <v>13.400000000000006</v>
      </c>
      <c r="AX307" s="47">
        <f t="shared" si="193"/>
        <v>120.14999999999999</v>
      </c>
      <c r="AY307" s="45">
        <f>('[2]Renewable Diesel'!O316*'[2]RD Feedstock Breakdown'!AY$3*'[2]Feedstock Conversion Rates'!B$4)/12</f>
        <v>210.9375</v>
      </c>
      <c r="AZ307" s="45">
        <f>('[2]Renewable Diesel'!O316*'[2]RD Feedstock Breakdown'!AZ$3*'[2]Feedstock Conversion Rates'!B$3)/12</f>
        <v>25.03125</v>
      </c>
      <c r="BA307" s="47">
        <f t="shared" si="255"/>
        <v>235.96875</v>
      </c>
      <c r="BB307" s="45">
        <f>('[2]Renewable Diesel'!Q316*'[2]RD Feedstock Breakdown'!BB$3*'[2]Feedstock Conversion Rates'!B$4)/12</f>
        <v>11.156249999999998</v>
      </c>
      <c r="BC307" s="45">
        <f>('[2]Renewable Diesel'!Q316*'[2]RD Feedstock Breakdown'!BC$3*'[2]Feedstock Conversion Rates'!B$3)/12</f>
        <v>1.4017500000000001</v>
      </c>
      <c r="BD307" s="45">
        <f>('[2]Renewable Diesel'!Q316*'[2]RD Feedstock Breakdown'!BD$3*'[2]Feedstock Conversion Rates'!B$6)/12</f>
        <v>0.8207500000000002</v>
      </c>
      <c r="BE307" s="47">
        <f t="shared" si="231"/>
        <v>13.378749999999998</v>
      </c>
      <c r="BF307" s="45">
        <f>('[2]Renewable Diesel'!R316*'[2]RD Feedstock Breakdown'!BF$3*'[2]Feedstock Conversion Rates'!B$4)/12</f>
        <v>62.5</v>
      </c>
      <c r="BG307" s="47">
        <f t="shared" si="215"/>
        <v>62.5</v>
      </c>
      <c r="BH307" s="45">
        <f>('[2]Renewable Diesel'!T316*'[2]RD Feedstock Breakdown'!BH$3*'[2]Feedstock Conversion Rates'!B$7)/12</f>
        <v>27.599999999999998</v>
      </c>
      <c r="BI307" s="47">
        <f t="shared" si="195"/>
        <v>27.599999999999998</v>
      </c>
      <c r="BJ307" s="45">
        <f>('[2]Renewable Diesel'!W316*'[2]RD Feedstock Breakdown'!BJ$3*'[2]Feedstock Conversion Rates'!B$4)/12</f>
        <v>7.5</v>
      </c>
      <c r="BK307" s="45">
        <f>('[2]Renewable Diesel'!W316*'[2]RD Feedstock Breakdown'!BK$3*'[2]Feedstock Conversion Rates'!B$3)/12</f>
        <v>1.335</v>
      </c>
      <c r="BL307" s="45">
        <f>('[2]Renewable Diesel'!W316*'[2]RD Feedstock Breakdown'!BL$3*'[2]Feedstock Conversion Rates'!B$6)/12</f>
        <v>3.1266666666666669</v>
      </c>
      <c r="BM307" s="45">
        <f>('[2]Renewable Diesel'!W316*'[2]RD Feedstock Breakdown'!BM$3*'[2]Feedstock Conversion Rates'!B$7)/12</f>
        <v>1.5333333333333332</v>
      </c>
      <c r="BN307" s="47">
        <f t="shared" si="248"/>
        <v>13.495000000000001</v>
      </c>
      <c r="BO307" s="45">
        <f>('[2]Renewable Diesel'!P316*'[2]Feedstock Conversion Rates'!B$4)/12</f>
        <v>31.25</v>
      </c>
      <c r="BP307" s="47">
        <f t="shared" si="237"/>
        <v>31.25</v>
      </c>
      <c r="BQ307" s="45">
        <f>('[2]Renewable Diesel'!$S316*'[2]RD Feedstock Breakdown'!BQ$3*'[2]Feedstock Conversion Rates'!B$4)/12+10+15-15</f>
        <v>38.125</v>
      </c>
      <c r="BR307" s="45">
        <f>('[2]Renewable Diesel'!$S316*'[2]RD Feedstock Breakdown'!BR$3*'[2]Feedstock Conversion Rates'!B$7)/12-10-15+15</f>
        <v>1.5</v>
      </c>
      <c r="BS307" s="47">
        <f t="shared" si="260"/>
        <v>39.625</v>
      </c>
      <c r="BT307" s="47"/>
      <c r="BU307" s="45">
        <f>('[2]Renewable Diesel'!Y316*'[2]Feedstock Conversion Rates'!B$7)/12</f>
        <v>2.6833333333333331</v>
      </c>
      <c r="BV307" s="47">
        <f t="shared" si="233"/>
        <v>2.6833333333333331</v>
      </c>
      <c r="BW307" s="45">
        <f>('[2]Renewable Diesel'!$Z316*'[2]RD Feedstock Breakdown'!BW$3*'[2]Feedstock Conversion Rates'!$B$4)/12</f>
        <v>71.875</v>
      </c>
      <c r="BX307" s="45">
        <f>('[2]Renewable Diesel'!$Z316*'[2]RD Feedstock Breakdown'!BX$3*'[2]Feedstock Conversion Rates'!$B$5)/12</f>
        <v>7.2354166666666666</v>
      </c>
      <c r="BY307" s="45">
        <f>('[2]Renewable Diesel'!$Z316*'[2]RD Feedstock Breakdown'!BY$3*'[2]Feedstock Conversion Rates'!$B$7)/12</f>
        <v>61.716666666666661</v>
      </c>
      <c r="BZ307" s="45">
        <f>('[2]Renewable Diesel'!$Z316*'[2]RD Feedstock Breakdown'!BZ$3*'[2]Feedstock Conversion Rates'!$B$3)/12</f>
        <v>15.352499999999999</v>
      </c>
      <c r="CA307" s="47">
        <f t="shared" si="262"/>
        <v>156.17958333333331</v>
      </c>
      <c r="CB307" s="45">
        <f>('[2]Renewable Diesel'!AA316*'[2]Feedstock Conversion Rates'!B$4)/12</f>
        <v>191.25</v>
      </c>
      <c r="CC307" s="47">
        <f t="shared" si="250"/>
        <v>191.25</v>
      </c>
      <c r="CD307" s="45">
        <f>('[2]Renewable Diesel'!$AB316*'[2]RD Feedstock Breakdown'!CD$3*'[2]Feedstock Conversion Rates'!$B$6)/12-15-5</f>
        <v>12.830000000000005</v>
      </c>
      <c r="CE307" s="45">
        <f>('[2]Renewable Diesel'!$AB316*'[2]RD Feedstock Breakdown'!CE$3*'[2]Feedstock Conversion Rates'!$B$4)/12+15+5</f>
        <v>31.25</v>
      </c>
      <c r="CF307" s="47">
        <f t="shared" si="247"/>
        <v>44.080000000000005</v>
      </c>
      <c r="CG307" s="45">
        <f>('[2]Renewable Diesel'!AD316*'[2]Feedstock Conversion Rates'!B$4)/12</f>
        <v>112.5</v>
      </c>
      <c r="CH307" s="47">
        <f t="shared" si="230"/>
        <v>112.5</v>
      </c>
      <c r="CI307" s="45">
        <f>('[2]Renewable Diesel'!$AE316*'[2]RD Feedstock Breakdown'!CI$3*'[2]Feedstock Conversion Rates'!$B$5)/12</f>
        <v>0.34604166666666664</v>
      </c>
      <c r="CJ307" s="45">
        <f>('[2]Renewable Diesel'!$AE316*'[2]RD Feedstock Breakdown'!CJ$3*'[2]Feedstock Conversion Rates'!$B$4)/12</f>
        <v>0.34375</v>
      </c>
      <c r="CK307" s="47">
        <f t="shared" si="238"/>
        <v>0.68979166666666658</v>
      </c>
      <c r="CL307" s="45">
        <f>(((CL$3*'[2]Renewable Diesel'!$AF316)*'[2]Feedstock Conversion Rates'!$B$3)/12)</f>
        <v>91.78125</v>
      </c>
      <c r="CM307" s="45">
        <f>(((CM$3*'[2]Renewable Diesel'!$AF316)*'[2]Feedstock Conversion Rates'!$B$6)/12)</f>
        <v>53.739583333333336</v>
      </c>
      <c r="CN307" s="45">
        <f>(((CN$3*'[2]Renewable Diesel'!$AF316)*'[2]Feedstock Conversion Rates'!$B$4)/12)</f>
        <v>42.96875</v>
      </c>
      <c r="CO307" s="47">
        <f t="shared" si="232"/>
        <v>188.48958333333334</v>
      </c>
      <c r="CP307" s="45">
        <f>('[2]Renewable Diesel'!$AG316*'[2]RD Feedstock Breakdown'!CP$3*'[2]Feedstock Conversion Rates'!$B$3)/12</f>
        <v>6.0075000000000003</v>
      </c>
      <c r="CQ307" s="45">
        <f>('[2]Renewable Diesel'!$AG316*'[2]RD Feedstock Breakdown'!CQ$3*'[2]Feedstock Conversion Rates'!$B$6)/12</f>
        <v>3.5175000000000001</v>
      </c>
      <c r="CR307" s="45">
        <f>('[2]Renewable Diesel'!$AG316*'[2]RD Feedstock Breakdown'!CR$3*'[2]Feedstock Conversion Rates'!$B$4)/12</f>
        <v>2.8125</v>
      </c>
      <c r="CS307" s="47">
        <f t="shared" si="267"/>
        <v>12.3375</v>
      </c>
      <c r="CT307" s="45">
        <f>('[2]Renewable Diesel'!AI316*'[2]Feedstock Conversion Rates'!$B$4*'[2]RD Feedstock Breakdown'!$CT$3)/12</f>
        <v>29.375</v>
      </c>
      <c r="CU307" s="47">
        <f t="shared" si="234"/>
        <v>29.375</v>
      </c>
      <c r="CV307" s="45">
        <f>('[2]Renewable Diesel'!AN316*'[2]Feedstock Conversion Rates'!$B$3*'[2]RD Feedstock Breakdown'!$CV$3)/12</f>
        <v>0.50062499999999999</v>
      </c>
      <c r="CW307" s="47">
        <f t="shared" si="206"/>
        <v>0.50062499999999999</v>
      </c>
      <c r="CX307" s="45">
        <f>('[2]Renewable Diesel'!AO316*'[2]RD Feedstock Breakdown'!$CX$3*'[2]Feedstock Conversion Rates'!$B$3)/12</f>
        <v>6.3412499999999996</v>
      </c>
      <c r="CY307" s="45">
        <f>('[2]Renewable Diesel'!AO316*'[2]RD Feedstock Breakdown'!$CY$3*'[2]Feedstock Conversion Rates'!$B$6)/12</f>
        <v>7.4258333333333342</v>
      </c>
      <c r="CZ307" s="47">
        <f t="shared" si="268"/>
        <v>13.767083333333334</v>
      </c>
      <c r="DA307" s="45">
        <f>('[2]Renewable Diesel'!$AP316*'[2]RD Feedstock Breakdown'!DA$3*'[2]Feedstock Conversion Rates'!$B$3)/12</f>
        <v>6.3412499999999996</v>
      </c>
      <c r="DB307" s="45">
        <f>('[2]Renewable Diesel'!$AP316*'[2]RD Feedstock Breakdown'!DB$3*'[2]Feedstock Conversion Rates'!$B$8)/12</f>
        <v>7.421875</v>
      </c>
      <c r="DC307" s="47">
        <f t="shared" si="212"/>
        <v>13.763124999999999</v>
      </c>
      <c r="DD307" s="45">
        <f>('[2]Renewable Diesel'!AQ316*$DD$3*'[2]Feedstock Conversion Rates'!$B$14)/12</f>
        <v>3.1041666666666665</v>
      </c>
      <c r="DE307" s="47">
        <f t="shared" si="213"/>
        <v>3.1041666666666665</v>
      </c>
      <c r="DF307" s="45">
        <f>('[2]Renewable Diesel'!AR316*'[2]Feedstock Conversion Rates'!$B$4*$DF$3)/12</f>
        <v>75</v>
      </c>
      <c r="DG307" s="47">
        <f t="shared" si="269"/>
        <v>75</v>
      </c>
      <c r="DH307" s="45">
        <f>('[2]Renewable Diesel'!AS316*'[2]Feedstock Conversion Rates'!$B$4*$DH$3)/12</f>
        <v>75</v>
      </c>
      <c r="DI307" s="47">
        <f t="shared" si="194"/>
        <v>75</v>
      </c>
      <c r="DJ307" s="45">
        <f>('[2]Renewable Diesel'!AT316*'[2]Feedstock Conversion Rates'!$B$4*0.25)/12</f>
        <v>8.59375</v>
      </c>
      <c r="DK307" s="45">
        <f>('[2]Renewable Diesel'!$AT316*'[2]RD Feedstock Breakdown'!DK$3*'[2]Feedstock Conversion Rates'!$B$3)/12*0.5</f>
        <v>9.1781249999999996</v>
      </c>
      <c r="DL307" s="45">
        <f>('[2]Renewable Diesel'!$AT316*'[2]RD Feedstock Breakdown'!$DL$3*'[2]Feedstock Conversion Rates'!$B$6)/12</f>
        <v>10.747916666666669</v>
      </c>
      <c r="DM307" s="45">
        <f>('[2]Renewable Diesel'!$AT316*'[2]RD Feedstock Breakdown'!$DM$3*'[2]Feedstock Conversion Rates'!$B$8)/12</f>
        <v>10.7421875</v>
      </c>
      <c r="DN307" s="47">
        <f t="shared" si="249"/>
        <v>39.26197916666667</v>
      </c>
      <c r="DP307" s="45">
        <f t="shared" si="216"/>
        <v>48.220250000000007</v>
      </c>
      <c r="DQ307" s="45">
        <f t="shared" si="217"/>
        <v>409.11776750000001</v>
      </c>
      <c r="DR307" s="45">
        <f t="shared" si="224"/>
        <v>2041.953125</v>
      </c>
      <c r="DS307" s="45">
        <f t="shared" si="235"/>
        <v>228.90125</v>
      </c>
      <c r="DT307" s="45">
        <f t="shared" si="218"/>
        <v>208.03923333333341</v>
      </c>
      <c r="DU307" s="45">
        <f t="shared" si="219"/>
        <v>242.90610000000004</v>
      </c>
      <c r="DV307" s="45">
        <f t="shared" si="225"/>
        <v>78.75</v>
      </c>
      <c r="DW307" s="45">
        <f t="shared" si="220"/>
        <v>3</v>
      </c>
      <c r="DX307" s="47">
        <f t="shared" si="226"/>
        <v>3260.8877258333337</v>
      </c>
      <c r="DY307" s="50">
        <f t="shared" si="208"/>
        <v>-5.631051180898794E-13</v>
      </c>
      <c r="EA307" s="51">
        <f t="shared" si="263"/>
        <v>1.4787460978184128E-2</v>
      </c>
      <c r="EB307" s="51">
        <f t="shared" si="263"/>
        <v>0.12546208330292888</v>
      </c>
      <c r="EC307" s="51">
        <f t="shared" si="263"/>
        <v>0.62619547089072813</v>
      </c>
      <c r="ED307" s="51">
        <f t="shared" si="261"/>
        <v>7.0195992393912707E-2</v>
      </c>
      <c r="EE307" s="51">
        <f t="shared" si="261"/>
        <v>6.3798342912946532E-2</v>
      </c>
      <c r="EF307" s="51">
        <f t="shared" si="261"/>
        <v>7.4490789141758745E-2</v>
      </c>
      <c r="EG307" s="51">
        <f t="shared" si="261"/>
        <v>2.4149865503227379E-2</v>
      </c>
      <c r="EH307" s="52">
        <f t="shared" si="227"/>
        <v>9.1999487631342389E-4</v>
      </c>
      <c r="EI307" s="51">
        <f t="shared" si="191"/>
        <v>0.99908000512368655</v>
      </c>
      <c r="EK307" s="53">
        <f>(EA307*'[2]Renewable Diesel'!BF316*'[2]Feedstock Conversion Rates'!B$2)+FB307</f>
        <v>72.693471782465409</v>
      </c>
      <c r="EL307" s="53">
        <f>(EB307*'[2]Renewable Diesel'!BF316*'[2]Feedstock Conversion Rates'!B$3)+FC307</f>
        <v>581.20304963067838</v>
      </c>
      <c r="EM307" s="53">
        <f>(EC307*'[2]Renewable Diesel'!BF316*'[2]Feedstock Conversion Rates'!B$4)+FD307</f>
        <v>2716.1519316537665</v>
      </c>
      <c r="EN307" s="53">
        <f>(ED307*'[2]Renewable Diesel'!BF316*'[2]Feedstock Conversion Rates'!B$5)+FE307</f>
        <v>306.50823232181926</v>
      </c>
      <c r="EO307" s="53">
        <f>(EE307*'[2]Renewable Diesel'!BF316*'[2]Feedstock Conversion Rates'!B$6)+FF307</f>
        <v>346.09482900084362</v>
      </c>
      <c r="EP307" s="53">
        <f>(EF307*'[2]Renewable Diesel'!BF316*'[2]Feedstock Conversion Rates'!B$7)+FG307</f>
        <v>396.34490167018856</v>
      </c>
      <c r="EQ307" s="53">
        <f>(EG307*'[2]Renewable Diesel'!BF316*'[2]Feedstock Conversion Rates'!B$8)+FH307</f>
        <v>130.93895373928709</v>
      </c>
      <c r="ER307" s="53">
        <f>(EH307*'[2]Renewable Diesel'!BF316*'[2]Feedstock Conversion Rates'!B$9)+FI307</f>
        <v>4.9216419437243131</v>
      </c>
      <c r="ES307" s="53">
        <f t="shared" si="228"/>
        <v>4554.8570117427735</v>
      </c>
      <c r="ET307" s="36">
        <f>ES307/'[2]Renewable Diesel'!BF316</f>
        <v>7.8757491381518028</v>
      </c>
    </row>
    <row r="308" spans="1:150" x14ac:dyDescent="0.25">
      <c r="A308" s="39">
        <v>49796</v>
      </c>
      <c r="B308" s="45">
        <f t="shared" si="264"/>
        <v>59.25</v>
      </c>
      <c r="C308" s="45">
        <f t="shared" si="251"/>
        <v>49</v>
      </c>
      <c r="D308" s="45">
        <f t="shared" si="265"/>
        <v>2</v>
      </c>
      <c r="E308" s="45">
        <f>('[2]Renewable Diesel'!B317*E$3*'[2]Feedstock Conversion Rates'!$B$2)/12+26+13-100+27.5+39</f>
        <v>95.43</v>
      </c>
      <c r="F308" s="45">
        <f>('[2]Renewable Diesel'!B317*'[2]RD Feedstock Breakdown'!F$3*'[2]Feedstock Conversion Rates'!B$8)/12+77+23-10-12-115.75+24+8</f>
        <v>48.15625</v>
      </c>
      <c r="G308" s="45">
        <f>('[2]Renewable Diesel'!B317*'[2]RD Feedstock Breakdown'!G$3*'[2]Feedstock Conversion Rates'!B$7)/12+116.75-39-57.5-145-31.5+32+70-40+10-35</f>
        <v>56.907000000000039</v>
      </c>
      <c r="H308" s="45">
        <f>('[2]Renewable Diesel'!B317*'[2]RD Feedstock Breakdown'!H$3*'[2]Feedstock Conversion Rates'!B$3)/12+67+10+12+3-235+20+47-20+105</f>
        <v>185.40022499999998</v>
      </c>
      <c r="I308" s="47">
        <f t="shared" si="245"/>
        <v>496.14347500000002</v>
      </c>
      <c r="J308" s="45">
        <f t="shared" si="266"/>
        <v>69</v>
      </c>
      <c r="K308" s="45"/>
      <c r="L308" s="45">
        <v>1</v>
      </c>
      <c r="M308" s="45">
        <f>('[2]Renewable Diesel'!C317*'[2]RD Feedstock Breakdown'!M$3*'[2]Feedstock Conversion Rates'!B$2)/12-55</f>
        <v>-47.20975</v>
      </c>
      <c r="N308" s="45">
        <f>('[2]Renewable Diesel'!C317*'[2]RD Feedstock Breakdown'!N$3*'[2]Feedstock Conversion Rates'!B$8)/12</f>
        <v>3.671875</v>
      </c>
      <c r="O308" s="45">
        <f>('[2]Renewable Diesel'!C317*'[2]RD Feedstock Breakdown'!O$3*'[2]Feedstock Conversion Rates'!B$7)/12-65</f>
        <v>-53.000900000000001</v>
      </c>
      <c r="P308" s="45">
        <f>('[2]Renewable Diesel'!C317*'[2]RD Feedstock Breakdown'!P$3*'[2]Feedstock Conversion Rates'!B$3)/12+15+35</f>
        <v>60.447042500000002</v>
      </c>
      <c r="Q308" s="47">
        <f t="shared" si="252"/>
        <v>33.908267500000001</v>
      </c>
      <c r="R308" s="45">
        <f>('[2]Renewable Diesel'!D317*'[2]RD Feedstock Breakdown'!R$3*'[2]Feedstock Conversion Rates'!B$7)/12</f>
        <v>2.2999999999999998</v>
      </c>
      <c r="S308" s="47">
        <f t="shared" si="203"/>
        <v>2.2999999999999998</v>
      </c>
      <c r="T308" s="45">
        <f t="shared" si="253"/>
        <v>0.82499999999999929</v>
      </c>
      <c r="U308" s="45"/>
      <c r="V308" s="45">
        <f>('[2]Renewable Diesel'!E317*'[2]RD Feedstock Breakdown'!V$3*'[2]Feedstock Conversion Rates'!B$6)/12-20+25</f>
        <v>49.250150000000012</v>
      </c>
      <c r="W308" s="45">
        <f>('[2]Renewable Diesel'!E317*'[2]RD Feedstock Breakdown'!W$3*'[2]Feedstock Conversion Rates'!B$8)/12-6</f>
        <v>16.1796875</v>
      </c>
      <c r="X308" s="47">
        <f t="shared" si="229"/>
        <v>66.254837500000008</v>
      </c>
      <c r="Y308" s="45">
        <f t="shared" si="254"/>
        <v>98</v>
      </c>
      <c r="Z308" s="45">
        <f>('[2]Renewable Diesel'!F317*'[2]RD Feedstock Breakdown'!Z$3*'[2]Feedstock Conversion Rates'!B$6)/12-142+15+10</f>
        <v>42.460000000000008</v>
      </c>
      <c r="AA308" s="45">
        <f>('[2]Renewable Diesel'!F317*'[2]RD Feedstock Breakdown'!AA$3*'[2]Feedstock Conversion Rates'!B$7)/12+24</f>
        <v>128.26666666666665</v>
      </c>
      <c r="AB308" s="47">
        <f t="shared" si="270"/>
        <v>268.72666666666669</v>
      </c>
      <c r="AC308" s="45">
        <f>('[2]Renewable Diesel'!G317*'[2]RD Feedstock Breakdown'!AC$3*'[2]Feedstock Conversion Rates'!B$5)/12</f>
        <v>11.796875</v>
      </c>
      <c r="AD308" s="45">
        <f>('[2]Renewable Diesel'!G317*'[2]RD Feedstock Breakdown'!AD$3*'[2]Feedstock Conversion Rates'!B$4)/12</f>
        <v>5.859375</v>
      </c>
      <c r="AE308" s="45">
        <f>('[2]Renewable Diesel'!G317*'[2]RD Feedstock Breakdown'!AE$3*'[2]Feedstock Conversion Rates'!B$6)/12</f>
        <v>7.3281250000000009</v>
      </c>
      <c r="AF308" s="47">
        <f t="shared" si="236"/>
        <v>24.984375</v>
      </c>
      <c r="AG308" s="45">
        <f t="shared" si="259"/>
        <v>148</v>
      </c>
      <c r="AH308" s="45"/>
      <c r="AI308" s="45">
        <f>('[2]Renewable Diesel'!H317*'[2]RD Feedstock Breakdown'!AI$3*'[2]Feedstock Conversion Rates'!B$6)/12-130-20+51-49</f>
        <v>0.51666666666667993</v>
      </c>
      <c r="AJ308" s="47">
        <f t="shared" si="202"/>
        <v>148.51666666666668</v>
      </c>
      <c r="AK308" s="45">
        <f>('[2]Renewable Diesel'!J317*'[2]RD Feedstock Breakdown'!AK$3*'[2]Feedstock Conversion Rates'!B$4)/12</f>
        <v>95.8125</v>
      </c>
      <c r="AL308" s="47">
        <f t="shared" si="205"/>
        <v>95.8125</v>
      </c>
      <c r="AM308" s="45">
        <f>('[2]Renewable Diesel'!K317*'[2]RD Feedstock Breakdown'!AM$3*'[2]Feedstock Conversion Rates'!B$4)/12+5+15-10+10</f>
        <v>78.59375</v>
      </c>
      <c r="AN308" s="45">
        <f>('[2]Renewable Diesel'!K317*'[2]RD Feedstock Breakdown'!AN$3*'[2]Feedstock Conversion Rates'!B$6)/12-5-15+10-10</f>
        <v>4.4270833333333321</v>
      </c>
      <c r="AO308" s="47">
        <f t="shared" si="223"/>
        <v>83.020833333333329</v>
      </c>
      <c r="AP308" s="45">
        <f>('[2]Renewable Diesel'!L317*'[2]RD Feedstock Breakdown'!AP$3*'[2]Feedstock Conversion Rates'!B$4)/12+15-10+15</f>
        <v>78.59375</v>
      </c>
      <c r="AQ308" s="45">
        <f>('[2]Renewable Diesel'!L317*'[2]RD Feedstock Breakdown'!AQ$3*'[2]Feedstock Conversion Rates'!B$6)/12-15+10-15</f>
        <v>4.4270833333333321</v>
      </c>
      <c r="AR308" s="47">
        <f t="shared" si="207"/>
        <v>83.020833333333329</v>
      </c>
      <c r="AS308" s="45">
        <f>('[2]Renewable Diesel'!M317*'[2]RD Feedstock Breakdown'!AS$3*'[2]Feedstock Conversion Rates'!B$4)/12</f>
        <v>456.25</v>
      </c>
      <c r="AT308" s="45">
        <f>('[2]Renewable Diesel'!M317*'[2]RD Feedstock Breakdown'!AT$3*'[2]Feedstock Conversion Rates'!B$5)/12</f>
        <v>0</v>
      </c>
      <c r="AU308" s="47">
        <f t="shared" si="244"/>
        <v>456.25</v>
      </c>
      <c r="AV308" s="45">
        <f>'[2]Renewable Diesel'!N317*'[2]RD Feedstock Breakdown'!$AV$3*'[2]Feedstock Conversion Rates'!$B$4/12-15-10+25+25-22+25</f>
        <v>106.74999999999999</v>
      </c>
      <c r="AW308" s="45">
        <f>'[2]Renewable Diesel'!N317*'[2]RD Feedstock Breakdown'!$AW$3*'[2]Feedstock Conversion Rates'!$B$7/12+15+10-25-25+22-25</f>
        <v>13.400000000000006</v>
      </c>
      <c r="AX308" s="47">
        <f t="shared" si="193"/>
        <v>120.14999999999999</v>
      </c>
      <c r="AY308" s="45">
        <f>('[2]Renewable Diesel'!O317*'[2]RD Feedstock Breakdown'!AY$3*'[2]Feedstock Conversion Rates'!B$4)/12</f>
        <v>210.9375</v>
      </c>
      <c r="AZ308" s="45">
        <f>('[2]Renewable Diesel'!O317*'[2]RD Feedstock Breakdown'!AZ$3*'[2]Feedstock Conversion Rates'!B$3)/12</f>
        <v>25.03125</v>
      </c>
      <c r="BA308" s="47">
        <f t="shared" si="255"/>
        <v>235.96875</v>
      </c>
      <c r="BB308" s="45">
        <f>('[2]Renewable Diesel'!Q317*'[2]RD Feedstock Breakdown'!BB$3*'[2]Feedstock Conversion Rates'!B$4)/12</f>
        <v>11.156249999999998</v>
      </c>
      <c r="BC308" s="45">
        <f>('[2]Renewable Diesel'!Q317*'[2]RD Feedstock Breakdown'!BC$3*'[2]Feedstock Conversion Rates'!B$3)/12</f>
        <v>1.4017500000000001</v>
      </c>
      <c r="BD308" s="45">
        <f>('[2]Renewable Diesel'!Q317*'[2]RD Feedstock Breakdown'!BD$3*'[2]Feedstock Conversion Rates'!B$6)/12</f>
        <v>0.8207500000000002</v>
      </c>
      <c r="BE308" s="47">
        <f t="shared" si="231"/>
        <v>13.378749999999998</v>
      </c>
      <c r="BF308" s="45">
        <f>('[2]Renewable Diesel'!R317*'[2]RD Feedstock Breakdown'!BF$3*'[2]Feedstock Conversion Rates'!B$4)/12</f>
        <v>62.5</v>
      </c>
      <c r="BG308" s="47">
        <f t="shared" si="215"/>
        <v>62.5</v>
      </c>
      <c r="BH308" s="45">
        <f>('[2]Renewable Diesel'!T317*'[2]RD Feedstock Breakdown'!BH$3*'[2]Feedstock Conversion Rates'!B$7)/12</f>
        <v>27.599999999999998</v>
      </c>
      <c r="BI308" s="47">
        <f t="shared" si="195"/>
        <v>27.599999999999998</v>
      </c>
      <c r="BJ308" s="45">
        <f>('[2]Renewable Diesel'!W317*'[2]RD Feedstock Breakdown'!BJ$3*'[2]Feedstock Conversion Rates'!B$4)/12</f>
        <v>7.5</v>
      </c>
      <c r="BK308" s="45">
        <f>('[2]Renewable Diesel'!W317*'[2]RD Feedstock Breakdown'!BK$3*'[2]Feedstock Conversion Rates'!B$3)/12</f>
        <v>1.335</v>
      </c>
      <c r="BL308" s="45">
        <f>('[2]Renewable Diesel'!W317*'[2]RD Feedstock Breakdown'!BL$3*'[2]Feedstock Conversion Rates'!B$6)/12</f>
        <v>3.1266666666666669</v>
      </c>
      <c r="BM308" s="45">
        <f>('[2]Renewable Diesel'!W317*'[2]RD Feedstock Breakdown'!BM$3*'[2]Feedstock Conversion Rates'!B$7)/12</f>
        <v>1.5333333333333332</v>
      </c>
      <c r="BN308" s="47">
        <f t="shared" si="248"/>
        <v>13.495000000000001</v>
      </c>
      <c r="BO308" s="45">
        <f>('[2]Renewable Diesel'!P317*'[2]Feedstock Conversion Rates'!B$4)/12</f>
        <v>31.25</v>
      </c>
      <c r="BP308" s="47">
        <f t="shared" si="237"/>
        <v>31.25</v>
      </c>
      <c r="BQ308" s="45">
        <f>('[2]Renewable Diesel'!$S317*'[2]RD Feedstock Breakdown'!BQ$3*'[2]Feedstock Conversion Rates'!B$4)/12+10+15-15</f>
        <v>38.125</v>
      </c>
      <c r="BR308" s="45">
        <f>('[2]Renewable Diesel'!$S317*'[2]RD Feedstock Breakdown'!BR$3*'[2]Feedstock Conversion Rates'!B$7)/12-10-15+15</f>
        <v>1.5</v>
      </c>
      <c r="BS308" s="47">
        <f t="shared" si="260"/>
        <v>39.625</v>
      </c>
      <c r="BT308" s="47"/>
      <c r="BU308" s="45">
        <f>('[2]Renewable Diesel'!Y317*'[2]Feedstock Conversion Rates'!B$7)/12</f>
        <v>2.6833333333333331</v>
      </c>
      <c r="BV308" s="47">
        <f t="shared" si="233"/>
        <v>2.6833333333333331</v>
      </c>
      <c r="BW308" s="45">
        <f>('[2]Renewable Diesel'!$Z317*'[2]RD Feedstock Breakdown'!BW$3*'[2]Feedstock Conversion Rates'!$B$4)/12</f>
        <v>71.875</v>
      </c>
      <c r="BX308" s="45">
        <f>('[2]Renewable Diesel'!$Z317*'[2]RD Feedstock Breakdown'!BX$3*'[2]Feedstock Conversion Rates'!$B$5)/12</f>
        <v>7.2354166666666666</v>
      </c>
      <c r="BY308" s="45">
        <f>('[2]Renewable Diesel'!$Z317*'[2]RD Feedstock Breakdown'!BY$3*'[2]Feedstock Conversion Rates'!$B$7)/12</f>
        <v>61.716666666666661</v>
      </c>
      <c r="BZ308" s="45">
        <f>('[2]Renewable Diesel'!$Z317*'[2]RD Feedstock Breakdown'!BZ$3*'[2]Feedstock Conversion Rates'!$B$3)/12</f>
        <v>15.352499999999999</v>
      </c>
      <c r="CA308" s="47">
        <f t="shared" si="262"/>
        <v>156.17958333333331</v>
      </c>
      <c r="CB308" s="45">
        <f>('[2]Renewable Diesel'!AA317*'[2]Feedstock Conversion Rates'!B$4)/12</f>
        <v>191.25</v>
      </c>
      <c r="CC308" s="47">
        <f t="shared" si="250"/>
        <v>191.25</v>
      </c>
      <c r="CD308" s="45">
        <f>('[2]Renewable Diesel'!$AB317*'[2]RD Feedstock Breakdown'!CD$3*'[2]Feedstock Conversion Rates'!$B$6)/12-15-5</f>
        <v>12.830000000000005</v>
      </c>
      <c r="CE308" s="45">
        <f>('[2]Renewable Diesel'!$AB317*'[2]RD Feedstock Breakdown'!CE$3*'[2]Feedstock Conversion Rates'!$B$4)/12+15+5</f>
        <v>31.25</v>
      </c>
      <c r="CF308" s="47">
        <f t="shared" si="247"/>
        <v>44.080000000000005</v>
      </c>
      <c r="CG308" s="45">
        <f>('[2]Renewable Diesel'!AD317*'[2]Feedstock Conversion Rates'!B$4)/12</f>
        <v>112.5</v>
      </c>
      <c r="CH308" s="47">
        <f t="shared" si="230"/>
        <v>112.5</v>
      </c>
      <c r="CI308" s="45">
        <f>('[2]Renewable Diesel'!$AE317*'[2]RD Feedstock Breakdown'!CI$3*'[2]Feedstock Conversion Rates'!$B$5)/12</f>
        <v>0.34604166666666664</v>
      </c>
      <c r="CJ308" s="45">
        <f>('[2]Renewable Diesel'!$AE317*'[2]RD Feedstock Breakdown'!CJ$3*'[2]Feedstock Conversion Rates'!$B$4)/12</f>
        <v>0.34375</v>
      </c>
      <c r="CK308" s="47">
        <f t="shared" si="238"/>
        <v>0.68979166666666658</v>
      </c>
      <c r="CL308" s="45">
        <f>(((CL$3*'[2]Renewable Diesel'!$AF317)*'[2]Feedstock Conversion Rates'!$B$3)/12)</f>
        <v>91.78125</v>
      </c>
      <c r="CM308" s="45">
        <f>(((CM$3*'[2]Renewable Diesel'!$AF317)*'[2]Feedstock Conversion Rates'!$B$6)/12)</f>
        <v>53.739583333333336</v>
      </c>
      <c r="CN308" s="45">
        <f>(((CN$3*'[2]Renewable Diesel'!$AF317)*'[2]Feedstock Conversion Rates'!$B$4)/12)</f>
        <v>42.96875</v>
      </c>
      <c r="CO308" s="47">
        <f t="shared" si="232"/>
        <v>188.48958333333334</v>
      </c>
      <c r="CP308" s="45">
        <f>('[2]Renewable Diesel'!$AG317*'[2]RD Feedstock Breakdown'!CP$3*'[2]Feedstock Conversion Rates'!$B$3)/12</f>
        <v>6.0075000000000003</v>
      </c>
      <c r="CQ308" s="45">
        <f>('[2]Renewable Diesel'!$AG317*'[2]RD Feedstock Breakdown'!CQ$3*'[2]Feedstock Conversion Rates'!$B$6)/12</f>
        <v>3.5175000000000001</v>
      </c>
      <c r="CR308" s="45">
        <f>('[2]Renewable Diesel'!$AG317*'[2]RD Feedstock Breakdown'!CR$3*'[2]Feedstock Conversion Rates'!$B$4)/12</f>
        <v>2.8125</v>
      </c>
      <c r="CS308" s="47">
        <f t="shared" si="267"/>
        <v>12.3375</v>
      </c>
      <c r="CT308" s="45">
        <f>('[2]Renewable Diesel'!AI317*'[2]Feedstock Conversion Rates'!$B$4*'[2]RD Feedstock Breakdown'!$CT$3)/12</f>
        <v>29.375</v>
      </c>
      <c r="CU308" s="47">
        <f t="shared" si="234"/>
        <v>29.375</v>
      </c>
      <c r="CV308" s="45">
        <f>('[2]Renewable Diesel'!AN317*'[2]Feedstock Conversion Rates'!$B$3*'[2]RD Feedstock Breakdown'!$CV$3)/12</f>
        <v>0.50062499999999999</v>
      </c>
      <c r="CW308" s="47">
        <f t="shared" si="206"/>
        <v>0.50062499999999999</v>
      </c>
      <c r="CX308" s="45">
        <f>('[2]Renewable Diesel'!AO317*'[2]RD Feedstock Breakdown'!$CX$3*'[2]Feedstock Conversion Rates'!$B$3)/12</f>
        <v>6.3412499999999996</v>
      </c>
      <c r="CY308" s="45">
        <f>('[2]Renewable Diesel'!AO317*'[2]RD Feedstock Breakdown'!$CY$3*'[2]Feedstock Conversion Rates'!$B$6)/12</f>
        <v>7.4258333333333342</v>
      </c>
      <c r="CZ308" s="47">
        <f t="shared" si="268"/>
        <v>13.767083333333334</v>
      </c>
      <c r="DA308" s="45">
        <f>('[2]Renewable Diesel'!$AP317*'[2]RD Feedstock Breakdown'!DA$3*'[2]Feedstock Conversion Rates'!$B$3)/12</f>
        <v>6.3412499999999996</v>
      </c>
      <c r="DB308" s="45">
        <f>('[2]Renewable Diesel'!$AP317*'[2]RD Feedstock Breakdown'!DB$3*'[2]Feedstock Conversion Rates'!$B$8)/12</f>
        <v>7.421875</v>
      </c>
      <c r="DC308" s="47">
        <f t="shared" si="212"/>
        <v>13.763124999999999</v>
      </c>
      <c r="DD308" s="45">
        <f>('[2]Renewable Diesel'!AQ317*$DD$3*'[2]Feedstock Conversion Rates'!$B$14)/12</f>
        <v>3.1041666666666665</v>
      </c>
      <c r="DE308" s="47">
        <f t="shared" si="213"/>
        <v>3.1041666666666665</v>
      </c>
      <c r="DF308" s="45">
        <f>('[2]Renewable Diesel'!AR317*'[2]Feedstock Conversion Rates'!$B$4*$DF$3)/12</f>
        <v>75</v>
      </c>
      <c r="DG308" s="47">
        <f t="shared" si="269"/>
        <v>75</v>
      </c>
      <c r="DH308" s="45">
        <f>('[2]Renewable Diesel'!AS317*'[2]Feedstock Conversion Rates'!$B$4*$DH$3)/12</f>
        <v>75</v>
      </c>
      <c r="DI308" s="47">
        <f t="shared" si="194"/>
        <v>75</v>
      </c>
      <c r="DJ308" s="45">
        <f>('[2]Renewable Diesel'!AT317*'[2]Feedstock Conversion Rates'!$B$4*0.25)/12</f>
        <v>8.59375</v>
      </c>
      <c r="DK308" s="45">
        <f>('[2]Renewable Diesel'!$AT317*'[2]RD Feedstock Breakdown'!DK$3*'[2]Feedstock Conversion Rates'!$B$3)/12*0.5</f>
        <v>9.1781249999999996</v>
      </c>
      <c r="DL308" s="45">
        <f>('[2]Renewable Diesel'!$AT317*'[2]RD Feedstock Breakdown'!$DL$3*'[2]Feedstock Conversion Rates'!$B$6)/12</f>
        <v>10.747916666666669</v>
      </c>
      <c r="DM308" s="45">
        <f>('[2]Renewable Diesel'!$AT317*'[2]RD Feedstock Breakdown'!$DM$3*'[2]Feedstock Conversion Rates'!$B$8)/12</f>
        <v>10.7421875</v>
      </c>
      <c r="DN308" s="47">
        <f t="shared" si="249"/>
        <v>39.26197916666667</v>
      </c>
      <c r="DP308" s="45">
        <f t="shared" si="216"/>
        <v>48.220250000000007</v>
      </c>
      <c r="DQ308" s="45">
        <f t="shared" si="217"/>
        <v>409.11776750000001</v>
      </c>
      <c r="DR308" s="45">
        <f t="shared" si="224"/>
        <v>2041.953125</v>
      </c>
      <c r="DS308" s="45">
        <f t="shared" si="235"/>
        <v>228.90125</v>
      </c>
      <c r="DT308" s="45">
        <f t="shared" si="218"/>
        <v>208.03923333333341</v>
      </c>
      <c r="DU308" s="45">
        <f t="shared" si="219"/>
        <v>242.90610000000004</v>
      </c>
      <c r="DV308" s="45">
        <f t="shared" si="225"/>
        <v>78.75</v>
      </c>
      <c r="DW308" s="45">
        <f t="shared" si="220"/>
        <v>3</v>
      </c>
      <c r="DX308" s="47">
        <f t="shared" si="226"/>
        <v>3260.8877258333337</v>
      </c>
      <c r="DY308" s="50">
        <f t="shared" si="208"/>
        <v>-5.631051180898794E-13</v>
      </c>
      <c r="EA308" s="51">
        <f t="shared" si="263"/>
        <v>1.4787460978184128E-2</v>
      </c>
      <c r="EB308" s="51">
        <f t="shared" si="263"/>
        <v>0.12546208330292888</v>
      </c>
      <c r="EC308" s="51">
        <f t="shared" si="263"/>
        <v>0.62619547089072813</v>
      </c>
      <c r="ED308" s="51">
        <f t="shared" si="261"/>
        <v>7.0195992393912707E-2</v>
      </c>
      <c r="EE308" s="51">
        <f t="shared" si="261"/>
        <v>6.3798342912946532E-2</v>
      </c>
      <c r="EF308" s="51">
        <f t="shared" si="261"/>
        <v>7.4490789141758745E-2</v>
      </c>
      <c r="EG308" s="51">
        <f t="shared" si="261"/>
        <v>2.4149865503227379E-2</v>
      </c>
      <c r="EH308" s="52">
        <f t="shared" si="227"/>
        <v>9.1999487631342389E-4</v>
      </c>
      <c r="EI308" s="51">
        <f t="shared" ref="EI308:EI371" si="271">SUM(EA308:EG308)</f>
        <v>0.99908000512368655</v>
      </c>
      <c r="EK308" s="53">
        <f>(EA308*'[2]Renewable Diesel'!BF317*'[2]Feedstock Conversion Rates'!B$2)+FB308</f>
        <v>87.726479978206442</v>
      </c>
      <c r="EL308" s="53">
        <f>(EB308*'[2]Renewable Diesel'!BF317*'[2]Feedstock Conversion Rates'!B$3)+FC308</f>
        <v>701.39582615170832</v>
      </c>
      <c r="EM308" s="53">
        <f>(EC308*'[2]Renewable Diesel'!BF317*'[2]Feedstock Conversion Rates'!B$4)+FD308</f>
        <v>3277.8520850267969</v>
      </c>
      <c r="EN308" s="53">
        <f>(ED308*'[2]Renewable Diesel'!BF317*'[2]Feedstock Conversion Rates'!B$5)+FE308</f>
        <v>369.89412730761143</v>
      </c>
      <c r="EO308" s="53">
        <f>(EE308*'[2]Renewable Diesel'!BF317*'[2]Feedstock Conversion Rates'!B$6)+FF308</f>
        <v>417.66723121658509</v>
      </c>
      <c r="EP308" s="53">
        <f>(EF308*'[2]Renewable Diesel'!BF317*'[2]Feedstock Conversion Rates'!B$7)+FG308</f>
        <v>478.30901769120004</v>
      </c>
      <c r="EQ308" s="53">
        <f>(EG308*'[2]Renewable Diesel'!BF317*'[2]Feedstock Conversion Rates'!B$8)+FH308</f>
        <v>158.01712618639343</v>
      </c>
      <c r="ER308" s="53">
        <f>(EH308*'[2]Renewable Diesel'!BF317*'[2]Feedstock Conversion Rates'!B$9)+FI308</f>
        <v>5.9394373779266605</v>
      </c>
      <c r="ES308" s="53">
        <f t="shared" si="228"/>
        <v>5496.8013309364278</v>
      </c>
      <c r="ET308" s="36">
        <f>ES308/'[2]Renewable Diesel'!BF317</f>
        <v>7.875749138151801</v>
      </c>
    </row>
    <row r="309" spans="1:150" x14ac:dyDescent="0.25">
      <c r="A309" s="39">
        <v>49827</v>
      </c>
      <c r="B309" s="45">
        <f t="shared" si="264"/>
        <v>59.25</v>
      </c>
      <c r="C309" s="45">
        <f t="shared" si="251"/>
        <v>49</v>
      </c>
      <c r="D309" s="45">
        <f t="shared" si="265"/>
        <v>2</v>
      </c>
      <c r="E309" s="45">
        <f>('[2]Renewable Diesel'!B318*E$3*'[2]Feedstock Conversion Rates'!$B$2)/12+26+13-100+27.5+39</f>
        <v>95.43</v>
      </c>
      <c r="F309" s="45">
        <f>('[2]Renewable Diesel'!B318*'[2]RD Feedstock Breakdown'!F$3*'[2]Feedstock Conversion Rates'!B$8)/12+77+23-10-12-115.75+24+8</f>
        <v>48.15625</v>
      </c>
      <c r="G309" s="45">
        <f>('[2]Renewable Diesel'!B318*'[2]RD Feedstock Breakdown'!G$3*'[2]Feedstock Conversion Rates'!B$7)/12+116.75-39-57.5-145-31.5+32+70-40+10-35</f>
        <v>56.907000000000039</v>
      </c>
      <c r="H309" s="45">
        <f>('[2]Renewable Diesel'!B318*'[2]RD Feedstock Breakdown'!H$3*'[2]Feedstock Conversion Rates'!B$3)/12+67+10+12+3-235+20+47-20+105</f>
        <v>185.40022499999998</v>
      </c>
      <c r="I309" s="47">
        <f t="shared" si="245"/>
        <v>496.14347500000002</v>
      </c>
      <c r="J309" s="45">
        <f t="shared" si="266"/>
        <v>69</v>
      </c>
      <c r="K309" s="45"/>
      <c r="L309" s="45">
        <v>1</v>
      </c>
      <c r="M309" s="45">
        <f>('[2]Renewable Diesel'!C318*'[2]RD Feedstock Breakdown'!M$3*'[2]Feedstock Conversion Rates'!B$2)/12-55</f>
        <v>-47.20975</v>
      </c>
      <c r="N309" s="45">
        <f>('[2]Renewable Diesel'!C318*'[2]RD Feedstock Breakdown'!N$3*'[2]Feedstock Conversion Rates'!B$8)/12</f>
        <v>3.671875</v>
      </c>
      <c r="O309" s="45">
        <f>('[2]Renewable Diesel'!C318*'[2]RD Feedstock Breakdown'!O$3*'[2]Feedstock Conversion Rates'!B$7)/12-65</f>
        <v>-53.000900000000001</v>
      </c>
      <c r="P309" s="45">
        <f>('[2]Renewable Diesel'!C318*'[2]RD Feedstock Breakdown'!P$3*'[2]Feedstock Conversion Rates'!B$3)/12+15+35</f>
        <v>60.447042500000002</v>
      </c>
      <c r="Q309" s="47">
        <f t="shared" si="252"/>
        <v>33.908267500000001</v>
      </c>
      <c r="R309" s="45">
        <f>('[2]Renewable Diesel'!D318*'[2]RD Feedstock Breakdown'!R$3*'[2]Feedstock Conversion Rates'!B$7)/12</f>
        <v>2.2999999999999998</v>
      </c>
      <c r="S309" s="47">
        <f t="shared" si="203"/>
        <v>2.2999999999999998</v>
      </c>
      <c r="T309" s="45">
        <f t="shared" si="253"/>
        <v>0.82499999999999929</v>
      </c>
      <c r="U309" s="45"/>
      <c r="V309" s="45">
        <f>('[2]Renewable Diesel'!E318*'[2]RD Feedstock Breakdown'!V$3*'[2]Feedstock Conversion Rates'!B$6)/12-20+25</f>
        <v>49.250150000000012</v>
      </c>
      <c r="W309" s="45">
        <f>('[2]Renewable Diesel'!E318*'[2]RD Feedstock Breakdown'!W$3*'[2]Feedstock Conversion Rates'!B$8)/12-6</f>
        <v>16.1796875</v>
      </c>
      <c r="X309" s="47">
        <f t="shared" si="229"/>
        <v>66.254837500000008</v>
      </c>
      <c r="Y309" s="45">
        <f t="shared" si="254"/>
        <v>98</v>
      </c>
      <c r="Z309" s="45">
        <f>('[2]Renewable Diesel'!F318*'[2]RD Feedstock Breakdown'!Z$3*'[2]Feedstock Conversion Rates'!B$6)/12-142+15+10</f>
        <v>42.460000000000008</v>
      </c>
      <c r="AA309" s="45">
        <f>('[2]Renewable Diesel'!F318*'[2]RD Feedstock Breakdown'!AA$3*'[2]Feedstock Conversion Rates'!B$7)/12+24</f>
        <v>128.26666666666665</v>
      </c>
      <c r="AB309" s="47">
        <f t="shared" si="270"/>
        <v>268.72666666666669</v>
      </c>
      <c r="AC309" s="45">
        <f>('[2]Renewable Diesel'!G318*'[2]RD Feedstock Breakdown'!AC$3*'[2]Feedstock Conversion Rates'!B$5)/12</f>
        <v>11.796875</v>
      </c>
      <c r="AD309" s="45">
        <f>('[2]Renewable Diesel'!G318*'[2]RD Feedstock Breakdown'!AD$3*'[2]Feedstock Conversion Rates'!B$4)/12</f>
        <v>5.859375</v>
      </c>
      <c r="AE309" s="45">
        <f>('[2]Renewable Diesel'!G318*'[2]RD Feedstock Breakdown'!AE$3*'[2]Feedstock Conversion Rates'!B$6)/12</f>
        <v>7.3281250000000009</v>
      </c>
      <c r="AF309" s="47">
        <f t="shared" si="236"/>
        <v>24.984375</v>
      </c>
      <c r="AG309" s="45">
        <f t="shared" si="259"/>
        <v>148</v>
      </c>
      <c r="AH309" s="45"/>
      <c r="AI309" s="45">
        <f>('[2]Renewable Diesel'!H318*'[2]RD Feedstock Breakdown'!AI$3*'[2]Feedstock Conversion Rates'!B$6)/12-130-20+51-49</f>
        <v>0.51666666666667993</v>
      </c>
      <c r="AJ309" s="47">
        <f t="shared" si="202"/>
        <v>148.51666666666668</v>
      </c>
      <c r="AK309" s="45">
        <f>('[2]Renewable Diesel'!J318*'[2]RD Feedstock Breakdown'!AK$3*'[2]Feedstock Conversion Rates'!B$4)/12</f>
        <v>95.8125</v>
      </c>
      <c r="AL309" s="47">
        <f t="shared" si="205"/>
        <v>95.8125</v>
      </c>
      <c r="AM309" s="45">
        <f>('[2]Renewable Diesel'!K318*'[2]RD Feedstock Breakdown'!AM$3*'[2]Feedstock Conversion Rates'!B$4)/12+5+15-10+10</f>
        <v>78.59375</v>
      </c>
      <c r="AN309" s="45">
        <f>('[2]Renewable Diesel'!K318*'[2]RD Feedstock Breakdown'!AN$3*'[2]Feedstock Conversion Rates'!B$6)/12-5-15+10-10</f>
        <v>4.4270833333333321</v>
      </c>
      <c r="AO309" s="47">
        <f t="shared" si="223"/>
        <v>83.020833333333329</v>
      </c>
      <c r="AP309" s="45">
        <f>('[2]Renewable Diesel'!L318*'[2]RD Feedstock Breakdown'!AP$3*'[2]Feedstock Conversion Rates'!B$4)/12+15-10+15</f>
        <v>78.59375</v>
      </c>
      <c r="AQ309" s="45">
        <f>('[2]Renewable Diesel'!L318*'[2]RD Feedstock Breakdown'!AQ$3*'[2]Feedstock Conversion Rates'!B$6)/12-15+10-15</f>
        <v>4.4270833333333321</v>
      </c>
      <c r="AR309" s="47">
        <f t="shared" si="207"/>
        <v>83.020833333333329</v>
      </c>
      <c r="AS309" s="45">
        <f>('[2]Renewable Diesel'!M318*'[2]RD Feedstock Breakdown'!AS$3*'[2]Feedstock Conversion Rates'!B$4)/12</f>
        <v>456.25</v>
      </c>
      <c r="AT309" s="45">
        <f>('[2]Renewable Diesel'!M318*'[2]RD Feedstock Breakdown'!AT$3*'[2]Feedstock Conversion Rates'!B$5)/12</f>
        <v>0</v>
      </c>
      <c r="AU309" s="47">
        <f t="shared" si="244"/>
        <v>456.25</v>
      </c>
      <c r="AV309" s="45">
        <f>'[2]Renewable Diesel'!N318*'[2]RD Feedstock Breakdown'!$AV$3*'[2]Feedstock Conversion Rates'!$B$4/12-15-10+25+25-22+25</f>
        <v>106.74999999999999</v>
      </c>
      <c r="AW309" s="45">
        <f>'[2]Renewable Diesel'!N318*'[2]RD Feedstock Breakdown'!$AW$3*'[2]Feedstock Conversion Rates'!$B$7/12+15+10-25-25+22-25</f>
        <v>13.400000000000006</v>
      </c>
      <c r="AX309" s="47">
        <f t="shared" si="193"/>
        <v>120.14999999999999</v>
      </c>
      <c r="AY309" s="45">
        <f>('[2]Renewable Diesel'!O318*'[2]RD Feedstock Breakdown'!AY$3*'[2]Feedstock Conversion Rates'!B$4)/12</f>
        <v>210.9375</v>
      </c>
      <c r="AZ309" s="45">
        <f>('[2]Renewable Diesel'!O318*'[2]RD Feedstock Breakdown'!AZ$3*'[2]Feedstock Conversion Rates'!B$3)/12</f>
        <v>25.03125</v>
      </c>
      <c r="BA309" s="47">
        <f t="shared" si="255"/>
        <v>235.96875</v>
      </c>
      <c r="BB309" s="45">
        <f>('[2]Renewable Diesel'!Q318*'[2]RD Feedstock Breakdown'!BB$3*'[2]Feedstock Conversion Rates'!B$4)/12</f>
        <v>11.156249999999998</v>
      </c>
      <c r="BC309" s="45">
        <f>('[2]Renewable Diesel'!Q318*'[2]RD Feedstock Breakdown'!BC$3*'[2]Feedstock Conversion Rates'!B$3)/12</f>
        <v>1.4017500000000001</v>
      </c>
      <c r="BD309" s="45">
        <f>('[2]Renewable Diesel'!Q318*'[2]RD Feedstock Breakdown'!BD$3*'[2]Feedstock Conversion Rates'!B$6)/12</f>
        <v>0.8207500000000002</v>
      </c>
      <c r="BE309" s="47">
        <f t="shared" si="231"/>
        <v>13.378749999999998</v>
      </c>
      <c r="BF309" s="45">
        <f>('[2]Renewable Diesel'!R318*'[2]RD Feedstock Breakdown'!BF$3*'[2]Feedstock Conversion Rates'!B$4)/12</f>
        <v>62.5</v>
      </c>
      <c r="BG309" s="47">
        <f t="shared" si="215"/>
        <v>62.5</v>
      </c>
      <c r="BH309" s="45">
        <f>('[2]Renewable Diesel'!T318*'[2]RD Feedstock Breakdown'!BH$3*'[2]Feedstock Conversion Rates'!B$7)/12</f>
        <v>27.599999999999998</v>
      </c>
      <c r="BI309" s="47">
        <f t="shared" si="195"/>
        <v>27.599999999999998</v>
      </c>
      <c r="BJ309" s="45">
        <f>('[2]Renewable Diesel'!W318*'[2]RD Feedstock Breakdown'!BJ$3*'[2]Feedstock Conversion Rates'!B$4)/12</f>
        <v>7.5</v>
      </c>
      <c r="BK309" s="45">
        <f>('[2]Renewable Diesel'!W318*'[2]RD Feedstock Breakdown'!BK$3*'[2]Feedstock Conversion Rates'!B$3)/12</f>
        <v>1.335</v>
      </c>
      <c r="BL309" s="45">
        <f>('[2]Renewable Diesel'!W318*'[2]RD Feedstock Breakdown'!BL$3*'[2]Feedstock Conversion Rates'!B$6)/12</f>
        <v>3.1266666666666669</v>
      </c>
      <c r="BM309" s="45">
        <f>('[2]Renewable Diesel'!W318*'[2]RD Feedstock Breakdown'!BM$3*'[2]Feedstock Conversion Rates'!B$7)/12</f>
        <v>1.5333333333333332</v>
      </c>
      <c r="BN309" s="47">
        <f t="shared" si="248"/>
        <v>13.495000000000001</v>
      </c>
      <c r="BO309" s="45">
        <f>('[2]Renewable Diesel'!P318*'[2]Feedstock Conversion Rates'!B$4)/12</f>
        <v>31.25</v>
      </c>
      <c r="BP309" s="47">
        <f t="shared" si="237"/>
        <v>31.25</v>
      </c>
      <c r="BQ309" s="45">
        <f>('[2]Renewable Diesel'!$S318*'[2]RD Feedstock Breakdown'!BQ$3*'[2]Feedstock Conversion Rates'!B$4)/12+10+15-15</f>
        <v>38.125</v>
      </c>
      <c r="BR309" s="45">
        <f>('[2]Renewable Diesel'!$S318*'[2]RD Feedstock Breakdown'!BR$3*'[2]Feedstock Conversion Rates'!B$7)/12-10-15+15</f>
        <v>1.5</v>
      </c>
      <c r="BS309" s="47">
        <f t="shared" si="260"/>
        <v>39.625</v>
      </c>
      <c r="BT309" s="47"/>
      <c r="BU309" s="45">
        <f>('[2]Renewable Diesel'!Y318*'[2]Feedstock Conversion Rates'!B$7)/12</f>
        <v>2.6833333333333331</v>
      </c>
      <c r="BV309" s="47">
        <f t="shared" si="233"/>
        <v>2.6833333333333331</v>
      </c>
      <c r="BW309" s="45">
        <f>('[2]Renewable Diesel'!$Z318*'[2]RD Feedstock Breakdown'!BW$3*'[2]Feedstock Conversion Rates'!$B$4)/12</f>
        <v>71.875</v>
      </c>
      <c r="BX309" s="45">
        <f>('[2]Renewable Diesel'!$Z318*'[2]RD Feedstock Breakdown'!BX$3*'[2]Feedstock Conversion Rates'!$B$5)/12</f>
        <v>7.2354166666666666</v>
      </c>
      <c r="BY309" s="45">
        <f>('[2]Renewable Diesel'!$Z318*'[2]RD Feedstock Breakdown'!BY$3*'[2]Feedstock Conversion Rates'!$B$7)/12</f>
        <v>61.716666666666661</v>
      </c>
      <c r="BZ309" s="45">
        <f>('[2]Renewable Diesel'!$Z318*'[2]RD Feedstock Breakdown'!BZ$3*'[2]Feedstock Conversion Rates'!$B$3)/12</f>
        <v>15.352499999999999</v>
      </c>
      <c r="CA309" s="47">
        <f t="shared" si="262"/>
        <v>156.17958333333331</v>
      </c>
      <c r="CB309" s="45">
        <f>('[2]Renewable Diesel'!AA318*'[2]Feedstock Conversion Rates'!B$4)/12</f>
        <v>191.25</v>
      </c>
      <c r="CC309" s="47">
        <f t="shared" si="250"/>
        <v>191.25</v>
      </c>
      <c r="CD309" s="45">
        <f>('[2]Renewable Diesel'!$AB318*'[2]RD Feedstock Breakdown'!CD$3*'[2]Feedstock Conversion Rates'!$B$6)/12-15-5</f>
        <v>12.830000000000005</v>
      </c>
      <c r="CE309" s="45">
        <f>('[2]Renewable Diesel'!$AB318*'[2]RD Feedstock Breakdown'!CE$3*'[2]Feedstock Conversion Rates'!$B$4)/12+15+5</f>
        <v>31.25</v>
      </c>
      <c r="CF309" s="47">
        <f t="shared" si="247"/>
        <v>44.080000000000005</v>
      </c>
      <c r="CG309" s="45">
        <f>('[2]Renewable Diesel'!AD318*'[2]Feedstock Conversion Rates'!B$4)/12</f>
        <v>112.5</v>
      </c>
      <c r="CH309" s="47">
        <f t="shared" si="230"/>
        <v>112.5</v>
      </c>
      <c r="CI309" s="45">
        <f>('[2]Renewable Diesel'!$AE318*'[2]RD Feedstock Breakdown'!CI$3*'[2]Feedstock Conversion Rates'!$B$5)/12</f>
        <v>0.34604166666666664</v>
      </c>
      <c r="CJ309" s="45">
        <f>('[2]Renewable Diesel'!$AE318*'[2]RD Feedstock Breakdown'!CJ$3*'[2]Feedstock Conversion Rates'!$B$4)/12</f>
        <v>0.34375</v>
      </c>
      <c r="CK309" s="47">
        <f t="shared" si="238"/>
        <v>0.68979166666666658</v>
      </c>
      <c r="CL309" s="45">
        <f>(((CL$3*'[2]Renewable Diesel'!$AF318)*'[2]Feedstock Conversion Rates'!$B$3)/12)</f>
        <v>91.78125</v>
      </c>
      <c r="CM309" s="45">
        <f>(((CM$3*'[2]Renewable Diesel'!$AF318)*'[2]Feedstock Conversion Rates'!$B$6)/12)</f>
        <v>53.739583333333336</v>
      </c>
      <c r="CN309" s="45">
        <f>(((CN$3*'[2]Renewable Diesel'!$AF318)*'[2]Feedstock Conversion Rates'!$B$4)/12)</f>
        <v>42.96875</v>
      </c>
      <c r="CO309" s="47">
        <f t="shared" si="232"/>
        <v>188.48958333333334</v>
      </c>
      <c r="CP309" s="45">
        <f>('[2]Renewable Diesel'!$AG318*'[2]RD Feedstock Breakdown'!CP$3*'[2]Feedstock Conversion Rates'!$B$3)/12</f>
        <v>6.0075000000000003</v>
      </c>
      <c r="CQ309" s="45">
        <f>('[2]Renewable Diesel'!$AG318*'[2]RD Feedstock Breakdown'!CQ$3*'[2]Feedstock Conversion Rates'!$B$6)/12</f>
        <v>3.5175000000000001</v>
      </c>
      <c r="CR309" s="45">
        <f>('[2]Renewable Diesel'!$AG318*'[2]RD Feedstock Breakdown'!CR$3*'[2]Feedstock Conversion Rates'!$B$4)/12</f>
        <v>2.8125</v>
      </c>
      <c r="CS309" s="47">
        <f t="shared" si="267"/>
        <v>12.3375</v>
      </c>
      <c r="CT309" s="45">
        <f>('[2]Renewable Diesel'!AI318*'[2]Feedstock Conversion Rates'!$B$4*'[2]RD Feedstock Breakdown'!$CT$3)/12</f>
        <v>29.375</v>
      </c>
      <c r="CU309" s="47">
        <f t="shared" si="234"/>
        <v>29.375</v>
      </c>
      <c r="CV309" s="45">
        <f>('[2]Renewable Diesel'!AN318*'[2]Feedstock Conversion Rates'!$B$3*'[2]RD Feedstock Breakdown'!$CV$3)/12</f>
        <v>0.50062499999999999</v>
      </c>
      <c r="CW309" s="47">
        <f t="shared" si="206"/>
        <v>0.50062499999999999</v>
      </c>
      <c r="CX309" s="45">
        <f>('[2]Renewable Diesel'!AO318*'[2]RD Feedstock Breakdown'!$CX$3*'[2]Feedstock Conversion Rates'!$B$3)/12</f>
        <v>6.3412499999999996</v>
      </c>
      <c r="CY309" s="45">
        <f>('[2]Renewable Diesel'!AO318*'[2]RD Feedstock Breakdown'!$CY$3*'[2]Feedstock Conversion Rates'!$B$6)/12</f>
        <v>7.4258333333333342</v>
      </c>
      <c r="CZ309" s="47">
        <f t="shared" si="268"/>
        <v>13.767083333333334</v>
      </c>
      <c r="DA309" s="45">
        <f>('[2]Renewable Diesel'!$AP318*'[2]RD Feedstock Breakdown'!DA$3*'[2]Feedstock Conversion Rates'!$B$3)/12</f>
        <v>6.3412499999999996</v>
      </c>
      <c r="DB309" s="45">
        <f>('[2]Renewable Diesel'!$AP318*'[2]RD Feedstock Breakdown'!DB$3*'[2]Feedstock Conversion Rates'!$B$8)/12</f>
        <v>7.421875</v>
      </c>
      <c r="DC309" s="47">
        <f t="shared" si="212"/>
        <v>13.763124999999999</v>
      </c>
      <c r="DD309" s="45">
        <f>('[2]Renewable Diesel'!AQ318*$DD$3*'[2]Feedstock Conversion Rates'!$B$14)/12</f>
        <v>3.1041666666666665</v>
      </c>
      <c r="DE309" s="47">
        <f t="shared" si="213"/>
        <v>3.1041666666666665</v>
      </c>
      <c r="DF309" s="45">
        <f>('[2]Renewable Diesel'!AR318*'[2]Feedstock Conversion Rates'!$B$4*$DF$3)/12</f>
        <v>75</v>
      </c>
      <c r="DG309" s="47">
        <f t="shared" si="269"/>
        <v>75</v>
      </c>
      <c r="DH309" s="45">
        <f>('[2]Renewable Diesel'!AS318*'[2]Feedstock Conversion Rates'!$B$4*$DH$3)/12</f>
        <v>75</v>
      </c>
      <c r="DI309" s="47">
        <f t="shared" si="194"/>
        <v>75</v>
      </c>
      <c r="DJ309" s="45">
        <f>('[2]Renewable Diesel'!AT318*'[2]Feedstock Conversion Rates'!$B$4*0.25)/12</f>
        <v>8.59375</v>
      </c>
      <c r="DK309" s="45">
        <f>('[2]Renewable Diesel'!$AT318*'[2]RD Feedstock Breakdown'!DK$3*'[2]Feedstock Conversion Rates'!$B$3)/12*0.5</f>
        <v>9.1781249999999996</v>
      </c>
      <c r="DL309" s="45">
        <f>('[2]Renewable Diesel'!$AT318*'[2]RD Feedstock Breakdown'!$DL$3*'[2]Feedstock Conversion Rates'!$B$6)/12</f>
        <v>10.747916666666669</v>
      </c>
      <c r="DM309" s="45">
        <f>('[2]Renewable Diesel'!$AT318*'[2]RD Feedstock Breakdown'!$DM$3*'[2]Feedstock Conversion Rates'!$B$8)/12</f>
        <v>10.7421875</v>
      </c>
      <c r="DN309" s="47">
        <f t="shared" si="249"/>
        <v>39.26197916666667</v>
      </c>
      <c r="DP309" s="45">
        <f t="shared" si="216"/>
        <v>48.220250000000007</v>
      </c>
      <c r="DQ309" s="45">
        <f t="shared" si="217"/>
        <v>409.11776750000001</v>
      </c>
      <c r="DR309" s="45">
        <f t="shared" si="224"/>
        <v>2041.953125</v>
      </c>
      <c r="DS309" s="45">
        <f t="shared" si="235"/>
        <v>228.90125</v>
      </c>
      <c r="DT309" s="45">
        <f t="shared" si="218"/>
        <v>208.03923333333341</v>
      </c>
      <c r="DU309" s="45">
        <f t="shared" si="219"/>
        <v>242.90610000000004</v>
      </c>
      <c r="DV309" s="45">
        <f t="shared" si="225"/>
        <v>78.75</v>
      </c>
      <c r="DW309" s="45">
        <f t="shared" si="220"/>
        <v>3</v>
      </c>
      <c r="DX309" s="47">
        <f t="shared" si="226"/>
        <v>3260.8877258333337</v>
      </c>
      <c r="DY309" s="50">
        <f t="shared" si="208"/>
        <v>-5.631051180898794E-13</v>
      </c>
      <c r="EA309" s="51">
        <f t="shared" si="263"/>
        <v>1.4787460978184128E-2</v>
      </c>
      <c r="EB309" s="51">
        <f t="shared" si="263"/>
        <v>0.12546208330292888</v>
      </c>
      <c r="EC309" s="51">
        <f t="shared" si="263"/>
        <v>0.62619547089072813</v>
      </c>
      <c r="ED309" s="51">
        <f t="shared" si="261"/>
        <v>7.0195992393912707E-2</v>
      </c>
      <c r="EE309" s="51">
        <f t="shared" si="261"/>
        <v>6.3798342912946532E-2</v>
      </c>
      <c r="EF309" s="51">
        <f t="shared" si="261"/>
        <v>7.4490789141758745E-2</v>
      </c>
      <c r="EG309" s="51">
        <f t="shared" si="261"/>
        <v>2.4149865503227379E-2</v>
      </c>
      <c r="EH309" s="52">
        <f t="shared" si="227"/>
        <v>9.1999487631342389E-4</v>
      </c>
      <c r="EI309" s="51">
        <f t="shared" si="271"/>
        <v>0.99908000512368655</v>
      </c>
      <c r="EK309" s="53">
        <f>(EA309*'[2]Renewable Diesel'!BF318*'[2]Feedstock Conversion Rates'!B$2)+FB309</f>
        <v>85.376880457712943</v>
      </c>
      <c r="EL309" s="53">
        <f>(EB309*'[2]Renewable Diesel'!BF318*'[2]Feedstock Conversion Rates'!B$3)+FC309</f>
        <v>682.61017218255802</v>
      </c>
      <c r="EM309" s="53">
        <f>(EC309*'[2]Renewable Diesel'!BF318*'[2]Feedstock Conversion Rates'!B$4)+FD309</f>
        <v>3190.0605802366722</v>
      </c>
      <c r="EN309" s="53">
        <f>(ED309*'[2]Renewable Diesel'!BF318*'[2]Feedstock Conversion Rates'!B$5)+FE309</f>
        <v>359.98716347672223</v>
      </c>
      <c r="EO309" s="53">
        <f>(EE309*'[2]Renewable Diesel'!BF318*'[2]Feedstock Conversion Rates'!B$6)+FF309</f>
        <v>406.48074879490218</v>
      </c>
      <c r="EP309" s="53">
        <f>(EF309*'[2]Renewable Diesel'!BF318*'[2]Feedstock Conversion Rates'!B$7)+FG309</f>
        <v>465.49835164265755</v>
      </c>
      <c r="EQ309" s="53">
        <f>(EG309*'[2]Renewable Diesel'!BF318*'[2]Feedstock Conversion Rates'!B$8)+FH309</f>
        <v>153.78491529625464</v>
      </c>
      <c r="ER309" s="53">
        <f>(EH309*'[2]Renewable Diesel'!BF318*'[2]Feedstock Conversion Rates'!B$9)+FI309</f>
        <v>5.7803599908179519</v>
      </c>
      <c r="ES309" s="53">
        <f t="shared" si="228"/>
        <v>5349.5791720782972</v>
      </c>
      <c r="ET309" s="36">
        <f>ES309/'[2]Renewable Diesel'!BF318</f>
        <v>7.875749138151801</v>
      </c>
    </row>
    <row r="310" spans="1:150" x14ac:dyDescent="0.25">
      <c r="A310" s="39">
        <v>49857</v>
      </c>
      <c r="B310" s="45">
        <f t="shared" si="264"/>
        <v>59.25</v>
      </c>
      <c r="C310" s="45">
        <f t="shared" si="251"/>
        <v>49</v>
      </c>
      <c r="D310" s="45">
        <f t="shared" si="265"/>
        <v>2</v>
      </c>
      <c r="E310" s="45">
        <f>('[2]Renewable Diesel'!B319*E$3*'[2]Feedstock Conversion Rates'!$B$2)/12+26+13-100+27.5+39</f>
        <v>95.43</v>
      </c>
      <c r="F310" s="45">
        <f>('[2]Renewable Diesel'!B319*'[2]RD Feedstock Breakdown'!F$3*'[2]Feedstock Conversion Rates'!B$8)/12+77+23-10-12-115.75+24+8</f>
        <v>48.15625</v>
      </c>
      <c r="G310" s="45">
        <f>('[2]Renewable Diesel'!B319*'[2]RD Feedstock Breakdown'!G$3*'[2]Feedstock Conversion Rates'!B$7)/12+116.75-39-57.5-145-31.5+32+70-40+10-35</f>
        <v>56.907000000000039</v>
      </c>
      <c r="H310" s="45">
        <f>('[2]Renewable Diesel'!B319*'[2]RD Feedstock Breakdown'!H$3*'[2]Feedstock Conversion Rates'!B$3)/12+67+10+12+3-235+20+47-20+105</f>
        <v>185.40022499999998</v>
      </c>
      <c r="I310" s="47">
        <f t="shared" si="245"/>
        <v>496.14347500000002</v>
      </c>
      <c r="J310" s="45">
        <f t="shared" si="266"/>
        <v>69</v>
      </c>
      <c r="K310" s="45"/>
      <c r="L310" s="45">
        <v>1</v>
      </c>
      <c r="M310" s="45">
        <f>('[2]Renewable Diesel'!C319*'[2]RD Feedstock Breakdown'!M$3*'[2]Feedstock Conversion Rates'!B$2)/12-55</f>
        <v>-47.20975</v>
      </c>
      <c r="N310" s="45">
        <f>('[2]Renewable Diesel'!C319*'[2]RD Feedstock Breakdown'!N$3*'[2]Feedstock Conversion Rates'!B$8)/12</f>
        <v>3.671875</v>
      </c>
      <c r="O310" s="45">
        <f>('[2]Renewable Diesel'!C319*'[2]RD Feedstock Breakdown'!O$3*'[2]Feedstock Conversion Rates'!B$7)/12-65</f>
        <v>-53.000900000000001</v>
      </c>
      <c r="P310" s="45">
        <f>('[2]Renewable Diesel'!C319*'[2]RD Feedstock Breakdown'!P$3*'[2]Feedstock Conversion Rates'!B$3)/12+15+35</f>
        <v>60.447042500000002</v>
      </c>
      <c r="Q310" s="47">
        <f t="shared" si="252"/>
        <v>33.908267500000001</v>
      </c>
      <c r="R310" s="45">
        <f>('[2]Renewable Diesel'!D319*'[2]RD Feedstock Breakdown'!R$3*'[2]Feedstock Conversion Rates'!B$7)/12</f>
        <v>2.2999999999999998</v>
      </c>
      <c r="S310" s="47">
        <f t="shared" si="203"/>
        <v>2.2999999999999998</v>
      </c>
      <c r="T310" s="45">
        <f t="shared" si="253"/>
        <v>0.82499999999999929</v>
      </c>
      <c r="U310" s="45"/>
      <c r="V310" s="45">
        <f>('[2]Renewable Diesel'!E319*'[2]RD Feedstock Breakdown'!V$3*'[2]Feedstock Conversion Rates'!B$6)/12-20+25</f>
        <v>49.250150000000012</v>
      </c>
      <c r="W310" s="45">
        <f>('[2]Renewable Diesel'!E319*'[2]RD Feedstock Breakdown'!W$3*'[2]Feedstock Conversion Rates'!B$8)/12-6</f>
        <v>16.1796875</v>
      </c>
      <c r="X310" s="47">
        <f t="shared" si="229"/>
        <v>66.254837500000008</v>
      </c>
      <c r="Y310" s="45">
        <f t="shared" si="254"/>
        <v>98</v>
      </c>
      <c r="Z310" s="45">
        <f>('[2]Renewable Diesel'!F319*'[2]RD Feedstock Breakdown'!Z$3*'[2]Feedstock Conversion Rates'!B$6)/12-142+15+10</f>
        <v>42.460000000000008</v>
      </c>
      <c r="AA310" s="45">
        <f>('[2]Renewable Diesel'!F319*'[2]RD Feedstock Breakdown'!AA$3*'[2]Feedstock Conversion Rates'!B$7)/12+24</f>
        <v>128.26666666666665</v>
      </c>
      <c r="AB310" s="47">
        <f t="shared" si="270"/>
        <v>268.72666666666669</v>
      </c>
      <c r="AC310" s="45">
        <f>('[2]Renewable Diesel'!G319*'[2]RD Feedstock Breakdown'!AC$3*'[2]Feedstock Conversion Rates'!B$5)/12</f>
        <v>11.796875</v>
      </c>
      <c r="AD310" s="45">
        <f>('[2]Renewable Diesel'!G319*'[2]RD Feedstock Breakdown'!AD$3*'[2]Feedstock Conversion Rates'!B$4)/12</f>
        <v>5.859375</v>
      </c>
      <c r="AE310" s="45">
        <f>('[2]Renewable Diesel'!G319*'[2]RD Feedstock Breakdown'!AE$3*'[2]Feedstock Conversion Rates'!B$6)/12</f>
        <v>7.3281250000000009</v>
      </c>
      <c r="AF310" s="47">
        <f t="shared" si="236"/>
        <v>24.984375</v>
      </c>
      <c r="AG310" s="45">
        <f t="shared" si="259"/>
        <v>148</v>
      </c>
      <c r="AH310" s="45"/>
      <c r="AI310" s="45">
        <f>('[2]Renewable Diesel'!H319*'[2]RD Feedstock Breakdown'!AI$3*'[2]Feedstock Conversion Rates'!B$6)/12-130-20+51-49</f>
        <v>0.51666666666667993</v>
      </c>
      <c r="AJ310" s="47">
        <f t="shared" si="202"/>
        <v>148.51666666666668</v>
      </c>
      <c r="AK310" s="45">
        <f>('[2]Renewable Diesel'!J319*'[2]RD Feedstock Breakdown'!AK$3*'[2]Feedstock Conversion Rates'!B$4)/12</f>
        <v>95.8125</v>
      </c>
      <c r="AL310" s="47">
        <f t="shared" si="205"/>
        <v>95.8125</v>
      </c>
      <c r="AM310" s="45">
        <f>('[2]Renewable Diesel'!K319*'[2]RD Feedstock Breakdown'!AM$3*'[2]Feedstock Conversion Rates'!B$4)/12+5+15-10+10</f>
        <v>78.59375</v>
      </c>
      <c r="AN310" s="45">
        <f>('[2]Renewable Diesel'!K319*'[2]RD Feedstock Breakdown'!AN$3*'[2]Feedstock Conversion Rates'!B$6)/12-5-15+10-10</f>
        <v>4.4270833333333321</v>
      </c>
      <c r="AO310" s="47">
        <f t="shared" si="223"/>
        <v>83.020833333333329</v>
      </c>
      <c r="AP310" s="45">
        <f>('[2]Renewable Diesel'!L319*'[2]RD Feedstock Breakdown'!AP$3*'[2]Feedstock Conversion Rates'!B$4)/12+15-10+15</f>
        <v>78.59375</v>
      </c>
      <c r="AQ310" s="45">
        <f>('[2]Renewable Diesel'!L319*'[2]RD Feedstock Breakdown'!AQ$3*'[2]Feedstock Conversion Rates'!B$6)/12-15+10-15</f>
        <v>4.4270833333333321</v>
      </c>
      <c r="AR310" s="47">
        <f t="shared" si="207"/>
        <v>83.020833333333329</v>
      </c>
      <c r="AS310" s="45">
        <f>('[2]Renewable Diesel'!M319*'[2]RD Feedstock Breakdown'!AS$3*'[2]Feedstock Conversion Rates'!B$4)/12</f>
        <v>456.25</v>
      </c>
      <c r="AT310" s="45">
        <f>('[2]Renewable Diesel'!M319*'[2]RD Feedstock Breakdown'!AT$3*'[2]Feedstock Conversion Rates'!B$5)/12</f>
        <v>0</v>
      </c>
      <c r="AU310" s="47">
        <f t="shared" si="244"/>
        <v>456.25</v>
      </c>
      <c r="AV310" s="45">
        <f>'[2]Renewable Diesel'!N319*'[2]RD Feedstock Breakdown'!$AV$3*'[2]Feedstock Conversion Rates'!$B$4/12-15-10+25+25-22+25</f>
        <v>106.74999999999999</v>
      </c>
      <c r="AW310" s="45">
        <f>'[2]Renewable Diesel'!N319*'[2]RD Feedstock Breakdown'!$AW$3*'[2]Feedstock Conversion Rates'!$B$7/12+15+10-25-25+22-25</f>
        <v>13.400000000000006</v>
      </c>
      <c r="AX310" s="47">
        <f t="shared" si="193"/>
        <v>120.14999999999999</v>
      </c>
      <c r="AY310" s="45">
        <f>('[2]Renewable Diesel'!O319*'[2]RD Feedstock Breakdown'!AY$3*'[2]Feedstock Conversion Rates'!B$4)/12</f>
        <v>210.9375</v>
      </c>
      <c r="AZ310" s="45">
        <f>('[2]Renewable Diesel'!O319*'[2]RD Feedstock Breakdown'!AZ$3*'[2]Feedstock Conversion Rates'!B$3)/12</f>
        <v>25.03125</v>
      </c>
      <c r="BA310" s="47">
        <f t="shared" si="255"/>
        <v>235.96875</v>
      </c>
      <c r="BB310" s="45">
        <f>('[2]Renewable Diesel'!Q319*'[2]RD Feedstock Breakdown'!BB$3*'[2]Feedstock Conversion Rates'!B$4)/12</f>
        <v>11.156249999999998</v>
      </c>
      <c r="BC310" s="45">
        <f>('[2]Renewable Diesel'!Q319*'[2]RD Feedstock Breakdown'!BC$3*'[2]Feedstock Conversion Rates'!B$3)/12</f>
        <v>1.4017500000000001</v>
      </c>
      <c r="BD310" s="45">
        <f>('[2]Renewable Diesel'!Q319*'[2]RD Feedstock Breakdown'!BD$3*'[2]Feedstock Conversion Rates'!B$6)/12</f>
        <v>0.8207500000000002</v>
      </c>
      <c r="BE310" s="47">
        <f t="shared" si="231"/>
        <v>13.378749999999998</v>
      </c>
      <c r="BF310" s="45">
        <f>('[2]Renewable Diesel'!R319*'[2]RD Feedstock Breakdown'!BF$3*'[2]Feedstock Conversion Rates'!B$4)/12</f>
        <v>62.5</v>
      </c>
      <c r="BG310" s="47">
        <f t="shared" si="215"/>
        <v>62.5</v>
      </c>
      <c r="BH310" s="45">
        <f>('[2]Renewable Diesel'!T319*'[2]RD Feedstock Breakdown'!BH$3*'[2]Feedstock Conversion Rates'!B$7)/12</f>
        <v>27.599999999999998</v>
      </c>
      <c r="BI310" s="47">
        <f t="shared" si="195"/>
        <v>27.599999999999998</v>
      </c>
      <c r="BJ310" s="45">
        <f>('[2]Renewable Diesel'!W319*'[2]RD Feedstock Breakdown'!BJ$3*'[2]Feedstock Conversion Rates'!B$4)/12</f>
        <v>7.5</v>
      </c>
      <c r="BK310" s="45">
        <f>('[2]Renewable Diesel'!W319*'[2]RD Feedstock Breakdown'!BK$3*'[2]Feedstock Conversion Rates'!B$3)/12</f>
        <v>1.335</v>
      </c>
      <c r="BL310" s="45">
        <f>('[2]Renewable Diesel'!W319*'[2]RD Feedstock Breakdown'!BL$3*'[2]Feedstock Conversion Rates'!B$6)/12</f>
        <v>3.1266666666666669</v>
      </c>
      <c r="BM310" s="45">
        <f>('[2]Renewable Diesel'!W319*'[2]RD Feedstock Breakdown'!BM$3*'[2]Feedstock Conversion Rates'!B$7)/12</f>
        <v>1.5333333333333332</v>
      </c>
      <c r="BN310" s="47">
        <f t="shared" si="248"/>
        <v>13.495000000000001</v>
      </c>
      <c r="BO310" s="45">
        <f>('[2]Renewable Diesel'!P319*'[2]Feedstock Conversion Rates'!B$4)/12</f>
        <v>31.25</v>
      </c>
      <c r="BP310" s="47">
        <f t="shared" si="237"/>
        <v>31.25</v>
      </c>
      <c r="BQ310" s="45">
        <f>('[2]Renewable Diesel'!$S319*'[2]RD Feedstock Breakdown'!BQ$3*'[2]Feedstock Conversion Rates'!B$4)/12+10+15-15</f>
        <v>38.125</v>
      </c>
      <c r="BR310" s="45">
        <f>('[2]Renewable Diesel'!$S319*'[2]RD Feedstock Breakdown'!BR$3*'[2]Feedstock Conversion Rates'!B$7)/12-10-15+15</f>
        <v>1.5</v>
      </c>
      <c r="BS310" s="47">
        <f t="shared" si="260"/>
        <v>39.625</v>
      </c>
      <c r="BT310" s="47"/>
      <c r="BU310" s="45">
        <f>('[2]Renewable Diesel'!Y319*'[2]Feedstock Conversion Rates'!B$7)/12</f>
        <v>2.6833333333333331</v>
      </c>
      <c r="BV310" s="47">
        <f t="shared" si="233"/>
        <v>2.6833333333333331</v>
      </c>
      <c r="BW310" s="45">
        <f>('[2]Renewable Diesel'!$Z319*'[2]RD Feedstock Breakdown'!BW$3*'[2]Feedstock Conversion Rates'!$B$4)/12</f>
        <v>71.875</v>
      </c>
      <c r="BX310" s="45">
        <f>('[2]Renewable Diesel'!$Z319*'[2]RD Feedstock Breakdown'!BX$3*'[2]Feedstock Conversion Rates'!$B$5)/12</f>
        <v>7.2354166666666666</v>
      </c>
      <c r="BY310" s="45">
        <f>('[2]Renewable Diesel'!$Z319*'[2]RD Feedstock Breakdown'!BY$3*'[2]Feedstock Conversion Rates'!$B$7)/12</f>
        <v>61.716666666666661</v>
      </c>
      <c r="BZ310" s="45">
        <f>('[2]Renewable Diesel'!$Z319*'[2]RD Feedstock Breakdown'!BZ$3*'[2]Feedstock Conversion Rates'!$B$3)/12</f>
        <v>15.352499999999999</v>
      </c>
      <c r="CA310" s="47">
        <f t="shared" si="262"/>
        <v>156.17958333333331</v>
      </c>
      <c r="CB310" s="45">
        <f>('[2]Renewable Diesel'!AA319*'[2]Feedstock Conversion Rates'!B$4)/12</f>
        <v>191.25</v>
      </c>
      <c r="CC310" s="47">
        <f t="shared" si="250"/>
        <v>191.25</v>
      </c>
      <c r="CD310" s="45">
        <f>('[2]Renewable Diesel'!$AB319*'[2]RD Feedstock Breakdown'!CD$3*'[2]Feedstock Conversion Rates'!$B$6)/12-15-5</f>
        <v>12.830000000000005</v>
      </c>
      <c r="CE310" s="45">
        <f>('[2]Renewable Diesel'!$AB319*'[2]RD Feedstock Breakdown'!CE$3*'[2]Feedstock Conversion Rates'!$B$4)/12+15+5</f>
        <v>31.25</v>
      </c>
      <c r="CF310" s="47">
        <f t="shared" si="247"/>
        <v>44.080000000000005</v>
      </c>
      <c r="CG310" s="45">
        <f>('[2]Renewable Diesel'!AD319*'[2]Feedstock Conversion Rates'!B$4)/12</f>
        <v>112.5</v>
      </c>
      <c r="CH310" s="47">
        <f t="shared" si="230"/>
        <v>112.5</v>
      </c>
      <c r="CI310" s="45">
        <f>('[2]Renewable Diesel'!$AE319*'[2]RD Feedstock Breakdown'!CI$3*'[2]Feedstock Conversion Rates'!$B$5)/12</f>
        <v>0.34604166666666664</v>
      </c>
      <c r="CJ310" s="45">
        <f>('[2]Renewable Diesel'!$AE319*'[2]RD Feedstock Breakdown'!CJ$3*'[2]Feedstock Conversion Rates'!$B$4)/12</f>
        <v>0.34375</v>
      </c>
      <c r="CK310" s="47">
        <f t="shared" si="238"/>
        <v>0.68979166666666658</v>
      </c>
      <c r="CL310" s="45">
        <f>(((CL$3*'[2]Renewable Diesel'!$AF319)*'[2]Feedstock Conversion Rates'!$B$3)/12)</f>
        <v>91.78125</v>
      </c>
      <c r="CM310" s="45">
        <f>(((CM$3*'[2]Renewable Diesel'!$AF319)*'[2]Feedstock Conversion Rates'!$B$6)/12)</f>
        <v>53.739583333333336</v>
      </c>
      <c r="CN310" s="45">
        <f>(((CN$3*'[2]Renewable Diesel'!$AF319)*'[2]Feedstock Conversion Rates'!$B$4)/12)</f>
        <v>42.96875</v>
      </c>
      <c r="CO310" s="47">
        <f t="shared" si="232"/>
        <v>188.48958333333334</v>
      </c>
      <c r="CP310" s="45">
        <f>('[2]Renewable Diesel'!$AG319*'[2]RD Feedstock Breakdown'!CP$3*'[2]Feedstock Conversion Rates'!$B$3)/12</f>
        <v>6.0075000000000003</v>
      </c>
      <c r="CQ310" s="45">
        <f>('[2]Renewable Diesel'!$AG319*'[2]RD Feedstock Breakdown'!CQ$3*'[2]Feedstock Conversion Rates'!$B$6)/12</f>
        <v>3.5175000000000001</v>
      </c>
      <c r="CR310" s="45">
        <f>('[2]Renewable Diesel'!$AG319*'[2]RD Feedstock Breakdown'!CR$3*'[2]Feedstock Conversion Rates'!$B$4)/12</f>
        <v>2.8125</v>
      </c>
      <c r="CS310" s="47">
        <f t="shared" si="267"/>
        <v>12.3375</v>
      </c>
      <c r="CT310" s="45">
        <f>('[2]Renewable Diesel'!AI319*'[2]Feedstock Conversion Rates'!$B$4*'[2]RD Feedstock Breakdown'!$CT$3)/12</f>
        <v>29.375</v>
      </c>
      <c r="CU310" s="47">
        <f t="shared" si="234"/>
        <v>29.375</v>
      </c>
      <c r="CV310" s="45">
        <f>('[2]Renewable Diesel'!AN319*'[2]Feedstock Conversion Rates'!$B$3*'[2]RD Feedstock Breakdown'!$CV$3)/12</f>
        <v>0.50062499999999999</v>
      </c>
      <c r="CW310" s="47">
        <f t="shared" si="206"/>
        <v>0.50062499999999999</v>
      </c>
      <c r="CX310" s="45">
        <f>('[2]Renewable Diesel'!AO319*'[2]RD Feedstock Breakdown'!$CX$3*'[2]Feedstock Conversion Rates'!$B$3)/12</f>
        <v>6.3412499999999996</v>
      </c>
      <c r="CY310" s="45">
        <f>('[2]Renewable Diesel'!AO319*'[2]RD Feedstock Breakdown'!$CY$3*'[2]Feedstock Conversion Rates'!$B$6)/12</f>
        <v>7.4258333333333342</v>
      </c>
      <c r="CZ310" s="47">
        <f t="shared" si="268"/>
        <v>13.767083333333334</v>
      </c>
      <c r="DA310" s="45">
        <f>('[2]Renewable Diesel'!$AP319*'[2]RD Feedstock Breakdown'!DA$3*'[2]Feedstock Conversion Rates'!$B$3)/12</f>
        <v>6.3412499999999996</v>
      </c>
      <c r="DB310" s="45">
        <f>('[2]Renewable Diesel'!$AP319*'[2]RD Feedstock Breakdown'!DB$3*'[2]Feedstock Conversion Rates'!$B$8)/12</f>
        <v>7.421875</v>
      </c>
      <c r="DC310" s="47">
        <f t="shared" si="212"/>
        <v>13.763124999999999</v>
      </c>
      <c r="DD310" s="45">
        <f>('[2]Renewable Diesel'!AQ319*$DD$3*'[2]Feedstock Conversion Rates'!$B$14)/12</f>
        <v>3.1041666666666665</v>
      </c>
      <c r="DE310" s="47">
        <f t="shared" si="213"/>
        <v>3.1041666666666665</v>
      </c>
      <c r="DF310" s="45">
        <f>('[2]Renewable Diesel'!AR319*'[2]Feedstock Conversion Rates'!$B$4*$DF$3)/12</f>
        <v>75</v>
      </c>
      <c r="DG310" s="47">
        <f t="shared" si="269"/>
        <v>75</v>
      </c>
      <c r="DH310" s="45">
        <f>('[2]Renewable Diesel'!AS319*'[2]Feedstock Conversion Rates'!$B$4*$DH$3)/12</f>
        <v>75</v>
      </c>
      <c r="DI310" s="47">
        <f t="shared" si="194"/>
        <v>75</v>
      </c>
      <c r="DJ310" s="45">
        <f>('[2]Renewable Diesel'!AT319*'[2]Feedstock Conversion Rates'!$B$4*0.25)/12</f>
        <v>8.59375</v>
      </c>
      <c r="DK310" s="45">
        <f>('[2]Renewable Diesel'!$AT319*'[2]RD Feedstock Breakdown'!DK$3*'[2]Feedstock Conversion Rates'!$B$3)/12*0.5</f>
        <v>9.1781249999999996</v>
      </c>
      <c r="DL310" s="45">
        <f>('[2]Renewable Diesel'!$AT319*'[2]RD Feedstock Breakdown'!$DL$3*'[2]Feedstock Conversion Rates'!$B$6)/12</f>
        <v>10.747916666666669</v>
      </c>
      <c r="DM310" s="45">
        <f>('[2]Renewable Diesel'!$AT319*'[2]RD Feedstock Breakdown'!$DM$3*'[2]Feedstock Conversion Rates'!$B$8)/12</f>
        <v>10.7421875</v>
      </c>
      <c r="DN310" s="47">
        <f t="shared" si="249"/>
        <v>39.26197916666667</v>
      </c>
      <c r="DP310" s="45">
        <f t="shared" si="216"/>
        <v>48.220250000000007</v>
      </c>
      <c r="DQ310" s="45">
        <f t="shared" si="217"/>
        <v>409.11776750000001</v>
      </c>
      <c r="DR310" s="45">
        <f t="shared" si="224"/>
        <v>2041.953125</v>
      </c>
      <c r="DS310" s="45">
        <f t="shared" si="235"/>
        <v>228.90125</v>
      </c>
      <c r="DT310" s="45">
        <f t="shared" si="218"/>
        <v>208.03923333333341</v>
      </c>
      <c r="DU310" s="45">
        <f t="shared" si="219"/>
        <v>242.90610000000004</v>
      </c>
      <c r="DV310" s="45">
        <f t="shared" si="225"/>
        <v>78.75</v>
      </c>
      <c r="DW310" s="45">
        <f t="shared" si="220"/>
        <v>3</v>
      </c>
      <c r="DX310" s="47">
        <f t="shared" si="226"/>
        <v>3260.8877258333337</v>
      </c>
      <c r="DY310" s="50">
        <f t="shared" si="208"/>
        <v>-5.631051180898794E-13</v>
      </c>
      <c r="EA310" s="51">
        <f t="shared" si="263"/>
        <v>1.4787460978184128E-2</v>
      </c>
      <c r="EB310" s="51">
        <f t="shared" si="263"/>
        <v>0.12546208330292888</v>
      </c>
      <c r="EC310" s="51">
        <f t="shared" si="263"/>
        <v>0.62619547089072813</v>
      </c>
      <c r="ED310" s="51">
        <f t="shared" si="261"/>
        <v>7.0195992393912707E-2</v>
      </c>
      <c r="EE310" s="51">
        <f t="shared" si="261"/>
        <v>6.3798342912946532E-2</v>
      </c>
      <c r="EF310" s="51">
        <f t="shared" si="261"/>
        <v>7.4490789141758745E-2</v>
      </c>
      <c r="EG310" s="51">
        <f t="shared" si="261"/>
        <v>2.4149865503227379E-2</v>
      </c>
      <c r="EH310" s="52">
        <f t="shared" si="227"/>
        <v>9.1999487631342389E-4</v>
      </c>
      <c r="EI310" s="51">
        <f t="shared" si="271"/>
        <v>0.99908000512368655</v>
      </c>
      <c r="EK310" s="53">
        <f>(EA310*'[2]Renewable Diesel'!BF319*'[2]Feedstock Conversion Rates'!B$2)+FB310</f>
        <v>88.076808419938487</v>
      </c>
      <c r="EL310" s="53">
        <f>(EB310*'[2]Renewable Diesel'!BF319*'[2]Feedstock Conversion Rates'!B$3)+FC310</f>
        <v>704.19679236936736</v>
      </c>
      <c r="EM310" s="53">
        <f>(EC310*'[2]Renewable Diesel'!BF319*'[2]Feedstock Conversion Rates'!B$4)+FD310</f>
        <v>3290.9419162095924</v>
      </c>
      <c r="EN310" s="53">
        <f>(ED310*'[2]Renewable Diesel'!BF319*'[2]Feedstock Conversion Rates'!B$5)+FE310</f>
        <v>371.371268910212</v>
      </c>
      <c r="EO310" s="53">
        <f>(EE310*'[2]Renewable Diesel'!BF319*'[2]Feedstock Conversion Rates'!B$6)+FF310</f>
        <v>419.3351507582218</v>
      </c>
      <c r="EP310" s="53">
        <f>(EF310*'[2]Renewable Diesel'!BF319*'[2]Feedstock Conversion Rates'!B$7)+FG310</f>
        <v>480.2191051913</v>
      </c>
      <c r="EQ310" s="53">
        <f>(EG310*'[2]Renewable Diesel'!BF319*'[2]Feedstock Conversion Rates'!B$8)+FH310</f>
        <v>158.64815450985529</v>
      </c>
      <c r="ER310" s="53">
        <f>(EH310*'[2]Renewable Diesel'!BF319*'[2]Feedstock Conversion Rates'!B$9)+FI310</f>
        <v>5.9631560298307491</v>
      </c>
      <c r="ES310" s="53">
        <f t="shared" si="228"/>
        <v>5518.7523523983173</v>
      </c>
      <c r="ET310" s="36">
        <f>ES310/'[2]Renewable Diesel'!BF319</f>
        <v>7.8757491381518001</v>
      </c>
    </row>
    <row r="311" spans="1:150" x14ac:dyDescent="0.25">
      <c r="A311" s="39">
        <v>49888</v>
      </c>
      <c r="B311" s="45">
        <f t="shared" si="264"/>
        <v>59.25</v>
      </c>
      <c r="C311" s="45">
        <f t="shared" si="251"/>
        <v>49</v>
      </c>
      <c r="D311" s="45">
        <f t="shared" si="265"/>
        <v>2</v>
      </c>
      <c r="E311" s="45">
        <f>('[2]Renewable Diesel'!B320*E$3*'[2]Feedstock Conversion Rates'!$B$2)/12+26+13-100+27.5+39</f>
        <v>95.43</v>
      </c>
      <c r="F311" s="45">
        <f>('[2]Renewable Diesel'!B320*'[2]RD Feedstock Breakdown'!F$3*'[2]Feedstock Conversion Rates'!B$8)/12+77+23-10-12-115.75+24+8</f>
        <v>48.15625</v>
      </c>
      <c r="G311" s="45">
        <f>('[2]Renewable Diesel'!B320*'[2]RD Feedstock Breakdown'!G$3*'[2]Feedstock Conversion Rates'!B$7)/12+116.75-39-57.5-145-31.5+32+70-40+10-35</f>
        <v>56.907000000000039</v>
      </c>
      <c r="H311" s="45">
        <f>('[2]Renewable Diesel'!B320*'[2]RD Feedstock Breakdown'!H$3*'[2]Feedstock Conversion Rates'!B$3)/12+67+10+12+3-235+20+47-20+105</f>
        <v>185.40022499999998</v>
      </c>
      <c r="I311" s="47">
        <f t="shared" si="245"/>
        <v>496.14347500000002</v>
      </c>
      <c r="J311" s="45">
        <f t="shared" si="266"/>
        <v>69</v>
      </c>
      <c r="K311" s="45"/>
      <c r="L311" s="45">
        <v>1</v>
      </c>
      <c r="M311" s="45">
        <f>('[2]Renewable Diesel'!C320*'[2]RD Feedstock Breakdown'!M$3*'[2]Feedstock Conversion Rates'!B$2)/12-55</f>
        <v>-47.20975</v>
      </c>
      <c r="N311" s="45">
        <f>('[2]Renewable Diesel'!C320*'[2]RD Feedstock Breakdown'!N$3*'[2]Feedstock Conversion Rates'!B$8)/12</f>
        <v>3.671875</v>
      </c>
      <c r="O311" s="45">
        <f>('[2]Renewable Diesel'!C320*'[2]RD Feedstock Breakdown'!O$3*'[2]Feedstock Conversion Rates'!B$7)/12-65</f>
        <v>-53.000900000000001</v>
      </c>
      <c r="P311" s="45">
        <f>('[2]Renewable Diesel'!C320*'[2]RD Feedstock Breakdown'!P$3*'[2]Feedstock Conversion Rates'!B$3)/12+15+35</f>
        <v>60.447042500000002</v>
      </c>
      <c r="Q311" s="47">
        <f t="shared" si="252"/>
        <v>33.908267500000001</v>
      </c>
      <c r="R311" s="45">
        <f>('[2]Renewable Diesel'!D320*'[2]RD Feedstock Breakdown'!R$3*'[2]Feedstock Conversion Rates'!B$7)/12</f>
        <v>2.2999999999999998</v>
      </c>
      <c r="S311" s="47">
        <f t="shared" si="203"/>
        <v>2.2999999999999998</v>
      </c>
      <c r="T311" s="45">
        <f t="shared" si="253"/>
        <v>0.82499999999999929</v>
      </c>
      <c r="U311" s="45"/>
      <c r="V311" s="45">
        <f>('[2]Renewable Diesel'!E320*'[2]RD Feedstock Breakdown'!V$3*'[2]Feedstock Conversion Rates'!B$6)/12-20+25</f>
        <v>49.250150000000012</v>
      </c>
      <c r="W311" s="45">
        <f>('[2]Renewable Diesel'!E320*'[2]RD Feedstock Breakdown'!W$3*'[2]Feedstock Conversion Rates'!B$8)/12-6</f>
        <v>16.1796875</v>
      </c>
      <c r="X311" s="47">
        <f t="shared" si="229"/>
        <v>66.254837500000008</v>
      </c>
      <c r="Y311" s="45">
        <f t="shared" si="254"/>
        <v>98</v>
      </c>
      <c r="Z311" s="45">
        <f>('[2]Renewable Diesel'!F320*'[2]RD Feedstock Breakdown'!Z$3*'[2]Feedstock Conversion Rates'!B$6)/12-142+15+10</f>
        <v>42.460000000000008</v>
      </c>
      <c r="AA311" s="45">
        <f>('[2]Renewable Diesel'!F320*'[2]RD Feedstock Breakdown'!AA$3*'[2]Feedstock Conversion Rates'!B$7)/12+24</f>
        <v>128.26666666666665</v>
      </c>
      <c r="AB311" s="47">
        <f t="shared" si="270"/>
        <v>268.72666666666669</v>
      </c>
      <c r="AC311" s="45">
        <f>('[2]Renewable Diesel'!G320*'[2]RD Feedstock Breakdown'!AC$3*'[2]Feedstock Conversion Rates'!B$5)/12</f>
        <v>11.796875</v>
      </c>
      <c r="AD311" s="45">
        <f>('[2]Renewable Diesel'!G320*'[2]RD Feedstock Breakdown'!AD$3*'[2]Feedstock Conversion Rates'!B$4)/12</f>
        <v>5.859375</v>
      </c>
      <c r="AE311" s="45">
        <f>('[2]Renewable Diesel'!G320*'[2]RD Feedstock Breakdown'!AE$3*'[2]Feedstock Conversion Rates'!B$6)/12</f>
        <v>7.3281250000000009</v>
      </c>
      <c r="AF311" s="47">
        <f t="shared" si="236"/>
        <v>24.984375</v>
      </c>
      <c r="AG311" s="45">
        <f t="shared" si="259"/>
        <v>148</v>
      </c>
      <c r="AH311" s="45"/>
      <c r="AI311" s="45">
        <f>('[2]Renewable Diesel'!H320*'[2]RD Feedstock Breakdown'!AI$3*'[2]Feedstock Conversion Rates'!B$6)/12-130-20+51-49</f>
        <v>0.51666666666667993</v>
      </c>
      <c r="AJ311" s="47">
        <f t="shared" si="202"/>
        <v>148.51666666666668</v>
      </c>
      <c r="AK311" s="45">
        <f>('[2]Renewable Diesel'!J320*'[2]RD Feedstock Breakdown'!AK$3*'[2]Feedstock Conversion Rates'!B$4)/12</f>
        <v>95.8125</v>
      </c>
      <c r="AL311" s="47">
        <f t="shared" si="205"/>
        <v>95.8125</v>
      </c>
      <c r="AM311" s="45">
        <f>('[2]Renewable Diesel'!K320*'[2]RD Feedstock Breakdown'!AM$3*'[2]Feedstock Conversion Rates'!B$4)/12+5+15-10+10</f>
        <v>78.59375</v>
      </c>
      <c r="AN311" s="45">
        <f>('[2]Renewable Diesel'!K320*'[2]RD Feedstock Breakdown'!AN$3*'[2]Feedstock Conversion Rates'!B$6)/12-5-15+10-10</f>
        <v>4.4270833333333321</v>
      </c>
      <c r="AO311" s="47">
        <f t="shared" si="223"/>
        <v>83.020833333333329</v>
      </c>
      <c r="AP311" s="45">
        <f>('[2]Renewable Diesel'!L320*'[2]RD Feedstock Breakdown'!AP$3*'[2]Feedstock Conversion Rates'!B$4)/12+15-10+15</f>
        <v>78.59375</v>
      </c>
      <c r="AQ311" s="45">
        <f>('[2]Renewable Diesel'!L320*'[2]RD Feedstock Breakdown'!AQ$3*'[2]Feedstock Conversion Rates'!B$6)/12-15+10-15</f>
        <v>4.4270833333333321</v>
      </c>
      <c r="AR311" s="47">
        <f t="shared" si="207"/>
        <v>83.020833333333329</v>
      </c>
      <c r="AS311" s="45">
        <f>('[2]Renewable Diesel'!M320*'[2]RD Feedstock Breakdown'!AS$3*'[2]Feedstock Conversion Rates'!B$4)/12</f>
        <v>456.25</v>
      </c>
      <c r="AT311" s="45">
        <f>('[2]Renewable Diesel'!M320*'[2]RD Feedstock Breakdown'!AT$3*'[2]Feedstock Conversion Rates'!B$5)/12</f>
        <v>0</v>
      </c>
      <c r="AU311" s="47">
        <f t="shared" si="244"/>
        <v>456.25</v>
      </c>
      <c r="AV311" s="45">
        <f>'[2]Renewable Diesel'!N320*'[2]RD Feedstock Breakdown'!$AV$3*'[2]Feedstock Conversion Rates'!$B$4/12-15-10+25+25-22+25</f>
        <v>106.74999999999999</v>
      </c>
      <c r="AW311" s="45">
        <f>'[2]Renewable Diesel'!N320*'[2]RD Feedstock Breakdown'!$AW$3*'[2]Feedstock Conversion Rates'!$B$7/12+15+10-25-25+22-25</f>
        <v>13.400000000000006</v>
      </c>
      <c r="AX311" s="47">
        <f t="shared" ref="AX311:AX374" si="272">SUM(AV311:AW311)</f>
        <v>120.14999999999999</v>
      </c>
      <c r="AY311" s="45">
        <f>('[2]Renewable Diesel'!O320*'[2]RD Feedstock Breakdown'!AY$3*'[2]Feedstock Conversion Rates'!B$4)/12</f>
        <v>210.9375</v>
      </c>
      <c r="AZ311" s="45">
        <f>('[2]Renewable Diesel'!O320*'[2]RD Feedstock Breakdown'!AZ$3*'[2]Feedstock Conversion Rates'!B$3)/12</f>
        <v>25.03125</v>
      </c>
      <c r="BA311" s="47">
        <f t="shared" si="255"/>
        <v>235.96875</v>
      </c>
      <c r="BB311" s="45">
        <f>('[2]Renewable Diesel'!Q320*'[2]RD Feedstock Breakdown'!BB$3*'[2]Feedstock Conversion Rates'!B$4)/12</f>
        <v>11.156249999999998</v>
      </c>
      <c r="BC311" s="45">
        <f>('[2]Renewable Diesel'!Q320*'[2]RD Feedstock Breakdown'!BC$3*'[2]Feedstock Conversion Rates'!B$3)/12</f>
        <v>1.4017500000000001</v>
      </c>
      <c r="BD311" s="45">
        <f>('[2]Renewable Diesel'!Q320*'[2]RD Feedstock Breakdown'!BD$3*'[2]Feedstock Conversion Rates'!B$6)/12</f>
        <v>0.8207500000000002</v>
      </c>
      <c r="BE311" s="47">
        <f t="shared" si="231"/>
        <v>13.378749999999998</v>
      </c>
      <c r="BF311" s="45">
        <f>('[2]Renewable Diesel'!R320*'[2]RD Feedstock Breakdown'!BF$3*'[2]Feedstock Conversion Rates'!B$4)/12</f>
        <v>62.5</v>
      </c>
      <c r="BG311" s="47">
        <f t="shared" si="215"/>
        <v>62.5</v>
      </c>
      <c r="BH311" s="45">
        <f>('[2]Renewable Diesel'!T320*'[2]RD Feedstock Breakdown'!BH$3*'[2]Feedstock Conversion Rates'!B$7)/12</f>
        <v>27.599999999999998</v>
      </c>
      <c r="BI311" s="47">
        <f t="shared" si="195"/>
        <v>27.599999999999998</v>
      </c>
      <c r="BJ311" s="45">
        <f>('[2]Renewable Diesel'!W320*'[2]RD Feedstock Breakdown'!BJ$3*'[2]Feedstock Conversion Rates'!B$4)/12</f>
        <v>7.5</v>
      </c>
      <c r="BK311" s="45">
        <f>('[2]Renewable Diesel'!W320*'[2]RD Feedstock Breakdown'!BK$3*'[2]Feedstock Conversion Rates'!B$3)/12</f>
        <v>1.335</v>
      </c>
      <c r="BL311" s="45">
        <f>('[2]Renewable Diesel'!W320*'[2]RD Feedstock Breakdown'!BL$3*'[2]Feedstock Conversion Rates'!B$6)/12</f>
        <v>3.1266666666666669</v>
      </c>
      <c r="BM311" s="45">
        <f>('[2]Renewable Diesel'!W320*'[2]RD Feedstock Breakdown'!BM$3*'[2]Feedstock Conversion Rates'!B$7)/12</f>
        <v>1.5333333333333332</v>
      </c>
      <c r="BN311" s="47">
        <f t="shared" si="248"/>
        <v>13.495000000000001</v>
      </c>
      <c r="BO311" s="45">
        <f>('[2]Renewable Diesel'!P320*'[2]Feedstock Conversion Rates'!B$4)/12</f>
        <v>31.25</v>
      </c>
      <c r="BP311" s="47">
        <f t="shared" si="237"/>
        <v>31.25</v>
      </c>
      <c r="BQ311" s="45">
        <f>('[2]Renewable Diesel'!$S320*'[2]RD Feedstock Breakdown'!BQ$3*'[2]Feedstock Conversion Rates'!B$4)/12+10+15-15</f>
        <v>38.125</v>
      </c>
      <c r="BR311" s="45">
        <f>('[2]Renewable Diesel'!$S320*'[2]RD Feedstock Breakdown'!BR$3*'[2]Feedstock Conversion Rates'!B$7)/12-10-15+15</f>
        <v>1.5</v>
      </c>
      <c r="BS311" s="47">
        <f t="shared" si="260"/>
        <v>39.625</v>
      </c>
      <c r="BT311" s="47"/>
      <c r="BU311" s="45">
        <f>('[2]Renewable Diesel'!Y320*'[2]Feedstock Conversion Rates'!B$7)/12</f>
        <v>2.6833333333333331</v>
      </c>
      <c r="BV311" s="47">
        <f t="shared" si="233"/>
        <v>2.6833333333333331</v>
      </c>
      <c r="BW311" s="45">
        <f>('[2]Renewable Diesel'!$Z320*'[2]RD Feedstock Breakdown'!BW$3*'[2]Feedstock Conversion Rates'!$B$4)/12</f>
        <v>71.875</v>
      </c>
      <c r="BX311" s="45">
        <f>('[2]Renewable Diesel'!$Z320*'[2]RD Feedstock Breakdown'!BX$3*'[2]Feedstock Conversion Rates'!$B$5)/12</f>
        <v>7.2354166666666666</v>
      </c>
      <c r="BY311" s="45">
        <f>('[2]Renewable Diesel'!$Z320*'[2]RD Feedstock Breakdown'!BY$3*'[2]Feedstock Conversion Rates'!$B$7)/12</f>
        <v>61.716666666666661</v>
      </c>
      <c r="BZ311" s="45">
        <f>('[2]Renewable Diesel'!$Z320*'[2]RD Feedstock Breakdown'!BZ$3*'[2]Feedstock Conversion Rates'!$B$3)/12</f>
        <v>15.352499999999999</v>
      </c>
      <c r="CA311" s="47">
        <f t="shared" si="262"/>
        <v>156.17958333333331</v>
      </c>
      <c r="CB311" s="45">
        <f>('[2]Renewable Diesel'!AA320*'[2]Feedstock Conversion Rates'!B$4)/12</f>
        <v>191.25</v>
      </c>
      <c r="CC311" s="47">
        <f t="shared" si="250"/>
        <v>191.25</v>
      </c>
      <c r="CD311" s="45">
        <f>('[2]Renewable Diesel'!$AB320*'[2]RD Feedstock Breakdown'!CD$3*'[2]Feedstock Conversion Rates'!$B$6)/12-15-5</f>
        <v>12.830000000000005</v>
      </c>
      <c r="CE311" s="45">
        <f>('[2]Renewable Diesel'!$AB320*'[2]RD Feedstock Breakdown'!CE$3*'[2]Feedstock Conversion Rates'!$B$4)/12+15+5</f>
        <v>31.25</v>
      </c>
      <c r="CF311" s="47">
        <f t="shared" si="247"/>
        <v>44.080000000000005</v>
      </c>
      <c r="CG311" s="45">
        <f>('[2]Renewable Diesel'!AD320*'[2]Feedstock Conversion Rates'!B$4)/12</f>
        <v>112.5</v>
      </c>
      <c r="CH311" s="47">
        <f t="shared" si="230"/>
        <v>112.5</v>
      </c>
      <c r="CI311" s="45">
        <f>('[2]Renewable Diesel'!$AE320*'[2]RD Feedstock Breakdown'!CI$3*'[2]Feedstock Conversion Rates'!$B$5)/12</f>
        <v>0.34604166666666664</v>
      </c>
      <c r="CJ311" s="45">
        <f>('[2]Renewable Diesel'!$AE320*'[2]RD Feedstock Breakdown'!CJ$3*'[2]Feedstock Conversion Rates'!$B$4)/12</f>
        <v>0.34375</v>
      </c>
      <c r="CK311" s="47">
        <f t="shared" si="238"/>
        <v>0.68979166666666658</v>
      </c>
      <c r="CL311" s="45">
        <f>(((CL$3*'[2]Renewable Diesel'!$AF320)*'[2]Feedstock Conversion Rates'!$B$3)/12)</f>
        <v>91.78125</v>
      </c>
      <c r="CM311" s="45">
        <f>(((CM$3*'[2]Renewable Diesel'!$AF320)*'[2]Feedstock Conversion Rates'!$B$6)/12)</f>
        <v>53.739583333333336</v>
      </c>
      <c r="CN311" s="45">
        <f>(((CN$3*'[2]Renewable Diesel'!$AF320)*'[2]Feedstock Conversion Rates'!$B$4)/12)</f>
        <v>42.96875</v>
      </c>
      <c r="CO311" s="47">
        <f t="shared" si="232"/>
        <v>188.48958333333334</v>
      </c>
      <c r="CP311" s="45">
        <f>('[2]Renewable Diesel'!$AG320*'[2]RD Feedstock Breakdown'!CP$3*'[2]Feedstock Conversion Rates'!$B$3)/12</f>
        <v>6.0075000000000003</v>
      </c>
      <c r="CQ311" s="45">
        <f>('[2]Renewable Diesel'!$AG320*'[2]RD Feedstock Breakdown'!CQ$3*'[2]Feedstock Conversion Rates'!$B$6)/12</f>
        <v>3.5175000000000001</v>
      </c>
      <c r="CR311" s="45">
        <f>('[2]Renewable Diesel'!$AG320*'[2]RD Feedstock Breakdown'!CR$3*'[2]Feedstock Conversion Rates'!$B$4)/12</f>
        <v>2.8125</v>
      </c>
      <c r="CS311" s="47">
        <f t="shared" si="267"/>
        <v>12.3375</v>
      </c>
      <c r="CT311" s="45">
        <f>('[2]Renewable Diesel'!AI320*'[2]Feedstock Conversion Rates'!$B$4*'[2]RD Feedstock Breakdown'!$CT$3)/12</f>
        <v>29.375</v>
      </c>
      <c r="CU311" s="47">
        <f t="shared" si="234"/>
        <v>29.375</v>
      </c>
      <c r="CV311" s="45">
        <f>('[2]Renewable Diesel'!AN320*'[2]Feedstock Conversion Rates'!$B$3*'[2]RD Feedstock Breakdown'!$CV$3)/12</f>
        <v>0.50062499999999999</v>
      </c>
      <c r="CW311" s="47">
        <f t="shared" si="206"/>
        <v>0.50062499999999999</v>
      </c>
      <c r="CX311" s="45">
        <f>('[2]Renewable Diesel'!AO320*'[2]RD Feedstock Breakdown'!$CX$3*'[2]Feedstock Conversion Rates'!$B$3)/12</f>
        <v>6.3412499999999996</v>
      </c>
      <c r="CY311" s="45">
        <f>('[2]Renewable Diesel'!AO320*'[2]RD Feedstock Breakdown'!$CY$3*'[2]Feedstock Conversion Rates'!$B$6)/12</f>
        <v>7.4258333333333342</v>
      </c>
      <c r="CZ311" s="47">
        <f t="shared" si="268"/>
        <v>13.767083333333334</v>
      </c>
      <c r="DA311" s="45">
        <f>('[2]Renewable Diesel'!$AP320*'[2]RD Feedstock Breakdown'!DA$3*'[2]Feedstock Conversion Rates'!$B$3)/12</f>
        <v>6.3412499999999996</v>
      </c>
      <c r="DB311" s="45">
        <f>('[2]Renewable Diesel'!$AP320*'[2]RD Feedstock Breakdown'!DB$3*'[2]Feedstock Conversion Rates'!$B$8)/12</f>
        <v>7.421875</v>
      </c>
      <c r="DC311" s="47">
        <f t="shared" si="212"/>
        <v>13.763124999999999</v>
      </c>
      <c r="DD311" s="45">
        <f>('[2]Renewable Diesel'!AQ320*$DD$3*'[2]Feedstock Conversion Rates'!$B$14)/12</f>
        <v>3.1041666666666665</v>
      </c>
      <c r="DE311" s="47">
        <f t="shared" si="213"/>
        <v>3.1041666666666665</v>
      </c>
      <c r="DF311" s="45">
        <f>('[2]Renewable Diesel'!AR320*'[2]Feedstock Conversion Rates'!$B$4*$DF$3)/12</f>
        <v>75</v>
      </c>
      <c r="DG311" s="47">
        <f t="shared" si="269"/>
        <v>75</v>
      </c>
      <c r="DH311" s="45">
        <f>('[2]Renewable Diesel'!AS320*'[2]Feedstock Conversion Rates'!$B$4*$DH$3)/12</f>
        <v>75</v>
      </c>
      <c r="DI311" s="47">
        <f t="shared" si="194"/>
        <v>75</v>
      </c>
      <c r="DJ311" s="45">
        <f>('[2]Renewable Diesel'!AT320*'[2]Feedstock Conversion Rates'!$B$4*0.25)/12</f>
        <v>8.59375</v>
      </c>
      <c r="DK311" s="45">
        <f>('[2]Renewable Diesel'!$AT320*'[2]RD Feedstock Breakdown'!DK$3*'[2]Feedstock Conversion Rates'!$B$3)/12*0.5</f>
        <v>9.1781249999999996</v>
      </c>
      <c r="DL311" s="45">
        <f>('[2]Renewable Diesel'!$AT320*'[2]RD Feedstock Breakdown'!$DL$3*'[2]Feedstock Conversion Rates'!$B$6)/12</f>
        <v>10.747916666666669</v>
      </c>
      <c r="DM311" s="45">
        <f>('[2]Renewable Diesel'!$AT320*'[2]RD Feedstock Breakdown'!$DM$3*'[2]Feedstock Conversion Rates'!$B$8)/12</f>
        <v>10.7421875</v>
      </c>
      <c r="DN311" s="47">
        <f t="shared" si="249"/>
        <v>39.26197916666667</v>
      </c>
      <c r="DP311" s="45">
        <f t="shared" si="216"/>
        <v>48.220250000000007</v>
      </c>
      <c r="DQ311" s="45">
        <f t="shared" si="217"/>
        <v>409.11776750000001</v>
      </c>
      <c r="DR311" s="45">
        <f t="shared" si="224"/>
        <v>2041.953125</v>
      </c>
      <c r="DS311" s="45">
        <f t="shared" si="235"/>
        <v>228.90125</v>
      </c>
      <c r="DT311" s="45">
        <f t="shared" si="218"/>
        <v>208.03923333333341</v>
      </c>
      <c r="DU311" s="45">
        <f t="shared" si="219"/>
        <v>242.90610000000004</v>
      </c>
      <c r="DV311" s="45">
        <f t="shared" si="225"/>
        <v>78.75</v>
      </c>
      <c r="DW311" s="45">
        <f t="shared" si="220"/>
        <v>3</v>
      </c>
      <c r="DX311" s="47">
        <f t="shared" si="226"/>
        <v>3260.8877258333337</v>
      </c>
      <c r="DY311" s="50">
        <f t="shared" si="208"/>
        <v>-5.631051180898794E-13</v>
      </c>
      <c r="EA311" s="51">
        <f t="shared" si="263"/>
        <v>1.4787460978184128E-2</v>
      </c>
      <c r="EB311" s="51">
        <f t="shared" si="263"/>
        <v>0.12546208330292888</v>
      </c>
      <c r="EC311" s="51">
        <f t="shared" si="263"/>
        <v>0.62619547089072813</v>
      </c>
      <c r="ED311" s="51">
        <f t="shared" si="261"/>
        <v>7.0195992393912707E-2</v>
      </c>
      <c r="EE311" s="51">
        <f t="shared" si="261"/>
        <v>6.3798342912946532E-2</v>
      </c>
      <c r="EF311" s="51">
        <f t="shared" si="261"/>
        <v>7.4490789141758745E-2</v>
      </c>
      <c r="EG311" s="51">
        <f t="shared" si="261"/>
        <v>2.4149865503227379E-2</v>
      </c>
      <c r="EH311" s="52">
        <f t="shared" si="227"/>
        <v>9.1999487631342389E-4</v>
      </c>
      <c r="EI311" s="51">
        <f t="shared" si="271"/>
        <v>0.99908000512368655</v>
      </c>
      <c r="EK311" s="53">
        <f>(EA311*'[2]Renewable Diesel'!BF320*'[2]Feedstock Conversion Rates'!B$2)+FB311</f>
        <v>92.668507930797034</v>
      </c>
      <c r="EL311" s="53">
        <f>(EB311*'[2]Renewable Diesel'!BF320*'[2]Feedstock Conversion Rates'!B$3)+FC311</f>
        <v>740.90861384743323</v>
      </c>
      <c r="EM311" s="53">
        <f>(EC311*'[2]Renewable Diesel'!BF320*'[2]Feedstock Conversion Rates'!B$4)+FD311</f>
        <v>3462.5082644686736</v>
      </c>
      <c r="EN311" s="53">
        <f>(ED311*'[2]Renewable Diesel'!BF320*'[2]Feedstock Conversion Rates'!B$5)+FE311</f>
        <v>390.73193041002088</v>
      </c>
      <c r="EO311" s="53">
        <f>(EE311*'[2]Renewable Diesel'!BF320*'[2]Feedstock Conversion Rates'!B$6)+FF311</f>
        <v>441.19630854952118</v>
      </c>
      <c r="EP311" s="53">
        <f>(EF311*'[2]Renewable Diesel'!BF320*'[2]Feedstock Conversion Rates'!B$7)+FG311</f>
        <v>505.25432013572191</v>
      </c>
      <c r="EQ311" s="53">
        <f>(EG311*'[2]Renewable Diesel'!BF320*'[2]Feedstock Conversion Rates'!B$8)+FH311</f>
        <v>166.91894300151236</v>
      </c>
      <c r="ER311" s="53">
        <f>(EH311*'[2]Renewable Diesel'!BF320*'[2]Feedstock Conversion Rates'!B$9)+FI311</f>
        <v>6.2740326512314484</v>
      </c>
      <c r="ES311" s="53">
        <f t="shared" si="228"/>
        <v>5806.4609209949112</v>
      </c>
      <c r="ET311" s="36">
        <f>ES311/'[2]Renewable Diesel'!BF320</f>
        <v>7.8757491381518019</v>
      </c>
    </row>
    <row r="312" spans="1:150" x14ac:dyDescent="0.25">
      <c r="A312" s="39">
        <v>49919</v>
      </c>
      <c r="B312" s="45">
        <f t="shared" si="264"/>
        <v>59.25</v>
      </c>
      <c r="C312" s="45">
        <f t="shared" si="251"/>
        <v>49</v>
      </c>
      <c r="D312" s="45">
        <f t="shared" si="265"/>
        <v>2</v>
      </c>
      <c r="E312" s="45">
        <f>('[2]Renewable Diesel'!B321*E$3*'[2]Feedstock Conversion Rates'!$B$2)/12+26+13-100+27.5+39</f>
        <v>95.43</v>
      </c>
      <c r="F312" s="45">
        <f>('[2]Renewable Diesel'!B321*'[2]RD Feedstock Breakdown'!F$3*'[2]Feedstock Conversion Rates'!B$8)/12+77+23-10-12-115.75+24+8</f>
        <v>48.15625</v>
      </c>
      <c r="G312" s="45">
        <f>('[2]Renewable Diesel'!B321*'[2]RD Feedstock Breakdown'!G$3*'[2]Feedstock Conversion Rates'!B$7)/12+116.75-39-57.5-145-31.5+32+70-40+10-35</f>
        <v>56.907000000000039</v>
      </c>
      <c r="H312" s="45">
        <f>('[2]Renewable Diesel'!B321*'[2]RD Feedstock Breakdown'!H$3*'[2]Feedstock Conversion Rates'!B$3)/12+67+10+12+3-235+20+47-20+105</f>
        <v>185.40022499999998</v>
      </c>
      <c r="I312" s="47">
        <f t="shared" si="245"/>
        <v>496.14347500000002</v>
      </c>
      <c r="J312" s="45">
        <f t="shared" si="266"/>
        <v>69</v>
      </c>
      <c r="K312" s="45"/>
      <c r="L312" s="45">
        <v>1</v>
      </c>
      <c r="M312" s="45">
        <f>('[2]Renewable Diesel'!C321*'[2]RD Feedstock Breakdown'!M$3*'[2]Feedstock Conversion Rates'!B$2)/12-55</f>
        <v>-47.20975</v>
      </c>
      <c r="N312" s="45">
        <f>('[2]Renewable Diesel'!C321*'[2]RD Feedstock Breakdown'!N$3*'[2]Feedstock Conversion Rates'!B$8)/12</f>
        <v>3.671875</v>
      </c>
      <c r="O312" s="45">
        <f>('[2]Renewable Diesel'!C321*'[2]RD Feedstock Breakdown'!O$3*'[2]Feedstock Conversion Rates'!B$7)/12-65</f>
        <v>-53.000900000000001</v>
      </c>
      <c r="P312" s="45">
        <f>('[2]Renewable Diesel'!C321*'[2]RD Feedstock Breakdown'!P$3*'[2]Feedstock Conversion Rates'!B$3)/12+15+35</f>
        <v>60.447042500000002</v>
      </c>
      <c r="Q312" s="47">
        <f t="shared" si="252"/>
        <v>33.908267500000001</v>
      </c>
      <c r="R312" s="45">
        <f>('[2]Renewable Diesel'!D321*'[2]RD Feedstock Breakdown'!R$3*'[2]Feedstock Conversion Rates'!B$7)/12</f>
        <v>2.2999999999999998</v>
      </c>
      <c r="S312" s="47">
        <f t="shared" si="203"/>
        <v>2.2999999999999998</v>
      </c>
      <c r="T312" s="45">
        <f t="shared" si="253"/>
        <v>0.82499999999999929</v>
      </c>
      <c r="U312" s="45"/>
      <c r="V312" s="45">
        <f>('[2]Renewable Diesel'!E321*'[2]RD Feedstock Breakdown'!V$3*'[2]Feedstock Conversion Rates'!B$6)/12-20+25</f>
        <v>49.250150000000012</v>
      </c>
      <c r="W312" s="45">
        <f>('[2]Renewable Diesel'!E321*'[2]RD Feedstock Breakdown'!W$3*'[2]Feedstock Conversion Rates'!B$8)/12-6</f>
        <v>16.1796875</v>
      </c>
      <c r="X312" s="47">
        <f t="shared" si="229"/>
        <v>66.254837500000008</v>
      </c>
      <c r="Y312" s="45">
        <f t="shared" si="254"/>
        <v>98</v>
      </c>
      <c r="Z312" s="45">
        <f>('[2]Renewable Diesel'!F321*'[2]RD Feedstock Breakdown'!Z$3*'[2]Feedstock Conversion Rates'!B$6)/12-142+15+10</f>
        <v>42.460000000000008</v>
      </c>
      <c r="AA312" s="45">
        <f>('[2]Renewable Diesel'!F321*'[2]RD Feedstock Breakdown'!AA$3*'[2]Feedstock Conversion Rates'!B$7)/12+24</f>
        <v>128.26666666666665</v>
      </c>
      <c r="AB312" s="47">
        <f t="shared" si="270"/>
        <v>268.72666666666669</v>
      </c>
      <c r="AC312" s="45">
        <f>('[2]Renewable Diesel'!G321*'[2]RD Feedstock Breakdown'!AC$3*'[2]Feedstock Conversion Rates'!B$5)/12</f>
        <v>11.796875</v>
      </c>
      <c r="AD312" s="45">
        <f>('[2]Renewable Diesel'!G321*'[2]RD Feedstock Breakdown'!AD$3*'[2]Feedstock Conversion Rates'!B$4)/12</f>
        <v>5.859375</v>
      </c>
      <c r="AE312" s="45">
        <f>('[2]Renewable Diesel'!G321*'[2]RD Feedstock Breakdown'!AE$3*'[2]Feedstock Conversion Rates'!B$6)/12</f>
        <v>7.3281250000000009</v>
      </c>
      <c r="AF312" s="47">
        <f t="shared" si="236"/>
        <v>24.984375</v>
      </c>
      <c r="AG312" s="45">
        <f t="shared" si="259"/>
        <v>148</v>
      </c>
      <c r="AH312" s="45"/>
      <c r="AI312" s="45">
        <f>('[2]Renewable Diesel'!H321*'[2]RD Feedstock Breakdown'!AI$3*'[2]Feedstock Conversion Rates'!B$6)/12-130-20+51-49</f>
        <v>0.51666666666667993</v>
      </c>
      <c r="AJ312" s="47">
        <f t="shared" si="202"/>
        <v>148.51666666666668</v>
      </c>
      <c r="AK312" s="45">
        <f>('[2]Renewable Diesel'!J321*'[2]RD Feedstock Breakdown'!AK$3*'[2]Feedstock Conversion Rates'!B$4)/12</f>
        <v>95.8125</v>
      </c>
      <c r="AL312" s="47">
        <f t="shared" si="205"/>
        <v>95.8125</v>
      </c>
      <c r="AM312" s="45">
        <f>('[2]Renewable Diesel'!K321*'[2]RD Feedstock Breakdown'!AM$3*'[2]Feedstock Conversion Rates'!B$4)/12+5+15-10+10</f>
        <v>78.59375</v>
      </c>
      <c r="AN312" s="45">
        <f>('[2]Renewable Diesel'!K321*'[2]RD Feedstock Breakdown'!AN$3*'[2]Feedstock Conversion Rates'!B$6)/12-5-15+10-10</f>
        <v>4.4270833333333321</v>
      </c>
      <c r="AO312" s="47">
        <f t="shared" si="223"/>
        <v>83.020833333333329</v>
      </c>
      <c r="AP312" s="45">
        <f>('[2]Renewable Diesel'!L321*'[2]RD Feedstock Breakdown'!AP$3*'[2]Feedstock Conversion Rates'!B$4)/12+15-10+15</f>
        <v>78.59375</v>
      </c>
      <c r="AQ312" s="45">
        <f>('[2]Renewable Diesel'!L321*'[2]RD Feedstock Breakdown'!AQ$3*'[2]Feedstock Conversion Rates'!B$6)/12-15+10-15</f>
        <v>4.4270833333333321</v>
      </c>
      <c r="AR312" s="47">
        <f t="shared" si="207"/>
        <v>83.020833333333329</v>
      </c>
      <c r="AS312" s="45">
        <f>('[2]Renewable Diesel'!M321*'[2]RD Feedstock Breakdown'!AS$3*'[2]Feedstock Conversion Rates'!B$4)/12</f>
        <v>456.25</v>
      </c>
      <c r="AT312" s="45">
        <f>('[2]Renewable Diesel'!M321*'[2]RD Feedstock Breakdown'!AT$3*'[2]Feedstock Conversion Rates'!B$5)/12</f>
        <v>0</v>
      </c>
      <c r="AU312" s="47">
        <f t="shared" si="244"/>
        <v>456.25</v>
      </c>
      <c r="AV312" s="45">
        <f>'[2]Renewable Diesel'!N321*'[2]RD Feedstock Breakdown'!$AV$3*'[2]Feedstock Conversion Rates'!$B$4/12-15-10+25+25-22+25</f>
        <v>106.74999999999999</v>
      </c>
      <c r="AW312" s="45">
        <f>'[2]Renewable Diesel'!N321*'[2]RD Feedstock Breakdown'!$AW$3*'[2]Feedstock Conversion Rates'!$B$7/12+15+10-25-25+22-25</f>
        <v>13.400000000000006</v>
      </c>
      <c r="AX312" s="47">
        <f t="shared" si="272"/>
        <v>120.14999999999999</v>
      </c>
      <c r="AY312" s="45">
        <f>('[2]Renewable Diesel'!O321*'[2]RD Feedstock Breakdown'!AY$3*'[2]Feedstock Conversion Rates'!B$4)/12</f>
        <v>210.9375</v>
      </c>
      <c r="AZ312" s="45">
        <f>('[2]Renewable Diesel'!O321*'[2]RD Feedstock Breakdown'!AZ$3*'[2]Feedstock Conversion Rates'!B$3)/12</f>
        <v>25.03125</v>
      </c>
      <c r="BA312" s="47">
        <f t="shared" si="255"/>
        <v>235.96875</v>
      </c>
      <c r="BB312" s="45">
        <f>('[2]Renewable Diesel'!Q321*'[2]RD Feedstock Breakdown'!BB$3*'[2]Feedstock Conversion Rates'!B$4)/12</f>
        <v>11.156249999999998</v>
      </c>
      <c r="BC312" s="45">
        <f>('[2]Renewable Diesel'!Q321*'[2]RD Feedstock Breakdown'!BC$3*'[2]Feedstock Conversion Rates'!B$3)/12</f>
        <v>1.4017500000000001</v>
      </c>
      <c r="BD312" s="45">
        <f>('[2]Renewable Diesel'!Q321*'[2]RD Feedstock Breakdown'!BD$3*'[2]Feedstock Conversion Rates'!B$6)/12</f>
        <v>0.8207500000000002</v>
      </c>
      <c r="BE312" s="47">
        <f t="shared" si="231"/>
        <v>13.378749999999998</v>
      </c>
      <c r="BF312" s="45">
        <f>('[2]Renewable Diesel'!R321*'[2]RD Feedstock Breakdown'!BF$3*'[2]Feedstock Conversion Rates'!B$4)/12</f>
        <v>62.5</v>
      </c>
      <c r="BG312" s="47">
        <f t="shared" si="215"/>
        <v>62.5</v>
      </c>
      <c r="BH312" s="45">
        <f>('[2]Renewable Diesel'!T321*'[2]RD Feedstock Breakdown'!BH$3*'[2]Feedstock Conversion Rates'!B$7)/12</f>
        <v>27.599999999999998</v>
      </c>
      <c r="BI312" s="47">
        <f t="shared" si="195"/>
        <v>27.599999999999998</v>
      </c>
      <c r="BJ312" s="45">
        <f>('[2]Renewable Diesel'!W321*'[2]RD Feedstock Breakdown'!BJ$3*'[2]Feedstock Conversion Rates'!B$4)/12</f>
        <v>7.5</v>
      </c>
      <c r="BK312" s="45">
        <f>('[2]Renewable Diesel'!W321*'[2]RD Feedstock Breakdown'!BK$3*'[2]Feedstock Conversion Rates'!B$3)/12</f>
        <v>1.335</v>
      </c>
      <c r="BL312" s="45">
        <f>('[2]Renewable Diesel'!W321*'[2]RD Feedstock Breakdown'!BL$3*'[2]Feedstock Conversion Rates'!B$6)/12</f>
        <v>3.1266666666666669</v>
      </c>
      <c r="BM312" s="45">
        <f>('[2]Renewable Diesel'!W321*'[2]RD Feedstock Breakdown'!BM$3*'[2]Feedstock Conversion Rates'!B$7)/12</f>
        <v>1.5333333333333332</v>
      </c>
      <c r="BN312" s="47">
        <f t="shared" si="248"/>
        <v>13.495000000000001</v>
      </c>
      <c r="BO312" s="45">
        <f>('[2]Renewable Diesel'!P321*'[2]Feedstock Conversion Rates'!B$4)/12</f>
        <v>31.25</v>
      </c>
      <c r="BP312" s="47">
        <f t="shared" si="237"/>
        <v>31.25</v>
      </c>
      <c r="BQ312" s="45">
        <f>('[2]Renewable Diesel'!$S321*'[2]RD Feedstock Breakdown'!BQ$3*'[2]Feedstock Conversion Rates'!B$4)/12+10+15-15</f>
        <v>38.125</v>
      </c>
      <c r="BR312" s="45">
        <f>('[2]Renewable Diesel'!$S321*'[2]RD Feedstock Breakdown'!BR$3*'[2]Feedstock Conversion Rates'!B$7)/12-10-15+15</f>
        <v>1.5</v>
      </c>
      <c r="BS312" s="47">
        <f t="shared" si="260"/>
        <v>39.625</v>
      </c>
      <c r="BT312" s="47"/>
      <c r="BU312" s="45">
        <f>('[2]Renewable Diesel'!Y321*'[2]Feedstock Conversion Rates'!B$7)/12</f>
        <v>2.6833333333333331</v>
      </c>
      <c r="BV312" s="47">
        <f t="shared" si="233"/>
        <v>2.6833333333333331</v>
      </c>
      <c r="BW312" s="45">
        <f>('[2]Renewable Diesel'!$Z321*'[2]RD Feedstock Breakdown'!BW$3*'[2]Feedstock Conversion Rates'!$B$4)/12</f>
        <v>71.875</v>
      </c>
      <c r="BX312" s="45">
        <f>('[2]Renewable Diesel'!$Z321*'[2]RD Feedstock Breakdown'!BX$3*'[2]Feedstock Conversion Rates'!$B$5)/12</f>
        <v>7.2354166666666666</v>
      </c>
      <c r="BY312" s="45">
        <f>('[2]Renewable Diesel'!$Z321*'[2]RD Feedstock Breakdown'!BY$3*'[2]Feedstock Conversion Rates'!$B$7)/12</f>
        <v>61.716666666666661</v>
      </c>
      <c r="BZ312" s="45">
        <f>('[2]Renewable Diesel'!$Z321*'[2]RD Feedstock Breakdown'!BZ$3*'[2]Feedstock Conversion Rates'!$B$3)/12</f>
        <v>15.352499999999999</v>
      </c>
      <c r="CA312" s="47">
        <f t="shared" si="262"/>
        <v>156.17958333333331</v>
      </c>
      <c r="CB312" s="45">
        <f>('[2]Renewable Diesel'!AA321*'[2]Feedstock Conversion Rates'!B$4)/12</f>
        <v>191.25</v>
      </c>
      <c r="CC312" s="47">
        <f t="shared" si="250"/>
        <v>191.25</v>
      </c>
      <c r="CD312" s="45">
        <f>('[2]Renewable Diesel'!$AB321*'[2]RD Feedstock Breakdown'!CD$3*'[2]Feedstock Conversion Rates'!$B$6)/12-15-5</f>
        <v>12.830000000000005</v>
      </c>
      <c r="CE312" s="45">
        <f>('[2]Renewable Diesel'!$AB321*'[2]RD Feedstock Breakdown'!CE$3*'[2]Feedstock Conversion Rates'!$B$4)/12+15+5</f>
        <v>31.25</v>
      </c>
      <c r="CF312" s="47">
        <f t="shared" si="247"/>
        <v>44.080000000000005</v>
      </c>
      <c r="CG312" s="45">
        <f>('[2]Renewable Diesel'!AD321*'[2]Feedstock Conversion Rates'!B$4)/12</f>
        <v>112.5</v>
      </c>
      <c r="CH312" s="47">
        <f t="shared" si="230"/>
        <v>112.5</v>
      </c>
      <c r="CI312" s="45">
        <f>('[2]Renewable Diesel'!$AE321*'[2]RD Feedstock Breakdown'!CI$3*'[2]Feedstock Conversion Rates'!$B$5)/12</f>
        <v>0.34604166666666664</v>
      </c>
      <c r="CJ312" s="45">
        <f>('[2]Renewable Diesel'!$AE321*'[2]RD Feedstock Breakdown'!CJ$3*'[2]Feedstock Conversion Rates'!$B$4)/12</f>
        <v>0.34375</v>
      </c>
      <c r="CK312" s="47">
        <f t="shared" si="238"/>
        <v>0.68979166666666658</v>
      </c>
      <c r="CL312" s="45">
        <f>(((CL$3*'[2]Renewable Diesel'!$AF321)*'[2]Feedstock Conversion Rates'!$B$3)/12)</f>
        <v>91.78125</v>
      </c>
      <c r="CM312" s="45">
        <f>(((CM$3*'[2]Renewable Diesel'!$AF321)*'[2]Feedstock Conversion Rates'!$B$6)/12)</f>
        <v>53.739583333333336</v>
      </c>
      <c r="CN312" s="45">
        <f>(((CN$3*'[2]Renewable Diesel'!$AF321)*'[2]Feedstock Conversion Rates'!$B$4)/12)</f>
        <v>42.96875</v>
      </c>
      <c r="CO312" s="47">
        <f t="shared" si="232"/>
        <v>188.48958333333334</v>
      </c>
      <c r="CP312" s="45">
        <f>('[2]Renewable Diesel'!$AG321*'[2]RD Feedstock Breakdown'!CP$3*'[2]Feedstock Conversion Rates'!$B$3)/12</f>
        <v>6.0075000000000003</v>
      </c>
      <c r="CQ312" s="45">
        <f>('[2]Renewable Diesel'!$AG321*'[2]RD Feedstock Breakdown'!CQ$3*'[2]Feedstock Conversion Rates'!$B$6)/12</f>
        <v>3.5175000000000001</v>
      </c>
      <c r="CR312" s="45">
        <f>('[2]Renewable Diesel'!$AG321*'[2]RD Feedstock Breakdown'!CR$3*'[2]Feedstock Conversion Rates'!$B$4)/12</f>
        <v>2.8125</v>
      </c>
      <c r="CS312" s="47">
        <f t="shared" si="267"/>
        <v>12.3375</v>
      </c>
      <c r="CT312" s="45">
        <f>('[2]Renewable Diesel'!AI321*'[2]Feedstock Conversion Rates'!$B$4*'[2]RD Feedstock Breakdown'!$CT$3)/12</f>
        <v>29.375</v>
      </c>
      <c r="CU312" s="47">
        <f t="shared" si="234"/>
        <v>29.375</v>
      </c>
      <c r="CV312" s="45">
        <f>('[2]Renewable Diesel'!AN321*'[2]Feedstock Conversion Rates'!$B$3*'[2]RD Feedstock Breakdown'!$CV$3)/12</f>
        <v>0.50062499999999999</v>
      </c>
      <c r="CW312" s="47">
        <f t="shared" si="206"/>
        <v>0.50062499999999999</v>
      </c>
      <c r="CX312" s="45">
        <f>('[2]Renewable Diesel'!AO321*'[2]RD Feedstock Breakdown'!$CX$3*'[2]Feedstock Conversion Rates'!$B$3)/12</f>
        <v>6.3412499999999996</v>
      </c>
      <c r="CY312" s="45">
        <f>('[2]Renewable Diesel'!AO321*'[2]RD Feedstock Breakdown'!$CY$3*'[2]Feedstock Conversion Rates'!$B$6)/12</f>
        <v>7.4258333333333342</v>
      </c>
      <c r="CZ312" s="47">
        <f t="shared" si="268"/>
        <v>13.767083333333334</v>
      </c>
      <c r="DA312" s="45">
        <f>('[2]Renewable Diesel'!$AP321*'[2]RD Feedstock Breakdown'!DA$3*'[2]Feedstock Conversion Rates'!$B$3)/12</f>
        <v>6.3412499999999996</v>
      </c>
      <c r="DB312" s="45">
        <f>('[2]Renewable Diesel'!$AP321*'[2]RD Feedstock Breakdown'!DB$3*'[2]Feedstock Conversion Rates'!$B$8)/12</f>
        <v>7.421875</v>
      </c>
      <c r="DC312" s="47">
        <f t="shared" si="212"/>
        <v>13.763124999999999</v>
      </c>
      <c r="DD312" s="45">
        <f>('[2]Renewable Diesel'!AQ321*$DD$3*'[2]Feedstock Conversion Rates'!$B$14)/12</f>
        <v>3.1041666666666665</v>
      </c>
      <c r="DE312" s="47">
        <f t="shared" si="213"/>
        <v>3.1041666666666665</v>
      </c>
      <c r="DF312" s="45">
        <f>('[2]Renewable Diesel'!AR321*'[2]Feedstock Conversion Rates'!$B$4*$DF$3)/12</f>
        <v>75</v>
      </c>
      <c r="DG312" s="47">
        <f t="shared" si="269"/>
        <v>75</v>
      </c>
      <c r="DH312" s="45">
        <f>('[2]Renewable Diesel'!AS321*'[2]Feedstock Conversion Rates'!$B$4*$DH$3)/12</f>
        <v>75</v>
      </c>
      <c r="DI312" s="47">
        <f t="shared" si="194"/>
        <v>75</v>
      </c>
      <c r="DJ312" s="45">
        <f>('[2]Renewable Diesel'!AT321*'[2]Feedstock Conversion Rates'!$B$4*0.25)/12</f>
        <v>8.59375</v>
      </c>
      <c r="DK312" s="45">
        <f>('[2]Renewable Diesel'!$AT321*'[2]RD Feedstock Breakdown'!DK$3*'[2]Feedstock Conversion Rates'!$B$3)/12*0.5</f>
        <v>9.1781249999999996</v>
      </c>
      <c r="DL312" s="45">
        <f>('[2]Renewable Diesel'!$AT321*'[2]RD Feedstock Breakdown'!$DL$3*'[2]Feedstock Conversion Rates'!$B$6)/12</f>
        <v>10.747916666666669</v>
      </c>
      <c r="DM312" s="45">
        <f>('[2]Renewable Diesel'!$AT321*'[2]RD Feedstock Breakdown'!$DM$3*'[2]Feedstock Conversion Rates'!$B$8)/12</f>
        <v>10.7421875</v>
      </c>
      <c r="DN312" s="47">
        <f t="shared" si="249"/>
        <v>39.26197916666667</v>
      </c>
      <c r="DP312" s="45">
        <f t="shared" si="216"/>
        <v>48.220250000000007</v>
      </c>
      <c r="DQ312" s="45">
        <f t="shared" si="217"/>
        <v>409.11776750000001</v>
      </c>
      <c r="DR312" s="45">
        <f t="shared" si="224"/>
        <v>2041.953125</v>
      </c>
      <c r="DS312" s="45">
        <f t="shared" si="235"/>
        <v>228.90125</v>
      </c>
      <c r="DT312" s="45">
        <f t="shared" si="218"/>
        <v>208.03923333333341</v>
      </c>
      <c r="DU312" s="45">
        <f t="shared" si="219"/>
        <v>242.90610000000004</v>
      </c>
      <c r="DV312" s="45">
        <f t="shared" si="225"/>
        <v>78.75</v>
      </c>
      <c r="DW312" s="45">
        <f t="shared" si="220"/>
        <v>3</v>
      </c>
      <c r="DX312" s="47">
        <f t="shared" si="226"/>
        <v>3260.8877258333337</v>
      </c>
      <c r="DY312" s="50">
        <f t="shared" si="208"/>
        <v>-5.631051180898794E-13</v>
      </c>
      <c r="EA312" s="51">
        <f t="shared" si="263"/>
        <v>1.4787460978184128E-2</v>
      </c>
      <c r="EB312" s="51">
        <f t="shared" si="263"/>
        <v>0.12546208330292888</v>
      </c>
      <c r="EC312" s="51">
        <f t="shared" si="263"/>
        <v>0.62619547089072813</v>
      </c>
      <c r="ED312" s="51">
        <f t="shared" si="261"/>
        <v>7.0195992393912707E-2</v>
      </c>
      <c r="EE312" s="51">
        <f t="shared" si="261"/>
        <v>6.3798342912946532E-2</v>
      </c>
      <c r="EF312" s="51">
        <f t="shared" si="261"/>
        <v>7.4490789141758745E-2</v>
      </c>
      <c r="EG312" s="51">
        <f t="shared" si="261"/>
        <v>2.4149865503227379E-2</v>
      </c>
      <c r="EH312" s="52">
        <f t="shared" si="227"/>
        <v>9.1999487631342389E-4</v>
      </c>
      <c r="EI312" s="51">
        <f t="shared" si="271"/>
        <v>0.99908000512368655</v>
      </c>
      <c r="EK312" s="53">
        <f>(EA312*'[2]Renewable Diesel'!BF321*'[2]Feedstock Conversion Rates'!B$2)+FB312</f>
        <v>103.99634372901242</v>
      </c>
      <c r="EL312" s="53">
        <f>(EB312*'[2]Renewable Diesel'!BF321*'[2]Feedstock Conversion Rates'!B$3)+FC312</f>
        <v>831.47758173687771</v>
      </c>
      <c r="EM312" s="53">
        <f>(EC312*'[2]Renewable Diesel'!BF321*'[2]Feedstock Conversion Rates'!B$4)+FD312</f>
        <v>3885.7666717277561</v>
      </c>
      <c r="EN312" s="53">
        <f>(ED312*'[2]Renewable Diesel'!BF321*'[2]Feedstock Conversion Rates'!B$5)+FE312</f>
        <v>438.49515923107617</v>
      </c>
      <c r="EO312" s="53">
        <f>(EE312*'[2]Renewable Diesel'!BF321*'[2]Feedstock Conversion Rates'!B$6)+FF312</f>
        <v>495.12832331509833</v>
      </c>
      <c r="EP312" s="53">
        <f>(EF312*'[2]Renewable Diesel'!BF321*'[2]Feedstock Conversion Rates'!B$7)+FG312</f>
        <v>567.01681208293826</v>
      </c>
      <c r="EQ312" s="53">
        <f>(EG312*'[2]Renewable Diesel'!BF321*'[2]Feedstock Conversion Rates'!B$8)+FH312</f>
        <v>187.32318194042827</v>
      </c>
      <c r="ER312" s="53">
        <f>(EH312*'[2]Renewable Diesel'!BF321*'[2]Feedstock Conversion Rates'!B$9)+FI312</f>
        <v>7.0409729338878417</v>
      </c>
      <c r="ES312" s="53">
        <f t="shared" si="228"/>
        <v>6516.2450466970749</v>
      </c>
      <c r="ET312" s="36">
        <f>ES312/'[2]Renewable Diesel'!BF321</f>
        <v>7.8757491381518019</v>
      </c>
    </row>
    <row r="313" spans="1:150" x14ac:dyDescent="0.25">
      <c r="A313" s="39">
        <v>49949</v>
      </c>
      <c r="B313" s="45">
        <f>115.75+145+100+235+31.5-21-287-20-28-32-70-39-47+40+20-3-10+17.5-135-1+5</f>
        <v>16.75</v>
      </c>
      <c r="C313" s="45">
        <f t="shared" si="251"/>
        <v>49</v>
      </c>
      <c r="D313" s="45">
        <f>1+1</f>
        <v>2</v>
      </c>
      <c r="E313" s="45">
        <f>('[2]Renewable Diesel'!B322*E$3*'[2]Feedstock Conversion Rates'!$B$2)/12+26+13-100+27.5+39</f>
        <v>95.43</v>
      </c>
      <c r="F313" s="45">
        <f>('[2]Renewable Diesel'!B322*'[2]RD Feedstock Breakdown'!F$3*'[2]Feedstock Conversion Rates'!B$8)/12+77+23-10-12-115.75+24+8</f>
        <v>48.15625</v>
      </c>
      <c r="G313" s="45">
        <f>('[2]Renewable Diesel'!B322*'[2]RD Feedstock Breakdown'!G$3*'[2]Feedstock Conversion Rates'!B$7)/12+116.75-39-57.5-145-31.5+32+70-40+10-17.5-5</f>
        <v>69.407000000000039</v>
      </c>
      <c r="H313" s="45">
        <f>('[2]Renewable Diesel'!B322*'[2]RD Feedstock Breakdown'!H$3*'[2]Feedstock Conversion Rates'!B$3)/12+67+10+12+3-235+20+47-20+135</f>
        <v>215.40022499999998</v>
      </c>
      <c r="I313" s="47">
        <f t="shared" si="245"/>
        <v>496.14347500000002</v>
      </c>
      <c r="J313" s="45">
        <f>54-15-35+75</f>
        <v>79</v>
      </c>
      <c r="K313" s="45"/>
      <c r="L313" s="45">
        <v>1</v>
      </c>
      <c r="M313" s="45">
        <f>('[2]Renewable Diesel'!C322*'[2]RD Feedstock Breakdown'!M$3*'[2]Feedstock Conversion Rates'!B$2)/12-55</f>
        <v>-47.20975</v>
      </c>
      <c r="N313" s="45">
        <f>('[2]Renewable Diesel'!C322*'[2]RD Feedstock Breakdown'!N$3*'[2]Feedstock Conversion Rates'!B$8)/12</f>
        <v>3.671875</v>
      </c>
      <c r="O313" s="45">
        <f>('[2]Renewable Diesel'!C322*'[2]RD Feedstock Breakdown'!O$3*'[2]Feedstock Conversion Rates'!B$7)/12-75</f>
        <v>-63.000900000000001</v>
      </c>
      <c r="P313" s="45">
        <f>('[2]Renewable Diesel'!C322*'[2]RD Feedstock Breakdown'!P$3*'[2]Feedstock Conversion Rates'!B$3)/12+15+35</f>
        <v>60.447042500000002</v>
      </c>
      <c r="Q313" s="47">
        <f t="shared" si="252"/>
        <v>33.908267500000001</v>
      </c>
      <c r="R313" s="45">
        <f>('[2]Renewable Diesel'!D322*'[2]RD Feedstock Breakdown'!R$3*'[2]Feedstock Conversion Rates'!B$7)/12</f>
        <v>2.2999999999999998</v>
      </c>
      <c r="S313" s="47">
        <f t="shared" si="203"/>
        <v>2.2999999999999998</v>
      </c>
      <c r="T313" s="45">
        <f t="shared" si="253"/>
        <v>0.82499999999999929</v>
      </c>
      <c r="U313" s="45"/>
      <c r="V313" s="45">
        <f>('[2]Renewable Diesel'!E322*'[2]RD Feedstock Breakdown'!V$3*'[2]Feedstock Conversion Rates'!B$6)/12-20+25</f>
        <v>49.250150000000012</v>
      </c>
      <c r="W313" s="45">
        <f>('[2]Renewable Diesel'!E322*'[2]RD Feedstock Breakdown'!W$3*'[2]Feedstock Conversion Rates'!B$8)/12-6</f>
        <v>16.1796875</v>
      </c>
      <c r="X313" s="47">
        <f t="shared" si="229"/>
        <v>66.254837500000008</v>
      </c>
      <c r="Y313" s="45">
        <f t="shared" si="254"/>
        <v>98</v>
      </c>
      <c r="Z313" s="45">
        <f>('[2]Renewable Diesel'!F322*'[2]RD Feedstock Breakdown'!Z$3*'[2]Feedstock Conversion Rates'!B$6)/12-142+15+10</f>
        <v>42.460000000000008</v>
      </c>
      <c r="AA313" s="45">
        <f>('[2]Renewable Diesel'!F322*'[2]RD Feedstock Breakdown'!AA$3*'[2]Feedstock Conversion Rates'!B$7)/12+24</f>
        <v>128.26666666666665</v>
      </c>
      <c r="AB313" s="47">
        <f t="shared" si="270"/>
        <v>268.72666666666669</v>
      </c>
      <c r="AC313" s="45">
        <f>('[2]Renewable Diesel'!G322*'[2]RD Feedstock Breakdown'!AC$3*'[2]Feedstock Conversion Rates'!B$5)/12</f>
        <v>11.796875</v>
      </c>
      <c r="AD313" s="45">
        <f>('[2]Renewable Diesel'!G322*'[2]RD Feedstock Breakdown'!AD$3*'[2]Feedstock Conversion Rates'!B$4)/12</f>
        <v>5.859375</v>
      </c>
      <c r="AE313" s="45">
        <f>('[2]Renewable Diesel'!G322*'[2]RD Feedstock Breakdown'!AE$3*'[2]Feedstock Conversion Rates'!B$6)/12</f>
        <v>7.3281250000000009</v>
      </c>
      <c r="AF313" s="47">
        <f t="shared" si="236"/>
        <v>24.984375</v>
      </c>
      <c r="AG313" s="45">
        <f t="shared" si="259"/>
        <v>148</v>
      </c>
      <c r="AH313" s="45"/>
      <c r="AI313" s="45">
        <f>('[2]Renewable Diesel'!H322*'[2]RD Feedstock Breakdown'!AI$3*'[2]Feedstock Conversion Rates'!B$6)/12-130-20+51-49</f>
        <v>0.51666666666667993</v>
      </c>
      <c r="AJ313" s="47">
        <f t="shared" si="202"/>
        <v>148.51666666666668</v>
      </c>
      <c r="AK313" s="45">
        <f>('[2]Renewable Diesel'!J322*'[2]RD Feedstock Breakdown'!AK$3*'[2]Feedstock Conversion Rates'!B$4)/12</f>
        <v>95.8125</v>
      </c>
      <c r="AL313" s="47">
        <f t="shared" si="205"/>
        <v>95.8125</v>
      </c>
      <c r="AM313" s="45">
        <f>('[2]Renewable Diesel'!K322*'[2]RD Feedstock Breakdown'!AM$3*'[2]Feedstock Conversion Rates'!B$4)/12+5+15-10+10</f>
        <v>78.59375</v>
      </c>
      <c r="AN313" s="45">
        <f>('[2]Renewable Diesel'!K322*'[2]RD Feedstock Breakdown'!AN$3*'[2]Feedstock Conversion Rates'!B$6)/12-5-15+10-10</f>
        <v>4.4270833333333321</v>
      </c>
      <c r="AO313" s="47">
        <f t="shared" si="223"/>
        <v>83.020833333333329</v>
      </c>
      <c r="AP313" s="45">
        <f>('[2]Renewable Diesel'!L322*'[2]RD Feedstock Breakdown'!AP$3*'[2]Feedstock Conversion Rates'!B$4)/12+15-10+15</f>
        <v>78.59375</v>
      </c>
      <c r="AQ313" s="45">
        <f>('[2]Renewable Diesel'!L322*'[2]RD Feedstock Breakdown'!AQ$3*'[2]Feedstock Conversion Rates'!B$6)/12-15+10-15</f>
        <v>4.4270833333333321</v>
      </c>
      <c r="AR313" s="47">
        <f t="shared" si="207"/>
        <v>83.020833333333329</v>
      </c>
      <c r="AS313" s="45">
        <f>('[2]Renewable Diesel'!M322*'[2]RD Feedstock Breakdown'!AS$3*'[2]Feedstock Conversion Rates'!B$4)/12</f>
        <v>456.25</v>
      </c>
      <c r="AT313" s="45">
        <f>('[2]Renewable Diesel'!M322*'[2]RD Feedstock Breakdown'!AT$3*'[2]Feedstock Conversion Rates'!B$5)/12</f>
        <v>0</v>
      </c>
      <c r="AU313" s="47">
        <f t="shared" si="244"/>
        <v>456.25</v>
      </c>
      <c r="AV313" s="45">
        <f>'[2]Renewable Diesel'!N322*'[2]RD Feedstock Breakdown'!$AV$3*'[2]Feedstock Conversion Rates'!$B$4/12-15-10+25+25-22+25</f>
        <v>106.74999999999999</v>
      </c>
      <c r="AW313" s="45">
        <f>'[2]Renewable Diesel'!N322*'[2]RD Feedstock Breakdown'!$AW$3*'[2]Feedstock Conversion Rates'!$B$7/12+15+10-25-25+22-25</f>
        <v>13.400000000000006</v>
      </c>
      <c r="AX313" s="47">
        <f t="shared" si="272"/>
        <v>120.14999999999999</v>
      </c>
      <c r="AY313" s="45">
        <f>('[2]Renewable Diesel'!O322*'[2]RD Feedstock Breakdown'!AY$3*'[2]Feedstock Conversion Rates'!B$4)/12</f>
        <v>210.9375</v>
      </c>
      <c r="AZ313" s="45">
        <f>('[2]Renewable Diesel'!O322*'[2]RD Feedstock Breakdown'!AZ$3*'[2]Feedstock Conversion Rates'!B$3)/12</f>
        <v>25.03125</v>
      </c>
      <c r="BA313" s="47">
        <f t="shared" si="255"/>
        <v>235.96875</v>
      </c>
      <c r="BB313" s="45">
        <f>('[2]Renewable Diesel'!Q322*'[2]RD Feedstock Breakdown'!BB$3*'[2]Feedstock Conversion Rates'!B$4)/12</f>
        <v>11.156249999999998</v>
      </c>
      <c r="BC313" s="45">
        <f>('[2]Renewable Diesel'!Q322*'[2]RD Feedstock Breakdown'!BC$3*'[2]Feedstock Conversion Rates'!B$3)/12</f>
        <v>1.4017500000000001</v>
      </c>
      <c r="BD313" s="45">
        <f>('[2]Renewable Diesel'!Q322*'[2]RD Feedstock Breakdown'!BD$3*'[2]Feedstock Conversion Rates'!B$6)/12</f>
        <v>0.8207500000000002</v>
      </c>
      <c r="BE313" s="47">
        <f t="shared" si="231"/>
        <v>13.378749999999998</v>
      </c>
      <c r="BF313" s="45">
        <f>('[2]Renewable Diesel'!R322*'[2]RD Feedstock Breakdown'!BF$3*'[2]Feedstock Conversion Rates'!B$4)/12</f>
        <v>62.5</v>
      </c>
      <c r="BG313" s="47">
        <f t="shared" si="215"/>
        <v>62.5</v>
      </c>
      <c r="BH313" s="45">
        <f>('[2]Renewable Diesel'!T322*'[2]RD Feedstock Breakdown'!BH$3*'[2]Feedstock Conversion Rates'!B$7)/12</f>
        <v>27.599999999999998</v>
      </c>
      <c r="BI313" s="47">
        <f t="shared" si="195"/>
        <v>27.599999999999998</v>
      </c>
      <c r="BJ313" s="45">
        <f>('[2]Renewable Diesel'!W322*'[2]RD Feedstock Breakdown'!BJ$3*'[2]Feedstock Conversion Rates'!B$4)/12</f>
        <v>7.5</v>
      </c>
      <c r="BK313" s="45">
        <f>('[2]Renewable Diesel'!W322*'[2]RD Feedstock Breakdown'!BK$3*'[2]Feedstock Conversion Rates'!B$3)/12</f>
        <v>1.335</v>
      </c>
      <c r="BL313" s="45">
        <f>('[2]Renewable Diesel'!W322*'[2]RD Feedstock Breakdown'!BL$3*'[2]Feedstock Conversion Rates'!B$6)/12</f>
        <v>3.1266666666666669</v>
      </c>
      <c r="BM313" s="45">
        <f>('[2]Renewable Diesel'!W322*'[2]RD Feedstock Breakdown'!BM$3*'[2]Feedstock Conversion Rates'!B$7)/12</f>
        <v>1.5333333333333332</v>
      </c>
      <c r="BN313" s="47">
        <f t="shared" si="248"/>
        <v>13.495000000000001</v>
      </c>
      <c r="BO313" s="45">
        <f>('[2]Renewable Diesel'!P322*'[2]Feedstock Conversion Rates'!B$4)/12</f>
        <v>31.25</v>
      </c>
      <c r="BP313" s="47">
        <f t="shared" si="237"/>
        <v>31.25</v>
      </c>
      <c r="BQ313" s="45">
        <f>('[2]Renewable Diesel'!$S322*'[2]RD Feedstock Breakdown'!BQ$3*'[2]Feedstock Conversion Rates'!B$4)/12+10+15-15</f>
        <v>38.125</v>
      </c>
      <c r="BR313" s="45">
        <f>('[2]Renewable Diesel'!$S322*'[2]RD Feedstock Breakdown'!BR$3*'[2]Feedstock Conversion Rates'!B$7)/12-10-15+15</f>
        <v>1.5</v>
      </c>
      <c r="BS313" s="47">
        <f t="shared" si="260"/>
        <v>39.625</v>
      </c>
      <c r="BT313" s="47"/>
      <c r="BU313" s="45">
        <f>('[2]Renewable Diesel'!Y322*'[2]Feedstock Conversion Rates'!B$7)/12</f>
        <v>2.6833333333333331</v>
      </c>
      <c r="BV313" s="47">
        <f t="shared" si="233"/>
        <v>2.6833333333333331</v>
      </c>
      <c r="BW313" s="45">
        <f>('[2]Renewable Diesel'!$Z322*'[2]RD Feedstock Breakdown'!BW$3*'[2]Feedstock Conversion Rates'!$B$4)/12</f>
        <v>71.875</v>
      </c>
      <c r="BX313" s="45">
        <f>('[2]Renewable Diesel'!$Z322*'[2]RD Feedstock Breakdown'!BX$3*'[2]Feedstock Conversion Rates'!$B$5)/12</f>
        <v>7.2354166666666666</v>
      </c>
      <c r="BY313" s="45">
        <f>('[2]Renewable Diesel'!$Z322*'[2]RD Feedstock Breakdown'!BY$3*'[2]Feedstock Conversion Rates'!$B$7)/12</f>
        <v>61.716666666666661</v>
      </c>
      <c r="BZ313" s="45">
        <f>('[2]Renewable Diesel'!$Z322*'[2]RD Feedstock Breakdown'!BZ$3*'[2]Feedstock Conversion Rates'!$B$3)/12</f>
        <v>15.352499999999999</v>
      </c>
      <c r="CA313" s="47">
        <f t="shared" si="262"/>
        <v>156.17958333333331</v>
      </c>
      <c r="CB313" s="45">
        <f>('[2]Renewable Diesel'!AA322*'[2]Feedstock Conversion Rates'!B$4)/12</f>
        <v>191.25</v>
      </c>
      <c r="CC313" s="47">
        <f t="shared" si="250"/>
        <v>191.25</v>
      </c>
      <c r="CD313" s="45">
        <f>('[2]Renewable Diesel'!$AB322*'[2]RD Feedstock Breakdown'!CD$3*'[2]Feedstock Conversion Rates'!$B$6)/12-15-5</f>
        <v>12.830000000000005</v>
      </c>
      <c r="CE313" s="45">
        <f>('[2]Renewable Diesel'!$AB322*'[2]RD Feedstock Breakdown'!CE$3*'[2]Feedstock Conversion Rates'!$B$4)/12+15+5</f>
        <v>31.25</v>
      </c>
      <c r="CF313" s="47">
        <f t="shared" si="247"/>
        <v>44.080000000000005</v>
      </c>
      <c r="CG313" s="45">
        <f>('[2]Renewable Diesel'!AD322*'[2]Feedstock Conversion Rates'!B$4)/12</f>
        <v>112.5</v>
      </c>
      <c r="CH313" s="47">
        <f t="shared" si="230"/>
        <v>112.5</v>
      </c>
      <c r="CI313" s="45">
        <f>('[2]Renewable Diesel'!$AE322*'[2]RD Feedstock Breakdown'!CI$3*'[2]Feedstock Conversion Rates'!$B$5)/12</f>
        <v>0.34604166666666664</v>
      </c>
      <c r="CJ313" s="45">
        <f>('[2]Renewable Diesel'!$AE322*'[2]RD Feedstock Breakdown'!CJ$3*'[2]Feedstock Conversion Rates'!$B$4)/12</f>
        <v>0.34375</v>
      </c>
      <c r="CK313" s="47">
        <f t="shared" si="238"/>
        <v>0.68979166666666658</v>
      </c>
      <c r="CL313" s="45">
        <f>(((CL$3*'[2]Renewable Diesel'!$AF322)*'[2]Feedstock Conversion Rates'!$B$3)/12)</f>
        <v>91.78125</v>
      </c>
      <c r="CM313" s="45">
        <f>(((CM$3*'[2]Renewable Diesel'!$AF322)*'[2]Feedstock Conversion Rates'!$B$6)/12)</f>
        <v>53.739583333333336</v>
      </c>
      <c r="CN313" s="45">
        <f>(((CN$3*'[2]Renewable Diesel'!$AF322)*'[2]Feedstock Conversion Rates'!$B$4)/12)</f>
        <v>42.96875</v>
      </c>
      <c r="CO313" s="47">
        <f t="shared" si="232"/>
        <v>188.48958333333334</v>
      </c>
      <c r="CP313" s="45">
        <f>('[2]Renewable Diesel'!$AG322*'[2]RD Feedstock Breakdown'!CP$3*'[2]Feedstock Conversion Rates'!$B$3)/12</f>
        <v>6.0075000000000003</v>
      </c>
      <c r="CQ313" s="45">
        <f>('[2]Renewable Diesel'!$AG322*'[2]RD Feedstock Breakdown'!CQ$3*'[2]Feedstock Conversion Rates'!$B$6)/12</f>
        <v>3.5175000000000001</v>
      </c>
      <c r="CR313" s="45">
        <f>('[2]Renewable Diesel'!$AG322*'[2]RD Feedstock Breakdown'!CR$3*'[2]Feedstock Conversion Rates'!$B$4)/12</f>
        <v>2.8125</v>
      </c>
      <c r="CS313" s="47">
        <f t="shared" si="267"/>
        <v>12.3375</v>
      </c>
      <c r="CT313" s="45">
        <f>('[2]Renewable Diesel'!AI322*'[2]Feedstock Conversion Rates'!$B$4*'[2]RD Feedstock Breakdown'!$CT$3)/12</f>
        <v>29.375</v>
      </c>
      <c r="CU313" s="47">
        <f t="shared" si="234"/>
        <v>29.375</v>
      </c>
      <c r="CV313" s="45">
        <f>('[2]Renewable Diesel'!AN322*'[2]Feedstock Conversion Rates'!$B$3*'[2]RD Feedstock Breakdown'!$CV$3)/12</f>
        <v>0.50062499999999999</v>
      </c>
      <c r="CW313" s="47">
        <f t="shared" si="206"/>
        <v>0.50062499999999999</v>
      </c>
      <c r="CX313" s="45">
        <f>('[2]Renewable Diesel'!AO322*'[2]RD Feedstock Breakdown'!$CX$3*'[2]Feedstock Conversion Rates'!$B$3)/12</f>
        <v>6.3412499999999996</v>
      </c>
      <c r="CY313" s="45">
        <f>('[2]Renewable Diesel'!AO322*'[2]RD Feedstock Breakdown'!$CY$3*'[2]Feedstock Conversion Rates'!$B$6)/12</f>
        <v>7.4258333333333342</v>
      </c>
      <c r="CZ313" s="47">
        <f t="shared" si="268"/>
        <v>13.767083333333334</v>
      </c>
      <c r="DA313" s="45">
        <f>('[2]Renewable Diesel'!$AP322*'[2]RD Feedstock Breakdown'!DA$3*'[2]Feedstock Conversion Rates'!$B$3)/12</f>
        <v>6.3412499999999996</v>
      </c>
      <c r="DB313" s="45">
        <f>('[2]Renewable Diesel'!$AP322*'[2]RD Feedstock Breakdown'!DB$3*'[2]Feedstock Conversion Rates'!$B$8)/12</f>
        <v>7.421875</v>
      </c>
      <c r="DC313" s="47">
        <f t="shared" si="212"/>
        <v>13.763124999999999</v>
      </c>
      <c r="DD313" s="45">
        <f>('[2]Renewable Diesel'!AQ322*$DD$3*'[2]Feedstock Conversion Rates'!$B$14)/12</f>
        <v>3.1041666666666665</v>
      </c>
      <c r="DE313" s="47">
        <f t="shared" si="213"/>
        <v>3.1041666666666665</v>
      </c>
      <c r="DF313" s="45">
        <f>('[2]Renewable Diesel'!AR322*'[2]Feedstock Conversion Rates'!$B$4*$DF$3)/12</f>
        <v>75</v>
      </c>
      <c r="DG313" s="47">
        <f t="shared" si="269"/>
        <v>75</v>
      </c>
      <c r="DH313" s="45">
        <f>('[2]Renewable Diesel'!AS322*'[2]Feedstock Conversion Rates'!$B$4*$DH$3)/12</f>
        <v>75</v>
      </c>
      <c r="DI313" s="47">
        <f t="shared" ref="DI313:DI375" si="273">DH313</f>
        <v>75</v>
      </c>
      <c r="DJ313" s="45">
        <f>('[2]Renewable Diesel'!AT322*'[2]Feedstock Conversion Rates'!$B$4*0.25)/12</f>
        <v>8.59375</v>
      </c>
      <c r="DK313" s="45">
        <f>('[2]Renewable Diesel'!$AT322*'[2]RD Feedstock Breakdown'!DK$3*'[2]Feedstock Conversion Rates'!$B$3)/12*0.5</f>
        <v>9.1781249999999996</v>
      </c>
      <c r="DL313" s="45">
        <f>('[2]Renewable Diesel'!$AT322*'[2]RD Feedstock Breakdown'!$DL$3*'[2]Feedstock Conversion Rates'!$B$6)/12</f>
        <v>10.747916666666669</v>
      </c>
      <c r="DM313" s="45">
        <f>('[2]Renewable Diesel'!$AT322*'[2]RD Feedstock Breakdown'!$DM$3*'[2]Feedstock Conversion Rates'!$B$8)/12</f>
        <v>10.7421875</v>
      </c>
      <c r="DN313" s="47">
        <f t="shared" si="249"/>
        <v>39.26197916666667</v>
      </c>
      <c r="DP313" s="45">
        <f t="shared" si="216"/>
        <v>48.220250000000007</v>
      </c>
      <c r="DQ313" s="45">
        <f t="shared" si="217"/>
        <v>439.11776750000001</v>
      </c>
      <c r="DR313" s="45">
        <f t="shared" si="224"/>
        <v>2009.453125</v>
      </c>
      <c r="DS313" s="45">
        <f t="shared" si="235"/>
        <v>228.90125</v>
      </c>
      <c r="DT313" s="45">
        <f t="shared" si="218"/>
        <v>208.03923333333341</v>
      </c>
      <c r="DU313" s="45">
        <f t="shared" si="219"/>
        <v>245.40610000000004</v>
      </c>
      <c r="DV313" s="45">
        <f t="shared" si="225"/>
        <v>78.75</v>
      </c>
      <c r="DW313" s="45">
        <f t="shared" si="220"/>
        <v>3</v>
      </c>
      <c r="DX313" s="47">
        <f t="shared" si="226"/>
        <v>3260.8877258333337</v>
      </c>
      <c r="DY313" s="50">
        <f t="shared" si="208"/>
        <v>-5.631051180898794E-13</v>
      </c>
      <c r="EA313" s="51">
        <f t="shared" si="263"/>
        <v>1.4787460978184128E-2</v>
      </c>
      <c r="EB313" s="51">
        <f t="shared" si="263"/>
        <v>0.13466203206606311</v>
      </c>
      <c r="EC313" s="51">
        <f t="shared" si="263"/>
        <v>0.6162288597306661</v>
      </c>
      <c r="ED313" s="51">
        <f t="shared" si="261"/>
        <v>7.0195992393912707E-2</v>
      </c>
      <c r="EE313" s="51">
        <f t="shared" si="261"/>
        <v>6.3798342912946532E-2</v>
      </c>
      <c r="EF313" s="51">
        <f t="shared" si="261"/>
        <v>7.5257451538686598E-2</v>
      </c>
      <c r="EG313" s="51">
        <f t="shared" si="261"/>
        <v>2.4149865503227379E-2</v>
      </c>
      <c r="EH313" s="52">
        <f t="shared" si="227"/>
        <v>9.1999487631342389E-4</v>
      </c>
      <c r="EI313" s="51">
        <f t="shared" si="271"/>
        <v>0.99908000512368655</v>
      </c>
      <c r="EK313" s="53">
        <f>(EA313*'[2]Renewable Diesel'!BF322*'[2]Feedstock Conversion Rates'!B$2)+FB313</f>
        <v>107.02575251250174</v>
      </c>
      <c r="EL313" s="53">
        <f>(EB313*'[2]Renewable Diesel'!BF322*'[2]Feedstock Conversion Rates'!B$3)+FC313</f>
        <v>918.44558875883831</v>
      </c>
      <c r="EM313" s="53">
        <f>(EC313*'[2]Renewable Diesel'!BF322*'[2]Feedstock Conversion Rates'!B$4)+FD313</f>
        <v>3935.3109126728837</v>
      </c>
      <c r="EN313" s="53">
        <f>(ED313*'[2]Renewable Diesel'!BF322*'[2]Feedstock Conversion Rates'!B$5)+FE313</f>
        <v>451.26850336280438</v>
      </c>
      <c r="EO313" s="53">
        <f>(EE313*'[2]Renewable Diesel'!BF322*'[2]Feedstock Conversion Rates'!B$6)+FF313</f>
        <v>509.55138895203618</v>
      </c>
      <c r="EP313" s="53">
        <f>(EF313*'[2]Renewable Diesel'!BF322*'[2]Feedstock Conversion Rates'!B$7)+FG313</f>
        <v>589.53974295679654</v>
      </c>
      <c r="EQ313" s="53">
        <f>(EG313*'[2]Renewable Diesel'!BF322*'[2]Feedstock Conversion Rates'!B$8)+FH313</f>
        <v>192.7798977476705</v>
      </c>
      <c r="ER313" s="53">
        <f>(EH313*'[2]Renewable Diesel'!BF322*'[2]Feedstock Conversion Rates'!B$9)+FI313</f>
        <v>7.2460761566108527</v>
      </c>
      <c r="ES313" s="53">
        <f t="shared" si="228"/>
        <v>6711.1678631201421</v>
      </c>
      <c r="ET313" s="36">
        <f>ES313/'[2]Renewable Diesel'!BF322</f>
        <v>7.8817444380957786</v>
      </c>
    </row>
    <row r="314" spans="1:150" x14ac:dyDescent="0.25">
      <c r="A314" s="39">
        <v>49980</v>
      </c>
      <c r="B314" s="45">
        <f t="shared" ref="B314:B324" si="274">115.75+145+100+235+31.5-21-287-20-28-32-70-39-47+40+20-3-10+17.5-135-1+5</f>
        <v>16.75</v>
      </c>
      <c r="C314" s="45">
        <f t="shared" si="251"/>
        <v>49</v>
      </c>
      <c r="D314" s="45">
        <f t="shared" ref="D314:D324" si="275">1+1</f>
        <v>2</v>
      </c>
      <c r="E314" s="45">
        <f>('[2]Renewable Diesel'!B323*E$3*'[2]Feedstock Conversion Rates'!$B$2)/12+26+13-100+27.5+39</f>
        <v>95.43</v>
      </c>
      <c r="F314" s="45">
        <f>('[2]Renewable Diesel'!B323*'[2]RD Feedstock Breakdown'!F$3*'[2]Feedstock Conversion Rates'!B$8)/12+77+23-10-12-115.75+24+8</f>
        <v>48.15625</v>
      </c>
      <c r="G314" s="45">
        <f>('[2]Renewable Diesel'!B323*'[2]RD Feedstock Breakdown'!G$3*'[2]Feedstock Conversion Rates'!B$7)/12+116.75-39-57.5-145-31.5+32+70-40+10-17.5-5</f>
        <v>69.407000000000039</v>
      </c>
      <c r="H314" s="45">
        <f>('[2]Renewable Diesel'!B323*'[2]RD Feedstock Breakdown'!H$3*'[2]Feedstock Conversion Rates'!B$3)/12+67+10+12+3-235+20+47-20+135</f>
        <v>215.40022499999998</v>
      </c>
      <c r="I314" s="47">
        <f t="shared" si="245"/>
        <v>496.14347500000002</v>
      </c>
      <c r="J314" s="45">
        <f t="shared" ref="J314:J324" si="276">54-15-35+75</f>
        <v>79</v>
      </c>
      <c r="K314" s="45"/>
      <c r="L314" s="45">
        <v>1</v>
      </c>
      <c r="M314" s="45">
        <f>('[2]Renewable Diesel'!C323*'[2]RD Feedstock Breakdown'!M$3*'[2]Feedstock Conversion Rates'!B$2)/12-55</f>
        <v>-47.20975</v>
      </c>
      <c r="N314" s="45">
        <f>('[2]Renewable Diesel'!C323*'[2]RD Feedstock Breakdown'!N$3*'[2]Feedstock Conversion Rates'!B$8)/12</f>
        <v>3.671875</v>
      </c>
      <c r="O314" s="45">
        <f>('[2]Renewable Diesel'!C323*'[2]RD Feedstock Breakdown'!O$3*'[2]Feedstock Conversion Rates'!B$7)/12-75</f>
        <v>-63.000900000000001</v>
      </c>
      <c r="P314" s="45">
        <f>('[2]Renewable Diesel'!C323*'[2]RD Feedstock Breakdown'!P$3*'[2]Feedstock Conversion Rates'!B$3)/12+15+35</f>
        <v>60.447042500000002</v>
      </c>
      <c r="Q314" s="47">
        <f t="shared" si="252"/>
        <v>33.908267500000001</v>
      </c>
      <c r="R314" s="45">
        <f>('[2]Renewable Diesel'!D323*'[2]RD Feedstock Breakdown'!R$3*'[2]Feedstock Conversion Rates'!B$7)/12</f>
        <v>2.2999999999999998</v>
      </c>
      <c r="S314" s="47">
        <f t="shared" si="203"/>
        <v>2.2999999999999998</v>
      </c>
      <c r="T314" s="45">
        <f t="shared" si="253"/>
        <v>0.82499999999999929</v>
      </c>
      <c r="U314" s="45"/>
      <c r="V314" s="45">
        <f>('[2]Renewable Diesel'!E323*'[2]RD Feedstock Breakdown'!V$3*'[2]Feedstock Conversion Rates'!B$6)/12-20+25</f>
        <v>49.250150000000012</v>
      </c>
      <c r="W314" s="45">
        <f>('[2]Renewable Diesel'!E323*'[2]RD Feedstock Breakdown'!W$3*'[2]Feedstock Conversion Rates'!B$8)/12-6</f>
        <v>16.1796875</v>
      </c>
      <c r="X314" s="47">
        <f t="shared" si="229"/>
        <v>66.254837500000008</v>
      </c>
      <c r="Y314" s="45">
        <f t="shared" si="254"/>
        <v>98</v>
      </c>
      <c r="Z314" s="45">
        <f>('[2]Renewable Diesel'!F323*'[2]RD Feedstock Breakdown'!Z$3*'[2]Feedstock Conversion Rates'!B$6)/12-142+15+10</f>
        <v>42.460000000000008</v>
      </c>
      <c r="AA314" s="45">
        <f>('[2]Renewable Diesel'!F323*'[2]RD Feedstock Breakdown'!AA$3*'[2]Feedstock Conversion Rates'!B$7)/12+24</f>
        <v>128.26666666666665</v>
      </c>
      <c r="AB314" s="47">
        <f t="shared" si="270"/>
        <v>268.72666666666669</v>
      </c>
      <c r="AC314" s="45">
        <f>('[2]Renewable Diesel'!G323*'[2]RD Feedstock Breakdown'!AC$3*'[2]Feedstock Conversion Rates'!B$5)/12</f>
        <v>11.796875</v>
      </c>
      <c r="AD314" s="45">
        <f>('[2]Renewable Diesel'!G323*'[2]RD Feedstock Breakdown'!AD$3*'[2]Feedstock Conversion Rates'!B$4)/12</f>
        <v>5.859375</v>
      </c>
      <c r="AE314" s="45">
        <f>('[2]Renewable Diesel'!G323*'[2]RD Feedstock Breakdown'!AE$3*'[2]Feedstock Conversion Rates'!B$6)/12</f>
        <v>7.3281250000000009</v>
      </c>
      <c r="AF314" s="47">
        <f t="shared" si="236"/>
        <v>24.984375</v>
      </c>
      <c r="AG314" s="45">
        <f t="shared" si="259"/>
        <v>148</v>
      </c>
      <c r="AH314" s="45"/>
      <c r="AI314" s="45">
        <f>('[2]Renewable Diesel'!H323*'[2]RD Feedstock Breakdown'!AI$3*'[2]Feedstock Conversion Rates'!B$6)/12-130-20+51-49</f>
        <v>0.51666666666667993</v>
      </c>
      <c r="AJ314" s="47">
        <f t="shared" si="202"/>
        <v>148.51666666666668</v>
      </c>
      <c r="AK314" s="45">
        <f>('[2]Renewable Diesel'!J323*'[2]RD Feedstock Breakdown'!AK$3*'[2]Feedstock Conversion Rates'!B$4)/12</f>
        <v>95.8125</v>
      </c>
      <c r="AL314" s="47">
        <f t="shared" si="205"/>
        <v>95.8125</v>
      </c>
      <c r="AM314" s="45">
        <f>('[2]Renewable Diesel'!K323*'[2]RD Feedstock Breakdown'!AM$3*'[2]Feedstock Conversion Rates'!B$4)/12+5+15-10+10</f>
        <v>78.59375</v>
      </c>
      <c r="AN314" s="45">
        <f>('[2]Renewable Diesel'!K323*'[2]RD Feedstock Breakdown'!AN$3*'[2]Feedstock Conversion Rates'!B$6)/12-5-15+10-10</f>
        <v>4.4270833333333321</v>
      </c>
      <c r="AO314" s="47">
        <f t="shared" si="223"/>
        <v>83.020833333333329</v>
      </c>
      <c r="AP314" s="45">
        <f>('[2]Renewable Diesel'!L323*'[2]RD Feedstock Breakdown'!AP$3*'[2]Feedstock Conversion Rates'!B$4)/12+15-10+15</f>
        <v>78.59375</v>
      </c>
      <c r="AQ314" s="45">
        <f>('[2]Renewable Diesel'!L323*'[2]RD Feedstock Breakdown'!AQ$3*'[2]Feedstock Conversion Rates'!B$6)/12-15+10-15</f>
        <v>4.4270833333333321</v>
      </c>
      <c r="AR314" s="47">
        <f t="shared" si="207"/>
        <v>83.020833333333329</v>
      </c>
      <c r="AS314" s="45">
        <f>('[2]Renewable Diesel'!M323*'[2]RD Feedstock Breakdown'!AS$3*'[2]Feedstock Conversion Rates'!B$4)/12</f>
        <v>456.25</v>
      </c>
      <c r="AT314" s="45">
        <f>('[2]Renewable Diesel'!M323*'[2]RD Feedstock Breakdown'!AT$3*'[2]Feedstock Conversion Rates'!B$5)/12</f>
        <v>0</v>
      </c>
      <c r="AU314" s="47">
        <f t="shared" si="244"/>
        <v>456.25</v>
      </c>
      <c r="AV314" s="45">
        <f>'[2]Renewable Diesel'!N323*'[2]RD Feedstock Breakdown'!$AV$3*'[2]Feedstock Conversion Rates'!$B$4/12-15-10+25+25-22+25</f>
        <v>106.74999999999999</v>
      </c>
      <c r="AW314" s="45">
        <f>'[2]Renewable Diesel'!N323*'[2]RD Feedstock Breakdown'!$AW$3*'[2]Feedstock Conversion Rates'!$B$7/12+15+10-25-25+22-25</f>
        <v>13.400000000000006</v>
      </c>
      <c r="AX314" s="47">
        <f t="shared" si="272"/>
        <v>120.14999999999999</v>
      </c>
      <c r="AY314" s="45">
        <f>('[2]Renewable Diesel'!O323*'[2]RD Feedstock Breakdown'!AY$3*'[2]Feedstock Conversion Rates'!B$4)/12</f>
        <v>210.9375</v>
      </c>
      <c r="AZ314" s="45">
        <f>('[2]Renewable Diesel'!O323*'[2]RD Feedstock Breakdown'!AZ$3*'[2]Feedstock Conversion Rates'!B$3)/12</f>
        <v>25.03125</v>
      </c>
      <c r="BA314" s="47">
        <f t="shared" si="255"/>
        <v>235.96875</v>
      </c>
      <c r="BB314" s="45">
        <f>('[2]Renewable Diesel'!Q323*'[2]RD Feedstock Breakdown'!BB$3*'[2]Feedstock Conversion Rates'!B$4)/12</f>
        <v>11.156249999999998</v>
      </c>
      <c r="BC314" s="45">
        <f>('[2]Renewable Diesel'!Q323*'[2]RD Feedstock Breakdown'!BC$3*'[2]Feedstock Conversion Rates'!B$3)/12</f>
        <v>1.4017500000000001</v>
      </c>
      <c r="BD314" s="45">
        <f>('[2]Renewable Diesel'!Q323*'[2]RD Feedstock Breakdown'!BD$3*'[2]Feedstock Conversion Rates'!B$6)/12</f>
        <v>0.8207500000000002</v>
      </c>
      <c r="BE314" s="47">
        <f t="shared" si="231"/>
        <v>13.378749999999998</v>
      </c>
      <c r="BF314" s="45">
        <f>('[2]Renewable Diesel'!R323*'[2]RD Feedstock Breakdown'!BF$3*'[2]Feedstock Conversion Rates'!B$4)/12</f>
        <v>62.5</v>
      </c>
      <c r="BG314" s="47">
        <f t="shared" si="215"/>
        <v>62.5</v>
      </c>
      <c r="BH314" s="45">
        <f>('[2]Renewable Diesel'!T323*'[2]RD Feedstock Breakdown'!BH$3*'[2]Feedstock Conversion Rates'!B$7)/12</f>
        <v>27.599999999999998</v>
      </c>
      <c r="BI314" s="47">
        <f t="shared" si="195"/>
        <v>27.599999999999998</v>
      </c>
      <c r="BJ314" s="45">
        <f>('[2]Renewable Diesel'!W323*'[2]RD Feedstock Breakdown'!BJ$3*'[2]Feedstock Conversion Rates'!B$4)/12</f>
        <v>7.5</v>
      </c>
      <c r="BK314" s="45">
        <f>('[2]Renewable Diesel'!W323*'[2]RD Feedstock Breakdown'!BK$3*'[2]Feedstock Conversion Rates'!B$3)/12</f>
        <v>1.335</v>
      </c>
      <c r="BL314" s="45">
        <f>('[2]Renewable Diesel'!W323*'[2]RD Feedstock Breakdown'!BL$3*'[2]Feedstock Conversion Rates'!B$6)/12</f>
        <v>3.1266666666666669</v>
      </c>
      <c r="BM314" s="45">
        <f>('[2]Renewable Diesel'!W323*'[2]RD Feedstock Breakdown'!BM$3*'[2]Feedstock Conversion Rates'!B$7)/12</f>
        <v>1.5333333333333332</v>
      </c>
      <c r="BN314" s="47">
        <f t="shared" si="248"/>
        <v>13.495000000000001</v>
      </c>
      <c r="BO314" s="45">
        <f>('[2]Renewable Diesel'!P323*'[2]Feedstock Conversion Rates'!B$4)/12</f>
        <v>31.25</v>
      </c>
      <c r="BP314" s="47">
        <f t="shared" si="237"/>
        <v>31.25</v>
      </c>
      <c r="BQ314" s="45">
        <f>('[2]Renewable Diesel'!$S323*'[2]RD Feedstock Breakdown'!BQ$3*'[2]Feedstock Conversion Rates'!B$4)/12+10+15-15</f>
        <v>38.125</v>
      </c>
      <c r="BR314" s="45">
        <f>('[2]Renewable Diesel'!$S323*'[2]RD Feedstock Breakdown'!BR$3*'[2]Feedstock Conversion Rates'!B$7)/12-10-15+15</f>
        <v>1.5</v>
      </c>
      <c r="BS314" s="47">
        <f t="shared" si="260"/>
        <v>39.625</v>
      </c>
      <c r="BT314" s="47"/>
      <c r="BU314" s="45">
        <f>('[2]Renewable Diesel'!Y323*'[2]Feedstock Conversion Rates'!B$7)/12</f>
        <v>2.6833333333333331</v>
      </c>
      <c r="BV314" s="47">
        <f t="shared" si="233"/>
        <v>2.6833333333333331</v>
      </c>
      <c r="BW314" s="45">
        <f>('[2]Renewable Diesel'!$Z323*'[2]RD Feedstock Breakdown'!BW$3*'[2]Feedstock Conversion Rates'!$B$4)/12</f>
        <v>71.875</v>
      </c>
      <c r="BX314" s="45">
        <f>('[2]Renewable Diesel'!$Z323*'[2]RD Feedstock Breakdown'!BX$3*'[2]Feedstock Conversion Rates'!$B$5)/12</f>
        <v>7.2354166666666666</v>
      </c>
      <c r="BY314" s="45">
        <f>('[2]Renewable Diesel'!$Z323*'[2]RD Feedstock Breakdown'!BY$3*'[2]Feedstock Conversion Rates'!$B$7)/12</f>
        <v>61.716666666666661</v>
      </c>
      <c r="BZ314" s="45">
        <f>('[2]Renewable Diesel'!$Z323*'[2]RD Feedstock Breakdown'!BZ$3*'[2]Feedstock Conversion Rates'!$B$3)/12</f>
        <v>15.352499999999999</v>
      </c>
      <c r="CA314" s="47">
        <f t="shared" si="262"/>
        <v>156.17958333333331</v>
      </c>
      <c r="CB314" s="45">
        <f>('[2]Renewable Diesel'!AA323*'[2]Feedstock Conversion Rates'!B$4)/12</f>
        <v>191.25</v>
      </c>
      <c r="CC314" s="47">
        <f t="shared" si="250"/>
        <v>191.25</v>
      </c>
      <c r="CD314" s="45">
        <f>('[2]Renewable Diesel'!$AB323*'[2]RD Feedstock Breakdown'!CD$3*'[2]Feedstock Conversion Rates'!$B$6)/12-15-5</f>
        <v>12.830000000000005</v>
      </c>
      <c r="CE314" s="45">
        <f>('[2]Renewable Diesel'!$AB323*'[2]RD Feedstock Breakdown'!CE$3*'[2]Feedstock Conversion Rates'!$B$4)/12+15+5</f>
        <v>31.25</v>
      </c>
      <c r="CF314" s="47">
        <f t="shared" si="247"/>
        <v>44.080000000000005</v>
      </c>
      <c r="CG314" s="45">
        <f>('[2]Renewable Diesel'!AD323*'[2]Feedstock Conversion Rates'!B$4)/12</f>
        <v>112.5</v>
      </c>
      <c r="CH314" s="47">
        <f t="shared" si="230"/>
        <v>112.5</v>
      </c>
      <c r="CI314" s="45">
        <f>('[2]Renewable Diesel'!$AE323*'[2]RD Feedstock Breakdown'!CI$3*'[2]Feedstock Conversion Rates'!$B$5)/12</f>
        <v>0.34604166666666664</v>
      </c>
      <c r="CJ314" s="45">
        <f>('[2]Renewable Diesel'!$AE323*'[2]RD Feedstock Breakdown'!CJ$3*'[2]Feedstock Conversion Rates'!$B$4)/12</f>
        <v>0.34375</v>
      </c>
      <c r="CK314" s="47">
        <f t="shared" si="238"/>
        <v>0.68979166666666658</v>
      </c>
      <c r="CL314" s="45">
        <f>(((CL$3*'[2]Renewable Diesel'!$AF323)*'[2]Feedstock Conversion Rates'!$B$3)/12)</f>
        <v>91.78125</v>
      </c>
      <c r="CM314" s="45">
        <f>(((CM$3*'[2]Renewable Diesel'!$AF323)*'[2]Feedstock Conversion Rates'!$B$6)/12)</f>
        <v>53.739583333333336</v>
      </c>
      <c r="CN314" s="45">
        <f>(((CN$3*'[2]Renewable Diesel'!$AF323)*'[2]Feedstock Conversion Rates'!$B$4)/12)</f>
        <v>42.96875</v>
      </c>
      <c r="CO314" s="47">
        <f t="shared" si="232"/>
        <v>188.48958333333334</v>
      </c>
      <c r="CP314" s="45">
        <f>('[2]Renewable Diesel'!$AG323*'[2]RD Feedstock Breakdown'!CP$3*'[2]Feedstock Conversion Rates'!$B$3)/12</f>
        <v>6.0075000000000003</v>
      </c>
      <c r="CQ314" s="45">
        <f>('[2]Renewable Diesel'!$AG323*'[2]RD Feedstock Breakdown'!CQ$3*'[2]Feedstock Conversion Rates'!$B$6)/12</f>
        <v>3.5175000000000001</v>
      </c>
      <c r="CR314" s="45">
        <f>('[2]Renewable Diesel'!$AG323*'[2]RD Feedstock Breakdown'!CR$3*'[2]Feedstock Conversion Rates'!$B$4)/12</f>
        <v>2.8125</v>
      </c>
      <c r="CS314" s="47">
        <f t="shared" si="267"/>
        <v>12.3375</v>
      </c>
      <c r="CT314" s="45">
        <f>('[2]Renewable Diesel'!AI323*'[2]Feedstock Conversion Rates'!$B$4*'[2]RD Feedstock Breakdown'!$CT$3)/12</f>
        <v>29.375</v>
      </c>
      <c r="CU314" s="47">
        <f t="shared" si="234"/>
        <v>29.375</v>
      </c>
      <c r="CV314" s="45">
        <f>('[2]Renewable Diesel'!AN323*'[2]Feedstock Conversion Rates'!$B$3*'[2]RD Feedstock Breakdown'!$CV$3)/12</f>
        <v>0.50062499999999999</v>
      </c>
      <c r="CW314" s="47">
        <f t="shared" si="206"/>
        <v>0.50062499999999999</v>
      </c>
      <c r="CX314" s="45">
        <f>('[2]Renewable Diesel'!AO323*'[2]RD Feedstock Breakdown'!$CX$3*'[2]Feedstock Conversion Rates'!$B$3)/12</f>
        <v>6.3412499999999996</v>
      </c>
      <c r="CY314" s="45">
        <f>('[2]Renewable Diesel'!AO323*'[2]RD Feedstock Breakdown'!$CY$3*'[2]Feedstock Conversion Rates'!$B$6)/12</f>
        <v>7.4258333333333342</v>
      </c>
      <c r="CZ314" s="47">
        <f t="shared" si="268"/>
        <v>13.767083333333334</v>
      </c>
      <c r="DA314" s="45">
        <f>('[2]Renewable Diesel'!$AP323*'[2]RD Feedstock Breakdown'!DA$3*'[2]Feedstock Conversion Rates'!$B$3)/12</f>
        <v>6.3412499999999996</v>
      </c>
      <c r="DB314" s="45">
        <f>('[2]Renewable Diesel'!$AP323*'[2]RD Feedstock Breakdown'!DB$3*'[2]Feedstock Conversion Rates'!$B$8)/12</f>
        <v>7.421875</v>
      </c>
      <c r="DC314" s="47">
        <f t="shared" si="212"/>
        <v>13.763124999999999</v>
      </c>
      <c r="DD314" s="45">
        <f>('[2]Renewable Diesel'!AQ323*$DD$3*'[2]Feedstock Conversion Rates'!$B$14)/12</f>
        <v>3.1041666666666665</v>
      </c>
      <c r="DE314" s="47">
        <f t="shared" si="213"/>
        <v>3.1041666666666665</v>
      </c>
      <c r="DF314" s="45">
        <f>('[2]Renewable Diesel'!AR323*'[2]Feedstock Conversion Rates'!$B$4*$DF$3)/12</f>
        <v>75</v>
      </c>
      <c r="DG314" s="47">
        <f t="shared" si="269"/>
        <v>75</v>
      </c>
      <c r="DH314" s="45">
        <f>('[2]Renewable Diesel'!AS323*'[2]Feedstock Conversion Rates'!$B$4*$DH$3)/12</f>
        <v>75</v>
      </c>
      <c r="DI314" s="47">
        <f t="shared" si="273"/>
        <v>75</v>
      </c>
      <c r="DJ314" s="45">
        <f>('[2]Renewable Diesel'!AT323*'[2]Feedstock Conversion Rates'!$B$4*0.25)/12</f>
        <v>8.59375</v>
      </c>
      <c r="DK314" s="45">
        <f>('[2]Renewable Diesel'!$AT323*'[2]RD Feedstock Breakdown'!DK$3*'[2]Feedstock Conversion Rates'!$B$3)/12*0.5</f>
        <v>9.1781249999999996</v>
      </c>
      <c r="DL314" s="45">
        <f>('[2]Renewable Diesel'!$AT323*'[2]RD Feedstock Breakdown'!$DL$3*'[2]Feedstock Conversion Rates'!$B$6)/12</f>
        <v>10.747916666666669</v>
      </c>
      <c r="DM314" s="45">
        <f>('[2]Renewable Diesel'!$AT323*'[2]RD Feedstock Breakdown'!$DM$3*'[2]Feedstock Conversion Rates'!$B$8)/12</f>
        <v>10.7421875</v>
      </c>
      <c r="DN314" s="47">
        <f t="shared" si="249"/>
        <v>39.26197916666667</v>
      </c>
      <c r="DP314" s="45">
        <f t="shared" si="216"/>
        <v>48.220250000000007</v>
      </c>
      <c r="DQ314" s="45">
        <f t="shared" si="217"/>
        <v>439.11776750000001</v>
      </c>
      <c r="DR314" s="45">
        <f t="shared" si="224"/>
        <v>2009.453125</v>
      </c>
      <c r="DS314" s="45">
        <f t="shared" si="235"/>
        <v>228.90125</v>
      </c>
      <c r="DT314" s="45">
        <f t="shared" si="218"/>
        <v>208.03923333333341</v>
      </c>
      <c r="DU314" s="45">
        <f t="shared" si="219"/>
        <v>245.40610000000004</v>
      </c>
      <c r="DV314" s="45">
        <f t="shared" si="225"/>
        <v>78.75</v>
      </c>
      <c r="DW314" s="45">
        <f t="shared" si="220"/>
        <v>3</v>
      </c>
      <c r="DX314" s="47">
        <f t="shared" si="226"/>
        <v>3260.8877258333337</v>
      </c>
      <c r="DY314" s="50">
        <f t="shared" si="208"/>
        <v>-5.631051180898794E-13</v>
      </c>
      <c r="EA314" s="51">
        <f t="shared" si="263"/>
        <v>1.4787460978184128E-2</v>
      </c>
      <c r="EB314" s="51">
        <f t="shared" si="263"/>
        <v>0.13466203206606311</v>
      </c>
      <c r="EC314" s="51">
        <f t="shared" si="263"/>
        <v>0.6162288597306661</v>
      </c>
      <c r="ED314" s="51">
        <f t="shared" si="261"/>
        <v>7.0195992393912707E-2</v>
      </c>
      <c r="EE314" s="51">
        <f t="shared" si="261"/>
        <v>6.3798342912946532E-2</v>
      </c>
      <c r="EF314" s="51">
        <f t="shared" si="261"/>
        <v>7.5257451538686598E-2</v>
      </c>
      <c r="EG314" s="51">
        <f t="shared" si="261"/>
        <v>2.4149865503227379E-2</v>
      </c>
      <c r="EH314" s="52">
        <f t="shared" si="227"/>
        <v>9.1999487631342389E-4</v>
      </c>
      <c r="EI314" s="51">
        <f t="shared" si="271"/>
        <v>0.99908000512368655</v>
      </c>
      <c r="EK314" s="53">
        <f>(EA314*'[2]Renewable Diesel'!BF323*'[2]Feedstock Conversion Rates'!B$2)+FB314</f>
        <v>109.8120955889522</v>
      </c>
      <c r="EL314" s="53">
        <f>(EB314*'[2]Renewable Diesel'!BF323*'[2]Feedstock Conversion Rates'!B$3)+FC314</f>
        <v>942.3566984427971</v>
      </c>
      <c r="EM314" s="53">
        <f>(EC314*'[2]Renewable Diesel'!BF323*'[2]Feedstock Conversion Rates'!B$4)+FD314</f>
        <v>4037.7640705137987</v>
      </c>
      <c r="EN314" s="53">
        <f>(ED314*'[2]Renewable Diesel'!BF323*'[2]Feedstock Conversion Rates'!B$5)+FE314</f>
        <v>463.01697361829946</v>
      </c>
      <c r="EO314" s="53">
        <f>(EE314*'[2]Renewable Diesel'!BF323*'[2]Feedstock Conversion Rates'!B$6)+FF314</f>
        <v>522.81721471239575</v>
      </c>
      <c r="EP314" s="53">
        <f>(EF314*'[2]Renewable Diesel'!BF323*'[2]Feedstock Conversion Rates'!B$7)+FG314</f>
        <v>604.88801141104693</v>
      </c>
      <c r="EQ314" s="53">
        <f>(EG314*'[2]Renewable Diesel'!BF323*'[2]Feedstock Conversion Rates'!B$8)+FH314</f>
        <v>197.79879199282243</v>
      </c>
      <c r="ER314" s="53">
        <f>(EH314*'[2]Renewable Diesel'!BF323*'[2]Feedstock Conversion Rates'!B$9)+FI314</f>
        <v>7.4347228482381498</v>
      </c>
      <c r="ES314" s="53">
        <f t="shared" si="228"/>
        <v>6885.8885791283519</v>
      </c>
      <c r="ET314" s="36">
        <f>ES314/'[2]Renewable Diesel'!BF323</f>
        <v>7.8817444380957795</v>
      </c>
    </row>
    <row r="315" spans="1:150" x14ac:dyDescent="0.25">
      <c r="A315" s="39">
        <v>50010</v>
      </c>
      <c r="B315" s="45">
        <f t="shared" si="274"/>
        <v>16.75</v>
      </c>
      <c r="C315" s="45">
        <f t="shared" si="251"/>
        <v>49</v>
      </c>
      <c r="D315" s="45">
        <f t="shared" si="275"/>
        <v>2</v>
      </c>
      <c r="E315" s="45">
        <f>('[2]Renewable Diesel'!B324*E$3*'[2]Feedstock Conversion Rates'!$B$2)/12+26+13-100+27.5+39</f>
        <v>95.43</v>
      </c>
      <c r="F315" s="45">
        <f>('[2]Renewable Diesel'!B324*'[2]RD Feedstock Breakdown'!F$3*'[2]Feedstock Conversion Rates'!B$8)/12+77+23-10-12-115.75+24+8</f>
        <v>48.15625</v>
      </c>
      <c r="G315" s="45">
        <f>('[2]Renewable Diesel'!B324*'[2]RD Feedstock Breakdown'!G$3*'[2]Feedstock Conversion Rates'!B$7)/12+116.75-39-57.5-145-31.5+32+70-40+10-17.5-5</f>
        <v>69.407000000000039</v>
      </c>
      <c r="H315" s="45">
        <f>('[2]Renewable Diesel'!B324*'[2]RD Feedstock Breakdown'!H$3*'[2]Feedstock Conversion Rates'!B$3)/12+67+10+12+3-235+20+47-20+135</f>
        <v>215.40022499999998</v>
      </c>
      <c r="I315" s="47">
        <f t="shared" si="245"/>
        <v>496.14347500000002</v>
      </c>
      <c r="J315" s="45">
        <f t="shared" si="276"/>
        <v>79</v>
      </c>
      <c r="K315" s="45"/>
      <c r="L315" s="45">
        <v>1</v>
      </c>
      <c r="M315" s="45">
        <f>('[2]Renewable Diesel'!C324*'[2]RD Feedstock Breakdown'!M$3*'[2]Feedstock Conversion Rates'!B$2)/12-55</f>
        <v>-47.20975</v>
      </c>
      <c r="N315" s="45">
        <f>('[2]Renewable Diesel'!C324*'[2]RD Feedstock Breakdown'!N$3*'[2]Feedstock Conversion Rates'!B$8)/12</f>
        <v>3.671875</v>
      </c>
      <c r="O315" s="45">
        <f>('[2]Renewable Diesel'!C324*'[2]RD Feedstock Breakdown'!O$3*'[2]Feedstock Conversion Rates'!B$7)/12-75</f>
        <v>-63.000900000000001</v>
      </c>
      <c r="P315" s="45">
        <f>('[2]Renewable Diesel'!C324*'[2]RD Feedstock Breakdown'!P$3*'[2]Feedstock Conversion Rates'!B$3)/12+15+35</f>
        <v>60.447042500000002</v>
      </c>
      <c r="Q315" s="47">
        <f t="shared" si="252"/>
        <v>33.908267500000001</v>
      </c>
      <c r="R315" s="45">
        <f>('[2]Renewable Diesel'!D324*'[2]RD Feedstock Breakdown'!R$3*'[2]Feedstock Conversion Rates'!B$7)/12</f>
        <v>2.2999999999999998</v>
      </c>
      <c r="S315" s="47">
        <f t="shared" si="203"/>
        <v>2.2999999999999998</v>
      </c>
      <c r="T315" s="45">
        <f t="shared" si="253"/>
        <v>0.82499999999999929</v>
      </c>
      <c r="U315" s="45"/>
      <c r="V315" s="45">
        <f>('[2]Renewable Diesel'!E324*'[2]RD Feedstock Breakdown'!V$3*'[2]Feedstock Conversion Rates'!B$6)/12-20+25</f>
        <v>49.250150000000012</v>
      </c>
      <c r="W315" s="45">
        <f>('[2]Renewable Diesel'!E324*'[2]RD Feedstock Breakdown'!W$3*'[2]Feedstock Conversion Rates'!B$8)/12-6</f>
        <v>16.1796875</v>
      </c>
      <c r="X315" s="47">
        <f t="shared" si="229"/>
        <v>66.254837500000008</v>
      </c>
      <c r="Y315" s="45">
        <f t="shared" si="254"/>
        <v>98</v>
      </c>
      <c r="Z315" s="45">
        <f>('[2]Renewable Diesel'!F324*'[2]RD Feedstock Breakdown'!Z$3*'[2]Feedstock Conversion Rates'!B$6)/12-142+15+10</f>
        <v>42.460000000000008</v>
      </c>
      <c r="AA315" s="45">
        <f>('[2]Renewable Diesel'!F324*'[2]RD Feedstock Breakdown'!AA$3*'[2]Feedstock Conversion Rates'!B$7)/12+24</f>
        <v>128.26666666666665</v>
      </c>
      <c r="AB315" s="47">
        <f t="shared" si="270"/>
        <v>268.72666666666669</v>
      </c>
      <c r="AC315" s="45">
        <f>('[2]Renewable Diesel'!G324*'[2]RD Feedstock Breakdown'!AC$3*'[2]Feedstock Conversion Rates'!B$5)/12</f>
        <v>11.796875</v>
      </c>
      <c r="AD315" s="45">
        <f>('[2]Renewable Diesel'!G324*'[2]RD Feedstock Breakdown'!AD$3*'[2]Feedstock Conversion Rates'!B$4)/12</f>
        <v>5.859375</v>
      </c>
      <c r="AE315" s="45">
        <f>('[2]Renewable Diesel'!G324*'[2]RD Feedstock Breakdown'!AE$3*'[2]Feedstock Conversion Rates'!B$6)/12</f>
        <v>7.3281250000000009</v>
      </c>
      <c r="AF315" s="47">
        <f t="shared" si="236"/>
        <v>24.984375</v>
      </c>
      <c r="AG315" s="45">
        <f t="shared" si="259"/>
        <v>148</v>
      </c>
      <c r="AH315" s="45"/>
      <c r="AI315" s="45">
        <f>('[2]Renewable Diesel'!H324*'[2]RD Feedstock Breakdown'!AI$3*'[2]Feedstock Conversion Rates'!B$6)/12-130-20+51-49</f>
        <v>0.51666666666667993</v>
      </c>
      <c r="AJ315" s="47">
        <f t="shared" si="202"/>
        <v>148.51666666666668</v>
      </c>
      <c r="AK315" s="45">
        <f>('[2]Renewable Diesel'!J324*'[2]RD Feedstock Breakdown'!AK$3*'[2]Feedstock Conversion Rates'!B$4)/12</f>
        <v>95.8125</v>
      </c>
      <c r="AL315" s="47">
        <f t="shared" si="205"/>
        <v>95.8125</v>
      </c>
      <c r="AM315" s="45">
        <f>('[2]Renewable Diesel'!K324*'[2]RD Feedstock Breakdown'!AM$3*'[2]Feedstock Conversion Rates'!B$4)/12+5+15-10+10</f>
        <v>78.59375</v>
      </c>
      <c r="AN315" s="45">
        <f>('[2]Renewable Diesel'!K324*'[2]RD Feedstock Breakdown'!AN$3*'[2]Feedstock Conversion Rates'!B$6)/12-5-15+10-10</f>
        <v>4.4270833333333321</v>
      </c>
      <c r="AO315" s="47">
        <f t="shared" si="223"/>
        <v>83.020833333333329</v>
      </c>
      <c r="AP315" s="45">
        <f>('[2]Renewable Diesel'!L324*'[2]RD Feedstock Breakdown'!AP$3*'[2]Feedstock Conversion Rates'!B$4)/12+15-10+15</f>
        <v>78.59375</v>
      </c>
      <c r="AQ315" s="45">
        <f>('[2]Renewable Diesel'!L324*'[2]RD Feedstock Breakdown'!AQ$3*'[2]Feedstock Conversion Rates'!B$6)/12-15+10-15</f>
        <v>4.4270833333333321</v>
      </c>
      <c r="AR315" s="47">
        <f t="shared" si="207"/>
        <v>83.020833333333329</v>
      </c>
      <c r="AS315" s="45">
        <f>('[2]Renewable Diesel'!M324*'[2]RD Feedstock Breakdown'!AS$3*'[2]Feedstock Conversion Rates'!B$4)/12</f>
        <v>456.25</v>
      </c>
      <c r="AT315" s="45">
        <f>('[2]Renewable Diesel'!M324*'[2]RD Feedstock Breakdown'!AT$3*'[2]Feedstock Conversion Rates'!B$5)/12</f>
        <v>0</v>
      </c>
      <c r="AU315" s="47">
        <f t="shared" si="244"/>
        <v>456.25</v>
      </c>
      <c r="AV315" s="45">
        <f>'[2]Renewable Diesel'!N324*'[2]RD Feedstock Breakdown'!$AV$3*'[2]Feedstock Conversion Rates'!$B$4/12-15-10+25+25-22+25</f>
        <v>106.74999999999999</v>
      </c>
      <c r="AW315" s="45">
        <f>'[2]Renewable Diesel'!N324*'[2]RD Feedstock Breakdown'!$AW$3*'[2]Feedstock Conversion Rates'!$B$7/12+15+10-25-25+22-25</f>
        <v>13.400000000000006</v>
      </c>
      <c r="AX315" s="47">
        <f t="shared" si="272"/>
        <v>120.14999999999999</v>
      </c>
      <c r="AY315" s="45">
        <f>('[2]Renewable Diesel'!O324*'[2]RD Feedstock Breakdown'!AY$3*'[2]Feedstock Conversion Rates'!B$4)/12</f>
        <v>210.9375</v>
      </c>
      <c r="AZ315" s="45">
        <f>('[2]Renewable Diesel'!O324*'[2]RD Feedstock Breakdown'!AZ$3*'[2]Feedstock Conversion Rates'!B$3)/12</f>
        <v>25.03125</v>
      </c>
      <c r="BA315" s="47">
        <f t="shared" si="255"/>
        <v>235.96875</v>
      </c>
      <c r="BB315" s="45">
        <f>('[2]Renewable Diesel'!Q324*'[2]RD Feedstock Breakdown'!BB$3*'[2]Feedstock Conversion Rates'!B$4)/12</f>
        <v>11.156249999999998</v>
      </c>
      <c r="BC315" s="45">
        <f>('[2]Renewable Diesel'!Q324*'[2]RD Feedstock Breakdown'!BC$3*'[2]Feedstock Conversion Rates'!B$3)/12</f>
        <v>1.4017500000000001</v>
      </c>
      <c r="BD315" s="45">
        <f>('[2]Renewable Diesel'!Q324*'[2]RD Feedstock Breakdown'!BD$3*'[2]Feedstock Conversion Rates'!B$6)/12</f>
        <v>0.8207500000000002</v>
      </c>
      <c r="BE315" s="47">
        <f t="shared" si="231"/>
        <v>13.378749999999998</v>
      </c>
      <c r="BF315" s="45">
        <f>('[2]Renewable Diesel'!R324*'[2]RD Feedstock Breakdown'!BF$3*'[2]Feedstock Conversion Rates'!B$4)/12</f>
        <v>62.5</v>
      </c>
      <c r="BG315" s="47">
        <f t="shared" si="215"/>
        <v>62.5</v>
      </c>
      <c r="BH315" s="45">
        <f>('[2]Renewable Diesel'!T324*'[2]RD Feedstock Breakdown'!BH$3*'[2]Feedstock Conversion Rates'!B$7)/12</f>
        <v>27.599999999999998</v>
      </c>
      <c r="BI315" s="47">
        <f t="shared" si="195"/>
        <v>27.599999999999998</v>
      </c>
      <c r="BJ315" s="45">
        <f>('[2]Renewable Diesel'!W324*'[2]RD Feedstock Breakdown'!BJ$3*'[2]Feedstock Conversion Rates'!B$4)/12</f>
        <v>7.5</v>
      </c>
      <c r="BK315" s="45">
        <f>('[2]Renewable Diesel'!W324*'[2]RD Feedstock Breakdown'!BK$3*'[2]Feedstock Conversion Rates'!B$3)/12</f>
        <v>1.335</v>
      </c>
      <c r="BL315" s="45">
        <f>('[2]Renewable Diesel'!W324*'[2]RD Feedstock Breakdown'!BL$3*'[2]Feedstock Conversion Rates'!B$6)/12</f>
        <v>3.1266666666666669</v>
      </c>
      <c r="BM315" s="45">
        <f>('[2]Renewable Diesel'!W324*'[2]RD Feedstock Breakdown'!BM$3*'[2]Feedstock Conversion Rates'!B$7)/12</f>
        <v>1.5333333333333332</v>
      </c>
      <c r="BN315" s="47">
        <f t="shared" si="248"/>
        <v>13.495000000000001</v>
      </c>
      <c r="BO315" s="45">
        <f>('[2]Renewable Diesel'!P324*'[2]Feedstock Conversion Rates'!B$4)/12</f>
        <v>31.25</v>
      </c>
      <c r="BP315" s="47">
        <f t="shared" si="237"/>
        <v>31.25</v>
      </c>
      <c r="BQ315" s="45">
        <f>('[2]Renewable Diesel'!$S324*'[2]RD Feedstock Breakdown'!BQ$3*'[2]Feedstock Conversion Rates'!B$4)/12+10+15-15</f>
        <v>38.125</v>
      </c>
      <c r="BR315" s="45">
        <f>('[2]Renewable Diesel'!$S324*'[2]RD Feedstock Breakdown'!BR$3*'[2]Feedstock Conversion Rates'!B$7)/12-10-15+15</f>
        <v>1.5</v>
      </c>
      <c r="BS315" s="47">
        <f t="shared" si="260"/>
        <v>39.625</v>
      </c>
      <c r="BT315" s="47"/>
      <c r="BU315" s="45">
        <f>('[2]Renewable Diesel'!Y324*'[2]Feedstock Conversion Rates'!B$7)/12</f>
        <v>2.6833333333333331</v>
      </c>
      <c r="BV315" s="47">
        <f t="shared" si="233"/>
        <v>2.6833333333333331</v>
      </c>
      <c r="BW315" s="45">
        <f>('[2]Renewable Diesel'!$Z324*'[2]RD Feedstock Breakdown'!BW$3*'[2]Feedstock Conversion Rates'!$B$4)/12</f>
        <v>71.875</v>
      </c>
      <c r="BX315" s="45">
        <f>('[2]Renewable Diesel'!$Z324*'[2]RD Feedstock Breakdown'!BX$3*'[2]Feedstock Conversion Rates'!$B$5)/12</f>
        <v>7.2354166666666666</v>
      </c>
      <c r="BY315" s="45">
        <f>('[2]Renewable Diesel'!$Z324*'[2]RD Feedstock Breakdown'!BY$3*'[2]Feedstock Conversion Rates'!$B$7)/12</f>
        <v>61.716666666666661</v>
      </c>
      <c r="BZ315" s="45">
        <f>('[2]Renewable Diesel'!$Z324*'[2]RD Feedstock Breakdown'!BZ$3*'[2]Feedstock Conversion Rates'!$B$3)/12</f>
        <v>15.352499999999999</v>
      </c>
      <c r="CA315" s="47">
        <f t="shared" si="262"/>
        <v>156.17958333333331</v>
      </c>
      <c r="CB315" s="45">
        <f>('[2]Renewable Diesel'!AA324*'[2]Feedstock Conversion Rates'!B$4)/12</f>
        <v>191.25</v>
      </c>
      <c r="CC315" s="47">
        <f t="shared" si="250"/>
        <v>191.25</v>
      </c>
      <c r="CD315" s="45">
        <f>('[2]Renewable Diesel'!$AB324*'[2]RD Feedstock Breakdown'!CD$3*'[2]Feedstock Conversion Rates'!$B$6)/12-15-5</f>
        <v>12.830000000000005</v>
      </c>
      <c r="CE315" s="45">
        <f>('[2]Renewable Diesel'!$AB324*'[2]RD Feedstock Breakdown'!CE$3*'[2]Feedstock Conversion Rates'!$B$4)/12+15+5</f>
        <v>31.25</v>
      </c>
      <c r="CF315" s="47">
        <f t="shared" si="247"/>
        <v>44.080000000000005</v>
      </c>
      <c r="CG315" s="45">
        <f>('[2]Renewable Diesel'!AD324*'[2]Feedstock Conversion Rates'!B$4)/12</f>
        <v>112.5</v>
      </c>
      <c r="CH315" s="47">
        <f t="shared" si="230"/>
        <v>112.5</v>
      </c>
      <c r="CI315" s="45">
        <f>('[2]Renewable Diesel'!$AE324*'[2]RD Feedstock Breakdown'!CI$3*'[2]Feedstock Conversion Rates'!$B$5)/12</f>
        <v>0.34604166666666664</v>
      </c>
      <c r="CJ315" s="45">
        <f>('[2]Renewable Diesel'!$AE324*'[2]RD Feedstock Breakdown'!CJ$3*'[2]Feedstock Conversion Rates'!$B$4)/12</f>
        <v>0.34375</v>
      </c>
      <c r="CK315" s="47">
        <f t="shared" si="238"/>
        <v>0.68979166666666658</v>
      </c>
      <c r="CL315" s="45">
        <f>(((CL$3*'[2]Renewable Diesel'!$AF324)*'[2]Feedstock Conversion Rates'!$B$3)/12)</f>
        <v>91.78125</v>
      </c>
      <c r="CM315" s="45">
        <f>(((CM$3*'[2]Renewable Diesel'!$AF324)*'[2]Feedstock Conversion Rates'!$B$6)/12)</f>
        <v>53.739583333333336</v>
      </c>
      <c r="CN315" s="45">
        <f>(((CN$3*'[2]Renewable Diesel'!$AF324)*'[2]Feedstock Conversion Rates'!$B$4)/12)</f>
        <v>42.96875</v>
      </c>
      <c r="CO315" s="47">
        <f t="shared" si="232"/>
        <v>188.48958333333334</v>
      </c>
      <c r="CP315" s="45">
        <f>('[2]Renewable Diesel'!$AG324*'[2]RD Feedstock Breakdown'!CP$3*'[2]Feedstock Conversion Rates'!$B$3)/12</f>
        <v>6.0075000000000003</v>
      </c>
      <c r="CQ315" s="45">
        <f>('[2]Renewable Diesel'!$AG324*'[2]RD Feedstock Breakdown'!CQ$3*'[2]Feedstock Conversion Rates'!$B$6)/12</f>
        <v>3.5175000000000001</v>
      </c>
      <c r="CR315" s="45">
        <f>('[2]Renewable Diesel'!$AG324*'[2]RD Feedstock Breakdown'!CR$3*'[2]Feedstock Conversion Rates'!$B$4)/12</f>
        <v>2.8125</v>
      </c>
      <c r="CS315" s="47">
        <f t="shared" si="267"/>
        <v>12.3375</v>
      </c>
      <c r="CT315" s="45">
        <f>('[2]Renewable Diesel'!AI324*'[2]Feedstock Conversion Rates'!$B$4*'[2]RD Feedstock Breakdown'!$CT$3)/12</f>
        <v>29.375</v>
      </c>
      <c r="CU315" s="47">
        <f t="shared" si="234"/>
        <v>29.375</v>
      </c>
      <c r="CV315" s="45">
        <f>('[2]Renewable Diesel'!AN324*'[2]Feedstock Conversion Rates'!$B$3*'[2]RD Feedstock Breakdown'!$CV$3)/12</f>
        <v>0.50062499999999999</v>
      </c>
      <c r="CW315" s="47">
        <f t="shared" si="206"/>
        <v>0.50062499999999999</v>
      </c>
      <c r="CX315" s="45">
        <f>('[2]Renewable Diesel'!AO324*'[2]RD Feedstock Breakdown'!$CX$3*'[2]Feedstock Conversion Rates'!$B$3)/12</f>
        <v>6.3412499999999996</v>
      </c>
      <c r="CY315" s="45">
        <f>('[2]Renewable Diesel'!AO324*'[2]RD Feedstock Breakdown'!$CY$3*'[2]Feedstock Conversion Rates'!$B$6)/12</f>
        <v>7.4258333333333342</v>
      </c>
      <c r="CZ315" s="47">
        <f t="shared" si="268"/>
        <v>13.767083333333334</v>
      </c>
      <c r="DA315" s="45">
        <f>('[2]Renewable Diesel'!$AP324*'[2]RD Feedstock Breakdown'!DA$3*'[2]Feedstock Conversion Rates'!$B$3)/12</f>
        <v>6.3412499999999996</v>
      </c>
      <c r="DB315" s="45">
        <f>('[2]Renewable Diesel'!$AP324*'[2]RD Feedstock Breakdown'!DB$3*'[2]Feedstock Conversion Rates'!$B$8)/12</f>
        <v>7.421875</v>
      </c>
      <c r="DC315" s="47">
        <f t="shared" si="212"/>
        <v>13.763124999999999</v>
      </c>
      <c r="DD315" s="45">
        <f>('[2]Renewable Diesel'!AQ324*$DD$3*'[2]Feedstock Conversion Rates'!$B$14)/12</f>
        <v>3.1041666666666665</v>
      </c>
      <c r="DE315" s="47">
        <f t="shared" si="213"/>
        <v>3.1041666666666665</v>
      </c>
      <c r="DF315" s="45">
        <f>('[2]Renewable Diesel'!AR324*'[2]Feedstock Conversion Rates'!$B$4*$DF$3)/12</f>
        <v>75</v>
      </c>
      <c r="DG315" s="47">
        <f t="shared" si="269"/>
        <v>75</v>
      </c>
      <c r="DH315" s="45">
        <f>('[2]Renewable Diesel'!AS324*'[2]Feedstock Conversion Rates'!$B$4*$DH$3)/12</f>
        <v>75</v>
      </c>
      <c r="DI315" s="47">
        <f t="shared" si="273"/>
        <v>75</v>
      </c>
      <c r="DJ315" s="45">
        <f>('[2]Renewable Diesel'!AT324*'[2]Feedstock Conversion Rates'!$B$4*0.25)/12</f>
        <v>8.59375</v>
      </c>
      <c r="DK315" s="45">
        <f>('[2]Renewable Diesel'!$AT324*'[2]RD Feedstock Breakdown'!DK$3*'[2]Feedstock Conversion Rates'!$B$3)/12*0.5</f>
        <v>9.1781249999999996</v>
      </c>
      <c r="DL315" s="45">
        <f>('[2]Renewable Diesel'!$AT324*'[2]RD Feedstock Breakdown'!$DL$3*'[2]Feedstock Conversion Rates'!$B$6)/12</f>
        <v>10.747916666666669</v>
      </c>
      <c r="DM315" s="45">
        <f>('[2]Renewable Diesel'!$AT324*'[2]RD Feedstock Breakdown'!$DM$3*'[2]Feedstock Conversion Rates'!$B$8)/12</f>
        <v>10.7421875</v>
      </c>
      <c r="DN315" s="47">
        <f t="shared" si="249"/>
        <v>39.26197916666667</v>
      </c>
      <c r="DP315" s="45">
        <f t="shared" si="216"/>
        <v>48.220250000000007</v>
      </c>
      <c r="DQ315" s="45">
        <f t="shared" si="217"/>
        <v>439.11776750000001</v>
      </c>
      <c r="DR315" s="45">
        <f t="shared" si="224"/>
        <v>2009.453125</v>
      </c>
      <c r="DS315" s="45">
        <f t="shared" si="235"/>
        <v>228.90125</v>
      </c>
      <c r="DT315" s="45">
        <f t="shared" si="218"/>
        <v>208.03923333333341</v>
      </c>
      <c r="DU315" s="45">
        <f t="shared" si="219"/>
        <v>245.40610000000004</v>
      </c>
      <c r="DV315" s="45">
        <f t="shared" si="225"/>
        <v>78.75</v>
      </c>
      <c r="DW315" s="45">
        <f t="shared" si="220"/>
        <v>3</v>
      </c>
      <c r="DX315" s="47">
        <f t="shared" si="226"/>
        <v>3260.8877258333337</v>
      </c>
      <c r="DY315" s="50">
        <f t="shared" si="208"/>
        <v>-5.631051180898794E-13</v>
      </c>
      <c r="EA315" s="51">
        <f t="shared" si="263"/>
        <v>1.4787460978184128E-2</v>
      </c>
      <c r="EB315" s="51">
        <f t="shared" si="263"/>
        <v>0.13466203206606311</v>
      </c>
      <c r="EC315" s="51">
        <f t="shared" si="263"/>
        <v>0.6162288597306661</v>
      </c>
      <c r="ED315" s="51">
        <f t="shared" si="261"/>
        <v>7.0195992393912707E-2</v>
      </c>
      <c r="EE315" s="51">
        <f t="shared" si="261"/>
        <v>6.3798342912946532E-2</v>
      </c>
      <c r="EF315" s="51">
        <f t="shared" si="261"/>
        <v>7.5257451538686598E-2</v>
      </c>
      <c r="EG315" s="51">
        <f t="shared" si="261"/>
        <v>2.4149865503227379E-2</v>
      </c>
      <c r="EH315" s="52">
        <f t="shared" si="227"/>
        <v>9.1999487631342389E-4</v>
      </c>
      <c r="EI315" s="51">
        <f t="shared" si="271"/>
        <v>0.99908000512368655</v>
      </c>
      <c r="EK315" s="53">
        <f>(EA315*'[2]Renewable Diesel'!BF324*'[2]Feedstock Conversion Rates'!B$2)+FB315</f>
        <v>112.79104824261022</v>
      </c>
      <c r="EL315" s="53">
        <f>(EB315*'[2]Renewable Diesel'!BF324*'[2]Feedstock Conversion Rates'!B$3)+FC315</f>
        <v>967.92069458058688</v>
      </c>
      <c r="EM315" s="53">
        <f>(EC315*'[2]Renewable Diesel'!BF324*'[2]Feedstock Conversion Rates'!B$4)+FD315</f>
        <v>4147.2994357045909</v>
      </c>
      <c r="EN315" s="53">
        <f>(ED315*'[2]Renewable Diesel'!BF324*'[2]Feedstock Conversion Rates'!B$5)+FE315</f>
        <v>475.57757211021737</v>
      </c>
      <c r="EO315" s="53">
        <f>(EE315*'[2]Renewable Diesel'!BF324*'[2]Feedstock Conversion Rates'!B$6)+FF315</f>
        <v>537.00005787546058</v>
      </c>
      <c r="EP315" s="53">
        <f>(EF315*'[2]Renewable Diesel'!BF324*'[2]Feedstock Conversion Rates'!B$7)+FG315</f>
        <v>621.29724881877155</v>
      </c>
      <c r="EQ315" s="53">
        <f>(EG315*'[2]Renewable Diesel'!BF324*'[2]Feedstock Conversion Rates'!B$8)+FH315</f>
        <v>203.16462380886372</v>
      </c>
      <c r="ER315" s="53">
        <f>(EH315*'[2]Renewable Diesel'!BF324*'[2]Feedstock Conversion Rates'!B$9)+FI315</f>
        <v>7.6364099869744324</v>
      </c>
      <c r="ES315" s="53">
        <f t="shared" si="228"/>
        <v>7072.6870911280748</v>
      </c>
      <c r="ET315" s="36">
        <f>ES315/'[2]Renewable Diesel'!BF324</f>
        <v>7.8817444380957777</v>
      </c>
    </row>
    <row r="316" spans="1:150" x14ac:dyDescent="0.25">
      <c r="A316" s="39">
        <v>50041</v>
      </c>
      <c r="B316" s="45">
        <f t="shared" si="274"/>
        <v>16.75</v>
      </c>
      <c r="C316" s="45">
        <f t="shared" si="251"/>
        <v>49</v>
      </c>
      <c r="D316" s="45">
        <f t="shared" si="275"/>
        <v>2</v>
      </c>
      <c r="E316" s="45">
        <f>('[2]Renewable Diesel'!B325*E$3*'[2]Feedstock Conversion Rates'!$B$2)/12+26+13-100+27.5+39</f>
        <v>95.43</v>
      </c>
      <c r="F316" s="45">
        <f>('[2]Renewable Diesel'!B325*'[2]RD Feedstock Breakdown'!F$3*'[2]Feedstock Conversion Rates'!B$8)/12+77+23-10-12-115.75+24+8</f>
        <v>48.15625</v>
      </c>
      <c r="G316" s="45">
        <f>('[2]Renewable Diesel'!B325*'[2]RD Feedstock Breakdown'!G$3*'[2]Feedstock Conversion Rates'!B$7)/12+116.75-39-57.5-145-31.5+32+70-40+10-17.5-5</f>
        <v>69.407000000000039</v>
      </c>
      <c r="H316" s="45">
        <f>('[2]Renewable Diesel'!B325*'[2]RD Feedstock Breakdown'!H$3*'[2]Feedstock Conversion Rates'!B$3)/12+67+10+12+3-235+20+47-20+135</f>
        <v>215.40022499999998</v>
      </c>
      <c r="I316" s="47">
        <f t="shared" si="245"/>
        <v>496.14347500000002</v>
      </c>
      <c r="J316" s="45">
        <f t="shared" si="276"/>
        <v>79</v>
      </c>
      <c r="K316" s="45"/>
      <c r="L316" s="45">
        <v>1</v>
      </c>
      <c r="M316" s="45">
        <f>('[2]Renewable Diesel'!C325*'[2]RD Feedstock Breakdown'!M$3*'[2]Feedstock Conversion Rates'!B$2)/12-55</f>
        <v>-47.20975</v>
      </c>
      <c r="N316" s="45">
        <f>('[2]Renewable Diesel'!C325*'[2]RD Feedstock Breakdown'!N$3*'[2]Feedstock Conversion Rates'!B$8)/12</f>
        <v>3.671875</v>
      </c>
      <c r="O316" s="45">
        <f>('[2]Renewable Diesel'!C325*'[2]RD Feedstock Breakdown'!O$3*'[2]Feedstock Conversion Rates'!B$7)/12-75</f>
        <v>-63.000900000000001</v>
      </c>
      <c r="P316" s="45">
        <f>('[2]Renewable Diesel'!C325*'[2]RD Feedstock Breakdown'!P$3*'[2]Feedstock Conversion Rates'!B$3)/12+15+35</f>
        <v>60.447042500000002</v>
      </c>
      <c r="Q316" s="47">
        <f t="shared" si="252"/>
        <v>33.908267500000001</v>
      </c>
      <c r="R316" s="45">
        <f>('[2]Renewable Diesel'!D325*'[2]RD Feedstock Breakdown'!R$3*'[2]Feedstock Conversion Rates'!B$7)/12</f>
        <v>2.2999999999999998</v>
      </c>
      <c r="S316" s="47">
        <f t="shared" si="203"/>
        <v>2.2999999999999998</v>
      </c>
      <c r="T316" s="45">
        <f t="shared" si="253"/>
        <v>0.82499999999999929</v>
      </c>
      <c r="U316" s="45"/>
      <c r="V316" s="45">
        <f>('[2]Renewable Diesel'!E325*'[2]RD Feedstock Breakdown'!V$3*'[2]Feedstock Conversion Rates'!B$6)/12-20+25</f>
        <v>49.250150000000012</v>
      </c>
      <c r="W316" s="45">
        <f>('[2]Renewable Diesel'!E325*'[2]RD Feedstock Breakdown'!W$3*'[2]Feedstock Conversion Rates'!B$8)/12-6</f>
        <v>16.1796875</v>
      </c>
      <c r="X316" s="47">
        <f t="shared" si="229"/>
        <v>66.254837500000008</v>
      </c>
      <c r="Y316" s="45">
        <f t="shared" si="254"/>
        <v>98</v>
      </c>
      <c r="Z316" s="45">
        <f>('[2]Renewable Diesel'!F325*'[2]RD Feedstock Breakdown'!Z$3*'[2]Feedstock Conversion Rates'!B$6)/12-142+15+5+20+2.5</f>
        <v>59.960000000000008</v>
      </c>
      <c r="AA316" s="45">
        <f>('[2]Renewable Diesel'!F325*'[2]RD Feedstock Breakdown'!AA$3*'[2]Feedstock Conversion Rates'!B$7)/12+24</f>
        <v>128.26666666666665</v>
      </c>
      <c r="AB316" s="47">
        <f t="shared" si="270"/>
        <v>286.22666666666669</v>
      </c>
      <c r="AC316" s="45">
        <f>('[2]Renewable Diesel'!G325*'[2]RD Feedstock Breakdown'!AC$3*'[2]Feedstock Conversion Rates'!B$5)/12</f>
        <v>11.796875</v>
      </c>
      <c r="AD316" s="45">
        <f>('[2]Renewable Diesel'!G325*'[2]RD Feedstock Breakdown'!AD$3*'[2]Feedstock Conversion Rates'!B$4)/12</f>
        <v>5.859375</v>
      </c>
      <c r="AE316" s="45">
        <f>('[2]Renewable Diesel'!G325*'[2]RD Feedstock Breakdown'!AE$3*'[2]Feedstock Conversion Rates'!B$6)/12</f>
        <v>7.3281250000000009</v>
      </c>
      <c r="AF316" s="47">
        <f t="shared" si="236"/>
        <v>24.984375</v>
      </c>
      <c r="AG316" s="45">
        <f t="shared" si="259"/>
        <v>148</v>
      </c>
      <c r="AH316" s="45"/>
      <c r="AI316" s="45">
        <f>('[2]Renewable Diesel'!H325*'[2]RD Feedstock Breakdown'!AI$3*'[2]Feedstock Conversion Rates'!B$6)/12-130-20+51-49</f>
        <v>0.51666666666667993</v>
      </c>
      <c r="AJ316" s="47">
        <f t="shared" si="202"/>
        <v>148.51666666666668</v>
      </c>
      <c r="AK316" s="45">
        <f>('[2]Renewable Diesel'!J325*'[2]RD Feedstock Breakdown'!AK$3*'[2]Feedstock Conversion Rates'!B$4)/12</f>
        <v>95.8125</v>
      </c>
      <c r="AL316" s="47">
        <f t="shared" si="205"/>
        <v>95.8125</v>
      </c>
      <c r="AM316" s="45">
        <f>('[2]Renewable Diesel'!K325*'[2]RD Feedstock Breakdown'!AM$3*'[2]Feedstock Conversion Rates'!B$4)/12+5+15-10+10</f>
        <v>78.59375</v>
      </c>
      <c r="AN316" s="45">
        <f>('[2]Renewable Diesel'!K325*'[2]RD Feedstock Breakdown'!AN$3*'[2]Feedstock Conversion Rates'!B$6)/12-5-15+10-10</f>
        <v>4.4270833333333321</v>
      </c>
      <c r="AO316" s="47">
        <f t="shared" si="223"/>
        <v>83.020833333333329</v>
      </c>
      <c r="AP316" s="45">
        <f>('[2]Renewable Diesel'!L325*'[2]RD Feedstock Breakdown'!AP$3*'[2]Feedstock Conversion Rates'!B$4)/12+15-10+15</f>
        <v>78.59375</v>
      </c>
      <c r="AQ316" s="45">
        <f>('[2]Renewable Diesel'!L325*'[2]RD Feedstock Breakdown'!AQ$3*'[2]Feedstock Conversion Rates'!B$6)/12-15+10-15</f>
        <v>4.4270833333333321</v>
      </c>
      <c r="AR316" s="47">
        <f t="shared" si="207"/>
        <v>83.020833333333329</v>
      </c>
      <c r="AS316" s="45">
        <f>('[2]Renewable Diesel'!M325*'[2]RD Feedstock Breakdown'!AS$3*'[2]Feedstock Conversion Rates'!B$4)/12</f>
        <v>456.25</v>
      </c>
      <c r="AT316" s="45">
        <f>('[2]Renewable Diesel'!M325*'[2]RD Feedstock Breakdown'!AT$3*'[2]Feedstock Conversion Rates'!B$5)/12</f>
        <v>0</v>
      </c>
      <c r="AU316" s="47">
        <f t="shared" si="244"/>
        <v>456.25</v>
      </c>
      <c r="AV316" s="45">
        <f>'[2]Renewable Diesel'!N325*'[2]RD Feedstock Breakdown'!$AV$3*'[2]Feedstock Conversion Rates'!$B$4/12-15-10+25+25-22+25</f>
        <v>106.74999999999999</v>
      </c>
      <c r="AW316" s="45">
        <f>'[2]Renewable Diesel'!N325*'[2]RD Feedstock Breakdown'!$AW$3*'[2]Feedstock Conversion Rates'!$B$7/12+15+10-25-25+22-25</f>
        <v>13.400000000000006</v>
      </c>
      <c r="AX316" s="47">
        <f t="shared" si="272"/>
        <v>120.14999999999999</v>
      </c>
      <c r="AY316" s="45">
        <f>('[2]Renewable Diesel'!O325*'[2]RD Feedstock Breakdown'!AY$3*'[2]Feedstock Conversion Rates'!B$4)/12</f>
        <v>210.9375</v>
      </c>
      <c r="AZ316" s="45">
        <f>('[2]Renewable Diesel'!O325*'[2]RD Feedstock Breakdown'!AZ$3*'[2]Feedstock Conversion Rates'!B$3)/12</f>
        <v>25.03125</v>
      </c>
      <c r="BA316" s="47">
        <f t="shared" si="255"/>
        <v>235.96875</v>
      </c>
      <c r="BB316" s="45">
        <f>('[2]Renewable Diesel'!Q325*'[2]RD Feedstock Breakdown'!BB$3*'[2]Feedstock Conversion Rates'!B$4)/12</f>
        <v>11.156249999999998</v>
      </c>
      <c r="BC316" s="45">
        <f>('[2]Renewable Diesel'!Q325*'[2]RD Feedstock Breakdown'!BC$3*'[2]Feedstock Conversion Rates'!B$3)/12</f>
        <v>1.4017500000000001</v>
      </c>
      <c r="BD316" s="45">
        <f>('[2]Renewable Diesel'!Q325*'[2]RD Feedstock Breakdown'!BD$3*'[2]Feedstock Conversion Rates'!B$6)/12</f>
        <v>0.8207500000000002</v>
      </c>
      <c r="BE316" s="47">
        <f t="shared" si="231"/>
        <v>13.378749999999998</v>
      </c>
      <c r="BF316" s="45">
        <f>('[2]Renewable Diesel'!R325*'[2]RD Feedstock Breakdown'!BF$3*'[2]Feedstock Conversion Rates'!B$4)/12</f>
        <v>62.5</v>
      </c>
      <c r="BG316" s="47">
        <f t="shared" si="215"/>
        <v>62.5</v>
      </c>
      <c r="BH316" s="45">
        <f>('[2]Renewable Diesel'!T325*'[2]RD Feedstock Breakdown'!BH$3*'[2]Feedstock Conversion Rates'!B$7)/12</f>
        <v>27.599999999999998</v>
      </c>
      <c r="BI316" s="47">
        <f t="shared" si="195"/>
        <v>27.599999999999998</v>
      </c>
      <c r="BJ316" s="45">
        <f>('[2]Renewable Diesel'!W325*'[2]RD Feedstock Breakdown'!BJ$3*'[2]Feedstock Conversion Rates'!B$4)/12</f>
        <v>7.5</v>
      </c>
      <c r="BK316" s="45">
        <f>('[2]Renewable Diesel'!W325*'[2]RD Feedstock Breakdown'!BK$3*'[2]Feedstock Conversion Rates'!B$3)/12</f>
        <v>1.335</v>
      </c>
      <c r="BL316" s="45">
        <f>('[2]Renewable Diesel'!W325*'[2]RD Feedstock Breakdown'!BL$3*'[2]Feedstock Conversion Rates'!B$6)/12</f>
        <v>3.1266666666666669</v>
      </c>
      <c r="BM316" s="45">
        <f>('[2]Renewable Diesel'!W325*'[2]RD Feedstock Breakdown'!BM$3*'[2]Feedstock Conversion Rates'!B$7)/12</f>
        <v>1.5333333333333332</v>
      </c>
      <c r="BN316" s="47">
        <f t="shared" si="248"/>
        <v>13.495000000000001</v>
      </c>
      <c r="BO316" s="45">
        <f>('[2]Renewable Diesel'!P325*'[2]Feedstock Conversion Rates'!B$4)/12</f>
        <v>31.25</v>
      </c>
      <c r="BP316" s="47">
        <f t="shared" si="237"/>
        <v>31.25</v>
      </c>
      <c r="BQ316" s="45">
        <f>('[2]Renewable Diesel'!$S325*'[2]RD Feedstock Breakdown'!BQ$3*'[2]Feedstock Conversion Rates'!B$4)/12+10+15-15</f>
        <v>38.125</v>
      </c>
      <c r="BR316" s="45">
        <f>('[2]Renewable Diesel'!$S325*'[2]RD Feedstock Breakdown'!BR$3*'[2]Feedstock Conversion Rates'!B$7)/12-10-15+15</f>
        <v>1.5</v>
      </c>
      <c r="BS316" s="47">
        <f t="shared" si="260"/>
        <v>39.625</v>
      </c>
      <c r="BT316" s="47"/>
      <c r="BU316" s="45">
        <f>('[2]Renewable Diesel'!Y325*'[2]Feedstock Conversion Rates'!B$7)/12</f>
        <v>2.6833333333333331</v>
      </c>
      <c r="BV316" s="47">
        <f t="shared" si="233"/>
        <v>2.6833333333333331</v>
      </c>
      <c r="BW316" s="45">
        <f>('[2]Renewable Diesel'!$Z325*'[2]RD Feedstock Breakdown'!BW$3*'[2]Feedstock Conversion Rates'!$B$4)/12</f>
        <v>71.875</v>
      </c>
      <c r="BX316" s="45">
        <f>('[2]Renewable Diesel'!$Z325*'[2]RD Feedstock Breakdown'!BX$3*'[2]Feedstock Conversion Rates'!$B$5)/12</f>
        <v>7.2354166666666666</v>
      </c>
      <c r="BY316" s="45">
        <f>('[2]Renewable Diesel'!$Z325*'[2]RD Feedstock Breakdown'!BY$3*'[2]Feedstock Conversion Rates'!$B$7)/12</f>
        <v>61.716666666666661</v>
      </c>
      <c r="BZ316" s="45">
        <f>('[2]Renewable Diesel'!$Z325*'[2]RD Feedstock Breakdown'!BZ$3*'[2]Feedstock Conversion Rates'!$B$3)/12</f>
        <v>15.352499999999999</v>
      </c>
      <c r="CA316" s="47">
        <f t="shared" si="262"/>
        <v>156.17958333333331</v>
      </c>
      <c r="CB316" s="45">
        <f>('[2]Renewable Diesel'!AA325*'[2]Feedstock Conversion Rates'!B$4)/12</f>
        <v>191.25</v>
      </c>
      <c r="CC316" s="47">
        <f t="shared" si="250"/>
        <v>191.25</v>
      </c>
      <c r="CD316" s="45">
        <f>('[2]Renewable Diesel'!$AB325*'[2]RD Feedstock Breakdown'!CD$3*'[2]Feedstock Conversion Rates'!$B$6)/12-15-5</f>
        <v>12.830000000000005</v>
      </c>
      <c r="CE316" s="45">
        <f>('[2]Renewable Diesel'!$AB325*'[2]RD Feedstock Breakdown'!CE$3*'[2]Feedstock Conversion Rates'!$B$4)/12+15+5</f>
        <v>31.25</v>
      </c>
      <c r="CF316" s="47">
        <f t="shared" si="247"/>
        <v>44.080000000000005</v>
      </c>
      <c r="CG316" s="45">
        <f>('[2]Renewable Diesel'!AD325*'[2]Feedstock Conversion Rates'!B$4)/12</f>
        <v>112.5</v>
      </c>
      <c r="CH316" s="47">
        <f t="shared" si="230"/>
        <v>112.5</v>
      </c>
      <c r="CI316" s="45">
        <f>('[2]Renewable Diesel'!$AE325*'[2]RD Feedstock Breakdown'!CI$3*'[2]Feedstock Conversion Rates'!$B$5)/12</f>
        <v>0.34604166666666664</v>
      </c>
      <c r="CJ316" s="45">
        <f>('[2]Renewable Diesel'!$AE325*'[2]RD Feedstock Breakdown'!CJ$3*'[2]Feedstock Conversion Rates'!$B$4)/12</f>
        <v>0.34375</v>
      </c>
      <c r="CK316" s="47">
        <f t="shared" si="238"/>
        <v>0.68979166666666658</v>
      </c>
      <c r="CL316" s="45">
        <f>(((CL$3*'[2]Renewable Diesel'!$AF325)*'[2]Feedstock Conversion Rates'!$B$3)/12)</f>
        <v>91.78125</v>
      </c>
      <c r="CM316" s="45">
        <f>(((CM$3*'[2]Renewable Diesel'!$AF325)*'[2]Feedstock Conversion Rates'!$B$6)/12)</f>
        <v>53.739583333333336</v>
      </c>
      <c r="CN316" s="45">
        <f>(((CN$3*'[2]Renewable Diesel'!$AF325)*'[2]Feedstock Conversion Rates'!$B$4)/12)</f>
        <v>42.96875</v>
      </c>
      <c r="CO316" s="47">
        <f t="shared" si="232"/>
        <v>188.48958333333334</v>
      </c>
      <c r="CP316" s="45">
        <f>('[2]Renewable Diesel'!$AG325*'[2]RD Feedstock Breakdown'!CP$3*'[2]Feedstock Conversion Rates'!$B$3)/12</f>
        <v>6.0075000000000003</v>
      </c>
      <c r="CQ316" s="45">
        <f>('[2]Renewable Diesel'!$AG325*'[2]RD Feedstock Breakdown'!CQ$3*'[2]Feedstock Conversion Rates'!$B$6)/12</f>
        <v>3.5175000000000001</v>
      </c>
      <c r="CR316" s="45">
        <f>('[2]Renewable Diesel'!$AG325*'[2]RD Feedstock Breakdown'!CR$3*'[2]Feedstock Conversion Rates'!$B$4)/12</f>
        <v>2.8125</v>
      </c>
      <c r="CS316" s="47">
        <f t="shared" si="267"/>
        <v>12.3375</v>
      </c>
      <c r="CT316" s="45">
        <f>('[2]Renewable Diesel'!AI325*'[2]Feedstock Conversion Rates'!$B$4*'[2]RD Feedstock Breakdown'!$CT$3)/12</f>
        <v>29.375</v>
      </c>
      <c r="CU316" s="47">
        <f t="shared" si="234"/>
        <v>29.375</v>
      </c>
      <c r="CV316" s="45">
        <f>('[2]Renewable Diesel'!AN325*'[2]Feedstock Conversion Rates'!$B$3*'[2]RD Feedstock Breakdown'!$CV$3)/12</f>
        <v>0.50062499999999999</v>
      </c>
      <c r="CW316" s="47">
        <f t="shared" si="206"/>
        <v>0.50062499999999999</v>
      </c>
      <c r="CX316" s="45">
        <f>('[2]Renewable Diesel'!AO325*'[2]RD Feedstock Breakdown'!$CX$3*'[2]Feedstock Conversion Rates'!$B$3)/12</f>
        <v>6.3412499999999996</v>
      </c>
      <c r="CY316" s="45">
        <f>('[2]Renewable Diesel'!AO325*'[2]RD Feedstock Breakdown'!$CY$3*'[2]Feedstock Conversion Rates'!$B$6)/12</f>
        <v>7.4258333333333342</v>
      </c>
      <c r="CZ316" s="47">
        <f t="shared" si="268"/>
        <v>13.767083333333334</v>
      </c>
      <c r="DA316" s="45">
        <f>('[2]Renewable Diesel'!$AP325*'[2]RD Feedstock Breakdown'!DA$3*'[2]Feedstock Conversion Rates'!$B$3)/12</f>
        <v>6.3412499999999996</v>
      </c>
      <c r="DB316" s="45">
        <f>('[2]Renewable Diesel'!$AP325*'[2]RD Feedstock Breakdown'!DB$3*'[2]Feedstock Conversion Rates'!$B$8)/12</f>
        <v>7.421875</v>
      </c>
      <c r="DC316" s="47">
        <f t="shared" si="212"/>
        <v>13.763124999999999</v>
      </c>
      <c r="DD316" s="45">
        <f>('[2]Renewable Diesel'!AQ325*$DD$3*'[2]Feedstock Conversion Rates'!$B$14)/12</f>
        <v>3.1041666666666665</v>
      </c>
      <c r="DE316" s="47">
        <f t="shared" si="213"/>
        <v>3.1041666666666665</v>
      </c>
      <c r="DF316" s="45">
        <f>('[2]Renewable Diesel'!AR325*'[2]Feedstock Conversion Rates'!$B$4*$DF$3)/12</f>
        <v>75</v>
      </c>
      <c r="DG316" s="47">
        <f t="shared" si="269"/>
        <v>75</v>
      </c>
      <c r="DH316" s="45">
        <f>('[2]Renewable Diesel'!AS325*'[2]Feedstock Conversion Rates'!$B$4*$DH$3)/12</f>
        <v>75</v>
      </c>
      <c r="DI316" s="47">
        <f t="shared" si="273"/>
        <v>75</v>
      </c>
      <c r="DJ316" s="45">
        <f>('[2]Renewable Diesel'!AT325*'[2]Feedstock Conversion Rates'!$B$4*0.25)/12</f>
        <v>8.59375</v>
      </c>
      <c r="DK316" s="45">
        <f>('[2]Renewable Diesel'!$AT325*'[2]RD Feedstock Breakdown'!DK$3*'[2]Feedstock Conversion Rates'!$B$3)/12*0.5</f>
        <v>9.1781249999999996</v>
      </c>
      <c r="DL316" s="45">
        <f>('[2]Renewable Diesel'!$AT325*'[2]RD Feedstock Breakdown'!$DL$3*'[2]Feedstock Conversion Rates'!$B$6)/12</f>
        <v>10.747916666666669</v>
      </c>
      <c r="DM316" s="45">
        <f>('[2]Renewable Diesel'!$AT325*'[2]RD Feedstock Breakdown'!$DM$3*'[2]Feedstock Conversion Rates'!$B$8)/12</f>
        <v>10.7421875</v>
      </c>
      <c r="DN316" s="47">
        <f t="shared" si="249"/>
        <v>39.26197916666667</v>
      </c>
      <c r="DP316" s="45">
        <f t="shared" si="216"/>
        <v>48.220250000000007</v>
      </c>
      <c r="DQ316" s="45">
        <f t="shared" si="217"/>
        <v>439.11776750000001</v>
      </c>
      <c r="DR316" s="45">
        <f t="shared" si="224"/>
        <v>2009.453125</v>
      </c>
      <c r="DS316" s="45">
        <f t="shared" si="235"/>
        <v>228.90125</v>
      </c>
      <c r="DT316" s="45">
        <f t="shared" si="218"/>
        <v>225.53923333333341</v>
      </c>
      <c r="DU316" s="45">
        <f t="shared" si="219"/>
        <v>245.40610000000004</v>
      </c>
      <c r="DV316" s="45">
        <f t="shared" si="225"/>
        <v>78.75</v>
      </c>
      <c r="DW316" s="45">
        <f t="shared" si="220"/>
        <v>3</v>
      </c>
      <c r="DX316" s="47">
        <f t="shared" si="226"/>
        <v>3278.3877258333337</v>
      </c>
      <c r="DY316" s="50">
        <f t="shared" si="208"/>
        <v>-5.631051180898794E-13</v>
      </c>
      <c r="EA316" s="51">
        <f t="shared" si="263"/>
        <v>1.4708525663401481E-2</v>
      </c>
      <c r="EB316" s="51">
        <f t="shared" si="263"/>
        <v>0.13394320752234412</v>
      </c>
      <c r="EC316" s="51">
        <f t="shared" si="263"/>
        <v>0.61293943640824755</v>
      </c>
      <c r="ED316" s="51">
        <f t="shared" si="261"/>
        <v>6.9821286907672142E-2</v>
      </c>
      <c r="EE316" s="51">
        <f t="shared" si="261"/>
        <v>6.8795777740414635E-2</v>
      </c>
      <c r="EF316" s="51">
        <f t="shared" si="261"/>
        <v>7.4855728035530103E-2</v>
      </c>
      <c r="EG316" s="51">
        <f t="shared" si="261"/>
        <v>2.4020953769274662E-2</v>
      </c>
      <c r="EH316" s="52">
        <f t="shared" si="227"/>
        <v>9.1508395311522522E-4</v>
      </c>
      <c r="EI316" s="51">
        <f t="shared" si="271"/>
        <v>0.99908491604688487</v>
      </c>
      <c r="EK316" s="53">
        <f>(EA316*'[2]Renewable Diesel'!BF325*'[2]Feedstock Conversion Rates'!B$2)+FB316</f>
        <v>69.396918352605468</v>
      </c>
      <c r="EL316" s="53">
        <f>(EB316*'[2]Renewable Diesel'!BF325*'[2]Feedstock Conversion Rates'!B$3)+FC316</f>
        <v>595.53230916981931</v>
      </c>
      <c r="EM316" s="53">
        <f>(EC316*'[2]Renewable Diesel'!BF325*'[2]Feedstock Conversion Rates'!B$4)+FD316</f>
        <v>2551.7078244040058</v>
      </c>
      <c r="EN316" s="53">
        <f>(ED316*'[2]Renewable Diesel'!BF325*'[2]Feedstock Conversion Rates'!B$5)+FE316</f>
        <v>292.6084867220427</v>
      </c>
      <c r="EO316" s="53">
        <f>(EE316*'[2]Renewable Diesel'!BF325*'[2]Feedstock Conversion Rates'!B$6)+FF316</f>
        <v>358.19270802482924</v>
      </c>
      <c r="EP316" s="53">
        <f>(EF316*'[2]Renewable Diesel'!BF325*'[2]Feedstock Conversion Rates'!B$7)+FG316</f>
        <v>382.26539358188427</v>
      </c>
      <c r="EQ316" s="53">
        <f>(EG316*'[2]Renewable Diesel'!BF325*'[2]Feedstock Conversion Rates'!B$8)+FH316</f>
        <v>125.00104423424622</v>
      </c>
      <c r="ER316" s="53">
        <f>(EH316*'[2]Renewable Diesel'!BF325*'[2]Feedstock Conversion Rates'!B$9)+FI316</f>
        <v>4.6984519483602387</v>
      </c>
      <c r="ES316" s="53">
        <f t="shared" si="228"/>
        <v>4379.4031364377934</v>
      </c>
      <c r="ET316" s="36">
        <f>ES316/'[2]Renewable Diesel'!BF325</f>
        <v>7.8897421108929029</v>
      </c>
    </row>
    <row r="317" spans="1:150" x14ac:dyDescent="0.25">
      <c r="A317" s="39">
        <v>50072</v>
      </c>
      <c r="B317" s="45">
        <f t="shared" si="274"/>
        <v>16.75</v>
      </c>
      <c r="C317" s="45">
        <f t="shared" si="251"/>
        <v>49</v>
      </c>
      <c r="D317" s="45">
        <f t="shared" si="275"/>
        <v>2</v>
      </c>
      <c r="E317" s="45">
        <f>('[2]Renewable Diesel'!B326*E$3*'[2]Feedstock Conversion Rates'!$B$2)/12+26+13-100+27.5+39</f>
        <v>95.43</v>
      </c>
      <c r="F317" s="45">
        <f>('[2]Renewable Diesel'!B326*'[2]RD Feedstock Breakdown'!F$3*'[2]Feedstock Conversion Rates'!B$8)/12+77+23-10-12-115.75+24+8</f>
        <v>48.15625</v>
      </c>
      <c r="G317" s="45">
        <f>('[2]Renewable Diesel'!B326*'[2]RD Feedstock Breakdown'!G$3*'[2]Feedstock Conversion Rates'!B$7)/12+116.75-39-57.5-145-31.5+32+70-40+10-17.5-5</f>
        <v>69.407000000000039</v>
      </c>
      <c r="H317" s="45">
        <f>('[2]Renewable Diesel'!B326*'[2]RD Feedstock Breakdown'!H$3*'[2]Feedstock Conversion Rates'!B$3)/12+67+10+12+3-235+20+47-20+135</f>
        <v>215.40022499999998</v>
      </c>
      <c r="I317" s="47">
        <f t="shared" si="245"/>
        <v>496.14347500000002</v>
      </c>
      <c r="J317" s="45">
        <f t="shared" si="276"/>
        <v>79</v>
      </c>
      <c r="K317" s="45"/>
      <c r="L317" s="45">
        <v>1</v>
      </c>
      <c r="M317" s="45">
        <f>('[2]Renewable Diesel'!C326*'[2]RD Feedstock Breakdown'!M$3*'[2]Feedstock Conversion Rates'!B$2)/12-55</f>
        <v>-47.20975</v>
      </c>
      <c r="N317" s="45">
        <f>('[2]Renewable Diesel'!C326*'[2]RD Feedstock Breakdown'!N$3*'[2]Feedstock Conversion Rates'!B$8)/12</f>
        <v>3.671875</v>
      </c>
      <c r="O317" s="45">
        <f>('[2]Renewable Diesel'!C326*'[2]RD Feedstock Breakdown'!O$3*'[2]Feedstock Conversion Rates'!B$7)/12-75</f>
        <v>-63.000900000000001</v>
      </c>
      <c r="P317" s="45">
        <f>('[2]Renewable Diesel'!C326*'[2]RD Feedstock Breakdown'!P$3*'[2]Feedstock Conversion Rates'!B$3)/12+15+35</f>
        <v>60.447042500000002</v>
      </c>
      <c r="Q317" s="47">
        <f t="shared" si="252"/>
        <v>33.908267500000001</v>
      </c>
      <c r="R317" s="45">
        <f>('[2]Renewable Diesel'!D326*'[2]RD Feedstock Breakdown'!R$3*'[2]Feedstock Conversion Rates'!B$7)/12</f>
        <v>2.2999999999999998</v>
      </c>
      <c r="S317" s="47">
        <f t="shared" si="203"/>
        <v>2.2999999999999998</v>
      </c>
      <c r="T317" s="45">
        <f t="shared" si="253"/>
        <v>0.82499999999999929</v>
      </c>
      <c r="U317" s="45"/>
      <c r="V317" s="45">
        <f>('[2]Renewable Diesel'!E326*'[2]RD Feedstock Breakdown'!V$3*'[2]Feedstock Conversion Rates'!B$6)/12-20+25</f>
        <v>49.250150000000012</v>
      </c>
      <c r="W317" s="45">
        <f>('[2]Renewable Diesel'!E326*'[2]RD Feedstock Breakdown'!W$3*'[2]Feedstock Conversion Rates'!B$8)/12-6</f>
        <v>16.1796875</v>
      </c>
      <c r="X317" s="47">
        <f t="shared" si="229"/>
        <v>66.254837500000008</v>
      </c>
      <c r="Y317" s="45">
        <f t="shared" si="254"/>
        <v>98</v>
      </c>
      <c r="Z317" s="45">
        <f>('[2]Renewable Diesel'!F326*'[2]RD Feedstock Breakdown'!Z$3*'[2]Feedstock Conversion Rates'!B$6)/12-142+15+5+20+2.5</f>
        <v>59.960000000000008</v>
      </c>
      <c r="AA317" s="45">
        <f>('[2]Renewable Diesel'!F326*'[2]RD Feedstock Breakdown'!AA$3*'[2]Feedstock Conversion Rates'!B$7)/12+24</f>
        <v>128.26666666666665</v>
      </c>
      <c r="AB317" s="47">
        <f t="shared" si="270"/>
        <v>286.22666666666669</v>
      </c>
      <c r="AC317" s="45">
        <f>('[2]Renewable Diesel'!G326*'[2]RD Feedstock Breakdown'!AC$3*'[2]Feedstock Conversion Rates'!B$5)/12</f>
        <v>11.796875</v>
      </c>
      <c r="AD317" s="45">
        <f>('[2]Renewable Diesel'!G326*'[2]RD Feedstock Breakdown'!AD$3*'[2]Feedstock Conversion Rates'!B$4)/12</f>
        <v>5.859375</v>
      </c>
      <c r="AE317" s="45">
        <f>('[2]Renewable Diesel'!G326*'[2]RD Feedstock Breakdown'!AE$3*'[2]Feedstock Conversion Rates'!B$6)/12</f>
        <v>7.3281250000000009</v>
      </c>
      <c r="AF317" s="47">
        <f t="shared" si="236"/>
        <v>24.984375</v>
      </c>
      <c r="AG317" s="45">
        <f t="shared" si="259"/>
        <v>148</v>
      </c>
      <c r="AH317" s="45"/>
      <c r="AI317" s="45">
        <f>('[2]Renewable Diesel'!H326*'[2]RD Feedstock Breakdown'!AI$3*'[2]Feedstock Conversion Rates'!B$6)/12-130-20+51-49</f>
        <v>0.51666666666667993</v>
      </c>
      <c r="AJ317" s="47">
        <f t="shared" si="202"/>
        <v>148.51666666666668</v>
      </c>
      <c r="AK317" s="45">
        <f>('[2]Renewable Diesel'!J326*'[2]RD Feedstock Breakdown'!AK$3*'[2]Feedstock Conversion Rates'!B$4)/12</f>
        <v>95.8125</v>
      </c>
      <c r="AL317" s="47">
        <f t="shared" si="205"/>
        <v>95.8125</v>
      </c>
      <c r="AM317" s="45">
        <f>('[2]Renewable Diesel'!K326*'[2]RD Feedstock Breakdown'!AM$3*'[2]Feedstock Conversion Rates'!B$4)/12+5+15-10+10</f>
        <v>78.59375</v>
      </c>
      <c r="AN317" s="45">
        <f>('[2]Renewable Diesel'!K326*'[2]RD Feedstock Breakdown'!AN$3*'[2]Feedstock Conversion Rates'!B$6)/12-5-15+10-10</f>
        <v>4.4270833333333321</v>
      </c>
      <c r="AO317" s="47">
        <f t="shared" si="223"/>
        <v>83.020833333333329</v>
      </c>
      <c r="AP317" s="45">
        <f>('[2]Renewable Diesel'!L326*'[2]RD Feedstock Breakdown'!AP$3*'[2]Feedstock Conversion Rates'!B$4)/12+15-10+15</f>
        <v>78.59375</v>
      </c>
      <c r="AQ317" s="45">
        <f>('[2]Renewable Diesel'!L326*'[2]RD Feedstock Breakdown'!AQ$3*'[2]Feedstock Conversion Rates'!B$6)/12-15+10-15</f>
        <v>4.4270833333333321</v>
      </c>
      <c r="AR317" s="47">
        <f t="shared" si="207"/>
        <v>83.020833333333329</v>
      </c>
      <c r="AS317" s="45">
        <f>('[2]Renewable Diesel'!M326*'[2]RD Feedstock Breakdown'!AS$3*'[2]Feedstock Conversion Rates'!B$4)/12</f>
        <v>456.25</v>
      </c>
      <c r="AT317" s="45">
        <f>('[2]Renewable Diesel'!M326*'[2]RD Feedstock Breakdown'!AT$3*'[2]Feedstock Conversion Rates'!B$5)/12</f>
        <v>0</v>
      </c>
      <c r="AU317" s="47">
        <f t="shared" si="244"/>
        <v>456.25</v>
      </c>
      <c r="AV317" s="45">
        <f>'[2]Renewable Diesel'!N326*'[2]RD Feedstock Breakdown'!$AV$3*'[2]Feedstock Conversion Rates'!$B$4/12-15-10+25+25-22+25</f>
        <v>106.74999999999999</v>
      </c>
      <c r="AW317" s="45">
        <f>'[2]Renewable Diesel'!N326*'[2]RD Feedstock Breakdown'!$AW$3*'[2]Feedstock Conversion Rates'!$B$7/12+15+10-25-25+22-25</f>
        <v>13.400000000000006</v>
      </c>
      <c r="AX317" s="47">
        <f t="shared" si="272"/>
        <v>120.14999999999999</v>
      </c>
      <c r="AY317" s="45">
        <f>('[2]Renewable Diesel'!O326*'[2]RD Feedstock Breakdown'!AY$3*'[2]Feedstock Conversion Rates'!B$4)/12</f>
        <v>210.9375</v>
      </c>
      <c r="AZ317" s="45">
        <f>('[2]Renewable Diesel'!O326*'[2]RD Feedstock Breakdown'!AZ$3*'[2]Feedstock Conversion Rates'!B$3)/12</f>
        <v>25.03125</v>
      </c>
      <c r="BA317" s="47">
        <f t="shared" si="255"/>
        <v>235.96875</v>
      </c>
      <c r="BB317" s="45">
        <f>('[2]Renewable Diesel'!Q326*'[2]RD Feedstock Breakdown'!BB$3*'[2]Feedstock Conversion Rates'!B$4)/12</f>
        <v>11.156249999999998</v>
      </c>
      <c r="BC317" s="45">
        <f>('[2]Renewable Diesel'!Q326*'[2]RD Feedstock Breakdown'!BC$3*'[2]Feedstock Conversion Rates'!B$3)/12</f>
        <v>1.4017500000000001</v>
      </c>
      <c r="BD317" s="45">
        <f>('[2]Renewable Diesel'!Q326*'[2]RD Feedstock Breakdown'!BD$3*'[2]Feedstock Conversion Rates'!B$6)/12</f>
        <v>0.8207500000000002</v>
      </c>
      <c r="BE317" s="47">
        <f t="shared" si="231"/>
        <v>13.378749999999998</v>
      </c>
      <c r="BF317" s="45">
        <f>('[2]Renewable Diesel'!R326*'[2]RD Feedstock Breakdown'!BF$3*'[2]Feedstock Conversion Rates'!B$4)/12</f>
        <v>62.5</v>
      </c>
      <c r="BG317" s="47">
        <f t="shared" si="215"/>
        <v>62.5</v>
      </c>
      <c r="BH317" s="45">
        <f>('[2]Renewable Diesel'!T326*'[2]RD Feedstock Breakdown'!BH$3*'[2]Feedstock Conversion Rates'!B$7)/12</f>
        <v>27.599999999999998</v>
      </c>
      <c r="BI317" s="47">
        <f t="shared" ref="BI317:BI375" si="277">BH317</f>
        <v>27.599999999999998</v>
      </c>
      <c r="BJ317" s="45">
        <f>('[2]Renewable Diesel'!W326*'[2]RD Feedstock Breakdown'!BJ$3*'[2]Feedstock Conversion Rates'!B$4)/12</f>
        <v>7.5</v>
      </c>
      <c r="BK317" s="45">
        <f>('[2]Renewable Diesel'!W326*'[2]RD Feedstock Breakdown'!BK$3*'[2]Feedstock Conversion Rates'!B$3)/12</f>
        <v>1.335</v>
      </c>
      <c r="BL317" s="45">
        <f>('[2]Renewable Diesel'!W326*'[2]RD Feedstock Breakdown'!BL$3*'[2]Feedstock Conversion Rates'!B$6)/12</f>
        <v>3.1266666666666669</v>
      </c>
      <c r="BM317" s="45">
        <f>('[2]Renewable Diesel'!W326*'[2]RD Feedstock Breakdown'!BM$3*'[2]Feedstock Conversion Rates'!B$7)/12</f>
        <v>1.5333333333333332</v>
      </c>
      <c r="BN317" s="47">
        <f t="shared" si="248"/>
        <v>13.495000000000001</v>
      </c>
      <c r="BO317" s="45">
        <f>('[2]Renewable Diesel'!P326*'[2]Feedstock Conversion Rates'!B$4)/12</f>
        <v>31.25</v>
      </c>
      <c r="BP317" s="47">
        <f t="shared" si="237"/>
        <v>31.25</v>
      </c>
      <c r="BQ317" s="45">
        <f>('[2]Renewable Diesel'!$S326*'[2]RD Feedstock Breakdown'!BQ$3*'[2]Feedstock Conversion Rates'!B$4)/12+10+15-15</f>
        <v>38.125</v>
      </c>
      <c r="BR317" s="45">
        <f>('[2]Renewable Diesel'!$S326*'[2]RD Feedstock Breakdown'!BR$3*'[2]Feedstock Conversion Rates'!B$7)/12-10-15+15</f>
        <v>1.5</v>
      </c>
      <c r="BS317" s="47">
        <f t="shared" si="260"/>
        <v>39.625</v>
      </c>
      <c r="BT317" s="47"/>
      <c r="BU317" s="45">
        <f>('[2]Renewable Diesel'!Y326*'[2]Feedstock Conversion Rates'!B$7)/12</f>
        <v>2.6833333333333331</v>
      </c>
      <c r="BV317" s="47">
        <f t="shared" si="233"/>
        <v>2.6833333333333331</v>
      </c>
      <c r="BW317" s="45">
        <f>('[2]Renewable Diesel'!$Z326*'[2]RD Feedstock Breakdown'!BW$3*'[2]Feedstock Conversion Rates'!$B$4)/12</f>
        <v>71.875</v>
      </c>
      <c r="BX317" s="45">
        <f>('[2]Renewable Diesel'!$Z326*'[2]RD Feedstock Breakdown'!BX$3*'[2]Feedstock Conversion Rates'!$B$5)/12</f>
        <v>7.2354166666666666</v>
      </c>
      <c r="BY317" s="45">
        <f>('[2]Renewable Diesel'!$Z326*'[2]RD Feedstock Breakdown'!BY$3*'[2]Feedstock Conversion Rates'!$B$7)/12</f>
        <v>61.716666666666661</v>
      </c>
      <c r="BZ317" s="45">
        <f>('[2]Renewable Diesel'!$Z326*'[2]RD Feedstock Breakdown'!BZ$3*'[2]Feedstock Conversion Rates'!$B$3)/12</f>
        <v>15.352499999999999</v>
      </c>
      <c r="CA317" s="47">
        <f t="shared" si="262"/>
        <v>156.17958333333331</v>
      </c>
      <c r="CB317" s="45">
        <f>('[2]Renewable Diesel'!AA326*'[2]Feedstock Conversion Rates'!B$4)/12</f>
        <v>191.25</v>
      </c>
      <c r="CC317" s="47">
        <f t="shared" si="250"/>
        <v>191.25</v>
      </c>
      <c r="CD317" s="45">
        <f>('[2]Renewable Diesel'!$AB326*'[2]RD Feedstock Breakdown'!CD$3*'[2]Feedstock Conversion Rates'!$B$6)/12-15-5</f>
        <v>12.830000000000005</v>
      </c>
      <c r="CE317" s="45">
        <f>('[2]Renewable Diesel'!$AB326*'[2]RD Feedstock Breakdown'!CE$3*'[2]Feedstock Conversion Rates'!$B$4)/12+15+5</f>
        <v>31.25</v>
      </c>
      <c r="CF317" s="47">
        <f t="shared" si="247"/>
        <v>44.080000000000005</v>
      </c>
      <c r="CG317" s="45">
        <f>('[2]Renewable Diesel'!AD326*'[2]Feedstock Conversion Rates'!B$4)/12</f>
        <v>112.5</v>
      </c>
      <c r="CH317" s="47">
        <f t="shared" si="230"/>
        <v>112.5</v>
      </c>
      <c r="CI317" s="45">
        <f>('[2]Renewable Diesel'!$AE326*'[2]RD Feedstock Breakdown'!CI$3*'[2]Feedstock Conversion Rates'!$B$5)/12</f>
        <v>0.34604166666666664</v>
      </c>
      <c r="CJ317" s="45">
        <f>('[2]Renewable Diesel'!$AE326*'[2]RD Feedstock Breakdown'!CJ$3*'[2]Feedstock Conversion Rates'!$B$4)/12</f>
        <v>0.34375</v>
      </c>
      <c r="CK317" s="47">
        <f t="shared" si="238"/>
        <v>0.68979166666666658</v>
      </c>
      <c r="CL317" s="45">
        <f>(((CL$3*'[2]Renewable Diesel'!$AF326)*'[2]Feedstock Conversion Rates'!$B$3)/12)</f>
        <v>91.78125</v>
      </c>
      <c r="CM317" s="45">
        <f>(((CM$3*'[2]Renewable Diesel'!$AF326)*'[2]Feedstock Conversion Rates'!$B$6)/12)</f>
        <v>53.739583333333336</v>
      </c>
      <c r="CN317" s="45">
        <f>(((CN$3*'[2]Renewable Diesel'!$AF326)*'[2]Feedstock Conversion Rates'!$B$4)/12)</f>
        <v>42.96875</v>
      </c>
      <c r="CO317" s="47">
        <f t="shared" si="232"/>
        <v>188.48958333333334</v>
      </c>
      <c r="CP317" s="45">
        <f>('[2]Renewable Diesel'!$AG326*'[2]RD Feedstock Breakdown'!CP$3*'[2]Feedstock Conversion Rates'!$B$3)/12</f>
        <v>6.0075000000000003</v>
      </c>
      <c r="CQ317" s="45">
        <f>('[2]Renewable Diesel'!$AG326*'[2]RD Feedstock Breakdown'!CQ$3*'[2]Feedstock Conversion Rates'!$B$6)/12</f>
        <v>3.5175000000000001</v>
      </c>
      <c r="CR317" s="45">
        <f>('[2]Renewable Diesel'!$AG326*'[2]RD Feedstock Breakdown'!CR$3*'[2]Feedstock Conversion Rates'!$B$4)/12</f>
        <v>2.8125</v>
      </c>
      <c r="CS317" s="47">
        <f t="shared" si="267"/>
        <v>12.3375</v>
      </c>
      <c r="CT317" s="45">
        <f>('[2]Renewable Diesel'!AI326*'[2]Feedstock Conversion Rates'!$B$4*'[2]RD Feedstock Breakdown'!$CT$3)/12</f>
        <v>29.375</v>
      </c>
      <c r="CU317" s="47">
        <f t="shared" si="234"/>
        <v>29.375</v>
      </c>
      <c r="CV317" s="45">
        <f>('[2]Renewable Diesel'!AN326*'[2]Feedstock Conversion Rates'!$B$3*'[2]RD Feedstock Breakdown'!$CV$3)/12</f>
        <v>0.50062499999999999</v>
      </c>
      <c r="CW317" s="47">
        <f t="shared" si="206"/>
        <v>0.50062499999999999</v>
      </c>
      <c r="CX317" s="45">
        <f>('[2]Renewable Diesel'!AO326*'[2]RD Feedstock Breakdown'!$CX$3*'[2]Feedstock Conversion Rates'!$B$3)/12</f>
        <v>6.3412499999999996</v>
      </c>
      <c r="CY317" s="45">
        <f>('[2]Renewable Diesel'!AO326*'[2]RD Feedstock Breakdown'!$CY$3*'[2]Feedstock Conversion Rates'!$B$6)/12</f>
        <v>7.4258333333333342</v>
      </c>
      <c r="CZ317" s="47">
        <f t="shared" si="268"/>
        <v>13.767083333333334</v>
      </c>
      <c r="DA317" s="45">
        <f>('[2]Renewable Diesel'!$AP326*'[2]RD Feedstock Breakdown'!DA$3*'[2]Feedstock Conversion Rates'!$B$3)/12</f>
        <v>6.3412499999999996</v>
      </c>
      <c r="DB317" s="45">
        <f>('[2]Renewable Diesel'!$AP326*'[2]RD Feedstock Breakdown'!DB$3*'[2]Feedstock Conversion Rates'!$B$8)/12</f>
        <v>7.421875</v>
      </c>
      <c r="DC317" s="47">
        <f t="shared" si="212"/>
        <v>13.763124999999999</v>
      </c>
      <c r="DD317" s="45">
        <f>('[2]Renewable Diesel'!AQ326*$DD$3*'[2]Feedstock Conversion Rates'!$B$14)/12</f>
        <v>3.1041666666666665</v>
      </c>
      <c r="DE317" s="47">
        <f t="shared" si="213"/>
        <v>3.1041666666666665</v>
      </c>
      <c r="DF317" s="45">
        <f>('[2]Renewable Diesel'!AR326*'[2]Feedstock Conversion Rates'!$B$4*$DF$3)/12</f>
        <v>75</v>
      </c>
      <c r="DG317" s="47">
        <f t="shared" si="269"/>
        <v>75</v>
      </c>
      <c r="DH317" s="45">
        <f>('[2]Renewable Diesel'!AS326*'[2]Feedstock Conversion Rates'!$B$4*$DH$3)/12</f>
        <v>75</v>
      </c>
      <c r="DI317" s="47">
        <f t="shared" si="273"/>
        <v>75</v>
      </c>
      <c r="DJ317" s="45">
        <f>('[2]Renewable Diesel'!AT326*'[2]Feedstock Conversion Rates'!$B$4*0.25)/12</f>
        <v>8.59375</v>
      </c>
      <c r="DK317" s="45">
        <f>('[2]Renewable Diesel'!$AT326*'[2]RD Feedstock Breakdown'!DK$3*'[2]Feedstock Conversion Rates'!$B$3)/12*0.5</f>
        <v>9.1781249999999996</v>
      </c>
      <c r="DL317" s="45">
        <f>('[2]Renewable Diesel'!$AT326*'[2]RD Feedstock Breakdown'!$DL$3*'[2]Feedstock Conversion Rates'!$B$6)/12</f>
        <v>10.747916666666669</v>
      </c>
      <c r="DM317" s="45">
        <f>('[2]Renewable Diesel'!$AT326*'[2]RD Feedstock Breakdown'!$DM$3*'[2]Feedstock Conversion Rates'!$B$8)/12</f>
        <v>10.7421875</v>
      </c>
      <c r="DN317" s="47">
        <f t="shared" si="249"/>
        <v>39.26197916666667</v>
      </c>
      <c r="DP317" s="45">
        <f t="shared" si="216"/>
        <v>48.220250000000007</v>
      </c>
      <c r="DQ317" s="45">
        <f t="shared" si="217"/>
        <v>439.11776750000001</v>
      </c>
      <c r="DR317" s="45">
        <f t="shared" si="224"/>
        <v>2009.453125</v>
      </c>
      <c r="DS317" s="45">
        <f t="shared" si="235"/>
        <v>228.90125</v>
      </c>
      <c r="DT317" s="45">
        <f t="shared" si="218"/>
        <v>225.53923333333341</v>
      </c>
      <c r="DU317" s="45">
        <f t="shared" si="219"/>
        <v>245.40610000000004</v>
      </c>
      <c r="DV317" s="45">
        <f t="shared" si="225"/>
        <v>78.75</v>
      </c>
      <c r="DW317" s="45">
        <f t="shared" si="220"/>
        <v>3</v>
      </c>
      <c r="DX317" s="47">
        <f t="shared" si="226"/>
        <v>3278.3877258333337</v>
      </c>
      <c r="DY317" s="50">
        <f t="shared" si="208"/>
        <v>-5.631051180898794E-13</v>
      </c>
      <c r="EA317" s="51">
        <f t="shared" si="263"/>
        <v>1.4708525663401481E-2</v>
      </c>
      <c r="EB317" s="51">
        <f t="shared" si="263"/>
        <v>0.13394320752234412</v>
      </c>
      <c r="EC317" s="51">
        <f t="shared" si="263"/>
        <v>0.61293943640824755</v>
      </c>
      <c r="ED317" s="51">
        <f t="shared" si="261"/>
        <v>6.9821286907672142E-2</v>
      </c>
      <c r="EE317" s="51">
        <f t="shared" si="261"/>
        <v>6.8795777740414635E-2</v>
      </c>
      <c r="EF317" s="51">
        <f t="shared" si="261"/>
        <v>7.4855728035530103E-2</v>
      </c>
      <c r="EG317" s="51">
        <f t="shared" si="261"/>
        <v>2.4020953769274662E-2</v>
      </c>
      <c r="EH317" s="52">
        <f t="shared" si="227"/>
        <v>9.1508395311522522E-4</v>
      </c>
      <c r="EI317" s="51">
        <f t="shared" si="271"/>
        <v>0.99908491604688487</v>
      </c>
      <c r="EK317" s="53">
        <f>(EA317*'[2]Renewable Diesel'!BF326*'[2]Feedstock Conversion Rates'!B$2)+FB317</f>
        <v>99.765782582585473</v>
      </c>
      <c r="EL317" s="53">
        <f>(EB317*'[2]Renewable Diesel'!BF326*'[2]Feedstock Conversion Rates'!B$3)+FC317</f>
        <v>856.14387912241659</v>
      </c>
      <c r="EM317" s="53">
        <f>(EC317*'[2]Renewable Diesel'!BF326*'[2]Feedstock Conversion Rates'!B$4)+FD317</f>
        <v>3668.3635825194301</v>
      </c>
      <c r="EN317" s="53">
        <f>(ED317*'[2]Renewable Diesel'!BF326*'[2]Feedstock Conversion Rates'!B$5)+FE317</f>
        <v>420.65721880912093</v>
      </c>
      <c r="EO317" s="53">
        <f>(EE317*'[2]Renewable Diesel'!BF326*'[2]Feedstock Conversion Rates'!B$6)+FF317</f>
        <v>514.94182565717585</v>
      </c>
      <c r="EP317" s="53">
        <f>(EF317*'[2]Renewable Diesel'!BF326*'[2]Feedstock Conversion Rates'!B$7)+FG317</f>
        <v>549.54898647174423</v>
      </c>
      <c r="EQ317" s="53">
        <f>(EG317*'[2]Renewable Diesel'!BF326*'[2]Feedstock Conversion Rates'!B$8)+FH317</f>
        <v>179.7028931213593</v>
      </c>
      <c r="ER317" s="53">
        <f>(EH317*'[2]Renewable Diesel'!BF326*'[2]Feedstock Conversion Rates'!B$9)+FI317</f>
        <v>6.7545468398631554</v>
      </c>
      <c r="ES317" s="53">
        <f t="shared" si="228"/>
        <v>6295.8787151236966</v>
      </c>
      <c r="ET317" s="36">
        <f>ES317/'[2]Renewable Diesel'!BF326</f>
        <v>7.8897421108929038</v>
      </c>
    </row>
    <row r="318" spans="1:150" x14ac:dyDescent="0.25">
      <c r="A318" s="39">
        <v>50100</v>
      </c>
      <c r="B318" s="45">
        <f t="shared" si="274"/>
        <v>16.75</v>
      </c>
      <c r="C318" s="45">
        <f t="shared" si="251"/>
        <v>49</v>
      </c>
      <c r="D318" s="45">
        <f t="shared" si="275"/>
        <v>2</v>
      </c>
      <c r="E318" s="45">
        <f>('[2]Renewable Diesel'!B327*E$3*'[2]Feedstock Conversion Rates'!$B$2)/12+26+13-100+27.5+39</f>
        <v>95.43</v>
      </c>
      <c r="F318" s="45">
        <f>('[2]Renewable Diesel'!B327*'[2]RD Feedstock Breakdown'!F$3*'[2]Feedstock Conversion Rates'!B$8)/12+77+23-10-12-115.75+24+8</f>
        <v>48.15625</v>
      </c>
      <c r="G318" s="45">
        <f>('[2]Renewable Diesel'!B327*'[2]RD Feedstock Breakdown'!G$3*'[2]Feedstock Conversion Rates'!B$7)/12+116.75-39-57.5-145-31.5+32+70-40+10-17.5-5</f>
        <v>69.407000000000039</v>
      </c>
      <c r="H318" s="45">
        <f>('[2]Renewable Diesel'!B327*'[2]RD Feedstock Breakdown'!H$3*'[2]Feedstock Conversion Rates'!B$3)/12+67+10+12+3-235+20+47-20+135</f>
        <v>215.40022499999998</v>
      </c>
      <c r="I318" s="47">
        <f t="shared" si="245"/>
        <v>496.14347500000002</v>
      </c>
      <c r="J318" s="45">
        <f t="shared" si="276"/>
        <v>79</v>
      </c>
      <c r="K318" s="45"/>
      <c r="L318" s="45">
        <v>1</v>
      </c>
      <c r="M318" s="45">
        <f>('[2]Renewable Diesel'!C327*'[2]RD Feedstock Breakdown'!M$3*'[2]Feedstock Conversion Rates'!B$2)/12-55</f>
        <v>-47.20975</v>
      </c>
      <c r="N318" s="45">
        <f>('[2]Renewable Diesel'!C327*'[2]RD Feedstock Breakdown'!N$3*'[2]Feedstock Conversion Rates'!B$8)/12</f>
        <v>3.671875</v>
      </c>
      <c r="O318" s="45">
        <f>('[2]Renewable Diesel'!C327*'[2]RD Feedstock Breakdown'!O$3*'[2]Feedstock Conversion Rates'!B$7)/12-75</f>
        <v>-63.000900000000001</v>
      </c>
      <c r="P318" s="45">
        <f>('[2]Renewable Diesel'!C327*'[2]RD Feedstock Breakdown'!P$3*'[2]Feedstock Conversion Rates'!B$3)/12+15+35</f>
        <v>60.447042500000002</v>
      </c>
      <c r="Q318" s="47">
        <f t="shared" si="252"/>
        <v>33.908267500000001</v>
      </c>
      <c r="R318" s="45">
        <f>('[2]Renewable Diesel'!D327*'[2]RD Feedstock Breakdown'!R$3*'[2]Feedstock Conversion Rates'!B$7)/12</f>
        <v>2.2999999999999998</v>
      </c>
      <c r="S318" s="47">
        <f t="shared" si="203"/>
        <v>2.2999999999999998</v>
      </c>
      <c r="T318" s="45">
        <f t="shared" si="253"/>
        <v>0.82499999999999929</v>
      </c>
      <c r="U318" s="45"/>
      <c r="V318" s="45">
        <f>('[2]Renewable Diesel'!E327*'[2]RD Feedstock Breakdown'!V$3*'[2]Feedstock Conversion Rates'!B$6)/12-20+25</f>
        <v>49.250150000000012</v>
      </c>
      <c r="W318" s="45">
        <f>('[2]Renewable Diesel'!E327*'[2]RD Feedstock Breakdown'!W$3*'[2]Feedstock Conversion Rates'!B$8)/12-6</f>
        <v>16.1796875</v>
      </c>
      <c r="X318" s="47">
        <f t="shared" si="229"/>
        <v>66.254837500000008</v>
      </c>
      <c r="Y318" s="45">
        <f t="shared" si="254"/>
        <v>98</v>
      </c>
      <c r="Z318" s="45">
        <f>('[2]Renewable Diesel'!F327*'[2]RD Feedstock Breakdown'!Z$3*'[2]Feedstock Conversion Rates'!B$6)/12-142+15+5+20+2.5</f>
        <v>59.960000000000008</v>
      </c>
      <c r="AA318" s="45">
        <f>('[2]Renewable Diesel'!F327*'[2]RD Feedstock Breakdown'!AA$3*'[2]Feedstock Conversion Rates'!B$7)/12+24</f>
        <v>128.26666666666665</v>
      </c>
      <c r="AB318" s="47">
        <f t="shared" si="270"/>
        <v>286.22666666666669</v>
      </c>
      <c r="AC318" s="45">
        <f>('[2]Renewable Diesel'!G327*'[2]RD Feedstock Breakdown'!AC$3*'[2]Feedstock Conversion Rates'!B$5)/12</f>
        <v>11.796875</v>
      </c>
      <c r="AD318" s="45">
        <f>('[2]Renewable Diesel'!G327*'[2]RD Feedstock Breakdown'!AD$3*'[2]Feedstock Conversion Rates'!B$4)/12</f>
        <v>5.859375</v>
      </c>
      <c r="AE318" s="45">
        <f>('[2]Renewable Diesel'!G327*'[2]RD Feedstock Breakdown'!AE$3*'[2]Feedstock Conversion Rates'!B$6)/12</f>
        <v>7.3281250000000009</v>
      </c>
      <c r="AF318" s="47">
        <f t="shared" si="236"/>
        <v>24.984375</v>
      </c>
      <c r="AG318" s="45">
        <f t="shared" si="259"/>
        <v>148</v>
      </c>
      <c r="AH318" s="45"/>
      <c r="AI318" s="45">
        <f>('[2]Renewable Diesel'!H327*'[2]RD Feedstock Breakdown'!AI$3*'[2]Feedstock Conversion Rates'!B$6)/12-130-20+51-49</f>
        <v>0.51666666666667993</v>
      </c>
      <c r="AJ318" s="47">
        <f t="shared" si="202"/>
        <v>148.51666666666668</v>
      </c>
      <c r="AK318" s="45">
        <f>('[2]Renewable Diesel'!J327*'[2]RD Feedstock Breakdown'!AK$3*'[2]Feedstock Conversion Rates'!B$4)/12</f>
        <v>95.8125</v>
      </c>
      <c r="AL318" s="47">
        <f t="shared" si="205"/>
        <v>95.8125</v>
      </c>
      <c r="AM318" s="45">
        <f>('[2]Renewable Diesel'!K327*'[2]RD Feedstock Breakdown'!AM$3*'[2]Feedstock Conversion Rates'!B$4)/12+5+15-10+10</f>
        <v>78.59375</v>
      </c>
      <c r="AN318" s="45">
        <f>('[2]Renewable Diesel'!K327*'[2]RD Feedstock Breakdown'!AN$3*'[2]Feedstock Conversion Rates'!B$6)/12-5-15+10-10</f>
        <v>4.4270833333333321</v>
      </c>
      <c r="AO318" s="47">
        <f t="shared" si="223"/>
        <v>83.020833333333329</v>
      </c>
      <c r="AP318" s="45">
        <f>('[2]Renewable Diesel'!L327*'[2]RD Feedstock Breakdown'!AP$3*'[2]Feedstock Conversion Rates'!B$4)/12+15-10+15</f>
        <v>78.59375</v>
      </c>
      <c r="AQ318" s="45">
        <f>('[2]Renewable Diesel'!L327*'[2]RD Feedstock Breakdown'!AQ$3*'[2]Feedstock Conversion Rates'!B$6)/12-15+10-15</f>
        <v>4.4270833333333321</v>
      </c>
      <c r="AR318" s="47">
        <f t="shared" si="207"/>
        <v>83.020833333333329</v>
      </c>
      <c r="AS318" s="45">
        <f>('[2]Renewable Diesel'!M327*'[2]RD Feedstock Breakdown'!AS$3*'[2]Feedstock Conversion Rates'!B$4)/12</f>
        <v>456.25</v>
      </c>
      <c r="AT318" s="45">
        <f>('[2]Renewable Diesel'!M327*'[2]RD Feedstock Breakdown'!AT$3*'[2]Feedstock Conversion Rates'!B$5)/12</f>
        <v>0</v>
      </c>
      <c r="AU318" s="47">
        <f t="shared" si="244"/>
        <v>456.25</v>
      </c>
      <c r="AV318" s="45">
        <f>'[2]Renewable Diesel'!N327*'[2]RD Feedstock Breakdown'!$AV$3*'[2]Feedstock Conversion Rates'!$B$4/12-15-10+25+25-22+25</f>
        <v>106.74999999999999</v>
      </c>
      <c r="AW318" s="45">
        <f>'[2]Renewable Diesel'!N327*'[2]RD Feedstock Breakdown'!$AW$3*'[2]Feedstock Conversion Rates'!$B$7/12+15+10-25-25+22-25</f>
        <v>13.400000000000006</v>
      </c>
      <c r="AX318" s="47">
        <f t="shared" si="272"/>
        <v>120.14999999999999</v>
      </c>
      <c r="AY318" s="45">
        <f>('[2]Renewable Diesel'!O327*'[2]RD Feedstock Breakdown'!AY$3*'[2]Feedstock Conversion Rates'!B$4)/12</f>
        <v>210.9375</v>
      </c>
      <c r="AZ318" s="45">
        <f>('[2]Renewable Diesel'!O327*'[2]RD Feedstock Breakdown'!AZ$3*'[2]Feedstock Conversion Rates'!B$3)/12</f>
        <v>25.03125</v>
      </c>
      <c r="BA318" s="47">
        <f t="shared" si="255"/>
        <v>235.96875</v>
      </c>
      <c r="BB318" s="45">
        <f>('[2]Renewable Diesel'!Q327*'[2]RD Feedstock Breakdown'!BB$3*'[2]Feedstock Conversion Rates'!B$4)/12</f>
        <v>11.156249999999998</v>
      </c>
      <c r="BC318" s="45">
        <f>('[2]Renewable Diesel'!Q327*'[2]RD Feedstock Breakdown'!BC$3*'[2]Feedstock Conversion Rates'!B$3)/12</f>
        <v>1.4017500000000001</v>
      </c>
      <c r="BD318" s="45">
        <f>('[2]Renewable Diesel'!Q327*'[2]RD Feedstock Breakdown'!BD$3*'[2]Feedstock Conversion Rates'!B$6)/12</f>
        <v>0.8207500000000002</v>
      </c>
      <c r="BE318" s="47">
        <f t="shared" si="231"/>
        <v>13.378749999999998</v>
      </c>
      <c r="BF318" s="45">
        <f>('[2]Renewable Diesel'!R327*'[2]RD Feedstock Breakdown'!BF$3*'[2]Feedstock Conversion Rates'!B$4)/12</f>
        <v>62.5</v>
      </c>
      <c r="BG318" s="47">
        <f t="shared" si="215"/>
        <v>62.5</v>
      </c>
      <c r="BH318" s="45">
        <f>('[2]Renewable Diesel'!T327*'[2]RD Feedstock Breakdown'!BH$3*'[2]Feedstock Conversion Rates'!B$7)/12</f>
        <v>27.599999999999998</v>
      </c>
      <c r="BI318" s="47">
        <f t="shared" si="277"/>
        <v>27.599999999999998</v>
      </c>
      <c r="BJ318" s="45">
        <f>('[2]Renewable Diesel'!W327*'[2]RD Feedstock Breakdown'!BJ$3*'[2]Feedstock Conversion Rates'!B$4)/12</f>
        <v>7.5</v>
      </c>
      <c r="BK318" s="45">
        <f>('[2]Renewable Diesel'!W327*'[2]RD Feedstock Breakdown'!BK$3*'[2]Feedstock Conversion Rates'!B$3)/12</f>
        <v>1.335</v>
      </c>
      <c r="BL318" s="45">
        <f>('[2]Renewable Diesel'!W327*'[2]RD Feedstock Breakdown'!BL$3*'[2]Feedstock Conversion Rates'!B$6)/12</f>
        <v>3.1266666666666669</v>
      </c>
      <c r="BM318" s="45">
        <f>('[2]Renewable Diesel'!W327*'[2]RD Feedstock Breakdown'!BM$3*'[2]Feedstock Conversion Rates'!B$7)/12</f>
        <v>1.5333333333333332</v>
      </c>
      <c r="BN318" s="47">
        <f t="shared" si="248"/>
        <v>13.495000000000001</v>
      </c>
      <c r="BO318" s="45">
        <f>('[2]Renewable Diesel'!P327*'[2]Feedstock Conversion Rates'!B$4)/12</f>
        <v>31.25</v>
      </c>
      <c r="BP318" s="47">
        <f t="shared" si="237"/>
        <v>31.25</v>
      </c>
      <c r="BQ318" s="45">
        <f>('[2]Renewable Diesel'!$S327*'[2]RD Feedstock Breakdown'!BQ$3*'[2]Feedstock Conversion Rates'!B$4)/12+10+15-15</f>
        <v>38.125</v>
      </c>
      <c r="BR318" s="45">
        <f>('[2]Renewable Diesel'!$S327*'[2]RD Feedstock Breakdown'!BR$3*'[2]Feedstock Conversion Rates'!B$7)/12-10-15+15</f>
        <v>1.5</v>
      </c>
      <c r="BS318" s="47">
        <f t="shared" si="260"/>
        <v>39.625</v>
      </c>
      <c r="BT318" s="47"/>
      <c r="BU318" s="45">
        <f>('[2]Renewable Diesel'!Y327*'[2]Feedstock Conversion Rates'!B$7)/12</f>
        <v>2.6833333333333331</v>
      </c>
      <c r="BV318" s="47">
        <f t="shared" si="233"/>
        <v>2.6833333333333331</v>
      </c>
      <c r="BW318" s="45">
        <f>('[2]Renewable Diesel'!$Z327*'[2]RD Feedstock Breakdown'!BW$3*'[2]Feedstock Conversion Rates'!$B$4)/12</f>
        <v>71.875</v>
      </c>
      <c r="BX318" s="45">
        <f>('[2]Renewable Diesel'!$Z327*'[2]RD Feedstock Breakdown'!BX$3*'[2]Feedstock Conversion Rates'!$B$5)/12</f>
        <v>7.2354166666666666</v>
      </c>
      <c r="BY318" s="45">
        <f>('[2]Renewable Diesel'!$Z327*'[2]RD Feedstock Breakdown'!BY$3*'[2]Feedstock Conversion Rates'!$B$7)/12</f>
        <v>61.716666666666661</v>
      </c>
      <c r="BZ318" s="45">
        <f>('[2]Renewable Diesel'!$Z327*'[2]RD Feedstock Breakdown'!BZ$3*'[2]Feedstock Conversion Rates'!$B$3)/12</f>
        <v>15.352499999999999</v>
      </c>
      <c r="CA318" s="47">
        <f t="shared" si="262"/>
        <v>156.17958333333331</v>
      </c>
      <c r="CB318" s="45">
        <f>('[2]Renewable Diesel'!AA327*'[2]Feedstock Conversion Rates'!B$4)/12</f>
        <v>191.25</v>
      </c>
      <c r="CC318" s="47">
        <f t="shared" si="250"/>
        <v>191.25</v>
      </c>
      <c r="CD318" s="45">
        <f>('[2]Renewable Diesel'!$AB327*'[2]RD Feedstock Breakdown'!CD$3*'[2]Feedstock Conversion Rates'!$B$6)/12-15-5</f>
        <v>12.830000000000005</v>
      </c>
      <c r="CE318" s="45">
        <f>('[2]Renewable Diesel'!$AB327*'[2]RD Feedstock Breakdown'!CE$3*'[2]Feedstock Conversion Rates'!$B$4)/12+15+5</f>
        <v>31.25</v>
      </c>
      <c r="CF318" s="47">
        <f t="shared" si="247"/>
        <v>44.080000000000005</v>
      </c>
      <c r="CG318" s="45">
        <f>('[2]Renewable Diesel'!AD327*'[2]Feedstock Conversion Rates'!B$4)/12</f>
        <v>112.5</v>
      </c>
      <c r="CH318" s="47">
        <f t="shared" si="230"/>
        <v>112.5</v>
      </c>
      <c r="CI318" s="45">
        <f>('[2]Renewable Diesel'!$AE327*'[2]RD Feedstock Breakdown'!CI$3*'[2]Feedstock Conversion Rates'!$B$5)/12</f>
        <v>0.34604166666666664</v>
      </c>
      <c r="CJ318" s="45">
        <f>('[2]Renewable Diesel'!$AE327*'[2]RD Feedstock Breakdown'!CJ$3*'[2]Feedstock Conversion Rates'!$B$4)/12</f>
        <v>0.34375</v>
      </c>
      <c r="CK318" s="47">
        <f t="shared" si="238"/>
        <v>0.68979166666666658</v>
      </c>
      <c r="CL318" s="45">
        <f>(((CL$3*'[2]Renewable Diesel'!$AF327)*'[2]Feedstock Conversion Rates'!$B$3)/12)</f>
        <v>91.78125</v>
      </c>
      <c r="CM318" s="45">
        <f>(((CM$3*'[2]Renewable Diesel'!$AF327)*'[2]Feedstock Conversion Rates'!$B$6)/12)</f>
        <v>53.739583333333336</v>
      </c>
      <c r="CN318" s="45">
        <f>(((CN$3*'[2]Renewable Diesel'!$AF327)*'[2]Feedstock Conversion Rates'!$B$4)/12)</f>
        <v>42.96875</v>
      </c>
      <c r="CO318" s="47">
        <f t="shared" si="232"/>
        <v>188.48958333333334</v>
      </c>
      <c r="CP318" s="45">
        <f>('[2]Renewable Diesel'!$AG327*'[2]RD Feedstock Breakdown'!CP$3*'[2]Feedstock Conversion Rates'!$B$3)/12</f>
        <v>6.0075000000000003</v>
      </c>
      <c r="CQ318" s="45">
        <f>('[2]Renewable Diesel'!$AG327*'[2]RD Feedstock Breakdown'!CQ$3*'[2]Feedstock Conversion Rates'!$B$6)/12</f>
        <v>3.5175000000000001</v>
      </c>
      <c r="CR318" s="45">
        <f>('[2]Renewable Diesel'!$AG327*'[2]RD Feedstock Breakdown'!CR$3*'[2]Feedstock Conversion Rates'!$B$4)/12</f>
        <v>2.8125</v>
      </c>
      <c r="CS318" s="47">
        <f t="shared" si="267"/>
        <v>12.3375</v>
      </c>
      <c r="CT318" s="45">
        <f>('[2]Renewable Diesel'!AI327*'[2]Feedstock Conversion Rates'!$B$4*'[2]RD Feedstock Breakdown'!$CT$3)/12</f>
        <v>29.375</v>
      </c>
      <c r="CU318" s="47">
        <f t="shared" si="234"/>
        <v>29.375</v>
      </c>
      <c r="CV318" s="45">
        <f>('[2]Renewable Diesel'!AN327*'[2]Feedstock Conversion Rates'!$B$3*'[2]RD Feedstock Breakdown'!$CV$3)/12</f>
        <v>0.50062499999999999</v>
      </c>
      <c r="CW318" s="47">
        <f t="shared" si="206"/>
        <v>0.50062499999999999</v>
      </c>
      <c r="CX318" s="45">
        <f>('[2]Renewable Diesel'!AO327*'[2]RD Feedstock Breakdown'!$CX$3*'[2]Feedstock Conversion Rates'!$B$3)/12</f>
        <v>6.3412499999999996</v>
      </c>
      <c r="CY318" s="45">
        <f>('[2]Renewable Diesel'!AO327*'[2]RD Feedstock Breakdown'!$CY$3*'[2]Feedstock Conversion Rates'!$B$6)/12</f>
        <v>7.4258333333333342</v>
      </c>
      <c r="CZ318" s="47">
        <f t="shared" si="268"/>
        <v>13.767083333333334</v>
      </c>
      <c r="DA318" s="45">
        <f>('[2]Renewable Diesel'!$AP327*'[2]RD Feedstock Breakdown'!DA$3*'[2]Feedstock Conversion Rates'!$B$3)/12</f>
        <v>6.3412499999999996</v>
      </c>
      <c r="DB318" s="45">
        <f>('[2]Renewable Diesel'!$AP327*'[2]RD Feedstock Breakdown'!DB$3*'[2]Feedstock Conversion Rates'!$B$8)/12</f>
        <v>7.421875</v>
      </c>
      <c r="DC318" s="47">
        <f t="shared" si="212"/>
        <v>13.763124999999999</v>
      </c>
      <c r="DD318" s="45">
        <f>('[2]Renewable Diesel'!AQ327*$DD$3*'[2]Feedstock Conversion Rates'!$B$14)/12</f>
        <v>3.1041666666666665</v>
      </c>
      <c r="DE318" s="47">
        <f t="shared" si="213"/>
        <v>3.1041666666666665</v>
      </c>
      <c r="DF318" s="45">
        <f>('[2]Renewable Diesel'!AR327*'[2]Feedstock Conversion Rates'!$B$4*$DF$3)/12</f>
        <v>75</v>
      </c>
      <c r="DG318" s="47">
        <f t="shared" si="269"/>
        <v>75</v>
      </c>
      <c r="DH318" s="45">
        <f>('[2]Renewable Diesel'!AS327*'[2]Feedstock Conversion Rates'!$B$4*$DH$3)/12</f>
        <v>75</v>
      </c>
      <c r="DI318" s="47">
        <f t="shared" si="273"/>
        <v>75</v>
      </c>
      <c r="DJ318" s="45">
        <f>('[2]Renewable Diesel'!AT327*'[2]Feedstock Conversion Rates'!$B$4*0.25)/12</f>
        <v>8.59375</v>
      </c>
      <c r="DK318" s="45">
        <f>('[2]Renewable Diesel'!$AT327*'[2]RD Feedstock Breakdown'!DK$3*'[2]Feedstock Conversion Rates'!$B$3)/12*0.5</f>
        <v>9.1781249999999996</v>
      </c>
      <c r="DL318" s="45">
        <f>('[2]Renewable Diesel'!$AT327*'[2]RD Feedstock Breakdown'!$DL$3*'[2]Feedstock Conversion Rates'!$B$6)/12</f>
        <v>10.747916666666669</v>
      </c>
      <c r="DM318" s="45">
        <f>('[2]Renewable Diesel'!$AT327*'[2]RD Feedstock Breakdown'!$DM$3*'[2]Feedstock Conversion Rates'!$B$8)/12</f>
        <v>10.7421875</v>
      </c>
      <c r="DN318" s="47">
        <f t="shared" si="249"/>
        <v>39.26197916666667</v>
      </c>
      <c r="DP318" s="45">
        <f t="shared" si="216"/>
        <v>48.220250000000007</v>
      </c>
      <c r="DQ318" s="45">
        <f t="shared" si="217"/>
        <v>439.11776750000001</v>
      </c>
      <c r="DR318" s="45">
        <f t="shared" si="224"/>
        <v>2009.453125</v>
      </c>
      <c r="DS318" s="45">
        <f t="shared" si="235"/>
        <v>228.90125</v>
      </c>
      <c r="DT318" s="45">
        <f t="shared" si="218"/>
        <v>225.53923333333341</v>
      </c>
      <c r="DU318" s="45">
        <f t="shared" si="219"/>
        <v>245.40610000000004</v>
      </c>
      <c r="DV318" s="45">
        <f t="shared" si="225"/>
        <v>78.75</v>
      </c>
      <c r="DW318" s="45">
        <f t="shared" si="220"/>
        <v>3</v>
      </c>
      <c r="DX318" s="47">
        <f t="shared" si="226"/>
        <v>3278.3877258333337</v>
      </c>
      <c r="DY318" s="50">
        <f t="shared" si="208"/>
        <v>-5.631051180898794E-13</v>
      </c>
      <c r="EA318" s="51">
        <f t="shared" si="263"/>
        <v>1.4708525663401481E-2</v>
      </c>
      <c r="EB318" s="51">
        <f t="shared" si="263"/>
        <v>0.13394320752234412</v>
      </c>
      <c r="EC318" s="51">
        <f t="shared" si="263"/>
        <v>0.61293943640824755</v>
      </c>
      <c r="ED318" s="51">
        <f t="shared" si="261"/>
        <v>6.9821286907672142E-2</v>
      </c>
      <c r="EE318" s="51">
        <f t="shared" si="261"/>
        <v>6.8795777740414635E-2</v>
      </c>
      <c r="EF318" s="51">
        <f t="shared" si="261"/>
        <v>7.4855728035530103E-2</v>
      </c>
      <c r="EG318" s="51">
        <f t="shared" si="261"/>
        <v>2.4020953769274662E-2</v>
      </c>
      <c r="EH318" s="52">
        <f t="shared" si="227"/>
        <v>9.1508395311522522E-4</v>
      </c>
      <c r="EI318" s="51">
        <f t="shared" si="271"/>
        <v>0.99908491604688487</v>
      </c>
      <c r="EK318" s="53">
        <f>(EA318*'[2]Renewable Diesel'!BF327*'[2]Feedstock Conversion Rates'!B$2)+FB318</f>
        <v>68.802120070593588</v>
      </c>
      <c r="EL318" s="53">
        <f>(EB318*'[2]Renewable Diesel'!BF327*'[2]Feedstock Conversion Rates'!B$3)+FC318</f>
        <v>590.42802496260174</v>
      </c>
      <c r="EM318" s="53">
        <f>(EC318*'[2]Renewable Diesel'!BF327*'[2]Feedstock Conversion Rates'!B$4)+FD318</f>
        <v>2529.8372361101556</v>
      </c>
      <c r="EN318" s="53">
        <f>(ED318*'[2]Renewable Diesel'!BF327*'[2]Feedstock Conversion Rates'!B$5)+FE318</f>
        <v>290.10055078863348</v>
      </c>
      <c r="EO318" s="53">
        <f>(EE318*'[2]Renewable Diesel'!BF327*'[2]Feedstock Conversion Rates'!B$6)+FF318</f>
        <v>355.12265228719792</v>
      </c>
      <c r="EP318" s="53">
        <f>(EF318*'[2]Renewable Diesel'!BF327*'[2]Feedstock Conversion Rates'!B$7)+FG318</f>
        <v>378.98901179473012</v>
      </c>
      <c r="EQ318" s="53">
        <f>(EG318*'[2]Renewable Diesel'!BF327*'[2]Feedstock Conversion Rates'!B$8)+FH318</f>
        <v>123.9296651568289</v>
      </c>
      <c r="ER318" s="53">
        <f>(EH318*'[2]Renewable Diesel'!BF327*'[2]Feedstock Conversion Rates'!B$9)+FI318</f>
        <v>4.6581816998630297</v>
      </c>
      <c r="ES318" s="53">
        <f t="shared" si="228"/>
        <v>4341.8674428706045</v>
      </c>
      <c r="ET318" s="36">
        <f>ES318/'[2]Renewable Diesel'!BF327</f>
        <v>7.8897421108929029</v>
      </c>
    </row>
    <row r="319" spans="1:150" x14ac:dyDescent="0.25">
      <c r="A319" s="39">
        <v>50131</v>
      </c>
      <c r="B319" s="45">
        <f t="shared" si="274"/>
        <v>16.75</v>
      </c>
      <c r="C319" s="45">
        <f t="shared" si="251"/>
        <v>49</v>
      </c>
      <c r="D319" s="45">
        <f t="shared" si="275"/>
        <v>2</v>
      </c>
      <c r="E319" s="45">
        <f>('[2]Renewable Diesel'!B328*E$3*'[2]Feedstock Conversion Rates'!$B$2)/12+26+13-100+27.5+39</f>
        <v>95.43</v>
      </c>
      <c r="F319" s="45">
        <f>('[2]Renewable Diesel'!B328*'[2]RD Feedstock Breakdown'!F$3*'[2]Feedstock Conversion Rates'!B$8)/12+77+23-10-12-115.75+24+8</f>
        <v>48.15625</v>
      </c>
      <c r="G319" s="45">
        <f>('[2]Renewable Diesel'!B328*'[2]RD Feedstock Breakdown'!G$3*'[2]Feedstock Conversion Rates'!B$7)/12+116.75-39-57.5-145-31.5+32+70-40+10-17.5-5</f>
        <v>69.407000000000039</v>
      </c>
      <c r="H319" s="45">
        <f>('[2]Renewable Diesel'!B328*'[2]RD Feedstock Breakdown'!H$3*'[2]Feedstock Conversion Rates'!B$3)/12+67+10+12+3-235+20+47-20+135</f>
        <v>215.40022499999998</v>
      </c>
      <c r="I319" s="47">
        <f t="shared" si="245"/>
        <v>496.14347500000002</v>
      </c>
      <c r="J319" s="45">
        <f t="shared" si="276"/>
        <v>79</v>
      </c>
      <c r="K319" s="45"/>
      <c r="L319" s="45">
        <v>1</v>
      </c>
      <c r="M319" s="45">
        <f>('[2]Renewable Diesel'!C328*'[2]RD Feedstock Breakdown'!M$3*'[2]Feedstock Conversion Rates'!B$2)/12-55</f>
        <v>-47.20975</v>
      </c>
      <c r="N319" s="45">
        <f>('[2]Renewable Diesel'!C328*'[2]RD Feedstock Breakdown'!N$3*'[2]Feedstock Conversion Rates'!B$8)/12</f>
        <v>3.671875</v>
      </c>
      <c r="O319" s="45">
        <f>('[2]Renewable Diesel'!C328*'[2]RD Feedstock Breakdown'!O$3*'[2]Feedstock Conversion Rates'!B$7)/12-75</f>
        <v>-63.000900000000001</v>
      </c>
      <c r="P319" s="45">
        <f>('[2]Renewable Diesel'!C328*'[2]RD Feedstock Breakdown'!P$3*'[2]Feedstock Conversion Rates'!B$3)/12+15+35</f>
        <v>60.447042500000002</v>
      </c>
      <c r="Q319" s="47">
        <f t="shared" si="252"/>
        <v>33.908267500000001</v>
      </c>
      <c r="R319" s="45">
        <f>('[2]Renewable Diesel'!D328*'[2]RD Feedstock Breakdown'!R$3*'[2]Feedstock Conversion Rates'!B$7)/12</f>
        <v>2.2999999999999998</v>
      </c>
      <c r="S319" s="47">
        <f t="shared" si="203"/>
        <v>2.2999999999999998</v>
      </c>
      <c r="T319" s="45">
        <f t="shared" si="253"/>
        <v>0.82499999999999929</v>
      </c>
      <c r="U319" s="45"/>
      <c r="V319" s="45">
        <f>('[2]Renewable Diesel'!E328*'[2]RD Feedstock Breakdown'!V$3*'[2]Feedstock Conversion Rates'!B$6)/12-20+25</f>
        <v>49.250150000000012</v>
      </c>
      <c r="W319" s="45">
        <f>('[2]Renewable Diesel'!E328*'[2]RD Feedstock Breakdown'!W$3*'[2]Feedstock Conversion Rates'!B$8)/12-6</f>
        <v>16.1796875</v>
      </c>
      <c r="X319" s="47">
        <f t="shared" si="229"/>
        <v>66.254837500000008</v>
      </c>
      <c r="Y319" s="45">
        <f t="shared" si="254"/>
        <v>98</v>
      </c>
      <c r="Z319" s="45">
        <f>('[2]Renewable Diesel'!F328*'[2]RD Feedstock Breakdown'!Z$3*'[2]Feedstock Conversion Rates'!B$6)/12-142+15+5+20+2.5</f>
        <v>59.960000000000008</v>
      </c>
      <c r="AA319" s="45">
        <f>('[2]Renewable Diesel'!F328*'[2]RD Feedstock Breakdown'!AA$3*'[2]Feedstock Conversion Rates'!B$7)/12+24</f>
        <v>128.26666666666665</v>
      </c>
      <c r="AB319" s="47">
        <f t="shared" si="270"/>
        <v>286.22666666666669</v>
      </c>
      <c r="AC319" s="45">
        <f>('[2]Renewable Diesel'!G328*'[2]RD Feedstock Breakdown'!AC$3*'[2]Feedstock Conversion Rates'!B$5)/12</f>
        <v>11.796875</v>
      </c>
      <c r="AD319" s="45">
        <f>('[2]Renewable Diesel'!G328*'[2]RD Feedstock Breakdown'!AD$3*'[2]Feedstock Conversion Rates'!B$4)/12</f>
        <v>5.859375</v>
      </c>
      <c r="AE319" s="45">
        <f>('[2]Renewable Diesel'!G328*'[2]RD Feedstock Breakdown'!AE$3*'[2]Feedstock Conversion Rates'!B$6)/12</f>
        <v>7.3281250000000009</v>
      </c>
      <c r="AF319" s="47">
        <f t="shared" si="236"/>
        <v>24.984375</v>
      </c>
      <c r="AG319" s="45">
        <f t="shared" si="259"/>
        <v>148</v>
      </c>
      <c r="AH319" s="45"/>
      <c r="AI319" s="45">
        <f>('[2]Renewable Diesel'!H328*'[2]RD Feedstock Breakdown'!AI$3*'[2]Feedstock Conversion Rates'!B$6)/12-130-20+51-49</f>
        <v>0.51666666666667993</v>
      </c>
      <c r="AJ319" s="47">
        <f t="shared" si="202"/>
        <v>148.51666666666668</v>
      </c>
      <c r="AK319" s="45">
        <f>('[2]Renewable Diesel'!J328*'[2]RD Feedstock Breakdown'!AK$3*'[2]Feedstock Conversion Rates'!B$4)/12</f>
        <v>95.8125</v>
      </c>
      <c r="AL319" s="47">
        <f t="shared" si="205"/>
        <v>95.8125</v>
      </c>
      <c r="AM319" s="45">
        <f>('[2]Renewable Diesel'!K328*'[2]RD Feedstock Breakdown'!AM$3*'[2]Feedstock Conversion Rates'!B$4)/12+5+15-10+10</f>
        <v>78.59375</v>
      </c>
      <c r="AN319" s="45">
        <f>('[2]Renewable Diesel'!K328*'[2]RD Feedstock Breakdown'!AN$3*'[2]Feedstock Conversion Rates'!B$6)/12-5-15+10-10</f>
        <v>4.4270833333333321</v>
      </c>
      <c r="AO319" s="47">
        <f t="shared" si="223"/>
        <v>83.020833333333329</v>
      </c>
      <c r="AP319" s="45">
        <f>('[2]Renewable Diesel'!L328*'[2]RD Feedstock Breakdown'!AP$3*'[2]Feedstock Conversion Rates'!B$4)/12+15-10+15</f>
        <v>78.59375</v>
      </c>
      <c r="AQ319" s="45">
        <f>('[2]Renewable Diesel'!L328*'[2]RD Feedstock Breakdown'!AQ$3*'[2]Feedstock Conversion Rates'!B$6)/12-15+10-15</f>
        <v>4.4270833333333321</v>
      </c>
      <c r="AR319" s="47">
        <f t="shared" si="207"/>
        <v>83.020833333333329</v>
      </c>
      <c r="AS319" s="45">
        <f>('[2]Renewable Diesel'!M328*'[2]RD Feedstock Breakdown'!AS$3*'[2]Feedstock Conversion Rates'!B$4)/12</f>
        <v>456.25</v>
      </c>
      <c r="AT319" s="45">
        <f>('[2]Renewable Diesel'!M328*'[2]RD Feedstock Breakdown'!AT$3*'[2]Feedstock Conversion Rates'!B$5)/12</f>
        <v>0</v>
      </c>
      <c r="AU319" s="47">
        <f t="shared" si="244"/>
        <v>456.25</v>
      </c>
      <c r="AV319" s="45">
        <f>'[2]Renewable Diesel'!N328*'[2]RD Feedstock Breakdown'!$AV$3*'[2]Feedstock Conversion Rates'!$B$4/12-15-10+25+25-22+25</f>
        <v>106.74999999999999</v>
      </c>
      <c r="AW319" s="45">
        <f>'[2]Renewable Diesel'!N328*'[2]RD Feedstock Breakdown'!$AW$3*'[2]Feedstock Conversion Rates'!$B$7/12+15+10-25-25+22-25</f>
        <v>13.400000000000006</v>
      </c>
      <c r="AX319" s="47">
        <f t="shared" si="272"/>
        <v>120.14999999999999</v>
      </c>
      <c r="AY319" s="45">
        <f>('[2]Renewable Diesel'!O328*'[2]RD Feedstock Breakdown'!AY$3*'[2]Feedstock Conversion Rates'!B$4)/12</f>
        <v>210.9375</v>
      </c>
      <c r="AZ319" s="45">
        <f>('[2]Renewable Diesel'!O328*'[2]RD Feedstock Breakdown'!AZ$3*'[2]Feedstock Conversion Rates'!B$3)/12</f>
        <v>25.03125</v>
      </c>
      <c r="BA319" s="47">
        <f t="shared" si="255"/>
        <v>235.96875</v>
      </c>
      <c r="BB319" s="45">
        <f>('[2]Renewable Diesel'!Q328*'[2]RD Feedstock Breakdown'!BB$3*'[2]Feedstock Conversion Rates'!B$4)/12</f>
        <v>11.156249999999998</v>
      </c>
      <c r="BC319" s="45">
        <f>('[2]Renewable Diesel'!Q328*'[2]RD Feedstock Breakdown'!BC$3*'[2]Feedstock Conversion Rates'!B$3)/12</f>
        <v>1.4017500000000001</v>
      </c>
      <c r="BD319" s="45">
        <f>('[2]Renewable Diesel'!Q328*'[2]RD Feedstock Breakdown'!BD$3*'[2]Feedstock Conversion Rates'!B$6)/12</f>
        <v>0.8207500000000002</v>
      </c>
      <c r="BE319" s="47">
        <f t="shared" si="231"/>
        <v>13.378749999999998</v>
      </c>
      <c r="BF319" s="45">
        <f>('[2]Renewable Diesel'!R328*'[2]RD Feedstock Breakdown'!BF$3*'[2]Feedstock Conversion Rates'!B$4)/12</f>
        <v>62.5</v>
      </c>
      <c r="BG319" s="47">
        <f t="shared" si="215"/>
        <v>62.5</v>
      </c>
      <c r="BH319" s="45">
        <f>('[2]Renewable Diesel'!T328*'[2]RD Feedstock Breakdown'!BH$3*'[2]Feedstock Conversion Rates'!B$7)/12</f>
        <v>27.599999999999998</v>
      </c>
      <c r="BI319" s="47">
        <f t="shared" si="277"/>
        <v>27.599999999999998</v>
      </c>
      <c r="BJ319" s="45">
        <f>('[2]Renewable Diesel'!W328*'[2]RD Feedstock Breakdown'!BJ$3*'[2]Feedstock Conversion Rates'!B$4)/12</f>
        <v>7.5</v>
      </c>
      <c r="BK319" s="45">
        <f>('[2]Renewable Diesel'!W328*'[2]RD Feedstock Breakdown'!BK$3*'[2]Feedstock Conversion Rates'!B$3)/12</f>
        <v>1.335</v>
      </c>
      <c r="BL319" s="45">
        <f>('[2]Renewable Diesel'!W328*'[2]RD Feedstock Breakdown'!BL$3*'[2]Feedstock Conversion Rates'!B$6)/12</f>
        <v>3.1266666666666669</v>
      </c>
      <c r="BM319" s="45">
        <f>('[2]Renewable Diesel'!W328*'[2]RD Feedstock Breakdown'!BM$3*'[2]Feedstock Conversion Rates'!B$7)/12</f>
        <v>1.5333333333333332</v>
      </c>
      <c r="BN319" s="47">
        <f t="shared" si="248"/>
        <v>13.495000000000001</v>
      </c>
      <c r="BO319" s="45">
        <f>('[2]Renewable Diesel'!P328*'[2]Feedstock Conversion Rates'!B$4)/12</f>
        <v>31.25</v>
      </c>
      <c r="BP319" s="47">
        <f t="shared" si="237"/>
        <v>31.25</v>
      </c>
      <c r="BQ319" s="45">
        <f>('[2]Renewable Diesel'!$S328*'[2]RD Feedstock Breakdown'!BQ$3*'[2]Feedstock Conversion Rates'!B$4)/12+10+15-15</f>
        <v>38.125</v>
      </c>
      <c r="BR319" s="45">
        <f>('[2]Renewable Diesel'!$S328*'[2]RD Feedstock Breakdown'!BR$3*'[2]Feedstock Conversion Rates'!B$7)/12-10-15+15</f>
        <v>1.5</v>
      </c>
      <c r="BS319" s="47">
        <f t="shared" si="260"/>
        <v>39.625</v>
      </c>
      <c r="BT319" s="47"/>
      <c r="BU319" s="45">
        <f>('[2]Renewable Diesel'!Y328*'[2]Feedstock Conversion Rates'!B$7)/12</f>
        <v>2.6833333333333331</v>
      </c>
      <c r="BV319" s="47">
        <f t="shared" si="233"/>
        <v>2.6833333333333331</v>
      </c>
      <c r="BW319" s="45">
        <f>('[2]Renewable Diesel'!$Z328*'[2]RD Feedstock Breakdown'!BW$3*'[2]Feedstock Conversion Rates'!$B$4)/12</f>
        <v>71.875</v>
      </c>
      <c r="BX319" s="45">
        <f>('[2]Renewable Diesel'!$Z328*'[2]RD Feedstock Breakdown'!BX$3*'[2]Feedstock Conversion Rates'!$B$5)/12</f>
        <v>7.2354166666666666</v>
      </c>
      <c r="BY319" s="45">
        <f>('[2]Renewable Diesel'!$Z328*'[2]RD Feedstock Breakdown'!BY$3*'[2]Feedstock Conversion Rates'!$B$7)/12</f>
        <v>61.716666666666661</v>
      </c>
      <c r="BZ319" s="45">
        <f>('[2]Renewable Diesel'!$Z328*'[2]RD Feedstock Breakdown'!BZ$3*'[2]Feedstock Conversion Rates'!$B$3)/12</f>
        <v>15.352499999999999</v>
      </c>
      <c r="CA319" s="47">
        <f t="shared" si="262"/>
        <v>156.17958333333331</v>
      </c>
      <c r="CB319" s="45">
        <f>('[2]Renewable Diesel'!AA328*'[2]Feedstock Conversion Rates'!B$4)/12</f>
        <v>191.25</v>
      </c>
      <c r="CC319" s="47">
        <f t="shared" si="250"/>
        <v>191.25</v>
      </c>
      <c r="CD319" s="45">
        <f>('[2]Renewable Diesel'!$AB328*'[2]RD Feedstock Breakdown'!CD$3*'[2]Feedstock Conversion Rates'!$B$6)/12-15-5</f>
        <v>12.830000000000005</v>
      </c>
      <c r="CE319" s="45">
        <f>('[2]Renewable Diesel'!$AB328*'[2]RD Feedstock Breakdown'!CE$3*'[2]Feedstock Conversion Rates'!$B$4)/12+15+5</f>
        <v>31.25</v>
      </c>
      <c r="CF319" s="47">
        <f t="shared" si="247"/>
        <v>44.080000000000005</v>
      </c>
      <c r="CG319" s="45">
        <f>('[2]Renewable Diesel'!AD328*'[2]Feedstock Conversion Rates'!B$4)/12</f>
        <v>112.5</v>
      </c>
      <c r="CH319" s="47">
        <f t="shared" si="230"/>
        <v>112.5</v>
      </c>
      <c r="CI319" s="45">
        <f>('[2]Renewable Diesel'!$AE328*'[2]RD Feedstock Breakdown'!CI$3*'[2]Feedstock Conversion Rates'!$B$5)/12</f>
        <v>0.34604166666666664</v>
      </c>
      <c r="CJ319" s="45">
        <f>('[2]Renewable Diesel'!$AE328*'[2]RD Feedstock Breakdown'!CJ$3*'[2]Feedstock Conversion Rates'!$B$4)/12</f>
        <v>0.34375</v>
      </c>
      <c r="CK319" s="47">
        <f t="shared" si="238"/>
        <v>0.68979166666666658</v>
      </c>
      <c r="CL319" s="45">
        <f>(((CL$3*'[2]Renewable Diesel'!$AF328)*'[2]Feedstock Conversion Rates'!$B$3)/12)</f>
        <v>91.78125</v>
      </c>
      <c r="CM319" s="45">
        <f>(((CM$3*'[2]Renewable Diesel'!$AF328)*'[2]Feedstock Conversion Rates'!$B$6)/12)</f>
        <v>53.739583333333336</v>
      </c>
      <c r="CN319" s="45">
        <f>(((CN$3*'[2]Renewable Diesel'!$AF328)*'[2]Feedstock Conversion Rates'!$B$4)/12)</f>
        <v>42.96875</v>
      </c>
      <c r="CO319" s="47">
        <f t="shared" si="232"/>
        <v>188.48958333333334</v>
      </c>
      <c r="CP319" s="45">
        <f>('[2]Renewable Diesel'!$AG328*'[2]RD Feedstock Breakdown'!CP$3*'[2]Feedstock Conversion Rates'!$B$3)/12</f>
        <v>6.0075000000000003</v>
      </c>
      <c r="CQ319" s="45">
        <f>('[2]Renewable Diesel'!$AG328*'[2]RD Feedstock Breakdown'!CQ$3*'[2]Feedstock Conversion Rates'!$B$6)/12</f>
        <v>3.5175000000000001</v>
      </c>
      <c r="CR319" s="45">
        <f>('[2]Renewable Diesel'!$AG328*'[2]RD Feedstock Breakdown'!CR$3*'[2]Feedstock Conversion Rates'!$B$4)/12</f>
        <v>2.8125</v>
      </c>
      <c r="CS319" s="47">
        <f t="shared" si="267"/>
        <v>12.3375</v>
      </c>
      <c r="CT319" s="45">
        <f>('[2]Renewable Diesel'!AI328*'[2]Feedstock Conversion Rates'!$B$4*'[2]RD Feedstock Breakdown'!$CT$3)/12</f>
        <v>29.375</v>
      </c>
      <c r="CU319" s="47">
        <f t="shared" si="234"/>
        <v>29.375</v>
      </c>
      <c r="CV319" s="45">
        <f>('[2]Renewable Diesel'!AN328*'[2]Feedstock Conversion Rates'!$B$3*'[2]RD Feedstock Breakdown'!$CV$3)/12</f>
        <v>0.50062499999999999</v>
      </c>
      <c r="CW319" s="47">
        <f t="shared" si="206"/>
        <v>0.50062499999999999</v>
      </c>
      <c r="CX319" s="45">
        <f>('[2]Renewable Diesel'!AO328*'[2]RD Feedstock Breakdown'!$CX$3*'[2]Feedstock Conversion Rates'!$B$3)/12</f>
        <v>6.3412499999999996</v>
      </c>
      <c r="CY319" s="45">
        <f>('[2]Renewable Diesel'!AO328*'[2]RD Feedstock Breakdown'!$CY$3*'[2]Feedstock Conversion Rates'!$B$6)/12</f>
        <v>7.4258333333333342</v>
      </c>
      <c r="CZ319" s="47">
        <f t="shared" si="268"/>
        <v>13.767083333333334</v>
      </c>
      <c r="DA319" s="45">
        <f>('[2]Renewable Diesel'!$AP328*'[2]RD Feedstock Breakdown'!DA$3*'[2]Feedstock Conversion Rates'!$B$3)/12</f>
        <v>6.3412499999999996</v>
      </c>
      <c r="DB319" s="45">
        <f>('[2]Renewable Diesel'!$AP328*'[2]RD Feedstock Breakdown'!DB$3*'[2]Feedstock Conversion Rates'!$B$8)/12</f>
        <v>7.421875</v>
      </c>
      <c r="DC319" s="47">
        <f t="shared" si="212"/>
        <v>13.763124999999999</v>
      </c>
      <c r="DD319" s="45">
        <f>('[2]Renewable Diesel'!AQ328*$DD$3*'[2]Feedstock Conversion Rates'!$B$14)/12</f>
        <v>3.1041666666666665</v>
      </c>
      <c r="DE319" s="47">
        <f t="shared" si="213"/>
        <v>3.1041666666666665</v>
      </c>
      <c r="DF319" s="45">
        <f>('[2]Renewable Diesel'!AR328*'[2]Feedstock Conversion Rates'!$B$4*$DF$3)/12</f>
        <v>75</v>
      </c>
      <c r="DG319" s="47">
        <f t="shared" si="269"/>
        <v>75</v>
      </c>
      <c r="DH319" s="45">
        <f>('[2]Renewable Diesel'!AS328*'[2]Feedstock Conversion Rates'!$B$4*$DH$3)/12</f>
        <v>75</v>
      </c>
      <c r="DI319" s="47">
        <f t="shared" si="273"/>
        <v>75</v>
      </c>
      <c r="DJ319" s="45">
        <f>('[2]Renewable Diesel'!AT328*'[2]Feedstock Conversion Rates'!$B$4*0.25)/12</f>
        <v>8.59375</v>
      </c>
      <c r="DK319" s="45">
        <f>('[2]Renewable Diesel'!$AT328*'[2]RD Feedstock Breakdown'!DK$3*'[2]Feedstock Conversion Rates'!$B$3)/12*0.5</f>
        <v>9.1781249999999996</v>
      </c>
      <c r="DL319" s="45">
        <f>('[2]Renewable Diesel'!$AT328*'[2]RD Feedstock Breakdown'!$DL$3*'[2]Feedstock Conversion Rates'!$B$6)/12</f>
        <v>10.747916666666669</v>
      </c>
      <c r="DM319" s="45">
        <f>('[2]Renewable Diesel'!$AT328*'[2]RD Feedstock Breakdown'!$DM$3*'[2]Feedstock Conversion Rates'!$B$8)/12</f>
        <v>10.7421875</v>
      </c>
      <c r="DN319" s="47">
        <f t="shared" si="249"/>
        <v>39.26197916666667</v>
      </c>
      <c r="DP319" s="45">
        <f t="shared" si="216"/>
        <v>48.220250000000007</v>
      </c>
      <c r="DQ319" s="45">
        <f t="shared" si="217"/>
        <v>439.11776750000001</v>
      </c>
      <c r="DR319" s="45">
        <f t="shared" si="224"/>
        <v>2009.453125</v>
      </c>
      <c r="DS319" s="45">
        <f t="shared" si="235"/>
        <v>228.90125</v>
      </c>
      <c r="DT319" s="45">
        <f t="shared" si="218"/>
        <v>225.53923333333341</v>
      </c>
      <c r="DU319" s="45">
        <f t="shared" si="219"/>
        <v>245.40610000000004</v>
      </c>
      <c r="DV319" s="45">
        <f t="shared" si="225"/>
        <v>78.75</v>
      </c>
      <c r="DW319" s="45">
        <f t="shared" si="220"/>
        <v>3</v>
      </c>
      <c r="DX319" s="47">
        <f t="shared" si="226"/>
        <v>3278.3877258333337</v>
      </c>
      <c r="DY319" s="50">
        <f t="shared" si="208"/>
        <v>-5.631051180898794E-13</v>
      </c>
      <c r="EA319" s="51">
        <f t="shared" si="263"/>
        <v>1.4708525663401481E-2</v>
      </c>
      <c r="EB319" s="51">
        <f t="shared" si="263"/>
        <v>0.13394320752234412</v>
      </c>
      <c r="EC319" s="51">
        <f t="shared" si="263"/>
        <v>0.61293943640824755</v>
      </c>
      <c r="ED319" s="51">
        <f t="shared" si="261"/>
        <v>6.9821286907672142E-2</v>
      </c>
      <c r="EE319" s="51">
        <f t="shared" si="261"/>
        <v>6.8795777740414635E-2</v>
      </c>
      <c r="EF319" s="51">
        <f t="shared" si="261"/>
        <v>7.4855728035530103E-2</v>
      </c>
      <c r="EG319" s="51">
        <f t="shared" si="261"/>
        <v>2.4020953769274662E-2</v>
      </c>
      <c r="EH319" s="52">
        <f t="shared" si="227"/>
        <v>9.1508395311522522E-4</v>
      </c>
      <c r="EI319" s="51">
        <f t="shared" si="271"/>
        <v>0.99908491604688487</v>
      </c>
      <c r="EK319" s="53">
        <f>(EA319*'[2]Renewable Diesel'!BF328*'[2]Feedstock Conversion Rates'!B$2)+FB319</f>
        <v>80.841692336242858</v>
      </c>
      <c r="EL319" s="53">
        <f>(EB319*'[2]Renewable Diesel'!BF328*'[2]Feedstock Conversion Rates'!B$3)+FC319</f>
        <v>693.74607485566048</v>
      </c>
      <c r="EM319" s="53">
        <f>(EC319*'[2]Renewable Diesel'!BF328*'[2]Feedstock Conversion Rates'!B$4)+FD319</f>
        <v>2972.5293827071987</v>
      </c>
      <c r="EN319" s="53">
        <f>(ED319*'[2]Renewable Diesel'!BF328*'[2]Feedstock Conversion Rates'!B$5)+FE319</f>
        <v>340.86477930282427</v>
      </c>
      <c r="EO319" s="53">
        <f>(EE319*'[2]Renewable Diesel'!BF328*'[2]Feedstock Conversion Rates'!B$6)+FF319</f>
        <v>417.2649937004262</v>
      </c>
      <c r="EP319" s="53">
        <f>(EF319*'[2]Renewable Diesel'!BF328*'[2]Feedstock Conversion Rates'!B$7)+FG319</f>
        <v>445.30768904926788</v>
      </c>
      <c r="EQ319" s="53">
        <f>(EG319*'[2]Renewable Diesel'!BF328*'[2]Feedstock Conversion Rates'!B$8)+FH319</f>
        <v>145.61591781855569</v>
      </c>
      <c r="ER319" s="53">
        <f>(EH319*'[2]Renewable Diesel'!BF328*'[2]Feedstock Conversion Rates'!B$9)+FI319</f>
        <v>5.4733094189577756</v>
      </c>
      <c r="ES319" s="53">
        <f t="shared" si="228"/>
        <v>5101.6438391891334</v>
      </c>
      <c r="ET319" s="36">
        <f>ES319/'[2]Renewable Diesel'!BF328</f>
        <v>7.8897421108929011</v>
      </c>
    </row>
    <row r="320" spans="1:150" x14ac:dyDescent="0.25">
      <c r="A320" s="39">
        <v>50161</v>
      </c>
      <c r="B320" s="45">
        <f t="shared" si="274"/>
        <v>16.75</v>
      </c>
      <c r="C320" s="45">
        <f t="shared" si="251"/>
        <v>49</v>
      </c>
      <c r="D320" s="45">
        <f t="shared" si="275"/>
        <v>2</v>
      </c>
      <c r="E320" s="45">
        <f>('[2]Renewable Diesel'!B329*E$3*'[2]Feedstock Conversion Rates'!$B$2)/12+26+13-100+27.5+39</f>
        <v>95.43</v>
      </c>
      <c r="F320" s="45">
        <f>('[2]Renewable Diesel'!B329*'[2]RD Feedstock Breakdown'!F$3*'[2]Feedstock Conversion Rates'!B$8)/12+77+23-10-12-115.75+24+8</f>
        <v>48.15625</v>
      </c>
      <c r="G320" s="45">
        <f>('[2]Renewable Diesel'!B329*'[2]RD Feedstock Breakdown'!G$3*'[2]Feedstock Conversion Rates'!B$7)/12+116.75-39-57.5-145-31.5+32+70-40+10-17.5-5</f>
        <v>69.407000000000039</v>
      </c>
      <c r="H320" s="45">
        <f>('[2]Renewable Diesel'!B329*'[2]RD Feedstock Breakdown'!H$3*'[2]Feedstock Conversion Rates'!B$3)/12+67+10+12+3-235+20+47-20+135</f>
        <v>215.40022499999998</v>
      </c>
      <c r="I320" s="47">
        <f t="shared" si="245"/>
        <v>496.14347500000002</v>
      </c>
      <c r="J320" s="45">
        <f t="shared" si="276"/>
        <v>79</v>
      </c>
      <c r="K320" s="45"/>
      <c r="L320" s="45">
        <v>1</v>
      </c>
      <c r="M320" s="45">
        <f>('[2]Renewable Diesel'!C329*'[2]RD Feedstock Breakdown'!M$3*'[2]Feedstock Conversion Rates'!B$2)/12-55</f>
        <v>-47.20975</v>
      </c>
      <c r="N320" s="45">
        <f>('[2]Renewable Diesel'!C329*'[2]RD Feedstock Breakdown'!N$3*'[2]Feedstock Conversion Rates'!B$8)/12</f>
        <v>3.671875</v>
      </c>
      <c r="O320" s="45">
        <f>('[2]Renewable Diesel'!C329*'[2]RD Feedstock Breakdown'!O$3*'[2]Feedstock Conversion Rates'!B$7)/12-75</f>
        <v>-63.000900000000001</v>
      </c>
      <c r="P320" s="45">
        <f>('[2]Renewable Diesel'!C329*'[2]RD Feedstock Breakdown'!P$3*'[2]Feedstock Conversion Rates'!B$3)/12+15+35</f>
        <v>60.447042500000002</v>
      </c>
      <c r="Q320" s="47">
        <f t="shared" si="252"/>
        <v>33.908267500000001</v>
      </c>
      <c r="R320" s="45">
        <f>('[2]Renewable Diesel'!D329*'[2]RD Feedstock Breakdown'!R$3*'[2]Feedstock Conversion Rates'!B$7)/12</f>
        <v>2.2999999999999998</v>
      </c>
      <c r="S320" s="47">
        <f t="shared" si="203"/>
        <v>2.2999999999999998</v>
      </c>
      <c r="T320" s="45">
        <f t="shared" si="253"/>
        <v>0.82499999999999929</v>
      </c>
      <c r="U320" s="45"/>
      <c r="V320" s="45">
        <f>('[2]Renewable Diesel'!E329*'[2]RD Feedstock Breakdown'!V$3*'[2]Feedstock Conversion Rates'!B$6)/12-20+25</f>
        <v>49.250150000000012</v>
      </c>
      <c r="W320" s="45">
        <f>('[2]Renewable Diesel'!E329*'[2]RD Feedstock Breakdown'!W$3*'[2]Feedstock Conversion Rates'!B$8)/12-6</f>
        <v>16.1796875</v>
      </c>
      <c r="X320" s="47">
        <f t="shared" si="229"/>
        <v>66.254837500000008</v>
      </c>
      <c r="Y320" s="45">
        <f t="shared" si="254"/>
        <v>98</v>
      </c>
      <c r="Z320" s="45">
        <f>('[2]Renewable Diesel'!F329*'[2]RD Feedstock Breakdown'!Z$3*'[2]Feedstock Conversion Rates'!B$6)/12-142+15+5+20+2.5</f>
        <v>59.960000000000008</v>
      </c>
      <c r="AA320" s="45">
        <f>('[2]Renewable Diesel'!F329*'[2]RD Feedstock Breakdown'!AA$3*'[2]Feedstock Conversion Rates'!B$7)/12+24</f>
        <v>128.26666666666665</v>
      </c>
      <c r="AB320" s="47">
        <f t="shared" si="270"/>
        <v>286.22666666666669</v>
      </c>
      <c r="AC320" s="45">
        <f>('[2]Renewable Diesel'!G329*'[2]RD Feedstock Breakdown'!AC$3*'[2]Feedstock Conversion Rates'!B$5)/12</f>
        <v>11.796875</v>
      </c>
      <c r="AD320" s="45">
        <f>('[2]Renewable Diesel'!G329*'[2]RD Feedstock Breakdown'!AD$3*'[2]Feedstock Conversion Rates'!B$4)/12</f>
        <v>5.859375</v>
      </c>
      <c r="AE320" s="45">
        <f>('[2]Renewable Diesel'!G329*'[2]RD Feedstock Breakdown'!AE$3*'[2]Feedstock Conversion Rates'!B$6)/12</f>
        <v>7.3281250000000009</v>
      </c>
      <c r="AF320" s="47">
        <f t="shared" si="236"/>
        <v>24.984375</v>
      </c>
      <c r="AG320" s="45">
        <f t="shared" si="259"/>
        <v>148</v>
      </c>
      <c r="AH320" s="45"/>
      <c r="AI320" s="45">
        <f>('[2]Renewable Diesel'!H329*'[2]RD Feedstock Breakdown'!AI$3*'[2]Feedstock Conversion Rates'!B$6)/12-130-20+51-49</f>
        <v>0.51666666666667993</v>
      </c>
      <c r="AJ320" s="47">
        <f t="shared" ref="AJ320:AJ375" si="278">AI320+AG320</f>
        <v>148.51666666666668</v>
      </c>
      <c r="AK320" s="45">
        <f>('[2]Renewable Diesel'!J329*'[2]RD Feedstock Breakdown'!AK$3*'[2]Feedstock Conversion Rates'!B$4)/12</f>
        <v>95.8125</v>
      </c>
      <c r="AL320" s="47">
        <f t="shared" si="205"/>
        <v>95.8125</v>
      </c>
      <c r="AM320" s="45">
        <f>('[2]Renewable Diesel'!K329*'[2]RD Feedstock Breakdown'!AM$3*'[2]Feedstock Conversion Rates'!B$4)/12+5+15-10+10</f>
        <v>78.59375</v>
      </c>
      <c r="AN320" s="45">
        <f>('[2]Renewable Diesel'!K329*'[2]RD Feedstock Breakdown'!AN$3*'[2]Feedstock Conversion Rates'!B$6)/12-5-15+10-10</f>
        <v>4.4270833333333321</v>
      </c>
      <c r="AO320" s="47">
        <f t="shared" si="223"/>
        <v>83.020833333333329</v>
      </c>
      <c r="AP320" s="45">
        <f>('[2]Renewable Diesel'!L329*'[2]RD Feedstock Breakdown'!AP$3*'[2]Feedstock Conversion Rates'!B$4)/12+15-10+15</f>
        <v>78.59375</v>
      </c>
      <c r="AQ320" s="45">
        <f>('[2]Renewable Diesel'!L329*'[2]RD Feedstock Breakdown'!AQ$3*'[2]Feedstock Conversion Rates'!B$6)/12-15+10-15</f>
        <v>4.4270833333333321</v>
      </c>
      <c r="AR320" s="47">
        <f t="shared" si="207"/>
        <v>83.020833333333329</v>
      </c>
      <c r="AS320" s="45">
        <f>('[2]Renewable Diesel'!M329*'[2]RD Feedstock Breakdown'!AS$3*'[2]Feedstock Conversion Rates'!B$4)/12</f>
        <v>456.25</v>
      </c>
      <c r="AT320" s="45">
        <f>('[2]Renewable Diesel'!M329*'[2]RD Feedstock Breakdown'!AT$3*'[2]Feedstock Conversion Rates'!B$5)/12</f>
        <v>0</v>
      </c>
      <c r="AU320" s="47">
        <f t="shared" si="244"/>
        <v>456.25</v>
      </c>
      <c r="AV320" s="45">
        <f>'[2]Renewable Diesel'!N329*'[2]RD Feedstock Breakdown'!$AV$3*'[2]Feedstock Conversion Rates'!$B$4/12-15-10+25+25-22+25</f>
        <v>106.74999999999999</v>
      </c>
      <c r="AW320" s="45">
        <f>'[2]Renewable Diesel'!N329*'[2]RD Feedstock Breakdown'!$AW$3*'[2]Feedstock Conversion Rates'!$B$7/12+15+10-25-25+22-25</f>
        <v>13.400000000000006</v>
      </c>
      <c r="AX320" s="47">
        <f t="shared" si="272"/>
        <v>120.14999999999999</v>
      </c>
      <c r="AY320" s="45">
        <f>('[2]Renewable Diesel'!O329*'[2]RD Feedstock Breakdown'!AY$3*'[2]Feedstock Conversion Rates'!B$4)/12</f>
        <v>210.9375</v>
      </c>
      <c r="AZ320" s="45">
        <f>('[2]Renewable Diesel'!O329*'[2]RD Feedstock Breakdown'!AZ$3*'[2]Feedstock Conversion Rates'!B$3)/12</f>
        <v>25.03125</v>
      </c>
      <c r="BA320" s="47">
        <f t="shared" si="255"/>
        <v>235.96875</v>
      </c>
      <c r="BB320" s="45">
        <f>('[2]Renewable Diesel'!Q329*'[2]RD Feedstock Breakdown'!BB$3*'[2]Feedstock Conversion Rates'!B$4)/12</f>
        <v>11.156249999999998</v>
      </c>
      <c r="BC320" s="45">
        <f>('[2]Renewable Diesel'!Q329*'[2]RD Feedstock Breakdown'!BC$3*'[2]Feedstock Conversion Rates'!B$3)/12</f>
        <v>1.4017500000000001</v>
      </c>
      <c r="BD320" s="45">
        <f>('[2]Renewable Diesel'!Q329*'[2]RD Feedstock Breakdown'!BD$3*'[2]Feedstock Conversion Rates'!B$6)/12</f>
        <v>0.8207500000000002</v>
      </c>
      <c r="BE320" s="47">
        <f t="shared" si="231"/>
        <v>13.378749999999998</v>
      </c>
      <c r="BF320" s="45">
        <f>('[2]Renewable Diesel'!R329*'[2]RD Feedstock Breakdown'!BF$3*'[2]Feedstock Conversion Rates'!B$4)/12</f>
        <v>62.5</v>
      </c>
      <c r="BG320" s="47">
        <f t="shared" si="215"/>
        <v>62.5</v>
      </c>
      <c r="BH320" s="45">
        <f>('[2]Renewable Diesel'!T329*'[2]RD Feedstock Breakdown'!BH$3*'[2]Feedstock Conversion Rates'!B$7)/12</f>
        <v>27.599999999999998</v>
      </c>
      <c r="BI320" s="47">
        <f t="shared" si="277"/>
        <v>27.599999999999998</v>
      </c>
      <c r="BJ320" s="45">
        <f>('[2]Renewable Diesel'!W329*'[2]RD Feedstock Breakdown'!BJ$3*'[2]Feedstock Conversion Rates'!B$4)/12</f>
        <v>7.5</v>
      </c>
      <c r="BK320" s="45">
        <f>('[2]Renewable Diesel'!W329*'[2]RD Feedstock Breakdown'!BK$3*'[2]Feedstock Conversion Rates'!B$3)/12</f>
        <v>1.335</v>
      </c>
      <c r="BL320" s="45">
        <f>('[2]Renewable Diesel'!W329*'[2]RD Feedstock Breakdown'!BL$3*'[2]Feedstock Conversion Rates'!B$6)/12</f>
        <v>3.1266666666666669</v>
      </c>
      <c r="BM320" s="45">
        <f>('[2]Renewable Diesel'!W329*'[2]RD Feedstock Breakdown'!BM$3*'[2]Feedstock Conversion Rates'!B$7)/12</f>
        <v>1.5333333333333332</v>
      </c>
      <c r="BN320" s="47">
        <f t="shared" si="248"/>
        <v>13.495000000000001</v>
      </c>
      <c r="BO320" s="45">
        <f>('[2]Renewable Diesel'!P329*'[2]Feedstock Conversion Rates'!B$4)/12</f>
        <v>31.25</v>
      </c>
      <c r="BP320" s="47">
        <f t="shared" si="237"/>
        <v>31.25</v>
      </c>
      <c r="BQ320" s="45">
        <f>('[2]Renewable Diesel'!$S329*'[2]RD Feedstock Breakdown'!BQ$3*'[2]Feedstock Conversion Rates'!B$4)/12+10+15-15</f>
        <v>38.125</v>
      </c>
      <c r="BR320" s="45">
        <f>('[2]Renewable Diesel'!$S329*'[2]RD Feedstock Breakdown'!BR$3*'[2]Feedstock Conversion Rates'!B$7)/12-10-15+15</f>
        <v>1.5</v>
      </c>
      <c r="BS320" s="47">
        <f t="shared" si="260"/>
        <v>39.625</v>
      </c>
      <c r="BT320" s="47"/>
      <c r="BU320" s="45">
        <f>('[2]Renewable Diesel'!Y329*'[2]Feedstock Conversion Rates'!B$7)/12</f>
        <v>2.6833333333333331</v>
      </c>
      <c r="BV320" s="47">
        <f t="shared" si="233"/>
        <v>2.6833333333333331</v>
      </c>
      <c r="BW320" s="45">
        <f>('[2]Renewable Diesel'!$Z329*'[2]RD Feedstock Breakdown'!BW$3*'[2]Feedstock Conversion Rates'!$B$4)/12</f>
        <v>71.875</v>
      </c>
      <c r="BX320" s="45">
        <f>('[2]Renewable Diesel'!$Z329*'[2]RD Feedstock Breakdown'!BX$3*'[2]Feedstock Conversion Rates'!$B$5)/12</f>
        <v>7.2354166666666666</v>
      </c>
      <c r="BY320" s="45">
        <f>('[2]Renewable Diesel'!$Z329*'[2]RD Feedstock Breakdown'!BY$3*'[2]Feedstock Conversion Rates'!$B$7)/12</f>
        <v>61.716666666666661</v>
      </c>
      <c r="BZ320" s="45">
        <f>('[2]Renewable Diesel'!$Z329*'[2]RD Feedstock Breakdown'!BZ$3*'[2]Feedstock Conversion Rates'!$B$3)/12</f>
        <v>15.352499999999999</v>
      </c>
      <c r="CA320" s="47">
        <f t="shared" si="262"/>
        <v>156.17958333333331</v>
      </c>
      <c r="CB320" s="45">
        <f>('[2]Renewable Diesel'!AA329*'[2]Feedstock Conversion Rates'!B$4)/12</f>
        <v>191.25</v>
      </c>
      <c r="CC320" s="47">
        <f t="shared" si="250"/>
        <v>191.25</v>
      </c>
      <c r="CD320" s="45">
        <f>('[2]Renewable Diesel'!$AB329*'[2]RD Feedstock Breakdown'!CD$3*'[2]Feedstock Conversion Rates'!$B$6)/12-15-5</f>
        <v>12.830000000000005</v>
      </c>
      <c r="CE320" s="45">
        <f>('[2]Renewable Diesel'!$AB329*'[2]RD Feedstock Breakdown'!CE$3*'[2]Feedstock Conversion Rates'!$B$4)/12+15+5</f>
        <v>31.25</v>
      </c>
      <c r="CF320" s="47">
        <f t="shared" si="247"/>
        <v>44.080000000000005</v>
      </c>
      <c r="CG320" s="45">
        <f>('[2]Renewable Diesel'!AD329*'[2]Feedstock Conversion Rates'!B$4)/12</f>
        <v>112.5</v>
      </c>
      <c r="CH320" s="47">
        <f t="shared" si="230"/>
        <v>112.5</v>
      </c>
      <c r="CI320" s="45">
        <f>('[2]Renewable Diesel'!$AE329*'[2]RD Feedstock Breakdown'!CI$3*'[2]Feedstock Conversion Rates'!$B$5)/12</f>
        <v>0.34604166666666664</v>
      </c>
      <c r="CJ320" s="45">
        <f>('[2]Renewable Diesel'!$AE329*'[2]RD Feedstock Breakdown'!CJ$3*'[2]Feedstock Conversion Rates'!$B$4)/12</f>
        <v>0.34375</v>
      </c>
      <c r="CK320" s="47">
        <f t="shared" si="238"/>
        <v>0.68979166666666658</v>
      </c>
      <c r="CL320" s="45">
        <f>(((CL$3*'[2]Renewable Diesel'!$AF329)*'[2]Feedstock Conversion Rates'!$B$3)/12)</f>
        <v>91.78125</v>
      </c>
      <c r="CM320" s="45">
        <f>(((CM$3*'[2]Renewable Diesel'!$AF329)*'[2]Feedstock Conversion Rates'!$B$6)/12)</f>
        <v>53.739583333333336</v>
      </c>
      <c r="CN320" s="45">
        <f>(((CN$3*'[2]Renewable Diesel'!$AF329)*'[2]Feedstock Conversion Rates'!$B$4)/12)</f>
        <v>42.96875</v>
      </c>
      <c r="CO320" s="47">
        <f t="shared" si="232"/>
        <v>188.48958333333334</v>
      </c>
      <c r="CP320" s="45">
        <f>('[2]Renewable Diesel'!$AG329*'[2]RD Feedstock Breakdown'!CP$3*'[2]Feedstock Conversion Rates'!$B$3)/12</f>
        <v>6.0075000000000003</v>
      </c>
      <c r="CQ320" s="45">
        <f>('[2]Renewable Diesel'!$AG329*'[2]RD Feedstock Breakdown'!CQ$3*'[2]Feedstock Conversion Rates'!$B$6)/12</f>
        <v>3.5175000000000001</v>
      </c>
      <c r="CR320" s="45">
        <f>('[2]Renewable Diesel'!$AG329*'[2]RD Feedstock Breakdown'!CR$3*'[2]Feedstock Conversion Rates'!$B$4)/12</f>
        <v>2.8125</v>
      </c>
      <c r="CS320" s="47">
        <f t="shared" si="267"/>
        <v>12.3375</v>
      </c>
      <c r="CT320" s="45">
        <f>('[2]Renewable Diesel'!AI329*'[2]Feedstock Conversion Rates'!$B$4*'[2]RD Feedstock Breakdown'!$CT$3)/12</f>
        <v>29.375</v>
      </c>
      <c r="CU320" s="47">
        <f t="shared" si="234"/>
        <v>29.375</v>
      </c>
      <c r="CV320" s="45">
        <f>('[2]Renewable Diesel'!AN329*'[2]Feedstock Conversion Rates'!$B$3*'[2]RD Feedstock Breakdown'!$CV$3)/12</f>
        <v>0.50062499999999999</v>
      </c>
      <c r="CW320" s="47">
        <f t="shared" si="206"/>
        <v>0.50062499999999999</v>
      </c>
      <c r="CX320" s="45">
        <f>('[2]Renewable Diesel'!AO329*'[2]RD Feedstock Breakdown'!$CX$3*'[2]Feedstock Conversion Rates'!$B$3)/12</f>
        <v>6.3412499999999996</v>
      </c>
      <c r="CY320" s="45">
        <f>('[2]Renewable Diesel'!AO329*'[2]RD Feedstock Breakdown'!$CY$3*'[2]Feedstock Conversion Rates'!$B$6)/12</f>
        <v>7.4258333333333342</v>
      </c>
      <c r="CZ320" s="47">
        <f t="shared" si="268"/>
        <v>13.767083333333334</v>
      </c>
      <c r="DA320" s="45">
        <f>('[2]Renewable Diesel'!$AP329*'[2]RD Feedstock Breakdown'!DA$3*'[2]Feedstock Conversion Rates'!$B$3)/12</f>
        <v>6.3412499999999996</v>
      </c>
      <c r="DB320" s="45">
        <f>('[2]Renewable Diesel'!$AP329*'[2]RD Feedstock Breakdown'!DB$3*'[2]Feedstock Conversion Rates'!$B$8)/12</f>
        <v>7.421875</v>
      </c>
      <c r="DC320" s="47">
        <f t="shared" si="212"/>
        <v>13.763124999999999</v>
      </c>
      <c r="DD320" s="45">
        <f>('[2]Renewable Diesel'!AQ329*$DD$3*'[2]Feedstock Conversion Rates'!$B$14)/12</f>
        <v>3.1041666666666665</v>
      </c>
      <c r="DE320" s="47">
        <f t="shared" si="213"/>
        <v>3.1041666666666665</v>
      </c>
      <c r="DF320" s="45">
        <f>('[2]Renewable Diesel'!AR329*'[2]Feedstock Conversion Rates'!$B$4*$DF$3)/12</f>
        <v>75</v>
      </c>
      <c r="DG320" s="47">
        <f t="shared" si="269"/>
        <v>75</v>
      </c>
      <c r="DH320" s="45">
        <f>('[2]Renewable Diesel'!AS329*'[2]Feedstock Conversion Rates'!$B$4*$DH$3)/12</f>
        <v>75</v>
      </c>
      <c r="DI320" s="47">
        <f t="shared" si="273"/>
        <v>75</v>
      </c>
      <c r="DJ320" s="45">
        <f>('[2]Renewable Diesel'!AT329*'[2]Feedstock Conversion Rates'!$B$4*0.25)/12</f>
        <v>8.59375</v>
      </c>
      <c r="DK320" s="45">
        <f>('[2]Renewable Diesel'!$AT329*'[2]RD Feedstock Breakdown'!DK$3*'[2]Feedstock Conversion Rates'!$B$3)/12*0.5</f>
        <v>9.1781249999999996</v>
      </c>
      <c r="DL320" s="45">
        <f>('[2]Renewable Diesel'!$AT329*'[2]RD Feedstock Breakdown'!$DL$3*'[2]Feedstock Conversion Rates'!$B$6)/12</f>
        <v>10.747916666666669</v>
      </c>
      <c r="DM320" s="45">
        <f>('[2]Renewable Diesel'!$AT329*'[2]RD Feedstock Breakdown'!$DM$3*'[2]Feedstock Conversion Rates'!$B$8)/12</f>
        <v>10.7421875</v>
      </c>
      <c r="DN320" s="47">
        <f t="shared" si="249"/>
        <v>39.26197916666667</v>
      </c>
      <c r="DP320" s="45">
        <f t="shared" si="216"/>
        <v>48.220250000000007</v>
      </c>
      <c r="DQ320" s="45">
        <f t="shared" si="217"/>
        <v>439.11776750000001</v>
      </c>
      <c r="DR320" s="45">
        <f t="shared" si="224"/>
        <v>2009.453125</v>
      </c>
      <c r="DS320" s="45">
        <f t="shared" si="235"/>
        <v>228.90125</v>
      </c>
      <c r="DT320" s="45">
        <f t="shared" si="218"/>
        <v>225.53923333333341</v>
      </c>
      <c r="DU320" s="45">
        <f t="shared" si="219"/>
        <v>245.40610000000004</v>
      </c>
      <c r="DV320" s="45">
        <f t="shared" si="225"/>
        <v>78.75</v>
      </c>
      <c r="DW320" s="45">
        <f t="shared" si="220"/>
        <v>3</v>
      </c>
      <c r="DX320" s="47">
        <f t="shared" si="226"/>
        <v>3278.3877258333337</v>
      </c>
      <c r="DY320" s="50">
        <f t="shared" si="208"/>
        <v>-5.631051180898794E-13</v>
      </c>
      <c r="EA320" s="51">
        <f t="shared" si="263"/>
        <v>1.4708525663401481E-2</v>
      </c>
      <c r="EB320" s="51">
        <f t="shared" si="263"/>
        <v>0.13394320752234412</v>
      </c>
      <c r="EC320" s="51">
        <f t="shared" si="263"/>
        <v>0.61293943640824755</v>
      </c>
      <c r="ED320" s="51">
        <f t="shared" si="261"/>
        <v>6.9821286907672142E-2</v>
      </c>
      <c r="EE320" s="51">
        <f t="shared" si="261"/>
        <v>6.8795777740414635E-2</v>
      </c>
      <c r="EF320" s="51">
        <f t="shared" si="261"/>
        <v>7.4855728035530103E-2</v>
      </c>
      <c r="EG320" s="51">
        <f t="shared" si="261"/>
        <v>2.4020953769274662E-2</v>
      </c>
      <c r="EH320" s="52">
        <f t="shared" si="227"/>
        <v>9.1508395311522522E-4</v>
      </c>
      <c r="EI320" s="51">
        <f t="shared" si="271"/>
        <v>0.99908491604688487</v>
      </c>
      <c r="EK320" s="53">
        <f>(EA320*'[2]Renewable Diesel'!BF329*'[2]Feedstock Conversion Rates'!B$2)+FB320</f>
        <v>97.387824641396307</v>
      </c>
      <c r="EL320" s="53">
        <f>(EB320*'[2]Renewable Diesel'!BF329*'[2]Feedstock Conversion Rates'!B$3)+FC320</f>
        <v>835.73734209681493</v>
      </c>
      <c r="EM320" s="53">
        <f>(EC320*'[2]Renewable Diesel'!BF329*'[2]Feedstock Conversion Rates'!B$4)+FD320</f>
        <v>3580.9266468646611</v>
      </c>
      <c r="EN320" s="53">
        <f>(ED320*'[2]Renewable Diesel'!BF329*'[2]Feedstock Conversion Rates'!B$5)+FE320</f>
        <v>410.63068317644894</v>
      </c>
      <c r="EO320" s="53">
        <f>(EE320*'[2]Renewable Diesel'!BF329*'[2]Feedstock Conversion Rates'!B$6)+FF320</f>
        <v>502.66797813276753</v>
      </c>
      <c r="EP320" s="53">
        <f>(EF320*'[2]Renewable Diesel'!BF329*'[2]Feedstock Conversion Rates'!B$7)+FG320</f>
        <v>536.4502632158908</v>
      </c>
      <c r="EQ320" s="53">
        <f>(EG320*'[2]Renewable Diesel'!BF329*'[2]Feedstock Conversion Rates'!B$8)+FH320</f>
        <v>175.41960168926065</v>
      </c>
      <c r="ER320" s="53">
        <f>(EH320*'[2]Renewable Diesel'!BF329*'[2]Feedstock Conversion Rates'!B$9)+FI320</f>
        <v>6.5935494730185598</v>
      </c>
      <c r="ES320" s="53">
        <f t="shared" si="228"/>
        <v>6145.8138892902589</v>
      </c>
      <c r="ET320" s="36">
        <f>ES320/'[2]Renewable Diesel'!BF329</f>
        <v>7.8897421108929029</v>
      </c>
    </row>
    <row r="321" spans="1:150" x14ac:dyDescent="0.25">
      <c r="A321" s="39">
        <v>50192</v>
      </c>
      <c r="B321" s="45">
        <f t="shared" si="274"/>
        <v>16.75</v>
      </c>
      <c r="C321" s="45">
        <f t="shared" si="251"/>
        <v>49</v>
      </c>
      <c r="D321" s="45">
        <f t="shared" si="275"/>
        <v>2</v>
      </c>
      <c r="E321" s="45">
        <f>('[2]Renewable Diesel'!B330*E$3*'[2]Feedstock Conversion Rates'!$B$2)/12+26+13-100+27.5+39</f>
        <v>95.43</v>
      </c>
      <c r="F321" s="45">
        <f>('[2]Renewable Diesel'!B330*'[2]RD Feedstock Breakdown'!F$3*'[2]Feedstock Conversion Rates'!B$8)/12+77+23-10-12-115.75+24+8</f>
        <v>48.15625</v>
      </c>
      <c r="G321" s="45">
        <f>('[2]Renewable Diesel'!B330*'[2]RD Feedstock Breakdown'!G$3*'[2]Feedstock Conversion Rates'!B$7)/12+116.75-39-57.5-145-31.5+32+70-40+10-17.5-5</f>
        <v>69.407000000000039</v>
      </c>
      <c r="H321" s="45">
        <f>('[2]Renewable Diesel'!B330*'[2]RD Feedstock Breakdown'!H$3*'[2]Feedstock Conversion Rates'!B$3)/12+67+10+12+3-235+20+47-20+135</f>
        <v>215.40022499999998</v>
      </c>
      <c r="I321" s="47">
        <f t="shared" si="245"/>
        <v>496.14347500000002</v>
      </c>
      <c r="J321" s="45">
        <f t="shared" si="276"/>
        <v>79</v>
      </c>
      <c r="K321" s="45"/>
      <c r="L321" s="45">
        <v>1</v>
      </c>
      <c r="M321" s="45">
        <f>('[2]Renewable Diesel'!C330*'[2]RD Feedstock Breakdown'!M$3*'[2]Feedstock Conversion Rates'!B$2)/12-55</f>
        <v>-47.20975</v>
      </c>
      <c r="N321" s="45">
        <f>('[2]Renewable Diesel'!C330*'[2]RD Feedstock Breakdown'!N$3*'[2]Feedstock Conversion Rates'!B$8)/12</f>
        <v>3.671875</v>
      </c>
      <c r="O321" s="45">
        <f>('[2]Renewable Diesel'!C330*'[2]RD Feedstock Breakdown'!O$3*'[2]Feedstock Conversion Rates'!B$7)/12-75</f>
        <v>-63.000900000000001</v>
      </c>
      <c r="P321" s="45">
        <f>('[2]Renewable Diesel'!C330*'[2]RD Feedstock Breakdown'!P$3*'[2]Feedstock Conversion Rates'!B$3)/12+15+35</f>
        <v>60.447042500000002</v>
      </c>
      <c r="Q321" s="47">
        <f t="shared" si="252"/>
        <v>33.908267500000001</v>
      </c>
      <c r="R321" s="45">
        <f>('[2]Renewable Diesel'!D330*'[2]RD Feedstock Breakdown'!R$3*'[2]Feedstock Conversion Rates'!B$7)/12</f>
        <v>2.2999999999999998</v>
      </c>
      <c r="S321" s="47">
        <f t="shared" ref="S321:S375" si="279">R321</f>
        <v>2.2999999999999998</v>
      </c>
      <c r="T321" s="45">
        <f t="shared" si="253"/>
        <v>0.82499999999999929</v>
      </c>
      <c r="U321" s="45"/>
      <c r="V321" s="45">
        <f>('[2]Renewable Diesel'!E330*'[2]RD Feedstock Breakdown'!V$3*'[2]Feedstock Conversion Rates'!B$6)/12-20+25</f>
        <v>49.250150000000012</v>
      </c>
      <c r="W321" s="45">
        <f>('[2]Renewable Diesel'!E330*'[2]RD Feedstock Breakdown'!W$3*'[2]Feedstock Conversion Rates'!B$8)/12-6</f>
        <v>16.1796875</v>
      </c>
      <c r="X321" s="47">
        <f t="shared" si="229"/>
        <v>66.254837500000008</v>
      </c>
      <c r="Y321" s="45">
        <f t="shared" si="254"/>
        <v>98</v>
      </c>
      <c r="Z321" s="45">
        <f>('[2]Renewable Diesel'!F330*'[2]RD Feedstock Breakdown'!Z$3*'[2]Feedstock Conversion Rates'!B$6)/12-142+15+5+20+2.5</f>
        <v>59.960000000000008</v>
      </c>
      <c r="AA321" s="45">
        <f>('[2]Renewable Diesel'!F330*'[2]RD Feedstock Breakdown'!AA$3*'[2]Feedstock Conversion Rates'!B$7)/12+24</f>
        <v>128.26666666666665</v>
      </c>
      <c r="AB321" s="47">
        <f t="shared" si="270"/>
        <v>286.22666666666669</v>
      </c>
      <c r="AC321" s="45">
        <f>('[2]Renewable Diesel'!G330*'[2]RD Feedstock Breakdown'!AC$3*'[2]Feedstock Conversion Rates'!B$5)/12</f>
        <v>11.796875</v>
      </c>
      <c r="AD321" s="45">
        <f>('[2]Renewable Diesel'!G330*'[2]RD Feedstock Breakdown'!AD$3*'[2]Feedstock Conversion Rates'!B$4)/12</f>
        <v>5.859375</v>
      </c>
      <c r="AE321" s="45">
        <f>('[2]Renewable Diesel'!G330*'[2]RD Feedstock Breakdown'!AE$3*'[2]Feedstock Conversion Rates'!B$6)/12</f>
        <v>7.3281250000000009</v>
      </c>
      <c r="AF321" s="47">
        <f t="shared" si="236"/>
        <v>24.984375</v>
      </c>
      <c r="AG321" s="45">
        <f t="shared" si="259"/>
        <v>148</v>
      </c>
      <c r="AH321" s="45"/>
      <c r="AI321" s="45">
        <f>('[2]Renewable Diesel'!H330*'[2]RD Feedstock Breakdown'!AI$3*'[2]Feedstock Conversion Rates'!B$6)/12-130-20+51-49</f>
        <v>0.51666666666667993</v>
      </c>
      <c r="AJ321" s="47">
        <f t="shared" si="278"/>
        <v>148.51666666666668</v>
      </c>
      <c r="AK321" s="45">
        <f>('[2]Renewable Diesel'!J330*'[2]RD Feedstock Breakdown'!AK$3*'[2]Feedstock Conversion Rates'!B$4)/12</f>
        <v>95.8125</v>
      </c>
      <c r="AL321" s="47">
        <f t="shared" si="205"/>
        <v>95.8125</v>
      </c>
      <c r="AM321" s="45">
        <f>('[2]Renewable Diesel'!K330*'[2]RD Feedstock Breakdown'!AM$3*'[2]Feedstock Conversion Rates'!B$4)/12+5+15-10+10</f>
        <v>78.59375</v>
      </c>
      <c r="AN321" s="45">
        <f>('[2]Renewable Diesel'!K330*'[2]RD Feedstock Breakdown'!AN$3*'[2]Feedstock Conversion Rates'!B$6)/12-5-15+10-10</f>
        <v>4.4270833333333321</v>
      </c>
      <c r="AO321" s="47">
        <f t="shared" si="223"/>
        <v>83.020833333333329</v>
      </c>
      <c r="AP321" s="45">
        <f>('[2]Renewable Diesel'!L330*'[2]RD Feedstock Breakdown'!AP$3*'[2]Feedstock Conversion Rates'!B$4)/12+15-10+15</f>
        <v>78.59375</v>
      </c>
      <c r="AQ321" s="45">
        <f>('[2]Renewable Diesel'!L330*'[2]RD Feedstock Breakdown'!AQ$3*'[2]Feedstock Conversion Rates'!B$6)/12-15+10-15</f>
        <v>4.4270833333333321</v>
      </c>
      <c r="AR321" s="47">
        <f t="shared" si="207"/>
        <v>83.020833333333329</v>
      </c>
      <c r="AS321" s="45">
        <f>('[2]Renewable Diesel'!M330*'[2]RD Feedstock Breakdown'!AS$3*'[2]Feedstock Conversion Rates'!B$4)/12</f>
        <v>456.25</v>
      </c>
      <c r="AT321" s="45">
        <f>('[2]Renewable Diesel'!M330*'[2]RD Feedstock Breakdown'!AT$3*'[2]Feedstock Conversion Rates'!B$5)/12</f>
        <v>0</v>
      </c>
      <c r="AU321" s="47">
        <f t="shared" si="244"/>
        <v>456.25</v>
      </c>
      <c r="AV321" s="45">
        <f>'[2]Renewable Diesel'!N330*'[2]RD Feedstock Breakdown'!$AV$3*'[2]Feedstock Conversion Rates'!$B$4/12-15-10+25+25-22+25</f>
        <v>106.74999999999999</v>
      </c>
      <c r="AW321" s="45">
        <f>'[2]Renewable Diesel'!N330*'[2]RD Feedstock Breakdown'!$AW$3*'[2]Feedstock Conversion Rates'!$B$7/12+15+10-25-25+22-25</f>
        <v>13.400000000000006</v>
      </c>
      <c r="AX321" s="47">
        <f t="shared" si="272"/>
        <v>120.14999999999999</v>
      </c>
      <c r="AY321" s="45">
        <f>('[2]Renewable Diesel'!O330*'[2]RD Feedstock Breakdown'!AY$3*'[2]Feedstock Conversion Rates'!B$4)/12</f>
        <v>210.9375</v>
      </c>
      <c r="AZ321" s="45">
        <f>('[2]Renewable Diesel'!O330*'[2]RD Feedstock Breakdown'!AZ$3*'[2]Feedstock Conversion Rates'!B$3)/12</f>
        <v>25.03125</v>
      </c>
      <c r="BA321" s="47">
        <f t="shared" si="255"/>
        <v>235.96875</v>
      </c>
      <c r="BB321" s="45">
        <f>('[2]Renewable Diesel'!Q330*'[2]RD Feedstock Breakdown'!BB$3*'[2]Feedstock Conversion Rates'!B$4)/12</f>
        <v>11.156249999999998</v>
      </c>
      <c r="BC321" s="45">
        <f>('[2]Renewable Diesel'!Q330*'[2]RD Feedstock Breakdown'!BC$3*'[2]Feedstock Conversion Rates'!B$3)/12</f>
        <v>1.4017500000000001</v>
      </c>
      <c r="BD321" s="45">
        <f>('[2]Renewable Diesel'!Q330*'[2]RD Feedstock Breakdown'!BD$3*'[2]Feedstock Conversion Rates'!B$6)/12</f>
        <v>0.8207500000000002</v>
      </c>
      <c r="BE321" s="47">
        <f t="shared" si="231"/>
        <v>13.378749999999998</v>
      </c>
      <c r="BF321" s="45">
        <f>('[2]Renewable Diesel'!R330*'[2]RD Feedstock Breakdown'!BF$3*'[2]Feedstock Conversion Rates'!B$4)/12</f>
        <v>62.5</v>
      </c>
      <c r="BG321" s="47">
        <f t="shared" si="215"/>
        <v>62.5</v>
      </c>
      <c r="BH321" s="45">
        <f>('[2]Renewable Diesel'!T330*'[2]RD Feedstock Breakdown'!BH$3*'[2]Feedstock Conversion Rates'!B$7)/12</f>
        <v>27.599999999999998</v>
      </c>
      <c r="BI321" s="47">
        <f t="shared" si="277"/>
        <v>27.599999999999998</v>
      </c>
      <c r="BJ321" s="45">
        <f>('[2]Renewable Diesel'!W330*'[2]RD Feedstock Breakdown'!BJ$3*'[2]Feedstock Conversion Rates'!B$4)/12</f>
        <v>7.5</v>
      </c>
      <c r="BK321" s="45">
        <f>('[2]Renewable Diesel'!W330*'[2]RD Feedstock Breakdown'!BK$3*'[2]Feedstock Conversion Rates'!B$3)/12</f>
        <v>1.335</v>
      </c>
      <c r="BL321" s="45">
        <f>('[2]Renewable Diesel'!W330*'[2]RD Feedstock Breakdown'!BL$3*'[2]Feedstock Conversion Rates'!B$6)/12</f>
        <v>3.1266666666666669</v>
      </c>
      <c r="BM321" s="45">
        <f>('[2]Renewable Diesel'!W330*'[2]RD Feedstock Breakdown'!BM$3*'[2]Feedstock Conversion Rates'!B$7)/12</f>
        <v>1.5333333333333332</v>
      </c>
      <c r="BN321" s="47">
        <f t="shared" si="248"/>
        <v>13.495000000000001</v>
      </c>
      <c r="BO321" s="45">
        <f>('[2]Renewable Diesel'!P330*'[2]Feedstock Conversion Rates'!B$4)/12</f>
        <v>31.25</v>
      </c>
      <c r="BP321" s="47">
        <f t="shared" si="237"/>
        <v>31.25</v>
      </c>
      <c r="BQ321" s="45">
        <f>('[2]Renewable Diesel'!$S330*'[2]RD Feedstock Breakdown'!BQ$3*'[2]Feedstock Conversion Rates'!B$4)/12+10+15-15</f>
        <v>38.125</v>
      </c>
      <c r="BR321" s="45">
        <f>('[2]Renewable Diesel'!$S330*'[2]RD Feedstock Breakdown'!BR$3*'[2]Feedstock Conversion Rates'!B$7)/12-10-15+15</f>
        <v>1.5</v>
      </c>
      <c r="BS321" s="47">
        <f t="shared" si="260"/>
        <v>39.625</v>
      </c>
      <c r="BT321" s="47"/>
      <c r="BU321" s="45">
        <f>('[2]Renewable Diesel'!Y330*'[2]Feedstock Conversion Rates'!B$7)/12</f>
        <v>2.6833333333333331</v>
      </c>
      <c r="BV321" s="47">
        <f t="shared" si="233"/>
        <v>2.6833333333333331</v>
      </c>
      <c r="BW321" s="45">
        <f>('[2]Renewable Diesel'!$Z330*'[2]RD Feedstock Breakdown'!BW$3*'[2]Feedstock Conversion Rates'!$B$4)/12</f>
        <v>71.875</v>
      </c>
      <c r="BX321" s="45">
        <f>('[2]Renewable Diesel'!$Z330*'[2]RD Feedstock Breakdown'!BX$3*'[2]Feedstock Conversion Rates'!$B$5)/12</f>
        <v>7.2354166666666666</v>
      </c>
      <c r="BY321" s="45">
        <f>('[2]Renewable Diesel'!$Z330*'[2]RD Feedstock Breakdown'!BY$3*'[2]Feedstock Conversion Rates'!$B$7)/12</f>
        <v>61.716666666666661</v>
      </c>
      <c r="BZ321" s="45">
        <f>('[2]Renewable Diesel'!$Z330*'[2]RD Feedstock Breakdown'!BZ$3*'[2]Feedstock Conversion Rates'!$B$3)/12</f>
        <v>15.352499999999999</v>
      </c>
      <c r="CA321" s="47">
        <f t="shared" si="262"/>
        <v>156.17958333333331</v>
      </c>
      <c r="CB321" s="45">
        <f>('[2]Renewable Diesel'!AA330*'[2]Feedstock Conversion Rates'!B$4)/12</f>
        <v>191.25</v>
      </c>
      <c r="CC321" s="47">
        <f t="shared" si="250"/>
        <v>191.25</v>
      </c>
      <c r="CD321" s="45">
        <f>('[2]Renewable Diesel'!$AB330*'[2]RD Feedstock Breakdown'!CD$3*'[2]Feedstock Conversion Rates'!$B$6)/12-15-5</f>
        <v>12.830000000000005</v>
      </c>
      <c r="CE321" s="45">
        <f>('[2]Renewable Diesel'!$AB330*'[2]RD Feedstock Breakdown'!CE$3*'[2]Feedstock Conversion Rates'!$B$4)/12+15+5</f>
        <v>31.25</v>
      </c>
      <c r="CF321" s="47">
        <f t="shared" si="247"/>
        <v>44.080000000000005</v>
      </c>
      <c r="CG321" s="45">
        <f>('[2]Renewable Diesel'!AD330*'[2]Feedstock Conversion Rates'!B$4)/12</f>
        <v>112.5</v>
      </c>
      <c r="CH321" s="47">
        <f t="shared" si="230"/>
        <v>112.5</v>
      </c>
      <c r="CI321" s="45">
        <f>('[2]Renewable Diesel'!$AE330*'[2]RD Feedstock Breakdown'!CI$3*'[2]Feedstock Conversion Rates'!$B$5)/12</f>
        <v>0.34604166666666664</v>
      </c>
      <c r="CJ321" s="45">
        <f>('[2]Renewable Diesel'!$AE330*'[2]RD Feedstock Breakdown'!CJ$3*'[2]Feedstock Conversion Rates'!$B$4)/12</f>
        <v>0.34375</v>
      </c>
      <c r="CK321" s="47">
        <f t="shared" si="238"/>
        <v>0.68979166666666658</v>
      </c>
      <c r="CL321" s="45">
        <f>(((CL$3*'[2]Renewable Diesel'!$AF330)*'[2]Feedstock Conversion Rates'!$B$3)/12)</f>
        <v>91.78125</v>
      </c>
      <c r="CM321" s="45">
        <f>(((CM$3*'[2]Renewable Diesel'!$AF330)*'[2]Feedstock Conversion Rates'!$B$6)/12)</f>
        <v>53.739583333333336</v>
      </c>
      <c r="CN321" s="45">
        <f>(((CN$3*'[2]Renewable Diesel'!$AF330)*'[2]Feedstock Conversion Rates'!$B$4)/12)</f>
        <v>42.96875</v>
      </c>
      <c r="CO321" s="47">
        <f t="shared" si="232"/>
        <v>188.48958333333334</v>
      </c>
      <c r="CP321" s="45">
        <f>('[2]Renewable Diesel'!$AG330*'[2]RD Feedstock Breakdown'!CP$3*'[2]Feedstock Conversion Rates'!$B$3)/12</f>
        <v>6.0075000000000003</v>
      </c>
      <c r="CQ321" s="45">
        <f>('[2]Renewable Diesel'!$AG330*'[2]RD Feedstock Breakdown'!CQ$3*'[2]Feedstock Conversion Rates'!$B$6)/12</f>
        <v>3.5175000000000001</v>
      </c>
      <c r="CR321" s="45">
        <f>('[2]Renewable Diesel'!$AG330*'[2]RD Feedstock Breakdown'!CR$3*'[2]Feedstock Conversion Rates'!$B$4)/12</f>
        <v>2.8125</v>
      </c>
      <c r="CS321" s="47">
        <f t="shared" si="267"/>
        <v>12.3375</v>
      </c>
      <c r="CT321" s="45">
        <f>('[2]Renewable Diesel'!AI330*'[2]Feedstock Conversion Rates'!$B$4*'[2]RD Feedstock Breakdown'!$CT$3)/12</f>
        <v>29.375</v>
      </c>
      <c r="CU321" s="47">
        <f t="shared" si="234"/>
        <v>29.375</v>
      </c>
      <c r="CV321" s="45">
        <f>('[2]Renewable Diesel'!AN330*'[2]Feedstock Conversion Rates'!$B$3*'[2]RD Feedstock Breakdown'!$CV$3)/12</f>
        <v>0.50062499999999999</v>
      </c>
      <c r="CW321" s="47">
        <f t="shared" si="206"/>
        <v>0.50062499999999999</v>
      </c>
      <c r="CX321" s="45">
        <f>('[2]Renewable Diesel'!AO330*'[2]RD Feedstock Breakdown'!$CX$3*'[2]Feedstock Conversion Rates'!$B$3)/12</f>
        <v>6.3412499999999996</v>
      </c>
      <c r="CY321" s="45">
        <f>('[2]Renewable Diesel'!AO330*'[2]RD Feedstock Breakdown'!$CY$3*'[2]Feedstock Conversion Rates'!$B$6)/12</f>
        <v>7.4258333333333342</v>
      </c>
      <c r="CZ321" s="47">
        <f t="shared" si="268"/>
        <v>13.767083333333334</v>
      </c>
      <c r="DA321" s="45">
        <f>('[2]Renewable Diesel'!$AP330*'[2]RD Feedstock Breakdown'!DA$3*'[2]Feedstock Conversion Rates'!$B$3)/12</f>
        <v>6.3412499999999996</v>
      </c>
      <c r="DB321" s="45">
        <f>('[2]Renewable Diesel'!$AP330*'[2]RD Feedstock Breakdown'!DB$3*'[2]Feedstock Conversion Rates'!$B$8)/12</f>
        <v>7.421875</v>
      </c>
      <c r="DC321" s="47">
        <f t="shared" si="212"/>
        <v>13.763124999999999</v>
      </c>
      <c r="DD321" s="45">
        <f>('[2]Renewable Diesel'!AQ330*$DD$3*'[2]Feedstock Conversion Rates'!$B$14)/12</f>
        <v>3.1041666666666665</v>
      </c>
      <c r="DE321" s="47">
        <f t="shared" si="213"/>
        <v>3.1041666666666665</v>
      </c>
      <c r="DF321" s="45">
        <f>('[2]Renewable Diesel'!AR330*'[2]Feedstock Conversion Rates'!$B$4*$DF$3)/12</f>
        <v>75</v>
      </c>
      <c r="DG321" s="47">
        <f t="shared" si="269"/>
        <v>75</v>
      </c>
      <c r="DH321" s="45">
        <f>('[2]Renewable Diesel'!AS330*'[2]Feedstock Conversion Rates'!$B$4*$DH$3)/12</f>
        <v>75</v>
      </c>
      <c r="DI321" s="47">
        <f t="shared" si="273"/>
        <v>75</v>
      </c>
      <c r="DJ321" s="45">
        <f>('[2]Renewable Diesel'!AT330*'[2]Feedstock Conversion Rates'!$B$4*0.25)/12</f>
        <v>8.59375</v>
      </c>
      <c r="DK321" s="45">
        <f>('[2]Renewable Diesel'!$AT330*'[2]RD Feedstock Breakdown'!DK$3*'[2]Feedstock Conversion Rates'!$B$3)/12*0.5</f>
        <v>9.1781249999999996</v>
      </c>
      <c r="DL321" s="45">
        <f>('[2]Renewable Diesel'!$AT330*'[2]RD Feedstock Breakdown'!$DL$3*'[2]Feedstock Conversion Rates'!$B$6)/12</f>
        <v>10.747916666666669</v>
      </c>
      <c r="DM321" s="45">
        <f>('[2]Renewable Diesel'!$AT330*'[2]RD Feedstock Breakdown'!$DM$3*'[2]Feedstock Conversion Rates'!$B$8)/12</f>
        <v>10.7421875</v>
      </c>
      <c r="DN321" s="47">
        <f t="shared" si="249"/>
        <v>39.26197916666667</v>
      </c>
      <c r="DP321" s="45">
        <f t="shared" si="216"/>
        <v>48.220250000000007</v>
      </c>
      <c r="DQ321" s="45">
        <f t="shared" si="217"/>
        <v>439.11776750000001</v>
      </c>
      <c r="DR321" s="45">
        <f t="shared" si="224"/>
        <v>2009.453125</v>
      </c>
      <c r="DS321" s="45">
        <f t="shared" si="235"/>
        <v>228.90125</v>
      </c>
      <c r="DT321" s="45">
        <f t="shared" si="218"/>
        <v>225.53923333333341</v>
      </c>
      <c r="DU321" s="45">
        <f t="shared" si="219"/>
        <v>245.40610000000004</v>
      </c>
      <c r="DV321" s="45">
        <f t="shared" si="225"/>
        <v>78.75</v>
      </c>
      <c r="DW321" s="45">
        <f t="shared" si="220"/>
        <v>3</v>
      </c>
      <c r="DX321" s="47">
        <f t="shared" si="226"/>
        <v>3278.3877258333337</v>
      </c>
      <c r="DY321" s="50">
        <f t="shared" si="208"/>
        <v>-5.631051180898794E-13</v>
      </c>
      <c r="EA321" s="51">
        <f t="shared" si="263"/>
        <v>1.4708525663401481E-2</v>
      </c>
      <c r="EB321" s="51">
        <f t="shared" si="263"/>
        <v>0.13394320752234412</v>
      </c>
      <c r="EC321" s="51">
        <f t="shared" si="263"/>
        <v>0.61293943640824755</v>
      </c>
      <c r="ED321" s="51">
        <f t="shared" si="261"/>
        <v>6.9821286907672142E-2</v>
      </c>
      <c r="EE321" s="51">
        <f t="shared" si="261"/>
        <v>6.8795777740414635E-2</v>
      </c>
      <c r="EF321" s="51">
        <f t="shared" si="261"/>
        <v>7.4855728035530103E-2</v>
      </c>
      <c r="EG321" s="51">
        <f t="shared" si="261"/>
        <v>2.4020953769274662E-2</v>
      </c>
      <c r="EH321" s="52">
        <f t="shared" si="227"/>
        <v>9.1508395311522522E-4</v>
      </c>
      <c r="EI321" s="51">
        <f t="shared" si="271"/>
        <v>0.99908491604688487</v>
      </c>
      <c r="EK321" s="53">
        <f>(EA321*'[2]Renewable Diesel'!BF330*'[2]Feedstock Conversion Rates'!B$2)+FB321</f>
        <v>94.81914710348498</v>
      </c>
      <c r="EL321" s="53">
        <f>(EB321*'[2]Renewable Diesel'!BF330*'[2]Feedstock Conversion Rates'!B$3)+FC321</f>
        <v>813.69413755720666</v>
      </c>
      <c r="EM321" s="53">
        <f>(EC321*'[2]Renewable Diesel'!BF330*'[2]Feedstock Conversion Rates'!B$4)+FD321</f>
        <v>3486.4769979831981</v>
      </c>
      <c r="EN321" s="53">
        <f>(ED321*'[2]Renewable Diesel'!BF330*'[2]Feedstock Conversion Rates'!B$5)+FE321</f>
        <v>399.79998831149584</v>
      </c>
      <c r="EO321" s="53">
        <f>(EE321*'[2]Renewable Diesel'!BF330*'[2]Feedstock Conversion Rates'!B$6)+FF321</f>
        <v>489.40972999742411</v>
      </c>
      <c r="EP321" s="53">
        <f>(EF321*'[2]Renewable Diesel'!BF330*'[2]Feedstock Conversion Rates'!B$7)+FG321</f>
        <v>522.30098175896057</v>
      </c>
      <c r="EQ321" s="53">
        <f>(EG321*'[2]Renewable Diesel'!BF330*'[2]Feedstock Conversion Rates'!B$8)+FH321</f>
        <v>170.79277700940204</v>
      </c>
      <c r="ER321" s="53">
        <f>(EH321*'[2]Renewable Diesel'!BF330*'[2]Feedstock Conversion Rates'!B$9)+FI321</f>
        <v>6.4196396183851441</v>
      </c>
      <c r="ES321" s="53">
        <f t="shared" si="228"/>
        <v>5983.7133993395582</v>
      </c>
      <c r="ET321" s="36">
        <f>ES321/'[2]Renewable Diesel'!BF330</f>
        <v>7.8897421108929029</v>
      </c>
    </row>
    <row r="322" spans="1:150" x14ac:dyDescent="0.25">
      <c r="A322" s="39">
        <v>50222</v>
      </c>
      <c r="B322" s="45">
        <f t="shared" si="274"/>
        <v>16.75</v>
      </c>
      <c r="C322" s="45">
        <f t="shared" si="251"/>
        <v>49</v>
      </c>
      <c r="D322" s="45">
        <f t="shared" si="275"/>
        <v>2</v>
      </c>
      <c r="E322" s="45">
        <f>('[2]Renewable Diesel'!B331*E$3*'[2]Feedstock Conversion Rates'!$B$2)/12+26+13-100+27.5+39</f>
        <v>95.43</v>
      </c>
      <c r="F322" s="45">
        <f>('[2]Renewable Diesel'!B331*'[2]RD Feedstock Breakdown'!F$3*'[2]Feedstock Conversion Rates'!B$8)/12+77+23-10-12-115.75+24+8</f>
        <v>48.15625</v>
      </c>
      <c r="G322" s="45">
        <f>('[2]Renewable Diesel'!B331*'[2]RD Feedstock Breakdown'!G$3*'[2]Feedstock Conversion Rates'!B$7)/12+116.75-39-57.5-145-31.5+32+70-40+10-17.5-5</f>
        <v>69.407000000000039</v>
      </c>
      <c r="H322" s="45">
        <f>('[2]Renewable Diesel'!B331*'[2]RD Feedstock Breakdown'!H$3*'[2]Feedstock Conversion Rates'!B$3)/12+67+10+12+3-235+20+47-20+135</f>
        <v>215.40022499999998</v>
      </c>
      <c r="I322" s="47">
        <f t="shared" si="245"/>
        <v>496.14347500000002</v>
      </c>
      <c r="J322" s="45">
        <f t="shared" si="276"/>
        <v>79</v>
      </c>
      <c r="K322" s="45"/>
      <c r="L322" s="45">
        <v>1</v>
      </c>
      <c r="M322" s="45">
        <f>('[2]Renewable Diesel'!C331*'[2]RD Feedstock Breakdown'!M$3*'[2]Feedstock Conversion Rates'!B$2)/12-55</f>
        <v>-47.20975</v>
      </c>
      <c r="N322" s="45">
        <f>('[2]Renewable Diesel'!C331*'[2]RD Feedstock Breakdown'!N$3*'[2]Feedstock Conversion Rates'!B$8)/12</f>
        <v>3.671875</v>
      </c>
      <c r="O322" s="45">
        <f>('[2]Renewable Diesel'!C331*'[2]RD Feedstock Breakdown'!O$3*'[2]Feedstock Conversion Rates'!B$7)/12-75</f>
        <v>-63.000900000000001</v>
      </c>
      <c r="P322" s="45">
        <f>('[2]Renewable Diesel'!C331*'[2]RD Feedstock Breakdown'!P$3*'[2]Feedstock Conversion Rates'!B$3)/12+15+35</f>
        <v>60.447042500000002</v>
      </c>
      <c r="Q322" s="47">
        <f t="shared" si="252"/>
        <v>33.908267500000001</v>
      </c>
      <c r="R322" s="45">
        <f>('[2]Renewable Diesel'!D331*'[2]RD Feedstock Breakdown'!R$3*'[2]Feedstock Conversion Rates'!B$7)/12</f>
        <v>2.2999999999999998</v>
      </c>
      <c r="S322" s="47">
        <f t="shared" si="279"/>
        <v>2.2999999999999998</v>
      </c>
      <c r="T322" s="45">
        <f t="shared" si="253"/>
        <v>0.82499999999999929</v>
      </c>
      <c r="U322" s="45"/>
      <c r="V322" s="45">
        <f>('[2]Renewable Diesel'!E331*'[2]RD Feedstock Breakdown'!V$3*'[2]Feedstock Conversion Rates'!B$6)/12-20+25</f>
        <v>49.250150000000012</v>
      </c>
      <c r="W322" s="45">
        <f>('[2]Renewable Diesel'!E331*'[2]RD Feedstock Breakdown'!W$3*'[2]Feedstock Conversion Rates'!B$8)/12-6</f>
        <v>16.1796875</v>
      </c>
      <c r="X322" s="47">
        <f t="shared" si="229"/>
        <v>66.254837500000008</v>
      </c>
      <c r="Y322" s="45">
        <f t="shared" si="254"/>
        <v>98</v>
      </c>
      <c r="Z322" s="45">
        <f>('[2]Renewable Diesel'!F331*'[2]RD Feedstock Breakdown'!Z$3*'[2]Feedstock Conversion Rates'!B$6)/12-142+15+5+20+2.5</f>
        <v>59.960000000000008</v>
      </c>
      <c r="AA322" s="45">
        <f>('[2]Renewable Diesel'!F331*'[2]RD Feedstock Breakdown'!AA$3*'[2]Feedstock Conversion Rates'!B$7)/12+24</f>
        <v>128.26666666666665</v>
      </c>
      <c r="AB322" s="47">
        <f t="shared" si="270"/>
        <v>286.22666666666669</v>
      </c>
      <c r="AC322" s="45">
        <f>('[2]Renewable Diesel'!G331*'[2]RD Feedstock Breakdown'!AC$3*'[2]Feedstock Conversion Rates'!B$5)/12</f>
        <v>11.796875</v>
      </c>
      <c r="AD322" s="45">
        <f>('[2]Renewable Diesel'!G331*'[2]RD Feedstock Breakdown'!AD$3*'[2]Feedstock Conversion Rates'!B$4)/12</f>
        <v>5.859375</v>
      </c>
      <c r="AE322" s="45">
        <f>('[2]Renewable Diesel'!G331*'[2]RD Feedstock Breakdown'!AE$3*'[2]Feedstock Conversion Rates'!B$6)/12</f>
        <v>7.3281250000000009</v>
      </c>
      <c r="AF322" s="47">
        <f t="shared" si="236"/>
        <v>24.984375</v>
      </c>
      <c r="AG322" s="45">
        <f t="shared" si="259"/>
        <v>148</v>
      </c>
      <c r="AH322" s="45"/>
      <c r="AI322" s="45">
        <f>('[2]Renewable Diesel'!H331*'[2]RD Feedstock Breakdown'!AI$3*'[2]Feedstock Conversion Rates'!B$6)/12-130-20+51-49</f>
        <v>0.51666666666667993</v>
      </c>
      <c r="AJ322" s="47">
        <f t="shared" si="278"/>
        <v>148.51666666666668</v>
      </c>
      <c r="AK322" s="45">
        <f>('[2]Renewable Diesel'!J331*'[2]RD Feedstock Breakdown'!AK$3*'[2]Feedstock Conversion Rates'!B$4)/12</f>
        <v>95.8125</v>
      </c>
      <c r="AL322" s="47">
        <f t="shared" si="205"/>
        <v>95.8125</v>
      </c>
      <c r="AM322" s="45">
        <f>('[2]Renewable Diesel'!K331*'[2]RD Feedstock Breakdown'!AM$3*'[2]Feedstock Conversion Rates'!B$4)/12+5+15-10+10</f>
        <v>78.59375</v>
      </c>
      <c r="AN322" s="45">
        <f>('[2]Renewable Diesel'!K331*'[2]RD Feedstock Breakdown'!AN$3*'[2]Feedstock Conversion Rates'!B$6)/12-5-15+10-10</f>
        <v>4.4270833333333321</v>
      </c>
      <c r="AO322" s="47">
        <f t="shared" si="223"/>
        <v>83.020833333333329</v>
      </c>
      <c r="AP322" s="45">
        <f>('[2]Renewable Diesel'!L331*'[2]RD Feedstock Breakdown'!AP$3*'[2]Feedstock Conversion Rates'!B$4)/12+15-10+15</f>
        <v>78.59375</v>
      </c>
      <c r="AQ322" s="45">
        <f>('[2]Renewable Diesel'!L331*'[2]RD Feedstock Breakdown'!AQ$3*'[2]Feedstock Conversion Rates'!B$6)/12-15+10-15</f>
        <v>4.4270833333333321</v>
      </c>
      <c r="AR322" s="47">
        <f t="shared" si="207"/>
        <v>83.020833333333329</v>
      </c>
      <c r="AS322" s="45">
        <f>('[2]Renewable Diesel'!M331*'[2]RD Feedstock Breakdown'!AS$3*'[2]Feedstock Conversion Rates'!B$4)/12</f>
        <v>456.25</v>
      </c>
      <c r="AT322" s="45">
        <f>('[2]Renewable Diesel'!M331*'[2]RD Feedstock Breakdown'!AT$3*'[2]Feedstock Conversion Rates'!B$5)/12</f>
        <v>0</v>
      </c>
      <c r="AU322" s="47">
        <f t="shared" si="244"/>
        <v>456.25</v>
      </c>
      <c r="AV322" s="45">
        <f>'[2]Renewable Diesel'!N331*'[2]RD Feedstock Breakdown'!$AV$3*'[2]Feedstock Conversion Rates'!$B$4/12-15-10+25+25-22+25</f>
        <v>106.74999999999999</v>
      </c>
      <c r="AW322" s="45">
        <f>'[2]Renewable Diesel'!N331*'[2]RD Feedstock Breakdown'!$AW$3*'[2]Feedstock Conversion Rates'!$B$7/12+15+10-25-25+22-25</f>
        <v>13.400000000000006</v>
      </c>
      <c r="AX322" s="47">
        <f t="shared" si="272"/>
        <v>120.14999999999999</v>
      </c>
      <c r="AY322" s="45">
        <f>('[2]Renewable Diesel'!O331*'[2]RD Feedstock Breakdown'!AY$3*'[2]Feedstock Conversion Rates'!B$4)/12</f>
        <v>210.9375</v>
      </c>
      <c r="AZ322" s="45">
        <f>('[2]Renewable Diesel'!O331*'[2]RD Feedstock Breakdown'!AZ$3*'[2]Feedstock Conversion Rates'!B$3)/12</f>
        <v>25.03125</v>
      </c>
      <c r="BA322" s="47">
        <f t="shared" si="255"/>
        <v>235.96875</v>
      </c>
      <c r="BB322" s="45">
        <f>('[2]Renewable Diesel'!Q331*'[2]RD Feedstock Breakdown'!BB$3*'[2]Feedstock Conversion Rates'!B$4)/12</f>
        <v>11.156249999999998</v>
      </c>
      <c r="BC322" s="45">
        <f>('[2]Renewable Diesel'!Q331*'[2]RD Feedstock Breakdown'!BC$3*'[2]Feedstock Conversion Rates'!B$3)/12</f>
        <v>1.4017500000000001</v>
      </c>
      <c r="BD322" s="45">
        <f>('[2]Renewable Diesel'!Q331*'[2]RD Feedstock Breakdown'!BD$3*'[2]Feedstock Conversion Rates'!B$6)/12</f>
        <v>0.8207500000000002</v>
      </c>
      <c r="BE322" s="47">
        <f t="shared" si="231"/>
        <v>13.378749999999998</v>
      </c>
      <c r="BF322" s="45">
        <f>('[2]Renewable Diesel'!R331*'[2]RD Feedstock Breakdown'!BF$3*'[2]Feedstock Conversion Rates'!B$4)/12</f>
        <v>62.5</v>
      </c>
      <c r="BG322" s="47">
        <f t="shared" si="215"/>
        <v>62.5</v>
      </c>
      <c r="BH322" s="45">
        <f>('[2]Renewable Diesel'!T331*'[2]RD Feedstock Breakdown'!BH$3*'[2]Feedstock Conversion Rates'!B$7)/12</f>
        <v>27.599999999999998</v>
      </c>
      <c r="BI322" s="47">
        <f t="shared" si="277"/>
        <v>27.599999999999998</v>
      </c>
      <c r="BJ322" s="45">
        <f>('[2]Renewable Diesel'!W331*'[2]RD Feedstock Breakdown'!BJ$3*'[2]Feedstock Conversion Rates'!B$4)/12</f>
        <v>7.5</v>
      </c>
      <c r="BK322" s="45">
        <f>('[2]Renewable Diesel'!W331*'[2]RD Feedstock Breakdown'!BK$3*'[2]Feedstock Conversion Rates'!B$3)/12</f>
        <v>1.335</v>
      </c>
      <c r="BL322" s="45">
        <f>('[2]Renewable Diesel'!W331*'[2]RD Feedstock Breakdown'!BL$3*'[2]Feedstock Conversion Rates'!B$6)/12</f>
        <v>3.1266666666666669</v>
      </c>
      <c r="BM322" s="45">
        <f>('[2]Renewable Diesel'!W331*'[2]RD Feedstock Breakdown'!BM$3*'[2]Feedstock Conversion Rates'!B$7)/12</f>
        <v>1.5333333333333332</v>
      </c>
      <c r="BN322" s="47">
        <f t="shared" si="248"/>
        <v>13.495000000000001</v>
      </c>
      <c r="BO322" s="45">
        <f>('[2]Renewable Diesel'!P331*'[2]Feedstock Conversion Rates'!B$4)/12</f>
        <v>31.25</v>
      </c>
      <c r="BP322" s="47">
        <f t="shared" si="237"/>
        <v>31.25</v>
      </c>
      <c r="BQ322" s="45">
        <f>('[2]Renewable Diesel'!$S331*'[2]RD Feedstock Breakdown'!BQ$3*'[2]Feedstock Conversion Rates'!B$4)/12+10+15-15</f>
        <v>38.125</v>
      </c>
      <c r="BR322" s="45">
        <f>('[2]Renewable Diesel'!$S331*'[2]RD Feedstock Breakdown'!BR$3*'[2]Feedstock Conversion Rates'!B$7)/12-10-15+15</f>
        <v>1.5</v>
      </c>
      <c r="BS322" s="47">
        <f t="shared" si="260"/>
        <v>39.625</v>
      </c>
      <c r="BT322" s="47"/>
      <c r="BU322" s="45">
        <f>('[2]Renewable Diesel'!Y331*'[2]Feedstock Conversion Rates'!B$7)/12</f>
        <v>2.6833333333333331</v>
      </c>
      <c r="BV322" s="47">
        <f t="shared" si="233"/>
        <v>2.6833333333333331</v>
      </c>
      <c r="BW322" s="45">
        <f>('[2]Renewable Diesel'!$Z331*'[2]RD Feedstock Breakdown'!BW$3*'[2]Feedstock Conversion Rates'!$B$4)/12</f>
        <v>71.875</v>
      </c>
      <c r="BX322" s="45">
        <f>('[2]Renewable Diesel'!$Z331*'[2]RD Feedstock Breakdown'!BX$3*'[2]Feedstock Conversion Rates'!$B$5)/12</f>
        <v>7.2354166666666666</v>
      </c>
      <c r="BY322" s="45">
        <f>('[2]Renewable Diesel'!$Z331*'[2]RD Feedstock Breakdown'!BY$3*'[2]Feedstock Conversion Rates'!$B$7)/12</f>
        <v>61.716666666666661</v>
      </c>
      <c r="BZ322" s="45">
        <f>('[2]Renewable Diesel'!$Z331*'[2]RD Feedstock Breakdown'!BZ$3*'[2]Feedstock Conversion Rates'!$B$3)/12</f>
        <v>15.352499999999999</v>
      </c>
      <c r="CA322" s="47">
        <f t="shared" si="262"/>
        <v>156.17958333333331</v>
      </c>
      <c r="CB322" s="45">
        <f>('[2]Renewable Diesel'!AA331*'[2]Feedstock Conversion Rates'!B$4)/12</f>
        <v>191.25</v>
      </c>
      <c r="CC322" s="47">
        <f t="shared" si="250"/>
        <v>191.25</v>
      </c>
      <c r="CD322" s="45">
        <f>('[2]Renewable Diesel'!$AB331*'[2]RD Feedstock Breakdown'!CD$3*'[2]Feedstock Conversion Rates'!$B$6)/12-15-5</f>
        <v>12.830000000000005</v>
      </c>
      <c r="CE322" s="45">
        <f>('[2]Renewable Diesel'!$AB331*'[2]RD Feedstock Breakdown'!CE$3*'[2]Feedstock Conversion Rates'!$B$4)/12+15+5</f>
        <v>31.25</v>
      </c>
      <c r="CF322" s="47">
        <f t="shared" si="247"/>
        <v>44.080000000000005</v>
      </c>
      <c r="CG322" s="45">
        <f>('[2]Renewable Diesel'!AD331*'[2]Feedstock Conversion Rates'!B$4)/12</f>
        <v>112.5</v>
      </c>
      <c r="CH322" s="47">
        <f t="shared" si="230"/>
        <v>112.5</v>
      </c>
      <c r="CI322" s="45">
        <f>('[2]Renewable Diesel'!$AE331*'[2]RD Feedstock Breakdown'!CI$3*'[2]Feedstock Conversion Rates'!$B$5)/12</f>
        <v>0.34604166666666664</v>
      </c>
      <c r="CJ322" s="45">
        <f>('[2]Renewable Diesel'!$AE331*'[2]RD Feedstock Breakdown'!CJ$3*'[2]Feedstock Conversion Rates'!$B$4)/12</f>
        <v>0.34375</v>
      </c>
      <c r="CK322" s="47">
        <f t="shared" si="238"/>
        <v>0.68979166666666658</v>
      </c>
      <c r="CL322" s="45">
        <f>(((CL$3*'[2]Renewable Diesel'!$AF331)*'[2]Feedstock Conversion Rates'!$B$3)/12)</f>
        <v>91.78125</v>
      </c>
      <c r="CM322" s="45">
        <f>(((CM$3*'[2]Renewable Diesel'!$AF331)*'[2]Feedstock Conversion Rates'!$B$6)/12)</f>
        <v>53.739583333333336</v>
      </c>
      <c r="CN322" s="45">
        <f>(((CN$3*'[2]Renewable Diesel'!$AF331)*'[2]Feedstock Conversion Rates'!$B$4)/12)</f>
        <v>42.96875</v>
      </c>
      <c r="CO322" s="47">
        <f t="shared" si="232"/>
        <v>188.48958333333334</v>
      </c>
      <c r="CP322" s="45">
        <f>('[2]Renewable Diesel'!$AG331*'[2]RD Feedstock Breakdown'!CP$3*'[2]Feedstock Conversion Rates'!$B$3)/12</f>
        <v>6.0075000000000003</v>
      </c>
      <c r="CQ322" s="45">
        <f>('[2]Renewable Diesel'!$AG331*'[2]RD Feedstock Breakdown'!CQ$3*'[2]Feedstock Conversion Rates'!$B$6)/12</f>
        <v>3.5175000000000001</v>
      </c>
      <c r="CR322" s="45">
        <f>('[2]Renewable Diesel'!$AG331*'[2]RD Feedstock Breakdown'!CR$3*'[2]Feedstock Conversion Rates'!$B$4)/12</f>
        <v>2.8125</v>
      </c>
      <c r="CS322" s="47">
        <f t="shared" si="267"/>
        <v>12.3375</v>
      </c>
      <c r="CT322" s="45">
        <f>('[2]Renewable Diesel'!AI331*'[2]Feedstock Conversion Rates'!$B$4*'[2]RD Feedstock Breakdown'!$CT$3)/12</f>
        <v>29.375</v>
      </c>
      <c r="CU322" s="47">
        <f t="shared" si="234"/>
        <v>29.375</v>
      </c>
      <c r="CV322" s="45">
        <f>('[2]Renewable Diesel'!AN331*'[2]Feedstock Conversion Rates'!$B$3*'[2]RD Feedstock Breakdown'!$CV$3)/12</f>
        <v>0.50062499999999999</v>
      </c>
      <c r="CW322" s="47">
        <f t="shared" si="206"/>
        <v>0.50062499999999999</v>
      </c>
      <c r="CX322" s="45">
        <f>('[2]Renewable Diesel'!AO331*'[2]RD Feedstock Breakdown'!$CX$3*'[2]Feedstock Conversion Rates'!$B$3)/12</f>
        <v>6.3412499999999996</v>
      </c>
      <c r="CY322" s="45">
        <f>('[2]Renewable Diesel'!AO331*'[2]RD Feedstock Breakdown'!$CY$3*'[2]Feedstock Conversion Rates'!$B$6)/12</f>
        <v>7.4258333333333342</v>
      </c>
      <c r="CZ322" s="47">
        <f t="shared" si="268"/>
        <v>13.767083333333334</v>
      </c>
      <c r="DA322" s="45">
        <f>('[2]Renewable Diesel'!$AP331*'[2]RD Feedstock Breakdown'!DA$3*'[2]Feedstock Conversion Rates'!$B$3)/12</f>
        <v>6.3412499999999996</v>
      </c>
      <c r="DB322" s="45">
        <f>('[2]Renewable Diesel'!$AP331*'[2]RD Feedstock Breakdown'!DB$3*'[2]Feedstock Conversion Rates'!$B$8)/12</f>
        <v>7.421875</v>
      </c>
      <c r="DC322" s="47">
        <f t="shared" si="212"/>
        <v>13.763124999999999</v>
      </c>
      <c r="DD322" s="45">
        <f>('[2]Renewable Diesel'!AQ331*$DD$3*'[2]Feedstock Conversion Rates'!$B$14)/12</f>
        <v>3.1041666666666665</v>
      </c>
      <c r="DE322" s="47">
        <f t="shared" si="213"/>
        <v>3.1041666666666665</v>
      </c>
      <c r="DF322" s="45">
        <f>('[2]Renewable Diesel'!AR331*'[2]Feedstock Conversion Rates'!$B$4*$DF$3)/12</f>
        <v>75</v>
      </c>
      <c r="DG322" s="47">
        <f t="shared" si="269"/>
        <v>75</v>
      </c>
      <c r="DH322" s="45">
        <f>('[2]Renewable Diesel'!AS331*'[2]Feedstock Conversion Rates'!$B$4*$DH$3)/12</f>
        <v>75</v>
      </c>
      <c r="DI322" s="47">
        <f t="shared" si="273"/>
        <v>75</v>
      </c>
      <c r="DJ322" s="45">
        <f>('[2]Renewable Diesel'!AT331*'[2]Feedstock Conversion Rates'!$B$4*0.25)/12</f>
        <v>8.59375</v>
      </c>
      <c r="DK322" s="45">
        <f>('[2]Renewable Diesel'!$AT331*'[2]RD Feedstock Breakdown'!DK$3*'[2]Feedstock Conversion Rates'!$B$3)/12*0.5</f>
        <v>9.1781249999999996</v>
      </c>
      <c r="DL322" s="45">
        <f>('[2]Renewable Diesel'!$AT331*'[2]RD Feedstock Breakdown'!$DL$3*'[2]Feedstock Conversion Rates'!$B$6)/12</f>
        <v>10.747916666666669</v>
      </c>
      <c r="DM322" s="45">
        <f>('[2]Renewable Diesel'!$AT331*'[2]RD Feedstock Breakdown'!$DM$3*'[2]Feedstock Conversion Rates'!$B$8)/12</f>
        <v>10.7421875</v>
      </c>
      <c r="DN322" s="47">
        <f t="shared" si="249"/>
        <v>39.26197916666667</v>
      </c>
      <c r="DP322" s="45">
        <f t="shared" si="216"/>
        <v>48.220250000000007</v>
      </c>
      <c r="DQ322" s="45">
        <f t="shared" si="217"/>
        <v>439.11776750000001</v>
      </c>
      <c r="DR322" s="45">
        <f t="shared" si="224"/>
        <v>2009.453125</v>
      </c>
      <c r="DS322" s="45">
        <f t="shared" si="235"/>
        <v>228.90125</v>
      </c>
      <c r="DT322" s="45">
        <f t="shared" si="218"/>
        <v>225.53923333333341</v>
      </c>
      <c r="DU322" s="45">
        <f t="shared" si="219"/>
        <v>245.40610000000004</v>
      </c>
      <c r="DV322" s="45">
        <f t="shared" si="225"/>
        <v>78.75</v>
      </c>
      <c r="DW322" s="45">
        <f t="shared" si="220"/>
        <v>3</v>
      </c>
      <c r="DX322" s="47">
        <f t="shared" si="226"/>
        <v>3278.3877258333337</v>
      </c>
      <c r="DY322" s="50">
        <f t="shared" si="208"/>
        <v>-5.631051180898794E-13</v>
      </c>
      <c r="EA322" s="51">
        <f t="shared" si="263"/>
        <v>1.4708525663401481E-2</v>
      </c>
      <c r="EB322" s="51">
        <f t="shared" si="263"/>
        <v>0.13394320752234412</v>
      </c>
      <c r="EC322" s="51">
        <f t="shared" si="263"/>
        <v>0.61293943640824755</v>
      </c>
      <c r="ED322" s="51">
        <f t="shared" si="261"/>
        <v>6.9821286907672142E-2</v>
      </c>
      <c r="EE322" s="51">
        <f t="shared" si="261"/>
        <v>6.8795777740414635E-2</v>
      </c>
      <c r="EF322" s="51">
        <f t="shared" si="261"/>
        <v>7.4855728035530103E-2</v>
      </c>
      <c r="EG322" s="51">
        <f t="shared" si="261"/>
        <v>2.4020953769274662E-2</v>
      </c>
      <c r="EH322" s="52">
        <f t="shared" si="227"/>
        <v>9.1508395311522522E-4</v>
      </c>
      <c r="EI322" s="51">
        <f t="shared" si="271"/>
        <v>0.99908491604688487</v>
      </c>
      <c r="EK322" s="53">
        <f>(EA322*'[2]Renewable Diesel'!BF331*'[2]Feedstock Conversion Rates'!B$2)+FB322</f>
        <v>97.704618458162003</v>
      </c>
      <c r="EL322" s="53">
        <f>(EB322*'[2]Renewable Diesel'!BF331*'[2]Feedstock Conversion Rates'!B$3)+FC322</f>
        <v>838.45592035227321</v>
      </c>
      <c r="EM322" s="53">
        <f>(EC322*'[2]Renewable Diesel'!BF331*'[2]Feedstock Conversion Rates'!B$4)+FD322</f>
        <v>3592.5750785263749</v>
      </c>
      <c r="EN322" s="53">
        <f>(ED322*'[2]Renewable Diesel'!BF331*'[2]Feedstock Conversion Rates'!B$5)+FE322</f>
        <v>411.96642778193308</v>
      </c>
      <c r="EO322" s="53">
        <f>(EE322*'[2]Renewable Diesel'!BF331*'[2]Feedstock Conversion Rates'!B$6)+FF322</f>
        <v>504.30311176415256</v>
      </c>
      <c r="EP322" s="53">
        <f>(EF322*'[2]Renewable Diesel'!BF331*'[2]Feedstock Conversion Rates'!B$7)+FG322</f>
        <v>538.19528757612159</v>
      </c>
      <c r="EQ322" s="53">
        <f>(EG322*'[2]Renewable Diesel'!BF331*'[2]Feedstock Conversion Rates'!B$8)+FH322</f>
        <v>175.99022584437748</v>
      </c>
      <c r="ER322" s="53">
        <f>(EH322*'[2]Renewable Diesel'!BF331*'[2]Feedstock Conversion Rates'!B$9)+FI322</f>
        <v>6.6149976952299339</v>
      </c>
      <c r="ES322" s="53">
        <f t="shared" si="228"/>
        <v>6165.8056679986239</v>
      </c>
      <c r="ET322" s="36">
        <f>ES322/'[2]Renewable Diesel'!BF331</f>
        <v>7.8897421108929011</v>
      </c>
    </row>
    <row r="323" spans="1:150" x14ac:dyDescent="0.25">
      <c r="A323" s="39">
        <v>50253</v>
      </c>
      <c r="B323" s="45">
        <f t="shared" si="274"/>
        <v>16.75</v>
      </c>
      <c r="C323" s="45">
        <f t="shared" si="251"/>
        <v>49</v>
      </c>
      <c r="D323" s="45">
        <f t="shared" si="275"/>
        <v>2</v>
      </c>
      <c r="E323" s="45">
        <f>('[2]Renewable Diesel'!B332*E$3*'[2]Feedstock Conversion Rates'!$B$2)/12+26+13-100+27.5+39</f>
        <v>95.43</v>
      </c>
      <c r="F323" s="45">
        <f>('[2]Renewable Diesel'!B332*'[2]RD Feedstock Breakdown'!F$3*'[2]Feedstock Conversion Rates'!B$8)/12+77+23-10-12-115.75+24+8</f>
        <v>48.15625</v>
      </c>
      <c r="G323" s="45">
        <f>('[2]Renewable Diesel'!B332*'[2]RD Feedstock Breakdown'!G$3*'[2]Feedstock Conversion Rates'!B$7)/12+116.75-39-57.5-145-31.5+32+70-40+10-17.5-5</f>
        <v>69.407000000000039</v>
      </c>
      <c r="H323" s="45">
        <f>('[2]Renewable Diesel'!B332*'[2]RD Feedstock Breakdown'!H$3*'[2]Feedstock Conversion Rates'!B$3)/12+67+10+12+3-235+20+47-20+135</f>
        <v>215.40022499999998</v>
      </c>
      <c r="I323" s="47">
        <f t="shared" si="245"/>
        <v>496.14347500000002</v>
      </c>
      <c r="J323" s="45">
        <f t="shared" si="276"/>
        <v>79</v>
      </c>
      <c r="K323" s="45"/>
      <c r="L323" s="45">
        <v>1</v>
      </c>
      <c r="M323" s="45">
        <f>('[2]Renewable Diesel'!C332*'[2]RD Feedstock Breakdown'!M$3*'[2]Feedstock Conversion Rates'!B$2)/12-55</f>
        <v>-47.20975</v>
      </c>
      <c r="N323" s="45">
        <f>('[2]Renewable Diesel'!C332*'[2]RD Feedstock Breakdown'!N$3*'[2]Feedstock Conversion Rates'!B$8)/12</f>
        <v>3.671875</v>
      </c>
      <c r="O323" s="45">
        <f>('[2]Renewable Diesel'!C332*'[2]RD Feedstock Breakdown'!O$3*'[2]Feedstock Conversion Rates'!B$7)/12-75</f>
        <v>-63.000900000000001</v>
      </c>
      <c r="P323" s="45">
        <f>('[2]Renewable Diesel'!C332*'[2]RD Feedstock Breakdown'!P$3*'[2]Feedstock Conversion Rates'!B$3)/12+15+35</f>
        <v>60.447042500000002</v>
      </c>
      <c r="Q323" s="47">
        <f t="shared" si="252"/>
        <v>33.908267500000001</v>
      </c>
      <c r="R323" s="45">
        <f>('[2]Renewable Diesel'!D332*'[2]RD Feedstock Breakdown'!R$3*'[2]Feedstock Conversion Rates'!B$7)/12</f>
        <v>2.2999999999999998</v>
      </c>
      <c r="S323" s="47">
        <f t="shared" si="279"/>
        <v>2.2999999999999998</v>
      </c>
      <c r="T323" s="45">
        <f t="shared" si="253"/>
        <v>0.82499999999999929</v>
      </c>
      <c r="U323" s="45"/>
      <c r="V323" s="45">
        <f>('[2]Renewable Diesel'!E332*'[2]RD Feedstock Breakdown'!V$3*'[2]Feedstock Conversion Rates'!B$6)/12-20+25</f>
        <v>49.250150000000012</v>
      </c>
      <c r="W323" s="45">
        <f>('[2]Renewable Diesel'!E332*'[2]RD Feedstock Breakdown'!W$3*'[2]Feedstock Conversion Rates'!B$8)/12-6</f>
        <v>16.1796875</v>
      </c>
      <c r="X323" s="47">
        <f t="shared" si="229"/>
        <v>66.254837500000008</v>
      </c>
      <c r="Y323" s="45">
        <f t="shared" si="254"/>
        <v>98</v>
      </c>
      <c r="Z323" s="45">
        <f>('[2]Renewable Diesel'!F332*'[2]RD Feedstock Breakdown'!Z$3*'[2]Feedstock Conversion Rates'!B$6)/12-142+15+5+20+2.5</f>
        <v>59.960000000000008</v>
      </c>
      <c r="AA323" s="45">
        <f>('[2]Renewable Diesel'!F332*'[2]RD Feedstock Breakdown'!AA$3*'[2]Feedstock Conversion Rates'!B$7)/12+24</f>
        <v>128.26666666666665</v>
      </c>
      <c r="AB323" s="47">
        <f t="shared" si="270"/>
        <v>286.22666666666669</v>
      </c>
      <c r="AC323" s="45">
        <f>('[2]Renewable Diesel'!G332*'[2]RD Feedstock Breakdown'!AC$3*'[2]Feedstock Conversion Rates'!B$5)/12</f>
        <v>11.796875</v>
      </c>
      <c r="AD323" s="45">
        <f>('[2]Renewable Diesel'!G332*'[2]RD Feedstock Breakdown'!AD$3*'[2]Feedstock Conversion Rates'!B$4)/12</f>
        <v>5.859375</v>
      </c>
      <c r="AE323" s="45">
        <f>('[2]Renewable Diesel'!G332*'[2]RD Feedstock Breakdown'!AE$3*'[2]Feedstock Conversion Rates'!B$6)/12</f>
        <v>7.3281250000000009</v>
      </c>
      <c r="AF323" s="47">
        <f t="shared" si="236"/>
        <v>24.984375</v>
      </c>
      <c r="AG323" s="45">
        <f t="shared" si="259"/>
        <v>148</v>
      </c>
      <c r="AH323" s="45"/>
      <c r="AI323" s="45">
        <f>('[2]Renewable Diesel'!H332*'[2]RD Feedstock Breakdown'!AI$3*'[2]Feedstock Conversion Rates'!B$6)/12-130-20+51-49</f>
        <v>0.51666666666667993</v>
      </c>
      <c r="AJ323" s="47">
        <f t="shared" si="278"/>
        <v>148.51666666666668</v>
      </c>
      <c r="AK323" s="45">
        <f>('[2]Renewable Diesel'!J332*'[2]RD Feedstock Breakdown'!AK$3*'[2]Feedstock Conversion Rates'!B$4)/12</f>
        <v>95.8125</v>
      </c>
      <c r="AL323" s="47">
        <f t="shared" si="205"/>
        <v>95.8125</v>
      </c>
      <c r="AM323" s="45">
        <f>('[2]Renewable Diesel'!K332*'[2]RD Feedstock Breakdown'!AM$3*'[2]Feedstock Conversion Rates'!B$4)/12+5+15-10+10</f>
        <v>78.59375</v>
      </c>
      <c r="AN323" s="45">
        <f>('[2]Renewable Diesel'!K332*'[2]RD Feedstock Breakdown'!AN$3*'[2]Feedstock Conversion Rates'!B$6)/12-5-15+10-10</f>
        <v>4.4270833333333321</v>
      </c>
      <c r="AO323" s="47">
        <f t="shared" si="223"/>
        <v>83.020833333333329</v>
      </c>
      <c r="AP323" s="45">
        <f>('[2]Renewable Diesel'!L332*'[2]RD Feedstock Breakdown'!AP$3*'[2]Feedstock Conversion Rates'!B$4)/12+15-10+15</f>
        <v>78.59375</v>
      </c>
      <c r="AQ323" s="45">
        <f>('[2]Renewable Diesel'!L332*'[2]RD Feedstock Breakdown'!AQ$3*'[2]Feedstock Conversion Rates'!B$6)/12-15+10-15</f>
        <v>4.4270833333333321</v>
      </c>
      <c r="AR323" s="47">
        <f t="shared" si="207"/>
        <v>83.020833333333329</v>
      </c>
      <c r="AS323" s="45">
        <f>('[2]Renewable Diesel'!M332*'[2]RD Feedstock Breakdown'!AS$3*'[2]Feedstock Conversion Rates'!B$4)/12</f>
        <v>456.25</v>
      </c>
      <c r="AT323" s="45">
        <f>('[2]Renewable Diesel'!M332*'[2]RD Feedstock Breakdown'!AT$3*'[2]Feedstock Conversion Rates'!B$5)/12</f>
        <v>0</v>
      </c>
      <c r="AU323" s="47">
        <f t="shared" si="244"/>
        <v>456.25</v>
      </c>
      <c r="AV323" s="45">
        <f>'[2]Renewable Diesel'!N332*'[2]RD Feedstock Breakdown'!$AV$3*'[2]Feedstock Conversion Rates'!$B$4/12-15-10+25+25-22+25</f>
        <v>106.74999999999999</v>
      </c>
      <c r="AW323" s="45">
        <f>'[2]Renewable Diesel'!N332*'[2]RD Feedstock Breakdown'!$AW$3*'[2]Feedstock Conversion Rates'!$B$7/12+15+10-25-25+22-25</f>
        <v>13.400000000000006</v>
      </c>
      <c r="AX323" s="47">
        <f t="shared" si="272"/>
        <v>120.14999999999999</v>
      </c>
      <c r="AY323" s="45">
        <f>('[2]Renewable Diesel'!O332*'[2]RD Feedstock Breakdown'!AY$3*'[2]Feedstock Conversion Rates'!B$4)/12</f>
        <v>210.9375</v>
      </c>
      <c r="AZ323" s="45">
        <f>('[2]Renewable Diesel'!O332*'[2]RD Feedstock Breakdown'!AZ$3*'[2]Feedstock Conversion Rates'!B$3)/12</f>
        <v>25.03125</v>
      </c>
      <c r="BA323" s="47">
        <f t="shared" si="255"/>
        <v>235.96875</v>
      </c>
      <c r="BB323" s="45">
        <f>('[2]Renewable Diesel'!Q332*'[2]RD Feedstock Breakdown'!BB$3*'[2]Feedstock Conversion Rates'!B$4)/12</f>
        <v>11.156249999999998</v>
      </c>
      <c r="BC323" s="45">
        <f>('[2]Renewable Diesel'!Q332*'[2]RD Feedstock Breakdown'!BC$3*'[2]Feedstock Conversion Rates'!B$3)/12</f>
        <v>1.4017500000000001</v>
      </c>
      <c r="BD323" s="45">
        <f>('[2]Renewable Diesel'!Q332*'[2]RD Feedstock Breakdown'!BD$3*'[2]Feedstock Conversion Rates'!B$6)/12</f>
        <v>0.8207500000000002</v>
      </c>
      <c r="BE323" s="47">
        <f t="shared" si="231"/>
        <v>13.378749999999998</v>
      </c>
      <c r="BF323" s="45">
        <f>('[2]Renewable Diesel'!R332*'[2]RD Feedstock Breakdown'!BF$3*'[2]Feedstock Conversion Rates'!B$4)/12</f>
        <v>62.5</v>
      </c>
      <c r="BG323" s="47">
        <f t="shared" si="215"/>
        <v>62.5</v>
      </c>
      <c r="BH323" s="45">
        <f>('[2]Renewable Diesel'!T332*'[2]RD Feedstock Breakdown'!BH$3*'[2]Feedstock Conversion Rates'!B$7)/12</f>
        <v>27.599999999999998</v>
      </c>
      <c r="BI323" s="47">
        <f t="shared" si="277"/>
        <v>27.599999999999998</v>
      </c>
      <c r="BJ323" s="45">
        <f>('[2]Renewable Diesel'!W332*'[2]RD Feedstock Breakdown'!BJ$3*'[2]Feedstock Conversion Rates'!B$4)/12</f>
        <v>7.5</v>
      </c>
      <c r="BK323" s="45">
        <f>('[2]Renewable Diesel'!W332*'[2]RD Feedstock Breakdown'!BK$3*'[2]Feedstock Conversion Rates'!B$3)/12</f>
        <v>1.335</v>
      </c>
      <c r="BL323" s="45">
        <f>('[2]Renewable Diesel'!W332*'[2]RD Feedstock Breakdown'!BL$3*'[2]Feedstock Conversion Rates'!B$6)/12</f>
        <v>3.1266666666666669</v>
      </c>
      <c r="BM323" s="45">
        <f>('[2]Renewable Diesel'!W332*'[2]RD Feedstock Breakdown'!BM$3*'[2]Feedstock Conversion Rates'!B$7)/12</f>
        <v>1.5333333333333332</v>
      </c>
      <c r="BN323" s="47">
        <f t="shared" si="248"/>
        <v>13.495000000000001</v>
      </c>
      <c r="BO323" s="45">
        <f>('[2]Renewable Diesel'!P332*'[2]Feedstock Conversion Rates'!B$4)/12</f>
        <v>31.25</v>
      </c>
      <c r="BP323" s="47">
        <f t="shared" si="237"/>
        <v>31.25</v>
      </c>
      <c r="BQ323" s="45">
        <f>('[2]Renewable Diesel'!$S332*'[2]RD Feedstock Breakdown'!BQ$3*'[2]Feedstock Conversion Rates'!B$4)/12+10+15-15</f>
        <v>38.125</v>
      </c>
      <c r="BR323" s="45">
        <f>('[2]Renewable Diesel'!$S332*'[2]RD Feedstock Breakdown'!BR$3*'[2]Feedstock Conversion Rates'!B$7)/12-10-15+15</f>
        <v>1.5</v>
      </c>
      <c r="BS323" s="47">
        <f t="shared" si="260"/>
        <v>39.625</v>
      </c>
      <c r="BT323" s="47"/>
      <c r="BU323" s="45">
        <f>('[2]Renewable Diesel'!Y332*'[2]Feedstock Conversion Rates'!B$7)/12</f>
        <v>2.6833333333333331</v>
      </c>
      <c r="BV323" s="47">
        <f t="shared" si="233"/>
        <v>2.6833333333333331</v>
      </c>
      <c r="BW323" s="45">
        <f>('[2]Renewable Diesel'!$Z332*'[2]RD Feedstock Breakdown'!BW$3*'[2]Feedstock Conversion Rates'!$B$4)/12</f>
        <v>71.875</v>
      </c>
      <c r="BX323" s="45">
        <f>('[2]Renewable Diesel'!$Z332*'[2]RD Feedstock Breakdown'!BX$3*'[2]Feedstock Conversion Rates'!$B$5)/12</f>
        <v>7.2354166666666666</v>
      </c>
      <c r="BY323" s="45">
        <f>('[2]Renewable Diesel'!$Z332*'[2]RD Feedstock Breakdown'!BY$3*'[2]Feedstock Conversion Rates'!$B$7)/12</f>
        <v>61.716666666666661</v>
      </c>
      <c r="BZ323" s="45">
        <f>('[2]Renewable Diesel'!$Z332*'[2]RD Feedstock Breakdown'!BZ$3*'[2]Feedstock Conversion Rates'!$B$3)/12</f>
        <v>15.352499999999999</v>
      </c>
      <c r="CA323" s="47">
        <f t="shared" si="262"/>
        <v>156.17958333333331</v>
      </c>
      <c r="CB323" s="45">
        <f>('[2]Renewable Diesel'!AA332*'[2]Feedstock Conversion Rates'!B$4)/12</f>
        <v>191.25</v>
      </c>
      <c r="CC323" s="47">
        <f t="shared" si="250"/>
        <v>191.25</v>
      </c>
      <c r="CD323" s="45">
        <f>('[2]Renewable Diesel'!$AB332*'[2]RD Feedstock Breakdown'!CD$3*'[2]Feedstock Conversion Rates'!$B$6)/12-15-5</f>
        <v>12.830000000000005</v>
      </c>
      <c r="CE323" s="45">
        <f>('[2]Renewable Diesel'!$AB332*'[2]RD Feedstock Breakdown'!CE$3*'[2]Feedstock Conversion Rates'!$B$4)/12+15+5</f>
        <v>31.25</v>
      </c>
      <c r="CF323" s="47">
        <f t="shared" si="247"/>
        <v>44.080000000000005</v>
      </c>
      <c r="CG323" s="45">
        <f>('[2]Renewable Diesel'!AD332*'[2]Feedstock Conversion Rates'!B$4)/12</f>
        <v>112.5</v>
      </c>
      <c r="CH323" s="47">
        <f t="shared" si="230"/>
        <v>112.5</v>
      </c>
      <c r="CI323" s="45">
        <f>('[2]Renewable Diesel'!$AE332*'[2]RD Feedstock Breakdown'!CI$3*'[2]Feedstock Conversion Rates'!$B$5)/12</f>
        <v>0.34604166666666664</v>
      </c>
      <c r="CJ323" s="45">
        <f>('[2]Renewable Diesel'!$AE332*'[2]RD Feedstock Breakdown'!CJ$3*'[2]Feedstock Conversion Rates'!$B$4)/12</f>
        <v>0.34375</v>
      </c>
      <c r="CK323" s="47">
        <f t="shared" si="238"/>
        <v>0.68979166666666658</v>
      </c>
      <c r="CL323" s="45">
        <f>(((CL$3*'[2]Renewable Diesel'!$AF332)*'[2]Feedstock Conversion Rates'!$B$3)/12)</f>
        <v>91.78125</v>
      </c>
      <c r="CM323" s="45">
        <f>(((CM$3*'[2]Renewable Diesel'!$AF332)*'[2]Feedstock Conversion Rates'!$B$6)/12)</f>
        <v>53.739583333333336</v>
      </c>
      <c r="CN323" s="45">
        <f>(((CN$3*'[2]Renewable Diesel'!$AF332)*'[2]Feedstock Conversion Rates'!$B$4)/12)</f>
        <v>42.96875</v>
      </c>
      <c r="CO323" s="47">
        <f t="shared" si="232"/>
        <v>188.48958333333334</v>
      </c>
      <c r="CP323" s="45">
        <f>('[2]Renewable Diesel'!$AG332*'[2]RD Feedstock Breakdown'!CP$3*'[2]Feedstock Conversion Rates'!$B$3)/12</f>
        <v>6.0075000000000003</v>
      </c>
      <c r="CQ323" s="45">
        <f>('[2]Renewable Diesel'!$AG332*'[2]RD Feedstock Breakdown'!CQ$3*'[2]Feedstock Conversion Rates'!$B$6)/12</f>
        <v>3.5175000000000001</v>
      </c>
      <c r="CR323" s="45">
        <f>('[2]Renewable Diesel'!$AG332*'[2]RD Feedstock Breakdown'!CR$3*'[2]Feedstock Conversion Rates'!$B$4)/12</f>
        <v>2.8125</v>
      </c>
      <c r="CS323" s="47">
        <f t="shared" si="267"/>
        <v>12.3375</v>
      </c>
      <c r="CT323" s="45">
        <f>('[2]Renewable Diesel'!AI332*'[2]Feedstock Conversion Rates'!$B$4*'[2]RD Feedstock Breakdown'!$CT$3)/12</f>
        <v>29.375</v>
      </c>
      <c r="CU323" s="47">
        <f t="shared" si="234"/>
        <v>29.375</v>
      </c>
      <c r="CV323" s="45">
        <f>('[2]Renewable Diesel'!AN332*'[2]Feedstock Conversion Rates'!$B$3*'[2]RD Feedstock Breakdown'!$CV$3)/12</f>
        <v>0.50062499999999999</v>
      </c>
      <c r="CW323" s="47">
        <f t="shared" si="206"/>
        <v>0.50062499999999999</v>
      </c>
      <c r="CX323" s="45">
        <f>('[2]Renewable Diesel'!AO332*'[2]RD Feedstock Breakdown'!$CX$3*'[2]Feedstock Conversion Rates'!$B$3)/12</f>
        <v>6.3412499999999996</v>
      </c>
      <c r="CY323" s="45">
        <f>('[2]Renewable Diesel'!AO332*'[2]RD Feedstock Breakdown'!$CY$3*'[2]Feedstock Conversion Rates'!$B$6)/12</f>
        <v>7.4258333333333342</v>
      </c>
      <c r="CZ323" s="47">
        <f t="shared" si="268"/>
        <v>13.767083333333334</v>
      </c>
      <c r="DA323" s="45">
        <f>('[2]Renewable Diesel'!$AP332*'[2]RD Feedstock Breakdown'!DA$3*'[2]Feedstock Conversion Rates'!$B$3)/12</f>
        <v>6.3412499999999996</v>
      </c>
      <c r="DB323" s="45">
        <f>('[2]Renewable Diesel'!$AP332*'[2]RD Feedstock Breakdown'!DB$3*'[2]Feedstock Conversion Rates'!$B$8)/12</f>
        <v>7.421875</v>
      </c>
      <c r="DC323" s="47">
        <f t="shared" si="212"/>
        <v>13.763124999999999</v>
      </c>
      <c r="DD323" s="45">
        <f>('[2]Renewable Diesel'!AQ332*$DD$3*'[2]Feedstock Conversion Rates'!$B$14)/12</f>
        <v>3.1041666666666665</v>
      </c>
      <c r="DE323" s="47">
        <f t="shared" si="213"/>
        <v>3.1041666666666665</v>
      </c>
      <c r="DF323" s="45">
        <f>('[2]Renewable Diesel'!AR332*'[2]Feedstock Conversion Rates'!$B$4*$DF$3)/12</f>
        <v>75</v>
      </c>
      <c r="DG323" s="47">
        <f t="shared" si="269"/>
        <v>75</v>
      </c>
      <c r="DH323" s="45">
        <f>('[2]Renewable Diesel'!AS332*'[2]Feedstock Conversion Rates'!$B$4*$DH$3)/12</f>
        <v>75</v>
      </c>
      <c r="DI323" s="47">
        <f t="shared" si="273"/>
        <v>75</v>
      </c>
      <c r="DJ323" s="45">
        <f>('[2]Renewable Diesel'!AT332*'[2]Feedstock Conversion Rates'!$B$4*0.25)/12</f>
        <v>8.59375</v>
      </c>
      <c r="DK323" s="45">
        <f>('[2]Renewable Diesel'!$AT332*'[2]RD Feedstock Breakdown'!DK$3*'[2]Feedstock Conversion Rates'!$B$3)/12*0.5</f>
        <v>9.1781249999999996</v>
      </c>
      <c r="DL323" s="45">
        <f>('[2]Renewable Diesel'!$AT332*'[2]RD Feedstock Breakdown'!$DL$3*'[2]Feedstock Conversion Rates'!$B$6)/12</f>
        <v>10.747916666666669</v>
      </c>
      <c r="DM323" s="45">
        <f>('[2]Renewable Diesel'!$AT332*'[2]RD Feedstock Breakdown'!$DM$3*'[2]Feedstock Conversion Rates'!$B$8)/12</f>
        <v>10.7421875</v>
      </c>
      <c r="DN323" s="47">
        <f t="shared" si="249"/>
        <v>39.26197916666667</v>
      </c>
      <c r="DP323" s="45">
        <f t="shared" si="216"/>
        <v>48.220250000000007</v>
      </c>
      <c r="DQ323" s="45">
        <f t="shared" si="217"/>
        <v>439.11776750000001</v>
      </c>
      <c r="DR323" s="45">
        <f t="shared" si="224"/>
        <v>2009.453125</v>
      </c>
      <c r="DS323" s="45">
        <f t="shared" si="235"/>
        <v>228.90125</v>
      </c>
      <c r="DT323" s="45">
        <f t="shared" si="218"/>
        <v>225.53923333333341</v>
      </c>
      <c r="DU323" s="45">
        <f t="shared" si="219"/>
        <v>245.40610000000004</v>
      </c>
      <c r="DV323" s="45">
        <f t="shared" si="225"/>
        <v>78.75</v>
      </c>
      <c r="DW323" s="45">
        <f t="shared" si="220"/>
        <v>3</v>
      </c>
      <c r="DX323" s="47">
        <f t="shared" si="226"/>
        <v>3278.3877258333337</v>
      </c>
      <c r="DY323" s="50">
        <f t="shared" si="208"/>
        <v>-5.631051180898794E-13</v>
      </c>
      <c r="EA323" s="51">
        <f t="shared" si="263"/>
        <v>1.4708525663401481E-2</v>
      </c>
      <c r="EB323" s="51">
        <f t="shared" si="263"/>
        <v>0.13394320752234412</v>
      </c>
      <c r="EC323" s="51">
        <f t="shared" si="263"/>
        <v>0.61293943640824755</v>
      </c>
      <c r="ED323" s="51">
        <f t="shared" si="261"/>
        <v>6.9821286907672142E-2</v>
      </c>
      <c r="EE323" s="51">
        <f t="shared" si="261"/>
        <v>6.8795777740414635E-2</v>
      </c>
      <c r="EF323" s="51">
        <f t="shared" si="261"/>
        <v>7.4855728035530103E-2</v>
      </c>
      <c r="EG323" s="51">
        <f t="shared" si="261"/>
        <v>2.4020953769274662E-2</v>
      </c>
      <c r="EH323" s="52">
        <f t="shared" si="227"/>
        <v>9.1508395311522522E-4</v>
      </c>
      <c r="EI323" s="51">
        <f t="shared" si="271"/>
        <v>0.99908491604688487</v>
      </c>
      <c r="EK323" s="53">
        <f>(EA323*'[2]Renewable Diesel'!BF332*'[2]Feedstock Conversion Rates'!B$2)+FB323</f>
        <v>102.72190316864412</v>
      </c>
      <c r="EL323" s="53">
        <f>(EB323*'[2]Renewable Diesel'!BF332*'[2]Feedstock Conversion Rates'!B$3)+FC323</f>
        <v>881.51194099881025</v>
      </c>
      <c r="EM323" s="53">
        <f>(EC323*'[2]Renewable Diesel'!BF332*'[2]Feedstock Conversion Rates'!B$4)+FD323</f>
        <v>3777.059418132776</v>
      </c>
      <c r="EN323" s="53">
        <f>(ED323*'[2]Renewable Diesel'!BF332*'[2]Feedstock Conversion Rates'!B$5)+FE323</f>
        <v>433.12154707885054</v>
      </c>
      <c r="EO323" s="53">
        <f>(EE323*'[2]Renewable Diesel'!BF332*'[2]Feedstock Conversion Rates'!B$6)+FF323</f>
        <v>530.19986395490287</v>
      </c>
      <c r="EP323" s="53">
        <f>(EF323*'[2]Renewable Diesel'!BF332*'[2]Feedstock Conversion Rates'!B$7)+FG323</f>
        <v>565.83245591290267</v>
      </c>
      <c r="EQ323" s="53">
        <f>(EG323*'[2]Renewable Diesel'!BF332*'[2]Feedstock Conversion Rates'!B$8)+FH323</f>
        <v>185.0275987266163</v>
      </c>
      <c r="ER323" s="53">
        <f>(EH323*'[2]Renewable Diesel'!BF332*'[2]Feedstock Conversion Rates'!B$9)+FI323</f>
        <v>6.9546881553115467</v>
      </c>
      <c r="ES323" s="53">
        <f t="shared" si="228"/>
        <v>6482.4294161288135</v>
      </c>
      <c r="ET323" s="36">
        <f>ES323/'[2]Renewable Diesel'!BF332</f>
        <v>7.8897421108929011</v>
      </c>
    </row>
    <row r="324" spans="1:150" x14ac:dyDescent="0.25">
      <c r="A324" s="39">
        <v>50284</v>
      </c>
      <c r="B324" s="45">
        <f t="shared" si="274"/>
        <v>16.75</v>
      </c>
      <c r="C324" s="45">
        <f t="shared" si="251"/>
        <v>49</v>
      </c>
      <c r="D324" s="45">
        <f t="shared" si="275"/>
        <v>2</v>
      </c>
      <c r="E324" s="45">
        <f>('[2]Renewable Diesel'!B333*E$3*'[2]Feedstock Conversion Rates'!$B$2)/12+26+13-100+27.5+39</f>
        <v>95.43</v>
      </c>
      <c r="F324" s="45">
        <f>('[2]Renewable Diesel'!B333*'[2]RD Feedstock Breakdown'!F$3*'[2]Feedstock Conversion Rates'!B$8)/12+77+23-10-12-115.75+24+8</f>
        <v>48.15625</v>
      </c>
      <c r="G324" s="45">
        <f>('[2]Renewable Diesel'!B333*'[2]RD Feedstock Breakdown'!G$3*'[2]Feedstock Conversion Rates'!B$7)/12+116.75-39-57.5-145-31.5+32+70-40+10-17.5-5</f>
        <v>69.407000000000039</v>
      </c>
      <c r="H324" s="45">
        <f>('[2]Renewable Diesel'!B333*'[2]RD Feedstock Breakdown'!H$3*'[2]Feedstock Conversion Rates'!B$3)/12+67+10+12+3-235+20+47-20+135</f>
        <v>215.40022499999998</v>
      </c>
      <c r="I324" s="47">
        <f t="shared" si="245"/>
        <v>496.14347500000002</v>
      </c>
      <c r="J324" s="45">
        <f t="shared" si="276"/>
        <v>79</v>
      </c>
      <c r="K324" s="45"/>
      <c r="L324" s="45">
        <v>1</v>
      </c>
      <c r="M324" s="45">
        <f>('[2]Renewable Diesel'!C333*'[2]RD Feedstock Breakdown'!M$3*'[2]Feedstock Conversion Rates'!B$2)/12-55</f>
        <v>-47.20975</v>
      </c>
      <c r="N324" s="45">
        <f>('[2]Renewable Diesel'!C333*'[2]RD Feedstock Breakdown'!N$3*'[2]Feedstock Conversion Rates'!B$8)/12</f>
        <v>3.671875</v>
      </c>
      <c r="O324" s="45">
        <f>('[2]Renewable Diesel'!C333*'[2]RD Feedstock Breakdown'!O$3*'[2]Feedstock Conversion Rates'!B$7)/12-75</f>
        <v>-63.000900000000001</v>
      </c>
      <c r="P324" s="45">
        <f>('[2]Renewable Diesel'!C333*'[2]RD Feedstock Breakdown'!P$3*'[2]Feedstock Conversion Rates'!B$3)/12+15+35</f>
        <v>60.447042500000002</v>
      </c>
      <c r="Q324" s="47">
        <f t="shared" si="252"/>
        <v>33.908267500000001</v>
      </c>
      <c r="R324" s="45">
        <f>('[2]Renewable Diesel'!D333*'[2]RD Feedstock Breakdown'!R$3*'[2]Feedstock Conversion Rates'!B$7)/12</f>
        <v>2.2999999999999998</v>
      </c>
      <c r="S324" s="47">
        <f t="shared" si="279"/>
        <v>2.2999999999999998</v>
      </c>
      <c r="T324" s="45">
        <f t="shared" si="253"/>
        <v>0.82499999999999929</v>
      </c>
      <c r="U324" s="45"/>
      <c r="V324" s="45">
        <f>('[2]Renewable Diesel'!E333*'[2]RD Feedstock Breakdown'!V$3*'[2]Feedstock Conversion Rates'!B$6)/12-20+25</f>
        <v>49.250150000000012</v>
      </c>
      <c r="W324" s="45">
        <f>('[2]Renewable Diesel'!E333*'[2]RD Feedstock Breakdown'!W$3*'[2]Feedstock Conversion Rates'!B$8)/12-6</f>
        <v>16.1796875</v>
      </c>
      <c r="X324" s="47">
        <f t="shared" si="229"/>
        <v>66.254837500000008</v>
      </c>
      <c r="Y324" s="45">
        <f t="shared" si="254"/>
        <v>98</v>
      </c>
      <c r="Z324" s="45">
        <f>('[2]Renewable Diesel'!F333*'[2]RD Feedstock Breakdown'!Z$3*'[2]Feedstock Conversion Rates'!B$6)/12-142+15+5+20+2.5</f>
        <v>59.960000000000008</v>
      </c>
      <c r="AA324" s="45">
        <f>('[2]Renewable Diesel'!F333*'[2]RD Feedstock Breakdown'!AA$3*'[2]Feedstock Conversion Rates'!B$7)/12+24</f>
        <v>128.26666666666665</v>
      </c>
      <c r="AB324" s="47">
        <f t="shared" si="270"/>
        <v>286.22666666666669</v>
      </c>
      <c r="AC324" s="45">
        <f>('[2]Renewable Diesel'!G333*'[2]RD Feedstock Breakdown'!AC$3*'[2]Feedstock Conversion Rates'!B$5)/12</f>
        <v>11.796875</v>
      </c>
      <c r="AD324" s="45">
        <f>('[2]Renewable Diesel'!G333*'[2]RD Feedstock Breakdown'!AD$3*'[2]Feedstock Conversion Rates'!B$4)/12</f>
        <v>5.859375</v>
      </c>
      <c r="AE324" s="45">
        <f>('[2]Renewable Diesel'!G333*'[2]RD Feedstock Breakdown'!AE$3*'[2]Feedstock Conversion Rates'!B$6)/12</f>
        <v>7.3281250000000009</v>
      </c>
      <c r="AF324" s="47">
        <f t="shared" si="236"/>
        <v>24.984375</v>
      </c>
      <c r="AG324" s="45">
        <f t="shared" si="259"/>
        <v>148</v>
      </c>
      <c r="AH324" s="45"/>
      <c r="AI324" s="45">
        <f>('[2]Renewable Diesel'!H333*'[2]RD Feedstock Breakdown'!AI$3*'[2]Feedstock Conversion Rates'!B$6)/12-130-20+51-49</f>
        <v>0.51666666666667993</v>
      </c>
      <c r="AJ324" s="47">
        <f t="shared" si="278"/>
        <v>148.51666666666668</v>
      </c>
      <c r="AK324" s="45">
        <f>('[2]Renewable Diesel'!J333*'[2]RD Feedstock Breakdown'!AK$3*'[2]Feedstock Conversion Rates'!B$4)/12</f>
        <v>95.8125</v>
      </c>
      <c r="AL324" s="47">
        <f t="shared" ref="AL324:AL375" si="280">AK324</f>
        <v>95.8125</v>
      </c>
      <c r="AM324" s="45">
        <f>('[2]Renewable Diesel'!K333*'[2]RD Feedstock Breakdown'!AM$3*'[2]Feedstock Conversion Rates'!B$4)/12+5+15-10+10</f>
        <v>78.59375</v>
      </c>
      <c r="AN324" s="45">
        <f>('[2]Renewable Diesel'!K333*'[2]RD Feedstock Breakdown'!AN$3*'[2]Feedstock Conversion Rates'!B$6)/12-5-15+10-10</f>
        <v>4.4270833333333321</v>
      </c>
      <c r="AO324" s="47">
        <f t="shared" si="223"/>
        <v>83.020833333333329</v>
      </c>
      <c r="AP324" s="45">
        <f>('[2]Renewable Diesel'!L333*'[2]RD Feedstock Breakdown'!AP$3*'[2]Feedstock Conversion Rates'!B$4)/12+15-10+15</f>
        <v>78.59375</v>
      </c>
      <c r="AQ324" s="45">
        <f>('[2]Renewable Diesel'!L333*'[2]RD Feedstock Breakdown'!AQ$3*'[2]Feedstock Conversion Rates'!B$6)/12-15+10-15</f>
        <v>4.4270833333333321</v>
      </c>
      <c r="AR324" s="47">
        <f t="shared" si="207"/>
        <v>83.020833333333329</v>
      </c>
      <c r="AS324" s="45">
        <f>('[2]Renewable Diesel'!M333*'[2]RD Feedstock Breakdown'!AS$3*'[2]Feedstock Conversion Rates'!B$4)/12</f>
        <v>456.25</v>
      </c>
      <c r="AT324" s="45">
        <f>('[2]Renewable Diesel'!M333*'[2]RD Feedstock Breakdown'!AT$3*'[2]Feedstock Conversion Rates'!B$5)/12</f>
        <v>0</v>
      </c>
      <c r="AU324" s="47">
        <f t="shared" si="244"/>
        <v>456.25</v>
      </c>
      <c r="AV324" s="45">
        <f>'[2]Renewable Diesel'!N333*'[2]RD Feedstock Breakdown'!$AV$3*'[2]Feedstock Conversion Rates'!$B$4/12-15-10+25+25-22+25</f>
        <v>106.74999999999999</v>
      </c>
      <c r="AW324" s="45">
        <f>'[2]Renewable Diesel'!N333*'[2]RD Feedstock Breakdown'!$AW$3*'[2]Feedstock Conversion Rates'!$B$7/12+15+10-25-25+22-25</f>
        <v>13.400000000000006</v>
      </c>
      <c r="AX324" s="47">
        <f t="shared" si="272"/>
        <v>120.14999999999999</v>
      </c>
      <c r="AY324" s="45">
        <f>('[2]Renewable Diesel'!O333*'[2]RD Feedstock Breakdown'!AY$3*'[2]Feedstock Conversion Rates'!B$4)/12</f>
        <v>210.9375</v>
      </c>
      <c r="AZ324" s="45">
        <f>('[2]Renewable Diesel'!O333*'[2]RD Feedstock Breakdown'!AZ$3*'[2]Feedstock Conversion Rates'!B$3)/12</f>
        <v>25.03125</v>
      </c>
      <c r="BA324" s="47">
        <f t="shared" si="255"/>
        <v>235.96875</v>
      </c>
      <c r="BB324" s="45">
        <f>('[2]Renewable Diesel'!Q333*'[2]RD Feedstock Breakdown'!BB$3*'[2]Feedstock Conversion Rates'!B$4)/12</f>
        <v>11.156249999999998</v>
      </c>
      <c r="BC324" s="45">
        <f>('[2]Renewable Diesel'!Q333*'[2]RD Feedstock Breakdown'!BC$3*'[2]Feedstock Conversion Rates'!B$3)/12</f>
        <v>1.4017500000000001</v>
      </c>
      <c r="BD324" s="45">
        <f>('[2]Renewable Diesel'!Q333*'[2]RD Feedstock Breakdown'!BD$3*'[2]Feedstock Conversion Rates'!B$6)/12</f>
        <v>0.8207500000000002</v>
      </c>
      <c r="BE324" s="47">
        <f t="shared" si="231"/>
        <v>13.378749999999998</v>
      </c>
      <c r="BF324" s="45">
        <f>('[2]Renewable Diesel'!R333*'[2]RD Feedstock Breakdown'!BF$3*'[2]Feedstock Conversion Rates'!B$4)/12</f>
        <v>62.5</v>
      </c>
      <c r="BG324" s="47">
        <f t="shared" si="215"/>
        <v>62.5</v>
      </c>
      <c r="BH324" s="45">
        <f>('[2]Renewable Diesel'!T333*'[2]RD Feedstock Breakdown'!BH$3*'[2]Feedstock Conversion Rates'!B$7)/12</f>
        <v>27.599999999999998</v>
      </c>
      <c r="BI324" s="47">
        <f t="shared" si="277"/>
        <v>27.599999999999998</v>
      </c>
      <c r="BJ324" s="45">
        <f>('[2]Renewable Diesel'!W333*'[2]RD Feedstock Breakdown'!BJ$3*'[2]Feedstock Conversion Rates'!B$4)/12</f>
        <v>7.5</v>
      </c>
      <c r="BK324" s="45">
        <f>('[2]Renewable Diesel'!W333*'[2]RD Feedstock Breakdown'!BK$3*'[2]Feedstock Conversion Rates'!B$3)/12</f>
        <v>1.335</v>
      </c>
      <c r="BL324" s="45">
        <f>('[2]Renewable Diesel'!W333*'[2]RD Feedstock Breakdown'!BL$3*'[2]Feedstock Conversion Rates'!B$6)/12</f>
        <v>3.1266666666666669</v>
      </c>
      <c r="BM324" s="45">
        <f>('[2]Renewable Diesel'!W333*'[2]RD Feedstock Breakdown'!BM$3*'[2]Feedstock Conversion Rates'!B$7)/12</f>
        <v>1.5333333333333332</v>
      </c>
      <c r="BN324" s="47">
        <f t="shared" si="248"/>
        <v>13.495000000000001</v>
      </c>
      <c r="BO324" s="45">
        <f>('[2]Renewable Diesel'!P333*'[2]Feedstock Conversion Rates'!B$4)/12</f>
        <v>31.25</v>
      </c>
      <c r="BP324" s="47">
        <f t="shared" si="237"/>
        <v>31.25</v>
      </c>
      <c r="BQ324" s="45">
        <f>('[2]Renewable Diesel'!$S333*'[2]RD Feedstock Breakdown'!BQ$3*'[2]Feedstock Conversion Rates'!B$4)/12+10+15-15</f>
        <v>38.125</v>
      </c>
      <c r="BR324" s="45">
        <f>('[2]Renewable Diesel'!$S333*'[2]RD Feedstock Breakdown'!BR$3*'[2]Feedstock Conversion Rates'!B$7)/12-10-15+15</f>
        <v>1.5</v>
      </c>
      <c r="BS324" s="47">
        <f t="shared" si="260"/>
        <v>39.625</v>
      </c>
      <c r="BT324" s="47"/>
      <c r="BU324" s="45">
        <f>('[2]Renewable Diesel'!Y333*'[2]Feedstock Conversion Rates'!B$7)/12</f>
        <v>2.6833333333333331</v>
      </c>
      <c r="BV324" s="47">
        <f t="shared" si="233"/>
        <v>2.6833333333333331</v>
      </c>
      <c r="BW324" s="45">
        <f>('[2]Renewable Diesel'!$Z333*'[2]RD Feedstock Breakdown'!BW$3*'[2]Feedstock Conversion Rates'!$B$4)/12</f>
        <v>71.875</v>
      </c>
      <c r="BX324" s="45">
        <f>('[2]Renewable Diesel'!$Z333*'[2]RD Feedstock Breakdown'!BX$3*'[2]Feedstock Conversion Rates'!$B$5)/12</f>
        <v>7.2354166666666666</v>
      </c>
      <c r="BY324" s="45">
        <f>('[2]Renewable Diesel'!$Z333*'[2]RD Feedstock Breakdown'!BY$3*'[2]Feedstock Conversion Rates'!$B$7)/12</f>
        <v>61.716666666666661</v>
      </c>
      <c r="BZ324" s="45">
        <f>('[2]Renewable Diesel'!$Z333*'[2]RD Feedstock Breakdown'!BZ$3*'[2]Feedstock Conversion Rates'!$B$3)/12</f>
        <v>15.352499999999999</v>
      </c>
      <c r="CA324" s="47">
        <f t="shared" si="262"/>
        <v>156.17958333333331</v>
      </c>
      <c r="CB324" s="45">
        <f>('[2]Renewable Diesel'!AA333*'[2]Feedstock Conversion Rates'!B$4)/12</f>
        <v>191.25</v>
      </c>
      <c r="CC324" s="47">
        <f t="shared" si="250"/>
        <v>191.25</v>
      </c>
      <c r="CD324" s="45">
        <f>('[2]Renewable Diesel'!$AB333*'[2]RD Feedstock Breakdown'!CD$3*'[2]Feedstock Conversion Rates'!$B$6)/12-15-5</f>
        <v>12.830000000000005</v>
      </c>
      <c r="CE324" s="45">
        <f>('[2]Renewable Diesel'!$AB333*'[2]RD Feedstock Breakdown'!CE$3*'[2]Feedstock Conversion Rates'!$B$4)/12+15+5</f>
        <v>31.25</v>
      </c>
      <c r="CF324" s="47">
        <f t="shared" si="247"/>
        <v>44.080000000000005</v>
      </c>
      <c r="CG324" s="45">
        <f>('[2]Renewable Diesel'!AD333*'[2]Feedstock Conversion Rates'!B$4)/12</f>
        <v>112.5</v>
      </c>
      <c r="CH324" s="47">
        <f t="shared" si="230"/>
        <v>112.5</v>
      </c>
      <c r="CI324" s="45">
        <f>('[2]Renewable Diesel'!$AE333*'[2]RD Feedstock Breakdown'!CI$3*'[2]Feedstock Conversion Rates'!$B$5)/12</f>
        <v>0.34604166666666664</v>
      </c>
      <c r="CJ324" s="45">
        <f>('[2]Renewable Diesel'!$AE333*'[2]RD Feedstock Breakdown'!CJ$3*'[2]Feedstock Conversion Rates'!$B$4)/12</f>
        <v>0.34375</v>
      </c>
      <c r="CK324" s="47">
        <f t="shared" si="238"/>
        <v>0.68979166666666658</v>
      </c>
      <c r="CL324" s="45">
        <f>(((CL$3*'[2]Renewable Diesel'!$AF333)*'[2]Feedstock Conversion Rates'!$B$3)/12)</f>
        <v>91.78125</v>
      </c>
      <c r="CM324" s="45">
        <f>(((CM$3*'[2]Renewable Diesel'!$AF333)*'[2]Feedstock Conversion Rates'!$B$6)/12)</f>
        <v>53.739583333333336</v>
      </c>
      <c r="CN324" s="45">
        <f>(((CN$3*'[2]Renewable Diesel'!$AF333)*'[2]Feedstock Conversion Rates'!$B$4)/12)</f>
        <v>42.96875</v>
      </c>
      <c r="CO324" s="47">
        <f t="shared" si="232"/>
        <v>188.48958333333334</v>
      </c>
      <c r="CP324" s="45">
        <f>('[2]Renewable Diesel'!$AG333*'[2]RD Feedstock Breakdown'!CP$3*'[2]Feedstock Conversion Rates'!$B$3)/12</f>
        <v>6.0075000000000003</v>
      </c>
      <c r="CQ324" s="45">
        <f>('[2]Renewable Diesel'!$AG333*'[2]RD Feedstock Breakdown'!CQ$3*'[2]Feedstock Conversion Rates'!$B$6)/12</f>
        <v>3.5175000000000001</v>
      </c>
      <c r="CR324" s="45">
        <f>('[2]Renewable Diesel'!$AG333*'[2]RD Feedstock Breakdown'!CR$3*'[2]Feedstock Conversion Rates'!$B$4)/12</f>
        <v>2.8125</v>
      </c>
      <c r="CS324" s="47">
        <f t="shared" si="267"/>
        <v>12.3375</v>
      </c>
      <c r="CT324" s="45">
        <f>('[2]Renewable Diesel'!AI333*'[2]Feedstock Conversion Rates'!$B$4*'[2]RD Feedstock Breakdown'!$CT$3)/12</f>
        <v>29.375</v>
      </c>
      <c r="CU324" s="47">
        <f t="shared" si="234"/>
        <v>29.375</v>
      </c>
      <c r="CV324" s="45">
        <f>('[2]Renewable Diesel'!AN333*'[2]Feedstock Conversion Rates'!$B$3*'[2]RD Feedstock Breakdown'!$CV$3)/12</f>
        <v>0.50062499999999999</v>
      </c>
      <c r="CW324" s="47">
        <f t="shared" si="206"/>
        <v>0.50062499999999999</v>
      </c>
      <c r="CX324" s="45">
        <f>('[2]Renewable Diesel'!AO333*'[2]RD Feedstock Breakdown'!$CX$3*'[2]Feedstock Conversion Rates'!$B$3)/12</f>
        <v>6.3412499999999996</v>
      </c>
      <c r="CY324" s="45">
        <f>('[2]Renewable Diesel'!AO333*'[2]RD Feedstock Breakdown'!$CY$3*'[2]Feedstock Conversion Rates'!$B$6)/12</f>
        <v>7.4258333333333342</v>
      </c>
      <c r="CZ324" s="47">
        <f t="shared" si="268"/>
        <v>13.767083333333334</v>
      </c>
      <c r="DA324" s="45">
        <f>('[2]Renewable Diesel'!$AP333*'[2]RD Feedstock Breakdown'!DA$3*'[2]Feedstock Conversion Rates'!$B$3)/12</f>
        <v>6.3412499999999996</v>
      </c>
      <c r="DB324" s="45">
        <f>('[2]Renewable Diesel'!$AP333*'[2]RD Feedstock Breakdown'!DB$3*'[2]Feedstock Conversion Rates'!$B$8)/12</f>
        <v>7.421875</v>
      </c>
      <c r="DC324" s="47">
        <f t="shared" si="212"/>
        <v>13.763124999999999</v>
      </c>
      <c r="DD324" s="45">
        <f>('[2]Renewable Diesel'!AQ333*$DD$3*'[2]Feedstock Conversion Rates'!$B$14)/12</f>
        <v>3.1041666666666665</v>
      </c>
      <c r="DE324" s="47">
        <f t="shared" si="213"/>
        <v>3.1041666666666665</v>
      </c>
      <c r="DF324" s="45">
        <f>('[2]Renewable Diesel'!AR333*'[2]Feedstock Conversion Rates'!$B$4*$DF$3)/12</f>
        <v>75</v>
      </c>
      <c r="DG324" s="47">
        <f t="shared" si="269"/>
        <v>75</v>
      </c>
      <c r="DH324" s="45">
        <f>('[2]Renewable Diesel'!AS333*'[2]Feedstock Conversion Rates'!$B$4*$DH$3)/12</f>
        <v>75</v>
      </c>
      <c r="DI324" s="47">
        <f t="shared" si="273"/>
        <v>75</v>
      </c>
      <c r="DJ324" s="45">
        <f>('[2]Renewable Diesel'!AT333*'[2]Feedstock Conversion Rates'!$B$4*0.25)/12</f>
        <v>8.59375</v>
      </c>
      <c r="DK324" s="45">
        <f>('[2]Renewable Diesel'!$AT333*'[2]RD Feedstock Breakdown'!DK$3*'[2]Feedstock Conversion Rates'!$B$3)/12*0.5</f>
        <v>9.1781249999999996</v>
      </c>
      <c r="DL324" s="45">
        <f>('[2]Renewable Diesel'!$AT333*'[2]RD Feedstock Breakdown'!$DL$3*'[2]Feedstock Conversion Rates'!$B$6)/12</f>
        <v>10.747916666666669</v>
      </c>
      <c r="DM324" s="45">
        <f>('[2]Renewable Diesel'!$AT333*'[2]RD Feedstock Breakdown'!$DM$3*'[2]Feedstock Conversion Rates'!$B$8)/12</f>
        <v>10.7421875</v>
      </c>
      <c r="DN324" s="47">
        <f t="shared" si="249"/>
        <v>39.26197916666667</v>
      </c>
      <c r="DP324" s="45">
        <f t="shared" si="216"/>
        <v>48.220250000000007</v>
      </c>
      <c r="DQ324" s="45">
        <f t="shared" si="217"/>
        <v>439.11776750000001</v>
      </c>
      <c r="DR324" s="45">
        <f t="shared" si="224"/>
        <v>2009.453125</v>
      </c>
      <c r="DS324" s="45">
        <f t="shared" si="235"/>
        <v>228.90125</v>
      </c>
      <c r="DT324" s="45">
        <f t="shared" si="218"/>
        <v>225.53923333333341</v>
      </c>
      <c r="DU324" s="45">
        <f t="shared" si="219"/>
        <v>245.40610000000004</v>
      </c>
      <c r="DV324" s="45">
        <f t="shared" si="225"/>
        <v>78.75</v>
      </c>
      <c r="DW324" s="45">
        <f t="shared" si="220"/>
        <v>3</v>
      </c>
      <c r="DX324" s="47">
        <f t="shared" si="226"/>
        <v>3278.3877258333337</v>
      </c>
      <c r="DY324" s="50">
        <f t="shared" si="208"/>
        <v>-5.631051180898794E-13</v>
      </c>
      <c r="EA324" s="51">
        <f t="shared" si="263"/>
        <v>1.4708525663401481E-2</v>
      </c>
      <c r="EB324" s="51">
        <f t="shared" si="263"/>
        <v>0.13394320752234412</v>
      </c>
      <c r="EC324" s="51">
        <f t="shared" si="263"/>
        <v>0.61293943640824755</v>
      </c>
      <c r="ED324" s="51">
        <f t="shared" si="261"/>
        <v>6.9821286907672142E-2</v>
      </c>
      <c r="EE324" s="51">
        <f t="shared" si="261"/>
        <v>6.8795777740414635E-2</v>
      </c>
      <c r="EF324" s="51">
        <f t="shared" si="261"/>
        <v>7.4855728035530103E-2</v>
      </c>
      <c r="EG324" s="51">
        <f t="shared" si="261"/>
        <v>2.4020953769274662E-2</v>
      </c>
      <c r="EH324" s="52">
        <f t="shared" si="227"/>
        <v>9.1508395311522522E-4</v>
      </c>
      <c r="EI324" s="51">
        <f t="shared" si="271"/>
        <v>0.99908491604688487</v>
      </c>
      <c r="EK324" s="53">
        <f>(EA324*'[2]Renewable Diesel'!BF333*'[2]Feedstock Conversion Rates'!B$2)+FB324</f>
        <v>115.06131249887484</v>
      </c>
      <c r="EL324" s="53">
        <f>(EB324*'[2]Renewable Diesel'!BF333*'[2]Feedstock Conversion Rates'!B$3)+FC324</f>
        <v>987.40305412988823</v>
      </c>
      <c r="EM324" s="53">
        <f>(EC324*'[2]Renewable Diesel'!BF333*'[2]Feedstock Conversion Rates'!B$4)+FD324</f>
        <v>4230.7765007342023</v>
      </c>
      <c r="EN324" s="53">
        <f>(ED324*'[2]Renewable Diesel'!BF333*'[2]Feedstock Conversion Rates'!B$5)+FE324</f>
        <v>485.15002293734824</v>
      </c>
      <c r="EO324" s="53">
        <f>(EE324*'[2]Renewable Diesel'!BF333*'[2]Feedstock Conversion Rates'!B$6)+FF324</f>
        <v>593.88981659753699</v>
      </c>
      <c r="EP324" s="53">
        <f>(EF324*'[2]Renewable Diesel'!BF333*'[2]Feedstock Conversion Rates'!B$7)+FG324</f>
        <v>633.80275309846252</v>
      </c>
      <c r="EQ324" s="53">
        <f>(EG324*'[2]Renewable Diesel'!BF333*'[2]Feedstock Conversion Rates'!B$8)+FH324</f>
        <v>207.25393223144886</v>
      </c>
      <c r="ER324" s="53">
        <f>(EH324*'[2]Renewable Diesel'!BF333*'[2]Feedstock Conversion Rates'!B$9)+FI324</f>
        <v>7.7901160559376326</v>
      </c>
      <c r="ES324" s="53">
        <f t="shared" si="228"/>
        <v>7261.1275082837001</v>
      </c>
      <c r="ET324" s="36">
        <f>ES324/'[2]Renewable Diesel'!BF333</f>
        <v>7.8897421108929029</v>
      </c>
    </row>
    <row r="325" spans="1:150" x14ac:dyDescent="0.25">
      <c r="A325" s="39">
        <v>50314</v>
      </c>
      <c r="B325" s="45">
        <f>115.75+145+100+235+31.5-21-287-20-28-32-70-39-47+40+20-3-10-2.5-125-1</f>
        <v>1.75</v>
      </c>
      <c r="C325" s="45">
        <f t="shared" si="251"/>
        <v>49</v>
      </c>
      <c r="D325" s="45">
        <f>1+1</f>
        <v>2</v>
      </c>
      <c r="E325" s="45">
        <f>('[2]Renewable Diesel'!B334*E$3*'[2]Feedstock Conversion Rates'!$B$2)/12+26+13-100+27.5+39</f>
        <v>95.43</v>
      </c>
      <c r="F325" s="45">
        <f>('[2]Renewable Diesel'!B334*'[2]RD Feedstock Breakdown'!F$3*'[2]Feedstock Conversion Rates'!B$8)/12+77+23-10-12-115.75+24+8</f>
        <v>48.15625</v>
      </c>
      <c r="G325" s="45">
        <f>('[2]Renewable Diesel'!B334*'[2]RD Feedstock Breakdown'!G$3*'[2]Feedstock Conversion Rates'!B$7)/12+116.75-39-57.5-145-31.5+32+70-40+10+2.5</f>
        <v>94.407000000000039</v>
      </c>
      <c r="H325" s="45">
        <f>('[2]Renewable Diesel'!B334*'[2]RD Feedstock Breakdown'!H$3*'[2]Feedstock Conversion Rates'!B$3)/12+67+10+12+3-235+20+47-20+125</f>
        <v>205.40022499999998</v>
      </c>
      <c r="I325" s="47">
        <f t="shared" si="245"/>
        <v>496.14347500000002</v>
      </c>
      <c r="J325" s="45">
        <f t="shared" ref="J325:J375" si="281">54-15-35</f>
        <v>4</v>
      </c>
      <c r="K325" s="45"/>
      <c r="L325" s="45">
        <v>1</v>
      </c>
      <c r="M325" s="45">
        <f>('[2]Renewable Diesel'!C334*'[2]RD Feedstock Breakdown'!M$3*'[2]Feedstock Conversion Rates'!B$2)/12-55</f>
        <v>-47.20975</v>
      </c>
      <c r="N325" s="45">
        <f>('[2]Renewable Diesel'!C334*'[2]RD Feedstock Breakdown'!N$3*'[2]Feedstock Conversion Rates'!B$8)/12</f>
        <v>3.671875</v>
      </c>
      <c r="O325" s="45">
        <f>('[2]Renewable Diesel'!C334*'[2]RD Feedstock Breakdown'!O$3*'[2]Feedstock Conversion Rates'!B$7)/12</f>
        <v>11.9991</v>
      </c>
      <c r="P325" s="45">
        <f>('[2]Renewable Diesel'!C334*'[2]RD Feedstock Breakdown'!P$3*'[2]Feedstock Conversion Rates'!B$3)/12+15+35</f>
        <v>60.447042500000002</v>
      </c>
      <c r="Q325" s="47">
        <f t="shared" si="252"/>
        <v>33.908267500000001</v>
      </c>
      <c r="R325" s="45">
        <f>('[2]Renewable Diesel'!D334*'[2]RD Feedstock Breakdown'!R$3*'[2]Feedstock Conversion Rates'!B$7)/12</f>
        <v>2.2999999999999998</v>
      </c>
      <c r="S325" s="47">
        <f t="shared" si="279"/>
        <v>2.2999999999999998</v>
      </c>
      <c r="T325" s="45">
        <f t="shared" si="253"/>
        <v>0.82499999999999929</v>
      </c>
      <c r="U325" s="45"/>
      <c r="V325" s="45">
        <f>('[2]Renewable Diesel'!E334*'[2]RD Feedstock Breakdown'!V$3*'[2]Feedstock Conversion Rates'!B$6)/12-20+25</f>
        <v>49.250150000000012</v>
      </c>
      <c r="W325" s="45">
        <f>('[2]Renewable Diesel'!E334*'[2]RD Feedstock Breakdown'!W$3*'[2]Feedstock Conversion Rates'!B$8)/12-6</f>
        <v>16.1796875</v>
      </c>
      <c r="X325" s="47">
        <f t="shared" si="229"/>
        <v>66.254837500000008</v>
      </c>
      <c r="Y325" s="45">
        <f t="shared" si="254"/>
        <v>98</v>
      </c>
      <c r="Z325" s="45">
        <f>('[2]Renewable Diesel'!F334*'[2]RD Feedstock Breakdown'!Z$3*'[2]Feedstock Conversion Rates'!B$6)/12-142+15+5+20+2.5</f>
        <v>59.960000000000008</v>
      </c>
      <c r="AA325" s="45">
        <f>('[2]Renewable Diesel'!F334*'[2]RD Feedstock Breakdown'!AA$3*'[2]Feedstock Conversion Rates'!B$7)/12+24</f>
        <v>128.26666666666665</v>
      </c>
      <c r="AB325" s="47">
        <f t="shared" si="270"/>
        <v>286.22666666666669</v>
      </c>
      <c r="AC325" s="45">
        <f>('[2]Renewable Diesel'!G334*'[2]RD Feedstock Breakdown'!AC$3*'[2]Feedstock Conversion Rates'!B$5)/12</f>
        <v>11.796875</v>
      </c>
      <c r="AD325" s="45">
        <f>('[2]Renewable Diesel'!G334*'[2]RD Feedstock Breakdown'!AD$3*'[2]Feedstock Conversion Rates'!B$4)/12</f>
        <v>5.859375</v>
      </c>
      <c r="AE325" s="45">
        <f>('[2]Renewable Diesel'!G334*'[2]RD Feedstock Breakdown'!AE$3*'[2]Feedstock Conversion Rates'!B$6)/12</f>
        <v>7.3281250000000009</v>
      </c>
      <c r="AF325" s="47">
        <f t="shared" si="236"/>
        <v>24.984375</v>
      </c>
      <c r="AG325" s="45">
        <f t="shared" si="259"/>
        <v>148</v>
      </c>
      <c r="AH325" s="45"/>
      <c r="AI325" s="45">
        <f>('[2]Renewable Diesel'!H334*'[2]RD Feedstock Breakdown'!AI$3*'[2]Feedstock Conversion Rates'!B$6)/12-130-20+51-49</f>
        <v>0.51666666666667993</v>
      </c>
      <c r="AJ325" s="47">
        <f t="shared" si="278"/>
        <v>148.51666666666668</v>
      </c>
      <c r="AK325" s="45">
        <f>('[2]Renewable Diesel'!J334*'[2]RD Feedstock Breakdown'!AK$3*'[2]Feedstock Conversion Rates'!B$4)/12</f>
        <v>95.8125</v>
      </c>
      <c r="AL325" s="47">
        <f t="shared" si="280"/>
        <v>95.8125</v>
      </c>
      <c r="AM325" s="45">
        <f>('[2]Renewable Diesel'!K334*'[2]RD Feedstock Breakdown'!AM$3*'[2]Feedstock Conversion Rates'!B$4)/12+5+15-10+10</f>
        <v>78.59375</v>
      </c>
      <c r="AN325" s="45">
        <f>('[2]Renewable Diesel'!K334*'[2]RD Feedstock Breakdown'!AN$3*'[2]Feedstock Conversion Rates'!B$6)/12-5-15+10-10</f>
        <v>4.4270833333333321</v>
      </c>
      <c r="AO325" s="47">
        <f t="shared" si="223"/>
        <v>83.020833333333329</v>
      </c>
      <c r="AP325" s="45">
        <f>('[2]Renewable Diesel'!L334*'[2]RD Feedstock Breakdown'!AP$3*'[2]Feedstock Conversion Rates'!B$4)/12+15-10+15</f>
        <v>78.59375</v>
      </c>
      <c r="AQ325" s="45">
        <f>('[2]Renewable Diesel'!L334*'[2]RD Feedstock Breakdown'!AQ$3*'[2]Feedstock Conversion Rates'!B$6)/12-15+10-15</f>
        <v>4.4270833333333321</v>
      </c>
      <c r="AR325" s="47">
        <f t="shared" si="207"/>
        <v>83.020833333333329</v>
      </c>
      <c r="AS325" s="45">
        <f>('[2]Renewable Diesel'!M334*'[2]RD Feedstock Breakdown'!AS$3*'[2]Feedstock Conversion Rates'!B$4)/12</f>
        <v>456.25</v>
      </c>
      <c r="AT325" s="45">
        <f>('[2]Renewable Diesel'!M334*'[2]RD Feedstock Breakdown'!AT$3*'[2]Feedstock Conversion Rates'!B$5)/12</f>
        <v>0</v>
      </c>
      <c r="AU325" s="47">
        <f t="shared" si="244"/>
        <v>456.25</v>
      </c>
      <c r="AV325" s="45">
        <f>'[2]Renewable Diesel'!N334*'[2]RD Feedstock Breakdown'!$AV$3*'[2]Feedstock Conversion Rates'!$B$4/12-15-10+25+25-22+25</f>
        <v>106.74999999999999</v>
      </c>
      <c r="AW325" s="45">
        <f>'[2]Renewable Diesel'!N334*'[2]RD Feedstock Breakdown'!$AW$3*'[2]Feedstock Conversion Rates'!$B$7/12+15+10-25-25+22-25</f>
        <v>13.400000000000006</v>
      </c>
      <c r="AX325" s="47">
        <f t="shared" si="272"/>
        <v>120.14999999999999</v>
      </c>
      <c r="AY325" s="45">
        <f>('[2]Renewable Diesel'!O334*'[2]RD Feedstock Breakdown'!AY$3*'[2]Feedstock Conversion Rates'!B$4)/12</f>
        <v>210.9375</v>
      </c>
      <c r="AZ325" s="45">
        <f>('[2]Renewable Diesel'!O334*'[2]RD Feedstock Breakdown'!AZ$3*'[2]Feedstock Conversion Rates'!B$3)/12</f>
        <v>25.03125</v>
      </c>
      <c r="BA325" s="47">
        <f t="shared" si="255"/>
        <v>235.96875</v>
      </c>
      <c r="BB325" s="45">
        <f>('[2]Renewable Diesel'!Q334*'[2]RD Feedstock Breakdown'!BB$3*'[2]Feedstock Conversion Rates'!B$4)/12</f>
        <v>11.156249999999998</v>
      </c>
      <c r="BC325" s="45">
        <f>('[2]Renewable Diesel'!Q334*'[2]RD Feedstock Breakdown'!BC$3*'[2]Feedstock Conversion Rates'!B$3)/12</f>
        <v>1.4017500000000001</v>
      </c>
      <c r="BD325" s="45">
        <f>('[2]Renewable Diesel'!Q334*'[2]RD Feedstock Breakdown'!BD$3*'[2]Feedstock Conversion Rates'!B$6)/12</f>
        <v>0.8207500000000002</v>
      </c>
      <c r="BE325" s="47">
        <f t="shared" si="231"/>
        <v>13.378749999999998</v>
      </c>
      <c r="BF325" s="45">
        <f>('[2]Renewable Diesel'!R334*'[2]RD Feedstock Breakdown'!BF$3*'[2]Feedstock Conversion Rates'!B$4)/12</f>
        <v>62.5</v>
      </c>
      <c r="BG325" s="47">
        <f t="shared" si="215"/>
        <v>62.5</v>
      </c>
      <c r="BH325" s="45">
        <f>('[2]Renewable Diesel'!T334*'[2]RD Feedstock Breakdown'!BH$3*'[2]Feedstock Conversion Rates'!B$7)/12</f>
        <v>27.599999999999998</v>
      </c>
      <c r="BI325" s="47">
        <f t="shared" si="277"/>
        <v>27.599999999999998</v>
      </c>
      <c r="BJ325" s="45">
        <f>('[2]Renewable Diesel'!W334*'[2]RD Feedstock Breakdown'!BJ$3*'[2]Feedstock Conversion Rates'!B$4)/12</f>
        <v>7.5</v>
      </c>
      <c r="BK325" s="45">
        <f>('[2]Renewable Diesel'!W334*'[2]RD Feedstock Breakdown'!BK$3*'[2]Feedstock Conversion Rates'!B$3)/12</f>
        <v>1.335</v>
      </c>
      <c r="BL325" s="45">
        <f>('[2]Renewable Diesel'!W334*'[2]RD Feedstock Breakdown'!BL$3*'[2]Feedstock Conversion Rates'!B$6)/12</f>
        <v>3.1266666666666669</v>
      </c>
      <c r="BM325" s="45">
        <f>('[2]Renewable Diesel'!W334*'[2]RD Feedstock Breakdown'!BM$3*'[2]Feedstock Conversion Rates'!B$7)/12</f>
        <v>1.5333333333333332</v>
      </c>
      <c r="BN325" s="47">
        <f t="shared" si="248"/>
        <v>13.495000000000001</v>
      </c>
      <c r="BO325" s="45">
        <f>('[2]Renewable Diesel'!P334*'[2]Feedstock Conversion Rates'!B$4)/12</f>
        <v>31.25</v>
      </c>
      <c r="BP325" s="47">
        <f t="shared" si="237"/>
        <v>31.25</v>
      </c>
      <c r="BQ325" s="45">
        <f>('[2]Renewable Diesel'!$S334*'[2]RD Feedstock Breakdown'!BQ$3*'[2]Feedstock Conversion Rates'!B$4)/12+10+15-15</f>
        <v>38.125</v>
      </c>
      <c r="BR325" s="45">
        <f>('[2]Renewable Diesel'!$S334*'[2]RD Feedstock Breakdown'!BR$3*'[2]Feedstock Conversion Rates'!B$7)/12-10-15+15</f>
        <v>1.5</v>
      </c>
      <c r="BS325" s="47">
        <f t="shared" si="260"/>
        <v>39.625</v>
      </c>
      <c r="BT325" s="47"/>
      <c r="BU325" s="45">
        <f>('[2]Renewable Diesel'!Y334*'[2]Feedstock Conversion Rates'!B$7)/12</f>
        <v>2.6833333333333331</v>
      </c>
      <c r="BV325" s="47">
        <f t="shared" si="233"/>
        <v>2.6833333333333331</v>
      </c>
      <c r="BW325" s="45">
        <f>('[2]Renewable Diesel'!$Z334*'[2]RD Feedstock Breakdown'!BW$3*'[2]Feedstock Conversion Rates'!$B$4)/12-50</f>
        <v>21.875</v>
      </c>
      <c r="BX325" s="45">
        <f>('[2]Renewable Diesel'!$Z334*'[2]RD Feedstock Breakdown'!BX$3*'[2]Feedstock Conversion Rates'!$B$5)/12</f>
        <v>7.2354166666666666</v>
      </c>
      <c r="BY325" s="45">
        <f>('[2]Renewable Diesel'!$Z334*'[2]RD Feedstock Breakdown'!BY$3*'[2]Feedstock Conversion Rates'!$B$7)/12</f>
        <v>61.716666666666661</v>
      </c>
      <c r="BZ325" s="45">
        <f>('[2]Renewable Diesel'!$Z334*'[2]RD Feedstock Breakdown'!BZ$3*'[2]Feedstock Conversion Rates'!$B$3)/12+50</f>
        <v>65.352499999999992</v>
      </c>
      <c r="CA325" s="47">
        <f t="shared" si="262"/>
        <v>156.17958333333331</v>
      </c>
      <c r="CB325" s="45">
        <f>('[2]Renewable Diesel'!AA334*'[2]Feedstock Conversion Rates'!B$4)/12</f>
        <v>191.25</v>
      </c>
      <c r="CC325" s="47">
        <f t="shared" si="250"/>
        <v>191.25</v>
      </c>
      <c r="CD325" s="45">
        <f>('[2]Renewable Diesel'!$AB334*'[2]RD Feedstock Breakdown'!CD$3*'[2]Feedstock Conversion Rates'!$B$6)/12-15-5</f>
        <v>12.830000000000005</v>
      </c>
      <c r="CE325" s="45">
        <f>('[2]Renewable Diesel'!$AB334*'[2]RD Feedstock Breakdown'!CE$3*'[2]Feedstock Conversion Rates'!$B$4)/12+15+5</f>
        <v>31.25</v>
      </c>
      <c r="CF325" s="47">
        <f t="shared" si="247"/>
        <v>44.080000000000005</v>
      </c>
      <c r="CG325" s="45">
        <f>('[2]Renewable Diesel'!AD334*'[2]Feedstock Conversion Rates'!B$4)/12</f>
        <v>112.5</v>
      </c>
      <c r="CH325" s="47">
        <f t="shared" si="230"/>
        <v>112.5</v>
      </c>
      <c r="CI325" s="45">
        <f>('[2]Renewable Diesel'!$AE334*'[2]RD Feedstock Breakdown'!CI$3*'[2]Feedstock Conversion Rates'!$B$5)/12</f>
        <v>0.34604166666666664</v>
      </c>
      <c r="CJ325" s="45">
        <f>('[2]Renewable Diesel'!$AE334*'[2]RD Feedstock Breakdown'!CJ$3*'[2]Feedstock Conversion Rates'!$B$4)/12</f>
        <v>0.34375</v>
      </c>
      <c r="CK325" s="47">
        <f t="shared" si="238"/>
        <v>0.68979166666666658</v>
      </c>
      <c r="CL325" s="45">
        <f>(((CL$3*'[2]Renewable Diesel'!$AF334)*'[2]Feedstock Conversion Rates'!$B$3)/12)</f>
        <v>91.78125</v>
      </c>
      <c r="CM325" s="45">
        <f>(((CM$3*'[2]Renewable Diesel'!$AF334)*'[2]Feedstock Conversion Rates'!$B$6)/12)</f>
        <v>53.739583333333336</v>
      </c>
      <c r="CN325" s="45">
        <f>(((CN$3*'[2]Renewable Diesel'!$AF334)*'[2]Feedstock Conversion Rates'!$B$4)/12)</f>
        <v>42.96875</v>
      </c>
      <c r="CO325" s="47">
        <f t="shared" si="232"/>
        <v>188.48958333333334</v>
      </c>
      <c r="CP325" s="45">
        <f>('[2]Renewable Diesel'!$AG334*'[2]RD Feedstock Breakdown'!CP$3*'[2]Feedstock Conversion Rates'!$B$3)/12</f>
        <v>6.0075000000000003</v>
      </c>
      <c r="CQ325" s="45">
        <f>('[2]Renewable Diesel'!$AG334*'[2]RD Feedstock Breakdown'!CQ$3*'[2]Feedstock Conversion Rates'!$B$6)/12</f>
        <v>3.5175000000000001</v>
      </c>
      <c r="CR325" s="45">
        <f>('[2]Renewable Diesel'!$AG334*'[2]RD Feedstock Breakdown'!CR$3*'[2]Feedstock Conversion Rates'!$B$4)/12</f>
        <v>2.8125</v>
      </c>
      <c r="CS325" s="47">
        <f t="shared" si="267"/>
        <v>12.3375</v>
      </c>
      <c r="CT325" s="45">
        <f>('[2]Renewable Diesel'!AI334*'[2]Feedstock Conversion Rates'!$B$4*'[2]RD Feedstock Breakdown'!$CT$3)/12</f>
        <v>29.375</v>
      </c>
      <c r="CU325" s="47">
        <f t="shared" si="234"/>
        <v>29.375</v>
      </c>
      <c r="CV325" s="45">
        <f>('[2]Renewable Diesel'!AN334*'[2]Feedstock Conversion Rates'!$B$3*'[2]RD Feedstock Breakdown'!$CV$3)/12</f>
        <v>0.50062499999999999</v>
      </c>
      <c r="CW325" s="47">
        <f t="shared" si="206"/>
        <v>0.50062499999999999</v>
      </c>
      <c r="CX325" s="45">
        <f>('[2]Renewable Diesel'!AO334*'[2]RD Feedstock Breakdown'!$CX$3*'[2]Feedstock Conversion Rates'!$B$3)/12</f>
        <v>6.3412499999999996</v>
      </c>
      <c r="CY325" s="45">
        <f>('[2]Renewable Diesel'!AO334*'[2]RD Feedstock Breakdown'!$CY$3*'[2]Feedstock Conversion Rates'!$B$6)/12</f>
        <v>7.4258333333333342</v>
      </c>
      <c r="CZ325" s="47">
        <f t="shared" si="268"/>
        <v>13.767083333333334</v>
      </c>
      <c r="DA325" s="45">
        <f>('[2]Renewable Diesel'!$AP334*'[2]RD Feedstock Breakdown'!DA$3*'[2]Feedstock Conversion Rates'!$B$3)/12</f>
        <v>6.3412499999999996</v>
      </c>
      <c r="DB325" s="45">
        <f>('[2]Renewable Diesel'!$AP334*'[2]RD Feedstock Breakdown'!DB$3*'[2]Feedstock Conversion Rates'!$B$8)/12</f>
        <v>7.421875</v>
      </c>
      <c r="DC325" s="47">
        <f t="shared" si="212"/>
        <v>13.763124999999999</v>
      </c>
      <c r="DD325" s="45">
        <f>('[2]Renewable Diesel'!AQ334*$DD$3*'[2]Feedstock Conversion Rates'!$B$14)/12</f>
        <v>3.1041666666666665</v>
      </c>
      <c r="DE325" s="47">
        <f t="shared" si="213"/>
        <v>3.1041666666666665</v>
      </c>
      <c r="DF325" s="45">
        <f>('[2]Renewable Diesel'!AR334*'[2]Feedstock Conversion Rates'!$B$4*$DF$3)/12</f>
        <v>75</v>
      </c>
      <c r="DG325" s="47">
        <f t="shared" si="269"/>
        <v>75</v>
      </c>
      <c r="DH325" s="45">
        <f>('[2]Renewable Diesel'!AS334*'[2]Feedstock Conversion Rates'!$B$4*$DH$3)/12</f>
        <v>75</v>
      </c>
      <c r="DI325" s="47">
        <f t="shared" si="273"/>
        <v>75</v>
      </c>
      <c r="DJ325" s="45">
        <f>('[2]Renewable Diesel'!AT334*'[2]Feedstock Conversion Rates'!$B$4*0.25)/12</f>
        <v>8.59375</v>
      </c>
      <c r="DK325" s="45">
        <f>('[2]Renewable Diesel'!$AT334*'[2]RD Feedstock Breakdown'!DK$3*'[2]Feedstock Conversion Rates'!$B$3)/12*0.5</f>
        <v>9.1781249999999996</v>
      </c>
      <c r="DL325" s="45">
        <f>('[2]Renewable Diesel'!$AT334*'[2]RD Feedstock Breakdown'!$DL$3*'[2]Feedstock Conversion Rates'!$B$6)/12</f>
        <v>10.747916666666669</v>
      </c>
      <c r="DM325" s="45">
        <f>('[2]Renewable Diesel'!$AT334*'[2]RD Feedstock Breakdown'!$DM$3*'[2]Feedstock Conversion Rates'!$B$8)/12</f>
        <v>10.7421875</v>
      </c>
      <c r="DN325" s="47">
        <f t="shared" si="249"/>
        <v>39.26197916666667</v>
      </c>
      <c r="DP325" s="45">
        <f t="shared" si="216"/>
        <v>48.220250000000007</v>
      </c>
      <c r="DQ325" s="45">
        <f t="shared" si="217"/>
        <v>479.11776749999996</v>
      </c>
      <c r="DR325" s="45">
        <f t="shared" si="224"/>
        <v>1869.453125</v>
      </c>
      <c r="DS325" s="45">
        <f t="shared" si="235"/>
        <v>228.90125</v>
      </c>
      <c r="DT325" s="45">
        <f t="shared" si="218"/>
        <v>225.53923333333341</v>
      </c>
      <c r="DU325" s="45">
        <f t="shared" si="219"/>
        <v>345.40610000000004</v>
      </c>
      <c r="DV325" s="45">
        <f t="shared" si="225"/>
        <v>78.75</v>
      </c>
      <c r="DW325" s="45">
        <f t="shared" si="220"/>
        <v>3</v>
      </c>
      <c r="DX325" s="47">
        <f t="shared" si="226"/>
        <v>3278.3877258333337</v>
      </c>
      <c r="DY325" s="50">
        <f t="shared" si="208"/>
        <v>-5.631051180898794E-13</v>
      </c>
      <c r="EA325" s="51">
        <f t="shared" si="263"/>
        <v>1.4708525663401481E-2</v>
      </c>
      <c r="EB325" s="51">
        <f t="shared" si="263"/>
        <v>0.14614432689721377</v>
      </c>
      <c r="EC325" s="51">
        <f t="shared" si="263"/>
        <v>0.57023551859620369</v>
      </c>
      <c r="ED325" s="51">
        <f t="shared" si="261"/>
        <v>6.9821286907672142E-2</v>
      </c>
      <c r="EE325" s="51">
        <f t="shared" si="261"/>
        <v>6.8795777740414635E-2</v>
      </c>
      <c r="EF325" s="51">
        <f t="shared" si="261"/>
        <v>0.10535852647270427</v>
      </c>
      <c r="EG325" s="51">
        <f t="shared" si="261"/>
        <v>2.4020953769274662E-2</v>
      </c>
      <c r="EH325" s="52">
        <f t="shared" si="227"/>
        <v>9.1508395311522522E-4</v>
      </c>
      <c r="EI325" s="51">
        <f t="shared" si="271"/>
        <v>0.99908491604688465</v>
      </c>
      <c r="EK325" s="53">
        <f>(EA325*'[2]Renewable Diesel'!BF334*'[2]Feedstock Conversion Rates'!B$2)+FB325</f>
        <v>118.55914466712898</v>
      </c>
      <c r="EL325" s="53">
        <f>(EB325*'[2]Renewable Diesel'!BF334*'[2]Feedstock Conversion Rates'!B$3)+FC325</f>
        <v>1110.0983742285257</v>
      </c>
      <c r="EM325" s="53">
        <f>(EC325*'[2]Renewable Diesel'!BF334*'[2]Feedstock Conversion Rates'!B$4)+FD325</f>
        <v>4055.6691339150834</v>
      </c>
      <c r="EN325" s="53">
        <f>(ED325*'[2]Renewable Diesel'!BF334*'[2]Feedstock Conversion Rates'!B$5)+FE325</f>
        <v>499.89844983953645</v>
      </c>
      <c r="EO325" s="53">
        <f>(EE325*'[2]Renewable Diesel'!BF334*'[2]Feedstock Conversion Rates'!B$6)+FF325</f>
        <v>611.9439032386374</v>
      </c>
      <c r="EP325" s="53">
        <f>(EF325*'[2]Renewable Diesel'!BF334*'[2]Feedstock Conversion Rates'!B$7)+FG325</f>
        <v>919.18833554499736</v>
      </c>
      <c r="EQ325" s="53">
        <f>(EG325*'[2]Renewable Diesel'!BF334*'[2]Feedstock Conversion Rates'!B$8)+FH325</f>
        <v>213.55439461461015</v>
      </c>
      <c r="ER325" s="53">
        <f>(EH325*'[2]Renewable Diesel'!BF334*'[2]Feedstock Conversion Rates'!B$9)+FI325</f>
        <v>8.026933435672964</v>
      </c>
      <c r="ES325" s="53">
        <f t="shared" si="228"/>
        <v>7536.9386694841915</v>
      </c>
      <c r="ET325" s="36">
        <f>ES325/'[2]Renewable Diesel'!BF334</f>
        <v>7.9478194391172803</v>
      </c>
    </row>
    <row r="326" spans="1:150" x14ac:dyDescent="0.25">
      <c r="A326" s="39">
        <v>50345</v>
      </c>
      <c r="B326" s="45">
        <f t="shared" ref="B326:B336" si="282">115.75+145+100+235+31.5-21-287-20-28-32-70-39-47+40+20-3-10-2.5-125-1</f>
        <v>1.75</v>
      </c>
      <c r="C326" s="45">
        <f t="shared" si="251"/>
        <v>49</v>
      </c>
      <c r="D326" s="45">
        <f t="shared" ref="D326:D336" si="283">1+1</f>
        <v>2</v>
      </c>
      <c r="E326" s="45">
        <f>('[2]Renewable Diesel'!B335*E$3*'[2]Feedstock Conversion Rates'!$B$2)/12+26+13-100+27.5+39</f>
        <v>95.43</v>
      </c>
      <c r="F326" s="45">
        <f>('[2]Renewable Diesel'!B335*'[2]RD Feedstock Breakdown'!F$3*'[2]Feedstock Conversion Rates'!B$8)/12+77+23-10-12-115.75+24+8</f>
        <v>48.15625</v>
      </c>
      <c r="G326" s="45">
        <f>('[2]Renewable Diesel'!B335*'[2]RD Feedstock Breakdown'!G$3*'[2]Feedstock Conversion Rates'!B$7)/12+116.75-39-57.5-145-31.5+32+70-40+10+2.5</f>
        <v>94.407000000000039</v>
      </c>
      <c r="H326" s="45">
        <f>('[2]Renewable Diesel'!B335*'[2]RD Feedstock Breakdown'!H$3*'[2]Feedstock Conversion Rates'!B$3)/12+67+10+12+3-235+20+47-20+125</f>
        <v>205.40022499999998</v>
      </c>
      <c r="I326" s="47">
        <f t="shared" si="245"/>
        <v>496.14347500000002</v>
      </c>
      <c r="J326" s="45">
        <f t="shared" si="281"/>
        <v>4</v>
      </c>
      <c r="K326" s="45"/>
      <c r="L326" s="45">
        <v>1</v>
      </c>
      <c r="M326" s="45">
        <f>('[2]Renewable Diesel'!C335*'[2]RD Feedstock Breakdown'!M$3*'[2]Feedstock Conversion Rates'!B$2)/12-55</f>
        <v>-47.20975</v>
      </c>
      <c r="N326" s="45">
        <f>('[2]Renewable Diesel'!C335*'[2]RD Feedstock Breakdown'!N$3*'[2]Feedstock Conversion Rates'!B$8)/12</f>
        <v>3.671875</v>
      </c>
      <c r="O326" s="45">
        <f>('[2]Renewable Diesel'!C335*'[2]RD Feedstock Breakdown'!O$3*'[2]Feedstock Conversion Rates'!B$7)/12</f>
        <v>11.9991</v>
      </c>
      <c r="P326" s="45">
        <f>('[2]Renewable Diesel'!C335*'[2]RD Feedstock Breakdown'!P$3*'[2]Feedstock Conversion Rates'!B$3)/12+15+35</f>
        <v>60.447042500000002</v>
      </c>
      <c r="Q326" s="47">
        <f t="shared" si="252"/>
        <v>33.908267500000001</v>
      </c>
      <c r="R326" s="45">
        <f>('[2]Renewable Diesel'!D335*'[2]RD Feedstock Breakdown'!R$3*'[2]Feedstock Conversion Rates'!B$7)/12</f>
        <v>2.2999999999999998</v>
      </c>
      <c r="S326" s="47">
        <f t="shared" si="279"/>
        <v>2.2999999999999998</v>
      </c>
      <c r="T326" s="45">
        <f t="shared" si="253"/>
        <v>0.82499999999999929</v>
      </c>
      <c r="U326" s="45"/>
      <c r="V326" s="45">
        <f>('[2]Renewable Diesel'!E335*'[2]RD Feedstock Breakdown'!V$3*'[2]Feedstock Conversion Rates'!B$6)/12-20+25</f>
        <v>49.250150000000012</v>
      </c>
      <c r="W326" s="45">
        <f>('[2]Renewable Diesel'!E335*'[2]RD Feedstock Breakdown'!W$3*'[2]Feedstock Conversion Rates'!B$8)/12-6</f>
        <v>16.1796875</v>
      </c>
      <c r="X326" s="47">
        <f t="shared" si="229"/>
        <v>66.254837500000008</v>
      </c>
      <c r="Y326" s="45">
        <f t="shared" si="254"/>
        <v>98</v>
      </c>
      <c r="Z326" s="45">
        <f>('[2]Renewable Diesel'!F335*'[2]RD Feedstock Breakdown'!Z$3*'[2]Feedstock Conversion Rates'!B$6)/12-142+15+5+20+2.5</f>
        <v>59.960000000000008</v>
      </c>
      <c r="AA326" s="45">
        <f>('[2]Renewable Diesel'!F335*'[2]RD Feedstock Breakdown'!AA$3*'[2]Feedstock Conversion Rates'!B$7)/12+24</f>
        <v>128.26666666666665</v>
      </c>
      <c r="AB326" s="47">
        <f t="shared" si="270"/>
        <v>286.22666666666669</v>
      </c>
      <c r="AC326" s="45">
        <f>('[2]Renewable Diesel'!G335*'[2]RD Feedstock Breakdown'!AC$3*'[2]Feedstock Conversion Rates'!B$5)/12</f>
        <v>11.796875</v>
      </c>
      <c r="AD326" s="45">
        <f>('[2]Renewable Diesel'!G335*'[2]RD Feedstock Breakdown'!AD$3*'[2]Feedstock Conversion Rates'!B$4)/12</f>
        <v>5.859375</v>
      </c>
      <c r="AE326" s="45">
        <f>('[2]Renewable Diesel'!G335*'[2]RD Feedstock Breakdown'!AE$3*'[2]Feedstock Conversion Rates'!B$6)/12</f>
        <v>7.3281250000000009</v>
      </c>
      <c r="AF326" s="47">
        <f t="shared" si="236"/>
        <v>24.984375</v>
      </c>
      <c r="AG326" s="45">
        <f t="shared" si="259"/>
        <v>148</v>
      </c>
      <c r="AH326" s="45"/>
      <c r="AI326" s="45">
        <f>('[2]Renewable Diesel'!H335*'[2]RD Feedstock Breakdown'!AI$3*'[2]Feedstock Conversion Rates'!B$6)/12-130-20+51-49</f>
        <v>0.51666666666667993</v>
      </c>
      <c r="AJ326" s="47">
        <f t="shared" si="278"/>
        <v>148.51666666666668</v>
      </c>
      <c r="AK326" s="45">
        <f>('[2]Renewable Diesel'!J335*'[2]RD Feedstock Breakdown'!AK$3*'[2]Feedstock Conversion Rates'!B$4)/12</f>
        <v>95.8125</v>
      </c>
      <c r="AL326" s="47">
        <f t="shared" si="280"/>
        <v>95.8125</v>
      </c>
      <c r="AM326" s="45">
        <f>('[2]Renewable Diesel'!K335*'[2]RD Feedstock Breakdown'!AM$3*'[2]Feedstock Conversion Rates'!B$4)/12+5+15-10+10</f>
        <v>78.59375</v>
      </c>
      <c r="AN326" s="45">
        <f>('[2]Renewable Diesel'!K335*'[2]RD Feedstock Breakdown'!AN$3*'[2]Feedstock Conversion Rates'!B$6)/12-5-15+10-10</f>
        <v>4.4270833333333321</v>
      </c>
      <c r="AO326" s="47">
        <f t="shared" si="223"/>
        <v>83.020833333333329</v>
      </c>
      <c r="AP326" s="45">
        <f>('[2]Renewable Diesel'!L335*'[2]RD Feedstock Breakdown'!AP$3*'[2]Feedstock Conversion Rates'!B$4)/12+15-10+15</f>
        <v>78.59375</v>
      </c>
      <c r="AQ326" s="45">
        <f>('[2]Renewable Diesel'!L335*'[2]RD Feedstock Breakdown'!AQ$3*'[2]Feedstock Conversion Rates'!B$6)/12-15+10-15</f>
        <v>4.4270833333333321</v>
      </c>
      <c r="AR326" s="47">
        <f t="shared" si="207"/>
        <v>83.020833333333329</v>
      </c>
      <c r="AS326" s="45">
        <f>('[2]Renewable Diesel'!M335*'[2]RD Feedstock Breakdown'!AS$3*'[2]Feedstock Conversion Rates'!B$4)/12</f>
        <v>456.25</v>
      </c>
      <c r="AT326" s="45">
        <f>('[2]Renewable Diesel'!M335*'[2]RD Feedstock Breakdown'!AT$3*'[2]Feedstock Conversion Rates'!B$5)/12</f>
        <v>0</v>
      </c>
      <c r="AU326" s="47">
        <f t="shared" si="244"/>
        <v>456.25</v>
      </c>
      <c r="AV326" s="45">
        <f>'[2]Renewable Diesel'!N335*'[2]RD Feedstock Breakdown'!$AV$3*'[2]Feedstock Conversion Rates'!$B$4/12-15-10+25+25-22+25</f>
        <v>106.74999999999999</v>
      </c>
      <c r="AW326" s="45">
        <f>'[2]Renewable Diesel'!N335*'[2]RD Feedstock Breakdown'!$AW$3*'[2]Feedstock Conversion Rates'!$B$7/12+15+10-25-25+22-25</f>
        <v>13.400000000000006</v>
      </c>
      <c r="AX326" s="47">
        <f t="shared" si="272"/>
        <v>120.14999999999999</v>
      </c>
      <c r="AY326" s="45">
        <f>('[2]Renewable Diesel'!O335*'[2]RD Feedstock Breakdown'!AY$3*'[2]Feedstock Conversion Rates'!B$4)/12</f>
        <v>210.9375</v>
      </c>
      <c r="AZ326" s="45">
        <f>('[2]Renewable Diesel'!O335*'[2]RD Feedstock Breakdown'!AZ$3*'[2]Feedstock Conversion Rates'!B$3)/12</f>
        <v>25.03125</v>
      </c>
      <c r="BA326" s="47">
        <f t="shared" si="255"/>
        <v>235.96875</v>
      </c>
      <c r="BB326" s="45">
        <f>('[2]Renewable Diesel'!Q335*'[2]RD Feedstock Breakdown'!BB$3*'[2]Feedstock Conversion Rates'!B$4)/12</f>
        <v>11.156249999999998</v>
      </c>
      <c r="BC326" s="45">
        <f>('[2]Renewable Diesel'!Q335*'[2]RD Feedstock Breakdown'!BC$3*'[2]Feedstock Conversion Rates'!B$3)/12</f>
        <v>1.4017500000000001</v>
      </c>
      <c r="BD326" s="45">
        <f>('[2]Renewable Diesel'!Q335*'[2]RD Feedstock Breakdown'!BD$3*'[2]Feedstock Conversion Rates'!B$6)/12</f>
        <v>0.8207500000000002</v>
      </c>
      <c r="BE326" s="47">
        <f t="shared" si="231"/>
        <v>13.378749999999998</v>
      </c>
      <c r="BF326" s="45">
        <f>('[2]Renewable Diesel'!R335*'[2]RD Feedstock Breakdown'!BF$3*'[2]Feedstock Conversion Rates'!B$4)/12</f>
        <v>62.5</v>
      </c>
      <c r="BG326" s="47">
        <f t="shared" si="215"/>
        <v>62.5</v>
      </c>
      <c r="BH326" s="45">
        <f>('[2]Renewable Diesel'!T335*'[2]RD Feedstock Breakdown'!BH$3*'[2]Feedstock Conversion Rates'!B$7)/12</f>
        <v>27.599999999999998</v>
      </c>
      <c r="BI326" s="47">
        <f t="shared" si="277"/>
        <v>27.599999999999998</v>
      </c>
      <c r="BJ326" s="45">
        <f>('[2]Renewable Diesel'!W335*'[2]RD Feedstock Breakdown'!BJ$3*'[2]Feedstock Conversion Rates'!B$4)/12</f>
        <v>7.5</v>
      </c>
      <c r="BK326" s="45">
        <f>('[2]Renewable Diesel'!W335*'[2]RD Feedstock Breakdown'!BK$3*'[2]Feedstock Conversion Rates'!B$3)/12</f>
        <v>1.335</v>
      </c>
      <c r="BL326" s="45">
        <f>('[2]Renewable Diesel'!W335*'[2]RD Feedstock Breakdown'!BL$3*'[2]Feedstock Conversion Rates'!B$6)/12</f>
        <v>3.1266666666666669</v>
      </c>
      <c r="BM326" s="45">
        <f>('[2]Renewable Diesel'!W335*'[2]RD Feedstock Breakdown'!BM$3*'[2]Feedstock Conversion Rates'!B$7)/12</f>
        <v>1.5333333333333332</v>
      </c>
      <c r="BN326" s="47">
        <f t="shared" si="248"/>
        <v>13.495000000000001</v>
      </c>
      <c r="BO326" s="45">
        <f>('[2]Renewable Diesel'!P335*'[2]Feedstock Conversion Rates'!B$4)/12</f>
        <v>31.25</v>
      </c>
      <c r="BP326" s="47">
        <f t="shared" si="237"/>
        <v>31.25</v>
      </c>
      <c r="BQ326" s="45">
        <f>('[2]Renewable Diesel'!$S335*'[2]RD Feedstock Breakdown'!BQ$3*'[2]Feedstock Conversion Rates'!B$4)/12+10+15-15</f>
        <v>38.125</v>
      </c>
      <c r="BR326" s="45">
        <f>('[2]Renewable Diesel'!$S335*'[2]RD Feedstock Breakdown'!BR$3*'[2]Feedstock Conversion Rates'!B$7)/12-10-15+15</f>
        <v>1.5</v>
      </c>
      <c r="BS326" s="47">
        <f t="shared" si="260"/>
        <v>39.625</v>
      </c>
      <c r="BT326" s="47"/>
      <c r="BU326" s="45">
        <f>('[2]Renewable Diesel'!Y335*'[2]Feedstock Conversion Rates'!B$7)/12</f>
        <v>2.6833333333333331</v>
      </c>
      <c r="BV326" s="47">
        <f t="shared" si="233"/>
        <v>2.6833333333333331</v>
      </c>
      <c r="BW326" s="45">
        <f>('[2]Renewable Diesel'!$Z335*'[2]RD Feedstock Breakdown'!BW$3*'[2]Feedstock Conversion Rates'!$B$4)/12-50</f>
        <v>21.875</v>
      </c>
      <c r="BX326" s="45">
        <f>('[2]Renewable Diesel'!$Z335*'[2]RD Feedstock Breakdown'!BX$3*'[2]Feedstock Conversion Rates'!$B$5)/12</f>
        <v>7.2354166666666666</v>
      </c>
      <c r="BY326" s="45">
        <f>('[2]Renewable Diesel'!$Z335*'[2]RD Feedstock Breakdown'!BY$3*'[2]Feedstock Conversion Rates'!$B$7)/12</f>
        <v>61.716666666666661</v>
      </c>
      <c r="BZ326" s="45">
        <f>('[2]Renewable Diesel'!$Z335*'[2]RD Feedstock Breakdown'!BZ$3*'[2]Feedstock Conversion Rates'!$B$3)/12+50</f>
        <v>65.352499999999992</v>
      </c>
      <c r="CA326" s="47">
        <f t="shared" si="262"/>
        <v>156.17958333333331</v>
      </c>
      <c r="CB326" s="45">
        <f>('[2]Renewable Diesel'!AA335*'[2]Feedstock Conversion Rates'!B$4)/12</f>
        <v>191.25</v>
      </c>
      <c r="CC326" s="47">
        <f t="shared" si="250"/>
        <v>191.25</v>
      </c>
      <c r="CD326" s="45">
        <f>('[2]Renewable Diesel'!$AB335*'[2]RD Feedstock Breakdown'!CD$3*'[2]Feedstock Conversion Rates'!$B$6)/12-15-5</f>
        <v>12.830000000000005</v>
      </c>
      <c r="CE326" s="45">
        <f>('[2]Renewable Diesel'!$AB335*'[2]RD Feedstock Breakdown'!CE$3*'[2]Feedstock Conversion Rates'!$B$4)/12+15+5</f>
        <v>31.25</v>
      </c>
      <c r="CF326" s="47">
        <f t="shared" si="247"/>
        <v>44.080000000000005</v>
      </c>
      <c r="CG326" s="45">
        <f>('[2]Renewable Diesel'!AD335*'[2]Feedstock Conversion Rates'!B$4)/12</f>
        <v>112.5</v>
      </c>
      <c r="CH326" s="47">
        <f t="shared" si="230"/>
        <v>112.5</v>
      </c>
      <c r="CI326" s="45">
        <f>('[2]Renewable Diesel'!$AE335*'[2]RD Feedstock Breakdown'!CI$3*'[2]Feedstock Conversion Rates'!$B$5)/12</f>
        <v>0.34604166666666664</v>
      </c>
      <c r="CJ326" s="45">
        <f>('[2]Renewable Diesel'!$AE335*'[2]RD Feedstock Breakdown'!CJ$3*'[2]Feedstock Conversion Rates'!$B$4)/12</f>
        <v>0.34375</v>
      </c>
      <c r="CK326" s="47">
        <f t="shared" si="238"/>
        <v>0.68979166666666658</v>
      </c>
      <c r="CL326" s="45">
        <f>(((CL$3*'[2]Renewable Diesel'!$AF335)*'[2]Feedstock Conversion Rates'!$B$3)/12)</f>
        <v>91.78125</v>
      </c>
      <c r="CM326" s="45">
        <f>(((CM$3*'[2]Renewable Diesel'!$AF335)*'[2]Feedstock Conversion Rates'!$B$6)/12)</f>
        <v>53.739583333333336</v>
      </c>
      <c r="CN326" s="45">
        <f>(((CN$3*'[2]Renewable Diesel'!$AF335)*'[2]Feedstock Conversion Rates'!$B$4)/12)</f>
        <v>42.96875</v>
      </c>
      <c r="CO326" s="47">
        <f t="shared" si="232"/>
        <v>188.48958333333334</v>
      </c>
      <c r="CP326" s="45">
        <f>('[2]Renewable Diesel'!$AG335*'[2]RD Feedstock Breakdown'!CP$3*'[2]Feedstock Conversion Rates'!$B$3)/12</f>
        <v>6.0075000000000003</v>
      </c>
      <c r="CQ326" s="45">
        <f>('[2]Renewable Diesel'!$AG335*'[2]RD Feedstock Breakdown'!CQ$3*'[2]Feedstock Conversion Rates'!$B$6)/12</f>
        <v>3.5175000000000001</v>
      </c>
      <c r="CR326" s="45">
        <f>('[2]Renewable Diesel'!$AG335*'[2]RD Feedstock Breakdown'!CR$3*'[2]Feedstock Conversion Rates'!$B$4)/12</f>
        <v>2.8125</v>
      </c>
      <c r="CS326" s="47">
        <f t="shared" si="267"/>
        <v>12.3375</v>
      </c>
      <c r="CT326" s="45">
        <f>('[2]Renewable Diesel'!AI335*'[2]Feedstock Conversion Rates'!$B$4*'[2]RD Feedstock Breakdown'!$CT$3)/12</f>
        <v>29.375</v>
      </c>
      <c r="CU326" s="47">
        <f t="shared" si="234"/>
        <v>29.375</v>
      </c>
      <c r="CV326" s="45">
        <f>('[2]Renewable Diesel'!AN335*'[2]Feedstock Conversion Rates'!$B$3*'[2]RD Feedstock Breakdown'!$CV$3)/12</f>
        <v>0.50062499999999999</v>
      </c>
      <c r="CW326" s="47">
        <f t="shared" si="206"/>
        <v>0.50062499999999999</v>
      </c>
      <c r="CX326" s="45">
        <f>('[2]Renewable Diesel'!AO335*'[2]RD Feedstock Breakdown'!$CX$3*'[2]Feedstock Conversion Rates'!$B$3)/12</f>
        <v>6.3412499999999996</v>
      </c>
      <c r="CY326" s="45">
        <f>('[2]Renewable Diesel'!AO335*'[2]RD Feedstock Breakdown'!$CY$3*'[2]Feedstock Conversion Rates'!$B$6)/12</f>
        <v>7.4258333333333342</v>
      </c>
      <c r="CZ326" s="47">
        <f t="shared" si="268"/>
        <v>13.767083333333334</v>
      </c>
      <c r="DA326" s="45">
        <f>('[2]Renewable Diesel'!$AP335*'[2]RD Feedstock Breakdown'!DA$3*'[2]Feedstock Conversion Rates'!$B$3)/12</f>
        <v>6.3412499999999996</v>
      </c>
      <c r="DB326" s="45">
        <f>('[2]Renewable Diesel'!$AP335*'[2]RD Feedstock Breakdown'!DB$3*'[2]Feedstock Conversion Rates'!$B$8)/12</f>
        <v>7.421875</v>
      </c>
      <c r="DC326" s="47">
        <f t="shared" si="212"/>
        <v>13.763124999999999</v>
      </c>
      <c r="DD326" s="45">
        <f>('[2]Renewable Diesel'!AQ335*$DD$3*'[2]Feedstock Conversion Rates'!$B$14)/12</f>
        <v>3.1041666666666665</v>
      </c>
      <c r="DE326" s="47">
        <f t="shared" si="213"/>
        <v>3.1041666666666665</v>
      </c>
      <c r="DF326" s="45">
        <f>('[2]Renewable Diesel'!AR335*'[2]Feedstock Conversion Rates'!$B$4*$DF$3)/12</f>
        <v>75</v>
      </c>
      <c r="DG326" s="47">
        <f t="shared" si="269"/>
        <v>75</v>
      </c>
      <c r="DH326" s="45">
        <f>('[2]Renewable Diesel'!AS335*'[2]Feedstock Conversion Rates'!$B$4*$DH$3)/12</f>
        <v>75</v>
      </c>
      <c r="DI326" s="47">
        <f t="shared" si="273"/>
        <v>75</v>
      </c>
      <c r="DJ326" s="45">
        <f>('[2]Renewable Diesel'!AT335*'[2]Feedstock Conversion Rates'!$B$4*0.25)/12</f>
        <v>8.59375</v>
      </c>
      <c r="DK326" s="45">
        <f>('[2]Renewable Diesel'!$AT335*'[2]RD Feedstock Breakdown'!DK$3*'[2]Feedstock Conversion Rates'!$B$3)/12*0.5</f>
        <v>9.1781249999999996</v>
      </c>
      <c r="DL326" s="45">
        <f>('[2]Renewable Diesel'!$AT335*'[2]RD Feedstock Breakdown'!$DL$3*'[2]Feedstock Conversion Rates'!$B$6)/12</f>
        <v>10.747916666666669</v>
      </c>
      <c r="DM326" s="45">
        <f>('[2]Renewable Diesel'!$AT335*'[2]RD Feedstock Breakdown'!$DM$3*'[2]Feedstock Conversion Rates'!$B$8)/12</f>
        <v>10.7421875</v>
      </c>
      <c r="DN326" s="47">
        <f t="shared" si="249"/>
        <v>39.26197916666667</v>
      </c>
      <c r="DP326" s="45">
        <f t="shared" si="216"/>
        <v>48.220250000000007</v>
      </c>
      <c r="DQ326" s="45">
        <f t="shared" si="217"/>
        <v>479.11776749999996</v>
      </c>
      <c r="DR326" s="45">
        <f t="shared" si="224"/>
        <v>1869.453125</v>
      </c>
      <c r="DS326" s="45">
        <f t="shared" si="235"/>
        <v>228.90125</v>
      </c>
      <c r="DT326" s="45">
        <f t="shared" si="218"/>
        <v>225.53923333333341</v>
      </c>
      <c r="DU326" s="45">
        <f t="shared" si="219"/>
        <v>345.40610000000004</v>
      </c>
      <c r="DV326" s="45">
        <f t="shared" si="225"/>
        <v>78.75</v>
      </c>
      <c r="DW326" s="45">
        <f t="shared" si="220"/>
        <v>3</v>
      </c>
      <c r="DX326" s="47">
        <f t="shared" si="226"/>
        <v>3278.3877258333337</v>
      </c>
      <c r="DY326" s="50">
        <f t="shared" si="208"/>
        <v>-5.631051180898794E-13</v>
      </c>
      <c r="EA326" s="51">
        <f t="shared" si="263"/>
        <v>1.4708525663401481E-2</v>
      </c>
      <c r="EB326" s="51">
        <f t="shared" si="263"/>
        <v>0.14614432689721377</v>
      </c>
      <c r="EC326" s="51">
        <f t="shared" si="263"/>
        <v>0.57023551859620369</v>
      </c>
      <c r="ED326" s="51">
        <f t="shared" si="261"/>
        <v>6.9821286907672142E-2</v>
      </c>
      <c r="EE326" s="51">
        <f t="shared" si="261"/>
        <v>6.8795777740414635E-2</v>
      </c>
      <c r="EF326" s="51">
        <f t="shared" si="261"/>
        <v>0.10535852647270427</v>
      </c>
      <c r="EG326" s="51">
        <f t="shared" si="261"/>
        <v>2.4020953769274662E-2</v>
      </c>
      <c r="EH326" s="52">
        <f t="shared" si="227"/>
        <v>9.1508395311522522E-4</v>
      </c>
      <c r="EI326" s="51">
        <f t="shared" si="271"/>
        <v>0.99908491604688465</v>
      </c>
      <c r="EK326" s="53">
        <f>(EA326*'[2]Renewable Diesel'!BF335*'[2]Feedstock Conversion Rates'!B$2)+FB326</f>
        <v>122.09942388130744</v>
      </c>
      <c r="EL326" s="53">
        <f>(EB326*'[2]Renewable Diesel'!BF335*'[2]Feedstock Conversion Rates'!B$3)+FC326</f>
        <v>1143.2468775431262</v>
      </c>
      <c r="EM326" s="53">
        <f>(EC326*'[2]Renewable Diesel'!BF335*'[2]Feedstock Conversion Rates'!B$4)+FD326</f>
        <v>4176.7749429583027</v>
      </c>
      <c r="EN326" s="53">
        <f>(ED326*'[2]Renewable Diesel'!BF335*'[2]Feedstock Conversion Rates'!B$5)+FE326</f>
        <v>514.82585249696831</v>
      </c>
      <c r="EO326" s="53">
        <f>(EE326*'[2]Renewable Diesel'!BF335*'[2]Feedstock Conversion Rates'!B$6)+FF326</f>
        <v>630.21708062163555</v>
      </c>
      <c r="EP326" s="53">
        <f>(EF326*'[2]Renewable Diesel'!BF335*'[2]Feedstock Conversion Rates'!B$7)+FG326</f>
        <v>946.63609899995322</v>
      </c>
      <c r="EQ326" s="53">
        <f>(EG326*'[2]Renewable Diesel'!BF335*'[2]Feedstock Conversion Rates'!B$8)+FH326</f>
        <v>219.93131464446748</v>
      </c>
      <c r="ER326" s="53">
        <f>(EH326*'[2]Renewable Diesel'!BF335*'[2]Feedstock Conversion Rates'!B$9)+FI326</f>
        <v>8.2666246520333164</v>
      </c>
      <c r="ES326" s="53">
        <f t="shared" si="228"/>
        <v>7761.9982157977938</v>
      </c>
      <c r="ET326" s="36">
        <f>ES326/'[2]Renewable Diesel'!BF335</f>
        <v>7.9478194391172812</v>
      </c>
    </row>
    <row r="327" spans="1:150" x14ac:dyDescent="0.25">
      <c r="A327" s="39">
        <v>50375</v>
      </c>
      <c r="B327" s="45">
        <f t="shared" si="282"/>
        <v>1.75</v>
      </c>
      <c r="C327" s="45">
        <f t="shared" si="251"/>
        <v>49</v>
      </c>
      <c r="D327" s="45">
        <f t="shared" si="283"/>
        <v>2</v>
      </c>
      <c r="E327" s="45">
        <f>('[2]Renewable Diesel'!B336*E$3*'[2]Feedstock Conversion Rates'!$B$2)/12+26+13-100+27.5+39</f>
        <v>95.43</v>
      </c>
      <c r="F327" s="45">
        <f>('[2]Renewable Diesel'!B336*'[2]RD Feedstock Breakdown'!F$3*'[2]Feedstock Conversion Rates'!B$8)/12+77+23-10-12-115.75+24+8</f>
        <v>48.15625</v>
      </c>
      <c r="G327" s="45">
        <f>('[2]Renewable Diesel'!B336*'[2]RD Feedstock Breakdown'!G$3*'[2]Feedstock Conversion Rates'!B$7)/12+116.75-39-57.5-145-31.5+32+70-40+10+2.5</f>
        <v>94.407000000000039</v>
      </c>
      <c r="H327" s="45">
        <f>('[2]Renewable Diesel'!B336*'[2]RD Feedstock Breakdown'!H$3*'[2]Feedstock Conversion Rates'!B$3)/12+67+10+12+3-235+20+47-20+125</f>
        <v>205.40022499999998</v>
      </c>
      <c r="I327" s="47">
        <f t="shared" si="245"/>
        <v>496.14347500000002</v>
      </c>
      <c r="J327" s="45">
        <f t="shared" si="281"/>
        <v>4</v>
      </c>
      <c r="K327" s="45"/>
      <c r="L327" s="45">
        <v>1</v>
      </c>
      <c r="M327" s="45">
        <f>('[2]Renewable Diesel'!C336*'[2]RD Feedstock Breakdown'!M$3*'[2]Feedstock Conversion Rates'!B$2)/12-55</f>
        <v>-47.20975</v>
      </c>
      <c r="N327" s="45">
        <f>('[2]Renewable Diesel'!C336*'[2]RD Feedstock Breakdown'!N$3*'[2]Feedstock Conversion Rates'!B$8)/12</f>
        <v>3.671875</v>
      </c>
      <c r="O327" s="45">
        <f>('[2]Renewable Diesel'!C336*'[2]RD Feedstock Breakdown'!O$3*'[2]Feedstock Conversion Rates'!B$7)/12</f>
        <v>11.9991</v>
      </c>
      <c r="P327" s="45">
        <f>('[2]Renewable Diesel'!C336*'[2]RD Feedstock Breakdown'!P$3*'[2]Feedstock Conversion Rates'!B$3)/12+15+35</f>
        <v>60.447042500000002</v>
      </c>
      <c r="Q327" s="47">
        <f t="shared" si="252"/>
        <v>33.908267500000001</v>
      </c>
      <c r="R327" s="45">
        <f>('[2]Renewable Diesel'!D336*'[2]RD Feedstock Breakdown'!R$3*'[2]Feedstock Conversion Rates'!B$7)/12</f>
        <v>2.2999999999999998</v>
      </c>
      <c r="S327" s="47">
        <f t="shared" si="279"/>
        <v>2.2999999999999998</v>
      </c>
      <c r="T327" s="45">
        <f t="shared" si="253"/>
        <v>0.82499999999999929</v>
      </c>
      <c r="U327" s="45"/>
      <c r="V327" s="45">
        <f>('[2]Renewable Diesel'!E336*'[2]RD Feedstock Breakdown'!V$3*'[2]Feedstock Conversion Rates'!B$6)/12-20+25</f>
        <v>49.250150000000012</v>
      </c>
      <c r="W327" s="45">
        <f>('[2]Renewable Diesel'!E336*'[2]RD Feedstock Breakdown'!W$3*'[2]Feedstock Conversion Rates'!B$8)/12-6</f>
        <v>16.1796875</v>
      </c>
      <c r="X327" s="47">
        <f t="shared" si="229"/>
        <v>66.254837500000008</v>
      </c>
      <c r="Y327" s="45">
        <f t="shared" si="254"/>
        <v>98</v>
      </c>
      <c r="Z327" s="45">
        <f>('[2]Renewable Diesel'!F336*'[2]RD Feedstock Breakdown'!Z$3*'[2]Feedstock Conversion Rates'!B$6)/12-142+15+5+20+2.5</f>
        <v>59.960000000000008</v>
      </c>
      <c r="AA327" s="45">
        <f>('[2]Renewable Diesel'!F336*'[2]RD Feedstock Breakdown'!AA$3*'[2]Feedstock Conversion Rates'!B$7)/12+24</f>
        <v>128.26666666666665</v>
      </c>
      <c r="AB327" s="47">
        <f t="shared" si="270"/>
        <v>286.22666666666669</v>
      </c>
      <c r="AC327" s="45">
        <f>('[2]Renewable Diesel'!G336*'[2]RD Feedstock Breakdown'!AC$3*'[2]Feedstock Conversion Rates'!B$5)/12</f>
        <v>11.796875</v>
      </c>
      <c r="AD327" s="45">
        <f>('[2]Renewable Diesel'!G336*'[2]RD Feedstock Breakdown'!AD$3*'[2]Feedstock Conversion Rates'!B$4)/12</f>
        <v>5.859375</v>
      </c>
      <c r="AE327" s="45">
        <f>('[2]Renewable Diesel'!G336*'[2]RD Feedstock Breakdown'!AE$3*'[2]Feedstock Conversion Rates'!B$6)/12</f>
        <v>7.3281250000000009</v>
      </c>
      <c r="AF327" s="47">
        <f t="shared" si="236"/>
        <v>24.984375</v>
      </c>
      <c r="AG327" s="45">
        <f t="shared" si="259"/>
        <v>148</v>
      </c>
      <c r="AH327" s="45"/>
      <c r="AI327" s="45">
        <f>('[2]Renewable Diesel'!H336*'[2]RD Feedstock Breakdown'!AI$3*'[2]Feedstock Conversion Rates'!B$6)/12-130-20+51-49</f>
        <v>0.51666666666667993</v>
      </c>
      <c r="AJ327" s="47">
        <f t="shared" si="278"/>
        <v>148.51666666666668</v>
      </c>
      <c r="AK327" s="45">
        <f>('[2]Renewable Diesel'!J336*'[2]RD Feedstock Breakdown'!AK$3*'[2]Feedstock Conversion Rates'!B$4)/12</f>
        <v>95.8125</v>
      </c>
      <c r="AL327" s="47">
        <f t="shared" si="280"/>
        <v>95.8125</v>
      </c>
      <c r="AM327" s="45">
        <f>('[2]Renewable Diesel'!K336*'[2]RD Feedstock Breakdown'!AM$3*'[2]Feedstock Conversion Rates'!B$4)/12+5+15-10+10</f>
        <v>78.59375</v>
      </c>
      <c r="AN327" s="45">
        <f>('[2]Renewable Diesel'!K336*'[2]RD Feedstock Breakdown'!AN$3*'[2]Feedstock Conversion Rates'!B$6)/12-5-15+10-10</f>
        <v>4.4270833333333321</v>
      </c>
      <c r="AO327" s="47">
        <f t="shared" si="223"/>
        <v>83.020833333333329</v>
      </c>
      <c r="AP327" s="45">
        <f>('[2]Renewable Diesel'!L336*'[2]RD Feedstock Breakdown'!AP$3*'[2]Feedstock Conversion Rates'!B$4)/12+15-10+15</f>
        <v>78.59375</v>
      </c>
      <c r="AQ327" s="45">
        <f>('[2]Renewable Diesel'!L336*'[2]RD Feedstock Breakdown'!AQ$3*'[2]Feedstock Conversion Rates'!B$6)/12-15+10-15</f>
        <v>4.4270833333333321</v>
      </c>
      <c r="AR327" s="47">
        <f t="shared" si="207"/>
        <v>83.020833333333329</v>
      </c>
      <c r="AS327" s="45">
        <f>('[2]Renewable Diesel'!M336*'[2]RD Feedstock Breakdown'!AS$3*'[2]Feedstock Conversion Rates'!B$4)/12</f>
        <v>456.25</v>
      </c>
      <c r="AT327" s="45">
        <f>('[2]Renewable Diesel'!M336*'[2]RD Feedstock Breakdown'!AT$3*'[2]Feedstock Conversion Rates'!B$5)/12</f>
        <v>0</v>
      </c>
      <c r="AU327" s="47">
        <f t="shared" si="244"/>
        <v>456.25</v>
      </c>
      <c r="AV327" s="45">
        <f>'[2]Renewable Diesel'!N336*'[2]RD Feedstock Breakdown'!$AV$3*'[2]Feedstock Conversion Rates'!$B$4/12-15-10+25+25-22+25</f>
        <v>106.74999999999999</v>
      </c>
      <c r="AW327" s="45">
        <f>'[2]Renewable Diesel'!N336*'[2]RD Feedstock Breakdown'!$AW$3*'[2]Feedstock Conversion Rates'!$B$7/12+15+10-25-25+22-25</f>
        <v>13.400000000000006</v>
      </c>
      <c r="AX327" s="47">
        <f t="shared" si="272"/>
        <v>120.14999999999999</v>
      </c>
      <c r="AY327" s="45">
        <f>('[2]Renewable Diesel'!O336*'[2]RD Feedstock Breakdown'!AY$3*'[2]Feedstock Conversion Rates'!B$4)/12</f>
        <v>210.9375</v>
      </c>
      <c r="AZ327" s="45">
        <f>('[2]Renewable Diesel'!O336*'[2]RD Feedstock Breakdown'!AZ$3*'[2]Feedstock Conversion Rates'!B$3)/12</f>
        <v>25.03125</v>
      </c>
      <c r="BA327" s="47">
        <f t="shared" si="255"/>
        <v>235.96875</v>
      </c>
      <c r="BB327" s="45">
        <f>('[2]Renewable Diesel'!Q336*'[2]RD Feedstock Breakdown'!BB$3*'[2]Feedstock Conversion Rates'!B$4)/12</f>
        <v>11.156249999999998</v>
      </c>
      <c r="BC327" s="45">
        <f>('[2]Renewable Diesel'!Q336*'[2]RD Feedstock Breakdown'!BC$3*'[2]Feedstock Conversion Rates'!B$3)/12</f>
        <v>1.4017500000000001</v>
      </c>
      <c r="BD327" s="45">
        <f>('[2]Renewable Diesel'!Q336*'[2]RD Feedstock Breakdown'!BD$3*'[2]Feedstock Conversion Rates'!B$6)/12</f>
        <v>0.8207500000000002</v>
      </c>
      <c r="BE327" s="47">
        <f t="shared" si="231"/>
        <v>13.378749999999998</v>
      </c>
      <c r="BF327" s="45">
        <f>('[2]Renewable Diesel'!R336*'[2]RD Feedstock Breakdown'!BF$3*'[2]Feedstock Conversion Rates'!B$4)/12</f>
        <v>62.5</v>
      </c>
      <c r="BG327" s="47">
        <f t="shared" si="215"/>
        <v>62.5</v>
      </c>
      <c r="BH327" s="45">
        <f>('[2]Renewable Diesel'!T336*'[2]RD Feedstock Breakdown'!BH$3*'[2]Feedstock Conversion Rates'!B$7)/12</f>
        <v>27.599999999999998</v>
      </c>
      <c r="BI327" s="47">
        <f t="shared" si="277"/>
        <v>27.599999999999998</v>
      </c>
      <c r="BJ327" s="45">
        <f>('[2]Renewable Diesel'!W336*'[2]RD Feedstock Breakdown'!BJ$3*'[2]Feedstock Conversion Rates'!B$4)/12</f>
        <v>7.5</v>
      </c>
      <c r="BK327" s="45">
        <f>('[2]Renewable Diesel'!W336*'[2]RD Feedstock Breakdown'!BK$3*'[2]Feedstock Conversion Rates'!B$3)/12</f>
        <v>1.335</v>
      </c>
      <c r="BL327" s="45">
        <f>('[2]Renewable Diesel'!W336*'[2]RD Feedstock Breakdown'!BL$3*'[2]Feedstock Conversion Rates'!B$6)/12</f>
        <v>3.1266666666666669</v>
      </c>
      <c r="BM327" s="45">
        <f>('[2]Renewable Diesel'!W336*'[2]RD Feedstock Breakdown'!BM$3*'[2]Feedstock Conversion Rates'!B$7)/12</f>
        <v>1.5333333333333332</v>
      </c>
      <c r="BN327" s="47">
        <f t="shared" si="248"/>
        <v>13.495000000000001</v>
      </c>
      <c r="BO327" s="45">
        <f>('[2]Renewable Diesel'!P336*'[2]Feedstock Conversion Rates'!B$4)/12</f>
        <v>31.25</v>
      </c>
      <c r="BP327" s="47">
        <f t="shared" si="237"/>
        <v>31.25</v>
      </c>
      <c r="BQ327" s="45">
        <f>('[2]Renewable Diesel'!$S336*'[2]RD Feedstock Breakdown'!BQ$3*'[2]Feedstock Conversion Rates'!B$4)/12+10+15-15</f>
        <v>38.125</v>
      </c>
      <c r="BR327" s="45">
        <f>('[2]Renewable Diesel'!$S336*'[2]RD Feedstock Breakdown'!BR$3*'[2]Feedstock Conversion Rates'!B$7)/12-10-15+15</f>
        <v>1.5</v>
      </c>
      <c r="BS327" s="47">
        <f t="shared" si="260"/>
        <v>39.625</v>
      </c>
      <c r="BT327" s="47"/>
      <c r="BU327" s="45">
        <f>('[2]Renewable Diesel'!Y336*'[2]Feedstock Conversion Rates'!B$7)/12</f>
        <v>2.6833333333333331</v>
      </c>
      <c r="BV327" s="47">
        <f t="shared" si="233"/>
        <v>2.6833333333333331</v>
      </c>
      <c r="BW327" s="45">
        <f>('[2]Renewable Diesel'!$Z336*'[2]RD Feedstock Breakdown'!BW$3*'[2]Feedstock Conversion Rates'!$B$4)/12-50</f>
        <v>21.875</v>
      </c>
      <c r="BX327" s="45">
        <f>('[2]Renewable Diesel'!$Z336*'[2]RD Feedstock Breakdown'!BX$3*'[2]Feedstock Conversion Rates'!$B$5)/12</f>
        <v>7.2354166666666666</v>
      </c>
      <c r="BY327" s="45">
        <f>('[2]Renewable Diesel'!$Z336*'[2]RD Feedstock Breakdown'!BY$3*'[2]Feedstock Conversion Rates'!$B$7)/12</f>
        <v>61.716666666666661</v>
      </c>
      <c r="BZ327" s="45">
        <f>('[2]Renewable Diesel'!$Z336*'[2]RD Feedstock Breakdown'!BZ$3*'[2]Feedstock Conversion Rates'!$B$3)/12+50</f>
        <v>65.352499999999992</v>
      </c>
      <c r="CA327" s="47">
        <f t="shared" si="262"/>
        <v>156.17958333333331</v>
      </c>
      <c r="CB327" s="45">
        <f>('[2]Renewable Diesel'!AA336*'[2]Feedstock Conversion Rates'!B$4)/12</f>
        <v>191.25</v>
      </c>
      <c r="CC327" s="47">
        <f t="shared" si="250"/>
        <v>191.25</v>
      </c>
      <c r="CD327" s="45">
        <f>('[2]Renewable Diesel'!$AB336*'[2]RD Feedstock Breakdown'!CD$3*'[2]Feedstock Conversion Rates'!$B$6)/12-15-5</f>
        <v>12.830000000000005</v>
      </c>
      <c r="CE327" s="45">
        <f>('[2]Renewable Diesel'!$AB336*'[2]RD Feedstock Breakdown'!CE$3*'[2]Feedstock Conversion Rates'!$B$4)/12+15+5</f>
        <v>31.25</v>
      </c>
      <c r="CF327" s="47">
        <f t="shared" si="247"/>
        <v>44.080000000000005</v>
      </c>
      <c r="CG327" s="45">
        <f>('[2]Renewable Diesel'!AD336*'[2]Feedstock Conversion Rates'!B$4)/12</f>
        <v>112.5</v>
      </c>
      <c r="CH327" s="47">
        <f t="shared" si="230"/>
        <v>112.5</v>
      </c>
      <c r="CI327" s="45">
        <f>('[2]Renewable Diesel'!$AE336*'[2]RD Feedstock Breakdown'!CI$3*'[2]Feedstock Conversion Rates'!$B$5)/12</f>
        <v>0.34604166666666664</v>
      </c>
      <c r="CJ327" s="45">
        <f>('[2]Renewable Diesel'!$AE336*'[2]RD Feedstock Breakdown'!CJ$3*'[2]Feedstock Conversion Rates'!$B$4)/12</f>
        <v>0.34375</v>
      </c>
      <c r="CK327" s="47">
        <f t="shared" si="238"/>
        <v>0.68979166666666658</v>
      </c>
      <c r="CL327" s="45">
        <f>(((CL$3*'[2]Renewable Diesel'!$AF336)*'[2]Feedstock Conversion Rates'!$B$3)/12)</f>
        <v>91.78125</v>
      </c>
      <c r="CM327" s="45">
        <f>(((CM$3*'[2]Renewable Diesel'!$AF336)*'[2]Feedstock Conversion Rates'!$B$6)/12)</f>
        <v>53.739583333333336</v>
      </c>
      <c r="CN327" s="45">
        <f>(((CN$3*'[2]Renewable Diesel'!$AF336)*'[2]Feedstock Conversion Rates'!$B$4)/12)</f>
        <v>42.96875</v>
      </c>
      <c r="CO327" s="47">
        <f t="shared" si="232"/>
        <v>188.48958333333334</v>
      </c>
      <c r="CP327" s="45">
        <f>('[2]Renewable Diesel'!$AG336*'[2]RD Feedstock Breakdown'!CP$3*'[2]Feedstock Conversion Rates'!$B$3)/12</f>
        <v>6.0075000000000003</v>
      </c>
      <c r="CQ327" s="45">
        <f>('[2]Renewable Diesel'!$AG336*'[2]RD Feedstock Breakdown'!CQ$3*'[2]Feedstock Conversion Rates'!$B$6)/12</f>
        <v>3.5175000000000001</v>
      </c>
      <c r="CR327" s="45">
        <f>('[2]Renewable Diesel'!$AG336*'[2]RD Feedstock Breakdown'!CR$3*'[2]Feedstock Conversion Rates'!$B$4)/12</f>
        <v>2.8125</v>
      </c>
      <c r="CS327" s="47">
        <f t="shared" si="267"/>
        <v>12.3375</v>
      </c>
      <c r="CT327" s="45">
        <f>('[2]Renewable Diesel'!AI336*'[2]Feedstock Conversion Rates'!$B$4*'[2]RD Feedstock Breakdown'!$CT$3)/12</f>
        <v>29.375</v>
      </c>
      <c r="CU327" s="47">
        <f t="shared" si="234"/>
        <v>29.375</v>
      </c>
      <c r="CV327" s="45">
        <f>('[2]Renewable Diesel'!AN336*'[2]Feedstock Conversion Rates'!$B$3*'[2]RD Feedstock Breakdown'!$CV$3)/12</f>
        <v>0.50062499999999999</v>
      </c>
      <c r="CW327" s="47">
        <f t="shared" ref="CW327:CW375" si="284">CV327</f>
        <v>0.50062499999999999</v>
      </c>
      <c r="CX327" s="45">
        <f>('[2]Renewable Diesel'!AO336*'[2]RD Feedstock Breakdown'!$CX$3*'[2]Feedstock Conversion Rates'!$B$3)/12</f>
        <v>6.3412499999999996</v>
      </c>
      <c r="CY327" s="45">
        <f>('[2]Renewable Diesel'!AO336*'[2]RD Feedstock Breakdown'!$CY$3*'[2]Feedstock Conversion Rates'!$B$6)/12</f>
        <v>7.4258333333333342</v>
      </c>
      <c r="CZ327" s="47">
        <f t="shared" si="268"/>
        <v>13.767083333333334</v>
      </c>
      <c r="DA327" s="45">
        <f>('[2]Renewable Diesel'!$AP336*'[2]RD Feedstock Breakdown'!DA$3*'[2]Feedstock Conversion Rates'!$B$3)/12</f>
        <v>6.3412499999999996</v>
      </c>
      <c r="DB327" s="45">
        <f>('[2]Renewable Diesel'!$AP336*'[2]RD Feedstock Breakdown'!DB$3*'[2]Feedstock Conversion Rates'!$B$8)/12</f>
        <v>7.421875</v>
      </c>
      <c r="DC327" s="47">
        <f t="shared" si="212"/>
        <v>13.763124999999999</v>
      </c>
      <c r="DD327" s="45">
        <f>('[2]Renewable Diesel'!AQ336*$DD$3*'[2]Feedstock Conversion Rates'!$B$14)/12</f>
        <v>3.1041666666666665</v>
      </c>
      <c r="DE327" s="47">
        <f t="shared" si="213"/>
        <v>3.1041666666666665</v>
      </c>
      <c r="DF327" s="45">
        <f>('[2]Renewable Diesel'!AR336*'[2]Feedstock Conversion Rates'!$B$4*$DF$3)/12</f>
        <v>75</v>
      </c>
      <c r="DG327" s="47">
        <f t="shared" si="269"/>
        <v>75</v>
      </c>
      <c r="DH327" s="45">
        <f>('[2]Renewable Diesel'!AS336*'[2]Feedstock Conversion Rates'!$B$4*$DH$3)/12</f>
        <v>75</v>
      </c>
      <c r="DI327" s="47">
        <f t="shared" si="273"/>
        <v>75</v>
      </c>
      <c r="DJ327" s="45">
        <f>('[2]Renewable Diesel'!AT336*'[2]Feedstock Conversion Rates'!$B$4*0.25)/12</f>
        <v>8.59375</v>
      </c>
      <c r="DK327" s="45">
        <f>('[2]Renewable Diesel'!$AT336*'[2]RD Feedstock Breakdown'!DK$3*'[2]Feedstock Conversion Rates'!$B$3)/12*0.5</f>
        <v>9.1781249999999996</v>
      </c>
      <c r="DL327" s="45">
        <f>('[2]Renewable Diesel'!$AT336*'[2]RD Feedstock Breakdown'!$DL$3*'[2]Feedstock Conversion Rates'!$B$6)/12</f>
        <v>10.747916666666669</v>
      </c>
      <c r="DM327" s="45">
        <f>('[2]Renewable Diesel'!$AT336*'[2]RD Feedstock Breakdown'!$DM$3*'[2]Feedstock Conversion Rates'!$B$8)/12</f>
        <v>10.7421875</v>
      </c>
      <c r="DN327" s="47">
        <f t="shared" si="249"/>
        <v>39.26197916666667</v>
      </c>
      <c r="DP327" s="45">
        <f t="shared" si="216"/>
        <v>48.220250000000007</v>
      </c>
      <c r="DQ327" s="45">
        <f t="shared" si="217"/>
        <v>479.11776749999996</v>
      </c>
      <c r="DR327" s="45">
        <f t="shared" si="224"/>
        <v>1869.453125</v>
      </c>
      <c r="DS327" s="45">
        <f t="shared" si="235"/>
        <v>228.90125</v>
      </c>
      <c r="DT327" s="45">
        <f t="shared" si="218"/>
        <v>225.53923333333341</v>
      </c>
      <c r="DU327" s="45">
        <f t="shared" si="219"/>
        <v>345.40610000000004</v>
      </c>
      <c r="DV327" s="45">
        <f t="shared" si="225"/>
        <v>78.75</v>
      </c>
      <c r="DW327" s="45">
        <f t="shared" si="220"/>
        <v>3</v>
      </c>
      <c r="DX327" s="47">
        <f t="shared" si="226"/>
        <v>3278.3877258333337</v>
      </c>
      <c r="DY327" s="50">
        <f t="shared" si="208"/>
        <v>-5.631051180898794E-13</v>
      </c>
      <c r="EA327" s="51">
        <f t="shared" si="263"/>
        <v>1.4708525663401481E-2</v>
      </c>
      <c r="EB327" s="51">
        <f t="shared" si="263"/>
        <v>0.14614432689721377</v>
      </c>
      <c r="EC327" s="51">
        <f t="shared" si="263"/>
        <v>0.57023551859620369</v>
      </c>
      <c r="ED327" s="51">
        <f t="shared" si="261"/>
        <v>6.9821286907672142E-2</v>
      </c>
      <c r="EE327" s="51">
        <f t="shared" si="261"/>
        <v>6.8795777740414635E-2</v>
      </c>
      <c r="EF327" s="51">
        <f t="shared" si="261"/>
        <v>0.10535852647270427</v>
      </c>
      <c r="EG327" s="51">
        <f t="shared" si="261"/>
        <v>2.4020953769274662E-2</v>
      </c>
      <c r="EH327" s="52">
        <f t="shared" si="227"/>
        <v>9.1508395311522522E-4</v>
      </c>
      <c r="EI327" s="51">
        <f t="shared" si="271"/>
        <v>0.99908491604688465</v>
      </c>
      <c r="EK327" s="53">
        <f>(EA327*'[2]Renewable Diesel'!BF336*'[2]Feedstock Conversion Rates'!B$2)+FB327</f>
        <v>125.71917600568469</v>
      </c>
      <c r="EL327" s="53">
        <f>(EB327*'[2]Renewable Diesel'!BF336*'[2]Feedstock Conversion Rates'!B$3)+FC327</f>
        <v>1177.1395052241314</v>
      </c>
      <c r="EM327" s="53">
        <f>(EC327*'[2]Renewable Diesel'!BF336*'[2]Feedstock Conversion Rates'!B$4)+FD327</f>
        <v>4300.5993599147332</v>
      </c>
      <c r="EN327" s="53">
        <f>(ED327*'[2]Renewable Diesel'!BF336*'[2]Feedstock Conversion Rates'!B$5)+FE327</f>
        <v>530.08834853521137</v>
      </c>
      <c r="EO327" s="53">
        <f>(EE327*'[2]Renewable Diesel'!BF336*'[2]Feedstock Conversion Rates'!B$6)+FF327</f>
        <v>648.9004580191945</v>
      </c>
      <c r="EP327" s="53">
        <f>(EF327*'[2]Renewable Diesel'!BF336*'[2]Feedstock Conversion Rates'!B$7)+FG327</f>
        <v>974.70001544970035</v>
      </c>
      <c r="EQ327" s="53">
        <f>(EG327*'[2]Renewable Diesel'!BF336*'[2]Feedstock Conversion Rates'!B$8)+FH327</f>
        <v>226.45138507637446</v>
      </c>
      <c r="ER327" s="53">
        <f>(EH327*'[2]Renewable Diesel'!BF336*'[2]Feedstock Conversion Rates'!B$9)+FI327</f>
        <v>8.5116965057278531</v>
      </c>
      <c r="ES327" s="53">
        <f t="shared" si="228"/>
        <v>7992.109944730757</v>
      </c>
      <c r="ET327" s="36">
        <f>ES327/'[2]Renewable Diesel'!BF336</f>
        <v>7.9478194391172803</v>
      </c>
    </row>
    <row r="328" spans="1:150" x14ac:dyDescent="0.25">
      <c r="A328" s="39">
        <v>50406</v>
      </c>
      <c r="B328" s="45">
        <f t="shared" si="282"/>
        <v>1.75</v>
      </c>
      <c r="C328" s="45">
        <f t="shared" si="251"/>
        <v>49</v>
      </c>
      <c r="D328" s="45">
        <f t="shared" si="283"/>
        <v>2</v>
      </c>
      <c r="E328" s="45">
        <f>('[2]Renewable Diesel'!B337*E$3*'[2]Feedstock Conversion Rates'!$B$2)/12+26+13-100+27.5+39</f>
        <v>95.43</v>
      </c>
      <c r="F328" s="45">
        <f>('[2]Renewable Diesel'!B337*'[2]RD Feedstock Breakdown'!F$3*'[2]Feedstock Conversion Rates'!B$8)/12+77+23-10-12-115.75+24+8</f>
        <v>48.15625</v>
      </c>
      <c r="G328" s="45">
        <f>('[2]Renewable Diesel'!B337*'[2]RD Feedstock Breakdown'!G$3*'[2]Feedstock Conversion Rates'!B$7)/12+116.75-39-57.5-145-31.5+32+70-40+10+2.5</f>
        <v>94.407000000000039</v>
      </c>
      <c r="H328" s="45">
        <f>('[2]Renewable Diesel'!B337*'[2]RD Feedstock Breakdown'!H$3*'[2]Feedstock Conversion Rates'!B$3)/12+67+10+12+3-235+20+47-20+125</f>
        <v>205.40022499999998</v>
      </c>
      <c r="I328" s="47">
        <f t="shared" si="245"/>
        <v>496.14347500000002</v>
      </c>
      <c r="J328" s="45">
        <f t="shared" si="281"/>
        <v>4</v>
      </c>
      <c r="K328" s="45"/>
      <c r="L328" s="45">
        <v>1</v>
      </c>
      <c r="M328" s="45">
        <f>('[2]Renewable Diesel'!C337*'[2]RD Feedstock Breakdown'!M$3*'[2]Feedstock Conversion Rates'!B$2)/12-55</f>
        <v>-47.20975</v>
      </c>
      <c r="N328" s="45">
        <f>('[2]Renewable Diesel'!C337*'[2]RD Feedstock Breakdown'!N$3*'[2]Feedstock Conversion Rates'!B$8)/12</f>
        <v>3.671875</v>
      </c>
      <c r="O328" s="45">
        <f>('[2]Renewable Diesel'!C337*'[2]RD Feedstock Breakdown'!O$3*'[2]Feedstock Conversion Rates'!B$7)/12</f>
        <v>11.9991</v>
      </c>
      <c r="P328" s="45">
        <f>('[2]Renewable Diesel'!C337*'[2]RD Feedstock Breakdown'!P$3*'[2]Feedstock Conversion Rates'!B$3)/12+15+35</f>
        <v>60.447042500000002</v>
      </c>
      <c r="Q328" s="47">
        <f t="shared" si="252"/>
        <v>33.908267500000001</v>
      </c>
      <c r="R328" s="45">
        <f>('[2]Renewable Diesel'!D337*'[2]RD Feedstock Breakdown'!R$3*'[2]Feedstock Conversion Rates'!B$7)/12</f>
        <v>2.2999999999999998</v>
      </c>
      <c r="S328" s="47">
        <f t="shared" si="279"/>
        <v>2.2999999999999998</v>
      </c>
      <c r="T328" s="45">
        <f t="shared" si="253"/>
        <v>0.82499999999999929</v>
      </c>
      <c r="U328" s="45"/>
      <c r="V328" s="45">
        <f>('[2]Renewable Diesel'!E337*'[2]RD Feedstock Breakdown'!V$3*'[2]Feedstock Conversion Rates'!B$6)/12-20+25</f>
        <v>49.250150000000012</v>
      </c>
      <c r="W328" s="45">
        <f>('[2]Renewable Diesel'!E337*'[2]RD Feedstock Breakdown'!W$3*'[2]Feedstock Conversion Rates'!B$8)/12-6</f>
        <v>16.1796875</v>
      </c>
      <c r="X328" s="47">
        <f t="shared" si="229"/>
        <v>66.254837500000008</v>
      </c>
      <c r="Y328" s="45">
        <f t="shared" si="254"/>
        <v>98</v>
      </c>
      <c r="Z328" s="45">
        <f>('[2]Renewable Diesel'!F337*'[2]RD Feedstock Breakdown'!Z$3*'[2]Feedstock Conversion Rates'!B$6)/12-142+15+5+20+5+5</f>
        <v>67.460000000000008</v>
      </c>
      <c r="AA328" s="45">
        <f>('[2]Renewable Diesel'!F337*'[2]RD Feedstock Breakdown'!AA$3*'[2]Feedstock Conversion Rates'!B$7)/12+24</f>
        <v>128.26666666666665</v>
      </c>
      <c r="AB328" s="47">
        <f t="shared" si="270"/>
        <v>293.72666666666669</v>
      </c>
      <c r="AC328" s="45">
        <f>('[2]Renewable Diesel'!G337*'[2]RD Feedstock Breakdown'!AC$3*'[2]Feedstock Conversion Rates'!B$5)/12</f>
        <v>11.796875</v>
      </c>
      <c r="AD328" s="45">
        <f>('[2]Renewable Diesel'!G337*'[2]RD Feedstock Breakdown'!AD$3*'[2]Feedstock Conversion Rates'!B$4)/12</f>
        <v>5.859375</v>
      </c>
      <c r="AE328" s="45">
        <f>('[2]Renewable Diesel'!G337*'[2]RD Feedstock Breakdown'!AE$3*'[2]Feedstock Conversion Rates'!B$6)/12</f>
        <v>7.3281250000000009</v>
      </c>
      <c r="AF328" s="47">
        <f t="shared" si="236"/>
        <v>24.984375</v>
      </c>
      <c r="AG328" s="45">
        <f t="shared" si="259"/>
        <v>148</v>
      </c>
      <c r="AH328" s="45"/>
      <c r="AI328" s="45">
        <f>('[2]Renewable Diesel'!H337*'[2]RD Feedstock Breakdown'!AI$3*'[2]Feedstock Conversion Rates'!B$6)/12-130-20+51-49</f>
        <v>0.51666666666667993</v>
      </c>
      <c r="AJ328" s="47">
        <f t="shared" si="278"/>
        <v>148.51666666666668</v>
      </c>
      <c r="AK328" s="45">
        <f>('[2]Renewable Diesel'!J337*'[2]RD Feedstock Breakdown'!AK$3*'[2]Feedstock Conversion Rates'!B$4)/12</f>
        <v>95.8125</v>
      </c>
      <c r="AL328" s="47">
        <f t="shared" si="280"/>
        <v>95.8125</v>
      </c>
      <c r="AM328" s="45">
        <f>('[2]Renewable Diesel'!K337*'[2]RD Feedstock Breakdown'!AM$3*'[2]Feedstock Conversion Rates'!B$4)/12+5+15-10+10</f>
        <v>78.59375</v>
      </c>
      <c r="AN328" s="45">
        <f>('[2]Renewable Diesel'!K337*'[2]RD Feedstock Breakdown'!AN$3*'[2]Feedstock Conversion Rates'!B$6)/12-5-15+10-10</f>
        <v>4.4270833333333321</v>
      </c>
      <c r="AO328" s="47">
        <f t="shared" si="223"/>
        <v>83.020833333333329</v>
      </c>
      <c r="AP328" s="45">
        <f>('[2]Renewable Diesel'!L337*'[2]RD Feedstock Breakdown'!AP$3*'[2]Feedstock Conversion Rates'!B$4)/12+15-10+15</f>
        <v>78.59375</v>
      </c>
      <c r="AQ328" s="45">
        <f>('[2]Renewable Diesel'!L337*'[2]RD Feedstock Breakdown'!AQ$3*'[2]Feedstock Conversion Rates'!B$6)/12-15+10-15</f>
        <v>4.4270833333333321</v>
      </c>
      <c r="AR328" s="47">
        <f t="shared" si="207"/>
        <v>83.020833333333329</v>
      </c>
      <c r="AS328" s="45">
        <f>('[2]Renewable Diesel'!M337*'[2]RD Feedstock Breakdown'!AS$3*'[2]Feedstock Conversion Rates'!B$4)/12</f>
        <v>456.25</v>
      </c>
      <c r="AT328" s="45">
        <f>('[2]Renewable Diesel'!M337*'[2]RD Feedstock Breakdown'!AT$3*'[2]Feedstock Conversion Rates'!B$5)/12</f>
        <v>0</v>
      </c>
      <c r="AU328" s="47">
        <f t="shared" si="244"/>
        <v>456.25</v>
      </c>
      <c r="AV328" s="45">
        <f>'[2]Renewable Diesel'!N337*'[2]RD Feedstock Breakdown'!$AV$3*'[2]Feedstock Conversion Rates'!$B$4/12-15-10+25+25-22+25</f>
        <v>106.74999999999999</v>
      </c>
      <c r="AW328" s="45">
        <f>'[2]Renewable Diesel'!N337*'[2]RD Feedstock Breakdown'!$AW$3*'[2]Feedstock Conversion Rates'!$B$7/12+15+10-25-25+22-25</f>
        <v>13.400000000000006</v>
      </c>
      <c r="AX328" s="47">
        <f t="shared" si="272"/>
        <v>120.14999999999999</v>
      </c>
      <c r="AY328" s="45">
        <f>('[2]Renewable Diesel'!O337*'[2]RD Feedstock Breakdown'!AY$3*'[2]Feedstock Conversion Rates'!B$4)/12</f>
        <v>210.9375</v>
      </c>
      <c r="AZ328" s="45">
        <f>('[2]Renewable Diesel'!O337*'[2]RD Feedstock Breakdown'!AZ$3*'[2]Feedstock Conversion Rates'!B$3)/12</f>
        <v>25.03125</v>
      </c>
      <c r="BA328" s="47">
        <f t="shared" si="255"/>
        <v>235.96875</v>
      </c>
      <c r="BB328" s="45">
        <f>('[2]Renewable Diesel'!Q337*'[2]RD Feedstock Breakdown'!BB$3*'[2]Feedstock Conversion Rates'!B$4)/12</f>
        <v>11.156249999999998</v>
      </c>
      <c r="BC328" s="45">
        <f>('[2]Renewable Diesel'!Q337*'[2]RD Feedstock Breakdown'!BC$3*'[2]Feedstock Conversion Rates'!B$3)/12</f>
        <v>1.4017500000000001</v>
      </c>
      <c r="BD328" s="45">
        <f>('[2]Renewable Diesel'!Q337*'[2]RD Feedstock Breakdown'!BD$3*'[2]Feedstock Conversion Rates'!B$6)/12</f>
        <v>0.8207500000000002</v>
      </c>
      <c r="BE328" s="47">
        <f t="shared" si="231"/>
        <v>13.378749999999998</v>
      </c>
      <c r="BF328" s="45">
        <f>('[2]Renewable Diesel'!R337*'[2]RD Feedstock Breakdown'!BF$3*'[2]Feedstock Conversion Rates'!B$4)/12</f>
        <v>62.5</v>
      </c>
      <c r="BG328" s="47">
        <f t="shared" si="215"/>
        <v>62.5</v>
      </c>
      <c r="BH328" s="45">
        <f>('[2]Renewable Diesel'!T337*'[2]RD Feedstock Breakdown'!BH$3*'[2]Feedstock Conversion Rates'!B$7)/12</f>
        <v>27.599999999999998</v>
      </c>
      <c r="BI328" s="47">
        <f t="shared" si="277"/>
        <v>27.599999999999998</v>
      </c>
      <c r="BJ328" s="45">
        <f>('[2]Renewable Diesel'!W337*'[2]RD Feedstock Breakdown'!BJ$3*'[2]Feedstock Conversion Rates'!B$4)/12</f>
        <v>7.5</v>
      </c>
      <c r="BK328" s="45">
        <f>('[2]Renewable Diesel'!W337*'[2]RD Feedstock Breakdown'!BK$3*'[2]Feedstock Conversion Rates'!B$3)/12</f>
        <v>1.335</v>
      </c>
      <c r="BL328" s="45">
        <f>('[2]Renewable Diesel'!W337*'[2]RD Feedstock Breakdown'!BL$3*'[2]Feedstock Conversion Rates'!B$6)/12</f>
        <v>3.1266666666666669</v>
      </c>
      <c r="BM328" s="45">
        <f>('[2]Renewable Diesel'!W337*'[2]RD Feedstock Breakdown'!BM$3*'[2]Feedstock Conversion Rates'!B$7)/12</f>
        <v>1.5333333333333332</v>
      </c>
      <c r="BN328" s="47">
        <f t="shared" si="248"/>
        <v>13.495000000000001</v>
      </c>
      <c r="BO328" s="45">
        <f>('[2]Renewable Diesel'!P337*'[2]Feedstock Conversion Rates'!B$4)/12</f>
        <v>31.25</v>
      </c>
      <c r="BP328" s="47">
        <f t="shared" si="237"/>
        <v>31.25</v>
      </c>
      <c r="BQ328" s="45">
        <f>('[2]Renewable Diesel'!$S337*'[2]RD Feedstock Breakdown'!BQ$3*'[2]Feedstock Conversion Rates'!B$4)/12+10+15-15</f>
        <v>38.125</v>
      </c>
      <c r="BR328" s="45">
        <f>('[2]Renewable Diesel'!$S337*'[2]RD Feedstock Breakdown'!BR$3*'[2]Feedstock Conversion Rates'!B$7)/12-10-15+15</f>
        <v>1.5</v>
      </c>
      <c r="BS328" s="47">
        <f t="shared" si="260"/>
        <v>39.625</v>
      </c>
      <c r="BT328" s="47"/>
      <c r="BU328" s="45">
        <f>('[2]Renewable Diesel'!Y337*'[2]Feedstock Conversion Rates'!B$7)/12</f>
        <v>2.6833333333333331</v>
      </c>
      <c r="BV328" s="47">
        <f t="shared" si="233"/>
        <v>2.6833333333333331</v>
      </c>
      <c r="BW328" s="45">
        <f>('[2]Renewable Diesel'!$Z337*'[2]RD Feedstock Breakdown'!BW$3*'[2]Feedstock Conversion Rates'!$B$4)/12-50</f>
        <v>21.875</v>
      </c>
      <c r="BX328" s="45">
        <f>('[2]Renewable Diesel'!$Z337*'[2]RD Feedstock Breakdown'!BX$3*'[2]Feedstock Conversion Rates'!$B$5)/12</f>
        <v>7.2354166666666666</v>
      </c>
      <c r="BY328" s="45">
        <f>('[2]Renewable Diesel'!$Z337*'[2]RD Feedstock Breakdown'!BY$3*'[2]Feedstock Conversion Rates'!$B$7)/12</f>
        <v>61.716666666666661</v>
      </c>
      <c r="BZ328" s="45">
        <f>('[2]Renewable Diesel'!$Z337*'[2]RD Feedstock Breakdown'!BZ$3*'[2]Feedstock Conversion Rates'!$B$3)/12+50</f>
        <v>65.352499999999992</v>
      </c>
      <c r="CA328" s="47">
        <f t="shared" si="262"/>
        <v>156.17958333333331</v>
      </c>
      <c r="CB328" s="45">
        <f>('[2]Renewable Diesel'!AA337*'[2]Feedstock Conversion Rates'!B$4)/12</f>
        <v>191.25</v>
      </c>
      <c r="CC328" s="47">
        <f t="shared" si="250"/>
        <v>191.25</v>
      </c>
      <c r="CD328" s="45">
        <f>('[2]Renewable Diesel'!$AB337*'[2]RD Feedstock Breakdown'!CD$3*'[2]Feedstock Conversion Rates'!$B$6)/12-15-5</f>
        <v>12.830000000000005</v>
      </c>
      <c r="CE328" s="45">
        <f>('[2]Renewable Diesel'!$AB337*'[2]RD Feedstock Breakdown'!CE$3*'[2]Feedstock Conversion Rates'!$B$4)/12+15+5</f>
        <v>31.25</v>
      </c>
      <c r="CF328" s="47">
        <f t="shared" si="247"/>
        <v>44.080000000000005</v>
      </c>
      <c r="CG328" s="45">
        <f>('[2]Renewable Diesel'!AD337*'[2]Feedstock Conversion Rates'!B$4)/12</f>
        <v>112.5</v>
      </c>
      <c r="CH328" s="47">
        <f t="shared" si="230"/>
        <v>112.5</v>
      </c>
      <c r="CI328" s="45">
        <f>('[2]Renewable Diesel'!$AE337*'[2]RD Feedstock Breakdown'!CI$3*'[2]Feedstock Conversion Rates'!$B$5)/12</f>
        <v>0.34604166666666664</v>
      </c>
      <c r="CJ328" s="45">
        <f>('[2]Renewable Diesel'!$AE337*'[2]RD Feedstock Breakdown'!CJ$3*'[2]Feedstock Conversion Rates'!$B$4)/12</f>
        <v>0.34375</v>
      </c>
      <c r="CK328" s="47">
        <f t="shared" si="238"/>
        <v>0.68979166666666658</v>
      </c>
      <c r="CL328" s="45">
        <f>(((CL$3*'[2]Renewable Diesel'!$AF337)*'[2]Feedstock Conversion Rates'!$B$3)/12)</f>
        <v>91.78125</v>
      </c>
      <c r="CM328" s="45">
        <f>(((CM$3*'[2]Renewable Diesel'!$AF337)*'[2]Feedstock Conversion Rates'!$B$6)/12)</f>
        <v>53.739583333333336</v>
      </c>
      <c r="CN328" s="45">
        <f>(((CN$3*'[2]Renewable Diesel'!$AF337)*'[2]Feedstock Conversion Rates'!$B$4)/12)</f>
        <v>42.96875</v>
      </c>
      <c r="CO328" s="47">
        <f t="shared" si="232"/>
        <v>188.48958333333334</v>
      </c>
      <c r="CP328" s="45">
        <f>('[2]Renewable Diesel'!$AG337*'[2]RD Feedstock Breakdown'!CP$3*'[2]Feedstock Conversion Rates'!$B$3)/12</f>
        <v>6.0075000000000003</v>
      </c>
      <c r="CQ328" s="45">
        <f>('[2]Renewable Diesel'!$AG337*'[2]RD Feedstock Breakdown'!CQ$3*'[2]Feedstock Conversion Rates'!$B$6)/12</f>
        <v>3.5175000000000001</v>
      </c>
      <c r="CR328" s="45">
        <f>('[2]Renewable Diesel'!$AG337*'[2]RD Feedstock Breakdown'!CR$3*'[2]Feedstock Conversion Rates'!$B$4)/12</f>
        <v>2.8125</v>
      </c>
      <c r="CS328" s="47">
        <f t="shared" si="267"/>
        <v>12.3375</v>
      </c>
      <c r="CT328" s="45">
        <f>('[2]Renewable Diesel'!AI337*'[2]Feedstock Conversion Rates'!$B$4*'[2]RD Feedstock Breakdown'!$CT$3)/12</f>
        <v>29.375</v>
      </c>
      <c r="CU328" s="47">
        <f t="shared" si="234"/>
        <v>29.375</v>
      </c>
      <c r="CV328" s="45">
        <f>('[2]Renewable Diesel'!AN337*'[2]Feedstock Conversion Rates'!$B$3*'[2]RD Feedstock Breakdown'!$CV$3)/12</f>
        <v>0.50062499999999999</v>
      </c>
      <c r="CW328" s="47">
        <f t="shared" si="284"/>
        <v>0.50062499999999999</v>
      </c>
      <c r="CX328" s="45">
        <f>('[2]Renewable Diesel'!AO337*'[2]RD Feedstock Breakdown'!$CX$3*'[2]Feedstock Conversion Rates'!$B$3)/12</f>
        <v>6.3412499999999996</v>
      </c>
      <c r="CY328" s="45">
        <f>('[2]Renewable Diesel'!AO337*'[2]RD Feedstock Breakdown'!$CY$3*'[2]Feedstock Conversion Rates'!$B$6)/12</f>
        <v>7.4258333333333342</v>
      </c>
      <c r="CZ328" s="47">
        <f t="shared" si="268"/>
        <v>13.767083333333334</v>
      </c>
      <c r="DA328" s="45">
        <f>('[2]Renewable Diesel'!$AP337*'[2]RD Feedstock Breakdown'!DA$3*'[2]Feedstock Conversion Rates'!$B$3)/12</f>
        <v>6.3412499999999996</v>
      </c>
      <c r="DB328" s="45">
        <f>('[2]Renewable Diesel'!$AP337*'[2]RD Feedstock Breakdown'!DB$3*'[2]Feedstock Conversion Rates'!$B$8)/12</f>
        <v>7.421875</v>
      </c>
      <c r="DC328" s="47">
        <f t="shared" si="212"/>
        <v>13.763124999999999</v>
      </c>
      <c r="DD328" s="45">
        <f>('[2]Renewable Diesel'!AQ337*$DD$3*'[2]Feedstock Conversion Rates'!$B$14)/12</f>
        <v>3.1041666666666665</v>
      </c>
      <c r="DE328" s="47">
        <f t="shared" si="213"/>
        <v>3.1041666666666665</v>
      </c>
      <c r="DF328" s="45">
        <f>('[2]Renewable Diesel'!AR337*'[2]Feedstock Conversion Rates'!$B$4*$DF$3)/12</f>
        <v>75</v>
      </c>
      <c r="DG328" s="47">
        <f t="shared" si="269"/>
        <v>75</v>
      </c>
      <c r="DH328" s="45">
        <f>('[2]Renewable Diesel'!AS337*'[2]Feedstock Conversion Rates'!$B$4*$DH$3)/12</f>
        <v>75</v>
      </c>
      <c r="DI328" s="47">
        <f t="shared" si="273"/>
        <v>75</v>
      </c>
      <c r="DJ328" s="45">
        <f>('[2]Renewable Diesel'!AT337*'[2]Feedstock Conversion Rates'!$B$4*0.25)/12</f>
        <v>8.59375</v>
      </c>
      <c r="DK328" s="45">
        <f>('[2]Renewable Diesel'!$AT337*'[2]RD Feedstock Breakdown'!DK$3*'[2]Feedstock Conversion Rates'!$B$3)/12*0.5</f>
        <v>9.1781249999999996</v>
      </c>
      <c r="DL328" s="45">
        <f>('[2]Renewable Diesel'!$AT337*'[2]RD Feedstock Breakdown'!$DL$3*'[2]Feedstock Conversion Rates'!$B$6)/12</f>
        <v>10.747916666666669</v>
      </c>
      <c r="DM328" s="45">
        <f>('[2]Renewable Diesel'!$AT337*'[2]RD Feedstock Breakdown'!$DM$3*'[2]Feedstock Conversion Rates'!$B$8)/12</f>
        <v>10.7421875</v>
      </c>
      <c r="DN328" s="47">
        <f t="shared" si="249"/>
        <v>39.26197916666667</v>
      </c>
      <c r="DP328" s="45">
        <f t="shared" si="216"/>
        <v>48.220250000000007</v>
      </c>
      <c r="DQ328" s="45">
        <f t="shared" si="217"/>
        <v>479.11776749999996</v>
      </c>
      <c r="DR328" s="45">
        <f t="shared" si="224"/>
        <v>1869.453125</v>
      </c>
      <c r="DS328" s="45">
        <f t="shared" si="235"/>
        <v>228.90125</v>
      </c>
      <c r="DT328" s="45">
        <f t="shared" si="218"/>
        <v>233.03923333333344</v>
      </c>
      <c r="DU328" s="45">
        <f t="shared" si="219"/>
        <v>345.40610000000004</v>
      </c>
      <c r="DV328" s="45">
        <f t="shared" si="225"/>
        <v>78.75</v>
      </c>
      <c r="DW328" s="45">
        <f t="shared" si="220"/>
        <v>3</v>
      </c>
      <c r="DX328" s="47">
        <f t="shared" si="226"/>
        <v>3285.8877258333337</v>
      </c>
      <c r="DY328" s="50">
        <f t="shared" si="208"/>
        <v>-5.631051180898794E-13</v>
      </c>
      <c r="EA328" s="51">
        <f t="shared" si="263"/>
        <v>1.4674953626959629E-2</v>
      </c>
      <c r="EB328" s="51">
        <f t="shared" si="263"/>
        <v>0.14581075419382777</v>
      </c>
      <c r="EC328" s="51">
        <f t="shared" si="263"/>
        <v>0.56893396274697372</v>
      </c>
      <c r="ED328" s="51">
        <f t="shared" si="261"/>
        <v>6.9661920643362324E-2</v>
      </c>
      <c r="EE328" s="51">
        <f t="shared" si="261"/>
        <v>7.0921240400638574E-2</v>
      </c>
      <c r="EF328" s="51">
        <f t="shared" si="261"/>
        <v>0.10511804687800208</v>
      </c>
      <c r="EG328" s="51">
        <f t="shared" si="261"/>
        <v>2.3966126225456536E-2</v>
      </c>
      <c r="EH328" s="52">
        <f t="shared" si="227"/>
        <v>9.1299528477929671E-4</v>
      </c>
      <c r="EI328" s="51">
        <f t="shared" si="271"/>
        <v>0.99908700471522072</v>
      </c>
      <c r="EK328" s="53">
        <f>(EA328*'[2]Renewable Diesel'!BF337*'[2]Feedstock Conversion Rates'!B$2)+FB328</f>
        <v>77.047701871861008</v>
      </c>
      <c r="EL328" s="53">
        <f>(EB328*'[2]Renewable Diesel'!BF337*'[2]Feedstock Conversion Rates'!B$3)+FC328</f>
        <v>721.41654552363468</v>
      </c>
      <c r="EM328" s="53">
        <f>(EC328*'[2]Renewable Diesel'!BF337*'[2]Feedstock Conversion Rates'!B$4)+FD328</f>
        <v>2635.6464294519706</v>
      </c>
      <c r="EN328" s="53">
        <f>(ED328*'[2]Renewable Diesel'!BF337*'[2]Feedstock Conversion Rates'!B$5)+FE328</f>
        <v>324.86761639164217</v>
      </c>
      <c r="EO328" s="53">
        <f>(EE328*'[2]Renewable Diesel'!BF337*'[2]Feedstock Conversion Rates'!B$6)+FF328</f>
        <v>410.90666649034199</v>
      </c>
      <c r="EP328" s="53">
        <f>(EF328*'[2]Renewable Diesel'!BF337*'[2]Feedstock Conversion Rates'!B$7)+FG328</f>
        <v>597.35036921870278</v>
      </c>
      <c r="EQ328" s="53">
        <f>(EG328*'[2]Renewable Diesel'!BF337*'[2]Feedstock Conversion Rates'!B$8)+FH328</f>
        <v>138.7820009657521</v>
      </c>
      <c r="ER328" s="53">
        <f>(EH328*'[2]Renewable Diesel'!BF337*'[2]Feedstock Conversion Rates'!B$9)+FI328</f>
        <v>5.2164409251889046</v>
      </c>
      <c r="ES328" s="53">
        <f t="shared" si="228"/>
        <v>4911.2337708390933</v>
      </c>
      <c r="ET328" s="36">
        <f>ES328/'[2]Renewable Diesel'!BF337</f>
        <v>7.9510883743648773</v>
      </c>
    </row>
    <row r="329" spans="1:150" x14ac:dyDescent="0.25">
      <c r="A329" s="39">
        <v>50437</v>
      </c>
      <c r="B329" s="45">
        <f t="shared" si="282"/>
        <v>1.75</v>
      </c>
      <c r="C329" s="45">
        <f t="shared" si="251"/>
        <v>49</v>
      </c>
      <c r="D329" s="45">
        <f t="shared" si="283"/>
        <v>2</v>
      </c>
      <c r="E329" s="45">
        <f>('[2]Renewable Diesel'!B338*E$3*'[2]Feedstock Conversion Rates'!$B$2)/12+26+13-100+27.5+39</f>
        <v>95.43</v>
      </c>
      <c r="F329" s="45">
        <f>('[2]Renewable Diesel'!B338*'[2]RD Feedstock Breakdown'!F$3*'[2]Feedstock Conversion Rates'!B$8)/12+77+23-10-12-115.75+24+8</f>
        <v>48.15625</v>
      </c>
      <c r="G329" s="45">
        <f>('[2]Renewable Diesel'!B338*'[2]RD Feedstock Breakdown'!G$3*'[2]Feedstock Conversion Rates'!B$7)/12+116.75-39-57.5-145-31.5+32+70-40+10+2.5</f>
        <v>94.407000000000039</v>
      </c>
      <c r="H329" s="45">
        <f>('[2]Renewable Diesel'!B338*'[2]RD Feedstock Breakdown'!H$3*'[2]Feedstock Conversion Rates'!B$3)/12+67+10+12+3-235+20+47-20+125</f>
        <v>205.40022499999998</v>
      </c>
      <c r="I329" s="47">
        <f t="shared" si="245"/>
        <v>496.14347500000002</v>
      </c>
      <c r="J329" s="45">
        <f t="shared" si="281"/>
        <v>4</v>
      </c>
      <c r="K329" s="45"/>
      <c r="L329" s="45">
        <v>1</v>
      </c>
      <c r="M329" s="45">
        <f>('[2]Renewable Diesel'!C338*'[2]RD Feedstock Breakdown'!M$3*'[2]Feedstock Conversion Rates'!B$2)/12-55</f>
        <v>-47.20975</v>
      </c>
      <c r="N329" s="45">
        <f>('[2]Renewable Diesel'!C338*'[2]RD Feedstock Breakdown'!N$3*'[2]Feedstock Conversion Rates'!B$8)/12</f>
        <v>3.671875</v>
      </c>
      <c r="O329" s="45">
        <f>('[2]Renewable Diesel'!C338*'[2]RD Feedstock Breakdown'!O$3*'[2]Feedstock Conversion Rates'!B$7)/12</f>
        <v>11.9991</v>
      </c>
      <c r="P329" s="45">
        <f>('[2]Renewable Diesel'!C338*'[2]RD Feedstock Breakdown'!P$3*'[2]Feedstock Conversion Rates'!B$3)/12+15+35</f>
        <v>60.447042500000002</v>
      </c>
      <c r="Q329" s="47">
        <f t="shared" si="252"/>
        <v>33.908267500000001</v>
      </c>
      <c r="R329" s="45">
        <f>('[2]Renewable Diesel'!D338*'[2]RD Feedstock Breakdown'!R$3*'[2]Feedstock Conversion Rates'!B$7)/12</f>
        <v>2.2999999999999998</v>
      </c>
      <c r="S329" s="47">
        <f t="shared" si="279"/>
        <v>2.2999999999999998</v>
      </c>
      <c r="T329" s="45">
        <f t="shared" si="253"/>
        <v>0.82499999999999929</v>
      </c>
      <c r="U329" s="45"/>
      <c r="V329" s="45">
        <f>('[2]Renewable Diesel'!E338*'[2]RD Feedstock Breakdown'!V$3*'[2]Feedstock Conversion Rates'!B$6)/12-20+25</f>
        <v>49.250150000000012</v>
      </c>
      <c r="W329" s="45">
        <f>('[2]Renewable Diesel'!E338*'[2]RD Feedstock Breakdown'!W$3*'[2]Feedstock Conversion Rates'!B$8)/12-6</f>
        <v>16.1796875</v>
      </c>
      <c r="X329" s="47">
        <f t="shared" si="229"/>
        <v>66.254837500000008</v>
      </c>
      <c r="Y329" s="45">
        <f t="shared" si="254"/>
        <v>98</v>
      </c>
      <c r="Z329" s="45">
        <f>('[2]Renewable Diesel'!F338*'[2]RD Feedstock Breakdown'!Z$3*'[2]Feedstock Conversion Rates'!B$6)/12-142+15+5+20+5+5</f>
        <v>67.460000000000008</v>
      </c>
      <c r="AA329" s="45">
        <f>('[2]Renewable Diesel'!F338*'[2]RD Feedstock Breakdown'!AA$3*'[2]Feedstock Conversion Rates'!B$7)/12+24</f>
        <v>128.26666666666665</v>
      </c>
      <c r="AB329" s="47">
        <f t="shared" si="270"/>
        <v>293.72666666666669</v>
      </c>
      <c r="AC329" s="45">
        <f>('[2]Renewable Diesel'!G338*'[2]RD Feedstock Breakdown'!AC$3*'[2]Feedstock Conversion Rates'!B$5)/12</f>
        <v>11.796875</v>
      </c>
      <c r="AD329" s="45">
        <f>('[2]Renewable Diesel'!G338*'[2]RD Feedstock Breakdown'!AD$3*'[2]Feedstock Conversion Rates'!B$4)/12</f>
        <v>5.859375</v>
      </c>
      <c r="AE329" s="45">
        <f>('[2]Renewable Diesel'!G338*'[2]RD Feedstock Breakdown'!AE$3*'[2]Feedstock Conversion Rates'!B$6)/12</f>
        <v>7.3281250000000009</v>
      </c>
      <c r="AF329" s="47">
        <f t="shared" si="236"/>
        <v>24.984375</v>
      </c>
      <c r="AG329" s="45">
        <f t="shared" si="259"/>
        <v>148</v>
      </c>
      <c r="AH329" s="45"/>
      <c r="AI329" s="45">
        <f>('[2]Renewable Diesel'!H338*'[2]RD Feedstock Breakdown'!AI$3*'[2]Feedstock Conversion Rates'!B$6)/12-130-20+51-49</f>
        <v>0.51666666666667993</v>
      </c>
      <c r="AJ329" s="47">
        <f t="shared" si="278"/>
        <v>148.51666666666668</v>
      </c>
      <c r="AK329" s="45">
        <f>('[2]Renewable Diesel'!J338*'[2]RD Feedstock Breakdown'!AK$3*'[2]Feedstock Conversion Rates'!B$4)/12</f>
        <v>95.8125</v>
      </c>
      <c r="AL329" s="47">
        <f t="shared" si="280"/>
        <v>95.8125</v>
      </c>
      <c r="AM329" s="45">
        <f>('[2]Renewable Diesel'!K338*'[2]RD Feedstock Breakdown'!AM$3*'[2]Feedstock Conversion Rates'!B$4)/12+5+15-10+10</f>
        <v>78.59375</v>
      </c>
      <c r="AN329" s="45">
        <f>('[2]Renewable Diesel'!K338*'[2]RD Feedstock Breakdown'!AN$3*'[2]Feedstock Conversion Rates'!B$6)/12-5-15+10-10</f>
        <v>4.4270833333333321</v>
      </c>
      <c r="AO329" s="47">
        <f t="shared" si="223"/>
        <v>83.020833333333329</v>
      </c>
      <c r="AP329" s="45">
        <f>('[2]Renewable Diesel'!L338*'[2]RD Feedstock Breakdown'!AP$3*'[2]Feedstock Conversion Rates'!B$4)/12+15-10+15</f>
        <v>78.59375</v>
      </c>
      <c r="AQ329" s="45">
        <f>('[2]Renewable Diesel'!L338*'[2]RD Feedstock Breakdown'!AQ$3*'[2]Feedstock Conversion Rates'!B$6)/12-15+10-15</f>
        <v>4.4270833333333321</v>
      </c>
      <c r="AR329" s="47">
        <f t="shared" ref="AR329:AR375" si="285">SUM(AP329:AQ329)</f>
        <v>83.020833333333329</v>
      </c>
      <c r="AS329" s="45">
        <f>('[2]Renewable Diesel'!M338*'[2]RD Feedstock Breakdown'!AS$3*'[2]Feedstock Conversion Rates'!B$4)/12</f>
        <v>456.25</v>
      </c>
      <c r="AT329" s="45">
        <f>('[2]Renewable Diesel'!M338*'[2]RD Feedstock Breakdown'!AT$3*'[2]Feedstock Conversion Rates'!B$5)/12</f>
        <v>0</v>
      </c>
      <c r="AU329" s="47">
        <f t="shared" si="244"/>
        <v>456.25</v>
      </c>
      <c r="AV329" s="45">
        <f>'[2]Renewable Diesel'!N338*'[2]RD Feedstock Breakdown'!$AV$3*'[2]Feedstock Conversion Rates'!$B$4/12-15-10+25+25-22+25</f>
        <v>106.74999999999999</v>
      </c>
      <c r="AW329" s="45">
        <f>'[2]Renewable Diesel'!N338*'[2]RD Feedstock Breakdown'!$AW$3*'[2]Feedstock Conversion Rates'!$B$7/12+15+10-25-25+22-25</f>
        <v>13.400000000000006</v>
      </c>
      <c r="AX329" s="47">
        <f t="shared" si="272"/>
        <v>120.14999999999999</v>
      </c>
      <c r="AY329" s="45">
        <f>('[2]Renewable Diesel'!O338*'[2]RD Feedstock Breakdown'!AY$3*'[2]Feedstock Conversion Rates'!B$4)/12</f>
        <v>210.9375</v>
      </c>
      <c r="AZ329" s="45">
        <f>('[2]Renewable Diesel'!O338*'[2]RD Feedstock Breakdown'!AZ$3*'[2]Feedstock Conversion Rates'!B$3)/12</f>
        <v>25.03125</v>
      </c>
      <c r="BA329" s="47">
        <f t="shared" si="255"/>
        <v>235.96875</v>
      </c>
      <c r="BB329" s="45">
        <f>('[2]Renewable Diesel'!Q338*'[2]RD Feedstock Breakdown'!BB$3*'[2]Feedstock Conversion Rates'!B$4)/12</f>
        <v>11.156249999999998</v>
      </c>
      <c r="BC329" s="45">
        <f>('[2]Renewable Diesel'!Q338*'[2]RD Feedstock Breakdown'!BC$3*'[2]Feedstock Conversion Rates'!B$3)/12</f>
        <v>1.4017500000000001</v>
      </c>
      <c r="BD329" s="45">
        <f>('[2]Renewable Diesel'!Q338*'[2]RD Feedstock Breakdown'!BD$3*'[2]Feedstock Conversion Rates'!B$6)/12</f>
        <v>0.8207500000000002</v>
      </c>
      <c r="BE329" s="47">
        <f t="shared" si="231"/>
        <v>13.378749999999998</v>
      </c>
      <c r="BF329" s="45">
        <f>('[2]Renewable Diesel'!R338*'[2]RD Feedstock Breakdown'!BF$3*'[2]Feedstock Conversion Rates'!B$4)/12</f>
        <v>62.5</v>
      </c>
      <c r="BG329" s="47">
        <f t="shared" si="215"/>
        <v>62.5</v>
      </c>
      <c r="BH329" s="45">
        <f>('[2]Renewable Diesel'!T338*'[2]RD Feedstock Breakdown'!BH$3*'[2]Feedstock Conversion Rates'!B$7)/12</f>
        <v>27.599999999999998</v>
      </c>
      <c r="BI329" s="47">
        <f t="shared" si="277"/>
        <v>27.599999999999998</v>
      </c>
      <c r="BJ329" s="45">
        <f>('[2]Renewable Diesel'!W338*'[2]RD Feedstock Breakdown'!BJ$3*'[2]Feedstock Conversion Rates'!B$4)/12</f>
        <v>7.5</v>
      </c>
      <c r="BK329" s="45">
        <f>('[2]Renewable Diesel'!W338*'[2]RD Feedstock Breakdown'!BK$3*'[2]Feedstock Conversion Rates'!B$3)/12</f>
        <v>1.335</v>
      </c>
      <c r="BL329" s="45">
        <f>('[2]Renewable Diesel'!W338*'[2]RD Feedstock Breakdown'!BL$3*'[2]Feedstock Conversion Rates'!B$6)/12</f>
        <v>3.1266666666666669</v>
      </c>
      <c r="BM329" s="45">
        <f>('[2]Renewable Diesel'!W338*'[2]RD Feedstock Breakdown'!BM$3*'[2]Feedstock Conversion Rates'!B$7)/12</f>
        <v>1.5333333333333332</v>
      </c>
      <c r="BN329" s="47">
        <f t="shared" si="248"/>
        <v>13.495000000000001</v>
      </c>
      <c r="BO329" s="45">
        <f>('[2]Renewable Diesel'!P338*'[2]Feedstock Conversion Rates'!B$4)/12</f>
        <v>31.25</v>
      </c>
      <c r="BP329" s="47">
        <f t="shared" si="237"/>
        <v>31.25</v>
      </c>
      <c r="BQ329" s="45">
        <f>('[2]Renewable Diesel'!$S338*'[2]RD Feedstock Breakdown'!BQ$3*'[2]Feedstock Conversion Rates'!B$4)/12+10+15-15</f>
        <v>38.125</v>
      </c>
      <c r="BR329" s="45">
        <f>('[2]Renewable Diesel'!$S338*'[2]RD Feedstock Breakdown'!BR$3*'[2]Feedstock Conversion Rates'!B$7)/12-10-15+15</f>
        <v>1.5</v>
      </c>
      <c r="BS329" s="47">
        <f t="shared" si="260"/>
        <v>39.625</v>
      </c>
      <c r="BT329" s="47"/>
      <c r="BU329" s="45">
        <f>('[2]Renewable Diesel'!Y338*'[2]Feedstock Conversion Rates'!B$7)/12</f>
        <v>2.6833333333333331</v>
      </c>
      <c r="BV329" s="47">
        <f t="shared" si="233"/>
        <v>2.6833333333333331</v>
      </c>
      <c r="BW329" s="45">
        <f>('[2]Renewable Diesel'!$Z338*'[2]RD Feedstock Breakdown'!BW$3*'[2]Feedstock Conversion Rates'!$B$4)/12-50</f>
        <v>21.875</v>
      </c>
      <c r="BX329" s="45">
        <f>('[2]Renewable Diesel'!$Z338*'[2]RD Feedstock Breakdown'!BX$3*'[2]Feedstock Conversion Rates'!$B$5)/12</f>
        <v>7.2354166666666666</v>
      </c>
      <c r="BY329" s="45">
        <f>('[2]Renewable Diesel'!$Z338*'[2]RD Feedstock Breakdown'!BY$3*'[2]Feedstock Conversion Rates'!$B$7)/12</f>
        <v>61.716666666666661</v>
      </c>
      <c r="BZ329" s="45">
        <f>('[2]Renewable Diesel'!$Z338*'[2]RD Feedstock Breakdown'!BZ$3*'[2]Feedstock Conversion Rates'!$B$3)/12+50</f>
        <v>65.352499999999992</v>
      </c>
      <c r="CA329" s="47">
        <f t="shared" si="262"/>
        <v>156.17958333333331</v>
      </c>
      <c r="CB329" s="45">
        <f>('[2]Renewable Diesel'!AA338*'[2]Feedstock Conversion Rates'!B$4)/12</f>
        <v>191.25</v>
      </c>
      <c r="CC329" s="47">
        <f t="shared" si="250"/>
        <v>191.25</v>
      </c>
      <c r="CD329" s="45">
        <f>('[2]Renewable Diesel'!$AB338*'[2]RD Feedstock Breakdown'!CD$3*'[2]Feedstock Conversion Rates'!$B$6)/12-15-5</f>
        <v>12.830000000000005</v>
      </c>
      <c r="CE329" s="45">
        <f>('[2]Renewable Diesel'!$AB338*'[2]RD Feedstock Breakdown'!CE$3*'[2]Feedstock Conversion Rates'!$B$4)/12+15+5</f>
        <v>31.25</v>
      </c>
      <c r="CF329" s="47">
        <f t="shared" si="247"/>
        <v>44.080000000000005</v>
      </c>
      <c r="CG329" s="45">
        <f>('[2]Renewable Diesel'!AD338*'[2]Feedstock Conversion Rates'!B$4)/12</f>
        <v>112.5</v>
      </c>
      <c r="CH329" s="47">
        <f t="shared" si="230"/>
        <v>112.5</v>
      </c>
      <c r="CI329" s="45">
        <f>('[2]Renewable Diesel'!$AE338*'[2]RD Feedstock Breakdown'!CI$3*'[2]Feedstock Conversion Rates'!$B$5)/12</f>
        <v>0.34604166666666664</v>
      </c>
      <c r="CJ329" s="45">
        <f>('[2]Renewable Diesel'!$AE338*'[2]RD Feedstock Breakdown'!CJ$3*'[2]Feedstock Conversion Rates'!$B$4)/12</f>
        <v>0.34375</v>
      </c>
      <c r="CK329" s="47">
        <f t="shared" si="238"/>
        <v>0.68979166666666658</v>
      </c>
      <c r="CL329" s="45">
        <f>(((CL$3*'[2]Renewable Diesel'!$AF338)*'[2]Feedstock Conversion Rates'!$B$3)/12)</f>
        <v>91.78125</v>
      </c>
      <c r="CM329" s="45">
        <f>(((CM$3*'[2]Renewable Diesel'!$AF338)*'[2]Feedstock Conversion Rates'!$B$6)/12)</f>
        <v>53.739583333333336</v>
      </c>
      <c r="CN329" s="45">
        <f>(((CN$3*'[2]Renewable Diesel'!$AF338)*'[2]Feedstock Conversion Rates'!$B$4)/12)</f>
        <v>42.96875</v>
      </c>
      <c r="CO329" s="47">
        <f t="shared" si="232"/>
        <v>188.48958333333334</v>
      </c>
      <c r="CP329" s="45">
        <f>('[2]Renewable Diesel'!$AG338*'[2]RD Feedstock Breakdown'!CP$3*'[2]Feedstock Conversion Rates'!$B$3)/12</f>
        <v>6.0075000000000003</v>
      </c>
      <c r="CQ329" s="45">
        <f>('[2]Renewable Diesel'!$AG338*'[2]RD Feedstock Breakdown'!CQ$3*'[2]Feedstock Conversion Rates'!$B$6)/12</f>
        <v>3.5175000000000001</v>
      </c>
      <c r="CR329" s="45">
        <f>('[2]Renewable Diesel'!$AG338*'[2]RD Feedstock Breakdown'!CR$3*'[2]Feedstock Conversion Rates'!$B$4)/12</f>
        <v>2.8125</v>
      </c>
      <c r="CS329" s="47">
        <f t="shared" si="267"/>
        <v>12.3375</v>
      </c>
      <c r="CT329" s="45">
        <f>('[2]Renewable Diesel'!AI338*'[2]Feedstock Conversion Rates'!$B$4*'[2]RD Feedstock Breakdown'!$CT$3)/12</f>
        <v>29.375</v>
      </c>
      <c r="CU329" s="47">
        <f t="shared" si="234"/>
        <v>29.375</v>
      </c>
      <c r="CV329" s="45">
        <f>('[2]Renewable Diesel'!AN338*'[2]Feedstock Conversion Rates'!$B$3*'[2]RD Feedstock Breakdown'!$CV$3)/12</f>
        <v>0.50062499999999999</v>
      </c>
      <c r="CW329" s="47">
        <f t="shared" si="284"/>
        <v>0.50062499999999999</v>
      </c>
      <c r="CX329" s="45">
        <f>('[2]Renewable Diesel'!AO338*'[2]RD Feedstock Breakdown'!$CX$3*'[2]Feedstock Conversion Rates'!$B$3)/12</f>
        <v>6.3412499999999996</v>
      </c>
      <c r="CY329" s="45">
        <f>('[2]Renewable Diesel'!AO338*'[2]RD Feedstock Breakdown'!$CY$3*'[2]Feedstock Conversion Rates'!$B$6)/12</f>
        <v>7.4258333333333342</v>
      </c>
      <c r="CZ329" s="47">
        <f t="shared" si="268"/>
        <v>13.767083333333334</v>
      </c>
      <c r="DA329" s="45">
        <f>('[2]Renewable Diesel'!$AP338*'[2]RD Feedstock Breakdown'!DA$3*'[2]Feedstock Conversion Rates'!$B$3)/12</f>
        <v>6.3412499999999996</v>
      </c>
      <c r="DB329" s="45">
        <f>('[2]Renewable Diesel'!$AP338*'[2]RD Feedstock Breakdown'!DB$3*'[2]Feedstock Conversion Rates'!$B$8)/12</f>
        <v>7.421875</v>
      </c>
      <c r="DC329" s="47">
        <f t="shared" si="212"/>
        <v>13.763124999999999</v>
      </c>
      <c r="DD329" s="45">
        <f>('[2]Renewable Diesel'!AQ338*$DD$3*'[2]Feedstock Conversion Rates'!$B$14)/12</f>
        <v>3.1041666666666665</v>
      </c>
      <c r="DE329" s="47">
        <f t="shared" si="213"/>
        <v>3.1041666666666665</v>
      </c>
      <c r="DF329" s="45">
        <f>('[2]Renewable Diesel'!AR338*'[2]Feedstock Conversion Rates'!$B$4*$DF$3)/12</f>
        <v>75</v>
      </c>
      <c r="DG329" s="47">
        <f t="shared" si="269"/>
        <v>75</v>
      </c>
      <c r="DH329" s="45">
        <f>('[2]Renewable Diesel'!AS338*'[2]Feedstock Conversion Rates'!$B$4*$DH$3)/12</f>
        <v>75</v>
      </c>
      <c r="DI329" s="47">
        <f t="shared" si="273"/>
        <v>75</v>
      </c>
      <c r="DJ329" s="45">
        <f>('[2]Renewable Diesel'!AT338*'[2]Feedstock Conversion Rates'!$B$4*0.25)/12</f>
        <v>8.59375</v>
      </c>
      <c r="DK329" s="45">
        <f>('[2]Renewable Diesel'!$AT338*'[2]RD Feedstock Breakdown'!DK$3*'[2]Feedstock Conversion Rates'!$B$3)/12*0.5</f>
        <v>9.1781249999999996</v>
      </c>
      <c r="DL329" s="45">
        <f>('[2]Renewable Diesel'!$AT338*'[2]RD Feedstock Breakdown'!$DL$3*'[2]Feedstock Conversion Rates'!$B$6)/12</f>
        <v>10.747916666666669</v>
      </c>
      <c r="DM329" s="45">
        <f>('[2]Renewable Diesel'!$AT338*'[2]RD Feedstock Breakdown'!$DM$3*'[2]Feedstock Conversion Rates'!$B$8)/12</f>
        <v>10.7421875</v>
      </c>
      <c r="DN329" s="47">
        <f t="shared" si="249"/>
        <v>39.26197916666667</v>
      </c>
      <c r="DP329" s="45">
        <f t="shared" si="216"/>
        <v>48.220250000000007</v>
      </c>
      <c r="DQ329" s="45">
        <f t="shared" si="217"/>
        <v>479.11776749999996</v>
      </c>
      <c r="DR329" s="45">
        <f t="shared" si="224"/>
        <v>1869.453125</v>
      </c>
      <c r="DS329" s="45">
        <f t="shared" si="235"/>
        <v>228.90125</v>
      </c>
      <c r="DT329" s="45">
        <f t="shared" si="218"/>
        <v>233.03923333333344</v>
      </c>
      <c r="DU329" s="45">
        <f t="shared" si="219"/>
        <v>345.40610000000004</v>
      </c>
      <c r="DV329" s="45">
        <f t="shared" si="225"/>
        <v>78.75</v>
      </c>
      <c r="DW329" s="45">
        <f t="shared" si="220"/>
        <v>3</v>
      </c>
      <c r="DX329" s="47">
        <f t="shared" si="226"/>
        <v>3285.8877258333337</v>
      </c>
      <c r="DY329" s="50">
        <f t="shared" ref="DY329:DY375" si="286">I329+Q329+S329+X329+AB329+AF329+AJ329+AL329+AO329+AR329+AU329+AX329+BA329+BE329+BG329+BI329+BN329-DX329+BP329+BS329+BV329+CA329+CC329+CF329+CH329+CK329+CO329+CS329+CU329+CW329+CZ329+DN329+DG329+DI329+DE329+DC329</f>
        <v>-5.631051180898794E-13</v>
      </c>
      <c r="EA329" s="51">
        <f t="shared" si="263"/>
        <v>1.4674953626959629E-2</v>
      </c>
      <c r="EB329" s="51">
        <f t="shared" si="263"/>
        <v>0.14581075419382777</v>
      </c>
      <c r="EC329" s="51">
        <f t="shared" si="263"/>
        <v>0.56893396274697372</v>
      </c>
      <c r="ED329" s="51">
        <f t="shared" si="261"/>
        <v>6.9661920643362324E-2</v>
      </c>
      <c r="EE329" s="51">
        <f t="shared" si="261"/>
        <v>7.0921240400638574E-2</v>
      </c>
      <c r="EF329" s="51">
        <f t="shared" si="261"/>
        <v>0.10511804687800208</v>
      </c>
      <c r="EG329" s="51">
        <f t="shared" si="261"/>
        <v>2.3966126225456536E-2</v>
      </c>
      <c r="EH329" s="52">
        <f t="shared" si="227"/>
        <v>9.1299528477929671E-4</v>
      </c>
      <c r="EI329" s="51">
        <f t="shared" si="271"/>
        <v>0.99908700471522072</v>
      </c>
      <c r="EK329" s="53">
        <f>(EA329*'[2]Renewable Diesel'!BF338*'[2]Feedstock Conversion Rates'!B$2)+FB329</f>
        <v>111.07166941579891</v>
      </c>
      <c r="EL329" s="53">
        <f>(EB329*'[2]Renewable Diesel'!BF338*'[2]Feedstock Conversion Rates'!B$3)+FC329</f>
        <v>1039.9913054999647</v>
      </c>
      <c r="EM329" s="53">
        <f>(EC329*'[2]Renewable Diesel'!BF338*'[2]Feedstock Conversion Rates'!B$4)+FD329</f>
        <v>3799.537712310861</v>
      </c>
      <c r="EN329" s="53">
        <f>(ED329*'[2]Renewable Diesel'!BF338*'[2]Feedstock Conversion Rates'!B$5)+FE329</f>
        <v>468.32790096403033</v>
      </c>
      <c r="EO329" s="53">
        <f>(EE329*'[2]Renewable Diesel'!BF338*'[2]Feedstock Conversion Rates'!B$6)+FF329</f>
        <v>592.36146325386574</v>
      </c>
      <c r="EP329" s="53">
        <f>(EF329*'[2]Renewable Diesel'!BF338*'[2]Feedstock Conversion Rates'!B$7)+FG329</f>
        <v>861.13798495392552</v>
      </c>
      <c r="EQ329" s="53">
        <f>(EG329*'[2]Renewable Diesel'!BF338*'[2]Feedstock Conversion Rates'!B$8)+FH329</f>
        <v>200.06759653607273</v>
      </c>
      <c r="ER329" s="53">
        <f>(EH329*'[2]Renewable Diesel'!BF338*'[2]Feedstock Conversion Rates'!B$9)+FI329</f>
        <v>7.5200010888479412</v>
      </c>
      <c r="ES329" s="53">
        <f t="shared" si="228"/>
        <v>7080.0156340233652</v>
      </c>
      <c r="ET329" s="36">
        <f>ES329/'[2]Renewable Diesel'!BF338</f>
        <v>7.9510883743648764</v>
      </c>
    </row>
    <row r="330" spans="1:150" x14ac:dyDescent="0.25">
      <c r="A330" s="39">
        <v>50465</v>
      </c>
      <c r="B330" s="45">
        <f t="shared" si="282"/>
        <v>1.75</v>
      </c>
      <c r="C330" s="45">
        <f t="shared" si="251"/>
        <v>49</v>
      </c>
      <c r="D330" s="45">
        <f t="shared" si="283"/>
        <v>2</v>
      </c>
      <c r="E330" s="45">
        <f>('[2]Renewable Diesel'!B339*E$3*'[2]Feedstock Conversion Rates'!$B$2)/12+26+13-100+27.5+39</f>
        <v>95.43</v>
      </c>
      <c r="F330" s="45">
        <f>('[2]Renewable Diesel'!B339*'[2]RD Feedstock Breakdown'!F$3*'[2]Feedstock Conversion Rates'!B$8)/12+77+23-10-12-115.75+24+8</f>
        <v>48.15625</v>
      </c>
      <c r="G330" s="45">
        <f>('[2]Renewable Diesel'!B339*'[2]RD Feedstock Breakdown'!G$3*'[2]Feedstock Conversion Rates'!B$7)/12+116.75-39-57.5-145-31.5+32+70-40+10+2.5</f>
        <v>94.407000000000039</v>
      </c>
      <c r="H330" s="45">
        <f>('[2]Renewable Diesel'!B339*'[2]RD Feedstock Breakdown'!H$3*'[2]Feedstock Conversion Rates'!B$3)/12+67+10+12+3-235+20+47-20+125</f>
        <v>205.40022499999998</v>
      </c>
      <c r="I330" s="47">
        <f t="shared" si="245"/>
        <v>496.14347500000002</v>
      </c>
      <c r="J330" s="45">
        <f t="shared" si="281"/>
        <v>4</v>
      </c>
      <c r="K330" s="45"/>
      <c r="L330" s="45">
        <v>1</v>
      </c>
      <c r="M330" s="45">
        <f>('[2]Renewable Diesel'!C339*'[2]RD Feedstock Breakdown'!M$3*'[2]Feedstock Conversion Rates'!B$2)/12-55</f>
        <v>-47.20975</v>
      </c>
      <c r="N330" s="45">
        <f>('[2]Renewable Diesel'!C339*'[2]RD Feedstock Breakdown'!N$3*'[2]Feedstock Conversion Rates'!B$8)/12</f>
        <v>3.671875</v>
      </c>
      <c r="O330" s="45">
        <f>('[2]Renewable Diesel'!C339*'[2]RD Feedstock Breakdown'!O$3*'[2]Feedstock Conversion Rates'!B$7)/12</f>
        <v>11.9991</v>
      </c>
      <c r="P330" s="45">
        <f>('[2]Renewable Diesel'!C339*'[2]RD Feedstock Breakdown'!P$3*'[2]Feedstock Conversion Rates'!B$3)/12+15+35</f>
        <v>60.447042500000002</v>
      </c>
      <c r="Q330" s="47">
        <f t="shared" si="252"/>
        <v>33.908267500000001</v>
      </c>
      <c r="R330" s="45">
        <f>('[2]Renewable Diesel'!D339*'[2]RD Feedstock Breakdown'!R$3*'[2]Feedstock Conversion Rates'!B$7)/12</f>
        <v>2.2999999999999998</v>
      </c>
      <c r="S330" s="47">
        <f t="shared" si="279"/>
        <v>2.2999999999999998</v>
      </c>
      <c r="T330" s="45">
        <f t="shared" si="253"/>
        <v>0.82499999999999929</v>
      </c>
      <c r="U330" s="45"/>
      <c r="V330" s="45">
        <f>('[2]Renewable Diesel'!E339*'[2]RD Feedstock Breakdown'!V$3*'[2]Feedstock Conversion Rates'!B$6)/12-20+25</f>
        <v>49.250150000000012</v>
      </c>
      <c r="W330" s="45">
        <f>('[2]Renewable Diesel'!E339*'[2]RD Feedstock Breakdown'!W$3*'[2]Feedstock Conversion Rates'!B$8)/12-6</f>
        <v>16.1796875</v>
      </c>
      <c r="X330" s="47">
        <f t="shared" si="229"/>
        <v>66.254837500000008</v>
      </c>
      <c r="Y330" s="45">
        <f t="shared" si="254"/>
        <v>98</v>
      </c>
      <c r="Z330" s="45">
        <f>('[2]Renewable Diesel'!F339*'[2]RD Feedstock Breakdown'!Z$3*'[2]Feedstock Conversion Rates'!B$6)/12-142+15+5+20+5+5</f>
        <v>67.460000000000008</v>
      </c>
      <c r="AA330" s="45">
        <f>('[2]Renewable Diesel'!F339*'[2]RD Feedstock Breakdown'!AA$3*'[2]Feedstock Conversion Rates'!B$7)/12+24</f>
        <v>128.26666666666665</v>
      </c>
      <c r="AB330" s="47">
        <f t="shared" si="270"/>
        <v>293.72666666666669</v>
      </c>
      <c r="AC330" s="45">
        <f>('[2]Renewable Diesel'!G339*'[2]RD Feedstock Breakdown'!AC$3*'[2]Feedstock Conversion Rates'!B$5)/12</f>
        <v>11.796875</v>
      </c>
      <c r="AD330" s="45">
        <f>('[2]Renewable Diesel'!G339*'[2]RD Feedstock Breakdown'!AD$3*'[2]Feedstock Conversion Rates'!B$4)/12</f>
        <v>5.859375</v>
      </c>
      <c r="AE330" s="45">
        <f>('[2]Renewable Diesel'!G339*'[2]RD Feedstock Breakdown'!AE$3*'[2]Feedstock Conversion Rates'!B$6)/12</f>
        <v>7.3281250000000009</v>
      </c>
      <c r="AF330" s="47">
        <f t="shared" si="236"/>
        <v>24.984375</v>
      </c>
      <c r="AG330" s="45">
        <f t="shared" si="259"/>
        <v>148</v>
      </c>
      <c r="AH330" s="45"/>
      <c r="AI330" s="45">
        <f>('[2]Renewable Diesel'!H339*'[2]RD Feedstock Breakdown'!AI$3*'[2]Feedstock Conversion Rates'!B$6)/12-130-20+51-49</f>
        <v>0.51666666666667993</v>
      </c>
      <c r="AJ330" s="47">
        <f t="shared" si="278"/>
        <v>148.51666666666668</v>
      </c>
      <c r="AK330" s="45">
        <f>('[2]Renewable Diesel'!J339*'[2]RD Feedstock Breakdown'!AK$3*'[2]Feedstock Conversion Rates'!B$4)/12</f>
        <v>95.8125</v>
      </c>
      <c r="AL330" s="47">
        <f t="shared" si="280"/>
        <v>95.8125</v>
      </c>
      <c r="AM330" s="45">
        <f>('[2]Renewable Diesel'!K339*'[2]RD Feedstock Breakdown'!AM$3*'[2]Feedstock Conversion Rates'!B$4)/12+5+15-10+10</f>
        <v>78.59375</v>
      </c>
      <c r="AN330" s="45">
        <f>('[2]Renewable Diesel'!K339*'[2]RD Feedstock Breakdown'!AN$3*'[2]Feedstock Conversion Rates'!B$6)/12-5-15+10-10</f>
        <v>4.4270833333333321</v>
      </c>
      <c r="AO330" s="47">
        <f t="shared" si="223"/>
        <v>83.020833333333329</v>
      </c>
      <c r="AP330" s="45">
        <f>('[2]Renewable Diesel'!L339*'[2]RD Feedstock Breakdown'!AP$3*'[2]Feedstock Conversion Rates'!B$4)/12+15-10+15</f>
        <v>78.59375</v>
      </c>
      <c r="AQ330" s="45">
        <f>('[2]Renewable Diesel'!L339*'[2]RD Feedstock Breakdown'!AQ$3*'[2]Feedstock Conversion Rates'!B$6)/12-15+10-15</f>
        <v>4.4270833333333321</v>
      </c>
      <c r="AR330" s="47">
        <f t="shared" si="285"/>
        <v>83.020833333333329</v>
      </c>
      <c r="AS330" s="45">
        <f>('[2]Renewable Diesel'!M339*'[2]RD Feedstock Breakdown'!AS$3*'[2]Feedstock Conversion Rates'!B$4)/12</f>
        <v>456.25</v>
      </c>
      <c r="AT330" s="45">
        <f>('[2]Renewable Diesel'!M339*'[2]RD Feedstock Breakdown'!AT$3*'[2]Feedstock Conversion Rates'!B$5)/12</f>
        <v>0</v>
      </c>
      <c r="AU330" s="47">
        <f t="shared" si="244"/>
        <v>456.25</v>
      </c>
      <c r="AV330" s="45">
        <f>'[2]Renewable Diesel'!N339*'[2]RD Feedstock Breakdown'!$AV$3*'[2]Feedstock Conversion Rates'!$B$4/12-15-10+25+25-22+25</f>
        <v>106.74999999999999</v>
      </c>
      <c r="AW330" s="45">
        <f>'[2]Renewable Diesel'!N339*'[2]RD Feedstock Breakdown'!$AW$3*'[2]Feedstock Conversion Rates'!$B$7/12+15+10-25-25+22-25</f>
        <v>13.400000000000006</v>
      </c>
      <c r="AX330" s="47">
        <f t="shared" si="272"/>
        <v>120.14999999999999</v>
      </c>
      <c r="AY330" s="45">
        <f>('[2]Renewable Diesel'!O339*'[2]RD Feedstock Breakdown'!AY$3*'[2]Feedstock Conversion Rates'!B$4)/12</f>
        <v>210.9375</v>
      </c>
      <c r="AZ330" s="45">
        <f>('[2]Renewable Diesel'!O339*'[2]RD Feedstock Breakdown'!AZ$3*'[2]Feedstock Conversion Rates'!B$3)/12</f>
        <v>25.03125</v>
      </c>
      <c r="BA330" s="47">
        <f t="shared" si="255"/>
        <v>235.96875</v>
      </c>
      <c r="BB330" s="45">
        <f>('[2]Renewable Diesel'!Q339*'[2]RD Feedstock Breakdown'!BB$3*'[2]Feedstock Conversion Rates'!B$4)/12</f>
        <v>11.156249999999998</v>
      </c>
      <c r="BC330" s="45">
        <f>('[2]Renewable Diesel'!Q339*'[2]RD Feedstock Breakdown'!BC$3*'[2]Feedstock Conversion Rates'!B$3)/12</f>
        <v>1.4017500000000001</v>
      </c>
      <c r="BD330" s="45">
        <f>('[2]Renewable Diesel'!Q339*'[2]RD Feedstock Breakdown'!BD$3*'[2]Feedstock Conversion Rates'!B$6)/12</f>
        <v>0.8207500000000002</v>
      </c>
      <c r="BE330" s="47">
        <f t="shared" si="231"/>
        <v>13.378749999999998</v>
      </c>
      <c r="BF330" s="45">
        <f>('[2]Renewable Diesel'!R339*'[2]RD Feedstock Breakdown'!BF$3*'[2]Feedstock Conversion Rates'!B$4)/12</f>
        <v>62.5</v>
      </c>
      <c r="BG330" s="47">
        <f t="shared" si="215"/>
        <v>62.5</v>
      </c>
      <c r="BH330" s="45">
        <f>('[2]Renewable Diesel'!T339*'[2]RD Feedstock Breakdown'!BH$3*'[2]Feedstock Conversion Rates'!B$7)/12</f>
        <v>27.599999999999998</v>
      </c>
      <c r="BI330" s="47">
        <f t="shared" si="277"/>
        <v>27.599999999999998</v>
      </c>
      <c r="BJ330" s="45">
        <f>('[2]Renewable Diesel'!W339*'[2]RD Feedstock Breakdown'!BJ$3*'[2]Feedstock Conversion Rates'!B$4)/12</f>
        <v>7.5</v>
      </c>
      <c r="BK330" s="45">
        <f>('[2]Renewable Diesel'!W339*'[2]RD Feedstock Breakdown'!BK$3*'[2]Feedstock Conversion Rates'!B$3)/12</f>
        <v>1.335</v>
      </c>
      <c r="BL330" s="45">
        <f>('[2]Renewable Diesel'!W339*'[2]RD Feedstock Breakdown'!BL$3*'[2]Feedstock Conversion Rates'!B$6)/12</f>
        <v>3.1266666666666669</v>
      </c>
      <c r="BM330" s="45">
        <f>('[2]Renewable Diesel'!W339*'[2]RD Feedstock Breakdown'!BM$3*'[2]Feedstock Conversion Rates'!B$7)/12</f>
        <v>1.5333333333333332</v>
      </c>
      <c r="BN330" s="47">
        <f t="shared" si="248"/>
        <v>13.495000000000001</v>
      </c>
      <c r="BO330" s="45">
        <f>('[2]Renewable Diesel'!P339*'[2]Feedstock Conversion Rates'!B$4)/12</f>
        <v>31.25</v>
      </c>
      <c r="BP330" s="47">
        <f t="shared" si="237"/>
        <v>31.25</v>
      </c>
      <c r="BQ330" s="45">
        <f>('[2]Renewable Diesel'!$S339*'[2]RD Feedstock Breakdown'!BQ$3*'[2]Feedstock Conversion Rates'!B$4)/12+10+15-15</f>
        <v>38.125</v>
      </c>
      <c r="BR330" s="45">
        <f>('[2]Renewable Diesel'!$S339*'[2]RD Feedstock Breakdown'!BR$3*'[2]Feedstock Conversion Rates'!B$7)/12-10-15+15</f>
        <v>1.5</v>
      </c>
      <c r="BS330" s="47">
        <f t="shared" si="260"/>
        <v>39.625</v>
      </c>
      <c r="BT330" s="47"/>
      <c r="BU330" s="45">
        <f>('[2]Renewable Diesel'!Y339*'[2]Feedstock Conversion Rates'!B$7)/12</f>
        <v>2.6833333333333331</v>
      </c>
      <c r="BV330" s="47">
        <f t="shared" si="233"/>
        <v>2.6833333333333331</v>
      </c>
      <c r="BW330" s="45">
        <f>('[2]Renewable Diesel'!$Z339*'[2]RD Feedstock Breakdown'!BW$3*'[2]Feedstock Conversion Rates'!$B$4)/12-50</f>
        <v>21.875</v>
      </c>
      <c r="BX330" s="45">
        <f>('[2]Renewable Diesel'!$Z339*'[2]RD Feedstock Breakdown'!BX$3*'[2]Feedstock Conversion Rates'!$B$5)/12</f>
        <v>7.2354166666666666</v>
      </c>
      <c r="BY330" s="45">
        <f>('[2]Renewable Diesel'!$Z339*'[2]RD Feedstock Breakdown'!BY$3*'[2]Feedstock Conversion Rates'!$B$7)/12</f>
        <v>61.716666666666661</v>
      </c>
      <c r="BZ330" s="45">
        <f>('[2]Renewable Diesel'!$Z339*'[2]RD Feedstock Breakdown'!BZ$3*'[2]Feedstock Conversion Rates'!$B$3)/12+50</f>
        <v>65.352499999999992</v>
      </c>
      <c r="CA330" s="47">
        <f t="shared" si="262"/>
        <v>156.17958333333331</v>
      </c>
      <c r="CB330" s="45">
        <f>('[2]Renewable Diesel'!AA339*'[2]Feedstock Conversion Rates'!B$4)/12</f>
        <v>191.25</v>
      </c>
      <c r="CC330" s="47">
        <f t="shared" si="250"/>
        <v>191.25</v>
      </c>
      <c r="CD330" s="45">
        <f>('[2]Renewable Diesel'!$AB339*'[2]RD Feedstock Breakdown'!CD$3*'[2]Feedstock Conversion Rates'!$B$6)/12-15-5</f>
        <v>12.830000000000005</v>
      </c>
      <c r="CE330" s="45">
        <f>('[2]Renewable Diesel'!$AB339*'[2]RD Feedstock Breakdown'!CE$3*'[2]Feedstock Conversion Rates'!$B$4)/12+15+5</f>
        <v>31.25</v>
      </c>
      <c r="CF330" s="47">
        <f t="shared" si="247"/>
        <v>44.080000000000005</v>
      </c>
      <c r="CG330" s="45">
        <f>('[2]Renewable Diesel'!AD339*'[2]Feedstock Conversion Rates'!B$4)/12</f>
        <v>112.5</v>
      </c>
      <c r="CH330" s="47">
        <f t="shared" si="230"/>
        <v>112.5</v>
      </c>
      <c r="CI330" s="45">
        <f>('[2]Renewable Diesel'!$AE339*'[2]RD Feedstock Breakdown'!CI$3*'[2]Feedstock Conversion Rates'!$B$5)/12</f>
        <v>0.34604166666666664</v>
      </c>
      <c r="CJ330" s="45">
        <f>('[2]Renewable Diesel'!$AE339*'[2]RD Feedstock Breakdown'!CJ$3*'[2]Feedstock Conversion Rates'!$B$4)/12</f>
        <v>0.34375</v>
      </c>
      <c r="CK330" s="47">
        <f t="shared" si="238"/>
        <v>0.68979166666666658</v>
      </c>
      <c r="CL330" s="45">
        <f>(((CL$3*'[2]Renewable Diesel'!$AF339)*'[2]Feedstock Conversion Rates'!$B$3)/12)</f>
        <v>91.78125</v>
      </c>
      <c r="CM330" s="45">
        <f>(((CM$3*'[2]Renewable Diesel'!$AF339)*'[2]Feedstock Conversion Rates'!$B$6)/12)</f>
        <v>53.739583333333336</v>
      </c>
      <c r="CN330" s="45">
        <f>(((CN$3*'[2]Renewable Diesel'!$AF339)*'[2]Feedstock Conversion Rates'!$B$4)/12)</f>
        <v>42.96875</v>
      </c>
      <c r="CO330" s="47">
        <f t="shared" si="232"/>
        <v>188.48958333333334</v>
      </c>
      <c r="CP330" s="45">
        <f>('[2]Renewable Diesel'!$AG339*'[2]RD Feedstock Breakdown'!CP$3*'[2]Feedstock Conversion Rates'!$B$3)/12</f>
        <v>6.0075000000000003</v>
      </c>
      <c r="CQ330" s="45">
        <f>('[2]Renewable Diesel'!$AG339*'[2]RD Feedstock Breakdown'!CQ$3*'[2]Feedstock Conversion Rates'!$B$6)/12</f>
        <v>3.5175000000000001</v>
      </c>
      <c r="CR330" s="45">
        <f>('[2]Renewable Diesel'!$AG339*'[2]RD Feedstock Breakdown'!CR$3*'[2]Feedstock Conversion Rates'!$B$4)/12</f>
        <v>2.8125</v>
      </c>
      <c r="CS330" s="47">
        <f t="shared" si="267"/>
        <v>12.3375</v>
      </c>
      <c r="CT330" s="45">
        <f>('[2]Renewable Diesel'!AI339*'[2]Feedstock Conversion Rates'!$B$4*'[2]RD Feedstock Breakdown'!$CT$3)/12</f>
        <v>29.375</v>
      </c>
      <c r="CU330" s="47">
        <f t="shared" si="234"/>
        <v>29.375</v>
      </c>
      <c r="CV330" s="45">
        <f>('[2]Renewable Diesel'!AN339*'[2]Feedstock Conversion Rates'!$B$3*'[2]RD Feedstock Breakdown'!$CV$3)/12</f>
        <v>0.50062499999999999</v>
      </c>
      <c r="CW330" s="47">
        <f t="shared" si="284"/>
        <v>0.50062499999999999</v>
      </c>
      <c r="CX330" s="45">
        <f>('[2]Renewable Diesel'!AO339*'[2]RD Feedstock Breakdown'!$CX$3*'[2]Feedstock Conversion Rates'!$B$3)/12</f>
        <v>6.3412499999999996</v>
      </c>
      <c r="CY330" s="45">
        <f>('[2]Renewable Diesel'!AO339*'[2]RD Feedstock Breakdown'!$CY$3*'[2]Feedstock Conversion Rates'!$B$6)/12</f>
        <v>7.4258333333333342</v>
      </c>
      <c r="CZ330" s="47">
        <f t="shared" si="268"/>
        <v>13.767083333333334</v>
      </c>
      <c r="DA330" s="45">
        <f>('[2]Renewable Diesel'!$AP339*'[2]RD Feedstock Breakdown'!DA$3*'[2]Feedstock Conversion Rates'!$B$3)/12</f>
        <v>6.3412499999999996</v>
      </c>
      <c r="DB330" s="45">
        <f>('[2]Renewable Diesel'!$AP339*'[2]RD Feedstock Breakdown'!DB$3*'[2]Feedstock Conversion Rates'!$B$8)/12</f>
        <v>7.421875</v>
      </c>
      <c r="DC330" s="47">
        <f t="shared" ref="DC330:DC375" si="287">SUM(DA330:DB330)</f>
        <v>13.763124999999999</v>
      </c>
      <c r="DD330" s="45">
        <f>('[2]Renewable Diesel'!AQ339*$DD$3*'[2]Feedstock Conversion Rates'!$B$14)/12</f>
        <v>3.1041666666666665</v>
      </c>
      <c r="DE330" s="47">
        <f t="shared" ref="DE330:DE375" si="288">DD330</f>
        <v>3.1041666666666665</v>
      </c>
      <c r="DF330" s="45">
        <f>('[2]Renewable Diesel'!AR339*'[2]Feedstock Conversion Rates'!$B$4*$DF$3)/12</f>
        <v>75</v>
      </c>
      <c r="DG330" s="47">
        <f t="shared" si="269"/>
        <v>75</v>
      </c>
      <c r="DH330" s="45">
        <f>('[2]Renewable Diesel'!AS339*'[2]Feedstock Conversion Rates'!$B$4*$DH$3)/12</f>
        <v>75</v>
      </c>
      <c r="DI330" s="47">
        <f t="shared" si="273"/>
        <v>75</v>
      </c>
      <c r="DJ330" s="45">
        <f>('[2]Renewable Diesel'!AT339*'[2]Feedstock Conversion Rates'!$B$4*0.25)/12</f>
        <v>8.59375</v>
      </c>
      <c r="DK330" s="45">
        <f>('[2]Renewable Diesel'!$AT339*'[2]RD Feedstock Breakdown'!DK$3*'[2]Feedstock Conversion Rates'!$B$3)/12*0.5</f>
        <v>9.1781249999999996</v>
      </c>
      <c r="DL330" s="45">
        <f>('[2]Renewable Diesel'!$AT339*'[2]RD Feedstock Breakdown'!$DL$3*'[2]Feedstock Conversion Rates'!$B$6)/12</f>
        <v>10.747916666666669</v>
      </c>
      <c r="DM330" s="45">
        <f>('[2]Renewable Diesel'!$AT339*'[2]RD Feedstock Breakdown'!$DM$3*'[2]Feedstock Conversion Rates'!$B$8)/12</f>
        <v>10.7421875</v>
      </c>
      <c r="DN330" s="47">
        <f t="shared" si="249"/>
        <v>39.26197916666667</v>
      </c>
      <c r="DP330" s="45">
        <f t="shared" si="216"/>
        <v>48.220250000000007</v>
      </c>
      <c r="DQ330" s="45">
        <f t="shared" si="217"/>
        <v>479.11776749999996</v>
      </c>
      <c r="DR330" s="45">
        <f t="shared" si="224"/>
        <v>1869.453125</v>
      </c>
      <c r="DS330" s="45">
        <f t="shared" si="235"/>
        <v>228.90125</v>
      </c>
      <c r="DT330" s="45">
        <f t="shared" si="218"/>
        <v>233.03923333333344</v>
      </c>
      <c r="DU330" s="45">
        <f t="shared" si="219"/>
        <v>345.40610000000004</v>
      </c>
      <c r="DV330" s="45">
        <f t="shared" si="225"/>
        <v>78.75</v>
      </c>
      <c r="DW330" s="45">
        <f t="shared" si="220"/>
        <v>3</v>
      </c>
      <c r="DX330" s="47">
        <f t="shared" si="226"/>
        <v>3285.8877258333337</v>
      </c>
      <c r="DY330" s="50">
        <f t="shared" si="286"/>
        <v>-5.631051180898794E-13</v>
      </c>
      <c r="EA330" s="51">
        <f t="shared" si="263"/>
        <v>1.4674953626959629E-2</v>
      </c>
      <c r="EB330" s="51">
        <f t="shared" si="263"/>
        <v>0.14581075419382777</v>
      </c>
      <c r="EC330" s="51">
        <f t="shared" si="263"/>
        <v>0.56893396274697372</v>
      </c>
      <c r="ED330" s="51">
        <f t="shared" si="261"/>
        <v>6.9661920643362324E-2</v>
      </c>
      <c r="EE330" s="51">
        <f t="shared" si="261"/>
        <v>7.0921240400638574E-2</v>
      </c>
      <c r="EF330" s="51">
        <f t="shared" si="261"/>
        <v>0.10511804687800208</v>
      </c>
      <c r="EG330" s="51">
        <f t="shared" si="261"/>
        <v>2.3966126225456536E-2</v>
      </c>
      <c r="EH330" s="52">
        <f t="shared" si="227"/>
        <v>9.1299528477929671E-4</v>
      </c>
      <c r="EI330" s="51">
        <f t="shared" si="271"/>
        <v>0.99908700471522072</v>
      </c>
      <c r="EK330" s="53">
        <f>(EA330*'[2]Renewable Diesel'!BF339*'[2]Feedstock Conversion Rates'!B$2)+FB330</f>
        <v>76.22649080155783</v>
      </c>
      <c r="EL330" s="53">
        <f>(EB330*'[2]Renewable Diesel'!BF339*'[2]Feedstock Conversion Rates'!B$3)+FC330</f>
        <v>713.72734468972567</v>
      </c>
      <c r="EM330" s="53">
        <f>(EC330*'[2]Renewable Diesel'!BF339*'[2]Feedstock Conversion Rates'!B$4)+FD330</f>
        <v>2607.5544556138575</v>
      </c>
      <c r="EN330" s="53">
        <f>(ED330*'[2]Renewable Diesel'!BF339*'[2]Feedstock Conversion Rates'!B$5)+FE330</f>
        <v>321.40502274533827</v>
      </c>
      <c r="EO330" s="53">
        <f>(EE330*'[2]Renewable Diesel'!BF339*'[2]Feedstock Conversion Rates'!B$6)+FF330</f>
        <v>406.52702770572972</v>
      </c>
      <c r="EP330" s="53">
        <f>(EF330*'[2]Renewable Diesel'!BF339*'[2]Feedstock Conversion Rates'!B$7)+FG330</f>
        <v>590.98352472971419</v>
      </c>
      <c r="EQ330" s="53">
        <f>(EG330*'[2]Renewable Diesel'!BF339*'[2]Feedstock Conversion Rates'!B$8)+FH330</f>
        <v>137.3027963589561</v>
      </c>
      <c r="ER330" s="53">
        <f>(EH330*'[2]Renewable Diesel'!BF339*'[2]Feedstock Conversion Rates'!B$9)+FI330</f>
        <v>5.1608416155239372</v>
      </c>
      <c r="ES330" s="53">
        <f t="shared" si="228"/>
        <v>4858.8875042604022</v>
      </c>
      <c r="ET330" s="36">
        <f>ES330/'[2]Renewable Diesel'!BF339</f>
        <v>7.9510883743648764</v>
      </c>
    </row>
    <row r="331" spans="1:150" x14ac:dyDescent="0.25">
      <c r="A331" s="39">
        <v>50496</v>
      </c>
      <c r="B331" s="45">
        <f t="shared" si="282"/>
        <v>1.75</v>
      </c>
      <c r="C331" s="45">
        <f t="shared" si="251"/>
        <v>49</v>
      </c>
      <c r="D331" s="45">
        <f t="shared" si="283"/>
        <v>2</v>
      </c>
      <c r="E331" s="45">
        <f>('[2]Renewable Diesel'!B340*E$3*'[2]Feedstock Conversion Rates'!$B$2)/12+26+13-100+27.5+39</f>
        <v>95.43</v>
      </c>
      <c r="F331" s="45">
        <f>('[2]Renewable Diesel'!B340*'[2]RD Feedstock Breakdown'!F$3*'[2]Feedstock Conversion Rates'!B$8)/12+77+23-10-12-115.75+24+8</f>
        <v>48.15625</v>
      </c>
      <c r="G331" s="45">
        <f>('[2]Renewable Diesel'!B340*'[2]RD Feedstock Breakdown'!G$3*'[2]Feedstock Conversion Rates'!B$7)/12+116.75-39-57.5-145-31.5+32+70-40+10+2.5</f>
        <v>94.407000000000039</v>
      </c>
      <c r="H331" s="45">
        <f>('[2]Renewable Diesel'!B340*'[2]RD Feedstock Breakdown'!H$3*'[2]Feedstock Conversion Rates'!B$3)/12+67+10+12+3-235+20+47-20+125</f>
        <v>205.40022499999998</v>
      </c>
      <c r="I331" s="47">
        <f t="shared" si="245"/>
        <v>496.14347500000002</v>
      </c>
      <c r="J331" s="45">
        <f t="shared" si="281"/>
        <v>4</v>
      </c>
      <c r="K331" s="45"/>
      <c r="L331" s="45">
        <v>1</v>
      </c>
      <c r="M331" s="45">
        <f>('[2]Renewable Diesel'!C340*'[2]RD Feedstock Breakdown'!M$3*'[2]Feedstock Conversion Rates'!B$2)/12-55</f>
        <v>-47.20975</v>
      </c>
      <c r="N331" s="45">
        <f>('[2]Renewable Diesel'!C340*'[2]RD Feedstock Breakdown'!N$3*'[2]Feedstock Conversion Rates'!B$8)/12</f>
        <v>3.671875</v>
      </c>
      <c r="O331" s="45">
        <f>('[2]Renewable Diesel'!C340*'[2]RD Feedstock Breakdown'!O$3*'[2]Feedstock Conversion Rates'!B$7)/12</f>
        <v>11.9991</v>
      </c>
      <c r="P331" s="45">
        <f>('[2]Renewable Diesel'!C340*'[2]RD Feedstock Breakdown'!P$3*'[2]Feedstock Conversion Rates'!B$3)/12+15+35</f>
        <v>60.447042500000002</v>
      </c>
      <c r="Q331" s="47">
        <f t="shared" si="252"/>
        <v>33.908267500000001</v>
      </c>
      <c r="R331" s="45">
        <f>('[2]Renewable Diesel'!D340*'[2]RD Feedstock Breakdown'!R$3*'[2]Feedstock Conversion Rates'!B$7)/12</f>
        <v>2.2999999999999998</v>
      </c>
      <c r="S331" s="47">
        <f t="shared" si="279"/>
        <v>2.2999999999999998</v>
      </c>
      <c r="T331" s="45">
        <f t="shared" si="253"/>
        <v>0.82499999999999929</v>
      </c>
      <c r="U331" s="45"/>
      <c r="V331" s="45">
        <f>('[2]Renewable Diesel'!E340*'[2]RD Feedstock Breakdown'!V$3*'[2]Feedstock Conversion Rates'!B$6)/12-20+25</f>
        <v>49.250150000000012</v>
      </c>
      <c r="W331" s="45">
        <f>('[2]Renewable Diesel'!E340*'[2]RD Feedstock Breakdown'!W$3*'[2]Feedstock Conversion Rates'!B$8)/12-6</f>
        <v>16.1796875</v>
      </c>
      <c r="X331" s="47">
        <f t="shared" si="229"/>
        <v>66.254837500000008</v>
      </c>
      <c r="Y331" s="45">
        <f t="shared" si="254"/>
        <v>98</v>
      </c>
      <c r="Z331" s="45">
        <f>('[2]Renewable Diesel'!F340*'[2]RD Feedstock Breakdown'!Z$3*'[2]Feedstock Conversion Rates'!B$6)/12-142+15+5+20+5+5</f>
        <v>67.460000000000008</v>
      </c>
      <c r="AA331" s="45">
        <f>('[2]Renewable Diesel'!F340*'[2]RD Feedstock Breakdown'!AA$3*'[2]Feedstock Conversion Rates'!B$7)/12+24</f>
        <v>128.26666666666665</v>
      </c>
      <c r="AB331" s="47">
        <f t="shared" si="270"/>
        <v>293.72666666666669</v>
      </c>
      <c r="AC331" s="45">
        <f>('[2]Renewable Diesel'!G340*'[2]RD Feedstock Breakdown'!AC$3*'[2]Feedstock Conversion Rates'!B$5)/12</f>
        <v>11.796875</v>
      </c>
      <c r="AD331" s="45">
        <f>('[2]Renewable Diesel'!G340*'[2]RD Feedstock Breakdown'!AD$3*'[2]Feedstock Conversion Rates'!B$4)/12</f>
        <v>5.859375</v>
      </c>
      <c r="AE331" s="45">
        <f>('[2]Renewable Diesel'!G340*'[2]RD Feedstock Breakdown'!AE$3*'[2]Feedstock Conversion Rates'!B$6)/12</f>
        <v>7.3281250000000009</v>
      </c>
      <c r="AF331" s="47">
        <f t="shared" si="236"/>
        <v>24.984375</v>
      </c>
      <c r="AG331" s="45">
        <f t="shared" si="259"/>
        <v>148</v>
      </c>
      <c r="AH331" s="45"/>
      <c r="AI331" s="45">
        <f>('[2]Renewable Diesel'!H340*'[2]RD Feedstock Breakdown'!AI$3*'[2]Feedstock Conversion Rates'!B$6)/12-130-20+51-49</f>
        <v>0.51666666666667993</v>
      </c>
      <c r="AJ331" s="47">
        <f t="shared" si="278"/>
        <v>148.51666666666668</v>
      </c>
      <c r="AK331" s="45">
        <f>('[2]Renewable Diesel'!J340*'[2]RD Feedstock Breakdown'!AK$3*'[2]Feedstock Conversion Rates'!B$4)/12</f>
        <v>95.8125</v>
      </c>
      <c r="AL331" s="47">
        <f t="shared" si="280"/>
        <v>95.8125</v>
      </c>
      <c r="AM331" s="45">
        <f>('[2]Renewable Diesel'!K340*'[2]RD Feedstock Breakdown'!AM$3*'[2]Feedstock Conversion Rates'!B$4)/12+5+15-10+10</f>
        <v>78.59375</v>
      </c>
      <c r="AN331" s="45">
        <f>('[2]Renewable Diesel'!K340*'[2]RD Feedstock Breakdown'!AN$3*'[2]Feedstock Conversion Rates'!B$6)/12-5-15+10-10</f>
        <v>4.4270833333333321</v>
      </c>
      <c r="AO331" s="47">
        <f t="shared" si="223"/>
        <v>83.020833333333329</v>
      </c>
      <c r="AP331" s="45">
        <f>('[2]Renewable Diesel'!L340*'[2]RD Feedstock Breakdown'!AP$3*'[2]Feedstock Conversion Rates'!B$4)/12+15-10+15</f>
        <v>78.59375</v>
      </c>
      <c r="AQ331" s="45">
        <f>('[2]Renewable Diesel'!L340*'[2]RD Feedstock Breakdown'!AQ$3*'[2]Feedstock Conversion Rates'!B$6)/12-15+10-15</f>
        <v>4.4270833333333321</v>
      </c>
      <c r="AR331" s="47">
        <f t="shared" si="285"/>
        <v>83.020833333333329</v>
      </c>
      <c r="AS331" s="45">
        <f>('[2]Renewable Diesel'!M340*'[2]RD Feedstock Breakdown'!AS$3*'[2]Feedstock Conversion Rates'!B$4)/12</f>
        <v>456.25</v>
      </c>
      <c r="AT331" s="45">
        <f>('[2]Renewable Diesel'!M340*'[2]RD Feedstock Breakdown'!AT$3*'[2]Feedstock Conversion Rates'!B$5)/12</f>
        <v>0</v>
      </c>
      <c r="AU331" s="47">
        <f t="shared" si="244"/>
        <v>456.25</v>
      </c>
      <c r="AV331" s="45">
        <f>'[2]Renewable Diesel'!N340*'[2]RD Feedstock Breakdown'!$AV$3*'[2]Feedstock Conversion Rates'!$B$4/12-15-10+25+25-22+25</f>
        <v>106.74999999999999</v>
      </c>
      <c r="AW331" s="45">
        <f>'[2]Renewable Diesel'!N340*'[2]RD Feedstock Breakdown'!$AW$3*'[2]Feedstock Conversion Rates'!$B$7/12+15+10-25-25+22-25</f>
        <v>13.400000000000006</v>
      </c>
      <c r="AX331" s="47">
        <f t="shared" si="272"/>
        <v>120.14999999999999</v>
      </c>
      <c r="AY331" s="45">
        <f>('[2]Renewable Diesel'!O340*'[2]RD Feedstock Breakdown'!AY$3*'[2]Feedstock Conversion Rates'!B$4)/12</f>
        <v>210.9375</v>
      </c>
      <c r="AZ331" s="45">
        <f>('[2]Renewable Diesel'!O340*'[2]RD Feedstock Breakdown'!AZ$3*'[2]Feedstock Conversion Rates'!B$3)/12</f>
        <v>25.03125</v>
      </c>
      <c r="BA331" s="47">
        <f t="shared" si="255"/>
        <v>235.96875</v>
      </c>
      <c r="BB331" s="45">
        <f>('[2]Renewable Diesel'!Q340*'[2]RD Feedstock Breakdown'!BB$3*'[2]Feedstock Conversion Rates'!B$4)/12</f>
        <v>11.156249999999998</v>
      </c>
      <c r="BC331" s="45">
        <f>('[2]Renewable Diesel'!Q340*'[2]RD Feedstock Breakdown'!BC$3*'[2]Feedstock Conversion Rates'!B$3)/12</f>
        <v>1.4017500000000001</v>
      </c>
      <c r="BD331" s="45">
        <f>('[2]Renewable Diesel'!Q340*'[2]RD Feedstock Breakdown'!BD$3*'[2]Feedstock Conversion Rates'!B$6)/12</f>
        <v>0.8207500000000002</v>
      </c>
      <c r="BE331" s="47">
        <f t="shared" si="231"/>
        <v>13.378749999999998</v>
      </c>
      <c r="BF331" s="45">
        <f>('[2]Renewable Diesel'!R340*'[2]RD Feedstock Breakdown'!BF$3*'[2]Feedstock Conversion Rates'!B$4)/12</f>
        <v>62.5</v>
      </c>
      <c r="BG331" s="47">
        <f t="shared" ref="BG331:BG375" si="289">BF331</f>
        <v>62.5</v>
      </c>
      <c r="BH331" s="45">
        <f>('[2]Renewable Diesel'!T340*'[2]RD Feedstock Breakdown'!BH$3*'[2]Feedstock Conversion Rates'!B$7)/12</f>
        <v>27.599999999999998</v>
      </c>
      <c r="BI331" s="47">
        <f t="shared" si="277"/>
        <v>27.599999999999998</v>
      </c>
      <c r="BJ331" s="45">
        <f>('[2]Renewable Diesel'!W340*'[2]RD Feedstock Breakdown'!BJ$3*'[2]Feedstock Conversion Rates'!B$4)/12</f>
        <v>7.5</v>
      </c>
      <c r="BK331" s="45">
        <f>('[2]Renewable Diesel'!W340*'[2]RD Feedstock Breakdown'!BK$3*'[2]Feedstock Conversion Rates'!B$3)/12</f>
        <v>1.335</v>
      </c>
      <c r="BL331" s="45">
        <f>('[2]Renewable Diesel'!W340*'[2]RD Feedstock Breakdown'!BL$3*'[2]Feedstock Conversion Rates'!B$6)/12</f>
        <v>3.1266666666666669</v>
      </c>
      <c r="BM331" s="45">
        <f>('[2]Renewable Diesel'!W340*'[2]RD Feedstock Breakdown'!BM$3*'[2]Feedstock Conversion Rates'!B$7)/12</f>
        <v>1.5333333333333332</v>
      </c>
      <c r="BN331" s="47">
        <f t="shared" si="248"/>
        <v>13.495000000000001</v>
      </c>
      <c r="BO331" s="45">
        <f>('[2]Renewable Diesel'!P340*'[2]Feedstock Conversion Rates'!B$4)/12</f>
        <v>31.25</v>
      </c>
      <c r="BP331" s="47">
        <f t="shared" si="237"/>
        <v>31.25</v>
      </c>
      <c r="BQ331" s="45">
        <f>('[2]Renewable Diesel'!$S340*'[2]RD Feedstock Breakdown'!BQ$3*'[2]Feedstock Conversion Rates'!B$4)/12+10+15-15</f>
        <v>38.125</v>
      </c>
      <c r="BR331" s="45">
        <f>('[2]Renewable Diesel'!$S340*'[2]RD Feedstock Breakdown'!BR$3*'[2]Feedstock Conversion Rates'!B$7)/12-10-15+15</f>
        <v>1.5</v>
      </c>
      <c r="BS331" s="47">
        <f t="shared" si="260"/>
        <v>39.625</v>
      </c>
      <c r="BT331" s="47"/>
      <c r="BU331" s="45">
        <f>('[2]Renewable Diesel'!Y340*'[2]Feedstock Conversion Rates'!B$7)/12</f>
        <v>2.6833333333333331</v>
      </c>
      <c r="BV331" s="47">
        <f t="shared" si="233"/>
        <v>2.6833333333333331</v>
      </c>
      <c r="BW331" s="45">
        <f>('[2]Renewable Diesel'!$Z340*'[2]RD Feedstock Breakdown'!BW$3*'[2]Feedstock Conversion Rates'!$B$4)/12-50</f>
        <v>21.875</v>
      </c>
      <c r="BX331" s="45">
        <f>('[2]Renewable Diesel'!$Z340*'[2]RD Feedstock Breakdown'!BX$3*'[2]Feedstock Conversion Rates'!$B$5)/12</f>
        <v>7.2354166666666666</v>
      </c>
      <c r="BY331" s="45">
        <f>('[2]Renewable Diesel'!$Z340*'[2]RD Feedstock Breakdown'!BY$3*'[2]Feedstock Conversion Rates'!$B$7)/12</f>
        <v>61.716666666666661</v>
      </c>
      <c r="BZ331" s="45">
        <f>('[2]Renewable Diesel'!$Z340*'[2]RD Feedstock Breakdown'!BZ$3*'[2]Feedstock Conversion Rates'!$B$3)/12+50</f>
        <v>65.352499999999992</v>
      </c>
      <c r="CA331" s="47">
        <f t="shared" si="262"/>
        <v>156.17958333333331</v>
      </c>
      <c r="CB331" s="45">
        <f>('[2]Renewable Diesel'!AA340*'[2]Feedstock Conversion Rates'!B$4)/12</f>
        <v>191.25</v>
      </c>
      <c r="CC331" s="47">
        <f t="shared" si="250"/>
        <v>191.25</v>
      </c>
      <c r="CD331" s="45">
        <f>('[2]Renewable Diesel'!$AB340*'[2]RD Feedstock Breakdown'!CD$3*'[2]Feedstock Conversion Rates'!$B$6)/12-15-5</f>
        <v>12.830000000000005</v>
      </c>
      <c r="CE331" s="45">
        <f>('[2]Renewable Diesel'!$AB340*'[2]RD Feedstock Breakdown'!CE$3*'[2]Feedstock Conversion Rates'!$B$4)/12+15+5</f>
        <v>31.25</v>
      </c>
      <c r="CF331" s="47">
        <f t="shared" si="247"/>
        <v>44.080000000000005</v>
      </c>
      <c r="CG331" s="45">
        <f>('[2]Renewable Diesel'!AD340*'[2]Feedstock Conversion Rates'!B$4)/12</f>
        <v>112.5</v>
      </c>
      <c r="CH331" s="47">
        <f t="shared" si="230"/>
        <v>112.5</v>
      </c>
      <c r="CI331" s="45">
        <f>('[2]Renewable Diesel'!$AE340*'[2]RD Feedstock Breakdown'!CI$3*'[2]Feedstock Conversion Rates'!$B$5)/12</f>
        <v>0.34604166666666664</v>
      </c>
      <c r="CJ331" s="45">
        <f>('[2]Renewable Diesel'!$AE340*'[2]RD Feedstock Breakdown'!CJ$3*'[2]Feedstock Conversion Rates'!$B$4)/12</f>
        <v>0.34375</v>
      </c>
      <c r="CK331" s="47">
        <f t="shared" si="238"/>
        <v>0.68979166666666658</v>
      </c>
      <c r="CL331" s="45">
        <f>(((CL$3*'[2]Renewable Diesel'!$AF340)*'[2]Feedstock Conversion Rates'!$B$3)/12)</f>
        <v>91.78125</v>
      </c>
      <c r="CM331" s="45">
        <f>(((CM$3*'[2]Renewable Diesel'!$AF340)*'[2]Feedstock Conversion Rates'!$B$6)/12)</f>
        <v>53.739583333333336</v>
      </c>
      <c r="CN331" s="45">
        <f>(((CN$3*'[2]Renewable Diesel'!$AF340)*'[2]Feedstock Conversion Rates'!$B$4)/12)</f>
        <v>42.96875</v>
      </c>
      <c r="CO331" s="47">
        <f t="shared" si="232"/>
        <v>188.48958333333334</v>
      </c>
      <c r="CP331" s="45">
        <f>('[2]Renewable Diesel'!$AG340*'[2]RD Feedstock Breakdown'!CP$3*'[2]Feedstock Conversion Rates'!$B$3)/12</f>
        <v>6.0075000000000003</v>
      </c>
      <c r="CQ331" s="45">
        <f>('[2]Renewable Diesel'!$AG340*'[2]RD Feedstock Breakdown'!CQ$3*'[2]Feedstock Conversion Rates'!$B$6)/12</f>
        <v>3.5175000000000001</v>
      </c>
      <c r="CR331" s="45">
        <f>('[2]Renewable Diesel'!$AG340*'[2]RD Feedstock Breakdown'!CR$3*'[2]Feedstock Conversion Rates'!$B$4)/12</f>
        <v>2.8125</v>
      </c>
      <c r="CS331" s="47">
        <f t="shared" si="267"/>
        <v>12.3375</v>
      </c>
      <c r="CT331" s="45">
        <f>('[2]Renewable Diesel'!AI340*'[2]Feedstock Conversion Rates'!$B$4*'[2]RD Feedstock Breakdown'!$CT$3)/12</f>
        <v>29.375</v>
      </c>
      <c r="CU331" s="47">
        <f t="shared" si="234"/>
        <v>29.375</v>
      </c>
      <c r="CV331" s="45">
        <f>('[2]Renewable Diesel'!AN340*'[2]Feedstock Conversion Rates'!$B$3*'[2]RD Feedstock Breakdown'!$CV$3)/12</f>
        <v>0.50062499999999999</v>
      </c>
      <c r="CW331" s="47">
        <f t="shared" si="284"/>
        <v>0.50062499999999999</v>
      </c>
      <c r="CX331" s="45">
        <f>('[2]Renewable Diesel'!AO340*'[2]RD Feedstock Breakdown'!$CX$3*'[2]Feedstock Conversion Rates'!$B$3)/12</f>
        <v>6.3412499999999996</v>
      </c>
      <c r="CY331" s="45">
        <f>('[2]Renewable Diesel'!AO340*'[2]RD Feedstock Breakdown'!$CY$3*'[2]Feedstock Conversion Rates'!$B$6)/12</f>
        <v>7.4258333333333342</v>
      </c>
      <c r="CZ331" s="47">
        <f t="shared" si="268"/>
        <v>13.767083333333334</v>
      </c>
      <c r="DA331" s="45">
        <f>('[2]Renewable Diesel'!$AP340*'[2]RD Feedstock Breakdown'!DA$3*'[2]Feedstock Conversion Rates'!$B$3)/12</f>
        <v>6.3412499999999996</v>
      </c>
      <c r="DB331" s="45">
        <f>('[2]Renewable Diesel'!$AP340*'[2]RD Feedstock Breakdown'!DB$3*'[2]Feedstock Conversion Rates'!$B$8)/12</f>
        <v>7.421875</v>
      </c>
      <c r="DC331" s="47">
        <f t="shared" si="287"/>
        <v>13.763124999999999</v>
      </c>
      <c r="DD331" s="45">
        <f>('[2]Renewable Diesel'!AQ340*$DD$3*'[2]Feedstock Conversion Rates'!$B$14)/12</f>
        <v>3.1041666666666665</v>
      </c>
      <c r="DE331" s="47">
        <f t="shared" si="288"/>
        <v>3.1041666666666665</v>
      </c>
      <c r="DF331" s="45">
        <f>('[2]Renewable Diesel'!AR340*'[2]Feedstock Conversion Rates'!$B$4*$DF$3)/12</f>
        <v>75</v>
      </c>
      <c r="DG331" s="47">
        <f t="shared" si="269"/>
        <v>75</v>
      </c>
      <c r="DH331" s="45">
        <f>('[2]Renewable Diesel'!AS340*'[2]Feedstock Conversion Rates'!$B$4*$DH$3)/12</f>
        <v>75</v>
      </c>
      <c r="DI331" s="47">
        <f t="shared" si="273"/>
        <v>75</v>
      </c>
      <c r="DJ331" s="45">
        <f>('[2]Renewable Diesel'!AT340*'[2]Feedstock Conversion Rates'!$B$4*0.25)/12</f>
        <v>8.59375</v>
      </c>
      <c r="DK331" s="45">
        <f>('[2]Renewable Diesel'!$AT340*'[2]RD Feedstock Breakdown'!DK$3*'[2]Feedstock Conversion Rates'!$B$3)/12*0.5</f>
        <v>9.1781249999999996</v>
      </c>
      <c r="DL331" s="45">
        <f>('[2]Renewable Diesel'!$AT340*'[2]RD Feedstock Breakdown'!$DL$3*'[2]Feedstock Conversion Rates'!$B$6)/12</f>
        <v>10.747916666666669</v>
      </c>
      <c r="DM331" s="45">
        <f>('[2]Renewable Diesel'!$AT340*'[2]RD Feedstock Breakdown'!$DM$3*'[2]Feedstock Conversion Rates'!$B$8)/12</f>
        <v>10.7421875</v>
      </c>
      <c r="DN331" s="47">
        <f t="shared" si="249"/>
        <v>39.26197916666667</v>
      </c>
      <c r="DP331" s="45">
        <f t="shared" si="216"/>
        <v>48.220250000000007</v>
      </c>
      <c r="DQ331" s="45">
        <f t="shared" si="217"/>
        <v>479.11776749999996</v>
      </c>
      <c r="DR331" s="45">
        <f t="shared" si="224"/>
        <v>1869.453125</v>
      </c>
      <c r="DS331" s="45">
        <f t="shared" si="235"/>
        <v>228.90125</v>
      </c>
      <c r="DT331" s="45">
        <f t="shared" si="218"/>
        <v>233.03923333333344</v>
      </c>
      <c r="DU331" s="45">
        <f t="shared" si="219"/>
        <v>345.40610000000004</v>
      </c>
      <c r="DV331" s="45">
        <f t="shared" si="225"/>
        <v>78.75</v>
      </c>
      <c r="DW331" s="45">
        <f t="shared" si="220"/>
        <v>3</v>
      </c>
      <c r="DX331" s="47">
        <f t="shared" si="226"/>
        <v>3285.8877258333337</v>
      </c>
      <c r="DY331" s="50">
        <f t="shared" si="286"/>
        <v>-5.631051180898794E-13</v>
      </c>
      <c r="EA331" s="51">
        <f t="shared" si="263"/>
        <v>1.4674953626959629E-2</v>
      </c>
      <c r="EB331" s="51">
        <f t="shared" si="263"/>
        <v>0.14581075419382777</v>
      </c>
      <c r="EC331" s="51">
        <f t="shared" si="263"/>
        <v>0.56893396274697372</v>
      </c>
      <c r="ED331" s="51">
        <f t="shared" si="261"/>
        <v>6.9661920643362324E-2</v>
      </c>
      <c r="EE331" s="51">
        <f t="shared" si="261"/>
        <v>7.0921240400638574E-2</v>
      </c>
      <c r="EF331" s="51">
        <f t="shared" si="261"/>
        <v>0.10511804687800208</v>
      </c>
      <c r="EG331" s="51">
        <f t="shared" si="261"/>
        <v>2.3966126225456536E-2</v>
      </c>
      <c r="EH331" s="52">
        <f t="shared" si="227"/>
        <v>9.1299528477929671E-4</v>
      </c>
      <c r="EI331" s="51">
        <f t="shared" si="271"/>
        <v>0.99908700471522072</v>
      </c>
      <c r="EK331" s="53">
        <f>(EA331*'[2]Renewable Diesel'!BF340*'[2]Feedstock Conversion Rates'!B$2)+FB331</f>
        <v>89.785885623409129</v>
      </c>
      <c r="EL331" s="53">
        <f>(EB331*'[2]Renewable Diesel'!BF340*'[2]Feedstock Conversion Rates'!B$3)+FC331</f>
        <v>840.68728683101813</v>
      </c>
      <c r="EM331" s="53">
        <f>(EC331*'[2]Renewable Diesel'!BF340*'[2]Feedstock Conversion Rates'!B$4)+FD331</f>
        <v>3071.3939950095673</v>
      </c>
      <c r="EN331" s="53">
        <f>(ED331*'[2]Renewable Diesel'!BF340*'[2]Feedstock Conversion Rates'!B$5)+FE331</f>
        <v>378.57750379888137</v>
      </c>
      <c r="EO331" s="53">
        <f>(EE331*'[2]Renewable Diesel'!BF340*'[2]Feedstock Conversion Rates'!B$6)+FF331</f>
        <v>478.84126408801143</v>
      </c>
      <c r="EP331" s="53">
        <f>(EF331*'[2]Renewable Diesel'!BF340*'[2]Feedstock Conversion Rates'!B$7)+FG331</f>
        <v>696.10943123223092</v>
      </c>
      <c r="EQ331" s="53">
        <f>(EG331*'[2]Renewable Diesel'!BF340*'[2]Feedstock Conversion Rates'!B$8)+FH331</f>
        <v>161.72662600660513</v>
      </c>
      <c r="ER331" s="53">
        <f>(EH331*'[2]Renewable Diesel'!BF340*'[2]Feedstock Conversion Rates'!B$9)+FI331</f>
        <v>6.078867466406999</v>
      </c>
      <c r="ES331" s="53">
        <f t="shared" si="228"/>
        <v>5723.2008600561312</v>
      </c>
      <c r="ET331" s="36">
        <f>ES331/'[2]Renewable Diesel'!BF340</f>
        <v>7.9510883743648799</v>
      </c>
    </row>
    <row r="332" spans="1:150" x14ac:dyDescent="0.25">
      <c r="A332" s="39">
        <v>50526</v>
      </c>
      <c r="B332" s="45">
        <f t="shared" si="282"/>
        <v>1.75</v>
      </c>
      <c r="C332" s="45">
        <f t="shared" si="251"/>
        <v>49</v>
      </c>
      <c r="D332" s="45">
        <f t="shared" si="283"/>
        <v>2</v>
      </c>
      <c r="E332" s="45">
        <f>('[2]Renewable Diesel'!B341*E$3*'[2]Feedstock Conversion Rates'!$B$2)/12+26+13-100+27.5+39</f>
        <v>95.43</v>
      </c>
      <c r="F332" s="45">
        <f>('[2]Renewable Diesel'!B341*'[2]RD Feedstock Breakdown'!F$3*'[2]Feedstock Conversion Rates'!B$8)/12+77+23-10-12-115.75+24+8</f>
        <v>48.15625</v>
      </c>
      <c r="G332" s="45">
        <f>('[2]Renewable Diesel'!B341*'[2]RD Feedstock Breakdown'!G$3*'[2]Feedstock Conversion Rates'!B$7)/12+116.75-39-57.5-145-31.5+32+70-40+10+2.5</f>
        <v>94.407000000000039</v>
      </c>
      <c r="H332" s="45">
        <f>('[2]Renewable Diesel'!B341*'[2]RD Feedstock Breakdown'!H$3*'[2]Feedstock Conversion Rates'!B$3)/12+67+10+12+3-235+20+47-20+125</f>
        <v>205.40022499999998</v>
      </c>
      <c r="I332" s="47">
        <f t="shared" si="245"/>
        <v>496.14347500000002</v>
      </c>
      <c r="J332" s="45">
        <f t="shared" si="281"/>
        <v>4</v>
      </c>
      <c r="K332" s="45"/>
      <c r="L332" s="45">
        <v>1</v>
      </c>
      <c r="M332" s="45">
        <f>('[2]Renewable Diesel'!C341*'[2]RD Feedstock Breakdown'!M$3*'[2]Feedstock Conversion Rates'!B$2)/12-55</f>
        <v>-47.20975</v>
      </c>
      <c r="N332" s="45">
        <f>('[2]Renewable Diesel'!C341*'[2]RD Feedstock Breakdown'!N$3*'[2]Feedstock Conversion Rates'!B$8)/12</f>
        <v>3.671875</v>
      </c>
      <c r="O332" s="45">
        <f>('[2]Renewable Diesel'!C341*'[2]RD Feedstock Breakdown'!O$3*'[2]Feedstock Conversion Rates'!B$7)/12</f>
        <v>11.9991</v>
      </c>
      <c r="P332" s="45">
        <f>('[2]Renewable Diesel'!C341*'[2]RD Feedstock Breakdown'!P$3*'[2]Feedstock Conversion Rates'!B$3)/12+15+35</f>
        <v>60.447042500000002</v>
      </c>
      <c r="Q332" s="47">
        <f t="shared" si="252"/>
        <v>33.908267500000001</v>
      </c>
      <c r="R332" s="45">
        <f>('[2]Renewable Diesel'!D341*'[2]RD Feedstock Breakdown'!R$3*'[2]Feedstock Conversion Rates'!B$7)/12</f>
        <v>2.2999999999999998</v>
      </c>
      <c r="S332" s="47">
        <f t="shared" si="279"/>
        <v>2.2999999999999998</v>
      </c>
      <c r="T332" s="45">
        <f t="shared" si="253"/>
        <v>0.82499999999999929</v>
      </c>
      <c r="U332" s="45"/>
      <c r="V332" s="45">
        <f>('[2]Renewable Diesel'!E341*'[2]RD Feedstock Breakdown'!V$3*'[2]Feedstock Conversion Rates'!B$6)/12-20+25</f>
        <v>49.250150000000012</v>
      </c>
      <c r="W332" s="45">
        <f>('[2]Renewable Diesel'!E341*'[2]RD Feedstock Breakdown'!W$3*'[2]Feedstock Conversion Rates'!B$8)/12-6</f>
        <v>16.1796875</v>
      </c>
      <c r="X332" s="47">
        <f t="shared" si="229"/>
        <v>66.254837500000008</v>
      </c>
      <c r="Y332" s="45">
        <f t="shared" si="254"/>
        <v>98</v>
      </c>
      <c r="Z332" s="45">
        <f>('[2]Renewable Diesel'!F341*'[2]RD Feedstock Breakdown'!Z$3*'[2]Feedstock Conversion Rates'!B$6)/12-142+15+5+20+5+5</f>
        <v>67.460000000000008</v>
      </c>
      <c r="AA332" s="45">
        <f>('[2]Renewable Diesel'!F341*'[2]RD Feedstock Breakdown'!AA$3*'[2]Feedstock Conversion Rates'!B$7)/12+24</f>
        <v>128.26666666666665</v>
      </c>
      <c r="AB332" s="47">
        <f t="shared" si="270"/>
        <v>293.72666666666669</v>
      </c>
      <c r="AC332" s="45">
        <f>('[2]Renewable Diesel'!G341*'[2]RD Feedstock Breakdown'!AC$3*'[2]Feedstock Conversion Rates'!B$5)/12</f>
        <v>11.796875</v>
      </c>
      <c r="AD332" s="45">
        <f>('[2]Renewable Diesel'!G341*'[2]RD Feedstock Breakdown'!AD$3*'[2]Feedstock Conversion Rates'!B$4)/12</f>
        <v>5.859375</v>
      </c>
      <c r="AE332" s="45">
        <f>('[2]Renewable Diesel'!G341*'[2]RD Feedstock Breakdown'!AE$3*'[2]Feedstock Conversion Rates'!B$6)/12</f>
        <v>7.3281250000000009</v>
      </c>
      <c r="AF332" s="47">
        <f t="shared" si="236"/>
        <v>24.984375</v>
      </c>
      <c r="AG332" s="45">
        <f t="shared" si="259"/>
        <v>148</v>
      </c>
      <c r="AH332" s="45"/>
      <c r="AI332" s="45">
        <f>('[2]Renewable Diesel'!H341*'[2]RD Feedstock Breakdown'!AI$3*'[2]Feedstock Conversion Rates'!B$6)/12-130-20+51-49</f>
        <v>0.51666666666667993</v>
      </c>
      <c r="AJ332" s="47">
        <f t="shared" si="278"/>
        <v>148.51666666666668</v>
      </c>
      <c r="AK332" s="45">
        <f>('[2]Renewable Diesel'!J341*'[2]RD Feedstock Breakdown'!AK$3*'[2]Feedstock Conversion Rates'!B$4)/12</f>
        <v>95.8125</v>
      </c>
      <c r="AL332" s="47">
        <f t="shared" si="280"/>
        <v>95.8125</v>
      </c>
      <c r="AM332" s="45">
        <f>('[2]Renewable Diesel'!K341*'[2]RD Feedstock Breakdown'!AM$3*'[2]Feedstock Conversion Rates'!B$4)/12+5+15-10+10</f>
        <v>78.59375</v>
      </c>
      <c r="AN332" s="45">
        <f>('[2]Renewable Diesel'!K341*'[2]RD Feedstock Breakdown'!AN$3*'[2]Feedstock Conversion Rates'!B$6)/12-5-15+10-10</f>
        <v>4.4270833333333321</v>
      </c>
      <c r="AO332" s="47">
        <f t="shared" si="223"/>
        <v>83.020833333333329</v>
      </c>
      <c r="AP332" s="45">
        <f>('[2]Renewable Diesel'!L341*'[2]RD Feedstock Breakdown'!AP$3*'[2]Feedstock Conversion Rates'!B$4)/12+15-10+15</f>
        <v>78.59375</v>
      </c>
      <c r="AQ332" s="45">
        <f>('[2]Renewable Diesel'!L341*'[2]RD Feedstock Breakdown'!AQ$3*'[2]Feedstock Conversion Rates'!B$6)/12-15+10-15</f>
        <v>4.4270833333333321</v>
      </c>
      <c r="AR332" s="47">
        <f t="shared" si="285"/>
        <v>83.020833333333329</v>
      </c>
      <c r="AS332" s="45">
        <f>('[2]Renewable Diesel'!M341*'[2]RD Feedstock Breakdown'!AS$3*'[2]Feedstock Conversion Rates'!B$4)/12</f>
        <v>456.25</v>
      </c>
      <c r="AT332" s="45">
        <f>('[2]Renewable Diesel'!M341*'[2]RD Feedstock Breakdown'!AT$3*'[2]Feedstock Conversion Rates'!B$5)/12</f>
        <v>0</v>
      </c>
      <c r="AU332" s="47">
        <f t="shared" si="244"/>
        <v>456.25</v>
      </c>
      <c r="AV332" s="45">
        <f>'[2]Renewable Diesel'!N341*'[2]RD Feedstock Breakdown'!$AV$3*'[2]Feedstock Conversion Rates'!$B$4/12-15-10+25+25-22+25</f>
        <v>106.74999999999999</v>
      </c>
      <c r="AW332" s="45">
        <f>'[2]Renewable Diesel'!N341*'[2]RD Feedstock Breakdown'!$AW$3*'[2]Feedstock Conversion Rates'!$B$7/12+15+10-25-25+22-25</f>
        <v>13.400000000000006</v>
      </c>
      <c r="AX332" s="47">
        <f t="shared" si="272"/>
        <v>120.14999999999999</v>
      </c>
      <c r="AY332" s="45">
        <f>('[2]Renewable Diesel'!O341*'[2]RD Feedstock Breakdown'!AY$3*'[2]Feedstock Conversion Rates'!B$4)/12</f>
        <v>210.9375</v>
      </c>
      <c r="AZ332" s="45">
        <f>('[2]Renewable Diesel'!O341*'[2]RD Feedstock Breakdown'!AZ$3*'[2]Feedstock Conversion Rates'!B$3)/12</f>
        <v>25.03125</v>
      </c>
      <c r="BA332" s="47">
        <f t="shared" si="255"/>
        <v>235.96875</v>
      </c>
      <c r="BB332" s="45">
        <f>('[2]Renewable Diesel'!Q341*'[2]RD Feedstock Breakdown'!BB$3*'[2]Feedstock Conversion Rates'!B$4)/12</f>
        <v>11.156249999999998</v>
      </c>
      <c r="BC332" s="45">
        <f>('[2]Renewable Diesel'!Q341*'[2]RD Feedstock Breakdown'!BC$3*'[2]Feedstock Conversion Rates'!B$3)/12</f>
        <v>1.4017500000000001</v>
      </c>
      <c r="BD332" s="45">
        <f>('[2]Renewable Diesel'!Q341*'[2]RD Feedstock Breakdown'!BD$3*'[2]Feedstock Conversion Rates'!B$6)/12</f>
        <v>0.8207500000000002</v>
      </c>
      <c r="BE332" s="47">
        <f t="shared" si="231"/>
        <v>13.378749999999998</v>
      </c>
      <c r="BF332" s="45">
        <f>('[2]Renewable Diesel'!R341*'[2]RD Feedstock Breakdown'!BF$3*'[2]Feedstock Conversion Rates'!B$4)/12</f>
        <v>62.5</v>
      </c>
      <c r="BG332" s="47">
        <f t="shared" si="289"/>
        <v>62.5</v>
      </c>
      <c r="BH332" s="45">
        <f>('[2]Renewable Diesel'!T341*'[2]RD Feedstock Breakdown'!BH$3*'[2]Feedstock Conversion Rates'!B$7)/12</f>
        <v>27.599999999999998</v>
      </c>
      <c r="BI332" s="47">
        <f t="shared" si="277"/>
        <v>27.599999999999998</v>
      </c>
      <c r="BJ332" s="45">
        <f>('[2]Renewable Diesel'!W341*'[2]RD Feedstock Breakdown'!BJ$3*'[2]Feedstock Conversion Rates'!B$4)/12</f>
        <v>7.5</v>
      </c>
      <c r="BK332" s="45">
        <f>('[2]Renewable Diesel'!W341*'[2]RD Feedstock Breakdown'!BK$3*'[2]Feedstock Conversion Rates'!B$3)/12</f>
        <v>1.335</v>
      </c>
      <c r="BL332" s="45">
        <f>('[2]Renewable Diesel'!W341*'[2]RD Feedstock Breakdown'!BL$3*'[2]Feedstock Conversion Rates'!B$6)/12</f>
        <v>3.1266666666666669</v>
      </c>
      <c r="BM332" s="45">
        <f>('[2]Renewable Diesel'!W341*'[2]RD Feedstock Breakdown'!BM$3*'[2]Feedstock Conversion Rates'!B$7)/12</f>
        <v>1.5333333333333332</v>
      </c>
      <c r="BN332" s="47">
        <f t="shared" si="248"/>
        <v>13.495000000000001</v>
      </c>
      <c r="BO332" s="45">
        <f>('[2]Renewable Diesel'!P341*'[2]Feedstock Conversion Rates'!B$4)/12</f>
        <v>31.25</v>
      </c>
      <c r="BP332" s="47">
        <f t="shared" si="237"/>
        <v>31.25</v>
      </c>
      <c r="BQ332" s="45">
        <f>('[2]Renewable Diesel'!$S341*'[2]RD Feedstock Breakdown'!BQ$3*'[2]Feedstock Conversion Rates'!B$4)/12+10+15-15</f>
        <v>38.125</v>
      </c>
      <c r="BR332" s="45">
        <f>('[2]Renewable Diesel'!$S341*'[2]RD Feedstock Breakdown'!BR$3*'[2]Feedstock Conversion Rates'!B$7)/12-10-15+15</f>
        <v>1.5</v>
      </c>
      <c r="BS332" s="47">
        <f t="shared" si="260"/>
        <v>39.625</v>
      </c>
      <c r="BT332" s="47"/>
      <c r="BU332" s="45">
        <f>('[2]Renewable Diesel'!Y341*'[2]Feedstock Conversion Rates'!B$7)/12</f>
        <v>2.6833333333333331</v>
      </c>
      <c r="BV332" s="47">
        <f t="shared" si="233"/>
        <v>2.6833333333333331</v>
      </c>
      <c r="BW332" s="45">
        <f>('[2]Renewable Diesel'!$Z341*'[2]RD Feedstock Breakdown'!BW$3*'[2]Feedstock Conversion Rates'!$B$4)/12-50</f>
        <v>21.875</v>
      </c>
      <c r="BX332" s="45">
        <f>('[2]Renewable Diesel'!$Z341*'[2]RD Feedstock Breakdown'!BX$3*'[2]Feedstock Conversion Rates'!$B$5)/12</f>
        <v>7.2354166666666666</v>
      </c>
      <c r="BY332" s="45">
        <f>('[2]Renewable Diesel'!$Z341*'[2]RD Feedstock Breakdown'!BY$3*'[2]Feedstock Conversion Rates'!$B$7)/12</f>
        <v>61.716666666666661</v>
      </c>
      <c r="BZ332" s="45">
        <f>('[2]Renewable Diesel'!$Z341*'[2]RD Feedstock Breakdown'!BZ$3*'[2]Feedstock Conversion Rates'!$B$3)/12+50</f>
        <v>65.352499999999992</v>
      </c>
      <c r="CA332" s="47">
        <f t="shared" si="262"/>
        <v>156.17958333333331</v>
      </c>
      <c r="CB332" s="45">
        <f>('[2]Renewable Diesel'!AA341*'[2]Feedstock Conversion Rates'!B$4)/12</f>
        <v>191.25</v>
      </c>
      <c r="CC332" s="47">
        <f t="shared" si="250"/>
        <v>191.25</v>
      </c>
      <c r="CD332" s="45">
        <f>('[2]Renewable Diesel'!$AB341*'[2]RD Feedstock Breakdown'!CD$3*'[2]Feedstock Conversion Rates'!$B$6)/12-15-5</f>
        <v>12.830000000000005</v>
      </c>
      <c r="CE332" s="45">
        <f>('[2]Renewable Diesel'!$AB341*'[2]RD Feedstock Breakdown'!CE$3*'[2]Feedstock Conversion Rates'!$B$4)/12+15+5</f>
        <v>31.25</v>
      </c>
      <c r="CF332" s="47">
        <f t="shared" si="247"/>
        <v>44.080000000000005</v>
      </c>
      <c r="CG332" s="45">
        <f>('[2]Renewable Diesel'!AD341*'[2]Feedstock Conversion Rates'!B$4)/12</f>
        <v>112.5</v>
      </c>
      <c r="CH332" s="47">
        <f t="shared" si="230"/>
        <v>112.5</v>
      </c>
      <c r="CI332" s="45">
        <f>('[2]Renewable Diesel'!$AE341*'[2]RD Feedstock Breakdown'!CI$3*'[2]Feedstock Conversion Rates'!$B$5)/12</f>
        <v>0.34604166666666664</v>
      </c>
      <c r="CJ332" s="45">
        <f>('[2]Renewable Diesel'!$AE341*'[2]RD Feedstock Breakdown'!CJ$3*'[2]Feedstock Conversion Rates'!$B$4)/12</f>
        <v>0.34375</v>
      </c>
      <c r="CK332" s="47">
        <f t="shared" si="238"/>
        <v>0.68979166666666658</v>
      </c>
      <c r="CL332" s="45">
        <f>(((CL$3*'[2]Renewable Diesel'!$AF341)*'[2]Feedstock Conversion Rates'!$B$3)/12)</f>
        <v>91.78125</v>
      </c>
      <c r="CM332" s="45">
        <f>(((CM$3*'[2]Renewable Diesel'!$AF341)*'[2]Feedstock Conversion Rates'!$B$6)/12)</f>
        <v>53.739583333333336</v>
      </c>
      <c r="CN332" s="45">
        <f>(((CN$3*'[2]Renewable Diesel'!$AF341)*'[2]Feedstock Conversion Rates'!$B$4)/12)</f>
        <v>42.96875</v>
      </c>
      <c r="CO332" s="47">
        <f t="shared" si="232"/>
        <v>188.48958333333334</v>
      </c>
      <c r="CP332" s="45">
        <f>('[2]Renewable Diesel'!$AG341*'[2]RD Feedstock Breakdown'!CP$3*'[2]Feedstock Conversion Rates'!$B$3)/12</f>
        <v>6.0075000000000003</v>
      </c>
      <c r="CQ332" s="45">
        <f>('[2]Renewable Diesel'!$AG341*'[2]RD Feedstock Breakdown'!CQ$3*'[2]Feedstock Conversion Rates'!$B$6)/12</f>
        <v>3.5175000000000001</v>
      </c>
      <c r="CR332" s="45">
        <f>('[2]Renewable Diesel'!$AG341*'[2]RD Feedstock Breakdown'!CR$3*'[2]Feedstock Conversion Rates'!$B$4)/12</f>
        <v>2.8125</v>
      </c>
      <c r="CS332" s="47">
        <f t="shared" si="267"/>
        <v>12.3375</v>
      </c>
      <c r="CT332" s="45">
        <f>('[2]Renewable Diesel'!AI341*'[2]Feedstock Conversion Rates'!$B$4*'[2]RD Feedstock Breakdown'!$CT$3)/12</f>
        <v>29.375</v>
      </c>
      <c r="CU332" s="47">
        <f t="shared" si="234"/>
        <v>29.375</v>
      </c>
      <c r="CV332" s="45">
        <f>('[2]Renewable Diesel'!AN341*'[2]Feedstock Conversion Rates'!$B$3*'[2]RD Feedstock Breakdown'!$CV$3)/12</f>
        <v>0.50062499999999999</v>
      </c>
      <c r="CW332" s="47">
        <f t="shared" si="284"/>
        <v>0.50062499999999999</v>
      </c>
      <c r="CX332" s="45">
        <f>('[2]Renewable Diesel'!AO341*'[2]RD Feedstock Breakdown'!$CX$3*'[2]Feedstock Conversion Rates'!$B$3)/12</f>
        <v>6.3412499999999996</v>
      </c>
      <c r="CY332" s="45">
        <f>('[2]Renewable Diesel'!AO341*'[2]RD Feedstock Breakdown'!$CY$3*'[2]Feedstock Conversion Rates'!$B$6)/12</f>
        <v>7.4258333333333342</v>
      </c>
      <c r="CZ332" s="47">
        <f t="shared" si="268"/>
        <v>13.767083333333334</v>
      </c>
      <c r="DA332" s="45">
        <f>('[2]Renewable Diesel'!$AP341*'[2]RD Feedstock Breakdown'!DA$3*'[2]Feedstock Conversion Rates'!$B$3)/12</f>
        <v>6.3412499999999996</v>
      </c>
      <c r="DB332" s="45">
        <f>('[2]Renewable Diesel'!$AP341*'[2]RD Feedstock Breakdown'!DB$3*'[2]Feedstock Conversion Rates'!$B$8)/12</f>
        <v>7.421875</v>
      </c>
      <c r="DC332" s="47">
        <f t="shared" si="287"/>
        <v>13.763124999999999</v>
      </c>
      <c r="DD332" s="45">
        <f>('[2]Renewable Diesel'!AQ341*$DD$3*'[2]Feedstock Conversion Rates'!$B$14)/12</f>
        <v>3.1041666666666665</v>
      </c>
      <c r="DE332" s="47">
        <f t="shared" si="288"/>
        <v>3.1041666666666665</v>
      </c>
      <c r="DF332" s="45">
        <f>('[2]Renewable Diesel'!AR341*'[2]Feedstock Conversion Rates'!$B$4*$DF$3)/12</f>
        <v>75</v>
      </c>
      <c r="DG332" s="47">
        <f t="shared" si="269"/>
        <v>75</v>
      </c>
      <c r="DH332" s="45">
        <f>('[2]Renewable Diesel'!AS341*'[2]Feedstock Conversion Rates'!$B$4*$DH$3)/12</f>
        <v>75</v>
      </c>
      <c r="DI332" s="47">
        <f t="shared" si="273"/>
        <v>75</v>
      </c>
      <c r="DJ332" s="45">
        <f>('[2]Renewable Diesel'!AT341*'[2]Feedstock Conversion Rates'!$B$4*0.25)/12</f>
        <v>8.59375</v>
      </c>
      <c r="DK332" s="45">
        <f>('[2]Renewable Diesel'!$AT341*'[2]RD Feedstock Breakdown'!DK$3*'[2]Feedstock Conversion Rates'!$B$3)/12*0.5</f>
        <v>9.1781249999999996</v>
      </c>
      <c r="DL332" s="45">
        <f>('[2]Renewable Diesel'!$AT341*'[2]RD Feedstock Breakdown'!$DL$3*'[2]Feedstock Conversion Rates'!$B$6)/12</f>
        <v>10.747916666666669</v>
      </c>
      <c r="DM332" s="45">
        <f>('[2]Renewable Diesel'!$AT341*'[2]RD Feedstock Breakdown'!$DM$3*'[2]Feedstock Conversion Rates'!$B$8)/12</f>
        <v>10.7421875</v>
      </c>
      <c r="DN332" s="47">
        <f t="shared" si="249"/>
        <v>39.26197916666667</v>
      </c>
      <c r="DP332" s="45">
        <f t="shared" ref="DP332:DP375" si="290">E332+M332</f>
        <v>48.220250000000007</v>
      </c>
      <c r="DQ332" s="45">
        <f t="shared" ref="DQ332:DQ375" si="291">H332+P332+AZ332+BC332+BK332+BZ332+CL332+CP332+CV332+CX332+DA332+DK332</f>
        <v>479.11776749999996</v>
      </c>
      <c r="DR332" s="45">
        <f t="shared" si="224"/>
        <v>1869.453125</v>
      </c>
      <c r="DS332" s="45">
        <f t="shared" si="235"/>
        <v>228.90125</v>
      </c>
      <c r="DT332" s="45">
        <f t="shared" ref="DT332:DT375" si="292">V332+Z332+AE332+AI332+BD332+BL332+AN332+AQ332+CD332+CM332+CQ332+CY332+DB332+DL332</f>
        <v>233.03923333333344</v>
      </c>
      <c r="DU332" s="45">
        <f t="shared" ref="DU332:DU375" si="293">G332+O332+R332+AA332+AW332+BH332+BM332+BR332+BU332+BY332</f>
        <v>345.40610000000004</v>
      </c>
      <c r="DV332" s="45">
        <f t="shared" si="225"/>
        <v>78.75</v>
      </c>
      <c r="DW332" s="45">
        <f t="shared" ref="DW332:DW375" si="294">D332+L332</f>
        <v>3</v>
      </c>
      <c r="DX332" s="47">
        <f t="shared" si="226"/>
        <v>3285.8877258333337</v>
      </c>
      <c r="DY332" s="50">
        <f t="shared" si="286"/>
        <v>-5.631051180898794E-13</v>
      </c>
      <c r="EA332" s="51">
        <f t="shared" si="263"/>
        <v>1.4674953626959629E-2</v>
      </c>
      <c r="EB332" s="51">
        <f t="shared" si="263"/>
        <v>0.14581075419382777</v>
      </c>
      <c r="EC332" s="51">
        <f t="shared" si="263"/>
        <v>0.56893396274697372</v>
      </c>
      <c r="ED332" s="51">
        <f t="shared" si="261"/>
        <v>6.9661920643362324E-2</v>
      </c>
      <c r="EE332" s="51">
        <f t="shared" si="261"/>
        <v>7.0921240400638574E-2</v>
      </c>
      <c r="EF332" s="51">
        <f t="shared" si="261"/>
        <v>0.10511804687800208</v>
      </c>
      <c r="EG332" s="51">
        <f t="shared" si="261"/>
        <v>2.3966126225456536E-2</v>
      </c>
      <c r="EH332" s="52">
        <f t="shared" si="227"/>
        <v>9.1299528477929671E-4</v>
      </c>
      <c r="EI332" s="51">
        <f t="shared" si="271"/>
        <v>0.99908700471522072</v>
      </c>
      <c r="EK332" s="53">
        <f>(EA332*'[2]Renewable Diesel'!BF341*'[2]Feedstock Conversion Rates'!B$2)+FB332</f>
        <v>108.25246155894132</v>
      </c>
      <c r="EL332" s="53">
        <f>(EB332*'[2]Renewable Diesel'!BF341*'[2]Feedstock Conversion Rates'!B$3)+FC332</f>
        <v>1013.5943703053266</v>
      </c>
      <c r="EM332" s="53">
        <f>(EC332*'[2]Renewable Diesel'!BF341*'[2]Feedstock Conversion Rates'!B$4)+FD332</f>
        <v>3703.0982995666973</v>
      </c>
      <c r="EN332" s="53">
        <f>(ED332*'[2]Renewable Diesel'!BF341*'[2]Feedstock Conversion Rates'!B$5)+FE332</f>
        <v>456.44085807606575</v>
      </c>
      <c r="EO332" s="53">
        <f>(EE332*'[2]Renewable Diesel'!BF341*'[2]Feedstock Conversion Rates'!B$6)+FF332</f>
        <v>577.32621529109929</v>
      </c>
      <c r="EP332" s="53">
        <f>(EF332*'[2]Renewable Diesel'!BF341*'[2]Feedstock Conversion Rates'!B$7)+FG332</f>
        <v>839.28068339548406</v>
      </c>
      <c r="EQ332" s="53">
        <f>(EG332*'[2]Renewable Diesel'!BF341*'[2]Feedstock Conversion Rates'!B$8)+FH332</f>
        <v>194.98950467859243</v>
      </c>
      <c r="ER332" s="53">
        <f>(EH332*'[2]Renewable Diesel'!BF341*'[2]Feedstock Conversion Rates'!B$9)+FI332</f>
        <v>7.3291293187128081</v>
      </c>
      <c r="ES332" s="53">
        <f t="shared" si="228"/>
        <v>6900.3115221909193</v>
      </c>
      <c r="ET332" s="36">
        <f>ES332/'[2]Renewable Diesel'!BF341</f>
        <v>7.9510883743648781</v>
      </c>
    </row>
    <row r="333" spans="1:150" x14ac:dyDescent="0.25">
      <c r="A333" s="39">
        <v>50557</v>
      </c>
      <c r="B333" s="45">
        <f t="shared" si="282"/>
        <v>1.75</v>
      </c>
      <c r="C333" s="45">
        <f t="shared" si="251"/>
        <v>49</v>
      </c>
      <c r="D333" s="45">
        <f t="shared" si="283"/>
        <v>2</v>
      </c>
      <c r="E333" s="45">
        <f>('[2]Renewable Diesel'!B342*E$3*'[2]Feedstock Conversion Rates'!$B$2)/12+26+13-100+27.5+39</f>
        <v>95.43</v>
      </c>
      <c r="F333" s="45">
        <f>('[2]Renewable Diesel'!B342*'[2]RD Feedstock Breakdown'!F$3*'[2]Feedstock Conversion Rates'!B$8)/12+77+23-10-12-115.75+24+8</f>
        <v>48.15625</v>
      </c>
      <c r="G333" s="45">
        <f>('[2]Renewable Diesel'!B342*'[2]RD Feedstock Breakdown'!G$3*'[2]Feedstock Conversion Rates'!B$7)/12+116.75-39-57.5-145-31.5+32+70-40+10+2.5</f>
        <v>94.407000000000039</v>
      </c>
      <c r="H333" s="45">
        <f>('[2]Renewable Diesel'!B342*'[2]RD Feedstock Breakdown'!H$3*'[2]Feedstock Conversion Rates'!B$3)/12+67+10+12+3-235+20+47-20+125</f>
        <v>205.40022499999998</v>
      </c>
      <c r="I333" s="47">
        <f t="shared" si="245"/>
        <v>496.14347500000002</v>
      </c>
      <c r="J333" s="45">
        <f t="shared" si="281"/>
        <v>4</v>
      </c>
      <c r="K333" s="45"/>
      <c r="L333" s="45">
        <v>1</v>
      </c>
      <c r="M333" s="45">
        <f>('[2]Renewable Diesel'!C342*'[2]RD Feedstock Breakdown'!M$3*'[2]Feedstock Conversion Rates'!B$2)/12-55</f>
        <v>-47.20975</v>
      </c>
      <c r="N333" s="45">
        <f>('[2]Renewable Diesel'!C342*'[2]RD Feedstock Breakdown'!N$3*'[2]Feedstock Conversion Rates'!B$8)/12</f>
        <v>3.671875</v>
      </c>
      <c r="O333" s="45">
        <f>('[2]Renewable Diesel'!C342*'[2]RD Feedstock Breakdown'!O$3*'[2]Feedstock Conversion Rates'!B$7)/12</f>
        <v>11.9991</v>
      </c>
      <c r="P333" s="45">
        <f>('[2]Renewable Diesel'!C342*'[2]RD Feedstock Breakdown'!P$3*'[2]Feedstock Conversion Rates'!B$3)/12+15+35</f>
        <v>60.447042500000002</v>
      </c>
      <c r="Q333" s="47">
        <f t="shared" si="252"/>
        <v>33.908267500000001</v>
      </c>
      <c r="R333" s="45">
        <f>('[2]Renewable Diesel'!D342*'[2]RD Feedstock Breakdown'!R$3*'[2]Feedstock Conversion Rates'!B$7)/12</f>
        <v>2.2999999999999998</v>
      </c>
      <c r="S333" s="47">
        <f t="shared" si="279"/>
        <v>2.2999999999999998</v>
      </c>
      <c r="T333" s="45">
        <f t="shared" si="253"/>
        <v>0.82499999999999929</v>
      </c>
      <c r="U333" s="45"/>
      <c r="V333" s="45">
        <f>('[2]Renewable Diesel'!E342*'[2]RD Feedstock Breakdown'!V$3*'[2]Feedstock Conversion Rates'!B$6)/12-20+25</f>
        <v>49.250150000000012</v>
      </c>
      <c r="W333" s="45">
        <f>('[2]Renewable Diesel'!E342*'[2]RD Feedstock Breakdown'!W$3*'[2]Feedstock Conversion Rates'!B$8)/12-6</f>
        <v>16.1796875</v>
      </c>
      <c r="X333" s="47">
        <f t="shared" si="229"/>
        <v>66.254837500000008</v>
      </c>
      <c r="Y333" s="45">
        <f t="shared" si="254"/>
        <v>98</v>
      </c>
      <c r="Z333" s="45">
        <f>('[2]Renewable Diesel'!F342*'[2]RD Feedstock Breakdown'!Z$3*'[2]Feedstock Conversion Rates'!B$6)/12-142+15+5+20+5+5</f>
        <v>67.460000000000008</v>
      </c>
      <c r="AA333" s="45">
        <f>('[2]Renewable Diesel'!F342*'[2]RD Feedstock Breakdown'!AA$3*'[2]Feedstock Conversion Rates'!B$7)/12+24</f>
        <v>128.26666666666665</v>
      </c>
      <c r="AB333" s="47">
        <f t="shared" si="270"/>
        <v>293.72666666666669</v>
      </c>
      <c r="AC333" s="45">
        <f>('[2]Renewable Diesel'!G342*'[2]RD Feedstock Breakdown'!AC$3*'[2]Feedstock Conversion Rates'!B$5)/12</f>
        <v>11.796875</v>
      </c>
      <c r="AD333" s="45">
        <f>('[2]Renewable Diesel'!G342*'[2]RD Feedstock Breakdown'!AD$3*'[2]Feedstock Conversion Rates'!B$4)/12</f>
        <v>5.859375</v>
      </c>
      <c r="AE333" s="45">
        <f>('[2]Renewable Diesel'!G342*'[2]RD Feedstock Breakdown'!AE$3*'[2]Feedstock Conversion Rates'!B$6)/12</f>
        <v>7.3281250000000009</v>
      </c>
      <c r="AF333" s="47">
        <f t="shared" si="236"/>
        <v>24.984375</v>
      </c>
      <c r="AG333" s="45">
        <f t="shared" si="259"/>
        <v>148</v>
      </c>
      <c r="AH333" s="45"/>
      <c r="AI333" s="45">
        <f>('[2]Renewable Diesel'!H342*'[2]RD Feedstock Breakdown'!AI$3*'[2]Feedstock Conversion Rates'!B$6)/12-130-20+51-49</f>
        <v>0.51666666666667993</v>
      </c>
      <c r="AJ333" s="47">
        <f t="shared" si="278"/>
        <v>148.51666666666668</v>
      </c>
      <c r="AK333" s="45">
        <f>('[2]Renewable Diesel'!J342*'[2]RD Feedstock Breakdown'!AK$3*'[2]Feedstock Conversion Rates'!B$4)/12</f>
        <v>95.8125</v>
      </c>
      <c r="AL333" s="47">
        <f t="shared" si="280"/>
        <v>95.8125</v>
      </c>
      <c r="AM333" s="45">
        <f>('[2]Renewable Diesel'!K342*'[2]RD Feedstock Breakdown'!AM$3*'[2]Feedstock Conversion Rates'!B$4)/12+5+15-10+10</f>
        <v>78.59375</v>
      </c>
      <c r="AN333" s="45">
        <f>('[2]Renewable Diesel'!K342*'[2]RD Feedstock Breakdown'!AN$3*'[2]Feedstock Conversion Rates'!B$6)/12-5-15+10-10</f>
        <v>4.4270833333333321</v>
      </c>
      <c r="AO333" s="47">
        <f t="shared" ref="AO333:AO375" si="295">SUM(AM333:AN333)</f>
        <v>83.020833333333329</v>
      </c>
      <c r="AP333" s="45">
        <f>('[2]Renewable Diesel'!L342*'[2]RD Feedstock Breakdown'!AP$3*'[2]Feedstock Conversion Rates'!B$4)/12+15-10+15</f>
        <v>78.59375</v>
      </c>
      <c r="AQ333" s="45">
        <f>('[2]Renewable Diesel'!L342*'[2]RD Feedstock Breakdown'!AQ$3*'[2]Feedstock Conversion Rates'!B$6)/12-15+10-15</f>
        <v>4.4270833333333321</v>
      </c>
      <c r="AR333" s="47">
        <f t="shared" si="285"/>
        <v>83.020833333333329</v>
      </c>
      <c r="AS333" s="45">
        <f>('[2]Renewable Diesel'!M342*'[2]RD Feedstock Breakdown'!AS$3*'[2]Feedstock Conversion Rates'!B$4)/12</f>
        <v>456.25</v>
      </c>
      <c r="AT333" s="45">
        <f>('[2]Renewable Diesel'!M342*'[2]RD Feedstock Breakdown'!AT$3*'[2]Feedstock Conversion Rates'!B$5)/12</f>
        <v>0</v>
      </c>
      <c r="AU333" s="47">
        <f t="shared" si="244"/>
        <v>456.25</v>
      </c>
      <c r="AV333" s="45">
        <f>'[2]Renewable Diesel'!N342*'[2]RD Feedstock Breakdown'!$AV$3*'[2]Feedstock Conversion Rates'!$B$4/12-15-10+25+25-22+25</f>
        <v>106.74999999999999</v>
      </c>
      <c r="AW333" s="45">
        <f>'[2]Renewable Diesel'!N342*'[2]RD Feedstock Breakdown'!$AW$3*'[2]Feedstock Conversion Rates'!$B$7/12+15+10-25-25+22-25</f>
        <v>13.400000000000006</v>
      </c>
      <c r="AX333" s="47">
        <f t="shared" si="272"/>
        <v>120.14999999999999</v>
      </c>
      <c r="AY333" s="45">
        <f>('[2]Renewable Diesel'!O342*'[2]RD Feedstock Breakdown'!AY$3*'[2]Feedstock Conversion Rates'!B$4)/12</f>
        <v>210.9375</v>
      </c>
      <c r="AZ333" s="45">
        <f>('[2]Renewable Diesel'!O342*'[2]RD Feedstock Breakdown'!AZ$3*'[2]Feedstock Conversion Rates'!B$3)/12</f>
        <v>25.03125</v>
      </c>
      <c r="BA333" s="47">
        <f t="shared" si="255"/>
        <v>235.96875</v>
      </c>
      <c r="BB333" s="45">
        <f>('[2]Renewable Diesel'!Q342*'[2]RD Feedstock Breakdown'!BB$3*'[2]Feedstock Conversion Rates'!B$4)/12</f>
        <v>11.156249999999998</v>
      </c>
      <c r="BC333" s="45">
        <f>('[2]Renewable Diesel'!Q342*'[2]RD Feedstock Breakdown'!BC$3*'[2]Feedstock Conversion Rates'!B$3)/12</f>
        <v>1.4017500000000001</v>
      </c>
      <c r="BD333" s="45">
        <f>('[2]Renewable Diesel'!Q342*'[2]RD Feedstock Breakdown'!BD$3*'[2]Feedstock Conversion Rates'!B$6)/12</f>
        <v>0.8207500000000002</v>
      </c>
      <c r="BE333" s="47">
        <f t="shared" si="231"/>
        <v>13.378749999999998</v>
      </c>
      <c r="BF333" s="45">
        <f>('[2]Renewable Diesel'!R342*'[2]RD Feedstock Breakdown'!BF$3*'[2]Feedstock Conversion Rates'!B$4)/12</f>
        <v>62.5</v>
      </c>
      <c r="BG333" s="47">
        <f t="shared" si="289"/>
        <v>62.5</v>
      </c>
      <c r="BH333" s="45">
        <f>('[2]Renewable Diesel'!T342*'[2]RD Feedstock Breakdown'!BH$3*'[2]Feedstock Conversion Rates'!B$7)/12</f>
        <v>27.599999999999998</v>
      </c>
      <c r="BI333" s="47">
        <f t="shared" si="277"/>
        <v>27.599999999999998</v>
      </c>
      <c r="BJ333" s="45">
        <f>('[2]Renewable Diesel'!W342*'[2]RD Feedstock Breakdown'!BJ$3*'[2]Feedstock Conversion Rates'!B$4)/12</f>
        <v>7.5</v>
      </c>
      <c r="BK333" s="45">
        <f>('[2]Renewable Diesel'!W342*'[2]RD Feedstock Breakdown'!BK$3*'[2]Feedstock Conversion Rates'!B$3)/12</f>
        <v>1.335</v>
      </c>
      <c r="BL333" s="45">
        <f>('[2]Renewable Diesel'!W342*'[2]RD Feedstock Breakdown'!BL$3*'[2]Feedstock Conversion Rates'!B$6)/12</f>
        <v>3.1266666666666669</v>
      </c>
      <c r="BM333" s="45">
        <f>('[2]Renewable Diesel'!W342*'[2]RD Feedstock Breakdown'!BM$3*'[2]Feedstock Conversion Rates'!B$7)/12</f>
        <v>1.5333333333333332</v>
      </c>
      <c r="BN333" s="47">
        <f t="shared" si="248"/>
        <v>13.495000000000001</v>
      </c>
      <c r="BO333" s="45">
        <f>('[2]Renewable Diesel'!P342*'[2]Feedstock Conversion Rates'!B$4)/12</f>
        <v>31.25</v>
      </c>
      <c r="BP333" s="47">
        <f t="shared" si="237"/>
        <v>31.25</v>
      </c>
      <c r="BQ333" s="45">
        <f>('[2]Renewable Diesel'!$S342*'[2]RD Feedstock Breakdown'!BQ$3*'[2]Feedstock Conversion Rates'!B$4)/12+10+15-15</f>
        <v>38.125</v>
      </c>
      <c r="BR333" s="45">
        <f>('[2]Renewable Diesel'!$S342*'[2]RD Feedstock Breakdown'!BR$3*'[2]Feedstock Conversion Rates'!B$7)/12-10-15+15</f>
        <v>1.5</v>
      </c>
      <c r="BS333" s="47">
        <f t="shared" si="260"/>
        <v>39.625</v>
      </c>
      <c r="BT333" s="47"/>
      <c r="BU333" s="45">
        <f>('[2]Renewable Diesel'!Y342*'[2]Feedstock Conversion Rates'!B$7)/12</f>
        <v>2.6833333333333331</v>
      </c>
      <c r="BV333" s="47">
        <f t="shared" si="233"/>
        <v>2.6833333333333331</v>
      </c>
      <c r="BW333" s="45">
        <f>('[2]Renewable Diesel'!$Z342*'[2]RD Feedstock Breakdown'!BW$3*'[2]Feedstock Conversion Rates'!$B$4)/12-50</f>
        <v>21.875</v>
      </c>
      <c r="BX333" s="45">
        <f>('[2]Renewable Diesel'!$Z342*'[2]RD Feedstock Breakdown'!BX$3*'[2]Feedstock Conversion Rates'!$B$5)/12</f>
        <v>7.2354166666666666</v>
      </c>
      <c r="BY333" s="45">
        <f>('[2]Renewable Diesel'!$Z342*'[2]RD Feedstock Breakdown'!BY$3*'[2]Feedstock Conversion Rates'!$B$7)/12</f>
        <v>61.716666666666661</v>
      </c>
      <c r="BZ333" s="45">
        <f>('[2]Renewable Diesel'!$Z342*'[2]RD Feedstock Breakdown'!BZ$3*'[2]Feedstock Conversion Rates'!$B$3)/12+50</f>
        <v>65.352499999999992</v>
      </c>
      <c r="CA333" s="47">
        <f t="shared" si="262"/>
        <v>156.17958333333331</v>
      </c>
      <c r="CB333" s="45">
        <f>('[2]Renewable Diesel'!AA342*'[2]Feedstock Conversion Rates'!B$4)/12</f>
        <v>191.25</v>
      </c>
      <c r="CC333" s="47">
        <f t="shared" si="250"/>
        <v>191.25</v>
      </c>
      <c r="CD333" s="45">
        <f>('[2]Renewable Diesel'!$AB342*'[2]RD Feedstock Breakdown'!CD$3*'[2]Feedstock Conversion Rates'!$B$6)/12-15-5</f>
        <v>12.830000000000005</v>
      </c>
      <c r="CE333" s="45">
        <f>('[2]Renewable Diesel'!$AB342*'[2]RD Feedstock Breakdown'!CE$3*'[2]Feedstock Conversion Rates'!$B$4)/12+15+5</f>
        <v>31.25</v>
      </c>
      <c r="CF333" s="47">
        <f t="shared" si="247"/>
        <v>44.080000000000005</v>
      </c>
      <c r="CG333" s="45">
        <f>('[2]Renewable Diesel'!AD342*'[2]Feedstock Conversion Rates'!B$4)/12</f>
        <v>112.5</v>
      </c>
      <c r="CH333" s="47">
        <f t="shared" si="230"/>
        <v>112.5</v>
      </c>
      <c r="CI333" s="45">
        <f>('[2]Renewable Diesel'!$AE342*'[2]RD Feedstock Breakdown'!CI$3*'[2]Feedstock Conversion Rates'!$B$5)/12</f>
        <v>0.34604166666666664</v>
      </c>
      <c r="CJ333" s="45">
        <f>('[2]Renewable Diesel'!$AE342*'[2]RD Feedstock Breakdown'!CJ$3*'[2]Feedstock Conversion Rates'!$B$4)/12</f>
        <v>0.34375</v>
      </c>
      <c r="CK333" s="47">
        <f t="shared" si="238"/>
        <v>0.68979166666666658</v>
      </c>
      <c r="CL333" s="45">
        <f>(((CL$3*'[2]Renewable Diesel'!$AF342)*'[2]Feedstock Conversion Rates'!$B$3)/12)</f>
        <v>91.78125</v>
      </c>
      <c r="CM333" s="45">
        <f>(((CM$3*'[2]Renewable Diesel'!$AF342)*'[2]Feedstock Conversion Rates'!$B$6)/12)</f>
        <v>53.739583333333336</v>
      </c>
      <c r="CN333" s="45">
        <f>(((CN$3*'[2]Renewable Diesel'!$AF342)*'[2]Feedstock Conversion Rates'!$B$4)/12)</f>
        <v>42.96875</v>
      </c>
      <c r="CO333" s="47">
        <f t="shared" si="232"/>
        <v>188.48958333333334</v>
      </c>
      <c r="CP333" s="45">
        <f>('[2]Renewable Diesel'!$AG342*'[2]RD Feedstock Breakdown'!CP$3*'[2]Feedstock Conversion Rates'!$B$3)/12</f>
        <v>6.0075000000000003</v>
      </c>
      <c r="CQ333" s="45">
        <f>('[2]Renewable Diesel'!$AG342*'[2]RD Feedstock Breakdown'!CQ$3*'[2]Feedstock Conversion Rates'!$B$6)/12</f>
        <v>3.5175000000000001</v>
      </c>
      <c r="CR333" s="45">
        <f>('[2]Renewable Diesel'!$AG342*'[2]RD Feedstock Breakdown'!CR$3*'[2]Feedstock Conversion Rates'!$B$4)/12</f>
        <v>2.8125</v>
      </c>
      <c r="CS333" s="47">
        <f t="shared" si="267"/>
        <v>12.3375</v>
      </c>
      <c r="CT333" s="45">
        <f>('[2]Renewable Diesel'!AI342*'[2]Feedstock Conversion Rates'!$B$4*'[2]RD Feedstock Breakdown'!$CT$3)/12</f>
        <v>29.375</v>
      </c>
      <c r="CU333" s="47">
        <f t="shared" si="234"/>
        <v>29.375</v>
      </c>
      <c r="CV333" s="45">
        <f>('[2]Renewable Diesel'!AN342*'[2]Feedstock Conversion Rates'!$B$3*'[2]RD Feedstock Breakdown'!$CV$3)/12</f>
        <v>0.50062499999999999</v>
      </c>
      <c r="CW333" s="47">
        <f t="shared" si="284"/>
        <v>0.50062499999999999</v>
      </c>
      <c r="CX333" s="45">
        <f>('[2]Renewable Diesel'!AO342*'[2]RD Feedstock Breakdown'!$CX$3*'[2]Feedstock Conversion Rates'!$B$3)/12</f>
        <v>6.3412499999999996</v>
      </c>
      <c r="CY333" s="45">
        <f>('[2]Renewable Diesel'!AO342*'[2]RD Feedstock Breakdown'!$CY$3*'[2]Feedstock Conversion Rates'!$B$6)/12</f>
        <v>7.4258333333333342</v>
      </c>
      <c r="CZ333" s="47">
        <f t="shared" si="268"/>
        <v>13.767083333333334</v>
      </c>
      <c r="DA333" s="45">
        <f>('[2]Renewable Diesel'!$AP342*'[2]RD Feedstock Breakdown'!DA$3*'[2]Feedstock Conversion Rates'!$B$3)/12</f>
        <v>6.3412499999999996</v>
      </c>
      <c r="DB333" s="45">
        <f>('[2]Renewable Diesel'!$AP342*'[2]RD Feedstock Breakdown'!DB$3*'[2]Feedstock Conversion Rates'!$B$8)/12</f>
        <v>7.421875</v>
      </c>
      <c r="DC333" s="47">
        <f t="shared" si="287"/>
        <v>13.763124999999999</v>
      </c>
      <c r="DD333" s="45">
        <f>('[2]Renewable Diesel'!AQ342*$DD$3*'[2]Feedstock Conversion Rates'!$B$14)/12</f>
        <v>3.1041666666666665</v>
      </c>
      <c r="DE333" s="47">
        <f t="shared" si="288"/>
        <v>3.1041666666666665</v>
      </c>
      <c r="DF333" s="45">
        <f>('[2]Renewable Diesel'!AR342*'[2]Feedstock Conversion Rates'!$B$4*$DF$3)/12</f>
        <v>75</v>
      </c>
      <c r="DG333" s="47">
        <f t="shared" si="269"/>
        <v>75</v>
      </c>
      <c r="DH333" s="45">
        <f>('[2]Renewable Diesel'!AS342*'[2]Feedstock Conversion Rates'!$B$4*$DH$3)/12</f>
        <v>75</v>
      </c>
      <c r="DI333" s="47">
        <f t="shared" si="273"/>
        <v>75</v>
      </c>
      <c r="DJ333" s="45">
        <f>('[2]Renewable Diesel'!AT342*'[2]Feedstock Conversion Rates'!$B$4*0.25)/12</f>
        <v>8.59375</v>
      </c>
      <c r="DK333" s="45">
        <f>('[2]Renewable Diesel'!$AT342*'[2]RD Feedstock Breakdown'!DK$3*'[2]Feedstock Conversion Rates'!$B$3)/12*0.5</f>
        <v>9.1781249999999996</v>
      </c>
      <c r="DL333" s="45">
        <f>('[2]Renewable Diesel'!$AT342*'[2]RD Feedstock Breakdown'!$DL$3*'[2]Feedstock Conversion Rates'!$B$6)/12</f>
        <v>10.747916666666669</v>
      </c>
      <c r="DM333" s="45">
        <f>('[2]Renewable Diesel'!$AT342*'[2]RD Feedstock Breakdown'!$DM$3*'[2]Feedstock Conversion Rates'!$B$8)/12</f>
        <v>10.7421875</v>
      </c>
      <c r="DN333" s="47">
        <f t="shared" si="249"/>
        <v>39.26197916666667</v>
      </c>
      <c r="DP333" s="45">
        <f t="shared" si="290"/>
        <v>48.220250000000007</v>
      </c>
      <c r="DQ333" s="45">
        <f t="shared" si="291"/>
        <v>479.11776749999996</v>
      </c>
      <c r="DR333" s="45">
        <f t="shared" ref="DR333:DR375" si="296">AD333+AK333+AM333+AP333+AV333+AY333+BB333+BF333+BJ333+Y333+B333+BO333+BQ333+BW333+CB333+CE333+CG333+CJ333+BT333+CN333+CR333+CT333+DF333+DH333+AS333+J333+U333+AH333</f>
        <v>1869.453125</v>
      </c>
      <c r="DS333" s="45">
        <f t="shared" si="235"/>
        <v>228.90125</v>
      </c>
      <c r="DT333" s="45">
        <f t="shared" si="292"/>
        <v>233.03923333333344</v>
      </c>
      <c r="DU333" s="45">
        <f t="shared" si="293"/>
        <v>345.40610000000004</v>
      </c>
      <c r="DV333" s="45">
        <f t="shared" ref="DV333:DV375" si="297">F333+N333+W333+DM333</f>
        <v>78.75</v>
      </c>
      <c r="DW333" s="45">
        <f t="shared" si="294"/>
        <v>3</v>
      </c>
      <c r="DX333" s="47">
        <f t="shared" ref="DX333:DX375" si="298">SUM(DP333:DW333)</f>
        <v>3285.8877258333337</v>
      </c>
      <c r="DY333" s="50">
        <f t="shared" si="286"/>
        <v>-5.631051180898794E-13</v>
      </c>
      <c r="EA333" s="51">
        <f t="shared" si="263"/>
        <v>1.4674953626959629E-2</v>
      </c>
      <c r="EB333" s="51">
        <f t="shared" si="263"/>
        <v>0.14581075419382777</v>
      </c>
      <c r="EC333" s="51">
        <f t="shared" si="263"/>
        <v>0.56893396274697372</v>
      </c>
      <c r="ED333" s="51">
        <f t="shared" si="261"/>
        <v>6.9661920643362324E-2</v>
      </c>
      <c r="EE333" s="51">
        <f t="shared" si="261"/>
        <v>7.0921240400638574E-2</v>
      </c>
      <c r="EF333" s="51">
        <f t="shared" si="261"/>
        <v>0.10511804687800208</v>
      </c>
      <c r="EG333" s="51">
        <f t="shared" si="261"/>
        <v>2.3966126225456536E-2</v>
      </c>
      <c r="EH333" s="52">
        <f t="shared" ref="EH333:EH375" si="299">DW333/DX333</f>
        <v>9.1299528477929671E-4</v>
      </c>
      <c r="EI333" s="51">
        <f t="shared" si="271"/>
        <v>0.99908700471522072</v>
      </c>
      <c r="EK333" s="53">
        <f>(EA333*'[2]Renewable Diesel'!BF342*'[2]Feedstock Conversion Rates'!B$2)+FB333</f>
        <v>105.37729725027344</v>
      </c>
      <c r="EL333" s="53">
        <f>(EB333*'[2]Renewable Diesel'!BF342*'[2]Feedstock Conversion Rates'!B$3)+FC333</f>
        <v>986.67350111676024</v>
      </c>
      <c r="EM333" s="53">
        <f>(EC333*'[2]Renewable Diesel'!BF342*'[2]Feedstock Conversion Rates'!B$4)+FD333</f>
        <v>3604.7447295039437</v>
      </c>
      <c r="EN333" s="53">
        <f>(ED333*'[2]Renewable Diesel'!BF342*'[2]Feedstock Conversion Rates'!B$5)+FE333</f>
        <v>444.31787772754507</v>
      </c>
      <c r="EO333" s="53">
        <f>(EE333*'[2]Renewable Diesel'!BF342*'[2]Feedstock Conversion Rates'!B$6)+FF333</f>
        <v>561.99254338416085</v>
      </c>
      <c r="EP333" s="53">
        <f>(EF333*'[2]Renewable Diesel'!BF342*'[2]Feedstock Conversion Rates'!B$7)+FG333</f>
        <v>816.98955180270059</v>
      </c>
      <c r="EQ333" s="53">
        <f>(EG333*'[2]Renewable Diesel'!BF342*'[2]Feedstock Conversion Rates'!B$8)+FH333</f>
        <v>189.8106213872276</v>
      </c>
      <c r="ER333" s="53">
        <f>(EH333*'[2]Renewable Diesel'!BF342*'[2]Feedstock Conversion Rates'!B$9)+FI333</f>
        <v>7.1344690705548404</v>
      </c>
      <c r="ES333" s="53">
        <f t="shared" ref="ES333:ES375" si="300">SUM(EK333:ER333)</f>
        <v>6717.040591243167</v>
      </c>
      <c r="ET333" s="36">
        <f>ES333/'[2]Renewable Diesel'!BF342</f>
        <v>7.951088374364879</v>
      </c>
    </row>
    <row r="334" spans="1:150" x14ac:dyDescent="0.25">
      <c r="A334" s="39">
        <v>50587</v>
      </c>
      <c r="B334" s="45">
        <f t="shared" si="282"/>
        <v>1.75</v>
      </c>
      <c r="C334" s="45">
        <f t="shared" si="251"/>
        <v>49</v>
      </c>
      <c r="D334" s="45">
        <f t="shared" si="283"/>
        <v>2</v>
      </c>
      <c r="E334" s="45">
        <f>('[2]Renewable Diesel'!B343*E$3*'[2]Feedstock Conversion Rates'!$B$2)/12+26+13-100+27.5+39</f>
        <v>95.43</v>
      </c>
      <c r="F334" s="45">
        <f>('[2]Renewable Diesel'!B343*'[2]RD Feedstock Breakdown'!F$3*'[2]Feedstock Conversion Rates'!B$8)/12+77+23-10-12-115.75+24+8</f>
        <v>48.15625</v>
      </c>
      <c r="G334" s="45">
        <f>('[2]Renewable Diesel'!B343*'[2]RD Feedstock Breakdown'!G$3*'[2]Feedstock Conversion Rates'!B$7)/12+116.75-39-57.5-145-31.5+32+70-40+10+2.5</f>
        <v>94.407000000000039</v>
      </c>
      <c r="H334" s="45">
        <f>('[2]Renewable Diesel'!B343*'[2]RD Feedstock Breakdown'!H$3*'[2]Feedstock Conversion Rates'!B$3)/12+67+10+12+3-235+20+47-20+125</f>
        <v>205.40022499999998</v>
      </c>
      <c r="I334" s="47">
        <f t="shared" si="245"/>
        <v>496.14347500000002</v>
      </c>
      <c r="J334" s="45">
        <f t="shared" si="281"/>
        <v>4</v>
      </c>
      <c r="K334" s="45"/>
      <c r="L334" s="45">
        <v>1</v>
      </c>
      <c r="M334" s="45">
        <f>('[2]Renewable Diesel'!C343*'[2]RD Feedstock Breakdown'!M$3*'[2]Feedstock Conversion Rates'!B$2)/12-55</f>
        <v>-47.20975</v>
      </c>
      <c r="N334" s="45">
        <f>('[2]Renewable Diesel'!C343*'[2]RD Feedstock Breakdown'!N$3*'[2]Feedstock Conversion Rates'!B$8)/12</f>
        <v>3.671875</v>
      </c>
      <c r="O334" s="45">
        <f>('[2]Renewable Diesel'!C343*'[2]RD Feedstock Breakdown'!O$3*'[2]Feedstock Conversion Rates'!B$7)/12</f>
        <v>11.9991</v>
      </c>
      <c r="P334" s="45">
        <f>('[2]Renewable Diesel'!C343*'[2]RD Feedstock Breakdown'!P$3*'[2]Feedstock Conversion Rates'!B$3)/12+15+35</f>
        <v>60.447042500000002</v>
      </c>
      <c r="Q334" s="47">
        <f t="shared" si="252"/>
        <v>33.908267500000001</v>
      </c>
      <c r="R334" s="45">
        <f>('[2]Renewable Diesel'!D343*'[2]RD Feedstock Breakdown'!R$3*'[2]Feedstock Conversion Rates'!B$7)/12</f>
        <v>2.2999999999999998</v>
      </c>
      <c r="S334" s="47">
        <f t="shared" si="279"/>
        <v>2.2999999999999998</v>
      </c>
      <c r="T334" s="45">
        <f t="shared" si="253"/>
        <v>0.82499999999999929</v>
      </c>
      <c r="U334" s="45"/>
      <c r="V334" s="45">
        <f>('[2]Renewable Diesel'!E343*'[2]RD Feedstock Breakdown'!V$3*'[2]Feedstock Conversion Rates'!B$6)/12-20+25</f>
        <v>49.250150000000012</v>
      </c>
      <c r="W334" s="45">
        <f>('[2]Renewable Diesel'!E343*'[2]RD Feedstock Breakdown'!W$3*'[2]Feedstock Conversion Rates'!B$8)/12-6</f>
        <v>16.1796875</v>
      </c>
      <c r="X334" s="47">
        <f t="shared" ref="X334:X375" si="301">SUM(T334:W334)</f>
        <v>66.254837500000008</v>
      </c>
      <c r="Y334" s="45">
        <f t="shared" si="254"/>
        <v>98</v>
      </c>
      <c r="Z334" s="45">
        <f>('[2]Renewable Diesel'!F343*'[2]RD Feedstock Breakdown'!Z$3*'[2]Feedstock Conversion Rates'!B$6)/12-142+15+5+20+5+5</f>
        <v>67.460000000000008</v>
      </c>
      <c r="AA334" s="45">
        <f>('[2]Renewable Diesel'!F343*'[2]RD Feedstock Breakdown'!AA$3*'[2]Feedstock Conversion Rates'!B$7)/12+24</f>
        <v>128.26666666666665</v>
      </c>
      <c r="AB334" s="47">
        <f t="shared" si="270"/>
        <v>293.72666666666669</v>
      </c>
      <c r="AC334" s="45">
        <f>('[2]Renewable Diesel'!G343*'[2]RD Feedstock Breakdown'!AC$3*'[2]Feedstock Conversion Rates'!B$5)/12</f>
        <v>11.796875</v>
      </c>
      <c r="AD334" s="45">
        <f>('[2]Renewable Diesel'!G343*'[2]RD Feedstock Breakdown'!AD$3*'[2]Feedstock Conversion Rates'!B$4)/12</f>
        <v>5.859375</v>
      </c>
      <c r="AE334" s="45">
        <f>('[2]Renewable Diesel'!G343*'[2]RD Feedstock Breakdown'!AE$3*'[2]Feedstock Conversion Rates'!B$6)/12</f>
        <v>7.3281250000000009</v>
      </c>
      <c r="AF334" s="47">
        <f t="shared" si="236"/>
        <v>24.984375</v>
      </c>
      <c r="AG334" s="45">
        <f t="shared" si="259"/>
        <v>148</v>
      </c>
      <c r="AH334" s="45"/>
      <c r="AI334" s="45">
        <f>('[2]Renewable Diesel'!H343*'[2]RD Feedstock Breakdown'!AI$3*'[2]Feedstock Conversion Rates'!B$6)/12-130-20+51-49</f>
        <v>0.51666666666667993</v>
      </c>
      <c r="AJ334" s="47">
        <f t="shared" si="278"/>
        <v>148.51666666666668</v>
      </c>
      <c r="AK334" s="45">
        <f>('[2]Renewable Diesel'!J343*'[2]RD Feedstock Breakdown'!AK$3*'[2]Feedstock Conversion Rates'!B$4)/12</f>
        <v>95.8125</v>
      </c>
      <c r="AL334" s="47">
        <f t="shared" si="280"/>
        <v>95.8125</v>
      </c>
      <c r="AM334" s="45">
        <f>('[2]Renewable Diesel'!K343*'[2]RD Feedstock Breakdown'!AM$3*'[2]Feedstock Conversion Rates'!B$4)/12+5+15-10+10</f>
        <v>78.59375</v>
      </c>
      <c r="AN334" s="45">
        <f>('[2]Renewable Diesel'!K343*'[2]RD Feedstock Breakdown'!AN$3*'[2]Feedstock Conversion Rates'!B$6)/12-5-15+10-10</f>
        <v>4.4270833333333321</v>
      </c>
      <c r="AO334" s="47">
        <f t="shared" si="295"/>
        <v>83.020833333333329</v>
      </c>
      <c r="AP334" s="45">
        <f>('[2]Renewable Diesel'!L343*'[2]RD Feedstock Breakdown'!AP$3*'[2]Feedstock Conversion Rates'!B$4)/12+15-10+15</f>
        <v>78.59375</v>
      </c>
      <c r="AQ334" s="45">
        <f>('[2]Renewable Diesel'!L343*'[2]RD Feedstock Breakdown'!AQ$3*'[2]Feedstock Conversion Rates'!B$6)/12-15+10-15</f>
        <v>4.4270833333333321</v>
      </c>
      <c r="AR334" s="47">
        <f t="shared" si="285"/>
        <v>83.020833333333329</v>
      </c>
      <c r="AS334" s="45">
        <f>('[2]Renewable Diesel'!M343*'[2]RD Feedstock Breakdown'!AS$3*'[2]Feedstock Conversion Rates'!B$4)/12</f>
        <v>456.25</v>
      </c>
      <c r="AT334" s="45">
        <f>('[2]Renewable Diesel'!M343*'[2]RD Feedstock Breakdown'!AT$3*'[2]Feedstock Conversion Rates'!B$5)/12</f>
        <v>0</v>
      </c>
      <c r="AU334" s="47">
        <f t="shared" si="244"/>
        <v>456.25</v>
      </c>
      <c r="AV334" s="45">
        <f>'[2]Renewable Diesel'!N343*'[2]RD Feedstock Breakdown'!$AV$3*'[2]Feedstock Conversion Rates'!$B$4/12-15-10+25+25-22+25</f>
        <v>106.74999999999999</v>
      </c>
      <c r="AW334" s="45">
        <f>'[2]Renewable Diesel'!N343*'[2]RD Feedstock Breakdown'!$AW$3*'[2]Feedstock Conversion Rates'!$B$7/12+15+10-25-25+22-25</f>
        <v>13.400000000000006</v>
      </c>
      <c r="AX334" s="47">
        <f t="shared" si="272"/>
        <v>120.14999999999999</v>
      </c>
      <c r="AY334" s="45">
        <f>('[2]Renewable Diesel'!O343*'[2]RD Feedstock Breakdown'!AY$3*'[2]Feedstock Conversion Rates'!B$4)/12</f>
        <v>210.9375</v>
      </c>
      <c r="AZ334" s="45">
        <f>('[2]Renewable Diesel'!O343*'[2]RD Feedstock Breakdown'!AZ$3*'[2]Feedstock Conversion Rates'!B$3)/12</f>
        <v>25.03125</v>
      </c>
      <c r="BA334" s="47">
        <f t="shared" si="255"/>
        <v>235.96875</v>
      </c>
      <c r="BB334" s="45">
        <f>('[2]Renewable Diesel'!Q343*'[2]RD Feedstock Breakdown'!BB$3*'[2]Feedstock Conversion Rates'!B$4)/12</f>
        <v>11.156249999999998</v>
      </c>
      <c r="BC334" s="45">
        <f>('[2]Renewable Diesel'!Q343*'[2]RD Feedstock Breakdown'!BC$3*'[2]Feedstock Conversion Rates'!B$3)/12</f>
        <v>1.4017500000000001</v>
      </c>
      <c r="BD334" s="45">
        <f>('[2]Renewable Diesel'!Q343*'[2]RD Feedstock Breakdown'!BD$3*'[2]Feedstock Conversion Rates'!B$6)/12</f>
        <v>0.8207500000000002</v>
      </c>
      <c r="BE334" s="47">
        <f t="shared" si="231"/>
        <v>13.378749999999998</v>
      </c>
      <c r="BF334" s="45">
        <f>('[2]Renewable Diesel'!R343*'[2]RD Feedstock Breakdown'!BF$3*'[2]Feedstock Conversion Rates'!B$4)/12</f>
        <v>62.5</v>
      </c>
      <c r="BG334" s="47">
        <f t="shared" si="289"/>
        <v>62.5</v>
      </c>
      <c r="BH334" s="45">
        <f>('[2]Renewable Diesel'!T343*'[2]RD Feedstock Breakdown'!BH$3*'[2]Feedstock Conversion Rates'!B$7)/12</f>
        <v>27.599999999999998</v>
      </c>
      <c r="BI334" s="47">
        <f t="shared" si="277"/>
        <v>27.599999999999998</v>
      </c>
      <c r="BJ334" s="45">
        <f>('[2]Renewable Diesel'!W343*'[2]RD Feedstock Breakdown'!BJ$3*'[2]Feedstock Conversion Rates'!B$4)/12</f>
        <v>7.5</v>
      </c>
      <c r="BK334" s="45">
        <f>('[2]Renewable Diesel'!W343*'[2]RD Feedstock Breakdown'!BK$3*'[2]Feedstock Conversion Rates'!B$3)/12</f>
        <v>1.335</v>
      </c>
      <c r="BL334" s="45">
        <f>('[2]Renewable Diesel'!W343*'[2]RD Feedstock Breakdown'!BL$3*'[2]Feedstock Conversion Rates'!B$6)/12</f>
        <v>3.1266666666666669</v>
      </c>
      <c r="BM334" s="45">
        <f>('[2]Renewable Diesel'!W343*'[2]RD Feedstock Breakdown'!BM$3*'[2]Feedstock Conversion Rates'!B$7)/12</f>
        <v>1.5333333333333332</v>
      </c>
      <c r="BN334" s="47">
        <f t="shared" si="248"/>
        <v>13.495000000000001</v>
      </c>
      <c r="BO334" s="45">
        <f>('[2]Renewable Diesel'!P343*'[2]Feedstock Conversion Rates'!B$4)/12</f>
        <v>31.25</v>
      </c>
      <c r="BP334" s="47">
        <f t="shared" si="237"/>
        <v>31.25</v>
      </c>
      <c r="BQ334" s="45">
        <f>('[2]Renewable Diesel'!$S343*'[2]RD Feedstock Breakdown'!BQ$3*'[2]Feedstock Conversion Rates'!B$4)/12+10+15-15</f>
        <v>38.125</v>
      </c>
      <c r="BR334" s="45">
        <f>('[2]Renewable Diesel'!$S343*'[2]RD Feedstock Breakdown'!BR$3*'[2]Feedstock Conversion Rates'!B$7)/12-10-15+15</f>
        <v>1.5</v>
      </c>
      <c r="BS334" s="47">
        <f t="shared" si="260"/>
        <v>39.625</v>
      </c>
      <c r="BT334" s="47"/>
      <c r="BU334" s="45">
        <f>('[2]Renewable Diesel'!Y343*'[2]Feedstock Conversion Rates'!B$7)/12</f>
        <v>2.6833333333333331</v>
      </c>
      <c r="BV334" s="47">
        <f t="shared" si="233"/>
        <v>2.6833333333333331</v>
      </c>
      <c r="BW334" s="45">
        <f>('[2]Renewable Diesel'!$Z343*'[2]RD Feedstock Breakdown'!BW$3*'[2]Feedstock Conversion Rates'!$B$4)/12-50</f>
        <v>21.875</v>
      </c>
      <c r="BX334" s="45">
        <f>('[2]Renewable Diesel'!$Z343*'[2]RD Feedstock Breakdown'!BX$3*'[2]Feedstock Conversion Rates'!$B$5)/12</f>
        <v>7.2354166666666666</v>
      </c>
      <c r="BY334" s="45">
        <f>('[2]Renewable Diesel'!$Z343*'[2]RD Feedstock Breakdown'!BY$3*'[2]Feedstock Conversion Rates'!$B$7)/12</f>
        <v>61.716666666666661</v>
      </c>
      <c r="BZ334" s="45">
        <f>('[2]Renewable Diesel'!$Z343*'[2]RD Feedstock Breakdown'!BZ$3*'[2]Feedstock Conversion Rates'!$B$3)/12+50</f>
        <v>65.352499999999992</v>
      </c>
      <c r="CA334" s="47">
        <f t="shared" si="262"/>
        <v>156.17958333333331</v>
      </c>
      <c r="CB334" s="45">
        <f>('[2]Renewable Diesel'!AA343*'[2]Feedstock Conversion Rates'!B$4)/12</f>
        <v>191.25</v>
      </c>
      <c r="CC334" s="47">
        <f t="shared" si="250"/>
        <v>191.25</v>
      </c>
      <c r="CD334" s="45">
        <f>('[2]Renewable Diesel'!$AB343*'[2]RD Feedstock Breakdown'!CD$3*'[2]Feedstock Conversion Rates'!$B$6)/12-15-5</f>
        <v>12.830000000000005</v>
      </c>
      <c r="CE334" s="45">
        <f>('[2]Renewable Diesel'!$AB343*'[2]RD Feedstock Breakdown'!CE$3*'[2]Feedstock Conversion Rates'!$B$4)/12+15+5</f>
        <v>31.25</v>
      </c>
      <c r="CF334" s="47">
        <f t="shared" si="247"/>
        <v>44.080000000000005</v>
      </c>
      <c r="CG334" s="45">
        <f>('[2]Renewable Diesel'!AD343*'[2]Feedstock Conversion Rates'!B$4)/12</f>
        <v>112.5</v>
      </c>
      <c r="CH334" s="47">
        <f t="shared" ref="CH334:CH375" si="302">CG334</f>
        <v>112.5</v>
      </c>
      <c r="CI334" s="45">
        <f>('[2]Renewable Diesel'!$AE343*'[2]RD Feedstock Breakdown'!CI$3*'[2]Feedstock Conversion Rates'!$B$5)/12</f>
        <v>0.34604166666666664</v>
      </c>
      <c r="CJ334" s="45">
        <f>('[2]Renewable Diesel'!$AE343*'[2]RD Feedstock Breakdown'!CJ$3*'[2]Feedstock Conversion Rates'!$B$4)/12</f>
        <v>0.34375</v>
      </c>
      <c r="CK334" s="47">
        <f t="shared" si="238"/>
        <v>0.68979166666666658</v>
      </c>
      <c r="CL334" s="45">
        <f>(((CL$3*'[2]Renewable Diesel'!$AF343)*'[2]Feedstock Conversion Rates'!$B$3)/12)</f>
        <v>91.78125</v>
      </c>
      <c r="CM334" s="45">
        <f>(((CM$3*'[2]Renewable Diesel'!$AF343)*'[2]Feedstock Conversion Rates'!$B$6)/12)</f>
        <v>53.739583333333336</v>
      </c>
      <c r="CN334" s="45">
        <f>(((CN$3*'[2]Renewable Diesel'!$AF343)*'[2]Feedstock Conversion Rates'!$B$4)/12)</f>
        <v>42.96875</v>
      </c>
      <c r="CO334" s="47">
        <f t="shared" si="232"/>
        <v>188.48958333333334</v>
      </c>
      <c r="CP334" s="45">
        <f>('[2]Renewable Diesel'!$AG343*'[2]RD Feedstock Breakdown'!CP$3*'[2]Feedstock Conversion Rates'!$B$3)/12</f>
        <v>6.0075000000000003</v>
      </c>
      <c r="CQ334" s="45">
        <f>('[2]Renewable Diesel'!$AG343*'[2]RD Feedstock Breakdown'!CQ$3*'[2]Feedstock Conversion Rates'!$B$6)/12</f>
        <v>3.5175000000000001</v>
      </c>
      <c r="CR334" s="45">
        <f>('[2]Renewable Diesel'!$AG343*'[2]RD Feedstock Breakdown'!CR$3*'[2]Feedstock Conversion Rates'!$B$4)/12</f>
        <v>2.8125</v>
      </c>
      <c r="CS334" s="47">
        <f t="shared" si="267"/>
        <v>12.3375</v>
      </c>
      <c r="CT334" s="45">
        <f>('[2]Renewable Diesel'!AI343*'[2]Feedstock Conversion Rates'!$B$4*'[2]RD Feedstock Breakdown'!$CT$3)/12</f>
        <v>29.375</v>
      </c>
      <c r="CU334" s="47">
        <f t="shared" si="234"/>
        <v>29.375</v>
      </c>
      <c r="CV334" s="45">
        <f>('[2]Renewable Diesel'!AN343*'[2]Feedstock Conversion Rates'!$B$3*'[2]RD Feedstock Breakdown'!$CV$3)/12</f>
        <v>0.50062499999999999</v>
      </c>
      <c r="CW334" s="47">
        <f t="shared" si="284"/>
        <v>0.50062499999999999</v>
      </c>
      <c r="CX334" s="45">
        <f>('[2]Renewable Diesel'!AO343*'[2]RD Feedstock Breakdown'!$CX$3*'[2]Feedstock Conversion Rates'!$B$3)/12</f>
        <v>6.3412499999999996</v>
      </c>
      <c r="CY334" s="45">
        <f>('[2]Renewable Diesel'!AO343*'[2]RD Feedstock Breakdown'!$CY$3*'[2]Feedstock Conversion Rates'!$B$6)/12</f>
        <v>7.4258333333333342</v>
      </c>
      <c r="CZ334" s="47">
        <f t="shared" si="268"/>
        <v>13.767083333333334</v>
      </c>
      <c r="DA334" s="45">
        <f>('[2]Renewable Diesel'!$AP343*'[2]RD Feedstock Breakdown'!DA$3*'[2]Feedstock Conversion Rates'!$B$3)/12</f>
        <v>6.3412499999999996</v>
      </c>
      <c r="DB334" s="45">
        <f>('[2]Renewable Diesel'!$AP343*'[2]RD Feedstock Breakdown'!DB$3*'[2]Feedstock Conversion Rates'!$B$8)/12</f>
        <v>7.421875</v>
      </c>
      <c r="DC334" s="47">
        <f t="shared" si="287"/>
        <v>13.763124999999999</v>
      </c>
      <c r="DD334" s="45">
        <f>('[2]Renewable Diesel'!AQ343*$DD$3*'[2]Feedstock Conversion Rates'!$B$14)/12</f>
        <v>3.1041666666666665</v>
      </c>
      <c r="DE334" s="47">
        <f t="shared" si="288"/>
        <v>3.1041666666666665</v>
      </c>
      <c r="DF334" s="45">
        <f>('[2]Renewable Diesel'!AR343*'[2]Feedstock Conversion Rates'!$B$4*$DF$3)/12</f>
        <v>75</v>
      </c>
      <c r="DG334" s="47">
        <f t="shared" si="269"/>
        <v>75</v>
      </c>
      <c r="DH334" s="45">
        <f>('[2]Renewable Diesel'!AS343*'[2]Feedstock Conversion Rates'!$B$4*$DH$3)/12</f>
        <v>75</v>
      </c>
      <c r="DI334" s="47">
        <f t="shared" si="273"/>
        <v>75</v>
      </c>
      <c r="DJ334" s="45">
        <f>('[2]Renewable Diesel'!AT343*'[2]Feedstock Conversion Rates'!$B$4*0.25)/12</f>
        <v>8.59375</v>
      </c>
      <c r="DK334" s="45">
        <f>('[2]Renewable Diesel'!$AT343*'[2]RD Feedstock Breakdown'!DK$3*'[2]Feedstock Conversion Rates'!$B$3)/12*0.5</f>
        <v>9.1781249999999996</v>
      </c>
      <c r="DL334" s="45">
        <f>('[2]Renewable Diesel'!$AT343*'[2]RD Feedstock Breakdown'!$DL$3*'[2]Feedstock Conversion Rates'!$B$6)/12</f>
        <v>10.747916666666669</v>
      </c>
      <c r="DM334" s="45">
        <f>('[2]Renewable Diesel'!$AT343*'[2]RD Feedstock Breakdown'!$DM$3*'[2]Feedstock Conversion Rates'!$B$8)/12</f>
        <v>10.7421875</v>
      </c>
      <c r="DN334" s="47">
        <f t="shared" si="249"/>
        <v>39.26197916666667</v>
      </c>
      <c r="DP334" s="45">
        <f t="shared" si="290"/>
        <v>48.220250000000007</v>
      </c>
      <c r="DQ334" s="45">
        <f t="shared" si="291"/>
        <v>479.11776749999996</v>
      </c>
      <c r="DR334" s="45">
        <f t="shared" si="296"/>
        <v>1869.453125</v>
      </c>
      <c r="DS334" s="45">
        <f t="shared" si="235"/>
        <v>228.90125</v>
      </c>
      <c r="DT334" s="45">
        <f t="shared" si="292"/>
        <v>233.03923333333344</v>
      </c>
      <c r="DU334" s="45">
        <f t="shared" si="293"/>
        <v>345.40610000000004</v>
      </c>
      <c r="DV334" s="45">
        <f t="shared" si="297"/>
        <v>78.75</v>
      </c>
      <c r="DW334" s="45">
        <f t="shared" si="294"/>
        <v>3</v>
      </c>
      <c r="DX334" s="47">
        <f t="shared" si="298"/>
        <v>3285.8877258333337</v>
      </c>
      <c r="DY334" s="50">
        <f t="shared" si="286"/>
        <v>-5.631051180898794E-13</v>
      </c>
      <c r="EA334" s="51">
        <f t="shared" si="263"/>
        <v>1.4674953626959629E-2</v>
      </c>
      <c r="EB334" s="51">
        <f t="shared" si="263"/>
        <v>0.14581075419382777</v>
      </c>
      <c r="EC334" s="51">
        <f t="shared" si="263"/>
        <v>0.56893396274697372</v>
      </c>
      <c r="ED334" s="51">
        <f t="shared" si="261"/>
        <v>6.9661920643362324E-2</v>
      </c>
      <c r="EE334" s="51">
        <f t="shared" si="261"/>
        <v>7.0921240400638574E-2</v>
      </c>
      <c r="EF334" s="51">
        <f t="shared" si="261"/>
        <v>0.10511804687800208</v>
      </c>
      <c r="EG334" s="51">
        <f t="shared" si="261"/>
        <v>2.3966126225456536E-2</v>
      </c>
      <c r="EH334" s="52">
        <f t="shared" si="299"/>
        <v>9.1299528477929671E-4</v>
      </c>
      <c r="EI334" s="51">
        <f t="shared" si="271"/>
        <v>0.99908700471522072</v>
      </c>
      <c r="EK334" s="53">
        <f>(EA334*'[2]Renewable Diesel'!BF343*'[2]Feedstock Conversion Rates'!B$2)+FB334</f>
        <v>108.64156490697019</v>
      </c>
      <c r="EL334" s="53">
        <f>(EB334*'[2]Renewable Diesel'!BF343*'[2]Feedstock Conversion Rates'!B$3)+FC334</f>
        <v>1017.23764046611</v>
      </c>
      <c r="EM334" s="53">
        <f>(EC334*'[2]Renewable Diesel'!BF343*'[2]Feedstock Conversion Rates'!B$4)+FD334</f>
        <v>3716.4087400471381</v>
      </c>
      <c r="EN334" s="53">
        <f>(ED334*'[2]Renewable Diesel'!BF343*'[2]Feedstock Conversion Rates'!B$5)+FE334</f>
        <v>458.08149204869716</v>
      </c>
      <c r="EO334" s="53">
        <f>(EE334*'[2]Renewable Diesel'!BF343*'[2]Feedstock Conversion Rates'!B$6)+FF334</f>
        <v>579.40136037361822</v>
      </c>
      <c r="EP334" s="53">
        <f>(EF334*'[2]Renewable Diesel'!BF343*'[2]Feedstock Conversion Rates'!B$7)+FG334</f>
        <v>842.29739931253812</v>
      </c>
      <c r="EQ334" s="53">
        <f>(EG334*'[2]Renewable Diesel'!BF343*'[2]Feedstock Conversion Rates'!B$8)+FH334</f>
        <v>195.69037621544538</v>
      </c>
      <c r="ER334" s="53">
        <f>(EH334*'[2]Renewable Diesel'!BF343*'[2]Feedstock Conversion Rates'!B$9)+FI334</f>
        <v>7.3554731885424562</v>
      </c>
      <c r="ES334" s="53">
        <f t="shared" si="300"/>
        <v>6925.1140465590597</v>
      </c>
      <c r="ET334" s="36">
        <f>ES334/'[2]Renewable Diesel'!BF343</f>
        <v>7.951088374364879</v>
      </c>
    </row>
    <row r="335" spans="1:150" x14ac:dyDescent="0.25">
      <c r="A335" s="39">
        <v>50618</v>
      </c>
      <c r="B335" s="45">
        <f t="shared" si="282"/>
        <v>1.75</v>
      </c>
      <c r="C335" s="45">
        <f t="shared" si="251"/>
        <v>49</v>
      </c>
      <c r="D335" s="45">
        <f t="shared" si="283"/>
        <v>2</v>
      </c>
      <c r="E335" s="45">
        <f>('[2]Renewable Diesel'!B344*E$3*'[2]Feedstock Conversion Rates'!$B$2)/12+26+13-100+27.5+39</f>
        <v>95.43</v>
      </c>
      <c r="F335" s="45">
        <f>('[2]Renewable Diesel'!B344*'[2]RD Feedstock Breakdown'!F$3*'[2]Feedstock Conversion Rates'!B$8)/12+77+23-10-12-115.75+24+8</f>
        <v>48.15625</v>
      </c>
      <c r="G335" s="45">
        <f>('[2]Renewable Diesel'!B344*'[2]RD Feedstock Breakdown'!G$3*'[2]Feedstock Conversion Rates'!B$7)/12+116.75-39-57.5-145-31.5+32+70-40+10+2.5</f>
        <v>94.407000000000039</v>
      </c>
      <c r="H335" s="45">
        <f>('[2]Renewable Diesel'!B344*'[2]RD Feedstock Breakdown'!H$3*'[2]Feedstock Conversion Rates'!B$3)/12+67+10+12+3-235+20+47-20+125</f>
        <v>205.40022499999998</v>
      </c>
      <c r="I335" s="47">
        <f t="shared" si="245"/>
        <v>496.14347500000002</v>
      </c>
      <c r="J335" s="45">
        <f t="shared" si="281"/>
        <v>4</v>
      </c>
      <c r="K335" s="45"/>
      <c r="L335" s="45">
        <v>1</v>
      </c>
      <c r="M335" s="45">
        <f>('[2]Renewable Diesel'!C344*'[2]RD Feedstock Breakdown'!M$3*'[2]Feedstock Conversion Rates'!B$2)/12-55</f>
        <v>-47.20975</v>
      </c>
      <c r="N335" s="45">
        <f>('[2]Renewable Diesel'!C344*'[2]RD Feedstock Breakdown'!N$3*'[2]Feedstock Conversion Rates'!B$8)/12</f>
        <v>3.671875</v>
      </c>
      <c r="O335" s="45">
        <f>('[2]Renewable Diesel'!C344*'[2]RD Feedstock Breakdown'!O$3*'[2]Feedstock Conversion Rates'!B$7)/12</f>
        <v>11.9991</v>
      </c>
      <c r="P335" s="45">
        <f>('[2]Renewable Diesel'!C344*'[2]RD Feedstock Breakdown'!P$3*'[2]Feedstock Conversion Rates'!B$3)/12+15+35</f>
        <v>60.447042500000002</v>
      </c>
      <c r="Q335" s="47">
        <f t="shared" si="252"/>
        <v>33.908267500000001</v>
      </c>
      <c r="R335" s="45">
        <f>('[2]Renewable Diesel'!D344*'[2]RD Feedstock Breakdown'!R$3*'[2]Feedstock Conversion Rates'!B$7)/12</f>
        <v>2.2999999999999998</v>
      </c>
      <c r="S335" s="47">
        <f t="shared" si="279"/>
        <v>2.2999999999999998</v>
      </c>
      <c r="T335" s="45">
        <f t="shared" si="253"/>
        <v>0.82499999999999929</v>
      </c>
      <c r="U335" s="45"/>
      <c r="V335" s="45">
        <f>('[2]Renewable Diesel'!E344*'[2]RD Feedstock Breakdown'!V$3*'[2]Feedstock Conversion Rates'!B$6)/12-20+25</f>
        <v>49.250150000000012</v>
      </c>
      <c r="W335" s="45">
        <f>('[2]Renewable Diesel'!E344*'[2]RD Feedstock Breakdown'!W$3*'[2]Feedstock Conversion Rates'!B$8)/12-6</f>
        <v>16.1796875</v>
      </c>
      <c r="X335" s="47">
        <f t="shared" si="301"/>
        <v>66.254837500000008</v>
      </c>
      <c r="Y335" s="45">
        <f t="shared" si="254"/>
        <v>98</v>
      </c>
      <c r="Z335" s="45">
        <f>('[2]Renewable Diesel'!F344*'[2]RD Feedstock Breakdown'!Z$3*'[2]Feedstock Conversion Rates'!B$6)/12-142+15+5+20+5+5</f>
        <v>67.460000000000008</v>
      </c>
      <c r="AA335" s="45">
        <f>('[2]Renewable Diesel'!F344*'[2]RD Feedstock Breakdown'!AA$3*'[2]Feedstock Conversion Rates'!B$7)/12+24</f>
        <v>128.26666666666665</v>
      </c>
      <c r="AB335" s="47">
        <f t="shared" si="270"/>
        <v>293.72666666666669</v>
      </c>
      <c r="AC335" s="45">
        <f>('[2]Renewable Diesel'!G344*'[2]RD Feedstock Breakdown'!AC$3*'[2]Feedstock Conversion Rates'!B$5)/12</f>
        <v>11.796875</v>
      </c>
      <c r="AD335" s="45">
        <f>('[2]Renewable Diesel'!G344*'[2]RD Feedstock Breakdown'!AD$3*'[2]Feedstock Conversion Rates'!B$4)/12</f>
        <v>5.859375</v>
      </c>
      <c r="AE335" s="45">
        <f>('[2]Renewable Diesel'!G344*'[2]RD Feedstock Breakdown'!AE$3*'[2]Feedstock Conversion Rates'!B$6)/12</f>
        <v>7.3281250000000009</v>
      </c>
      <c r="AF335" s="47">
        <f t="shared" si="236"/>
        <v>24.984375</v>
      </c>
      <c r="AG335" s="45">
        <f t="shared" si="259"/>
        <v>148</v>
      </c>
      <c r="AH335" s="45"/>
      <c r="AI335" s="45">
        <f>('[2]Renewable Diesel'!H344*'[2]RD Feedstock Breakdown'!AI$3*'[2]Feedstock Conversion Rates'!B$6)/12-130-20+51-49</f>
        <v>0.51666666666667993</v>
      </c>
      <c r="AJ335" s="47">
        <f t="shared" si="278"/>
        <v>148.51666666666668</v>
      </c>
      <c r="AK335" s="45">
        <f>('[2]Renewable Diesel'!J344*'[2]RD Feedstock Breakdown'!AK$3*'[2]Feedstock Conversion Rates'!B$4)/12</f>
        <v>95.8125</v>
      </c>
      <c r="AL335" s="47">
        <f t="shared" si="280"/>
        <v>95.8125</v>
      </c>
      <c r="AM335" s="45">
        <f>('[2]Renewable Diesel'!K344*'[2]RD Feedstock Breakdown'!AM$3*'[2]Feedstock Conversion Rates'!B$4)/12+5+15-10+10</f>
        <v>78.59375</v>
      </c>
      <c r="AN335" s="45">
        <f>('[2]Renewable Diesel'!K344*'[2]RD Feedstock Breakdown'!AN$3*'[2]Feedstock Conversion Rates'!B$6)/12-5-15+10-10</f>
        <v>4.4270833333333321</v>
      </c>
      <c r="AO335" s="47">
        <f t="shared" si="295"/>
        <v>83.020833333333329</v>
      </c>
      <c r="AP335" s="45">
        <f>('[2]Renewable Diesel'!L344*'[2]RD Feedstock Breakdown'!AP$3*'[2]Feedstock Conversion Rates'!B$4)/12+15-10+15</f>
        <v>78.59375</v>
      </c>
      <c r="AQ335" s="45">
        <f>('[2]Renewable Diesel'!L344*'[2]RD Feedstock Breakdown'!AQ$3*'[2]Feedstock Conversion Rates'!B$6)/12-15+10-15</f>
        <v>4.4270833333333321</v>
      </c>
      <c r="AR335" s="47">
        <f t="shared" si="285"/>
        <v>83.020833333333329</v>
      </c>
      <c r="AS335" s="45">
        <f>('[2]Renewable Diesel'!M344*'[2]RD Feedstock Breakdown'!AS$3*'[2]Feedstock Conversion Rates'!B$4)/12</f>
        <v>456.25</v>
      </c>
      <c r="AT335" s="45">
        <f>('[2]Renewable Diesel'!M344*'[2]RD Feedstock Breakdown'!AT$3*'[2]Feedstock Conversion Rates'!B$5)/12</f>
        <v>0</v>
      </c>
      <c r="AU335" s="47">
        <f t="shared" si="244"/>
        <v>456.25</v>
      </c>
      <c r="AV335" s="45">
        <f>'[2]Renewable Diesel'!N344*'[2]RD Feedstock Breakdown'!$AV$3*'[2]Feedstock Conversion Rates'!$B$4/12-15-10+25+25-22+25</f>
        <v>106.74999999999999</v>
      </c>
      <c r="AW335" s="45">
        <f>'[2]Renewable Diesel'!N344*'[2]RD Feedstock Breakdown'!$AW$3*'[2]Feedstock Conversion Rates'!$B$7/12+15+10-25-25+22-25</f>
        <v>13.400000000000006</v>
      </c>
      <c r="AX335" s="47">
        <f t="shared" si="272"/>
        <v>120.14999999999999</v>
      </c>
      <c r="AY335" s="45">
        <f>('[2]Renewable Diesel'!O344*'[2]RD Feedstock Breakdown'!AY$3*'[2]Feedstock Conversion Rates'!B$4)/12</f>
        <v>210.9375</v>
      </c>
      <c r="AZ335" s="45">
        <f>('[2]Renewable Diesel'!O344*'[2]RD Feedstock Breakdown'!AZ$3*'[2]Feedstock Conversion Rates'!B$3)/12</f>
        <v>25.03125</v>
      </c>
      <c r="BA335" s="47">
        <f t="shared" si="255"/>
        <v>235.96875</v>
      </c>
      <c r="BB335" s="45">
        <f>('[2]Renewable Diesel'!Q344*'[2]RD Feedstock Breakdown'!BB$3*'[2]Feedstock Conversion Rates'!B$4)/12</f>
        <v>11.156249999999998</v>
      </c>
      <c r="BC335" s="45">
        <f>('[2]Renewable Diesel'!Q344*'[2]RD Feedstock Breakdown'!BC$3*'[2]Feedstock Conversion Rates'!B$3)/12</f>
        <v>1.4017500000000001</v>
      </c>
      <c r="BD335" s="45">
        <f>('[2]Renewable Diesel'!Q344*'[2]RD Feedstock Breakdown'!BD$3*'[2]Feedstock Conversion Rates'!B$6)/12</f>
        <v>0.8207500000000002</v>
      </c>
      <c r="BE335" s="47">
        <f t="shared" ref="BE335:BE375" si="303">SUM(BB335:BD335)</f>
        <v>13.378749999999998</v>
      </c>
      <c r="BF335" s="45">
        <f>('[2]Renewable Diesel'!R344*'[2]RD Feedstock Breakdown'!BF$3*'[2]Feedstock Conversion Rates'!B$4)/12</f>
        <v>62.5</v>
      </c>
      <c r="BG335" s="47">
        <f t="shared" si="289"/>
        <v>62.5</v>
      </c>
      <c r="BH335" s="45">
        <f>('[2]Renewable Diesel'!T344*'[2]RD Feedstock Breakdown'!BH$3*'[2]Feedstock Conversion Rates'!B$7)/12</f>
        <v>27.599999999999998</v>
      </c>
      <c r="BI335" s="47">
        <f t="shared" si="277"/>
        <v>27.599999999999998</v>
      </c>
      <c r="BJ335" s="45">
        <f>('[2]Renewable Diesel'!W344*'[2]RD Feedstock Breakdown'!BJ$3*'[2]Feedstock Conversion Rates'!B$4)/12</f>
        <v>7.5</v>
      </c>
      <c r="BK335" s="45">
        <f>('[2]Renewable Diesel'!W344*'[2]RD Feedstock Breakdown'!BK$3*'[2]Feedstock Conversion Rates'!B$3)/12</f>
        <v>1.335</v>
      </c>
      <c r="BL335" s="45">
        <f>('[2]Renewable Diesel'!W344*'[2]RD Feedstock Breakdown'!BL$3*'[2]Feedstock Conversion Rates'!B$6)/12</f>
        <v>3.1266666666666669</v>
      </c>
      <c r="BM335" s="45">
        <f>('[2]Renewable Diesel'!W344*'[2]RD Feedstock Breakdown'!BM$3*'[2]Feedstock Conversion Rates'!B$7)/12</f>
        <v>1.5333333333333332</v>
      </c>
      <c r="BN335" s="47">
        <f t="shared" si="248"/>
        <v>13.495000000000001</v>
      </c>
      <c r="BO335" s="45">
        <f>('[2]Renewable Diesel'!P344*'[2]Feedstock Conversion Rates'!B$4)/12</f>
        <v>31.25</v>
      </c>
      <c r="BP335" s="47">
        <f t="shared" si="237"/>
        <v>31.25</v>
      </c>
      <c r="BQ335" s="45">
        <f>('[2]Renewable Diesel'!$S344*'[2]RD Feedstock Breakdown'!BQ$3*'[2]Feedstock Conversion Rates'!B$4)/12+10+15-15</f>
        <v>38.125</v>
      </c>
      <c r="BR335" s="45">
        <f>('[2]Renewable Diesel'!$S344*'[2]RD Feedstock Breakdown'!BR$3*'[2]Feedstock Conversion Rates'!B$7)/12-10-15+15</f>
        <v>1.5</v>
      </c>
      <c r="BS335" s="47">
        <f t="shared" si="260"/>
        <v>39.625</v>
      </c>
      <c r="BT335" s="47"/>
      <c r="BU335" s="45">
        <f>('[2]Renewable Diesel'!Y344*'[2]Feedstock Conversion Rates'!B$7)/12</f>
        <v>2.6833333333333331</v>
      </c>
      <c r="BV335" s="47">
        <f t="shared" si="233"/>
        <v>2.6833333333333331</v>
      </c>
      <c r="BW335" s="45">
        <f>('[2]Renewable Diesel'!$Z344*'[2]RD Feedstock Breakdown'!BW$3*'[2]Feedstock Conversion Rates'!$B$4)/12-50</f>
        <v>21.875</v>
      </c>
      <c r="BX335" s="45">
        <f>('[2]Renewable Diesel'!$Z344*'[2]RD Feedstock Breakdown'!BX$3*'[2]Feedstock Conversion Rates'!$B$5)/12</f>
        <v>7.2354166666666666</v>
      </c>
      <c r="BY335" s="45">
        <f>('[2]Renewable Diesel'!$Z344*'[2]RD Feedstock Breakdown'!BY$3*'[2]Feedstock Conversion Rates'!$B$7)/12</f>
        <v>61.716666666666661</v>
      </c>
      <c r="BZ335" s="45">
        <f>('[2]Renewable Diesel'!$Z344*'[2]RD Feedstock Breakdown'!BZ$3*'[2]Feedstock Conversion Rates'!$B$3)/12+50</f>
        <v>65.352499999999992</v>
      </c>
      <c r="CA335" s="47">
        <f t="shared" si="262"/>
        <v>156.17958333333331</v>
      </c>
      <c r="CB335" s="45">
        <f>('[2]Renewable Diesel'!AA344*'[2]Feedstock Conversion Rates'!B$4)/12</f>
        <v>191.25</v>
      </c>
      <c r="CC335" s="47">
        <f t="shared" si="250"/>
        <v>191.25</v>
      </c>
      <c r="CD335" s="45">
        <f>('[2]Renewable Diesel'!$AB344*'[2]RD Feedstock Breakdown'!CD$3*'[2]Feedstock Conversion Rates'!$B$6)/12-15-5</f>
        <v>12.830000000000005</v>
      </c>
      <c r="CE335" s="45">
        <f>('[2]Renewable Diesel'!$AB344*'[2]RD Feedstock Breakdown'!CE$3*'[2]Feedstock Conversion Rates'!$B$4)/12+15+5</f>
        <v>31.25</v>
      </c>
      <c r="CF335" s="47">
        <f t="shared" si="247"/>
        <v>44.080000000000005</v>
      </c>
      <c r="CG335" s="45">
        <f>('[2]Renewable Diesel'!AD344*'[2]Feedstock Conversion Rates'!B$4)/12</f>
        <v>112.5</v>
      </c>
      <c r="CH335" s="47">
        <f t="shared" si="302"/>
        <v>112.5</v>
      </c>
      <c r="CI335" s="45">
        <f>('[2]Renewable Diesel'!$AE344*'[2]RD Feedstock Breakdown'!CI$3*'[2]Feedstock Conversion Rates'!$B$5)/12</f>
        <v>0.34604166666666664</v>
      </c>
      <c r="CJ335" s="45">
        <f>('[2]Renewable Diesel'!$AE344*'[2]RD Feedstock Breakdown'!CJ$3*'[2]Feedstock Conversion Rates'!$B$4)/12</f>
        <v>0.34375</v>
      </c>
      <c r="CK335" s="47">
        <f t="shared" si="238"/>
        <v>0.68979166666666658</v>
      </c>
      <c r="CL335" s="45">
        <f>(((CL$3*'[2]Renewable Diesel'!$AF344)*'[2]Feedstock Conversion Rates'!$B$3)/12)</f>
        <v>91.78125</v>
      </c>
      <c r="CM335" s="45">
        <f>(((CM$3*'[2]Renewable Diesel'!$AF344)*'[2]Feedstock Conversion Rates'!$B$6)/12)</f>
        <v>53.739583333333336</v>
      </c>
      <c r="CN335" s="45">
        <f>(((CN$3*'[2]Renewable Diesel'!$AF344)*'[2]Feedstock Conversion Rates'!$B$4)/12)</f>
        <v>42.96875</v>
      </c>
      <c r="CO335" s="47">
        <f t="shared" ref="CO335:CO375" si="304">SUM(CL335:CN335)</f>
        <v>188.48958333333334</v>
      </c>
      <c r="CP335" s="45">
        <f>('[2]Renewable Diesel'!$AG344*'[2]RD Feedstock Breakdown'!CP$3*'[2]Feedstock Conversion Rates'!$B$3)/12</f>
        <v>6.0075000000000003</v>
      </c>
      <c r="CQ335" s="45">
        <f>('[2]Renewable Diesel'!$AG344*'[2]RD Feedstock Breakdown'!CQ$3*'[2]Feedstock Conversion Rates'!$B$6)/12</f>
        <v>3.5175000000000001</v>
      </c>
      <c r="CR335" s="45">
        <f>('[2]Renewable Diesel'!$AG344*'[2]RD Feedstock Breakdown'!CR$3*'[2]Feedstock Conversion Rates'!$B$4)/12</f>
        <v>2.8125</v>
      </c>
      <c r="CS335" s="47">
        <f t="shared" si="267"/>
        <v>12.3375</v>
      </c>
      <c r="CT335" s="45">
        <f>('[2]Renewable Diesel'!AI344*'[2]Feedstock Conversion Rates'!$B$4*'[2]RD Feedstock Breakdown'!$CT$3)/12</f>
        <v>29.375</v>
      </c>
      <c r="CU335" s="47">
        <f t="shared" si="234"/>
        <v>29.375</v>
      </c>
      <c r="CV335" s="45">
        <f>('[2]Renewable Diesel'!AN344*'[2]Feedstock Conversion Rates'!$B$3*'[2]RD Feedstock Breakdown'!$CV$3)/12</f>
        <v>0.50062499999999999</v>
      </c>
      <c r="CW335" s="47">
        <f t="shared" si="284"/>
        <v>0.50062499999999999</v>
      </c>
      <c r="CX335" s="45">
        <f>('[2]Renewable Diesel'!AO344*'[2]RD Feedstock Breakdown'!$CX$3*'[2]Feedstock Conversion Rates'!$B$3)/12</f>
        <v>6.3412499999999996</v>
      </c>
      <c r="CY335" s="45">
        <f>('[2]Renewable Diesel'!AO344*'[2]RD Feedstock Breakdown'!$CY$3*'[2]Feedstock Conversion Rates'!$B$6)/12</f>
        <v>7.4258333333333342</v>
      </c>
      <c r="CZ335" s="47">
        <f t="shared" si="268"/>
        <v>13.767083333333334</v>
      </c>
      <c r="DA335" s="45">
        <f>('[2]Renewable Diesel'!$AP344*'[2]RD Feedstock Breakdown'!DA$3*'[2]Feedstock Conversion Rates'!$B$3)/12</f>
        <v>6.3412499999999996</v>
      </c>
      <c r="DB335" s="45">
        <f>('[2]Renewable Diesel'!$AP344*'[2]RD Feedstock Breakdown'!DB$3*'[2]Feedstock Conversion Rates'!$B$8)/12</f>
        <v>7.421875</v>
      </c>
      <c r="DC335" s="47">
        <f t="shared" si="287"/>
        <v>13.763124999999999</v>
      </c>
      <c r="DD335" s="45">
        <f>('[2]Renewable Diesel'!AQ344*$DD$3*'[2]Feedstock Conversion Rates'!$B$14)/12</f>
        <v>3.1041666666666665</v>
      </c>
      <c r="DE335" s="47">
        <f t="shared" si="288"/>
        <v>3.1041666666666665</v>
      </c>
      <c r="DF335" s="45">
        <f>('[2]Renewable Diesel'!AR344*'[2]Feedstock Conversion Rates'!$B$4*$DF$3)/12</f>
        <v>75</v>
      </c>
      <c r="DG335" s="47">
        <f t="shared" si="269"/>
        <v>75</v>
      </c>
      <c r="DH335" s="45">
        <f>('[2]Renewable Diesel'!AS344*'[2]Feedstock Conversion Rates'!$B$4*$DH$3)/12</f>
        <v>75</v>
      </c>
      <c r="DI335" s="47">
        <f t="shared" si="273"/>
        <v>75</v>
      </c>
      <c r="DJ335" s="45">
        <f>('[2]Renewable Diesel'!AT344*'[2]Feedstock Conversion Rates'!$B$4*0.25)/12</f>
        <v>8.59375</v>
      </c>
      <c r="DK335" s="45">
        <f>('[2]Renewable Diesel'!$AT344*'[2]RD Feedstock Breakdown'!DK$3*'[2]Feedstock Conversion Rates'!$B$3)/12*0.5</f>
        <v>9.1781249999999996</v>
      </c>
      <c r="DL335" s="45">
        <f>('[2]Renewable Diesel'!$AT344*'[2]RD Feedstock Breakdown'!$DL$3*'[2]Feedstock Conversion Rates'!$B$6)/12</f>
        <v>10.747916666666669</v>
      </c>
      <c r="DM335" s="45">
        <f>('[2]Renewable Diesel'!$AT344*'[2]RD Feedstock Breakdown'!$DM$3*'[2]Feedstock Conversion Rates'!$B$8)/12</f>
        <v>10.7421875</v>
      </c>
      <c r="DN335" s="47">
        <f t="shared" si="249"/>
        <v>39.26197916666667</v>
      </c>
      <c r="DP335" s="45">
        <f t="shared" si="290"/>
        <v>48.220250000000007</v>
      </c>
      <c r="DQ335" s="45">
        <f t="shared" si="291"/>
        <v>479.11776749999996</v>
      </c>
      <c r="DR335" s="45">
        <f t="shared" si="296"/>
        <v>1869.453125</v>
      </c>
      <c r="DS335" s="45">
        <f t="shared" si="235"/>
        <v>228.90125</v>
      </c>
      <c r="DT335" s="45">
        <f t="shared" si="292"/>
        <v>233.03923333333344</v>
      </c>
      <c r="DU335" s="45">
        <f t="shared" si="293"/>
        <v>345.40610000000004</v>
      </c>
      <c r="DV335" s="45">
        <f t="shared" si="297"/>
        <v>78.75</v>
      </c>
      <c r="DW335" s="45">
        <f t="shared" si="294"/>
        <v>3</v>
      </c>
      <c r="DX335" s="47">
        <f t="shared" si="298"/>
        <v>3285.8877258333337</v>
      </c>
      <c r="DY335" s="50">
        <f t="shared" si="286"/>
        <v>-5.631051180898794E-13</v>
      </c>
      <c r="EA335" s="51">
        <f t="shared" si="263"/>
        <v>1.4674953626959629E-2</v>
      </c>
      <c r="EB335" s="51">
        <f t="shared" si="263"/>
        <v>0.14581075419382777</v>
      </c>
      <c r="EC335" s="51">
        <f t="shared" si="263"/>
        <v>0.56893396274697372</v>
      </c>
      <c r="ED335" s="51">
        <f t="shared" si="261"/>
        <v>6.9661920643362324E-2</v>
      </c>
      <c r="EE335" s="51">
        <f t="shared" si="261"/>
        <v>7.0921240400638574E-2</v>
      </c>
      <c r="EF335" s="51">
        <f t="shared" si="261"/>
        <v>0.10511804687800208</v>
      </c>
      <c r="EG335" s="51">
        <f t="shared" si="261"/>
        <v>2.3966126225456536E-2</v>
      </c>
      <c r="EH335" s="52">
        <f t="shared" si="299"/>
        <v>9.1299528477929671E-4</v>
      </c>
      <c r="EI335" s="51">
        <f t="shared" si="271"/>
        <v>0.99908700471522072</v>
      </c>
      <c r="EK335" s="53">
        <f>(EA335*'[2]Renewable Diesel'!BF344*'[2]Feedstock Conversion Rates'!B$2)+FB335</f>
        <v>114.25995904174091</v>
      </c>
      <c r="EL335" s="53">
        <f>(EB335*'[2]Renewable Diesel'!BF344*'[2]Feedstock Conversion Rates'!B$3)+FC335</f>
        <v>1069.8440438970322</v>
      </c>
      <c r="EM335" s="53">
        <f>(EC335*'[2]Renewable Diesel'!BF344*'[2]Feedstock Conversion Rates'!B$4)+FD335</f>
        <v>3908.6026677153491</v>
      </c>
      <c r="EN335" s="53">
        <f>(ED335*'[2]Renewable Diesel'!BF344*'[2]Feedstock Conversion Rates'!B$5)+FE335</f>
        <v>481.77115788126559</v>
      </c>
      <c r="EO335" s="53">
        <f>(EE335*'[2]Renewable Diesel'!BF344*'[2]Feedstock Conversion Rates'!B$6)+FF335</f>
        <v>609.36507828939784</v>
      </c>
      <c r="EP335" s="53">
        <f>(EF335*'[2]Renewable Diesel'!BF344*'[2]Feedstock Conversion Rates'!B$7)+FG335</f>
        <v>885.85677524828168</v>
      </c>
      <c r="EQ335" s="53">
        <f>(EG335*'[2]Renewable Diesel'!BF344*'[2]Feedstock Conversion Rates'!B$8)+FH335</f>
        <v>205.81049610603617</v>
      </c>
      <c r="ER335" s="53">
        <f>(EH335*'[2]Renewable Diesel'!BF344*'[2]Feedstock Conversion Rates'!B$9)+FI335</f>
        <v>7.73586118696974</v>
      </c>
      <c r="ES335" s="53">
        <f t="shared" si="300"/>
        <v>7283.2460393660731</v>
      </c>
      <c r="ET335" s="36">
        <f>ES335/'[2]Renewable Diesel'!BF344</f>
        <v>7.9510883743648781</v>
      </c>
    </row>
    <row r="336" spans="1:150" x14ac:dyDescent="0.25">
      <c r="A336" s="39">
        <v>50649</v>
      </c>
      <c r="B336" s="45">
        <f t="shared" si="282"/>
        <v>1.75</v>
      </c>
      <c r="C336" s="45">
        <f t="shared" si="251"/>
        <v>49</v>
      </c>
      <c r="D336" s="45">
        <f t="shared" si="283"/>
        <v>2</v>
      </c>
      <c r="E336" s="45">
        <f>('[2]Renewable Diesel'!B345*E$3*'[2]Feedstock Conversion Rates'!$B$2)/12+26+13-100+27.5+39</f>
        <v>95.43</v>
      </c>
      <c r="F336" s="45">
        <f>('[2]Renewable Diesel'!B345*'[2]RD Feedstock Breakdown'!F$3*'[2]Feedstock Conversion Rates'!B$8)/12+77+23-10-12-115.75+24+8</f>
        <v>48.15625</v>
      </c>
      <c r="G336" s="45">
        <f>('[2]Renewable Diesel'!B345*'[2]RD Feedstock Breakdown'!G$3*'[2]Feedstock Conversion Rates'!B$7)/12+116.75-39-57.5-145-31.5+32+70-40+10+2.5</f>
        <v>94.407000000000039</v>
      </c>
      <c r="H336" s="45">
        <f>('[2]Renewable Diesel'!B345*'[2]RD Feedstock Breakdown'!H$3*'[2]Feedstock Conversion Rates'!B$3)/12+67+10+12+3-235+20+47-20+125</f>
        <v>205.40022499999998</v>
      </c>
      <c r="I336" s="47">
        <f t="shared" si="245"/>
        <v>496.14347500000002</v>
      </c>
      <c r="J336" s="45">
        <f t="shared" si="281"/>
        <v>4</v>
      </c>
      <c r="K336" s="45"/>
      <c r="L336" s="45">
        <v>1</v>
      </c>
      <c r="M336" s="45">
        <f>('[2]Renewable Diesel'!C345*'[2]RD Feedstock Breakdown'!M$3*'[2]Feedstock Conversion Rates'!B$2)/12-55</f>
        <v>-47.20975</v>
      </c>
      <c r="N336" s="45">
        <f>('[2]Renewable Diesel'!C345*'[2]RD Feedstock Breakdown'!N$3*'[2]Feedstock Conversion Rates'!B$8)/12</f>
        <v>3.671875</v>
      </c>
      <c r="O336" s="45">
        <f>('[2]Renewable Diesel'!C345*'[2]RD Feedstock Breakdown'!O$3*'[2]Feedstock Conversion Rates'!B$7)/12</f>
        <v>11.9991</v>
      </c>
      <c r="P336" s="45">
        <f>('[2]Renewable Diesel'!C345*'[2]RD Feedstock Breakdown'!P$3*'[2]Feedstock Conversion Rates'!B$3)/12+15+35</f>
        <v>60.447042500000002</v>
      </c>
      <c r="Q336" s="47">
        <f t="shared" si="252"/>
        <v>33.908267500000001</v>
      </c>
      <c r="R336" s="45">
        <f>('[2]Renewable Diesel'!D345*'[2]RD Feedstock Breakdown'!R$3*'[2]Feedstock Conversion Rates'!B$7)/12</f>
        <v>2.2999999999999998</v>
      </c>
      <c r="S336" s="47">
        <f t="shared" si="279"/>
        <v>2.2999999999999998</v>
      </c>
      <c r="T336" s="45">
        <f t="shared" si="253"/>
        <v>0.82499999999999929</v>
      </c>
      <c r="U336" s="45"/>
      <c r="V336" s="45">
        <f>('[2]Renewable Diesel'!E345*'[2]RD Feedstock Breakdown'!V$3*'[2]Feedstock Conversion Rates'!B$6)/12-20+25</f>
        <v>49.250150000000012</v>
      </c>
      <c r="W336" s="45">
        <f>('[2]Renewable Diesel'!E345*'[2]RD Feedstock Breakdown'!W$3*'[2]Feedstock Conversion Rates'!B$8)/12-6</f>
        <v>16.1796875</v>
      </c>
      <c r="X336" s="47">
        <f t="shared" si="301"/>
        <v>66.254837500000008</v>
      </c>
      <c r="Y336" s="45">
        <f t="shared" si="254"/>
        <v>98</v>
      </c>
      <c r="Z336" s="45">
        <f>('[2]Renewable Diesel'!F345*'[2]RD Feedstock Breakdown'!Z$3*'[2]Feedstock Conversion Rates'!B$6)/12-142+15+5+20+5+5</f>
        <v>67.460000000000008</v>
      </c>
      <c r="AA336" s="45">
        <f>('[2]Renewable Diesel'!F345*'[2]RD Feedstock Breakdown'!AA$3*'[2]Feedstock Conversion Rates'!B$7)/12+24</f>
        <v>128.26666666666665</v>
      </c>
      <c r="AB336" s="47">
        <f t="shared" si="270"/>
        <v>293.72666666666669</v>
      </c>
      <c r="AC336" s="45">
        <f>('[2]Renewable Diesel'!G345*'[2]RD Feedstock Breakdown'!AC$3*'[2]Feedstock Conversion Rates'!B$5)/12</f>
        <v>11.796875</v>
      </c>
      <c r="AD336" s="45">
        <f>('[2]Renewable Diesel'!G345*'[2]RD Feedstock Breakdown'!AD$3*'[2]Feedstock Conversion Rates'!B$4)/12</f>
        <v>5.859375</v>
      </c>
      <c r="AE336" s="45">
        <f>('[2]Renewable Diesel'!G345*'[2]RD Feedstock Breakdown'!AE$3*'[2]Feedstock Conversion Rates'!B$6)/12</f>
        <v>7.3281250000000009</v>
      </c>
      <c r="AF336" s="47">
        <f t="shared" si="236"/>
        <v>24.984375</v>
      </c>
      <c r="AG336" s="45">
        <f t="shared" si="259"/>
        <v>148</v>
      </c>
      <c r="AH336" s="45"/>
      <c r="AI336" s="45">
        <f>('[2]Renewable Diesel'!H345*'[2]RD Feedstock Breakdown'!AI$3*'[2]Feedstock Conversion Rates'!B$6)/12-130-20+51-49</f>
        <v>0.51666666666667993</v>
      </c>
      <c r="AJ336" s="47">
        <f t="shared" si="278"/>
        <v>148.51666666666668</v>
      </c>
      <c r="AK336" s="45">
        <f>('[2]Renewable Diesel'!J345*'[2]RD Feedstock Breakdown'!AK$3*'[2]Feedstock Conversion Rates'!B$4)/12</f>
        <v>95.8125</v>
      </c>
      <c r="AL336" s="47">
        <f t="shared" si="280"/>
        <v>95.8125</v>
      </c>
      <c r="AM336" s="45">
        <f>('[2]Renewable Diesel'!K345*'[2]RD Feedstock Breakdown'!AM$3*'[2]Feedstock Conversion Rates'!B$4)/12+5+15-10+10</f>
        <v>78.59375</v>
      </c>
      <c r="AN336" s="45">
        <f>('[2]Renewable Diesel'!K345*'[2]RD Feedstock Breakdown'!AN$3*'[2]Feedstock Conversion Rates'!B$6)/12-5-15+10-10</f>
        <v>4.4270833333333321</v>
      </c>
      <c r="AO336" s="47">
        <f t="shared" si="295"/>
        <v>83.020833333333329</v>
      </c>
      <c r="AP336" s="45">
        <f>('[2]Renewable Diesel'!L345*'[2]RD Feedstock Breakdown'!AP$3*'[2]Feedstock Conversion Rates'!B$4)/12+15-10+15</f>
        <v>78.59375</v>
      </c>
      <c r="AQ336" s="45">
        <f>('[2]Renewable Diesel'!L345*'[2]RD Feedstock Breakdown'!AQ$3*'[2]Feedstock Conversion Rates'!B$6)/12-15+10-15</f>
        <v>4.4270833333333321</v>
      </c>
      <c r="AR336" s="47">
        <f t="shared" si="285"/>
        <v>83.020833333333329</v>
      </c>
      <c r="AS336" s="45">
        <f>('[2]Renewable Diesel'!M345*'[2]RD Feedstock Breakdown'!AS$3*'[2]Feedstock Conversion Rates'!B$4)/12</f>
        <v>456.25</v>
      </c>
      <c r="AT336" s="45">
        <f>('[2]Renewable Diesel'!M345*'[2]RD Feedstock Breakdown'!AT$3*'[2]Feedstock Conversion Rates'!B$5)/12</f>
        <v>0</v>
      </c>
      <c r="AU336" s="47">
        <f t="shared" si="244"/>
        <v>456.25</v>
      </c>
      <c r="AV336" s="45">
        <f>'[2]Renewable Diesel'!N345*'[2]RD Feedstock Breakdown'!$AV$3*'[2]Feedstock Conversion Rates'!$B$4/12-15-10+25+25-22+25</f>
        <v>106.74999999999999</v>
      </c>
      <c r="AW336" s="45">
        <f>'[2]Renewable Diesel'!N345*'[2]RD Feedstock Breakdown'!$AW$3*'[2]Feedstock Conversion Rates'!$B$7/12+15+10-25-25+22-25</f>
        <v>13.400000000000006</v>
      </c>
      <c r="AX336" s="47">
        <f t="shared" si="272"/>
        <v>120.14999999999999</v>
      </c>
      <c r="AY336" s="45">
        <f>('[2]Renewable Diesel'!O345*'[2]RD Feedstock Breakdown'!AY$3*'[2]Feedstock Conversion Rates'!B$4)/12</f>
        <v>210.9375</v>
      </c>
      <c r="AZ336" s="45">
        <f>('[2]Renewable Diesel'!O345*'[2]RD Feedstock Breakdown'!AZ$3*'[2]Feedstock Conversion Rates'!B$3)/12</f>
        <v>25.03125</v>
      </c>
      <c r="BA336" s="47">
        <f t="shared" si="255"/>
        <v>235.96875</v>
      </c>
      <c r="BB336" s="45">
        <f>('[2]Renewable Diesel'!Q345*'[2]RD Feedstock Breakdown'!BB$3*'[2]Feedstock Conversion Rates'!B$4)/12</f>
        <v>11.156249999999998</v>
      </c>
      <c r="BC336" s="45">
        <f>('[2]Renewable Diesel'!Q345*'[2]RD Feedstock Breakdown'!BC$3*'[2]Feedstock Conversion Rates'!B$3)/12</f>
        <v>1.4017500000000001</v>
      </c>
      <c r="BD336" s="45">
        <f>('[2]Renewable Diesel'!Q345*'[2]RD Feedstock Breakdown'!BD$3*'[2]Feedstock Conversion Rates'!B$6)/12</f>
        <v>0.8207500000000002</v>
      </c>
      <c r="BE336" s="47">
        <f t="shared" si="303"/>
        <v>13.378749999999998</v>
      </c>
      <c r="BF336" s="45">
        <f>('[2]Renewable Diesel'!R345*'[2]RD Feedstock Breakdown'!BF$3*'[2]Feedstock Conversion Rates'!B$4)/12</f>
        <v>62.5</v>
      </c>
      <c r="BG336" s="47">
        <f t="shared" si="289"/>
        <v>62.5</v>
      </c>
      <c r="BH336" s="45">
        <f>('[2]Renewable Diesel'!T345*'[2]RD Feedstock Breakdown'!BH$3*'[2]Feedstock Conversion Rates'!B$7)/12</f>
        <v>27.599999999999998</v>
      </c>
      <c r="BI336" s="47">
        <f t="shared" si="277"/>
        <v>27.599999999999998</v>
      </c>
      <c r="BJ336" s="45">
        <f>('[2]Renewable Diesel'!W345*'[2]RD Feedstock Breakdown'!BJ$3*'[2]Feedstock Conversion Rates'!B$4)/12</f>
        <v>7.5</v>
      </c>
      <c r="BK336" s="45">
        <f>('[2]Renewable Diesel'!W345*'[2]RD Feedstock Breakdown'!BK$3*'[2]Feedstock Conversion Rates'!B$3)/12</f>
        <v>1.335</v>
      </c>
      <c r="BL336" s="45">
        <f>('[2]Renewable Diesel'!W345*'[2]RD Feedstock Breakdown'!BL$3*'[2]Feedstock Conversion Rates'!B$6)/12</f>
        <v>3.1266666666666669</v>
      </c>
      <c r="BM336" s="45">
        <f>('[2]Renewable Diesel'!W345*'[2]RD Feedstock Breakdown'!BM$3*'[2]Feedstock Conversion Rates'!B$7)/12</f>
        <v>1.5333333333333332</v>
      </c>
      <c r="BN336" s="47">
        <f t="shared" si="248"/>
        <v>13.495000000000001</v>
      </c>
      <c r="BO336" s="45">
        <f>('[2]Renewable Diesel'!P345*'[2]Feedstock Conversion Rates'!B$4)/12</f>
        <v>31.25</v>
      </c>
      <c r="BP336" s="47">
        <f t="shared" si="237"/>
        <v>31.25</v>
      </c>
      <c r="BQ336" s="45">
        <f>('[2]Renewable Diesel'!$S345*'[2]RD Feedstock Breakdown'!BQ$3*'[2]Feedstock Conversion Rates'!B$4)/12+10+15-15</f>
        <v>38.125</v>
      </c>
      <c r="BR336" s="45">
        <f>('[2]Renewable Diesel'!$S345*'[2]RD Feedstock Breakdown'!BR$3*'[2]Feedstock Conversion Rates'!B$7)/12-10-15+15</f>
        <v>1.5</v>
      </c>
      <c r="BS336" s="47">
        <f t="shared" si="260"/>
        <v>39.625</v>
      </c>
      <c r="BT336" s="47"/>
      <c r="BU336" s="45">
        <f>('[2]Renewable Diesel'!Y345*'[2]Feedstock Conversion Rates'!B$7)/12</f>
        <v>2.6833333333333331</v>
      </c>
      <c r="BV336" s="47">
        <f t="shared" si="233"/>
        <v>2.6833333333333331</v>
      </c>
      <c r="BW336" s="45">
        <f>('[2]Renewable Diesel'!$Z345*'[2]RD Feedstock Breakdown'!BW$3*'[2]Feedstock Conversion Rates'!$B$4)/12-50</f>
        <v>21.875</v>
      </c>
      <c r="BX336" s="45">
        <f>('[2]Renewable Diesel'!$Z345*'[2]RD Feedstock Breakdown'!BX$3*'[2]Feedstock Conversion Rates'!$B$5)/12</f>
        <v>7.2354166666666666</v>
      </c>
      <c r="BY336" s="45">
        <f>('[2]Renewable Diesel'!$Z345*'[2]RD Feedstock Breakdown'!BY$3*'[2]Feedstock Conversion Rates'!$B$7)/12</f>
        <v>61.716666666666661</v>
      </c>
      <c r="BZ336" s="45">
        <f>('[2]Renewable Diesel'!$Z345*'[2]RD Feedstock Breakdown'!BZ$3*'[2]Feedstock Conversion Rates'!$B$3)/12+50</f>
        <v>65.352499999999992</v>
      </c>
      <c r="CA336" s="47">
        <f t="shared" si="262"/>
        <v>156.17958333333331</v>
      </c>
      <c r="CB336" s="45">
        <f>('[2]Renewable Diesel'!AA345*'[2]Feedstock Conversion Rates'!B$4)/12</f>
        <v>191.25</v>
      </c>
      <c r="CC336" s="47">
        <f t="shared" si="250"/>
        <v>191.25</v>
      </c>
      <c r="CD336" s="45">
        <f>('[2]Renewable Diesel'!$AB345*'[2]RD Feedstock Breakdown'!CD$3*'[2]Feedstock Conversion Rates'!$B$6)/12-15-5</f>
        <v>12.830000000000005</v>
      </c>
      <c r="CE336" s="45">
        <f>('[2]Renewable Diesel'!$AB345*'[2]RD Feedstock Breakdown'!CE$3*'[2]Feedstock Conversion Rates'!$B$4)/12+15+5</f>
        <v>31.25</v>
      </c>
      <c r="CF336" s="47">
        <f t="shared" si="247"/>
        <v>44.080000000000005</v>
      </c>
      <c r="CG336" s="45">
        <f>('[2]Renewable Diesel'!AD345*'[2]Feedstock Conversion Rates'!B$4)/12</f>
        <v>112.5</v>
      </c>
      <c r="CH336" s="47">
        <f t="shared" si="302"/>
        <v>112.5</v>
      </c>
      <c r="CI336" s="45">
        <f>('[2]Renewable Diesel'!$AE345*'[2]RD Feedstock Breakdown'!CI$3*'[2]Feedstock Conversion Rates'!$B$5)/12</f>
        <v>0.34604166666666664</v>
      </c>
      <c r="CJ336" s="45">
        <f>('[2]Renewable Diesel'!$AE345*'[2]RD Feedstock Breakdown'!CJ$3*'[2]Feedstock Conversion Rates'!$B$4)/12</f>
        <v>0.34375</v>
      </c>
      <c r="CK336" s="47">
        <f t="shared" si="238"/>
        <v>0.68979166666666658</v>
      </c>
      <c r="CL336" s="45">
        <f>(((CL$3*'[2]Renewable Diesel'!$AF345)*'[2]Feedstock Conversion Rates'!$B$3)/12)</f>
        <v>91.78125</v>
      </c>
      <c r="CM336" s="45">
        <f>(((CM$3*'[2]Renewable Diesel'!$AF345)*'[2]Feedstock Conversion Rates'!$B$6)/12)</f>
        <v>53.739583333333336</v>
      </c>
      <c r="CN336" s="45">
        <f>(((CN$3*'[2]Renewable Diesel'!$AF345)*'[2]Feedstock Conversion Rates'!$B$4)/12)</f>
        <v>42.96875</v>
      </c>
      <c r="CO336" s="47">
        <f t="shared" si="304"/>
        <v>188.48958333333334</v>
      </c>
      <c r="CP336" s="45">
        <f>('[2]Renewable Diesel'!$AG345*'[2]RD Feedstock Breakdown'!CP$3*'[2]Feedstock Conversion Rates'!$B$3)/12</f>
        <v>6.0075000000000003</v>
      </c>
      <c r="CQ336" s="45">
        <f>('[2]Renewable Diesel'!$AG345*'[2]RD Feedstock Breakdown'!CQ$3*'[2]Feedstock Conversion Rates'!$B$6)/12</f>
        <v>3.5175000000000001</v>
      </c>
      <c r="CR336" s="45">
        <f>('[2]Renewable Diesel'!$AG345*'[2]RD Feedstock Breakdown'!CR$3*'[2]Feedstock Conversion Rates'!$B$4)/12</f>
        <v>2.8125</v>
      </c>
      <c r="CS336" s="47">
        <f t="shared" si="267"/>
        <v>12.3375</v>
      </c>
      <c r="CT336" s="45">
        <f>('[2]Renewable Diesel'!AI345*'[2]Feedstock Conversion Rates'!$B$4*'[2]RD Feedstock Breakdown'!$CT$3)/12</f>
        <v>29.375</v>
      </c>
      <c r="CU336" s="47">
        <f t="shared" si="234"/>
        <v>29.375</v>
      </c>
      <c r="CV336" s="45">
        <f>('[2]Renewable Diesel'!AN345*'[2]Feedstock Conversion Rates'!$B$3*'[2]RD Feedstock Breakdown'!$CV$3)/12</f>
        <v>0.50062499999999999</v>
      </c>
      <c r="CW336" s="47">
        <f t="shared" si="284"/>
        <v>0.50062499999999999</v>
      </c>
      <c r="CX336" s="45">
        <f>('[2]Renewable Diesel'!AO345*'[2]RD Feedstock Breakdown'!$CX$3*'[2]Feedstock Conversion Rates'!$B$3)/12</f>
        <v>6.3412499999999996</v>
      </c>
      <c r="CY336" s="45">
        <f>('[2]Renewable Diesel'!AO345*'[2]RD Feedstock Breakdown'!$CY$3*'[2]Feedstock Conversion Rates'!$B$6)/12</f>
        <v>7.4258333333333342</v>
      </c>
      <c r="CZ336" s="47">
        <f t="shared" si="268"/>
        <v>13.767083333333334</v>
      </c>
      <c r="DA336" s="45">
        <f>('[2]Renewable Diesel'!$AP345*'[2]RD Feedstock Breakdown'!DA$3*'[2]Feedstock Conversion Rates'!$B$3)/12</f>
        <v>6.3412499999999996</v>
      </c>
      <c r="DB336" s="45">
        <f>('[2]Renewable Diesel'!$AP345*'[2]RD Feedstock Breakdown'!DB$3*'[2]Feedstock Conversion Rates'!$B$8)/12</f>
        <v>7.421875</v>
      </c>
      <c r="DC336" s="47">
        <f t="shared" si="287"/>
        <v>13.763124999999999</v>
      </c>
      <c r="DD336" s="45">
        <f>('[2]Renewable Diesel'!AQ345*$DD$3*'[2]Feedstock Conversion Rates'!$B$14)/12</f>
        <v>3.1041666666666665</v>
      </c>
      <c r="DE336" s="47">
        <f t="shared" si="288"/>
        <v>3.1041666666666665</v>
      </c>
      <c r="DF336" s="45">
        <f>('[2]Renewable Diesel'!AR345*'[2]Feedstock Conversion Rates'!$B$4*$DF$3)/12</f>
        <v>75</v>
      </c>
      <c r="DG336" s="47">
        <f t="shared" si="269"/>
        <v>75</v>
      </c>
      <c r="DH336" s="45">
        <f>('[2]Renewable Diesel'!AS345*'[2]Feedstock Conversion Rates'!$B$4*$DH$3)/12</f>
        <v>75</v>
      </c>
      <c r="DI336" s="47">
        <f t="shared" si="273"/>
        <v>75</v>
      </c>
      <c r="DJ336" s="45">
        <f>('[2]Renewable Diesel'!AT345*'[2]Feedstock Conversion Rates'!$B$4*0.25)/12</f>
        <v>8.59375</v>
      </c>
      <c r="DK336" s="45">
        <f>('[2]Renewable Diesel'!$AT345*'[2]RD Feedstock Breakdown'!DK$3*'[2]Feedstock Conversion Rates'!$B$3)/12*0.5</f>
        <v>9.1781249999999996</v>
      </c>
      <c r="DL336" s="45">
        <f>('[2]Renewable Diesel'!$AT345*'[2]RD Feedstock Breakdown'!$DL$3*'[2]Feedstock Conversion Rates'!$B$6)/12</f>
        <v>10.747916666666669</v>
      </c>
      <c r="DM336" s="45">
        <f>('[2]Renewable Diesel'!$AT345*'[2]RD Feedstock Breakdown'!$DM$3*'[2]Feedstock Conversion Rates'!$B$8)/12</f>
        <v>10.7421875</v>
      </c>
      <c r="DN336" s="47">
        <f t="shared" si="249"/>
        <v>39.26197916666667</v>
      </c>
      <c r="DP336" s="45">
        <f t="shared" si="290"/>
        <v>48.220250000000007</v>
      </c>
      <c r="DQ336" s="45">
        <f t="shared" si="291"/>
        <v>479.11776749999996</v>
      </c>
      <c r="DR336" s="45">
        <f t="shared" si="296"/>
        <v>1869.453125</v>
      </c>
      <c r="DS336" s="45">
        <f t="shared" si="235"/>
        <v>228.90125</v>
      </c>
      <c r="DT336" s="45">
        <f t="shared" si="292"/>
        <v>233.03923333333344</v>
      </c>
      <c r="DU336" s="45">
        <f t="shared" si="293"/>
        <v>345.40610000000004</v>
      </c>
      <c r="DV336" s="45">
        <f t="shared" si="297"/>
        <v>78.75</v>
      </c>
      <c r="DW336" s="45">
        <f t="shared" si="294"/>
        <v>3</v>
      </c>
      <c r="DX336" s="47">
        <f t="shared" si="298"/>
        <v>3285.8877258333337</v>
      </c>
      <c r="DY336" s="50">
        <f t="shared" si="286"/>
        <v>-5.631051180898794E-13</v>
      </c>
      <c r="EA336" s="51">
        <f t="shared" si="263"/>
        <v>1.4674953626959629E-2</v>
      </c>
      <c r="EB336" s="51">
        <f t="shared" si="263"/>
        <v>0.14581075419382777</v>
      </c>
      <c r="EC336" s="51">
        <f t="shared" si="263"/>
        <v>0.56893396274697372</v>
      </c>
      <c r="ED336" s="51">
        <f t="shared" si="261"/>
        <v>6.9661920643362324E-2</v>
      </c>
      <c r="EE336" s="51">
        <f t="shared" si="261"/>
        <v>7.0921240400638574E-2</v>
      </c>
      <c r="EF336" s="51">
        <f t="shared" si="261"/>
        <v>0.10511804687800208</v>
      </c>
      <c r="EG336" s="51">
        <f t="shared" si="261"/>
        <v>2.3966126225456536E-2</v>
      </c>
      <c r="EH336" s="52">
        <f t="shared" si="299"/>
        <v>9.1299528477929671E-4</v>
      </c>
      <c r="EI336" s="51">
        <f t="shared" si="271"/>
        <v>0.99908700471522072</v>
      </c>
      <c r="EK336" s="53">
        <f>(EA336*'[2]Renewable Diesel'!BF345*'[2]Feedstock Conversion Rates'!B$2)+FB336</f>
        <v>128.10147318112382</v>
      </c>
      <c r="EL336" s="53">
        <f>(EB336*'[2]Renewable Diesel'!BF345*'[2]Feedstock Conversion Rates'!B$3)+FC336</f>
        <v>1199.4455384601945</v>
      </c>
      <c r="EM336" s="53">
        <f>(EC336*'[2]Renewable Diesel'!BF345*'[2]Feedstock Conversion Rates'!B$4)+FD336</f>
        <v>4382.0929397593618</v>
      </c>
      <c r="EN336" s="53">
        <f>(ED336*'[2]Renewable Diesel'!BF345*'[2]Feedstock Conversion Rates'!B$5)+FE336</f>
        <v>540.13318032277834</v>
      </c>
      <c r="EO336" s="53">
        <f>(EE336*'[2]Renewable Diesel'!BF345*'[2]Feedstock Conversion Rates'!B$6)+FF336</f>
        <v>683.18389826733596</v>
      </c>
      <c r="EP336" s="53">
        <f>(EF336*'[2]Renewable Diesel'!BF345*'[2]Feedstock Conversion Rates'!B$7)+FG336</f>
        <v>993.16995112284928</v>
      </c>
      <c r="EQ336" s="53">
        <f>(EG336*'[2]Renewable Diesel'!BF345*'[2]Feedstock Conversion Rates'!B$8)+FH336</f>
        <v>230.74249254447722</v>
      </c>
      <c r="ER336" s="53">
        <f>(EH336*'[2]Renewable Diesel'!BF345*'[2]Feedstock Conversion Rates'!B$9)+FI336</f>
        <v>8.6729876562749553</v>
      </c>
      <c r="ES336" s="53">
        <f t="shared" si="300"/>
        <v>8165.542461314396</v>
      </c>
      <c r="ET336" s="36">
        <f>ES336/'[2]Renewable Diesel'!BF345</f>
        <v>7.9510883743648781</v>
      </c>
    </row>
    <row r="337" spans="1:150" x14ac:dyDescent="0.25">
      <c r="A337" s="39">
        <v>50679</v>
      </c>
      <c r="B337" s="45">
        <f>115.75+145+100+235+31.5-21-287-20-28-32-70-39-47+40+20-3-10-25-1</f>
        <v>104.25</v>
      </c>
      <c r="C337" s="45">
        <f t="shared" si="251"/>
        <v>49</v>
      </c>
      <c r="D337" s="45">
        <f>1+1</f>
        <v>2</v>
      </c>
      <c r="E337" s="45">
        <f>('[2]Renewable Diesel'!B346*E$3*'[2]Feedstock Conversion Rates'!$B$2)/12+26+13-100+27.5+39</f>
        <v>95.43</v>
      </c>
      <c r="F337" s="45">
        <f>('[2]Renewable Diesel'!B346*'[2]RD Feedstock Breakdown'!F$3*'[2]Feedstock Conversion Rates'!B$8)/12+77+23-10-12-115.75+24+8</f>
        <v>48.15625</v>
      </c>
      <c r="G337" s="45">
        <f>('[2]Renewable Diesel'!B346*'[2]RD Feedstock Breakdown'!G$3*'[2]Feedstock Conversion Rates'!B$7)/12+116.75-39-57.5-145-31.5+32+70-40+10+25</f>
        <v>116.90700000000004</v>
      </c>
      <c r="H337" s="45">
        <f>('[2]Renewable Diesel'!B346*'[2]RD Feedstock Breakdown'!H$3*'[2]Feedstock Conversion Rates'!B$3)/12+67+10+12+3-235+20+47-20</f>
        <v>80.400224999999978</v>
      </c>
      <c r="I337" s="47">
        <f t="shared" si="245"/>
        <v>496.14347500000002</v>
      </c>
      <c r="J337" s="45">
        <f t="shared" si="281"/>
        <v>4</v>
      </c>
      <c r="K337" s="45"/>
      <c r="L337" s="45">
        <v>1</v>
      </c>
      <c r="M337" s="45">
        <f>('[2]Renewable Diesel'!C346*'[2]RD Feedstock Breakdown'!M$3*'[2]Feedstock Conversion Rates'!B$2)/12-55</f>
        <v>-47.20975</v>
      </c>
      <c r="N337" s="45">
        <f>('[2]Renewable Diesel'!C346*'[2]RD Feedstock Breakdown'!N$3*'[2]Feedstock Conversion Rates'!B$8)/12</f>
        <v>3.671875</v>
      </c>
      <c r="O337" s="45">
        <f>('[2]Renewable Diesel'!C346*'[2]RD Feedstock Breakdown'!O$3*'[2]Feedstock Conversion Rates'!B$7)/12</f>
        <v>11.9991</v>
      </c>
      <c r="P337" s="45">
        <f>('[2]Renewable Diesel'!C346*'[2]RD Feedstock Breakdown'!P$3*'[2]Feedstock Conversion Rates'!B$3)/12+15+35</f>
        <v>60.447042500000002</v>
      </c>
      <c r="Q337" s="47">
        <f t="shared" si="252"/>
        <v>33.908267500000001</v>
      </c>
      <c r="R337" s="45">
        <f>('[2]Renewable Diesel'!D346*'[2]RD Feedstock Breakdown'!R$3*'[2]Feedstock Conversion Rates'!B$7)/12</f>
        <v>2.2999999999999998</v>
      </c>
      <c r="S337" s="47">
        <f t="shared" si="279"/>
        <v>2.2999999999999998</v>
      </c>
      <c r="T337" s="45">
        <f t="shared" si="253"/>
        <v>0.82499999999999929</v>
      </c>
      <c r="U337" s="45"/>
      <c r="V337" s="45">
        <f>('[2]Renewable Diesel'!E346*'[2]RD Feedstock Breakdown'!V$3*'[2]Feedstock Conversion Rates'!B$6)/12-20+25</f>
        <v>49.250150000000012</v>
      </c>
      <c r="W337" s="45">
        <f>('[2]Renewable Diesel'!E346*'[2]RD Feedstock Breakdown'!W$3*'[2]Feedstock Conversion Rates'!B$8)/12-6</f>
        <v>16.1796875</v>
      </c>
      <c r="X337" s="47">
        <f t="shared" si="301"/>
        <v>66.254837500000008</v>
      </c>
      <c r="Y337" s="45">
        <f t="shared" si="254"/>
        <v>98</v>
      </c>
      <c r="Z337" s="45">
        <f>('[2]Renewable Diesel'!F346*'[2]RD Feedstock Breakdown'!Z$3*'[2]Feedstock Conversion Rates'!B$6)/12-142+15+5+20+5+5</f>
        <v>67.460000000000008</v>
      </c>
      <c r="AA337" s="45">
        <f>('[2]Renewable Diesel'!F346*'[2]RD Feedstock Breakdown'!AA$3*'[2]Feedstock Conversion Rates'!B$7)/12+24</f>
        <v>128.26666666666665</v>
      </c>
      <c r="AB337" s="47">
        <f t="shared" si="270"/>
        <v>293.72666666666669</v>
      </c>
      <c r="AC337" s="45">
        <f>('[2]Renewable Diesel'!G346*'[2]RD Feedstock Breakdown'!AC$3*'[2]Feedstock Conversion Rates'!B$5)/12</f>
        <v>11.796875</v>
      </c>
      <c r="AD337" s="45">
        <f>('[2]Renewable Diesel'!G346*'[2]RD Feedstock Breakdown'!AD$3*'[2]Feedstock Conversion Rates'!B$4)/12</f>
        <v>5.859375</v>
      </c>
      <c r="AE337" s="45">
        <f>('[2]Renewable Diesel'!G346*'[2]RD Feedstock Breakdown'!AE$3*'[2]Feedstock Conversion Rates'!B$6)/12</f>
        <v>7.3281250000000009</v>
      </c>
      <c r="AF337" s="47">
        <f t="shared" si="236"/>
        <v>24.984375</v>
      </c>
      <c r="AG337" s="45">
        <f t="shared" si="259"/>
        <v>148</v>
      </c>
      <c r="AH337" s="45"/>
      <c r="AI337" s="45">
        <f>('[2]Renewable Diesel'!H346*'[2]RD Feedstock Breakdown'!AI$3*'[2]Feedstock Conversion Rates'!B$6)/12-130-20+51-49</f>
        <v>0.51666666666667993</v>
      </c>
      <c r="AJ337" s="47">
        <f t="shared" si="278"/>
        <v>148.51666666666668</v>
      </c>
      <c r="AK337" s="45">
        <f>('[2]Renewable Diesel'!J346*'[2]RD Feedstock Breakdown'!AK$3*'[2]Feedstock Conversion Rates'!B$4)/12</f>
        <v>95.8125</v>
      </c>
      <c r="AL337" s="47">
        <f t="shared" si="280"/>
        <v>95.8125</v>
      </c>
      <c r="AM337" s="45">
        <f>('[2]Renewable Diesel'!K346*'[2]RD Feedstock Breakdown'!AM$3*'[2]Feedstock Conversion Rates'!B$4)/12+5+15-10+10</f>
        <v>78.59375</v>
      </c>
      <c r="AN337" s="45">
        <f>('[2]Renewable Diesel'!K346*'[2]RD Feedstock Breakdown'!AN$3*'[2]Feedstock Conversion Rates'!B$6)/12-5-15+10-10</f>
        <v>4.4270833333333321</v>
      </c>
      <c r="AO337" s="47">
        <f t="shared" si="295"/>
        <v>83.020833333333329</v>
      </c>
      <c r="AP337" s="45">
        <f>('[2]Renewable Diesel'!L346*'[2]RD Feedstock Breakdown'!AP$3*'[2]Feedstock Conversion Rates'!B$4)/12+15-10+15</f>
        <v>78.59375</v>
      </c>
      <c r="AQ337" s="45">
        <f>('[2]Renewable Diesel'!L346*'[2]RD Feedstock Breakdown'!AQ$3*'[2]Feedstock Conversion Rates'!B$6)/12-15+10-15</f>
        <v>4.4270833333333321</v>
      </c>
      <c r="AR337" s="47">
        <f t="shared" si="285"/>
        <v>83.020833333333329</v>
      </c>
      <c r="AS337" s="45">
        <f>('[2]Renewable Diesel'!M346*'[2]RD Feedstock Breakdown'!AS$3*'[2]Feedstock Conversion Rates'!B$4)/12</f>
        <v>456.25</v>
      </c>
      <c r="AT337" s="45">
        <f>('[2]Renewable Diesel'!M346*'[2]RD Feedstock Breakdown'!AT$3*'[2]Feedstock Conversion Rates'!B$5)/12</f>
        <v>0</v>
      </c>
      <c r="AU337" s="47">
        <f t="shared" si="244"/>
        <v>456.25</v>
      </c>
      <c r="AV337" s="45">
        <f>'[2]Renewable Diesel'!N346*'[2]RD Feedstock Breakdown'!$AV$3*'[2]Feedstock Conversion Rates'!$B$4/12-15-10+25+25-22+25</f>
        <v>106.74999999999999</v>
      </c>
      <c r="AW337" s="45">
        <f>'[2]Renewable Diesel'!N346*'[2]RD Feedstock Breakdown'!$AW$3*'[2]Feedstock Conversion Rates'!$B$7/12+15+10-25-25+22-25</f>
        <v>13.400000000000006</v>
      </c>
      <c r="AX337" s="47">
        <f t="shared" si="272"/>
        <v>120.14999999999999</v>
      </c>
      <c r="AY337" s="45">
        <f>('[2]Renewable Diesel'!O346*'[2]RD Feedstock Breakdown'!AY$3*'[2]Feedstock Conversion Rates'!B$4)/12</f>
        <v>210.9375</v>
      </c>
      <c r="AZ337" s="45">
        <f>('[2]Renewable Diesel'!O346*'[2]RD Feedstock Breakdown'!AZ$3*'[2]Feedstock Conversion Rates'!B$3)/12</f>
        <v>25.03125</v>
      </c>
      <c r="BA337" s="47">
        <f t="shared" si="255"/>
        <v>235.96875</v>
      </c>
      <c r="BB337" s="45">
        <f>('[2]Renewable Diesel'!Q346*'[2]RD Feedstock Breakdown'!BB$3*'[2]Feedstock Conversion Rates'!B$4)/12</f>
        <v>11.156249999999998</v>
      </c>
      <c r="BC337" s="45">
        <f>('[2]Renewable Diesel'!Q346*'[2]RD Feedstock Breakdown'!BC$3*'[2]Feedstock Conversion Rates'!B$3)/12</f>
        <v>1.4017500000000001</v>
      </c>
      <c r="BD337" s="45">
        <f>('[2]Renewable Diesel'!Q346*'[2]RD Feedstock Breakdown'!BD$3*'[2]Feedstock Conversion Rates'!B$6)/12</f>
        <v>0.8207500000000002</v>
      </c>
      <c r="BE337" s="47">
        <f t="shared" si="303"/>
        <v>13.378749999999998</v>
      </c>
      <c r="BF337" s="45">
        <f>('[2]Renewable Diesel'!R346*'[2]RD Feedstock Breakdown'!BF$3*'[2]Feedstock Conversion Rates'!B$4)/12</f>
        <v>62.5</v>
      </c>
      <c r="BG337" s="47">
        <f t="shared" si="289"/>
        <v>62.5</v>
      </c>
      <c r="BH337" s="45">
        <f>('[2]Renewable Diesel'!T346*'[2]RD Feedstock Breakdown'!BH$3*'[2]Feedstock Conversion Rates'!B$7)/12</f>
        <v>27.599999999999998</v>
      </c>
      <c r="BI337" s="47">
        <f t="shared" si="277"/>
        <v>27.599999999999998</v>
      </c>
      <c r="BJ337" s="45">
        <f>('[2]Renewable Diesel'!W346*'[2]RD Feedstock Breakdown'!BJ$3*'[2]Feedstock Conversion Rates'!B$4)/12</f>
        <v>7.5</v>
      </c>
      <c r="BK337" s="45">
        <f>('[2]Renewable Diesel'!W346*'[2]RD Feedstock Breakdown'!BK$3*'[2]Feedstock Conversion Rates'!B$3)/12</f>
        <v>1.335</v>
      </c>
      <c r="BL337" s="45">
        <f>('[2]Renewable Diesel'!W346*'[2]RD Feedstock Breakdown'!BL$3*'[2]Feedstock Conversion Rates'!B$6)/12</f>
        <v>3.1266666666666669</v>
      </c>
      <c r="BM337" s="45">
        <f>('[2]Renewable Diesel'!W346*'[2]RD Feedstock Breakdown'!BM$3*'[2]Feedstock Conversion Rates'!B$7)/12</f>
        <v>1.5333333333333332</v>
      </c>
      <c r="BN337" s="47">
        <f t="shared" si="248"/>
        <v>13.495000000000001</v>
      </c>
      <c r="BO337" s="45">
        <f>('[2]Renewable Diesel'!P346*'[2]Feedstock Conversion Rates'!B$4)/12</f>
        <v>31.25</v>
      </c>
      <c r="BP337" s="47">
        <f t="shared" si="237"/>
        <v>31.25</v>
      </c>
      <c r="BQ337" s="45">
        <f>('[2]Renewable Diesel'!$S346*'[2]RD Feedstock Breakdown'!BQ$3*'[2]Feedstock Conversion Rates'!B$4)/12+10+15-15</f>
        <v>38.125</v>
      </c>
      <c r="BR337" s="45">
        <f>('[2]Renewable Diesel'!$S346*'[2]RD Feedstock Breakdown'!BR$3*'[2]Feedstock Conversion Rates'!B$7)/12-10-15+15</f>
        <v>1.5</v>
      </c>
      <c r="BS337" s="47">
        <f t="shared" si="260"/>
        <v>39.625</v>
      </c>
      <c r="BT337" s="47"/>
      <c r="BU337" s="45">
        <f>('[2]Renewable Diesel'!Y346*'[2]Feedstock Conversion Rates'!B$7)/12</f>
        <v>2.6833333333333331</v>
      </c>
      <c r="BV337" s="47">
        <f t="shared" ref="BV337:BV375" si="305">BU337</f>
        <v>2.6833333333333331</v>
      </c>
      <c r="BW337" s="45">
        <f>('[2]Renewable Diesel'!$Z346*'[2]RD Feedstock Breakdown'!BW$3*'[2]Feedstock Conversion Rates'!$B$4)/12-180+110</f>
        <v>1.875</v>
      </c>
      <c r="BX337" s="45">
        <f>('[2]Renewable Diesel'!$Z346*'[2]RD Feedstock Breakdown'!BX$3*'[2]Feedstock Conversion Rates'!$B$5)/12</f>
        <v>7.2354166666666666</v>
      </c>
      <c r="BY337" s="45">
        <f>('[2]Renewable Diesel'!$Z346*'[2]RD Feedstock Breakdown'!BY$3*'[2]Feedstock Conversion Rates'!$B$7)/12</f>
        <v>61.716666666666661</v>
      </c>
      <c r="BZ337" s="45">
        <f>('[2]Renewable Diesel'!$Z346*'[2]RD Feedstock Breakdown'!BZ$3*'[2]Feedstock Conversion Rates'!$B$3)/12+180-110</f>
        <v>85.352499999999992</v>
      </c>
      <c r="CA337" s="47">
        <f t="shared" si="262"/>
        <v>156.17958333333331</v>
      </c>
      <c r="CB337" s="45">
        <f>('[2]Renewable Diesel'!AA346*'[2]Feedstock Conversion Rates'!B$4)/12</f>
        <v>191.25</v>
      </c>
      <c r="CC337" s="47">
        <f t="shared" si="250"/>
        <v>191.25</v>
      </c>
      <c r="CD337" s="45">
        <f>('[2]Renewable Diesel'!$AB346*'[2]RD Feedstock Breakdown'!CD$3*'[2]Feedstock Conversion Rates'!$B$6)/12-15-5</f>
        <v>12.830000000000005</v>
      </c>
      <c r="CE337" s="45">
        <f>('[2]Renewable Diesel'!$AB346*'[2]RD Feedstock Breakdown'!CE$3*'[2]Feedstock Conversion Rates'!$B$4)/12+15+5</f>
        <v>31.25</v>
      </c>
      <c r="CF337" s="47">
        <f t="shared" si="247"/>
        <v>44.080000000000005</v>
      </c>
      <c r="CG337" s="45">
        <f>('[2]Renewable Diesel'!AD346*'[2]Feedstock Conversion Rates'!B$4)/12</f>
        <v>112.5</v>
      </c>
      <c r="CH337" s="47">
        <f t="shared" si="302"/>
        <v>112.5</v>
      </c>
      <c r="CI337" s="45">
        <f>('[2]Renewable Diesel'!$AE346*'[2]RD Feedstock Breakdown'!CI$3*'[2]Feedstock Conversion Rates'!$B$5)/12</f>
        <v>0.34604166666666664</v>
      </c>
      <c r="CJ337" s="45">
        <f>('[2]Renewable Diesel'!$AE346*'[2]RD Feedstock Breakdown'!CJ$3*'[2]Feedstock Conversion Rates'!$B$4)/12</f>
        <v>0.34375</v>
      </c>
      <c r="CK337" s="47">
        <f t="shared" si="238"/>
        <v>0.68979166666666658</v>
      </c>
      <c r="CL337" s="45">
        <f>(((CL$3*'[2]Renewable Diesel'!$AF346)*'[2]Feedstock Conversion Rates'!$B$3)/12)</f>
        <v>91.78125</v>
      </c>
      <c r="CM337" s="45">
        <f>(((CM$3*'[2]Renewable Diesel'!$AF346)*'[2]Feedstock Conversion Rates'!$B$6)/12)</f>
        <v>53.739583333333336</v>
      </c>
      <c r="CN337" s="45">
        <f>(((CN$3*'[2]Renewable Diesel'!$AF346)*'[2]Feedstock Conversion Rates'!$B$4)/12)</f>
        <v>42.96875</v>
      </c>
      <c r="CO337" s="47">
        <f t="shared" si="304"/>
        <v>188.48958333333334</v>
      </c>
      <c r="CP337" s="45">
        <f>('[2]Renewable Diesel'!$AG346*'[2]RD Feedstock Breakdown'!CP$3*'[2]Feedstock Conversion Rates'!$B$3)/12</f>
        <v>6.0075000000000003</v>
      </c>
      <c r="CQ337" s="45">
        <f>('[2]Renewable Diesel'!$AG346*'[2]RD Feedstock Breakdown'!CQ$3*'[2]Feedstock Conversion Rates'!$B$6)/12</f>
        <v>3.5175000000000001</v>
      </c>
      <c r="CR337" s="45">
        <f>('[2]Renewable Diesel'!$AG346*'[2]RD Feedstock Breakdown'!CR$3*'[2]Feedstock Conversion Rates'!$B$4)/12</f>
        <v>2.8125</v>
      </c>
      <c r="CS337" s="47">
        <f t="shared" si="267"/>
        <v>12.3375</v>
      </c>
      <c r="CT337" s="45">
        <f>('[2]Renewable Diesel'!AI346*'[2]Feedstock Conversion Rates'!$B$4*'[2]RD Feedstock Breakdown'!$CT$3)/12</f>
        <v>29.375</v>
      </c>
      <c r="CU337" s="47">
        <f t="shared" si="234"/>
        <v>29.375</v>
      </c>
      <c r="CV337" s="45">
        <f>('[2]Renewable Diesel'!AN346*'[2]Feedstock Conversion Rates'!$B$3*'[2]RD Feedstock Breakdown'!$CV$3)/12</f>
        <v>0.50062499999999999</v>
      </c>
      <c r="CW337" s="47">
        <f t="shared" si="284"/>
        <v>0.50062499999999999</v>
      </c>
      <c r="CX337" s="45">
        <f>('[2]Renewable Diesel'!AO346*'[2]RD Feedstock Breakdown'!$CX$3*'[2]Feedstock Conversion Rates'!$B$3)/12</f>
        <v>6.3412499999999996</v>
      </c>
      <c r="CY337" s="45">
        <f>('[2]Renewable Diesel'!AO346*'[2]RD Feedstock Breakdown'!$CY$3*'[2]Feedstock Conversion Rates'!$B$6)/12</f>
        <v>7.4258333333333342</v>
      </c>
      <c r="CZ337" s="47">
        <f t="shared" si="268"/>
        <v>13.767083333333334</v>
      </c>
      <c r="DA337" s="45">
        <f>('[2]Renewable Diesel'!$AP346*'[2]RD Feedstock Breakdown'!DA$3*'[2]Feedstock Conversion Rates'!$B$3)/12</f>
        <v>6.3412499999999996</v>
      </c>
      <c r="DB337" s="45">
        <f>('[2]Renewable Diesel'!$AP346*'[2]RD Feedstock Breakdown'!DB$3*'[2]Feedstock Conversion Rates'!$B$8)/12</f>
        <v>7.421875</v>
      </c>
      <c r="DC337" s="47">
        <f t="shared" si="287"/>
        <v>13.763124999999999</v>
      </c>
      <c r="DD337" s="45">
        <f>('[2]Renewable Diesel'!AQ346*$DD$3*'[2]Feedstock Conversion Rates'!$B$14)/12</f>
        <v>3.1041666666666665</v>
      </c>
      <c r="DE337" s="47">
        <f t="shared" si="288"/>
        <v>3.1041666666666665</v>
      </c>
      <c r="DF337" s="45">
        <f>('[2]Renewable Diesel'!AR346*'[2]Feedstock Conversion Rates'!$B$4*$DF$3)/12</f>
        <v>75</v>
      </c>
      <c r="DG337" s="47">
        <f t="shared" si="269"/>
        <v>75</v>
      </c>
      <c r="DH337" s="45">
        <f>('[2]Renewable Diesel'!AS346*'[2]Feedstock Conversion Rates'!$B$4*$DH$3)/12</f>
        <v>75</v>
      </c>
      <c r="DI337" s="47">
        <f t="shared" si="273"/>
        <v>75</v>
      </c>
      <c r="DJ337" s="45">
        <f>('[2]Renewable Diesel'!AT346*'[2]Feedstock Conversion Rates'!$B$4*0.25)/12</f>
        <v>8.59375</v>
      </c>
      <c r="DK337" s="45">
        <f>('[2]Renewable Diesel'!$AT346*'[2]RD Feedstock Breakdown'!DK$3*'[2]Feedstock Conversion Rates'!$B$3)/12*0.5</f>
        <v>9.1781249999999996</v>
      </c>
      <c r="DL337" s="45">
        <f>('[2]Renewable Diesel'!$AT346*'[2]RD Feedstock Breakdown'!$DL$3*'[2]Feedstock Conversion Rates'!$B$6)/12</f>
        <v>10.747916666666669</v>
      </c>
      <c r="DM337" s="45">
        <f>('[2]Renewable Diesel'!$AT346*'[2]RD Feedstock Breakdown'!$DM$3*'[2]Feedstock Conversion Rates'!$B$8)/12</f>
        <v>10.7421875</v>
      </c>
      <c r="DN337" s="47">
        <f t="shared" si="249"/>
        <v>39.26197916666667</v>
      </c>
      <c r="DP337" s="45">
        <f t="shared" si="290"/>
        <v>48.220250000000007</v>
      </c>
      <c r="DQ337" s="45">
        <f t="shared" si="291"/>
        <v>374.11776750000001</v>
      </c>
      <c r="DR337" s="45">
        <f t="shared" si="296"/>
        <v>1951.953125</v>
      </c>
      <c r="DS337" s="45">
        <f t="shared" si="235"/>
        <v>228.90125</v>
      </c>
      <c r="DT337" s="45">
        <f t="shared" si="292"/>
        <v>233.03923333333344</v>
      </c>
      <c r="DU337" s="45">
        <f t="shared" si="293"/>
        <v>367.90610000000009</v>
      </c>
      <c r="DV337" s="45">
        <f t="shared" si="297"/>
        <v>78.75</v>
      </c>
      <c r="DW337" s="45">
        <f t="shared" si="294"/>
        <v>3</v>
      </c>
      <c r="DX337" s="47">
        <f t="shared" si="298"/>
        <v>3285.8877258333337</v>
      </c>
      <c r="DY337" s="50">
        <f t="shared" si="286"/>
        <v>-5.631051180898794E-13</v>
      </c>
      <c r="EA337" s="51">
        <f t="shared" si="263"/>
        <v>1.4674953626959629E-2</v>
      </c>
      <c r="EB337" s="51">
        <f t="shared" si="263"/>
        <v>0.1138559192265524</v>
      </c>
      <c r="EC337" s="51">
        <f t="shared" si="263"/>
        <v>0.59404133307840434</v>
      </c>
      <c r="ED337" s="51">
        <f t="shared" si="261"/>
        <v>6.9661920643362324E-2</v>
      </c>
      <c r="EE337" s="51">
        <f t="shared" si="261"/>
        <v>7.0921240400638574E-2</v>
      </c>
      <c r="EF337" s="51">
        <f t="shared" si="261"/>
        <v>0.11196551151384683</v>
      </c>
      <c r="EG337" s="51">
        <f t="shared" si="261"/>
        <v>2.3966126225456536E-2</v>
      </c>
      <c r="EH337" s="52">
        <f t="shared" si="299"/>
        <v>9.1299528477929671E-4</v>
      </c>
      <c r="EI337" s="51">
        <f t="shared" si="271"/>
        <v>0.99908700471522072</v>
      </c>
      <c r="EK337" s="53">
        <f>(EA337*'[2]Renewable Diesel'!BF346*'[2]Feedstock Conversion Rates'!B$2)+FB337</f>
        <v>131.92129320758681</v>
      </c>
      <c r="EL337" s="53">
        <f>(EB337*'[2]Renewable Diesel'!BF346*'[2]Feedstock Conversion Rates'!B$3)+FC337</f>
        <v>964.51140365129152</v>
      </c>
      <c r="EM337" s="53">
        <f>(EC337*'[2]Renewable Diesel'!BF346*'[2]Feedstock Conversion Rates'!B$4)+FD337</f>
        <v>4711.9119261389815</v>
      </c>
      <c r="EN337" s="53">
        <f>(ED337*'[2]Renewable Diesel'!BF346*'[2]Feedstock Conversion Rates'!B$5)+FE337</f>
        <v>556.23925223529193</v>
      </c>
      <c r="EO337" s="53">
        <f>(EE337*'[2]Renewable Diesel'!BF346*'[2]Feedstock Conversion Rates'!B$6)+FF337</f>
        <v>703.55555732444031</v>
      </c>
      <c r="EP337" s="53">
        <f>(EF337*'[2]Renewable Diesel'!BF346*'[2]Feedstock Conversion Rates'!B$7)+FG337</f>
        <v>1089.4099375917056</v>
      </c>
      <c r="EQ337" s="53">
        <f>(EG337*'[2]Renewable Diesel'!BF346*'[2]Feedstock Conversion Rates'!B$8)+FH337</f>
        <v>237.62293483830763</v>
      </c>
      <c r="ER337" s="53">
        <f>(EH337*'[2]Renewable Diesel'!BF346*'[2]Feedstock Conversion Rates'!B$9)+FI337</f>
        <v>8.9316049158271831</v>
      </c>
      <c r="ES337" s="53">
        <f t="shared" si="300"/>
        <v>8404.1039099034333</v>
      </c>
      <c r="ET337" s="36">
        <f>ES337/'[2]Renewable Diesel'!BF346</f>
        <v>7.9464320984125045</v>
      </c>
    </row>
    <row r="338" spans="1:150" x14ac:dyDescent="0.25">
      <c r="A338" s="39">
        <v>50710</v>
      </c>
      <c r="B338" s="45">
        <f t="shared" ref="B338:B348" si="306">115.75+145+100+235+31.5-21-287-20-28-32-70-39-47+40+20-3-10-25-1</f>
        <v>104.25</v>
      </c>
      <c r="C338" s="45">
        <f t="shared" si="251"/>
        <v>49</v>
      </c>
      <c r="D338" s="45">
        <f t="shared" ref="D338:D348" si="307">1+1</f>
        <v>2</v>
      </c>
      <c r="E338" s="45">
        <f>('[2]Renewable Diesel'!B347*E$3*'[2]Feedstock Conversion Rates'!$B$2)/12+26+13-100+27.5+39</f>
        <v>95.43</v>
      </c>
      <c r="F338" s="45">
        <f>('[2]Renewable Diesel'!B347*'[2]RD Feedstock Breakdown'!F$3*'[2]Feedstock Conversion Rates'!B$8)/12+77+23-10-12-115.75+24+8</f>
        <v>48.15625</v>
      </c>
      <c r="G338" s="45">
        <f>('[2]Renewable Diesel'!B347*'[2]RD Feedstock Breakdown'!G$3*'[2]Feedstock Conversion Rates'!B$7)/12+116.75-39-57.5-145-31.5+32+70-40+10+25</f>
        <v>116.90700000000004</v>
      </c>
      <c r="H338" s="45">
        <f>('[2]Renewable Diesel'!B347*'[2]RD Feedstock Breakdown'!H$3*'[2]Feedstock Conversion Rates'!B$3)/12+67+10+12+3-235+20+47-20</f>
        <v>80.400224999999978</v>
      </c>
      <c r="I338" s="47">
        <f t="shared" si="245"/>
        <v>496.14347500000002</v>
      </c>
      <c r="J338" s="45">
        <f t="shared" si="281"/>
        <v>4</v>
      </c>
      <c r="K338" s="45"/>
      <c r="L338" s="45">
        <v>1</v>
      </c>
      <c r="M338" s="45">
        <f>('[2]Renewable Diesel'!C347*'[2]RD Feedstock Breakdown'!M$3*'[2]Feedstock Conversion Rates'!B$2)/12-55</f>
        <v>-47.20975</v>
      </c>
      <c r="N338" s="45">
        <f>('[2]Renewable Diesel'!C347*'[2]RD Feedstock Breakdown'!N$3*'[2]Feedstock Conversion Rates'!B$8)/12</f>
        <v>3.671875</v>
      </c>
      <c r="O338" s="45">
        <f>('[2]Renewable Diesel'!C347*'[2]RD Feedstock Breakdown'!O$3*'[2]Feedstock Conversion Rates'!B$7)/12</f>
        <v>11.9991</v>
      </c>
      <c r="P338" s="45">
        <f>('[2]Renewable Diesel'!C347*'[2]RD Feedstock Breakdown'!P$3*'[2]Feedstock Conversion Rates'!B$3)/12+15+35</f>
        <v>60.447042500000002</v>
      </c>
      <c r="Q338" s="47">
        <f t="shared" si="252"/>
        <v>33.908267500000001</v>
      </c>
      <c r="R338" s="45">
        <f>('[2]Renewable Diesel'!D347*'[2]RD Feedstock Breakdown'!R$3*'[2]Feedstock Conversion Rates'!B$7)/12</f>
        <v>2.2999999999999998</v>
      </c>
      <c r="S338" s="47">
        <f t="shared" si="279"/>
        <v>2.2999999999999998</v>
      </c>
      <c r="T338" s="45">
        <f t="shared" si="253"/>
        <v>0.82499999999999929</v>
      </c>
      <c r="U338" s="45"/>
      <c r="V338" s="45">
        <f>('[2]Renewable Diesel'!E347*'[2]RD Feedstock Breakdown'!V$3*'[2]Feedstock Conversion Rates'!B$6)/12-20+25</f>
        <v>49.250150000000012</v>
      </c>
      <c r="W338" s="45">
        <f>('[2]Renewable Diesel'!E347*'[2]RD Feedstock Breakdown'!W$3*'[2]Feedstock Conversion Rates'!B$8)/12-6</f>
        <v>16.1796875</v>
      </c>
      <c r="X338" s="47">
        <f t="shared" si="301"/>
        <v>66.254837500000008</v>
      </c>
      <c r="Y338" s="45">
        <f t="shared" si="254"/>
        <v>98</v>
      </c>
      <c r="Z338" s="45">
        <f>('[2]Renewable Diesel'!F347*'[2]RD Feedstock Breakdown'!Z$3*'[2]Feedstock Conversion Rates'!B$6)/12-142+15+5+20+5+5</f>
        <v>67.460000000000008</v>
      </c>
      <c r="AA338" s="45">
        <f>('[2]Renewable Diesel'!F347*'[2]RD Feedstock Breakdown'!AA$3*'[2]Feedstock Conversion Rates'!B$7)/12+24</f>
        <v>128.26666666666665</v>
      </c>
      <c r="AB338" s="47">
        <f t="shared" si="270"/>
        <v>293.72666666666669</v>
      </c>
      <c r="AC338" s="45">
        <f>('[2]Renewable Diesel'!G347*'[2]RD Feedstock Breakdown'!AC$3*'[2]Feedstock Conversion Rates'!B$5)/12</f>
        <v>11.796875</v>
      </c>
      <c r="AD338" s="45">
        <f>('[2]Renewable Diesel'!G347*'[2]RD Feedstock Breakdown'!AD$3*'[2]Feedstock Conversion Rates'!B$4)/12</f>
        <v>5.859375</v>
      </c>
      <c r="AE338" s="45">
        <f>('[2]Renewable Diesel'!G347*'[2]RD Feedstock Breakdown'!AE$3*'[2]Feedstock Conversion Rates'!B$6)/12</f>
        <v>7.3281250000000009</v>
      </c>
      <c r="AF338" s="47">
        <f t="shared" si="236"/>
        <v>24.984375</v>
      </c>
      <c r="AG338" s="45">
        <f t="shared" si="259"/>
        <v>148</v>
      </c>
      <c r="AH338" s="45"/>
      <c r="AI338" s="45">
        <f>('[2]Renewable Diesel'!H347*'[2]RD Feedstock Breakdown'!AI$3*'[2]Feedstock Conversion Rates'!B$6)/12-130-20+51-49</f>
        <v>0.51666666666667993</v>
      </c>
      <c r="AJ338" s="47">
        <f t="shared" si="278"/>
        <v>148.51666666666668</v>
      </c>
      <c r="AK338" s="45">
        <f>('[2]Renewable Diesel'!J347*'[2]RD Feedstock Breakdown'!AK$3*'[2]Feedstock Conversion Rates'!B$4)/12</f>
        <v>95.8125</v>
      </c>
      <c r="AL338" s="47">
        <f t="shared" si="280"/>
        <v>95.8125</v>
      </c>
      <c r="AM338" s="45">
        <f>('[2]Renewable Diesel'!K347*'[2]RD Feedstock Breakdown'!AM$3*'[2]Feedstock Conversion Rates'!B$4)/12+5+15-10+10</f>
        <v>78.59375</v>
      </c>
      <c r="AN338" s="45">
        <f>('[2]Renewable Diesel'!K347*'[2]RD Feedstock Breakdown'!AN$3*'[2]Feedstock Conversion Rates'!B$6)/12-5-15+10-10</f>
        <v>4.4270833333333321</v>
      </c>
      <c r="AO338" s="47">
        <f t="shared" si="295"/>
        <v>83.020833333333329</v>
      </c>
      <c r="AP338" s="45">
        <f>('[2]Renewable Diesel'!L347*'[2]RD Feedstock Breakdown'!AP$3*'[2]Feedstock Conversion Rates'!B$4)/12+15-10+15</f>
        <v>78.59375</v>
      </c>
      <c r="AQ338" s="45">
        <f>('[2]Renewable Diesel'!L347*'[2]RD Feedstock Breakdown'!AQ$3*'[2]Feedstock Conversion Rates'!B$6)/12-15+10-15</f>
        <v>4.4270833333333321</v>
      </c>
      <c r="AR338" s="47">
        <f t="shared" si="285"/>
        <v>83.020833333333329</v>
      </c>
      <c r="AS338" s="45">
        <f>('[2]Renewable Diesel'!M347*'[2]RD Feedstock Breakdown'!AS$3*'[2]Feedstock Conversion Rates'!B$4)/12</f>
        <v>456.25</v>
      </c>
      <c r="AT338" s="45">
        <f>('[2]Renewable Diesel'!M347*'[2]RD Feedstock Breakdown'!AT$3*'[2]Feedstock Conversion Rates'!B$5)/12</f>
        <v>0</v>
      </c>
      <c r="AU338" s="47">
        <f t="shared" si="244"/>
        <v>456.25</v>
      </c>
      <c r="AV338" s="45">
        <f>'[2]Renewable Diesel'!N347*'[2]RD Feedstock Breakdown'!$AV$3*'[2]Feedstock Conversion Rates'!$B$4/12-15-10+25+25-22+25</f>
        <v>106.74999999999999</v>
      </c>
      <c r="AW338" s="45">
        <f>'[2]Renewable Diesel'!N347*'[2]RD Feedstock Breakdown'!$AW$3*'[2]Feedstock Conversion Rates'!$B$7/12+15+10-25-25+22-25</f>
        <v>13.400000000000006</v>
      </c>
      <c r="AX338" s="47">
        <f t="shared" si="272"/>
        <v>120.14999999999999</v>
      </c>
      <c r="AY338" s="45">
        <f>('[2]Renewable Diesel'!O347*'[2]RD Feedstock Breakdown'!AY$3*'[2]Feedstock Conversion Rates'!B$4)/12</f>
        <v>210.9375</v>
      </c>
      <c r="AZ338" s="45">
        <f>('[2]Renewable Diesel'!O347*'[2]RD Feedstock Breakdown'!AZ$3*'[2]Feedstock Conversion Rates'!B$3)/12</f>
        <v>25.03125</v>
      </c>
      <c r="BA338" s="47">
        <f t="shared" si="255"/>
        <v>235.96875</v>
      </c>
      <c r="BB338" s="45">
        <f>('[2]Renewable Diesel'!Q347*'[2]RD Feedstock Breakdown'!BB$3*'[2]Feedstock Conversion Rates'!B$4)/12</f>
        <v>11.156249999999998</v>
      </c>
      <c r="BC338" s="45">
        <f>('[2]Renewable Diesel'!Q347*'[2]RD Feedstock Breakdown'!BC$3*'[2]Feedstock Conversion Rates'!B$3)/12</f>
        <v>1.4017500000000001</v>
      </c>
      <c r="BD338" s="45">
        <f>('[2]Renewable Diesel'!Q347*'[2]RD Feedstock Breakdown'!BD$3*'[2]Feedstock Conversion Rates'!B$6)/12</f>
        <v>0.8207500000000002</v>
      </c>
      <c r="BE338" s="47">
        <f t="shared" si="303"/>
        <v>13.378749999999998</v>
      </c>
      <c r="BF338" s="45">
        <f>('[2]Renewable Diesel'!R347*'[2]RD Feedstock Breakdown'!BF$3*'[2]Feedstock Conversion Rates'!B$4)/12</f>
        <v>62.5</v>
      </c>
      <c r="BG338" s="47">
        <f t="shared" si="289"/>
        <v>62.5</v>
      </c>
      <c r="BH338" s="45">
        <f>('[2]Renewable Diesel'!T347*'[2]RD Feedstock Breakdown'!BH$3*'[2]Feedstock Conversion Rates'!B$7)/12</f>
        <v>27.599999999999998</v>
      </c>
      <c r="BI338" s="47">
        <f t="shared" si="277"/>
        <v>27.599999999999998</v>
      </c>
      <c r="BJ338" s="45">
        <f>('[2]Renewable Diesel'!W347*'[2]RD Feedstock Breakdown'!BJ$3*'[2]Feedstock Conversion Rates'!B$4)/12</f>
        <v>7.5</v>
      </c>
      <c r="BK338" s="45">
        <f>('[2]Renewable Diesel'!W347*'[2]RD Feedstock Breakdown'!BK$3*'[2]Feedstock Conversion Rates'!B$3)/12</f>
        <v>1.335</v>
      </c>
      <c r="BL338" s="45">
        <f>('[2]Renewable Diesel'!W347*'[2]RD Feedstock Breakdown'!BL$3*'[2]Feedstock Conversion Rates'!B$6)/12</f>
        <v>3.1266666666666669</v>
      </c>
      <c r="BM338" s="45">
        <f>('[2]Renewable Diesel'!W347*'[2]RD Feedstock Breakdown'!BM$3*'[2]Feedstock Conversion Rates'!B$7)/12</f>
        <v>1.5333333333333332</v>
      </c>
      <c r="BN338" s="47">
        <f t="shared" si="248"/>
        <v>13.495000000000001</v>
      </c>
      <c r="BO338" s="45">
        <f>('[2]Renewable Diesel'!P347*'[2]Feedstock Conversion Rates'!B$4)/12</f>
        <v>31.25</v>
      </c>
      <c r="BP338" s="47">
        <f t="shared" si="237"/>
        <v>31.25</v>
      </c>
      <c r="BQ338" s="45">
        <f>('[2]Renewable Diesel'!$S347*'[2]RD Feedstock Breakdown'!BQ$3*'[2]Feedstock Conversion Rates'!B$4)/12+10+15-15</f>
        <v>38.125</v>
      </c>
      <c r="BR338" s="45">
        <f>('[2]Renewable Diesel'!$S347*'[2]RD Feedstock Breakdown'!BR$3*'[2]Feedstock Conversion Rates'!B$7)/12-10-15+15</f>
        <v>1.5</v>
      </c>
      <c r="BS338" s="47">
        <f t="shared" si="260"/>
        <v>39.625</v>
      </c>
      <c r="BT338" s="47"/>
      <c r="BU338" s="45">
        <f>('[2]Renewable Diesel'!Y347*'[2]Feedstock Conversion Rates'!B$7)/12</f>
        <v>2.6833333333333331</v>
      </c>
      <c r="BV338" s="47">
        <f t="shared" si="305"/>
        <v>2.6833333333333331</v>
      </c>
      <c r="BW338" s="45">
        <f>('[2]Renewable Diesel'!$Z347*'[2]RD Feedstock Breakdown'!BW$3*'[2]Feedstock Conversion Rates'!$B$4)/12-180+110</f>
        <v>1.875</v>
      </c>
      <c r="BX338" s="45">
        <f>('[2]Renewable Diesel'!$Z347*'[2]RD Feedstock Breakdown'!BX$3*'[2]Feedstock Conversion Rates'!$B$5)/12</f>
        <v>7.2354166666666666</v>
      </c>
      <c r="BY338" s="45">
        <f>('[2]Renewable Diesel'!$Z347*'[2]RD Feedstock Breakdown'!BY$3*'[2]Feedstock Conversion Rates'!$B$7)/12</f>
        <v>61.716666666666661</v>
      </c>
      <c r="BZ338" s="45">
        <f>('[2]Renewable Diesel'!$Z347*'[2]RD Feedstock Breakdown'!BZ$3*'[2]Feedstock Conversion Rates'!$B$3)/12+180-110</f>
        <v>85.352499999999992</v>
      </c>
      <c r="CA338" s="47">
        <f t="shared" si="262"/>
        <v>156.17958333333331</v>
      </c>
      <c r="CB338" s="45">
        <f>('[2]Renewable Diesel'!AA347*'[2]Feedstock Conversion Rates'!B$4)/12</f>
        <v>191.25</v>
      </c>
      <c r="CC338" s="47">
        <f t="shared" si="250"/>
        <v>191.25</v>
      </c>
      <c r="CD338" s="45">
        <f>('[2]Renewable Diesel'!$AB347*'[2]RD Feedstock Breakdown'!CD$3*'[2]Feedstock Conversion Rates'!$B$6)/12-15-5</f>
        <v>12.830000000000005</v>
      </c>
      <c r="CE338" s="45">
        <f>('[2]Renewable Diesel'!$AB347*'[2]RD Feedstock Breakdown'!CE$3*'[2]Feedstock Conversion Rates'!$B$4)/12+15+5</f>
        <v>31.25</v>
      </c>
      <c r="CF338" s="47">
        <f t="shared" si="247"/>
        <v>44.080000000000005</v>
      </c>
      <c r="CG338" s="45">
        <f>('[2]Renewable Diesel'!AD347*'[2]Feedstock Conversion Rates'!B$4)/12</f>
        <v>112.5</v>
      </c>
      <c r="CH338" s="47">
        <f t="shared" si="302"/>
        <v>112.5</v>
      </c>
      <c r="CI338" s="45">
        <f>('[2]Renewable Diesel'!$AE347*'[2]RD Feedstock Breakdown'!CI$3*'[2]Feedstock Conversion Rates'!$B$5)/12</f>
        <v>0.34604166666666664</v>
      </c>
      <c r="CJ338" s="45">
        <f>('[2]Renewable Diesel'!$AE347*'[2]RD Feedstock Breakdown'!CJ$3*'[2]Feedstock Conversion Rates'!$B$4)/12</f>
        <v>0.34375</v>
      </c>
      <c r="CK338" s="47">
        <f t="shared" si="238"/>
        <v>0.68979166666666658</v>
      </c>
      <c r="CL338" s="45">
        <f>(((CL$3*'[2]Renewable Diesel'!$AF347)*'[2]Feedstock Conversion Rates'!$B$3)/12)</f>
        <v>91.78125</v>
      </c>
      <c r="CM338" s="45">
        <f>(((CM$3*'[2]Renewable Diesel'!$AF347)*'[2]Feedstock Conversion Rates'!$B$6)/12)</f>
        <v>53.739583333333336</v>
      </c>
      <c r="CN338" s="45">
        <f>(((CN$3*'[2]Renewable Diesel'!$AF347)*'[2]Feedstock Conversion Rates'!$B$4)/12)</f>
        <v>42.96875</v>
      </c>
      <c r="CO338" s="47">
        <f t="shared" si="304"/>
        <v>188.48958333333334</v>
      </c>
      <c r="CP338" s="45">
        <f>('[2]Renewable Diesel'!$AG347*'[2]RD Feedstock Breakdown'!CP$3*'[2]Feedstock Conversion Rates'!$B$3)/12</f>
        <v>6.0075000000000003</v>
      </c>
      <c r="CQ338" s="45">
        <f>('[2]Renewable Diesel'!$AG347*'[2]RD Feedstock Breakdown'!CQ$3*'[2]Feedstock Conversion Rates'!$B$6)/12</f>
        <v>3.5175000000000001</v>
      </c>
      <c r="CR338" s="45">
        <f>('[2]Renewable Diesel'!$AG347*'[2]RD Feedstock Breakdown'!CR$3*'[2]Feedstock Conversion Rates'!$B$4)/12</f>
        <v>2.8125</v>
      </c>
      <c r="CS338" s="47">
        <f t="shared" si="267"/>
        <v>12.3375</v>
      </c>
      <c r="CT338" s="45">
        <f>('[2]Renewable Diesel'!AI347*'[2]Feedstock Conversion Rates'!$B$4*'[2]RD Feedstock Breakdown'!$CT$3)/12</f>
        <v>29.375</v>
      </c>
      <c r="CU338" s="47">
        <f t="shared" si="234"/>
        <v>29.375</v>
      </c>
      <c r="CV338" s="45">
        <f>('[2]Renewable Diesel'!AN347*'[2]Feedstock Conversion Rates'!$B$3*'[2]RD Feedstock Breakdown'!$CV$3)/12</f>
        <v>0.50062499999999999</v>
      </c>
      <c r="CW338" s="47">
        <f t="shared" si="284"/>
        <v>0.50062499999999999</v>
      </c>
      <c r="CX338" s="45">
        <f>('[2]Renewable Diesel'!AO347*'[2]RD Feedstock Breakdown'!$CX$3*'[2]Feedstock Conversion Rates'!$B$3)/12</f>
        <v>6.3412499999999996</v>
      </c>
      <c r="CY338" s="45">
        <f>('[2]Renewable Diesel'!AO347*'[2]RD Feedstock Breakdown'!$CY$3*'[2]Feedstock Conversion Rates'!$B$6)/12</f>
        <v>7.4258333333333342</v>
      </c>
      <c r="CZ338" s="47">
        <f t="shared" si="268"/>
        <v>13.767083333333334</v>
      </c>
      <c r="DA338" s="45">
        <f>('[2]Renewable Diesel'!$AP347*'[2]RD Feedstock Breakdown'!DA$3*'[2]Feedstock Conversion Rates'!$B$3)/12</f>
        <v>6.3412499999999996</v>
      </c>
      <c r="DB338" s="45">
        <f>('[2]Renewable Diesel'!$AP347*'[2]RD Feedstock Breakdown'!DB$3*'[2]Feedstock Conversion Rates'!$B$8)/12</f>
        <v>7.421875</v>
      </c>
      <c r="DC338" s="47">
        <f t="shared" si="287"/>
        <v>13.763124999999999</v>
      </c>
      <c r="DD338" s="45">
        <f>('[2]Renewable Diesel'!AQ347*$DD$3*'[2]Feedstock Conversion Rates'!$B$14)/12</f>
        <v>3.1041666666666665</v>
      </c>
      <c r="DE338" s="47">
        <f t="shared" si="288"/>
        <v>3.1041666666666665</v>
      </c>
      <c r="DF338" s="45">
        <f>('[2]Renewable Diesel'!AR347*'[2]Feedstock Conversion Rates'!$B$4*$DF$3)/12</f>
        <v>75</v>
      </c>
      <c r="DG338" s="47">
        <f t="shared" si="269"/>
        <v>75</v>
      </c>
      <c r="DH338" s="45">
        <f>('[2]Renewable Diesel'!AS347*'[2]Feedstock Conversion Rates'!$B$4*$DH$3)/12</f>
        <v>75</v>
      </c>
      <c r="DI338" s="47">
        <f t="shared" si="273"/>
        <v>75</v>
      </c>
      <c r="DJ338" s="45">
        <f>('[2]Renewable Diesel'!AT347*'[2]Feedstock Conversion Rates'!$B$4*0.25)/12</f>
        <v>8.59375</v>
      </c>
      <c r="DK338" s="45">
        <f>('[2]Renewable Diesel'!$AT347*'[2]RD Feedstock Breakdown'!DK$3*'[2]Feedstock Conversion Rates'!$B$3)/12*0.5</f>
        <v>9.1781249999999996</v>
      </c>
      <c r="DL338" s="45">
        <f>('[2]Renewable Diesel'!$AT347*'[2]RD Feedstock Breakdown'!$DL$3*'[2]Feedstock Conversion Rates'!$B$6)/12</f>
        <v>10.747916666666669</v>
      </c>
      <c r="DM338" s="45">
        <f>('[2]Renewable Diesel'!$AT347*'[2]RD Feedstock Breakdown'!$DM$3*'[2]Feedstock Conversion Rates'!$B$8)/12</f>
        <v>10.7421875</v>
      </c>
      <c r="DN338" s="47">
        <f t="shared" si="249"/>
        <v>39.26197916666667</v>
      </c>
      <c r="DP338" s="45">
        <f t="shared" si="290"/>
        <v>48.220250000000007</v>
      </c>
      <c r="DQ338" s="45">
        <f t="shared" si="291"/>
        <v>374.11776750000001</v>
      </c>
      <c r="DR338" s="45">
        <f t="shared" si="296"/>
        <v>1951.953125</v>
      </c>
      <c r="DS338" s="45">
        <f t="shared" si="235"/>
        <v>228.90125</v>
      </c>
      <c r="DT338" s="45">
        <f t="shared" si="292"/>
        <v>233.03923333333344</v>
      </c>
      <c r="DU338" s="45">
        <f t="shared" si="293"/>
        <v>367.90610000000009</v>
      </c>
      <c r="DV338" s="45">
        <f t="shared" si="297"/>
        <v>78.75</v>
      </c>
      <c r="DW338" s="45">
        <f t="shared" si="294"/>
        <v>3</v>
      </c>
      <c r="DX338" s="47">
        <f t="shared" si="298"/>
        <v>3285.8877258333337</v>
      </c>
      <c r="DY338" s="50">
        <f t="shared" si="286"/>
        <v>-5.631051180898794E-13</v>
      </c>
      <c r="EA338" s="51">
        <f t="shared" si="263"/>
        <v>1.4674953626959629E-2</v>
      </c>
      <c r="EB338" s="51">
        <f t="shared" si="263"/>
        <v>0.1138559192265524</v>
      </c>
      <c r="EC338" s="51">
        <f t="shared" si="263"/>
        <v>0.59404133307840434</v>
      </c>
      <c r="ED338" s="51">
        <f t="shared" si="261"/>
        <v>6.9661920643362324E-2</v>
      </c>
      <c r="EE338" s="51">
        <f t="shared" si="261"/>
        <v>7.0921240400638574E-2</v>
      </c>
      <c r="EF338" s="51">
        <f t="shared" si="261"/>
        <v>0.11196551151384683</v>
      </c>
      <c r="EG338" s="51">
        <f t="shared" si="261"/>
        <v>2.3966126225456536E-2</v>
      </c>
      <c r="EH338" s="52">
        <f t="shared" si="299"/>
        <v>9.1299528477929671E-4</v>
      </c>
      <c r="EI338" s="51">
        <f t="shared" si="271"/>
        <v>0.99908700471522072</v>
      </c>
      <c r="EK338" s="53">
        <f>(EA338*'[2]Renewable Diesel'!BF347*'[2]Feedstock Conversion Rates'!B$2)+FB338</f>
        <v>135.6282543814574</v>
      </c>
      <c r="EL338" s="53">
        <f>(EB338*'[2]Renewable Diesel'!BF347*'[2]Feedstock Conversion Rates'!B$3)+FC338</f>
        <v>991.61397548148591</v>
      </c>
      <c r="EM338" s="53">
        <f>(EC338*'[2]Renewable Diesel'!BF347*'[2]Feedstock Conversion Rates'!B$4)+FD338</f>
        <v>4844.3156809855145</v>
      </c>
      <c r="EN338" s="53">
        <f>(ED338*'[2]Renewable Diesel'!BF347*'[2]Feedstock Conversion Rates'!B$5)+FE338</f>
        <v>571.86946068219061</v>
      </c>
      <c r="EO338" s="53">
        <f>(EE338*'[2]Renewable Diesel'!BF347*'[2]Feedstock Conversion Rates'!B$6)+FF338</f>
        <v>723.3253236089372</v>
      </c>
      <c r="EP338" s="53">
        <f>(EF338*'[2]Renewable Diesel'!BF347*'[2]Feedstock Conversion Rates'!B$7)+FG338</f>
        <v>1120.0221325064913</v>
      </c>
      <c r="EQ338" s="53">
        <f>(EG338*'[2]Renewable Diesel'!BF347*'[2]Feedstock Conversion Rates'!B$8)+FH338</f>
        <v>244.30009037589548</v>
      </c>
      <c r="ER338" s="53">
        <f>(EH338*'[2]Renewable Diesel'!BF347*'[2]Feedstock Conversion Rates'!B$9)+FI338</f>
        <v>9.1825811747638166</v>
      </c>
      <c r="ES338" s="53">
        <f t="shared" si="300"/>
        <v>8640.2574991967358</v>
      </c>
      <c r="ET338" s="36">
        <f>ES338/'[2]Renewable Diesel'!BF347</f>
        <v>7.9464320984125036</v>
      </c>
    </row>
    <row r="339" spans="1:150" x14ac:dyDescent="0.25">
      <c r="A339" s="39">
        <v>50740</v>
      </c>
      <c r="B339" s="45">
        <f t="shared" si="306"/>
        <v>104.25</v>
      </c>
      <c r="C339" s="45">
        <f t="shared" si="251"/>
        <v>49</v>
      </c>
      <c r="D339" s="45">
        <f t="shared" si="307"/>
        <v>2</v>
      </c>
      <c r="E339" s="45">
        <f>('[2]Renewable Diesel'!B348*E$3*'[2]Feedstock Conversion Rates'!$B$2)/12+26+13-100+27.5+39</f>
        <v>95.43</v>
      </c>
      <c r="F339" s="45">
        <f>('[2]Renewable Diesel'!B348*'[2]RD Feedstock Breakdown'!F$3*'[2]Feedstock Conversion Rates'!B$8)/12+77+23-10-12-115.75+24+8</f>
        <v>48.15625</v>
      </c>
      <c r="G339" s="45">
        <f>('[2]Renewable Diesel'!B348*'[2]RD Feedstock Breakdown'!G$3*'[2]Feedstock Conversion Rates'!B$7)/12+116.75-39-57.5-145-31.5+32+70-40+10+25</f>
        <v>116.90700000000004</v>
      </c>
      <c r="H339" s="45">
        <f>('[2]Renewable Diesel'!B348*'[2]RD Feedstock Breakdown'!H$3*'[2]Feedstock Conversion Rates'!B$3)/12+67+10+12+3-235+20+47-20</f>
        <v>80.400224999999978</v>
      </c>
      <c r="I339" s="47">
        <f t="shared" si="245"/>
        <v>496.14347500000002</v>
      </c>
      <c r="J339" s="45">
        <f t="shared" si="281"/>
        <v>4</v>
      </c>
      <c r="K339" s="45"/>
      <c r="L339" s="45">
        <v>1</v>
      </c>
      <c r="M339" s="45">
        <f>('[2]Renewable Diesel'!C348*'[2]RD Feedstock Breakdown'!M$3*'[2]Feedstock Conversion Rates'!B$2)/12-55</f>
        <v>-47.20975</v>
      </c>
      <c r="N339" s="45">
        <f>('[2]Renewable Diesel'!C348*'[2]RD Feedstock Breakdown'!N$3*'[2]Feedstock Conversion Rates'!B$8)/12</f>
        <v>3.671875</v>
      </c>
      <c r="O339" s="45">
        <f>('[2]Renewable Diesel'!C348*'[2]RD Feedstock Breakdown'!O$3*'[2]Feedstock Conversion Rates'!B$7)/12</f>
        <v>11.9991</v>
      </c>
      <c r="P339" s="45">
        <f>('[2]Renewable Diesel'!C348*'[2]RD Feedstock Breakdown'!P$3*'[2]Feedstock Conversion Rates'!B$3)/12+15+35</f>
        <v>60.447042500000002</v>
      </c>
      <c r="Q339" s="47">
        <f t="shared" si="252"/>
        <v>33.908267500000001</v>
      </c>
      <c r="R339" s="45">
        <f>('[2]Renewable Diesel'!D348*'[2]RD Feedstock Breakdown'!R$3*'[2]Feedstock Conversion Rates'!B$7)/12</f>
        <v>2.2999999999999998</v>
      </c>
      <c r="S339" s="47">
        <f t="shared" si="279"/>
        <v>2.2999999999999998</v>
      </c>
      <c r="T339" s="45">
        <f t="shared" si="253"/>
        <v>0.82499999999999929</v>
      </c>
      <c r="U339" s="45"/>
      <c r="V339" s="45">
        <f>('[2]Renewable Diesel'!E348*'[2]RD Feedstock Breakdown'!V$3*'[2]Feedstock Conversion Rates'!B$6)/12-20+25</f>
        <v>49.250150000000012</v>
      </c>
      <c r="W339" s="45">
        <f>('[2]Renewable Diesel'!E348*'[2]RD Feedstock Breakdown'!W$3*'[2]Feedstock Conversion Rates'!B$8)/12-6</f>
        <v>16.1796875</v>
      </c>
      <c r="X339" s="47">
        <f t="shared" si="301"/>
        <v>66.254837500000008</v>
      </c>
      <c r="Y339" s="45">
        <f t="shared" si="254"/>
        <v>98</v>
      </c>
      <c r="Z339" s="45">
        <f>('[2]Renewable Diesel'!F348*'[2]RD Feedstock Breakdown'!Z$3*'[2]Feedstock Conversion Rates'!B$6)/12-142+15+5+20+5+5</f>
        <v>67.460000000000008</v>
      </c>
      <c r="AA339" s="45">
        <f>('[2]Renewable Diesel'!F348*'[2]RD Feedstock Breakdown'!AA$3*'[2]Feedstock Conversion Rates'!B$7)/12+24</f>
        <v>128.26666666666665</v>
      </c>
      <c r="AB339" s="47">
        <f t="shared" si="270"/>
        <v>293.72666666666669</v>
      </c>
      <c r="AC339" s="45">
        <f>('[2]Renewable Diesel'!G348*'[2]RD Feedstock Breakdown'!AC$3*'[2]Feedstock Conversion Rates'!B$5)/12</f>
        <v>11.796875</v>
      </c>
      <c r="AD339" s="45">
        <f>('[2]Renewable Diesel'!G348*'[2]RD Feedstock Breakdown'!AD$3*'[2]Feedstock Conversion Rates'!B$4)/12</f>
        <v>5.859375</v>
      </c>
      <c r="AE339" s="45">
        <f>('[2]Renewable Diesel'!G348*'[2]RD Feedstock Breakdown'!AE$3*'[2]Feedstock Conversion Rates'!B$6)/12</f>
        <v>7.3281250000000009</v>
      </c>
      <c r="AF339" s="47">
        <f t="shared" si="236"/>
        <v>24.984375</v>
      </c>
      <c r="AG339" s="45">
        <f t="shared" si="259"/>
        <v>148</v>
      </c>
      <c r="AH339" s="45"/>
      <c r="AI339" s="45">
        <f>('[2]Renewable Diesel'!H348*'[2]RD Feedstock Breakdown'!AI$3*'[2]Feedstock Conversion Rates'!B$6)/12-130-20+51-49</f>
        <v>0.51666666666667993</v>
      </c>
      <c r="AJ339" s="47">
        <f t="shared" si="278"/>
        <v>148.51666666666668</v>
      </c>
      <c r="AK339" s="45">
        <f>('[2]Renewable Diesel'!J348*'[2]RD Feedstock Breakdown'!AK$3*'[2]Feedstock Conversion Rates'!B$4)/12</f>
        <v>95.8125</v>
      </c>
      <c r="AL339" s="47">
        <f t="shared" si="280"/>
        <v>95.8125</v>
      </c>
      <c r="AM339" s="45">
        <f>('[2]Renewable Diesel'!K348*'[2]RD Feedstock Breakdown'!AM$3*'[2]Feedstock Conversion Rates'!B$4)/12+5+15-10+10</f>
        <v>78.59375</v>
      </c>
      <c r="AN339" s="45">
        <f>('[2]Renewable Diesel'!K348*'[2]RD Feedstock Breakdown'!AN$3*'[2]Feedstock Conversion Rates'!B$6)/12-5-15+10-10</f>
        <v>4.4270833333333321</v>
      </c>
      <c r="AO339" s="47">
        <f t="shared" si="295"/>
        <v>83.020833333333329</v>
      </c>
      <c r="AP339" s="45">
        <f>('[2]Renewable Diesel'!L348*'[2]RD Feedstock Breakdown'!AP$3*'[2]Feedstock Conversion Rates'!B$4)/12+15-10+15</f>
        <v>78.59375</v>
      </c>
      <c r="AQ339" s="45">
        <f>('[2]Renewable Diesel'!L348*'[2]RD Feedstock Breakdown'!AQ$3*'[2]Feedstock Conversion Rates'!B$6)/12-15+10-15</f>
        <v>4.4270833333333321</v>
      </c>
      <c r="AR339" s="47">
        <f t="shared" si="285"/>
        <v>83.020833333333329</v>
      </c>
      <c r="AS339" s="45">
        <f>('[2]Renewable Diesel'!M348*'[2]RD Feedstock Breakdown'!AS$3*'[2]Feedstock Conversion Rates'!B$4)/12</f>
        <v>456.25</v>
      </c>
      <c r="AT339" s="45">
        <f>('[2]Renewable Diesel'!M348*'[2]RD Feedstock Breakdown'!AT$3*'[2]Feedstock Conversion Rates'!B$5)/12</f>
        <v>0</v>
      </c>
      <c r="AU339" s="47">
        <f t="shared" si="244"/>
        <v>456.25</v>
      </c>
      <c r="AV339" s="45">
        <f>'[2]Renewable Diesel'!N348*'[2]RD Feedstock Breakdown'!$AV$3*'[2]Feedstock Conversion Rates'!$B$4/12-15-10+25+25-22+25</f>
        <v>106.74999999999999</v>
      </c>
      <c r="AW339" s="45">
        <f>'[2]Renewable Diesel'!N348*'[2]RD Feedstock Breakdown'!$AW$3*'[2]Feedstock Conversion Rates'!$B$7/12+15+10-25-25+22-25</f>
        <v>13.400000000000006</v>
      </c>
      <c r="AX339" s="47">
        <f t="shared" si="272"/>
        <v>120.14999999999999</v>
      </c>
      <c r="AY339" s="45">
        <f>('[2]Renewable Diesel'!O348*'[2]RD Feedstock Breakdown'!AY$3*'[2]Feedstock Conversion Rates'!B$4)/12</f>
        <v>210.9375</v>
      </c>
      <c r="AZ339" s="45">
        <f>('[2]Renewable Diesel'!O348*'[2]RD Feedstock Breakdown'!AZ$3*'[2]Feedstock Conversion Rates'!B$3)/12</f>
        <v>25.03125</v>
      </c>
      <c r="BA339" s="47">
        <f t="shared" si="255"/>
        <v>235.96875</v>
      </c>
      <c r="BB339" s="45">
        <f>('[2]Renewable Diesel'!Q348*'[2]RD Feedstock Breakdown'!BB$3*'[2]Feedstock Conversion Rates'!B$4)/12</f>
        <v>11.156249999999998</v>
      </c>
      <c r="BC339" s="45">
        <f>('[2]Renewable Diesel'!Q348*'[2]RD Feedstock Breakdown'!BC$3*'[2]Feedstock Conversion Rates'!B$3)/12</f>
        <v>1.4017500000000001</v>
      </c>
      <c r="BD339" s="45">
        <f>('[2]Renewable Diesel'!Q348*'[2]RD Feedstock Breakdown'!BD$3*'[2]Feedstock Conversion Rates'!B$6)/12</f>
        <v>0.8207500000000002</v>
      </c>
      <c r="BE339" s="47">
        <f t="shared" si="303"/>
        <v>13.378749999999998</v>
      </c>
      <c r="BF339" s="45">
        <f>('[2]Renewable Diesel'!R348*'[2]RD Feedstock Breakdown'!BF$3*'[2]Feedstock Conversion Rates'!B$4)/12</f>
        <v>62.5</v>
      </c>
      <c r="BG339" s="47">
        <f t="shared" si="289"/>
        <v>62.5</v>
      </c>
      <c r="BH339" s="45">
        <f>('[2]Renewable Diesel'!T348*'[2]RD Feedstock Breakdown'!BH$3*'[2]Feedstock Conversion Rates'!B$7)/12</f>
        <v>27.599999999999998</v>
      </c>
      <c r="BI339" s="47">
        <f t="shared" si="277"/>
        <v>27.599999999999998</v>
      </c>
      <c r="BJ339" s="45">
        <f>('[2]Renewable Diesel'!W348*'[2]RD Feedstock Breakdown'!BJ$3*'[2]Feedstock Conversion Rates'!B$4)/12</f>
        <v>7.5</v>
      </c>
      <c r="BK339" s="45">
        <f>('[2]Renewable Diesel'!W348*'[2]RD Feedstock Breakdown'!BK$3*'[2]Feedstock Conversion Rates'!B$3)/12</f>
        <v>1.335</v>
      </c>
      <c r="BL339" s="45">
        <f>('[2]Renewable Diesel'!W348*'[2]RD Feedstock Breakdown'!BL$3*'[2]Feedstock Conversion Rates'!B$6)/12</f>
        <v>3.1266666666666669</v>
      </c>
      <c r="BM339" s="45">
        <f>('[2]Renewable Diesel'!W348*'[2]RD Feedstock Breakdown'!BM$3*'[2]Feedstock Conversion Rates'!B$7)/12</f>
        <v>1.5333333333333332</v>
      </c>
      <c r="BN339" s="47">
        <f t="shared" si="248"/>
        <v>13.495000000000001</v>
      </c>
      <c r="BO339" s="45">
        <f>('[2]Renewable Diesel'!P348*'[2]Feedstock Conversion Rates'!B$4)/12</f>
        <v>31.25</v>
      </c>
      <c r="BP339" s="47">
        <f t="shared" si="237"/>
        <v>31.25</v>
      </c>
      <c r="BQ339" s="45">
        <f>('[2]Renewable Diesel'!$S348*'[2]RD Feedstock Breakdown'!BQ$3*'[2]Feedstock Conversion Rates'!B$4)/12+10+15-15</f>
        <v>38.125</v>
      </c>
      <c r="BR339" s="45">
        <f>('[2]Renewable Diesel'!$S348*'[2]RD Feedstock Breakdown'!BR$3*'[2]Feedstock Conversion Rates'!B$7)/12-10-15+15</f>
        <v>1.5</v>
      </c>
      <c r="BS339" s="47">
        <f t="shared" si="260"/>
        <v>39.625</v>
      </c>
      <c r="BT339" s="47"/>
      <c r="BU339" s="45">
        <f>('[2]Renewable Diesel'!Y348*'[2]Feedstock Conversion Rates'!B$7)/12</f>
        <v>2.6833333333333331</v>
      </c>
      <c r="BV339" s="47">
        <f t="shared" si="305"/>
        <v>2.6833333333333331</v>
      </c>
      <c r="BW339" s="45">
        <f>('[2]Renewable Diesel'!$Z348*'[2]RD Feedstock Breakdown'!BW$3*'[2]Feedstock Conversion Rates'!$B$4)/12-180+110</f>
        <v>1.875</v>
      </c>
      <c r="BX339" s="45">
        <f>('[2]Renewable Diesel'!$Z348*'[2]RD Feedstock Breakdown'!BX$3*'[2]Feedstock Conversion Rates'!$B$5)/12</f>
        <v>7.2354166666666666</v>
      </c>
      <c r="BY339" s="45">
        <f>('[2]Renewable Diesel'!$Z348*'[2]RD Feedstock Breakdown'!BY$3*'[2]Feedstock Conversion Rates'!$B$7)/12</f>
        <v>61.716666666666661</v>
      </c>
      <c r="BZ339" s="45">
        <f>('[2]Renewable Diesel'!$Z348*'[2]RD Feedstock Breakdown'!BZ$3*'[2]Feedstock Conversion Rates'!$B$3)/12+180-110</f>
        <v>85.352499999999992</v>
      </c>
      <c r="CA339" s="47">
        <f t="shared" si="262"/>
        <v>156.17958333333331</v>
      </c>
      <c r="CB339" s="45">
        <f>('[2]Renewable Diesel'!AA348*'[2]Feedstock Conversion Rates'!B$4)/12</f>
        <v>191.25</v>
      </c>
      <c r="CC339" s="47">
        <f t="shared" si="250"/>
        <v>191.25</v>
      </c>
      <c r="CD339" s="45">
        <f>('[2]Renewable Diesel'!$AB348*'[2]RD Feedstock Breakdown'!CD$3*'[2]Feedstock Conversion Rates'!$B$6)/12-15-5</f>
        <v>12.830000000000005</v>
      </c>
      <c r="CE339" s="45">
        <f>('[2]Renewable Diesel'!$AB348*'[2]RD Feedstock Breakdown'!CE$3*'[2]Feedstock Conversion Rates'!$B$4)/12+15+5</f>
        <v>31.25</v>
      </c>
      <c r="CF339" s="47">
        <f t="shared" si="247"/>
        <v>44.080000000000005</v>
      </c>
      <c r="CG339" s="45">
        <f>('[2]Renewable Diesel'!AD348*'[2]Feedstock Conversion Rates'!B$4)/12</f>
        <v>112.5</v>
      </c>
      <c r="CH339" s="47">
        <f t="shared" si="302"/>
        <v>112.5</v>
      </c>
      <c r="CI339" s="45">
        <f>('[2]Renewable Diesel'!$AE348*'[2]RD Feedstock Breakdown'!CI$3*'[2]Feedstock Conversion Rates'!$B$5)/12</f>
        <v>0.34604166666666664</v>
      </c>
      <c r="CJ339" s="45">
        <f>('[2]Renewable Diesel'!$AE348*'[2]RD Feedstock Breakdown'!CJ$3*'[2]Feedstock Conversion Rates'!$B$4)/12</f>
        <v>0.34375</v>
      </c>
      <c r="CK339" s="47">
        <f t="shared" si="238"/>
        <v>0.68979166666666658</v>
      </c>
      <c r="CL339" s="45">
        <f>(((CL$3*'[2]Renewable Diesel'!$AF348)*'[2]Feedstock Conversion Rates'!$B$3)/12)</f>
        <v>91.78125</v>
      </c>
      <c r="CM339" s="45">
        <f>(((CM$3*'[2]Renewable Diesel'!$AF348)*'[2]Feedstock Conversion Rates'!$B$6)/12)</f>
        <v>53.739583333333336</v>
      </c>
      <c r="CN339" s="45">
        <f>(((CN$3*'[2]Renewable Diesel'!$AF348)*'[2]Feedstock Conversion Rates'!$B$4)/12)</f>
        <v>42.96875</v>
      </c>
      <c r="CO339" s="47">
        <f t="shared" si="304"/>
        <v>188.48958333333334</v>
      </c>
      <c r="CP339" s="45">
        <f>('[2]Renewable Diesel'!$AG348*'[2]RD Feedstock Breakdown'!CP$3*'[2]Feedstock Conversion Rates'!$B$3)/12</f>
        <v>6.0075000000000003</v>
      </c>
      <c r="CQ339" s="45">
        <f>('[2]Renewable Diesel'!$AG348*'[2]RD Feedstock Breakdown'!CQ$3*'[2]Feedstock Conversion Rates'!$B$6)/12</f>
        <v>3.5175000000000001</v>
      </c>
      <c r="CR339" s="45">
        <f>('[2]Renewable Diesel'!$AG348*'[2]RD Feedstock Breakdown'!CR$3*'[2]Feedstock Conversion Rates'!$B$4)/12</f>
        <v>2.8125</v>
      </c>
      <c r="CS339" s="47">
        <f t="shared" si="267"/>
        <v>12.3375</v>
      </c>
      <c r="CT339" s="45">
        <f>('[2]Renewable Diesel'!AI348*'[2]Feedstock Conversion Rates'!$B$4*'[2]RD Feedstock Breakdown'!$CT$3)/12</f>
        <v>29.375</v>
      </c>
      <c r="CU339" s="47">
        <f t="shared" ref="CU339:CU375" si="308">CT339</f>
        <v>29.375</v>
      </c>
      <c r="CV339" s="45">
        <f>('[2]Renewable Diesel'!AN348*'[2]Feedstock Conversion Rates'!$B$3*'[2]RD Feedstock Breakdown'!$CV$3)/12</f>
        <v>0.50062499999999999</v>
      </c>
      <c r="CW339" s="47">
        <f t="shared" si="284"/>
        <v>0.50062499999999999</v>
      </c>
      <c r="CX339" s="45">
        <f>('[2]Renewable Diesel'!AO348*'[2]RD Feedstock Breakdown'!$CX$3*'[2]Feedstock Conversion Rates'!$B$3)/12</f>
        <v>6.3412499999999996</v>
      </c>
      <c r="CY339" s="45">
        <f>('[2]Renewable Diesel'!AO348*'[2]RD Feedstock Breakdown'!$CY$3*'[2]Feedstock Conversion Rates'!$B$6)/12</f>
        <v>7.4258333333333342</v>
      </c>
      <c r="CZ339" s="47">
        <f t="shared" si="268"/>
        <v>13.767083333333334</v>
      </c>
      <c r="DA339" s="45">
        <f>('[2]Renewable Diesel'!$AP348*'[2]RD Feedstock Breakdown'!DA$3*'[2]Feedstock Conversion Rates'!$B$3)/12</f>
        <v>6.3412499999999996</v>
      </c>
      <c r="DB339" s="45">
        <f>('[2]Renewable Diesel'!$AP348*'[2]RD Feedstock Breakdown'!DB$3*'[2]Feedstock Conversion Rates'!$B$8)/12</f>
        <v>7.421875</v>
      </c>
      <c r="DC339" s="47">
        <f t="shared" si="287"/>
        <v>13.763124999999999</v>
      </c>
      <c r="DD339" s="45">
        <f>('[2]Renewable Diesel'!AQ348*$DD$3*'[2]Feedstock Conversion Rates'!$B$14)/12</f>
        <v>3.1041666666666665</v>
      </c>
      <c r="DE339" s="47">
        <f t="shared" si="288"/>
        <v>3.1041666666666665</v>
      </c>
      <c r="DF339" s="45">
        <f>('[2]Renewable Diesel'!AR348*'[2]Feedstock Conversion Rates'!$B$4*$DF$3)/12</f>
        <v>75</v>
      </c>
      <c r="DG339" s="47">
        <f t="shared" si="269"/>
        <v>75</v>
      </c>
      <c r="DH339" s="45">
        <f>('[2]Renewable Diesel'!AS348*'[2]Feedstock Conversion Rates'!$B$4*$DH$3)/12</f>
        <v>75</v>
      </c>
      <c r="DI339" s="47">
        <f t="shared" si="273"/>
        <v>75</v>
      </c>
      <c r="DJ339" s="45">
        <f>('[2]Renewable Diesel'!AT348*'[2]Feedstock Conversion Rates'!$B$4*0.25)/12</f>
        <v>8.59375</v>
      </c>
      <c r="DK339" s="45">
        <f>('[2]Renewable Diesel'!$AT348*'[2]RD Feedstock Breakdown'!DK$3*'[2]Feedstock Conversion Rates'!$B$3)/12*0.5</f>
        <v>9.1781249999999996</v>
      </c>
      <c r="DL339" s="45">
        <f>('[2]Renewable Diesel'!$AT348*'[2]RD Feedstock Breakdown'!$DL$3*'[2]Feedstock Conversion Rates'!$B$6)/12</f>
        <v>10.747916666666669</v>
      </c>
      <c r="DM339" s="45">
        <f>('[2]Renewable Diesel'!$AT348*'[2]RD Feedstock Breakdown'!$DM$3*'[2]Feedstock Conversion Rates'!$B$8)/12</f>
        <v>10.7421875</v>
      </c>
      <c r="DN339" s="47">
        <f t="shared" si="249"/>
        <v>39.26197916666667</v>
      </c>
      <c r="DP339" s="45">
        <f t="shared" si="290"/>
        <v>48.220250000000007</v>
      </c>
      <c r="DQ339" s="45">
        <f t="shared" si="291"/>
        <v>374.11776750000001</v>
      </c>
      <c r="DR339" s="45">
        <f t="shared" si="296"/>
        <v>1951.953125</v>
      </c>
      <c r="DS339" s="45">
        <f t="shared" si="235"/>
        <v>228.90125</v>
      </c>
      <c r="DT339" s="45">
        <f t="shared" si="292"/>
        <v>233.03923333333344</v>
      </c>
      <c r="DU339" s="45">
        <f t="shared" si="293"/>
        <v>367.90610000000009</v>
      </c>
      <c r="DV339" s="45">
        <f t="shared" si="297"/>
        <v>78.75</v>
      </c>
      <c r="DW339" s="45">
        <f t="shared" si="294"/>
        <v>3</v>
      </c>
      <c r="DX339" s="47">
        <f t="shared" si="298"/>
        <v>3285.8877258333337</v>
      </c>
      <c r="DY339" s="50">
        <f t="shared" si="286"/>
        <v>-5.631051180898794E-13</v>
      </c>
      <c r="EA339" s="51">
        <f t="shared" si="263"/>
        <v>1.4674953626959629E-2</v>
      </c>
      <c r="EB339" s="51">
        <f t="shared" si="263"/>
        <v>0.1138559192265524</v>
      </c>
      <c r="EC339" s="51">
        <f t="shared" si="263"/>
        <v>0.59404133307840434</v>
      </c>
      <c r="ED339" s="51">
        <f t="shared" si="261"/>
        <v>6.9661920643362324E-2</v>
      </c>
      <c r="EE339" s="51">
        <f t="shared" si="261"/>
        <v>7.0921240400638574E-2</v>
      </c>
      <c r="EF339" s="51">
        <f t="shared" si="261"/>
        <v>0.11196551151384683</v>
      </c>
      <c r="EG339" s="51">
        <f t="shared" si="261"/>
        <v>2.3966126225456536E-2</v>
      </c>
      <c r="EH339" s="52">
        <f t="shared" si="299"/>
        <v>9.1299528477929671E-4</v>
      </c>
      <c r="EI339" s="51">
        <f t="shared" si="271"/>
        <v>0.99908700471522072</v>
      </c>
      <c r="EK339" s="53">
        <f>(EA339*'[2]Renewable Diesel'!BF348*'[2]Feedstock Conversion Rates'!B$2)+FB339</f>
        <v>139.48835375368782</v>
      </c>
      <c r="EL339" s="53">
        <f>(EB339*'[2]Renewable Diesel'!BF348*'[2]Feedstock Conversion Rates'!B$3)+FC339</f>
        <v>1019.8361811104505</v>
      </c>
      <c r="EM339" s="53">
        <f>(EC339*'[2]Renewable Diesel'!BF348*'[2]Feedstock Conversion Rates'!B$4)+FD339</f>
        <v>4982.1891646806253</v>
      </c>
      <c r="EN339" s="53">
        <f>(ED339*'[2]Renewable Diesel'!BF348*'[2]Feedstock Conversion Rates'!B$5)+FE339</f>
        <v>588.14536835529623</v>
      </c>
      <c r="EO339" s="53">
        <f>(EE339*'[2]Renewable Diesel'!BF348*'[2]Feedstock Conversion Rates'!B$6)+FF339</f>
        <v>743.91179831005945</v>
      </c>
      <c r="EP339" s="53">
        <f>(EF339*'[2]Renewable Diesel'!BF348*'[2]Feedstock Conversion Rates'!B$7)+FG339</f>
        <v>1151.898947188577</v>
      </c>
      <c r="EQ339" s="53">
        <f>(EG339*'[2]Renewable Diesel'!BF348*'[2]Feedstock Conversion Rates'!B$8)+FH339</f>
        <v>251.25308575135435</v>
      </c>
      <c r="ER339" s="53">
        <f>(EH339*'[2]Renewable Diesel'!BF348*'[2]Feedstock Conversion Rates'!B$9)+FI339</f>
        <v>9.4439255088763048</v>
      </c>
      <c r="ES339" s="53">
        <f t="shared" si="300"/>
        <v>8886.166824658927</v>
      </c>
      <c r="ET339" s="36">
        <f>ES339/'[2]Renewable Diesel'!BF348</f>
        <v>7.9464320984125036</v>
      </c>
    </row>
    <row r="340" spans="1:150" x14ac:dyDescent="0.25">
      <c r="A340" s="39">
        <v>50771</v>
      </c>
      <c r="B340" s="45">
        <f t="shared" si="306"/>
        <v>104.25</v>
      </c>
      <c r="C340" s="45">
        <f t="shared" si="251"/>
        <v>49</v>
      </c>
      <c r="D340" s="45">
        <f t="shared" si="307"/>
        <v>2</v>
      </c>
      <c r="E340" s="45">
        <f>('[2]Renewable Diesel'!B349*E$3*'[2]Feedstock Conversion Rates'!$B$2)/12+26+13-100+27.5+39</f>
        <v>95.43</v>
      </c>
      <c r="F340" s="45">
        <f>('[2]Renewable Diesel'!B349*'[2]RD Feedstock Breakdown'!F$3*'[2]Feedstock Conversion Rates'!B$8)/12+77+23-10-12-115.75+24+8</f>
        <v>48.15625</v>
      </c>
      <c r="G340" s="45">
        <f>('[2]Renewable Diesel'!B349*'[2]RD Feedstock Breakdown'!G$3*'[2]Feedstock Conversion Rates'!B$7)/12+116.75-39-57.5-145-31.5+32+70-40+10+25</f>
        <v>116.90700000000004</v>
      </c>
      <c r="H340" s="45">
        <f>('[2]Renewable Diesel'!B349*'[2]RD Feedstock Breakdown'!H$3*'[2]Feedstock Conversion Rates'!B$3)/12+67+10+12+3-235+20+47-20</f>
        <v>80.400224999999978</v>
      </c>
      <c r="I340" s="47">
        <f t="shared" si="245"/>
        <v>496.14347500000002</v>
      </c>
      <c r="J340" s="45">
        <f t="shared" si="281"/>
        <v>4</v>
      </c>
      <c r="K340" s="45"/>
      <c r="L340" s="45">
        <v>1</v>
      </c>
      <c r="M340" s="45">
        <f>('[2]Renewable Diesel'!C349*'[2]RD Feedstock Breakdown'!M$3*'[2]Feedstock Conversion Rates'!B$2)/12-55</f>
        <v>-47.20975</v>
      </c>
      <c r="N340" s="45">
        <f>('[2]Renewable Diesel'!C349*'[2]RD Feedstock Breakdown'!N$3*'[2]Feedstock Conversion Rates'!B$8)/12</f>
        <v>3.671875</v>
      </c>
      <c r="O340" s="45">
        <f>('[2]Renewable Diesel'!C349*'[2]RD Feedstock Breakdown'!O$3*'[2]Feedstock Conversion Rates'!B$7)/12</f>
        <v>11.9991</v>
      </c>
      <c r="P340" s="45">
        <f>('[2]Renewable Diesel'!C349*'[2]RD Feedstock Breakdown'!P$3*'[2]Feedstock Conversion Rates'!B$3)/12+15+35</f>
        <v>60.447042500000002</v>
      </c>
      <c r="Q340" s="47">
        <f t="shared" si="252"/>
        <v>33.908267500000001</v>
      </c>
      <c r="R340" s="45">
        <f>('[2]Renewable Diesel'!D349*'[2]RD Feedstock Breakdown'!R$3*'[2]Feedstock Conversion Rates'!B$7)/12</f>
        <v>2.2999999999999998</v>
      </c>
      <c r="S340" s="47">
        <f t="shared" si="279"/>
        <v>2.2999999999999998</v>
      </c>
      <c r="T340" s="45">
        <f t="shared" si="253"/>
        <v>0.82499999999999929</v>
      </c>
      <c r="U340" s="45"/>
      <c r="V340" s="45">
        <f>('[2]Renewable Diesel'!E349*'[2]RD Feedstock Breakdown'!V$3*'[2]Feedstock Conversion Rates'!B$6)/12-20+25</f>
        <v>49.250150000000012</v>
      </c>
      <c r="W340" s="45">
        <f>('[2]Renewable Diesel'!E349*'[2]RD Feedstock Breakdown'!W$3*'[2]Feedstock Conversion Rates'!B$8)/12-6</f>
        <v>16.1796875</v>
      </c>
      <c r="X340" s="47">
        <f t="shared" si="301"/>
        <v>66.254837500000008</v>
      </c>
      <c r="Y340" s="45">
        <f t="shared" si="254"/>
        <v>98</v>
      </c>
      <c r="Z340" s="45">
        <f>('[2]Renewable Diesel'!F349*'[2]RD Feedstock Breakdown'!Z$3*'[2]Feedstock Conversion Rates'!B$6)/12-142+15+5+20+5+15</f>
        <v>77.460000000000008</v>
      </c>
      <c r="AA340" s="45">
        <f>('[2]Renewable Diesel'!F349*'[2]RD Feedstock Breakdown'!AA$3*'[2]Feedstock Conversion Rates'!B$7)/12+24</f>
        <v>128.26666666666665</v>
      </c>
      <c r="AB340" s="47">
        <f t="shared" si="270"/>
        <v>303.72666666666669</v>
      </c>
      <c r="AC340" s="45">
        <f>('[2]Renewable Diesel'!G349*'[2]RD Feedstock Breakdown'!AC$3*'[2]Feedstock Conversion Rates'!B$5)/12</f>
        <v>11.796875</v>
      </c>
      <c r="AD340" s="45">
        <f>('[2]Renewable Diesel'!G349*'[2]RD Feedstock Breakdown'!AD$3*'[2]Feedstock Conversion Rates'!B$4)/12</f>
        <v>5.859375</v>
      </c>
      <c r="AE340" s="45">
        <f>('[2]Renewable Diesel'!G349*'[2]RD Feedstock Breakdown'!AE$3*'[2]Feedstock Conversion Rates'!B$6)/12</f>
        <v>7.3281250000000009</v>
      </c>
      <c r="AF340" s="47">
        <f t="shared" si="236"/>
        <v>24.984375</v>
      </c>
      <c r="AG340" s="45">
        <f t="shared" si="259"/>
        <v>148</v>
      </c>
      <c r="AH340" s="45"/>
      <c r="AI340" s="45">
        <f>('[2]Renewable Diesel'!H349*'[2]RD Feedstock Breakdown'!AI$3*'[2]Feedstock Conversion Rates'!B$6)/12-130-20+51-49</f>
        <v>0.51666666666667993</v>
      </c>
      <c r="AJ340" s="47">
        <f t="shared" si="278"/>
        <v>148.51666666666668</v>
      </c>
      <c r="AK340" s="45">
        <f>('[2]Renewable Diesel'!J349*'[2]RD Feedstock Breakdown'!AK$3*'[2]Feedstock Conversion Rates'!B$4)/12</f>
        <v>95.8125</v>
      </c>
      <c r="AL340" s="47">
        <f t="shared" si="280"/>
        <v>95.8125</v>
      </c>
      <c r="AM340" s="45">
        <f>('[2]Renewable Diesel'!K349*'[2]RD Feedstock Breakdown'!AM$3*'[2]Feedstock Conversion Rates'!B$4)/12+5+15-10+10</f>
        <v>78.59375</v>
      </c>
      <c r="AN340" s="45">
        <f>('[2]Renewable Diesel'!K349*'[2]RD Feedstock Breakdown'!AN$3*'[2]Feedstock Conversion Rates'!B$6)/12-5-15+10-10</f>
        <v>4.4270833333333321</v>
      </c>
      <c r="AO340" s="47">
        <f t="shared" si="295"/>
        <v>83.020833333333329</v>
      </c>
      <c r="AP340" s="45">
        <f>('[2]Renewable Diesel'!L349*'[2]RD Feedstock Breakdown'!AP$3*'[2]Feedstock Conversion Rates'!B$4)/12+15-10+15</f>
        <v>78.59375</v>
      </c>
      <c r="AQ340" s="45">
        <f>('[2]Renewable Diesel'!L349*'[2]RD Feedstock Breakdown'!AQ$3*'[2]Feedstock Conversion Rates'!B$6)/12-15+10-15</f>
        <v>4.4270833333333321</v>
      </c>
      <c r="AR340" s="47">
        <f t="shared" si="285"/>
        <v>83.020833333333329</v>
      </c>
      <c r="AS340" s="45">
        <f>('[2]Renewable Diesel'!M349*'[2]RD Feedstock Breakdown'!AS$3*'[2]Feedstock Conversion Rates'!B$4)/12</f>
        <v>456.25</v>
      </c>
      <c r="AT340" s="45">
        <f>('[2]Renewable Diesel'!M349*'[2]RD Feedstock Breakdown'!AT$3*'[2]Feedstock Conversion Rates'!B$5)/12</f>
        <v>0</v>
      </c>
      <c r="AU340" s="47">
        <f t="shared" si="244"/>
        <v>456.25</v>
      </c>
      <c r="AV340" s="45">
        <f>'[2]Renewable Diesel'!N349*'[2]RD Feedstock Breakdown'!$AV$3*'[2]Feedstock Conversion Rates'!$B$4/12-15-10+25+25-22+25</f>
        <v>106.74999999999999</v>
      </c>
      <c r="AW340" s="45">
        <f>'[2]Renewable Diesel'!N349*'[2]RD Feedstock Breakdown'!$AW$3*'[2]Feedstock Conversion Rates'!$B$7/12+15+10-25-25+22-25</f>
        <v>13.400000000000006</v>
      </c>
      <c r="AX340" s="47">
        <f t="shared" si="272"/>
        <v>120.14999999999999</v>
      </c>
      <c r="AY340" s="45">
        <f>('[2]Renewable Diesel'!O349*'[2]RD Feedstock Breakdown'!AY$3*'[2]Feedstock Conversion Rates'!B$4)/12</f>
        <v>210.9375</v>
      </c>
      <c r="AZ340" s="45">
        <f>('[2]Renewable Diesel'!O349*'[2]RD Feedstock Breakdown'!AZ$3*'[2]Feedstock Conversion Rates'!B$3)/12</f>
        <v>25.03125</v>
      </c>
      <c r="BA340" s="47">
        <f t="shared" si="255"/>
        <v>235.96875</v>
      </c>
      <c r="BB340" s="45">
        <f>('[2]Renewable Diesel'!Q349*'[2]RD Feedstock Breakdown'!BB$3*'[2]Feedstock Conversion Rates'!B$4)/12</f>
        <v>11.156249999999998</v>
      </c>
      <c r="BC340" s="45">
        <f>('[2]Renewable Diesel'!Q349*'[2]RD Feedstock Breakdown'!BC$3*'[2]Feedstock Conversion Rates'!B$3)/12</f>
        <v>1.4017500000000001</v>
      </c>
      <c r="BD340" s="45">
        <f>('[2]Renewable Diesel'!Q349*'[2]RD Feedstock Breakdown'!BD$3*'[2]Feedstock Conversion Rates'!B$6)/12</f>
        <v>0.8207500000000002</v>
      </c>
      <c r="BE340" s="47">
        <f t="shared" si="303"/>
        <v>13.378749999999998</v>
      </c>
      <c r="BF340" s="45">
        <f>('[2]Renewable Diesel'!R349*'[2]RD Feedstock Breakdown'!BF$3*'[2]Feedstock Conversion Rates'!B$4)/12</f>
        <v>62.5</v>
      </c>
      <c r="BG340" s="47">
        <f t="shared" si="289"/>
        <v>62.5</v>
      </c>
      <c r="BH340" s="45">
        <f>('[2]Renewable Diesel'!T349*'[2]RD Feedstock Breakdown'!BH$3*'[2]Feedstock Conversion Rates'!B$7)/12</f>
        <v>27.599999999999998</v>
      </c>
      <c r="BI340" s="47">
        <f t="shared" si="277"/>
        <v>27.599999999999998</v>
      </c>
      <c r="BJ340" s="45">
        <f>('[2]Renewable Diesel'!W349*'[2]RD Feedstock Breakdown'!BJ$3*'[2]Feedstock Conversion Rates'!B$4)/12</f>
        <v>7.5</v>
      </c>
      <c r="BK340" s="45">
        <f>('[2]Renewable Diesel'!W349*'[2]RD Feedstock Breakdown'!BK$3*'[2]Feedstock Conversion Rates'!B$3)/12</f>
        <v>1.335</v>
      </c>
      <c r="BL340" s="45">
        <f>('[2]Renewable Diesel'!W349*'[2]RD Feedstock Breakdown'!BL$3*'[2]Feedstock Conversion Rates'!B$6)/12</f>
        <v>3.1266666666666669</v>
      </c>
      <c r="BM340" s="45">
        <f>('[2]Renewable Diesel'!W349*'[2]RD Feedstock Breakdown'!BM$3*'[2]Feedstock Conversion Rates'!B$7)/12</f>
        <v>1.5333333333333332</v>
      </c>
      <c r="BN340" s="47">
        <f t="shared" si="248"/>
        <v>13.495000000000001</v>
      </c>
      <c r="BO340" s="45">
        <f>('[2]Renewable Diesel'!P349*'[2]Feedstock Conversion Rates'!B$4)/12</f>
        <v>31.25</v>
      </c>
      <c r="BP340" s="47">
        <f t="shared" si="237"/>
        <v>31.25</v>
      </c>
      <c r="BQ340" s="45">
        <f>('[2]Renewable Diesel'!$S349*'[2]RD Feedstock Breakdown'!BQ$3*'[2]Feedstock Conversion Rates'!B$4)/12+10+15-15</f>
        <v>38.125</v>
      </c>
      <c r="BR340" s="45">
        <f>('[2]Renewable Diesel'!$S349*'[2]RD Feedstock Breakdown'!BR$3*'[2]Feedstock Conversion Rates'!B$7)/12-10-15+15</f>
        <v>1.5</v>
      </c>
      <c r="BS340" s="47">
        <f t="shared" si="260"/>
        <v>39.625</v>
      </c>
      <c r="BT340" s="47"/>
      <c r="BU340" s="45">
        <f>('[2]Renewable Diesel'!Y349*'[2]Feedstock Conversion Rates'!B$7)/12</f>
        <v>2.6833333333333331</v>
      </c>
      <c r="BV340" s="47">
        <f t="shared" si="305"/>
        <v>2.6833333333333331</v>
      </c>
      <c r="BW340" s="45">
        <f>('[2]Renewable Diesel'!$Z349*'[2]RD Feedstock Breakdown'!BW$3*'[2]Feedstock Conversion Rates'!$B$4)/12-180+110</f>
        <v>1.875</v>
      </c>
      <c r="BX340" s="45">
        <f>('[2]Renewable Diesel'!$Z349*'[2]RD Feedstock Breakdown'!BX$3*'[2]Feedstock Conversion Rates'!$B$5)/12</f>
        <v>7.2354166666666666</v>
      </c>
      <c r="BY340" s="45">
        <f>('[2]Renewable Diesel'!$Z349*'[2]RD Feedstock Breakdown'!BY$3*'[2]Feedstock Conversion Rates'!$B$7)/12</f>
        <v>61.716666666666661</v>
      </c>
      <c r="BZ340" s="45">
        <f>('[2]Renewable Diesel'!$Z349*'[2]RD Feedstock Breakdown'!BZ$3*'[2]Feedstock Conversion Rates'!$B$3)/12+180-110</f>
        <v>85.352499999999992</v>
      </c>
      <c r="CA340" s="47">
        <f t="shared" si="262"/>
        <v>156.17958333333331</v>
      </c>
      <c r="CB340" s="45">
        <f>('[2]Renewable Diesel'!AA349*'[2]Feedstock Conversion Rates'!B$4)/12</f>
        <v>191.25</v>
      </c>
      <c r="CC340" s="47">
        <f t="shared" si="250"/>
        <v>191.25</v>
      </c>
      <c r="CD340" s="45">
        <f>('[2]Renewable Diesel'!$AB349*'[2]RD Feedstock Breakdown'!CD$3*'[2]Feedstock Conversion Rates'!$B$6)/12-15-5</f>
        <v>12.830000000000005</v>
      </c>
      <c r="CE340" s="45">
        <f>('[2]Renewable Diesel'!$AB349*'[2]RD Feedstock Breakdown'!CE$3*'[2]Feedstock Conversion Rates'!$B$4)/12+15+5</f>
        <v>31.25</v>
      </c>
      <c r="CF340" s="47">
        <f t="shared" si="247"/>
        <v>44.080000000000005</v>
      </c>
      <c r="CG340" s="45">
        <f>('[2]Renewable Diesel'!AD349*'[2]Feedstock Conversion Rates'!B$4)/12</f>
        <v>112.5</v>
      </c>
      <c r="CH340" s="47">
        <f t="shared" si="302"/>
        <v>112.5</v>
      </c>
      <c r="CI340" s="45">
        <f>('[2]Renewable Diesel'!$AE349*'[2]RD Feedstock Breakdown'!CI$3*'[2]Feedstock Conversion Rates'!$B$5)/12</f>
        <v>0.34604166666666664</v>
      </c>
      <c r="CJ340" s="45">
        <f>('[2]Renewable Diesel'!$AE349*'[2]RD Feedstock Breakdown'!CJ$3*'[2]Feedstock Conversion Rates'!$B$4)/12</f>
        <v>0.34375</v>
      </c>
      <c r="CK340" s="47">
        <f t="shared" si="238"/>
        <v>0.68979166666666658</v>
      </c>
      <c r="CL340" s="45">
        <f>(((CL$3*'[2]Renewable Diesel'!$AF349)*'[2]Feedstock Conversion Rates'!$B$3)/12)</f>
        <v>91.78125</v>
      </c>
      <c r="CM340" s="45">
        <f>(((CM$3*'[2]Renewable Diesel'!$AF349)*'[2]Feedstock Conversion Rates'!$B$6)/12)</f>
        <v>53.739583333333336</v>
      </c>
      <c r="CN340" s="45">
        <f>(((CN$3*'[2]Renewable Diesel'!$AF349)*'[2]Feedstock Conversion Rates'!$B$4)/12)</f>
        <v>42.96875</v>
      </c>
      <c r="CO340" s="47">
        <f t="shared" si="304"/>
        <v>188.48958333333334</v>
      </c>
      <c r="CP340" s="45">
        <f>('[2]Renewable Diesel'!$AG349*'[2]RD Feedstock Breakdown'!CP$3*'[2]Feedstock Conversion Rates'!$B$3)/12</f>
        <v>6.0075000000000003</v>
      </c>
      <c r="CQ340" s="45">
        <f>('[2]Renewable Diesel'!$AG349*'[2]RD Feedstock Breakdown'!CQ$3*'[2]Feedstock Conversion Rates'!$B$6)/12</f>
        <v>3.5175000000000001</v>
      </c>
      <c r="CR340" s="45">
        <f>('[2]Renewable Diesel'!$AG349*'[2]RD Feedstock Breakdown'!CR$3*'[2]Feedstock Conversion Rates'!$B$4)/12</f>
        <v>2.8125</v>
      </c>
      <c r="CS340" s="47">
        <f t="shared" si="267"/>
        <v>12.3375</v>
      </c>
      <c r="CT340" s="45">
        <f>('[2]Renewable Diesel'!AI349*'[2]Feedstock Conversion Rates'!$B$4*'[2]RD Feedstock Breakdown'!$CT$3)/12</f>
        <v>29.375</v>
      </c>
      <c r="CU340" s="47">
        <f t="shared" si="308"/>
        <v>29.375</v>
      </c>
      <c r="CV340" s="45">
        <f>('[2]Renewable Diesel'!AN349*'[2]Feedstock Conversion Rates'!$B$3*'[2]RD Feedstock Breakdown'!$CV$3)/12</f>
        <v>0.50062499999999999</v>
      </c>
      <c r="CW340" s="47">
        <f t="shared" si="284"/>
        <v>0.50062499999999999</v>
      </c>
      <c r="CX340" s="45">
        <f>('[2]Renewable Diesel'!AO349*'[2]RD Feedstock Breakdown'!$CX$3*'[2]Feedstock Conversion Rates'!$B$3)/12</f>
        <v>6.3412499999999996</v>
      </c>
      <c r="CY340" s="45">
        <f>('[2]Renewable Diesel'!AO349*'[2]RD Feedstock Breakdown'!$CY$3*'[2]Feedstock Conversion Rates'!$B$6)/12</f>
        <v>7.4258333333333342</v>
      </c>
      <c r="CZ340" s="47">
        <f t="shared" si="268"/>
        <v>13.767083333333334</v>
      </c>
      <c r="DA340" s="45">
        <f>('[2]Renewable Diesel'!$AP349*'[2]RD Feedstock Breakdown'!DA$3*'[2]Feedstock Conversion Rates'!$B$3)/12</f>
        <v>6.3412499999999996</v>
      </c>
      <c r="DB340" s="45">
        <f>('[2]Renewable Diesel'!$AP349*'[2]RD Feedstock Breakdown'!DB$3*'[2]Feedstock Conversion Rates'!$B$8)/12</f>
        <v>7.421875</v>
      </c>
      <c r="DC340" s="47">
        <f t="shared" si="287"/>
        <v>13.763124999999999</v>
      </c>
      <c r="DD340" s="45">
        <f>('[2]Renewable Diesel'!AQ349*$DD$3*'[2]Feedstock Conversion Rates'!$B$14)/12</f>
        <v>3.1041666666666665</v>
      </c>
      <c r="DE340" s="47">
        <f t="shared" si="288"/>
        <v>3.1041666666666665</v>
      </c>
      <c r="DF340" s="45">
        <f>('[2]Renewable Diesel'!AR349*'[2]Feedstock Conversion Rates'!$B$4*$DF$3)/12</f>
        <v>75</v>
      </c>
      <c r="DG340" s="47">
        <f t="shared" si="269"/>
        <v>75</v>
      </c>
      <c r="DH340" s="45">
        <f>('[2]Renewable Diesel'!AS349*'[2]Feedstock Conversion Rates'!$B$4*$DH$3)/12</f>
        <v>75</v>
      </c>
      <c r="DI340" s="47">
        <f t="shared" si="273"/>
        <v>75</v>
      </c>
      <c r="DJ340" s="45">
        <f>('[2]Renewable Diesel'!AT349*'[2]Feedstock Conversion Rates'!$B$4*0.25)/12</f>
        <v>8.59375</v>
      </c>
      <c r="DK340" s="45">
        <f>('[2]Renewable Diesel'!$AT349*'[2]RD Feedstock Breakdown'!DK$3*'[2]Feedstock Conversion Rates'!$B$3)/12*0.5</f>
        <v>9.1781249999999996</v>
      </c>
      <c r="DL340" s="45">
        <f>('[2]Renewable Diesel'!$AT349*'[2]RD Feedstock Breakdown'!$DL$3*'[2]Feedstock Conversion Rates'!$B$6)/12</f>
        <v>10.747916666666669</v>
      </c>
      <c r="DM340" s="45">
        <f>('[2]Renewable Diesel'!$AT349*'[2]RD Feedstock Breakdown'!$DM$3*'[2]Feedstock Conversion Rates'!$B$8)/12</f>
        <v>10.7421875</v>
      </c>
      <c r="DN340" s="47">
        <f t="shared" si="249"/>
        <v>39.26197916666667</v>
      </c>
      <c r="DP340" s="45">
        <f t="shared" si="290"/>
        <v>48.220250000000007</v>
      </c>
      <c r="DQ340" s="45">
        <f t="shared" si="291"/>
        <v>374.11776750000001</v>
      </c>
      <c r="DR340" s="45">
        <f t="shared" si="296"/>
        <v>1951.953125</v>
      </c>
      <c r="DS340" s="45">
        <f t="shared" ref="DS340:DS375" si="309">AC340+C340+BX340+CI340+DD340+AG340+T340+DJ340+AT340+K340</f>
        <v>228.90125</v>
      </c>
      <c r="DT340" s="45">
        <f t="shared" si="292"/>
        <v>243.03923333333344</v>
      </c>
      <c r="DU340" s="45">
        <f t="shared" si="293"/>
        <v>367.90610000000009</v>
      </c>
      <c r="DV340" s="45">
        <f t="shared" si="297"/>
        <v>78.75</v>
      </c>
      <c r="DW340" s="45">
        <f t="shared" si="294"/>
        <v>3</v>
      </c>
      <c r="DX340" s="47">
        <f t="shared" si="298"/>
        <v>3295.8877258333337</v>
      </c>
      <c r="DY340" s="50">
        <f t="shared" si="286"/>
        <v>-5.631051180898794E-13</v>
      </c>
      <c r="EA340" s="51">
        <f t="shared" si="263"/>
        <v>1.4630428585915492E-2</v>
      </c>
      <c r="EB340" s="51">
        <f t="shared" si="263"/>
        <v>0.11351047081114024</v>
      </c>
      <c r="EC340" s="51">
        <f t="shared" si="263"/>
        <v>0.59223896181307789</v>
      </c>
      <c r="ED340" s="51">
        <f t="shared" si="261"/>
        <v>6.9450560529067937E-2</v>
      </c>
      <c r="EE340" s="51">
        <f t="shared" si="261"/>
        <v>7.3740143339343672E-2</v>
      </c>
      <c r="EF340" s="51">
        <f t="shared" si="261"/>
        <v>0.1116257987541061</v>
      </c>
      <c r="EG340" s="51">
        <f t="shared" si="261"/>
        <v>2.3893410986895441E-2</v>
      </c>
      <c r="EH340" s="52">
        <f t="shared" si="299"/>
        <v>9.1022518045315965E-4</v>
      </c>
      <c r="EI340" s="51">
        <f t="shared" si="271"/>
        <v>0.99908977481954675</v>
      </c>
      <c r="EK340" s="53">
        <f>(EA340*'[2]Renewable Diesel'!BF349*'[2]Feedstock Conversion Rates'!B$2)+FB340</f>
        <v>76.832395101599857</v>
      </c>
      <c r="EL340" s="53">
        <f>(EB340*'[2]Renewable Diesel'!BF349*'[2]Feedstock Conversion Rates'!B$3)+FC340</f>
        <v>561.741925382163</v>
      </c>
      <c r="EM340" s="53">
        <f>(EC340*'[2]Renewable Diesel'!BF349*'[2]Feedstock Conversion Rates'!B$4)+FD340</f>
        <v>2744.268722588828</v>
      </c>
      <c r="EN340" s="53">
        <f>(ED340*'[2]Renewable Diesel'!BF349*'[2]Feedstock Conversion Rates'!B$5)+FE340</f>
        <v>323.95978662451881</v>
      </c>
      <c r="EO340" s="53">
        <f>(EE340*'[2]Renewable Diesel'!BF349*'[2]Feedstock Conversion Rates'!B$6)+FF340</f>
        <v>427.3416408548369</v>
      </c>
      <c r="EP340" s="53">
        <f>(EF340*'[2]Renewable Diesel'!BF349*'[2]Feedstock Conversion Rates'!B$7)+FG340</f>
        <v>634.48418915166792</v>
      </c>
      <c r="EQ340" s="53">
        <f>(EG340*'[2]Renewable Diesel'!BF349*'[2]Feedstock Conversion Rates'!B$8)+FH340</f>
        <v>138.3941801265529</v>
      </c>
      <c r="ER340" s="53">
        <f>(EH340*'[2]Renewable Diesel'!BF349*'[2]Feedstock Conversion Rates'!B$9)+FI340</f>
        <v>5.2018637863440835</v>
      </c>
      <c r="ES340" s="53">
        <f t="shared" si="300"/>
        <v>4912.2247036165118</v>
      </c>
      <c r="ET340" s="36">
        <f>ES340/'[2]Renewable Diesel'!BF349</f>
        <v>7.9507816637522177</v>
      </c>
    </row>
    <row r="341" spans="1:150" x14ac:dyDescent="0.25">
      <c r="A341" s="39">
        <v>50802</v>
      </c>
      <c r="B341" s="45">
        <f t="shared" si="306"/>
        <v>104.25</v>
      </c>
      <c r="C341" s="45">
        <f t="shared" si="251"/>
        <v>49</v>
      </c>
      <c r="D341" s="45">
        <f t="shared" si="307"/>
        <v>2</v>
      </c>
      <c r="E341" s="45">
        <f>('[2]Renewable Diesel'!B350*E$3*'[2]Feedstock Conversion Rates'!$B$2)/12+26+13-100+27.5+39</f>
        <v>95.43</v>
      </c>
      <c r="F341" s="45">
        <f>('[2]Renewable Diesel'!B350*'[2]RD Feedstock Breakdown'!F$3*'[2]Feedstock Conversion Rates'!B$8)/12+77+23-10-12-115.75+24+8</f>
        <v>48.15625</v>
      </c>
      <c r="G341" s="45">
        <f>('[2]Renewable Diesel'!B350*'[2]RD Feedstock Breakdown'!G$3*'[2]Feedstock Conversion Rates'!B$7)/12+116.75-39-57.5-145-31.5+32+70-40+10+25</f>
        <v>116.90700000000004</v>
      </c>
      <c r="H341" s="45">
        <f>('[2]Renewable Diesel'!B350*'[2]RD Feedstock Breakdown'!H$3*'[2]Feedstock Conversion Rates'!B$3)/12+67+10+12+3-235+20+47-20</f>
        <v>80.400224999999978</v>
      </c>
      <c r="I341" s="47">
        <f t="shared" si="245"/>
        <v>496.14347500000002</v>
      </c>
      <c r="J341" s="45">
        <f t="shared" si="281"/>
        <v>4</v>
      </c>
      <c r="K341" s="45"/>
      <c r="L341" s="45">
        <v>1</v>
      </c>
      <c r="M341" s="45">
        <f>('[2]Renewable Diesel'!C350*'[2]RD Feedstock Breakdown'!M$3*'[2]Feedstock Conversion Rates'!B$2)/12-55</f>
        <v>-47.20975</v>
      </c>
      <c r="N341" s="45">
        <f>('[2]Renewable Diesel'!C350*'[2]RD Feedstock Breakdown'!N$3*'[2]Feedstock Conversion Rates'!B$8)/12</f>
        <v>3.671875</v>
      </c>
      <c r="O341" s="45">
        <f>('[2]Renewable Diesel'!C350*'[2]RD Feedstock Breakdown'!O$3*'[2]Feedstock Conversion Rates'!B$7)/12</f>
        <v>11.9991</v>
      </c>
      <c r="P341" s="45">
        <f>('[2]Renewable Diesel'!C350*'[2]RD Feedstock Breakdown'!P$3*'[2]Feedstock Conversion Rates'!B$3)/12+15+35</f>
        <v>60.447042500000002</v>
      </c>
      <c r="Q341" s="47">
        <f t="shared" si="252"/>
        <v>33.908267500000001</v>
      </c>
      <c r="R341" s="45">
        <f>('[2]Renewable Diesel'!D350*'[2]RD Feedstock Breakdown'!R$3*'[2]Feedstock Conversion Rates'!B$7)/12</f>
        <v>2.2999999999999998</v>
      </c>
      <c r="S341" s="47">
        <f t="shared" si="279"/>
        <v>2.2999999999999998</v>
      </c>
      <c r="T341" s="45">
        <f t="shared" si="253"/>
        <v>0.82499999999999929</v>
      </c>
      <c r="U341" s="45"/>
      <c r="V341" s="45">
        <f>('[2]Renewable Diesel'!E350*'[2]RD Feedstock Breakdown'!V$3*'[2]Feedstock Conversion Rates'!B$6)/12-20+25</f>
        <v>49.250150000000012</v>
      </c>
      <c r="W341" s="45">
        <f>('[2]Renewable Diesel'!E350*'[2]RD Feedstock Breakdown'!W$3*'[2]Feedstock Conversion Rates'!B$8)/12-6</f>
        <v>16.1796875</v>
      </c>
      <c r="X341" s="47">
        <f t="shared" si="301"/>
        <v>66.254837500000008</v>
      </c>
      <c r="Y341" s="45">
        <f t="shared" si="254"/>
        <v>98</v>
      </c>
      <c r="Z341" s="45">
        <f>('[2]Renewable Diesel'!F350*'[2]RD Feedstock Breakdown'!Z$3*'[2]Feedstock Conversion Rates'!B$6)/12-142+15+5+20+5+15</f>
        <v>77.460000000000008</v>
      </c>
      <c r="AA341" s="45">
        <f>('[2]Renewable Diesel'!F350*'[2]RD Feedstock Breakdown'!AA$3*'[2]Feedstock Conversion Rates'!B$7)/12+24</f>
        <v>128.26666666666665</v>
      </c>
      <c r="AB341" s="47">
        <f t="shared" si="270"/>
        <v>303.72666666666669</v>
      </c>
      <c r="AC341" s="45">
        <f>('[2]Renewable Diesel'!G350*'[2]RD Feedstock Breakdown'!AC$3*'[2]Feedstock Conversion Rates'!B$5)/12</f>
        <v>11.796875</v>
      </c>
      <c r="AD341" s="45">
        <f>('[2]Renewable Diesel'!G350*'[2]RD Feedstock Breakdown'!AD$3*'[2]Feedstock Conversion Rates'!B$4)/12</f>
        <v>5.859375</v>
      </c>
      <c r="AE341" s="45">
        <f>('[2]Renewable Diesel'!G350*'[2]RD Feedstock Breakdown'!AE$3*'[2]Feedstock Conversion Rates'!B$6)/12</f>
        <v>7.3281250000000009</v>
      </c>
      <c r="AF341" s="47">
        <f t="shared" ref="AF341:AF375" si="310">SUM(AC341:AE341)</f>
        <v>24.984375</v>
      </c>
      <c r="AG341" s="45">
        <f t="shared" si="259"/>
        <v>148</v>
      </c>
      <c r="AH341" s="45"/>
      <c r="AI341" s="45">
        <f>('[2]Renewable Diesel'!H350*'[2]RD Feedstock Breakdown'!AI$3*'[2]Feedstock Conversion Rates'!B$6)/12-130-20+51-49</f>
        <v>0.51666666666667993</v>
      </c>
      <c r="AJ341" s="47">
        <f t="shared" si="278"/>
        <v>148.51666666666668</v>
      </c>
      <c r="AK341" s="45">
        <f>('[2]Renewable Diesel'!J350*'[2]RD Feedstock Breakdown'!AK$3*'[2]Feedstock Conversion Rates'!B$4)/12</f>
        <v>95.8125</v>
      </c>
      <c r="AL341" s="47">
        <f t="shared" si="280"/>
        <v>95.8125</v>
      </c>
      <c r="AM341" s="45">
        <f>('[2]Renewable Diesel'!K350*'[2]RD Feedstock Breakdown'!AM$3*'[2]Feedstock Conversion Rates'!B$4)/12+5+15-10+10</f>
        <v>78.59375</v>
      </c>
      <c r="AN341" s="45">
        <f>('[2]Renewable Diesel'!K350*'[2]RD Feedstock Breakdown'!AN$3*'[2]Feedstock Conversion Rates'!B$6)/12-5-15+10-10</f>
        <v>4.4270833333333321</v>
      </c>
      <c r="AO341" s="47">
        <f t="shared" si="295"/>
        <v>83.020833333333329</v>
      </c>
      <c r="AP341" s="45">
        <f>('[2]Renewable Diesel'!L350*'[2]RD Feedstock Breakdown'!AP$3*'[2]Feedstock Conversion Rates'!B$4)/12+15-10+15</f>
        <v>78.59375</v>
      </c>
      <c r="AQ341" s="45">
        <f>('[2]Renewable Diesel'!L350*'[2]RD Feedstock Breakdown'!AQ$3*'[2]Feedstock Conversion Rates'!B$6)/12-15+10-15</f>
        <v>4.4270833333333321</v>
      </c>
      <c r="AR341" s="47">
        <f t="shared" si="285"/>
        <v>83.020833333333329</v>
      </c>
      <c r="AS341" s="45">
        <f>('[2]Renewable Diesel'!M350*'[2]RD Feedstock Breakdown'!AS$3*'[2]Feedstock Conversion Rates'!B$4)/12</f>
        <v>456.25</v>
      </c>
      <c r="AT341" s="45">
        <f>('[2]Renewable Diesel'!M350*'[2]RD Feedstock Breakdown'!AT$3*'[2]Feedstock Conversion Rates'!B$5)/12</f>
        <v>0</v>
      </c>
      <c r="AU341" s="47">
        <f t="shared" si="244"/>
        <v>456.25</v>
      </c>
      <c r="AV341" s="45">
        <f>'[2]Renewable Diesel'!N350*'[2]RD Feedstock Breakdown'!$AV$3*'[2]Feedstock Conversion Rates'!$B$4/12-15-10+25+25-22+25</f>
        <v>106.74999999999999</v>
      </c>
      <c r="AW341" s="45">
        <f>'[2]Renewable Diesel'!N350*'[2]RD Feedstock Breakdown'!$AW$3*'[2]Feedstock Conversion Rates'!$B$7/12+15+10-25-25+22-25</f>
        <v>13.400000000000006</v>
      </c>
      <c r="AX341" s="47">
        <f t="shared" si="272"/>
        <v>120.14999999999999</v>
      </c>
      <c r="AY341" s="45">
        <f>('[2]Renewable Diesel'!O350*'[2]RD Feedstock Breakdown'!AY$3*'[2]Feedstock Conversion Rates'!B$4)/12</f>
        <v>210.9375</v>
      </c>
      <c r="AZ341" s="45">
        <f>('[2]Renewable Diesel'!O350*'[2]RD Feedstock Breakdown'!AZ$3*'[2]Feedstock Conversion Rates'!B$3)/12</f>
        <v>25.03125</v>
      </c>
      <c r="BA341" s="47">
        <f t="shared" si="255"/>
        <v>235.96875</v>
      </c>
      <c r="BB341" s="45">
        <f>('[2]Renewable Diesel'!Q350*'[2]RD Feedstock Breakdown'!BB$3*'[2]Feedstock Conversion Rates'!B$4)/12</f>
        <v>11.156249999999998</v>
      </c>
      <c r="BC341" s="45">
        <f>('[2]Renewable Diesel'!Q350*'[2]RD Feedstock Breakdown'!BC$3*'[2]Feedstock Conversion Rates'!B$3)/12</f>
        <v>1.4017500000000001</v>
      </c>
      <c r="BD341" s="45">
        <f>('[2]Renewable Diesel'!Q350*'[2]RD Feedstock Breakdown'!BD$3*'[2]Feedstock Conversion Rates'!B$6)/12</f>
        <v>0.8207500000000002</v>
      </c>
      <c r="BE341" s="47">
        <f t="shared" si="303"/>
        <v>13.378749999999998</v>
      </c>
      <c r="BF341" s="45">
        <f>('[2]Renewable Diesel'!R350*'[2]RD Feedstock Breakdown'!BF$3*'[2]Feedstock Conversion Rates'!B$4)/12</f>
        <v>62.5</v>
      </c>
      <c r="BG341" s="47">
        <f t="shared" si="289"/>
        <v>62.5</v>
      </c>
      <c r="BH341" s="45">
        <f>('[2]Renewable Diesel'!T350*'[2]RD Feedstock Breakdown'!BH$3*'[2]Feedstock Conversion Rates'!B$7)/12</f>
        <v>27.599999999999998</v>
      </c>
      <c r="BI341" s="47">
        <f t="shared" si="277"/>
        <v>27.599999999999998</v>
      </c>
      <c r="BJ341" s="45">
        <f>('[2]Renewable Diesel'!W350*'[2]RD Feedstock Breakdown'!BJ$3*'[2]Feedstock Conversion Rates'!B$4)/12</f>
        <v>7.5</v>
      </c>
      <c r="BK341" s="45">
        <f>('[2]Renewable Diesel'!W350*'[2]RD Feedstock Breakdown'!BK$3*'[2]Feedstock Conversion Rates'!B$3)/12</f>
        <v>1.335</v>
      </c>
      <c r="BL341" s="45">
        <f>('[2]Renewable Diesel'!W350*'[2]RD Feedstock Breakdown'!BL$3*'[2]Feedstock Conversion Rates'!B$6)/12</f>
        <v>3.1266666666666669</v>
      </c>
      <c r="BM341" s="45">
        <f>('[2]Renewable Diesel'!W350*'[2]RD Feedstock Breakdown'!BM$3*'[2]Feedstock Conversion Rates'!B$7)/12</f>
        <v>1.5333333333333332</v>
      </c>
      <c r="BN341" s="47">
        <f t="shared" si="248"/>
        <v>13.495000000000001</v>
      </c>
      <c r="BO341" s="45">
        <f>('[2]Renewable Diesel'!P350*'[2]Feedstock Conversion Rates'!B$4)/12</f>
        <v>31.25</v>
      </c>
      <c r="BP341" s="47">
        <f t="shared" ref="BP341:BP375" si="311">BO341</f>
        <v>31.25</v>
      </c>
      <c r="BQ341" s="45">
        <f>('[2]Renewable Diesel'!$S350*'[2]RD Feedstock Breakdown'!BQ$3*'[2]Feedstock Conversion Rates'!B$4)/12+10+15-15</f>
        <v>38.125</v>
      </c>
      <c r="BR341" s="45">
        <f>('[2]Renewable Diesel'!$S350*'[2]RD Feedstock Breakdown'!BR$3*'[2]Feedstock Conversion Rates'!B$7)/12-10-15+15</f>
        <v>1.5</v>
      </c>
      <c r="BS341" s="47">
        <f t="shared" si="260"/>
        <v>39.625</v>
      </c>
      <c r="BT341" s="47"/>
      <c r="BU341" s="45">
        <f>('[2]Renewable Diesel'!Y350*'[2]Feedstock Conversion Rates'!B$7)/12</f>
        <v>2.6833333333333331</v>
      </c>
      <c r="BV341" s="47">
        <f t="shared" si="305"/>
        <v>2.6833333333333331</v>
      </c>
      <c r="BW341" s="45">
        <f>('[2]Renewable Diesel'!$Z350*'[2]RD Feedstock Breakdown'!BW$3*'[2]Feedstock Conversion Rates'!$B$4)/12-180+110</f>
        <v>1.875</v>
      </c>
      <c r="BX341" s="45">
        <f>('[2]Renewable Diesel'!$Z350*'[2]RD Feedstock Breakdown'!BX$3*'[2]Feedstock Conversion Rates'!$B$5)/12</f>
        <v>7.2354166666666666</v>
      </c>
      <c r="BY341" s="45">
        <f>('[2]Renewable Diesel'!$Z350*'[2]RD Feedstock Breakdown'!BY$3*'[2]Feedstock Conversion Rates'!$B$7)/12</f>
        <v>61.716666666666661</v>
      </c>
      <c r="BZ341" s="45">
        <f>('[2]Renewable Diesel'!$Z350*'[2]RD Feedstock Breakdown'!BZ$3*'[2]Feedstock Conversion Rates'!$B$3)/12+180-110</f>
        <v>85.352499999999992</v>
      </c>
      <c r="CA341" s="47">
        <f t="shared" si="262"/>
        <v>156.17958333333331</v>
      </c>
      <c r="CB341" s="45">
        <f>('[2]Renewable Diesel'!AA350*'[2]Feedstock Conversion Rates'!B$4)/12</f>
        <v>191.25</v>
      </c>
      <c r="CC341" s="47">
        <f t="shared" si="250"/>
        <v>191.25</v>
      </c>
      <c r="CD341" s="45">
        <f>('[2]Renewable Diesel'!$AB350*'[2]RD Feedstock Breakdown'!CD$3*'[2]Feedstock Conversion Rates'!$B$6)/12-15-5</f>
        <v>12.830000000000005</v>
      </c>
      <c r="CE341" s="45">
        <f>('[2]Renewable Diesel'!$AB350*'[2]RD Feedstock Breakdown'!CE$3*'[2]Feedstock Conversion Rates'!$B$4)/12+15+5</f>
        <v>31.25</v>
      </c>
      <c r="CF341" s="47">
        <f t="shared" si="247"/>
        <v>44.080000000000005</v>
      </c>
      <c r="CG341" s="45">
        <f>('[2]Renewable Diesel'!AD350*'[2]Feedstock Conversion Rates'!B$4)/12</f>
        <v>112.5</v>
      </c>
      <c r="CH341" s="47">
        <f t="shared" si="302"/>
        <v>112.5</v>
      </c>
      <c r="CI341" s="45">
        <f>('[2]Renewable Diesel'!$AE350*'[2]RD Feedstock Breakdown'!CI$3*'[2]Feedstock Conversion Rates'!$B$5)/12</f>
        <v>0.34604166666666664</v>
      </c>
      <c r="CJ341" s="45">
        <f>('[2]Renewable Diesel'!$AE350*'[2]RD Feedstock Breakdown'!CJ$3*'[2]Feedstock Conversion Rates'!$B$4)/12</f>
        <v>0.34375</v>
      </c>
      <c r="CK341" s="47">
        <f t="shared" ref="CK341:CK375" si="312">SUM(CI341:CJ341)</f>
        <v>0.68979166666666658</v>
      </c>
      <c r="CL341" s="45">
        <f>(((CL$3*'[2]Renewable Diesel'!$AF350)*'[2]Feedstock Conversion Rates'!$B$3)/12)</f>
        <v>91.78125</v>
      </c>
      <c r="CM341" s="45">
        <f>(((CM$3*'[2]Renewable Diesel'!$AF350)*'[2]Feedstock Conversion Rates'!$B$6)/12)</f>
        <v>53.739583333333336</v>
      </c>
      <c r="CN341" s="45">
        <f>(((CN$3*'[2]Renewable Diesel'!$AF350)*'[2]Feedstock Conversion Rates'!$B$4)/12)</f>
        <v>42.96875</v>
      </c>
      <c r="CO341" s="47">
        <f t="shared" si="304"/>
        <v>188.48958333333334</v>
      </c>
      <c r="CP341" s="45">
        <f>('[2]Renewable Diesel'!$AG350*'[2]RD Feedstock Breakdown'!CP$3*'[2]Feedstock Conversion Rates'!$B$3)/12</f>
        <v>6.0075000000000003</v>
      </c>
      <c r="CQ341" s="45">
        <f>('[2]Renewable Diesel'!$AG350*'[2]RD Feedstock Breakdown'!CQ$3*'[2]Feedstock Conversion Rates'!$B$6)/12</f>
        <v>3.5175000000000001</v>
      </c>
      <c r="CR341" s="45">
        <f>('[2]Renewable Diesel'!$AG350*'[2]RD Feedstock Breakdown'!CR$3*'[2]Feedstock Conversion Rates'!$B$4)/12</f>
        <v>2.8125</v>
      </c>
      <c r="CS341" s="47">
        <f t="shared" si="267"/>
        <v>12.3375</v>
      </c>
      <c r="CT341" s="45">
        <f>('[2]Renewable Diesel'!AI350*'[2]Feedstock Conversion Rates'!$B$4*'[2]RD Feedstock Breakdown'!$CT$3)/12</f>
        <v>29.375</v>
      </c>
      <c r="CU341" s="47">
        <f t="shared" si="308"/>
        <v>29.375</v>
      </c>
      <c r="CV341" s="45">
        <f>('[2]Renewable Diesel'!AN350*'[2]Feedstock Conversion Rates'!$B$3*'[2]RD Feedstock Breakdown'!$CV$3)/12</f>
        <v>0.50062499999999999</v>
      </c>
      <c r="CW341" s="47">
        <f t="shared" si="284"/>
        <v>0.50062499999999999</v>
      </c>
      <c r="CX341" s="45">
        <f>('[2]Renewable Diesel'!AO350*'[2]RD Feedstock Breakdown'!$CX$3*'[2]Feedstock Conversion Rates'!$B$3)/12</f>
        <v>6.3412499999999996</v>
      </c>
      <c r="CY341" s="45">
        <f>('[2]Renewable Diesel'!AO350*'[2]RD Feedstock Breakdown'!$CY$3*'[2]Feedstock Conversion Rates'!$B$6)/12</f>
        <v>7.4258333333333342</v>
      </c>
      <c r="CZ341" s="47">
        <f t="shared" si="268"/>
        <v>13.767083333333334</v>
      </c>
      <c r="DA341" s="45">
        <f>('[2]Renewable Diesel'!$AP350*'[2]RD Feedstock Breakdown'!DA$3*'[2]Feedstock Conversion Rates'!$B$3)/12</f>
        <v>6.3412499999999996</v>
      </c>
      <c r="DB341" s="45">
        <f>('[2]Renewable Diesel'!$AP350*'[2]RD Feedstock Breakdown'!DB$3*'[2]Feedstock Conversion Rates'!$B$8)/12</f>
        <v>7.421875</v>
      </c>
      <c r="DC341" s="47">
        <f t="shared" si="287"/>
        <v>13.763124999999999</v>
      </c>
      <c r="DD341" s="45">
        <f>('[2]Renewable Diesel'!AQ350*$DD$3*'[2]Feedstock Conversion Rates'!$B$14)/12</f>
        <v>3.1041666666666665</v>
      </c>
      <c r="DE341" s="47">
        <f t="shared" si="288"/>
        <v>3.1041666666666665</v>
      </c>
      <c r="DF341" s="45">
        <f>('[2]Renewable Diesel'!AR350*'[2]Feedstock Conversion Rates'!$B$4*$DF$3)/12</f>
        <v>75</v>
      </c>
      <c r="DG341" s="47">
        <f t="shared" si="269"/>
        <v>75</v>
      </c>
      <c r="DH341" s="45">
        <f>('[2]Renewable Diesel'!AS350*'[2]Feedstock Conversion Rates'!$B$4*$DH$3)/12</f>
        <v>75</v>
      </c>
      <c r="DI341" s="47">
        <f t="shared" si="273"/>
        <v>75</v>
      </c>
      <c r="DJ341" s="45">
        <f>('[2]Renewable Diesel'!AT350*'[2]Feedstock Conversion Rates'!$B$4*0.25)/12</f>
        <v>8.59375</v>
      </c>
      <c r="DK341" s="45">
        <f>('[2]Renewable Diesel'!$AT350*'[2]RD Feedstock Breakdown'!DK$3*'[2]Feedstock Conversion Rates'!$B$3)/12*0.5</f>
        <v>9.1781249999999996</v>
      </c>
      <c r="DL341" s="45">
        <f>('[2]Renewable Diesel'!$AT350*'[2]RD Feedstock Breakdown'!$DL$3*'[2]Feedstock Conversion Rates'!$B$6)/12</f>
        <v>10.747916666666669</v>
      </c>
      <c r="DM341" s="45">
        <f>('[2]Renewable Diesel'!$AT350*'[2]RD Feedstock Breakdown'!$DM$3*'[2]Feedstock Conversion Rates'!$B$8)/12</f>
        <v>10.7421875</v>
      </c>
      <c r="DN341" s="47">
        <f t="shared" si="249"/>
        <v>39.26197916666667</v>
      </c>
      <c r="DP341" s="45">
        <f t="shared" si="290"/>
        <v>48.220250000000007</v>
      </c>
      <c r="DQ341" s="45">
        <f t="shared" si="291"/>
        <v>374.11776750000001</v>
      </c>
      <c r="DR341" s="45">
        <f t="shared" si="296"/>
        <v>1951.953125</v>
      </c>
      <c r="DS341" s="45">
        <f t="shared" si="309"/>
        <v>228.90125</v>
      </c>
      <c r="DT341" s="45">
        <f t="shared" si="292"/>
        <v>243.03923333333344</v>
      </c>
      <c r="DU341" s="45">
        <f t="shared" si="293"/>
        <v>367.90610000000009</v>
      </c>
      <c r="DV341" s="45">
        <f t="shared" si="297"/>
        <v>78.75</v>
      </c>
      <c r="DW341" s="45">
        <f t="shared" si="294"/>
        <v>3</v>
      </c>
      <c r="DX341" s="47">
        <f t="shared" si="298"/>
        <v>3295.8877258333337</v>
      </c>
      <c r="DY341" s="50">
        <f t="shared" si="286"/>
        <v>-5.631051180898794E-13</v>
      </c>
      <c r="EA341" s="51">
        <f t="shared" si="263"/>
        <v>1.4630428585915492E-2</v>
      </c>
      <c r="EB341" s="51">
        <f t="shared" si="263"/>
        <v>0.11351047081114024</v>
      </c>
      <c r="EC341" s="51">
        <f t="shared" si="263"/>
        <v>0.59223896181307789</v>
      </c>
      <c r="ED341" s="51">
        <f t="shared" si="261"/>
        <v>6.9450560529067937E-2</v>
      </c>
      <c r="EE341" s="51">
        <f t="shared" si="261"/>
        <v>7.3740143339343672E-2</v>
      </c>
      <c r="EF341" s="51">
        <f t="shared" si="261"/>
        <v>0.1116257987541061</v>
      </c>
      <c r="EG341" s="51">
        <f t="shared" si="261"/>
        <v>2.3893410986895441E-2</v>
      </c>
      <c r="EH341" s="52">
        <f t="shared" si="299"/>
        <v>9.1022518045315965E-4</v>
      </c>
      <c r="EI341" s="51">
        <f t="shared" si="271"/>
        <v>0.99908977481954675</v>
      </c>
      <c r="EK341" s="53">
        <f>(EA341*'[2]Renewable Diesel'!BF350*'[2]Feedstock Conversion Rates'!B$2)+FB341</f>
        <v>110.74541193955629</v>
      </c>
      <c r="EL341" s="53">
        <f>(EB341*'[2]Renewable Diesel'!BF350*'[2]Feedstock Conversion Rates'!B$3)+FC341</f>
        <v>809.68894498086217</v>
      </c>
      <c r="EM341" s="53">
        <f>(EC341*'[2]Renewable Diesel'!BF350*'[2]Feedstock Conversion Rates'!B$4)+FD341</f>
        <v>3955.5602783702811</v>
      </c>
      <c r="EN341" s="53">
        <f>(ED341*'[2]Renewable Diesel'!BF350*'[2]Feedstock Conversion Rates'!B$5)+FE341</f>
        <v>466.95225333195475</v>
      </c>
      <c r="EO341" s="53">
        <f>(EE341*'[2]Renewable Diesel'!BF350*'[2]Feedstock Conversion Rates'!B$6)+FF341</f>
        <v>615.96577840392456</v>
      </c>
      <c r="EP341" s="53">
        <f>(EF341*'[2]Renewable Diesel'!BF350*'[2]Feedstock Conversion Rates'!B$7)+FG341</f>
        <v>914.53888433153497</v>
      </c>
      <c r="EQ341" s="53">
        <f>(EG341*'[2]Renewable Diesel'!BF350*'[2]Feedstock Conversion Rates'!B$8)+FH341</f>
        <v>199.47992598545346</v>
      </c>
      <c r="ER341" s="53">
        <f>(EH341*'[2]Renewable Diesel'!BF350*'[2]Feedstock Conversion Rates'!B$9)+FI341</f>
        <v>7.4979121386278385</v>
      </c>
      <c r="ES341" s="53">
        <f t="shared" si="300"/>
        <v>7080.4293894821958</v>
      </c>
      <c r="ET341" s="36">
        <f>ES341/'[2]Renewable Diesel'!BF350</f>
        <v>7.9507816637522195</v>
      </c>
    </row>
    <row r="342" spans="1:150" x14ac:dyDescent="0.25">
      <c r="A342" s="39">
        <v>50830</v>
      </c>
      <c r="B342" s="45">
        <f t="shared" si="306"/>
        <v>104.25</v>
      </c>
      <c r="C342" s="45">
        <f t="shared" si="251"/>
        <v>49</v>
      </c>
      <c r="D342" s="45">
        <f t="shared" si="307"/>
        <v>2</v>
      </c>
      <c r="E342" s="45">
        <f>('[2]Renewable Diesel'!B351*E$3*'[2]Feedstock Conversion Rates'!$B$2)/12+26+13-100+27.5+39</f>
        <v>95.43</v>
      </c>
      <c r="F342" s="45">
        <f>('[2]Renewable Diesel'!B351*'[2]RD Feedstock Breakdown'!F$3*'[2]Feedstock Conversion Rates'!B$8)/12+77+23-10-12-115.75+24+8</f>
        <v>48.15625</v>
      </c>
      <c r="G342" s="45">
        <f>('[2]Renewable Diesel'!B351*'[2]RD Feedstock Breakdown'!G$3*'[2]Feedstock Conversion Rates'!B$7)/12+116.75-39-57.5-145-31.5+32+70-40+10+25</f>
        <v>116.90700000000004</v>
      </c>
      <c r="H342" s="45">
        <f>('[2]Renewable Diesel'!B351*'[2]RD Feedstock Breakdown'!H$3*'[2]Feedstock Conversion Rates'!B$3)/12+67+10+12+3-235+20+47-20</f>
        <v>80.400224999999978</v>
      </c>
      <c r="I342" s="47">
        <f t="shared" si="245"/>
        <v>496.14347500000002</v>
      </c>
      <c r="J342" s="45">
        <f t="shared" si="281"/>
        <v>4</v>
      </c>
      <c r="K342" s="45"/>
      <c r="L342" s="45">
        <v>1</v>
      </c>
      <c r="M342" s="45">
        <f>('[2]Renewable Diesel'!C351*'[2]RD Feedstock Breakdown'!M$3*'[2]Feedstock Conversion Rates'!B$2)/12-55</f>
        <v>-47.20975</v>
      </c>
      <c r="N342" s="45">
        <f>('[2]Renewable Diesel'!C351*'[2]RD Feedstock Breakdown'!N$3*'[2]Feedstock Conversion Rates'!B$8)/12</f>
        <v>3.671875</v>
      </c>
      <c r="O342" s="45">
        <f>('[2]Renewable Diesel'!C351*'[2]RD Feedstock Breakdown'!O$3*'[2]Feedstock Conversion Rates'!B$7)/12</f>
        <v>11.9991</v>
      </c>
      <c r="P342" s="45">
        <f>('[2]Renewable Diesel'!C351*'[2]RD Feedstock Breakdown'!P$3*'[2]Feedstock Conversion Rates'!B$3)/12+15+35</f>
        <v>60.447042500000002</v>
      </c>
      <c r="Q342" s="47">
        <f t="shared" si="252"/>
        <v>33.908267500000001</v>
      </c>
      <c r="R342" s="45">
        <f>('[2]Renewable Diesel'!D351*'[2]RD Feedstock Breakdown'!R$3*'[2]Feedstock Conversion Rates'!B$7)/12</f>
        <v>2.2999999999999998</v>
      </c>
      <c r="S342" s="47">
        <f t="shared" si="279"/>
        <v>2.2999999999999998</v>
      </c>
      <c r="T342" s="45">
        <f t="shared" si="253"/>
        <v>0.82499999999999929</v>
      </c>
      <c r="U342" s="45"/>
      <c r="V342" s="45">
        <f>('[2]Renewable Diesel'!E351*'[2]RD Feedstock Breakdown'!V$3*'[2]Feedstock Conversion Rates'!B$6)/12-20+25</f>
        <v>49.250150000000012</v>
      </c>
      <c r="W342" s="45">
        <f>('[2]Renewable Diesel'!E351*'[2]RD Feedstock Breakdown'!W$3*'[2]Feedstock Conversion Rates'!B$8)/12-6</f>
        <v>16.1796875</v>
      </c>
      <c r="X342" s="47">
        <f t="shared" si="301"/>
        <v>66.254837500000008</v>
      </c>
      <c r="Y342" s="45">
        <f t="shared" si="254"/>
        <v>98</v>
      </c>
      <c r="Z342" s="45">
        <f>('[2]Renewable Diesel'!F351*'[2]RD Feedstock Breakdown'!Z$3*'[2]Feedstock Conversion Rates'!B$6)/12-142+15+5+20+5+15</f>
        <v>77.460000000000008</v>
      </c>
      <c r="AA342" s="45">
        <f>('[2]Renewable Diesel'!F351*'[2]RD Feedstock Breakdown'!AA$3*'[2]Feedstock Conversion Rates'!B$7)/12+24</f>
        <v>128.26666666666665</v>
      </c>
      <c r="AB342" s="47">
        <f t="shared" si="270"/>
        <v>303.72666666666669</v>
      </c>
      <c r="AC342" s="45">
        <f>('[2]Renewable Diesel'!G351*'[2]RD Feedstock Breakdown'!AC$3*'[2]Feedstock Conversion Rates'!B$5)/12</f>
        <v>11.796875</v>
      </c>
      <c r="AD342" s="45">
        <f>('[2]Renewable Diesel'!G351*'[2]RD Feedstock Breakdown'!AD$3*'[2]Feedstock Conversion Rates'!B$4)/12</f>
        <v>5.859375</v>
      </c>
      <c r="AE342" s="45">
        <f>('[2]Renewable Diesel'!G351*'[2]RD Feedstock Breakdown'!AE$3*'[2]Feedstock Conversion Rates'!B$6)/12</f>
        <v>7.3281250000000009</v>
      </c>
      <c r="AF342" s="47">
        <f t="shared" si="310"/>
        <v>24.984375</v>
      </c>
      <c r="AG342" s="45">
        <f t="shared" si="259"/>
        <v>148</v>
      </c>
      <c r="AH342" s="45"/>
      <c r="AI342" s="45">
        <f>('[2]Renewable Diesel'!H351*'[2]RD Feedstock Breakdown'!AI$3*'[2]Feedstock Conversion Rates'!B$6)/12-130-20+51-49</f>
        <v>0.51666666666667993</v>
      </c>
      <c r="AJ342" s="47">
        <f t="shared" si="278"/>
        <v>148.51666666666668</v>
      </c>
      <c r="AK342" s="45">
        <f>('[2]Renewable Diesel'!J351*'[2]RD Feedstock Breakdown'!AK$3*'[2]Feedstock Conversion Rates'!B$4)/12</f>
        <v>95.8125</v>
      </c>
      <c r="AL342" s="47">
        <f t="shared" si="280"/>
        <v>95.8125</v>
      </c>
      <c r="AM342" s="45">
        <f>('[2]Renewable Diesel'!K351*'[2]RD Feedstock Breakdown'!AM$3*'[2]Feedstock Conversion Rates'!B$4)/12+5+15-10+10</f>
        <v>78.59375</v>
      </c>
      <c r="AN342" s="45">
        <f>('[2]Renewable Diesel'!K351*'[2]RD Feedstock Breakdown'!AN$3*'[2]Feedstock Conversion Rates'!B$6)/12-5-15+10-10</f>
        <v>4.4270833333333321</v>
      </c>
      <c r="AO342" s="47">
        <f t="shared" si="295"/>
        <v>83.020833333333329</v>
      </c>
      <c r="AP342" s="45">
        <f>('[2]Renewable Diesel'!L351*'[2]RD Feedstock Breakdown'!AP$3*'[2]Feedstock Conversion Rates'!B$4)/12+15-10+15</f>
        <v>78.59375</v>
      </c>
      <c r="AQ342" s="45">
        <f>('[2]Renewable Diesel'!L351*'[2]RD Feedstock Breakdown'!AQ$3*'[2]Feedstock Conversion Rates'!B$6)/12-15+10-15</f>
        <v>4.4270833333333321</v>
      </c>
      <c r="AR342" s="47">
        <f t="shared" si="285"/>
        <v>83.020833333333329</v>
      </c>
      <c r="AS342" s="45">
        <f>('[2]Renewable Diesel'!M351*'[2]RD Feedstock Breakdown'!AS$3*'[2]Feedstock Conversion Rates'!B$4)/12</f>
        <v>456.25</v>
      </c>
      <c r="AT342" s="45">
        <f>('[2]Renewable Diesel'!M351*'[2]RD Feedstock Breakdown'!AT$3*'[2]Feedstock Conversion Rates'!B$5)/12</f>
        <v>0</v>
      </c>
      <c r="AU342" s="47">
        <f t="shared" ref="AU342:AU375" si="313">SUM(AS342:AT342)</f>
        <v>456.25</v>
      </c>
      <c r="AV342" s="45">
        <f>'[2]Renewable Diesel'!N351*'[2]RD Feedstock Breakdown'!$AV$3*'[2]Feedstock Conversion Rates'!$B$4/12-15-10+25+25-22+25</f>
        <v>106.74999999999999</v>
      </c>
      <c r="AW342" s="45">
        <f>'[2]Renewable Diesel'!N351*'[2]RD Feedstock Breakdown'!$AW$3*'[2]Feedstock Conversion Rates'!$B$7/12+15+10-25-25+22-25</f>
        <v>13.400000000000006</v>
      </c>
      <c r="AX342" s="47">
        <f t="shared" si="272"/>
        <v>120.14999999999999</v>
      </c>
      <c r="AY342" s="45">
        <f>('[2]Renewable Diesel'!O351*'[2]RD Feedstock Breakdown'!AY$3*'[2]Feedstock Conversion Rates'!B$4)/12</f>
        <v>210.9375</v>
      </c>
      <c r="AZ342" s="45">
        <f>('[2]Renewable Diesel'!O351*'[2]RD Feedstock Breakdown'!AZ$3*'[2]Feedstock Conversion Rates'!B$3)/12</f>
        <v>25.03125</v>
      </c>
      <c r="BA342" s="47">
        <f t="shared" si="255"/>
        <v>235.96875</v>
      </c>
      <c r="BB342" s="45">
        <f>('[2]Renewable Diesel'!Q351*'[2]RD Feedstock Breakdown'!BB$3*'[2]Feedstock Conversion Rates'!B$4)/12</f>
        <v>11.156249999999998</v>
      </c>
      <c r="BC342" s="45">
        <f>('[2]Renewable Diesel'!Q351*'[2]RD Feedstock Breakdown'!BC$3*'[2]Feedstock Conversion Rates'!B$3)/12</f>
        <v>1.4017500000000001</v>
      </c>
      <c r="BD342" s="45">
        <f>('[2]Renewable Diesel'!Q351*'[2]RD Feedstock Breakdown'!BD$3*'[2]Feedstock Conversion Rates'!B$6)/12</f>
        <v>0.8207500000000002</v>
      </c>
      <c r="BE342" s="47">
        <f t="shared" si="303"/>
        <v>13.378749999999998</v>
      </c>
      <c r="BF342" s="45">
        <f>('[2]Renewable Diesel'!R351*'[2]RD Feedstock Breakdown'!BF$3*'[2]Feedstock Conversion Rates'!B$4)/12</f>
        <v>62.5</v>
      </c>
      <c r="BG342" s="47">
        <f t="shared" si="289"/>
        <v>62.5</v>
      </c>
      <c r="BH342" s="45">
        <f>('[2]Renewable Diesel'!T351*'[2]RD Feedstock Breakdown'!BH$3*'[2]Feedstock Conversion Rates'!B$7)/12</f>
        <v>27.599999999999998</v>
      </c>
      <c r="BI342" s="47">
        <f t="shared" si="277"/>
        <v>27.599999999999998</v>
      </c>
      <c r="BJ342" s="45">
        <f>('[2]Renewable Diesel'!W351*'[2]RD Feedstock Breakdown'!BJ$3*'[2]Feedstock Conversion Rates'!B$4)/12</f>
        <v>7.5</v>
      </c>
      <c r="BK342" s="45">
        <f>('[2]Renewable Diesel'!W351*'[2]RD Feedstock Breakdown'!BK$3*'[2]Feedstock Conversion Rates'!B$3)/12</f>
        <v>1.335</v>
      </c>
      <c r="BL342" s="45">
        <f>('[2]Renewable Diesel'!W351*'[2]RD Feedstock Breakdown'!BL$3*'[2]Feedstock Conversion Rates'!B$6)/12</f>
        <v>3.1266666666666669</v>
      </c>
      <c r="BM342" s="45">
        <f>('[2]Renewable Diesel'!W351*'[2]RD Feedstock Breakdown'!BM$3*'[2]Feedstock Conversion Rates'!B$7)/12</f>
        <v>1.5333333333333332</v>
      </c>
      <c r="BN342" s="47">
        <f t="shared" si="248"/>
        <v>13.495000000000001</v>
      </c>
      <c r="BO342" s="45">
        <f>('[2]Renewable Diesel'!P351*'[2]Feedstock Conversion Rates'!B$4)/12</f>
        <v>31.25</v>
      </c>
      <c r="BP342" s="47">
        <f t="shared" si="311"/>
        <v>31.25</v>
      </c>
      <c r="BQ342" s="45">
        <f>('[2]Renewable Diesel'!$S351*'[2]RD Feedstock Breakdown'!BQ$3*'[2]Feedstock Conversion Rates'!B$4)/12+10+15-15</f>
        <v>38.125</v>
      </c>
      <c r="BR342" s="45">
        <f>('[2]Renewable Diesel'!$S351*'[2]RD Feedstock Breakdown'!BR$3*'[2]Feedstock Conversion Rates'!B$7)/12-10-15+15</f>
        <v>1.5</v>
      </c>
      <c r="BS342" s="47">
        <f t="shared" si="260"/>
        <v>39.625</v>
      </c>
      <c r="BT342" s="47"/>
      <c r="BU342" s="45">
        <f>('[2]Renewable Diesel'!Y351*'[2]Feedstock Conversion Rates'!B$7)/12</f>
        <v>2.6833333333333331</v>
      </c>
      <c r="BV342" s="47">
        <f t="shared" si="305"/>
        <v>2.6833333333333331</v>
      </c>
      <c r="BW342" s="45">
        <f>('[2]Renewable Diesel'!$Z351*'[2]RD Feedstock Breakdown'!BW$3*'[2]Feedstock Conversion Rates'!$B$4)/12-180+110</f>
        <v>1.875</v>
      </c>
      <c r="BX342" s="45">
        <f>('[2]Renewable Diesel'!$Z351*'[2]RD Feedstock Breakdown'!BX$3*'[2]Feedstock Conversion Rates'!$B$5)/12</f>
        <v>7.2354166666666666</v>
      </c>
      <c r="BY342" s="45">
        <f>('[2]Renewable Diesel'!$Z351*'[2]RD Feedstock Breakdown'!BY$3*'[2]Feedstock Conversion Rates'!$B$7)/12</f>
        <v>61.716666666666661</v>
      </c>
      <c r="BZ342" s="45">
        <f>('[2]Renewable Diesel'!$Z351*'[2]RD Feedstock Breakdown'!BZ$3*'[2]Feedstock Conversion Rates'!$B$3)/12+180-110</f>
        <v>85.352499999999992</v>
      </c>
      <c r="CA342" s="47">
        <f t="shared" si="262"/>
        <v>156.17958333333331</v>
      </c>
      <c r="CB342" s="45">
        <f>('[2]Renewable Diesel'!AA351*'[2]Feedstock Conversion Rates'!B$4)/12</f>
        <v>191.25</v>
      </c>
      <c r="CC342" s="47">
        <f t="shared" si="250"/>
        <v>191.25</v>
      </c>
      <c r="CD342" s="45">
        <f>('[2]Renewable Diesel'!$AB351*'[2]RD Feedstock Breakdown'!CD$3*'[2]Feedstock Conversion Rates'!$B$6)/12-15-5</f>
        <v>12.830000000000005</v>
      </c>
      <c r="CE342" s="45">
        <f>('[2]Renewable Diesel'!$AB351*'[2]RD Feedstock Breakdown'!CE$3*'[2]Feedstock Conversion Rates'!$B$4)/12+15+5</f>
        <v>31.25</v>
      </c>
      <c r="CF342" s="47">
        <f t="shared" si="247"/>
        <v>44.080000000000005</v>
      </c>
      <c r="CG342" s="45">
        <f>('[2]Renewable Diesel'!AD351*'[2]Feedstock Conversion Rates'!B$4)/12</f>
        <v>112.5</v>
      </c>
      <c r="CH342" s="47">
        <f t="shared" si="302"/>
        <v>112.5</v>
      </c>
      <c r="CI342" s="45">
        <f>('[2]Renewable Diesel'!$AE351*'[2]RD Feedstock Breakdown'!CI$3*'[2]Feedstock Conversion Rates'!$B$5)/12</f>
        <v>0.34604166666666664</v>
      </c>
      <c r="CJ342" s="45">
        <f>('[2]Renewable Diesel'!$AE351*'[2]RD Feedstock Breakdown'!CJ$3*'[2]Feedstock Conversion Rates'!$B$4)/12</f>
        <v>0.34375</v>
      </c>
      <c r="CK342" s="47">
        <f t="shared" si="312"/>
        <v>0.68979166666666658</v>
      </c>
      <c r="CL342" s="45">
        <f>(((CL$3*'[2]Renewable Diesel'!$AF351)*'[2]Feedstock Conversion Rates'!$B$3)/12)</f>
        <v>91.78125</v>
      </c>
      <c r="CM342" s="45">
        <f>(((CM$3*'[2]Renewable Diesel'!$AF351)*'[2]Feedstock Conversion Rates'!$B$6)/12)</f>
        <v>53.739583333333336</v>
      </c>
      <c r="CN342" s="45">
        <f>(((CN$3*'[2]Renewable Diesel'!$AF351)*'[2]Feedstock Conversion Rates'!$B$4)/12)</f>
        <v>42.96875</v>
      </c>
      <c r="CO342" s="47">
        <f t="shared" si="304"/>
        <v>188.48958333333334</v>
      </c>
      <c r="CP342" s="45">
        <f>('[2]Renewable Diesel'!$AG351*'[2]RD Feedstock Breakdown'!CP$3*'[2]Feedstock Conversion Rates'!$B$3)/12</f>
        <v>6.0075000000000003</v>
      </c>
      <c r="CQ342" s="45">
        <f>('[2]Renewable Diesel'!$AG351*'[2]RD Feedstock Breakdown'!CQ$3*'[2]Feedstock Conversion Rates'!$B$6)/12</f>
        <v>3.5175000000000001</v>
      </c>
      <c r="CR342" s="45">
        <f>('[2]Renewable Diesel'!$AG351*'[2]RD Feedstock Breakdown'!CR$3*'[2]Feedstock Conversion Rates'!$B$4)/12</f>
        <v>2.8125</v>
      </c>
      <c r="CS342" s="47">
        <f t="shared" si="267"/>
        <v>12.3375</v>
      </c>
      <c r="CT342" s="45">
        <f>('[2]Renewable Diesel'!AI351*'[2]Feedstock Conversion Rates'!$B$4*'[2]RD Feedstock Breakdown'!$CT$3)/12</f>
        <v>29.375</v>
      </c>
      <c r="CU342" s="47">
        <f t="shared" si="308"/>
        <v>29.375</v>
      </c>
      <c r="CV342" s="45">
        <f>('[2]Renewable Diesel'!AN351*'[2]Feedstock Conversion Rates'!$B$3*'[2]RD Feedstock Breakdown'!$CV$3)/12</f>
        <v>0.50062499999999999</v>
      </c>
      <c r="CW342" s="47">
        <f t="shared" si="284"/>
        <v>0.50062499999999999</v>
      </c>
      <c r="CX342" s="45">
        <f>('[2]Renewable Diesel'!AO351*'[2]RD Feedstock Breakdown'!$CX$3*'[2]Feedstock Conversion Rates'!$B$3)/12</f>
        <v>6.3412499999999996</v>
      </c>
      <c r="CY342" s="45">
        <f>('[2]Renewable Diesel'!AO351*'[2]RD Feedstock Breakdown'!$CY$3*'[2]Feedstock Conversion Rates'!$B$6)/12</f>
        <v>7.4258333333333342</v>
      </c>
      <c r="CZ342" s="47">
        <f t="shared" si="268"/>
        <v>13.767083333333334</v>
      </c>
      <c r="DA342" s="45">
        <f>('[2]Renewable Diesel'!$AP351*'[2]RD Feedstock Breakdown'!DA$3*'[2]Feedstock Conversion Rates'!$B$3)/12</f>
        <v>6.3412499999999996</v>
      </c>
      <c r="DB342" s="45">
        <f>('[2]Renewable Diesel'!$AP351*'[2]RD Feedstock Breakdown'!DB$3*'[2]Feedstock Conversion Rates'!$B$8)/12</f>
        <v>7.421875</v>
      </c>
      <c r="DC342" s="47">
        <f t="shared" si="287"/>
        <v>13.763124999999999</v>
      </c>
      <c r="DD342" s="45">
        <f>('[2]Renewable Diesel'!AQ351*$DD$3*'[2]Feedstock Conversion Rates'!$B$14)/12</f>
        <v>3.1041666666666665</v>
      </c>
      <c r="DE342" s="47">
        <f t="shared" si="288"/>
        <v>3.1041666666666665</v>
      </c>
      <c r="DF342" s="45">
        <f>('[2]Renewable Diesel'!AR351*'[2]Feedstock Conversion Rates'!$B$4*$DF$3)/12</f>
        <v>75</v>
      </c>
      <c r="DG342" s="47">
        <f t="shared" si="269"/>
        <v>75</v>
      </c>
      <c r="DH342" s="45">
        <f>('[2]Renewable Diesel'!AS351*'[2]Feedstock Conversion Rates'!$B$4*$DH$3)/12</f>
        <v>75</v>
      </c>
      <c r="DI342" s="47">
        <f t="shared" si="273"/>
        <v>75</v>
      </c>
      <c r="DJ342" s="45">
        <f>('[2]Renewable Diesel'!AT351*'[2]Feedstock Conversion Rates'!$B$4*0.25)/12</f>
        <v>8.59375</v>
      </c>
      <c r="DK342" s="45">
        <f>('[2]Renewable Diesel'!$AT351*'[2]RD Feedstock Breakdown'!DK$3*'[2]Feedstock Conversion Rates'!$B$3)/12*0.5</f>
        <v>9.1781249999999996</v>
      </c>
      <c r="DL342" s="45">
        <f>('[2]Renewable Diesel'!$AT351*'[2]RD Feedstock Breakdown'!$DL$3*'[2]Feedstock Conversion Rates'!$B$6)/12</f>
        <v>10.747916666666669</v>
      </c>
      <c r="DM342" s="45">
        <f>('[2]Renewable Diesel'!$AT351*'[2]RD Feedstock Breakdown'!$DM$3*'[2]Feedstock Conversion Rates'!$B$8)/12</f>
        <v>10.7421875</v>
      </c>
      <c r="DN342" s="47">
        <f t="shared" si="249"/>
        <v>39.26197916666667</v>
      </c>
      <c r="DP342" s="45">
        <f t="shared" si="290"/>
        <v>48.220250000000007</v>
      </c>
      <c r="DQ342" s="45">
        <f t="shared" si="291"/>
        <v>374.11776750000001</v>
      </c>
      <c r="DR342" s="45">
        <f t="shared" si="296"/>
        <v>1951.953125</v>
      </c>
      <c r="DS342" s="45">
        <f t="shared" si="309"/>
        <v>228.90125</v>
      </c>
      <c r="DT342" s="45">
        <f t="shared" si="292"/>
        <v>243.03923333333344</v>
      </c>
      <c r="DU342" s="45">
        <f t="shared" si="293"/>
        <v>367.90610000000009</v>
      </c>
      <c r="DV342" s="45">
        <f t="shared" si="297"/>
        <v>78.75</v>
      </c>
      <c r="DW342" s="45">
        <f t="shared" si="294"/>
        <v>3</v>
      </c>
      <c r="DX342" s="47">
        <f t="shared" si="298"/>
        <v>3295.8877258333337</v>
      </c>
      <c r="DY342" s="50">
        <f t="shared" si="286"/>
        <v>-5.631051180898794E-13</v>
      </c>
      <c r="EA342" s="51">
        <f t="shared" si="263"/>
        <v>1.4630428585915492E-2</v>
      </c>
      <c r="EB342" s="51">
        <f t="shared" si="263"/>
        <v>0.11351047081114024</v>
      </c>
      <c r="EC342" s="51">
        <f t="shared" si="263"/>
        <v>0.59223896181307789</v>
      </c>
      <c r="ED342" s="51">
        <f t="shared" si="261"/>
        <v>6.9450560529067937E-2</v>
      </c>
      <c r="EE342" s="51">
        <f t="shared" si="261"/>
        <v>7.3740143339343672E-2</v>
      </c>
      <c r="EF342" s="51">
        <f t="shared" si="261"/>
        <v>0.1116257987541061</v>
      </c>
      <c r="EG342" s="51">
        <f t="shared" si="261"/>
        <v>2.3893410986895441E-2</v>
      </c>
      <c r="EH342" s="52">
        <f t="shared" si="299"/>
        <v>9.1022518045315965E-4</v>
      </c>
      <c r="EI342" s="51">
        <f t="shared" si="271"/>
        <v>0.99908977481954675</v>
      </c>
      <c r="EK342" s="53">
        <f>(EA342*'[2]Renewable Diesel'!BF351*'[2]Feedstock Conversion Rates'!B$2)+FB342</f>
        <v>76.019565807030077</v>
      </c>
      <c r="EL342" s="53">
        <f>(EB342*'[2]Renewable Diesel'!BF351*'[2]Feedstock Conversion Rates'!B$3)+FC342</f>
        <v>555.79911581160547</v>
      </c>
      <c r="EM342" s="53">
        <f>(EC342*'[2]Renewable Diesel'!BF351*'[2]Feedstock Conversion Rates'!B$4)+FD342</f>
        <v>2715.236411322961</v>
      </c>
      <c r="EN342" s="53">
        <f>(ED342*'[2]Renewable Diesel'!BF351*'[2]Feedstock Conversion Rates'!B$5)+FE342</f>
        <v>320.53253429842937</v>
      </c>
      <c r="EO342" s="53">
        <f>(EE342*'[2]Renewable Diesel'!BF351*'[2]Feedstock Conversion Rates'!B$6)+FF342</f>
        <v>422.82068580694346</v>
      </c>
      <c r="EP342" s="53">
        <f>(EF342*'[2]Renewable Diesel'!BF351*'[2]Feedstock Conversion Rates'!B$7)+FG342</f>
        <v>627.77182081794831</v>
      </c>
      <c r="EQ342" s="53">
        <f>(EG342*'[2]Renewable Diesel'!BF351*'[2]Feedstock Conversion Rates'!B$8)+FH342</f>
        <v>136.93007317458199</v>
      </c>
      <c r="ER342" s="53">
        <f>(EH342*'[2]Renewable Diesel'!BF351*'[2]Feedstock Conversion Rates'!B$9)+FI342</f>
        <v>5.146831956784288</v>
      </c>
      <c r="ES342" s="53">
        <f t="shared" si="300"/>
        <v>4860.257038996283</v>
      </c>
      <c r="ET342" s="36">
        <f>ES342/'[2]Renewable Diesel'!BF351</f>
        <v>7.9507816637522168</v>
      </c>
    </row>
    <row r="343" spans="1:150" x14ac:dyDescent="0.25">
      <c r="A343" s="39">
        <v>50861</v>
      </c>
      <c r="B343" s="45">
        <f t="shared" si="306"/>
        <v>104.25</v>
      </c>
      <c r="C343" s="45">
        <f t="shared" si="251"/>
        <v>49</v>
      </c>
      <c r="D343" s="45">
        <f t="shared" si="307"/>
        <v>2</v>
      </c>
      <c r="E343" s="45">
        <f>('[2]Renewable Diesel'!B352*E$3*'[2]Feedstock Conversion Rates'!$B$2)/12+26+13-100+27.5+39</f>
        <v>95.43</v>
      </c>
      <c r="F343" s="45">
        <f>('[2]Renewable Diesel'!B352*'[2]RD Feedstock Breakdown'!F$3*'[2]Feedstock Conversion Rates'!B$8)/12+77+23-10-12-115.75+24+8</f>
        <v>48.15625</v>
      </c>
      <c r="G343" s="45">
        <f>('[2]Renewable Diesel'!B352*'[2]RD Feedstock Breakdown'!G$3*'[2]Feedstock Conversion Rates'!B$7)/12+116.75-39-57.5-145-31.5+32+70-40+10+25</f>
        <v>116.90700000000004</v>
      </c>
      <c r="H343" s="45">
        <f>('[2]Renewable Diesel'!B352*'[2]RD Feedstock Breakdown'!H$3*'[2]Feedstock Conversion Rates'!B$3)/12+67+10+12+3-235+20+47-20</f>
        <v>80.400224999999978</v>
      </c>
      <c r="I343" s="47">
        <f t="shared" ref="I343:I375" si="314">SUM(B343:H343)</f>
        <v>496.14347500000002</v>
      </c>
      <c r="J343" s="45">
        <f t="shared" si="281"/>
        <v>4</v>
      </c>
      <c r="K343" s="45"/>
      <c r="L343" s="45">
        <v>1</v>
      </c>
      <c r="M343" s="45">
        <f>('[2]Renewable Diesel'!C352*'[2]RD Feedstock Breakdown'!M$3*'[2]Feedstock Conversion Rates'!B$2)/12-55</f>
        <v>-47.20975</v>
      </c>
      <c r="N343" s="45">
        <f>('[2]Renewable Diesel'!C352*'[2]RD Feedstock Breakdown'!N$3*'[2]Feedstock Conversion Rates'!B$8)/12</f>
        <v>3.671875</v>
      </c>
      <c r="O343" s="45">
        <f>('[2]Renewable Diesel'!C352*'[2]RD Feedstock Breakdown'!O$3*'[2]Feedstock Conversion Rates'!B$7)/12</f>
        <v>11.9991</v>
      </c>
      <c r="P343" s="45">
        <f>('[2]Renewable Diesel'!C352*'[2]RD Feedstock Breakdown'!P$3*'[2]Feedstock Conversion Rates'!B$3)/12+15+35</f>
        <v>60.447042500000002</v>
      </c>
      <c r="Q343" s="47">
        <f t="shared" si="252"/>
        <v>33.908267500000001</v>
      </c>
      <c r="R343" s="45">
        <f>('[2]Renewable Diesel'!D352*'[2]RD Feedstock Breakdown'!R$3*'[2]Feedstock Conversion Rates'!B$7)/12</f>
        <v>2.2999999999999998</v>
      </c>
      <c r="S343" s="47">
        <f t="shared" si="279"/>
        <v>2.2999999999999998</v>
      </c>
      <c r="T343" s="45">
        <f t="shared" si="253"/>
        <v>0.82499999999999929</v>
      </c>
      <c r="U343" s="45"/>
      <c r="V343" s="45">
        <f>('[2]Renewable Diesel'!E352*'[2]RD Feedstock Breakdown'!V$3*'[2]Feedstock Conversion Rates'!B$6)/12-20+25</f>
        <v>49.250150000000012</v>
      </c>
      <c r="W343" s="45">
        <f>('[2]Renewable Diesel'!E352*'[2]RD Feedstock Breakdown'!W$3*'[2]Feedstock Conversion Rates'!B$8)/12-6</f>
        <v>16.1796875</v>
      </c>
      <c r="X343" s="47">
        <f t="shared" si="301"/>
        <v>66.254837500000008</v>
      </c>
      <c r="Y343" s="45">
        <f t="shared" si="254"/>
        <v>98</v>
      </c>
      <c r="Z343" s="45">
        <f>('[2]Renewable Diesel'!F352*'[2]RD Feedstock Breakdown'!Z$3*'[2]Feedstock Conversion Rates'!B$6)/12-142+15+5+20+5+15</f>
        <v>77.460000000000008</v>
      </c>
      <c r="AA343" s="45">
        <f>('[2]Renewable Diesel'!F352*'[2]RD Feedstock Breakdown'!AA$3*'[2]Feedstock Conversion Rates'!B$7)/12+24</f>
        <v>128.26666666666665</v>
      </c>
      <c r="AB343" s="47">
        <f t="shared" si="270"/>
        <v>303.72666666666669</v>
      </c>
      <c r="AC343" s="45">
        <f>('[2]Renewable Diesel'!G352*'[2]RD Feedstock Breakdown'!AC$3*'[2]Feedstock Conversion Rates'!B$5)/12</f>
        <v>11.796875</v>
      </c>
      <c r="AD343" s="45">
        <f>('[2]Renewable Diesel'!G352*'[2]RD Feedstock Breakdown'!AD$3*'[2]Feedstock Conversion Rates'!B$4)/12</f>
        <v>5.859375</v>
      </c>
      <c r="AE343" s="45">
        <f>('[2]Renewable Diesel'!G352*'[2]RD Feedstock Breakdown'!AE$3*'[2]Feedstock Conversion Rates'!B$6)/12</f>
        <v>7.3281250000000009</v>
      </c>
      <c r="AF343" s="47">
        <f t="shared" si="310"/>
        <v>24.984375</v>
      </c>
      <c r="AG343" s="45">
        <f t="shared" si="259"/>
        <v>148</v>
      </c>
      <c r="AH343" s="45"/>
      <c r="AI343" s="45">
        <f>('[2]Renewable Diesel'!H352*'[2]RD Feedstock Breakdown'!AI$3*'[2]Feedstock Conversion Rates'!B$6)/12-130-20+51-49</f>
        <v>0.51666666666667993</v>
      </c>
      <c r="AJ343" s="47">
        <f t="shared" si="278"/>
        <v>148.51666666666668</v>
      </c>
      <c r="AK343" s="45">
        <f>('[2]Renewable Diesel'!J352*'[2]RD Feedstock Breakdown'!AK$3*'[2]Feedstock Conversion Rates'!B$4)/12</f>
        <v>95.8125</v>
      </c>
      <c r="AL343" s="47">
        <f t="shared" si="280"/>
        <v>95.8125</v>
      </c>
      <c r="AM343" s="45">
        <f>('[2]Renewable Diesel'!K352*'[2]RD Feedstock Breakdown'!AM$3*'[2]Feedstock Conversion Rates'!B$4)/12+5+15-10+10</f>
        <v>78.59375</v>
      </c>
      <c r="AN343" s="45">
        <f>('[2]Renewable Diesel'!K352*'[2]RD Feedstock Breakdown'!AN$3*'[2]Feedstock Conversion Rates'!B$6)/12-5-15+10-10</f>
        <v>4.4270833333333321</v>
      </c>
      <c r="AO343" s="47">
        <f t="shared" si="295"/>
        <v>83.020833333333329</v>
      </c>
      <c r="AP343" s="45">
        <f>('[2]Renewable Diesel'!L352*'[2]RD Feedstock Breakdown'!AP$3*'[2]Feedstock Conversion Rates'!B$4)/12+15-10+15</f>
        <v>78.59375</v>
      </c>
      <c r="AQ343" s="45">
        <f>('[2]Renewable Diesel'!L352*'[2]RD Feedstock Breakdown'!AQ$3*'[2]Feedstock Conversion Rates'!B$6)/12-15+10-15</f>
        <v>4.4270833333333321</v>
      </c>
      <c r="AR343" s="47">
        <f t="shared" si="285"/>
        <v>83.020833333333329</v>
      </c>
      <c r="AS343" s="45">
        <f>('[2]Renewable Diesel'!M352*'[2]RD Feedstock Breakdown'!AS$3*'[2]Feedstock Conversion Rates'!B$4)/12</f>
        <v>456.25</v>
      </c>
      <c r="AT343" s="45">
        <f>('[2]Renewable Diesel'!M352*'[2]RD Feedstock Breakdown'!AT$3*'[2]Feedstock Conversion Rates'!B$5)/12</f>
        <v>0</v>
      </c>
      <c r="AU343" s="47">
        <f t="shared" si="313"/>
        <v>456.25</v>
      </c>
      <c r="AV343" s="45">
        <f>'[2]Renewable Diesel'!N352*'[2]RD Feedstock Breakdown'!$AV$3*'[2]Feedstock Conversion Rates'!$B$4/12-15-10+25+25-22+25</f>
        <v>106.74999999999999</v>
      </c>
      <c r="AW343" s="45">
        <f>'[2]Renewable Diesel'!N352*'[2]RD Feedstock Breakdown'!$AW$3*'[2]Feedstock Conversion Rates'!$B$7/12+15+10-25-25+22-25</f>
        <v>13.400000000000006</v>
      </c>
      <c r="AX343" s="47">
        <f t="shared" si="272"/>
        <v>120.14999999999999</v>
      </c>
      <c r="AY343" s="45">
        <f>('[2]Renewable Diesel'!O352*'[2]RD Feedstock Breakdown'!AY$3*'[2]Feedstock Conversion Rates'!B$4)/12</f>
        <v>210.9375</v>
      </c>
      <c r="AZ343" s="45">
        <f>('[2]Renewable Diesel'!O352*'[2]RD Feedstock Breakdown'!AZ$3*'[2]Feedstock Conversion Rates'!B$3)/12</f>
        <v>25.03125</v>
      </c>
      <c r="BA343" s="47">
        <f t="shared" si="255"/>
        <v>235.96875</v>
      </c>
      <c r="BB343" s="45">
        <f>('[2]Renewable Diesel'!Q352*'[2]RD Feedstock Breakdown'!BB$3*'[2]Feedstock Conversion Rates'!B$4)/12</f>
        <v>11.156249999999998</v>
      </c>
      <c r="BC343" s="45">
        <f>('[2]Renewable Diesel'!Q352*'[2]RD Feedstock Breakdown'!BC$3*'[2]Feedstock Conversion Rates'!B$3)/12</f>
        <v>1.4017500000000001</v>
      </c>
      <c r="BD343" s="45">
        <f>('[2]Renewable Diesel'!Q352*'[2]RD Feedstock Breakdown'!BD$3*'[2]Feedstock Conversion Rates'!B$6)/12</f>
        <v>0.8207500000000002</v>
      </c>
      <c r="BE343" s="47">
        <f t="shared" si="303"/>
        <v>13.378749999999998</v>
      </c>
      <c r="BF343" s="45">
        <f>('[2]Renewable Diesel'!R352*'[2]RD Feedstock Breakdown'!BF$3*'[2]Feedstock Conversion Rates'!B$4)/12</f>
        <v>62.5</v>
      </c>
      <c r="BG343" s="47">
        <f t="shared" si="289"/>
        <v>62.5</v>
      </c>
      <c r="BH343" s="45">
        <f>('[2]Renewable Diesel'!T352*'[2]RD Feedstock Breakdown'!BH$3*'[2]Feedstock Conversion Rates'!B$7)/12</f>
        <v>27.599999999999998</v>
      </c>
      <c r="BI343" s="47">
        <f t="shared" si="277"/>
        <v>27.599999999999998</v>
      </c>
      <c r="BJ343" s="45">
        <f>('[2]Renewable Diesel'!W352*'[2]RD Feedstock Breakdown'!BJ$3*'[2]Feedstock Conversion Rates'!B$4)/12</f>
        <v>7.5</v>
      </c>
      <c r="BK343" s="45">
        <f>('[2]Renewable Diesel'!W352*'[2]RD Feedstock Breakdown'!BK$3*'[2]Feedstock Conversion Rates'!B$3)/12</f>
        <v>1.335</v>
      </c>
      <c r="BL343" s="45">
        <f>('[2]Renewable Diesel'!W352*'[2]RD Feedstock Breakdown'!BL$3*'[2]Feedstock Conversion Rates'!B$6)/12</f>
        <v>3.1266666666666669</v>
      </c>
      <c r="BM343" s="45">
        <f>('[2]Renewable Diesel'!W352*'[2]RD Feedstock Breakdown'!BM$3*'[2]Feedstock Conversion Rates'!B$7)/12</f>
        <v>1.5333333333333332</v>
      </c>
      <c r="BN343" s="47">
        <f t="shared" si="248"/>
        <v>13.495000000000001</v>
      </c>
      <c r="BO343" s="45">
        <f>('[2]Renewable Diesel'!P352*'[2]Feedstock Conversion Rates'!B$4)/12</f>
        <v>31.25</v>
      </c>
      <c r="BP343" s="47">
        <f t="shared" si="311"/>
        <v>31.25</v>
      </c>
      <c r="BQ343" s="45">
        <f>('[2]Renewable Diesel'!$S352*'[2]RD Feedstock Breakdown'!BQ$3*'[2]Feedstock Conversion Rates'!B$4)/12+10+15-15</f>
        <v>38.125</v>
      </c>
      <c r="BR343" s="45">
        <f>('[2]Renewable Diesel'!$S352*'[2]RD Feedstock Breakdown'!BR$3*'[2]Feedstock Conversion Rates'!B$7)/12-10-15+15</f>
        <v>1.5</v>
      </c>
      <c r="BS343" s="47">
        <f t="shared" si="260"/>
        <v>39.625</v>
      </c>
      <c r="BT343" s="47"/>
      <c r="BU343" s="45">
        <f>('[2]Renewable Diesel'!Y352*'[2]Feedstock Conversion Rates'!B$7)/12</f>
        <v>2.6833333333333331</v>
      </c>
      <c r="BV343" s="47">
        <f t="shared" si="305"/>
        <v>2.6833333333333331</v>
      </c>
      <c r="BW343" s="45">
        <f>('[2]Renewable Diesel'!$Z352*'[2]RD Feedstock Breakdown'!BW$3*'[2]Feedstock Conversion Rates'!$B$4)/12-180+110</f>
        <v>1.875</v>
      </c>
      <c r="BX343" s="45">
        <f>('[2]Renewable Diesel'!$Z352*'[2]RD Feedstock Breakdown'!BX$3*'[2]Feedstock Conversion Rates'!$B$5)/12</f>
        <v>7.2354166666666666</v>
      </c>
      <c r="BY343" s="45">
        <f>('[2]Renewable Diesel'!$Z352*'[2]RD Feedstock Breakdown'!BY$3*'[2]Feedstock Conversion Rates'!$B$7)/12</f>
        <v>61.716666666666661</v>
      </c>
      <c r="BZ343" s="45">
        <f>('[2]Renewable Diesel'!$Z352*'[2]RD Feedstock Breakdown'!BZ$3*'[2]Feedstock Conversion Rates'!$B$3)/12+180-110</f>
        <v>85.352499999999992</v>
      </c>
      <c r="CA343" s="47">
        <f t="shared" si="262"/>
        <v>156.17958333333331</v>
      </c>
      <c r="CB343" s="45">
        <f>('[2]Renewable Diesel'!AA352*'[2]Feedstock Conversion Rates'!B$4)/12</f>
        <v>191.25</v>
      </c>
      <c r="CC343" s="47">
        <f t="shared" si="250"/>
        <v>191.25</v>
      </c>
      <c r="CD343" s="45">
        <f>('[2]Renewable Diesel'!$AB352*'[2]RD Feedstock Breakdown'!CD$3*'[2]Feedstock Conversion Rates'!$B$6)/12-15-5</f>
        <v>12.830000000000005</v>
      </c>
      <c r="CE343" s="45">
        <f>('[2]Renewable Diesel'!$AB352*'[2]RD Feedstock Breakdown'!CE$3*'[2]Feedstock Conversion Rates'!$B$4)/12+15+5</f>
        <v>31.25</v>
      </c>
      <c r="CF343" s="47">
        <f t="shared" si="247"/>
        <v>44.080000000000005</v>
      </c>
      <c r="CG343" s="45">
        <f>('[2]Renewable Diesel'!AD352*'[2]Feedstock Conversion Rates'!B$4)/12</f>
        <v>112.5</v>
      </c>
      <c r="CH343" s="47">
        <f t="shared" si="302"/>
        <v>112.5</v>
      </c>
      <c r="CI343" s="45">
        <f>('[2]Renewable Diesel'!$AE352*'[2]RD Feedstock Breakdown'!CI$3*'[2]Feedstock Conversion Rates'!$B$5)/12</f>
        <v>0.34604166666666664</v>
      </c>
      <c r="CJ343" s="45">
        <f>('[2]Renewable Diesel'!$AE352*'[2]RD Feedstock Breakdown'!CJ$3*'[2]Feedstock Conversion Rates'!$B$4)/12</f>
        <v>0.34375</v>
      </c>
      <c r="CK343" s="47">
        <f t="shared" si="312"/>
        <v>0.68979166666666658</v>
      </c>
      <c r="CL343" s="45">
        <f>(((CL$3*'[2]Renewable Diesel'!$AF352)*'[2]Feedstock Conversion Rates'!$B$3)/12)</f>
        <v>91.78125</v>
      </c>
      <c r="CM343" s="45">
        <f>(((CM$3*'[2]Renewable Diesel'!$AF352)*'[2]Feedstock Conversion Rates'!$B$6)/12)</f>
        <v>53.739583333333336</v>
      </c>
      <c r="CN343" s="45">
        <f>(((CN$3*'[2]Renewable Diesel'!$AF352)*'[2]Feedstock Conversion Rates'!$B$4)/12)</f>
        <v>42.96875</v>
      </c>
      <c r="CO343" s="47">
        <f t="shared" si="304"/>
        <v>188.48958333333334</v>
      </c>
      <c r="CP343" s="45">
        <f>('[2]Renewable Diesel'!$AG352*'[2]RD Feedstock Breakdown'!CP$3*'[2]Feedstock Conversion Rates'!$B$3)/12</f>
        <v>6.0075000000000003</v>
      </c>
      <c r="CQ343" s="45">
        <f>('[2]Renewable Diesel'!$AG352*'[2]RD Feedstock Breakdown'!CQ$3*'[2]Feedstock Conversion Rates'!$B$6)/12</f>
        <v>3.5175000000000001</v>
      </c>
      <c r="CR343" s="45">
        <f>('[2]Renewable Diesel'!$AG352*'[2]RD Feedstock Breakdown'!CR$3*'[2]Feedstock Conversion Rates'!$B$4)/12</f>
        <v>2.8125</v>
      </c>
      <c r="CS343" s="47">
        <f t="shared" si="267"/>
        <v>12.3375</v>
      </c>
      <c r="CT343" s="45">
        <f>('[2]Renewable Diesel'!AI352*'[2]Feedstock Conversion Rates'!$B$4*'[2]RD Feedstock Breakdown'!$CT$3)/12</f>
        <v>29.375</v>
      </c>
      <c r="CU343" s="47">
        <f t="shared" si="308"/>
        <v>29.375</v>
      </c>
      <c r="CV343" s="45">
        <f>('[2]Renewable Diesel'!AN352*'[2]Feedstock Conversion Rates'!$B$3*'[2]RD Feedstock Breakdown'!$CV$3)/12</f>
        <v>0.50062499999999999</v>
      </c>
      <c r="CW343" s="47">
        <f t="shared" si="284"/>
        <v>0.50062499999999999</v>
      </c>
      <c r="CX343" s="45">
        <f>('[2]Renewable Diesel'!AO352*'[2]RD Feedstock Breakdown'!$CX$3*'[2]Feedstock Conversion Rates'!$B$3)/12</f>
        <v>6.3412499999999996</v>
      </c>
      <c r="CY343" s="45">
        <f>('[2]Renewable Diesel'!AO352*'[2]RD Feedstock Breakdown'!$CY$3*'[2]Feedstock Conversion Rates'!$B$6)/12</f>
        <v>7.4258333333333342</v>
      </c>
      <c r="CZ343" s="47">
        <f t="shared" si="268"/>
        <v>13.767083333333334</v>
      </c>
      <c r="DA343" s="45">
        <f>('[2]Renewable Diesel'!$AP352*'[2]RD Feedstock Breakdown'!DA$3*'[2]Feedstock Conversion Rates'!$B$3)/12</f>
        <v>6.3412499999999996</v>
      </c>
      <c r="DB343" s="45">
        <f>('[2]Renewable Diesel'!$AP352*'[2]RD Feedstock Breakdown'!DB$3*'[2]Feedstock Conversion Rates'!$B$8)/12</f>
        <v>7.421875</v>
      </c>
      <c r="DC343" s="47">
        <f t="shared" si="287"/>
        <v>13.763124999999999</v>
      </c>
      <c r="DD343" s="45">
        <f>('[2]Renewable Diesel'!AQ352*$DD$3*'[2]Feedstock Conversion Rates'!$B$14)/12</f>
        <v>3.1041666666666665</v>
      </c>
      <c r="DE343" s="47">
        <f t="shared" si="288"/>
        <v>3.1041666666666665</v>
      </c>
      <c r="DF343" s="45">
        <f>('[2]Renewable Diesel'!AR352*'[2]Feedstock Conversion Rates'!$B$4*$DF$3)/12</f>
        <v>75</v>
      </c>
      <c r="DG343" s="47">
        <f t="shared" si="269"/>
        <v>75</v>
      </c>
      <c r="DH343" s="45">
        <f>('[2]Renewable Diesel'!AS352*'[2]Feedstock Conversion Rates'!$B$4*$DH$3)/12</f>
        <v>75</v>
      </c>
      <c r="DI343" s="47">
        <f t="shared" si="273"/>
        <v>75</v>
      </c>
      <c r="DJ343" s="45">
        <f>('[2]Renewable Diesel'!AT352*'[2]Feedstock Conversion Rates'!$B$4*0.25)/12</f>
        <v>8.59375</v>
      </c>
      <c r="DK343" s="45">
        <f>('[2]Renewable Diesel'!$AT352*'[2]RD Feedstock Breakdown'!DK$3*'[2]Feedstock Conversion Rates'!$B$3)/12*0.5</f>
        <v>9.1781249999999996</v>
      </c>
      <c r="DL343" s="45">
        <f>('[2]Renewable Diesel'!$AT352*'[2]RD Feedstock Breakdown'!$DL$3*'[2]Feedstock Conversion Rates'!$B$6)/12</f>
        <v>10.747916666666669</v>
      </c>
      <c r="DM343" s="45">
        <f>('[2]Renewable Diesel'!$AT352*'[2]RD Feedstock Breakdown'!$DM$3*'[2]Feedstock Conversion Rates'!$B$8)/12</f>
        <v>10.7421875</v>
      </c>
      <c r="DN343" s="47">
        <f t="shared" si="249"/>
        <v>39.26197916666667</v>
      </c>
      <c r="DP343" s="45">
        <f t="shared" si="290"/>
        <v>48.220250000000007</v>
      </c>
      <c r="DQ343" s="45">
        <f t="shared" si="291"/>
        <v>374.11776750000001</v>
      </c>
      <c r="DR343" s="45">
        <f t="shared" si="296"/>
        <v>1951.953125</v>
      </c>
      <c r="DS343" s="45">
        <f t="shared" si="309"/>
        <v>228.90125</v>
      </c>
      <c r="DT343" s="45">
        <f t="shared" si="292"/>
        <v>243.03923333333344</v>
      </c>
      <c r="DU343" s="45">
        <f t="shared" si="293"/>
        <v>367.90610000000009</v>
      </c>
      <c r="DV343" s="45">
        <f t="shared" si="297"/>
        <v>78.75</v>
      </c>
      <c r="DW343" s="45">
        <f t="shared" si="294"/>
        <v>3</v>
      </c>
      <c r="DX343" s="47">
        <f t="shared" si="298"/>
        <v>3295.8877258333337</v>
      </c>
      <c r="DY343" s="50">
        <f t="shared" si="286"/>
        <v>-5.631051180898794E-13</v>
      </c>
      <c r="EA343" s="51">
        <f t="shared" si="263"/>
        <v>1.4630428585915492E-2</v>
      </c>
      <c r="EB343" s="51">
        <f t="shared" si="263"/>
        <v>0.11351047081114024</v>
      </c>
      <c r="EC343" s="51">
        <f t="shared" si="263"/>
        <v>0.59223896181307789</v>
      </c>
      <c r="ED343" s="51">
        <f t="shared" si="261"/>
        <v>6.9450560529067937E-2</v>
      </c>
      <c r="EE343" s="51">
        <f t="shared" si="261"/>
        <v>7.3740143339343672E-2</v>
      </c>
      <c r="EF343" s="51">
        <f t="shared" si="261"/>
        <v>0.1116257987541061</v>
      </c>
      <c r="EG343" s="51">
        <f t="shared" si="261"/>
        <v>2.3893410986895441E-2</v>
      </c>
      <c r="EH343" s="52">
        <f t="shared" si="299"/>
        <v>9.1022518045315965E-4</v>
      </c>
      <c r="EI343" s="51">
        <f t="shared" si="271"/>
        <v>0.99908977481954675</v>
      </c>
      <c r="EK343" s="53">
        <f>(EA343*'[2]Renewable Diesel'!BF352*'[2]Feedstock Conversion Rates'!B$2)+FB343</f>
        <v>89.530937947986175</v>
      </c>
      <c r="EL343" s="53">
        <f>(EB343*'[2]Renewable Diesel'!BF352*'[2]Feedstock Conversion Rates'!B$3)+FC343</f>
        <v>654.58432471963226</v>
      </c>
      <c r="EM343" s="53">
        <f>(EC343*'[2]Renewable Diesel'!BF352*'[2]Feedstock Conversion Rates'!B$4)+FD343</f>
        <v>3197.8301911557046</v>
      </c>
      <c r="EN343" s="53">
        <f>(ED343*'[2]Renewable Diesel'!BF352*'[2]Feedstock Conversion Rates'!B$5)+FE343</f>
        <v>377.50253022268055</v>
      </c>
      <c r="EO343" s="53">
        <f>(EE343*'[2]Renewable Diesel'!BF352*'[2]Feedstock Conversion Rates'!B$6)+FF343</f>
        <v>497.97091291207602</v>
      </c>
      <c r="EP343" s="53">
        <f>(EF343*'[2]Renewable Diesel'!BF352*'[2]Feedstock Conversion Rates'!B$7)+FG343</f>
        <v>739.34913121995658</v>
      </c>
      <c r="EQ343" s="53">
        <f>(EG343*'[2]Renewable Diesel'!BF352*'[2]Feedstock Conversion Rates'!B$8)+FH343</f>
        <v>161.26740207549281</v>
      </c>
      <c r="ER343" s="53">
        <f>(EH343*'[2]Renewable Diesel'!BF352*'[2]Feedstock Conversion Rates'!B$9)+FI343</f>
        <v>6.061606478012175</v>
      </c>
      <c r="ES343" s="53">
        <f t="shared" si="300"/>
        <v>5724.0970367315413</v>
      </c>
      <c r="ET343" s="36">
        <f>ES343/'[2]Renewable Diesel'!BF352</f>
        <v>7.9507816637522186</v>
      </c>
    </row>
    <row r="344" spans="1:150" x14ac:dyDescent="0.25">
      <c r="A344" s="39">
        <v>50891</v>
      </c>
      <c r="B344" s="45">
        <f t="shared" si="306"/>
        <v>104.25</v>
      </c>
      <c r="C344" s="45">
        <f t="shared" si="251"/>
        <v>49</v>
      </c>
      <c r="D344" s="45">
        <f t="shared" si="307"/>
        <v>2</v>
      </c>
      <c r="E344" s="45">
        <f>('[2]Renewable Diesel'!B353*E$3*'[2]Feedstock Conversion Rates'!$B$2)/12+26+13-100+27.5+39</f>
        <v>95.43</v>
      </c>
      <c r="F344" s="45">
        <f>('[2]Renewable Diesel'!B353*'[2]RD Feedstock Breakdown'!F$3*'[2]Feedstock Conversion Rates'!B$8)/12+77+23-10-12-115.75+24+8</f>
        <v>48.15625</v>
      </c>
      <c r="G344" s="45">
        <f>('[2]Renewable Diesel'!B353*'[2]RD Feedstock Breakdown'!G$3*'[2]Feedstock Conversion Rates'!B$7)/12+116.75-39-57.5-145-31.5+32+70-40+10+25</f>
        <v>116.90700000000004</v>
      </c>
      <c r="H344" s="45">
        <f>('[2]Renewable Diesel'!B353*'[2]RD Feedstock Breakdown'!H$3*'[2]Feedstock Conversion Rates'!B$3)/12+67+10+12+3-235+20+47-20</f>
        <v>80.400224999999978</v>
      </c>
      <c r="I344" s="47">
        <f t="shared" si="314"/>
        <v>496.14347500000002</v>
      </c>
      <c r="J344" s="45">
        <f t="shared" si="281"/>
        <v>4</v>
      </c>
      <c r="K344" s="45"/>
      <c r="L344" s="45">
        <v>1</v>
      </c>
      <c r="M344" s="45">
        <f>('[2]Renewable Diesel'!C353*'[2]RD Feedstock Breakdown'!M$3*'[2]Feedstock Conversion Rates'!B$2)/12-55</f>
        <v>-47.20975</v>
      </c>
      <c r="N344" s="45">
        <f>('[2]Renewable Diesel'!C353*'[2]RD Feedstock Breakdown'!N$3*'[2]Feedstock Conversion Rates'!B$8)/12</f>
        <v>3.671875</v>
      </c>
      <c r="O344" s="45">
        <f>('[2]Renewable Diesel'!C353*'[2]RD Feedstock Breakdown'!O$3*'[2]Feedstock Conversion Rates'!B$7)/12</f>
        <v>11.9991</v>
      </c>
      <c r="P344" s="45">
        <f>('[2]Renewable Diesel'!C353*'[2]RD Feedstock Breakdown'!P$3*'[2]Feedstock Conversion Rates'!B$3)/12+15+35</f>
        <v>60.447042500000002</v>
      </c>
      <c r="Q344" s="47">
        <f t="shared" si="252"/>
        <v>33.908267500000001</v>
      </c>
      <c r="R344" s="45">
        <f>('[2]Renewable Diesel'!D353*'[2]RD Feedstock Breakdown'!R$3*'[2]Feedstock Conversion Rates'!B$7)/12</f>
        <v>2.2999999999999998</v>
      </c>
      <c r="S344" s="47">
        <f t="shared" si="279"/>
        <v>2.2999999999999998</v>
      </c>
      <c r="T344" s="45">
        <f t="shared" si="253"/>
        <v>0.82499999999999929</v>
      </c>
      <c r="U344" s="45"/>
      <c r="V344" s="45">
        <f>('[2]Renewable Diesel'!E353*'[2]RD Feedstock Breakdown'!V$3*'[2]Feedstock Conversion Rates'!B$6)/12-20+25</f>
        <v>49.250150000000012</v>
      </c>
      <c r="W344" s="45">
        <f>('[2]Renewable Diesel'!E353*'[2]RD Feedstock Breakdown'!W$3*'[2]Feedstock Conversion Rates'!B$8)/12-6</f>
        <v>16.1796875</v>
      </c>
      <c r="X344" s="47">
        <f t="shared" si="301"/>
        <v>66.254837500000008</v>
      </c>
      <c r="Y344" s="45">
        <f t="shared" si="254"/>
        <v>98</v>
      </c>
      <c r="Z344" s="45">
        <f>('[2]Renewable Diesel'!F353*'[2]RD Feedstock Breakdown'!Z$3*'[2]Feedstock Conversion Rates'!B$6)/12-142+15+5+20+5+15</f>
        <v>77.460000000000008</v>
      </c>
      <c r="AA344" s="45">
        <f>('[2]Renewable Diesel'!F353*'[2]RD Feedstock Breakdown'!AA$3*'[2]Feedstock Conversion Rates'!B$7)/12+24</f>
        <v>128.26666666666665</v>
      </c>
      <c r="AB344" s="47">
        <f t="shared" si="270"/>
        <v>303.72666666666669</v>
      </c>
      <c r="AC344" s="45">
        <f>('[2]Renewable Diesel'!G353*'[2]RD Feedstock Breakdown'!AC$3*'[2]Feedstock Conversion Rates'!B$5)/12</f>
        <v>11.796875</v>
      </c>
      <c r="AD344" s="45">
        <f>('[2]Renewable Diesel'!G353*'[2]RD Feedstock Breakdown'!AD$3*'[2]Feedstock Conversion Rates'!B$4)/12</f>
        <v>5.859375</v>
      </c>
      <c r="AE344" s="45">
        <f>('[2]Renewable Diesel'!G353*'[2]RD Feedstock Breakdown'!AE$3*'[2]Feedstock Conversion Rates'!B$6)/12</f>
        <v>7.3281250000000009</v>
      </c>
      <c r="AF344" s="47">
        <f t="shared" si="310"/>
        <v>24.984375</v>
      </c>
      <c r="AG344" s="45">
        <f t="shared" si="259"/>
        <v>148</v>
      </c>
      <c r="AH344" s="45"/>
      <c r="AI344" s="45">
        <f>('[2]Renewable Diesel'!H353*'[2]RD Feedstock Breakdown'!AI$3*'[2]Feedstock Conversion Rates'!B$6)/12-130-20+51-49</f>
        <v>0.51666666666667993</v>
      </c>
      <c r="AJ344" s="47">
        <f t="shared" si="278"/>
        <v>148.51666666666668</v>
      </c>
      <c r="AK344" s="45">
        <f>('[2]Renewable Diesel'!J353*'[2]RD Feedstock Breakdown'!AK$3*'[2]Feedstock Conversion Rates'!B$4)/12</f>
        <v>95.8125</v>
      </c>
      <c r="AL344" s="47">
        <f t="shared" si="280"/>
        <v>95.8125</v>
      </c>
      <c r="AM344" s="45">
        <f>('[2]Renewable Diesel'!K353*'[2]RD Feedstock Breakdown'!AM$3*'[2]Feedstock Conversion Rates'!B$4)/12+5+15-10+10</f>
        <v>78.59375</v>
      </c>
      <c r="AN344" s="45">
        <f>('[2]Renewable Diesel'!K353*'[2]RD Feedstock Breakdown'!AN$3*'[2]Feedstock Conversion Rates'!B$6)/12-5-15+10-10</f>
        <v>4.4270833333333321</v>
      </c>
      <c r="AO344" s="47">
        <f t="shared" si="295"/>
        <v>83.020833333333329</v>
      </c>
      <c r="AP344" s="45">
        <f>('[2]Renewable Diesel'!L353*'[2]RD Feedstock Breakdown'!AP$3*'[2]Feedstock Conversion Rates'!B$4)/12+15-10+15</f>
        <v>78.59375</v>
      </c>
      <c r="AQ344" s="45">
        <f>('[2]Renewable Diesel'!L353*'[2]RD Feedstock Breakdown'!AQ$3*'[2]Feedstock Conversion Rates'!B$6)/12-15+10-15</f>
        <v>4.4270833333333321</v>
      </c>
      <c r="AR344" s="47">
        <f t="shared" si="285"/>
        <v>83.020833333333329</v>
      </c>
      <c r="AS344" s="45">
        <f>('[2]Renewable Diesel'!M353*'[2]RD Feedstock Breakdown'!AS$3*'[2]Feedstock Conversion Rates'!B$4)/12</f>
        <v>456.25</v>
      </c>
      <c r="AT344" s="45">
        <f>('[2]Renewable Diesel'!M353*'[2]RD Feedstock Breakdown'!AT$3*'[2]Feedstock Conversion Rates'!B$5)/12</f>
        <v>0</v>
      </c>
      <c r="AU344" s="47">
        <f t="shared" si="313"/>
        <v>456.25</v>
      </c>
      <c r="AV344" s="45">
        <f>'[2]Renewable Diesel'!N353*'[2]RD Feedstock Breakdown'!$AV$3*'[2]Feedstock Conversion Rates'!$B$4/12-15-10+25+25-22+25</f>
        <v>106.74999999999999</v>
      </c>
      <c r="AW344" s="45">
        <f>'[2]Renewable Diesel'!N353*'[2]RD Feedstock Breakdown'!$AW$3*'[2]Feedstock Conversion Rates'!$B$7/12+15+10-25-25+22-25</f>
        <v>13.400000000000006</v>
      </c>
      <c r="AX344" s="47">
        <f t="shared" si="272"/>
        <v>120.14999999999999</v>
      </c>
      <c r="AY344" s="45">
        <f>('[2]Renewable Diesel'!O353*'[2]RD Feedstock Breakdown'!AY$3*'[2]Feedstock Conversion Rates'!B$4)/12</f>
        <v>210.9375</v>
      </c>
      <c r="AZ344" s="45">
        <f>('[2]Renewable Diesel'!O353*'[2]RD Feedstock Breakdown'!AZ$3*'[2]Feedstock Conversion Rates'!B$3)/12</f>
        <v>25.03125</v>
      </c>
      <c r="BA344" s="47">
        <f t="shared" si="255"/>
        <v>235.96875</v>
      </c>
      <c r="BB344" s="45">
        <f>('[2]Renewable Diesel'!Q353*'[2]RD Feedstock Breakdown'!BB$3*'[2]Feedstock Conversion Rates'!B$4)/12</f>
        <v>11.156249999999998</v>
      </c>
      <c r="BC344" s="45">
        <f>('[2]Renewable Diesel'!Q353*'[2]RD Feedstock Breakdown'!BC$3*'[2]Feedstock Conversion Rates'!B$3)/12</f>
        <v>1.4017500000000001</v>
      </c>
      <c r="BD344" s="45">
        <f>('[2]Renewable Diesel'!Q353*'[2]RD Feedstock Breakdown'!BD$3*'[2]Feedstock Conversion Rates'!B$6)/12</f>
        <v>0.8207500000000002</v>
      </c>
      <c r="BE344" s="47">
        <f t="shared" si="303"/>
        <v>13.378749999999998</v>
      </c>
      <c r="BF344" s="45">
        <f>('[2]Renewable Diesel'!R353*'[2]RD Feedstock Breakdown'!BF$3*'[2]Feedstock Conversion Rates'!B$4)/12</f>
        <v>62.5</v>
      </c>
      <c r="BG344" s="47">
        <f t="shared" si="289"/>
        <v>62.5</v>
      </c>
      <c r="BH344" s="45">
        <f>('[2]Renewable Diesel'!T353*'[2]RD Feedstock Breakdown'!BH$3*'[2]Feedstock Conversion Rates'!B$7)/12</f>
        <v>27.599999999999998</v>
      </c>
      <c r="BI344" s="47">
        <f t="shared" si="277"/>
        <v>27.599999999999998</v>
      </c>
      <c r="BJ344" s="45">
        <f>('[2]Renewable Diesel'!W353*'[2]RD Feedstock Breakdown'!BJ$3*'[2]Feedstock Conversion Rates'!B$4)/12</f>
        <v>7.5</v>
      </c>
      <c r="BK344" s="45">
        <f>('[2]Renewable Diesel'!W353*'[2]RD Feedstock Breakdown'!BK$3*'[2]Feedstock Conversion Rates'!B$3)/12</f>
        <v>1.335</v>
      </c>
      <c r="BL344" s="45">
        <f>('[2]Renewable Diesel'!W353*'[2]RD Feedstock Breakdown'!BL$3*'[2]Feedstock Conversion Rates'!B$6)/12</f>
        <v>3.1266666666666669</v>
      </c>
      <c r="BM344" s="45">
        <f>('[2]Renewable Diesel'!W353*'[2]RD Feedstock Breakdown'!BM$3*'[2]Feedstock Conversion Rates'!B$7)/12</f>
        <v>1.5333333333333332</v>
      </c>
      <c r="BN344" s="47">
        <f t="shared" si="248"/>
        <v>13.495000000000001</v>
      </c>
      <c r="BO344" s="45">
        <f>('[2]Renewable Diesel'!P353*'[2]Feedstock Conversion Rates'!B$4)/12</f>
        <v>31.25</v>
      </c>
      <c r="BP344" s="47">
        <f t="shared" si="311"/>
        <v>31.25</v>
      </c>
      <c r="BQ344" s="45">
        <f>('[2]Renewable Diesel'!$S353*'[2]RD Feedstock Breakdown'!BQ$3*'[2]Feedstock Conversion Rates'!B$4)/12+10+15-15</f>
        <v>38.125</v>
      </c>
      <c r="BR344" s="45">
        <f>('[2]Renewable Diesel'!$S353*'[2]RD Feedstock Breakdown'!BR$3*'[2]Feedstock Conversion Rates'!B$7)/12-10-15+15</f>
        <v>1.5</v>
      </c>
      <c r="BS344" s="47">
        <f t="shared" si="260"/>
        <v>39.625</v>
      </c>
      <c r="BT344" s="47"/>
      <c r="BU344" s="45">
        <f>('[2]Renewable Diesel'!Y353*'[2]Feedstock Conversion Rates'!B$7)/12</f>
        <v>2.6833333333333331</v>
      </c>
      <c r="BV344" s="47">
        <f t="shared" si="305"/>
        <v>2.6833333333333331</v>
      </c>
      <c r="BW344" s="45">
        <f>('[2]Renewable Diesel'!$Z353*'[2]RD Feedstock Breakdown'!BW$3*'[2]Feedstock Conversion Rates'!$B$4)/12-180+110</f>
        <v>1.875</v>
      </c>
      <c r="BX344" s="45">
        <f>('[2]Renewable Diesel'!$Z353*'[2]RD Feedstock Breakdown'!BX$3*'[2]Feedstock Conversion Rates'!$B$5)/12</f>
        <v>7.2354166666666666</v>
      </c>
      <c r="BY344" s="45">
        <f>('[2]Renewable Diesel'!$Z353*'[2]RD Feedstock Breakdown'!BY$3*'[2]Feedstock Conversion Rates'!$B$7)/12</f>
        <v>61.716666666666661</v>
      </c>
      <c r="BZ344" s="45">
        <f>('[2]Renewable Diesel'!$Z353*'[2]RD Feedstock Breakdown'!BZ$3*'[2]Feedstock Conversion Rates'!$B$3)/12+180-110</f>
        <v>85.352499999999992</v>
      </c>
      <c r="CA344" s="47">
        <f t="shared" si="262"/>
        <v>156.17958333333331</v>
      </c>
      <c r="CB344" s="45">
        <f>('[2]Renewable Diesel'!AA353*'[2]Feedstock Conversion Rates'!B$4)/12</f>
        <v>191.25</v>
      </c>
      <c r="CC344" s="47">
        <f t="shared" si="250"/>
        <v>191.25</v>
      </c>
      <c r="CD344" s="45">
        <f>('[2]Renewable Diesel'!$AB353*'[2]RD Feedstock Breakdown'!CD$3*'[2]Feedstock Conversion Rates'!$B$6)/12-15-5</f>
        <v>12.830000000000005</v>
      </c>
      <c r="CE344" s="45">
        <f>('[2]Renewable Diesel'!$AB353*'[2]RD Feedstock Breakdown'!CE$3*'[2]Feedstock Conversion Rates'!$B$4)/12+15+5</f>
        <v>31.25</v>
      </c>
      <c r="CF344" s="47">
        <f t="shared" ref="CF344:CF375" si="315">SUM(CD344:CE344)</f>
        <v>44.080000000000005</v>
      </c>
      <c r="CG344" s="45">
        <f>('[2]Renewable Diesel'!AD353*'[2]Feedstock Conversion Rates'!B$4)/12</f>
        <v>112.5</v>
      </c>
      <c r="CH344" s="47">
        <f t="shared" si="302"/>
        <v>112.5</v>
      </c>
      <c r="CI344" s="45">
        <f>('[2]Renewable Diesel'!$AE353*'[2]RD Feedstock Breakdown'!CI$3*'[2]Feedstock Conversion Rates'!$B$5)/12</f>
        <v>0.34604166666666664</v>
      </c>
      <c r="CJ344" s="45">
        <f>('[2]Renewable Diesel'!$AE353*'[2]RD Feedstock Breakdown'!CJ$3*'[2]Feedstock Conversion Rates'!$B$4)/12</f>
        <v>0.34375</v>
      </c>
      <c r="CK344" s="47">
        <f t="shared" si="312"/>
        <v>0.68979166666666658</v>
      </c>
      <c r="CL344" s="45">
        <f>(((CL$3*'[2]Renewable Diesel'!$AF353)*'[2]Feedstock Conversion Rates'!$B$3)/12)</f>
        <v>91.78125</v>
      </c>
      <c r="CM344" s="45">
        <f>(((CM$3*'[2]Renewable Diesel'!$AF353)*'[2]Feedstock Conversion Rates'!$B$6)/12)</f>
        <v>53.739583333333336</v>
      </c>
      <c r="CN344" s="45">
        <f>(((CN$3*'[2]Renewable Diesel'!$AF353)*'[2]Feedstock Conversion Rates'!$B$4)/12)</f>
        <v>42.96875</v>
      </c>
      <c r="CO344" s="47">
        <f t="shared" si="304"/>
        <v>188.48958333333334</v>
      </c>
      <c r="CP344" s="45">
        <f>('[2]Renewable Diesel'!$AG353*'[2]RD Feedstock Breakdown'!CP$3*'[2]Feedstock Conversion Rates'!$B$3)/12</f>
        <v>6.0075000000000003</v>
      </c>
      <c r="CQ344" s="45">
        <f>('[2]Renewable Diesel'!$AG353*'[2]RD Feedstock Breakdown'!CQ$3*'[2]Feedstock Conversion Rates'!$B$6)/12</f>
        <v>3.5175000000000001</v>
      </c>
      <c r="CR344" s="45">
        <f>('[2]Renewable Diesel'!$AG353*'[2]RD Feedstock Breakdown'!CR$3*'[2]Feedstock Conversion Rates'!$B$4)/12</f>
        <v>2.8125</v>
      </c>
      <c r="CS344" s="47">
        <f t="shared" si="267"/>
        <v>12.3375</v>
      </c>
      <c r="CT344" s="45">
        <f>('[2]Renewable Diesel'!AI353*'[2]Feedstock Conversion Rates'!$B$4*'[2]RD Feedstock Breakdown'!$CT$3)/12</f>
        <v>29.375</v>
      </c>
      <c r="CU344" s="47">
        <f t="shared" si="308"/>
        <v>29.375</v>
      </c>
      <c r="CV344" s="45">
        <f>('[2]Renewable Diesel'!AN353*'[2]Feedstock Conversion Rates'!$B$3*'[2]RD Feedstock Breakdown'!$CV$3)/12</f>
        <v>0.50062499999999999</v>
      </c>
      <c r="CW344" s="47">
        <f t="shared" si="284"/>
        <v>0.50062499999999999</v>
      </c>
      <c r="CX344" s="45">
        <f>('[2]Renewable Diesel'!AO353*'[2]RD Feedstock Breakdown'!$CX$3*'[2]Feedstock Conversion Rates'!$B$3)/12</f>
        <v>6.3412499999999996</v>
      </c>
      <c r="CY344" s="45">
        <f>('[2]Renewable Diesel'!AO353*'[2]RD Feedstock Breakdown'!$CY$3*'[2]Feedstock Conversion Rates'!$B$6)/12</f>
        <v>7.4258333333333342</v>
      </c>
      <c r="CZ344" s="47">
        <f t="shared" si="268"/>
        <v>13.767083333333334</v>
      </c>
      <c r="DA344" s="45">
        <f>('[2]Renewable Diesel'!$AP353*'[2]RD Feedstock Breakdown'!DA$3*'[2]Feedstock Conversion Rates'!$B$3)/12</f>
        <v>6.3412499999999996</v>
      </c>
      <c r="DB344" s="45">
        <f>('[2]Renewable Diesel'!$AP353*'[2]RD Feedstock Breakdown'!DB$3*'[2]Feedstock Conversion Rates'!$B$8)/12</f>
        <v>7.421875</v>
      </c>
      <c r="DC344" s="47">
        <f t="shared" si="287"/>
        <v>13.763124999999999</v>
      </c>
      <c r="DD344" s="45">
        <f>('[2]Renewable Diesel'!AQ353*$DD$3*'[2]Feedstock Conversion Rates'!$B$14)/12</f>
        <v>3.1041666666666665</v>
      </c>
      <c r="DE344" s="47">
        <f t="shared" si="288"/>
        <v>3.1041666666666665</v>
      </c>
      <c r="DF344" s="45">
        <f>('[2]Renewable Diesel'!AR353*'[2]Feedstock Conversion Rates'!$B$4*$DF$3)/12</f>
        <v>75</v>
      </c>
      <c r="DG344" s="47">
        <f t="shared" si="269"/>
        <v>75</v>
      </c>
      <c r="DH344" s="45">
        <f>('[2]Renewable Diesel'!AS353*'[2]Feedstock Conversion Rates'!$B$4*$DH$3)/12</f>
        <v>75</v>
      </c>
      <c r="DI344" s="47">
        <f t="shared" si="273"/>
        <v>75</v>
      </c>
      <c r="DJ344" s="45">
        <f>('[2]Renewable Diesel'!AT353*'[2]Feedstock Conversion Rates'!$B$4*0.25)/12</f>
        <v>8.59375</v>
      </c>
      <c r="DK344" s="45">
        <f>('[2]Renewable Diesel'!$AT353*'[2]RD Feedstock Breakdown'!DK$3*'[2]Feedstock Conversion Rates'!$B$3)/12*0.5</f>
        <v>9.1781249999999996</v>
      </c>
      <c r="DL344" s="45">
        <f>('[2]Renewable Diesel'!$AT353*'[2]RD Feedstock Breakdown'!$DL$3*'[2]Feedstock Conversion Rates'!$B$6)/12</f>
        <v>10.747916666666669</v>
      </c>
      <c r="DM344" s="45">
        <f>('[2]Renewable Diesel'!$AT353*'[2]RD Feedstock Breakdown'!$DM$3*'[2]Feedstock Conversion Rates'!$B$8)/12</f>
        <v>10.7421875</v>
      </c>
      <c r="DN344" s="47">
        <f t="shared" si="249"/>
        <v>39.26197916666667</v>
      </c>
      <c r="DP344" s="45">
        <f t="shared" si="290"/>
        <v>48.220250000000007</v>
      </c>
      <c r="DQ344" s="45">
        <f t="shared" si="291"/>
        <v>374.11776750000001</v>
      </c>
      <c r="DR344" s="45">
        <f t="shared" si="296"/>
        <v>1951.953125</v>
      </c>
      <c r="DS344" s="45">
        <f t="shared" si="309"/>
        <v>228.90125</v>
      </c>
      <c r="DT344" s="45">
        <f t="shared" si="292"/>
        <v>243.03923333333344</v>
      </c>
      <c r="DU344" s="45">
        <f t="shared" si="293"/>
        <v>367.90610000000009</v>
      </c>
      <c r="DV344" s="45">
        <f t="shared" si="297"/>
        <v>78.75</v>
      </c>
      <c r="DW344" s="45">
        <f t="shared" si="294"/>
        <v>3</v>
      </c>
      <c r="DX344" s="47">
        <f t="shared" si="298"/>
        <v>3295.8877258333337</v>
      </c>
      <c r="DY344" s="50">
        <f t="shared" si="286"/>
        <v>-5.631051180898794E-13</v>
      </c>
      <c r="EA344" s="51">
        <f t="shared" si="263"/>
        <v>1.4630428585915492E-2</v>
      </c>
      <c r="EB344" s="51">
        <f t="shared" si="263"/>
        <v>0.11351047081114024</v>
      </c>
      <c r="EC344" s="51">
        <f t="shared" si="263"/>
        <v>0.59223896181307789</v>
      </c>
      <c r="ED344" s="51">
        <f t="shared" si="261"/>
        <v>6.9450560529067937E-2</v>
      </c>
      <c r="EE344" s="51">
        <f t="shared" si="261"/>
        <v>7.3740143339343672E-2</v>
      </c>
      <c r="EF344" s="51">
        <f t="shared" si="261"/>
        <v>0.1116257987541061</v>
      </c>
      <c r="EG344" s="51">
        <f t="shared" si="261"/>
        <v>2.3893410986895441E-2</v>
      </c>
      <c r="EH344" s="52">
        <f t="shared" si="299"/>
        <v>9.1022518045315965E-4</v>
      </c>
      <c r="EI344" s="51">
        <f t="shared" si="271"/>
        <v>0.99908977481954675</v>
      </c>
      <c r="EK344" s="53">
        <f>(EA344*'[2]Renewable Diesel'!BF353*'[2]Feedstock Conversion Rates'!B$2)+FB344</f>
        <v>107.94055455227281</v>
      </c>
      <c r="EL344" s="53">
        <f>(EB344*'[2]Renewable Diesel'!BF353*'[2]Feedstock Conversion Rates'!B$3)+FC344</f>
        <v>789.18189210204082</v>
      </c>
      <c r="EM344" s="53">
        <f>(EC344*'[2]Renewable Diesel'!BF353*'[2]Feedstock Conversion Rates'!B$4)+FD344</f>
        <v>3855.3775053477079</v>
      </c>
      <c r="EN344" s="53">
        <f>(ED344*'[2]Renewable Diesel'!BF353*'[2]Feedstock Conversion Rates'!B$5)+FE344</f>
        <v>455.12571845047688</v>
      </c>
      <c r="EO344" s="53">
        <f>(EE344*'[2]Renewable Diesel'!BF353*'[2]Feedstock Conversion Rates'!B$6)+FF344</f>
        <v>600.36516675228313</v>
      </c>
      <c r="EP344" s="53">
        <f>(EF344*'[2]Renewable Diesel'!BF353*'[2]Feedstock Conversion Rates'!B$7)+FG344</f>
        <v>891.37628914361574</v>
      </c>
      <c r="EQ344" s="53">
        <f>(EG344*'[2]Renewable Diesel'!BF353*'[2]Feedstock Conversion Rates'!B$8)+FH344</f>
        <v>194.42768287925202</v>
      </c>
      <c r="ER344" s="53">
        <f>(EH344*'[2]Renewable Diesel'!BF353*'[2]Feedstock Conversion Rates'!B$9)+FI344</f>
        <v>7.3080119533026799</v>
      </c>
      <c r="ES344" s="53">
        <f t="shared" si="300"/>
        <v>6901.1028211809507</v>
      </c>
      <c r="ET344" s="36">
        <f>ES344/'[2]Renewable Diesel'!BF353</f>
        <v>7.9507816637522168</v>
      </c>
    </row>
    <row r="345" spans="1:150" x14ac:dyDescent="0.25">
      <c r="A345" s="39">
        <v>50922</v>
      </c>
      <c r="B345" s="45">
        <f t="shared" si="306"/>
        <v>104.25</v>
      </c>
      <c r="C345" s="45">
        <f t="shared" si="251"/>
        <v>49</v>
      </c>
      <c r="D345" s="45">
        <f t="shared" si="307"/>
        <v>2</v>
      </c>
      <c r="E345" s="45">
        <f>('[2]Renewable Diesel'!B354*E$3*'[2]Feedstock Conversion Rates'!$B$2)/12+26+13-100+27.5+39</f>
        <v>95.43</v>
      </c>
      <c r="F345" s="45">
        <f>('[2]Renewable Diesel'!B354*'[2]RD Feedstock Breakdown'!F$3*'[2]Feedstock Conversion Rates'!B$8)/12+77+23-10-12-115.75+24+8</f>
        <v>48.15625</v>
      </c>
      <c r="G345" s="45">
        <f>('[2]Renewable Diesel'!B354*'[2]RD Feedstock Breakdown'!G$3*'[2]Feedstock Conversion Rates'!B$7)/12+116.75-39-57.5-145-31.5+32+70-40+10+25</f>
        <v>116.90700000000004</v>
      </c>
      <c r="H345" s="45">
        <f>('[2]Renewable Diesel'!B354*'[2]RD Feedstock Breakdown'!H$3*'[2]Feedstock Conversion Rates'!B$3)/12+67+10+12+3-235+20+47-20</f>
        <v>80.400224999999978</v>
      </c>
      <c r="I345" s="47">
        <f t="shared" si="314"/>
        <v>496.14347500000002</v>
      </c>
      <c r="J345" s="45">
        <f t="shared" si="281"/>
        <v>4</v>
      </c>
      <c r="K345" s="45"/>
      <c r="L345" s="45">
        <v>1</v>
      </c>
      <c r="M345" s="45">
        <f>('[2]Renewable Diesel'!C354*'[2]RD Feedstock Breakdown'!M$3*'[2]Feedstock Conversion Rates'!B$2)/12-55</f>
        <v>-47.20975</v>
      </c>
      <c r="N345" s="45">
        <f>('[2]Renewable Diesel'!C354*'[2]RD Feedstock Breakdown'!N$3*'[2]Feedstock Conversion Rates'!B$8)/12</f>
        <v>3.671875</v>
      </c>
      <c r="O345" s="45">
        <f>('[2]Renewable Diesel'!C354*'[2]RD Feedstock Breakdown'!O$3*'[2]Feedstock Conversion Rates'!B$7)/12</f>
        <v>11.9991</v>
      </c>
      <c r="P345" s="45">
        <f>('[2]Renewable Diesel'!C354*'[2]RD Feedstock Breakdown'!P$3*'[2]Feedstock Conversion Rates'!B$3)/12+15+35</f>
        <v>60.447042500000002</v>
      </c>
      <c r="Q345" s="47">
        <f t="shared" si="252"/>
        <v>33.908267500000001</v>
      </c>
      <c r="R345" s="45">
        <f>('[2]Renewable Diesel'!D354*'[2]RD Feedstock Breakdown'!R$3*'[2]Feedstock Conversion Rates'!B$7)/12</f>
        <v>2.2999999999999998</v>
      </c>
      <c r="S345" s="47">
        <f t="shared" si="279"/>
        <v>2.2999999999999998</v>
      </c>
      <c r="T345" s="45">
        <f t="shared" si="253"/>
        <v>0.82499999999999929</v>
      </c>
      <c r="U345" s="45"/>
      <c r="V345" s="45">
        <f>('[2]Renewable Diesel'!E354*'[2]RD Feedstock Breakdown'!V$3*'[2]Feedstock Conversion Rates'!B$6)/12-20+25</f>
        <v>49.250150000000012</v>
      </c>
      <c r="W345" s="45">
        <f>('[2]Renewable Diesel'!E354*'[2]RD Feedstock Breakdown'!W$3*'[2]Feedstock Conversion Rates'!B$8)/12-6</f>
        <v>16.1796875</v>
      </c>
      <c r="X345" s="47">
        <f t="shared" si="301"/>
        <v>66.254837500000008</v>
      </c>
      <c r="Y345" s="45">
        <f t="shared" si="254"/>
        <v>98</v>
      </c>
      <c r="Z345" s="45">
        <f>('[2]Renewable Diesel'!F354*'[2]RD Feedstock Breakdown'!Z$3*'[2]Feedstock Conversion Rates'!B$6)/12-142+15+5+20+5+15</f>
        <v>77.460000000000008</v>
      </c>
      <c r="AA345" s="45">
        <f>('[2]Renewable Diesel'!F354*'[2]RD Feedstock Breakdown'!AA$3*'[2]Feedstock Conversion Rates'!B$7)/12+24</f>
        <v>128.26666666666665</v>
      </c>
      <c r="AB345" s="47">
        <f t="shared" si="270"/>
        <v>303.72666666666669</v>
      </c>
      <c r="AC345" s="45">
        <f>('[2]Renewable Diesel'!G354*'[2]RD Feedstock Breakdown'!AC$3*'[2]Feedstock Conversion Rates'!B$5)/12</f>
        <v>11.796875</v>
      </c>
      <c r="AD345" s="45">
        <f>('[2]Renewable Diesel'!G354*'[2]RD Feedstock Breakdown'!AD$3*'[2]Feedstock Conversion Rates'!B$4)/12</f>
        <v>5.859375</v>
      </c>
      <c r="AE345" s="45">
        <f>('[2]Renewable Diesel'!G354*'[2]RD Feedstock Breakdown'!AE$3*'[2]Feedstock Conversion Rates'!B$6)/12</f>
        <v>7.3281250000000009</v>
      </c>
      <c r="AF345" s="47">
        <f t="shared" si="310"/>
        <v>24.984375</v>
      </c>
      <c r="AG345" s="45">
        <f t="shared" si="259"/>
        <v>148</v>
      </c>
      <c r="AH345" s="45"/>
      <c r="AI345" s="45">
        <f>('[2]Renewable Diesel'!H354*'[2]RD Feedstock Breakdown'!AI$3*'[2]Feedstock Conversion Rates'!B$6)/12-130-20+51-49</f>
        <v>0.51666666666667993</v>
      </c>
      <c r="AJ345" s="47">
        <f t="shared" si="278"/>
        <v>148.51666666666668</v>
      </c>
      <c r="AK345" s="45">
        <f>('[2]Renewable Diesel'!J354*'[2]RD Feedstock Breakdown'!AK$3*'[2]Feedstock Conversion Rates'!B$4)/12</f>
        <v>95.8125</v>
      </c>
      <c r="AL345" s="47">
        <f t="shared" si="280"/>
        <v>95.8125</v>
      </c>
      <c r="AM345" s="45">
        <f>('[2]Renewable Diesel'!K354*'[2]RD Feedstock Breakdown'!AM$3*'[2]Feedstock Conversion Rates'!B$4)/12+5+15-10+10</f>
        <v>78.59375</v>
      </c>
      <c r="AN345" s="45">
        <f>('[2]Renewable Diesel'!K354*'[2]RD Feedstock Breakdown'!AN$3*'[2]Feedstock Conversion Rates'!B$6)/12-5-15+10-10</f>
        <v>4.4270833333333321</v>
      </c>
      <c r="AO345" s="47">
        <f t="shared" si="295"/>
        <v>83.020833333333329</v>
      </c>
      <c r="AP345" s="45">
        <f>('[2]Renewable Diesel'!L354*'[2]RD Feedstock Breakdown'!AP$3*'[2]Feedstock Conversion Rates'!B$4)/12+15-10+15</f>
        <v>78.59375</v>
      </c>
      <c r="AQ345" s="45">
        <f>('[2]Renewable Diesel'!L354*'[2]RD Feedstock Breakdown'!AQ$3*'[2]Feedstock Conversion Rates'!B$6)/12-15+10-15</f>
        <v>4.4270833333333321</v>
      </c>
      <c r="AR345" s="47">
        <f t="shared" si="285"/>
        <v>83.020833333333329</v>
      </c>
      <c r="AS345" s="45">
        <f>('[2]Renewable Diesel'!M354*'[2]RD Feedstock Breakdown'!AS$3*'[2]Feedstock Conversion Rates'!B$4)/12</f>
        <v>456.25</v>
      </c>
      <c r="AT345" s="45">
        <f>('[2]Renewable Diesel'!M354*'[2]RD Feedstock Breakdown'!AT$3*'[2]Feedstock Conversion Rates'!B$5)/12</f>
        <v>0</v>
      </c>
      <c r="AU345" s="47">
        <f t="shared" si="313"/>
        <v>456.25</v>
      </c>
      <c r="AV345" s="45">
        <f>'[2]Renewable Diesel'!N354*'[2]RD Feedstock Breakdown'!$AV$3*'[2]Feedstock Conversion Rates'!$B$4/12-15-10+25+25-22+25</f>
        <v>106.74999999999999</v>
      </c>
      <c r="AW345" s="45">
        <f>'[2]Renewable Diesel'!N354*'[2]RD Feedstock Breakdown'!$AW$3*'[2]Feedstock Conversion Rates'!$B$7/12+15+10-25-25+22-25</f>
        <v>13.400000000000006</v>
      </c>
      <c r="AX345" s="47">
        <f t="shared" si="272"/>
        <v>120.14999999999999</v>
      </c>
      <c r="AY345" s="45">
        <f>('[2]Renewable Diesel'!O354*'[2]RD Feedstock Breakdown'!AY$3*'[2]Feedstock Conversion Rates'!B$4)/12</f>
        <v>210.9375</v>
      </c>
      <c r="AZ345" s="45">
        <f>('[2]Renewable Diesel'!O354*'[2]RD Feedstock Breakdown'!AZ$3*'[2]Feedstock Conversion Rates'!B$3)/12</f>
        <v>25.03125</v>
      </c>
      <c r="BA345" s="47">
        <f t="shared" si="255"/>
        <v>235.96875</v>
      </c>
      <c r="BB345" s="45">
        <f>('[2]Renewable Diesel'!Q354*'[2]RD Feedstock Breakdown'!BB$3*'[2]Feedstock Conversion Rates'!B$4)/12</f>
        <v>11.156249999999998</v>
      </c>
      <c r="BC345" s="45">
        <f>('[2]Renewable Diesel'!Q354*'[2]RD Feedstock Breakdown'!BC$3*'[2]Feedstock Conversion Rates'!B$3)/12</f>
        <v>1.4017500000000001</v>
      </c>
      <c r="BD345" s="45">
        <f>('[2]Renewable Diesel'!Q354*'[2]RD Feedstock Breakdown'!BD$3*'[2]Feedstock Conversion Rates'!B$6)/12</f>
        <v>0.8207500000000002</v>
      </c>
      <c r="BE345" s="47">
        <f t="shared" si="303"/>
        <v>13.378749999999998</v>
      </c>
      <c r="BF345" s="45">
        <f>('[2]Renewable Diesel'!R354*'[2]RD Feedstock Breakdown'!BF$3*'[2]Feedstock Conversion Rates'!B$4)/12</f>
        <v>62.5</v>
      </c>
      <c r="BG345" s="47">
        <f t="shared" si="289"/>
        <v>62.5</v>
      </c>
      <c r="BH345" s="45">
        <f>('[2]Renewable Diesel'!T354*'[2]RD Feedstock Breakdown'!BH$3*'[2]Feedstock Conversion Rates'!B$7)/12</f>
        <v>27.599999999999998</v>
      </c>
      <c r="BI345" s="47">
        <f t="shared" si="277"/>
        <v>27.599999999999998</v>
      </c>
      <c r="BJ345" s="45">
        <f>('[2]Renewable Diesel'!W354*'[2]RD Feedstock Breakdown'!BJ$3*'[2]Feedstock Conversion Rates'!B$4)/12</f>
        <v>7.5</v>
      </c>
      <c r="BK345" s="45">
        <f>('[2]Renewable Diesel'!W354*'[2]RD Feedstock Breakdown'!BK$3*'[2]Feedstock Conversion Rates'!B$3)/12</f>
        <v>1.335</v>
      </c>
      <c r="BL345" s="45">
        <f>('[2]Renewable Diesel'!W354*'[2]RD Feedstock Breakdown'!BL$3*'[2]Feedstock Conversion Rates'!B$6)/12</f>
        <v>3.1266666666666669</v>
      </c>
      <c r="BM345" s="45">
        <f>('[2]Renewable Diesel'!W354*'[2]RD Feedstock Breakdown'!BM$3*'[2]Feedstock Conversion Rates'!B$7)/12</f>
        <v>1.5333333333333332</v>
      </c>
      <c r="BN345" s="47">
        <f t="shared" si="248"/>
        <v>13.495000000000001</v>
      </c>
      <c r="BO345" s="45">
        <f>('[2]Renewable Diesel'!P354*'[2]Feedstock Conversion Rates'!B$4)/12</f>
        <v>31.25</v>
      </c>
      <c r="BP345" s="47">
        <f t="shared" si="311"/>
        <v>31.25</v>
      </c>
      <c r="BQ345" s="45">
        <f>('[2]Renewable Diesel'!$S354*'[2]RD Feedstock Breakdown'!BQ$3*'[2]Feedstock Conversion Rates'!B$4)/12+10+15-15</f>
        <v>38.125</v>
      </c>
      <c r="BR345" s="45">
        <f>('[2]Renewable Diesel'!$S354*'[2]RD Feedstock Breakdown'!BR$3*'[2]Feedstock Conversion Rates'!B$7)/12-10-15+15</f>
        <v>1.5</v>
      </c>
      <c r="BS345" s="47">
        <f t="shared" si="260"/>
        <v>39.625</v>
      </c>
      <c r="BT345" s="47"/>
      <c r="BU345" s="45">
        <f>('[2]Renewable Diesel'!Y354*'[2]Feedstock Conversion Rates'!B$7)/12</f>
        <v>2.6833333333333331</v>
      </c>
      <c r="BV345" s="47">
        <f t="shared" si="305"/>
        <v>2.6833333333333331</v>
      </c>
      <c r="BW345" s="45">
        <f>('[2]Renewable Diesel'!$Z354*'[2]RD Feedstock Breakdown'!BW$3*'[2]Feedstock Conversion Rates'!$B$4)/12-180+110</f>
        <v>1.875</v>
      </c>
      <c r="BX345" s="45">
        <f>('[2]Renewable Diesel'!$Z354*'[2]RD Feedstock Breakdown'!BX$3*'[2]Feedstock Conversion Rates'!$B$5)/12</f>
        <v>7.2354166666666666</v>
      </c>
      <c r="BY345" s="45">
        <f>('[2]Renewable Diesel'!$Z354*'[2]RD Feedstock Breakdown'!BY$3*'[2]Feedstock Conversion Rates'!$B$7)/12</f>
        <v>61.716666666666661</v>
      </c>
      <c r="BZ345" s="45">
        <f>('[2]Renewable Diesel'!$Z354*'[2]RD Feedstock Breakdown'!BZ$3*'[2]Feedstock Conversion Rates'!$B$3)/12+180-110</f>
        <v>85.352499999999992</v>
      </c>
      <c r="CA345" s="47">
        <f t="shared" si="262"/>
        <v>156.17958333333331</v>
      </c>
      <c r="CB345" s="45">
        <f>('[2]Renewable Diesel'!AA354*'[2]Feedstock Conversion Rates'!B$4)/12</f>
        <v>191.25</v>
      </c>
      <c r="CC345" s="47">
        <f t="shared" si="250"/>
        <v>191.25</v>
      </c>
      <c r="CD345" s="45">
        <f>('[2]Renewable Diesel'!$AB354*'[2]RD Feedstock Breakdown'!CD$3*'[2]Feedstock Conversion Rates'!$B$6)/12-15-5</f>
        <v>12.830000000000005</v>
      </c>
      <c r="CE345" s="45">
        <f>('[2]Renewable Diesel'!$AB354*'[2]RD Feedstock Breakdown'!CE$3*'[2]Feedstock Conversion Rates'!$B$4)/12+15+5</f>
        <v>31.25</v>
      </c>
      <c r="CF345" s="47">
        <f t="shared" si="315"/>
        <v>44.080000000000005</v>
      </c>
      <c r="CG345" s="45">
        <f>('[2]Renewable Diesel'!AD354*'[2]Feedstock Conversion Rates'!B$4)/12</f>
        <v>112.5</v>
      </c>
      <c r="CH345" s="47">
        <f t="shared" si="302"/>
        <v>112.5</v>
      </c>
      <c r="CI345" s="45">
        <f>('[2]Renewable Diesel'!$AE354*'[2]RD Feedstock Breakdown'!CI$3*'[2]Feedstock Conversion Rates'!$B$5)/12</f>
        <v>0.34604166666666664</v>
      </c>
      <c r="CJ345" s="45">
        <f>('[2]Renewable Diesel'!$AE354*'[2]RD Feedstock Breakdown'!CJ$3*'[2]Feedstock Conversion Rates'!$B$4)/12</f>
        <v>0.34375</v>
      </c>
      <c r="CK345" s="47">
        <f t="shared" si="312"/>
        <v>0.68979166666666658</v>
      </c>
      <c r="CL345" s="45">
        <f>(((CL$3*'[2]Renewable Diesel'!$AF354)*'[2]Feedstock Conversion Rates'!$B$3)/12)</f>
        <v>91.78125</v>
      </c>
      <c r="CM345" s="45">
        <f>(((CM$3*'[2]Renewable Diesel'!$AF354)*'[2]Feedstock Conversion Rates'!$B$6)/12)</f>
        <v>53.739583333333336</v>
      </c>
      <c r="CN345" s="45">
        <f>(((CN$3*'[2]Renewable Diesel'!$AF354)*'[2]Feedstock Conversion Rates'!$B$4)/12)</f>
        <v>42.96875</v>
      </c>
      <c r="CO345" s="47">
        <f t="shared" si="304"/>
        <v>188.48958333333334</v>
      </c>
      <c r="CP345" s="45">
        <f>('[2]Renewable Diesel'!$AG354*'[2]RD Feedstock Breakdown'!CP$3*'[2]Feedstock Conversion Rates'!$B$3)/12</f>
        <v>6.0075000000000003</v>
      </c>
      <c r="CQ345" s="45">
        <f>('[2]Renewable Diesel'!$AG354*'[2]RD Feedstock Breakdown'!CQ$3*'[2]Feedstock Conversion Rates'!$B$6)/12</f>
        <v>3.5175000000000001</v>
      </c>
      <c r="CR345" s="45">
        <f>('[2]Renewable Diesel'!$AG354*'[2]RD Feedstock Breakdown'!CR$3*'[2]Feedstock Conversion Rates'!$B$4)/12</f>
        <v>2.8125</v>
      </c>
      <c r="CS345" s="47">
        <f t="shared" si="267"/>
        <v>12.3375</v>
      </c>
      <c r="CT345" s="45">
        <f>('[2]Renewable Diesel'!AI354*'[2]Feedstock Conversion Rates'!$B$4*'[2]RD Feedstock Breakdown'!$CT$3)/12</f>
        <v>29.375</v>
      </c>
      <c r="CU345" s="47">
        <f t="shared" si="308"/>
        <v>29.375</v>
      </c>
      <c r="CV345" s="45">
        <f>('[2]Renewable Diesel'!AN354*'[2]Feedstock Conversion Rates'!$B$3*'[2]RD Feedstock Breakdown'!$CV$3)/12</f>
        <v>0.50062499999999999</v>
      </c>
      <c r="CW345" s="47">
        <f t="shared" si="284"/>
        <v>0.50062499999999999</v>
      </c>
      <c r="CX345" s="45">
        <f>('[2]Renewable Diesel'!AO354*'[2]RD Feedstock Breakdown'!$CX$3*'[2]Feedstock Conversion Rates'!$B$3)/12</f>
        <v>6.3412499999999996</v>
      </c>
      <c r="CY345" s="45">
        <f>('[2]Renewable Diesel'!AO354*'[2]RD Feedstock Breakdown'!$CY$3*'[2]Feedstock Conversion Rates'!$B$6)/12</f>
        <v>7.4258333333333342</v>
      </c>
      <c r="CZ345" s="47">
        <f t="shared" si="268"/>
        <v>13.767083333333334</v>
      </c>
      <c r="DA345" s="45">
        <f>('[2]Renewable Diesel'!$AP354*'[2]RD Feedstock Breakdown'!DA$3*'[2]Feedstock Conversion Rates'!$B$3)/12</f>
        <v>6.3412499999999996</v>
      </c>
      <c r="DB345" s="45">
        <f>('[2]Renewable Diesel'!$AP354*'[2]RD Feedstock Breakdown'!DB$3*'[2]Feedstock Conversion Rates'!$B$8)/12</f>
        <v>7.421875</v>
      </c>
      <c r="DC345" s="47">
        <f t="shared" si="287"/>
        <v>13.763124999999999</v>
      </c>
      <c r="DD345" s="45">
        <f>('[2]Renewable Diesel'!AQ354*$DD$3*'[2]Feedstock Conversion Rates'!$B$14)/12</f>
        <v>3.1041666666666665</v>
      </c>
      <c r="DE345" s="47">
        <f t="shared" si="288"/>
        <v>3.1041666666666665</v>
      </c>
      <c r="DF345" s="45">
        <f>('[2]Renewable Diesel'!AR354*'[2]Feedstock Conversion Rates'!$B$4*$DF$3)/12</f>
        <v>75</v>
      </c>
      <c r="DG345" s="47">
        <f t="shared" si="269"/>
        <v>75</v>
      </c>
      <c r="DH345" s="45">
        <f>('[2]Renewable Diesel'!AS354*'[2]Feedstock Conversion Rates'!$B$4*$DH$3)/12</f>
        <v>75</v>
      </c>
      <c r="DI345" s="47">
        <f t="shared" si="273"/>
        <v>75</v>
      </c>
      <c r="DJ345" s="45">
        <f>('[2]Renewable Diesel'!AT354*'[2]Feedstock Conversion Rates'!$B$4*0.25)/12</f>
        <v>8.59375</v>
      </c>
      <c r="DK345" s="45">
        <f>('[2]Renewable Diesel'!$AT354*'[2]RD Feedstock Breakdown'!DK$3*'[2]Feedstock Conversion Rates'!$B$3)/12*0.5</f>
        <v>9.1781249999999996</v>
      </c>
      <c r="DL345" s="45">
        <f>('[2]Renewable Diesel'!$AT354*'[2]RD Feedstock Breakdown'!$DL$3*'[2]Feedstock Conversion Rates'!$B$6)/12</f>
        <v>10.747916666666669</v>
      </c>
      <c r="DM345" s="45">
        <f>('[2]Renewable Diesel'!$AT354*'[2]RD Feedstock Breakdown'!$DM$3*'[2]Feedstock Conversion Rates'!$B$8)/12</f>
        <v>10.7421875</v>
      </c>
      <c r="DN345" s="47">
        <f t="shared" si="249"/>
        <v>39.26197916666667</v>
      </c>
      <c r="DP345" s="45">
        <f t="shared" si="290"/>
        <v>48.220250000000007</v>
      </c>
      <c r="DQ345" s="45">
        <f t="shared" si="291"/>
        <v>374.11776750000001</v>
      </c>
      <c r="DR345" s="45">
        <f t="shared" si="296"/>
        <v>1951.953125</v>
      </c>
      <c r="DS345" s="45">
        <f t="shared" si="309"/>
        <v>228.90125</v>
      </c>
      <c r="DT345" s="45">
        <f t="shared" si="292"/>
        <v>243.03923333333344</v>
      </c>
      <c r="DU345" s="45">
        <f t="shared" si="293"/>
        <v>367.90610000000009</v>
      </c>
      <c r="DV345" s="45">
        <f t="shared" si="297"/>
        <v>78.75</v>
      </c>
      <c r="DW345" s="45">
        <f t="shared" si="294"/>
        <v>3</v>
      </c>
      <c r="DX345" s="47">
        <f t="shared" si="298"/>
        <v>3295.8877258333337</v>
      </c>
      <c r="DY345" s="50">
        <f t="shared" si="286"/>
        <v>-5.631051180898794E-13</v>
      </c>
      <c r="EA345" s="51">
        <f t="shared" si="263"/>
        <v>1.4630428585915492E-2</v>
      </c>
      <c r="EB345" s="51">
        <f t="shared" si="263"/>
        <v>0.11351047081114024</v>
      </c>
      <c r="EC345" s="51">
        <f t="shared" si="263"/>
        <v>0.59223896181307789</v>
      </c>
      <c r="ED345" s="51">
        <f t="shared" si="261"/>
        <v>6.9450560529067937E-2</v>
      </c>
      <c r="EE345" s="51">
        <f t="shared" si="261"/>
        <v>7.3740143339343672E-2</v>
      </c>
      <c r="EF345" s="51">
        <f t="shared" si="261"/>
        <v>0.1116257987541061</v>
      </c>
      <c r="EG345" s="51">
        <f t="shared" si="261"/>
        <v>2.3893410986895441E-2</v>
      </c>
      <c r="EH345" s="52">
        <f t="shared" si="299"/>
        <v>9.1022518045315965E-4</v>
      </c>
      <c r="EI345" s="51">
        <f t="shared" si="271"/>
        <v>0.99908977481954675</v>
      </c>
      <c r="EK345" s="53">
        <f>(EA345*'[2]Renewable Diesel'!BF354*'[2]Feedstock Conversion Rates'!B$2)+FB345</f>
        <v>105.07530229293742</v>
      </c>
      <c r="EL345" s="53">
        <f>(EB345*'[2]Renewable Diesel'!BF354*'[2]Feedstock Conversion Rates'!B$3)+FC345</f>
        <v>768.23327636858255</v>
      </c>
      <c r="EM345" s="53">
        <f>(EC345*'[2]Renewable Diesel'!BF354*'[2]Feedstock Conversion Rates'!B$4)+FD345</f>
        <v>3753.0375724688311</v>
      </c>
      <c r="EN345" s="53">
        <f>(ED345*'[2]Renewable Diesel'!BF354*'[2]Feedstock Conversion Rates'!B$5)+FE345</f>
        <v>443.04453174098717</v>
      </c>
      <c r="EO345" s="53">
        <f>(EE345*'[2]Renewable Diesel'!BF354*'[2]Feedstock Conversion Rates'!B$6)+FF345</f>
        <v>584.42863893288791</v>
      </c>
      <c r="EP345" s="53">
        <f>(EF345*'[2]Renewable Diesel'!BF354*'[2]Feedstock Conversion Rates'!B$7)+FG345</f>
        <v>867.71495131761924</v>
      </c>
      <c r="EQ345" s="53">
        <f>(EG345*'[2]Renewable Diesel'!BF354*'[2]Feedstock Conversion Rates'!B$8)+FH345</f>
        <v>189.26665364461587</v>
      </c>
      <c r="ER345" s="53">
        <f>(EH345*'[2]Renewable Diesel'!BF354*'[2]Feedstock Conversion Rates'!B$9)+FI345</f>
        <v>7.1140227909595302</v>
      </c>
      <c r="ES345" s="53">
        <f t="shared" si="300"/>
        <v>6717.9149495574211</v>
      </c>
      <c r="ET345" s="36">
        <f>ES345/'[2]Renewable Diesel'!BF354</f>
        <v>7.9507816637522186</v>
      </c>
    </row>
    <row r="346" spans="1:150" x14ac:dyDescent="0.25">
      <c r="A346" s="39">
        <v>50952</v>
      </c>
      <c r="B346" s="45">
        <f t="shared" si="306"/>
        <v>104.25</v>
      </c>
      <c r="C346" s="45">
        <f t="shared" si="251"/>
        <v>49</v>
      </c>
      <c r="D346" s="45">
        <f t="shared" si="307"/>
        <v>2</v>
      </c>
      <c r="E346" s="45">
        <f>('[2]Renewable Diesel'!B355*E$3*'[2]Feedstock Conversion Rates'!$B$2)/12+26+13-100+27.5+39</f>
        <v>95.43</v>
      </c>
      <c r="F346" s="45">
        <f>('[2]Renewable Diesel'!B355*'[2]RD Feedstock Breakdown'!F$3*'[2]Feedstock Conversion Rates'!B$8)/12+77+23-10-12-115.75+24+8</f>
        <v>48.15625</v>
      </c>
      <c r="G346" s="45">
        <f>('[2]Renewable Diesel'!B355*'[2]RD Feedstock Breakdown'!G$3*'[2]Feedstock Conversion Rates'!B$7)/12+116.75-39-57.5-145-31.5+32+70-40+10+25</f>
        <v>116.90700000000004</v>
      </c>
      <c r="H346" s="45">
        <f>('[2]Renewable Diesel'!B355*'[2]RD Feedstock Breakdown'!H$3*'[2]Feedstock Conversion Rates'!B$3)/12+67+10+12+3-235+20+47-20</f>
        <v>80.400224999999978</v>
      </c>
      <c r="I346" s="47">
        <f t="shared" si="314"/>
        <v>496.14347500000002</v>
      </c>
      <c r="J346" s="45">
        <f t="shared" si="281"/>
        <v>4</v>
      </c>
      <c r="K346" s="45"/>
      <c r="L346" s="45">
        <v>1</v>
      </c>
      <c r="M346" s="45">
        <f>('[2]Renewable Diesel'!C355*'[2]RD Feedstock Breakdown'!M$3*'[2]Feedstock Conversion Rates'!B$2)/12-55</f>
        <v>-47.20975</v>
      </c>
      <c r="N346" s="45">
        <f>('[2]Renewable Diesel'!C355*'[2]RD Feedstock Breakdown'!N$3*'[2]Feedstock Conversion Rates'!B$8)/12</f>
        <v>3.671875</v>
      </c>
      <c r="O346" s="45">
        <f>('[2]Renewable Diesel'!C355*'[2]RD Feedstock Breakdown'!O$3*'[2]Feedstock Conversion Rates'!B$7)/12</f>
        <v>11.9991</v>
      </c>
      <c r="P346" s="45">
        <f>('[2]Renewable Diesel'!C355*'[2]RD Feedstock Breakdown'!P$3*'[2]Feedstock Conversion Rates'!B$3)/12+15+35</f>
        <v>60.447042500000002</v>
      </c>
      <c r="Q346" s="47">
        <f t="shared" si="252"/>
        <v>33.908267500000001</v>
      </c>
      <c r="R346" s="45">
        <f>('[2]Renewable Diesel'!D355*'[2]RD Feedstock Breakdown'!R$3*'[2]Feedstock Conversion Rates'!B$7)/12</f>
        <v>2.2999999999999998</v>
      </c>
      <c r="S346" s="47">
        <f t="shared" si="279"/>
        <v>2.2999999999999998</v>
      </c>
      <c r="T346" s="45">
        <f t="shared" si="253"/>
        <v>0.82499999999999929</v>
      </c>
      <c r="U346" s="45"/>
      <c r="V346" s="45">
        <f>('[2]Renewable Diesel'!E355*'[2]RD Feedstock Breakdown'!V$3*'[2]Feedstock Conversion Rates'!B$6)/12-20+25</f>
        <v>49.250150000000012</v>
      </c>
      <c r="W346" s="45">
        <f>('[2]Renewable Diesel'!E355*'[2]RD Feedstock Breakdown'!W$3*'[2]Feedstock Conversion Rates'!B$8)/12-6</f>
        <v>16.1796875</v>
      </c>
      <c r="X346" s="47">
        <f t="shared" si="301"/>
        <v>66.254837500000008</v>
      </c>
      <c r="Y346" s="45">
        <f t="shared" si="254"/>
        <v>98</v>
      </c>
      <c r="Z346" s="45">
        <f>('[2]Renewable Diesel'!F355*'[2]RD Feedstock Breakdown'!Z$3*'[2]Feedstock Conversion Rates'!B$6)/12-142+15+5+20+5+15</f>
        <v>77.460000000000008</v>
      </c>
      <c r="AA346" s="45">
        <f>('[2]Renewable Diesel'!F355*'[2]RD Feedstock Breakdown'!AA$3*'[2]Feedstock Conversion Rates'!B$7)/12+24</f>
        <v>128.26666666666665</v>
      </c>
      <c r="AB346" s="47">
        <f t="shared" si="270"/>
        <v>303.72666666666669</v>
      </c>
      <c r="AC346" s="45">
        <f>('[2]Renewable Diesel'!G355*'[2]RD Feedstock Breakdown'!AC$3*'[2]Feedstock Conversion Rates'!B$5)/12</f>
        <v>11.796875</v>
      </c>
      <c r="AD346" s="45">
        <f>('[2]Renewable Diesel'!G355*'[2]RD Feedstock Breakdown'!AD$3*'[2]Feedstock Conversion Rates'!B$4)/12</f>
        <v>5.859375</v>
      </c>
      <c r="AE346" s="45">
        <f>('[2]Renewable Diesel'!G355*'[2]RD Feedstock Breakdown'!AE$3*'[2]Feedstock Conversion Rates'!B$6)/12</f>
        <v>7.3281250000000009</v>
      </c>
      <c r="AF346" s="47">
        <f t="shared" si="310"/>
        <v>24.984375</v>
      </c>
      <c r="AG346" s="45">
        <f t="shared" si="259"/>
        <v>148</v>
      </c>
      <c r="AH346" s="45"/>
      <c r="AI346" s="45">
        <f>('[2]Renewable Diesel'!H355*'[2]RD Feedstock Breakdown'!AI$3*'[2]Feedstock Conversion Rates'!B$6)/12-130-20+51-49</f>
        <v>0.51666666666667993</v>
      </c>
      <c r="AJ346" s="47">
        <f t="shared" si="278"/>
        <v>148.51666666666668</v>
      </c>
      <c r="AK346" s="45">
        <f>('[2]Renewable Diesel'!J355*'[2]RD Feedstock Breakdown'!AK$3*'[2]Feedstock Conversion Rates'!B$4)/12</f>
        <v>95.8125</v>
      </c>
      <c r="AL346" s="47">
        <f t="shared" si="280"/>
        <v>95.8125</v>
      </c>
      <c r="AM346" s="45">
        <f>('[2]Renewable Diesel'!K355*'[2]RD Feedstock Breakdown'!AM$3*'[2]Feedstock Conversion Rates'!B$4)/12+5+15-10+10</f>
        <v>78.59375</v>
      </c>
      <c r="AN346" s="45">
        <f>('[2]Renewable Diesel'!K355*'[2]RD Feedstock Breakdown'!AN$3*'[2]Feedstock Conversion Rates'!B$6)/12-5-15+10-10</f>
        <v>4.4270833333333321</v>
      </c>
      <c r="AO346" s="47">
        <f t="shared" si="295"/>
        <v>83.020833333333329</v>
      </c>
      <c r="AP346" s="45">
        <f>('[2]Renewable Diesel'!L355*'[2]RD Feedstock Breakdown'!AP$3*'[2]Feedstock Conversion Rates'!B$4)/12+15-10+15</f>
        <v>78.59375</v>
      </c>
      <c r="AQ346" s="45">
        <f>('[2]Renewable Diesel'!L355*'[2]RD Feedstock Breakdown'!AQ$3*'[2]Feedstock Conversion Rates'!B$6)/12-15+10-15</f>
        <v>4.4270833333333321</v>
      </c>
      <c r="AR346" s="47">
        <f t="shared" si="285"/>
        <v>83.020833333333329</v>
      </c>
      <c r="AS346" s="45">
        <f>('[2]Renewable Diesel'!M355*'[2]RD Feedstock Breakdown'!AS$3*'[2]Feedstock Conversion Rates'!B$4)/12</f>
        <v>456.25</v>
      </c>
      <c r="AT346" s="45">
        <f>('[2]Renewable Diesel'!M355*'[2]RD Feedstock Breakdown'!AT$3*'[2]Feedstock Conversion Rates'!B$5)/12</f>
        <v>0</v>
      </c>
      <c r="AU346" s="47">
        <f t="shared" si="313"/>
        <v>456.25</v>
      </c>
      <c r="AV346" s="45">
        <f>'[2]Renewable Diesel'!N355*'[2]RD Feedstock Breakdown'!$AV$3*'[2]Feedstock Conversion Rates'!$B$4/12-15-10+25+25-22+25</f>
        <v>106.74999999999999</v>
      </c>
      <c r="AW346" s="45">
        <f>'[2]Renewable Diesel'!N355*'[2]RD Feedstock Breakdown'!$AW$3*'[2]Feedstock Conversion Rates'!$B$7/12+15+10-25-25+22-25</f>
        <v>13.400000000000006</v>
      </c>
      <c r="AX346" s="47">
        <f t="shared" si="272"/>
        <v>120.14999999999999</v>
      </c>
      <c r="AY346" s="45">
        <f>('[2]Renewable Diesel'!O355*'[2]RD Feedstock Breakdown'!AY$3*'[2]Feedstock Conversion Rates'!B$4)/12</f>
        <v>210.9375</v>
      </c>
      <c r="AZ346" s="45">
        <f>('[2]Renewable Diesel'!O355*'[2]RD Feedstock Breakdown'!AZ$3*'[2]Feedstock Conversion Rates'!B$3)/12</f>
        <v>25.03125</v>
      </c>
      <c r="BA346" s="47">
        <f t="shared" si="255"/>
        <v>235.96875</v>
      </c>
      <c r="BB346" s="45">
        <f>('[2]Renewable Diesel'!Q355*'[2]RD Feedstock Breakdown'!BB$3*'[2]Feedstock Conversion Rates'!B$4)/12</f>
        <v>11.156249999999998</v>
      </c>
      <c r="BC346" s="45">
        <f>('[2]Renewable Diesel'!Q355*'[2]RD Feedstock Breakdown'!BC$3*'[2]Feedstock Conversion Rates'!B$3)/12</f>
        <v>1.4017500000000001</v>
      </c>
      <c r="BD346" s="45">
        <f>('[2]Renewable Diesel'!Q355*'[2]RD Feedstock Breakdown'!BD$3*'[2]Feedstock Conversion Rates'!B$6)/12</f>
        <v>0.8207500000000002</v>
      </c>
      <c r="BE346" s="47">
        <f t="shared" si="303"/>
        <v>13.378749999999998</v>
      </c>
      <c r="BF346" s="45">
        <f>('[2]Renewable Diesel'!R355*'[2]RD Feedstock Breakdown'!BF$3*'[2]Feedstock Conversion Rates'!B$4)/12</f>
        <v>62.5</v>
      </c>
      <c r="BG346" s="47">
        <f t="shared" si="289"/>
        <v>62.5</v>
      </c>
      <c r="BH346" s="45">
        <f>('[2]Renewable Diesel'!T355*'[2]RD Feedstock Breakdown'!BH$3*'[2]Feedstock Conversion Rates'!B$7)/12</f>
        <v>27.599999999999998</v>
      </c>
      <c r="BI346" s="47">
        <f t="shared" si="277"/>
        <v>27.599999999999998</v>
      </c>
      <c r="BJ346" s="45">
        <f>('[2]Renewable Diesel'!W355*'[2]RD Feedstock Breakdown'!BJ$3*'[2]Feedstock Conversion Rates'!B$4)/12</f>
        <v>7.5</v>
      </c>
      <c r="BK346" s="45">
        <f>('[2]Renewable Diesel'!W355*'[2]RD Feedstock Breakdown'!BK$3*'[2]Feedstock Conversion Rates'!B$3)/12</f>
        <v>1.335</v>
      </c>
      <c r="BL346" s="45">
        <f>('[2]Renewable Diesel'!W355*'[2]RD Feedstock Breakdown'!BL$3*'[2]Feedstock Conversion Rates'!B$6)/12</f>
        <v>3.1266666666666669</v>
      </c>
      <c r="BM346" s="45">
        <f>('[2]Renewable Diesel'!W355*'[2]RD Feedstock Breakdown'!BM$3*'[2]Feedstock Conversion Rates'!B$7)/12</f>
        <v>1.5333333333333332</v>
      </c>
      <c r="BN346" s="47">
        <f t="shared" ref="BN346:BN375" si="316">SUM(BJ346:BM346)</f>
        <v>13.495000000000001</v>
      </c>
      <c r="BO346" s="45">
        <f>('[2]Renewable Diesel'!P355*'[2]Feedstock Conversion Rates'!B$4)/12</f>
        <v>31.25</v>
      </c>
      <c r="BP346" s="47">
        <f t="shared" si="311"/>
        <v>31.25</v>
      </c>
      <c r="BQ346" s="45">
        <f>('[2]Renewable Diesel'!$S355*'[2]RD Feedstock Breakdown'!BQ$3*'[2]Feedstock Conversion Rates'!B$4)/12+10+15-15</f>
        <v>38.125</v>
      </c>
      <c r="BR346" s="45">
        <f>('[2]Renewable Diesel'!$S355*'[2]RD Feedstock Breakdown'!BR$3*'[2]Feedstock Conversion Rates'!B$7)/12-10-15+15</f>
        <v>1.5</v>
      </c>
      <c r="BS346" s="47">
        <f t="shared" si="260"/>
        <v>39.625</v>
      </c>
      <c r="BT346" s="47"/>
      <c r="BU346" s="45">
        <f>('[2]Renewable Diesel'!Y355*'[2]Feedstock Conversion Rates'!B$7)/12</f>
        <v>2.6833333333333331</v>
      </c>
      <c r="BV346" s="47">
        <f t="shared" si="305"/>
        <v>2.6833333333333331</v>
      </c>
      <c r="BW346" s="45">
        <f>('[2]Renewable Diesel'!$Z355*'[2]RD Feedstock Breakdown'!BW$3*'[2]Feedstock Conversion Rates'!$B$4)/12-180+110</f>
        <v>1.875</v>
      </c>
      <c r="BX346" s="45">
        <f>('[2]Renewable Diesel'!$Z355*'[2]RD Feedstock Breakdown'!BX$3*'[2]Feedstock Conversion Rates'!$B$5)/12</f>
        <v>7.2354166666666666</v>
      </c>
      <c r="BY346" s="45">
        <f>('[2]Renewable Diesel'!$Z355*'[2]RD Feedstock Breakdown'!BY$3*'[2]Feedstock Conversion Rates'!$B$7)/12</f>
        <v>61.716666666666661</v>
      </c>
      <c r="BZ346" s="45">
        <f>('[2]Renewable Diesel'!$Z355*'[2]RD Feedstock Breakdown'!BZ$3*'[2]Feedstock Conversion Rates'!$B$3)/12+180-110</f>
        <v>85.352499999999992</v>
      </c>
      <c r="CA346" s="47">
        <f t="shared" si="262"/>
        <v>156.17958333333331</v>
      </c>
      <c r="CB346" s="45">
        <f>('[2]Renewable Diesel'!AA355*'[2]Feedstock Conversion Rates'!B$4)/12</f>
        <v>191.25</v>
      </c>
      <c r="CC346" s="47">
        <f t="shared" si="250"/>
        <v>191.25</v>
      </c>
      <c r="CD346" s="45">
        <f>('[2]Renewable Diesel'!$AB355*'[2]RD Feedstock Breakdown'!CD$3*'[2]Feedstock Conversion Rates'!$B$6)/12-15-5</f>
        <v>12.830000000000005</v>
      </c>
      <c r="CE346" s="45">
        <f>('[2]Renewable Diesel'!$AB355*'[2]RD Feedstock Breakdown'!CE$3*'[2]Feedstock Conversion Rates'!$B$4)/12+15+5</f>
        <v>31.25</v>
      </c>
      <c r="CF346" s="47">
        <f t="shared" si="315"/>
        <v>44.080000000000005</v>
      </c>
      <c r="CG346" s="45">
        <f>('[2]Renewable Diesel'!AD355*'[2]Feedstock Conversion Rates'!B$4)/12</f>
        <v>112.5</v>
      </c>
      <c r="CH346" s="47">
        <f t="shared" si="302"/>
        <v>112.5</v>
      </c>
      <c r="CI346" s="45">
        <f>('[2]Renewable Diesel'!$AE355*'[2]RD Feedstock Breakdown'!CI$3*'[2]Feedstock Conversion Rates'!$B$5)/12</f>
        <v>0.34604166666666664</v>
      </c>
      <c r="CJ346" s="45">
        <f>('[2]Renewable Diesel'!$AE355*'[2]RD Feedstock Breakdown'!CJ$3*'[2]Feedstock Conversion Rates'!$B$4)/12</f>
        <v>0.34375</v>
      </c>
      <c r="CK346" s="47">
        <f t="shared" si="312"/>
        <v>0.68979166666666658</v>
      </c>
      <c r="CL346" s="45">
        <f>(((CL$3*'[2]Renewable Diesel'!$AF355)*'[2]Feedstock Conversion Rates'!$B$3)/12)</f>
        <v>91.78125</v>
      </c>
      <c r="CM346" s="45">
        <f>(((CM$3*'[2]Renewable Diesel'!$AF355)*'[2]Feedstock Conversion Rates'!$B$6)/12)</f>
        <v>53.739583333333336</v>
      </c>
      <c r="CN346" s="45">
        <f>(((CN$3*'[2]Renewable Diesel'!$AF355)*'[2]Feedstock Conversion Rates'!$B$4)/12)</f>
        <v>42.96875</v>
      </c>
      <c r="CO346" s="47">
        <f t="shared" si="304"/>
        <v>188.48958333333334</v>
      </c>
      <c r="CP346" s="45">
        <f>('[2]Renewable Diesel'!$AG355*'[2]RD Feedstock Breakdown'!CP$3*'[2]Feedstock Conversion Rates'!$B$3)/12</f>
        <v>6.0075000000000003</v>
      </c>
      <c r="CQ346" s="45">
        <f>('[2]Renewable Diesel'!$AG355*'[2]RD Feedstock Breakdown'!CQ$3*'[2]Feedstock Conversion Rates'!$B$6)/12</f>
        <v>3.5175000000000001</v>
      </c>
      <c r="CR346" s="45">
        <f>('[2]Renewable Diesel'!$AG355*'[2]RD Feedstock Breakdown'!CR$3*'[2]Feedstock Conversion Rates'!$B$4)/12</f>
        <v>2.8125</v>
      </c>
      <c r="CS346" s="47">
        <f t="shared" si="267"/>
        <v>12.3375</v>
      </c>
      <c r="CT346" s="45">
        <f>('[2]Renewable Diesel'!AI355*'[2]Feedstock Conversion Rates'!$B$4*'[2]RD Feedstock Breakdown'!$CT$3)/12</f>
        <v>29.375</v>
      </c>
      <c r="CU346" s="47">
        <f t="shared" si="308"/>
        <v>29.375</v>
      </c>
      <c r="CV346" s="45">
        <f>('[2]Renewable Diesel'!AN355*'[2]Feedstock Conversion Rates'!$B$3*'[2]RD Feedstock Breakdown'!$CV$3)/12</f>
        <v>0.50062499999999999</v>
      </c>
      <c r="CW346" s="47">
        <f t="shared" si="284"/>
        <v>0.50062499999999999</v>
      </c>
      <c r="CX346" s="45">
        <f>('[2]Renewable Diesel'!AO355*'[2]RD Feedstock Breakdown'!$CX$3*'[2]Feedstock Conversion Rates'!$B$3)/12</f>
        <v>6.3412499999999996</v>
      </c>
      <c r="CY346" s="45">
        <f>('[2]Renewable Diesel'!AO355*'[2]RD Feedstock Breakdown'!$CY$3*'[2]Feedstock Conversion Rates'!$B$6)/12</f>
        <v>7.4258333333333342</v>
      </c>
      <c r="CZ346" s="47">
        <f t="shared" si="268"/>
        <v>13.767083333333334</v>
      </c>
      <c r="DA346" s="45">
        <f>('[2]Renewable Diesel'!$AP355*'[2]RD Feedstock Breakdown'!DA$3*'[2]Feedstock Conversion Rates'!$B$3)/12</f>
        <v>6.3412499999999996</v>
      </c>
      <c r="DB346" s="45">
        <f>('[2]Renewable Diesel'!$AP355*'[2]RD Feedstock Breakdown'!DB$3*'[2]Feedstock Conversion Rates'!$B$8)/12</f>
        <v>7.421875</v>
      </c>
      <c r="DC346" s="47">
        <f t="shared" si="287"/>
        <v>13.763124999999999</v>
      </c>
      <c r="DD346" s="45">
        <f>('[2]Renewable Diesel'!AQ355*$DD$3*'[2]Feedstock Conversion Rates'!$B$14)/12</f>
        <v>3.1041666666666665</v>
      </c>
      <c r="DE346" s="47">
        <f t="shared" si="288"/>
        <v>3.1041666666666665</v>
      </c>
      <c r="DF346" s="45">
        <f>('[2]Renewable Diesel'!AR355*'[2]Feedstock Conversion Rates'!$B$4*$DF$3)/12</f>
        <v>75</v>
      </c>
      <c r="DG346" s="47">
        <f t="shared" si="269"/>
        <v>75</v>
      </c>
      <c r="DH346" s="45">
        <f>('[2]Renewable Diesel'!AS355*'[2]Feedstock Conversion Rates'!$B$4*$DH$3)/12</f>
        <v>75</v>
      </c>
      <c r="DI346" s="47">
        <f t="shared" si="273"/>
        <v>75</v>
      </c>
      <c r="DJ346" s="45">
        <f>('[2]Renewable Diesel'!AT355*'[2]Feedstock Conversion Rates'!$B$4*0.25)/12</f>
        <v>8.59375</v>
      </c>
      <c r="DK346" s="45">
        <f>('[2]Renewable Diesel'!$AT355*'[2]RD Feedstock Breakdown'!DK$3*'[2]Feedstock Conversion Rates'!$B$3)/12*0.5</f>
        <v>9.1781249999999996</v>
      </c>
      <c r="DL346" s="45">
        <f>('[2]Renewable Diesel'!$AT355*'[2]RD Feedstock Breakdown'!$DL$3*'[2]Feedstock Conversion Rates'!$B$6)/12</f>
        <v>10.747916666666669</v>
      </c>
      <c r="DM346" s="45">
        <f>('[2]Renewable Diesel'!$AT355*'[2]RD Feedstock Breakdown'!$DM$3*'[2]Feedstock Conversion Rates'!$B$8)/12</f>
        <v>10.7421875</v>
      </c>
      <c r="DN346" s="47">
        <f t="shared" ref="DN346:DN375" si="317">SUM(DJ346:DM346)</f>
        <v>39.26197916666667</v>
      </c>
      <c r="DP346" s="45">
        <f t="shared" si="290"/>
        <v>48.220250000000007</v>
      </c>
      <c r="DQ346" s="45">
        <f t="shared" si="291"/>
        <v>374.11776750000001</v>
      </c>
      <c r="DR346" s="45">
        <f t="shared" si="296"/>
        <v>1951.953125</v>
      </c>
      <c r="DS346" s="45">
        <f t="shared" si="309"/>
        <v>228.90125</v>
      </c>
      <c r="DT346" s="45">
        <f t="shared" si="292"/>
        <v>243.03923333333344</v>
      </c>
      <c r="DU346" s="45">
        <f t="shared" si="293"/>
        <v>367.90610000000009</v>
      </c>
      <c r="DV346" s="45">
        <f t="shared" si="297"/>
        <v>78.75</v>
      </c>
      <c r="DW346" s="45">
        <f t="shared" si="294"/>
        <v>3</v>
      </c>
      <c r="DX346" s="47">
        <f t="shared" si="298"/>
        <v>3295.8877258333337</v>
      </c>
      <c r="DY346" s="50">
        <f t="shared" si="286"/>
        <v>-5.631051180898794E-13</v>
      </c>
      <c r="EA346" s="51">
        <f t="shared" si="263"/>
        <v>1.4630428585915492E-2</v>
      </c>
      <c r="EB346" s="51">
        <f t="shared" si="263"/>
        <v>0.11351047081114024</v>
      </c>
      <c r="EC346" s="51">
        <f t="shared" si="263"/>
        <v>0.59223896181307789</v>
      </c>
      <c r="ED346" s="51">
        <f t="shared" si="261"/>
        <v>6.9450560529067937E-2</v>
      </c>
      <c r="EE346" s="51">
        <f t="shared" si="261"/>
        <v>7.3740143339343672E-2</v>
      </c>
      <c r="EF346" s="51">
        <f t="shared" si="261"/>
        <v>0.1116257987541061</v>
      </c>
      <c r="EG346" s="51">
        <f t="shared" si="261"/>
        <v>2.3893410986895441E-2</v>
      </c>
      <c r="EH346" s="52">
        <f t="shared" si="299"/>
        <v>9.1022518045315965E-4</v>
      </c>
      <c r="EI346" s="51">
        <f t="shared" si="271"/>
        <v>0.99908977481954675</v>
      </c>
      <c r="EK346" s="53">
        <f>(EA346*'[2]Renewable Diesel'!BF355*'[2]Feedstock Conversion Rates'!B$2)+FB346</f>
        <v>108.32712359328141</v>
      </c>
      <c r="EL346" s="53">
        <f>(EB346*'[2]Renewable Diesel'!BF355*'[2]Feedstock Conversion Rates'!B$3)+FC346</f>
        <v>792.00820042032444</v>
      </c>
      <c r="EM346" s="53">
        <f>(EC346*'[2]Renewable Diesel'!BF355*'[2]Feedstock Conversion Rates'!B$4)+FD346</f>
        <v>3869.184823562352</v>
      </c>
      <c r="EN346" s="53">
        <f>(ED346*'[2]Renewable Diesel'!BF355*'[2]Feedstock Conversion Rates'!B$5)+FE346</f>
        <v>456.75566664973832</v>
      </c>
      <c r="EO346" s="53">
        <f>(EE346*'[2]Renewable Diesel'!BF355*'[2]Feedstock Conversion Rates'!B$6)+FF346</f>
        <v>602.51526305046389</v>
      </c>
      <c r="EP346" s="53">
        <f>(EF346*'[2]Renewable Diesel'!BF355*'[2]Feedstock Conversion Rates'!B$7)+FG346</f>
        <v>894.56858770740723</v>
      </c>
      <c r="EQ346" s="53">
        <f>(EG346*'[2]Renewable Diesel'!BF355*'[2]Feedstock Conversion Rates'!B$8)+FH346</f>
        <v>195.12398950124333</v>
      </c>
      <c r="ER346" s="53">
        <f>(EH346*'[2]Renewable Diesel'!BF355*'[2]Feedstock Conversion Rates'!B$9)+FI346</f>
        <v>7.3341842403007016</v>
      </c>
      <c r="ES346" s="53">
        <f t="shared" si="300"/>
        <v>6925.817838725111</v>
      </c>
      <c r="ET346" s="36">
        <f>ES346/'[2]Renewable Diesel'!BF355</f>
        <v>7.9507816637522177</v>
      </c>
    </row>
    <row r="347" spans="1:150" x14ac:dyDescent="0.25">
      <c r="A347" s="39">
        <v>50983</v>
      </c>
      <c r="B347" s="45">
        <f t="shared" si="306"/>
        <v>104.25</v>
      </c>
      <c r="C347" s="45">
        <f t="shared" si="251"/>
        <v>49</v>
      </c>
      <c r="D347" s="45">
        <f t="shared" si="307"/>
        <v>2</v>
      </c>
      <c r="E347" s="45">
        <f>('[2]Renewable Diesel'!B356*E$3*'[2]Feedstock Conversion Rates'!$B$2)/12+26+13-100+27.5+39</f>
        <v>95.43</v>
      </c>
      <c r="F347" s="45">
        <f>('[2]Renewable Diesel'!B356*'[2]RD Feedstock Breakdown'!F$3*'[2]Feedstock Conversion Rates'!B$8)/12+77+23-10-12-115.75+24+8</f>
        <v>48.15625</v>
      </c>
      <c r="G347" s="45">
        <f>('[2]Renewable Diesel'!B356*'[2]RD Feedstock Breakdown'!G$3*'[2]Feedstock Conversion Rates'!B$7)/12+116.75-39-57.5-145-31.5+32+70-40+10+25</f>
        <v>116.90700000000004</v>
      </c>
      <c r="H347" s="45">
        <f>('[2]Renewable Diesel'!B356*'[2]RD Feedstock Breakdown'!H$3*'[2]Feedstock Conversion Rates'!B$3)/12+67+10+12+3-235+20+47-20</f>
        <v>80.400224999999978</v>
      </c>
      <c r="I347" s="47">
        <f t="shared" si="314"/>
        <v>496.14347500000002</v>
      </c>
      <c r="J347" s="45">
        <f t="shared" si="281"/>
        <v>4</v>
      </c>
      <c r="K347" s="45"/>
      <c r="L347" s="45">
        <v>1</v>
      </c>
      <c r="M347" s="45">
        <f>('[2]Renewable Diesel'!C356*'[2]RD Feedstock Breakdown'!M$3*'[2]Feedstock Conversion Rates'!B$2)/12-55</f>
        <v>-47.20975</v>
      </c>
      <c r="N347" s="45">
        <f>('[2]Renewable Diesel'!C356*'[2]RD Feedstock Breakdown'!N$3*'[2]Feedstock Conversion Rates'!B$8)/12</f>
        <v>3.671875</v>
      </c>
      <c r="O347" s="45">
        <f>('[2]Renewable Diesel'!C356*'[2]RD Feedstock Breakdown'!O$3*'[2]Feedstock Conversion Rates'!B$7)/12</f>
        <v>11.9991</v>
      </c>
      <c r="P347" s="45">
        <f>('[2]Renewable Diesel'!C356*'[2]RD Feedstock Breakdown'!P$3*'[2]Feedstock Conversion Rates'!B$3)/12+15+35</f>
        <v>60.447042500000002</v>
      </c>
      <c r="Q347" s="47">
        <f t="shared" si="252"/>
        <v>33.908267500000001</v>
      </c>
      <c r="R347" s="45">
        <f>('[2]Renewable Diesel'!D356*'[2]RD Feedstock Breakdown'!R$3*'[2]Feedstock Conversion Rates'!B$7)/12</f>
        <v>2.2999999999999998</v>
      </c>
      <c r="S347" s="47">
        <f t="shared" si="279"/>
        <v>2.2999999999999998</v>
      </c>
      <c r="T347" s="45">
        <f t="shared" si="253"/>
        <v>0.82499999999999929</v>
      </c>
      <c r="U347" s="45"/>
      <c r="V347" s="45">
        <f>('[2]Renewable Diesel'!E356*'[2]RD Feedstock Breakdown'!V$3*'[2]Feedstock Conversion Rates'!B$6)/12-20+25</f>
        <v>49.250150000000012</v>
      </c>
      <c r="W347" s="45">
        <f>('[2]Renewable Diesel'!E356*'[2]RD Feedstock Breakdown'!W$3*'[2]Feedstock Conversion Rates'!B$8)/12-6</f>
        <v>16.1796875</v>
      </c>
      <c r="X347" s="47">
        <f t="shared" si="301"/>
        <v>66.254837500000008</v>
      </c>
      <c r="Y347" s="45">
        <f t="shared" si="254"/>
        <v>98</v>
      </c>
      <c r="Z347" s="45">
        <f>('[2]Renewable Diesel'!F356*'[2]RD Feedstock Breakdown'!Z$3*'[2]Feedstock Conversion Rates'!B$6)/12-142+15+5+20+5+15</f>
        <v>77.460000000000008</v>
      </c>
      <c r="AA347" s="45">
        <f>('[2]Renewable Diesel'!F356*'[2]RD Feedstock Breakdown'!AA$3*'[2]Feedstock Conversion Rates'!B$7)/12+24</f>
        <v>128.26666666666665</v>
      </c>
      <c r="AB347" s="47">
        <f t="shared" si="270"/>
        <v>303.72666666666669</v>
      </c>
      <c r="AC347" s="45">
        <f>('[2]Renewable Diesel'!G356*'[2]RD Feedstock Breakdown'!AC$3*'[2]Feedstock Conversion Rates'!B$5)/12</f>
        <v>11.796875</v>
      </c>
      <c r="AD347" s="45">
        <f>('[2]Renewable Diesel'!G356*'[2]RD Feedstock Breakdown'!AD$3*'[2]Feedstock Conversion Rates'!B$4)/12</f>
        <v>5.859375</v>
      </c>
      <c r="AE347" s="45">
        <f>('[2]Renewable Diesel'!G356*'[2]RD Feedstock Breakdown'!AE$3*'[2]Feedstock Conversion Rates'!B$6)/12</f>
        <v>7.3281250000000009</v>
      </c>
      <c r="AF347" s="47">
        <f t="shared" si="310"/>
        <v>24.984375</v>
      </c>
      <c r="AG347" s="45">
        <f t="shared" si="259"/>
        <v>148</v>
      </c>
      <c r="AH347" s="45"/>
      <c r="AI347" s="45">
        <f>('[2]Renewable Diesel'!H356*'[2]RD Feedstock Breakdown'!AI$3*'[2]Feedstock Conversion Rates'!B$6)/12-130-20+51-49</f>
        <v>0.51666666666667993</v>
      </c>
      <c r="AJ347" s="47">
        <f t="shared" si="278"/>
        <v>148.51666666666668</v>
      </c>
      <c r="AK347" s="45">
        <f>('[2]Renewable Diesel'!J356*'[2]RD Feedstock Breakdown'!AK$3*'[2]Feedstock Conversion Rates'!B$4)/12</f>
        <v>95.8125</v>
      </c>
      <c r="AL347" s="47">
        <f t="shared" si="280"/>
        <v>95.8125</v>
      </c>
      <c r="AM347" s="45">
        <f>('[2]Renewable Diesel'!K356*'[2]RD Feedstock Breakdown'!AM$3*'[2]Feedstock Conversion Rates'!B$4)/12+5+15-10+10</f>
        <v>78.59375</v>
      </c>
      <c r="AN347" s="45">
        <f>('[2]Renewable Diesel'!K356*'[2]RD Feedstock Breakdown'!AN$3*'[2]Feedstock Conversion Rates'!B$6)/12-5-15+10-10</f>
        <v>4.4270833333333321</v>
      </c>
      <c r="AO347" s="47">
        <f t="shared" si="295"/>
        <v>83.020833333333329</v>
      </c>
      <c r="AP347" s="45">
        <f>('[2]Renewable Diesel'!L356*'[2]RD Feedstock Breakdown'!AP$3*'[2]Feedstock Conversion Rates'!B$4)/12+15-10+15</f>
        <v>78.59375</v>
      </c>
      <c r="AQ347" s="45">
        <f>('[2]Renewable Diesel'!L356*'[2]RD Feedstock Breakdown'!AQ$3*'[2]Feedstock Conversion Rates'!B$6)/12-15+10-15</f>
        <v>4.4270833333333321</v>
      </c>
      <c r="AR347" s="47">
        <f t="shared" si="285"/>
        <v>83.020833333333329</v>
      </c>
      <c r="AS347" s="45">
        <f>('[2]Renewable Diesel'!M356*'[2]RD Feedstock Breakdown'!AS$3*'[2]Feedstock Conversion Rates'!B$4)/12</f>
        <v>456.25</v>
      </c>
      <c r="AT347" s="45">
        <f>('[2]Renewable Diesel'!M356*'[2]RD Feedstock Breakdown'!AT$3*'[2]Feedstock Conversion Rates'!B$5)/12</f>
        <v>0</v>
      </c>
      <c r="AU347" s="47">
        <f t="shared" si="313"/>
        <v>456.25</v>
      </c>
      <c r="AV347" s="45">
        <f>'[2]Renewable Diesel'!N356*'[2]RD Feedstock Breakdown'!$AV$3*'[2]Feedstock Conversion Rates'!$B$4/12-15-10+25+25-22+25</f>
        <v>106.74999999999999</v>
      </c>
      <c r="AW347" s="45">
        <f>'[2]Renewable Diesel'!N356*'[2]RD Feedstock Breakdown'!$AW$3*'[2]Feedstock Conversion Rates'!$B$7/12+15+10-25-25+22-25</f>
        <v>13.400000000000006</v>
      </c>
      <c r="AX347" s="47">
        <f t="shared" si="272"/>
        <v>120.14999999999999</v>
      </c>
      <c r="AY347" s="45">
        <f>('[2]Renewable Diesel'!O356*'[2]RD Feedstock Breakdown'!AY$3*'[2]Feedstock Conversion Rates'!B$4)/12</f>
        <v>210.9375</v>
      </c>
      <c r="AZ347" s="45">
        <f>('[2]Renewable Diesel'!O356*'[2]RD Feedstock Breakdown'!AZ$3*'[2]Feedstock Conversion Rates'!B$3)/12</f>
        <v>25.03125</v>
      </c>
      <c r="BA347" s="47">
        <f t="shared" si="255"/>
        <v>235.96875</v>
      </c>
      <c r="BB347" s="45">
        <f>('[2]Renewable Diesel'!Q356*'[2]RD Feedstock Breakdown'!BB$3*'[2]Feedstock Conversion Rates'!B$4)/12</f>
        <v>11.156249999999998</v>
      </c>
      <c r="BC347" s="45">
        <f>('[2]Renewable Diesel'!Q356*'[2]RD Feedstock Breakdown'!BC$3*'[2]Feedstock Conversion Rates'!B$3)/12</f>
        <v>1.4017500000000001</v>
      </c>
      <c r="BD347" s="45">
        <f>('[2]Renewable Diesel'!Q356*'[2]RD Feedstock Breakdown'!BD$3*'[2]Feedstock Conversion Rates'!B$6)/12</f>
        <v>0.8207500000000002</v>
      </c>
      <c r="BE347" s="47">
        <f t="shared" si="303"/>
        <v>13.378749999999998</v>
      </c>
      <c r="BF347" s="45">
        <f>('[2]Renewable Diesel'!R356*'[2]RD Feedstock Breakdown'!BF$3*'[2]Feedstock Conversion Rates'!B$4)/12</f>
        <v>62.5</v>
      </c>
      <c r="BG347" s="47">
        <f t="shared" si="289"/>
        <v>62.5</v>
      </c>
      <c r="BH347" s="45">
        <f>('[2]Renewable Diesel'!T356*'[2]RD Feedstock Breakdown'!BH$3*'[2]Feedstock Conversion Rates'!B$7)/12</f>
        <v>27.599999999999998</v>
      </c>
      <c r="BI347" s="47">
        <f t="shared" si="277"/>
        <v>27.599999999999998</v>
      </c>
      <c r="BJ347" s="45">
        <f>('[2]Renewable Diesel'!W356*'[2]RD Feedstock Breakdown'!BJ$3*'[2]Feedstock Conversion Rates'!B$4)/12</f>
        <v>7.5</v>
      </c>
      <c r="BK347" s="45">
        <f>('[2]Renewable Diesel'!W356*'[2]RD Feedstock Breakdown'!BK$3*'[2]Feedstock Conversion Rates'!B$3)/12</f>
        <v>1.335</v>
      </c>
      <c r="BL347" s="45">
        <f>('[2]Renewable Diesel'!W356*'[2]RD Feedstock Breakdown'!BL$3*'[2]Feedstock Conversion Rates'!B$6)/12</f>
        <v>3.1266666666666669</v>
      </c>
      <c r="BM347" s="45">
        <f>('[2]Renewable Diesel'!W356*'[2]RD Feedstock Breakdown'!BM$3*'[2]Feedstock Conversion Rates'!B$7)/12</f>
        <v>1.5333333333333332</v>
      </c>
      <c r="BN347" s="47">
        <f t="shared" si="316"/>
        <v>13.495000000000001</v>
      </c>
      <c r="BO347" s="45">
        <f>('[2]Renewable Diesel'!P356*'[2]Feedstock Conversion Rates'!B$4)/12</f>
        <v>31.25</v>
      </c>
      <c r="BP347" s="47">
        <f t="shared" si="311"/>
        <v>31.25</v>
      </c>
      <c r="BQ347" s="45">
        <f>('[2]Renewable Diesel'!$S356*'[2]RD Feedstock Breakdown'!BQ$3*'[2]Feedstock Conversion Rates'!B$4)/12+10+15-15</f>
        <v>38.125</v>
      </c>
      <c r="BR347" s="45">
        <f>('[2]Renewable Diesel'!$S356*'[2]RD Feedstock Breakdown'!BR$3*'[2]Feedstock Conversion Rates'!B$7)/12-10-15+15</f>
        <v>1.5</v>
      </c>
      <c r="BS347" s="47">
        <f t="shared" si="260"/>
        <v>39.625</v>
      </c>
      <c r="BT347" s="47"/>
      <c r="BU347" s="45">
        <f>('[2]Renewable Diesel'!Y356*'[2]Feedstock Conversion Rates'!B$7)/12</f>
        <v>2.6833333333333331</v>
      </c>
      <c r="BV347" s="47">
        <f t="shared" si="305"/>
        <v>2.6833333333333331</v>
      </c>
      <c r="BW347" s="45">
        <f>('[2]Renewable Diesel'!$Z356*'[2]RD Feedstock Breakdown'!BW$3*'[2]Feedstock Conversion Rates'!$B$4)/12-180+110</f>
        <v>1.875</v>
      </c>
      <c r="BX347" s="45">
        <f>('[2]Renewable Diesel'!$Z356*'[2]RD Feedstock Breakdown'!BX$3*'[2]Feedstock Conversion Rates'!$B$5)/12</f>
        <v>7.2354166666666666</v>
      </c>
      <c r="BY347" s="45">
        <f>('[2]Renewable Diesel'!$Z356*'[2]RD Feedstock Breakdown'!BY$3*'[2]Feedstock Conversion Rates'!$B$7)/12</f>
        <v>61.716666666666661</v>
      </c>
      <c r="BZ347" s="45">
        <f>('[2]Renewable Diesel'!$Z356*'[2]RD Feedstock Breakdown'!BZ$3*'[2]Feedstock Conversion Rates'!$B$3)/12+180-110</f>
        <v>85.352499999999992</v>
      </c>
      <c r="CA347" s="47">
        <f t="shared" si="262"/>
        <v>156.17958333333331</v>
      </c>
      <c r="CB347" s="45">
        <f>('[2]Renewable Diesel'!AA356*'[2]Feedstock Conversion Rates'!B$4)/12</f>
        <v>191.25</v>
      </c>
      <c r="CC347" s="47">
        <f t="shared" si="250"/>
        <v>191.25</v>
      </c>
      <c r="CD347" s="45">
        <f>('[2]Renewable Diesel'!$AB356*'[2]RD Feedstock Breakdown'!CD$3*'[2]Feedstock Conversion Rates'!$B$6)/12-15-5</f>
        <v>12.830000000000005</v>
      </c>
      <c r="CE347" s="45">
        <f>('[2]Renewable Diesel'!$AB356*'[2]RD Feedstock Breakdown'!CE$3*'[2]Feedstock Conversion Rates'!$B$4)/12+15+5</f>
        <v>31.25</v>
      </c>
      <c r="CF347" s="47">
        <f t="shared" si="315"/>
        <v>44.080000000000005</v>
      </c>
      <c r="CG347" s="45">
        <f>('[2]Renewable Diesel'!AD356*'[2]Feedstock Conversion Rates'!B$4)/12</f>
        <v>112.5</v>
      </c>
      <c r="CH347" s="47">
        <f t="shared" si="302"/>
        <v>112.5</v>
      </c>
      <c r="CI347" s="45">
        <f>('[2]Renewable Diesel'!$AE356*'[2]RD Feedstock Breakdown'!CI$3*'[2]Feedstock Conversion Rates'!$B$5)/12</f>
        <v>0.34604166666666664</v>
      </c>
      <c r="CJ347" s="45">
        <f>('[2]Renewable Diesel'!$AE356*'[2]RD Feedstock Breakdown'!CJ$3*'[2]Feedstock Conversion Rates'!$B$4)/12</f>
        <v>0.34375</v>
      </c>
      <c r="CK347" s="47">
        <f t="shared" si="312"/>
        <v>0.68979166666666658</v>
      </c>
      <c r="CL347" s="45">
        <f>(((CL$3*'[2]Renewable Diesel'!$AF356)*'[2]Feedstock Conversion Rates'!$B$3)/12)</f>
        <v>91.78125</v>
      </c>
      <c r="CM347" s="45">
        <f>(((CM$3*'[2]Renewable Diesel'!$AF356)*'[2]Feedstock Conversion Rates'!$B$6)/12)</f>
        <v>53.739583333333336</v>
      </c>
      <c r="CN347" s="45">
        <f>(((CN$3*'[2]Renewable Diesel'!$AF356)*'[2]Feedstock Conversion Rates'!$B$4)/12)</f>
        <v>42.96875</v>
      </c>
      <c r="CO347" s="47">
        <f t="shared" si="304"/>
        <v>188.48958333333334</v>
      </c>
      <c r="CP347" s="45">
        <f>('[2]Renewable Diesel'!$AG356*'[2]RD Feedstock Breakdown'!CP$3*'[2]Feedstock Conversion Rates'!$B$3)/12</f>
        <v>6.0075000000000003</v>
      </c>
      <c r="CQ347" s="45">
        <f>('[2]Renewable Diesel'!$AG356*'[2]RD Feedstock Breakdown'!CQ$3*'[2]Feedstock Conversion Rates'!$B$6)/12</f>
        <v>3.5175000000000001</v>
      </c>
      <c r="CR347" s="45">
        <f>('[2]Renewable Diesel'!$AG356*'[2]RD Feedstock Breakdown'!CR$3*'[2]Feedstock Conversion Rates'!$B$4)/12</f>
        <v>2.8125</v>
      </c>
      <c r="CS347" s="47">
        <f t="shared" si="267"/>
        <v>12.3375</v>
      </c>
      <c r="CT347" s="45">
        <f>('[2]Renewable Diesel'!AI356*'[2]Feedstock Conversion Rates'!$B$4*'[2]RD Feedstock Breakdown'!$CT$3)/12</f>
        <v>29.375</v>
      </c>
      <c r="CU347" s="47">
        <f t="shared" si="308"/>
        <v>29.375</v>
      </c>
      <c r="CV347" s="45">
        <f>('[2]Renewable Diesel'!AN356*'[2]Feedstock Conversion Rates'!$B$3*'[2]RD Feedstock Breakdown'!$CV$3)/12</f>
        <v>0.50062499999999999</v>
      </c>
      <c r="CW347" s="47">
        <f t="shared" si="284"/>
        <v>0.50062499999999999</v>
      </c>
      <c r="CX347" s="45">
        <f>('[2]Renewable Diesel'!AO356*'[2]RD Feedstock Breakdown'!$CX$3*'[2]Feedstock Conversion Rates'!$B$3)/12</f>
        <v>6.3412499999999996</v>
      </c>
      <c r="CY347" s="45">
        <f>('[2]Renewable Diesel'!AO356*'[2]RD Feedstock Breakdown'!$CY$3*'[2]Feedstock Conversion Rates'!$B$6)/12</f>
        <v>7.4258333333333342</v>
      </c>
      <c r="CZ347" s="47">
        <f t="shared" si="268"/>
        <v>13.767083333333334</v>
      </c>
      <c r="DA347" s="45">
        <f>('[2]Renewable Diesel'!$AP356*'[2]RD Feedstock Breakdown'!DA$3*'[2]Feedstock Conversion Rates'!$B$3)/12</f>
        <v>6.3412499999999996</v>
      </c>
      <c r="DB347" s="45">
        <f>('[2]Renewable Diesel'!$AP356*'[2]RD Feedstock Breakdown'!DB$3*'[2]Feedstock Conversion Rates'!$B$8)/12</f>
        <v>7.421875</v>
      </c>
      <c r="DC347" s="47">
        <f t="shared" si="287"/>
        <v>13.763124999999999</v>
      </c>
      <c r="DD347" s="45">
        <f>('[2]Renewable Diesel'!AQ356*$DD$3*'[2]Feedstock Conversion Rates'!$B$14)/12</f>
        <v>3.1041666666666665</v>
      </c>
      <c r="DE347" s="47">
        <f t="shared" si="288"/>
        <v>3.1041666666666665</v>
      </c>
      <c r="DF347" s="45">
        <f>('[2]Renewable Diesel'!AR356*'[2]Feedstock Conversion Rates'!$B$4*$DF$3)/12</f>
        <v>75</v>
      </c>
      <c r="DG347" s="47">
        <f t="shared" si="269"/>
        <v>75</v>
      </c>
      <c r="DH347" s="45">
        <f>('[2]Renewable Diesel'!AS356*'[2]Feedstock Conversion Rates'!$B$4*$DH$3)/12</f>
        <v>75</v>
      </c>
      <c r="DI347" s="47">
        <f t="shared" si="273"/>
        <v>75</v>
      </c>
      <c r="DJ347" s="45">
        <f>('[2]Renewable Diesel'!AT356*'[2]Feedstock Conversion Rates'!$B$4*0.25)/12</f>
        <v>8.59375</v>
      </c>
      <c r="DK347" s="45">
        <f>('[2]Renewable Diesel'!$AT356*'[2]RD Feedstock Breakdown'!DK$3*'[2]Feedstock Conversion Rates'!$B$3)/12*0.5</f>
        <v>9.1781249999999996</v>
      </c>
      <c r="DL347" s="45">
        <f>('[2]Renewable Diesel'!$AT356*'[2]RD Feedstock Breakdown'!$DL$3*'[2]Feedstock Conversion Rates'!$B$6)/12</f>
        <v>10.747916666666669</v>
      </c>
      <c r="DM347" s="45">
        <f>('[2]Renewable Diesel'!$AT356*'[2]RD Feedstock Breakdown'!$DM$3*'[2]Feedstock Conversion Rates'!$B$8)/12</f>
        <v>10.7421875</v>
      </c>
      <c r="DN347" s="47">
        <f t="shared" si="317"/>
        <v>39.26197916666667</v>
      </c>
      <c r="DP347" s="45">
        <f t="shared" si="290"/>
        <v>48.220250000000007</v>
      </c>
      <c r="DQ347" s="45">
        <f t="shared" si="291"/>
        <v>374.11776750000001</v>
      </c>
      <c r="DR347" s="45">
        <f t="shared" si="296"/>
        <v>1951.953125</v>
      </c>
      <c r="DS347" s="45">
        <f t="shared" si="309"/>
        <v>228.90125</v>
      </c>
      <c r="DT347" s="45">
        <f t="shared" si="292"/>
        <v>243.03923333333344</v>
      </c>
      <c r="DU347" s="45">
        <f t="shared" si="293"/>
        <v>367.90610000000009</v>
      </c>
      <c r="DV347" s="45">
        <f t="shared" si="297"/>
        <v>78.75</v>
      </c>
      <c r="DW347" s="45">
        <f t="shared" si="294"/>
        <v>3</v>
      </c>
      <c r="DX347" s="47">
        <f t="shared" si="298"/>
        <v>3295.8877258333337</v>
      </c>
      <c r="DY347" s="50">
        <f t="shared" si="286"/>
        <v>-5.631051180898794E-13</v>
      </c>
      <c r="EA347" s="51">
        <f t="shared" si="263"/>
        <v>1.4630428585915492E-2</v>
      </c>
      <c r="EB347" s="51">
        <f t="shared" si="263"/>
        <v>0.11351047081114024</v>
      </c>
      <c r="EC347" s="51">
        <f t="shared" si="263"/>
        <v>0.59223896181307789</v>
      </c>
      <c r="ED347" s="51">
        <f t="shared" si="261"/>
        <v>6.9450560529067937E-2</v>
      </c>
      <c r="EE347" s="51">
        <f t="shared" si="261"/>
        <v>7.3740143339343672E-2</v>
      </c>
      <c r="EF347" s="51">
        <f t="shared" si="261"/>
        <v>0.1116257987541061</v>
      </c>
      <c r="EG347" s="51">
        <f t="shared" si="261"/>
        <v>2.3893410986895441E-2</v>
      </c>
      <c r="EH347" s="52">
        <f t="shared" si="299"/>
        <v>9.1022518045315965E-4</v>
      </c>
      <c r="EI347" s="51">
        <f t="shared" si="271"/>
        <v>0.99908977481954675</v>
      </c>
      <c r="EK347" s="53">
        <f>(EA347*'[2]Renewable Diesel'!BF356*'[2]Feedstock Conversion Rates'!B$2)+FB347</f>
        <v>113.92661420501565</v>
      </c>
      <c r="EL347" s="53">
        <f>(EB347*'[2]Renewable Diesel'!BF356*'[2]Feedstock Conversion Rates'!B$3)+FC347</f>
        <v>832.94755462417959</v>
      </c>
      <c r="EM347" s="53">
        <f>(EC347*'[2]Renewable Diesel'!BF356*'[2]Feedstock Conversion Rates'!B$4)+FD347</f>
        <v>4069.1851870534556</v>
      </c>
      <c r="EN347" s="53">
        <f>(ED347*'[2]Renewable Diesel'!BF356*'[2]Feedstock Conversion Rates'!B$5)+FE347</f>
        <v>480.36562676336814</v>
      </c>
      <c r="EO347" s="53">
        <f>(EE347*'[2]Renewable Diesel'!BF356*'[2]Feedstock Conversion Rates'!B$6)+FF347</f>
        <v>633.65961957879404</v>
      </c>
      <c r="EP347" s="53">
        <f>(EF347*'[2]Renewable Diesel'!BF356*'[2]Feedstock Conversion Rates'!B$7)+FG347</f>
        <v>940.80934664444828</v>
      </c>
      <c r="EQ347" s="53">
        <f>(EG347*'[2]Renewable Diesel'!BF356*'[2]Feedstock Conversion Rates'!B$8)+FH347</f>
        <v>205.21005946317212</v>
      </c>
      <c r="ER347" s="53">
        <f>(EH347*'[2]Renewable Diesel'!BF356*'[2]Feedstock Conversion Rates'!B$9)+FI347</f>
        <v>7.7132923937903417</v>
      </c>
      <c r="ES347" s="53">
        <f t="shared" si="300"/>
        <v>7283.8173007262239</v>
      </c>
      <c r="ET347" s="36">
        <f>ES347/'[2]Renewable Diesel'!BF356</f>
        <v>7.9507816637522186</v>
      </c>
    </row>
    <row r="348" spans="1:150" x14ac:dyDescent="0.25">
      <c r="A348" s="39">
        <v>51014</v>
      </c>
      <c r="B348" s="45">
        <f t="shared" si="306"/>
        <v>104.25</v>
      </c>
      <c r="C348" s="45">
        <f t="shared" si="251"/>
        <v>49</v>
      </c>
      <c r="D348" s="45">
        <f t="shared" si="307"/>
        <v>2</v>
      </c>
      <c r="E348" s="45">
        <f>('[2]Renewable Diesel'!B357*E$3*'[2]Feedstock Conversion Rates'!$B$2)/12+26+13-100+27.5+39</f>
        <v>95.43</v>
      </c>
      <c r="F348" s="45">
        <f>('[2]Renewable Diesel'!B357*'[2]RD Feedstock Breakdown'!F$3*'[2]Feedstock Conversion Rates'!B$8)/12+77+23-10-12-115.75+24+8</f>
        <v>48.15625</v>
      </c>
      <c r="G348" s="45">
        <f>('[2]Renewable Diesel'!B357*'[2]RD Feedstock Breakdown'!G$3*'[2]Feedstock Conversion Rates'!B$7)/12+116.75-39-57.5-145-31.5+32+70-40+10+25</f>
        <v>116.90700000000004</v>
      </c>
      <c r="H348" s="45">
        <f>('[2]Renewable Diesel'!B357*'[2]RD Feedstock Breakdown'!H$3*'[2]Feedstock Conversion Rates'!B$3)/12+67+10+12+3-235+20+47-20</f>
        <v>80.400224999999978</v>
      </c>
      <c r="I348" s="47">
        <f t="shared" si="314"/>
        <v>496.14347500000002</v>
      </c>
      <c r="J348" s="45">
        <f t="shared" si="281"/>
        <v>4</v>
      </c>
      <c r="K348" s="45"/>
      <c r="L348" s="45">
        <v>1</v>
      </c>
      <c r="M348" s="45">
        <f>('[2]Renewable Diesel'!C357*'[2]RD Feedstock Breakdown'!M$3*'[2]Feedstock Conversion Rates'!B$2)/12-55</f>
        <v>-47.20975</v>
      </c>
      <c r="N348" s="45">
        <f>('[2]Renewable Diesel'!C357*'[2]RD Feedstock Breakdown'!N$3*'[2]Feedstock Conversion Rates'!B$8)/12</f>
        <v>3.671875</v>
      </c>
      <c r="O348" s="45">
        <f>('[2]Renewable Diesel'!C357*'[2]RD Feedstock Breakdown'!O$3*'[2]Feedstock Conversion Rates'!B$7)/12</f>
        <v>11.9991</v>
      </c>
      <c r="P348" s="45">
        <f>('[2]Renewable Diesel'!C357*'[2]RD Feedstock Breakdown'!P$3*'[2]Feedstock Conversion Rates'!B$3)/12+15+35</f>
        <v>60.447042500000002</v>
      </c>
      <c r="Q348" s="47">
        <f t="shared" si="252"/>
        <v>33.908267500000001</v>
      </c>
      <c r="R348" s="45">
        <f>('[2]Renewable Diesel'!D357*'[2]RD Feedstock Breakdown'!R$3*'[2]Feedstock Conversion Rates'!B$7)/12</f>
        <v>2.2999999999999998</v>
      </c>
      <c r="S348" s="47">
        <f t="shared" si="279"/>
        <v>2.2999999999999998</v>
      </c>
      <c r="T348" s="45">
        <f t="shared" si="253"/>
        <v>0.82499999999999929</v>
      </c>
      <c r="U348" s="45"/>
      <c r="V348" s="45">
        <f>('[2]Renewable Diesel'!E357*'[2]RD Feedstock Breakdown'!V$3*'[2]Feedstock Conversion Rates'!B$6)/12-20+25</f>
        <v>49.250150000000012</v>
      </c>
      <c r="W348" s="45">
        <f>('[2]Renewable Diesel'!E357*'[2]RD Feedstock Breakdown'!W$3*'[2]Feedstock Conversion Rates'!B$8)/12-6</f>
        <v>16.1796875</v>
      </c>
      <c r="X348" s="47">
        <f t="shared" si="301"/>
        <v>66.254837500000008</v>
      </c>
      <c r="Y348" s="45">
        <f t="shared" si="254"/>
        <v>98</v>
      </c>
      <c r="Z348" s="45">
        <f>('[2]Renewable Diesel'!F357*'[2]RD Feedstock Breakdown'!Z$3*'[2]Feedstock Conversion Rates'!B$6)/12-142+15+5+20+5+15</f>
        <v>77.460000000000008</v>
      </c>
      <c r="AA348" s="45">
        <f>('[2]Renewable Diesel'!F357*'[2]RD Feedstock Breakdown'!AA$3*'[2]Feedstock Conversion Rates'!B$7)/12+24</f>
        <v>128.26666666666665</v>
      </c>
      <c r="AB348" s="47">
        <f t="shared" si="270"/>
        <v>303.72666666666669</v>
      </c>
      <c r="AC348" s="45">
        <f>('[2]Renewable Diesel'!G357*'[2]RD Feedstock Breakdown'!AC$3*'[2]Feedstock Conversion Rates'!B$5)/12</f>
        <v>11.796875</v>
      </c>
      <c r="AD348" s="45">
        <f>('[2]Renewable Diesel'!G357*'[2]RD Feedstock Breakdown'!AD$3*'[2]Feedstock Conversion Rates'!B$4)/12</f>
        <v>5.859375</v>
      </c>
      <c r="AE348" s="45">
        <f>('[2]Renewable Diesel'!G357*'[2]RD Feedstock Breakdown'!AE$3*'[2]Feedstock Conversion Rates'!B$6)/12</f>
        <v>7.3281250000000009</v>
      </c>
      <c r="AF348" s="47">
        <f t="shared" si="310"/>
        <v>24.984375</v>
      </c>
      <c r="AG348" s="45">
        <f t="shared" si="259"/>
        <v>148</v>
      </c>
      <c r="AH348" s="45"/>
      <c r="AI348" s="45">
        <f>('[2]Renewable Diesel'!H357*'[2]RD Feedstock Breakdown'!AI$3*'[2]Feedstock Conversion Rates'!B$6)/12-130-20+51-49</f>
        <v>0.51666666666667993</v>
      </c>
      <c r="AJ348" s="47">
        <f t="shared" si="278"/>
        <v>148.51666666666668</v>
      </c>
      <c r="AK348" s="45">
        <f>('[2]Renewable Diesel'!J357*'[2]RD Feedstock Breakdown'!AK$3*'[2]Feedstock Conversion Rates'!B$4)/12</f>
        <v>95.8125</v>
      </c>
      <c r="AL348" s="47">
        <f t="shared" si="280"/>
        <v>95.8125</v>
      </c>
      <c r="AM348" s="45">
        <f>('[2]Renewable Diesel'!K357*'[2]RD Feedstock Breakdown'!AM$3*'[2]Feedstock Conversion Rates'!B$4)/12+5+15-10+10</f>
        <v>78.59375</v>
      </c>
      <c r="AN348" s="45">
        <f>('[2]Renewable Diesel'!K357*'[2]RD Feedstock Breakdown'!AN$3*'[2]Feedstock Conversion Rates'!B$6)/12-5-15+10-10</f>
        <v>4.4270833333333321</v>
      </c>
      <c r="AO348" s="47">
        <f t="shared" si="295"/>
        <v>83.020833333333329</v>
      </c>
      <c r="AP348" s="45">
        <f>('[2]Renewable Diesel'!L357*'[2]RD Feedstock Breakdown'!AP$3*'[2]Feedstock Conversion Rates'!B$4)/12+15-10+15</f>
        <v>78.59375</v>
      </c>
      <c r="AQ348" s="45">
        <f>('[2]Renewable Diesel'!L357*'[2]RD Feedstock Breakdown'!AQ$3*'[2]Feedstock Conversion Rates'!B$6)/12-15+10-15</f>
        <v>4.4270833333333321</v>
      </c>
      <c r="AR348" s="47">
        <f t="shared" si="285"/>
        <v>83.020833333333329</v>
      </c>
      <c r="AS348" s="45">
        <f>('[2]Renewable Diesel'!M357*'[2]RD Feedstock Breakdown'!AS$3*'[2]Feedstock Conversion Rates'!B$4)/12</f>
        <v>456.25</v>
      </c>
      <c r="AT348" s="45">
        <f>('[2]Renewable Diesel'!M357*'[2]RD Feedstock Breakdown'!AT$3*'[2]Feedstock Conversion Rates'!B$5)/12</f>
        <v>0</v>
      </c>
      <c r="AU348" s="47">
        <f t="shared" si="313"/>
        <v>456.25</v>
      </c>
      <c r="AV348" s="45">
        <f>'[2]Renewable Diesel'!N357*'[2]RD Feedstock Breakdown'!$AV$3*'[2]Feedstock Conversion Rates'!$B$4/12-15-10+25+25-22+25</f>
        <v>106.74999999999999</v>
      </c>
      <c r="AW348" s="45">
        <f>'[2]Renewable Diesel'!N357*'[2]RD Feedstock Breakdown'!$AW$3*'[2]Feedstock Conversion Rates'!$B$7/12+15+10-25-25+22-25</f>
        <v>13.400000000000006</v>
      </c>
      <c r="AX348" s="47">
        <f t="shared" si="272"/>
        <v>120.14999999999999</v>
      </c>
      <c r="AY348" s="45">
        <f>('[2]Renewable Diesel'!O357*'[2]RD Feedstock Breakdown'!AY$3*'[2]Feedstock Conversion Rates'!B$4)/12</f>
        <v>210.9375</v>
      </c>
      <c r="AZ348" s="45">
        <f>('[2]Renewable Diesel'!O357*'[2]RD Feedstock Breakdown'!AZ$3*'[2]Feedstock Conversion Rates'!B$3)/12</f>
        <v>25.03125</v>
      </c>
      <c r="BA348" s="47">
        <f t="shared" si="255"/>
        <v>235.96875</v>
      </c>
      <c r="BB348" s="45">
        <f>('[2]Renewable Diesel'!Q357*'[2]RD Feedstock Breakdown'!BB$3*'[2]Feedstock Conversion Rates'!B$4)/12</f>
        <v>11.156249999999998</v>
      </c>
      <c r="BC348" s="45">
        <f>('[2]Renewable Diesel'!Q357*'[2]RD Feedstock Breakdown'!BC$3*'[2]Feedstock Conversion Rates'!B$3)/12</f>
        <v>1.4017500000000001</v>
      </c>
      <c r="BD348" s="45">
        <f>('[2]Renewable Diesel'!Q357*'[2]RD Feedstock Breakdown'!BD$3*'[2]Feedstock Conversion Rates'!B$6)/12</f>
        <v>0.8207500000000002</v>
      </c>
      <c r="BE348" s="47">
        <f t="shared" si="303"/>
        <v>13.378749999999998</v>
      </c>
      <c r="BF348" s="45">
        <f>('[2]Renewable Diesel'!R357*'[2]RD Feedstock Breakdown'!BF$3*'[2]Feedstock Conversion Rates'!B$4)/12</f>
        <v>62.5</v>
      </c>
      <c r="BG348" s="47">
        <f t="shared" si="289"/>
        <v>62.5</v>
      </c>
      <c r="BH348" s="45">
        <f>('[2]Renewable Diesel'!T357*'[2]RD Feedstock Breakdown'!BH$3*'[2]Feedstock Conversion Rates'!B$7)/12</f>
        <v>27.599999999999998</v>
      </c>
      <c r="BI348" s="47">
        <f t="shared" si="277"/>
        <v>27.599999999999998</v>
      </c>
      <c r="BJ348" s="45">
        <f>('[2]Renewable Diesel'!W357*'[2]RD Feedstock Breakdown'!BJ$3*'[2]Feedstock Conversion Rates'!B$4)/12</f>
        <v>7.5</v>
      </c>
      <c r="BK348" s="45">
        <f>('[2]Renewable Diesel'!W357*'[2]RD Feedstock Breakdown'!BK$3*'[2]Feedstock Conversion Rates'!B$3)/12</f>
        <v>1.335</v>
      </c>
      <c r="BL348" s="45">
        <f>('[2]Renewable Diesel'!W357*'[2]RD Feedstock Breakdown'!BL$3*'[2]Feedstock Conversion Rates'!B$6)/12</f>
        <v>3.1266666666666669</v>
      </c>
      <c r="BM348" s="45">
        <f>('[2]Renewable Diesel'!W357*'[2]RD Feedstock Breakdown'!BM$3*'[2]Feedstock Conversion Rates'!B$7)/12</f>
        <v>1.5333333333333332</v>
      </c>
      <c r="BN348" s="47">
        <f t="shared" si="316"/>
        <v>13.495000000000001</v>
      </c>
      <c r="BO348" s="45">
        <f>('[2]Renewable Diesel'!P357*'[2]Feedstock Conversion Rates'!B$4)/12</f>
        <v>31.25</v>
      </c>
      <c r="BP348" s="47">
        <f t="shared" si="311"/>
        <v>31.25</v>
      </c>
      <c r="BQ348" s="45">
        <f>('[2]Renewable Diesel'!$S357*'[2]RD Feedstock Breakdown'!BQ$3*'[2]Feedstock Conversion Rates'!B$4)/12+10+15-15</f>
        <v>38.125</v>
      </c>
      <c r="BR348" s="45">
        <f>('[2]Renewable Diesel'!$S357*'[2]RD Feedstock Breakdown'!BR$3*'[2]Feedstock Conversion Rates'!B$7)/12-10-15+15</f>
        <v>1.5</v>
      </c>
      <c r="BS348" s="47">
        <f t="shared" si="260"/>
        <v>39.625</v>
      </c>
      <c r="BT348" s="47"/>
      <c r="BU348" s="45">
        <f>('[2]Renewable Diesel'!Y357*'[2]Feedstock Conversion Rates'!B$7)/12</f>
        <v>2.6833333333333331</v>
      </c>
      <c r="BV348" s="47">
        <f t="shared" si="305"/>
        <v>2.6833333333333331</v>
      </c>
      <c r="BW348" s="45">
        <f>('[2]Renewable Diesel'!$Z357*'[2]RD Feedstock Breakdown'!BW$3*'[2]Feedstock Conversion Rates'!$B$4)/12-180+110</f>
        <v>1.875</v>
      </c>
      <c r="BX348" s="45">
        <f>('[2]Renewable Diesel'!$Z357*'[2]RD Feedstock Breakdown'!BX$3*'[2]Feedstock Conversion Rates'!$B$5)/12</f>
        <v>7.2354166666666666</v>
      </c>
      <c r="BY348" s="45">
        <f>('[2]Renewable Diesel'!$Z357*'[2]RD Feedstock Breakdown'!BY$3*'[2]Feedstock Conversion Rates'!$B$7)/12</f>
        <v>61.716666666666661</v>
      </c>
      <c r="BZ348" s="45">
        <f>('[2]Renewable Diesel'!$Z357*'[2]RD Feedstock Breakdown'!BZ$3*'[2]Feedstock Conversion Rates'!$B$3)/12+180-110</f>
        <v>85.352499999999992</v>
      </c>
      <c r="CA348" s="47">
        <f t="shared" si="262"/>
        <v>156.17958333333331</v>
      </c>
      <c r="CB348" s="45">
        <f>('[2]Renewable Diesel'!AA357*'[2]Feedstock Conversion Rates'!B$4)/12</f>
        <v>191.25</v>
      </c>
      <c r="CC348" s="47">
        <f t="shared" ref="CC348:CC375" si="318">CB348</f>
        <v>191.25</v>
      </c>
      <c r="CD348" s="45">
        <f>('[2]Renewable Diesel'!$AB357*'[2]RD Feedstock Breakdown'!CD$3*'[2]Feedstock Conversion Rates'!$B$6)/12-15-5</f>
        <v>12.830000000000005</v>
      </c>
      <c r="CE348" s="45">
        <f>('[2]Renewable Diesel'!$AB357*'[2]RD Feedstock Breakdown'!CE$3*'[2]Feedstock Conversion Rates'!$B$4)/12+15+5</f>
        <v>31.25</v>
      </c>
      <c r="CF348" s="47">
        <f t="shared" si="315"/>
        <v>44.080000000000005</v>
      </c>
      <c r="CG348" s="45">
        <f>('[2]Renewable Diesel'!AD357*'[2]Feedstock Conversion Rates'!B$4)/12</f>
        <v>112.5</v>
      </c>
      <c r="CH348" s="47">
        <f t="shared" si="302"/>
        <v>112.5</v>
      </c>
      <c r="CI348" s="45">
        <f>('[2]Renewable Diesel'!$AE357*'[2]RD Feedstock Breakdown'!CI$3*'[2]Feedstock Conversion Rates'!$B$5)/12</f>
        <v>0.34604166666666664</v>
      </c>
      <c r="CJ348" s="45">
        <f>('[2]Renewable Diesel'!$AE357*'[2]RD Feedstock Breakdown'!CJ$3*'[2]Feedstock Conversion Rates'!$B$4)/12</f>
        <v>0.34375</v>
      </c>
      <c r="CK348" s="47">
        <f t="shared" si="312"/>
        <v>0.68979166666666658</v>
      </c>
      <c r="CL348" s="45">
        <f>(((CL$3*'[2]Renewable Diesel'!$AF357)*'[2]Feedstock Conversion Rates'!$B$3)/12)</f>
        <v>91.78125</v>
      </c>
      <c r="CM348" s="45">
        <f>(((CM$3*'[2]Renewable Diesel'!$AF357)*'[2]Feedstock Conversion Rates'!$B$6)/12)</f>
        <v>53.739583333333336</v>
      </c>
      <c r="CN348" s="45">
        <f>(((CN$3*'[2]Renewable Diesel'!$AF357)*'[2]Feedstock Conversion Rates'!$B$4)/12)</f>
        <v>42.96875</v>
      </c>
      <c r="CO348" s="47">
        <f t="shared" si="304"/>
        <v>188.48958333333334</v>
      </c>
      <c r="CP348" s="45">
        <f>('[2]Renewable Diesel'!$AG357*'[2]RD Feedstock Breakdown'!CP$3*'[2]Feedstock Conversion Rates'!$B$3)/12</f>
        <v>6.0075000000000003</v>
      </c>
      <c r="CQ348" s="45">
        <f>('[2]Renewable Diesel'!$AG357*'[2]RD Feedstock Breakdown'!CQ$3*'[2]Feedstock Conversion Rates'!$B$6)/12</f>
        <v>3.5175000000000001</v>
      </c>
      <c r="CR348" s="45">
        <f>('[2]Renewable Diesel'!$AG357*'[2]RD Feedstock Breakdown'!CR$3*'[2]Feedstock Conversion Rates'!$B$4)/12</f>
        <v>2.8125</v>
      </c>
      <c r="CS348" s="47">
        <f t="shared" si="267"/>
        <v>12.3375</v>
      </c>
      <c r="CT348" s="45">
        <f>('[2]Renewable Diesel'!AI357*'[2]Feedstock Conversion Rates'!$B$4*'[2]RD Feedstock Breakdown'!$CT$3)/12</f>
        <v>29.375</v>
      </c>
      <c r="CU348" s="47">
        <f t="shared" si="308"/>
        <v>29.375</v>
      </c>
      <c r="CV348" s="45">
        <f>('[2]Renewable Diesel'!AN357*'[2]Feedstock Conversion Rates'!$B$3*'[2]RD Feedstock Breakdown'!$CV$3)/12</f>
        <v>0.50062499999999999</v>
      </c>
      <c r="CW348" s="47">
        <f t="shared" si="284"/>
        <v>0.50062499999999999</v>
      </c>
      <c r="CX348" s="45">
        <f>('[2]Renewable Diesel'!AO357*'[2]RD Feedstock Breakdown'!$CX$3*'[2]Feedstock Conversion Rates'!$B$3)/12</f>
        <v>6.3412499999999996</v>
      </c>
      <c r="CY348" s="45">
        <f>('[2]Renewable Diesel'!AO357*'[2]RD Feedstock Breakdown'!$CY$3*'[2]Feedstock Conversion Rates'!$B$6)/12</f>
        <v>7.4258333333333342</v>
      </c>
      <c r="CZ348" s="47">
        <f t="shared" si="268"/>
        <v>13.767083333333334</v>
      </c>
      <c r="DA348" s="45">
        <f>('[2]Renewable Diesel'!$AP357*'[2]RD Feedstock Breakdown'!DA$3*'[2]Feedstock Conversion Rates'!$B$3)/12</f>
        <v>6.3412499999999996</v>
      </c>
      <c r="DB348" s="45">
        <f>('[2]Renewable Diesel'!$AP357*'[2]RD Feedstock Breakdown'!DB$3*'[2]Feedstock Conversion Rates'!$B$8)/12</f>
        <v>7.421875</v>
      </c>
      <c r="DC348" s="47">
        <f t="shared" si="287"/>
        <v>13.763124999999999</v>
      </c>
      <c r="DD348" s="45">
        <f>('[2]Renewable Diesel'!AQ357*$DD$3*'[2]Feedstock Conversion Rates'!$B$14)/12</f>
        <v>3.1041666666666665</v>
      </c>
      <c r="DE348" s="47">
        <f t="shared" si="288"/>
        <v>3.1041666666666665</v>
      </c>
      <c r="DF348" s="45">
        <f>('[2]Renewable Diesel'!AR357*'[2]Feedstock Conversion Rates'!$B$4*$DF$3)/12</f>
        <v>75</v>
      </c>
      <c r="DG348" s="47">
        <f t="shared" si="269"/>
        <v>75</v>
      </c>
      <c r="DH348" s="45">
        <f>('[2]Renewable Diesel'!AS357*'[2]Feedstock Conversion Rates'!$B$4*$DH$3)/12</f>
        <v>75</v>
      </c>
      <c r="DI348" s="47">
        <f t="shared" si="273"/>
        <v>75</v>
      </c>
      <c r="DJ348" s="45">
        <f>('[2]Renewable Diesel'!AT357*'[2]Feedstock Conversion Rates'!$B$4*0.25)/12</f>
        <v>8.59375</v>
      </c>
      <c r="DK348" s="45">
        <f>('[2]Renewable Diesel'!$AT357*'[2]RD Feedstock Breakdown'!DK$3*'[2]Feedstock Conversion Rates'!$B$3)/12*0.5</f>
        <v>9.1781249999999996</v>
      </c>
      <c r="DL348" s="45">
        <f>('[2]Renewable Diesel'!$AT357*'[2]RD Feedstock Breakdown'!$DL$3*'[2]Feedstock Conversion Rates'!$B$6)/12</f>
        <v>10.747916666666669</v>
      </c>
      <c r="DM348" s="45">
        <f>('[2]Renewable Diesel'!$AT357*'[2]RD Feedstock Breakdown'!$DM$3*'[2]Feedstock Conversion Rates'!$B$8)/12</f>
        <v>10.7421875</v>
      </c>
      <c r="DN348" s="47">
        <f t="shared" si="317"/>
        <v>39.26197916666667</v>
      </c>
      <c r="DP348" s="45">
        <f t="shared" si="290"/>
        <v>48.220250000000007</v>
      </c>
      <c r="DQ348" s="45">
        <f t="shared" si="291"/>
        <v>374.11776750000001</v>
      </c>
      <c r="DR348" s="45">
        <f t="shared" si="296"/>
        <v>1951.953125</v>
      </c>
      <c r="DS348" s="45">
        <f t="shared" si="309"/>
        <v>228.90125</v>
      </c>
      <c r="DT348" s="45">
        <f t="shared" si="292"/>
        <v>243.03923333333344</v>
      </c>
      <c r="DU348" s="45">
        <f t="shared" si="293"/>
        <v>367.90610000000009</v>
      </c>
      <c r="DV348" s="45">
        <f t="shared" si="297"/>
        <v>78.75</v>
      </c>
      <c r="DW348" s="45">
        <f t="shared" si="294"/>
        <v>3</v>
      </c>
      <c r="DX348" s="47">
        <f t="shared" si="298"/>
        <v>3295.8877258333337</v>
      </c>
      <c r="DY348" s="50">
        <f t="shared" si="286"/>
        <v>-5.631051180898794E-13</v>
      </c>
      <c r="EA348" s="51">
        <f t="shared" si="263"/>
        <v>1.4630428585915492E-2</v>
      </c>
      <c r="EB348" s="51">
        <f t="shared" si="263"/>
        <v>0.11351047081114024</v>
      </c>
      <c r="EC348" s="51">
        <f t="shared" si="263"/>
        <v>0.59223896181307789</v>
      </c>
      <c r="ED348" s="51">
        <f t="shared" si="261"/>
        <v>6.9450560529067937E-2</v>
      </c>
      <c r="EE348" s="51">
        <f t="shared" si="261"/>
        <v>7.3740143339343672E-2</v>
      </c>
      <c r="EF348" s="51">
        <f t="shared" si="261"/>
        <v>0.1116257987541061</v>
      </c>
      <c r="EG348" s="51">
        <f t="shared" si="261"/>
        <v>2.3893410986895441E-2</v>
      </c>
      <c r="EH348" s="52">
        <f t="shared" si="299"/>
        <v>9.1022518045315965E-4</v>
      </c>
      <c r="EI348" s="51">
        <f t="shared" si="271"/>
        <v>0.99908977481954675</v>
      </c>
      <c r="EK348" s="53">
        <f>(EA348*'[2]Renewable Diesel'!BF357*'[2]Feedstock Conversion Rates'!B$2)+FB348</f>
        <v>127.71986065976189</v>
      </c>
      <c r="EL348" s="53">
        <f>(EB348*'[2]Renewable Diesel'!BF357*'[2]Feedstock Conversion Rates'!B$3)+FC348</f>
        <v>933.79362105896791</v>
      </c>
      <c r="EM348" s="53">
        <f>(EC348*'[2]Renewable Diesel'!BF357*'[2]Feedstock Conversion Rates'!B$4)+FD348</f>
        <v>4561.8468407564933</v>
      </c>
      <c r="EN348" s="53">
        <f>(ED348*'[2]Renewable Diesel'!BF357*'[2]Feedstock Conversion Rates'!B$5)+FE348</f>
        <v>538.52413103009178</v>
      </c>
      <c r="EO348" s="53">
        <f>(EE348*'[2]Renewable Diesel'!BF357*'[2]Feedstock Conversion Rates'!B$6)+FF348</f>
        <v>710.37763110104174</v>
      </c>
      <c r="EP348" s="53">
        <f>(EF348*'[2]Renewable Diesel'!BF357*'[2]Feedstock Conversion Rates'!B$7)+FG348</f>
        <v>1054.7143834591413</v>
      </c>
      <c r="EQ348" s="53">
        <f>(EG348*'[2]Renewable Diesel'!BF357*'[2]Feedstock Conversion Rates'!B$8)+FH348</f>
        <v>230.05511384243275</v>
      </c>
      <c r="ER348" s="53">
        <f>(EH348*'[2]Renewable Diesel'!BF357*'[2]Feedstock Conversion Rates'!B$9)+FI348</f>
        <v>8.6471509456965201</v>
      </c>
      <c r="ES348" s="53">
        <f t="shared" si="300"/>
        <v>8165.6787328536275</v>
      </c>
      <c r="ET348" s="36">
        <f>ES348/'[2]Renewable Diesel'!BF357</f>
        <v>7.9507816637522186</v>
      </c>
    </row>
    <row r="349" spans="1:150" x14ac:dyDescent="0.25">
      <c r="A349" s="39">
        <v>51044</v>
      </c>
      <c r="B349" s="45">
        <f>115.75+145+100+235+31.5-21-287-20-28-32-70-39-47+40+20-3-10-60-1</f>
        <v>69.25</v>
      </c>
      <c r="C349" s="45">
        <f t="shared" si="251"/>
        <v>49</v>
      </c>
      <c r="D349" s="45">
        <f>1+1</f>
        <v>2</v>
      </c>
      <c r="E349" s="45">
        <f>('[2]Renewable Diesel'!B358*E$3*'[2]Feedstock Conversion Rates'!$B$2)/12+26+13-100+27.5+39</f>
        <v>95.43</v>
      </c>
      <c r="F349" s="45">
        <f>('[2]Renewable Diesel'!B358*'[2]RD Feedstock Breakdown'!F$3*'[2]Feedstock Conversion Rates'!B$8)/12+77+23-10-12-115.75+24+8</f>
        <v>48.15625</v>
      </c>
      <c r="G349" s="45">
        <f>('[2]Renewable Diesel'!B358*'[2]RD Feedstock Breakdown'!G$3*'[2]Feedstock Conversion Rates'!B$7)/12+116.75-39-57.5-145-31.5+32+70-40+10+60</f>
        <v>151.90700000000004</v>
      </c>
      <c r="H349" s="45">
        <f>('[2]Renewable Diesel'!B358*'[2]RD Feedstock Breakdown'!H$3*'[2]Feedstock Conversion Rates'!B$3)/12+67+10+12+3-235+20+47-20</f>
        <v>80.400224999999978</v>
      </c>
      <c r="I349" s="47">
        <f t="shared" si="314"/>
        <v>496.14347500000002</v>
      </c>
      <c r="J349" s="45">
        <f t="shared" si="281"/>
        <v>4</v>
      </c>
      <c r="K349" s="45"/>
      <c r="L349" s="45">
        <v>1</v>
      </c>
      <c r="M349" s="45">
        <f>('[2]Renewable Diesel'!C358*'[2]RD Feedstock Breakdown'!M$3*'[2]Feedstock Conversion Rates'!B$2)/12-55</f>
        <v>-47.20975</v>
      </c>
      <c r="N349" s="45">
        <f>('[2]Renewable Diesel'!C358*'[2]RD Feedstock Breakdown'!N$3*'[2]Feedstock Conversion Rates'!B$8)/12</f>
        <v>3.671875</v>
      </c>
      <c r="O349" s="45">
        <f>('[2]Renewable Diesel'!C358*'[2]RD Feedstock Breakdown'!O$3*'[2]Feedstock Conversion Rates'!B$7)/12</f>
        <v>11.9991</v>
      </c>
      <c r="P349" s="45">
        <f>('[2]Renewable Diesel'!C358*'[2]RD Feedstock Breakdown'!P$3*'[2]Feedstock Conversion Rates'!B$3)/12+15+35</f>
        <v>60.447042500000002</v>
      </c>
      <c r="Q349" s="47">
        <f t="shared" si="252"/>
        <v>33.908267500000001</v>
      </c>
      <c r="R349" s="45">
        <f>('[2]Renewable Diesel'!D358*'[2]RD Feedstock Breakdown'!R$3*'[2]Feedstock Conversion Rates'!B$7)/12</f>
        <v>2.2999999999999998</v>
      </c>
      <c r="S349" s="47">
        <f t="shared" si="279"/>
        <v>2.2999999999999998</v>
      </c>
      <c r="T349" s="45">
        <f t="shared" si="253"/>
        <v>0.82499999999999929</v>
      </c>
      <c r="U349" s="45"/>
      <c r="V349" s="45">
        <f>('[2]Renewable Diesel'!E358*'[2]RD Feedstock Breakdown'!V$3*'[2]Feedstock Conversion Rates'!B$6)/12-20+25</f>
        <v>49.250150000000012</v>
      </c>
      <c r="W349" s="45">
        <f>('[2]Renewable Diesel'!E358*'[2]RD Feedstock Breakdown'!W$3*'[2]Feedstock Conversion Rates'!B$8)/12-6</f>
        <v>16.1796875</v>
      </c>
      <c r="X349" s="47">
        <f t="shared" si="301"/>
        <v>66.254837500000008</v>
      </c>
      <c r="Y349" s="45">
        <f t="shared" si="254"/>
        <v>98</v>
      </c>
      <c r="Z349" s="45">
        <f>('[2]Renewable Diesel'!F358*'[2]RD Feedstock Breakdown'!Z$3*'[2]Feedstock Conversion Rates'!B$6)/12-142+15+5+20+5+15</f>
        <v>77.460000000000008</v>
      </c>
      <c r="AA349" s="45">
        <f>('[2]Renewable Diesel'!F358*'[2]RD Feedstock Breakdown'!AA$3*'[2]Feedstock Conversion Rates'!B$7)/12+24</f>
        <v>128.26666666666665</v>
      </c>
      <c r="AB349" s="47">
        <f t="shared" si="270"/>
        <v>303.72666666666669</v>
      </c>
      <c r="AC349" s="45">
        <f>('[2]Renewable Diesel'!G358*'[2]RD Feedstock Breakdown'!AC$3*'[2]Feedstock Conversion Rates'!B$5)/12</f>
        <v>11.796875</v>
      </c>
      <c r="AD349" s="45">
        <f>('[2]Renewable Diesel'!G358*'[2]RD Feedstock Breakdown'!AD$3*'[2]Feedstock Conversion Rates'!B$4)/12</f>
        <v>5.859375</v>
      </c>
      <c r="AE349" s="45">
        <f>('[2]Renewable Diesel'!G358*'[2]RD Feedstock Breakdown'!AE$3*'[2]Feedstock Conversion Rates'!B$6)/12</f>
        <v>7.3281250000000009</v>
      </c>
      <c r="AF349" s="47">
        <f t="shared" si="310"/>
        <v>24.984375</v>
      </c>
      <c r="AG349" s="45">
        <f t="shared" si="259"/>
        <v>148</v>
      </c>
      <c r="AH349" s="45"/>
      <c r="AI349" s="45">
        <f>('[2]Renewable Diesel'!H358*'[2]RD Feedstock Breakdown'!AI$3*'[2]Feedstock Conversion Rates'!B$6)/12-130-20+51-49</f>
        <v>0.51666666666667993</v>
      </c>
      <c r="AJ349" s="47">
        <f t="shared" si="278"/>
        <v>148.51666666666668</v>
      </c>
      <c r="AK349" s="45">
        <f>('[2]Renewable Diesel'!J358*'[2]RD Feedstock Breakdown'!AK$3*'[2]Feedstock Conversion Rates'!B$4)/12</f>
        <v>95.8125</v>
      </c>
      <c r="AL349" s="47">
        <f t="shared" si="280"/>
        <v>95.8125</v>
      </c>
      <c r="AM349" s="45">
        <f>('[2]Renewable Diesel'!K358*'[2]RD Feedstock Breakdown'!AM$3*'[2]Feedstock Conversion Rates'!B$4)/12+5+15-10+10</f>
        <v>78.59375</v>
      </c>
      <c r="AN349" s="45">
        <f>('[2]Renewable Diesel'!K358*'[2]RD Feedstock Breakdown'!AN$3*'[2]Feedstock Conversion Rates'!B$6)/12-5-15+10-10</f>
        <v>4.4270833333333321</v>
      </c>
      <c r="AO349" s="47">
        <f t="shared" si="295"/>
        <v>83.020833333333329</v>
      </c>
      <c r="AP349" s="45">
        <f>('[2]Renewable Diesel'!L358*'[2]RD Feedstock Breakdown'!AP$3*'[2]Feedstock Conversion Rates'!B$4)/12+15-10+15</f>
        <v>78.59375</v>
      </c>
      <c r="AQ349" s="45">
        <f>('[2]Renewable Diesel'!L358*'[2]RD Feedstock Breakdown'!AQ$3*'[2]Feedstock Conversion Rates'!B$6)/12-15+10-15</f>
        <v>4.4270833333333321</v>
      </c>
      <c r="AR349" s="47">
        <f t="shared" si="285"/>
        <v>83.020833333333329</v>
      </c>
      <c r="AS349" s="45">
        <f>('[2]Renewable Diesel'!M358*'[2]RD Feedstock Breakdown'!AS$3*'[2]Feedstock Conversion Rates'!B$4)/12</f>
        <v>456.25</v>
      </c>
      <c r="AT349" s="45">
        <f>('[2]Renewable Diesel'!M358*'[2]RD Feedstock Breakdown'!AT$3*'[2]Feedstock Conversion Rates'!B$5)/12</f>
        <v>0</v>
      </c>
      <c r="AU349" s="47">
        <f t="shared" si="313"/>
        <v>456.25</v>
      </c>
      <c r="AV349" s="45">
        <f>'[2]Renewable Diesel'!N358*'[2]RD Feedstock Breakdown'!$AV$3*'[2]Feedstock Conversion Rates'!$B$4/12-15-10+25+25-22+25</f>
        <v>106.74999999999999</v>
      </c>
      <c r="AW349" s="45">
        <f>'[2]Renewable Diesel'!N358*'[2]RD Feedstock Breakdown'!$AW$3*'[2]Feedstock Conversion Rates'!$B$7/12+15+10-25-25+22-25</f>
        <v>13.400000000000006</v>
      </c>
      <c r="AX349" s="47">
        <f t="shared" si="272"/>
        <v>120.14999999999999</v>
      </c>
      <c r="AY349" s="45">
        <f>('[2]Renewable Diesel'!O358*'[2]RD Feedstock Breakdown'!AY$3*'[2]Feedstock Conversion Rates'!B$4)/12</f>
        <v>210.9375</v>
      </c>
      <c r="AZ349" s="45">
        <f>('[2]Renewable Diesel'!O358*'[2]RD Feedstock Breakdown'!AZ$3*'[2]Feedstock Conversion Rates'!B$3)/12</f>
        <v>25.03125</v>
      </c>
      <c r="BA349" s="47">
        <f t="shared" si="255"/>
        <v>235.96875</v>
      </c>
      <c r="BB349" s="45">
        <f>('[2]Renewable Diesel'!Q358*'[2]RD Feedstock Breakdown'!BB$3*'[2]Feedstock Conversion Rates'!B$4)/12</f>
        <v>11.156249999999998</v>
      </c>
      <c r="BC349" s="45">
        <f>('[2]Renewable Diesel'!Q358*'[2]RD Feedstock Breakdown'!BC$3*'[2]Feedstock Conversion Rates'!B$3)/12</f>
        <v>1.4017500000000001</v>
      </c>
      <c r="BD349" s="45">
        <f>('[2]Renewable Diesel'!Q358*'[2]RD Feedstock Breakdown'!BD$3*'[2]Feedstock Conversion Rates'!B$6)/12</f>
        <v>0.8207500000000002</v>
      </c>
      <c r="BE349" s="47">
        <f t="shared" si="303"/>
        <v>13.378749999999998</v>
      </c>
      <c r="BF349" s="45">
        <f>('[2]Renewable Diesel'!R358*'[2]RD Feedstock Breakdown'!BF$3*'[2]Feedstock Conversion Rates'!B$4)/12</f>
        <v>62.5</v>
      </c>
      <c r="BG349" s="47">
        <f t="shared" si="289"/>
        <v>62.5</v>
      </c>
      <c r="BH349" s="45">
        <f>('[2]Renewable Diesel'!T358*'[2]RD Feedstock Breakdown'!BH$3*'[2]Feedstock Conversion Rates'!B$7)/12</f>
        <v>27.599999999999998</v>
      </c>
      <c r="BI349" s="47">
        <f t="shared" si="277"/>
        <v>27.599999999999998</v>
      </c>
      <c r="BJ349" s="45">
        <f>('[2]Renewable Diesel'!W358*'[2]RD Feedstock Breakdown'!BJ$3*'[2]Feedstock Conversion Rates'!B$4)/12</f>
        <v>7.5</v>
      </c>
      <c r="BK349" s="45">
        <f>('[2]Renewable Diesel'!W358*'[2]RD Feedstock Breakdown'!BK$3*'[2]Feedstock Conversion Rates'!B$3)/12</f>
        <v>1.335</v>
      </c>
      <c r="BL349" s="45">
        <f>('[2]Renewable Diesel'!W358*'[2]RD Feedstock Breakdown'!BL$3*'[2]Feedstock Conversion Rates'!B$6)/12</f>
        <v>3.1266666666666669</v>
      </c>
      <c r="BM349" s="45">
        <f>('[2]Renewable Diesel'!W358*'[2]RD Feedstock Breakdown'!BM$3*'[2]Feedstock Conversion Rates'!B$7)/12</f>
        <v>1.5333333333333332</v>
      </c>
      <c r="BN349" s="47">
        <f t="shared" si="316"/>
        <v>13.495000000000001</v>
      </c>
      <c r="BO349" s="45">
        <f>('[2]Renewable Diesel'!P358*'[2]Feedstock Conversion Rates'!B$4)/12</f>
        <v>31.25</v>
      </c>
      <c r="BP349" s="47">
        <f t="shared" si="311"/>
        <v>31.25</v>
      </c>
      <c r="BQ349" s="45">
        <f>('[2]Renewable Diesel'!$S358*'[2]RD Feedstock Breakdown'!BQ$3*'[2]Feedstock Conversion Rates'!B$4)/12+10+15-15</f>
        <v>38.125</v>
      </c>
      <c r="BR349" s="45">
        <f>('[2]Renewable Diesel'!$S358*'[2]RD Feedstock Breakdown'!BR$3*'[2]Feedstock Conversion Rates'!B$7)/12-10-15+15</f>
        <v>1.5</v>
      </c>
      <c r="BS349" s="47">
        <f t="shared" si="260"/>
        <v>39.625</v>
      </c>
      <c r="BT349" s="47"/>
      <c r="BU349" s="45">
        <f>('[2]Renewable Diesel'!Y358*'[2]Feedstock Conversion Rates'!B$7)/12</f>
        <v>2.6833333333333331</v>
      </c>
      <c r="BV349" s="47">
        <f t="shared" si="305"/>
        <v>2.6833333333333331</v>
      </c>
      <c r="BW349" s="45">
        <f>('[2]Renewable Diesel'!$Z358*'[2]RD Feedstock Breakdown'!BW$3*'[2]Feedstock Conversion Rates'!$B$4)/12-230+160</f>
        <v>1.875</v>
      </c>
      <c r="BX349" s="45">
        <f>('[2]Renewable Diesel'!$Z358*'[2]RD Feedstock Breakdown'!BX$3*'[2]Feedstock Conversion Rates'!$B$5)/12</f>
        <v>7.2354166666666666</v>
      </c>
      <c r="BY349" s="45">
        <f>('[2]Renewable Diesel'!$Z358*'[2]RD Feedstock Breakdown'!BY$3*'[2]Feedstock Conversion Rates'!$B$7)/12</f>
        <v>61.716666666666661</v>
      </c>
      <c r="BZ349" s="45">
        <f>('[2]Renewable Diesel'!$Z358*'[2]RD Feedstock Breakdown'!BZ$3*'[2]Feedstock Conversion Rates'!$B$3)/12+230-160</f>
        <v>85.352499999999992</v>
      </c>
      <c r="CA349" s="47">
        <f t="shared" si="262"/>
        <v>156.17958333333331</v>
      </c>
      <c r="CB349" s="45">
        <f>('[2]Renewable Diesel'!AA358*'[2]Feedstock Conversion Rates'!B$4)/12</f>
        <v>191.25</v>
      </c>
      <c r="CC349" s="47">
        <f t="shared" si="318"/>
        <v>191.25</v>
      </c>
      <c r="CD349" s="45">
        <f>('[2]Renewable Diesel'!$AB358*'[2]RD Feedstock Breakdown'!CD$3*'[2]Feedstock Conversion Rates'!$B$6)/12-15-5</f>
        <v>12.830000000000005</v>
      </c>
      <c r="CE349" s="45">
        <f>('[2]Renewable Diesel'!$AB358*'[2]RD Feedstock Breakdown'!CE$3*'[2]Feedstock Conversion Rates'!$B$4)/12+15+5</f>
        <v>31.25</v>
      </c>
      <c r="CF349" s="47">
        <f t="shared" si="315"/>
        <v>44.080000000000005</v>
      </c>
      <c r="CG349" s="45">
        <f>('[2]Renewable Diesel'!AD358*'[2]Feedstock Conversion Rates'!B$4)/12</f>
        <v>112.5</v>
      </c>
      <c r="CH349" s="47">
        <f t="shared" si="302"/>
        <v>112.5</v>
      </c>
      <c r="CI349" s="45">
        <f>('[2]Renewable Diesel'!$AE358*'[2]RD Feedstock Breakdown'!CI$3*'[2]Feedstock Conversion Rates'!$B$5)/12</f>
        <v>0.34604166666666664</v>
      </c>
      <c r="CJ349" s="45">
        <f>('[2]Renewable Diesel'!$AE358*'[2]RD Feedstock Breakdown'!CJ$3*'[2]Feedstock Conversion Rates'!$B$4)/12</f>
        <v>0.34375</v>
      </c>
      <c r="CK349" s="47">
        <f t="shared" si="312"/>
        <v>0.68979166666666658</v>
      </c>
      <c r="CL349" s="45">
        <f>(((CL$3*'[2]Renewable Diesel'!$AF358)*'[2]Feedstock Conversion Rates'!$B$3)/12)</f>
        <v>91.78125</v>
      </c>
      <c r="CM349" s="45">
        <f>(((CM$3*'[2]Renewable Diesel'!$AF358)*'[2]Feedstock Conversion Rates'!$B$6)/12)</f>
        <v>53.739583333333336</v>
      </c>
      <c r="CN349" s="45">
        <f>(((CN$3*'[2]Renewable Diesel'!$AF358)*'[2]Feedstock Conversion Rates'!$B$4)/12)</f>
        <v>42.96875</v>
      </c>
      <c r="CO349" s="47">
        <f t="shared" si="304"/>
        <v>188.48958333333334</v>
      </c>
      <c r="CP349" s="45">
        <f>('[2]Renewable Diesel'!$AG358*'[2]RD Feedstock Breakdown'!CP$3*'[2]Feedstock Conversion Rates'!$B$3)/12</f>
        <v>6.0075000000000003</v>
      </c>
      <c r="CQ349" s="45">
        <f>('[2]Renewable Diesel'!$AG358*'[2]RD Feedstock Breakdown'!CQ$3*'[2]Feedstock Conversion Rates'!$B$6)/12</f>
        <v>3.5175000000000001</v>
      </c>
      <c r="CR349" s="45">
        <f>('[2]Renewable Diesel'!$AG358*'[2]RD Feedstock Breakdown'!CR$3*'[2]Feedstock Conversion Rates'!$B$4)/12</f>
        <v>2.8125</v>
      </c>
      <c r="CS349" s="47">
        <f t="shared" si="267"/>
        <v>12.3375</v>
      </c>
      <c r="CT349" s="45">
        <f>('[2]Renewable Diesel'!AI358*'[2]Feedstock Conversion Rates'!$B$4*'[2]RD Feedstock Breakdown'!$CT$3)/12</f>
        <v>29.375</v>
      </c>
      <c r="CU349" s="47">
        <f t="shared" si="308"/>
        <v>29.375</v>
      </c>
      <c r="CV349" s="45">
        <f>('[2]Renewable Diesel'!AN358*'[2]Feedstock Conversion Rates'!$B$3*'[2]RD Feedstock Breakdown'!$CV$3)/12</f>
        <v>0.50062499999999999</v>
      </c>
      <c r="CW349" s="47">
        <f t="shared" si="284"/>
        <v>0.50062499999999999</v>
      </c>
      <c r="CX349" s="45">
        <f>('[2]Renewable Diesel'!AO358*'[2]RD Feedstock Breakdown'!$CX$3*'[2]Feedstock Conversion Rates'!$B$3)/12</f>
        <v>6.3412499999999996</v>
      </c>
      <c r="CY349" s="45">
        <f>('[2]Renewable Diesel'!AO358*'[2]RD Feedstock Breakdown'!$CY$3*'[2]Feedstock Conversion Rates'!$B$6)/12</f>
        <v>7.4258333333333342</v>
      </c>
      <c r="CZ349" s="47">
        <f t="shared" si="268"/>
        <v>13.767083333333334</v>
      </c>
      <c r="DA349" s="45">
        <f>('[2]Renewable Diesel'!$AP358*'[2]RD Feedstock Breakdown'!DA$3*'[2]Feedstock Conversion Rates'!$B$3)/12</f>
        <v>6.3412499999999996</v>
      </c>
      <c r="DB349" s="45">
        <f>('[2]Renewable Diesel'!$AP358*'[2]RD Feedstock Breakdown'!DB$3*'[2]Feedstock Conversion Rates'!$B$8)/12</f>
        <v>7.421875</v>
      </c>
      <c r="DC349" s="47">
        <f t="shared" si="287"/>
        <v>13.763124999999999</v>
      </c>
      <c r="DD349" s="45">
        <f>('[2]Renewable Diesel'!AQ358*$DD$3*'[2]Feedstock Conversion Rates'!$B$14)/12</f>
        <v>3.1041666666666665</v>
      </c>
      <c r="DE349" s="47">
        <f t="shared" si="288"/>
        <v>3.1041666666666665</v>
      </c>
      <c r="DF349" s="45">
        <f>('[2]Renewable Diesel'!AR358*'[2]Feedstock Conversion Rates'!$B$4*$DF$3)/12</f>
        <v>75</v>
      </c>
      <c r="DG349" s="47">
        <f t="shared" si="269"/>
        <v>75</v>
      </c>
      <c r="DH349" s="45">
        <f>('[2]Renewable Diesel'!AS358*'[2]Feedstock Conversion Rates'!$B$4*$DH$3)/12</f>
        <v>75</v>
      </c>
      <c r="DI349" s="47">
        <f t="shared" si="273"/>
        <v>75</v>
      </c>
      <c r="DJ349" s="45">
        <f>('[2]Renewable Diesel'!AT358*'[2]Feedstock Conversion Rates'!$B$4*0.25)/12</f>
        <v>8.59375</v>
      </c>
      <c r="DK349" s="45">
        <f>('[2]Renewable Diesel'!$AT358*'[2]RD Feedstock Breakdown'!DK$3*'[2]Feedstock Conversion Rates'!$B$3)/12*0.5</f>
        <v>9.1781249999999996</v>
      </c>
      <c r="DL349" s="45">
        <f>('[2]Renewable Diesel'!$AT358*'[2]RD Feedstock Breakdown'!$DL$3*'[2]Feedstock Conversion Rates'!$B$6)/12</f>
        <v>10.747916666666669</v>
      </c>
      <c r="DM349" s="45">
        <f>('[2]Renewable Diesel'!$AT358*'[2]RD Feedstock Breakdown'!$DM$3*'[2]Feedstock Conversion Rates'!$B$8)/12</f>
        <v>10.7421875</v>
      </c>
      <c r="DN349" s="47">
        <f t="shared" si="317"/>
        <v>39.26197916666667</v>
      </c>
      <c r="DP349" s="45">
        <f t="shared" si="290"/>
        <v>48.220250000000007</v>
      </c>
      <c r="DQ349" s="45">
        <f t="shared" si="291"/>
        <v>374.11776750000001</v>
      </c>
      <c r="DR349" s="45">
        <f t="shared" si="296"/>
        <v>1916.953125</v>
      </c>
      <c r="DS349" s="45">
        <f t="shared" si="309"/>
        <v>228.90125</v>
      </c>
      <c r="DT349" s="45">
        <f t="shared" si="292"/>
        <v>243.03923333333344</v>
      </c>
      <c r="DU349" s="45">
        <f t="shared" si="293"/>
        <v>402.90610000000009</v>
      </c>
      <c r="DV349" s="45">
        <f t="shared" si="297"/>
        <v>78.75</v>
      </c>
      <c r="DW349" s="45">
        <f t="shared" si="294"/>
        <v>3</v>
      </c>
      <c r="DX349" s="47">
        <f t="shared" si="298"/>
        <v>3295.8877258333337</v>
      </c>
      <c r="DY349" s="50">
        <f t="shared" si="286"/>
        <v>-5.631051180898794E-13</v>
      </c>
      <c r="EA349" s="51">
        <f t="shared" si="263"/>
        <v>1.4630428585915492E-2</v>
      </c>
      <c r="EB349" s="51">
        <f t="shared" si="263"/>
        <v>0.11351047081114024</v>
      </c>
      <c r="EC349" s="51">
        <f t="shared" si="263"/>
        <v>0.58161966804112442</v>
      </c>
      <c r="ED349" s="51">
        <f t="shared" si="261"/>
        <v>6.9450560529067937E-2</v>
      </c>
      <c r="EE349" s="51">
        <f t="shared" si="261"/>
        <v>7.3740143339343672E-2</v>
      </c>
      <c r="EF349" s="51">
        <f t="shared" si="261"/>
        <v>0.12224509252605963</v>
      </c>
      <c r="EG349" s="51">
        <f t="shared" si="261"/>
        <v>2.3893410986895441E-2</v>
      </c>
      <c r="EH349" s="52">
        <f t="shared" si="299"/>
        <v>9.1022518045315965E-4</v>
      </c>
      <c r="EI349" s="51">
        <f t="shared" si="271"/>
        <v>0.99908977481954686</v>
      </c>
      <c r="EK349" s="53">
        <f>(EA349*'[2]Renewable Diesel'!BF358*'[2]Feedstock Conversion Rates'!B$2)+FB349</f>
        <v>131.53553624696428</v>
      </c>
      <c r="EL349" s="53">
        <f>(EB349*'[2]Renewable Diesel'!BF358*'[2]Feedstock Conversion Rates'!B$3)+FC349</f>
        <v>961.69103266711079</v>
      </c>
      <c r="EM349" s="53">
        <f>(EC349*'[2]Renewable Diesel'!BF358*'[2]Feedstock Conversion Rates'!B$4)+FD349</f>
        <v>4613.8925144733057</v>
      </c>
      <c r="EN349" s="53">
        <f>(ED349*'[2]Renewable Diesel'!BF358*'[2]Feedstock Conversion Rates'!B$5)+FE349</f>
        <v>554.61272813062317</v>
      </c>
      <c r="EO349" s="53">
        <f>(EE349*'[2]Renewable Diesel'!BF358*'[2]Feedstock Conversion Rates'!B$6)+FF349</f>
        <v>731.60041172955891</v>
      </c>
      <c r="EP349" s="53">
        <f>(EF349*'[2]Renewable Diesel'!BF358*'[2]Feedstock Conversion Rates'!B$7)+FG349</f>
        <v>1189.560093334456</v>
      </c>
      <c r="EQ349" s="53">
        <f>(EG349*'[2]Renewable Diesel'!BF358*'[2]Feedstock Conversion Rates'!B$8)+FH349</f>
        <v>236.92809097429864</v>
      </c>
      <c r="ER349" s="53">
        <f>(EH349*'[2]Renewable Diesel'!BF358*'[2]Feedstock Conversion Rates'!B$9)+FI349</f>
        <v>8.905487609954589</v>
      </c>
      <c r="ES349" s="53">
        <f t="shared" si="300"/>
        <v>8428.7258951662716</v>
      </c>
      <c r="ET349" s="36">
        <f>ES349/'[2]Renewable Diesel'!BF358</f>
        <v>7.9688344631645389</v>
      </c>
    </row>
    <row r="350" spans="1:150" x14ac:dyDescent="0.25">
      <c r="A350" s="39">
        <v>51075</v>
      </c>
      <c r="B350" s="45">
        <f t="shared" ref="B350:B360" si="319">115.75+145+100+235+31.5-21-287-20-28-32-70-39-47+40+20-3-10-60-1</f>
        <v>69.25</v>
      </c>
      <c r="C350" s="45">
        <f t="shared" si="251"/>
        <v>49</v>
      </c>
      <c r="D350" s="45">
        <f t="shared" ref="D350:D360" si="320">1+1</f>
        <v>2</v>
      </c>
      <c r="E350" s="45">
        <f>('[2]Renewable Diesel'!B359*E$3*'[2]Feedstock Conversion Rates'!$B$2)/12+26+13-100+27.5+39</f>
        <v>95.43</v>
      </c>
      <c r="F350" s="45">
        <f>('[2]Renewable Diesel'!B359*'[2]RD Feedstock Breakdown'!F$3*'[2]Feedstock Conversion Rates'!B$8)/12+77+23-10-12-115.75+24+8</f>
        <v>48.15625</v>
      </c>
      <c r="G350" s="45">
        <f>('[2]Renewable Diesel'!B359*'[2]RD Feedstock Breakdown'!G$3*'[2]Feedstock Conversion Rates'!B$7)/12+116.75-39-57.5-145-31.5+32+70-40+10+60</f>
        <v>151.90700000000004</v>
      </c>
      <c r="H350" s="45">
        <f>('[2]Renewable Diesel'!B359*'[2]RD Feedstock Breakdown'!H$3*'[2]Feedstock Conversion Rates'!B$3)/12+67+10+12+3-235+20+47-20</f>
        <v>80.400224999999978</v>
      </c>
      <c r="I350" s="47">
        <f t="shared" si="314"/>
        <v>496.14347500000002</v>
      </c>
      <c r="J350" s="45">
        <f t="shared" si="281"/>
        <v>4</v>
      </c>
      <c r="K350" s="45"/>
      <c r="L350" s="45">
        <v>1</v>
      </c>
      <c r="M350" s="45">
        <f>('[2]Renewable Diesel'!C359*'[2]RD Feedstock Breakdown'!M$3*'[2]Feedstock Conversion Rates'!B$2)/12-55</f>
        <v>-47.20975</v>
      </c>
      <c r="N350" s="45">
        <f>('[2]Renewable Diesel'!C359*'[2]RD Feedstock Breakdown'!N$3*'[2]Feedstock Conversion Rates'!B$8)/12</f>
        <v>3.671875</v>
      </c>
      <c r="O350" s="45">
        <f>('[2]Renewable Diesel'!C359*'[2]RD Feedstock Breakdown'!O$3*'[2]Feedstock Conversion Rates'!B$7)/12</f>
        <v>11.9991</v>
      </c>
      <c r="P350" s="45">
        <f>('[2]Renewable Diesel'!C359*'[2]RD Feedstock Breakdown'!P$3*'[2]Feedstock Conversion Rates'!B$3)/12+15+35</f>
        <v>60.447042500000002</v>
      </c>
      <c r="Q350" s="47">
        <f t="shared" si="252"/>
        <v>33.908267500000001</v>
      </c>
      <c r="R350" s="45">
        <f>('[2]Renewable Diesel'!D359*'[2]RD Feedstock Breakdown'!R$3*'[2]Feedstock Conversion Rates'!B$7)/12</f>
        <v>2.2999999999999998</v>
      </c>
      <c r="S350" s="47">
        <f t="shared" si="279"/>
        <v>2.2999999999999998</v>
      </c>
      <c r="T350" s="45">
        <f t="shared" si="253"/>
        <v>0.82499999999999929</v>
      </c>
      <c r="U350" s="45"/>
      <c r="V350" s="45">
        <f>('[2]Renewable Diesel'!E359*'[2]RD Feedstock Breakdown'!V$3*'[2]Feedstock Conversion Rates'!B$6)/12-20+25</f>
        <v>49.250150000000012</v>
      </c>
      <c r="W350" s="45">
        <f>('[2]Renewable Diesel'!E359*'[2]RD Feedstock Breakdown'!W$3*'[2]Feedstock Conversion Rates'!B$8)/12-6</f>
        <v>16.1796875</v>
      </c>
      <c r="X350" s="47">
        <f t="shared" si="301"/>
        <v>66.254837500000008</v>
      </c>
      <c r="Y350" s="45">
        <f t="shared" si="254"/>
        <v>98</v>
      </c>
      <c r="Z350" s="45">
        <f>('[2]Renewable Diesel'!F359*'[2]RD Feedstock Breakdown'!Z$3*'[2]Feedstock Conversion Rates'!B$6)/12-142+15+5+20+5+15</f>
        <v>77.460000000000008</v>
      </c>
      <c r="AA350" s="45">
        <f>('[2]Renewable Diesel'!F359*'[2]RD Feedstock Breakdown'!AA$3*'[2]Feedstock Conversion Rates'!B$7)/12+24</f>
        <v>128.26666666666665</v>
      </c>
      <c r="AB350" s="47">
        <f t="shared" si="270"/>
        <v>303.72666666666669</v>
      </c>
      <c r="AC350" s="45">
        <f>('[2]Renewable Diesel'!G359*'[2]RD Feedstock Breakdown'!AC$3*'[2]Feedstock Conversion Rates'!B$5)/12</f>
        <v>11.796875</v>
      </c>
      <c r="AD350" s="45">
        <f>('[2]Renewable Diesel'!G359*'[2]RD Feedstock Breakdown'!AD$3*'[2]Feedstock Conversion Rates'!B$4)/12</f>
        <v>5.859375</v>
      </c>
      <c r="AE350" s="45">
        <f>('[2]Renewable Diesel'!G359*'[2]RD Feedstock Breakdown'!AE$3*'[2]Feedstock Conversion Rates'!B$6)/12</f>
        <v>7.3281250000000009</v>
      </c>
      <c r="AF350" s="47">
        <f t="shared" si="310"/>
        <v>24.984375</v>
      </c>
      <c r="AG350" s="45">
        <f t="shared" si="259"/>
        <v>148</v>
      </c>
      <c r="AH350" s="45"/>
      <c r="AI350" s="45">
        <f>('[2]Renewable Diesel'!H359*'[2]RD Feedstock Breakdown'!AI$3*'[2]Feedstock Conversion Rates'!B$6)/12-130-20+51-49</f>
        <v>0.51666666666667993</v>
      </c>
      <c r="AJ350" s="47">
        <f t="shared" si="278"/>
        <v>148.51666666666668</v>
      </c>
      <c r="AK350" s="45">
        <f>('[2]Renewable Diesel'!J359*'[2]RD Feedstock Breakdown'!AK$3*'[2]Feedstock Conversion Rates'!B$4)/12</f>
        <v>95.8125</v>
      </c>
      <c r="AL350" s="47">
        <f t="shared" si="280"/>
        <v>95.8125</v>
      </c>
      <c r="AM350" s="45">
        <f>('[2]Renewable Diesel'!K359*'[2]RD Feedstock Breakdown'!AM$3*'[2]Feedstock Conversion Rates'!B$4)/12+5+15-10+10</f>
        <v>78.59375</v>
      </c>
      <c r="AN350" s="45">
        <f>('[2]Renewable Diesel'!K359*'[2]RD Feedstock Breakdown'!AN$3*'[2]Feedstock Conversion Rates'!B$6)/12-5-15+10-10</f>
        <v>4.4270833333333321</v>
      </c>
      <c r="AO350" s="47">
        <f t="shared" si="295"/>
        <v>83.020833333333329</v>
      </c>
      <c r="AP350" s="45">
        <f>('[2]Renewable Diesel'!L359*'[2]RD Feedstock Breakdown'!AP$3*'[2]Feedstock Conversion Rates'!B$4)/12+15-10+15</f>
        <v>78.59375</v>
      </c>
      <c r="AQ350" s="45">
        <f>('[2]Renewable Diesel'!L359*'[2]RD Feedstock Breakdown'!AQ$3*'[2]Feedstock Conversion Rates'!B$6)/12-15+10-15</f>
        <v>4.4270833333333321</v>
      </c>
      <c r="AR350" s="47">
        <f t="shared" si="285"/>
        <v>83.020833333333329</v>
      </c>
      <c r="AS350" s="45">
        <f>('[2]Renewable Diesel'!M359*'[2]RD Feedstock Breakdown'!AS$3*'[2]Feedstock Conversion Rates'!B$4)/12</f>
        <v>456.25</v>
      </c>
      <c r="AT350" s="45">
        <f>('[2]Renewable Diesel'!M359*'[2]RD Feedstock Breakdown'!AT$3*'[2]Feedstock Conversion Rates'!B$5)/12</f>
        <v>0</v>
      </c>
      <c r="AU350" s="47">
        <f t="shared" si="313"/>
        <v>456.25</v>
      </c>
      <c r="AV350" s="45">
        <f>'[2]Renewable Diesel'!N359*'[2]RD Feedstock Breakdown'!$AV$3*'[2]Feedstock Conversion Rates'!$B$4/12-15-10+25+25-22+25</f>
        <v>106.74999999999999</v>
      </c>
      <c r="AW350" s="45">
        <f>'[2]Renewable Diesel'!N359*'[2]RD Feedstock Breakdown'!$AW$3*'[2]Feedstock Conversion Rates'!$B$7/12+15+10-25-25+22-25</f>
        <v>13.400000000000006</v>
      </c>
      <c r="AX350" s="47">
        <f t="shared" si="272"/>
        <v>120.14999999999999</v>
      </c>
      <c r="AY350" s="45">
        <f>('[2]Renewable Diesel'!O359*'[2]RD Feedstock Breakdown'!AY$3*'[2]Feedstock Conversion Rates'!B$4)/12</f>
        <v>210.9375</v>
      </c>
      <c r="AZ350" s="45">
        <f>('[2]Renewable Diesel'!O359*'[2]RD Feedstock Breakdown'!AZ$3*'[2]Feedstock Conversion Rates'!B$3)/12</f>
        <v>25.03125</v>
      </c>
      <c r="BA350" s="47">
        <f t="shared" si="255"/>
        <v>235.96875</v>
      </c>
      <c r="BB350" s="45">
        <f>('[2]Renewable Diesel'!Q359*'[2]RD Feedstock Breakdown'!BB$3*'[2]Feedstock Conversion Rates'!B$4)/12</f>
        <v>11.156249999999998</v>
      </c>
      <c r="BC350" s="45">
        <f>('[2]Renewable Diesel'!Q359*'[2]RD Feedstock Breakdown'!BC$3*'[2]Feedstock Conversion Rates'!B$3)/12</f>
        <v>1.4017500000000001</v>
      </c>
      <c r="BD350" s="45">
        <f>('[2]Renewable Diesel'!Q359*'[2]RD Feedstock Breakdown'!BD$3*'[2]Feedstock Conversion Rates'!B$6)/12</f>
        <v>0.8207500000000002</v>
      </c>
      <c r="BE350" s="47">
        <f t="shared" si="303"/>
        <v>13.378749999999998</v>
      </c>
      <c r="BF350" s="45">
        <f>('[2]Renewable Diesel'!R359*'[2]RD Feedstock Breakdown'!BF$3*'[2]Feedstock Conversion Rates'!B$4)/12</f>
        <v>62.5</v>
      </c>
      <c r="BG350" s="47">
        <f t="shared" si="289"/>
        <v>62.5</v>
      </c>
      <c r="BH350" s="45">
        <f>('[2]Renewable Diesel'!T359*'[2]RD Feedstock Breakdown'!BH$3*'[2]Feedstock Conversion Rates'!B$7)/12</f>
        <v>27.599999999999998</v>
      </c>
      <c r="BI350" s="47">
        <f t="shared" si="277"/>
        <v>27.599999999999998</v>
      </c>
      <c r="BJ350" s="45">
        <f>('[2]Renewable Diesel'!W359*'[2]RD Feedstock Breakdown'!BJ$3*'[2]Feedstock Conversion Rates'!B$4)/12</f>
        <v>7.5</v>
      </c>
      <c r="BK350" s="45">
        <f>('[2]Renewable Diesel'!W359*'[2]RD Feedstock Breakdown'!BK$3*'[2]Feedstock Conversion Rates'!B$3)/12</f>
        <v>1.335</v>
      </c>
      <c r="BL350" s="45">
        <f>('[2]Renewable Diesel'!W359*'[2]RD Feedstock Breakdown'!BL$3*'[2]Feedstock Conversion Rates'!B$6)/12</f>
        <v>3.1266666666666669</v>
      </c>
      <c r="BM350" s="45">
        <f>('[2]Renewable Diesel'!W359*'[2]RD Feedstock Breakdown'!BM$3*'[2]Feedstock Conversion Rates'!B$7)/12</f>
        <v>1.5333333333333332</v>
      </c>
      <c r="BN350" s="47">
        <f t="shared" si="316"/>
        <v>13.495000000000001</v>
      </c>
      <c r="BO350" s="45">
        <f>('[2]Renewable Diesel'!P359*'[2]Feedstock Conversion Rates'!B$4)/12</f>
        <v>31.25</v>
      </c>
      <c r="BP350" s="47">
        <f t="shared" si="311"/>
        <v>31.25</v>
      </c>
      <c r="BQ350" s="45">
        <f>('[2]Renewable Diesel'!$S359*'[2]RD Feedstock Breakdown'!BQ$3*'[2]Feedstock Conversion Rates'!B$4)/12+10+15-15</f>
        <v>38.125</v>
      </c>
      <c r="BR350" s="45">
        <f>('[2]Renewable Diesel'!$S359*'[2]RD Feedstock Breakdown'!BR$3*'[2]Feedstock Conversion Rates'!B$7)/12-10-15+15</f>
        <v>1.5</v>
      </c>
      <c r="BS350" s="47">
        <f t="shared" si="260"/>
        <v>39.625</v>
      </c>
      <c r="BT350" s="47"/>
      <c r="BU350" s="45">
        <f>('[2]Renewable Diesel'!Y359*'[2]Feedstock Conversion Rates'!B$7)/12</f>
        <v>2.6833333333333331</v>
      </c>
      <c r="BV350" s="47">
        <f t="shared" si="305"/>
        <v>2.6833333333333331</v>
      </c>
      <c r="BW350" s="45">
        <f>('[2]Renewable Diesel'!$Z359*'[2]RD Feedstock Breakdown'!BW$3*'[2]Feedstock Conversion Rates'!$B$4)/12-230+160</f>
        <v>1.875</v>
      </c>
      <c r="BX350" s="45">
        <f>('[2]Renewable Diesel'!$Z359*'[2]RD Feedstock Breakdown'!BX$3*'[2]Feedstock Conversion Rates'!$B$5)/12</f>
        <v>7.2354166666666666</v>
      </c>
      <c r="BY350" s="45">
        <f>('[2]Renewable Diesel'!$Z359*'[2]RD Feedstock Breakdown'!BY$3*'[2]Feedstock Conversion Rates'!$B$7)/12</f>
        <v>61.716666666666661</v>
      </c>
      <c r="BZ350" s="45">
        <f>('[2]Renewable Diesel'!$Z359*'[2]RD Feedstock Breakdown'!BZ$3*'[2]Feedstock Conversion Rates'!$B$3)/12+230-160</f>
        <v>85.352499999999992</v>
      </c>
      <c r="CA350" s="47">
        <f t="shared" si="262"/>
        <v>156.17958333333331</v>
      </c>
      <c r="CB350" s="45">
        <f>('[2]Renewable Diesel'!AA359*'[2]Feedstock Conversion Rates'!B$4)/12</f>
        <v>191.25</v>
      </c>
      <c r="CC350" s="47">
        <f t="shared" si="318"/>
        <v>191.25</v>
      </c>
      <c r="CD350" s="45">
        <f>('[2]Renewable Diesel'!$AB359*'[2]RD Feedstock Breakdown'!CD$3*'[2]Feedstock Conversion Rates'!$B$6)/12-15-5</f>
        <v>12.830000000000005</v>
      </c>
      <c r="CE350" s="45">
        <f>('[2]Renewable Diesel'!$AB359*'[2]RD Feedstock Breakdown'!CE$3*'[2]Feedstock Conversion Rates'!$B$4)/12+15+5</f>
        <v>31.25</v>
      </c>
      <c r="CF350" s="47">
        <f t="shared" si="315"/>
        <v>44.080000000000005</v>
      </c>
      <c r="CG350" s="45">
        <f>('[2]Renewable Diesel'!AD359*'[2]Feedstock Conversion Rates'!B$4)/12</f>
        <v>112.5</v>
      </c>
      <c r="CH350" s="47">
        <f t="shared" si="302"/>
        <v>112.5</v>
      </c>
      <c r="CI350" s="45">
        <f>('[2]Renewable Diesel'!$AE359*'[2]RD Feedstock Breakdown'!CI$3*'[2]Feedstock Conversion Rates'!$B$5)/12</f>
        <v>0.34604166666666664</v>
      </c>
      <c r="CJ350" s="45">
        <f>('[2]Renewable Diesel'!$AE359*'[2]RD Feedstock Breakdown'!CJ$3*'[2]Feedstock Conversion Rates'!$B$4)/12</f>
        <v>0.34375</v>
      </c>
      <c r="CK350" s="47">
        <f t="shared" si="312"/>
        <v>0.68979166666666658</v>
      </c>
      <c r="CL350" s="45">
        <f>(((CL$3*'[2]Renewable Diesel'!$AF359)*'[2]Feedstock Conversion Rates'!$B$3)/12)</f>
        <v>91.78125</v>
      </c>
      <c r="CM350" s="45">
        <f>(((CM$3*'[2]Renewable Diesel'!$AF359)*'[2]Feedstock Conversion Rates'!$B$6)/12)</f>
        <v>53.739583333333336</v>
      </c>
      <c r="CN350" s="45">
        <f>(((CN$3*'[2]Renewable Diesel'!$AF359)*'[2]Feedstock Conversion Rates'!$B$4)/12)</f>
        <v>42.96875</v>
      </c>
      <c r="CO350" s="47">
        <f t="shared" si="304"/>
        <v>188.48958333333334</v>
      </c>
      <c r="CP350" s="45">
        <f>('[2]Renewable Diesel'!$AG359*'[2]RD Feedstock Breakdown'!CP$3*'[2]Feedstock Conversion Rates'!$B$3)/12</f>
        <v>6.0075000000000003</v>
      </c>
      <c r="CQ350" s="45">
        <f>('[2]Renewable Diesel'!$AG359*'[2]RD Feedstock Breakdown'!CQ$3*'[2]Feedstock Conversion Rates'!$B$6)/12</f>
        <v>3.5175000000000001</v>
      </c>
      <c r="CR350" s="45">
        <f>('[2]Renewable Diesel'!$AG359*'[2]RD Feedstock Breakdown'!CR$3*'[2]Feedstock Conversion Rates'!$B$4)/12</f>
        <v>2.8125</v>
      </c>
      <c r="CS350" s="47">
        <f t="shared" si="267"/>
        <v>12.3375</v>
      </c>
      <c r="CT350" s="45">
        <f>('[2]Renewable Diesel'!AI359*'[2]Feedstock Conversion Rates'!$B$4*'[2]RD Feedstock Breakdown'!$CT$3)/12</f>
        <v>29.375</v>
      </c>
      <c r="CU350" s="47">
        <f t="shared" si="308"/>
        <v>29.375</v>
      </c>
      <c r="CV350" s="45">
        <f>('[2]Renewable Diesel'!AN359*'[2]Feedstock Conversion Rates'!$B$3*'[2]RD Feedstock Breakdown'!$CV$3)/12</f>
        <v>0.50062499999999999</v>
      </c>
      <c r="CW350" s="47">
        <f t="shared" si="284"/>
        <v>0.50062499999999999</v>
      </c>
      <c r="CX350" s="45">
        <f>('[2]Renewable Diesel'!AO359*'[2]RD Feedstock Breakdown'!$CX$3*'[2]Feedstock Conversion Rates'!$B$3)/12</f>
        <v>6.3412499999999996</v>
      </c>
      <c r="CY350" s="45">
        <f>('[2]Renewable Diesel'!AO359*'[2]RD Feedstock Breakdown'!$CY$3*'[2]Feedstock Conversion Rates'!$B$6)/12</f>
        <v>7.4258333333333342</v>
      </c>
      <c r="CZ350" s="47">
        <f t="shared" si="268"/>
        <v>13.767083333333334</v>
      </c>
      <c r="DA350" s="45">
        <f>('[2]Renewable Diesel'!$AP359*'[2]RD Feedstock Breakdown'!DA$3*'[2]Feedstock Conversion Rates'!$B$3)/12</f>
        <v>6.3412499999999996</v>
      </c>
      <c r="DB350" s="45">
        <f>('[2]Renewable Diesel'!$AP359*'[2]RD Feedstock Breakdown'!DB$3*'[2]Feedstock Conversion Rates'!$B$8)/12</f>
        <v>7.421875</v>
      </c>
      <c r="DC350" s="47">
        <f t="shared" si="287"/>
        <v>13.763124999999999</v>
      </c>
      <c r="DD350" s="45">
        <f>('[2]Renewable Diesel'!AQ359*$DD$3*'[2]Feedstock Conversion Rates'!$B$14)/12</f>
        <v>3.1041666666666665</v>
      </c>
      <c r="DE350" s="47">
        <f t="shared" si="288"/>
        <v>3.1041666666666665</v>
      </c>
      <c r="DF350" s="45">
        <f>('[2]Renewable Diesel'!AR359*'[2]Feedstock Conversion Rates'!$B$4*$DF$3)/12</f>
        <v>75</v>
      </c>
      <c r="DG350" s="47">
        <f t="shared" si="269"/>
        <v>75</v>
      </c>
      <c r="DH350" s="45">
        <f>('[2]Renewable Diesel'!AS359*'[2]Feedstock Conversion Rates'!$B$4*$DH$3)/12</f>
        <v>75</v>
      </c>
      <c r="DI350" s="47">
        <f t="shared" si="273"/>
        <v>75</v>
      </c>
      <c r="DJ350" s="45">
        <f>('[2]Renewable Diesel'!AT359*'[2]Feedstock Conversion Rates'!$B$4*0.25)/12</f>
        <v>8.59375</v>
      </c>
      <c r="DK350" s="45">
        <f>('[2]Renewable Diesel'!$AT359*'[2]RD Feedstock Breakdown'!DK$3*'[2]Feedstock Conversion Rates'!$B$3)/12*0.5</f>
        <v>9.1781249999999996</v>
      </c>
      <c r="DL350" s="45">
        <f>('[2]Renewable Diesel'!$AT359*'[2]RD Feedstock Breakdown'!$DL$3*'[2]Feedstock Conversion Rates'!$B$6)/12</f>
        <v>10.747916666666669</v>
      </c>
      <c r="DM350" s="45">
        <f>('[2]Renewable Diesel'!$AT359*'[2]RD Feedstock Breakdown'!$DM$3*'[2]Feedstock Conversion Rates'!$B$8)/12</f>
        <v>10.7421875</v>
      </c>
      <c r="DN350" s="47">
        <f t="shared" si="317"/>
        <v>39.26197916666667</v>
      </c>
      <c r="DP350" s="45">
        <f t="shared" si="290"/>
        <v>48.220250000000007</v>
      </c>
      <c r="DQ350" s="45">
        <f t="shared" si="291"/>
        <v>374.11776750000001</v>
      </c>
      <c r="DR350" s="45">
        <f t="shared" si="296"/>
        <v>1916.953125</v>
      </c>
      <c r="DS350" s="45">
        <f t="shared" si="309"/>
        <v>228.90125</v>
      </c>
      <c r="DT350" s="45">
        <f t="shared" si="292"/>
        <v>243.03923333333344</v>
      </c>
      <c r="DU350" s="45">
        <f t="shared" si="293"/>
        <v>402.90610000000009</v>
      </c>
      <c r="DV350" s="45">
        <f t="shared" si="297"/>
        <v>78.75</v>
      </c>
      <c r="DW350" s="45">
        <f t="shared" si="294"/>
        <v>3</v>
      </c>
      <c r="DX350" s="47">
        <f t="shared" si="298"/>
        <v>3295.8877258333337</v>
      </c>
      <c r="DY350" s="50">
        <f t="shared" si="286"/>
        <v>-5.631051180898794E-13</v>
      </c>
      <c r="EA350" s="51">
        <f t="shared" si="263"/>
        <v>1.4630428585915492E-2</v>
      </c>
      <c r="EB350" s="51">
        <f t="shared" si="263"/>
        <v>0.11351047081114024</v>
      </c>
      <c r="EC350" s="51">
        <f t="shared" si="263"/>
        <v>0.58161966804112442</v>
      </c>
      <c r="ED350" s="51">
        <f t="shared" si="261"/>
        <v>6.9450560529067937E-2</v>
      </c>
      <c r="EE350" s="51">
        <f t="shared" si="261"/>
        <v>7.3740143339343672E-2</v>
      </c>
      <c r="EF350" s="51">
        <f t="shared" si="261"/>
        <v>0.12224509252605963</v>
      </c>
      <c r="EG350" s="51">
        <f t="shared" si="261"/>
        <v>2.3893410986895441E-2</v>
      </c>
      <c r="EH350" s="52">
        <f t="shared" si="299"/>
        <v>9.1022518045315965E-4</v>
      </c>
      <c r="EI350" s="51">
        <f t="shared" si="271"/>
        <v>0.99908977481954686</v>
      </c>
      <c r="EK350" s="53">
        <f>(EA350*'[2]Renewable Diesel'!BF359*'[2]Feedstock Conversion Rates'!B$2)+FB350</f>
        <v>135.2444382204732</v>
      </c>
      <c r="EL350" s="53">
        <f>(EB350*'[2]Renewable Diesel'!BF359*'[2]Feedstock Conversion Rates'!B$3)+FC350</f>
        <v>988.80779419585826</v>
      </c>
      <c r="EM350" s="53">
        <f>(EC350*'[2]Renewable Diesel'!BF359*'[2]Feedstock Conversion Rates'!B$4)+FD350</f>
        <v>4743.9902473046714</v>
      </c>
      <c r="EN350" s="53">
        <f>(ED350*'[2]Renewable Diesel'!BF359*'[2]Feedstock Conversion Rates'!B$5)+FE350</f>
        <v>570.25111985797116</v>
      </c>
      <c r="EO350" s="53">
        <f>(EE350*'[2]Renewable Diesel'!BF359*'[2]Feedstock Conversion Rates'!B$6)+FF350</f>
        <v>752.22931771424339</v>
      </c>
      <c r="EP350" s="53">
        <f>(EF350*'[2]Renewable Diesel'!BF359*'[2]Feedstock Conversion Rates'!B$7)+FG350</f>
        <v>1223.1020691659294</v>
      </c>
      <c r="EQ350" s="53">
        <f>(EG350*'[2]Renewable Diesel'!BF359*'[2]Feedstock Conversion Rates'!B$8)+FH350</f>
        <v>243.60874237290156</v>
      </c>
      <c r="ER350" s="53">
        <f>(EH350*'[2]Renewable Diesel'!BF359*'[2]Feedstock Conversion Rates'!B$9)+FI350</f>
        <v>9.1565952688735059</v>
      </c>
      <c r="ES350" s="53">
        <f t="shared" si="300"/>
        <v>8666.390324100923</v>
      </c>
      <c r="ET350" s="36">
        <f>ES350/'[2]Renewable Diesel'!BF359</f>
        <v>7.9688344631645407</v>
      </c>
    </row>
    <row r="351" spans="1:150" x14ac:dyDescent="0.25">
      <c r="A351" s="39">
        <v>51105</v>
      </c>
      <c r="B351" s="45">
        <f t="shared" si="319"/>
        <v>69.25</v>
      </c>
      <c r="C351" s="45">
        <f t="shared" si="251"/>
        <v>49</v>
      </c>
      <c r="D351" s="45">
        <f t="shared" si="320"/>
        <v>2</v>
      </c>
      <c r="E351" s="45">
        <f>('[2]Renewable Diesel'!B360*E$3*'[2]Feedstock Conversion Rates'!$B$2)/12+26+13-100+27.5+39</f>
        <v>95.43</v>
      </c>
      <c r="F351" s="45">
        <f>('[2]Renewable Diesel'!B360*'[2]RD Feedstock Breakdown'!F$3*'[2]Feedstock Conversion Rates'!B$8)/12+77+23-10-12-115.75+24+8</f>
        <v>48.15625</v>
      </c>
      <c r="G351" s="45">
        <f>('[2]Renewable Diesel'!B360*'[2]RD Feedstock Breakdown'!G$3*'[2]Feedstock Conversion Rates'!B$7)/12+116.75-39-57.5-145-31.5+32+70-40+10+60</f>
        <v>151.90700000000004</v>
      </c>
      <c r="H351" s="45">
        <f>('[2]Renewable Diesel'!B360*'[2]RD Feedstock Breakdown'!H$3*'[2]Feedstock Conversion Rates'!B$3)/12+67+10+12+3-235+20+47-20</f>
        <v>80.400224999999978</v>
      </c>
      <c r="I351" s="47">
        <f t="shared" si="314"/>
        <v>496.14347500000002</v>
      </c>
      <c r="J351" s="45">
        <f t="shared" si="281"/>
        <v>4</v>
      </c>
      <c r="K351" s="45"/>
      <c r="L351" s="45">
        <v>1</v>
      </c>
      <c r="M351" s="45">
        <f>('[2]Renewable Diesel'!C360*'[2]RD Feedstock Breakdown'!M$3*'[2]Feedstock Conversion Rates'!B$2)/12-55</f>
        <v>-47.20975</v>
      </c>
      <c r="N351" s="45">
        <f>('[2]Renewable Diesel'!C360*'[2]RD Feedstock Breakdown'!N$3*'[2]Feedstock Conversion Rates'!B$8)/12</f>
        <v>3.671875</v>
      </c>
      <c r="O351" s="45">
        <f>('[2]Renewable Diesel'!C360*'[2]RD Feedstock Breakdown'!O$3*'[2]Feedstock Conversion Rates'!B$7)/12</f>
        <v>11.9991</v>
      </c>
      <c r="P351" s="45">
        <f>('[2]Renewable Diesel'!C360*'[2]RD Feedstock Breakdown'!P$3*'[2]Feedstock Conversion Rates'!B$3)/12+15+35</f>
        <v>60.447042500000002</v>
      </c>
      <c r="Q351" s="47">
        <f t="shared" si="252"/>
        <v>33.908267500000001</v>
      </c>
      <c r="R351" s="45">
        <f>('[2]Renewable Diesel'!D360*'[2]RD Feedstock Breakdown'!R$3*'[2]Feedstock Conversion Rates'!B$7)/12</f>
        <v>2.2999999999999998</v>
      </c>
      <c r="S351" s="47">
        <f t="shared" si="279"/>
        <v>2.2999999999999998</v>
      </c>
      <c r="T351" s="45">
        <f t="shared" si="253"/>
        <v>0.82499999999999929</v>
      </c>
      <c r="U351" s="45"/>
      <c r="V351" s="45">
        <f>('[2]Renewable Diesel'!E360*'[2]RD Feedstock Breakdown'!V$3*'[2]Feedstock Conversion Rates'!B$6)/12-20+25</f>
        <v>49.250150000000012</v>
      </c>
      <c r="W351" s="45">
        <f>('[2]Renewable Diesel'!E360*'[2]RD Feedstock Breakdown'!W$3*'[2]Feedstock Conversion Rates'!B$8)/12-6</f>
        <v>16.1796875</v>
      </c>
      <c r="X351" s="47">
        <f t="shared" si="301"/>
        <v>66.254837500000008</v>
      </c>
      <c r="Y351" s="45">
        <f t="shared" si="254"/>
        <v>98</v>
      </c>
      <c r="Z351" s="45">
        <f>('[2]Renewable Diesel'!F360*'[2]RD Feedstock Breakdown'!Z$3*'[2]Feedstock Conversion Rates'!B$6)/12-142+15+5+20+5+15</f>
        <v>77.460000000000008</v>
      </c>
      <c r="AA351" s="45">
        <f>('[2]Renewable Diesel'!F360*'[2]RD Feedstock Breakdown'!AA$3*'[2]Feedstock Conversion Rates'!B$7)/12+24</f>
        <v>128.26666666666665</v>
      </c>
      <c r="AB351" s="47">
        <f t="shared" si="270"/>
        <v>303.72666666666669</v>
      </c>
      <c r="AC351" s="45">
        <f>('[2]Renewable Diesel'!G360*'[2]RD Feedstock Breakdown'!AC$3*'[2]Feedstock Conversion Rates'!B$5)/12</f>
        <v>11.796875</v>
      </c>
      <c r="AD351" s="45">
        <f>('[2]Renewable Diesel'!G360*'[2]RD Feedstock Breakdown'!AD$3*'[2]Feedstock Conversion Rates'!B$4)/12</f>
        <v>5.859375</v>
      </c>
      <c r="AE351" s="45">
        <f>('[2]Renewable Diesel'!G360*'[2]RD Feedstock Breakdown'!AE$3*'[2]Feedstock Conversion Rates'!B$6)/12</f>
        <v>7.3281250000000009</v>
      </c>
      <c r="AF351" s="47">
        <f t="shared" si="310"/>
        <v>24.984375</v>
      </c>
      <c r="AG351" s="45">
        <f t="shared" si="259"/>
        <v>148</v>
      </c>
      <c r="AH351" s="45"/>
      <c r="AI351" s="45">
        <f>('[2]Renewable Diesel'!H360*'[2]RD Feedstock Breakdown'!AI$3*'[2]Feedstock Conversion Rates'!B$6)/12-130-20+51-49</f>
        <v>0.51666666666667993</v>
      </c>
      <c r="AJ351" s="47">
        <f t="shared" si="278"/>
        <v>148.51666666666668</v>
      </c>
      <c r="AK351" s="45">
        <f>('[2]Renewable Diesel'!J360*'[2]RD Feedstock Breakdown'!AK$3*'[2]Feedstock Conversion Rates'!B$4)/12</f>
        <v>95.8125</v>
      </c>
      <c r="AL351" s="47">
        <f t="shared" si="280"/>
        <v>95.8125</v>
      </c>
      <c r="AM351" s="45">
        <f>('[2]Renewable Diesel'!K360*'[2]RD Feedstock Breakdown'!AM$3*'[2]Feedstock Conversion Rates'!B$4)/12+5+15-10+10</f>
        <v>78.59375</v>
      </c>
      <c r="AN351" s="45">
        <f>('[2]Renewable Diesel'!K360*'[2]RD Feedstock Breakdown'!AN$3*'[2]Feedstock Conversion Rates'!B$6)/12-5-15+10-10</f>
        <v>4.4270833333333321</v>
      </c>
      <c r="AO351" s="47">
        <f t="shared" si="295"/>
        <v>83.020833333333329</v>
      </c>
      <c r="AP351" s="45">
        <f>('[2]Renewable Diesel'!L360*'[2]RD Feedstock Breakdown'!AP$3*'[2]Feedstock Conversion Rates'!B$4)/12+15-10+15</f>
        <v>78.59375</v>
      </c>
      <c r="AQ351" s="45">
        <f>('[2]Renewable Diesel'!L360*'[2]RD Feedstock Breakdown'!AQ$3*'[2]Feedstock Conversion Rates'!B$6)/12-15+10-15</f>
        <v>4.4270833333333321</v>
      </c>
      <c r="AR351" s="47">
        <f t="shared" si="285"/>
        <v>83.020833333333329</v>
      </c>
      <c r="AS351" s="45">
        <f>('[2]Renewable Diesel'!M360*'[2]RD Feedstock Breakdown'!AS$3*'[2]Feedstock Conversion Rates'!B$4)/12</f>
        <v>456.25</v>
      </c>
      <c r="AT351" s="45">
        <f>('[2]Renewable Diesel'!M360*'[2]RD Feedstock Breakdown'!AT$3*'[2]Feedstock Conversion Rates'!B$5)/12</f>
        <v>0</v>
      </c>
      <c r="AU351" s="47">
        <f t="shared" si="313"/>
        <v>456.25</v>
      </c>
      <c r="AV351" s="45">
        <f>'[2]Renewable Diesel'!N360*'[2]RD Feedstock Breakdown'!$AV$3*'[2]Feedstock Conversion Rates'!$B$4/12-15-10+25+25-22+25</f>
        <v>106.74999999999999</v>
      </c>
      <c r="AW351" s="45">
        <f>'[2]Renewable Diesel'!N360*'[2]RD Feedstock Breakdown'!$AW$3*'[2]Feedstock Conversion Rates'!$B$7/12+15+10-25-25+22-25</f>
        <v>13.400000000000006</v>
      </c>
      <c r="AX351" s="47">
        <f t="shared" si="272"/>
        <v>120.14999999999999</v>
      </c>
      <c r="AY351" s="45">
        <f>('[2]Renewable Diesel'!O360*'[2]RD Feedstock Breakdown'!AY$3*'[2]Feedstock Conversion Rates'!B$4)/12</f>
        <v>210.9375</v>
      </c>
      <c r="AZ351" s="45">
        <f>('[2]Renewable Diesel'!O360*'[2]RD Feedstock Breakdown'!AZ$3*'[2]Feedstock Conversion Rates'!B$3)/12</f>
        <v>25.03125</v>
      </c>
      <c r="BA351" s="47">
        <f t="shared" si="255"/>
        <v>235.96875</v>
      </c>
      <c r="BB351" s="45">
        <f>('[2]Renewable Diesel'!Q360*'[2]RD Feedstock Breakdown'!BB$3*'[2]Feedstock Conversion Rates'!B$4)/12</f>
        <v>11.156249999999998</v>
      </c>
      <c r="BC351" s="45">
        <f>('[2]Renewable Diesel'!Q360*'[2]RD Feedstock Breakdown'!BC$3*'[2]Feedstock Conversion Rates'!B$3)/12</f>
        <v>1.4017500000000001</v>
      </c>
      <c r="BD351" s="45">
        <f>('[2]Renewable Diesel'!Q360*'[2]RD Feedstock Breakdown'!BD$3*'[2]Feedstock Conversion Rates'!B$6)/12</f>
        <v>0.8207500000000002</v>
      </c>
      <c r="BE351" s="47">
        <f t="shared" si="303"/>
        <v>13.378749999999998</v>
      </c>
      <c r="BF351" s="45">
        <f>('[2]Renewable Diesel'!R360*'[2]RD Feedstock Breakdown'!BF$3*'[2]Feedstock Conversion Rates'!B$4)/12</f>
        <v>62.5</v>
      </c>
      <c r="BG351" s="47">
        <f t="shared" si="289"/>
        <v>62.5</v>
      </c>
      <c r="BH351" s="45">
        <f>('[2]Renewable Diesel'!T360*'[2]RD Feedstock Breakdown'!BH$3*'[2]Feedstock Conversion Rates'!B$7)/12</f>
        <v>27.599999999999998</v>
      </c>
      <c r="BI351" s="47">
        <f t="shared" si="277"/>
        <v>27.599999999999998</v>
      </c>
      <c r="BJ351" s="45">
        <f>('[2]Renewable Diesel'!W360*'[2]RD Feedstock Breakdown'!BJ$3*'[2]Feedstock Conversion Rates'!B$4)/12</f>
        <v>7.5</v>
      </c>
      <c r="BK351" s="45">
        <f>('[2]Renewable Diesel'!W360*'[2]RD Feedstock Breakdown'!BK$3*'[2]Feedstock Conversion Rates'!B$3)/12</f>
        <v>1.335</v>
      </c>
      <c r="BL351" s="45">
        <f>('[2]Renewable Diesel'!W360*'[2]RD Feedstock Breakdown'!BL$3*'[2]Feedstock Conversion Rates'!B$6)/12</f>
        <v>3.1266666666666669</v>
      </c>
      <c r="BM351" s="45">
        <f>('[2]Renewable Diesel'!W360*'[2]RD Feedstock Breakdown'!BM$3*'[2]Feedstock Conversion Rates'!B$7)/12</f>
        <v>1.5333333333333332</v>
      </c>
      <c r="BN351" s="47">
        <f t="shared" si="316"/>
        <v>13.495000000000001</v>
      </c>
      <c r="BO351" s="45">
        <f>('[2]Renewable Diesel'!P360*'[2]Feedstock Conversion Rates'!B$4)/12</f>
        <v>31.25</v>
      </c>
      <c r="BP351" s="47">
        <f t="shared" si="311"/>
        <v>31.25</v>
      </c>
      <c r="BQ351" s="45">
        <f>('[2]Renewable Diesel'!$S360*'[2]RD Feedstock Breakdown'!BQ$3*'[2]Feedstock Conversion Rates'!B$4)/12+10+15-15</f>
        <v>38.125</v>
      </c>
      <c r="BR351" s="45">
        <f>('[2]Renewable Diesel'!$S360*'[2]RD Feedstock Breakdown'!BR$3*'[2]Feedstock Conversion Rates'!B$7)/12-10-15+15</f>
        <v>1.5</v>
      </c>
      <c r="BS351" s="47">
        <f t="shared" si="260"/>
        <v>39.625</v>
      </c>
      <c r="BT351" s="47"/>
      <c r="BU351" s="45">
        <f>('[2]Renewable Diesel'!Y360*'[2]Feedstock Conversion Rates'!B$7)/12</f>
        <v>2.6833333333333331</v>
      </c>
      <c r="BV351" s="47">
        <f t="shared" si="305"/>
        <v>2.6833333333333331</v>
      </c>
      <c r="BW351" s="45">
        <f>('[2]Renewable Diesel'!$Z360*'[2]RD Feedstock Breakdown'!BW$3*'[2]Feedstock Conversion Rates'!$B$4)/12-230+160</f>
        <v>1.875</v>
      </c>
      <c r="BX351" s="45">
        <f>('[2]Renewable Diesel'!$Z360*'[2]RD Feedstock Breakdown'!BX$3*'[2]Feedstock Conversion Rates'!$B$5)/12</f>
        <v>7.2354166666666666</v>
      </c>
      <c r="BY351" s="45">
        <f>('[2]Renewable Diesel'!$Z360*'[2]RD Feedstock Breakdown'!BY$3*'[2]Feedstock Conversion Rates'!$B$7)/12</f>
        <v>61.716666666666661</v>
      </c>
      <c r="BZ351" s="45">
        <f>('[2]Renewable Diesel'!$Z360*'[2]RD Feedstock Breakdown'!BZ$3*'[2]Feedstock Conversion Rates'!$B$3)/12+230-160</f>
        <v>85.352499999999992</v>
      </c>
      <c r="CA351" s="47">
        <f t="shared" si="262"/>
        <v>156.17958333333331</v>
      </c>
      <c r="CB351" s="45">
        <f>('[2]Renewable Diesel'!AA360*'[2]Feedstock Conversion Rates'!B$4)/12</f>
        <v>191.25</v>
      </c>
      <c r="CC351" s="47">
        <f t="shared" si="318"/>
        <v>191.25</v>
      </c>
      <c r="CD351" s="45">
        <f>('[2]Renewable Diesel'!$AB360*'[2]RD Feedstock Breakdown'!CD$3*'[2]Feedstock Conversion Rates'!$B$6)/12-15-5</f>
        <v>12.830000000000005</v>
      </c>
      <c r="CE351" s="45">
        <f>('[2]Renewable Diesel'!$AB360*'[2]RD Feedstock Breakdown'!CE$3*'[2]Feedstock Conversion Rates'!$B$4)/12+15+5</f>
        <v>31.25</v>
      </c>
      <c r="CF351" s="47">
        <f t="shared" si="315"/>
        <v>44.080000000000005</v>
      </c>
      <c r="CG351" s="45">
        <f>('[2]Renewable Diesel'!AD360*'[2]Feedstock Conversion Rates'!B$4)/12</f>
        <v>112.5</v>
      </c>
      <c r="CH351" s="47">
        <f t="shared" si="302"/>
        <v>112.5</v>
      </c>
      <c r="CI351" s="45">
        <f>('[2]Renewable Diesel'!$AE360*'[2]RD Feedstock Breakdown'!CI$3*'[2]Feedstock Conversion Rates'!$B$5)/12</f>
        <v>0.34604166666666664</v>
      </c>
      <c r="CJ351" s="45">
        <f>('[2]Renewable Diesel'!$AE360*'[2]RD Feedstock Breakdown'!CJ$3*'[2]Feedstock Conversion Rates'!$B$4)/12</f>
        <v>0.34375</v>
      </c>
      <c r="CK351" s="47">
        <f t="shared" si="312"/>
        <v>0.68979166666666658</v>
      </c>
      <c r="CL351" s="45">
        <f>(((CL$3*'[2]Renewable Diesel'!$AF360)*'[2]Feedstock Conversion Rates'!$B$3)/12)</f>
        <v>91.78125</v>
      </c>
      <c r="CM351" s="45">
        <f>(((CM$3*'[2]Renewable Diesel'!$AF360)*'[2]Feedstock Conversion Rates'!$B$6)/12)</f>
        <v>53.739583333333336</v>
      </c>
      <c r="CN351" s="45">
        <f>(((CN$3*'[2]Renewable Diesel'!$AF360)*'[2]Feedstock Conversion Rates'!$B$4)/12)</f>
        <v>42.96875</v>
      </c>
      <c r="CO351" s="47">
        <f t="shared" si="304"/>
        <v>188.48958333333334</v>
      </c>
      <c r="CP351" s="45">
        <f>('[2]Renewable Diesel'!$AG360*'[2]RD Feedstock Breakdown'!CP$3*'[2]Feedstock Conversion Rates'!$B$3)/12</f>
        <v>6.0075000000000003</v>
      </c>
      <c r="CQ351" s="45">
        <f>('[2]Renewable Diesel'!$AG360*'[2]RD Feedstock Breakdown'!CQ$3*'[2]Feedstock Conversion Rates'!$B$6)/12</f>
        <v>3.5175000000000001</v>
      </c>
      <c r="CR351" s="45">
        <f>('[2]Renewable Diesel'!$AG360*'[2]RD Feedstock Breakdown'!CR$3*'[2]Feedstock Conversion Rates'!$B$4)/12</f>
        <v>2.8125</v>
      </c>
      <c r="CS351" s="47">
        <f t="shared" si="267"/>
        <v>12.3375</v>
      </c>
      <c r="CT351" s="45">
        <f>('[2]Renewable Diesel'!AI360*'[2]Feedstock Conversion Rates'!$B$4*'[2]RD Feedstock Breakdown'!$CT$3)/12</f>
        <v>29.375</v>
      </c>
      <c r="CU351" s="47">
        <f t="shared" si="308"/>
        <v>29.375</v>
      </c>
      <c r="CV351" s="45">
        <f>('[2]Renewable Diesel'!AN360*'[2]Feedstock Conversion Rates'!$B$3*'[2]RD Feedstock Breakdown'!$CV$3)/12</f>
        <v>0.50062499999999999</v>
      </c>
      <c r="CW351" s="47">
        <f t="shared" si="284"/>
        <v>0.50062499999999999</v>
      </c>
      <c r="CX351" s="45">
        <f>('[2]Renewable Diesel'!AO360*'[2]RD Feedstock Breakdown'!$CX$3*'[2]Feedstock Conversion Rates'!$B$3)/12</f>
        <v>6.3412499999999996</v>
      </c>
      <c r="CY351" s="45">
        <f>('[2]Renewable Diesel'!AO360*'[2]RD Feedstock Breakdown'!$CY$3*'[2]Feedstock Conversion Rates'!$B$6)/12</f>
        <v>7.4258333333333342</v>
      </c>
      <c r="CZ351" s="47">
        <f t="shared" si="268"/>
        <v>13.767083333333334</v>
      </c>
      <c r="DA351" s="45">
        <f>('[2]Renewable Diesel'!$AP360*'[2]RD Feedstock Breakdown'!DA$3*'[2]Feedstock Conversion Rates'!$B$3)/12</f>
        <v>6.3412499999999996</v>
      </c>
      <c r="DB351" s="45">
        <f>('[2]Renewable Diesel'!$AP360*'[2]RD Feedstock Breakdown'!DB$3*'[2]Feedstock Conversion Rates'!$B$8)/12</f>
        <v>7.421875</v>
      </c>
      <c r="DC351" s="47">
        <f t="shared" si="287"/>
        <v>13.763124999999999</v>
      </c>
      <c r="DD351" s="45">
        <f>('[2]Renewable Diesel'!AQ360*$DD$3*'[2]Feedstock Conversion Rates'!$B$14)/12</f>
        <v>3.1041666666666665</v>
      </c>
      <c r="DE351" s="47">
        <f t="shared" si="288"/>
        <v>3.1041666666666665</v>
      </c>
      <c r="DF351" s="45">
        <f>('[2]Renewable Diesel'!AR360*'[2]Feedstock Conversion Rates'!$B$4*$DF$3)/12</f>
        <v>75</v>
      </c>
      <c r="DG351" s="47">
        <f t="shared" si="269"/>
        <v>75</v>
      </c>
      <c r="DH351" s="45">
        <f>('[2]Renewable Diesel'!AS360*'[2]Feedstock Conversion Rates'!$B$4*$DH$3)/12</f>
        <v>75</v>
      </c>
      <c r="DI351" s="47">
        <f t="shared" si="273"/>
        <v>75</v>
      </c>
      <c r="DJ351" s="45">
        <f>('[2]Renewable Diesel'!AT360*'[2]Feedstock Conversion Rates'!$B$4*0.25)/12</f>
        <v>8.59375</v>
      </c>
      <c r="DK351" s="45">
        <f>('[2]Renewable Diesel'!$AT360*'[2]RD Feedstock Breakdown'!DK$3*'[2]Feedstock Conversion Rates'!$B$3)/12*0.5</f>
        <v>9.1781249999999996</v>
      </c>
      <c r="DL351" s="45">
        <f>('[2]Renewable Diesel'!$AT360*'[2]RD Feedstock Breakdown'!$DL$3*'[2]Feedstock Conversion Rates'!$B$6)/12</f>
        <v>10.747916666666669</v>
      </c>
      <c r="DM351" s="45">
        <f>('[2]Renewable Diesel'!$AT360*'[2]RD Feedstock Breakdown'!$DM$3*'[2]Feedstock Conversion Rates'!$B$8)/12</f>
        <v>10.7421875</v>
      </c>
      <c r="DN351" s="47">
        <f t="shared" si="317"/>
        <v>39.26197916666667</v>
      </c>
      <c r="DP351" s="45">
        <f t="shared" si="290"/>
        <v>48.220250000000007</v>
      </c>
      <c r="DQ351" s="45">
        <f t="shared" si="291"/>
        <v>374.11776750000001</v>
      </c>
      <c r="DR351" s="45">
        <f t="shared" si="296"/>
        <v>1916.953125</v>
      </c>
      <c r="DS351" s="45">
        <f t="shared" si="309"/>
        <v>228.90125</v>
      </c>
      <c r="DT351" s="45">
        <f t="shared" si="292"/>
        <v>243.03923333333344</v>
      </c>
      <c r="DU351" s="45">
        <f t="shared" si="293"/>
        <v>402.90610000000009</v>
      </c>
      <c r="DV351" s="45">
        <f t="shared" si="297"/>
        <v>78.75</v>
      </c>
      <c r="DW351" s="45">
        <f t="shared" si="294"/>
        <v>3</v>
      </c>
      <c r="DX351" s="47">
        <f t="shared" si="298"/>
        <v>3295.8877258333337</v>
      </c>
      <c r="DY351" s="50">
        <f t="shared" si="286"/>
        <v>-5.631051180898794E-13</v>
      </c>
      <c r="EA351" s="51">
        <f t="shared" si="263"/>
        <v>1.4630428585915492E-2</v>
      </c>
      <c r="EB351" s="51">
        <f t="shared" si="263"/>
        <v>0.11351047081114024</v>
      </c>
      <c r="EC351" s="51">
        <f t="shared" si="263"/>
        <v>0.58161966804112442</v>
      </c>
      <c r="ED351" s="51">
        <f t="shared" si="261"/>
        <v>6.9450560529067937E-2</v>
      </c>
      <c r="EE351" s="51">
        <f t="shared" si="261"/>
        <v>7.3740143339343672E-2</v>
      </c>
      <c r="EF351" s="51">
        <f t="shared" si="261"/>
        <v>0.12224509252605963</v>
      </c>
      <c r="EG351" s="51">
        <f t="shared" si="261"/>
        <v>2.3893410986895441E-2</v>
      </c>
      <c r="EH351" s="52">
        <f t="shared" si="299"/>
        <v>9.1022518045315965E-4</v>
      </c>
      <c r="EI351" s="51">
        <f t="shared" si="271"/>
        <v>0.99908977481954686</v>
      </c>
      <c r="EK351" s="53">
        <f>(EA351*'[2]Renewable Diesel'!BF360*'[2]Feedstock Conversion Rates'!B$2)+FB351</f>
        <v>139.10046093420581</v>
      </c>
      <c r="EL351" s="53">
        <f>(EB351*'[2]Renewable Diesel'!BF360*'[2]Feedstock Conversion Rates'!B$3)+FC351</f>
        <v>1017.0001942982524</v>
      </c>
      <c r="EM351" s="53">
        <f>(EC351*'[2]Renewable Diesel'!BF360*'[2]Feedstock Conversion Rates'!B$4)+FD351</f>
        <v>4879.248557280509</v>
      </c>
      <c r="EN351" s="53">
        <f>(ED351*'[2]Renewable Diesel'!BF360*'[2]Feedstock Conversion Rates'!B$5)+FE351</f>
        <v>586.50983851314572</v>
      </c>
      <c r="EO351" s="53">
        <f>(EE351*'[2]Renewable Diesel'!BF360*'[2]Feedstock Conversion Rates'!B$6)+FF351</f>
        <v>773.67650898663567</v>
      </c>
      <c r="EP351" s="53">
        <f>(EF351*'[2]Renewable Diesel'!BF360*'[2]Feedstock Conversion Rates'!B$7)+FG351</f>
        <v>1257.9745520715021</v>
      </c>
      <c r="EQ351" s="53">
        <f>(EG351*'[2]Renewable Diesel'!BF360*'[2]Feedstock Conversion Rates'!B$8)+FH351</f>
        <v>250.55439467634358</v>
      </c>
      <c r="ER351" s="53">
        <f>(EH351*'[2]Renewable Diesel'!BF360*'[2]Feedstock Conversion Rates'!B$9)+FI351</f>
        <v>9.4176635967235178</v>
      </c>
      <c r="ES351" s="53">
        <f t="shared" si="300"/>
        <v>8913.4821703573161</v>
      </c>
      <c r="ET351" s="36">
        <f>ES351/'[2]Renewable Diesel'!BF360</f>
        <v>7.9688344631645371</v>
      </c>
    </row>
    <row r="352" spans="1:150" x14ac:dyDescent="0.25">
      <c r="A352" s="39">
        <v>51136</v>
      </c>
      <c r="B352" s="45">
        <f t="shared" si="319"/>
        <v>69.25</v>
      </c>
      <c r="C352" s="45">
        <f t="shared" si="251"/>
        <v>49</v>
      </c>
      <c r="D352" s="45">
        <f t="shared" si="320"/>
        <v>2</v>
      </c>
      <c r="E352" s="45">
        <f>('[2]Renewable Diesel'!B361*E$3*'[2]Feedstock Conversion Rates'!$B$2)/12+26+13-100+27.5+39</f>
        <v>95.43</v>
      </c>
      <c r="F352" s="45">
        <f>('[2]Renewable Diesel'!B361*'[2]RD Feedstock Breakdown'!F$3*'[2]Feedstock Conversion Rates'!B$8)/12+77+23-10-12-115.75+24+8</f>
        <v>48.15625</v>
      </c>
      <c r="G352" s="45">
        <f>('[2]Renewable Diesel'!B361*'[2]RD Feedstock Breakdown'!G$3*'[2]Feedstock Conversion Rates'!B$7)/12+116.75-39-57.5-145-31.5+32+70-40+10+60</f>
        <v>151.90700000000004</v>
      </c>
      <c r="H352" s="45">
        <f>('[2]Renewable Diesel'!B361*'[2]RD Feedstock Breakdown'!H$3*'[2]Feedstock Conversion Rates'!B$3)/12+67+10+12+3-235+20+47-20</f>
        <v>80.400224999999978</v>
      </c>
      <c r="I352" s="47">
        <f t="shared" si="314"/>
        <v>496.14347500000002</v>
      </c>
      <c r="J352" s="45">
        <f t="shared" si="281"/>
        <v>4</v>
      </c>
      <c r="K352" s="45"/>
      <c r="L352" s="45">
        <v>1</v>
      </c>
      <c r="M352" s="45">
        <f>('[2]Renewable Diesel'!C361*'[2]RD Feedstock Breakdown'!M$3*'[2]Feedstock Conversion Rates'!B$2)/12-55</f>
        <v>-47.20975</v>
      </c>
      <c r="N352" s="45">
        <f>('[2]Renewable Diesel'!C361*'[2]RD Feedstock Breakdown'!N$3*'[2]Feedstock Conversion Rates'!B$8)/12</f>
        <v>3.671875</v>
      </c>
      <c r="O352" s="45">
        <f>('[2]Renewable Diesel'!C361*'[2]RD Feedstock Breakdown'!O$3*'[2]Feedstock Conversion Rates'!B$7)/12</f>
        <v>11.9991</v>
      </c>
      <c r="P352" s="45">
        <f>('[2]Renewable Diesel'!C361*'[2]RD Feedstock Breakdown'!P$3*'[2]Feedstock Conversion Rates'!B$3)/12+15+35</f>
        <v>60.447042500000002</v>
      </c>
      <c r="Q352" s="47">
        <f t="shared" si="252"/>
        <v>33.908267500000001</v>
      </c>
      <c r="R352" s="45">
        <f>('[2]Renewable Diesel'!D361*'[2]RD Feedstock Breakdown'!R$3*'[2]Feedstock Conversion Rates'!B$7)/12</f>
        <v>2.2999999999999998</v>
      </c>
      <c r="S352" s="47">
        <f t="shared" si="279"/>
        <v>2.2999999999999998</v>
      </c>
      <c r="T352" s="45">
        <f t="shared" si="253"/>
        <v>0.82499999999999929</v>
      </c>
      <c r="U352" s="45"/>
      <c r="V352" s="45">
        <f>('[2]Renewable Diesel'!E361*'[2]RD Feedstock Breakdown'!V$3*'[2]Feedstock Conversion Rates'!B$6)/12-20+25</f>
        <v>49.250150000000012</v>
      </c>
      <c r="W352" s="45">
        <f>('[2]Renewable Diesel'!E361*'[2]RD Feedstock Breakdown'!W$3*'[2]Feedstock Conversion Rates'!B$8)/12-6</f>
        <v>16.1796875</v>
      </c>
      <c r="X352" s="47">
        <f t="shared" si="301"/>
        <v>66.254837500000008</v>
      </c>
      <c r="Y352" s="45">
        <f t="shared" si="254"/>
        <v>98</v>
      </c>
      <c r="Z352" s="45">
        <f>('[2]Renewable Diesel'!F361*'[2]RD Feedstock Breakdown'!Z$3*'[2]Feedstock Conversion Rates'!B$6)/12-142+15+5+20+5+15</f>
        <v>77.460000000000008</v>
      </c>
      <c r="AA352" s="45">
        <f>('[2]Renewable Diesel'!F361*'[2]RD Feedstock Breakdown'!AA$3*'[2]Feedstock Conversion Rates'!B$7)/12+24</f>
        <v>128.26666666666665</v>
      </c>
      <c r="AB352" s="47">
        <f t="shared" si="270"/>
        <v>303.72666666666669</v>
      </c>
      <c r="AC352" s="45">
        <f>('[2]Renewable Diesel'!G361*'[2]RD Feedstock Breakdown'!AC$3*'[2]Feedstock Conversion Rates'!B$5)/12</f>
        <v>11.796875</v>
      </c>
      <c r="AD352" s="45">
        <f>('[2]Renewable Diesel'!G361*'[2]RD Feedstock Breakdown'!AD$3*'[2]Feedstock Conversion Rates'!B$4)/12</f>
        <v>5.859375</v>
      </c>
      <c r="AE352" s="45">
        <f>('[2]Renewable Diesel'!G361*'[2]RD Feedstock Breakdown'!AE$3*'[2]Feedstock Conversion Rates'!B$6)/12</f>
        <v>7.3281250000000009</v>
      </c>
      <c r="AF352" s="47">
        <f t="shared" si="310"/>
        <v>24.984375</v>
      </c>
      <c r="AG352" s="45">
        <f t="shared" si="259"/>
        <v>148</v>
      </c>
      <c r="AH352" s="45"/>
      <c r="AI352" s="45">
        <f>('[2]Renewable Diesel'!H361*'[2]RD Feedstock Breakdown'!AI$3*'[2]Feedstock Conversion Rates'!B$6)/12-130-20+51-49</f>
        <v>0.51666666666667993</v>
      </c>
      <c r="AJ352" s="47">
        <f t="shared" si="278"/>
        <v>148.51666666666668</v>
      </c>
      <c r="AK352" s="45">
        <f>('[2]Renewable Diesel'!J361*'[2]RD Feedstock Breakdown'!AK$3*'[2]Feedstock Conversion Rates'!B$4)/12</f>
        <v>95.8125</v>
      </c>
      <c r="AL352" s="47">
        <f t="shared" si="280"/>
        <v>95.8125</v>
      </c>
      <c r="AM352" s="45">
        <f>('[2]Renewable Diesel'!K361*'[2]RD Feedstock Breakdown'!AM$3*'[2]Feedstock Conversion Rates'!B$4)/12+5+15-10+10</f>
        <v>78.59375</v>
      </c>
      <c r="AN352" s="45">
        <f>('[2]Renewable Diesel'!K361*'[2]RD Feedstock Breakdown'!AN$3*'[2]Feedstock Conversion Rates'!B$6)/12-5-15+10-10</f>
        <v>4.4270833333333321</v>
      </c>
      <c r="AO352" s="47">
        <f t="shared" si="295"/>
        <v>83.020833333333329</v>
      </c>
      <c r="AP352" s="45">
        <f>('[2]Renewable Diesel'!L361*'[2]RD Feedstock Breakdown'!AP$3*'[2]Feedstock Conversion Rates'!B$4)/12+15-10+15</f>
        <v>78.59375</v>
      </c>
      <c r="AQ352" s="45">
        <f>('[2]Renewable Diesel'!L361*'[2]RD Feedstock Breakdown'!AQ$3*'[2]Feedstock Conversion Rates'!B$6)/12-15+10-15</f>
        <v>4.4270833333333321</v>
      </c>
      <c r="AR352" s="47">
        <f t="shared" si="285"/>
        <v>83.020833333333329</v>
      </c>
      <c r="AS352" s="45">
        <f>('[2]Renewable Diesel'!M361*'[2]RD Feedstock Breakdown'!AS$3*'[2]Feedstock Conversion Rates'!B$4)/12</f>
        <v>456.25</v>
      </c>
      <c r="AT352" s="45">
        <f>('[2]Renewable Diesel'!M361*'[2]RD Feedstock Breakdown'!AT$3*'[2]Feedstock Conversion Rates'!B$5)/12</f>
        <v>0</v>
      </c>
      <c r="AU352" s="47">
        <f t="shared" si="313"/>
        <v>456.25</v>
      </c>
      <c r="AV352" s="45">
        <f>'[2]Renewable Diesel'!N361*'[2]RD Feedstock Breakdown'!$AV$3*'[2]Feedstock Conversion Rates'!$B$4/12-15-10+25+25-22+25</f>
        <v>106.74999999999999</v>
      </c>
      <c r="AW352" s="45">
        <f>'[2]Renewable Diesel'!N361*'[2]RD Feedstock Breakdown'!$AW$3*'[2]Feedstock Conversion Rates'!$B$7/12+15+10-25-25+22-25</f>
        <v>13.400000000000006</v>
      </c>
      <c r="AX352" s="47">
        <f t="shared" si="272"/>
        <v>120.14999999999999</v>
      </c>
      <c r="AY352" s="45">
        <f>('[2]Renewable Diesel'!O361*'[2]RD Feedstock Breakdown'!AY$3*'[2]Feedstock Conversion Rates'!B$4)/12</f>
        <v>210.9375</v>
      </c>
      <c r="AZ352" s="45">
        <f>('[2]Renewable Diesel'!O361*'[2]RD Feedstock Breakdown'!AZ$3*'[2]Feedstock Conversion Rates'!B$3)/12</f>
        <v>25.03125</v>
      </c>
      <c r="BA352" s="47">
        <f t="shared" si="255"/>
        <v>235.96875</v>
      </c>
      <c r="BB352" s="45">
        <f>('[2]Renewable Diesel'!Q361*'[2]RD Feedstock Breakdown'!BB$3*'[2]Feedstock Conversion Rates'!B$4)/12</f>
        <v>11.156249999999998</v>
      </c>
      <c r="BC352" s="45">
        <f>('[2]Renewable Diesel'!Q361*'[2]RD Feedstock Breakdown'!BC$3*'[2]Feedstock Conversion Rates'!B$3)/12</f>
        <v>1.4017500000000001</v>
      </c>
      <c r="BD352" s="45">
        <f>('[2]Renewable Diesel'!Q361*'[2]RD Feedstock Breakdown'!BD$3*'[2]Feedstock Conversion Rates'!B$6)/12</f>
        <v>0.8207500000000002</v>
      </c>
      <c r="BE352" s="47">
        <f t="shared" si="303"/>
        <v>13.378749999999998</v>
      </c>
      <c r="BF352" s="45">
        <f>('[2]Renewable Diesel'!R361*'[2]RD Feedstock Breakdown'!BF$3*'[2]Feedstock Conversion Rates'!B$4)/12</f>
        <v>62.5</v>
      </c>
      <c r="BG352" s="47">
        <f t="shared" si="289"/>
        <v>62.5</v>
      </c>
      <c r="BH352" s="45">
        <f>('[2]Renewable Diesel'!T361*'[2]RD Feedstock Breakdown'!BH$3*'[2]Feedstock Conversion Rates'!B$7)/12</f>
        <v>27.599999999999998</v>
      </c>
      <c r="BI352" s="47">
        <f t="shared" si="277"/>
        <v>27.599999999999998</v>
      </c>
      <c r="BJ352" s="45">
        <f>('[2]Renewable Diesel'!W361*'[2]RD Feedstock Breakdown'!BJ$3*'[2]Feedstock Conversion Rates'!B$4)/12</f>
        <v>7.5</v>
      </c>
      <c r="BK352" s="45">
        <f>('[2]Renewable Diesel'!W361*'[2]RD Feedstock Breakdown'!BK$3*'[2]Feedstock Conversion Rates'!B$3)/12</f>
        <v>1.335</v>
      </c>
      <c r="BL352" s="45">
        <f>('[2]Renewable Diesel'!W361*'[2]RD Feedstock Breakdown'!BL$3*'[2]Feedstock Conversion Rates'!B$6)/12</f>
        <v>3.1266666666666669</v>
      </c>
      <c r="BM352" s="45">
        <f>('[2]Renewable Diesel'!W361*'[2]RD Feedstock Breakdown'!BM$3*'[2]Feedstock Conversion Rates'!B$7)/12</f>
        <v>1.5333333333333332</v>
      </c>
      <c r="BN352" s="47">
        <f t="shared" si="316"/>
        <v>13.495000000000001</v>
      </c>
      <c r="BO352" s="45">
        <f>('[2]Renewable Diesel'!P361*'[2]Feedstock Conversion Rates'!B$4)/12</f>
        <v>31.25</v>
      </c>
      <c r="BP352" s="47">
        <f t="shared" si="311"/>
        <v>31.25</v>
      </c>
      <c r="BQ352" s="45">
        <f>('[2]Renewable Diesel'!$S361*'[2]RD Feedstock Breakdown'!BQ$3*'[2]Feedstock Conversion Rates'!B$4)/12+10+15-15</f>
        <v>38.125</v>
      </c>
      <c r="BR352" s="45">
        <f>('[2]Renewable Diesel'!$S361*'[2]RD Feedstock Breakdown'!BR$3*'[2]Feedstock Conversion Rates'!B$7)/12-10-15+15</f>
        <v>1.5</v>
      </c>
      <c r="BS352" s="47">
        <f t="shared" si="260"/>
        <v>39.625</v>
      </c>
      <c r="BT352" s="47"/>
      <c r="BU352" s="45">
        <f>('[2]Renewable Diesel'!Y361*'[2]Feedstock Conversion Rates'!B$7)/12</f>
        <v>2.6833333333333331</v>
      </c>
      <c r="BV352" s="47">
        <f t="shared" si="305"/>
        <v>2.6833333333333331</v>
      </c>
      <c r="BW352" s="45">
        <f>('[2]Renewable Diesel'!$Z361*'[2]RD Feedstock Breakdown'!BW$3*'[2]Feedstock Conversion Rates'!$B$4)/12-230+160</f>
        <v>1.875</v>
      </c>
      <c r="BX352" s="45">
        <f>('[2]Renewable Diesel'!$Z361*'[2]RD Feedstock Breakdown'!BX$3*'[2]Feedstock Conversion Rates'!$B$5)/12</f>
        <v>7.2354166666666666</v>
      </c>
      <c r="BY352" s="45">
        <f>('[2]Renewable Diesel'!$Z361*'[2]RD Feedstock Breakdown'!BY$3*'[2]Feedstock Conversion Rates'!$B$7)/12</f>
        <v>61.716666666666661</v>
      </c>
      <c r="BZ352" s="45">
        <f>('[2]Renewable Diesel'!$Z361*'[2]RD Feedstock Breakdown'!BZ$3*'[2]Feedstock Conversion Rates'!$B$3)/12+230-160</f>
        <v>85.352499999999992</v>
      </c>
      <c r="CA352" s="47">
        <f t="shared" si="262"/>
        <v>156.17958333333331</v>
      </c>
      <c r="CB352" s="45">
        <f>('[2]Renewable Diesel'!AA361*'[2]Feedstock Conversion Rates'!B$4)/12</f>
        <v>191.25</v>
      </c>
      <c r="CC352" s="47">
        <f t="shared" si="318"/>
        <v>191.25</v>
      </c>
      <c r="CD352" s="45">
        <f>('[2]Renewable Diesel'!$AB361*'[2]RD Feedstock Breakdown'!CD$3*'[2]Feedstock Conversion Rates'!$B$6)/12-15-5</f>
        <v>12.830000000000005</v>
      </c>
      <c r="CE352" s="45">
        <f>('[2]Renewable Diesel'!$AB361*'[2]RD Feedstock Breakdown'!CE$3*'[2]Feedstock Conversion Rates'!$B$4)/12+15+5</f>
        <v>31.25</v>
      </c>
      <c r="CF352" s="47">
        <f t="shared" si="315"/>
        <v>44.080000000000005</v>
      </c>
      <c r="CG352" s="45">
        <f>('[2]Renewable Diesel'!AD361*'[2]Feedstock Conversion Rates'!B$4)/12</f>
        <v>112.5</v>
      </c>
      <c r="CH352" s="47">
        <f t="shared" si="302"/>
        <v>112.5</v>
      </c>
      <c r="CI352" s="45">
        <f>('[2]Renewable Diesel'!$AE361*'[2]RD Feedstock Breakdown'!CI$3*'[2]Feedstock Conversion Rates'!$B$5)/12</f>
        <v>0.34604166666666664</v>
      </c>
      <c r="CJ352" s="45">
        <f>('[2]Renewable Diesel'!$AE361*'[2]RD Feedstock Breakdown'!CJ$3*'[2]Feedstock Conversion Rates'!$B$4)/12</f>
        <v>0.34375</v>
      </c>
      <c r="CK352" s="47">
        <f t="shared" si="312"/>
        <v>0.68979166666666658</v>
      </c>
      <c r="CL352" s="45">
        <f>(((CL$3*'[2]Renewable Diesel'!$AF361)*'[2]Feedstock Conversion Rates'!$B$3)/12)</f>
        <v>91.78125</v>
      </c>
      <c r="CM352" s="45">
        <f>(((CM$3*'[2]Renewable Diesel'!$AF361)*'[2]Feedstock Conversion Rates'!$B$6)/12)</f>
        <v>53.739583333333336</v>
      </c>
      <c r="CN352" s="45">
        <f>(((CN$3*'[2]Renewable Diesel'!$AF361)*'[2]Feedstock Conversion Rates'!$B$4)/12)</f>
        <v>42.96875</v>
      </c>
      <c r="CO352" s="47">
        <f t="shared" si="304"/>
        <v>188.48958333333334</v>
      </c>
      <c r="CP352" s="45">
        <f>('[2]Renewable Diesel'!$AG361*'[2]RD Feedstock Breakdown'!CP$3*'[2]Feedstock Conversion Rates'!$B$3)/12</f>
        <v>6.0075000000000003</v>
      </c>
      <c r="CQ352" s="45">
        <f>('[2]Renewable Diesel'!$AG361*'[2]RD Feedstock Breakdown'!CQ$3*'[2]Feedstock Conversion Rates'!$B$6)/12</f>
        <v>3.5175000000000001</v>
      </c>
      <c r="CR352" s="45">
        <f>('[2]Renewable Diesel'!$AG361*'[2]RD Feedstock Breakdown'!CR$3*'[2]Feedstock Conversion Rates'!$B$4)/12</f>
        <v>2.8125</v>
      </c>
      <c r="CS352" s="47">
        <f t="shared" si="267"/>
        <v>12.3375</v>
      </c>
      <c r="CT352" s="45">
        <f>('[2]Renewable Diesel'!AI361*'[2]Feedstock Conversion Rates'!$B$4*'[2]RD Feedstock Breakdown'!$CT$3)/12</f>
        <v>29.375</v>
      </c>
      <c r="CU352" s="47">
        <f t="shared" si="308"/>
        <v>29.375</v>
      </c>
      <c r="CV352" s="45">
        <f>('[2]Renewable Diesel'!AN361*'[2]Feedstock Conversion Rates'!$B$3*'[2]RD Feedstock Breakdown'!$CV$3)/12</f>
        <v>0.50062499999999999</v>
      </c>
      <c r="CW352" s="47">
        <f t="shared" si="284"/>
        <v>0.50062499999999999</v>
      </c>
      <c r="CX352" s="45">
        <f>('[2]Renewable Diesel'!AO361*'[2]RD Feedstock Breakdown'!$CX$3*'[2]Feedstock Conversion Rates'!$B$3)/12</f>
        <v>6.3412499999999996</v>
      </c>
      <c r="CY352" s="45">
        <f>('[2]Renewable Diesel'!AO361*'[2]RD Feedstock Breakdown'!$CY$3*'[2]Feedstock Conversion Rates'!$B$6)/12</f>
        <v>7.4258333333333342</v>
      </c>
      <c r="CZ352" s="47">
        <f t="shared" si="268"/>
        <v>13.767083333333334</v>
      </c>
      <c r="DA352" s="45">
        <f>('[2]Renewable Diesel'!$AP361*'[2]RD Feedstock Breakdown'!DA$3*'[2]Feedstock Conversion Rates'!$B$3)/12</f>
        <v>6.3412499999999996</v>
      </c>
      <c r="DB352" s="45">
        <f>('[2]Renewable Diesel'!$AP361*'[2]RD Feedstock Breakdown'!DB$3*'[2]Feedstock Conversion Rates'!$B$8)/12</f>
        <v>7.421875</v>
      </c>
      <c r="DC352" s="47">
        <f t="shared" si="287"/>
        <v>13.763124999999999</v>
      </c>
      <c r="DD352" s="45">
        <f>('[2]Renewable Diesel'!AQ361*$DD$3*'[2]Feedstock Conversion Rates'!$B$14)/12</f>
        <v>3.1041666666666665</v>
      </c>
      <c r="DE352" s="47">
        <f t="shared" si="288"/>
        <v>3.1041666666666665</v>
      </c>
      <c r="DF352" s="45">
        <f>('[2]Renewable Diesel'!AR361*'[2]Feedstock Conversion Rates'!$B$4*$DF$3)/12</f>
        <v>75</v>
      </c>
      <c r="DG352" s="47">
        <f t="shared" si="269"/>
        <v>75</v>
      </c>
      <c r="DH352" s="45">
        <f>('[2]Renewable Diesel'!AS361*'[2]Feedstock Conversion Rates'!$B$4*$DH$3)/12</f>
        <v>75</v>
      </c>
      <c r="DI352" s="47">
        <f t="shared" si="273"/>
        <v>75</v>
      </c>
      <c r="DJ352" s="45">
        <f>('[2]Renewable Diesel'!AT361*'[2]Feedstock Conversion Rates'!$B$4*0.25)/12</f>
        <v>8.59375</v>
      </c>
      <c r="DK352" s="45">
        <f>('[2]Renewable Diesel'!$AT361*'[2]RD Feedstock Breakdown'!DK$3*'[2]Feedstock Conversion Rates'!$B$3)/12*0.5</f>
        <v>9.1781249999999996</v>
      </c>
      <c r="DL352" s="45">
        <f>('[2]Renewable Diesel'!$AT361*'[2]RD Feedstock Breakdown'!$DL$3*'[2]Feedstock Conversion Rates'!$B$6)/12</f>
        <v>10.747916666666669</v>
      </c>
      <c r="DM352" s="45">
        <f>('[2]Renewable Diesel'!$AT361*'[2]RD Feedstock Breakdown'!$DM$3*'[2]Feedstock Conversion Rates'!$B$8)/12</f>
        <v>10.7421875</v>
      </c>
      <c r="DN352" s="47">
        <f t="shared" si="317"/>
        <v>39.26197916666667</v>
      </c>
      <c r="DP352" s="45">
        <f t="shared" si="290"/>
        <v>48.220250000000007</v>
      </c>
      <c r="DQ352" s="45">
        <f t="shared" si="291"/>
        <v>374.11776750000001</v>
      </c>
      <c r="DR352" s="45">
        <f t="shared" si="296"/>
        <v>1916.953125</v>
      </c>
      <c r="DS352" s="45">
        <f t="shared" si="309"/>
        <v>228.90125</v>
      </c>
      <c r="DT352" s="45">
        <f t="shared" si="292"/>
        <v>243.03923333333344</v>
      </c>
      <c r="DU352" s="45">
        <f t="shared" si="293"/>
        <v>402.90610000000009</v>
      </c>
      <c r="DV352" s="45">
        <f t="shared" si="297"/>
        <v>78.75</v>
      </c>
      <c r="DW352" s="45">
        <f t="shared" si="294"/>
        <v>3</v>
      </c>
      <c r="DX352" s="47">
        <f t="shared" si="298"/>
        <v>3295.8877258333337</v>
      </c>
      <c r="DY352" s="50">
        <f t="shared" si="286"/>
        <v>-5.631051180898794E-13</v>
      </c>
      <c r="EA352" s="51">
        <f t="shared" si="263"/>
        <v>1.4630428585915492E-2</v>
      </c>
      <c r="EB352" s="51">
        <f t="shared" si="263"/>
        <v>0.11351047081114024</v>
      </c>
      <c r="EC352" s="51">
        <f t="shared" si="263"/>
        <v>0.58161966804112442</v>
      </c>
      <c r="ED352" s="51">
        <f t="shared" si="261"/>
        <v>6.9450560529067937E-2</v>
      </c>
      <c r="EE352" s="51">
        <f t="shared" si="261"/>
        <v>7.3740143339343672E-2</v>
      </c>
      <c r="EF352" s="51">
        <f t="shared" si="261"/>
        <v>0.12224509252605963</v>
      </c>
      <c r="EG352" s="51">
        <f t="shared" si="261"/>
        <v>2.3893410986895441E-2</v>
      </c>
      <c r="EH352" s="52">
        <f t="shared" si="299"/>
        <v>9.1022518045315965E-4</v>
      </c>
      <c r="EI352" s="51">
        <f t="shared" si="271"/>
        <v>0.99908977481954686</v>
      </c>
      <c r="EK352" s="53">
        <f>(EA352*'[2]Renewable Diesel'!BF361*'[2]Feedstock Conversion Rates'!B$2)+FB352</f>
        <v>71.152163988590473</v>
      </c>
      <c r="EL352" s="53">
        <f>(EB352*'[2]Renewable Diesel'!BF361*'[2]Feedstock Conversion Rates'!B$3)+FC352</f>
        <v>520.21225605689801</v>
      </c>
      <c r="EM352" s="53">
        <f>(EC352*'[2]Renewable Diesel'!BF361*'[2]Feedstock Conversion Rates'!B$4)+FD352</f>
        <v>2495.8155505532536</v>
      </c>
      <c r="EN352" s="53">
        <f>(ED352*'[2]Renewable Diesel'!BF361*'[2]Feedstock Conversion Rates'!B$5)+FE352</f>
        <v>300.00938839841751</v>
      </c>
      <c r="EO352" s="53">
        <f>(EE352*'[2]Renewable Diesel'!BF361*'[2]Feedstock Conversion Rates'!B$6)+FF352</f>
        <v>395.7482058062713</v>
      </c>
      <c r="EP352" s="53">
        <f>(EF352*'[2]Renewable Diesel'!BF361*'[2]Feedstock Conversion Rates'!B$7)+FG352</f>
        <v>643.47458679379963</v>
      </c>
      <c r="EQ352" s="53">
        <f>(EG352*'[2]Renewable Diesel'!BF361*'[2]Feedstock Conversion Rates'!B$8)+FH352</f>
        <v>128.16267651697845</v>
      </c>
      <c r="ER352" s="53">
        <f>(EH352*'[2]Renewable Diesel'!BF361*'[2]Feedstock Conversion Rates'!B$9)+FI352</f>
        <v>4.8172891744794439</v>
      </c>
      <c r="ES352" s="53">
        <f t="shared" si="300"/>
        <v>4559.3921172886894</v>
      </c>
      <c r="ET352" s="36">
        <f>ES352/'[2]Renewable Diesel'!BF361</f>
        <v>7.9688344631645407</v>
      </c>
    </row>
    <row r="353" spans="1:150" x14ac:dyDescent="0.25">
      <c r="A353" s="39">
        <v>51167</v>
      </c>
      <c r="B353" s="45">
        <f t="shared" si="319"/>
        <v>69.25</v>
      </c>
      <c r="C353" s="45">
        <f t="shared" ref="C353:C375" si="321">50-1</f>
        <v>49</v>
      </c>
      <c r="D353" s="45">
        <f t="shared" si="320"/>
        <v>2</v>
      </c>
      <c r="E353" s="45">
        <f>('[2]Renewable Diesel'!B362*E$3*'[2]Feedstock Conversion Rates'!$B$2)/12+26+13-100+27.5+39</f>
        <v>95.43</v>
      </c>
      <c r="F353" s="45">
        <f>('[2]Renewable Diesel'!B362*'[2]RD Feedstock Breakdown'!F$3*'[2]Feedstock Conversion Rates'!B$8)/12+77+23-10-12-115.75+24+8</f>
        <v>48.15625</v>
      </c>
      <c r="G353" s="45">
        <f>('[2]Renewable Diesel'!B362*'[2]RD Feedstock Breakdown'!G$3*'[2]Feedstock Conversion Rates'!B$7)/12+116.75-39-57.5-145-31.5+32+70-40+10+60</f>
        <v>151.90700000000004</v>
      </c>
      <c r="H353" s="45">
        <f>('[2]Renewable Diesel'!B362*'[2]RD Feedstock Breakdown'!H$3*'[2]Feedstock Conversion Rates'!B$3)/12+67+10+12+3-235+20+47-20</f>
        <v>80.400224999999978</v>
      </c>
      <c r="I353" s="47">
        <f t="shared" si="314"/>
        <v>496.14347500000002</v>
      </c>
      <c r="J353" s="45">
        <f t="shared" si="281"/>
        <v>4</v>
      </c>
      <c r="K353" s="45"/>
      <c r="L353" s="45">
        <v>1</v>
      </c>
      <c r="M353" s="45">
        <f>('[2]Renewable Diesel'!C362*'[2]RD Feedstock Breakdown'!M$3*'[2]Feedstock Conversion Rates'!B$2)/12-55</f>
        <v>-47.20975</v>
      </c>
      <c r="N353" s="45">
        <f>('[2]Renewable Diesel'!C362*'[2]RD Feedstock Breakdown'!N$3*'[2]Feedstock Conversion Rates'!B$8)/12</f>
        <v>3.671875</v>
      </c>
      <c r="O353" s="45">
        <f>('[2]Renewable Diesel'!C362*'[2]RD Feedstock Breakdown'!O$3*'[2]Feedstock Conversion Rates'!B$7)/12</f>
        <v>11.9991</v>
      </c>
      <c r="P353" s="45">
        <f>('[2]Renewable Diesel'!C362*'[2]RD Feedstock Breakdown'!P$3*'[2]Feedstock Conversion Rates'!B$3)/12+15+35</f>
        <v>60.447042500000002</v>
      </c>
      <c r="Q353" s="47">
        <f t="shared" ref="Q353:Q375" si="322">SUM(J353:P353)</f>
        <v>33.908267500000001</v>
      </c>
      <c r="R353" s="45">
        <f>('[2]Renewable Diesel'!D362*'[2]RD Feedstock Breakdown'!R$3*'[2]Feedstock Conversion Rates'!B$7)/12</f>
        <v>2.2999999999999998</v>
      </c>
      <c r="S353" s="47">
        <f t="shared" si="279"/>
        <v>2.2999999999999998</v>
      </c>
      <c r="T353" s="45">
        <f t="shared" ref="T353:T375" si="323">5.825+20-25</f>
        <v>0.82499999999999929</v>
      </c>
      <c r="U353" s="45"/>
      <c r="V353" s="45">
        <f>('[2]Renewable Diesel'!E362*'[2]RD Feedstock Breakdown'!V$3*'[2]Feedstock Conversion Rates'!B$6)/12-20+25</f>
        <v>49.250150000000012</v>
      </c>
      <c r="W353" s="45">
        <f>('[2]Renewable Diesel'!E362*'[2]RD Feedstock Breakdown'!W$3*'[2]Feedstock Conversion Rates'!B$8)/12-6</f>
        <v>16.1796875</v>
      </c>
      <c r="X353" s="47">
        <f t="shared" si="301"/>
        <v>66.254837500000008</v>
      </c>
      <c r="Y353" s="45">
        <f t="shared" ref="Y353:Y375" si="324">142-15-5-24</f>
        <v>98</v>
      </c>
      <c r="Z353" s="45">
        <f>('[2]Renewable Diesel'!F362*'[2]RD Feedstock Breakdown'!Z$3*'[2]Feedstock Conversion Rates'!B$6)/12-142+15+5+20+5+15</f>
        <v>77.460000000000008</v>
      </c>
      <c r="AA353" s="45">
        <f>('[2]Renewable Diesel'!F362*'[2]RD Feedstock Breakdown'!AA$3*'[2]Feedstock Conversion Rates'!B$7)/12+24</f>
        <v>128.26666666666665</v>
      </c>
      <c r="AB353" s="47">
        <f t="shared" si="270"/>
        <v>303.72666666666669</v>
      </c>
      <c r="AC353" s="45">
        <f>('[2]Renewable Diesel'!G362*'[2]RD Feedstock Breakdown'!AC$3*'[2]Feedstock Conversion Rates'!B$5)/12</f>
        <v>11.796875</v>
      </c>
      <c r="AD353" s="45">
        <f>('[2]Renewable Diesel'!G362*'[2]RD Feedstock Breakdown'!AD$3*'[2]Feedstock Conversion Rates'!B$4)/12</f>
        <v>5.859375</v>
      </c>
      <c r="AE353" s="45">
        <f>('[2]Renewable Diesel'!G362*'[2]RD Feedstock Breakdown'!AE$3*'[2]Feedstock Conversion Rates'!B$6)/12</f>
        <v>7.3281250000000009</v>
      </c>
      <c r="AF353" s="47">
        <f t="shared" si="310"/>
        <v>24.984375</v>
      </c>
      <c r="AG353" s="45">
        <f t="shared" si="259"/>
        <v>148</v>
      </c>
      <c r="AH353" s="45"/>
      <c r="AI353" s="45">
        <f>('[2]Renewable Diesel'!H362*'[2]RD Feedstock Breakdown'!AI$3*'[2]Feedstock Conversion Rates'!B$6)/12-130-20+51-49</f>
        <v>0.51666666666667993</v>
      </c>
      <c r="AJ353" s="47">
        <f t="shared" si="278"/>
        <v>148.51666666666668</v>
      </c>
      <c r="AK353" s="45">
        <f>('[2]Renewable Diesel'!J362*'[2]RD Feedstock Breakdown'!AK$3*'[2]Feedstock Conversion Rates'!B$4)/12</f>
        <v>95.8125</v>
      </c>
      <c r="AL353" s="47">
        <f t="shared" si="280"/>
        <v>95.8125</v>
      </c>
      <c r="AM353" s="45">
        <f>('[2]Renewable Diesel'!K362*'[2]RD Feedstock Breakdown'!AM$3*'[2]Feedstock Conversion Rates'!B$4)/12+5+15-10+10</f>
        <v>78.59375</v>
      </c>
      <c r="AN353" s="45">
        <f>('[2]Renewable Diesel'!K362*'[2]RD Feedstock Breakdown'!AN$3*'[2]Feedstock Conversion Rates'!B$6)/12-5-15+10-10</f>
        <v>4.4270833333333321</v>
      </c>
      <c r="AO353" s="47">
        <f t="shared" si="295"/>
        <v>83.020833333333329</v>
      </c>
      <c r="AP353" s="45">
        <f>('[2]Renewable Diesel'!L362*'[2]RD Feedstock Breakdown'!AP$3*'[2]Feedstock Conversion Rates'!B$4)/12+15-10+15</f>
        <v>78.59375</v>
      </c>
      <c r="AQ353" s="45">
        <f>('[2]Renewable Diesel'!L362*'[2]RD Feedstock Breakdown'!AQ$3*'[2]Feedstock Conversion Rates'!B$6)/12-15+10-15</f>
        <v>4.4270833333333321</v>
      </c>
      <c r="AR353" s="47">
        <f t="shared" si="285"/>
        <v>83.020833333333329</v>
      </c>
      <c r="AS353" s="45">
        <f>('[2]Renewable Diesel'!M362*'[2]RD Feedstock Breakdown'!AS$3*'[2]Feedstock Conversion Rates'!B$4)/12</f>
        <v>456.25</v>
      </c>
      <c r="AT353" s="45">
        <f>('[2]Renewable Diesel'!M362*'[2]RD Feedstock Breakdown'!AT$3*'[2]Feedstock Conversion Rates'!B$5)/12</f>
        <v>0</v>
      </c>
      <c r="AU353" s="47">
        <f t="shared" si="313"/>
        <v>456.25</v>
      </c>
      <c r="AV353" s="45">
        <f>'[2]Renewable Diesel'!N362*'[2]RD Feedstock Breakdown'!$AV$3*'[2]Feedstock Conversion Rates'!$B$4/12-15-10+25+25-22+25</f>
        <v>106.74999999999999</v>
      </c>
      <c r="AW353" s="45">
        <f>'[2]Renewable Diesel'!N362*'[2]RD Feedstock Breakdown'!$AW$3*'[2]Feedstock Conversion Rates'!$B$7/12+15+10-25-25+22-25</f>
        <v>13.400000000000006</v>
      </c>
      <c r="AX353" s="47">
        <f t="shared" si="272"/>
        <v>120.14999999999999</v>
      </c>
      <c r="AY353" s="45">
        <f>('[2]Renewable Diesel'!O362*'[2]RD Feedstock Breakdown'!AY$3*'[2]Feedstock Conversion Rates'!B$4)/12</f>
        <v>210.9375</v>
      </c>
      <c r="AZ353" s="45">
        <f>('[2]Renewable Diesel'!O362*'[2]RD Feedstock Breakdown'!AZ$3*'[2]Feedstock Conversion Rates'!B$3)/12</f>
        <v>25.03125</v>
      </c>
      <c r="BA353" s="47">
        <f t="shared" ref="BA353:BA375" si="325">SUM(AY353:AZ353)</f>
        <v>235.96875</v>
      </c>
      <c r="BB353" s="45">
        <f>('[2]Renewable Diesel'!Q362*'[2]RD Feedstock Breakdown'!BB$3*'[2]Feedstock Conversion Rates'!B$4)/12</f>
        <v>11.156249999999998</v>
      </c>
      <c r="BC353" s="45">
        <f>('[2]Renewable Diesel'!Q362*'[2]RD Feedstock Breakdown'!BC$3*'[2]Feedstock Conversion Rates'!B$3)/12</f>
        <v>1.4017500000000001</v>
      </c>
      <c r="BD353" s="45">
        <f>('[2]Renewable Diesel'!Q362*'[2]RD Feedstock Breakdown'!BD$3*'[2]Feedstock Conversion Rates'!B$6)/12</f>
        <v>0.8207500000000002</v>
      </c>
      <c r="BE353" s="47">
        <f t="shared" si="303"/>
        <v>13.378749999999998</v>
      </c>
      <c r="BF353" s="45">
        <f>('[2]Renewable Diesel'!R362*'[2]RD Feedstock Breakdown'!BF$3*'[2]Feedstock Conversion Rates'!B$4)/12</f>
        <v>62.5</v>
      </c>
      <c r="BG353" s="47">
        <f t="shared" si="289"/>
        <v>62.5</v>
      </c>
      <c r="BH353" s="45">
        <f>('[2]Renewable Diesel'!T362*'[2]RD Feedstock Breakdown'!BH$3*'[2]Feedstock Conversion Rates'!B$7)/12</f>
        <v>27.599999999999998</v>
      </c>
      <c r="BI353" s="47">
        <f t="shared" si="277"/>
        <v>27.599999999999998</v>
      </c>
      <c r="BJ353" s="45">
        <f>('[2]Renewable Diesel'!W362*'[2]RD Feedstock Breakdown'!BJ$3*'[2]Feedstock Conversion Rates'!B$4)/12</f>
        <v>7.5</v>
      </c>
      <c r="BK353" s="45">
        <f>('[2]Renewable Diesel'!W362*'[2]RD Feedstock Breakdown'!BK$3*'[2]Feedstock Conversion Rates'!B$3)/12</f>
        <v>1.335</v>
      </c>
      <c r="BL353" s="45">
        <f>('[2]Renewable Diesel'!W362*'[2]RD Feedstock Breakdown'!BL$3*'[2]Feedstock Conversion Rates'!B$6)/12</f>
        <v>3.1266666666666669</v>
      </c>
      <c r="BM353" s="45">
        <f>('[2]Renewable Diesel'!W362*'[2]RD Feedstock Breakdown'!BM$3*'[2]Feedstock Conversion Rates'!B$7)/12</f>
        <v>1.5333333333333332</v>
      </c>
      <c r="BN353" s="47">
        <f t="shared" si="316"/>
        <v>13.495000000000001</v>
      </c>
      <c r="BO353" s="45">
        <f>('[2]Renewable Diesel'!P362*'[2]Feedstock Conversion Rates'!B$4)/12</f>
        <v>31.25</v>
      </c>
      <c r="BP353" s="47">
        <f t="shared" si="311"/>
        <v>31.25</v>
      </c>
      <c r="BQ353" s="45">
        <f>('[2]Renewable Diesel'!$S362*'[2]RD Feedstock Breakdown'!BQ$3*'[2]Feedstock Conversion Rates'!B$4)/12+10+15-15</f>
        <v>38.125</v>
      </c>
      <c r="BR353" s="45">
        <f>('[2]Renewable Diesel'!$S362*'[2]RD Feedstock Breakdown'!BR$3*'[2]Feedstock Conversion Rates'!B$7)/12-10-15+15</f>
        <v>1.5</v>
      </c>
      <c r="BS353" s="47">
        <f t="shared" si="260"/>
        <v>39.625</v>
      </c>
      <c r="BT353" s="47"/>
      <c r="BU353" s="45">
        <f>('[2]Renewable Diesel'!Y362*'[2]Feedstock Conversion Rates'!B$7)/12</f>
        <v>2.6833333333333331</v>
      </c>
      <c r="BV353" s="47">
        <f t="shared" si="305"/>
        <v>2.6833333333333331</v>
      </c>
      <c r="BW353" s="45">
        <f>('[2]Renewable Diesel'!$Z362*'[2]RD Feedstock Breakdown'!BW$3*'[2]Feedstock Conversion Rates'!$B$4)/12-230+160</f>
        <v>1.875</v>
      </c>
      <c r="BX353" s="45">
        <f>('[2]Renewable Diesel'!$Z362*'[2]RD Feedstock Breakdown'!BX$3*'[2]Feedstock Conversion Rates'!$B$5)/12</f>
        <v>7.2354166666666666</v>
      </c>
      <c r="BY353" s="45">
        <f>('[2]Renewable Diesel'!$Z362*'[2]RD Feedstock Breakdown'!BY$3*'[2]Feedstock Conversion Rates'!$B$7)/12</f>
        <v>61.716666666666661</v>
      </c>
      <c r="BZ353" s="45">
        <f>('[2]Renewable Diesel'!$Z362*'[2]RD Feedstock Breakdown'!BZ$3*'[2]Feedstock Conversion Rates'!$B$3)/12+230-160</f>
        <v>85.352499999999992</v>
      </c>
      <c r="CA353" s="47">
        <f t="shared" si="262"/>
        <v>156.17958333333331</v>
      </c>
      <c r="CB353" s="45">
        <f>('[2]Renewable Diesel'!AA362*'[2]Feedstock Conversion Rates'!B$4)/12</f>
        <v>191.25</v>
      </c>
      <c r="CC353" s="47">
        <f t="shared" si="318"/>
        <v>191.25</v>
      </c>
      <c r="CD353" s="45">
        <f>('[2]Renewable Diesel'!$AB362*'[2]RD Feedstock Breakdown'!CD$3*'[2]Feedstock Conversion Rates'!$B$6)/12-15-5</f>
        <v>12.830000000000005</v>
      </c>
      <c r="CE353" s="45">
        <f>('[2]Renewable Diesel'!$AB362*'[2]RD Feedstock Breakdown'!CE$3*'[2]Feedstock Conversion Rates'!$B$4)/12+15+5</f>
        <v>31.25</v>
      </c>
      <c r="CF353" s="47">
        <f t="shared" si="315"/>
        <v>44.080000000000005</v>
      </c>
      <c r="CG353" s="45">
        <f>('[2]Renewable Diesel'!AD362*'[2]Feedstock Conversion Rates'!B$4)/12</f>
        <v>112.5</v>
      </c>
      <c r="CH353" s="47">
        <f t="shared" si="302"/>
        <v>112.5</v>
      </c>
      <c r="CI353" s="45">
        <f>('[2]Renewable Diesel'!$AE362*'[2]RD Feedstock Breakdown'!CI$3*'[2]Feedstock Conversion Rates'!$B$5)/12</f>
        <v>0.34604166666666664</v>
      </c>
      <c r="CJ353" s="45">
        <f>('[2]Renewable Diesel'!$AE362*'[2]RD Feedstock Breakdown'!CJ$3*'[2]Feedstock Conversion Rates'!$B$4)/12</f>
        <v>0.34375</v>
      </c>
      <c r="CK353" s="47">
        <f t="shared" si="312"/>
        <v>0.68979166666666658</v>
      </c>
      <c r="CL353" s="45">
        <f>(((CL$3*'[2]Renewable Diesel'!$AF362)*'[2]Feedstock Conversion Rates'!$B$3)/12)</f>
        <v>91.78125</v>
      </c>
      <c r="CM353" s="45">
        <f>(((CM$3*'[2]Renewable Diesel'!$AF362)*'[2]Feedstock Conversion Rates'!$B$6)/12)</f>
        <v>53.739583333333336</v>
      </c>
      <c r="CN353" s="45">
        <f>(((CN$3*'[2]Renewable Diesel'!$AF362)*'[2]Feedstock Conversion Rates'!$B$4)/12)</f>
        <v>42.96875</v>
      </c>
      <c r="CO353" s="47">
        <f t="shared" si="304"/>
        <v>188.48958333333334</v>
      </c>
      <c r="CP353" s="45">
        <f>('[2]Renewable Diesel'!$AG362*'[2]RD Feedstock Breakdown'!CP$3*'[2]Feedstock Conversion Rates'!$B$3)/12</f>
        <v>6.0075000000000003</v>
      </c>
      <c r="CQ353" s="45">
        <f>('[2]Renewable Diesel'!$AG362*'[2]RD Feedstock Breakdown'!CQ$3*'[2]Feedstock Conversion Rates'!$B$6)/12</f>
        <v>3.5175000000000001</v>
      </c>
      <c r="CR353" s="45">
        <f>('[2]Renewable Diesel'!$AG362*'[2]RD Feedstock Breakdown'!CR$3*'[2]Feedstock Conversion Rates'!$B$4)/12</f>
        <v>2.8125</v>
      </c>
      <c r="CS353" s="47">
        <f t="shared" si="267"/>
        <v>12.3375</v>
      </c>
      <c r="CT353" s="45">
        <f>('[2]Renewable Diesel'!AI362*'[2]Feedstock Conversion Rates'!$B$4*'[2]RD Feedstock Breakdown'!$CT$3)/12</f>
        <v>29.375</v>
      </c>
      <c r="CU353" s="47">
        <f t="shared" si="308"/>
        <v>29.375</v>
      </c>
      <c r="CV353" s="45">
        <f>('[2]Renewable Diesel'!AN362*'[2]Feedstock Conversion Rates'!$B$3*'[2]RD Feedstock Breakdown'!$CV$3)/12</f>
        <v>0.50062499999999999</v>
      </c>
      <c r="CW353" s="47">
        <f t="shared" si="284"/>
        <v>0.50062499999999999</v>
      </c>
      <c r="CX353" s="45">
        <f>('[2]Renewable Diesel'!AO362*'[2]RD Feedstock Breakdown'!$CX$3*'[2]Feedstock Conversion Rates'!$B$3)/12</f>
        <v>6.3412499999999996</v>
      </c>
      <c r="CY353" s="45">
        <f>('[2]Renewable Diesel'!AO362*'[2]RD Feedstock Breakdown'!$CY$3*'[2]Feedstock Conversion Rates'!$B$6)/12</f>
        <v>7.4258333333333342</v>
      </c>
      <c r="CZ353" s="47">
        <f t="shared" si="268"/>
        <v>13.767083333333334</v>
      </c>
      <c r="DA353" s="45">
        <f>('[2]Renewable Diesel'!$AP362*'[2]RD Feedstock Breakdown'!DA$3*'[2]Feedstock Conversion Rates'!$B$3)/12</f>
        <v>6.3412499999999996</v>
      </c>
      <c r="DB353" s="45">
        <f>('[2]Renewable Diesel'!$AP362*'[2]RD Feedstock Breakdown'!DB$3*'[2]Feedstock Conversion Rates'!$B$8)/12</f>
        <v>7.421875</v>
      </c>
      <c r="DC353" s="47">
        <f t="shared" si="287"/>
        <v>13.763124999999999</v>
      </c>
      <c r="DD353" s="45">
        <f>('[2]Renewable Diesel'!AQ362*$DD$3*'[2]Feedstock Conversion Rates'!$B$14)/12</f>
        <v>3.1041666666666665</v>
      </c>
      <c r="DE353" s="47">
        <f t="shared" si="288"/>
        <v>3.1041666666666665</v>
      </c>
      <c r="DF353" s="45">
        <f>('[2]Renewable Diesel'!AR362*'[2]Feedstock Conversion Rates'!$B$4*$DF$3)/12</f>
        <v>75</v>
      </c>
      <c r="DG353" s="47">
        <f t="shared" si="269"/>
        <v>75</v>
      </c>
      <c r="DH353" s="45">
        <f>('[2]Renewable Diesel'!AS362*'[2]Feedstock Conversion Rates'!$B$4*$DH$3)/12</f>
        <v>75</v>
      </c>
      <c r="DI353" s="47">
        <f t="shared" si="273"/>
        <v>75</v>
      </c>
      <c r="DJ353" s="45">
        <f>('[2]Renewable Diesel'!AT362*'[2]Feedstock Conversion Rates'!$B$4*0.25)/12</f>
        <v>8.59375</v>
      </c>
      <c r="DK353" s="45">
        <f>('[2]Renewable Diesel'!$AT362*'[2]RD Feedstock Breakdown'!DK$3*'[2]Feedstock Conversion Rates'!$B$3)/12*0.5</f>
        <v>9.1781249999999996</v>
      </c>
      <c r="DL353" s="45">
        <f>('[2]Renewable Diesel'!$AT362*'[2]RD Feedstock Breakdown'!$DL$3*'[2]Feedstock Conversion Rates'!$B$6)/12</f>
        <v>10.747916666666669</v>
      </c>
      <c r="DM353" s="45">
        <f>('[2]Renewable Diesel'!$AT362*'[2]RD Feedstock Breakdown'!$DM$3*'[2]Feedstock Conversion Rates'!$B$8)/12</f>
        <v>10.7421875</v>
      </c>
      <c r="DN353" s="47">
        <f t="shared" si="317"/>
        <v>39.26197916666667</v>
      </c>
      <c r="DP353" s="45">
        <f t="shared" si="290"/>
        <v>48.220250000000007</v>
      </c>
      <c r="DQ353" s="45">
        <f t="shared" si="291"/>
        <v>374.11776750000001</v>
      </c>
      <c r="DR353" s="45">
        <f t="shared" si="296"/>
        <v>1916.953125</v>
      </c>
      <c r="DS353" s="45">
        <f t="shared" si="309"/>
        <v>228.90125</v>
      </c>
      <c r="DT353" s="45">
        <f t="shared" si="292"/>
        <v>243.03923333333344</v>
      </c>
      <c r="DU353" s="45">
        <f t="shared" si="293"/>
        <v>402.90610000000009</v>
      </c>
      <c r="DV353" s="45">
        <f t="shared" si="297"/>
        <v>78.75</v>
      </c>
      <c r="DW353" s="45">
        <f t="shared" si="294"/>
        <v>3</v>
      </c>
      <c r="DX353" s="47">
        <f t="shared" si="298"/>
        <v>3295.8877258333337</v>
      </c>
      <c r="DY353" s="50">
        <f t="shared" si="286"/>
        <v>-5.631051180898794E-13</v>
      </c>
      <c r="EA353" s="51">
        <f t="shared" si="263"/>
        <v>1.4630428585915492E-2</v>
      </c>
      <c r="EB353" s="51">
        <f t="shared" si="263"/>
        <v>0.11351047081114024</v>
      </c>
      <c r="EC353" s="51">
        <f t="shared" si="263"/>
        <v>0.58161966804112442</v>
      </c>
      <c r="ED353" s="51">
        <f t="shared" si="261"/>
        <v>6.9450560529067937E-2</v>
      </c>
      <c r="EE353" s="51">
        <f t="shared" si="261"/>
        <v>7.3740143339343672E-2</v>
      </c>
      <c r="EF353" s="51">
        <f t="shared" si="261"/>
        <v>0.12224509252605963</v>
      </c>
      <c r="EG353" s="51">
        <f t="shared" si="261"/>
        <v>2.3893410986895441E-2</v>
      </c>
      <c r="EH353" s="52">
        <f t="shared" si="299"/>
        <v>9.1022518045315965E-4</v>
      </c>
      <c r="EI353" s="51">
        <f t="shared" si="271"/>
        <v>0.99908977481954686</v>
      </c>
      <c r="EK353" s="53">
        <f>(EA353*'[2]Renewable Diesel'!BF362*'[2]Feedstock Conversion Rates'!B$2)+FB353</f>
        <v>104.33978338479375</v>
      </c>
      <c r="EL353" s="53">
        <f>(EB353*'[2]Renewable Diesel'!BF362*'[2]Feedstock Conversion Rates'!B$3)+FC353</f>
        <v>762.8557034441767</v>
      </c>
      <c r="EM353" s="53">
        <f>(EC353*'[2]Renewable Diesel'!BF362*'[2]Feedstock Conversion Rates'!B$4)+FD353</f>
        <v>3659.9428508581204</v>
      </c>
      <c r="EN353" s="53">
        <f>(ED353*'[2]Renewable Diesel'!BF362*'[2]Feedstock Conversion Rates'!B$5)+FE353</f>
        <v>439.94325462701158</v>
      </c>
      <c r="EO353" s="53">
        <f>(EE353*'[2]Renewable Diesel'!BF362*'[2]Feedstock Conversion Rates'!B$6)+FF353</f>
        <v>580.33768411272092</v>
      </c>
      <c r="EP353" s="53">
        <f>(EF353*'[2]Renewable Diesel'!BF362*'[2]Feedstock Conversion Rates'!B$7)+FG353</f>
        <v>943.61148327759759</v>
      </c>
      <c r="EQ353" s="53">
        <f>(EG353*'[2]Renewable Diesel'!BF362*'[2]Feedstock Conversion Rates'!B$8)+FH353</f>
        <v>187.94180185357752</v>
      </c>
      <c r="ER353" s="53">
        <f>(EH353*'[2]Renewable Diesel'!BF362*'[2]Feedstock Conversion Rates'!B$9)+FI353</f>
        <v>7.0642251871312949</v>
      </c>
      <c r="ES353" s="53">
        <f t="shared" si="300"/>
        <v>6686.0367867451296</v>
      </c>
      <c r="ET353" s="36">
        <f>ES353/'[2]Renewable Diesel'!BF362</f>
        <v>7.9688344631645398</v>
      </c>
    </row>
    <row r="354" spans="1:150" x14ac:dyDescent="0.25">
      <c r="A354" s="39">
        <v>51196</v>
      </c>
      <c r="B354" s="45">
        <f t="shared" si="319"/>
        <v>69.25</v>
      </c>
      <c r="C354" s="45">
        <f t="shared" si="321"/>
        <v>49</v>
      </c>
      <c r="D354" s="45">
        <f t="shared" si="320"/>
        <v>2</v>
      </c>
      <c r="E354" s="45">
        <f>('[2]Renewable Diesel'!B363*E$3*'[2]Feedstock Conversion Rates'!$B$2)/12+26+13-100+27.5+39</f>
        <v>95.43</v>
      </c>
      <c r="F354" s="45">
        <f>('[2]Renewable Diesel'!B363*'[2]RD Feedstock Breakdown'!F$3*'[2]Feedstock Conversion Rates'!B$8)/12+77+23-10-12-115.75+24+8</f>
        <v>48.15625</v>
      </c>
      <c r="G354" s="45">
        <f>('[2]Renewable Diesel'!B363*'[2]RD Feedstock Breakdown'!G$3*'[2]Feedstock Conversion Rates'!B$7)/12+116.75-39-57.5-145-31.5+32+70-40+10+60</f>
        <v>151.90700000000004</v>
      </c>
      <c r="H354" s="45">
        <f>('[2]Renewable Diesel'!B363*'[2]RD Feedstock Breakdown'!H$3*'[2]Feedstock Conversion Rates'!B$3)/12+67+10+12+3-235+20+47-20</f>
        <v>80.400224999999978</v>
      </c>
      <c r="I354" s="47">
        <f t="shared" si="314"/>
        <v>496.14347500000002</v>
      </c>
      <c r="J354" s="45">
        <f t="shared" si="281"/>
        <v>4</v>
      </c>
      <c r="K354" s="45"/>
      <c r="L354" s="45">
        <v>1</v>
      </c>
      <c r="M354" s="45">
        <f>('[2]Renewable Diesel'!C363*'[2]RD Feedstock Breakdown'!M$3*'[2]Feedstock Conversion Rates'!B$2)/12-55</f>
        <v>-47.20975</v>
      </c>
      <c r="N354" s="45">
        <f>('[2]Renewable Diesel'!C363*'[2]RD Feedstock Breakdown'!N$3*'[2]Feedstock Conversion Rates'!B$8)/12</f>
        <v>3.671875</v>
      </c>
      <c r="O354" s="45">
        <f>('[2]Renewable Diesel'!C363*'[2]RD Feedstock Breakdown'!O$3*'[2]Feedstock Conversion Rates'!B$7)/12</f>
        <v>11.9991</v>
      </c>
      <c r="P354" s="45">
        <f>('[2]Renewable Diesel'!C363*'[2]RD Feedstock Breakdown'!P$3*'[2]Feedstock Conversion Rates'!B$3)/12+15+35</f>
        <v>60.447042500000002</v>
      </c>
      <c r="Q354" s="47">
        <f t="shared" si="322"/>
        <v>33.908267500000001</v>
      </c>
      <c r="R354" s="45">
        <f>('[2]Renewable Diesel'!D363*'[2]RD Feedstock Breakdown'!R$3*'[2]Feedstock Conversion Rates'!B$7)/12</f>
        <v>2.2999999999999998</v>
      </c>
      <c r="S354" s="47">
        <f t="shared" si="279"/>
        <v>2.2999999999999998</v>
      </c>
      <c r="T354" s="45">
        <f t="shared" si="323"/>
        <v>0.82499999999999929</v>
      </c>
      <c r="U354" s="45"/>
      <c r="V354" s="45">
        <f>('[2]Renewable Diesel'!E363*'[2]RD Feedstock Breakdown'!V$3*'[2]Feedstock Conversion Rates'!B$6)/12-20+25</f>
        <v>49.250150000000012</v>
      </c>
      <c r="W354" s="45">
        <f>('[2]Renewable Diesel'!E363*'[2]RD Feedstock Breakdown'!W$3*'[2]Feedstock Conversion Rates'!B$8)/12-6</f>
        <v>16.1796875</v>
      </c>
      <c r="X354" s="47">
        <f t="shared" si="301"/>
        <v>66.254837500000008</v>
      </c>
      <c r="Y354" s="45">
        <f t="shared" si="324"/>
        <v>98</v>
      </c>
      <c r="Z354" s="45">
        <f>('[2]Renewable Diesel'!F363*'[2]RD Feedstock Breakdown'!Z$3*'[2]Feedstock Conversion Rates'!B$6)/12-142+15+5+20+5+15</f>
        <v>77.460000000000008</v>
      </c>
      <c r="AA354" s="45">
        <f>('[2]Renewable Diesel'!F363*'[2]RD Feedstock Breakdown'!AA$3*'[2]Feedstock Conversion Rates'!B$7)/12+24</f>
        <v>128.26666666666665</v>
      </c>
      <c r="AB354" s="47">
        <f t="shared" si="270"/>
        <v>303.72666666666669</v>
      </c>
      <c r="AC354" s="45">
        <f>('[2]Renewable Diesel'!G363*'[2]RD Feedstock Breakdown'!AC$3*'[2]Feedstock Conversion Rates'!B$5)/12</f>
        <v>11.796875</v>
      </c>
      <c r="AD354" s="45">
        <f>('[2]Renewable Diesel'!G363*'[2]RD Feedstock Breakdown'!AD$3*'[2]Feedstock Conversion Rates'!B$4)/12</f>
        <v>5.859375</v>
      </c>
      <c r="AE354" s="45">
        <f>('[2]Renewable Diesel'!G363*'[2]RD Feedstock Breakdown'!AE$3*'[2]Feedstock Conversion Rates'!B$6)/12</f>
        <v>7.3281250000000009</v>
      </c>
      <c r="AF354" s="47">
        <f t="shared" si="310"/>
        <v>24.984375</v>
      </c>
      <c r="AG354" s="45">
        <f t="shared" ref="AG354:AG375" si="326">130+20-51+49</f>
        <v>148</v>
      </c>
      <c r="AH354" s="45"/>
      <c r="AI354" s="45">
        <f>('[2]Renewable Diesel'!H363*'[2]RD Feedstock Breakdown'!AI$3*'[2]Feedstock Conversion Rates'!B$6)/12-130-20+51-49</f>
        <v>0.51666666666667993</v>
      </c>
      <c r="AJ354" s="47">
        <f t="shared" si="278"/>
        <v>148.51666666666668</v>
      </c>
      <c r="AK354" s="45">
        <f>('[2]Renewable Diesel'!J363*'[2]RD Feedstock Breakdown'!AK$3*'[2]Feedstock Conversion Rates'!B$4)/12</f>
        <v>95.8125</v>
      </c>
      <c r="AL354" s="47">
        <f t="shared" si="280"/>
        <v>95.8125</v>
      </c>
      <c r="AM354" s="45">
        <f>('[2]Renewable Diesel'!K363*'[2]RD Feedstock Breakdown'!AM$3*'[2]Feedstock Conversion Rates'!B$4)/12+5+15-10+10</f>
        <v>78.59375</v>
      </c>
      <c r="AN354" s="45">
        <f>('[2]Renewable Diesel'!K363*'[2]RD Feedstock Breakdown'!AN$3*'[2]Feedstock Conversion Rates'!B$6)/12-5-15+10-10</f>
        <v>4.4270833333333321</v>
      </c>
      <c r="AO354" s="47">
        <f t="shared" si="295"/>
        <v>83.020833333333329</v>
      </c>
      <c r="AP354" s="45">
        <f>('[2]Renewable Diesel'!L363*'[2]RD Feedstock Breakdown'!AP$3*'[2]Feedstock Conversion Rates'!B$4)/12+15-10+15</f>
        <v>78.59375</v>
      </c>
      <c r="AQ354" s="45">
        <f>('[2]Renewable Diesel'!L363*'[2]RD Feedstock Breakdown'!AQ$3*'[2]Feedstock Conversion Rates'!B$6)/12-15+10-15</f>
        <v>4.4270833333333321</v>
      </c>
      <c r="AR354" s="47">
        <f t="shared" si="285"/>
        <v>83.020833333333329</v>
      </c>
      <c r="AS354" s="45">
        <f>('[2]Renewable Diesel'!M363*'[2]RD Feedstock Breakdown'!AS$3*'[2]Feedstock Conversion Rates'!B$4)/12</f>
        <v>456.25</v>
      </c>
      <c r="AT354" s="45">
        <f>('[2]Renewable Diesel'!M363*'[2]RD Feedstock Breakdown'!AT$3*'[2]Feedstock Conversion Rates'!B$5)/12</f>
        <v>0</v>
      </c>
      <c r="AU354" s="47">
        <f t="shared" si="313"/>
        <v>456.25</v>
      </c>
      <c r="AV354" s="45">
        <f>'[2]Renewable Diesel'!N363*'[2]RD Feedstock Breakdown'!$AV$3*'[2]Feedstock Conversion Rates'!$B$4/12-15-10+25+25-22+25</f>
        <v>106.74999999999999</v>
      </c>
      <c r="AW354" s="45">
        <f>'[2]Renewable Diesel'!N363*'[2]RD Feedstock Breakdown'!$AW$3*'[2]Feedstock Conversion Rates'!$B$7/12+15+10-25-25+22-25</f>
        <v>13.400000000000006</v>
      </c>
      <c r="AX354" s="47">
        <f t="shared" si="272"/>
        <v>120.14999999999999</v>
      </c>
      <c r="AY354" s="45">
        <f>('[2]Renewable Diesel'!O363*'[2]RD Feedstock Breakdown'!AY$3*'[2]Feedstock Conversion Rates'!B$4)/12</f>
        <v>210.9375</v>
      </c>
      <c r="AZ354" s="45">
        <f>('[2]Renewable Diesel'!O363*'[2]RD Feedstock Breakdown'!AZ$3*'[2]Feedstock Conversion Rates'!B$3)/12</f>
        <v>25.03125</v>
      </c>
      <c r="BA354" s="47">
        <f t="shared" si="325"/>
        <v>235.96875</v>
      </c>
      <c r="BB354" s="45">
        <f>('[2]Renewable Diesel'!Q363*'[2]RD Feedstock Breakdown'!BB$3*'[2]Feedstock Conversion Rates'!B$4)/12</f>
        <v>11.156249999999998</v>
      </c>
      <c r="BC354" s="45">
        <f>('[2]Renewable Diesel'!Q363*'[2]RD Feedstock Breakdown'!BC$3*'[2]Feedstock Conversion Rates'!B$3)/12</f>
        <v>1.4017500000000001</v>
      </c>
      <c r="BD354" s="45">
        <f>('[2]Renewable Diesel'!Q363*'[2]RD Feedstock Breakdown'!BD$3*'[2]Feedstock Conversion Rates'!B$6)/12</f>
        <v>0.8207500000000002</v>
      </c>
      <c r="BE354" s="47">
        <f t="shared" si="303"/>
        <v>13.378749999999998</v>
      </c>
      <c r="BF354" s="45">
        <f>('[2]Renewable Diesel'!R363*'[2]RD Feedstock Breakdown'!BF$3*'[2]Feedstock Conversion Rates'!B$4)/12</f>
        <v>62.5</v>
      </c>
      <c r="BG354" s="47">
        <f t="shared" si="289"/>
        <v>62.5</v>
      </c>
      <c r="BH354" s="45">
        <f>('[2]Renewable Diesel'!T363*'[2]RD Feedstock Breakdown'!BH$3*'[2]Feedstock Conversion Rates'!B$7)/12</f>
        <v>27.599999999999998</v>
      </c>
      <c r="BI354" s="47">
        <f t="shared" si="277"/>
        <v>27.599999999999998</v>
      </c>
      <c r="BJ354" s="45">
        <f>('[2]Renewable Diesel'!W363*'[2]RD Feedstock Breakdown'!BJ$3*'[2]Feedstock Conversion Rates'!B$4)/12</f>
        <v>7.5</v>
      </c>
      <c r="BK354" s="45">
        <f>('[2]Renewable Diesel'!W363*'[2]RD Feedstock Breakdown'!BK$3*'[2]Feedstock Conversion Rates'!B$3)/12</f>
        <v>1.335</v>
      </c>
      <c r="BL354" s="45">
        <f>('[2]Renewable Diesel'!W363*'[2]RD Feedstock Breakdown'!BL$3*'[2]Feedstock Conversion Rates'!B$6)/12</f>
        <v>3.1266666666666669</v>
      </c>
      <c r="BM354" s="45">
        <f>('[2]Renewable Diesel'!W363*'[2]RD Feedstock Breakdown'!BM$3*'[2]Feedstock Conversion Rates'!B$7)/12</f>
        <v>1.5333333333333332</v>
      </c>
      <c r="BN354" s="47">
        <f t="shared" si="316"/>
        <v>13.495000000000001</v>
      </c>
      <c r="BO354" s="45">
        <f>('[2]Renewable Diesel'!P363*'[2]Feedstock Conversion Rates'!B$4)/12</f>
        <v>31.25</v>
      </c>
      <c r="BP354" s="47">
        <f t="shared" si="311"/>
        <v>31.25</v>
      </c>
      <c r="BQ354" s="45">
        <f>('[2]Renewable Diesel'!$S363*'[2]RD Feedstock Breakdown'!BQ$3*'[2]Feedstock Conversion Rates'!B$4)/12+10+15-15</f>
        <v>38.125</v>
      </c>
      <c r="BR354" s="45">
        <f>('[2]Renewable Diesel'!$S363*'[2]RD Feedstock Breakdown'!BR$3*'[2]Feedstock Conversion Rates'!B$7)/12-10-15+15</f>
        <v>1.5</v>
      </c>
      <c r="BS354" s="47">
        <f t="shared" si="260"/>
        <v>39.625</v>
      </c>
      <c r="BT354" s="47"/>
      <c r="BU354" s="45">
        <f>('[2]Renewable Diesel'!Y363*'[2]Feedstock Conversion Rates'!B$7)/12</f>
        <v>2.6833333333333331</v>
      </c>
      <c r="BV354" s="47">
        <f t="shared" si="305"/>
        <v>2.6833333333333331</v>
      </c>
      <c r="BW354" s="45">
        <f>('[2]Renewable Diesel'!$Z363*'[2]RD Feedstock Breakdown'!BW$3*'[2]Feedstock Conversion Rates'!$B$4)/12-230+160</f>
        <v>1.875</v>
      </c>
      <c r="BX354" s="45">
        <f>('[2]Renewable Diesel'!$Z363*'[2]RD Feedstock Breakdown'!BX$3*'[2]Feedstock Conversion Rates'!$B$5)/12</f>
        <v>7.2354166666666666</v>
      </c>
      <c r="BY354" s="45">
        <f>('[2]Renewable Diesel'!$Z363*'[2]RD Feedstock Breakdown'!BY$3*'[2]Feedstock Conversion Rates'!$B$7)/12</f>
        <v>61.716666666666661</v>
      </c>
      <c r="BZ354" s="45">
        <f>('[2]Renewable Diesel'!$Z363*'[2]RD Feedstock Breakdown'!BZ$3*'[2]Feedstock Conversion Rates'!$B$3)/12+230-160</f>
        <v>85.352499999999992</v>
      </c>
      <c r="CA354" s="47">
        <f t="shared" si="262"/>
        <v>156.17958333333331</v>
      </c>
      <c r="CB354" s="45">
        <f>('[2]Renewable Diesel'!AA363*'[2]Feedstock Conversion Rates'!B$4)/12</f>
        <v>191.25</v>
      </c>
      <c r="CC354" s="47">
        <f t="shared" si="318"/>
        <v>191.25</v>
      </c>
      <c r="CD354" s="45">
        <f>('[2]Renewable Diesel'!$AB363*'[2]RD Feedstock Breakdown'!CD$3*'[2]Feedstock Conversion Rates'!$B$6)/12-15-5</f>
        <v>12.830000000000005</v>
      </c>
      <c r="CE354" s="45">
        <f>('[2]Renewable Diesel'!$AB363*'[2]RD Feedstock Breakdown'!CE$3*'[2]Feedstock Conversion Rates'!$B$4)/12+15+5</f>
        <v>31.25</v>
      </c>
      <c r="CF354" s="47">
        <f t="shared" si="315"/>
        <v>44.080000000000005</v>
      </c>
      <c r="CG354" s="45">
        <f>('[2]Renewable Diesel'!AD363*'[2]Feedstock Conversion Rates'!B$4)/12</f>
        <v>112.5</v>
      </c>
      <c r="CH354" s="47">
        <f t="shared" si="302"/>
        <v>112.5</v>
      </c>
      <c r="CI354" s="45">
        <f>('[2]Renewable Diesel'!$AE363*'[2]RD Feedstock Breakdown'!CI$3*'[2]Feedstock Conversion Rates'!$B$5)/12</f>
        <v>0.34604166666666664</v>
      </c>
      <c r="CJ354" s="45">
        <f>('[2]Renewable Diesel'!$AE363*'[2]RD Feedstock Breakdown'!CJ$3*'[2]Feedstock Conversion Rates'!$B$4)/12</f>
        <v>0.34375</v>
      </c>
      <c r="CK354" s="47">
        <f t="shared" si="312"/>
        <v>0.68979166666666658</v>
      </c>
      <c r="CL354" s="45">
        <f>(((CL$3*'[2]Renewable Diesel'!$AF363)*'[2]Feedstock Conversion Rates'!$B$3)/12)</f>
        <v>91.78125</v>
      </c>
      <c r="CM354" s="45">
        <f>(((CM$3*'[2]Renewable Diesel'!$AF363)*'[2]Feedstock Conversion Rates'!$B$6)/12)</f>
        <v>53.739583333333336</v>
      </c>
      <c r="CN354" s="45">
        <f>(((CN$3*'[2]Renewable Diesel'!$AF363)*'[2]Feedstock Conversion Rates'!$B$4)/12)</f>
        <v>42.96875</v>
      </c>
      <c r="CO354" s="47">
        <f t="shared" si="304"/>
        <v>188.48958333333334</v>
      </c>
      <c r="CP354" s="45">
        <f>('[2]Renewable Diesel'!$AG363*'[2]RD Feedstock Breakdown'!CP$3*'[2]Feedstock Conversion Rates'!$B$3)/12</f>
        <v>6.0075000000000003</v>
      </c>
      <c r="CQ354" s="45">
        <f>('[2]Renewable Diesel'!$AG363*'[2]RD Feedstock Breakdown'!CQ$3*'[2]Feedstock Conversion Rates'!$B$6)/12</f>
        <v>3.5175000000000001</v>
      </c>
      <c r="CR354" s="45">
        <f>('[2]Renewable Diesel'!$AG363*'[2]RD Feedstock Breakdown'!CR$3*'[2]Feedstock Conversion Rates'!$B$4)/12</f>
        <v>2.8125</v>
      </c>
      <c r="CS354" s="47">
        <f t="shared" si="267"/>
        <v>12.3375</v>
      </c>
      <c r="CT354" s="45">
        <f>('[2]Renewable Diesel'!AI363*'[2]Feedstock Conversion Rates'!$B$4*'[2]RD Feedstock Breakdown'!$CT$3)/12</f>
        <v>29.375</v>
      </c>
      <c r="CU354" s="47">
        <f t="shared" si="308"/>
        <v>29.375</v>
      </c>
      <c r="CV354" s="45">
        <f>('[2]Renewable Diesel'!AN363*'[2]Feedstock Conversion Rates'!$B$3*'[2]RD Feedstock Breakdown'!$CV$3)/12</f>
        <v>0.50062499999999999</v>
      </c>
      <c r="CW354" s="47">
        <f t="shared" si="284"/>
        <v>0.50062499999999999</v>
      </c>
      <c r="CX354" s="45">
        <f>('[2]Renewable Diesel'!AO363*'[2]RD Feedstock Breakdown'!$CX$3*'[2]Feedstock Conversion Rates'!$B$3)/12</f>
        <v>6.3412499999999996</v>
      </c>
      <c r="CY354" s="45">
        <f>('[2]Renewable Diesel'!AO363*'[2]RD Feedstock Breakdown'!$CY$3*'[2]Feedstock Conversion Rates'!$B$6)/12</f>
        <v>7.4258333333333342</v>
      </c>
      <c r="CZ354" s="47">
        <f t="shared" si="268"/>
        <v>13.767083333333334</v>
      </c>
      <c r="DA354" s="45">
        <f>('[2]Renewable Diesel'!$AP363*'[2]RD Feedstock Breakdown'!DA$3*'[2]Feedstock Conversion Rates'!$B$3)/12</f>
        <v>6.3412499999999996</v>
      </c>
      <c r="DB354" s="45">
        <f>('[2]Renewable Diesel'!$AP363*'[2]RD Feedstock Breakdown'!DB$3*'[2]Feedstock Conversion Rates'!$B$8)/12</f>
        <v>7.421875</v>
      </c>
      <c r="DC354" s="47">
        <f t="shared" si="287"/>
        <v>13.763124999999999</v>
      </c>
      <c r="DD354" s="45">
        <f>('[2]Renewable Diesel'!AQ363*$DD$3*'[2]Feedstock Conversion Rates'!$B$14)/12</f>
        <v>3.1041666666666665</v>
      </c>
      <c r="DE354" s="47">
        <f t="shared" si="288"/>
        <v>3.1041666666666665</v>
      </c>
      <c r="DF354" s="45">
        <f>('[2]Renewable Diesel'!AR363*'[2]Feedstock Conversion Rates'!$B$4*$DF$3)/12</f>
        <v>75</v>
      </c>
      <c r="DG354" s="47">
        <f t="shared" si="269"/>
        <v>75</v>
      </c>
      <c r="DH354" s="45">
        <f>('[2]Renewable Diesel'!AS363*'[2]Feedstock Conversion Rates'!$B$4*$DH$3)/12</f>
        <v>75</v>
      </c>
      <c r="DI354" s="47">
        <f t="shared" si="273"/>
        <v>75</v>
      </c>
      <c r="DJ354" s="45">
        <f>('[2]Renewable Diesel'!AT363*'[2]Feedstock Conversion Rates'!$B$4*0.25)/12</f>
        <v>8.59375</v>
      </c>
      <c r="DK354" s="45">
        <f>('[2]Renewable Diesel'!$AT363*'[2]RD Feedstock Breakdown'!DK$3*'[2]Feedstock Conversion Rates'!$B$3)/12*0.5</f>
        <v>9.1781249999999996</v>
      </c>
      <c r="DL354" s="45">
        <f>('[2]Renewable Diesel'!$AT363*'[2]RD Feedstock Breakdown'!$DL$3*'[2]Feedstock Conversion Rates'!$B$6)/12</f>
        <v>10.747916666666669</v>
      </c>
      <c r="DM354" s="45">
        <f>('[2]Renewable Diesel'!$AT363*'[2]RD Feedstock Breakdown'!$DM$3*'[2]Feedstock Conversion Rates'!$B$8)/12</f>
        <v>10.7421875</v>
      </c>
      <c r="DN354" s="47">
        <f t="shared" si="317"/>
        <v>39.26197916666667</v>
      </c>
      <c r="DP354" s="45">
        <f t="shared" si="290"/>
        <v>48.220250000000007</v>
      </c>
      <c r="DQ354" s="45">
        <f t="shared" si="291"/>
        <v>374.11776750000001</v>
      </c>
      <c r="DR354" s="45">
        <f t="shared" si="296"/>
        <v>1916.953125</v>
      </c>
      <c r="DS354" s="45">
        <f t="shared" si="309"/>
        <v>228.90125</v>
      </c>
      <c r="DT354" s="45">
        <f t="shared" si="292"/>
        <v>243.03923333333344</v>
      </c>
      <c r="DU354" s="45">
        <f t="shared" si="293"/>
        <v>402.90610000000009</v>
      </c>
      <c r="DV354" s="45">
        <f t="shared" si="297"/>
        <v>78.75</v>
      </c>
      <c r="DW354" s="45">
        <f t="shared" si="294"/>
        <v>3</v>
      </c>
      <c r="DX354" s="47">
        <f t="shared" si="298"/>
        <v>3295.8877258333337</v>
      </c>
      <c r="DY354" s="50">
        <f t="shared" si="286"/>
        <v>-5.631051180898794E-13</v>
      </c>
      <c r="EA354" s="51">
        <f t="shared" si="263"/>
        <v>1.4630428585915492E-2</v>
      </c>
      <c r="EB354" s="51">
        <f t="shared" si="263"/>
        <v>0.11351047081114024</v>
      </c>
      <c r="EC354" s="51">
        <f t="shared" si="263"/>
        <v>0.58161966804112442</v>
      </c>
      <c r="ED354" s="51">
        <f t="shared" si="261"/>
        <v>6.9450560529067937E-2</v>
      </c>
      <c r="EE354" s="51">
        <f t="shared" si="261"/>
        <v>7.3740143339343672E-2</v>
      </c>
      <c r="EF354" s="51">
        <f t="shared" si="261"/>
        <v>0.12224509252605963</v>
      </c>
      <c r="EG354" s="51">
        <f t="shared" si="261"/>
        <v>2.3893410986895441E-2</v>
      </c>
      <c r="EH354" s="52">
        <f t="shared" si="299"/>
        <v>9.1022518045315965E-4</v>
      </c>
      <c r="EI354" s="51">
        <f t="shared" si="271"/>
        <v>0.99908977481954686</v>
      </c>
      <c r="EK354" s="53">
        <f>(EA354*'[2]Renewable Diesel'!BF363*'[2]Feedstock Conversion Rates'!B$2)+FB354</f>
        <v>69.496329454256426</v>
      </c>
      <c r="EL354" s="53">
        <f>(EB354*'[2]Renewable Diesel'!BF363*'[2]Feedstock Conversion Rates'!B$3)+FC354</f>
        <v>508.10601261360711</v>
      </c>
      <c r="EM354" s="53">
        <f>(EC354*'[2]Renewable Diesel'!BF363*'[2]Feedstock Conversion Rates'!B$4)+FD354</f>
        <v>2437.7335844081804</v>
      </c>
      <c r="EN354" s="53">
        <f>(ED354*'[2]Renewable Diesel'!BF363*'[2]Feedstock Conversion Rates'!B$5)+FE354</f>
        <v>293.02764844720264</v>
      </c>
      <c r="EO354" s="53">
        <f>(EE354*'[2]Renewable Diesel'!BF363*'[2]Feedstock Conversion Rates'!B$6)+FF354</f>
        <v>386.53845715857256</v>
      </c>
      <c r="EP354" s="53">
        <f>(EF354*'[2]Renewable Diesel'!BF363*'[2]Feedstock Conversion Rates'!B$7)+FG354</f>
        <v>628.49981465685721</v>
      </c>
      <c r="EQ354" s="53">
        <f>(EG354*'[2]Renewable Diesel'!BF363*'[2]Feedstock Conversion Rates'!B$8)+FH354</f>
        <v>125.18010825913143</v>
      </c>
      <c r="ER354" s="53">
        <f>(EH354*'[2]Renewable Diesel'!BF363*'[2]Feedstock Conversion Rates'!B$9)+FI354</f>
        <v>4.7051824818670349</v>
      </c>
      <c r="ES354" s="53">
        <f t="shared" si="300"/>
        <v>4453.287137479675</v>
      </c>
      <c r="ET354" s="36">
        <f>ES354/'[2]Renewable Diesel'!BF363</f>
        <v>7.9688344631645398</v>
      </c>
    </row>
    <row r="355" spans="1:150" x14ac:dyDescent="0.25">
      <c r="A355" s="39">
        <v>51227</v>
      </c>
      <c r="B355" s="45">
        <f t="shared" si="319"/>
        <v>69.25</v>
      </c>
      <c r="C355" s="45">
        <f t="shared" si="321"/>
        <v>49</v>
      </c>
      <c r="D355" s="45">
        <f t="shared" si="320"/>
        <v>2</v>
      </c>
      <c r="E355" s="45">
        <f>('[2]Renewable Diesel'!B364*E$3*'[2]Feedstock Conversion Rates'!$B$2)/12+26+13-100+27.5+39</f>
        <v>95.43</v>
      </c>
      <c r="F355" s="45">
        <f>('[2]Renewable Diesel'!B364*'[2]RD Feedstock Breakdown'!F$3*'[2]Feedstock Conversion Rates'!B$8)/12+77+23-10-12-115.75+24+8</f>
        <v>48.15625</v>
      </c>
      <c r="G355" s="45">
        <f>('[2]Renewable Diesel'!B364*'[2]RD Feedstock Breakdown'!G$3*'[2]Feedstock Conversion Rates'!B$7)/12+116.75-39-57.5-145-31.5+32+70-40+10+60</f>
        <v>151.90700000000004</v>
      </c>
      <c r="H355" s="45">
        <f>('[2]Renewable Diesel'!B364*'[2]RD Feedstock Breakdown'!H$3*'[2]Feedstock Conversion Rates'!B$3)/12+67+10+12+3-235+20+47-20</f>
        <v>80.400224999999978</v>
      </c>
      <c r="I355" s="47">
        <f t="shared" si="314"/>
        <v>496.14347500000002</v>
      </c>
      <c r="J355" s="45">
        <f t="shared" si="281"/>
        <v>4</v>
      </c>
      <c r="K355" s="45"/>
      <c r="L355" s="45">
        <v>1</v>
      </c>
      <c r="M355" s="45">
        <f>('[2]Renewable Diesel'!C364*'[2]RD Feedstock Breakdown'!M$3*'[2]Feedstock Conversion Rates'!B$2)/12-55</f>
        <v>-47.20975</v>
      </c>
      <c r="N355" s="45">
        <f>('[2]Renewable Diesel'!C364*'[2]RD Feedstock Breakdown'!N$3*'[2]Feedstock Conversion Rates'!B$8)/12</f>
        <v>3.671875</v>
      </c>
      <c r="O355" s="45">
        <f>('[2]Renewable Diesel'!C364*'[2]RD Feedstock Breakdown'!O$3*'[2]Feedstock Conversion Rates'!B$7)/12</f>
        <v>11.9991</v>
      </c>
      <c r="P355" s="45">
        <f>('[2]Renewable Diesel'!C364*'[2]RD Feedstock Breakdown'!P$3*'[2]Feedstock Conversion Rates'!B$3)/12+15+35</f>
        <v>60.447042500000002</v>
      </c>
      <c r="Q355" s="47">
        <f t="shared" si="322"/>
        <v>33.908267500000001</v>
      </c>
      <c r="R355" s="45">
        <f>('[2]Renewable Diesel'!D364*'[2]RD Feedstock Breakdown'!R$3*'[2]Feedstock Conversion Rates'!B$7)/12</f>
        <v>2.2999999999999998</v>
      </c>
      <c r="S355" s="47">
        <f t="shared" si="279"/>
        <v>2.2999999999999998</v>
      </c>
      <c r="T355" s="45">
        <f t="shared" si="323"/>
        <v>0.82499999999999929</v>
      </c>
      <c r="U355" s="45"/>
      <c r="V355" s="45">
        <f>('[2]Renewable Diesel'!E364*'[2]RD Feedstock Breakdown'!V$3*'[2]Feedstock Conversion Rates'!B$6)/12-20+25</f>
        <v>49.250150000000012</v>
      </c>
      <c r="W355" s="45">
        <f>('[2]Renewable Diesel'!E364*'[2]RD Feedstock Breakdown'!W$3*'[2]Feedstock Conversion Rates'!B$8)/12-6</f>
        <v>16.1796875</v>
      </c>
      <c r="X355" s="47">
        <f t="shared" si="301"/>
        <v>66.254837500000008</v>
      </c>
      <c r="Y355" s="45">
        <f t="shared" si="324"/>
        <v>98</v>
      </c>
      <c r="Z355" s="45">
        <f>('[2]Renewable Diesel'!F364*'[2]RD Feedstock Breakdown'!Z$3*'[2]Feedstock Conversion Rates'!B$6)/12-142+15+5+20+5+15</f>
        <v>77.460000000000008</v>
      </c>
      <c r="AA355" s="45">
        <f>('[2]Renewable Diesel'!F364*'[2]RD Feedstock Breakdown'!AA$3*'[2]Feedstock Conversion Rates'!B$7)/12+24</f>
        <v>128.26666666666665</v>
      </c>
      <c r="AB355" s="47">
        <f t="shared" si="270"/>
        <v>303.72666666666669</v>
      </c>
      <c r="AC355" s="45">
        <f>('[2]Renewable Diesel'!G364*'[2]RD Feedstock Breakdown'!AC$3*'[2]Feedstock Conversion Rates'!B$5)/12</f>
        <v>11.796875</v>
      </c>
      <c r="AD355" s="45">
        <f>('[2]Renewable Diesel'!G364*'[2]RD Feedstock Breakdown'!AD$3*'[2]Feedstock Conversion Rates'!B$4)/12</f>
        <v>5.859375</v>
      </c>
      <c r="AE355" s="45">
        <f>('[2]Renewable Diesel'!G364*'[2]RD Feedstock Breakdown'!AE$3*'[2]Feedstock Conversion Rates'!B$6)/12</f>
        <v>7.3281250000000009</v>
      </c>
      <c r="AF355" s="47">
        <f t="shared" si="310"/>
        <v>24.984375</v>
      </c>
      <c r="AG355" s="45">
        <f t="shared" si="326"/>
        <v>148</v>
      </c>
      <c r="AH355" s="45"/>
      <c r="AI355" s="45">
        <f>('[2]Renewable Diesel'!H364*'[2]RD Feedstock Breakdown'!AI$3*'[2]Feedstock Conversion Rates'!B$6)/12-130-20+51-49</f>
        <v>0.51666666666667993</v>
      </c>
      <c r="AJ355" s="47">
        <f t="shared" si="278"/>
        <v>148.51666666666668</v>
      </c>
      <c r="AK355" s="45">
        <f>('[2]Renewable Diesel'!J364*'[2]RD Feedstock Breakdown'!AK$3*'[2]Feedstock Conversion Rates'!B$4)/12</f>
        <v>95.8125</v>
      </c>
      <c r="AL355" s="47">
        <f t="shared" si="280"/>
        <v>95.8125</v>
      </c>
      <c r="AM355" s="45">
        <f>('[2]Renewable Diesel'!K364*'[2]RD Feedstock Breakdown'!AM$3*'[2]Feedstock Conversion Rates'!B$4)/12+5+15-10+10</f>
        <v>78.59375</v>
      </c>
      <c r="AN355" s="45">
        <f>('[2]Renewable Diesel'!K364*'[2]RD Feedstock Breakdown'!AN$3*'[2]Feedstock Conversion Rates'!B$6)/12-5-15+10-10</f>
        <v>4.4270833333333321</v>
      </c>
      <c r="AO355" s="47">
        <f t="shared" si="295"/>
        <v>83.020833333333329</v>
      </c>
      <c r="AP355" s="45">
        <f>('[2]Renewable Diesel'!L364*'[2]RD Feedstock Breakdown'!AP$3*'[2]Feedstock Conversion Rates'!B$4)/12+15-10+15</f>
        <v>78.59375</v>
      </c>
      <c r="AQ355" s="45">
        <f>('[2]Renewable Diesel'!L364*'[2]RD Feedstock Breakdown'!AQ$3*'[2]Feedstock Conversion Rates'!B$6)/12-15+10-15</f>
        <v>4.4270833333333321</v>
      </c>
      <c r="AR355" s="47">
        <f t="shared" si="285"/>
        <v>83.020833333333329</v>
      </c>
      <c r="AS355" s="45">
        <f>('[2]Renewable Diesel'!M364*'[2]RD Feedstock Breakdown'!AS$3*'[2]Feedstock Conversion Rates'!B$4)/12</f>
        <v>456.25</v>
      </c>
      <c r="AT355" s="45">
        <f>('[2]Renewable Diesel'!M364*'[2]RD Feedstock Breakdown'!AT$3*'[2]Feedstock Conversion Rates'!B$5)/12</f>
        <v>0</v>
      </c>
      <c r="AU355" s="47">
        <f t="shared" si="313"/>
        <v>456.25</v>
      </c>
      <c r="AV355" s="45">
        <f>'[2]Renewable Diesel'!N364*'[2]RD Feedstock Breakdown'!$AV$3*'[2]Feedstock Conversion Rates'!$B$4/12-15-10+25+25-22+25</f>
        <v>106.74999999999999</v>
      </c>
      <c r="AW355" s="45">
        <f>'[2]Renewable Diesel'!N364*'[2]RD Feedstock Breakdown'!$AW$3*'[2]Feedstock Conversion Rates'!$B$7/12+15+10-25-25+22-25</f>
        <v>13.400000000000006</v>
      </c>
      <c r="AX355" s="47">
        <f t="shared" si="272"/>
        <v>120.14999999999999</v>
      </c>
      <c r="AY355" s="45">
        <f>('[2]Renewable Diesel'!O364*'[2]RD Feedstock Breakdown'!AY$3*'[2]Feedstock Conversion Rates'!B$4)/12</f>
        <v>210.9375</v>
      </c>
      <c r="AZ355" s="45">
        <f>('[2]Renewable Diesel'!O364*'[2]RD Feedstock Breakdown'!AZ$3*'[2]Feedstock Conversion Rates'!B$3)/12</f>
        <v>25.03125</v>
      </c>
      <c r="BA355" s="47">
        <f t="shared" si="325"/>
        <v>235.96875</v>
      </c>
      <c r="BB355" s="45">
        <f>('[2]Renewable Diesel'!Q364*'[2]RD Feedstock Breakdown'!BB$3*'[2]Feedstock Conversion Rates'!B$4)/12</f>
        <v>11.156249999999998</v>
      </c>
      <c r="BC355" s="45">
        <f>('[2]Renewable Diesel'!Q364*'[2]RD Feedstock Breakdown'!BC$3*'[2]Feedstock Conversion Rates'!B$3)/12</f>
        <v>1.4017500000000001</v>
      </c>
      <c r="BD355" s="45">
        <f>('[2]Renewable Diesel'!Q364*'[2]RD Feedstock Breakdown'!BD$3*'[2]Feedstock Conversion Rates'!B$6)/12</f>
        <v>0.8207500000000002</v>
      </c>
      <c r="BE355" s="47">
        <f t="shared" si="303"/>
        <v>13.378749999999998</v>
      </c>
      <c r="BF355" s="45">
        <f>('[2]Renewable Diesel'!R364*'[2]RD Feedstock Breakdown'!BF$3*'[2]Feedstock Conversion Rates'!B$4)/12</f>
        <v>62.5</v>
      </c>
      <c r="BG355" s="47">
        <f t="shared" si="289"/>
        <v>62.5</v>
      </c>
      <c r="BH355" s="45">
        <f>('[2]Renewable Diesel'!T364*'[2]RD Feedstock Breakdown'!BH$3*'[2]Feedstock Conversion Rates'!B$7)/12</f>
        <v>27.599999999999998</v>
      </c>
      <c r="BI355" s="47">
        <f t="shared" si="277"/>
        <v>27.599999999999998</v>
      </c>
      <c r="BJ355" s="45">
        <f>('[2]Renewable Diesel'!W364*'[2]RD Feedstock Breakdown'!BJ$3*'[2]Feedstock Conversion Rates'!B$4)/12</f>
        <v>7.5</v>
      </c>
      <c r="BK355" s="45">
        <f>('[2]Renewable Diesel'!W364*'[2]RD Feedstock Breakdown'!BK$3*'[2]Feedstock Conversion Rates'!B$3)/12</f>
        <v>1.335</v>
      </c>
      <c r="BL355" s="45">
        <f>('[2]Renewable Diesel'!W364*'[2]RD Feedstock Breakdown'!BL$3*'[2]Feedstock Conversion Rates'!B$6)/12</f>
        <v>3.1266666666666669</v>
      </c>
      <c r="BM355" s="45">
        <f>('[2]Renewable Diesel'!W364*'[2]RD Feedstock Breakdown'!BM$3*'[2]Feedstock Conversion Rates'!B$7)/12</f>
        <v>1.5333333333333332</v>
      </c>
      <c r="BN355" s="47">
        <f t="shared" si="316"/>
        <v>13.495000000000001</v>
      </c>
      <c r="BO355" s="45">
        <f>('[2]Renewable Diesel'!P364*'[2]Feedstock Conversion Rates'!B$4)/12</f>
        <v>31.25</v>
      </c>
      <c r="BP355" s="47">
        <f t="shared" si="311"/>
        <v>31.25</v>
      </c>
      <c r="BQ355" s="45">
        <f>('[2]Renewable Diesel'!$S364*'[2]RD Feedstock Breakdown'!BQ$3*'[2]Feedstock Conversion Rates'!B$4)/12+10+15-15</f>
        <v>38.125</v>
      </c>
      <c r="BR355" s="45">
        <f>('[2]Renewable Diesel'!$S364*'[2]RD Feedstock Breakdown'!BR$3*'[2]Feedstock Conversion Rates'!B$7)/12-10-15+15</f>
        <v>1.5</v>
      </c>
      <c r="BS355" s="47">
        <f t="shared" si="260"/>
        <v>39.625</v>
      </c>
      <c r="BT355" s="47"/>
      <c r="BU355" s="45">
        <f>('[2]Renewable Diesel'!Y364*'[2]Feedstock Conversion Rates'!B$7)/12</f>
        <v>2.6833333333333331</v>
      </c>
      <c r="BV355" s="47">
        <f t="shared" si="305"/>
        <v>2.6833333333333331</v>
      </c>
      <c r="BW355" s="45">
        <f>('[2]Renewable Diesel'!$Z364*'[2]RD Feedstock Breakdown'!BW$3*'[2]Feedstock Conversion Rates'!$B$4)/12-230+160</f>
        <v>1.875</v>
      </c>
      <c r="BX355" s="45">
        <f>('[2]Renewable Diesel'!$Z364*'[2]RD Feedstock Breakdown'!BX$3*'[2]Feedstock Conversion Rates'!$B$5)/12</f>
        <v>7.2354166666666666</v>
      </c>
      <c r="BY355" s="45">
        <f>('[2]Renewable Diesel'!$Z364*'[2]RD Feedstock Breakdown'!BY$3*'[2]Feedstock Conversion Rates'!$B$7)/12</f>
        <v>61.716666666666661</v>
      </c>
      <c r="BZ355" s="45">
        <f>('[2]Renewable Diesel'!$Z364*'[2]RD Feedstock Breakdown'!BZ$3*'[2]Feedstock Conversion Rates'!$B$3)/12+230-160</f>
        <v>85.352499999999992</v>
      </c>
      <c r="CA355" s="47">
        <f t="shared" si="262"/>
        <v>156.17958333333331</v>
      </c>
      <c r="CB355" s="45">
        <f>('[2]Renewable Diesel'!AA364*'[2]Feedstock Conversion Rates'!B$4)/12</f>
        <v>191.25</v>
      </c>
      <c r="CC355" s="47">
        <f t="shared" si="318"/>
        <v>191.25</v>
      </c>
      <c r="CD355" s="45">
        <f>('[2]Renewable Diesel'!$AB364*'[2]RD Feedstock Breakdown'!CD$3*'[2]Feedstock Conversion Rates'!$B$6)/12-15-5</f>
        <v>12.830000000000005</v>
      </c>
      <c r="CE355" s="45">
        <f>('[2]Renewable Diesel'!$AB364*'[2]RD Feedstock Breakdown'!CE$3*'[2]Feedstock Conversion Rates'!$B$4)/12+15+5</f>
        <v>31.25</v>
      </c>
      <c r="CF355" s="47">
        <f t="shared" si="315"/>
        <v>44.080000000000005</v>
      </c>
      <c r="CG355" s="45">
        <f>('[2]Renewable Diesel'!AD364*'[2]Feedstock Conversion Rates'!B$4)/12</f>
        <v>112.5</v>
      </c>
      <c r="CH355" s="47">
        <f t="shared" si="302"/>
        <v>112.5</v>
      </c>
      <c r="CI355" s="45">
        <f>('[2]Renewable Diesel'!$AE364*'[2]RD Feedstock Breakdown'!CI$3*'[2]Feedstock Conversion Rates'!$B$5)/12</f>
        <v>0.34604166666666664</v>
      </c>
      <c r="CJ355" s="45">
        <f>('[2]Renewable Diesel'!$AE364*'[2]RD Feedstock Breakdown'!CJ$3*'[2]Feedstock Conversion Rates'!$B$4)/12</f>
        <v>0.34375</v>
      </c>
      <c r="CK355" s="47">
        <f t="shared" si="312"/>
        <v>0.68979166666666658</v>
      </c>
      <c r="CL355" s="45">
        <f>(((CL$3*'[2]Renewable Diesel'!$AF364)*'[2]Feedstock Conversion Rates'!$B$3)/12)</f>
        <v>91.78125</v>
      </c>
      <c r="CM355" s="45">
        <f>(((CM$3*'[2]Renewable Diesel'!$AF364)*'[2]Feedstock Conversion Rates'!$B$6)/12)</f>
        <v>53.739583333333336</v>
      </c>
      <c r="CN355" s="45">
        <f>(((CN$3*'[2]Renewable Diesel'!$AF364)*'[2]Feedstock Conversion Rates'!$B$4)/12)</f>
        <v>42.96875</v>
      </c>
      <c r="CO355" s="47">
        <f t="shared" si="304"/>
        <v>188.48958333333334</v>
      </c>
      <c r="CP355" s="45">
        <f>('[2]Renewable Diesel'!$AG364*'[2]RD Feedstock Breakdown'!CP$3*'[2]Feedstock Conversion Rates'!$B$3)/12</f>
        <v>6.0075000000000003</v>
      </c>
      <c r="CQ355" s="45">
        <f>('[2]Renewable Diesel'!$AG364*'[2]RD Feedstock Breakdown'!CQ$3*'[2]Feedstock Conversion Rates'!$B$6)/12</f>
        <v>3.5175000000000001</v>
      </c>
      <c r="CR355" s="45">
        <f>('[2]Renewable Diesel'!$AG364*'[2]RD Feedstock Breakdown'!CR$3*'[2]Feedstock Conversion Rates'!$B$4)/12</f>
        <v>2.8125</v>
      </c>
      <c r="CS355" s="47">
        <f t="shared" si="267"/>
        <v>12.3375</v>
      </c>
      <c r="CT355" s="45">
        <f>('[2]Renewable Diesel'!AI364*'[2]Feedstock Conversion Rates'!$B$4*'[2]RD Feedstock Breakdown'!$CT$3)/12</f>
        <v>29.375</v>
      </c>
      <c r="CU355" s="47">
        <f t="shared" si="308"/>
        <v>29.375</v>
      </c>
      <c r="CV355" s="45">
        <f>('[2]Renewable Diesel'!AN364*'[2]Feedstock Conversion Rates'!$B$3*'[2]RD Feedstock Breakdown'!$CV$3)/12</f>
        <v>0.50062499999999999</v>
      </c>
      <c r="CW355" s="47">
        <f t="shared" si="284"/>
        <v>0.50062499999999999</v>
      </c>
      <c r="CX355" s="45">
        <f>('[2]Renewable Diesel'!AO364*'[2]RD Feedstock Breakdown'!$CX$3*'[2]Feedstock Conversion Rates'!$B$3)/12</f>
        <v>6.3412499999999996</v>
      </c>
      <c r="CY355" s="45">
        <f>('[2]Renewable Diesel'!AO364*'[2]RD Feedstock Breakdown'!$CY$3*'[2]Feedstock Conversion Rates'!$B$6)/12</f>
        <v>7.4258333333333342</v>
      </c>
      <c r="CZ355" s="47">
        <f t="shared" si="268"/>
        <v>13.767083333333334</v>
      </c>
      <c r="DA355" s="45">
        <f>('[2]Renewable Diesel'!$AP364*'[2]RD Feedstock Breakdown'!DA$3*'[2]Feedstock Conversion Rates'!$B$3)/12</f>
        <v>6.3412499999999996</v>
      </c>
      <c r="DB355" s="45">
        <f>('[2]Renewable Diesel'!$AP364*'[2]RD Feedstock Breakdown'!DB$3*'[2]Feedstock Conversion Rates'!$B$8)/12</f>
        <v>7.421875</v>
      </c>
      <c r="DC355" s="47">
        <f t="shared" si="287"/>
        <v>13.763124999999999</v>
      </c>
      <c r="DD355" s="45">
        <f>('[2]Renewable Diesel'!AQ364*$DD$3*'[2]Feedstock Conversion Rates'!$B$14)/12</f>
        <v>3.1041666666666665</v>
      </c>
      <c r="DE355" s="47">
        <f t="shared" si="288"/>
        <v>3.1041666666666665</v>
      </c>
      <c r="DF355" s="45">
        <f>('[2]Renewable Diesel'!AR364*'[2]Feedstock Conversion Rates'!$B$4*$DF$3)/12</f>
        <v>75</v>
      </c>
      <c r="DG355" s="47">
        <f t="shared" si="269"/>
        <v>75</v>
      </c>
      <c r="DH355" s="45">
        <f>('[2]Renewable Diesel'!AS364*'[2]Feedstock Conversion Rates'!$B$4*$DH$3)/12</f>
        <v>75</v>
      </c>
      <c r="DI355" s="47">
        <f t="shared" si="273"/>
        <v>75</v>
      </c>
      <c r="DJ355" s="45">
        <f>('[2]Renewable Diesel'!AT364*'[2]Feedstock Conversion Rates'!$B$4*0.25)/12</f>
        <v>8.59375</v>
      </c>
      <c r="DK355" s="45">
        <f>('[2]Renewable Diesel'!$AT364*'[2]RD Feedstock Breakdown'!DK$3*'[2]Feedstock Conversion Rates'!$B$3)/12*0.5</f>
        <v>9.1781249999999996</v>
      </c>
      <c r="DL355" s="45">
        <f>('[2]Renewable Diesel'!$AT364*'[2]RD Feedstock Breakdown'!$DL$3*'[2]Feedstock Conversion Rates'!$B$6)/12</f>
        <v>10.747916666666669</v>
      </c>
      <c r="DM355" s="45">
        <f>('[2]Renewable Diesel'!$AT364*'[2]RD Feedstock Breakdown'!$DM$3*'[2]Feedstock Conversion Rates'!$B$8)/12</f>
        <v>10.7421875</v>
      </c>
      <c r="DN355" s="47">
        <f t="shared" si="317"/>
        <v>39.26197916666667</v>
      </c>
      <c r="DP355" s="45">
        <f t="shared" si="290"/>
        <v>48.220250000000007</v>
      </c>
      <c r="DQ355" s="45">
        <f t="shared" si="291"/>
        <v>374.11776750000001</v>
      </c>
      <c r="DR355" s="45">
        <f t="shared" si="296"/>
        <v>1916.953125</v>
      </c>
      <c r="DS355" s="45">
        <f t="shared" si="309"/>
        <v>228.90125</v>
      </c>
      <c r="DT355" s="45">
        <f t="shared" si="292"/>
        <v>243.03923333333344</v>
      </c>
      <c r="DU355" s="45">
        <f t="shared" si="293"/>
        <v>402.90610000000009</v>
      </c>
      <c r="DV355" s="45">
        <f t="shared" si="297"/>
        <v>78.75</v>
      </c>
      <c r="DW355" s="45">
        <f t="shared" si="294"/>
        <v>3</v>
      </c>
      <c r="DX355" s="47">
        <f t="shared" si="298"/>
        <v>3295.8877258333337</v>
      </c>
      <c r="DY355" s="50">
        <f t="shared" si="286"/>
        <v>-5.631051180898794E-13</v>
      </c>
      <c r="EA355" s="51">
        <f t="shared" si="263"/>
        <v>1.4630428585915492E-2</v>
      </c>
      <c r="EB355" s="51">
        <f t="shared" si="263"/>
        <v>0.11351047081114024</v>
      </c>
      <c r="EC355" s="51">
        <f t="shared" si="263"/>
        <v>0.58161966804112442</v>
      </c>
      <c r="ED355" s="51">
        <f t="shared" si="261"/>
        <v>6.9450560529067937E-2</v>
      </c>
      <c r="EE355" s="51">
        <f t="shared" si="261"/>
        <v>7.3740143339343672E-2</v>
      </c>
      <c r="EF355" s="51">
        <f t="shared" si="261"/>
        <v>0.12224509252605963</v>
      </c>
      <c r="EG355" s="51">
        <f t="shared" si="261"/>
        <v>2.3893410986895441E-2</v>
      </c>
      <c r="EH355" s="52">
        <f t="shared" si="299"/>
        <v>9.1022518045315965E-4</v>
      </c>
      <c r="EI355" s="51">
        <f t="shared" si="271"/>
        <v>0.99908977481954686</v>
      </c>
      <c r="EK355" s="53">
        <f>(EA355*'[2]Renewable Diesel'!BF364*'[2]Feedstock Conversion Rates'!B$2)+FB355</f>
        <v>83.10994645319272</v>
      </c>
      <c r="EL355" s="53">
        <f>(EB355*'[2]Renewable Diesel'!BF364*'[2]Feedstock Conversion Rates'!B$3)+FC355</f>
        <v>607.6387606723564</v>
      </c>
      <c r="EM355" s="53">
        <f>(EC355*'[2]Renewable Diesel'!BF364*'[2]Feedstock Conversion Rates'!B$4)+FD355</f>
        <v>2915.2605505686151</v>
      </c>
      <c r="EN355" s="53">
        <f>(ED355*'[2]Renewable Diesel'!BF364*'[2]Feedstock Conversion Rates'!B$5)+FE355</f>
        <v>350.42875448237675</v>
      </c>
      <c r="EO355" s="53">
        <f>(EE355*'[2]Renewable Diesel'!BF364*'[2]Feedstock Conversion Rates'!B$6)+FF355</f>
        <v>462.25736997655395</v>
      </c>
      <c r="EP355" s="53">
        <f>(EF355*'[2]Renewable Diesel'!BF364*'[2]Feedstock Conversion Rates'!B$7)+FG355</f>
        <v>751.61647172106518</v>
      </c>
      <c r="EQ355" s="53">
        <f>(EG355*'[2]Renewable Diesel'!BF364*'[2]Feedstock Conversion Rates'!B$8)+FH355</f>
        <v>149.70160548218831</v>
      </c>
      <c r="ER355" s="53">
        <f>(EH355*'[2]Renewable Diesel'!BF364*'[2]Feedstock Conversion Rates'!B$9)+FI355</f>
        <v>5.6268793933622536</v>
      </c>
      <c r="ES355" s="53">
        <f t="shared" si="300"/>
        <v>5325.6403387497103</v>
      </c>
      <c r="ET355" s="36">
        <f>ES355/'[2]Renewable Diesel'!BF364</f>
        <v>7.9688344631645389</v>
      </c>
    </row>
    <row r="356" spans="1:150" x14ac:dyDescent="0.25">
      <c r="A356" s="39">
        <v>51257</v>
      </c>
      <c r="B356" s="45">
        <f t="shared" si="319"/>
        <v>69.25</v>
      </c>
      <c r="C356" s="45">
        <f t="shared" si="321"/>
        <v>49</v>
      </c>
      <c r="D356" s="45">
        <f t="shared" si="320"/>
        <v>2</v>
      </c>
      <c r="E356" s="45">
        <f>('[2]Renewable Diesel'!B365*E$3*'[2]Feedstock Conversion Rates'!$B$2)/12+26+13-100+27.5+39</f>
        <v>95.43</v>
      </c>
      <c r="F356" s="45">
        <f>('[2]Renewable Diesel'!B365*'[2]RD Feedstock Breakdown'!F$3*'[2]Feedstock Conversion Rates'!B$8)/12+77+23-10-12-115.75+24+8</f>
        <v>48.15625</v>
      </c>
      <c r="G356" s="45">
        <f>('[2]Renewable Diesel'!B365*'[2]RD Feedstock Breakdown'!G$3*'[2]Feedstock Conversion Rates'!B$7)/12+116.75-39-57.5-145-31.5+32+70-40+10+60</f>
        <v>151.90700000000004</v>
      </c>
      <c r="H356" s="45">
        <f>('[2]Renewable Diesel'!B365*'[2]RD Feedstock Breakdown'!H$3*'[2]Feedstock Conversion Rates'!B$3)/12+67+10+12+3-235+20+47-20</f>
        <v>80.400224999999978</v>
      </c>
      <c r="I356" s="47">
        <f t="shared" si="314"/>
        <v>496.14347500000002</v>
      </c>
      <c r="J356" s="45">
        <f t="shared" si="281"/>
        <v>4</v>
      </c>
      <c r="K356" s="45"/>
      <c r="L356" s="45">
        <v>1</v>
      </c>
      <c r="M356" s="45">
        <f>('[2]Renewable Diesel'!C365*'[2]RD Feedstock Breakdown'!M$3*'[2]Feedstock Conversion Rates'!B$2)/12-55</f>
        <v>-47.20975</v>
      </c>
      <c r="N356" s="45">
        <f>('[2]Renewable Diesel'!C365*'[2]RD Feedstock Breakdown'!N$3*'[2]Feedstock Conversion Rates'!B$8)/12</f>
        <v>3.671875</v>
      </c>
      <c r="O356" s="45">
        <f>('[2]Renewable Diesel'!C365*'[2]RD Feedstock Breakdown'!O$3*'[2]Feedstock Conversion Rates'!B$7)/12</f>
        <v>11.9991</v>
      </c>
      <c r="P356" s="45">
        <f>('[2]Renewable Diesel'!C365*'[2]RD Feedstock Breakdown'!P$3*'[2]Feedstock Conversion Rates'!B$3)/12+15+35</f>
        <v>60.447042500000002</v>
      </c>
      <c r="Q356" s="47">
        <f t="shared" si="322"/>
        <v>33.908267500000001</v>
      </c>
      <c r="R356" s="45">
        <f>('[2]Renewable Diesel'!D365*'[2]RD Feedstock Breakdown'!R$3*'[2]Feedstock Conversion Rates'!B$7)/12</f>
        <v>2.2999999999999998</v>
      </c>
      <c r="S356" s="47">
        <f t="shared" si="279"/>
        <v>2.2999999999999998</v>
      </c>
      <c r="T356" s="45">
        <f t="shared" si="323"/>
        <v>0.82499999999999929</v>
      </c>
      <c r="U356" s="45"/>
      <c r="V356" s="45">
        <f>('[2]Renewable Diesel'!E365*'[2]RD Feedstock Breakdown'!V$3*'[2]Feedstock Conversion Rates'!B$6)/12-20+25</f>
        <v>49.250150000000012</v>
      </c>
      <c r="W356" s="45">
        <f>('[2]Renewable Diesel'!E365*'[2]RD Feedstock Breakdown'!W$3*'[2]Feedstock Conversion Rates'!B$8)/12-6</f>
        <v>16.1796875</v>
      </c>
      <c r="X356" s="47">
        <f t="shared" si="301"/>
        <v>66.254837500000008</v>
      </c>
      <c r="Y356" s="45">
        <f t="shared" si="324"/>
        <v>98</v>
      </c>
      <c r="Z356" s="45">
        <f>('[2]Renewable Diesel'!F365*'[2]RD Feedstock Breakdown'!Z$3*'[2]Feedstock Conversion Rates'!B$6)/12-142+15+5+20+5+15</f>
        <v>77.460000000000008</v>
      </c>
      <c r="AA356" s="45">
        <f>('[2]Renewable Diesel'!F365*'[2]RD Feedstock Breakdown'!AA$3*'[2]Feedstock Conversion Rates'!B$7)/12+24</f>
        <v>128.26666666666665</v>
      </c>
      <c r="AB356" s="47">
        <f t="shared" si="270"/>
        <v>303.72666666666669</v>
      </c>
      <c r="AC356" s="45">
        <f>('[2]Renewable Diesel'!G365*'[2]RD Feedstock Breakdown'!AC$3*'[2]Feedstock Conversion Rates'!B$5)/12</f>
        <v>11.796875</v>
      </c>
      <c r="AD356" s="45">
        <f>('[2]Renewable Diesel'!G365*'[2]RD Feedstock Breakdown'!AD$3*'[2]Feedstock Conversion Rates'!B$4)/12</f>
        <v>5.859375</v>
      </c>
      <c r="AE356" s="45">
        <f>('[2]Renewable Diesel'!G365*'[2]RD Feedstock Breakdown'!AE$3*'[2]Feedstock Conversion Rates'!B$6)/12</f>
        <v>7.3281250000000009</v>
      </c>
      <c r="AF356" s="47">
        <f t="shared" si="310"/>
        <v>24.984375</v>
      </c>
      <c r="AG356" s="45">
        <f t="shared" si="326"/>
        <v>148</v>
      </c>
      <c r="AH356" s="45"/>
      <c r="AI356" s="45">
        <f>('[2]Renewable Diesel'!H365*'[2]RD Feedstock Breakdown'!AI$3*'[2]Feedstock Conversion Rates'!B$6)/12-130-20+51-49</f>
        <v>0.51666666666667993</v>
      </c>
      <c r="AJ356" s="47">
        <f t="shared" si="278"/>
        <v>148.51666666666668</v>
      </c>
      <c r="AK356" s="45">
        <f>('[2]Renewable Diesel'!J365*'[2]RD Feedstock Breakdown'!AK$3*'[2]Feedstock Conversion Rates'!B$4)/12</f>
        <v>95.8125</v>
      </c>
      <c r="AL356" s="47">
        <f t="shared" si="280"/>
        <v>95.8125</v>
      </c>
      <c r="AM356" s="45">
        <f>('[2]Renewable Diesel'!K365*'[2]RD Feedstock Breakdown'!AM$3*'[2]Feedstock Conversion Rates'!B$4)/12+5+15-10+10</f>
        <v>78.59375</v>
      </c>
      <c r="AN356" s="45">
        <f>('[2]Renewable Diesel'!K365*'[2]RD Feedstock Breakdown'!AN$3*'[2]Feedstock Conversion Rates'!B$6)/12-5-15+10-10</f>
        <v>4.4270833333333321</v>
      </c>
      <c r="AO356" s="47">
        <f t="shared" si="295"/>
        <v>83.020833333333329</v>
      </c>
      <c r="AP356" s="45">
        <f>('[2]Renewable Diesel'!L365*'[2]RD Feedstock Breakdown'!AP$3*'[2]Feedstock Conversion Rates'!B$4)/12+15-10+15</f>
        <v>78.59375</v>
      </c>
      <c r="AQ356" s="45">
        <f>('[2]Renewable Diesel'!L365*'[2]RD Feedstock Breakdown'!AQ$3*'[2]Feedstock Conversion Rates'!B$6)/12-15+10-15</f>
        <v>4.4270833333333321</v>
      </c>
      <c r="AR356" s="47">
        <f t="shared" si="285"/>
        <v>83.020833333333329</v>
      </c>
      <c r="AS356" s="45">
        <f>('[2]Renewable Diesel'!M365*'[2]RD Feedstock Breakdown'!AS$3*'[2]Feedstock Conversion Rates'!B$4)/12</f>
        <v>456.25</v>
      </c>
      <c r="AT356" s="45">
        <f>('[2]Renewable Diesel'!M365*'[2]RD Feedstock Breakdown'!AT$3*'[2]Feedstock Conversion Rates'!B$5)/12</f>
        <v>0</v>
      </c>
      <c r="AU356" s="47">
        <f t="shared" si="313"/>
        <v>456.25</v>
      </c>
      <c r="AV356" s="45">
        <f>'[2]Renewable Diesel'!N365*'[2]RD Feedstock Breakdown'!$AV$3*'[2]Feedstock Conversion Rates'!$B$4/12-15-10+25+25-22+25</f>
        <v>106.74999999999999</v>
      </c>
      <c r="AW356" s="45">
        <f>'[2]Renewable Diesel'!N365*'[2]RD Feedstock Breakdown'!$AW$3*'[2]Feedstock Conversion Rates'!$B$7/12+15+10-25-25+22-25</f>
        <v>13.400000000000006</v>
      </c>
      <c r="AX356" s="47">
        <f t="shared" si="272"/>
        <v>120.14999999999999</v>
      </c>
      <c r="AY356" s="45">
        <f>('[2]Renewable Diesel'!O365*'[2]RD Feedstock Breakdown'!AY$3*'[2]Feedstock Conversion Rates'!B$4)/12</f>
        <v>210.9375</v>
      </c>
      <c r="AZ356" s="45">
        <f>('[2]Renewable Diesel'!O365*'[2]RD Feedstock Breakdown'!AZ$3*'[2]Feedstock Conversion Rates'!B$3)/12</f>
        <v>25.03125</v>
      </c>
      <c r="BA356" s="47">
        <f t="shared" si="325"/>
        <v>235.96875</v>
      </c>
      <c r="BB356" s="45">
        <f>('[2]Renewable Diesel'!Q365*'[2]RD Feedstock Breakdown'!BB$3*'[2]Feedstock Conversion Rates'!B$4)/12</f>
        <v>11.156249999999998</v>
      </c>
      <c r="BC356" s="45">
        <f>('[2]Renewable Diesel'!Q365*'[2]RD Feedstock Breakdown'!BC$3*'[2]Feedstock Conversion Rates'!B$3)/12</f>
        <v>1.4017500000000001</v>
      </c>
      <c r="BD356" s="45">
        <f>('[2]Renewable Diesel'!Q365*'[2]RD Feedstock Breakdown'!BD$3*'[2]Feedstock Conversion Rates'!B$6)/12</f>
        <v>0.8207500000000002</v>
      </c>
      <c r="BE356" s="47">
        <f t="shared" si="303"/>
        <v>13.378749999999998</v>
      </c>
      <c r="BF356" s="45">
        <f>('[2]Renewable Diesel'!R365*'[2]RD Feedstock Breakdown'!BF$3*'[2]Feedstock Conversion Rates'!B$4)/12</f>
        <v>62.5</v>
      </c>
      <c r="BG356" s="47">
        <f t="shared" si="289"/>
        <v>62.5</v>
      </c>
      <c r="BH356" s="45">
        <f>('[2]Renewable Diesel'!T365*'[2]RD Feedstock Breakdown'!BH$3*'[2]Feedstock Conversion Rates'!B$7)/12</f>
        <v>27.599999999999998</v>
      </c>
      <c r="BI356" s="47">
        <f t="shared" si="277"/>
        <v>27.599999999999998</v>
      </c>
      <c r="BJ356" s="45">
        <f>('[2]Renewable Diesel'!W365*'[2]RD Feedstock Breakdown'!BJ$3*'[2]Feedstock Conversion Rates'!B$4)/12</f>
        <v>7.5</v>
      </c>
      <c r="BK356" s="45">
        <f>('[2]Renewable Diesel'!W365*'[2]RD Feedstock Breakdown'!BK$3*'[2]Feedstock Conversion Rates'!B$3)/12</f>
        <v>1.335</v>
      </c>
      <c r="BL356" s="45">
        <f>('[2]Renewable Diesel'!W365*'[2]RD Feedstock Breakdown'!BL$3*'[2]Feedstock Conversion Rates'!B$6)/12</f>
        <v>3.1266666666666669</v>
      </c>
      <c r="BM356" s="45">
        <f>('[2]Renewable Diesel'!W365*'[2]RD Feedstock Breakdown'!BM$3*'[2]Feedstock Conversion Rates'!B$7)/12</f>
        <v>1.5333333333333332</v>
      </c>
      <c r="BN356" s="47">
        <f t="shared" si="316"/>
        <v>13.495000000000001</v>
      </c>
      <c r="BO356" s="45">
        <f>('[2]Renewable Diesel'!P365*'[2]Feedstock Conversion Rates'!B$4)/12</f>
        <v>31.25</v>
      </c>
      <c r="BP356" s="47">
        <f t="shared" si="311"/>
        <v>31.25</v>
      </c>
      <c r="BQ356" s="45">
        <f>('[2]Renewable Diesel'!$S365*'[2]RD Feedstock Breakdown'!BQ$3*'[2]Feedstock Conversion Rates'!B$4)/12+10+15-15</f>
        <v>38.125</v>
      </c>
      <c r="BR356" s="45">
        <f>('[2]Renewable Diesel'!$S365*'[2]RD Feedstock Breakdown'!BR$3*'[2]Feedstock Conversion Rates'!B$7)/12-10-15+15</f>
        <v>1.5</v>
      </c>
      <c r="BS356" s="47">
        <f t="shared" si="260"/>
        <v>39.625</v>
      </c>
      <c r="BT356" s="47"/>
      <c r="BU356" s="45">
        <f>('[2]Renewable Diesel'!Y365*'[2]Feedstock Conversion Rates'!B$7)/12</f>
        <v>2.6833333333333331</v>
      </c>
      <c r="BV356" s="47">
        <f t="shared" si="305"/>
        <v>2.6833333333333331</v>
      </c>
      <c r="BW356" s="45">
        <f>('[2]Renewable Diesel'!$Z365*'[2]RD Feedstock Breakdown'!BW$3*'[2]Feedstock Conversion Rates'!$B$4)/12-230+160</f>
        <v>1.875</v>
      </c>
      <c r="BX356" s="45">
        <f>('[2]Renewable Diesel'!$Z365*'[2]RD Feedstock Breakdown'!BX$3*'[2]Feedstock Conversion Rates'!$B$5)/12</f>
        <v>7.2354166666666666</v>
      </c>
      <c r="BY356" s="45">
        <f>('[2]Renewable Diesel'!$Z365*'[2]RD Feedstock Breakdown'!BY$3*'[2]Feedstock Conversion Rates'!$B$7)/12</f>
        <v>61.716666666666661</v>
      </c>
      <c r="BZ356" s="45">
        <f>('[2]Renewable Diesel'!$Z365*'[2]RD Feedstock Breakdown'!BZ$3*'[2]Feedstock Conversion Rates'!$B$3)/12+230-160</f>
        <v>85.352499999999992</v>
      </c>
      <c r="CA356" s="47">
        <f t="shared" si="262"/>
        <v>156.17958333333331</v>
      </c>
      <c r="CB356" s="45">
        <f>('[2]Renewable Diesel'!AA365*'[2]Feedstock Conversion Rates'!B$4)/12</f>
        <v>191.25</v>
      </c>
      <c r="CC356" s="47">
        <f t="shared" si="318"/>
        <v>191.25</v>
      </c>
      <c r="CD356" s="45">
        <f>('[2]Renewable Diesel'!$AB365*'[2]RD Feedstock Breakdown'!CD$3*'[2]Feedstock Conversion Rates'!$B$6)/12-15-5</f>
        <v>12.830000000000005</v>
      </c>
      <c r="CE356" s="45">
        <f>('[2]Renewable Diesel'!$AB365*'[2]RD Feedstock Breakdown'!CE$3*'[2]Feedstock Conversion Rates'!$B$4)/12+15+5</f>
        <v>31.25</v>
      </c>
      <c r="CF356" s="47">
        <f t="shared" si="315"/>
        <v>44.080000000000005</v>
      </c>
      <c r="CG356" s="45">
        <f>('[2]Renewable Diesel'!AD365*'[2]Feedstock Conversion Rates'!B$4)/12</f>
        <v>112.5</v>
      </c>
      <c r="CH356" s="47">
        <f t="shared" si="302"/>
        <v>112.5</v>
      </c>
      <c r="CI356" s="45">
        <f>('[2]Renewable Diesel'!$AE365*'[2]RD Feedstock Breakdown'!CI$3*'[2]Feedstock Conversion Rates'!$B$5)/12</f>
        <v>0.34604166666666664</v>
      </c>
      <c r="CJ356" s="45">
        <f>('[2]Renewable Diesel'!$AE365*'[2]RD Feedstock Breakdown'!CJ$3*'[2]Feedstock Conversion Rates'!$B$4)/12</f>
        <v>0.34375</v>
      </c>
      <c r="CK356" s="47">
        <f t="shared" si="312"/>
        <v>0.68979166666666658</v>
      </c>
      <c r="CL356" s="45">
        <f>(((CL$3*'[2]Renewable Diesel'!$AF365)*'[2]Feedstock Conversion Rates'!$B$3)/12)</f>
        <v>91.78125</v>
      </c>
      <c r="CM356" s="45">
        <f>(((CM$3*'[2]Renewable Diesel'!$AF365)*'[2]Feedstock Conversion Rates'!$B$6)/12)</f>
        <v>53.739583333333336</v>
      </c>
      <c r="CN356" s="45">
        <f>(((CN$3*'[2]Renewable Diesel'!$AF365)*'[2]Feedstock Conversion Rates'!$B$4)/12)</f>
        <v>42.96875</v>
      </c>
      <c r="CO356" s="47">
        <f t="shared" si="304"/>
        <v>188.48958333333334</v>
      </c>
      <c r="CP356" s="45">
        <f>('[2]Renewable Diesel'!$AG365*'[2]RD Feedstock Breakdown'!CP$3*'[2]Feedstock Conversion Rates'!$B$3)/12</f>
        <v>6.0075000000000003</v>
      </c>
      <c r="CQ356" s="45">
        <f>('[2]Renewable Diesel'!$AG365*'[2]RD Feedstock Breakdown'!CQ$3*'[2]Feedstock Conversion Rates'!$B$6)/12</f>
        <v>3.5175000000000001</v>
      </c>
      <c r="CR356" s="45">
        <f>('[2]Renewable Diesel'!$AG365*'[2]RD Feedstock Breakdown'!CR$3*'[2]Feedstock Conversion Rates'!$B$4)/12</f>
        <v>2.8125</v>
      </c>
      <c r="CS356" s="47">
        <f t="shared" si="267"/>
        <v>12.3375</v>
      </c>
      <c r="CT356" s="45">
        <f>('[2]Renewable Diesel'!AI365*'[2]Feedstock Conversion Rates'!$B$4*'[2]RD Feedstock Breakdown'!$CT$3)/12</f>
        <v>29.375</v>
      </c>
      <c r="CU356" s="47">
        <f t="shared" si="308"/>
        <v>29.375</v>
      </c>
      <c r="CV356" s="45">
        <f>('[2]Renewable Diesel'!AN365*'[2]Feedstock Conversion Rates'!$B$3*'[2]RD Feedstock Breakdown'!$CV$3)/12</f>
        <v>0.50062499999999999</v>
      </c>
      <c r="CW356" s="47">
        <f t="shared" si="284"/>
        <v>0.50062499999999999</v>
      </c>
      <c r="CX356" s="45">
        <f>('[2]Renewable Diesel'!AO365*'[2]RD Feedstock Breakdown'!$CX$3*'[2]Feedstock Conversion Rates'!$B$3)/12</f>
        <v>6.3412499999999996</v>
      </c>
      <c r="CY356" s="45">
        <f>('[2]Renewable Diesel'!AO365*'[2]RD Feedstock Breakdown'!$CY$3*'[2]Feedstock Conversion Rates'!$B$6)/12</f>
        <v>7.4258333333333342</v>
      </c>
      <c r="CZ356" s="47">
        <f t="shared" si="268"/>
        <v>13.767083333333334</v>
      </c>
      <c r="DA356" s="45">
        <f>('[2]Renewable Diesel'!$AP365*'[2]RD Feedstock Breakdown'!DA$3*'[2]Feedstock Conversion Rates'!$B$3)/12</f>
        <v>6.3412499999999996</v>
      </c>
      <c r="DB356" s="45">
        <f>('[2]Renewable Diesel'!$AP365*'[2]RD Feedstock Breakdown'!DB$3*'[2]Feedstock Conversion Rates'!$B$8)/12</f>
        <v>7.421875</v>
      </c>
      <c r="DC356" s="47">
        <f t="shared" si="287"/>
        <v>13.763124999999999</v>
      </c>
      <c r="DD356" s="45">
        <f>('[2]Renewable Diesel'!AQ365*$DD$3*'[2]Feedstock Conversion Rates'!$B$14)/12</f>
        <v>3.1041666666666665</v>
      </c>
      <c r="DE356" s="47">
        <f t="shared" si="288"/>
        <v>3.1041666666666665</v>
      </c>
      <c r="DF356" s="45">
        <f>('[2]Renewable Diesel'!AR365*'[2]Feedstock Conversion Rates'!$B$4*$DF$3)/12</f>
        <v>75</v>
      </c>
      <c r="DG356" s="47">
        <f t="shared" si="269"/>
        <v>75</v>
      </c>
      <c r="DH356" s="45">
        <f>('[2]Renewable Diesel'!AS365*'[2]Feedstock Conversion Rates'!$B$4*$DH$3)/12</f>
        <v>75</v>
      </c>
      <c r="DI356" s="47">
        <f t="shared" si="273"/>
        <v>75</v>
      </c>
      <c r="DJ356" s="45">
        <f>('[2]Renewable Diesel'!AT365*'[2]Feedstock Conversion Rates'!$B$4*0.25)/12</f>
        <v>8.59375</v>
      </c>
      <c r="DK356" s="45">
        <f>('[2]Renewable Diesel'!$AT365*'[2]RD Feedstock Breakdown'!DK$3*'[2]Feedstock Conversion Rates'!$B$3)/12*0.5</f>
        <v>9.1781249999999996</v>
      </c>
      <c r="DL356" s="45">
        <f>('[2]Renewable Diesel'!$AT365*'[2]RD Feedstock Breakdown'!$DL$3*'[2]Feedstock Conversion Rates'!$B$6)/12</f>
        <v>10.747916666666669</v>
      </c>
      <c r="DM356" s="45">
        <f>('[2]Renewable Diesel'!$AT365*'[2]RD Feedstock Breakdown'!$DM$3*'[2]Feedstock Conversion Rates'!$B$8)/12</f>
        <v>10.7421875</v>
      </c>
      <c r="DN356" s="47">
        <f t="shared" si="317"/>
        <v>39.26197916666667</v>
      </c>
      <c r="DP356" s="45">
        <f t="shared" si="290"/>
        <v>48.220250000000007</v>
      </c>
      <c r="DQ356" s="45">
        <f t="shared" si="291"/>
        <v>374.11776750000001</v>
      </c>
      <c r="DR356" s="45">
        <f t="shared" si="296"/>
        <v>1916.953125</v>
      </c>
      <c r="DS356" s="45">
        <f t="shared" si="309"/>
        <v>228.90125</v>
      </c>
      <c r="DT356" s="45">
        <f t="shared" si="292"/>
        <v>243.03923333333344</v>
      </c>
      <c r="DU356" s="45">
        <f t="shared" si="293"/>
        <v>402.90610000000009</v>
      </c>
      <c r="DV356" s="45">
        <f t="shared" si="297"/>
        <v>78.75</v>
      </c>
      <c r="DW356" s="45">
        <f t="shared" si="294"/>
        <v>3</v>
      </c>
      <c r="DX356" s="47">
        <f t="shared" si="298"/>
        <v>3295.8877258333337</v>
      </c>
      <c r="DY356" s="50">
        <f t="shared" si="286"/>
        <v>-5.631051180898794E-13</v>
      </c>
      <c r="EA356" s="51">
        <f t="shared" si="263"/>
        <v>1.4630428585915492E-2</v>
      </c>
      <c r="EB356" s="51">
        <f t="shared" si="263"/>
        <v>0.11351047081114024</v>
      </c>
      <c r="EC356" s="51">
        <f t="shared" si="263"/>
        <v>0.58161966804112442</v>
      </c>
      <c r="ED356" s="51">
        <f t="shared" si="261"/>
        <v>6.9450560529067937E-2</v>
      </c>
      <c r="EE356" s="51">
        <f t="shared" si="261"/>
        <v>7.3740143339343672E-2</v>
      </c>
      <c r="EF356" s="51">
        <f t="shared" si="261"/>
        <v>0.12224509252605963</v>
      </c>
      <c r="EG356" s="51">
        <f t="shared" ref="EG356:EG375" si="327">DV356/$DX356</f>
        <v>2.3893410986895441E-2</v>
      </c>
      <c r="EH356" s="52">
        <f t="shared" si="299"/>
        <v>9.1022518045315965E-4</v>
      </c>
      <c r="EI356" s="51">
        <f t="shared" si="271"/>
        <v>0.99908977481954686</v>
      </c>
      <c r="EK356" s="53">
        <f>(EA356*'[2]Renewable Diesel'!BF365*'[2]Feedstock Conversion Rates'!B$2)+FB356</f>
        <v>100.72475102790169</v>
      </c>
      <c r="EL356" s="53">
        <f>(EB356*'[2]Renewable Diesel'!BF365*'[2]Feedstock Conversion Rates'!B$3)+FC356</f>
        <v>736.42524746536674</v>
      </c>
      <c r="EM356" s="53">
        <f>(EC356*'[2]Renewable Diesel'!BF365*'[2]Feedstock Conversion Rates'!B$4)+FD356</f>
        <v>3533.1377972053433</v>
      </c>
      <c r="EN356" s="53">
        <f>(ED356*'[2]Renewable Diesel'!BF365*'[2]Feedstock Conversion Rates'!B$5)+FE356</f>
        <v>424.70065924220233</v>
      </c>
      <c r="EO356" s="53">
        <f>(EE356*'[2]Renewable Diesel'!BF365*'[2]Feedstock Conversion Rates'!B$6)+FF356</f>
        <v>560.23088076375927</v>
      </c>
      <c r="EP356" s="53">
        <f>(EF356*'[2]Renewable Diesel'!BF365*'[2]Feedstock Conversion Rates'!B$7)+FG356</f>
        <v>910.9184305059299</v>
      </c>
      <c r="EQ356" s="53">
        <f>(EG356*'[2]Renewable Diesel'!BF365*'[2]Feedstock Conversion Rates'!B$8)+FH356</f>
        <v>181.43023289231496</v>
      </c>
      <c r="ER356" s="53">
        <f>(EH356*'[2]Renewable Diesel'!BF365*'[2]Feedstock Conversion Rates'!B$9)+FI356</f>
        <v>6.8194728807778073</v>
      </c>
      <c r="ES356" s="53">
        <f t="shared" si="300"/>
        <v>6454.3874719835958</v>
      </c>
      <c r="ET356" s="36">
        <f>ES356/'[2]Renewable Diesel'!BF365</f>
        <v>7.9688344631645398</v>
      </c>
    </row>
    <row r="357" spans="1:150" x14ac:dyDescent="0.25">
      <c r="A357" s="39">
        <v>51288</v>
      </c>
      <c r="B357" s="45">
        <f t="shared" si="319"/>
        <v>69.25</v>
      </c>
      <c r="C357" s="45">
        <f t="shared" si="321"/>
        <v>49</v>
      </c>
      <c r="D357" s="45">
        <f t="shared" si="320"/>
        <v>2</v>
      </c>
      <c r="E357" s="45">
        <f>('[2]Renewable Diesel'!B366*E$3*'[2]Feedstock Conversion Rates'!$B$2)/12+26+13-100+27.5+39</f>
        <v>95.43</v>
      </c>
      <c r="F357" s="45">
        <f>('[2]Renewable Diesel'!B366*'[2]RD Feedstock Breakdown'!F$3*'[2]Feedstock Conversion Rates'!B$8)/12+77+23-10-12-115.75+24+8</f>
        <v>48.15625</v>
      </c>
      <c r="G357" s="45">
        <f>('[2]Renewable Diesel'!B366*'[2]RD Feedstock Breakdown'!G$3*'[2]Feedstock Conversion Rates'!B$7)/12+116.75-39-57.5-145-31.5+32+70-40+10+60</f>
        <v>151.90700000000004</v>
      </c>
      <c r="H357" s="45">
        <f>('[2]Renewable Diesel'!B366*'[2]RD Feedstock Breakdown'!H$3*'[2]Feedstock Conversion Rates'!B$3)/12+67+10+12+3-235+20+47-20</f>
        <v>80.400224999999978</v>
      </c>
      <c r="I357" s="47">
        <f t="shared" si="314"/>
        <v>496.14347500000002</v>
      </c>
      <c r="J357" s="45">
        <f t="shared" si="281"/>
        <v>4</v>
      </c>
      <c r="K357" s="45"/>
      <c r="L357" s="45">
        <v>1</v>
      </c>
      <c r="M357" s="45">
        <f>('[2]Renewable Diesel'!C366*'[2]RD Feedstock Breakdown'!M$3*'[2]Feedstock Conversion Rates'!B$2)/12-55</f>
        <v>-47.20975</v>
      </c>
      <c r="N357" s="45">
        <f>('[2]Renewable Diesel'!C366*'[2]RD Feedstock Breakdown'!N$3*'[2]Feedstock Conversion Rates'!B$8)/12</f>
        <v>3.671875</v>
      </c>
      <c r="O357" s="45">
        <f>('[2]Renewable Diesel'!C366*'[2]RD Feedstock Breakdown'!O$3*'[2]Feedstock Conversion Rates'!B$7)/12</f>
        <v>11.9991</v>
      </c>
      <c r="P357" s="45">
        <f>('[2]Renewable Diesel'!C366*'[2]RD Feedstock Breakdown'!P$3*'[2]Feedstock Conversion Rates'!B$3)/12+15+35</f>
        <v>60.447042500000002</v>
      </c>
      <c r="Q357" s="47">
        <f t="shared" si="322"/>
        <v>33.908267500000001</v>
      </c>
      <c r="R357" s="45">
        <f>('[2]Renewable Diesel'!D366*'[2]RD Feedstock Breakdown'!R$3*'[2]Feedstock Conversion Rates'!B$7)/12</f>
        <v>2.2999999999999998</v>
      </c>
      <c r="S357" s="47">
        <f t="shared" si="279"/>
        <v>2.2999999999999998</v>
      </c>
      <c r="T357" s="45">
        <f t="shared" si="323"/>
        <v>0.82499999999999929</v>
      </c>
      <c r="U357" s="45"/>
      <c r="V357" s="45">
        <f>('[2]Renewable Diesel'!E366*'[2]RD Feedstock Breakdown'!V$3*'[2]Feedstock Conversion Rates'!B$6)/12-20+25</f>
        <v>49.250150000000012</v>
      </c>
      <c r="W357" s="45">
        <f>('[2]Renewable Diesel'!E366*'[2]RD Feedstock Breakdown'!W$3*'[2]Feedstock Conversion Rates'!B$8)/12-6</f>
        <v>16.1796875</v>
      </c>
      <c r="X357" s="47">
        <f t="shared" si="301"/>
        <v>66.254837500000008</v>
      </c>
      <c r="Y357" s="45">
        <f t="shared" si="324"/>
        <v>98</v>
      </c>
      <c r="Z357" s="45">
        <f>('[2]Renewable Diesel'!F366*'[2]RD Feedstock Breakdown'!Z$3*'[2]Feedstock Conversion Rates'!B$6)/12-142+15+5+20+5+15</f>
        <v>77.460000000000008</v>
      </c>
      <c r="AA357" s="45">
        <f>('[2]Renewable Diesel'!F366*'[2]RD Feedstock Breakdown'!AA$3*'[2]Feedstock Conversion Rates'!B$7)/12+24</f>
        <v>128.26666666666665</v>
      </c>
      <c r="AB357" s="47">
        <f t="shared" si="270"/>
        <v>303.72666666666669</v>
      </c>
      <c r="AC357" s="45">
        <f>('[2]Renewable Diesel'!G366*'[2]RD Feedstock Breakdown'!AC$3*'[2]Feedstock Conversion Rates'!B$5)/12</f>
        <v>11.796875</v>
      </c>
      <c r="AD357" s="45">
        <f>('[2]Renewable Diesel'!G366*'[2]RD Feedstock Breakdown'!AD$3*'[2]Feedstock Conversion Rates'!B$4)/12</f>
        <v>5.859375</v>
      </c>
      <c r="AE357" s="45">
        <f>('[2]Renewable Diesel'!G366*'[2]RD Feedstock Breakdown'!AE$3*'[2]Feedstock Conversion Rates'!B$6)/12</f>
        <v>7.3281250000000009</v>
      </c>
      <c r="AF357" s="47">
        <f t="shared" si="310"/>
        <v>24.984375</v>
      </c>
      <c r="AG357" s="45">
        <f t="shared" si="326"/>
        <v>148</v>
      </c>
      <c r="AH357" s="45"/>
      <c r="AI357" s="45">
        <f>('[2]Renewable Diesel'!H366*'[2]RD Feedstock Breakdown'!AI$3*'[2]Feedstock Conversion Rates'!B$6)/12-130-20+51-49</f>
        <v>0.51666666666667993</v>
      </c>
      <c r="AJ357" s="47">
        <f t="shared" si="278"/>
        <v>148.51666666666668</v>
      </c>
      <c r="AK357" s="45">
        <f>('[2]Renewable Diesel'!J366*'[2]RD Feedstock Breakdown'!AK$3*'[2]Feedstock Conversion Rates'!B$4)/12</f>
        <v>95.8125</v>
      </c>
      <c r="AL357" s="47">
        <f t="shared" si="280"/>
        <v>95.8125</v>
      </c>
      <c r="AM357" s="45">
        <f>('[2]Renewable Diesel'!K366*'[2]RD Feedstock Breakdown'!AM$3*'[2]Feedstock Conversion Rates'!B$4)/12+5+15-10+10</f>
        <v>78.59375</v>
      </c>
      <c r="AN357" s="45">
        <f>('[2]Renewable Diesel'!K366*'[2]RD Feedstock Breakdown'!AN$3*'[2]Feedstock Conversion Rates'!B$6)/12-5-15+10-10</f>
        <v>4.4270833333333321</v>
      </c>
      <c r="AO357" s="47">
        <f t="shared" si="295"/>
        <v>83.020833333333329</v>
      </c>
      <c r="AP357" s="45">
        <f>('[2]Renewable Diesel'!L366*'[2]RD Feedstock Breakdown'!AP$3*'[2]Feedstock Conversion Rates'!B$4)/12+15-10+15</f>
        <v>78.59375</v>
      </c>
      <c r="AQ357" s="45">
        <f>('[2]Renewable Diesel'!L366*'[2]RD Feedstock Breakdown'!AQ$3*'[2]Feedstock Conversion Rates'!B$6)/12-15+10-15</f>
        <v>4.4270833333333321</v>
      </c>
      <c r="AR357" s="47">
        <f t="shared" si="285"/>
        <v>83.020833333333329</v>
      </c>
      <c r="AS357" s="45">
        <f>('[2]Renewable Diesel'!M366*'[2]RD Feedstock Breakdown'!AS$3*'[2]Feedstock Conversion Rates'!B$4)/12</f>
        <v>456.25</v>
      </c>
      <c r="AT357" s="45">
        <f>('[2]Renewable Diesel'!M366*'[2]RD Feedstock Breakdown'!AT$3*'[2]Feedstock Conversion Rates'!B$5)/12</f>
        <v>0</v>
      </c>
      <c r="AU357" s="47">
        <f t="shared" si="313"/>
        <v>456.25</v>
      </c>
      <c r="AV357" s="45">
        <f>'[2]Renewable Diesel'!N366*'[2]RD Feedstock Breakdown'!$AV$3*'[2]Feedstock Conversion Rates'!$B$4/12-15-10+25+25-22+25</f>
        <v>106.74999999999999</v>
      </c>
      <c r="AW357" s="45">
        <f>'[2]Renewable Diesel'!N366*'[2]RD Feedstock Breakdown'!$AW$3*'[2]Feedstock Conversion Rates'!$B$7/12+15+10-25-25+22-25</f>
        <v>13.400000000000006</v>
      </c>
      <c r="AX357" s="47">
        <f t="shared" si="272"/>
        <v>120.14999999999999</v>
      </c>
      <c r="AY357" s="45">
        <f>('[2]Renewable Diesel'!O366*'[2]RD Feedstock Breakdown'!AY$3*'[2]Feedstock Conversion Rates'!B$4)/12</f>
        <v>210.9375</v>
      </c>
      <c r="AZ357" s="45">
        <f>('[2]Renewable Diesel'!O366*'[2]RD Feedstock Breakdown'!AZ$3*'[2]Feedstock Conversion Rates'!B$3)/12</f>
        <v>25.03125</v>
      </c>
      <c r="BA357" s="47">
        <f t="shared" si="325"/>
        <v>235.96875</v>
      </c>
      <c r="BB357" s="45">
        <f>('[2]Renewable Diesel'!Q366*'[2]RD Feedstock Breakdown'!BB$3*'[2]Feedstock Conversion Rates'!B$4)/12</f>
        <v>11.156249999999998</v>
      </c>
      <c r="BC357" s="45">
        <f>('[2]Renewable Diesel'!Q366*'[2]RD Feedstock Breakdown'!BC$3*'[2]Feedstock Conversion Rates'!B$3)/12</f>
        <v>1.4017500000000001</v>
      </c>
      <c r="BD357" s="45">
        <f>('[2]Renewable Diesel'!Q366*'[2]RD Feedstock Breakdown'!BD$3*'[2]Feedstock Conversion Rates'!B$6)/12</f>
        <v>0.8207500000000002</v>
      </c>
      <c r="BE357" s="47">
        <f t="shared" si="303"/>
        <v>13.378749999999998</v>
      </c>
      <c r="BF357" s="45">
        <f>('[2]Renewable Diesel'!R366*'[2]RD Feedstock Breakdown'!BF$3*'[2]Feedstock Conversion Rates'!B$4)/12</f>
        <v>62.5</v>
      </c>
      <c r="BG357" s="47">
        <f t="shared" si="289"/>
        <v>62.5</v>
      </c>
      <c r="BH357" s="45">
        <f>('[2]Renewable Diesel'!T366*'[2]RD Feedstock Breakdown'!BH$3*'[2]Feedstock Conversion Rates'!B$7)/12</f>
        <v>27.599999999999998</v>
      </c>
      <c r="BI357" s="47">
        <f t="shared" si="277"/>
        <v>27.599999999999998</v>
      </c>
      <c r="BJ357" s="45">
        <f>('[2]Renewable Diesel'!W366*'[2]RD Feedstock Breakdown'!BJ$3*'[2]Feedstock Conversion Rates'!B$4)/12</f>
        <v>7.5</v>
      </c>
      <c r="BK357" s="45">
        <f>('[2]Renewable Diesel'!W366*'[2]RD Feedstock Breakdown'!BK$3*'[2]Feedstock Conversion Rates'!B$3)/12</f>
        <v>1.335</v>
      </c>
      <c r="BL357" s="45">
        <f>('[2]Renewable Diesel'!W366*'[2]RD Feedstock Breakdown'!BL$3*'[2]Feedstock Conversion Rates'!B$6)/12</f>
        <v>3.1266666666666669</v>
      </c>
      <c r="BM357" s="45">
        <f>('[2]Renewable Diesel'!W366*'[2]RD Feedstock Breakdown'!BM$3*'[2]Feedstock Conversion Rates'!B$7)/12</f>
        <v>1.5333333333333332</v>
      </c>
      <c r="BN357" s="47">
        <f t="shared" si="316"/>
        <v>13.495000000000001</v>
      </c>
      <c r="BO357" s="45">
        <f>('[2]Renewable Diesel'!P366*'[2]Feedstock Conversion Rates'!B$4)/12</f>
        <v>31.25</v>
      </c>
      <c r="BP357" s="47">
        <f t="shared" si="311"/>
        <v>31.25</v>
      </c>
      <c r="BQ357" s="45">
        <f>('[2]Renewable Diesel'!$S366*'[2]RD Feedstock Breakdown'!BQ$3*'[2]Feedstock Conversion Rates'!B$4)/12+10+15-15</f>
        <v>38.125</v>
      </c>
      <c r="BR357" s="45">
        <f>('[2]Renewable Diesel'!$S366*'[2]RD Feedstock Breakdown'!BR$3*'[2]Feedstock Conversion Rates'!B$7)/12-10-15+15</f>
        <v>1.5</v>
      </c>
      <c r="BS357" s="47">
        <f t="shared" ref="BS357:BS375" si="328">SUM(BQ357:BR357)</f>
        <v>39.625</v>
      </c>
      <c r="BT357" s="47"/>
      <c r="BU357" s="45">
        <f>('[2]Renewable Diesel'!Y366*'[2]Feedstock Conversion Rates'!B$7)/12</f>
        <v>2.6833333333333331</v>
      </c>
      <c r="BV357" s="47">
        <f t="shared" si="305"/>
        <v>2.6833333333333331</v>
      </c>
      <c r="BW357" s="45">
        <f>('[2]Renewable Diesel'!$Z366*'[2]RD Feedstock Breakdown'!BW$3*'[2]Feedstock Conversion Rates'!$B$4)/12-230+160</f>
        <v>1.875</v>
      </c>
      <c r="BX357" s="45">
        <f>('[2]Renewable Diesel'!$Z366*'[2]RD Feedstock Breakdown'!BX$3*'[2]Feedstock Conversion Rates'!$B$5)/12</f>
        <v>7.2354166666666666</v>
      </c>
      <c r="BY357" s="45">
        <f>('[2]Renewable Diesel'!$Z366*'[2]RD Feedstock Breakdown'!BY$3*'[2]Feedstock Conversion Rates'!$B$7)/12</f>
        <v>61.716666666666661</v>
      </c>
      <c r="BZ357" s="45">
        <f>('[2]Renewable Diesel'!$Z366*'[2]RD Feedstock Breakdown'!BZ$3*'[2]Feedstock Conversion Rates'!$B$3)/12+230-160</f>
        <v>85.352499999999992</v>
      </c>
      <c r="CA357" s="47">
        <f t="shared" si="262"/>
        <v>156.17958333333331</v>
      </c>
      <c r="CB357" s="45">
        <f>('[2]Renewable Diesel'!AA366*'[2]Feedstock Conversion Rates'!B$4)/12</f>
        <v>191.25</v>
      </c>
      <c r="CC357" s="47">
        <f t="shared" si="318"/>
        <v>191.25</v>
      </c>
      <c r="CD357" s="45">
        <f>('[2]Renewable Diesel'!$AB366*'[2]RD Feedstock Breakdown'!CD$3*'[2]Feedstock Conversion Rates'!$B$6)/12-15-5</f>
        <v>12.830000000000005</v>
      </c>
      <c r="CE357" s="45">
        <f>('[2]Renewable Diesel'!$AB366*'[2]RD Feedstock Breakdown'!CE$3*'[2]Feedstock Conversion Rates'!$B$4)/12+15+5</f>
        <v>31.25</v>
      </c>
      <c r="CF357" s="47">
        <f t="shared" si="315"/>
        <v>44.080000000000005</v>
      </c>
      <c r="CG357" s="45">
        <f>('[2]Renewable Diesel'!AD366*'[2]Feedstock Conversion Rates'!B$4)/12</f>
        <v>112.5</v>
      </c>
      <c r="CH357" s="47">
        <f t="shared" si="302"/>
        <v>112.5</v>
      </c>
      <c r="CI357" s="45">
        <f>('[2]Renewable Diesel'!$AE366*'[2]RD Feedstock Breakdown'!CI$3*'[2]Feedstock Conversion Rates'!$B$5)/12</f>
        <v>0.34604166666666664</v>
      </c>
      <c r="CJ357" s="45">
        <f>('[2]Renewable Diesel'!$AE366*'[2]RD Feedstock Breakdown'!CJ$3*'[2]Feedstock Conversion Rates'!$B$4)/12</f>
        <v>0.34375</v>
      </c>
      <c r="CK357" s="47">
        <f t="shared" si="312"/>
        <v>0.68979166666666658</v>
      </c>
      <c r="CL357" s="45">
        <f>(((CL$3*'[2]Renewable Diesel'!$AF366)*'[2]Feedstock Conversion Rates'!$B$3)/12)</f>
        <v>91.78125</v>
      </c>
      <c r="CM357" s="45">
        <f>(((CM$3*'[2]Renewable Diesel'!$AF366)*'[2]Feedstock Conversion Rates'!$B$6)/12)</f>
        <v>53.739583333333336</v>
      </c>
      <c r="CN357" s="45">
        <f>(((CN$3*'[2]Renewable Diesel'!$AF366)*'[2]Feedstock Conversion Rates'!$B$4)/12)</f>
        <v>42.96875</v>
      </c>
      <c r="CO357" s="47">
        <f t="shared" si="304"/>
        <v>188.48958333333334</v>
      </c>
      <c r="CP357" s="45">
        <f>('[2]Renewable Diesel'!$AG366*'[2]RD Feedstock Breakdown'!CP$3*'[2]Feedstock Conversion Rates'!$B$3)/12</f>
        <v>6.0075000000000003</v>
      </c>
      <c r="CQ357" s="45">
        <f>('[2]Renewable Diesel'!$AG366*'[2]RD Feedstock Breakdown'!CQ$3*'[2]Feedstock Conversion Rates'!$B$6)/12</f>
        <v>3.5175000000000001</v>
      </c>
      <c r="CR357" s="45">
        <f>('[2]Renewable Diesel'!$AG366*'[2]RD Feedstock Breakdown'!CR$3*'[2]Feedstock Conversion Rates'!$B$4)/12</f>
        <v>2.8125</v>
      </c>
      <c r="CS357" s="47">
        <f t="shared" si="267"/>
        <v>12.3375</v>
      </c>
      <c r="CT357" s="45">
        <f>('[2]Renewable Diesel'!AI366*'[2]Feedstock Conversion Rates'!$B$4*'[2]RD Feedstock Breakdown'!$CT$3)/12</f>
        <v>29.375</v>
      </c>
      <c r="CU357" s="47">
        <f t="shared" si="308"/>
        <v>29.375</v>
      </c>
      <c r="CV357" s="45">
        <f>('[2]Renewable Diesel'!AN366*'[2]Feedstock Conversion Rates'!$B$3*'[2]RD Feedstock Breakdown'!$CV$3)/12</f>
        <v>0.50062499999999999</v>
      </c>
      <c r="CW357" s="47">
        <f t="shared" si="284"/>
        <v>0.50062499999999999</v>
      </c>
      <c r="CX357" s="45">
        <f>('[2]Renewable Diesel'!AO366*'[2]RD Feedstock Breakdown'!$CX$3*'[2]Feedstock Conversion Rates'!$B$3)/12</f>
        <v>6.3412499999999996</v>
      </c>
      <c r="CY357" s="45">
        <f>('[2]Renewable Diesel'!AO366*'[2]RD Feedstock Breakdown'!$CY$3*'[2]Feedstock Conversion Rates'!$B$6)/12</f>
        <v>7.4258333333333342</v>
      </c>
      <c r="CZ357" s="47">
        <f t="shared" si="268"/>
        <v>13.767083333333334</v>
      </c>
      <c r="DA357" s="45">
        <f>('[2]Renewable Diesel'!$AP366*'[2]RD Feedstock Breakdown'!DA$3*'[2]Feedstock Conversion Rates'!$B$3)/12</f>
        <v>6.3412499999999996</v>
      </c>
      <c r="DB357" s="45">
        <f>('[2]Renewable Diesel'!$AP366*'[2]RD Feedstock Breakdown'!DB$3*'[2]Feedstock Conversion Rates'!$B$8)/12</f>
        <v>7.421875</v>
      </c>
      <c r="DC357" s="47">
        <f t="shared" si="287"/>
        <v>13.763124999999999</v>
      </c>
      <c r="DD357" s="45">
        <f>('[2]Renewable Diesel'!AQ366*$DD$3*'[2]Feedstock Conversion Rates'!$B$14)/12</f>
        <v>3.1041666666666665</v>
      </c>
      <c r="DE357" s="47">
        <f t="shared" si="288"/>
        <v>3.1041666666666665</v>
      </c>
      <c r="DF357" s="45">
        <f>('[2]Renewable Diesel'!AR366*'[2]Feedstock Conversion Rates'!$B$4*$DF$3)/12</f>
        <v>75</v>
      </c>
      <c r="DG357" s="47">
        <f t="shared" si="269"/>
        <v>75</v>
      </c>
      <c r="DH357" s="45">
        <f>('[2]Renewable Diesel'!AS366*'[2]Feedstock Conversion Rates'!$B$4*$DH$3)/12</f>
        <v>75</v>
      </c>
      <c r="DI357" s="47">
        <f t="shared" si="273"/>
        <v>75</v>
      </c>
      <c r="DJ357" s="45">
        <f>('[2]Renewable Diesel'!AT366*'[2]Feedstock Conversion Rates'!$B$4*0.25)/12</f>
        <v>8.59375</v>
      </c>
      <c r="DK357" s="45">
        <f>('[2]Renewable Diesel'!$AT366*'[2]RD Feedstock Breakdown'!DK$3*'[2]Feedstock Conversion Rates'!$B$3)/12*0.5</f>
        <v>9.1781249999999996</v>
      </c>
      <c r="DL357" s="45">
        <f>('[2]Renewable Diesel'!$AT366*'[2]RD Feedstock Breakdown'!$DL$3*'[2]Feedstock Conversion Rates'!$B$6)/12</f>
        <v>10.747916666666669</v>
      </c>
      <c r="DM357" s="45">
        <f>('[2]Renewable Diesel'!$AT366*'[2]RD Feedstock Breakdown'!$DM$3*'[2]Feedstock Conversion Rates'!$B$8)/12</f>
        <v>10.7421875</v>
      </c>
      <c r="DN357" s="47">
        <f t="shared" si="317"/>
        <v>39.26197916666667</v>
      </c>
      <c r="DP357" s="45">
        <f t="shared" si="290"/>
        <v>48.220250000000007</v>
      </c>
      <c r="DQ357" s="45">
        <f t="shared" si="291"/>
        <v>374.11776750000001</v>
      </c>
      <c r="DR357" s="45">
        <f t="shared" si="296"/>
        <v>1916.953125</v>
      </c>
      <c r="DS357" s="45">
        <f t="shared" si="309"/>
        <v>228.90125</v>
      </c>
      <c r="DT357" s="45">
        <f t="shared" si="292"/>
        <v>243.03923333333344</v>
      </c>
      <c r="DU357" s="45">
        <f t="shared" si="293"/>
        <v>402.90610000000009</v>
      </c>
      <c r="DV357" s="45">
        <f t="shared" si="297"/>
        <v>78.75</v>
      </c>
      <c r="DW357" s="45">
        <f t="shared" si="294"/>
        <v>3</v>
      </c>
      <c r="DX357" s="47">
        <f t="shared" si="298"/>
        <v>3295.8877258333337</v>
      </c>
      <c r="DY357" s="50">
        <f t="shared" si="286"/>
        <v>-5.631051180898794E-13</v>
      </c>
      <c r="EA357" s="51">
        <f t="shared" si="263"/>
        <v>1.4630428585915492E-2</v>
      </c>
      <c r="EB357" s="51">
        <f t="shared" si="263"/>
        <v>0.11351047081114024</v>
      </c>
      <c r="EC357" s="51">
        <f t="shared" si="263"/>
        <v>0.58161966804112442</v>
      </c>
      <c r="ED357" s="51">
        <f t="shared" si="263"/>
        <v>6.9450560529067937E-2</v>
      </c>
      <c r="EE357" s="51">
        <f t="shared" si="263"/>
        <v>7.3740143339343672E-2</v>
      </c>
      <c r="EF357" s="51">
        <f t="shared" si="263"/>
        <v>0.12224509252605963</v>
      </c>
      <c r="EG357" s="51">
        <f t="shared" si="327"/>
        <v>2.3893410986895441E-2</v>
      </c>
      <c r="EH357" s="52">
        <f t="shared" si="299"/>
        <v>9.1022518045315965E-4</v>
      </c>
      <c r="EI357" s="51">
        <f t="shared" si="271"/>
        <v>0.99908977481954686</v>
      </c>
      <c r="EK357" s="53">
        <f>(EA357*'[2]Renewable Diesel'!BF366*'[2]Feedstock Conversion Rates'!B$2)+FB357</f>
        <v>97.92879985753639</v>
      </c>
      <c r="EL357" s="53">
        <f>(EB357*'[2]Renewable Diesel'!BF366*'[2]Feedstock Conversion Rates'!B$3)+FC357</f>
        <v>715.98331028979635</v>
      </c>
      <c r="EM357" s="53">
        <f>(EC357*'[2]Renewable Diesel'!BF366*'[2]Feedstock Conversion Rates'!B$4)+FD357</f>
        <v>3435.0637820467282</v>
      </c>
      <c r="EN357" s="53">
        <f>(ED357*'[2]Renewable Diesel'!BF366*'[2]Feedstock Conversion Rates'!B$5)+FE357</f>
        <v>412.91167695984143</v>
      </c>
      <c r="EO357" s="53">
        <f>(EE357*'[2]Renewable Diesel'!BF366*'[2]Feedstock Conversion Rates'!B$6)+FF357</f>
        <v>544.67980547430727</v>
      </c>
      <c r="EP357" s="53">
        <f>(EF357*'[2]Renewable Diesel'!BF366*'[2]Feedstock Conversion Rates'!B$7)+FG357</f>
        <v>885.6328534666294</v>
      </c>
      <c r="EQ357" s="53">
        <f>(EG357*'[2]Renewable Diesel'!BF366*'[2]Feedstock Conversion Rates'!B$8)+FH357</f>
        <v>176.39403208945174</v>
      </c>
      <c r="ER357" s="53">
        <f>(EH357*'[2]Renewable Diesel'!BF366*'[2]Feedstock Conversion Rates'!B$9)+FI357</f>
        <v>6.6301756823463771</v>
      </c>
      <c r="ES357" s="53">
        <f t="shared" si="300"/>
        <v>6275.2244358666376</v>
      </c>
      <c r="ET357" s="36">
        <f>ES357/'[2]Renewable Diesel'!BF366</f>
        <v>7.9688344631645398</v>
      </c>
    </row>
    <row r="358" spans="1:150" x14ac:dyDescent="0.25">
      <c r="A358" s="39">
        <v>51318</v>
      </c>
      <c r="B358" s="45">
        <f t="shared" si="319"/>
        <v>69.25</v>
      </c>
      <c r="C358" s="45">
        <f t="shared" si="321"/>
        <v>49</v>
      </c>
      <c r="D358" s="45">
        <f t="shared" si="320"/>
        <v>2</v>
      </c>
      <c r="E358" s="45">
        <f>('[2]Renewable Diesel'!B367*E$3*'[2]Feedstock Conversion Rates'!$B$2)/12+26+13-100+27.5+39</f>
        <v>95.43</v>
      </c>
      <c r="F358" s="45">
        <f>('[2]Renewable Diesel'!B367*'[2]RD Feedstock Breakdown'!F$3*'[2]Feedstock Conversion Rates'!B$8)/12+77+23-10-12-115.75+24+8</f>
        <v>48.15625</v>
      </c>
      <c r="G358" s="45">
        <f>('[2]Renewable Diesel'!B367*'[2]RD Feedstock Breakdown'!G$3*'[2]Feedstock Conversion Rates'!B$7)/12+116.75-39-57.5-145-31.5+32+70-40+10+60</f>
        <v>151.90700000000004</v>
      </c>
      <c r="H358" s="45">
        <f>('[2]Renewable Diesel'!B367*'[2]RD Feedstock Breakdown'!H$3*'[2]Feedstock Conversion Rates'!B$3)/12+67+10+12+3-235+20+47-20</f>
        <v>80.400224999999978</v>
      </c>
      <c r="I358" s="47">
        <f t="shared" si="314"/>
        <v>496.14347500000002</v>
      </c>
      <c r="J358" s="45">
        <f t="shared" si="281"/>
        <v>4</v>
      </c>
      <c r="K358" s="45"/>
      <c r="L358" s="45">
        <v>1</v>
      </c>
      <c r="M358" s="45">
        <f>('[2]Renewable Diesel'!C367*'[2]RD Feedstock Breakdown'!M$3*'[2]Feedstock Conversion Rates'!B$2)/12-55</f>
        <v>-47.20975</v>
      </c>
      <c r="N358" s="45">
        <f>('[2]Renewable Diesel'!C367*'[2]RD Feedstock Breakdown'!N$3*'[2]Feedstock Conversion Rates'!B$8)/12</f>
        <v>3.671875</v>
      </c>
      <c r="O358" s="45">
        <f>('[2]Renewable Diesel'!C367*'[2]RD Feedstock Breakdown'!O$3*'[2]Feedstock Conversion Rates'!B$7)/12</f>
        <v>11.9991</v>
      </c>
      <c r="P358" s="45">
        <f>('[2]Renewable Diesel'!C367*'[2]RD Feedstock Breakdown'!P$3*'[2]Feedstock Conversion Rates'!B$3)/12+15+35</f>
        <v>60.447042500000002</v>
      </c>
      <c r="Q358" s="47">
        <f t="shared" si="322"/>
        <v>33.908267500000001</v>
      </c>
      <c r="R358" s="45">
        <f>('[2]Renewable Diesel'!D367*'[2]RD Feedstock Breakdown'!R$3*'[2]Feedstock Conversion Rates'!B$7)/12</f>
        <v>2.2999999999999998</v>
      </c>
      <c r="S358" s="47">
        <f t="shared" si="279"/>
        <v>2.2999999999999998</v>
      </c>
      <c r="T358" s="45">
        <f t="shared" si="323"/>
        <v>0.82499999999999929</v>
      </c>
      <c r="U358" s="45"/>
      <c r="V358" s="45">
        <f>('[2]Renewable Diesel'!E367*'[2]RD Feedstock Breakdown'!V$3*'[2]Feedstock Conversion Rates'!B$6)/12-20+25</f>
        <v>49.250150000000012</v>
      </c>
      <c r="W358" s="45">
        <f>('[2]Renewable Diesel'!E367*'[2]RD Feedstock Breakdown'!W$3*'[2]Feedstock Conversion Rates'!B$8)/12-6</f>
        <v>16.1796875</v>
      </c>
      <c r="X358" s="47">
        <f t="shared" si="301"/>
        <v>66.254837500000008</v>
      </c>
      <c r="Y358" s="45">
        <f t="shared" si="324"/>
        <v>98</v>
      </c>
      <c r="Z358" s="45">
        <f>('[2]Renewable Diesel'!F367*'[2]RD Feedstock Breakdown'!Z$3*'[2]Feedstock Conversion Rates'!B$6)/12-142+15+5+20+5+15</f>
        <v>77.460000000000008</v>
      </c>
      <c r="AA358" s="45">
        <f>('[2]Renewable Diesel'!F367*'[2]RD Feedstock Breakdown'!AA$3*'[2]Feedstock Conversion Rates'!B$7)/12+24</f>
        <v>128.26666666666665</v>
      </c>
      <c r="AB358" s="47">
        <f t="shared" si="270"/>
        <v>303.72666666666669</v>
      </c>
      <c r="AC358" s="45">
        <f>('[2]Renewable Diesel'!G367*'[2]RD Feedstock Breakdown'!AC$3*'[2]Feedstock Conversion Rates'!B$5)/12</f>
        <v>11.796875</v>
      </c>
      <c r="AD358" s="45">
        <f>('[2]Renewable Diesel'!G367*'[2]RD Feedstock Breakdown'!AD$3*'[2]Feedstock Conversion Rates'!B$4)/12</f>
        <v>5.859375</v>
      </c>
      <c r="AE358" s="45">
        <f>('[2]Renewable Diesel'!G367*'[2]RD Feedstock Breakdown'!AE$3*'[2]Feedstock Conversion Rates'!B$6)/12</f>
        <v>7.3281250000000009</v>
      </c>
      <c r="AF358" s="47">
        <f t="shared" si="310"/>
        <v>24.984375</v>
      </c>
      <c r="AG358" s="45">
        <f t="shared" si="326"/>
        <v>148</v>
      </c>
      <c r="AH358" s="45"/>
      <c r="AI358" s="45">
        <f>('[2]Renewable Diesel'!H367*'[2]RD Feedstock Breakdown'!AI$3*'[2]Feedstock Conversion Rates'!B$6)/12-130-20+51-49</f>
        <v>0.51666666666667993</v>
      </c>
      <c r="AJ358" s="47">
        <f t="shared" si="278"/>
        <v>148.51666666666668</v>
      </c>
      <c r="AK358" s="45">
        <f>('[2]Renewable Diesel'!J367*'[2]RD Feedstock Breakdown'!AK$3*'[2]Feedstock Conversion Rates'!B$4)/12</f>
        <v>95.8125</v>
      </c>
      <c r="AL358" s="47">
        <f t="shared" si="280"/>
        <v>95.8125</v>
      </c>
      <c r="AM358" s="45">
        <f>('[2]Renewable Diesel'!K367*'[2]RD Feedstock Breakdown'!AM$3*'[2]Feedstock Conversion Rates'!B$4)/12+5+15-10+10</f>
        <v>78.59375</v>
      </c>
      <c r="AN358" s="45">
        <f>('[2]Renewable Diesel'!K367*'[2]RD Feedstock Breakdown'!AN$3*'[2]Feedstock Conversion Rates'!B$6)/12-5-15+10-10</f>
        <v>4.4270833333333321</v>
      </c>
      <c r="AO358" s="47">
        <f t="shared" si="295"/>
        <v>83.020833333333329</v>
      </c>
      <c r="AP358" s="45">
        <f>('[2]Renewable Diesel'!L367*'[2]RD Feedstock Breakdown'!AP$3*'[2]Feedstock Conversion Rates'!B$4)/12+15-10+15</f>
        <v>78.59375</v>
      </c>
      <c r="AQ358" s="45">
        <f>('[2]Renewable Diesel'!L367*'[2]RD Feedstock Breakdown'!AQ$3*'[2]Feedstock Conversion Rates'!B$6)/12-15+10-15</f>
        <v>4.4270833333333321</v>
      </c>
      <c r="AR358" s="47">
        <f t="shared" si="285"/>
        <v>83.020833333333329</v>
      </c>
      <c r="AS358" s="45">
        <f>('[2]Renewable Diesel'!M367*'[2]RD Feedstock Breakdown'!AS$3*'[2]Feedstock Conversion Rates'!B$4)/12</f>
        <v>456.25</v>
      </c>
      <c r="AT358" s="45">
        <f>('[2]Renewable Diesel'!M367*'[2]RD Feedstock Breakdown'!AT$3*'[2]Feedstock Conversion Rates'!B$5)/12</f>
        <v>0</v>
      </c>
      <c r="AU358" s="47">
        <f t="shared" si="313"/>
        <v>456.25</v>
      </c>
      <c r="AV358" s="45">
        <f>'[2]Renewable Diesel'!N367*'[2]RD Feedstock Breakdown'!$AV$3*'[2]Feedstock Conversion Rates'!$B$4/12-15-10+25+25-22+25</f>
        <v>106.74999999999999</v>
      </c>
      <c r="AW358" s="45">
        <f>'[2]Renewable Diesel'!N367*'[2]RD Feedstock Breakdown'!$AW$3*'[2]Feedstock Conversion Rates'!$B$7/12+15+10-25-25+22-25</f>
        <v>13.400000000000006</v>
      </c>
      <c r="AX358" s="47">
        <f t="shared" si="272"/>
        <v>120.14999999999999</v>
      </c>
      <c r="AY358" s="45">
        <f>('[2]Renewable Diesel'!O367*'[2]RD Feedstock Breakdown'!AY$3*'[2]Feedstock Conversion Rates'!B$4)/12</f>
        <v>210.9375</v>
      </c>
      <c r="AZ358" s="45">
        <f>('[2]Renewable Diesel'!O367*'[2]RD Feedstock Breakdown'!AZ$3*'[2]Feedstock Conversion Rates'!B$3)/12</f>
        <v>25.03125</v>
      </c>
      <c r="BA358" s="47">
        <f t="shared" si="325"/>
        <v>235.96875</v>
      </c>
      <c r="BB358" s="45">
        <f>('[2]Renewable Diesel'!Q367*'[2]RD Feedstock Breakdown'!BB$3*'[2]Feedstock Conversion Rates'!B$4)/12</f>
        <v>11.156249999999998</v>
      </c>
      <c r="BC358" s="45">
        <f>('[2]Renewable Diesel'!Q367*'[2]RD Feedstock Breakdown'!BC$3*'[2]Feedstock Conversion Rates'!B$3)/12</f>
        <v>1.4017500000000001</v>
      </c>
      <c r="BD358" s="45">
        <f>('[2]Renewable Diesel'!Q367*'[2]RD Feedstock Breakdown'!BD$3*'[2]Feedstock Conversion Rates'!B$6)/12</f>
        <v>0.8207500000000002</v>
      </c>
      <c r="BE358" s="47">
        <f t="shared" si="303"/>
        <v>13.378749999999998</v>
      </c>
      <c r="BF358" s="45">
        <f>('[2]Renewable Diesel'!R367*'[2]RD Feedstock Breakdown'!BF$3*'[2]Feedstock Conversion Rates'!B$4)/12</f>
        <v>62.5</v>
      </c>
      <c r="BG358" s="47">
        <f t="shared" si="289"/>
        <v>62.5</v>
      </c>
      <c r="BH358" s="45">
        <f>('[2]Renewable Diesel'!T367*'[2]RD Feedstock Breakdown'!BH$3*'[2]Feedstock Conversion Rates'!B$7)/12</f>
        <v>27.599999999999998</v>
      </c>
      <c r="BI358" s="47">
        <f t="shared" si="277"/>
        <v>27.599999999999998</v>
      </c>
      <c r="BJ358" s="45">
        <f>('[2]Renewable Diesel'!W367*'[2]RD Feedstock Breakdown'!BJ$3*'[2]Feedstock Conversion Rates'!B$4)/12</f>
        <v>7.5</v>
      </c>
      <c r="BK358" s="45">
        <f>('[2]Renewable Diesel'!W367*'[2]RD Feedstock Breakdown'!BK$3*'[2]Feedstock Conversion Rates'!B$3)/12</f>
        <v>1.335</v>
      </c>
      <c r="BL358" s="45">
        <f>('[2]Renewable Diesel'!W367*'[2]RD Feedstock Breakdown'!BL$3*'[2]Feedstock Conversion Rates'!B$6)/12</f>
        <v>3.1266666666666669</v>
      </c>
      <c r="BM358" s="45">
        <f>('[2]Renewable Diesel'!W367*'[2]RD Feedstock Breakdown'!BM$3*'[2]Feedstock Conversion Rates'!B$7)/12</f>
        <v>1.5333333333333332</v>
      </c>
      <c r="BN358" s="47">
        <f t="shared" si="316"/>
        <v>13.495000000000001</v>
      </c>
      <c r="BO358" s="45">
        <f>('[2]Renewable Diesel'!P367*'[2]Feedstock Conversion Rates'!B$4)/12</f>
        <v>31.25</v>
      </c>
      <c r="BP358" s="47">
        <f t="shared" si="311"/>
        <v>31.25</v>
      </c>
      <c r="BQ358" s="45">
        <f>('[2]Renewable Diesel'!$S367*'[2]RD Feedstock Breakdown'!BQ$3*'[2]Feedstock Conversion Rates'!B$4)/12+10+15-15</f>
        <v>38.125</v>
      </c>
      <c r="BR358" s="45">
        <f>('[2]Renewable Diesel'!$S367*'[2]RD Feedstock Breakdown'!BR$3*'[2]Feedstock Conversion Rates'!B$7)/12-10-15+15</f>
        <v>1.5</v>
      </c>
      <c r="BS358" s="47">
        <f t="shared" si="328"/>
        <v>39.625</v>
      </c>
      <c r="BT358" s="47"/>
      <c r="BU358" s="45">
        <f>('[2]Renewable Diesel'!Y367*'[2]Feedstock Conversion Rates'!B$7)/12</f>
        <v>2.6833333333333331</v>
      </c>
      <c r="BV358" s="47">
        <f t="shared" si="305"/>
        <v>2.6833333333333331</v>
      </c>
      <c r="BW358" s="45">
        <f>('[2]Renewable Diesel'!$Z367*'[2]RD Feedstock Breakdown'!BW$3*'[2]Feedstock Conversion Rates'!$B$4)/12-230+160</f>
        <v>1.875</v>
      </c>
      <c r="BX358" s="45">
        <f>('[2]Renewable Diesel'!$Z367*'[2]RD Feedstock Breakdown'!BX$3*'[2]Feedstock Conversion Rates'!$B$5)/12</f>
        <v>7.2354166666666666</v>
      </c>
      <c r="BY358" s="45">
        <f>('[2]Renewable Diesel'!$Z367*'[2]RD Feedstock Breakdown'!BY$3*'[2]Feedstock Conversion Rates'!$B$7)/12</f>
        <v>61.716666666666661</v>
      </c>
      <c r="BZ358" s="45">
        <f>('[2]Renewable Diesel'!$Z367*'[2]RD Feedstock Breakdown'!BZ$3*'[2]Feedstock Conversion Rates'!$B$3)/12+230-160</f>
        <v>85.352499999999992</v>
      </c>
      <c r="CA358" s="47">
        <f t="shared" ref="CA358:CA375" si="329">SUM(BW358:BZ358)</f>
        <v>156.17958333333331</v>
      </c>
      <c r="CB358" s="45">
        <f>('[2]Renewable Diesel'!AA367*'[2]Feedstock Conversion Rates'!B$4)/12</f>
        <v>191.25</v>
      </c>
      <c r="CC358" s="47">
        <f t="shared" si="318"/>
        <v>191.25</v>
      </c>
      <c r="CD358" s="45">
        <f>('[2]Renewable Diesel'!$AB367*'[2]RD Feedstock Breakdown'!CD$3*'[2]Feedstock Conversion Rates'!$B$6)/12-15-5</f>
        <v>12.830000000000005</v>
      </c>
      <c r="CE358" s="45">
        <f>('[2]Renewable Diesel'!$AB367*'[2]RD Feedstock Breakdown'!CE$3*'[2]Feedstock Conversion Rates'!$B$4)/12+15+5</f>
        <v>31.25</v>
      </c>
      <c r="CF358" s="47">
        <f t="shared" si="315"/>
        <v>44.080000000000005</v>
      </c>
      <c r="CG358" s="45">
        <f>('[2]Renewable Diesel'!AD367*'[2]Feedstock Conversion Rates'!B$4)/12</f>
        <v>112.5</v>
      </c>
      <c r="CH358" s="47">
        <f t="shared" si="302"/>
        <v>112.5</v>
      </c>
      <c r="CI358" s="45">
        <f>('[2]Renewable Diesel'!$AE367*'[2]RD Feedstock Breakdown'!CI$3*'[2]Feedstock Conversion Rates'!$B$5)/12</f>
        <v>0.34604166666666664</v>
      </c>
      <c r="CJ358" s="45">
        <f>('[2]Renewable Diesel'!$AE367*'[2]RD Feedstock Breakdown'!CJ$3*'[2]Feedstock Conversion Rates'!$B$4)/12</f>
        <v>0.34375</v>
      </c>
      <c r="CK358" s="47">
        <f t="shared" si="312"/>
        <v>0.68979166666666658</v>
      </c>
      <c r="CL358" s="45">
        <f>(((CL$3*'[2]Renewable Diesel'!$AF367)*'[2]Feedstock Conversion Rates'!$B$3)/12)</f>
        <v>91.78125</v>
      </c>
      <c r="CM358" s="45">
        <f>(((CM$3*'[2]Renewable Diesel'!$AF367)*'[2]Feedstock Conversion Rates'!$B$6)/12)</f>
        <v>53.739583333333336</v>
      </c>
      <c r="CN358" s="45">
        <f>(((CN$3*'[2]Renewable Diesel'!$AF367)*'[2]Feedstock Conversion Rates'!$B$4)/12)</f>
        <v>42.96875</v>
      </c>
      <c r="CO358" s="47">
        <f t="shared" si="304"/>
        <v>188.48958333333334</v>
      </c>
      <c r="CP358" s="45">
        <f>('[2]Renewable Diesel'!$AG367*'[2]RD Feedstock Breakdown'!CP$3*'[2]Feedstock Conversion Rates'!$B$3)/12</f>
        <v>6.0075000000000003</v>
      </c>
      <c r="CQ358" s="45">
        <f>('[2]Renewable Diesel'!$AG367*'[2]RD Feedstock Breakdown'!CQ$3*'[2]Feedstock Conversion Rates'!$B$6)/12</f>
        <v>3.5175000000000001</v>
      </c>
      <c r="CR358" s="45">
        <f>('[2]Renewable Diesel'!$AG367*'[2]RD Feedstock Breakdown'!CR$3*'[2]Feedstock Conversion Rates'!$B$4)/12</f>
        <v>2.8125</v>
      </c>
      <c r="CS358" s="47">
        <f t="shared" si="267"/>
        <v>12.3375</v>
      </c>
      <c r="CT358" s="45">
        <f>('[2]Renewable Diesel'!AI367*'[2]Feedstock Conversion Rates'!$B$4*'[2]RD Feedstock Breakdown'!$CT$3)/12</f>
        <v>29.375</v>
      </c>
      <c r="CU358" s="47">
        <f t="shared" si="308"/>
        <v>29.375</v>
      </c>
      <c r="CV358" s="45">
        <f>('[2]Renewable Diesel'!AN367*'[2]Feedstock Conversion Rates'!$B$3*'[2]RD Feedstock Breakdown'!$CV$3)/12</f>
        <v>0.50062499999999999</v>
      </c>
      <c r="CW358" s="47">
        <f t="shared" si="284"/>
        <v>0.50062499999999999</v>
      </c>
      <c r="CX358" s="45">
        <f>('[2]Renewable Diesel'!AO367*'[2]RD Feedstock Breakdown'!$CX$3*'[2]Feedstock Conversion Rates'!$B$3)/12</f>
        <v>6.3412499999999996</v>
      </c>
      <c r="CY358" s="45">
        <f>('[2]Renewable Diesel'!AO367*'[2]RD Feedstock Breakdown'!$CY$3*'[2]Feedstock Conversion Rates'!$B$6)/12</f>
        <v>7.4258333333333342</v>
      </c>
      <c r="CZ358" s="47">
        <f t="shared" si="268"/>
        <v>13.767083333333334</v>
      </c>
      <c r="DA358" s="45">
        <f>('[2]Renewable Diesel'!$AP367*'[2]RD Feedstock Breakdown'!DA$3*'[2]Feedstock Conversion Rates'!$B$3)/12</f>
        <v>6.3412499999999996</v>
      </c>
      <c r="DB358" s="45">
        <f>('[2]Renewable Diesel'!$AP367*'[2]RD Feedstock Breakdown'!DB$3*'[2]Feedstock Conversion Rates'!$B$8)/12</f>
        <v>7.421875</v>
      </c>
      <c r="DC358" s="47">
        <f t="shared" si="287"/>
        <v>13.763124999999999</v>
      </c>
      <c r="DD358" s="45">
        <f>('[2]Renewable Diesel'!AQ367*$DD$3*'[2]Feedstock Conversion Rates'!$B$14)/12</f>
        <v>3.1041666666666665</v>
      </c>
      <c r="DE358" s="47">
        <f t="shared" si="288"/>
        <v>3.1041666666666665</v>
      </c>
      <c r="DF358" s="45">
        <f>('[2]Renewable Diesel'!AR367*'[2]Feedstock Conversion Rates'!$B$4*$DF$3)/12</f>
        <v>75</v>
      </c>
      <c r="DG358" s="47">
        <f t="shared" si="269"/>
        <v>75</v>
      </c>
      <c r="DH358" s="45">
        <f>('[2]Renewable Diesel'!AS367*'[2]Feedstock Conversion Rates'!$B$4*$DH$3)/12</f>
        <v>75</v>
      </c>
      <c r="DI358" s="47">
        <f t="shared" si="273"/>
        <v>75</v>
      </c>
      <c r="DJ358" s="45">
        <f>('[2]Renewable Diesel'!AT367*'[2]Feedstock Conversion Rates'!$B$4*0.25)/12</f>
        <v>8.59375</v>
      </c>
      <c r="DK358" s="45">
        <f>('[2]Renewable Diesel'!$AT367*'[2]RD Feedstock Breakdown'!DK$3*'[2]Feedstock Conversion Rates'!$B$3)/12*0.5</f>
        <v>9.1781249999999996</v>
      </c>
      <c r="DL358" s="45">
        <f>('[2]Renewable Diesel'!$AT367*'[2]RD Feedstock Breakdown'!$DL$3*'[2]Feedstock Conversion Rates'!$B$6)/12</f>
        <v>10.747916666666669</v>
      </c>
      <c r="DM358" s="45">
        <f>('[2]Renewable Diesel'!$AT367*'[2]RD Feedstock Breakdown'!$DM$3*'[2]Feedstock Conversion Rates'!$B$8)/12</f>
        <v>10.7421875</v>
      </c>
      <c r="DN358" s="47">
        <f t="shared" si="317"/>
        <v>39.26197916666667</v>
      </c>
      <c r="DP358" s="45">
        <f t="shared" si="290"/>
        <v>48.220250000000007</v>
      </c>
      <c r="DQ358" s="45">
        <f t="shared" si="291"/>
        <v>374.11776750000001</v>
      </c>
      <c r="DR358" s="45">
        <f t="shared" si="296"/>
        <v>1916.953125</v>
      </c>
      <c r="DS358" s="45">
        <f t="shared" si="309"/>
        <v>228.90125</v>
      </c>
      <c r="DT358" s="45">
        <f t="shared" si="292"/>
        <v>243.03923333333344</v>
      </c>
      <c r="DU358" s="45">
        <f t="shared" si="293"/>
        <v>402.90610000000009</v>
      </c>
      <c r="DV358" s="45">
        <f t="shared" si="297"/>
        <v>78.75</v>
      </c>
      <c r="DW358" s="45">
        <f t="shared" si="294"/>
        <v>3</v>
      </c>
      <c r="DX358" s="47">
        <f t="shared" si="298"/>
        <v>3295.8877258333337</v>
      </c>
      <c r="DY358" s="50">
        <f t="shared" si="286"/>
        <v>-5.631051180898794E-13</v>
      </c>
      <c r="EA358" s="51">
        <f t="shared" ref="EA358:EF375" si="330">DP358/$DX358</f>
        <v>1.4630428585915492E-2</v>
      </c>
      <c r="EB358" s="51">
        <f t="shared" si="330"/>
        <v>0.11351047081114024</v>
      </c>
      <c r="EC358" s="51">
        <f t="shared" si="330"/>
        <v>0.58161966804112442</v>
      </c>
      <c r="ED358" s="51">
        <f t="shared" si="330"/>
        <v>6.9450560529067937E-2</v>
      </c>
      <c r="EE358" s="51">
        <f t="shared" si="330"/>
        <v>7.3740143339343672E-2</v>
      </c>
      <c r="EF358" s="51">
        <f t="shared" si="330"/>
        <v>0.12224509252605963</v>
      </c>
      <c r="EG358" s="51">
        <f t="shared" si="327"/>
        <v>2.3893410986895441E-2</v>
      </c>
      <c r="EH358" s="52">
        <f t="shared" si="299"/>
        <v>9.1022518045315965E-4</v>
      </c>
      <c r="EI358" s="51">
        <f t="shared" si="271"/>
        <v>0.99908977481954686</v>
      </c>
      <c r="EK358" s="53">
        <f>(EA358*'[2]Renewable Diesel'!BF367*'[2]Feedstock Conversion Rates'!B$2)+FB358</f>
        <v>101.29861814530152</v>
      </c>
      <c r="EL358" s="53">
        <f>(EB358*'[2]Renewable Diesel'!BF367*'[2]Feedstock Conversion Rates'!B$3)+FC358</f>
        <v>740.62094146937909</v>
      </c>
      <c r="EM358" s="53">
        <f>(EC358*'[2]Renewable Diesel'!BF367*'[2]Feedstock Conversion Rates'!B$4)+FD358</f>
        <v>3553.2674235619961</v>
      </c>
      <c r="EN358" s="53">
        <f>(ED358*'[2]Renewable Diesel'!BF367*'[2]Feedstock Conversion Rates'!B$5)+FE358</f>
        <v>427.12034001172458</v>
      </c>
      <c r="EO358" s="53">
        <f>(EE358*'[2]Renewable Diesel'!BF367*'[2]Feedstock Conversion Rates'!B$6)+FF358</f>
        <v>563.42272861983588</v>
      </c>
      <c r="EP358" s="53">
        <f>(EF358*'[2]Renewable Diesel'!BF367*'[2]Feedstock Conversion Rates'!B$7)+FG358</f>
        <v>916.10827836920248</v>
      </c>
      <c r="EQ358" s="53">
        <f>(EG358*'[2]Renewable Diesel'!BF367*'[2]Feedstock Conversion Rates'!B$8)+FH358</f>
        <v>182.46390975620963</v>
      </c>
      <c r="ER358" s="53">
        <f>(EH358*'[2]Renewable Diesel'!BF367*'[2]Feedstock Conversion Rates'!B$9)+FI358</f>
        <v>6.858326004804832</v>
      </c>
      <c r="ES358" s="53">
        <f t="shared" si="300"/>
        <v>6491.1605659384531</v>
      </c>
      <c r="ET358" s="36">
        <f>ES358/'[2]Renewable Diesel'!BF367</f>
        <v>7.968834463164538</v>
      </c>
    </row>
    <row r="359" spans="1:150" x14ac:dyDescent="0.25">
      <c r="A359" s="39">
        <v>51349</v>
      </c>
      <c r="B359" s="45">
        <f t="shared" si="319"/>
        <v>69.25</v>
      </c>
      <c r="C359" s="45">
        <f t="shared" si="321"/>
        <v>49</v>
      </c>
      <c r="D359" s="45">
        <f t="shared" si="320"/>
        <v>2</v>
      </c>
      <c r="E359" s="45">
        <f>('[2]Renewable Diesel'!B368*E$3*'[2]Feedstock Conversion Rates'!$B$2)/12+26+13-100+27.5+39</f>
        <v>95.43</v>
      </c>
      <c r="F359" s="45">
        <f>('[2]Renewable Diesel'!B368*'[2]RD Feedstock Breakdown'!F$3*'[2]Feedstock Conversion Rates'!B$8)/12+77+23-10-12-115.75+24+8</f>
        <v>48.15625</v>
      </c>
      <c r="G359" s="45">
        <f>('[2]Renewable Diesel'!B368*'[2]RD Feedstock Breakdown'!G$3*'[2]Feedstock Conversion Rates'!B$7)/12+116.75-39-57.5-145-31.5+32+70-40+10+60</f>
        <v>151.90700000000004</v>
      </c>
      <c r="H359" s="45">
        <f>('[2]Renewable Diesel'!B368*'[2]RD Feedstock Breakdown'!H$3*'[2]Feedstock Conversion Rates'!B$3)/12+67+10+12+3-235+20+47-20</f>
        <v>80.400224999999978</v>
      </c>
      <c r="I359" s="47">
        <f t="shared" si="314"/>
        <v>496.14347500000002</v>
      </c>
      <c r="J359" s="45">
        <f t="shared" si="281"/>
        <v>4</v>
      </c>
      <c r="K359" s="45"/>
      <c r="L359" s="45">
        <v>1</v>
      </c>
      <c r="M359" s="45">
        <f>('[2]Renewable Diesel'!C368*'[2]RD Feedstock Breakdown'!M$3*'[2]Feedstock Conversion Rates'!B$2)/12-55</f>
        <v>-47.20975</v>
      </c>
      <c r="N359" s="45">
        <f>('[2]Renewable Diesel'!C368*'[2]RD Feedstock Breakdown'!N$3*'[2]Feedstock Conversion Rates'!B$8)/12</f>
        <v>3.671875</v>
      </c>
      <c r="O359" s="45">
        <f>('[2]Renewable Diesel'!C368*'[2]RD Feedstock Breakdown'!O$3*'[2]Feedstock Conversion Rates'!B$7)/12</f>
        <v>11.9991</v>
      </c>
      <c r="P359" s="45">
        <f>('[2]Renewable Diesel'!C368*'[2]RD Feedstock Breakdown'!P$3*'[2]Feedstock Conversion Rates'!B$3)/12+15+35</f>
        <v>60.447042500000002</v>
      </c>
      <c r="Q359" s="47">
        <f t="shared" si="322"/>
        <v>33.908267500000001</v>
      </c>
      <c r="R359" s="45">
        <f>('[2]Renewable Diesel'!D368*'[2]RD Feedstock Breakdown'!R$3*'[2]Feedstock Conversion Rates'!B$7)/12</f>
        <v>2.2999999999999998</v>
      </c>
      <c r="S359" s="47">
        <f t="shared" si="279"/>
        <v>2.2999999999999998</v>
      </c>
      <c r="T359" s="45">
        <f t="shared" si="323"/>
        <v>0.82499999999999929</v>
      </c>
      <c r="U359" s="45"/>
      <c r="V359" s="45">
        <f>('[2]Renewable Diesel'!E368*'[2]RD Feedstock Breakdown'!V$3*'[2]Feedstock Conversion Rates'!B$6)/12-20+25</f>
        <v>49.250150000000012</v>
      </c>
      <c r="W359" s="45">
        <f>('[2]Renewable Diesel'!E368*'[2]RD Feedstock Breakdown'!W$3*'[2]Feedstock Conversion Rates'!B$8)/12-6</f>
        <v>16.1796875</v>
      </c>
      <c r="X359" s="47">
        <f t="shared" si="301"/>
        <v>66.254837500000008</v>
      </c>
      <c r="Y359" s="45">
        <f t="shared" si="324"/>
        <v>98</v>
      </c>
      <c r="Z359" s="45">
        <f>('[2]Renewable Diesel'!F368*'[2]RD Feedstock Breakdown'!Z$3*'[2]Feedstock Conversion Rates'!B$6)/12-142+15+5+20+5+15</f>
        <v>77.460000000000008</v>
      </c>
      <c r="AA359" s="45">
        <f>('[2]Renewable Diesel'!F368*'[2]RD Feedstock Breakdown'!AA$3*'[2]Feedstock Conversion Rates'!B$7)/12+24</f>
        <v>128.26666666666665</v>
      </c>
      <c r="AB359" s="47">
        <f t="shared" si="270"/>
        <v>303.72666666666669</v>
      </c>
      <c r="AC359" s="45">
        <f>('[2]Renewable Diesel'!G368*'[2]RD Feedstock Breakdown'!AC$3*'[2]Feedstock Conversion Rates'!B$5)/12</f>
        <v>11.796875</v>
      </c>
      <c r="AD359" s="45">
        <f>('[2]Renewable Diesel'!G368*'[2]RD Feedstock Breakdown'!AD$3*'[2]Feedstock Conversion Rates'!B$4)/12</f>
        <v>5.859375</v>
      </c>
      <c r="AE359" s="45">
        <f>('[2]Renewable Diesel'!G368*'[2]RD Feedstock Breakdown'!AE$3*'[2]Feedstock Conversion Rates'!B$6)/12</f>
        <v>7.3281250000000009</v>
      </c>
      <c r="AF359" s="47">
        <f t="shared" si="310"/>
        <v>24.984375</v>
      </c>
      <c r="AG359" s="45">
        <f t="shared" si="326"/>
        <v>148</v>
      </c>
      <c r="AH359" s="45"/>
      <c r="AI359" s="45">
        <f>('[2]Renewable Diesel'!H368*'[2]RD Feedstock Breakdown'!AI$3*'[2]Feedstock Conversion Rates'!B$6)/12-130-20+51-49</f>
        <v>0.51666666666667993</v>
      </c>
      <c r="AJ359" s="47">
        <f t="shared" si="278"/>
        <v>148.51666666666668</v>
      </c>
      <c r="AK359" s="45">
        <f>('[2]Renewable Diesel'!J368*'[2]RD Feedstock Breakdown'!AK$3*'[2]Feedstock Conversion Rates'!B$4)/12</f>
        <v>95.8125</v>
      </c>
      <c r="AL359" s="47">
        <f t="shared" si="280"/>
        <v>95.8125</v>
      </c>
      <c r="AM359" s="45">
        <f>('[2]Renewable Diesel'!K368*'[2]RD Feedstock Breakdown'!AM$3*'[2]Feedstock Conversion Rates'!B$4)/12+5+15-10+10</f>
        <v>78.59375</v>
      </c>
      <c r="AN359" s="45">
        <f>('[2]Renewable Diesel'!K368*'[2]RD Feedstock Breakdown'!AN$3*'[2]Feedstock Conversion Rates'!B$6)/12-5-15+10-10</f>
        <v>4.4270833333333321</v>
      </c>
      <c r="AO359" s="47">
        <f t="shared" si="295"/>
        <v>83.020833333333329</v>
      </c>
      <c r="AP359" s="45">
        <f>('[2]Renewable Diesel'!L368*'[2]RD Feedstock Breakdown'!AP$3*'[2]Feedstock Conversion Rates'!B$4)/12+15-10+15</f>
        <v>78.59375</v>
      </c>
      <c r="AQ359" s="45">
        <f>('[2]Renewable Diesel'!L368*'[2]RD Feedstock Breakdown'!AQ$3*'[2]Feedstock Conversion Rates'!B$6)/12-15+10-15</f>
        <v>4.4270833333333321</v>
      </c>
      <c r="AR359" s="47">
        <f t="shared" si="285"/>
        <v>83.020833333333329</v>
      </c>
      <c r="AS359" s="45">
        <f>('[2]Renewable Diesel'!M368*'[2]RD Feedstock Breakdown'!AS$3*'[2]Feedstock Conversion Rates'!B$4)/12</f>
        <v>456.25</v>
      </c>
      <c r="AT359" s="45">
        <f>('[2]Renewable Diesel'!M368*'[2]RD Feedstock Breakdown'!AT$3*'[2]Feedstock Conversion Rates'!B$5)/12</f>
        <v>0</v>
      </c>
      <c r="AU359" s="47">
        <f t="shared" si="313"/>
        <v>456.25</v>
      </c>
      <c r="AV359" s="45">
        <f>'[2]Renewable Diesel'!N368*'[2]RD Feedstock Breakdown'!$AV$3*'[2]Feedstock Conversion Rates'!$B$4/12-15-10+25+25-22+25</f>
        <v>106.74999999999999</v>
      </c>
      <c r="AW359" s="45">
        <f>'[2]Renewable Diesel'!N368*'[2]RD Feedstock Breakdown'!$AW$3*'[2]Feedstock Conversion Rates'!$B$7/12+15+10-25-25+22-25</f>
        <v>13.400000000000006</v>
      </c>
      <c r="AX359" s="47">
        <f t="shared" si="272"/>
        <v>120.14999999999999</v>
      </c>
      <c r="AY359" s="45">
        <f>('[2]Renewable Diesel'!O368*'[2]RD Feedstock Breakdown'!AY$3*'[2]Feedstock Conversion Rates'!B$4)/12</f>
        <v>210.9375</v>
      </c>
      <c r="AZ359" s="45">
        <f>('[2]Renewable Diesel'!O368*'[2]RD Feedstock Breakdown'!AZ$3*'[2]Feedstock Conversion Rates'!B$3)/12</f>
        <v>25.03125</v>
      </c>
      <c r="BA359" s="47">
        <f t="shared" si="325"/>
        <v>235.96875</v>
      </c>
      <c r="BB359" s="45">
        <f>('[2]Renewable Diesel'!Q368*'[2]RD Feedstock Breakdown'!BB$3*'[2]Feedstock Conversion Rates'!B$4)/12</f>
        <v>11.156249999999998</v>
      </c>
      <c r="BC359" s="45">
        <f>('[2]Renewable Diesel'!Q368*'[2]RD Feedstock Breakdown'!BC$3*'[2]Feedstock Conversion Rates'!B$3)/12</f>
        <v>1.4017500000000001</v>
      </c>
      <c r="BD359" s="45">
        <f>('[2]Renewable Diesel'!Q368*'[2]RD Feedstock Breakdown'!BD$3*'[2]Feedstock Conversion Rates'!B$6)/12</f>
        <v>0.8207500000000002</v>
      </c>
      <c r="BE359" s="47">
        <f t="shared" si="303"/>
        <v>13.378749999999998</v>
      </c>
      <c r="BF359" s="45">
        <f>('[2]Renewable Diesel'!R368*'[2]RD Feedstock Breakdown'!BF$3*'[2]Feedstock Conversion Rates'!B$4)/12</f>
        <v>62.5</v>
      </c>
      <c r="BG359" s="47">
        <f t="shared" si="289"/>
        <v>62.5</v>
      </c>
      <c r="BH359" s="45">
        <f>('[2]Renewable Diesel'!T368*'[2]RD Feedstock Breakdown'!BH$3*'[2]Feedstock Conversion Rates'!B$7)/12</f>
        <v>27.599999999999998</v>
      </c>
      <c r="BI359" s="47">
        <f t="shared" si="277"/>
        <v>27.599999999999998</v>
      </c>
      <c r="BJ359" s="45">
        <f>('[2]Renewable Diesel'!W368*'[2]RD Feedstock Breakdown'!BJ$3*'[2]Feedstock Conversion Rates'!B$4)/12</f>
        <v>7.5</v>
      </c>
      <c r="BK359" s="45">
        <f>('[2]Renewable Diesel'!W368*'[2]RD Feedstock Breakdown'!BK$3*'[2]Feedstock Conversion Rates'!B$3)/12</f>
        <v>1.335</v>
      </c>
      <c r="BL359" s="45">
        <f>('[2]Renewable Diesel'!W368*'[2]RD Feedstock Breakdown'!BL$3*'[2]Feedstock Conversion Rates'!B$6)/12</f>
        <v>3.1266666666666669</v>
      </c>
      <c r="BM359" s="45">
        <f>('[2]Renewable Diesel'!W368*'[2]RD Feedstock Breakdown'!BM$3*'[2]Feedstock Conversion Rates'!B$7)/12</f>
        <v>1.5333333333333332</v>
      </c>
      <c r="BN359" s="47">
        <f t="shared" si="316"/>
        <v>13.495000000000001</v>
      </c>
      <c r="BO359" s="45">
        <f>('[2]Renewable Diesel'!P368*'[2]Feedstock Conversion Rates'!B$4)/12</f>
        <v>31.25</v>
      </c>
      <c r="BP359" s="47">
        <f t="shared" si="311"/>
        <v>31.25</v>
      </c>
      <c r="BQ359" s="45">
        <f>('[2]Renewable Diesel'!$S368*'[2]RD Feedstock Breakdown'!BQ$3*'[2]Feedstock Conversion Rates'!B$4)/12+10+15-15</f>
        <v>38.125</v>
      </c>
      <c r="BR359" s="45">
        <f>('[2]Renewable Diesel'!$S368*'[2]RD Feedstock Breakdown'!BR$3*'[2]Feedstock Conversion Rates'!B$7)/12-10-15+15</f>
        <v>1.5</v>
      </c>
      <c r="BS359" s="47">
        <f t="shared" si="328"/>
        <v>39.625</v>
      </c>
      <c r="BT359" s="47"/>
      <c r="BU359" s="45">
        <f>('[2]Renewable Diesel'!Y368*'[2]Feedstock Conversion Rates'!B$7)/12</f>
        <v>2.6833333333333331</v>
      </c>
      <c r="BV359" s="47">
        <f t="shared" si="305"/>
        <v>2.6833333333333331</v>
      </c>
      <c r="BW359" s="45">
        <f>('[2]Renewable Diesel'!$Z368*'[2]RD Feedstock Breakdown'!BW$3*'[2]Feedstock Conversion Rates'!$B$4)/12-230+160</f>
        <v>1.875</v>
      </c>
      <c r="BX359" s="45">
        <f>('[2]Renewable Diesel'!$Z368*'[2]RD Feedstock Breakdown'!BX$3*'[2]Feedstock Conversion Rates'!$B$5)/12</f>
        <v>7.2354166666666666</v>
      </c>
      <c r="BY359" s="45">
        <f>('[2]Renewable Diesel'!$Z368*'[2]RD Feedstock Breakdown'!BY$3*'[2]Feedstock Conversion Rates'!$B$7)/12</f>
        <v>61.716666666666661</v>
      </c>
      <c r="BZ359" s="45">
        <f>('[2]Renewable Diesel'!$Z368*'[2]RD Feedstock Breakdown'!BZ$3*'[2]Feedstock Conversion Rates'!$B$3)/12+230-160</f>
        <v>85.352499999999992</v>
      </c>
      <c r="CA359" s="47">
        <f t="shared" si="329"/>
        <v>156.17958333333331</v>
      </c>
      <c r="CB359" s="45">
        <f>('[2]Renewable Diesel'!AA368*'[2]Feedstock Conversion Rates'!B$4)/12</f>
        <v>191.25</v>
      </c>
      <c r="CC359" s="47">
        <f t="shared" si="318"/>
        <v>191.25</v>
      </c>
      <c r="CD359" s="45">
        <f>('[2]Renewable Diesel'!$AB368*'[2]RD Feedstock Breakdown'!CD$3*'[2]Feedstock Conversion Rates'!$B$6)/12-15-5</f>
        <v>12.830000000000005</v>
      </c>
      <c r="CE359" s="45">
        <f>('[2]Renewable Diesel'!$AB368*'[2]RD Feedstock Breakdown'!CE$3*'[2]Feedstock Conversion Rates'!$B$4)/12+15+5</f>
        <v>31.25</v>
      </c>
      <c r="CF359" s="47">
        <f t="shared" si="315"/>
        <v>44.080000000000005</v>
      </c>
      <c r="CG359" s="45">
        <f>('[2]Renewable Diesel'!AD368*'[2]Feedstock Conversion Rates'!B$4)/12</f>
        <v>112.5</v>
      </c>
      <c r="CH359" s="47">
        <f t="shared" si="302"/>
        <v>112.5</v>
      </c>
      <c r="CI359" s="45">
        <f>('[2]Renewable Diesel'!$AE368*'[2]RD Feedstock Breakdown'!CI$3*'[2]Feedstock Conversion Rates'!$B$5)/12</f>
        <v>0.34604166666666664</v>
      </c>
      <c r="CJ359" s="45">
        <f>('[2]Renewable Diesel'!$AE368*'[2]RD Feedstock Breakdown'!CJ$3*'[2]Feedstock Conversion Rates'!$B$4)/12</f>
        <v>0.34375</v>
      </c>
      <c r="CK359" s="47">
        <f t="shared" si="312"/>
        <v>0.68979166666666658</v>
      </c>
      <c r="CL359" s="45">
        <f>(((CL$3*'[2]Renewable Diesel'!$AF368)*'[2]Feedstock Conversion Rates'!$B$3)/12)</f>
        <v>91.78125</v>
      </c>
      <c r="CM359" s="45">
        <f>(((CM$3*'[2]Renewable Diesel'!$AF368)*'[2]Feedstock Conversion Rates'!$B$6)/12)</f>
        <v>53.739583333333336</v>
      </c>
      <c r="CN359" s="45">
        <f>(((CN$3*'[2]Renewable Diesel'!$AF368)*'[2]Feedstock Conversion Rates'!$B$4)/12)</f>
        <v>42.96875</v>
      </c>
      <c r="CO359" s="47">
        <f t="shared" si="304"/>
        <v>188.48958333333334</v>
      </c>
      <c r="CP359" s="45">
        <f>('[2]Renewable Diesel'!$AG368*'[2]RD Feedstock Breakdown'!CP$3*'[2]Feedstock Conversion Rates'!$B$3)/12</f>
        <v>6.0075000000000003</v>
      </c>
      <c r="CQ359" s="45">
        <f>('[2]Renewable Diesel'!$AG368*'[2]RD Feedstock Breakdown'!CQ$3*'[2]Feedstock Conversion Rates'!$B$6)/12</f>
        <v>3.5175000000000001</v>
      </c>
      <c r="CR359" s="45">
        <f>('[2]Renewable Diesel'!$AG368*'[2]RD Feedstock Breakdown'!CR$3*'[2]Feedstock Conversion Rates'!$B$4)/12</f>
        <v>2.8125</v>
      </c>
      <c r="CS359" s="47">
        <f t="shared" si="267"/>
        <v>12.3375</v>
      </c>
      <c r="CT359" s="45">
        <f>('[2]Renewable Diesel'!AI368*'[2]Feedstock Conversion Rates'!$B$4*'[2]RD Feedstock Breakdown'!$CT$3)/12</f>
        <v>29.375</v>
      </c>
      <c r="CU359" s="47">
        <f t="shared" si="308"/>
        <v>29.375</v>
      </c>
      <c r="CV359" s="45">
        <f>('[2]Renewable Diesel'!AN368*'[2]Feedstock Conversion Rates'!$B$3*'[2]RD Feedstock Breakdown'!$CV$3)/12</f>
        <v>0.50062499999999999</v>
      </c>
      <c r="CW359" s="47">
        <f t="shared" si="284"/>
        <v>0.50062499999999999</v>
      </c>
      <c r="CX359" s="45">
        <f>('[2]Renewable Diesel'!AO368*'[2]RD Feedstock Breakdown'!$CX$3*'[2]Feedstock Conversion Rates'!$B$3)/12</f>
        <v>6.3412499999999996</v>
      </c>
      <c r="CY359" s="45">
        <f>('[2]Renewable Diesel'!AO368*'[2]RD Feedstock Breakdown'!$CY$3*'[2]Feedstock Conversion Rates'!$B$6)/12</f>
        <v>7.4258333333333342</v>
      </c>
      <c r="CZ359" s="47">
        <f t="shared" si="268"/>
        <v>13.767083333333334</v>
      </c>
      <c r="DA359" s="45">
        <f>('[2]Renewable Diesel'!$AP368*'[2]RD Feedstock Breakdown'!DA$3*'[2]Feedstock Conversion Rates'!$B$3)/12</f>
        <v>6.3412499999999996</v>
      </c>
      <c r="DB359" s="45">
        <f>('[2]Renewable Diesel'!$AP368*'[2]RD Feedstock Breakdown'!DB$3*'[2]Feedstock Conversion Rates'!$B$8)/12</f>
        <v>7.421875</v>
      </c>
      <c r="DC359" s="47">
        <f t="shared" si="287"/>
        <v>13.763124999999999</v>
      </c>
      <c r="DD359" s="45">
        <f>('[2]Renewable Diesel'!AQ368*$DD$3*'[2]Feedstock Conversion Rates'!$B$14)/12</f>
        <v>3.1041666666666665</v>
      </c>
      <c r="DE359" s="47">
        <f t="shared" si="288"/>
        <v>3.1041666666666665</v>
      </c>
      <c r="DF359" s="45">
        <f>('[2]Renewable Diesel'!AR368*'[2]Feedstock Conversion Rates'!$B$4*$DF$3)/12</f>
        <v>75</v>
      </c>
      <c r="DG359" s="47">
        <f t="shared" si="269"/>
        <v>75</v>
      </c>
      <c r="DH359" s="45">
        <f>('[2]Renewable Diesel'!AS368*'[2]Feedstock Conversion Rates'!$B$4*$DH$3)/12</f>
        <v>75</v>
      </c>
      <c r="DI359" s="47">
        <f t="shared" si="273"/>
        <v>75</v>
      </c>
      <c r="DJ359" s="45">
        <f>('[2]Renewable Diesel'!AT368*'[2]Feedstock Conversion Rates'!$B$4*0.25)/12</f>
        <v>8.59375</v>
      </c>
      <c r="DK359" s="45">
        <f>('[2]Renewable Diesel'!$AT368*'[2]RD Feedstock Breakdown'!DK$3*'[2]Feedstock Conversion Rates'!$B$3)/12*0.5</f>
        <v>9.1781249999999996</v>
      </c>
      <c r="DL359" s="45">
        <f>('[2]Renewable Diesel'!$AT368*'[2]RD Feedstock Breakdown'!$DL$3*'[2]Feedstock Conversion Rates'!$B$6)/12</f>
        <v>10.747916666666669</v>
      </c>
      <c r="DM359" s="45">
        <f>('[2]Renewable Diesel'!$AT368*'[2]RD Feedstock Breakdown'!$DM$3*'[2]Feedstock Conversion Rates'!$B$8)/12</f>
        <v>10.7421875</v>
      </c>
      <c r="DN359" s="47">
        <f t="shared" si="317"/>
        <v>39.26197916666667</v>
      </c>
      <c r="DP359" s="45">
        <f t="shared" si="290"/>
        <v>48.220250000000007</v>
      </c>
      <c r="DQ359" s="45">
        <f t="shared" si="291"/>
        <v>374.11776750000001</v>
      </c>
      <c r="DR359" s="45">
        <f t="shared" si="296"/>
        <v>1916.953125</v>
      </c>
      <c r="DS359" s="45">
        <f t="shared" si="309"/>
        <v>228.90125</v>
      </c>
      <c r="DT359" s="45">
        <f t="shared" si="292"/>
        <v>243.03923333333344</v>
      </c>
      <c r="DU359" s="45">
        <f t="shared" si="293"/>
        <v>402.90610000000009</v>
      </c>
      <c r="DV359" s="45">
        <f t="shared" si="297"/>
        <v>78.75</v>
      </c>
      <c r="DW359" s="45">
        <f t="shared" si="294"/>
        <v>3</v>
      </c>
      <c r="DX359" s="47">
        <f t="shared" si="298"/>
        <v>3295.8877258333337</v>
      </c>
      <c r="DY359" s="50">
        <f t="shared" si="286"/>
        <v>-5.631051180898794E-13</v>
      </c>
      <c r="EA359" s="51">
        <f t="shared" si="330"/>
        <v>1.4630428585915492E-2</v>
      </c>
      <c r="EB359" s="51">
        <f t="shared" si="330"/>
        <v>0.11351047081114024</v>
      </c>
      <c r="EC359" s="51">
        <f t="shared" si="330"/>
        <v>0.58161966804112442</v>
      </c>
      <c r="ED359" s="51">
        <f t="shared" si="330"/>
        <v>6.9450560529067937E-2</v>
      </c>
      <c r="EE359" s="51">
        <f t="shared" si="330"/>
        <v>7.3740143339343672E-2</v>
      </c>
      <c r="EF359" s="51">
        <f t="shared" si="330"/>
        <v>0.12224509252605963</v>
      </c>
      <c r="EG359" s="51">
        <f t="shared" si="327"/>
        <v>2.3893410986895441E-2</v>
      </c>
      <c r="EH359" s="52">
        <f t="shared" si="299"/>
        <v>9.1022518045315965E-4</v>
      </c>
      <c r="EI359" s="51">
        <f t="shared" si="271"/>
        <v>0.99908977481954686</v>
      </c>
      <c r="EK359" s="53">
        <f>(EA359*'[2]Renewable Diesel'!BF368*'[2]Feedstock Conversion Rates'!B$2)+FB359</f>
        <v>106.77537469222894</v>
      </c>
      <c r="EL359" s="53">
        <f>(EB359*'[2]Renewable Diesel'!BF368*'[2]Feedstock Conversion Rates'!B$3)+FC359</f>
        <v>780.66295452197392</v>
      </c>
      <c r="EM359" s="53">
        <f>(EC359*'[2]Renewable Diesel'!BF368*'[2]Feedstock Conversion Rates'!B$4)+FD359</f>
        <v>3745.3764669160078</v>
      </c>
      <c r="EN359" s="53">
        <f>(ED359*'[2]Renewable Diesel'!BF368*'[2]Feedstock Conversion Rates'!B$5)+FE359</f>
        <v>450.21279834249583</v>
      </c>
      <c r="EO359" s="53">
        <f>(EE359*'[2]Renewable Diesel'!BF368*'[2]Feedstock Conversion Rates'!B$6)+FF359</f>
        <v>593.88443850446902</v>
      </c>
      <c r="EP359" s="53">
        <f>(EF359*'[2]Renewable Diesel'!BF368*'[2]Feedstock Conversion Rates'!B$7)+FG359</f>
        <v>965.63809529183993</v>
      </c>
      <c r="EQ359" s="53">
        <f>(EG359*'[2]Renewable Diesel'!BF368*'[2]Feedstock Conversion Rates'!B$8)+FH359</f>
        <v>192.32890525794389</v>
      </c>
      <c r="ER359" s="53">
        <f>(EH359*'[2]Renewable Diesel'!BF368*'[2]Feedstock Conversion Rates'!B$9)+FI359</f>
        <v>7.2291245658858916</v>
      </c>
      <c r="ES359" s="53">
        <f t="shared" si="300"/>
        <v>6842.1081580928458</v>
      </c>
      <c r="ET359" s="36">
        <f>ES359/'[2]Renewable Diesel'!BF368</f>
        <v>7.9688344631645407</v>
      </c>
    </row>
    <row r="360" spans="1:150" x14ac:dyDescent="0.25">
      <c r="A360" s="39">
        <v>51380</v>
      </c>
      <c r="B360" s="45">
        <f t="shared" si="319"/>
        <v>69.25</v>
      </c>
      <c r="C360" s="45">
        <f t="shared" si="321"/>
        <v>49</v>
      </c>
      <c r="D360" s="45">
        <f t="shared" si="320"/>
        <v>2</v>
      </c>
      <c r="E360" s="45">
        <f>('[2]Renewable Diesel'!B369*E$3*'[2]Feedstock Conversion Rates'!$B$2)/12+26+13-100+27.5+39</f>
        <v>95.43</v>
      </c>
      <c r="F360" s="45">
        <f>('[2]Renewable Diesel'!B369*'[2]RD Feedstock Breakdown'!F$3*'[2]Feedstock Conversion Rates'!B$8)/12+77+23-10-12-115.75+24+8</f>
        <v>48.15625</v>
      </c>
      <c r="G360" s="45">
        <f>('[2]Renewable Diesel'!B369*'[2]RD Feedstock Breakdown'!G$3*'[2]Feedstock Conversion Rates'!B$7)/12+116.75-39-57.5-145-31.5+32+70-40+10+60</f>
        <v>151.90700000000004</v>
      </c>
      <c r="H360" s="45">
        <f>('[2]Renewable Diesel'!B369*'[2]RD Feedstock Breakdown'!H$3*'[2]Feedstock Conversion Rates'!B$3)/12+67+10+12+3-235+20+47-20</f>
        <v>80.400224999999978</v>
      </c>
      <c r="I360" s="47">
        <f t="shared" si="314"/>
        <v>496.14347500000002</v>
      </c>
      <c r="J360" s="45">
        <f t="shared" si="281"/>
        <v>4</v>
      </c>
      <c r="K360" s="45"/>
      <c r="L360" s="45">
        <v>1</v>
      </c>
      <c r="M360" s="45">
        <f>('[2]Renewable Diesel'!C369*'[2]RD Feedstock Breakdown'!M$3*'[2]Feedstock Conversion Rates'!B$2)/12-55</f>
        <v>-47.20975</v>
      </c>
      <c r="N360" s="45">
        <f>('[2]Renewable Diesel'!C369*'[2]RD Feedstock Breakdown'!N$3*'[2]Feedstock Conversion Rates'!B$8)/12</f>
        <v>3.671875</v>
      </c>
      <c r="O360" s="45">
        <f>('[2]Renewable Diesel'!C369*'[2]RD Feedstock Breakdown'!O$3*'[2]Feedstock Conversion Rates'!B$7)/12</f>
        <v>11.9991</v>
      </c>
      <c r="P360" s="45">
        <f>('[2]Renewable Diesel'!C369*'[2]RD Feedstock Breakdown'!P$3*'[2]Feedstock Conversion Rates'!B$3)/12+15+35</f>
        <v>60.447042500000002</v>
      </c>
      <c r="Q360" s="47">
        <f t="shared" si="322"/>
        <v>33.908267500000001</v>
      </c>
      <c r="R360" s="45">
        <f>('[2]Renewable Diesel'!D369*'[2]RD Feedstock Breakdown'!R$3*'[2]Feedstock Conversion Rates'!B$7)/12</f>
        <v>2.2999999999999998</v>
      </c>
      <c r="S360" s="47">
        <f t="shared" si="279"/>
        <v>2.2999999999999998</v>
      </c>
      <c r="T360" s="45">
        <f t="shared" si="323"/>
        <v>0.82499999999999929</v>
      </c>
      <c r="U360" s="45"/>
      <c r="V360" s="45">
        <f>('[2]Renewable Diesel'!E369*'[2]RD Feedstock Breakdown'!V$3*'[2]Feedstock Conversion Rates'!B$6)/12-20+25</f>
        <v>49.250150000000012</v>
      </c>
      <c r="W360" s="45">
        <f>('[2]Renewable Diesel'!E369*'[2]RD Feedstock Breakdown'!W$3*'[2]Feedstock Conversion Rates'!B$8)/12-6</f>
        <v>16.1796875</v>
      </c>
      <c r="X360" s="47">
        <f t="shared" si="301"/>
        <v>66.254837500000008</v>
      </c>
      <c r="Y360" s="45">
        <f t="shared" si="324"/>
        <v>98</v>
      </c>
      <c r="Z360" s="45">
        <f>('[2]Renewable Diesel'!F369*'[2]RD Feedstock Breakdown'!Z$3*'[2]Feedstock Conversion Rates'!B$6)/12-142+15+5+20+5+15</f>
        <v>77.460000000000008</v>
      </c>
      <c r="AA360" s="45">
        <f>('[2]Renewable Diesel'!F369*'[2]RD Feedstock Breakdown'!AA$3*'[2]Feedstock Conversion Rates'!B$7)/12+24</f>
        <v>128.26666666666665</v>
      </c>
      <c r="AB360" s="47">
        <f t="shared" si="270"/>
        <v>303.72666666666669</v>
      </c>
      <c r="AC360" s="45">
        <f>('[2]Renewable Diesel'!G369*'[2]RD Feedstock Breakdown'!AC$3*'[2]Feedstock Conversion Rates'!B$5)/12</f>
        <v>11.796875</v>
      </c>
      <c r="AD360" s="45">
        <f>('[2]Renewable Diesel'!G369*'[2]RD Feedstock Breakdown'!AD$3*'[2]Feedstock Conversion Rates'!B$4)/12</f>
        <v>5.859375</v>
      </c>
      <c r="AE360" s="45">
        <f>('[2]Renewable Diesel'!G369*'[2]RD Feedstock Breakdown'!AE$3*'[2]Feedstock Conversion Rates'!B$6)/12</f>
        <v>7.3281250000000009</v>
      </c>
      <c r="AF360" s="47">
        <f t="shared" si="310"/>
        <v>24.984375</v>
      </c>
      <c r="AG360" s="45">
        <f t="shared" si="326"/>
        <v>148</v>
      </c>
      <c r="AH360" s="45"/>
      <c r="AI360" s="45">
        <f>('[2]Renewable Diesel'!H369*'[2]RD Feedstock Breakdown'!AI$3*'[2]Feedstock Conversion Rates'!B$6)/12-130-20+51-49</f>
        <v>0.51666666666667993</v>
      </c>
      <c r="AJ360" s="47">
        <f t="shared" si="278"/>
        <v>148.51666666666668</v>
      </c>
      <c r="AK360" s="45">
        <f>('[2]Renewable Diesel'!J369*'[2]RD Feedstock Breakdown'!AK$3*'[2]Feedstock Conversion Rates'!B$4)/12</f>
        <v>95.8125</v>
      </c>
      <c r="AL360" s="47">
        <f t="shared" si="280"/>
        <v>95.8125</v>
      </c>
      <c r="AM360" s="45">
        <f>('[2]Renewable Diesel'!K369*'[2]RD Feedstock Breakdown'!AM$3*'[2]Feedstock Conversion Rates'!B$4)/12+5+15-10+10</f>
        <v>78.59375</v>
      </c>
      <c r="AN360" s="45">
        <f>('[2]Renewable Diesel'!K369*'[2]RD Feedstock Breakdown'!AN$3*'[2]Feedstock Conversion Rates'!B$6)/12-5-15+10-10</f>
        <v>4.4270833333333321</v>
      </c>
      <c r="AO360" s="47">
        <f t="shared" si="295"/>
        <v>83.020833333333329</v>
      </c>
      <c r="AP360" s="45">
        <f>('[2]Renewable Diesel'!L369*'[2]RD Feedstock Breakdown'!AP$3*'[2]Feedstock Conversion Rates'!B$4)/12+15-10+15</f>
        <v>78.59375</v>
      </c>
      <c r="AQ360" s="45">
        <f>('[2]Renewable Diesel'!L369*'[2]RD Feedstock Breakdown'!AQ$3*'[2]Feedstock Conversion Rates'!B$6)/12-15+10-15</f>
        <v>4.4270833333333321</v>
      </c>
      <c r="AR360" s="47">
        <f t="shared" si="285"/>
        <v>83.020833333333329</v>
      </c>
      <c r="AS360" s="45">
        <f>('[2]Renewable Diesel'!M369*'[2]RD Feedstock Breakdown'!AS$3*'[2]Feedstock Conversion Rates'!B$4)/12</f>
        <v>456.25</v>
      </c>
      <c r="AT360" s="45">
        <f>('[2]Renewable Diesel'!M369*'[2]RD Feedstock Breakdown'!AT$3*'[2]Feedstock Conversion Rates'!B$5)/12</f>
        <v>0</v>
      </c>
      <c r="AU360" s="47">
        <f t="shared" si="313"/>
        <v>456.25</v>
      </c>
      <c r="AV360" s="45">
        <f>'[2]Renewable Diesel'!N369*'[2]RD Feedstock Breakdown'!$AV$3*'[2]Feedstock Conversion Rates'!$B$4/12-15-10+25+25-22+25</f>
        <v>106.74999999999999</v>
      </c>
      <c r="AW360" s="45">
        <f>'[2]Renewable Diesel'!N369*'[2]RD Feedstock Breakdown'!$AW$3*'[2]Feedstock Conversion Rates'!$B$7/12+15+10-25-25+22-25</f>
        <v>13.400000000000006</v>
      </c>
      <c r="AX360" s="47">
        <f t="shared" si="272"/>
        <v>120.14999999999999</v>
      </c>
      <c r="AY360" s="45">
        <f>('[2]Renewable Diesel'!O369*'[2]RD Feedstock Breakdown'!AY$3*'[2]Feedstock Conversion Rates'!B$4)/12</f>
        <v>210.9375</v>
      </c>
      <c r="AZ360" s="45">
        <f>('[2]Renewable Diesel'!O369*'[2]RD Feedstock Breakdown'!AZ$3*'[2]Feedstock Conversion Rates'!B$3)/12</f>
        <v>25.03125</v>
      </c>
      <c r="BA360" s="47">
        <f t="shared" si="325"/>
        <v>235.96875</v>
      </c>
      <c r="BB360" s="45">
        <f>('[2]Renewable Diesel'!Q369*'[2]RD Feedstock Breakdown'!BB$3*'[2]Feedstock Conversion Rates'!B$4)/12</f>
        <v>11.156249999999998</v>
      </c>
      <c r="BC360" s="45">
        <f>('[2]Renewable Diesel'!Q369*'[2]RD Feedstock Breakdown'!BC$3*'[2]Feedstock Conversion Rates'!B$3)/12</f>
        <v>1.4017500000000001</v>
      </c>
      <c r="BD360" s="45">
        <f>('[2]Renewable Diesel'!Q369*'[2]RD Feedstock Breakdown'!BD$3*'[2]Feedstock Conversion Rates'!B$6)/12</f>
        <v>0.8207500000000002</v>
      </c>
      <c r="BE360" s="47">
        <f t="shared" si="303"/>
        <v>13.378749999999998</v>
      </c>
      <c r="BF360" s="45">
        <f>('[2]Renewable Diesel'!R369*'[2]RD Feedstock Breakdown'!BF$3*'[2]Feedstock Conversion Rates'!B$4)/12</f>
        <v>62.5</v>
      </c>
      <c r="BG360" s="47">
        <f t="shared" si="289"/>
        <v>62.5</v>
      </c>
      <c r="BH360" s="45">
        <f>('[2]Renewable Diesel'!T369*'[2]RD Feedstock Breakdown'!BH$3*'[2]Feedstock Conversion Rates'!B$7)/12</f>
        <v>27.599999999999998</v>
      </c>
      <c r="BI360" s="47">
        <f t="shared" si="277"/>
        <v>27.599999999999998</v>
      </c>
      <c r="BJ360" s="45">
        <f>('[2]Renewable Diesel'!W369*'[2]RD Feedstock Breakdown'!BJ$3*'[2]Feedstock Conversion Rates'!B$4)/12</f>
        <v>7.5</v>
      </c>
      <c r="BK360" s="45">
        <f>('[2]Renewable Diesel'!W369*'[2]RD Feedstock Breakdown'!BK$3*'[2]Feedstock Conversion Rates'!B$3)/12</f>
        <v>1.335</v>
      </c>
      <c r="BL360" s="45">
        <f>('[2]Renewable Diesel'!W369*'[2]RD Feedstock Breakdown'!BL$3*'[2]Feedstock Conversion Rates'!B$6)/12</f>
        <v>3.1266666666666669</v>
      </c>
      <c r="BM360" s="45">
        <f>('[2]Renewable Diesel'!W369*'[2]RD Feedstock Breakdown'!BM$3*'[2]Feedstock Conversion Rates'!B$7)/12</f>
        <v>1.5333333333333332</v>
      </c>
      <c r="BN360" s="47">
        <f t="shared" si="316"/>
        <v>13.495000000000001</v>
      </c>
      <c r="BO360" s="45">
        <f>('[2]Renewable Diesel'!P369*'[2]Feedstock Conversion Rates'!B$4)/12</f>
        <v>31.25</v>
      </c>
      <c r="BP360" s="47">
        <f t="shared" si="311"/>
        <v>31.25</v>
      </c>
      <c r="BQ360" s="45">
        <f>('[2]Renewable Diesel'!$S369*'[2]RD Feedstock Breakdown'!BQ$3*'[2]Feedstock Conversion Rates'!B$4)/12+10+15-15</f>
        <v>38.125</v>
      </c>
      <c r="BR360" s="45">
        <f>('[2]Renewable Diesel'!$S369*'[2]RD Feedstock Breakdown'!BR$3*'[2]Feedstock Conversion Rates'!B$7)/12-10-15+15</f>
        <v>1.5</v>
      </c>
      <c r="BS360" s="47">
        <f t="shared" si="328"/>
        <v>39.625</v>
      </c>
      <c r="BT360" s="47"/>
      <c r="BU360" s="45">
        <f>('[2]Renewable Diesel'!Y369*'[2]Feedstock Conversion Rates'!B$7)/12</f>
        <v>2.6833333333333331</v>
      </c>
      <c r="BV360" s="47">
        <f t="shared" si="305"/>
        <v>2.6833333333333331</v>
      </c>
      <c r="BW360" s="45">
        <f>('[2]Renewable Diesel'!$Z369*'[2]RD Feedstock Breakdown'!BW$3*'[2]Feedstock Conversion Rates'!$B$4)/12-230+160</f>
        <v>1.875</v>
      </c>
      <c r="BX360" s="45">
        <f>('[2]Renewable Diesel'!$Z369*'[2]RD Feedstock Breakdown'!BX$3*'[2]Feedstock Conversion Rates'!$B$5)/12</f>
        <v>7.2354166666666666</v>
      </c>
      <c r="BY360" s="45">
        <f>('[2]Renewable Diesel'!$Z369*'[2]RD Feedstock Breakdown'!BY$3*'[2]Feedstock Conversion Rates'!$B$7)/12</f>
        <v>61.716666666666661</v>
      </c>
      <c r="BZ360" s="45">
        <f>('[2]Renewable Diesel'!$Z369*'[2]RD Feedstock Breakdown'!BZ$3*'[2]Feedstock Conversion Rates'!$B$3)/12+230-160</f>
        <v>85.352499999999992</v>
      </c>
      <c r="CA360" s="47">
        <f t="shared" si="329"/>
        <v>156.17958333333331</v>
      </c>
      <c r="CB360" s="45">
        <f>('[2]Renewable Diesel'!AA369*'[2]Feedstock Conversion Rates'!B$4)/12</f>
        <v>191.25</v>
      </c>
      <c r="CC360" s="47">
        <f t="shared" si="318"/>
        <v>191.25</v>
      </c>
      <c r="CD360" s="45">
        <f>('[2]Renewable Diesel'!$AB369*'[2]RD Feedstock Breakdown'!CD$3*'[2]Feedstock Conversion Rates'!$B$6)/12-15-5</f>
        <v>12.830000000000005</v>
      </c>
      <c r="CE360" s="45">
        <f>('[2]Renewable Diesel'!$AB369*'[2]RD Feedstock Breakdown'!CE$3*'[2]Feedstock Conversion Rates'!$B$4)/12+15+5</f>
        <v>31.25</v>
      </c>
      <c r="CF360" s="47">
        <f t="shared" si="315"/>
        <v>44.080000000000005</v>
      </c>
      <c r="CG360" s="45">
        <f>('[2]Renewable Diesel'!AD369*'[2]Feedstock Conversion Rates'!B$4)/12</f>
        <v>112.5</v>
      </c>
      <c r="CH360" s="47">
        <f t="shared" si="302"/>
        <v>112.5</v>
      </c>
      <c r="CI360" s="45">
        <f>('[2]Renewable Diesel'!$AE369*'[2]RD Feedstock Breakdown'!CI$3*'[2]Feedstock Conversion Rates'!$B$5)/12</f>
        <v>0.34604166666666664</v>
      </c>
      <c r="CJ360" s="45">
        <f>('[2]Renewable Diesel'!$AE369*'[2]RD Feedstock Breakdown'!CJ$3*'[2]Feedstock Conversion Rates'!$B$4)/12</f>
        <v>0.34375</v>
      </c>
      <c r="CK360" s="47">
        <f t="shared" si="312"/>
        <v>0.68979166666666658</v>
      </c>
      <c r="CL360" s="45">
        <f>(((CL$3*'[2]Renewable Diesel'!$AF369)*'[2]Feedstock Conversion Rates'!$B$3)/12)</f>
        <v>91.78125</v>
      </c>
      <c r="CM360" s="45">
        <f>(((CM$3*'[2]Renewable Diesel'!$AF369)*'[2]Feedstock Conversion Rates'!$B$6)/12)</f>
        <v>53.739583333333336</v>
      </c>
      <c r="CN360" s="45">
        <f>(((CN$3*'[2]Renewable Diesel'!$AF369)*'[2]Feedstock Conversion Rates'!$B$4)/12)</f>
        <v>42.96875</v>
      </c>
      <c r="CO360" s="47">
        <f t="shared" si="304"/>
        <v>188.48958333333334</v>
      </c>
      <c r="CP360" s="45">
        <f>('[2]Renewable Diesel'!$AG369*'[2]RD Feedstock Breakdown'!CP$3*'[2]Feedstock Conversion Rates'!$B$3)/12</f>
        <v>6.0075000000000003</v>
      </c>
      <c r="CQ360" s="45">
        <f>('[2]Renewable Diesel'!$AG369*'[2]RD Feedstock Breakdown'!CQ$3*'[2]Feedstock Conversion Rates'!$B$6)/12</f>
        <v>3.5175000000000001</v>
      </c>
      <c r="CR360" s="45">
        <f>('[2]Renewable Diesel'!$AG369*'[2]RD Feedstock Breakdown'!CR$3*'[2]Feedstock Conversion Rates'!$B$4)/12</f>
        <v>2.8125</v>
      </c>
      <c r="CS360" s="47">
        <f t="shared" si="267"/>
        <v>12.3375</v>
      </c>
      <c r="CT360" s="45">
        <f>('[2]Renewable Diesel'!AI369*'[2]Feedstock Conversion Rates'!$B$4*'[2]RD Feedstock Breakdown'!$CT$3)/12</f>
        <v>29.375</v>
      </c>
      <c r="CU360" s="47">
        <f t="shared" si="308"/>
        <v>29.375</v>
      </c>
      <c r="CV360" s="45">
        <f>('[2]Renewable Diesel'!AN369*'[2]Feedstock Conversion Rates'!$B$3*'[2]RD Feedstock Breakdown'!$CV$3)/12</f>
        <v>0.50062499999999999</v>
      </c>
      <c r="CW360" s="47">
        <f t="shared" si="284"/>
        <v>0.50062499999999999</v>
      </c>
      <c r="CX360" s="45">
        <f>('[2]Renewable Diesel'!AO369*'[2]RD Feedstock Breakdown'!$CX$3*'[2]Feedstock Conversion Rates'!$B$3)/12</f>
        <v>6.3412499999999996</v>
      </c>
      <c r="CY360" s="45">
        <f>('[2]Renewable Diesel'!AO369*'[2]RD Feedstock Breakdown'!$CY$3*'[2]Feedstock Conversion Rates'!$B$6)/12</f>
        <v>7.4258333333333342</v>
      </c>
      <c r="CZ360" s="47">
        <f t="shared" si="268"/>
        <v>13.767083333333334</v>
      </c>
      <c r="DA360" s="45">
        <f>('[2]Renewable Diesel'!$AP369*'[2]RD Feedstock Breakdown'!DA$3*'[2]Feedstock Conversion Rates'!$B$3)/12</f>
        <v>6.3412499999999996</v>
      </c>
      <c r="DB360" s="45">
        <f>('[2]Renewable Diesel'!$AP369*'[2]RD Feedstock Breakdown'!DB$3*'[2]Feedstock Conversion Rates'!$B$8)/12</f>
        <v>7.421875</v>
      </c>
      <c r="DC360" s="47">
        <f t="shared" si="287"/>
        <v>13.763124999999999</v>
      </c>
      <c r="DD360" s="45">
        <f>('[2]Renewable Diesel'!AQ369*$DD$3*'[2]Feedstock Conversion Rates'!$B$14)/12</f>
        <v>3.1041666666666665</v>
      </c>
      <c r="DE360" s="47">
        <f t="shared" si="288"/>
        <v>3.1041666666666665</v>
      </c>
      <c r="DF360" s="45">
        <f>('[2]Renewable Diesel'!AR369*'[2]Feedstock Conversion Rates'!$B$4*$DF$3)/12</f>
        <v>75</v>
      </c>
      <c r="DG360" s="47">
        <f t="shared" si="269"/>
        <v>75</v>
      </c>
      <c r="DH360" s="45">
        <f>('[2]Renewable Diesel'!AS369*'[2]Feedstock Conversion Rates'!$B$4*$DH$3)/12</f>
        <v>75</v>
      </c>
      <c r="DI360" s="47">
        <f t="shared" si="273"/>
        <v>75</v>
      </c>
      <c r="DJ360" s="45">
        <f>('[2]Renewable Diesel'!AT369*'[2]Feedstock Conversion Rates'!$B$4*0.25)/12</f>
        <v>8.59375</v>
      </c>
      <c r="DK360" s="45">
        <f>('[2]Renewable Diesel'!$AT369*'[2]RD Feedstock Breakdown'!DK$3*'[2]Feedstock Conversion Rates'!$B$3)/12*0.5</f>
        <v>9.1781249999999996</v>
      </c>
      <c r="DL360" s="45">
        <f>('[2]Renewable Diesel'!$AT369*'[2]RD Feedstock Breakdown'!$DL$3*'[2]Feedstock Conversion Rates'!$B$6)/12</f>
        <v>10.747916666666669</v>
      </c>
      <c r="DM360" s="45">
        <f>('[2]Renewable Diesel'!$AT369*'[2]RD Feedstock Breakdown'!$DM$3*'[2]Feedstock Conversion Rates'!$B$8)/12</f>
        <v>10.7421875</v>
      </c>
      <c r="DN360" s="47">
        <f t="shared" si="317"/>
        <v>39.26197916666667</v>
      </c>
      <c r="DP360" s="45">
        <f t="shared" si="290"/>
        <v>48.220250000000007</v>
      </c>
      <c r="DQ360" s="45">
        <f t="shared" si="291"/>
        <v>374.11776750000001</v>
      </c>
      <c r="DR360" s="45">
        <f t="shared" si="296"/>
        <v>1916.953125</v>
      </c>
      <c r="DS360" s="45">
        <f t="shared" si="309"/>
        <v>228.90125</v>
      </c>
      <c r="DT360" s="45">
        <f t="shared" si="292"/>
        <v>243.03923333333344</v>
      </c>
      <c r="DU360" s="45">
        <f t="shared" si="293"/>
        <v>402.90610000000009</v>
      </c>
      <c r="DV360" s="45">
        <f t="shared" si="297"/>
        <v>78.75</v>
      </c>
      <c r="DW360" s="45">
        <f t="shared" si="294"/>
        <v>3</v>
      </c>
      <c r="DX360" s="47">
        <f t="shared" si="298"/>
        <v>3295.8877258333337</v>
      </c>
      <c r="DY360" s="50">
        <f t="shared" si="286"/>
        <v>-5.631051180898794E-13</v>
      </c>
      <c r="EA360" s="51">
        <f t="shared" si="330"/>
        <v>1.4630428585915492E-2</v>
      </c>
      <c r="EB360" s="51">
        <f t="shared" si="330"/>
        <v>0.11351047081114024</v>
      </c>
      <c r="EC360" s="51">
        <f t="shared" si="330"/>
        <v>0.58161966804112442</v>
      </c>
      <c r="ED360" s="51">
        <f t="shared" si="330"/>
        <v>6.9450560529067937E-2</v>
      </c>
      <c r="EE360" s="51">
        <f t="shared" si="330"/>
        <v>7.3740143339343672E-2</v>
      </c>
      <c r="EF360" s="51">
        <f t="shared" si="330"/>
        <v>0.12224509252605963</v>
      </c>
      <c r="EG360" s="51">
        <f t="shared" si="327"/>
        <v>2.3893410986895441E-2</v>
      </c>
      <c r="EH360" s="52">
        <f t="shared" si="299"/>
        <v>9.1022518045315965E-4</v>
      </c>
      <c r="EI360" s="51">
        <f t="shared" si="271"/>
        <v>0.99908977481954686</v>
      </c>
      <c r="EK360" s="53">
        <f>(EA360*'[2]Renewable Diesel'!BF369*'[2]Feedstock Conversion Rates'!B$2)+FB360</f>
        <v>120.37105173930163</v>
      </c>
      <c r="EL360" s="53">
        <f>(EB360*'[2]Renewable Diesel'!BF369*'[2]Feedstock Conversion Rates'!B$3)+FC360</f>
        <v>880.06453885625774</v>
      </c>
      <c r="EM360" s="53">
        <f>(EC360*'[2]Renewable Diesel'!BF369*'[2]Feedstock Conversion Rates'!B$4)+FD360</f>
        <v>4222.2741505876538</v>
      </c>
      <c r="EN360" s="53">
        <f>(ED360*'[2]Renewable Diesel'!BF369*'[2]Feedstock Conversion Rates'!B$5)+FE360</f>
        <v>507.53826150632506</v>
      </c>
      <c r="EO360" s="53">
        <f>(EE360*'[2]Renewable Diesel'!BF369*'[2]Feedstock Conversion Rates'!B$6)+FF360</f>
        <v>669.50356934303773</v>
      </c>
      <c r="EP360" s="53">
        <f>(EF360*'[2]Renewable Diesel'!BF369*'[2]Feedstock Conversion Rates'!B$7)+FG360</f>
        <v>1088.592509882096</v>
      </c>
      <c r="EQ360" s="53">
        <f>(EG360*'[2]Renewable Diesel'!BF369*'[2]Feedstock Conversion Rates'!B$8)+FH360</f>
        <v>216.81808818276255</v>
      </c>
      <c r="ER360" s="53">
        <f>(EH360*'[2]Renewable Diesel'!BF369*'[2]Feedstock Conversion Rates'!B$9)+FI360</f>
        <v>8.149606870107645</v>
      </c>
      <c r="ES360" s="53">
        <f t="shared" si="300"/>
        <v>7713.3117769675428</v>
      </c>
      <c r="ET360" s="36">
        <f>ES360/'[2]Renewable Diesel'!BF369</f>
        <v>7.9688344631645398</v>
      </c>
    </row>
    <row r="361" spans="1:150" x14ac:dyDescent="0.25">
      <c r="A361" s="39">
        <v>51410</v>
      </c>
      <c r="B361" s="45">
        <f>115.75+145+100+235+31.5-21-287-20-28-32-70-39-47+40+20-3-10-60-25-1</f>
        <v>44.25</v>
      </c>
      <c r="C361" s="45">
        <f t="shared" si="321"/>
        <v>49</v>
      </c>
      <c r="D361" s="45">
        <f>1+1</f>
        <v>2</v>
      </c>
      <c r="E361" s="45">
        <f>('[2]Renewable Diesel'!B370*E$3*'[2]Feedstock Conversion Rates'!$B$2)/12+26+13-100+27.5+39</f>
        <v>95.43</v>
      </c>
      <c r="F361" s="45">
        <f>('[2]Renewable Diesel'!B370*'[2]RD Feedstock Breakdown'!F$3*'[2]Feedstock Conversion Rates'!B$8)/12+77+23-10-12-115.75+24+8</f>
        <v>48.15625</v>
      </c>
      <c r="G361" s="45">
        <f>('[2]Renewable Diesel'!B370*'[2]RD Feedstock Breakdown'!G$3*'[2]Feedstock Conversion Rates'!B$7)/12+116.75-39-57.5-145-31.5+32+70-40+10+60</f>
        <v>151.90700000000004</v>
      </c>
      <c r="H361" s="45">
        <f>('[2]Renewable Diesel'!B370*'[2]RD Feedstock Breakdown'!H$3*'[2]Feedstock Conversion Rates'!B$3)/12+67+10+12+3-235+20+47-20+25</f>
        <v>105.40022499999998</v>
      </c>
      <c r="I361" s="47">
        <f t="shared" si="314"/>
        <v>496.14347500000002</v>
      </c>
      <c r="J361" s="45">
        <f t="shared" si="281"/>
        <v>4</v>
      </c>
      <c r="K361" s="45"/>
      <c r="L361" s="45">
        <v>1</v>
      </c>
      <c r="M361" s="45">
        <f>('[2]Renewable Diesel'!C370*'[2]RD Feedstock Breakdown'!M$3*'[2]Feedstock Conversion Rates'!B$2)/12-55</f>
        <v>-47.20975</v>
      </c>
      <c r="N361" s="45">
        <f>('[2]Renewable Diesel'!C370*'[2]RD Feedstock Breakdown'!N$3*'[2]Feedstock Conversion Rates'!B$8)/12</f>
        <v>3.671875</v>
      </c>
      <c r="O361" s="45">
        <f>('[2]Renewable Diesel'!C370*'[2]RD Feedstock Breakdown'!O$3*'[2]Feedstock Conversion Rates'!B$7)/12+30</f>
        <v>41.999099999999999</v>
      </c>
      <c r="P361" s="45">
        <f>('[2]Renewable Diesel'!C370*'[2]RD Feedstock Breakdown'!P$3*'[2]Feedstock Conversion Rates'!B$3)/12+15+35</f>
        <v>60.447042500000002</v>
      </c>
      <c r="Q361" s="47">
        <f t="shared" si="322"/>
        <v>63.908267500000001</v>
      </c>
      <c r="R361" s="45">
        <f>('[2]Renewable Diesel'!D370*'[2]RD Feedstock Breakdown'!R$3*'[2]Feedstock Conversion Rates'!B$7)/12</f>
        <v>2.2999999999999998</v>
      </c>
      <c r="S361" s="47">
        <f t="shared" si="279"/>
        <v>2.2999999999999998</v>
      </c>
      <c r="T361" s="45">
        <f t="shared" si="323"/>
        <v>0.82499999999999929</v>
      </c>
      <c r="U361" s="45"/>
      <c r="V361" s="45">
        <f>('[2]Renewable Diesel'!E370*'[2]RD Feedstock Breakdown'!V$3*'[2]Feedstock Conversion Rates'!B$6)/12-20+25</f>
        <v>49.250150000000012</v>
      </c>
      <c r="W361" s="45">
        <f>('[2]Renewable Diesel'!E370*'[2]RD Feedstock Breakdown'!W$3*'[2]Feedstock Conversion Rates'!B$8)/12-6</f>
        <v>16.1796875</v>
      </c>
      <c r="X361" s="47">
        <f t="shared" si="301"/>
        <v>66.254837500000008</v>
      </c>
      <c r="Y361" s="45">
        <f t="shared" si="324"/>
        <v>98</v>
      </c>
      <c r="Z361" s="45">
        <f>('[2]Renewable Diesel'!F370*'[2]RD Feedstock Breakdown'!Z$3*'[2]Feedstock Conversion Rates'!B$6)/12-142+15+5+20+5+15</f>
        <v>77.460000000000008</v>
      </c>
      <c r="AA361" s="45">
        <f>('[2]Renewable Diesel'!F370*'[2]RD Feedstock Breakdown'!AA$3*'[2]Feedstock Conversion Rates'!B$7)/12+24</f>
        <v>128.26666666666665</v>
      </c>
      <c r="AB361" s="47">
        <f t="shared" si="270"/>
        <v>303.72666666666669</v>
      </c>
      <c r="AC361" s="45">
        <f>('[2]Renewable Diesel'!G370*'[2]RD Feedstock Breakdown'!AC$3*'[2]Feedstock Conversion Rates'!B$5)/12</f>
        <v>11.796875</v>
      </c>
      <c r="AD361" s="45">
        <f>('[2]Renewable Diesel'!G370*'[2]RD Feedstock Breakdown'!AD$3*'[2]Feedstock Conversion Rates'!B$4)/12</f>
        <v>5.859375</v>
      </c>
      <c r="AE361" s="45">
        <f>('[2]Renewable Diesel'!G370*'[2]RD Feedstock Breakdown'!AE$3*'[2]Feedstock Conversion Rates'!B$6)/12</f>
        <v>7.3281250000000009</v>
      </c>
      <c r="AF361" s="47">
        <f t="shared" si="310"/>
        <v>24.984375</v>
      </c>
      <c r="AG361" s="45">
        <f t="shared" si="326"/>
        <v>148</v>
      </c>
      <c r="AH361" s="45"/>
      <c r="AI361" s="45">
        <f>('[2]Renewable Diesel'!H370*'[2]RD Feedstock Breakdown'!AI$3*'[2]Feedstock Conversion Rates'!B$6)/12-130-20+51-49</f>
        <v>0.51666666666667993</v>
      </c>
      <c r="AJ361" s="47">
        <f t="shared" si="278"/>
        <v>148.51666666666668</v>
      </c>
      <c r="AK361" s="45">
        <f>('[2]Renewable Diesel'!J370*'[2]RD Feedstock Breakdown'!AK$3*'[2]Feedstock Conversion Rates'!B$4)/12</f>
        <v>95.8125</v>
      </c>
      <c r="AL361" s="47">
        <f t="shared" si="280"/>
        <v>95.8125</v>
      </c>
      <c r="AM361" s="45">
        <f>('[2]Renewable Diesel'!K370*'[2]RD Feedstock Breakdown'!AM$3*'[2]Feedstock Conversion Rates'!B$4)/12+5+15-10+10</f>
        <v>78.59375</v>
      </c>
      <c r="AN361" s="45">
        <f>('[2]Renewable Diesel'!K370*'[2]RD Feedstock Breakdown'!AN$3*'[2]Feedstock Conversion Rates'!B$6)/12-5-15+10-10</f>
        <v>4.4270833333333321</v>
      </c>
      <c r="AO361" s="47">
        <f t="shared" si="295"/>
        <v>83.020833333333329</v>
      </c>
      <c r="AP361" s="45">
        <f>('[2]Renewable Diesel'!L370*'[2]RD Feedstock Breakdown'!AP$3*'[2]Feedstock Conversion Rates'!B$4)/12+15-10+15</f>
        <v>78.59375</v>
      </c>
      <c r="AQ361" s="45">
        <f>('[2]Renewable Diesel'!L370*'[2]RD Feedstock Breakdown'!AQ$3*'[2]Feedstock Conversion Rates'!B$6)/12-15+10-15</f>
        <v>4.4270833333333321</v>
      </c>
      <c r="AR361" s="47">
        <f t="shared" si="285"/>
        <v>83.020833333333329</v>
      </c>
      <c r="AS361" s="45">
        <f>('[2]Renewable Diesel'!M370*'[2]RD Feedstock Breakdown'!AS$3*'[2]Feedstock Conversion Rates'!B$4)/12</f>
        <v>456.25</v>
      </c>
      <c r="AT361" s="45">
        <f>('[2]Renewable Diesel'!M370*'[2]RD Feedstock Breakdown'!AT$3*'[2]Feedstock Conversion Rates'!B$5)/12</f>
        <v>0</v>
      </c>
      <c r="AU361" s="47">
        <f t="shared" si="313"/>
        <v>456.25</v>
      </c>
      <c r="AV361" s="45">
        <f>'[2]Renewable Diesel'!N370*'[2]RD Feedstock Breakdown'!$AV$3*'[2]Feedstock Conversion Rates'!$B$4/12-15-10+25+25-22+25</f>
        <v>106.74999999999999</v>
      </c>
      <c r="AW361" s="45">
        <f>'[2]Renewable Diesel'!N370*'[2]RD Feedstock Breakdown'!$AW$3*'[2]Feedstock Conversion Rates'!$B$7/12+15+10-25-25+22-25</f>
        <v>13.400000000000006</v>
      </c>
      <c r="AX361" s="47">
        <f t="shared" si="272"/>
        <v>120.14999999999999</v>
      </c>
      <c r="AY361" s="45">
        <f>('[2]Renewable Diesel'!O370*'[2]RD Feedstock Breakdown'!AY$3*'[2]Feedstock Conversion Rates'!B$4)/12</f>
        <v>210.9375</v>
      </c>
      <c r="AZ361" s="45">
        <f>('[2]Renewable Diesel'!O370*'[2]RD Feedstock Breakdown'!AZ$3*'[2]Feedstock Conversion Rates'!B$3)/12</f>
        <v>25.03125</v>
      </c>
      <c r="BA361" s="47">
        <f t="shared" si="325"/>
        <v>235.96875</v>
      </c>
      <c r="BB361" s="45">
        <f>('[2]Renewable Diesel'!Q370*'[2]RD Feedstock Breakdown'!BB$3*'[2]Feedstock Conversion Rates'!B$4)/12</f>
        <v>11.156249999999998</v>
      </c>
      <c r="BC361" s="45">
        <f>('[2]Renewable Diesel'!Q370*'[2]RD Feedstock Breakdown'!BC$3*'[2]Feedstock Conversion Rates'!B$3)/12</f>
        <v>1.4017500000000001</v>
      </c>
      <c r="BD361" s="45">
        <f>('[2]Renewable Diesel'!Q370*'[2]RD Feedstock Breakdown'!BD$3*'[2]Feedstock Conversion Rates'!B$6)/12</f>
        <v>0.8207500000000002</v>
      </c>
      <c r="BE361" s="47">
        <f t="shared" si="303"/>
        <v>13.378749999999998</v>
      </c>
      <c r="BF361" s="45">
        <f>('[2]Renewable Diesel'!R370*'[2]RD Feedstock Breakdown'!BF$3*'[2]Feedstock Conversion Rates'!B$4)/12</f>
        <v>62.5</v>
      </c>
      <c r="BG361" s="47">
        <f t="shared" si="289"/>
        <v>62.5</v>
      </c>
      <c r="BH361" s="45">
        <f>('[2]Renewable Diesel'!T370*'[2]RD Feedstock Breakdown'!BH$3*'[2]Feedstock Conversion Rates'!B$7)/12</f>
        <v>27.599999999999998</v>
      </c>
      <c r="BI361" s="47">
        <f t="shared" si="277"/>
        <v>27.599999999999998</v>
      </c>
      <c r="BJ361" s="45">
        <f>('[2]Renewable Diesel'!W370*'[2]RD Feedstock Breakdown'!BJ$3*'[2]Feedstock Conversion Rates'!B$4)/12</f>
        <v>7.5</v>
      </c>
      <c r="BK361" s="45">
        <f>('[2]Renewable Diesel'!W370*'[2]RD Feedstock Breakdown'!BK$3*'[2]Feedstock Conversion Rates'!B$3)/12</f>
        <v>1.335</v>
      </c>
      <c r="BL361" s="45">
        <f>('[2]Renewable Diesel'!W370*'[2]RD Feedstock Breakdown'!BL$3*'[2]Feedstock Conversion Rates'!B$6)/12</f>
        <v>3.1266666666666669</v>
      </c>
      <c r="BM361" s="45">
        <f>('[2]Renewable Diesel'!W370*'[2]RD Feedstock Breakdown'!BM$3*'[2]Feedstock Conversion Rates'!B$7)/12</f>
        <v>1.5333333333333332</v>
      </c>
      <c r="BN361" s="47">
        <f t="shared" si="316"/>
        <v>13.495000000000001</v>
      </c>
      <c r="BO361" s="45">
        <f>('[2]Renewable Diesel'!P370*'[2]Feedstock Conversion Rates'!B$4)/12</f>
        <v>31.25</v>
      </c>
      <c r="BP361" s="47">
        <f t="shared" si="311"/>
        <v>31.25</v>
      </c>
      <c r="BQ361" s="45">
        <f>('[2]Renewable Diesel'!$S370*'[2]RD Feedstock Breakdown'!BQ$3*'[2]Feedstock Conversion Rates'!B$4)/12+10+15-15</f>
        <v>38.125</v>
      </c>
      <c r="BR361" s="45">
        <f>('[2]Renewable Diesel'!$S370*'[2]RD Feedstock Breakdown'!BR$3*'[2]Feedstock Conversion Rates'!B$7)/12-10-15+15</f>
        <v>1.5</v>
      </c>
      <c r="BS361" s="47">
        <f t="shared" si="328"/>
        <v>39.625</v>
      </c>
      <c r="BT361" s="47"/>
      <c r="BU361" s="45">
        <f>('[2]Renewable Diesel'!Y370*'[2]Feedstock Conversion Rates'!B$7)/12</f>
        <v>2.6833333333333331</v>
      </c>
      <c r="BV361" s="47">
        <f t="shared" si="305"/>
        <v>2.6833333333333331</v>
      </c>
      <c r="BW361" s="45">
        <f>('[2]Renewable Diesel'!$Z370*'[2]RD Feedstock Breakdown'!BW$3*'[2]Feedstock Conversion Rates'!$B$4)/12-250+180</f>
        <v>1.875</v>
      </c>
      <c r="BX361" s="45">
        <f>('[2]Renewable Diesel'!$Z370*'[2]RD Feedstock Breakdown'!BX$3*'[2]Feedstock Conversion Rates'!$B$5)/12</f>
        <v>7.2354166666666666</v>
      </c>
      <c r="BY361" s="45">
        <f>('[2]Renewable Diesel'!$Z370*'[2]RD Feedstock Breakdown'!BY$3*'[2]Feedstock Conversion Rates'!$B$7)/12</f>
        <v>61.716666666666661</v>
      </c>
      <c r="BZ361" s="45">
        <f>('[2]Renewable Diesel'!$Z370*'[2]RD Feedstock Breakdown'!BZ$3*'[2]Feedstock Conversion Rates'!$B$3)/12+250-180</f>
        <v>85.35250000000002</v>
      </c>
      <c r="CA361" s="47">
        <f t="shared" si="329"/>
        <v>156.17958333333334</v>
      </c>
      <c r="CB361" s="45">
        <f>('[2]Renewable Diesel'!AA370*'[2]Feedstock Conversion Rates'!B$4)/12</f>
        <v>191.25</v>
      </c>
      <c r="CC361" s="47">
        <f t="shared" si="318"/>
        <v>191.25</v>
      </c>
      <c r="CD361" s="45">
        <f>('[2]Renewable Diesel'!$AB370*'[2]RD Feedstock Breakdown'!CD$3*'[2]Feedstock Conversion Rates'!$B$6)/12-15-5</f>
        <v>12.830000000000005</v>
      </c>
      <c r="CE361" s="45">
        <f>('[2]Renewable Diesel'!$AB370*'[2]RD Feedstock Breakdown'!CE$3*'[2]Feedstock Conversion Rates'!$B$4)/12+15+5</f>
        <v>31.25</v>
      </c>
      <c r="CF361" s="47">
        <f t="shared" si="315"/>
        <v>44.080000000000005</v>
      </c>
      <c r="CG361" s="45">
        <f>('[2]Renewable Diesel'!AD370*'[2]Feedstock Conversion Rates'!B$4)/12</f>
        <v>112.5</v>
      </c>
      <c r="CH361" s="47">
        <f t="shared" si="302"/>
        <v>112.5</v>
      </c>
      <c r="CI361" s="45">
        <f>('[2]Renewable Diesel'!$AE370*'[2]RD Feedstock Breakdown'!CI$3*'[2]Feedstock Conversion Rates'!$B$5)/12</f>
        <v>0.34604166666666664</v>
      </c>
      <c r="CJ361" s="45">
        <f>('[2]Renewable Diesel'!$AE370*'[2]RD Feedstock Breakdown'!CJ$3*'[2]Feedstock Conversion Rates'!$B$4)/12</f>
        <v>0.34375</v>
      </c>
      <c r="CK361" s="47">
        <f t="shared" si="312"/>
        <v>0.68979166666666658</v>
      </c>
      <c r="CL361" s="45">
        <f>(((CL$3*'[2]Renewable Diesel'!$AF370)*'[2]Feedstock Conversion Rates'!$B$3)/12)</f>
        <v>91.78125</v>
      </c>
      <c r="CM361" s="45">
        <f>(((CM$3*'[2]Renewable Diesel'!$AF370)*'[2]Feedstock Conversion Rates'!$B$6)/12)</f>
        <v>53.739583333333336</v>
      </c>
      <c r="CN361" s="45">
        <f>(((CN$3*'[2]Renewable Diesel'!$AF370)*'[2]Feedstock Conversion Rates'!$B$4)/12)</f>
        <v>42.96875</v>
      </c>
      <c r="CO361" s="47">
        <f t="shared" si="304"/>
        <v>188.48958333333334</v>
      </c>
      <c r="CP361" s="45">
        <f>('[2]Renewable Diesel'!$AG370*'[2]RD Feedstock Breakdown'!CP$3*'[2]Feedstock Conversion Rates'!$B$3)/12</f>
        <v>6.0075000000000003</v>
      </c>
      <c r="CQ361" s="45">
        <f>('[2]Renewable Diesel'!$AG370*'[2]RD Feedstock Breakdown'!CQ$3*'[2]Feedstock Conversion Rates'!$B$6)/12</f>
        <v>3.5175000000000001</v>
      </c>
      <c r="CR361" s="45">
        <f>('[2]Renewable Diesel'!$AG370*'[2]RD Feedstock Breakdown'!CR$3*'[2]Feedstock Conversion Rates'!$B$4)/12</f>
        <v>2.8125</v>
      </c>
      <c r="CS361" s="47">
        <f t="shared" si="267"/>
        <v>12.3375</v>
      </c>
      <c r="CT361" s="45">
        <f>('[2]Renewable Diesel'!AI370*'[2]Feedstock Conversion Rates'!$B$4*'[2]RD Feedstock Breakdown'!$CT$3)/12</f>
        <v>29.375</v>
      </c>
      <c r="CU361" s="47">
        <f t="shared" si="308"/>
        <v>29.375</v>
      </c>
      <c r="CV361" s="45">
        <f>('[2]Renewable Diesel'!AN370*'[2]Feedstock Conversion Rates'!$B$3*'[2]RD Feedstock Breakdown'!$CV$3)/12</f>
        <v>0.50062499999999999</v>
      </c>
      <c r="CW361" s="47">
        <f t="shared" si="284"/>
        <v>0.50062499999999999</v>
      </c>
      <c r="CX361" s="45">
        <f>('[2]Renewable Diesel'!AO370*'[2]RD Feedstock Breakdown'!$CX$3*'[2]Feedstock Conversion Rates'!$B$3)/12</f>
        <v>6.3412499999999996</v>
      </c>
      <c r="CY361" s="45">
        <f>('[2]Renewable Diesel'!AO370*'[2]RD Feedstock Breakdown'!$CY$3*'[2]Feedstock Conversion Rates'!$B$6)/12</f>
        <v>7.4258333333333342</v>
      </c>
      <c r="CZ361" s="47">
        <f t="shared" si="268"/>
        <v>13.767083333333334</v>
      </c>
      <c r="DA361" s="45">
        <f>('[2]Renewable Diesel'!$AP370*'[2]RD Feedstock Breakdown'!DA$3*'[2]Feedstock Conversion Rates'!$B$3)/12</f>
        <v>6.3412499999999996</v>
      </c>
      <c r="DB361" s="45">
        <f>('[2]Renewable Diesel'!$AP370*'[2]RD Feedstock Breakdown'!DB$3*'[2]Feedstock Conversion Rates'!$B$8)/12</f>
        <v>7.421875</v>
      </c>
      <c r="DC361" s="47">
        <f t="shared" si="287"/>
        <v>13.763124999999999</v>
      </c>
      <c r="DD361" s="45">
        <f>('[2]Renewable Diesel'!AQ370*$DD$3*'[2]Feedstock Conversion Rates'!$B$14)/12</f>
        <v>3.1041666666666665</v>
      </c>
      <c r="DE361" s="47">
        <f t="shared" si="288"/>
        <v>3.1041666666666665</v>
      </c>
      <c r="DF361" s="45">
        <f>('[2]Renewable Diesel'!AR370*'[2]Feedstock Conversion Rates'!$B$4*$DF$3)/12</f>
        <v>75</v>
      </c>
      <c r="DG361" s="47">
        <f t="shared" si="269"/>
        <v>75</v>
      </c>
      <c r="DH361" s="45">
        <f>('[2]Renewable Diesel'!AS370*'[2]Feedstock Conversion Rates'!$B$4*$DH$3)/12</f>
        <v>75</v>
      </c>
      <c r="DI361" s="47">
        <f t="shared" si="273"/>
        <v>75</v>
      </c>
      <c r="DJ361" s="45">
        <f>('[2]Renewable Diesel'!AT370*'[2]Feedstock Conversion Rates'!$B$4*0.25)/12</f>
        <v>8.59375</v>
      </c>
      <c r="DK361" s="45">
        <f>('[2]Renewable Diesel'!$AT370*'[2]RD Feedstock Breakdown'!DK$3*'[2]Feedstock Conversion Rates'!$B$3)/12*0.5</f>
        <v>9.1781249999999996</v>
      </c>
      <c r="DL361" s="45">
        <f>('[2]Renewable Diesel'!$AT370*'[2]RD Feedstock Breakdown'!$DL$3*'[2]Feedstock Conversion Rates'!$B$6)/12</f>
        <v>10.747916666666669</v>
      </c>
      <c r="DM361" s="45">
        <f>('[2]Renewable Diesel'!$AT370*'[2]RD Feedstock Breakdown'!$DM$3*'[2]Feedstock Conversion Rates'!$B$8)/12</f>
        <v>10.7421875</v>
      </c>
      <c r="DN361" s="47">
        <f t="shared" si="317"/>
        <v>39.26197916666667</v>
      </c>
      <c r="DP361" s="45">
        <f t="shared" si="290"/>
        <v>48.220250000000007</v>
      </c>
      <c r="DQ361" s="45">
        <f t="shared" si="291"/>
        <v>399.11776750000007</v>
      </c>
      <c r="DR361" s="45">
        <f t="shared" si="296"/>
        <v>1891.953125</v>
      </c>
      <c r="DS361" s="45">
        <f t="shared" si="309"/>
        <v>228.90125</v>
      </c>
      <c r="DT361" s="45">
        <f t="shared" si="292"/>
        <v>243.03923333333344</v>
      </c>
      <c r="DU361" s="45">
        <f t="shared" si="293"/>
        <v>432.90610000000009</v>
      </c>
      <c r="DV361" s="45">
        <f t="shared" si="297"/>
        <v>78.75</v>
      </c>
      <c r="DW361" s="45">
        <f t="shared" si="294"/>
        <v>3</v>
      </c>
      <c r="DX361" s="47">
        <f t="shared" si="298"/>
        <v>3325.8877258333337</v>
      </c>
      <c r="DY361" s="50">
        <f t="shared" si="286"/>
        <v>-5.631051180898794E-13</v>
      </c>
      <c r="EA361" s="51">
        <f t="shared" si="330"/>
        <v>1.4498459952648568E-2</v>
      </c>
      <c r="EB361" s="51">
        <f t="shared" si="330"/>
        <v>0.1200033796691069</v>
      </c>
      <c r="EC361" s="51">
        <f t="shared" si="330"/>
        <v>0.56885658235079262</v>
      </c>
      <c r="ED361" s="51">
        <f t="shared" si="330"/>
        <v>6.882410618435611E-2</v>
      </c>
      <c r="EE361" s="51">
        <f t="shared" si="330"/>
        <v>7.3074996322203753E-2</v>
      </c>
      <c r="EF361" s="51">
        <f t="shared" si="330"/>
        <v>0.13016257182630278</v>
      </c>
      <c r="EG361" s="51">
        <f t="shared" si="327"/>
        <v>2.3677888880108969E-2</v>
      </c>
      <c r="EH361" s="52">
        <f t="shared" si="299"/>
        <v>9.0201481448034171E-4</v>
      </c>
      <c r="EI361" s="51">
        <f t="shared" si="271"/>
        <v>0.99909798518551962</v>
      </c>
      <c r="EK361" s="53">
        <f>(EA361*'[2]Renewable Diesel'!BF370*'[2]Feedstock Conversion Rates'!B$2)+FB361</f>
        <v>122.39646909298952</v>
      </c>
      <c r="EL361" s="53">
        <f>(EB361*'[2]Renewable Diesel'!BF370*'[2]Feedstock Conversion Rates'!B$3)+FC361</f>
        <v>954.67177722602287</v>
      </c>
      <c r="EM361" s="53">
        <f>(EC361*'[2]Renewable Diesel'!BF370*'[2]Feedstock Conversion Rates'!B$4)+FD361</f>
        <v>4237.3285727124185</v>
      </c>
      <c r="EN361" s="53">
        <f>(ED361*'[2]Renewable Diesel'!BF370*'[2]Feedstock Conversion Rates'!B$5)+FE361</f>
        <v>516.07832813913865</v>
      </c>
      <c r="EO361" s="53">
        <f>(EE361*'[2]Renewable Diesel'!BF370*'[2]Feedstock Conversion Rates'!B$6)+FF361</f>
        <v>680.76893695517958</v>
      </c>
      <c r="EP361" s="53">
        <f>(EF361*'[2]Renewable Diesel'!BF370*'[2]Feedstock Conversion Rates'!B$7)+FG361</f>
        <v>1189.3290826184216</v>
      </c>
      <c r="EQ361" s="53">
        <f>(EG361*'[2]Renewable Diesel'!BF370*'[2]Feedstock Conversion Rates'!B$8)+FH361</f>
        <v>220.4663666687718</v>
      </c>
      <c r="ER361" s="53">
        <f>(EH361*'[2]Renewable Diesel'!BF370*'[2]Feedstock Conversion Rates'!B$9)+FI361</f>
        <v>8.2867358138357385</v>
      </c>
      <c r="ES361" s="53">
        <f t="shared" si="300"/>
        <v>7929.3262692267781</v>
      </c>
      <c r="ET361" s="36">
        <f>ES361/'[2]Renewable Diesel'!BF370</f>
        <v>7.9837733216591138</v>
      </c>
    </row>
    <row r="362" spans="1:150" x14ac:dyDescent="0.25">
      <c r="A362" s="39">
        <v>51441</v>
      </c>
      <c r="B362" s="45">
        <f t="shared" ref="B362:B372" si="331">115.75+145+100+235+31.5-21-287-20-28-32-70-39-47+40+20-3-10-60-25-1</f>
        <v>44.25</v>
      </c>
      <c r="C362" s="45">
        <f t="shared" si="321"/>
        <v>49</v>
      </c>
      <c r="D362" s="45">
        <f t="shared" ref="D362:D372" si="332">1+1</f>
        <v>2</v>
      </c>
      <c r="E362" s="45">
        <f>('[2]Renewable Diesel'!B371*E$3*'[2]Feedstock Conversion Rates'!$B$2)/12+26+13-100+27.5+39</f>
        <v>95.43</v>
      </c>
      <c r="F362" s="45">
        <f>('[2]Renewable Diesel'!B371*'[2]RD Feedstock Breakdown'!F$3*'[2]Feedstock Conversion Rates'!B$8)/12+77+23-10-12-115.75+24+8</f>
        <v>48.15625</v>
      </c>
      <c r="G362" s="45">
        <f>('[2]Renewable Diesel'!B371*'[2]RD Feedstock Breakdown'!G$3*'[2]Feedstock Conversion Rates'!B$7)/12+116.75-39-57.5-145-31.5+32+70-40+10+60</f>
        <v>151.90700000000004</v>
      </c>
      <c r="H362" s="45">
        <f>('[2]Renewable Diesel'!B371*'[2]RD Feedstock Breakdown'!H$3*'[2]Feedstock Conversion Rates'!B$3)/12+67+10+12+3-235+20+47-20+25</f>
        <v>105.40022499999998</v>
      </c>
      <c r="I362" s="47">
        <f t="shared" si="314"/>
        <v>496.14347500000002</v>
      </c>
      <c r="J362" s="45">
        <f t="shared" si="281"/>
        <v>4</v>
      </c>
      <c r="K362" s="45"/>
      <c r="L362" s="45">
        <v>1</v>
      </c>
      <c r="M362" s="45">
        <f>('[2]Renewable Diesel'!C371*'[2]RD Feedstock Breakdown'!M$3*'[2]Feedstock Conversion Rates'!B$2)/12-55</f>
        <v>-47.20975</v>
      </c>
      <c r="N362" s="45">
        <f>('[2]Renewable Diesel'!C371*'[2]RD Feedstock Breakdown'!N$3*'[2]Feedstock Conversion Rates'!B$8)/12</f>
        <v>3.671875</v>
      </c>
      <c r="O362" s="45">
        <f>('[2]Renewable Diesel'!C371*'[2]RD Feedstock Breakdown'!O$3*'[2]Feedstock Conversion Rates'!B$7)/12+30</f>
        <v>41.999099999999999</v>
      </c>
      <c r="P362" s="45">
        <f>('[2]Renewable Diesel'!C371*'[2]RD Feedstock Breakdown'!P$3*'[2]Feedstock Conversion Rates'!B$3)/12+15+35</f>
        <v>60.447042500000002</v>
      </c>
      <c r="Q362" s="47">
        <f t="shared" si="322"/>
        <v>63.908267500000001</v>
      </c>
      <c r="R362" s="45">
        <f>('[2]Renewable Diesel'!D371*'[2]RD Feedstock Breakdown'!R$3*'[2]Feedstock Conversion Rates'!B$7)/12</f>
        <v>2.2999999999999998</v>
      </c>
      <c r="S362" s="47">
        <f t="shared" si="279"/>
        <v>2.2999999999999998</v>
      </c>
      <c r="T362" s="45">
        <f t="shared" si="323"/>
        <v>0.82499999999999929</v>
      </c>
      <c r="U362" s="45"/>
      <c r="V362" s="45">
        <f>('[2]Renewable Diesel'!E371*'[2]RD Feedstock Breakdown'!V$3*'[2]Feedstock Conversion Rates'!B$6)/12-20+25</f>
        <v>49.250150000000012</v>
      </c>
      <c r="W362" s="45">
        <f>('[2]Renewable Diesel'!E371*'[2]RD Feedstock Breakdown'!W$3*'[2]Feedstock Conversion Rates'!B$8)/12-6</f>
        <v>16.1796875</v>
      </c>
      <c r="X362" s="47">
        <f t="shared" si="301"/>
        <v>66.254837500000008</v>
      </c>
      <c r="Y362" s="45">
        <f t="shared" si="324"/>
        <v>98</v>
      </c>
      <c r="Z362" s="45">
        <f>('[2]Renewable Diesel'!F371*'[2]RD Feedstock Breakdown'!Z$3*'[2]Feedstock Conversion Rates'!B$6)/12-142+15+5+20+5+15</f>
        <v>77.460000000000008</v>
      </c>
      <c r="AA362" s="45">
        <f>('[2]Renewable Diesel'!F371*'[2]RD Feedstock Breakdown'!AA$3*'[2]Feedstock Conversion Rates'!B$7)/12+24</f>
        <v>128.26666666666665</v>
      </c>
      <c r="AB362" s="47">
        <f t="shared" si="270"/>
        <v>303.72666666666669</v>
      </c>
      <c r="AC362" s="45">
        <f>('[2]Renewable Diesel'!G371*'[2]RD Feedstock Breakdown'!AC$3*'[2]Feedstock Conversion Rates'!B$5)/12</f>
        <v>11.796875</v>
      </c>
      <c r="AD362" s="45">
        <f>('[2]Renewable Diesel'!G371*'[2]RD Feedstock Breakdown'!AD$3*'[2]Feedstock Conversion Rates'!B$4)/12</f>
        <v>5.859375</v>
      </c>
      <c r="AE362" s="45">
        <f>('[2]Renewable Diesel'!G371*'[2]RD Feedstock Breakdown'!AE$3*'[2]Feedstock Conversion Rates'!B$6)/12</f>
        <v>7.3281250000000009</v>
      </c>
      <c r="AF362" s="47">
        <f t="shared" si="310"/>
        <v>24.984375</v>
      </c>
      <c r="AG362" s="45">
        <f t="shared" si="326"/>
        <v>148</v>
      </c>
      <c r="AH362" s="45"/>
      <c r="AI362" s="45">
        <f>('[2]Renewable Diesel'!H371*'[2]RD Feedstock Breakdown'!AI$3*'[2]Feedstock Conversion Rates'!B$6)/12-130-20+51-49</f>
        <v>0.51666666666667993</v>
      </c>
      <c r="AJ362" s="47">
        <f t="shared" si="278"/>
        <v>148.51666666666668</v>
      </c>
      <c r="AK362" s="45">
        <f>('[2]Renewable Diesel'!J371*'[2]RD Feedstock Breakdown'!AK$3*'[2]Feedstock Conversion Rates'!B$4)/12</f>
        <v>95.8125</v>
      </c>
      <c r="AL362" s="47">
        <f t="shared" si="280"/>
        <v>95.8125</v>
      </c>
      <c r="AM362" s="45">
        <f>('[2]Renewable Diesel'!K371*'[2]RD Feedstock Breakdown'!AM$3*'[2]Feedstock Conversion Rates'!B$4)/12+5+15-10+10</f>
        <v>78.59375</v>
      </c>
      <c r="AN362" s="45">
        <f>('[2]Renewable Diesel'!K371*'[2]RD Feedstock Breakdown'!AN$3*'[2]Feedstock Conversion Rates'!B$6)/12-5-15+10-10</f>
        <v>4.4270833333333321</v>
      </c>
      <c r="AO362" s="47">
        <f t="shared" si="295"/>
        <v>83.020833333333329</v>
      </c>
      <c r="AP362" s="45">
        <f>('[2]Renewable Diesel'!L371*'[2]RD Feedstock Breakdown'!AP$3*'[2]Feedstock Conversion Rates'!B$4)/12+15-10+15</f>
        <v>78.59375</v>
      </c>
      <c r="AQ362" s="45">
        <f>('[2]Renewable Diesel'!L371*'[2]RD Feedstock Breakdown'!AQ$3*'[2]Feedstock Conversion Rates'!B$6)/12-15+10-15</f>
        <v>4.4270833333333321</v>
      </c>
      <c r="AR362" s="47">
        <f t="shared" si="285"/>
        <v>83.020833333333329</v>
      </c>
      <c r="AS362" s="45">
        <f>('[2]Renewable Diesel'!M371*'[2]RD Feedstock Breakdown'!AS$3*'[2]Feedstock Conversion Rates'!B$4)/12</f>
        <v>456.25</v>
      </c>
      <c r="AT362" s="45">
        <f>('[2]Renewable Diesel'!M371*'[2]RD Feedstock Breakdown'!AT$3*'[2]Feedstock Conversion Rates'!B$5)/12</f>
        <v>0</v>
      </c>
      <c r="AU362" s="47">
        <f t="shared" si="313"/>
        <v>456.25</v>
      </c>
      <c r="AV362" s="45">
        <f>'[2]Renewable Diesel'!N371*'[2]RD Feedstock Breakdown'!$AV$3*'[2]Feedstock Conversion Rates'!$B$4/12-15-10+25+25-22+25</f>
        <v>106.74999999999999</v>
      </c>
      <c r="AW362" s="45">
        <f>'[2]Renewable Diesel'!N371*'[2]RD Feedstock Breakdown'!$AW$3*'[2]Feedstock Conversion Rates'!$B$7/12+15+10-25-25+22-25</f>
        <v>13.400000000000006</v>
      </c>
      <c r="AX362" s="47">
        <f t="shared" si="272"/>
        <v>120.14999999999999</v>
      </c>
      <c r="AY362" s="45">
        <f>('[2]Renewable Diesel'!O371*'[2]RD Feedstock Breakdown'!AY$3*'[2]Feedstock Conversion Rates'!B$4)/12</f>
        <v>210.9375</v>
      </c>
      <c r="AZ362" s="45">
        <f>('[2]Renewable Diesel'!O371*'[2]RD Feedstock Breakdown'!AZ$3*'[2]Feedstock Conversion Rates'!B$3)/12</f>
        <v>25.03125</v>
      </c>
      <c r="BA362" s="47">
        <f t="shared" si="325"/>
        <v>235.96875</v>
      </c>
      <c r="BB362" s="45">
        <f>('[2]Renewable Diesel'!Q371*'[2]RD Feedstock Breakdown'!BB$3*'[2]Feedstock Conversion Rates'!B$4)/12</f>
        <v>11.156249999999998</v>
      </c>
      <c r="BC362" s="45">
        <f>('[2]Renewable Diesel'!Q371*'[2]RD Feedstock Breakdown'!BC$3*'[2]Feedstock Conversion Rates'!B$3)/12</f>
        <v>1.4017500000000001</v>
      </c>
      <c r="BD362" s="45">
        <f>('[2]Renewable Diesel'!Q371*'[2]RD Feedstock Breakdown'!BD$3*'[2]Feedstock Conversion Rates'!B$6)/12</f>
        <v>0.8207500000000002</v>
      </c>
      <c r="BE362" s="47">
        <f t="shared" si="303"/>
        <v>13.378749999999998</v>
      </c>
      <c r="BF362" s="45">
        <f>('[2]Renewable Diesel'!R371*'[2]RD Feedstock Breakdown'!BF$3*'[2]Feedstock Conversion Rates'!B$4)/12</f>
        <v>62.5</v>
      </c>
      <c r="BG362" s="47">
        <f t="shared" si="289"/>
        <v>62.5</v>
      </c>
      <c r="BH362" s="45">
        <f>('[2]Renewable Diesel'!T371*'[2]RD Feedstock Breakdown'!BH$3*'[2]Feedstock Conversion Rates'!B$7)/12</f>
        <v>27.599999999999998</v>
      </c>
      <c r="BI362" s="47">
        <f t="shared" si="277"/>
        <v>27.599999999999998</v>
      </c>
      <c r="BJ362" s="45">
        <f>('[2]Renewable Diesel'!W371*'[2]RD Feedstock Breakdown'!BJ$3*'[2]Feedstock Conversion Rates'!B$4)/12</f>
        <v>7.5</v>
      </c>
      <c r="BK362" s="45">
        <f>('[2]Renewable Diesel'!W371*'[2]RD Feedstock Breakdown'!BK$3*'[2]Feedstock Conversion Rates'!B$3)/12</f>
        <v>1.335</v>
      </c>
      <c r="BL362" s="45">
        <f>('[2]Renewable Diesel'!W371*'[2]RD Feedstock Breakdown'!BL$3*'[2]Feedstock Conversion Rates'!B$6)/12</f>
        <v>3.1266666666666669</v>
      </c>
      <c r="BM362" s="45">
        <f>('[2]Renewable Diesel'!W371*'[2]RD Feedstock Breakdown'!BM$3*'[2]Feedstock Conversion Rates'!B$7)/12</f>
        <v>1.5333333333333332</v>
      </c>
      <c r="BN362" s="47">
        <f t="shared" si="316"/>
        <v>13.495000000000001</v>
      </c>
      <c r="BO362" s="45">
        <f>('[2]Renewable Diesel'!P371*'[2]Feedstock Conversion Rates'!B$4)/12</f>
        <v>31.25</v>
      </c>
      <c r="BP362" s="47">
        <f t="shared" si="311"/>
        <v>31.25</v>
      </c>
      <c r="BQ362" s="45">
        <f>('[2]Renewable Diesel'!$S371*'[2]RD Feedstock Breakdown'!BQ$3*'[2]Feedstock Conversion Rates'!B$4)/12+10+15-15</f>
        <v>38.125</v>
      </c>
      <c r="BR362" s="45">
        <f>('[2]Renewable Diesel'!$S371*'[2]RD Feedstock Breakdown'!BR$3*'[2]Feedstock Conversion Rates'!B$7)/12-10-15+15</f>
        <v>1.5</v>
      </c>
      <c r="BS362" s="47">
        <f t="shared" si="328"/>
        <v>39.625</v>
      </c>
      <c r="BT362" s="47"/>
      <c r="BU362" s="45">
        <f>('[2]Renewable Diesel'!Y371*'[2]Feedstock Conversion Rates'!B$7)/12</f>
        <v>2.6833333333333331</v>
      </c>
      <c r="BV362" s="47">
        <f t="shared" si="305"/>
        <v>2.6833333333333331</v>
      </c>
      <c r="BW362" s="45">
        <f>('[2]Renewable Diesel'!$Z371*'[2]RD Feedstock Breakdown'!BW$3*'[2]Feedstock Conversion Rates'!$B$4)/12-250+180</f>
        <v>1.875</v>
      </c>
      <c r="BX362" s="45">
        <f>('[2]Renewable Diesel'!$Z371*'[2]RD Feedstock Breakdown'!BX$3*'[2]Feedstock Conversion Rates'!$B$5)/12</f>
        <v>7.2354166666666666</v>
      </c>
      <c r="BY362" s="45">
        <f>('[2]Renewable Diesel'!$Z371*'[2]RD Feedstock Breakdown'!BY$3*'[2]Feedstock Conversion Rates'!$B$7)/12</f>
        <v>61.716666666666661</v>
      </c>
      <c r="BZ362" s="45">
        <f>('[2]Renewable Diesel'!$Z371*'[2]RD Feedstock Breakdown'!BZ$3*'[2]Feedstock Conversion Rates'!$B$3)/12+250-180</f>
        <v>85.35250000000002</v>
      </c>
      <c r="CA362" s="47">
        <f t="shared" si="329"/>
        <v>156.17958333333334</v>
      </c>
      <c r="CB362" s="45">
        <f>('[2]Renewable Diesel'!AA371*'[2]Feedstock Conversion Rates'!B$4)/12</f>
        <v>191.25</v>
      </c>
      <c r="CC362" s="47">
        <f t="shared" si="318"/>
        <v>191.25</v>
      </c>
      <c r="CD362" s="45">
        <f>('[2]Renewable Diesel'!$AB371*'[2]RD Feedstock Breakdown'!CD$3*'[2]Feedstock Conversion Rates'!$B$6)/12-15-5</f>
        <v>12.830000000000005</v>
      </c>
      <c r="CE362" s="45">
        <f>('[2]Renewable Diesel'!$AB371*'[2]RD Feedstock Breakdown'!CE$3*'[2]Feedstock Conversion Rates'!$B$4)/12+15+5</f>
        <v>31.25</v>
      </c>
      <c r="CF362" s="47">
        <f t="shared" si="315"/>
        <v>44.080000000000005</v>
      </c>
      <c r="CG362" s="45">
        <f>('[2]Renewable Diesel'!AD371*'[2]Feedstock Conversion Rates'!B$4)/12</f>
        <v>112.5</v>
      </c>
      <c r="CH362" s="47">
        <f t="shared" si="302"/>
        <v>112.5</v>
      </c>
      <c r="CI362" s="45">
        <f>('[2]Renewable Diesel'!$AE371*'[2]RD Feedstock Breakdown'!CI$3*'[2]Feedstock Conversion Rates'!$B$5)/12</f>
        <v>0.34604166666666664</v>
      </c>
      <c r="CJ362" s="45">
        <f>('[2]Renewable Diesel'!$AE371*'[2]RD Feedstock Breakdown'!CJ$3*'[2]Feedstock Conversion Rates'!$B$4)/12</f>
        <v>0.34375</v>
      </c>
      <c r="CK362" s="47">
        <f t="shared" si="312"/>
        <v>0.68979166666666658</v>
      </c>
      <c r="CL362" s="45">
        <f>(((CL$3*'[2]Renewable Diesel'!$AF371)*'[2]Feedstock Conversion Rates'!$B$3)/12)</f>
        <v>91.78125</v>
      </c>
      <c r="CM362" s="45">
        <f>(((CM$3*'[2]Renewable Diesel'!$AF371)*'[2]Feedstock Conversion Rates'!$B$6)/12)</f>
        <v>53.739583333333336</v>
      </c>
      <c r="CN362" s="45">
        <f>(((CN$3*'[2]Renewable Diesel'!$AF371)*'[2]Feedstock Conversion Rates'!$B$4)/12)</f>
        <v>42.96875</v>
      </c>
      <c r="CO362" s="47">
        <f t="shared" si="304"/>
        <v>188.48958333333334</v>
      </c>
      <c r="CP362" s="45">
        <f>('[2]Renewable Diesel'!$AG371*'[2]RD Feedstock Breakdown'!CP$3*'[2]Feedstock Conversion Rates'!$B$3)/12</f>
        <v>6.0075000000000003</v>
      </c>
      <c r="CQ362" s="45">
        <f>('[2]Renewable Diesel'!$AG371*'[2]RD Feedstock Breakdown'!CQ$3*'[2]Feedstock Conversion Rates'!$B$6)/12</f>
        <v>3.5175000000000001</v>
      </c>
      <c r="CR362" s="45">
        <f>('[2]Renewable Diesel'!$AG371*'[2]RD Feedstock Breakdown'!CR$3*'[2]Feedstock Conversion Rates'!$B$4)/12</f>
        <v>2.8125</v>
      </c>
      <c r="CS362" s="47">
        <f t="shared" si="267"/>
        <v>12.3375</v>
      </c>
      <c r="CT362" s="45">
        <f>('[2]Renewable Diesel'!AI371*'[2]Feedstock Conversion Rates'!$B$4*'[2]RD Feedstock Breakdown'!$CT$3)/12</f>
        <v>29.375</v>
      </c>
      <c r="CU362" s="47">
        <f t="shared" si="308"/>
        <v>29.375</v>
      </c>
      <c r="CV362" s="45">
        <f>('[2]Renewable Diesel'!AN371*'[2]Feedstock Conversion Rates'!$B$3*'[2]RD Feedstock Breakdown'!$CV$3)/12</f>
        <v>0.50062499999999999</v>
      </c>
      <c r="CW362" s="47">
        <f t="shared" si="284"/>
        <v>0.50062499999999999</v>
      </c>
      <c r="CX362" s="45">
        <f>('[2]Renewable Diesel'!AO371*'[2]RD Feedstock Breakdown'!$CX$3*'[2]Feedstock Conversion Rates'!$B$3)/12</f>
        <v>6.3412499999999996</v>
      </c>
      <c r="CY362" s="45">
        <f>('[2]Renewable Diesel'!AO371*'[2]RD Feedstock Breakdown'!$CY$3*'[2]Feedstock Conversion Rates'!$B$6)/12</f>
        <v>7.4258333333333342</v>
      </c>
      <c r="CZ362" s="47">
        <f t="shared" si="268"/>
        <v>13.767083333333334</v>
      </c>
      <c r="DA362" s="45">
        <f>('[2]Renewable Diesel'!$AP371*'[2]RD Feedstock Breakdown'!DA$3*'[2]Feedstock Conversion Rates'!$B$3)/12</f>
        <v>6.3412499999999996</v>
      </c>
      <c r="DB362" s="45">
        <f>('[2]Renewable Diesel'!$AP371*'[2]RD Feedstock Breakdown'!DB$3*'[2]Feedstock Conversion Rates'!$B$8)/12</f>
        <v>7.421875</v>
      </c>
      <c r="DC362" s="47">
        <f t="shared" si="287"/>
        <v>13.763124999999999</v>
      </c>
      <c r="DD362" s="45">
        <f>('[2]Renewable Diesel'!AQ371*$DD$3*'[2]Feedstock Conversion Rates'!$B$14)/12</f>
        <v>3.1041666666666665</v>
      </c>
      <c r="DE362" s="47">
        <f t="shared" si="288"/>
        <v>3.1041666666666665</v>
      </c>
      <c r="DF362" s="45">
        <f>('[2]Renewable Diesel'!AR371*'[2]Feedstock Conversion Rates'!$B$4*$DF$3)/12</f>
        <v>75</v>
      </c>
      <c r="DG362" s="47">
        <f t="shared" si="269"/>
        <v>75</v>
      </c>
      <c r="DH362" s="45">
        <f>('[2]Renewable Diesel'!AS371*'[2]Feedstock Conversion Rates'!$B$4*$DH$3)/12</f>
        <v>75</v>
      </c>
      <c r="DI362" s="47">
        <f t="shared" si="273"/>
        <v>75</v>
      </c>
      <c r="DJ362" s="45">
        <f>('[2]Renewable Diesel'!AT371*'[2]Feedstock Conversion Rates'!$B$4*0.25)/12</f>
        <v>8.59375</v>
      </c>
      <c r="DK362" s="45">
        <f>('[2]Renewable Diesel'!$AT371*'[2]RD Feedstock Breakdown'!DK$3*'[2]Feedstock Conversion Rates'!$B$3)/12*0.5</f>
        <v>9.1781249999999996</v>
      </c>
      <c r="DL362" s="45">
        <f>('[2]Renewable Diesel'!$AT371*'[2]RD Feedstock Breakdown'!$DL$3*'[2]Feedstock Conversion Rates'!$B$6)/12</f>
        <v>10.747916666666669</v>
      </c>
      <c r="DM362" s="45">
        <f>('[2]Renewable Diesel'!$AT371*'[2]RD Feedstock Breakdown'!$DM$3*'[2]Feedstock Conversion Rates'!$B$8)/12</f>
        <v>10.7421875</v>
      </c>
      <c r="DN362" s="47">
        <f t="shared" si="317"/>
        <v>39.26197916666667</v>
      </c>
      <c r="DP362" s="45">
        <f t="shared" si="290"/>
        <v>48.220250000000007</v>
      </c>
      <c r="DQ362" s="45">
        <f t="shared" si="291"/>
        <v>399.11776750000007</v>
      </c>
      <c r="DR362" s="45">
        <f t="shared" si="296"/>
        <v>1891.953125</v>
      </c>
      <c r="DS362" s="45">
        <f t="shared" si="309"/>
        <v>228.90125</v>
      </c>
      <c r="DT362" s="45">
        <f t="shared" si="292"/>
        <v>243.03923333333344</v>
      </c>
      <c r="DU362" s="45">
        <f t="shared" si="293"/>
        <v>432.90610000000009</v>
      </c>
      <c r="DV362" s="45">
        <f t="shared" si="297"/>
        <v>78.75</v>
      </c>
      <c r="DW362" s="45">
        <f t="shared" si="294"/>
        <v>3</v>
      </c>
      <c r="DX362" s="47">
        <f t="shared" si="298"/>
        <v>3325.8877258333337</v>
      </c>
      <c r="DY362" s="50">
        <f t="shared" si="286"/>
        <v>-5.631051180898794E-13</v>
      </c>
      <c r="EA362" s="51">
        <f t="shared" si="330"/>
        <v>1.4498459952648568E-2</v>
      </c>
      <c r="EB362" s="51">
        <f t="shared" si="330"/>
        <v>0.1200033796691069</v>
      </c>
      <c r="EC362" s="51">
        <f t="shared" si="330"/>
        <v>0.56885658235079262</v>
      </c>
      <c r="ED362" s="51">
        <f t="shared" si="330"/>
        <v>6.882410618435611E-2</v>
      </c>
      <c r="EE362" s="51">
        <f t="shared" si="330"/>
        <v>7.3074996322203753E-2</v>
      </c>
      <c r="EF362" s="51">
        <f t="shared" si="330"/>
        <v>0.13016257182630278</v>
      </c>
      <c r="EG362" s="51">
        <f t="shared" si="327"/>
        <v>2.3677888880108969E-2</v>
      </c>
      <c r="EH362" s="52">
        <f t="shared" si="299"/>
        <v>9.0201481448034171E-4</v>
      </c>
      <c r="EI362" s="51">
        <f t="shared" si="271"/>
        <v>0.99909798518551962</v>
      </c>
      <c r="EK362" s="53">
        <f>(EA362*'[2]Renewable Diesel'!BF371*'[2]Feedstock Conversion Rates'!B$2)+FB362</f>
        <v>124.49407715952357</v>
      </c>
      <c r="EL362" s="53">
        <f>(EB362*'[2]Renewable Diesel'!BF371*'[2]Feedstock Conversion Rates'!B$3)+FC362</f>
        <v>971.03276570584819</v>
      </c>
      <c r="EM362" s="53">
        <f>(EC362*'[2]Renewable Diesel'!BF371*'[2]Feedstock Conversion Rates'!B$4)+FD362</f>
        <v>4309.9471266669771</v>
      </c>
      <c r="EN362" s="53">
        <f>(ED362*'[2]Renewable Diesel'!BF371*'[2]Feedstock Conversion Rates'!B$5)+FE362</f>
        <v>524.92278314744146</v>
      </c>
      <c r="EO362" s="53">
        <f>(EE362*'[2]Renewable Diesel'!BF371*'[2]Feedstock Conversion Rates'!B$6)+FF362</f>
        <v>692.43582917997162</v>
      </c>
      <c r="EP362" s="53">
        <f>(EF362*'[2]Renewable Diesel'!BF371*'[2]Feedstock Conversion Rates'!B$7)+FG362</f>
        <v>1209.711584629722</v>
      </c>
      <c r="EQ362" s="53">
        <f>(EG362*'[2]Renewable Diesel'!BF371*'[2]Feedstock Conversion Rates'!B$8)+FH362</f>
        <v>224.2446785151088</v>
      </c>
      <c r="ER362" s="53">
        <f>(EH362*'[2]Renewable Diesel'!BF371*'[2]Feedstock Conversion Rates'!B$9)+FI362</f>
        <v>8.4287523606948831</v>
      </c>
      <c r="ES362" s="53">
        <f t="shared" si="300"/>
        <v>8065.2175973652875</v>
      </c>
      <c r="ET362" s="36">
        <f>ES362/'[2]Renewable Diesel'!BF371</f>
        <v>7.9837733216591147</v>
      </c>
    </row>
    <row r="363" spans="1:150" x14ac:dyDescent="0.25">
      <c r="A363" s="39">
        <v>51471</v>
      </c>
      <c r="B363" s="45">
        <f t="shared" si="331"/>
        <v>44.25</v>
      </c>
      <c r="C363" s="45">
        <f t="shared" si="321"/>
        <v>49</v>
      </c>
      <c r="D363" s="45">
        <f t="shared" si="332"/>
        <v>2</v>
      </c>
      <c r="E363" s="45">
        <f>('[2]Renewable Diesel'!B372*E$3*'[2]Feedstock Conversion Rates'!$B$2)/12+26+13-100+27.5+39</f>
        <v>95.43</v>
      </c>
      <c r="F363" s="45">
        <f>('[2]Renewable Diesel'!B372*'[2]RD Feedstock Breakdown'!F$3*'[2]Feedstock Conversion Rates'!B$8)/12+77+23-10-12-115.75+24+8</f>
        <v>48.15625</v>
      </c>
      <c r="G363" s="45">
        <f>('[2]Renewable Diesel'!B372*'[2]RD Feedstock Breakdown'!G$3*'[2]Feedstock Conversion Rates'!B$7)/12+116.75-39-57.5-145-31.5+32+70-40+10+60</f>
        <v>151.90700000000004</v>
      </c>
      <c r="H363" s="45">
        <f>('[2]Renewable Diesel'!B372*'[2]RD Feedstock Breakdown'!H$3*'[2]Feedstock Conversion Rates'!B$3)/12+67+10+12+3-235+20+47-20+25</f>
        <v>105.40022499999998</v>
      </c>
      <c r="I363" s="47">
        <f t="shared" si="314"/>
        <v>496.14347500000002</v>
      </c>
      <c r="J363" s="45">
        <f t="shared" si="281"/>
        <v>4</v>
      </c>
      <c r="K363" s="45"/>
      <c r="L363" s="45">
        <v>1</v>
      </c>
      <c r="M363" s="45">
        <f>('[2]Renewable Diesel'!C372*'[2]RD Feedstock Breakdown'!M$3*'[2]Feedstock Conversion Rates'!B$2)/12-55</f>
        <v>-47.20975</v>
      </c>
      <c r="N363" s="45">
        <f>('[2]Renewable Diesel'!C372*'[2]RD Feedstock Breakdown'!N$3*'[2]Feedstock Conversion Rates'!B$8)/12</f>
        <v>3.671875</v>
      </c>
      <c r="O363" s="45">
        <f>('[2]Renewable Diesel'!C372*'[2]RD Feedstock Breakdown'!O$3*'[2]Feedstock Conversion Rates'!B$7)/12+30</f>
        <v>41.999099999999999</v>
      </c>
      <c r="P363" s="45">
        <f>('[2]Renewable Diesel'!C372*'[2]RD Feedstock Breakdown'!P$3*'[2]Feedstock Conversion Rates'!B$3)/12+15+35</f>
        <v>60.447042500000002</v>
      </c>
      <c r="Q363" s="47">
        <f t="shared" si="322"/>
        <v>63.908267500000001</v>
      </c>
      <c r="R363" s="45">
        <f>('[2]Renewable Diesel'!D372*'[2]RD Feedstock Breakdown'!R$3*'[2]Feedstock Conversion Rates'!B$7)/12</f>
        <v>2.2999999999999998</v>
      </c>
      <c r="S363" s="47">
        <f t="shared" si="279"/>
        <v>2.2999999999999998</v>
      </c>
      <c r="T363" s="45">
        <f t="shared" si="323"/>
        <v>0.82499999999999929</v>
      </c>
      <c r="U363" s="45"/>
      <c r="V363" s="45">
        <f>('[2]Renewable Diesel'!E372*'[2]RD Feedstock Breakdown'!V$3*'[2]Feedstock Conversion Rates'!B$6)/12-20+25</f>
        <v>49.250150000000012</v>
      </c>
      <c r="W363" s="45">
        <f>('[2]Renewable Diesel'!E372*'[2]RD Feedstock Breakdown'!W$3*'[2]Feedstock Conversion Rates'!B$8)/12-6</f>
        <v>16.1796875</v>
      </c>
      <c r="X363" s="47">
        <f t="shared" si="301"/>
        <v>66.254837500000008</v>
      </c>
      <c r="Y363" s="45">
        <f t="shared" si="324"/>
        <v>98</v>
      </c>
      <c r="Z363" s="45">
        <f>('[2]Renewable Diesel'!F372*'[2]RD Feedstock Breakdown'!Z$3*'[2]Feedstock Conversion Rates'!B$6)/12-142+15+5+20+5+15</f>
        <v>77.460000000000008</v>
      </c>
      <c r="AA363" s="45">
        <f>('[2]Renewable Diesel'!F372*'[2]RD Feedstock Breakdown'!AA$3*'[2]Feedstock Conversion Rates'!B$7)/12+24</f>
        <v>128.26666666666665</v>
      </c>
      <c r="AB363" s="47">
        <f t="shared" si="270"/>
        <v>303.72666666666669</v>
      </c>
      <c r="AC363" s="45">
        <f>('[2]Renewable Diesel'!G372*'[2]RD Feedstock Breakdown'!AC$3*'[2]Feedstock Conversion Rates'!B$5)/12</f>
        <v>11.796875</v>
      </c>
      <c r="AD363" s="45">
        <f>('[2]Renewable Diesel'!G372*'[2]RD Feedstock Breakdown'!AD$3*'[2]Feedstock Conversion Rates'!B$4)/12</f>
        <v>5.859375</v>
      </c>
      <c r="AE363" s="45">
        <f>('[2]Renewable Diesel'!G372*'[2]RD Feedstock Breakdown'!AE$3*'[2]Feedstock Conversion Rates'!B$6)/12</f>
        <v>7.3281250000000009</v>
      </c>
      <c r="AF363" s="47">
        <f t="shared" si="310"/>
        <v>24.984375</v>
      </c>
      <c r="AG363" s="45">
        <f t="shared" si="326"/>
        <v>148</v>
      </c>
      <c r="AH363" s="45"/>
      <c r="AI363" s="45">
        <f>('[2]Renewable Diesel'!H372*'[2]RD Feedstock Breakdown'!AI$3*'[2]Feedstock Conversion Rates'!B$6)/12-130-20+51-49</f>
        <v>0.51666666666667993</v>
      </c>
      <c r="AJ363" s="47">
        <f t="shared" si="278"/>
        <v>148.51666666666668</v>
      </c>
      <c r="AK363" s="45">
        <f>('[2]Renewable Diesel'!J372*'[2]RD Feedstock Breakdown'!AK$3*'[2]Feedstock Conversion Rates'!B$4)/12</f>
        <v>95.8125</v>
      </c>
      <c r="AL363" s="47">
        <f t="shared" si="280"/>
        <v>95.8125</v>
      </c>
      <c r="AM363" s="45">
        <f>('[2]Renewable Diesel'!K372*'[2]RD Feedstock Breakdown'!AM$3*'[2]Feedstock Conversion Rates'!B$4)/12+5+15-10+10</f>
        <v>78.59375</v>
      </c>
      <c r="AN363" s="45">
        <f>('[2]Renewable Diesel'!K372*'[2]RD Feedstock Breakdown'!AN$3*'[2]Feedstock Conversion Rates'!B$6)/12-5-15+10-10</f>
        <v>4.4270833333333321</v>
      </c>
      <c r="AO363" s="47">
        <f t="shared" si="295"/>
        <v>83.020833333333329</v>
      </c>
      <c r="AP363" s="45">
        <f>('[2]Renewable Diesel'!L372*'[2]RD Feedstock Breakdown'!AP$3*'[2]Feedstock Conversion Rates'!B$4)/12+15-10+15</f>
        <v>78.59375</v>
      </c>
      <c r="AQ363" s="45">
        <f>('[2]Renewable Diesel'!L372*'[2]RD Feedstock Breakdown'!AQ$3*'[2]Feedstock Conversion Rates'!B$6)/12-15+10-15</f>
        <v>4.4270833333333321</v>
      </c>
      <c r="AR363" s="47">
        <f t="shared" si="285"/>
        <v>83.020833333333329</v>
      </c>
      <c r="AS363" s="45">
        <f>('[2]Renewable Diesel'!M372*'[2]RD Feedstock Breakdown'!AS$3*'[2]Feedstock Conversion Rates'!B$4)/12</f>
        <v>456.25</v>
      </c>
      <c r="AT363" s="45">
        <f>('[2]Renewable Diesel'!M372*'[2]RD Feedstock Breakdown'!AT$3*'[2]Feedstock Conversion Rates'!B$5)/12</f>
        <v>0</v>
      </c>
      <c r="AU363" s="47">
        <f t="shared" si="313"/>
        <v>456.25</v>
      </c>
      <c r="AV363" s="45">
        <f>'[2]Renewable Diesel'!N372*'[2]RD Feedstock Breakdown'!$AV$3*'[2]Feedstock Conversion Rates'!$B$4/12-15-10+25+25-22+25</f>
        <v>106.74999999999999</v>
      </c>
      <c r="AW363" s="45">
        <f>'[2]Renewable Diesel'!N372*'[2]RD Feedstock Breakdown'!$AW$3*'[2]Feedstock Conversion Rates'!$B$7/12+15+10-25-25+22-25</f>
        <v>13.400000000000006</v>
      </c>
      <c r="AX363" s="47">
        <f t="shared" si="272"/>
        <v>120.14999999999999</v>
      </c>
      <c r="AY363" s="45">
        <f>('[2]Renewable Diesel'!O372*'[2]RD Feedstock Breakdown'!AY$3*'[2]Feedstock Conversion Rates'!B$4)/12</f>
        <v>210.9375</v>
      </c>
      <c r="AZ363" s="45">
        <f>('[2]Renewable Diesel'!O372*'[2]RD Feedstock Breakdown'!AZ$3*'[2]Feedstock Conversion Rates'!B$3)/12</f>
        <v>25.03125</v>
      </c>
      <c r="BA363" s="47">
        <f t="shared" si="325"/>
        <v>235.96875</v>
      </c>
      <c r="BB363" s="45">
        <f>('[2]Renewable Diesel'!Q372*'[2]RD Feedstock Breakdown'!BB$3*'[2]Feedstock Conversion Rates'!B$4)/12</f>
        <v>11.156249999999998</v>
      </c>
      <c r="BC363" s="45">
        <f>('[2]Renewable Diesel'!Q372*'[2]RD Feedstock Breakdown'!BC$3*'[2]Feedstock Conversion Rates'!B$3)/12</f>
        <v>1.4017500000000001</v>
      </c>
      <c r="BD363" s="45">
        <f>('[2]Renewable Diesel'!Q372*'[2]RD Feedstock Breakdown'!BD$3*'[2]Feedstock Conversion Rates'!B$6)/12</f>
        <v>0.8207500000000002</v>
      </c>
      <c r="BE363" s="47">
        <f t="shared" si="303"/>
        <v>13.378749999999998</v>
      </c>
      <c r="BF363" s="45">
        <f>('[2]Renewable Diesel'!R372*'[2]RD Feedstock Breakdown'!BF$3*'[2]Feedstock Conversion Rates'!B$4)/12</f>
        <v>62.5</v>
      </c>
      <c r="BG363" s="47">
        <f t="shared" si="289"/>
        <v>62.5</v>
      </c>
      <c r="BH363" s="45">
        <f>('[2]Renewable Diesel'!T372*'[2]RD Feedstock Breakdown'!BH$3*'[2]Feedstock Conversion Rates'!B$7)/12</f>
        <v>27.599999999999998</v>
      </c>
      <c r="BI363" s="47">
        <f t="shared" si="277"/>
        <v>27.599999999999998</v>
      </c>
      <c r="BJ363" s="45">
        <f>('[2]Renewable Diesel'!W372*'[2]RD Feedstock Breakdown'!BJ$3*'[2]Feedstock Conversion Rates'!B$4)/12</f>
        <v>7.5</v>
      </c>
      <c r="BK363" s="45">
        <f>('[2]Renewable Diesel'!W372*'[2]RD Feedstock Breakdown'!BK$3*'[2]Feedstock Conversion Rates'!B$3)/12</f>
        <v>1.335</v>
      </c>
      <c r="BL363" s="45">
        <f>('[2]Renewable Diesel'!W372*'[2]RD Feedstock Breakdown'!BL$3*'[2]Feedstock Conversion Rates'!B$6)/12</f>
        <v>3.1266666666666669</v>
      </c>
      <c r="BM363" s="45">
        <f>('[2]Renewable Diesel'!W372*'[2]RD Feedstock Breakdown'!BM$3*'[2]Feedstock Conversion Rates'!B$7)/12</f>
        <v>1.5333333333333332</v>
      </c>
      <c r="BN363" s="47">
        <f t="shared" si="316"/>
        <v>13.495000000000001</v>
      </c>
      <c r="BO363" s="45">
        <f>('[2]Renewable Diesel'!P372*'[2]Feedstock Conversion Rates'!B$4)/12</f>
        <v>31.25</v>
      </c>
      <c r="BP363" s="47">
        <f t="shared" si="311"/>
        <v>31.25</v>
      </c>
      <c r="BQ363" s="45">
        <f>('[2]Renewable Diesel'!$S372*'[2]RD Feedstock Breakdown'!BQ$3*'[2]Feedstock Conversion Rates'!B$4)/12+10+15-15</f>
        <v>38.125</v>
      </c>
      <c r="BR363" s="45">
        <f>('[2]Renewable Diesel'!$S372*'[2]RD Feedstock Breakdown'!BR$3*'[2]Feedstock Conversion Rates'!B$7)/12-10-15+15</f>
        <v>1.5</v>
      </c>
      <c r="BS363" s="47">
        <f t="shared" si="328"/>
        <v>39.625</v>
      </c>
      <c r="BT363" s="47"/>
      <c r="BU363" s="45">
        <f>('[2]Renewable Diesel'!Y372*'[2]Feedstock Conversion Rates'!B$7)/12</f>
        <v>2.6833333333333331</v>
      </c>
      <c r="BV363" s="47">
        <f t="shared" si="305"/>
        <v>2.6833333333333331</v>
      </c>
      <c r="BW363" s="45">
        <f>('[2]Renewable Diesel'!$Z372*'[2]RD Feedstock Breakdown'!BW$3*'[2]Feedstock Conversion Rates'!$B$4)/12-250+180</f>
        <v>1.875</v>
      </c>
      <c r="BX363" s="45">
        <f>('[2]Renewable Diesel'!$Z372*'[2]RD Feedstock Breakdown'!BX$3*'[2]Feedstock Conversion Rates'!$B$5)/12</f>
        <v>7.2354166666666666</v>
      </c>
      <c r="BY363" s="45">
        <f>('[2]Renewable Diesel'!$Z372*'[2]RD Feedstock Breakdown'!BY$3*'[2]Feedstock Conversion Rates'!$B$7)/12</f>
        <v>61.716666666666661</v>
      </c>
      <c r="BZ363" s="45">
        <f>('[2]Renewable Diesel'!$Z372*'[2]RD Feedstock Breakdown'!BZ$3*'[2]Feedstock Conversion Rates'!$B$3)/12+250-180</f>
        <v>85.35250000000002</v>
      </c>
      <c r="CA363" s="47">
        <f t="shared" si="329"/>
        <v>156.17958333333334</v>
      </c>
      <c r="CB363" s="45">
        <f>('[2]Renewable Diesel'!AA372*'[2]Feedstock Conversion Rates'!B$4)/12</f>
        <v>191.25</v>
      </c>
      <c r="CC363" s="47">
        <f t="shared" si="318"/>
        <v>191.25</v>
      </c>
      <c r="CD363" s="45">
        <f>('[2]Renewable Diesel'!$AB372*'[2]RD Feedstock Breakdown'!CD$3*'[2]Feedstock Conversion Rates'!$B$6)/12-15-5</f>
        <v>12.830000000000005</v>
      </c>
      <c r="CE363" s="45">
        <f>('[2]Renewable Diesel'!$AB372*'[2]RD Feedstock Breakdown'!CE$3*'[2]Feedstock Conversion Rates'!$B$4)/12+15+5</f>
        <v>31.25</v>
      </c>
      <c r="CF363" s="47">
        <f t="shared" si="315"/>
        <v>44.080000000000005</v>
      </c>
      <c r="CG363" s="45">
        <f>('[2]Renewable Diesel'!AD372*'[2]Feedstock Conversion Rates'!B$4)/12</f>
        <v>112.5</v>
      </c>
      <c r="CH363" s="47">
        <f t="shared" si="302"/>
        <v>112.5</v>
      </c>
      <c r="CI363" s="45">
        <f>('[2]Renewable Diesel'!$AE372*'[2]RD Feedstock Breakdown'!CI$3*'[2]Feedstock Conversion Rates'!$B$5)/12</f>
        <v>0.34604166666666664</v>
      </c>
      <c r="CJ363" s="45">
        <f>('[2]Renewable Diesel'!$AE372*'[2]RD Feedstock Breakdown'!CJ$3*'[2]Feedstock Conversion Rates'!$B$4)/12</f>
        <v>0.34375</v>
      </c>
      <c r="CK363" s="47">
        <f t="shared" si="312"/>
        <v>0.68979166666666658</v>
      </c>
      <c r="CL363" s="45">
        <f>(((CL$3*'[2]Renewable Diesel'!$AF372)*'[2]Feedstock Conversion Rates'!$B$3)/12)</f>
        <v>91.78125</v>
      </c>
      <c r="CM363" s="45">
        <f>(((CM$3*'[2]Renewable Diesel'!$AF372)*'[2]Feedstock Conversion Rates'!$B$6)/12)</f>
        <v>53.739583333333336</v>
      </c>
      <c r="CN363" s="45">
        <f>(((CN$3*'[2]Renewable Diesel'!$AF372)*'[2]Feedstock Conversion Rates'!$B$4)/12)</f>
        <v>42.96875</v>
      </c>
      <c r="CO363" s="47">
        <f t="shared" si="304"/>
        <v>188.48958333333334</v>
      </c>
      <c r="CP363" s="45">
        <f>('[2]Renewable Diesel'!$AG372*'[2]RD Feedstock Breakdown'!CP$3*'[2]Feedstock Conversion Rates'!$B$3)/12</f>
        <v>6.0075000000000003</v>
      </c>
      <c r="CQ363" s="45">
        <f>('[2]Renewable Diesel'!$AG372*'[2]RD Feedstock Breakdown'!CQ$3*'[2]Feedstock Conversion Rates'!$B$6)/12</f>
        <v>3.5175000000000001</v>
      </c>
      <c r="CR363" s="45">
        <f>('[2]Renewable Diesel'!$AG372*'[2]RD Feedstock Breakdown'!CR$3*'[2]Feedstock Conversion Rates'!$B$4)/12</f>
        <v>2.8125</v>
      </c>
      <c r="CS363" s="47">
        <f t="shared" si="267"/>
        <v>12.3375</v>
      </c>
      <c r="CT363" s="45">
        <f>('[2]Renewable Diesel'!AI372*'[2]Feedstock Conversion Rates'!$B$4*'[2]RD Feedstock Breakdown'!$CT$3)/12</f>
        <v>29.375</v>
      </c>
      <c r="CU363" s="47">
        <f t="shared" si="308"/>
        <v>29.375</v>
      </c>
      <c r="CV363" s="45">
        <f>('[2]Renewable Diesel'!AN372*'[2]Feedstock Conversion Rates'!$B$3*'[2]RD Feedstock Breakdown'!$CV$3)/12</f>
        <v>0.50062499999999999</v>
      </c>
      <c r="CW363" s="47">
        <f t="shared" si="284"/>
        <v>0.50062499999999999</v>
      </c>
      <c r="CX363" s="45">
        <f>('[2]Renewable Diesel'!AO372*'[2]RD Feedstock Breakdown'!$CX$3*'[2]Feedstock Conversion Rates'!$B$3)/12</f>
        <v>6.3412499999999996</v>
      </c>
      <c r="CY363" s="45">
        <f>('[2]Renewable Diesel'!AO372*'[2]RD Feedstock Breakdown'!$CY$3*'[2]Feedstock Conversion Rates'!$B$6)/12</f>
        <v>7.4258333333333342</v>
      </c>
      <c r="CZ363" s="47">
        <f t="shared" si="268"/>
        <v>13.767083333333334</v>
      </c>
      <c r="DA363" s="45">
        <f>('[2]Renewable Diesel'!$AP372*'[2]RD Feedstock Breakdown'!DA$3*'[2]Feedstock Conversion Rates'!$B$3)/12</f>
        <v>6.3412499999999996</v>
      </c>
      <c r="DB363" s="45">
        <f>('[2]Renewable Diesel'!$AP372*'[2]RD Feedstock Breakdown'!DB$3*'[2]Feedstock Conversion Rates'!$B$8)/12</f>
        <v>7.421875</v>
      </c>
      <c r="DC363" s="47">
        <f t="shared" si="287"/>
        <v>13.763124999999999</v>
      </c>
      <c r="DD363" s="45">
        <f>('[2]Renewable Diesel'!AQ372*$DD$3*'[2]Feedstock Conversion Rates'!$B$14)/12</f>
        <v>3.1041666666666665</v>
      </c>
      <c r="DE363" s="47">
        <f t="shared" si="288"/>
        <v>3.1041666666666665</v>
      </c>
      <c r="DF363" s="45">
        <f>('[2]Renewable Diesel'!AR372*'[2]Feedstock Conversion Rates'!$B$4*$DF$3)/12</f>
        <v>75</v>
      </c>
      <c r="DG363" s="47">
        <f t="shared" si="269"/>
        <v>75</v>
      </c>
      <c r="DH363" s="45">
        <f>('[2]Renewable Diesel'!AS372*'[2]Feedstock Conversion Rates'!$B$4*$DH$3)/12</f>
        <v>75</v>
      </c>
      <c r="DI363" s="47">
        <f t="shared" si="273"/>
        <v>75</v>
      </c>
      <c r="DJ363" s="45">
        <f>('[2]Renewable Diesel'!AT372*'[2]Feedstock Conversion Rates'!$B$4*0.25)/12</f>
        <v>8.59375</v>
      </c>
      <c r="DK363" s="45">
        <f>('[2]Renewable Diesel'!$AT372*'[2]RD Feedstock Breakdown'!DK$3*'[2]Feedstock Conversion Rates'!$B$3)/12*0.5</f>
        <v>9.1781249999999996</v>
      </c>
      <c r="DL363" s="45">
        <f>('[2]Renewable Diesel'!$AT372*'[2]RD Feedstock Breakdown'!$DL$3*'[2]Feedstock Conversion Rates'!$B$6)/12</f>
        <v>10.747916666666669</v>
      </c>
      <c r="DM363" s="45">
        <f>('[2]Renewable Diesel'!$AT372*'[2]RD Feedstock Breakdown'!$DM$3*'[2]Feedstock Conversion Rates'!$B$8)/12</f>
        <v>10.7421875</v>
      </c>
      <c r="DN363" s="47">
        <f t="shared" si="317"/>
        <v>39.26197916666667</v>
      </c>
      <c r="DP363" s="45">
        <f t="shared" si="290"/>
        <v>48.220250000000007</v>
      </c>
      <c r="DQ363" s="45">
        <f t="shared" si="291"/>
        <v>399.11776750000007</v>
      </c>
      <c r="DR363" s="45">
        <f t="shared" si="296"/>
        <v>1891.953125</v>
      </c>
      <c r="DS363" s="45">
        <f t="shared" si="309"/>
        <v>228.90125</v>
      </c>
      <c r="DT363" s="45">
        <f t="shared" si="292"/>
        <v>243.03923333333344</v>
      </c>
      <c r="DU363" s="45">
        <f t="shared" si="293"/>
        <v>432.90610000000009</v>
      </c>
      <c r="DV363" s="45">
        <f t="shared" si="297"/>
        <v>78.75</v>
      </c>
      <c r="DW363" s="45">
        <f t="shared" si="294"/>
        <v>3</v>
      </c>
      <c r="DX363" s="47">
        <f t="shared" si="298"/>
        <v>3325.8877258333337</v>
      </c>
      <c r="DY363" s="50">
        <f t="shared" si="286"/>
        <v>-5.631051180898794E-13</v>
      </c>
      <c r="EA363" s="51">
        <f t="shared" si="330"/>
        <v>1.4498459952648568E-2</v>
      </c>
      <c r="EB363" s="51">
        <f t="shared" si="330"/>
        <v>0.1200033796691069</v>
      </c>
      <c r="EC363" s="51">
        <f t="shared" si="330"/>
        <v>0.56885658235079262</v>
      </c>
      <c r="ED363" s="51">
        <f t="shared" si="330"/>
        <v>6.882410618435611E-2</v>
      </c>
      <c r="EE363" s="51">
        <f t="shared" si="330"/>
        <v>7.3074996322203753E-2</v>
      </c>
      <c r="EF363" s="51">
        <f t="shared" si="330"/>
        <v>0.13016257182630278</v>
      </c>
      <c r="EG363" s="51">
        <f t="shared" si="327"/>
        <v>2.3677888880108969E-2</v>
      </c>
      <c r="EH363" s="52">
        <f t="shared" si="299"/>
        <v>9.0201481448034171E-4</v>
      </c>
      <c r="EI363" s="51">
        <f t="shared" si="271"/>
        <v>0.99909798518551962</v>
      </c>
      <c r="EK363" s="53">
        <f>(EA363*'[2]Renewable Diesel'!BF372*'[2]Feedstock Conversion Rates'!B$2)+FB363</f>
        <v>127.11002410083834</v>
      </c>
      <c r="EL363" s="53">
        <f>(EB363*'[2]Renewable Diesel'!BF372*'[2]Feedstock Conversion Rates'!B$3)+FC363</f>
        <v>991.43670982368542</v>
      </c>
      <c r="EM363" s="53">
        <f>(EC363*'[2]Renewable Diesel'!BF372*'[2]Feedstock Conversion Rates'!B$4)+FD363</f>
        <v>4400.5104149813751</v>
      </c>
      <c r="EN363" s="53">
        <f>(ED363*'[2]Renewable Diesel'!BF372*'[2]Feedstock Conversion Rates'!B$5)+FE363</f>
        <v>535.95278698643085</v>
      </c>
      <c r="EO363" s="53">
        <f>(EE363*'[2]Renewable Diesel'!BF372*'[2]Feedstock Conversion Rates'!B$6)+FF363</f>
        <v>706.98572127707962</v>
      </c>
      <c r="EP363" s="53">
        <f>(EF363*'[2]Renewable Diesel'!BF372*'[2]Feedstock Conversion Rates'!B$7)+FG363</f>
        <v>1235.1307964660427</v>
      </c>
      <c r="EQ363" s="53">
        <f>(EG363*'[2]Renewable Diesel'!BF372*'[2]Feedstock Conversion Rates'!B$8)+FH363</f>
        <v>228.95664710230551</v>
      </c>
      <c r="ER363" s="53">
        <f>(EH363*'[2]Renewable Diesel'!BF372*'[2]Feedstock Conversion Rates'!B$9)+FI363</f>
        <v>8.6058625450517372</v>
      </c>
      <c r="ES363" s="53">
        <f t="shared" si="300"/>
        <v>8234.6889632828079</v>
      </c>
      <c r="ET363" s="36">
        <f>ES363/'[2]Renewable Diesel'!BF372</f>
        <v>7.983773321659112</v>
      </c>
    </row>
    <row r="364" spans="1:150" x14ac:dyDescent="0.25">
      <c r="A364" s="39">
        <v>51502</v>
      </c>
      <c r="B364" s="45">
        <f t="shared" si="331"/>
        <v>44.25</v>
      </c>
      <c r="C364" s="45">
        <f t="shared" si="321"/>
        <v>49</v>
      </c>
      <c r="D364" s="45">
        <f t="shared" si="332"/>
        <v>2</v>
      </c>
      <c r="E364" s="45">
        <f>('[2]Renewable Diesel'!B373*E$3*'[2]Feedstock Conversion Rates'!$B$2)/12+26+13-100+27.5+39</f>
        <v>95.43</v>
      </c>
      <c r="F364" s="45">
        <f>('[2]Renewable Diesel'!B373*'[2]RD Feedstock Breakdown'!F$3*'[2]Feedstock Conversion Rates'!B$8)/12+77+23-10-12-115.75+24+8</f>
        <v>48.15625</v>
      </c>
      <c r="G364" s="45">
        <f>('[2]Renewable Diesel'!B373*'[2]RD Feedstock Breakdown'!G$3*'[2]Feedstock Conversion Rates'!B$7)/12+116.75-39-57.5-145-31.5+32+70-40+10+60</f>
        <v>151.90700000000004</v>
      </c>
      <c r="H364" s="45">
        <f>('[2]Renewable Diesel'!B373*'[2]RD Feedstock Breakdown'!H$3*'[2]Feedstock Conversion Rates'!B$3)/12+67+10+12+3-235+20+47-20+25</f>
        <v>105.40022499999998</v>
      </c>
      <c r="I364" s="47">
        <f t="shared" si="314"/>
        <v>496.14347500000002</v>
      </c>
      <c r="J364" s="45">
        <f t="shared" si="281"/>
        <v>4</v>
      </c>
      <c r="K364" s="45"/>
      <c r="L364" s="45">
        <v>1</v>
      </c>
      <c r="M364" s="45">
        <f>('[2]Renewable Diesel'!C373*'[2]RD Feedstock Breakdown'!M$3*'[2]Feedstock Conversion Rates'!B$2)/12-55</f>
        <v>-47.20975</v>
      </c>
      <c r="N364" s="45">
        <f>('[2]Renewable Diesel'!C373*'[2]RD Feedstock Breakdown'!N$3*'[2]Feedstock Conversion Rates'!B$8)/12</f>
        <v>3.671875</v>
      </c>
      <c r="O364" s="45">
        <f>('[2]Renewable Diesel'!C373*'[2]RD Feedstock Breakdown'!O$3*'[2]Feedstock Conversion Rates'!B$7)/12+30</f>
        <v>41.999099999999999</v>
      </c>
      <c r="P364" s="45">
        <f>('[2]Renewable Diesel'!C373*'[2]RD Feedstock Breakdown'!P$3*'[2]Feedstock Conversion Rates'!B$3)/12+15+35</f>
        <v>60.447042500000002</v>
      </c>
      <c r="Q364" s="47">
        <f t="shared" si="322"/>
        <v>63.908267500000001</v>
      </c>
      <c r="R364" s="45">
        <f>('[2]Renewable Diesel'!D373*'[2]RD Feedstock Breakdown'!R$3*'[2]Feedstock Conversion Rates'!B$7)/12</f>
        <v>2.2999999999999998</v>
      </c>
      <c r="S364" s="47">
        <f t="shared" si="279"/>
        <v>2.2999999999999998</v>
      </c>
      <c r="T364" s="45">
        <f t="shared" si="323"/>
        <v>0.82499999999999929</v>
      </c>
      <c r="U364" s="45"/>
      <c r="V364" s="45">
        <f>('[2]Renewable Diesel'!E373*'[2]RD Feedstock Breakdown'!V$3*'[2]Feedstock Conversion Rates'!B$6)/12-20+25</f>
        <v>49.250150000000012</v>
      </c>
      <c r="W364" s="45">
        <f>('[2]Renewable Diesel'!E373*'[2]RD Feedstock Breakdown'!W$3*'[2]Feedstock Conversion Rates'!B$8)/12-6</f>
        <v>16.1796875</v>
      </c>
      <c r="X364" s="47">
        <f t="shared" si="301"/>
        <v>66.254837500000008</v>
      </c>
      <c r="Y364" s="45">
        <f t="shared" si="324"/>
        <v>98</v>
      </c>
      <c r="Z364" s="45">
        <f>('[2]Renewable Diesel'!F373*'[2]RD Feedstock Breakdown'!Z$3*'[2]Feedstock Conversion Rates'!B$6)/12-142+15+5+20+5+15</f>
        <v>77.460000000000008</v>
      </c>
      <c r="AA364" s="45">
        <f>('[2]Renewable Diesel'!F373*'[2]RD Feedstock Breakdown'!AA$3*'[2]Feedstock Conversion Rates'!B$7)/12+24</f>
        <v>128.26666666666665</v>
      </c>
      <c r="AB364" s="47">
        <f t="shared" si="270"/>
        <v>303.72666666666669</v>
      </c>
      <c r="AC364" s="45">
        <f>('[2]Renewable Diesel'!G373*'[2]RD Feedstock Breakdown'!AC$3*'[2]Feedstock Conversion Rates'!B$5)/12</f>
        <v>11.796875</v>
      </c>
      <c r="AD364" s="45">
        <f>('[2]Renewable Diesel'!G373*'[2]RD Feedstock Breakdown'!AD$3*'[2]Feedstock Conversion Rates'!B$4)/12</f>
        <v>5.859375</v>
      </c>
      <c r="AE364" s="45">
        <f>('[2]Renewable Diesel'!G373*'[2]RD Feedstock Breakdown'!AE$3*'[2]Feedstock Conversion Rates'!B$6)/12</f>
        <v>7.3281250000000009</v>
      </c>
      <c r="AF364" s="47">
        <f t="shared" si="310"/>
        <v>24.984375</v>
      </c>
      <c r="AG364" s="45">
        <f t="shared" si="326"/>
        <v>148</v>
      </c>
      <c r="AH364" s="45"/>
      <c r="AI364" s="45">
        <f>('[2]Renewable Diesel'!H373*'[2]RD Feedstock Breakdown'!AI$3*'[2]Feedstock Conversion Rates'!B$6)/12-130-20+51-49</f>
        <v>0.51666666666667993</v>
      </c>
      <c r="AJ364" s="47">
        <f t="shared" si="278"/>
        <v>148.51666666666668</v>
      </c>
      <c r="AK364" s="45">
        <f>('[2]Renewable Diesel'!J373*'[2]RD Feedstock Breakdown'!AK$3*'[2]Feedstock Conversion Rates'!B$4)/12</f>
        <v>95.8125</v>
      </c>
      <c r="AL364" s="47">
        <f t="shared" si="280"/>
        <v>95.8125</v>
      </c>
      <c r="AM364" s="45">
        <f>('[2]Renewable Diesel'!K373*'[2]RD Feedstock Breakdown'!AM$3*'[2]Feedstock Conversion Rates'!B$4)/12+5+15-10+10</f>
        <v>78.59375</v>
      </c>
      <c r="AN364" s="45">
        <f>('[2]Renewable Diesel'!K373*'[2]RD Feedstock Breakdown'!AN$3*'[2]Feedstock Conversion Rates'!B$6)/12-5-15+10-10</f>
        <v>4.4270833333333321</v>
      </c>
      <c r="AO364" s="47">
        <f t="shared" si="295"/>
        <v>83.020833333333329</v>
      </c>
      <c r="AP364" s="45">
        <f>('[2]Renewable Diesel'!L373*'[2]RD Feedstock Breakdown'!AP$3*'[2]Feedstock Conversion Rates'!B$4)/12+15-10+15</f>
        <v>78.59375</v>
      </c>
      <c r="AQ364" s="45">
        <f>('[2]Renewable Diesel'!L373*'[2]RD Feedstock Breakdown'!AQ$3*'[2]Feedstock Conversion Rates'!B$6)/12-15+10-15</f>
        <v>4.4270833333333321</v>
      </c>
      <c r="AR364" s="47">
        <f t="shared" si="285"/>
        <v>83.020833333333329</v>
      </c>
      <c r="AS364" s="45">
        <f>('[2]Renewable Diesel'!M373*'[2]RD Feedstock Breakdown'!AS$3*'[2]Feedstock Conversion Rates'!B$4)/12</f>
        <v>456.25</v>
      </c>
      <c r="AT364" s="45">
        <f>('[2]Renewable Diesel'!M373*'[2]RD Feedstock Breakdown'!AT$3*'[2]Feedstock Conversion Rates'!B$5)/12</f>
        <v>0</v>
      </c>
      <c r="AU364" s="47">
        <f t="shared" si="313"/>
        <v>456.25</v>
      </c>
      <c r="AV364" s="45">
        <f>'[2]Renewable Diesel'!N373*'[2]RD Feedstock Breakdown'!$AV$3*'[2]Feedstock Conversion Rates'!$B$4/12-15-10+25+25-22+25</f>
        <v>106.74999999999999</v>
      </c>
      <c r="AW364" s="45">
        <f>'[2]Renewable Diesel'!N373*'[2]RD Feedstock Breakdown'!$AW$3*'[2]Feedstock Conversion Rates'!$B$7/12+15+10-25-25+22-25</f>
        <v>13.400000000000006</v>
      </c>
      <c r="AX364" s="47">
        <f t="shared" si="272"/>
        <v>120.14999999999999</v>
      </c>
      <c r="AY364" s="45">
        <f>('[2]Renewable Diesel'!O373*'[2]RD Feedstock Breakdown'!AY$3*'[2]Feedstock Conversion Rates'!B$4)/12</f>
        <v>210.9375</v>
      </c>
      <c r="AZ364" s="45">
        <f>('[2]Renewable Diesel'!O373*'[2]RD Feedstock Breakdown'!AZ$3*'[2]Feedstock Conversion Rates'!B$3)/12</f>
        <v>25.03125</v>
      </c>
      <c r="BA364" s="47">
        <f t="shared" si="325"/>
        <v>235.96875</v>
      </c>
      <c r="BB364" s="45">
        <f>('[2]Renewable Diesel'!Q373*'[2]RD Feedstock Breakdown'!BB$3*'[2]Feedstock Conversion Rates'!B$4)/12</f>
        <v>11.156249999999998</v>
      </c>
      <c r="BC364" s="45">
        <f>('[2]Renewable Diesel'!Q373*'[2]RD Feedstock Breakdown'!BC$3*'[2]Feedstock Conversion Rates'!B$3)/12</f>
        <v>1.4017500000000001</v>
      </c>
      <c r="BD364" s="45">
        <f>('[2]Renewable Diesel'!Q373*'[2]RD Feedstock Breakdown'!BD$3*'[2]Feedstock Conversion Rates'!B$6)/12</f>
        <v>0.8207500000000002</v>
      </c>
      <c r="BE364" s="47">
        <f t="shared" si="303"/>
        <v>13.378749999999998</v>
      </c>
      <c r="BF364" s="45">
        <f>('[2]Renewable Diesel'!R373*'[2]RD Feedstock Breakdown'!BF$3*'[2]Feedstock Conversion Rates'!B$4)/12</f>
        <v>62.5</v>
      </c>
      <c r="BG364" s="47">
        <f t="shared" si="289"/>
        <v>62.5</v>
      </c>
      <c r="BH364" s="45">
        <f>('[2]Renewable Diesel'!T373*'[2]RD Feedstock Breakdown'!BH$3*'[2]Feedstock Conversion Rates'!B$7)/12</f>
        <v>27.599999999999998</v>
      </c>
      <c r="BI364" s="47">
        <f t="shared" si="277"/>
        <v>27.599999999999998</v>
      </c>
      <c r="BJ364" s="45">
        <f>('[2]Renewable Diesel'!W373*'[2]RD Feedstock Breakdown'!BJ$3*'[2]Feedstock Conversion Rates'!B$4)/12</f>
        <v>7.5</v>
      </c>
      <c r="BK364" s="45">
        <f>('[2]Renewable Diesel'!W373*'[2]RD Feedstock Breakdown'!BK$3*'[2]Feedstock Conversion Rates'!B$3)/12</f>
        <v>1.335</v>
      </c>
      <c r="BL364" s="45">
        <f>('[2]Renewable Diesel'!W373*'[2]RD Feedstock Breakdown'!BL$3*'[2]Feedstock Conversion Rates'!B$6)/12</f>
        <v>3.1266666666666669</v>
      </c>
      <c r="BM364" s="45">
        <f>('[2]Renewable Diesel'!W373*'[2]RD Feedstock Breakdown'!BM$3*'[2]Feedstock Conversion Rates'!B$7)/12</f>
        <v>1.5333333333333332</v>
      </c>
      <c r="BN364" s="47">
        <f t="shared" si="316"/>
        <v>13.495000000000001</v>
      </c>
      <c r="BO364" s="45">
        <f>('[2]Renewable Diesel'!P373*'[2]Feedstock Conversion Rates'!B$4)/12</f>
        <v>31.25</v>
      </c>
      <c r="BP364" s="47">
        <f t="shared" si="311"/>
        <v>31.25</v>
      </c>
      <c r="BQ364" s="45">
        <f>('[2]Renewable Diesel'!$S373*'[2]RD Feedstock Breakdown'!BQ$3*'[2]Feedstock Conversion Rates'!B$4)/12+10+15-15</f>
        <v>38.125</v>
      </c>
      <c r="BR364" s="45">
        <f>('[2]Renewable Diesel'!$S373*'[2]RD Feedstock Breakdown'!BR$3*'[2]Feedstock Conversion Rates'!B$7)/12-10-15+15</f>
        <v>1.5</v>
      </c>
      <c r="BS364" s="47">
        <f t="shared" si="328"/>
        <v>39.625</v>
      </c>
      <c r="BT364" s="47"/>
      <c r="BU364" s="45">
        <f>('[2]Renewable Diesel'!Y373*'[2]Feedstock Conversion Rates'!B$7)/12</f>
        <v>2.6833333333333331</v>
      </c>
      <c r="BV364" s="47">
        <f t="shared" si="305"/>
        <v>2.6833333333333331</v>
      </c>
      <c r="BW364" s="45">
        <f>('[2]Renewable Diesel'!$Z373*'[2]RD Feedstock Breakdown'!BW$3*'[2]Feedstock Conversion Rates'!$B$4)/12-250+180</f>
        <v>1.875</v>
      </c>
      <c r="BX364" s="45">
        <f>('[2]Renewable Diesel'!$Z373*'[2]RD Feedstock Breakdown'!BX$3*'[2]Feedstock Conversion Rates'!$B$5)/12</f>
        <v>7.2354166666666666</v>
      </c>
      <c r="BY364" s="45">
        <f>('[2]Renewable Diesel'!$Z373*'[2]RD Feedstock Breakdown'!BY$3*'[2]Feedstock Conversion Rates'!$B$7)/12</f>
        <v>61.716666666666661</v>
      </c>
      <c r="BZ364" s="45">
        <f>('[2]Renewable Diesel'!$Z373*'[2]RD Feedstock Breakdown'!BZ$3*'[2]Feedstock Conversion Rates'!$B$3)/12+250-180</f>
        <v>85.35250000000002</v>
      </c>
      <c r="CA364" s="47">
        <f t="shared" si="329"/>
        <v>156.17958333333334</v>
      </c>
      <c r="CB364" s="45">
        <f>('[2]Renewable Diesel'!AA373*'[2]Feedstock Conversion Rates'!B$4)/12</f>
        <v>191.25</v>
      </c>
      <c r="CC364" s="47">
        <f t="shared" si="318"/>
        <v>191.25</v>
      </c>
      <c r="CD364" s="45">
        <f>('[2]Renewable Diesel'!$AB373*'[2]RD Feedstock Breakdown'!CD$3*'[2]Feedstock Conversion Rates'!$B$6)/12-15-5</f>
        <v>12.830000000000005</v>
      </c>
      <c r="CE364" s="45">
        <f>('[2]Renewable Diesel'!$AB373*'[2]RD Feedstock Breakdown'!CE$3*'[2]Feedstock Conversion Rates'!$B$4)/12+15+5</f>
        <v>31.25</v>
      </c>
      <c r="CF364" s="47">
        <f t="shared" si="315"/>
        <v>44.080000000000005</v>
      </c>
      <c r="CG364" s="45">
        <f>('[2]Renewable Diesel'!AD373*'[2]Feedstock Conversion Rates'!B$4)/12</f>
        <v>112.5</v>
      </c>
      <c r="CH364" s="47">
        <f t="shared" si="302"/>
        <v>112.5</v>
      </c>
      <c r="CI364" s="45">
        <f>('[2]Renewable Diesel'!$AE373*'[2]RD Feedstock Breakdown'!CI$3*'[2]Feedstock Conversion Rates'!$B$5)/12</f>
        <v>0.34604166666666664</v>
      </c>
      <c r="CJ364" s="45">
        <f>('[2]Renewable Diesel'!$AE373*'[2]RD Feedstock Breakdown'!CJ$3*'[2]Feedstock Conversion Rates'!$B$4)/12</f>
        <v>0.34375</v>
      </c>
      <c r="CK364" s="47">
        <f t="shared" si="312"/>
        <v>0.68979166666666658</v>
      </c>
      <c r="CL364" s="45">
        <f>(((CL$3*'[2]Renewable Diesel'!$AF373)*'[2]Feedstock Conversion Rates'!$B$3)/12)</f>
        <v>91.78125</v>
      </c>
      <c r="CM364" s="45">
        <f>(((CM$3*'[2]Renewable Diesel'!$AF373)*'[2]Feedstock Conversion Rates'!$B$6)/12)</f>
        <v>53.739583333333336</v>
      </c>
      <c r="CN364" s="45">
        <f>(((CN$3*'[2]Renewable Diesel'!$AF373)*'[2]Feedstock Conversion Rates'!$B$4)/12)</f>
        <v>42.96875</v>
      </c>
      <c r="CO364" s="47">
        <f t="shared" si="304"/>
        <v>188.48958333333334</v>
      </c>
      <c r="CP364" s="45">
        <f>('[2]Renewable Diesel'!$AG373*'[2]RD Feedstock Breakdown'!CP$3*'[2]Feedstock Conversion Rates'!$B$3)/12</f>
        <v>6.0075000000000003</v>
      </c>
      <c r="CQ364" s="45">
        <f>('[2]Renewable Diesel'!$AG373*'[2]RD Feedstock Breakdown'!CQ$3*'[2]Feedstock Conversion Rates'!$B$6)/12</f>
        <v>3.5175000000000001</v>
      </c>
      <c r="CR364" s="45">
        <f>('[2]Renewable Diesel'!$AG373*'[2]RD Feedstock Breakdown'!CR$3*'[2]Feedstock Conversion Rates'!$B$4)/12</f>
        <v>2.8125</v>
      </c>
      <c r="CS364" s="47">
        <f t="shared" si="267"/>
        <v>12.3375</v>
      </c>
      <c r="CT364" s="45">
        <f>('[2]Renewable Diesel'!AI373*'[2]Feedstock Conversion Rates'!$B$4*'[2]RD Feedstock Breakdown'!$CT$3)/12</f>
        <v>29.375</v>
      </c>
      <c r="CU364" s="47">
        <f t="shared" si="308"/>
        <v>29.375</v>
      </c>
      <c r="CV364" s="45">
        <f>('[2]Renewable Diesel'!AN373*'[2]Feedstock Conversion Rates'!$B$3*'[2]RD Feedstock Breakdown'!$CV$3)/12</f>
        <v>0.50062499999999999</v>
      </c>
      <c r="CW364" s="47">
        <f t="shared" si="284"/>
        <v>0.50062499999999999</v>
      </c>
      <c r="CX364" s="45">
        <f>('[2]Renewable Diesel'!AO373*'[2]RD Feedstock Breakdown'!$CX$3*'[2]Feedstock Conversion Rates'!$B$3)/12</f>
        <v>6.3412499999999996</v>
      </c>
      <c r="CY364" s="45">
        <f>('[2]Renewable Diesel'!AO373*'[2]RD Feedstock Breakdown'!$CY$3*'[2]Feedstock Conversion Rates'!$B$6)/12</f>
        <v>7.4258333333333342</v>
      </c>
      <c r="CZ364" s="47">
        <f t="shared" si="268"/>
        <v>13.767083333333334</v>
      </c>
      <c r="DA364" s="45">
        <f>('[2]Renewable Diesel'!$AP373*'[2]RD Feedstock Breakdown'!DA$3*'[2]Feedstock Conversion Rates'!$B$3)/12</f>
        <v>6.3412499999999996</v>
      </c>
      <c r="DB364" s="45">
        <f>('[2]Renewable Diesel'!$AP373*'[2]RD Feedstock Breakdown'!DB$3*'[2]Feedstock Conversion Rates'!$B$8)/12</f>
        <v>7.421875</v>
      </c>
      <c r="DC364" s="47">
        <f t="shared" si="287"/>
        <v>13.763124999999999</v>
      </c>
      <c r="DD364" s="45">
        <f>('[2]Renewable Diesel'!AQ373*$DD$3*'[2]Feedstock Conversion Rates'!$B$14)/12</f>
        <v>3.1041666666666665</v>
      </c>
      <c r="DE364" s="47">
        <f t="shared" si="288"/>
        <v>3.1041666666666665</v>
      </c>
      <c r="DF364" s="45">
        <f>('[2]Renewable Diesel'!AR373*'[2]Feedstock Conversion Rates'!$B$4*$DF$3)/12</f>
        <v>75</v>
      </c>
      <c r="DG364" s="47">
        <f t="shared" si="269"/>
        <v>75</v>
      </c>
      <c r="DH364" s="45">
        <f>('[2]Renewable Diesel'!AS373*'[2]Feedstock Conversion Rates'!$B$4*$DH$3)/12</f>
        <v>75</v>
      </c>
      <c r="DI364" s="47">
        <f t="shared" si="273"/>
        <v>75</v>
      </c>
      <c r="DJ364" s="45">
        <f>('[2]Renewable Diesel'!AT373*'[2]Feedstock Conversion Rates'!$B$4*0.25)/12</f>
        <v>8.59375</v>
      </c>
      <c r="DK364" s="45">
        <f>('[2]Renewable Diesel'!$AT373*'[2]RD Feedstock Breakdown'!DK$3*'[2]Feedstock Conversion Rates'!$B$3)/12*0.5</f>
        <v>9.1781249999999996</v>
      </c>
      <c r="DL364" s="45">
        <f>('[2]Renewable Diesel'!$AT373*'[2]RD Feedstock Breakdown'!$DL$3*'[2]Feedstock Conversion Rates'!$B$6)/12</f>
        <v>10.747916666666669</v>
      </c>
      <c r="DM364" s="45">
        <f>('[2]Renewable Diesel'!$AT373*'[2]RD Feedstock Breakdown'!$DM$3*'[2]Feedstock Conversion Rates'!$B$8)/12</f>
        <v>10.7421875</v>
      </c>
      <c r="DN364" s="47">
        <f t="shared" si="317"/>
        <v>39.26197916666667</v>
      </c>
      <c r="DP364" s="45">
        <f t="shared" si="290"/>
        <v>48.220250000000007</v>
      </c>
      <c r="DQ364" s="45">
        <f t="shared" si="291"/>
        <v>399.11776750000007</v>
      </c>
      <c r="DR364" s="45">
        <f t="shared" si="296"/>
        <v>1891.953125</v>
      </c>
      <c r="DS364" s="45">
        <f t="shared" si="309"/>
        <v>228.90125</v>
      </c>
      <c r="DT364" s="45">
        <f t="shared" si="292"/>
        <v>243.03923333333344</v>
      </c>
      <c r="DU364" s="45">
        <f t="shared" si="293"/>
        <v>432.90610000000009</v>
      </c>
      <c r="DV364" s="45">
        <f t="shared" si="297"/>
        <v>78.75</v>
      </c>
      <c r="DW364" s="45">
        <f t="shared" si="294"/>
        <v>3</v>
      </c>
      <c r="DX364" s="47">
        <f t="shared" si="298"/>
        <v>3325.8877258333337</v>
      </c>
      <c r="DY364" s="50">
        <f t="shared" si="286"/>
        <v>-5.631051180898794E-13</v>
      </c>
      <c r="EA364" s="51">
        <f t="shared" si="330"/>
        <v>1.4498459952648568E-2</v>
      </c>
      <c r="EB364" s="51">
        <f t="shared" si="330"/>
        <v>0.1200033796691069</v>
      </c>
      <c r="EC364" s="51">
        <f t="shared" si="330"/>
        <v>0.56885658235079262</v>
      </c>
      <c r="ED364" s="51">
        <f t="shared" si="330"/>
        <v>6.882410618435611E-2</v>
      </c>
      <c r="EE364" s="51">
        <f t="shared" si="330"/>
        <v>7.3074996322203753E-2</v>
      </c>
      <c r="EF364" s="51">
        <f t="shared" si="330"/>
        <v>0.13016257182630278</v>
      </c>
      <c r="EG364" s="51">
        <f t="shared" si="327"/>
        <v>2.3677888880108969E-2</v>
      </c>
      <c r="EH364" s="52">
        <f t="shared" si="299"/>
        <v>9.0201481448034171E-4</v>
      </c>
      <c r="EI364" s="51">
        <f t="shared" si="271"/>
        <v>0.99909798518551962</v>
      </c>
      <c r="EK364" s="53">
        <f>(EA364*'[2]Renewable Diesel'!BF373*'[2]Feedstock Conversion Rates'!B$2)+FB364</f>
        <v>74.201902099360254</v>
      </c>
      <c r="EL364" s="53">
        <f>(EB364*'[2]Renewable Diesel'!BF373*'[2]Feedstock Conversion Rates'!B$3)+FC364</f>
        <v>578.76229825656799</v>
      </c>
      <c r="EM364" s="53">
        <f>(EC364*'[2]Renewable Diesel'!BF373*'[2]Feedstock Conversion Rates'!B$4)+FD364</f>
        <v>2568.8473061780305</v>
      </c>
      <c r="EN364" s="53">
        <f>(ED364*'[2]Renewable Diesel'!BF373*'[2]Feedstock Conversion Rates'!B$5)+FE364</f>
        <v>312.86845007831391</v>
      </c>
      <c r="EO364" s="53">
        <f>(EE364*'[2]Renewable Diesel'!BF373*'[2]Feedstock Conversion Rates'!B$6)+FF364</f>
        <v>412.71084359350266</v>
      </c>
      <c r="EP364" s="53">
        <f>(EF364*'[2]Renewable Diesel'!BF373*'[2]Feedstock Conversion Rates'!B$7)+FG364</f>
        <v>721.0214543470745</v>
      </c>
      <c r="EQ364" s="53">
        <f>(EG364*'[2]Renewable Diesel'!BF373*'[2]Feedstock Conversion Rates'!B$8)+FH364</f>
        <v>133.65601047959362</v>
      </c>
      <c r="ER364" s="53">
        <f>(EH364*'[2]Renewable Diesel'!BF373*'[2]Feedstock Conversion Rates'!B$9)+FI364</f>
        <v>5.0237687748520266</v>
      </c>
      <c r="ES364" s="53">
        <f t="shared" si="300"/>
        <v>4807.0920338072956</v>
      </c>
      <c r="ET364" s="36">
        <f>ES364/'[2]Renewable Diesel'!BF373</f>
        <v>7.9837733216591138</v>
      </c>
    </row>
    <row r="365" spans="1:150" x14ac:dyDescent="0.25">
      <c r="A365" s="39">
        <v>51533</v>
      </c>
      <c r="B365" s="45">
        <f t="shared" si="331"/>
        <v>44.25</v>
      </c>
      <c r="C365" s="45">
        <f t="shared" si="321"/>
        <v>49</v>
      </c>
      <c r="D365" s="45">
        <f t="shared" si="332"/>
        <v>2</v>
      </c>
      <c r="E365" s="45">
        <f>('[2]Renewable Diesel'!B374*E$3*'[2]Feedstock Conversion Rates'!$B$2)/12+26+13-100+27.5+39</f>
        <v>95.43</v>
      </c>
      <c r="F365" s="45">
        <f>('[2]Renewable Diesel'!B374*'[2]RD Feedstock Breakdown'!F$3*'[2]Feedstock Conversion Rates'!B$8)/12+77+23-10-12-115.75+24+8</f>
        <v>48.15625</v>
      </c>
      <c r="G365" s="45">
        <f>('[2]Renewable Diesel'!B374*'[2]RD Feedstock Breakdown'!G$3*'[2]Feedstock Conversion Rates'!B$7)/12+116.75-39-57.5-145-31.5+32+70-40+10+60</f>
        <v>151.90700000000004</v>
      </c>
      <c r="H365" s="45">
        <f>('[2]Renewable Diesel'!B374*'[2]RD Feedstock Breakdown'!H$3*'[2]Feedstock Conversion Rates'!B$3)/12+67+10+12+3-235+20+47-20+25</f>
        <v>105.40022499999998</v>
      </c>
      <c r="I365" s="47">
        <f t="shared" si="314"/>
        <v>496.14347500000002</v>
      </c>
      <c r="J365" s="45">
        <f t="shared" si="281"/>
        <v>4</v>
      </c>
      <c r="K365" s="45"/>
      <c r="L365" s="45">
        <v>1</v>
      </c>
      <c r="M365" s="45">
        <f>('[2]Renewable Diesel'!C374*'[2]RD Feedstock Breakdown'!M$3*'[2]Feedstock Conversion Rates'!B$2)/12-55</f>
        <v>-47.20975</v>
      </c>
      <c r="N365" s="45">
        <f>('[2]Renewable Diesel'!C374*'[2]RD Feedstock Breakdown'!N$3*'[2]Feedstock Conversion Rates'!B$8)/12</f>
        <v>3.671875</v>
      </c>
      <c r="O365" s="45">
        <f>('[2]Renewable Diesel'!C374*'[2]RD Feedstock Breakdown'!O$3*'[2]Feedstock Conversion Rates'!B$7)/12+30</f>
        <v>41.999099999999999</v>
      </c>
      <c r="P365" s="45">
        <f>('[2]Renewable Diesel'!C374*'[2]RD Feedstock Breakdown'!P$3*'[2]Feedstock Conversion Rates'!B$3)/12+15+35</f>
        <v>60.447042500000002</v>
      </c>
      <c r="Q365" s="47">
        <f t="shared" si="322"/>
        <v>63.908267500000001</v>
      </c>
      <c r="R365" s="45">
        <f>('[2]Renewable Diesel'!D374*'[2]RD Feedstock Breakdown'!R$3*'[2]Feedstock Conversion Rates'!B$7)/12</f>
        <v>2.2999999999999998</v>
      </c>
      <c r="S365" s="47">
        <f t="shared" si="279"/>
        <v>2.2999999999999998</v>
      </c>
      <c r="T365" s="45">
        <f t="shared" si="323"/>
        <v>0.82499999999999929</v>
      </c>
      <c r="U365" s="45"/>
      <c r="V365" s="45">
        <f>('[2]Renewable Diesel'!E374*'[2]RD Feedstock Breakdown'!V$3*'[2]Feedstock Conversion Rates'!B$6)/12-20+25</f>
        <v>49.250150000000012</v>
      </c>
      <c r="W365" s="45">
        <f>('[2]Renewable Diesel'!E374*'[2]RD Feedstock Breakdown'!W$3*'[2]Feedstock Conversion Rates'!B$8)/12-6</f>
        <v>16.1796875</v>
      </c>
      <c r="X365" s="47">
        <f t="shared" si="301"/>
        <v>66.254837500000008</v>
      </c>
      <c r="Y365" s="45">
        <f t="shared" si="324"/>
        <v>98</v>
      </c>
      <c r="Z365" s="45">
        <f>('[2]Renewable Diesel'!F374*'[2]RD Feedstock Breakdown'!Z$3*'[2]Feedstock Conversion Rates'!B$6)/12-142+15+5+20+5+15</f>
        <v>77.460000000000008</v>
      </c>
      <c r="AA365" s="45">
        <f>('[2]Renewable Diesel'!F374*'[2]RD Feedstock Breakdown'!AA$3*'[2]Feedstock Conversion Rates'!B$7)/12+24</f>
        <v>128.26666666666665</v>
      </c>
      <c r="AB365" s="47">
        <f t="shared" si="270"/>
        <v>303.72666666666669</v>
      </c>
      <c r="AC365" s="45">
        <f>('[2]Renewable Diesel'!G374*'[2]RD Feedstock Breakdown'!AC$3*'[2]Feedstock Conversion Rates'!B$5)/12</f>
        <v>11.796875</v>
      </c>
      <c r="AD365" s="45">
        <f>('[2]Renewable Diesel'!G374*'[2]RD Feedstock Breakdown'!AD$3*'[2]Feedstock Conversion Rates'!B$4)/12</f>
        <v>5.859375</v>
      </c>
      <c r="AE365" s="45">
        <f>('[2]Renewable Diesel'!G374*'[2]RD Feedstock Breakdown'!AE$3*'[2]Feedstock Conversion Rates'!B$6)/12</f>
        <v>7.3281250000000009</v>
      </c>
      <c r="AF365" s="47">
        <f t="shared" si="310"/>
        <v>24.984375</v>
      </c>
      <c r="AG365" s="45">
        <f t="shared" si="326"/>
        <v>148</v>
      </c>
      <c r="AH365" s="45"/>
      <c r="AI365" s="45">
        <f>('[2]Renewable Diesel'!H374*'[2]RD Feedstock Breakdown'!AI$3*'[2]Feedstock Conversion Rates'!B$6)/12-130-20+51-49</f>
        <v>0.51666666666667993</v>
      </c>
      <c r="AJ365" s="47">
        <f t="shared" si="278"/>
        <v>148.51666666666668</v>
      </c>
      <c r="AK365" s="45">
        <f>('[2]Renewable Diesel'!J374*'[2]RD Feedstock Breakdown'!AK$3*'[2]Feedstock Conversion Rates'!B$4)/12</f>
        <v>95.8125</v>
      </c>
      <c r="AL365" s="47">
        <f t="shared" si="280"/>
        <v>95.8125</v>
      </c>
      <c r="AM365" s="45">
        <f>('[2]Renewable Diesel'!K374*'[2]RD Feedstock Breakdown'!AM$3*'[2]Feedstock Conversion Rates'!B$4)/12+5+15-10+10</f>
        <v>78.59375</v>
      </c>
      <c r="AN365" s="45">
        <f>('[2]Renewable Diesel'!K374*'[2]RD Feedstock Breakdown'!AN$3*'[2]Feedstock Conversion Rates'!B$6)/12-5-15+10-10</f>
        <v>4.4270833333333321</v>
      </c>
      <c r="AO365" s="47">
        <f t="shared" si="295"/>
        <v>83.020833333333329</v>
      </c>
      <c r="AP365" s="45">
        <f>('[2]Renewable Diesel'!L374*'[2]RD Feedstock Breakdown'!AP$3*'[2]Feedstock Conversion Rates'!B$4)/12+15-10+15</f>
        <v>78.59375</v>
      </c>
      <c r="AQ365" s="45">
        <f>('[2]Renewable Diesel'!L374*'[2]RD Feedstock Breakdown'!AQ$3*'[2]Feedstock Conversion Rates'!B$6)/12-15+10-15</f>
        <v>4.4270833333333321</v>
      </c>
      <c r="AR365" s="47">
        <f t="shared" si="285"/>
        <v>83.020833333333329</v>
      </c>
      <c r="AS365" s="45">
        <f>('[2]Renewable Diesel'!M374*'[2]RD Feedstock Breakdown'!AS$3*'[2]Feedstock Conversion Rates'!B$4)/12</f>
        <v>456.25</v>
      </c>
      <c r="AT365" s="45">
        <f>('[2]Renewable Diesel'!M374*'[2]RD Feedstock Breakdown'!AT$3*'[2]Feedstock Conversion Rates'!B$5)/12</f>
        <v>0</v>
      </c>
      <c r="AU365" s="47">
        <f t="shared" si="313"/>
        <v>456.25</v>
      </c>
      <c r="AV365" s="45">
        <f>'[2]Renewable Diesel'!N374*'[2]RD Feedstock Breakdown'!$AV$3*'[2]Feedstock Conversion Rates'!$B$4/12-15-10+25+25-22+25</f>
        <v>106.74999999999999</v>
      </c>
      <c r="AW365" s="45">
        <f>'[2]Renewable Diesel'!N374*'[2]RD Feedstock Breakdown'!$AW$3*'[2]Feedstock Conversion Rates'!$B$7/12+15+10-25-25+22-25</f>
        <v>13.400000000000006</v>
      </c>
      <c r="AX365" s="47">
        <f t="shared" si="272"/>
        <v>120.14999999999999</v>
      </c>
      <c r="AY365" s="45">
        <f>('[2]Renewable Diesel'!O374*'[2]RD Feedstock Breakdown'!AY$3*'[2]Feedstock Conversion Rates'!B$4)/12</f>
        <v>210.9375</v>
      </c>
      <c r="AZ365" s="45">
        <f>('[2]Renewable Diesel'!O374*'[2]RD Feedstock Breakdown'!AZ$3*'[2]Feedstock Conversion Rates'!B$3)/12</f>
        <v>25.03125</v>
      </c>
      <c r="BA365" s="47">
        <f t="shared" si="325"/>
        <v>235.96875</v>
      </c>
      <c r="BB365" s="45">
        <f>('[2]Renewable Diesel'!Q374*'[2]RD Feedstock Breakdown'!BB$3*'[2]Feedstock Conversion Rates'!B$4)/12</f>
        <v>11.156249999999998</v>
      </c>
      <c r="BC365" s="45">
        <f>('[2]Renewable Diesel'!Q374*'[2]RD Feedstock Breakdown'!BC$3*'[2]Feedstock Conversion Rates'!B$3)/12</f>
        <v>1.4017500000000001</v>
      </c>
      <c r="BD365" s="45">
        <f>('[2]Renewable Diesel'!Q374*'[2]RD Feedstock Breakdown'!BD$3*'[2]Feedstock Conversion Rates'!B$6)/12</f>
        <v>0.8207500000000002</v>
      </c>
      <c r="BE365" s="47">
        <f t="shared" si="303"/>
        <v>13.378749999999998</v>
      </c>
      <c r="BF365" s="45">
        <f>('[2]Renewable Diesel'!R374*'[2]RD Feedstock Breakdown'!BF$3*'[2]Feedstock Conversion Rates'!B$4)/12</f>
        <v>62.5</v>
      </c>
      <c r="BG365" s="47">
        <f t="shared" si="289"/>
        <v>62.5</v>
      </c>
      <c r="BH365" s="45">
        <f>('[2]Renewable Diesel'!T374*'[2]RD Feedstock Breakdown'!BH$3*'[2]Feedstock Conversion Rates'!B$7)/12</f>
        <v>27.599999999999998</v>
      </c>
      <c r="BI365" s="47">
        <f t="shared" si="277"/>
        <v>27.599999999999998</v>
      </c>
      <c r="BJ365" s="45">
        <f>('[2]Renewable Diesel'!W374*'[2]RD Feedstock Breakdown'!BJ$3*'[2]Feedstock Conversion Rates'!B$4)/12</f>
        <v>7.5</v>
      </c>
      <c r="BK365" s="45">
        <f>('[2]Renewable Diesel'!W374*'[2]RD Feedstock Breakdown'!BK$3*'[2]Feedstock Conversion Rates'!B$3)/12</f>
        <v>1.335</v>
      </c>
      <c r="BL365" s="45">
        <f>('[2]Renewable Diesel'!W374*'[2]RD Feedstock Breakdown'!BL$3*'[2]Feedstock Conversion Rates'!B$6)/12</f>
        <v>3.1266666666666669</v>
      </c>
      <c r="BM365" s="45">
        <f>('[2]Renewable Diesel'!W374*'[2]RD Feedstock Breakdown'!BM$3*'[2]Feedstock Conversion Rates'!B$7)/12</f>
        <v>1.5333333333333332</v>
      </c>
      <c r="BN365" s="47">
        <f t="shared" si="316"/>
        <v>13.495000000000001</v>
      </c>
      <c r="BO365" s="45">
        <f>('[2]Renewable Diesel'!P374*'[2]Feedstock Conversion Rates'!B$4)/12</f>
        <v>31.25</v>
      </c>
      <c r="BP365" s="47">
        <f t="shared" si="311"/>
        <v>31.25</v>
      </c>
      <c r="BQ365" s="45">
        <f>('[2]Renewable Diesel'!$S374*'[2]RD Feedstock Breakdown'!BQ$3*'[2]Feedstock Conversion Rates'!B$4)/12+10+15-15</f>
        <v>38.125</v>
      </c>
      <c r="BR365" s="45">
        <f>('[2]Renewable Diesel'!$S374*'[2]RD Feedstock Breakdown'!BR$3*'[2]Feedstock Conversion Rates'!B$7)/12-10-15+15</f>
        <v>1.5</v>
      </c>
      <c r="BS365" s="47">
        <f t="shared" si="328"/>
        <v>39.625</v>
      </c>
      <c r="BT365" s="47"/>
      <c r="BU365" s="45">
        <f>('[2]Renewable Diesel'!Y374*'[2]Feedstock Conversion Rates'!B$7)/12</f>
        <v>2.6833333333333331</v>
      </c>
      <c r="BV365" s="47">
        <f t="shared" si="305"/>
        <v>2.6833333333333331</v>
      </c>
      <c r="BW365" s="45">
        <f>('[2]Renewable Diesel'!$Z374*'[2]RD Feedstock Breakdown'!BW$3*'[2]Feedstock Conversion Rates'!$B$4)/12-250+180</f>
        <v>1.875</v>
      </c>
      <c r="BX365" s="45">
        <f>('[2]Renewable Diesel'!$Z374*'[2]RD Feedstock Breakdown'!BX$3*'[2]Feedstock Conversion Rates'!$B$5)/12</f>
        <v>7.2354166666666666</v>
      </c>
      <c r="BY365" s="45">
        <f>('[2]Renewable Diesel'!$Z374*'[2]RD Feedstock Breakdown'!BY$3*'[2]Feedstock Conversion Rates'!$B$7)/12</f>
        <v>61.716666666666661</v>
      </c>
      <c r="BZ365" s="45">
        <f>('[2]Renewable Diesel'!$Z374*'[2]RD Feedstock Breakdown'!BZ$3*'[2]Feedstock Conversion Rates'!$B$3)/12+250-180</f>
        <v>85.35250000000002</v>
      </c>
      <c r="CA365" s="47">
        <f t="shared" si="329"/>
        <v>156.17958333333334</v>
      </c>
      <c r="CB365" s="45">
        <f>('[2]Renewable Diesel'!AA374*'[2]Feedstock Conversion Rates'!B$4)/12</f>
        <v>191.25</v>
      </c>
      <c r="CC365" s="47">
        <f t="shared" si="318"/>
        <v>191.25</v>
      </c>
      <c r="CD365" s="45">
        <f>('[2]Renewable Diesel'!$AB374*'[2]RD Feedstock Breakdown'!CD$3*'[2]Feedstock Conversion Rates'!$B$6)/12-15-5</f>
        <v>12.830000000000005</v>
      </c>
      <c r="CE365" s="45">
        <f>('[2]Renewable Diesel'!$AB374*'[2]RD Feedstock Breakdown'!CE$3*'[2]Feedstock Conversion Rates'!$B$4)/12+15+5</f>
        <v>31.25</v>
      </c>
      <c r="CF365" s="47">
        <f t="shared" si="315"/>
        <v>44.080000000000005</v>
      </c>
      <c r="CG365" s="45">
        <f>('[2]Renewable Diesel'!AD374*'[2]Feedstock Conversion Rates'!B$4)/12</f>
        <v>112.5</v>
      </c>
      <c r="CH365" s="47">
        <f t="shared" si="302"/>
        <v>112.5</v>
      </c>
      <c r="CI365" s="45">
        <f>('[2]Renewable Diesel'!$AE374*'[2]RD Feedstock Breakdown'!CI$3*'[2]Feedstock Conversion Rates'!$B$5)/12</f>
        <v>0.34604166666666664</v>
      </c>
      <c r="CJ365" s="45">
        <f>('[2]Renewable Diesel'!$AE374*'[2]RD Feedstock Breakdown'!CJ$3*'[2]Feedstock Conversion Rates'!$B$4)/12</f>
        <v>0.34375</v>
      </c>
      <c r="CK365" s="47">
        <f t="shared" si="312"/>
        <v>0.68979166666666658</v>
      </c>
      <c r="CL365" s="45">
        <f>(((CL$3*'[2]Renewable Diesel'!$AF374)*'[2]Feedstock Conversion Rates'!$B$3)/12)</f>
        <v>91.78125</v>
      </c>
      <c r="CM365" s="45">
        <f>(((CM$3*'[2]Renewable Diesel'!$AF374)*'[2]Feedstock Conversion Rates'!$B$6)/12)</f>
        <v>53.739583333333336</v>
      </c>
      <c r="CN365" s="45">
        <f>(((CN$3*'[2]Renewable Diesel'!$AF374)*'[2]Feedstock Conversion Rates'!$B$4)/12)</f>
        <v>42.96875</v>
      </c>
      <c r="CO365" s="47">
        <f t="shared" si="304"/>
        <v>188.48958333333334</v>
      </c>
      <c r="CP365" s="45">
        <f>('[2]Renewable Diesel'!$AG374*'[2]RD Feedstock Breakdown'!CP$3*'[2]Feedstock Conversion Rates'!$B$3)/12</f>
        <v>6.0075000000000003</v>
      </c>
      <c r="CQ365" s="45">
        <f>('[2]Renewable Diesel'!$AG374*'[2]RD Feedstock Breakdown'!CQ$3*'[2]Feedstock Conversion Rates'!$B$6)/12</f>
        <v>3.5175000000000001</v>
      </c>
      <c r="CR365" s="45">
        <f>('[2]Renewable Diesel'!$AG374*'[2]RD Feedstock Breakdown'!CR$3*'[2]Feedstock Conversion Rates'!$B$4)/12</f>
        <v>2.8125</v>
      </c>
      <c r="CS365" s="47">
        <f t="shared" si="267"/>
        <v>12.3375</v>
      </c>
      <c r="CT365" s="45">
        <f>('[2]Renewable Diesel'!AI374*'[2]Feedstock Conversion Rates'!$B$4*'[2]RD Feedstock Breakdown'!$CT$3)/12</f>
        <v>29.375</v>
      </c>
      <c r="CU365" s="47">
        <f t="shared" si="308"/>
        <v>29.375</v>
      </c>
      <c r="CV365" s="45">
        <f>('[2]Renewable Diesel'!AN374*'[2]Feedstock Conversion Rates'!$B$3*'[2]RD Feedstock Breakdown'!$CV$3)/12</f>
        <v>0.50062499999999999</v>
      </c>
      <c r="CW365" s="47">
        <f t="shared" si="284"/>
        <v>0.50062499999999999</v>
      </c>
      <c r="CX365" s="45">
        <f>('[2]Renewable Diesel'!AO374*'[2]RD Feedstock Breakdown'!$CX$3*'[2]Feedstock Conversion Rates'!$B$3)/12</f>
        <v>6.3412499999999996</v>
      </c>
      <c r="CY365" s="45">
        <f>('[2]Renewable Diesel'!AO374*'[2]RD Feedstock Breakdown'!$CY$3*'[2]Feedstock Conversion Rates'!$B$6)/12</f>
        <v>7.4258333333333342</v>
      </c>
      <c r="CZ365" s="47">
        <f t="shared" si="268"/>
        <v>13.767083333333334</v>
      </c>
      <c r="DA365" s="45">
        <f>('[2]Renewable Diesel'!$AP374*'[2]RD Feedstock Breakdown'!DA$3*'[2]Feedstock Conversion Rates'!$B$3)/12</f>
        <v>6.3412499999999996</v>
      </c>
      <c r="DB365" s="45">
        <f>('[2]Renewable Diesel'!$AP374*'[2]RD Feedstock Breakdown'!DB$3*'[2]Feedstock Conversion Rates'!$B$8)/12</f>
        <v>7.421875</v>
      </c>
      <c r="DC365" s="47">
        <f t="shared" si="287"/>
        <v>13.763124999999999</v>
      </c>
      <c r="DD365" s="45">
        <f>('[2]Renewable Diesel'!AQ374*$DD$3*'[2]Feedstock Conversion Rates'!$B$14)/12</f>
        <v>3.1041666666666665</v>
      </c>
      <c r="DE365" s="47">
        <f t="shared" si="288"/>
        <v>3.1041666666666665</v>
      </c>
      <c r="DF365" s="45">
        <f>('[2]Renewable Diesel'!AR374*'[2]Feedstock Conversion Rates'!$B$4*$DF$3)/12</f>
        <v>75</v>
      </c>
      <c r="DG365" s="47">
        <f t="shared" si="269"/>
        <v>75</v>
      </c>
      <c r="DH365" s="45">
        <f>('[2]Renewable Diesel'!AS374*'[2]Feedstock Conversion Rates'!$B$4*$DH$3)/12</f>
        <v>75</v>
      </c>
      <c r="DI365" s="47">
        <f t="shared" si="273"/>
        <v>75</v>
      </c>
      <c r="DJ365" s="45">
        <f>('[2]Renewable Diesel'!AT374*'[2]Feedstock Conversion Rates'!$B$4*0.25)/12</f>
        <v>8.59375</v>
      </c>
      <c r="DK365" s="45">
        <f>('[2]Renewable Diesel'!$AT374*'[2]RD Feedstock Breakdown'!DK$3*'[2]Feedstock Conversion Rates'!$B$3)/12*0.5</f>
        <v>9.1781249999999996</v>
      </c>
      <c r="DL365" s="45">
        <f>('[2]Renewable Diesel'!$AT374*'[2]RD Feedstock Breakdown'!$DL$3*'[2]Feedstock Conversion Rates'!$B$6)/12</f>
        <v>10.747916666666669</v>
      </c>
      <c r="DM365" s="45">
        <f>('[2]Renewable Diesel'!$AT374*'[2]RD Feedstock Breakdown'!$DM$3*'[2]Feedstock Conversion Rates'!$B$8)/12</f>
        <v>10.7421875</v>
      </c>
      <c r="DN365" s="47">
        <f t="shared" si="317"/>
        <v>39.26197916666667</v>
      </c>
      <c r="DP365" s="45">
        <f t="shared" si="290"/>
        <v>48.220250000000007</v>
      </c>
      <c r="DQ365" s="45">
        <f t="shared" si="291"/>
        <v>399.11776750000007</v>
      </c>
      <c r="DR365" s="45">
        <f t="shared" si="296"/>
        <v>1891.953125</v>
      </c>
      <c r="DS365" s="45">
        <f t="shared" si="309"/>
        <v>228.90125</v>
      </c>
      <c r="DT365" s="45">
        <f t="shared" si="292"/>
        <v>243.03923333333344</v>
      </c>
      <c r="DU365" s="45">
        <f t="shared" si="293"/>
        <v>432.90610000000009</v>
      </c>
      <c r="DV365" s="45">
        <f t="shared" si="297"/>
        <v>78.75</v>
      </c>
      <c r="DW365" s="45">
        <f t="shared" si="294"/>
        <v>3</v>
      </c>
      <c r="DX365" s="47">
        <f t="shared" si="298"/>
        <v>3325.8877258333337</v>
      </c>
      <c r="DY365" s="50">
        <f t="shared" si="286"/>
        <v>-5.631051180898794E-13</v>
      </c>
      <c r="EA365" s="51">
        <f t="shared" si="330"/>
        <v>1.4498459952648568E-2</v>
      </c>
      <c r="EB365" s="51">
        <f t="shared" si="330"/>
        <v>0.1200033796691069</v>
      </c>
      <c r="EC365" s="51">
        <f t="shared" si="330"/>
        <v>0.56885658235079262</v>
      </c>
      <c r="ED365" s="51">
        <f t="shared" si="330"/>
        <v>6.882410618435611E-2</v>
      </c>
      <c r="EE365" s="51">
        <f t="shared" si="330"/>
        <v>7.3074996322203753E-2</v>
      </c>
      <c r="EF365" s="51">
        <f t="shared" si="330"/>
        <v>0.13016257182630278</v>
      </c>
      <c r="EG365" s="51">
        <f t="shared" si="327"/>
        <v>2.3677888880108969E-2</v>
      </c>
      <c r="EH365" s="52">
        <f t="shared" si="299"/>
        <v>9.0201481448034171E-4</v>
      </c>
      <c r="EI365" s="51">
        <f t="shared" si="271"/>
        <v>0.99909798518551962</v>
      </c>
      <c r="EK365" s="53">
        <f>(EA365*'[2]Renewable Diesel'!BF374*'[2]Feedstock Conversion Rates'!B$2)+FB365</f>
        <v>108.58366812001066</v>
      </c>
      <c r="EL365" s="53">
        <f>(EB365*'[2]Renewable Diesel'!BF374*'[2]Feedstock Conversion Rates'!B$3)+FC365</f>
        <v>846.93426362728803</v>
      </c>
      <c r="EM365" s="53">
        <f>(EC365*'[2]Renewable Diesel'!BF374*'[2]Feedstock Conversion Rates'!B$4)+FD365</f>
        <v>3759.1335997224201</v>
      </c>
      <c r="EN365" s="53">
        <f>(ED365*'[2]Renewable Diesel'!BF374*'[2]Feedstock Conversion Rates'!B$5)+FE365</f>
        <v>457.83737326618558</v>
      </c>
      <c r="EO365" s="53">
        <f>(EE365*'[2]Renewable Diesel'!BF374*'[2]Feedstock Conversion Rates'!B$6)+FF365</f>
        <v>603.94216323833155</v>
      </c>
      <c r="EP365" s="53">
        <f>(EF365*'[2]Renewable Diesel'!BF374*'[2]Feedstock Conversion Rates'!B$7)+FG365</f>
        <v>1055.1098029993109</v>
      </c>
      <c r="EQ365" s="53">
        <f>(EG365*'[2]Renewable Diesel'!BF374*'[2]Feedstock Conversion Rates'!B$8)+FH365</f>
        <v>195.58608975720563</v>
      </c>
      <c r="ER365" s="53">
        <f>(EH365*'[2]Renewable Diesel'!BF374*'[2]Feedstock Conversion Rates'!B$9)+FI365</f>
        <v>7.3515533419851264</v>
      </c>
      <c r="ES365" s="53">
        <f t="shared" si="300"/>
        <v>7034.4785140727381</v>
      </c>
      <c r="ET365" s="36">
        <f>ES365/'[2]Renewable Diesel'!BF374</f>
        <v>7.9837733216591147</v>
      </c>
    </row>
    <row r="366" spans="1:150" x14ac:dyDescent="0.25">
      <c r="A366" s="39">
        <v>51561</v>
      </c>
      <c r="B366" s="45">
        <f t="shared" si="331"/>
        <v>44.25</v>
      </c>
      <c r="C366" s="45">
        <f t="shared" si="321"/>
        <v>49</v>
      </c>
      <c r="D366" s="45">
        <f t="shared" si="332"/>
        <v>2</v>
      </c>
      <c r="E366" s="45">
        <f>('[2]Renewable Diesel'!B375*E$3*'[2]Feedstock Conversion Rates'!$B$2)/12+26+13-100+27.5+39</f>
        <v>95.43</v>
      </c>
      <c r="F366" s="45">
        <f>('[2]Renewable Diesel'!B375*'[2]RD Feedstock Breakdown'!F$3*'[2]Feedstock Conversion Rates'!B$8)/12+77+23-10-12-115.75+24+8</f>
        <v>48.15625</v>
      </c>
      <c r="G366" s="45">
        <f>('[2]Renewable Diesel'!B375*'[2]RD Feedstock Breakdown'!G$3*'[2]Feedstock Conversion Rates'!B$7)/12+116.75-39-57.5-145-31.5+32+70-40+10+60</f>
        <v>151.90700000000004</v>
      </c>
      <c r="H366" s="45">
        <f>('[2]Renewable Diesel'!B375*'[2]RD Feedstock Breakdown'!H$3*'[2]Feedstock Conversion Rates'!B$3)/12+67+10+12+3-235+20+47-20+25</f>
        <v>105.40022499999998</v>
      </c>
      <c r="I366" s="47">
        <f t="shared" si="314"/>
        <v>496.14347500000002</v>
      </c>
      <c r="J366" s="45">
        <f t="shared" si="281"/>
        <v>4</v>
      </c>
      <c r="K366" s="45"/>
      <c r="L366" s="45">
        <v>1</v>
      </c>
      <c r="M366" s="45">
        <f>('[2]Renewable Diesel'!C375*'[2]RD Feedstock Breakdown'!M$3*'[2]Feedstock Conversion Rates'!B$2)/12-55</f>
        <v>-47.20975</v>
      </c>
      <c r="N366" s="45">
        <f>('[2]Renewable Diesel'!C375*'[2]RD Feedstock Breakdown'!N$3*'[2]Feedstock Conversion Rates'!B$8)/12</f>
        <v>3.671875</v>
      </c>
      <c r="O366" s="45">
        <f>('[2]Renewable Diesel'!C375*'[2]RD Feedstock Breakdown'!O$3*'[2]Feedstock Conversion Rates'!B$7)/12+30</f>
        <v>41.999099999999999</v>
      </c>
      <c r="P366" s="45">
        <f>('[2]Renewable Diesel'!C375*'[2]RD Feedstock Breakdown'!P$3*'[2]Feedstock Conversion Rates'!B$3)/12+15+35</f>
        <v>60.447042500000002</v>
      </c>
      <c r="Q366" s="47">
        <f t="shared" si="322"/>
        <v>63.908267500000001</v>
      </c>
      <c r="R366" s="45">
        <f>('[2]Renewable Diesel'!D375*'[2]RD Feedstock Breakdown'!R$3*'[2]Feedstock Conversion Rates'!B$7)/12</f>
        <v>2.2999999999999998</v>
      </c>
      <c r="S366" s="47">
        <f t="shared" si="279"/>
        <v>2.2999999999999998</v>
      </c>
      <c r="T366" s="45">
        <f t="shared" si="323"/>
        <v>0.82499999999999929</v>
      </c>
      <c r="U366" s="45"/>
      <c r="V366" s="45">
        <f>('[2]Renewable Diesel'!E375*'[2]RD Feedstock Breakdown'!V$3*'[2]Feedstock Conversion Rates'!B$6)/12-20+25</f>
        <v>49.250150000000012</v>
      </c>
      <c r="W366" s="45">
        <f>('[2]Renewable Diesel'!E375*'[2]RD Feedstock Breakdown'!W$3*'[2]Feedstock Conversion Rates'!B$8)/12-6</f>
        <v>16.1796875</v>
      </c>
      <c r="X366" s="47">
        <f t="shared" si="301"/>
        <v>66.254837500000008</v>
      </c>
      <c r="Y366" s="45">
        <f t="shared" si="324"/>
        <v>98</v>
      </c>
      <c r="Z366" s="45">
        <f>('[2]Renewable Diesel'!F375*'[2]RD Feedstock Breakdown'!Z$3*'[2]Feedstock Conversion Rates'!B$6)/12-142+15+5+20+5+15</f>
        <v>77.460000000000008</v>
      </c>
      <c r="AA366" s="45">
        <f>('[2]Renewable Diesel'!F375*'[2]RD Feedstock Breakdown'!AA$3*'[2]Feedstock Conversion Rates'!B$7)/12+24</f>
        <v>128.26666666666665</v>
      </c>
      <c r="AB366" s="47">
        <f t="shared" si="270"/>
        <v>303.72666666666669</v>
      </c>
      <c r="AC366" s="45">
        <f>('[2]Renewable Diesel'!G375*'[2]RD Feedstock Breakdown'!AC$3*'[2]Feedstock Conversion Rates'!B$5)/12</f>
        <v>11.796875</v>
      </c>
      <c r="AD366" s="45">
        <f>('[2]Renewable Diesel'!G375*'[2]RD Feedstock Breakdown'!AD$3*'[2]Feedstock Conversion Rates'!B$4)/12</f>
        <v>5.859375</v>
      </c>
      <c r="AE366" s="45">
        <f>('[2]Renewable Diesel'!G375*'[2]RD Feedstock Breakdown'!AE$3*'[2]Feedstock Conversion Rates'!B$6)/12</f>
        <v>7.3281250000000009</v>
      </c>
      <c r="AF366" s="47">
        <f t="shared" si="310"/>
        <v>24.984375</v>
      </c>
      <c r="AG366" s="45">
        <f t="shared" si="326"/>
        <v>148</v>
      </c>
      <c r="AH366" s="45"/>
      <c r="AI366" s="45">
        <f>('[2]Renewable Diesel'!H375*'[2]RD Feedstock Breakdown'!AI$3*'[2]Feedstock Conversion Rates'!B$6)/12-130-20+51-49</f>
        <v>0.51666666666667993</v>
      </c>
      <c r="AJ366" s="47">
        <f t="shared" si="278"/>
        <v>148.51666666666668</v>
      </c>
      <c r="AK366" s="45">
        <f>('[2]Renewable Diesel'!J375*'[2]RD Feedstock Breakdown'!AK$3*'[2]Feedstock Conversion Rates'!B$4)/12</f>
        <v>95.8125</v>
      </c>
      <c r="AL366" s="47">
        <f t="shared" si="280"/>
        <v>95.8125</v>
      </c>
      <c r="AM366" s="45">
        <f>('[2]Renewable Diesel'!K375*'[2]RD Feedstock Breakdown'!AM$3*'[2]Feedstock Conversion Rates'!B$4)/12+5+15-10+10</f>
        <v>78.59375</v>
      </c>
      <c r="AN366" s="45">
        <f>('[2]Renewable Diesel'!K375*'[2]RD Feedstock Breakdown'!AN$3*'[2]Feedstock Conversion Rates'!B$6)/12-5-15+10-10</f>
        <v>4.4270833333333321</v>
      </c>
      <c r="AO366" s="47">
        <f t="shared" si="295"/>
        <v>83.020833333333329</v>
      </c>
      <c r="AP366" s="45">
        <f>('[2]Renewable Diesel'!L375*'[2]RD Feedstock Breakdown'!AP$3*'[2]Feedstock Conversion Rates'!B$4)/12+15-10+15</f>
        <v>78.59375</v>
      </c>
      <c r="AQ366" s="45">
        <f>('[2]Renewable Diesel'!L375*'[2]RD Feedstock Breakdown'!AQ$3*'[2]Feedstock Conversion Rates'!B$6)/12-15+10-15</f>
        <v>4.4270833333333321</v>
      </c>
      <c r="AR366" s="47">
        <f t="shared" si="285"/>
        <v>83.020833333333329</v>
      </c>
      <c r="AS366" s="45">
        <f>('[2]Renewable Diesel'!M375*'[2]RD Feedstock Breakdown'!AS$3*'[2]Feedstock Conversion Rates'!B$4)/12</f>
        <v>456.25</v>
      </c>
      <c r="AT366" s="45">
        <f>('[2]Renewable Diesel'!M375*'[2]RD Feedstock Breakdown'!AT$3*'[2]Feedstock Conversion Rates'!B$5)/12</f>
        <v>0</v>
      </c>
      <c r="AU366" s="47">
        <f t="shared" si="313"/>
        <v>456.25</v>
      </c>
      <c r="AV366" s="45">
        <f>'[2]Renewable Diesel'!N375*'[2]RD Feedstock Breakdown'!$AV$3*'[2]Feedstock Conversion Rates'!$B$4/12-15-10+25+25-22+25</f>
        <v>106.74999999999999</v>
      </c>
      <c r="AW366" s="45">
        <f>'[2]Renewable Diesel'!N375*'[2]RD Feedstock Breakdown'!$AW$3*'[2]Feedstock Conversion Rates'!$B$7/12+15+10-25-25+22-25</f>
        <v>13.400000000000006</v>
      </c>
      <c r="AX366" s="47">
        <f t="shared" si="272"/>
        <v>120.14999999999999</v>
      </c>
      <c r="AY366" s="45">
        <f>('[2]Renewable Diesel'!O375*'[2]RD Feedstock Breakdown'!AY$3*'[2]Feedstock Conversion Rates'!B$4)/12</f>
        <v>210.9375</v>
      </c>
      <c r="AZ366" s="45">
        <f>('[2]Renewable Diesel'!O375*'[2]RD Feedstock Breakdown'!AZ$3*'[2]Feedstock Conversion Rates'!B$3)/12</f>
        <v>25.03125</v>
      </c>
      <c r="BA366" s="47">
        <f t="shared" si="325"/>
        <v>235.96875</v>
      </c>
      <c r="BB366" s="45">
        <f>('[2]Renewable Diesel'!Q375*'[2]RD Feedstock Breakdown'!BB$3*'[2]Feedstock Conversion Rates'!B$4)/12</f>
        <v>11.156249999999998</v>
      </c>
      <c r="BC366" s="45">
        <f>('[2]Renewable Diesel'!Q375*'[2]RD Feedstock Breakdown'!BC$3*'[2]Feedstock Conversion Rates'!B$3)/12</f>
        <v>1.4017500000000001</v>
      </c>
      <c r="BD366" s="45">
        <f>('[2]Renewable Diesel'!Q375*'[2]RD Feedstock Breakdown'!BD$3*'[2]Feedstock Conversion Rates'!B$6)/12</f>
        <v>0.8207500000000002</v>
      </c>
      <c r="BE366" s="47">
        <f t="shared" si="303"/>
        <v>13.378749999999998</v>
      </c>
      <c r="BF366" s="45">
        <f>('[2]Renewable Diesel'!R375*'[2]RD Feedstock Breakdown'!BF$3*'[2]Feedstock Conversion Rates'!B$4)/12</f>
        <v>62.5</v>
      </c>
      <c r="BG366" s="47">
        <f t="shared" si="289"/>
        <v>62.5</v>
      </c>
      <c r="BH366" s="45">
        <f>('[2]Renewable Diesel'!T375*'[2]RD Feedstock Breakdown'!BH$3*'[2]Feedstock Conversion Rates'!B$7)/12</f>
        <v>27.599999999999998</v>
      </c>
      <c r="BI366" s="47">
        <f t="shared" si="277"/>
        <v>27.599999999999998</v>
      </c>
      <c r="BJ366" s="45">
        <f>('[2]Renewable Diesel'!W375*'[2]RD Feedstock Breakdown'!BJ$3*'[2]Feedstock Conversion Rates'!B$4)/12</f>
        <v>7.5</v>
      </c>
      <c r="BK366" s="45">
        <f>('[2]Renewable Diesel'!W375*'[2]RD Feedstock Breakdown'!BK$3*'[2]Feedstock Conversion Rates'!B$3)/12</f>
        <v>1.335</v>
      </c>
      <c r="BL366" s="45">
        <f>('[2]Renewable Diesel'!W375*'[2]RD Feedstock Breakdown'!BL$3*'[2]Feedstock Conversion Rates'!B$6)/12</f>
        <v>3.1266666666666669</v>
      </c>
      <c r="BM366" s="45">
        <f>('[2]Renewable Diesel'!W375*'[2]RD Feedstock Breakdown'!BM$3*'[2]Feedstock Conversion Rates'!B$7)/12</f>
        <v>1.5333333333333332</v>
      </c>
      <c r="BN366" s="47">
        <f t="shared" si="316"/>
        <v>13.495000000000001</v>
      </c>
      <c r="BO366" s="45">
        <f>('[2]Renewable Diesel'!P375*'[2]Feedstock Conversion Rates'!B$4)/12</f>
        <v>31.25</v>
      </c>
      <c r="BP366" s="47">
        <f t="shared" si="311"/>
        <v>31.25</v>
      </c>
      <c r="BQ366" s="45">
        <f>('[2]Renewable Diesel'!$S375*'[2]RD Feedstock Breakdown'!BQ$3*'[2]Feedstock Conversion Rates'!B$4)/12+10+15-15</f>
        <v>38.125</v>
      </c>
      <c r="BR366" s="45">
        <f>('[2]Renewable Diesel'!$S375*'[2]RD Feedstock Breakdown'!BR$3*'[2]Feedstock Conversion Rates'!B$7)/12-10-15+15</f>
        <v>1.5</v>
      </c>
      <c r="BS366" s="47">
        <f t="shared" si="328"/>
        <v>39.625</v>
      </c>
      <c r="BT366" s="47"/>
      <c r="BU366" s="45">
        <f>('[2]Renewable Diesel'!Y375*'[2]Feedstock Conversion Rates'!B$7)/12</f>
        <v>2.6833333333333331</v>
      </c>
      <c r="BV366" s="47">
        <f t="shared" si="305"/>
        <v>2.6833333333333331</v>
      </c>
      <c r="BW366" s="45">
        <f>('[2]Renewable Diesel'!$Z375*'[2]RD Feedstock Breakdown'!BW$3*'[2]Feedstock Conversion Rates'!$B$4)/12-250+180</f>
        <v>1.875</v>
      </c>
      <c r="BX366" s="45">
        <f>('[2]Renewable Diesel'!$Z375*'[2]RD Feedstock Breakdown'!BX$3*'[2]Feedstock Conversion Rates'!$B$5)/12</f>
        <v>7.2354166666666666</v>
      </c>
      <c r="BY366" s="45">
        <f>('[2]Renewable Diesel'!$Z375*'[2]RD Feedstock Breakdown'!BY$3*'[2]Feedstock Conversion Rates'!$B$7)/12</f>
        <v>61.716666666666661</v>
      </c>
      <c r="BZ366" s="45">
        <f>('[2]Renewable Diesel'!$Z375*'[2]RD Feedstock Breakdown'!BZ$3*'[2]Feedstock Conversion Rates'!$B$3)/12+250-180</f>
        <v>85.35250000000002</v>
      </c>
      <c r="CA366" s="47">
        <f t="shared" si="329"/>
        <v>156.17958333333334</v>
      </c>
      <c r="CB366" s="45">
        <f>('[2]Renewable Diesel'!AA375*'[2]Feedstock Conversion Rates'!B$4)/12</f>
        <v>191.25</v>
      </c>
      <c r="CC366" s="47">
        <f t="shared" si="318"/>
        <v>191.25</v>
      </c>
      <c r="CD366" s="45">
        <f>('[2]Renewable Diesel'!$AB375*'[2]RD Feedstock Breakdown'!CD$3*'[2]Feedstock Conversion Rates'!$B$6)/12-15-5</f>
        <v>12.830000000000005</v>
      </c>
      <c r="CE366" s="45">
        <f>('[2]Renewable Diesel'!$AB375*'[2]RD Feedstock Breakdown'!CE$3*'[2]Feedstock Conversion Rates'!$B$4)/12+15+5</f>
        <v>31.25</v>
      </c>
      <c r="CF366" s="47">
        <f t="shared" si="315"/>
        <v>44.080000000000005</v>
      </c>
      <c r="CG366" s="45">
        <f>('[2]Renewable Diesel'!AD375*'[2]Feedstock Conversion Rates'!B$4)/12</f>
        <v>112.5</v>
      </c>
      <c r="CH366" s="47">
        <f t="shared" si="302"/>
        <v>112.5</v>
      </c>
      <c r="CI366" s="45">
        <f>('[2]Renewable Diesel'!$AE375*'[2]RD Feedstock Breakdown'!CI$3*'[2]Feedstock Conversion Rates'!$B$5)/12</f>
        <v>0.34604166666666664</v>
      </c>
      <c r="CJ366" s="45">
        <f>('[2]Renewable Diesel'!$AE375*'[2]RD Feedstock Breakdown'!CJ$3*'[2]Feedstock Conversion Rates'!$B$4)/12</f>
        <v>0.34375</v>
      </c>
      <c r="CK366" s="47">
        <f t="shared" si="312"/>
        <v>0.68979166666666658</v>
      </c>
      <c r="CL366" s="45">
        <f>(((CL$3*'[2]Renewable Diesel'!$AF375)*'[2]Feedstock Conversion Rates'!$B$3)/12)</f>
        <v>91.78125</v>
      </c>
      <c r="CM366" s="45">
        <f>(((CM$3*'[2]Renewable Diesel'!$AF375)*'[2]Feedstock Conversion Rates'!$B$6)/12)</f>
        <v>53.739583333333336</v>
      </c>
      <c r="CN366" s="45">
        <f>(((CN$3*'[2]Renewable Diesel'!$AF375)*'[2]Feedstock Conversion Rates'!$B$4)/12)</f>
        <v>42.96875</v>
      </c>
      <c r="CO366" s="47">
        <f t="shared" si="304"/>
        <v>188.48958333333334</v>
      </c>
      <c r="CP366" s="45">
        <f>('[2]Renewable Diesel'!$AG375*'[2]RD Feedstock Breakdown'!CP$3*'[2]Feedstock Conversion Rates'!$B$3)/12</f>
        <v>6.0075000000000003</v>
      </c>
      <c r="CQ366" s="45">
        <f>('[2]Renewable Diesel'!$AG375*'[2]RD Feedstock Breakdown'!CQ$3*'[2]Feedstock Conversion Rates'!$B$6)/12</f>
        <v>3.5175000000000001</v>
      </c>
      <c r="CR366" s="45">
        <f>('[2]Renewable Diesel'!$AG375*'[2]RD Feedstock Breakdown'!CR$3*'[2]Feedstock Conversion Rates'!$B$4)/12</f>
        <v>2.8125</v>
      </c>
      <c r="CS366" s="47">
        <f t="shared" si="267"/>
        <v>12.3375</v>
      </c>
      <c r="CT366" s="45">
        <f>('[2]Renewable Diesel'!AI375*'[2]Feedstock Conversion Rates'!$B$4*'[2]RD Feedstock Breakdown'!$CT$3)/12</f>
        <v>29.375</v>
      </c>
      <c r="CU366" s="47">
        <f t="shared" si="308"/>
        <v>29.375</v>
      </c>
      <c r="CV366" s="45">
        <f>('[2]Renewable Diesel'!AN375*'[2]Feedstock Conversion Rates'!$B$3*'[2]RD Feedstock Breakdown'!$CV$3)/12</f>
        <v>0.50062499999999999</v>
      </c>
      <c r="CW366" s="47">
        <f t="shared" si="284"/>
        <v>0.50062499999999999</v>
      </c>
      <c r="CX366" s="45">
        <f>('[2]Renewable Diesel'!AO375*'[2]RD Feedstock Breakdown'!$CX$3*'[2]Feedstock Conversion Rates'!$B$3)/12</f>
        <v>6.3412499999999996</v>
      </c>
      <c r="CY366" s="45">
        <f>('[2]Renewable Diesel'!AO375*'[2]RD Feedstock Breakdown'!$CY$3*'[2]Feedstock Conversion Rates'!$B$6)/12</f>
        <v>7.4258333333333342</v>
      </c>
      <c r="CZ366" s="47">
        <f t="shared" si="268"/>
        <v>13.767083333333334</v>
      </c>
      <c r="DA366" s="45">
        <f>('[2]Renewable Diesel'!$AP375*'[2]RD Feedstock Breakdown'!DA$3*'[2]Feedstock Conversion Rates'!$B$3)/12</f>
        <v>6.3412499999999996</v>
      </c>
      <c r="DB366" s="45">
        <f>('[2]Renewable Diesel'!$AP375*'[2]RD Feedstock Breakdown'!DB$3*'[2]Feedstock Conversion Rates'!$B$8)/12</f>
        <v>7.421875</v>
      </c>
      <c r="DC366" s="47">
        <f t="shared" si="287"/>
        <v>13.763124999999999</v>
      </c>
      <c r="DD366" s="45">
        <f>('[2]Renewable Diesel'!AQ375*$DD$3*'[2]Feedstock Conversion Rates'!$B$14)/12</f>
        <v>3.1041666666666665</v>
      </c>
      <c r="DE366" s="47">
        <f t="shared" si="288"/>
        <v>3.1041666666666665</v>
      </c>
      <c r="DF366" s="45">
        <f>('[2]Renewable Diesel'!AR375*'[2]Feedstock Conversion Rates'!$B$4*$DF$3)/12</f>
        <v>75</v>
      </c>
      <c r="DG366" s="47">
        <f t="shared" si="269"/>
        <v>75</v>
      </c>
      <c r="DH366" s="45">
        <f>('[2]Renewable Diesel'!AS375*'[2]Feedstock Conversion Rates'!$B$4*$DH$3)/12</f>
        <v>75</v>
      </c>
      <c r="DI366" s="47">
        <f t="shared" si="273"/>
        <v>75</v>
      </c>
      <c r="DJ366" s="45">
        <f>('[2]Renewable Diesel'!AT375*'[2]Feedstock Conversion Rates'!$B$4*0.25)/12</f>
        <v>8.59375</v>
      </c>
      <c r="DK366" s="45">
        <f>('[2]Renewable Diesel'!$AT375*'[2]RD Feedstock Breakdown'!DK$3*'[2]Feedstock Conversion Rates'!$B$3)/12*0.5</f>
        <v>9.1781249999999996</v>
      </c>
      <c r="DL366" s="45">
        <f>('[2]Renewable Diesel'!$AT375*'[2]RD Feedstock Breakdown'!$DL$3*'[2]Feedstock Conversion Rates'!$B$6)/12</f>
        <v>10.747916666666669</v>
      </c>
      <c r="DM366" s="45">
        <f>('[2]Renewable Diesel'!$AT375*'[2]RD Feedstock Breakdown'!$DM$3*'[2]Feedstock Conversion Rates'!$B$8)/12</f>
        <v>10.7421875</v>
      </c>
      <c r="DN366" s="47">
        <f t="shared" si="317"/>
        <v>39.26197916666667</v>
      </c>
      <c r="DP366" s="45">
        <f t="shared" si="290"/>
        <v>48.220250000000007</v>
      </c>
      <c r="DQ366" s="45">
        <f t="shared" si="291"/>
        <v>399.11776750000007</v>
      </c>
      <c r="DR366" s="45">
        <f t="shared" si="296"/>
        <v>1891.953125</v>
      </c>
      <c r="DS366" s="45">
        <f t="shared" si="309"/>
        <v>228.90125</v>
      </c>
      <c r="DT366" s="45">
        <f t="shared" si="292"/>
        <v>243.03923333333344</v>
      </c>
      <c r="DU366" s="45">
        <f t="shared" si="293"/>
        <v>432.90610000000009</v>
      </c>
      <c r="DV366" s="45">
        <f t="shared" si="297"/>
        <v>78.75</v>
      </c>
      <c r="DW366" s="45">
        <f t="shared" si="294"/>
        <v>3</v>
      </c>
      <c r="DX366" s="47">
        <f t="shared" si="298"/>
        <v>3325.8877258333337</v>
      </c>
      <c r="DY366" s="50">
        <f t="shared" si="286"/>
        <v>-5.631051180898794E-13</v>
      </c>
      <c r="EA366" s="51">
        <f t="shared" si="330"/>
        <v>1.4498459952648568E-2</v>
      </c>
      <c r="EB366" s="51">
        <f t="shared" si="330"/>
        <v>0.1200033796691069</v>
      </c>
      <c r="EC366" s="51">
        <f t="shared" si="330"/>
        <v>0.56885658235079262</v>
      </c>
      <c r="ED366" s="51">
        <f t="shared" si="330"/>
        <v>6.882410618435611E-2</v>
      </c>
      <c r="EE366" s="51">
        <f t="shared" si="330"/>
        <v>7.3074996322203753E-2</v>
      </c>
      <c r="EF366" s="51">
        <f t="shared" si="330"/>
        <v>0.13016257182630278</v>
      </c>
      <c r="EG366" s="51">
        <f t="shared" si="327"/>
        <v>2.3677888880108969E-2</v>
      </c>
      <c r="EH366" s="52">
        <f t="shared" si="299"/>
        <v>9.0201481448034171E-4</v>
      </c>
      <c r="EI366" s="51">
        <f t="shared" si="271"/>
        <v>0.99909798518551962</v>
      </c>
      <c r="EK366" s="53">
        <f>(EA366*'[2]Renewable Diesel'!BF375*'[2]Feedstock Conversion Rates'!B$2)+FB366</f>
        <v>72.59334114296604</v>
      </c>
      <c r="EL366" s="53">
        <f>(EB366*'[2]Renewable Diesel'!BF375*'[2]Feedstock Conversion Rates'!B$3)+FC366</f>
        <v>566.21579460007308</v>
      </c>
      <c r="EM366" s="53">
        <f>(EC366*'[2]Renewable Diesel'!BF375*'[2]Feedstock Conversion Rates'!B$4)+FD366</f>
        <v>2513.1594145910567</v>
      </c>
      <c r="EN366" s="53">
        <f>(ED366*'[2]Renewable Diesel'!BF375*'[2]Feedstock Conversion Rates'!B$5)+FE366</f>
        <v>306.08603670285021</v>
      </c>
      <c r="EO366" s="53">
        <f>(EE366*'[2]Renewable Diesel'!BF375*'[2]Feedstock Conversion Rates'!B$6)+FF366</f>
        <v>403.76403049973499</v>
      </c>
      <c r="EP366" s="53">
        <f>(EF366*'[2]Renewable Diesel'!BF375*'[2]Feedstock Conversion Rates'!B$7)+FG366</f>
        <v>705.39103346335867</v>
      </c>
      <c r="EQ366" s="53">
        <f>(EG366*'[2]Renewable Diesel'!BF375*'[2]Feedstock Conversion Rates'!B$8)+FH366</f>
        <v>130.75859364845897</v>
      </c>
      <c r="ER366" s="53">
        <f>(EH366*'[2]Renewable Diesel'!BF375*'[2]Feedstock Conversion Rates'!B$9)+FI366</f>
        <v>4.9148626945960459</v>
      </c>
      <c r="ES366" s="53">
        <f t="shared" si="300"/>
        <v>4702.8831073430956</v>
      </c>
      <c r="ET366" s="36">
        <f>ES366/'[2]Renewable Diesel'!BF375</f>
        <v>7.9837733216591156</v>
      </c>
    </row>
    <row r="367" spans="1:150" x14ac:dyDescent="0.25">
      <c r="A367" s="39">
        <v>51592</v>
      </c>
      <c r="B367" s="45">
        <f t="shared" si="331"/>
        <v>44.25</v>
      </c>
      <c r="C367" s="45">
        <f t="shared" si="321"/>
        <v>49</v>
      </c>
      <c r="D367" s="45">
        <f t="shared" si="332"/>
        <v>2</v>
      </c>
      <c r="E367" s="45">
        <f>('[2]Renewable Diesel'!B376*E$3*'[2]Feedstock Conversion Rates'!$B$2)/12+26+13-100+27.5+39</f>
        <v>95.43</v>
      </c>
      <c r="F367" s="45">
        <f>('[2]Renewable Diesel'!B376*'[2]RD Feedstock Breakdown'!F$3*'[2]Feedstock Conversion Rates'!B$8)/12+77+23-10-12-115.75+24+8</f>
        <v>48.15625</v>
      </c>
      <c r="G367" s="45">
        <f>('[2]Renewable Diesel'!B376*'[2]RD Feedstock Breakdown'!G$3*'[2]Feedstock Conversion Rates'!B$7)/12+116.75-39-57.5-145-31.5+32+70-40+10+60</f>
        <v>151.90700000000004</v>
      </c>
      <c r="H367" s="45">
        <f>('[2]Renewable Diesel'!B376*'[2]RD Feedstock Breakdown'!H$3*'[2]Feedstock Conversion Rates'!B$3)/12+67+10+12+3-235+20+47-20+25</f>
        <v>105.40022499999998</v>
      </c>
      <c r="I367" s="47">
        <f t="shared" si="314"/>
        <v>496.14347500000002</v>
      </c>
      <c r="J367" s="45">
        <f t="shared" si="281"/>
        <v>4</v>
      </c>
      <c r="K367" s="45"/>
      <c r="L367" s="45">
        <v>1</v>
      </c>
      <c r="M367" s="45">
        <f>('[2]Renewable Diesel'!C376*'[2]RD Feedstock Breakdown'!M$3*'[2]Feedstock Conversion Rates'!B$2)/12-55</f>
        <v>-47.20975</v>
      </c>
      <c r="N367" s="45">
        <f>('[2]Renewable Diesel'!C376*'[2]RD Feedstock Breakdown'!N$3*'[2]Feedstock Conversion Rates'!B$8)/12</f>
        <v>3.671875</v>
      </c>
      <c r="O367" s="45">
        <f>('[2]Renewable Diesel'!C376*'[2]RD Feedstock Breakdown'!O$3*'[2]Feedstock Conversion Rates'!B$7)/12+30</f>
        <v>41.999099999999999</v>
      </c>
      <c r="P367" s="45">
        <f>('[2]Renewable Diesel'!C376*'[2]RD Feedstock Breakdown'!P$3*'[2]Feedstock Conversion Rates'!B$3)/12+15+35</f>
        <v>60.447042500000002</v>
      </c>
      <c r="Q367" s="47">
        <f t="shared" si="322"/>
        <v>63.908267500000001</v>
      </c>
      <c r="R367" s="45">
        <f>('[2]Renewable Diesel'!D376*'[2]RD Feedstock Breakdown'!R$3*'[2]Feedstock Conversion Rates'!B$7)/12</f>
        <v>2.2999999999999998</v>
      </c>
      <c r="S367" s="47">
        <f t="shared" si="279"/>
        <v>2.2999999999999998</v>
      </c>
      <c r="T367" s="45">
        <f t="shared" si="323"/>
        <v>0.82499999999999929</v>
      </c>
      <c r="U367" s="45"/>
      <c r="V367" s="45">
        <f>('[2]Renewable Diesel'!E376*'[2]RD Feedstock Breakdown'!V$3*'[2]Feedstock Conversion Rates'!B$6)/12-20+25</f>
        <v>49.250150000000012</v>
      </c>
      <c r="W367" s="45">
        <f>('[2]Renewable Diesel'!E376*'[2]RD Feedstock Breakdown'!W$3*'[2]Feedstock Conversion Rates'!B$8)/12-6</f>
        <v>16.1796875</v>
      </c>
      <c r="X367" s="47">
        <f t="shared" si="301"/>
        <v>66.254837500000008</v>
      </c>
      <c r="Y367" s="45">
        <f t="shared" si="324"/>
        <v>98</v>
      </c>
      <c r="Z367" s="45">
        <f>('[2]Renewable Diesel'!F376*'[2]RD Feedstock Breakdown'!Z$3*'[2]Feedstock Conversion Rates'!B$6)/12-142+15+5+20+5+15</f>
        <v>77.460000000000008</v>
      </c>
      <c r="AA367" s="45">
        <f>('[2]Renewable Diesel'!F376*'[2]RD Feedstock Breakdown'!AA$3*'[2]Feedstock Conversion Rates'!B$7)/12+24</f>
        <v>128.26666666666665</v>
      </c>
      <c r="AB367" s="47">
        <f t="shared" si="270"/>
        <v>303.72666666666669</v>
      </c>
      <c r="AC367" s="45">
        <f>('[2]Renewable Diesel'!G376*'[2]RD Feedstock Breakdown'!AC$3*'[2]Feedstock Conversion Rates'!B$5)/12</f>
        <v>11.796875</v>
      </c>
      <c r="AD367" s="45">
        <f>('[2]Renewable Diesel'!G376*'[2]RD Feedstock Breakdown'!AD$3*'[2]Feedstock Conversion Rates'!B$4)/12</f>
        <v>5.859375</v>
      </c>
      <c r="AE367" s="45">
        <f>('[2]Renewable Diesel'!G376*'[2]RD Feedstock Breakdown'!AE$3*'[2]Feedstock Conversion Rates'!B$6)/12</f>
        <v>7.3281250000000009</v>
      </c>
      <c r="AF367" s="47">
        <f t="shared" si="310"/>
        <v>24.984375</v>
      </c>
      <c r="AG367" s="45">
        <f t="shared" si="326"/>
        <v>148</v>
      </c>
      <c r="AH367" s="45"/>
      <c r="AI367" s="45">
        <f>('[2]Renewable Diesel'!H376*'[2]RD Feedstock Breakdown'!AI$3*'[2]Feedstock Conversion Rates'!B$6)/12-130-20+51-49</f>
        <v>0.51666666666667993</v>
      </c>
      <c r="AJ367" s="47">
        <f t="shared" si="278"/>
        <v>148.51666666666668</v>
      </c>
      <c r="AK367" s="45">
        <f>('[2]Renewable Diesel'!J376*'[2]RD Feedstock Breakdown'!AK$3*'[2]Feedstock Conversion Rates'!B$4)/12</f>
        <v>95.8125</v>
      </c>
      <c r="AL367" s="47">
        <f t="shared" si="280"/>
        <v>95.8125</v>
      </c>
      <c r="AM367" s="45">
        <f>('[2]Renewable Diesel'!K376*'[2]RD Feedstock Breakdown'!AM$3*'[2]Feedstock Conversion Rates'!B$4)/12+5+15-10+10</f>
        <v>78.59375</v>
      </c>
      <c r="AN367" s="45">
        <f>('[2]Renewable Diesel'!K376*'[2]RD Feedstock Breakdown'!AN$3*'[2]Feedstock Conversion Rates'!B$6)/12-5-15+10-10</f>
        <v>4.4270833333333321</v>
      </c>
      <c r="AO367" s="47">
        <f t="shared" si="295"/>
        <v>83.020833333333329</v>
      </c>
      <c r="AP367" s="45">
        <f>('[2]Renewable Diesel'!L376*'[2]RD Feedstock Breakdown'!AP$3*'[2]Feedstock Conversion Rates'!B$4)/12+15-10+15</f>
        <v>78.59375</v>
      </c>
      <c r="AQ367" s="45">
        <f>('[2]Renewable Diesel'!L376*'[2]RD Feedstock Breakdown'!AQ$3*'[2]Feedstock Conversion Rates'!B$6)/12-15+10-15</f>
        <v>4.4270833333333321</v>
      </c>
      <c r="AR367" s="47">
        <f t="shared" si="285"/>
        <v>83.020833333333329</v>
      </c>
      <c r="AS367" s="45">
        <f>('[2]Renewable Diesel'!M376*'[2]RD Feedstock Breakdown'!AS$3*'[2]Feedstock Conversion Rates'!B$4)/12</f>
        <v>456.25</v>
      </c>
      <c r="AT367" s="45">
        <f>('[2]Renewable Diesel'!M376*'[2]RD Feedstock Breakdown'!AT$3*'[2]Feedstock Conversion Rates'!B$5)/12</f>
        <v>0</v>
      </c>
      <c r="AU367" s="47">
        <f t="shared" si="313"/>
        <v>456.25</v>
      </c>
      <c r="AV367" s="45">
        <f>'[2]Renewable Diesel'!N376*'[2]RD Feedstock Breakdown'!$AV$3*'[2]Feedstock Conversion Rates'!$B$4/12-15-10+25+25-22+25</f>
        <v>106.74999999999999</v>
      </c>
      <c r="AW367" s="45">
        <f>'[2]Renewable Diesel'!N376*'[2]RD Feedstock Breakdown'!$AW$3*'[2]Feedstock Conversion Rates'!$B$7/12+15+10-25-25+22-25</f>
        <v>13.400000000000006</v>
      </c>
      <c r="AX367" s="47">
        <f t="shared" si="272"/>
        <v>120.14999999999999</v>
      </c>
      <c r="AY367" s="45">
        <f>('[2]Renewable Diesel'!O376*'[2]RD Feedstock Breakdown'!AY$3*'[2]Feedstock Conversion Rates'!B$4)/12</f>
        <v>210.9375</v>
      </c>
      <c r="AZ367" s="45">
        <f>('[2]Renewable Diesel'!O376*'[2]RD Feedstock Breakdown'!AZ$3*'[2]Feedstock Conversion Rates'!B$3)/12</f>
        <v>25.03125</v>
      </c>
      <c r="BA367" s="47">
        <f t="shared" si="325"/>
        <v>235.96875</v>
      </c>
      <c r="BB367" s="45">
        <f>('[2]Renewable Diesel'!Q376*'[2]RD Feedstock Breakdown'!BB$3*'[2]Feedstock Conversion Rates'!B$4)/12</f>
        <v>11.156249999999998</v>
      </c>
      <c r="BC367" s="45">
        <f>('[2]Renewable Diesel'!Q376*'[2]RD Feedstock Breakdown'!BC$3*'[2]Feedstock Conversion Rates'!B$3)/12</f>
        <v>1.4017500000000001</v>
      </c>
      <c r="BD367" s="45">
        <f>('[2]Renewable Diesel'!Q376*'[2]RD Feedstock Breakdown'!BD$3*'[2]Feedstock Conversion Rates'!B$6)/12</f>
        <v>0.8207500000000002</v>
      </c>
      <c r="BE367" s="47">
        <f t="shared" si="303"/>
        <v>13.378749999999998</v>
      </c>
      <c r="BF367" s="45">
        <f>('[2]Renewable Diesel'!R376*'[2]RD Feedstock Breakdown'!BF$3*'[2]Feedstock Conversion Rates'!B$4)/12</f>
        <v>62.5</v>
      </c>
      <c r="BG367" s="47">
        <f t="shared" si="289"/>
        <v>62.5</v>
      </c>
      <c r="BH367" s="45">
        <f>('[2]Renewable Diesel'!T376*'[2]RD Feedstock Breakdown'!BH$3*'[2]Feedstock Conversion Rates'!B$7)/12</f>
        <v>27.599999999999998</v>
      </c>
      <c r="BI367" s="47">
        <f t="shared" si="277"/>
        <v>27.599999999999998</v>
      </c>
      <c r="BJ367" s="45">
        <f>('[2]Renewable Diesel'!W376*'[2]RD Feedstock Breakdown'!BJ$3*'[2]Feedstock Conversion Rates'!B$4)/12</f>
        <v>7.5</v>
      </c>
      <c r="BK367" s="45">
        <f>('[2]Renewable Diesel'!W376*'[2]RD Feedstock Breakdown'!BK$3*'[2]Feedstock Conversion Rates'!B$3)/12</f>
        <v>1.335</v>
      </c>
      <c r="BL367" s="45">
        <f>('[2]Renewable Diesel'!W376*'[2]RD Feedstock Breakdown'!BL$3*'[2]Feedstock Conversion Rates'!B$6)/12</f>
        <v>3.1266666666666669</v>
      </c>
      <c r="BM367" s="45">
        <f>('[2]Renewable Diesel'!W376*'[2]RD Feedstock Breakdown'!BM$3*'[2]Feedstock Conversion Rates'!B$7)/12</f>
        <v>1.5333333333333332</v>
      </c>
      <c r="BN367" s="47">
        <f t="shared" si="316"/>
        <v>13.495000000000001</v>
      </c>
      <c r="BO367" s="45">
        <f>('[2]Renewable Diesel'!P376*'[2]Feedstock Conversion Rates'!B$4)/12</f>
        <v>31.25</v>
      </c>
      <c r="BP367" s="47">
        <f t="shared" si="311"/>
        <v>31.25</v>
      </c>
      <c r="BQ367" s="45">
        <f>('[2]Renewable Diesel'!$S376*'[2]RD Feedstock Breakdown'!BQ$3*'[2]Feedstock Conversion Rates'!B$4)/12+10+15-15</f>
        <v>38.125</v>
      </c>
      <c r="BR367" s="45">
        <f>('[2]Renewable Diesel'!$S376*'[2]RD Feedstock Breakdown'!BR$3*'[2]Feedstock Conversion Rates'!B$7)/12-10-15+15</f>
        <v>1.5</v>
      </c>
      <c r="BS367" s="47">
        <f t="shared" si="328"/>
        <v>39.625</v>
      </c>
      <c r="BT367" s="47"/>
      <c r="BU367" s="45">
        <f>('[2]Renewable Diesel'!Y376*'[2]Feedstock Conversion Rates'!B$7)/12</f>
        <v>2.6833333333333331</v>
      </c>
      <c r="BV367" s="47">
        <f t="shared" si="305"/>
        <v>2.6833333333333331</v>
      </c>
      <c r="BW367" s="45">
        <f>('[2]Renewable Diesel'!$Z376*'[2]RD Feedstock Breakdown'!BW$3*'[2]Feedstock Conversion Rates'!$B$4)/12-250+180</f>
        <v>1.875</v>
      </c>
      <c r="BX367" s="45">
        <f>('[2]Renewable Diesel'!$Z376*'[2]RD Feedstock Breakdown'!BX$3*'[2]Feedstock Conversion Rates'!$B$5)/12</f>
        <v>7.2354166666666666</v>
      </c>
      <c r="BY367" s="45">
        <f>('[2]Renewable Diesel'!$Z376*'[2]RD Feedstock Breakdown'!BY$3*'[2]Feedstock Conversion Rates'!$B$7)/12</f>
        <v>61.716666666666661</v>
      </c>
      <c r="BZ367" s="45">
        <f>('[2]Renewable Diesel'!$Z376*'[2]RD Feedstock Breakdown'!BZ$3*'[2]Feedstock Conversion Rates'!$B$3)/12+250-180</f>
        <v>85.35250000000002</v>
      </c>
      <c r="CA367" s="47">
        <f t="shared" si="329"/>
        <v>156.17958333333334</v>
      </c>
      <c r="CB367" s="45">
        <f>('[2]Renewable Diesel'!AA376*'[2]Feedstock Conversion Rates'!B$4)/12</f>
        <v>191.25</v>
      </c>
      <c r="CC367" s="47">
        <f t="shared" si="318"/>
        <v>191.25</v>
      </c>
      <c r="CD367" s="45">
        <f>('[2]Renewable Diesel'!$AB376*'[2]RD Feedstock Breakdown'!CD$3*'[2]Feedstock Conversion Rates'!$B$6)/12-15-5</f>
        <v>12.830000000000005</v>
      </c>
      <c r="CE367" s="45">
        <f>('[2]Renewable Diesel'!$AB376*'[2]RD Feedstock Breakdown'!CE$3*'[2]Feedstock Conversion Rates'!$B$4)/12+15+5</f>
        <v>31.25</v>
      </c>
      <c r="CF367" s="47">
        <f t="shared" si="315"/>
        <v>44.080000000000005</v>
      </c>
      <c r="CG367" s="45">
        <f>('[2]Renewable Diesel'!AD376*'[2]Feedstock Conversion Rates'!B$4)/12</f>
        <v>112.5</v>
      </c>
      <c r="CH367" s="47">
        <f t="shared" si="302"/>
        <v>112.5</v>
      </c>
      <c r="CI367" s="45">
        <f>('[2]Renewable Diesel'!$AE376*'[2]RD Feedstock Breakdown'!CI$3*'[2]Feedstock Conversion Rates'!$B$5)/12</f>
        <v>0.34604166666666664</v>
      </c>
      <c r="CJ367" s="45">
        <f>('[2]Renewable Diesel'!$AE376*'[2]RD Feedstock Breakdown'!CJ$3*'[2]Feedstock Conversion Rates'!$B$4)/12</f>
        <v>0.34375</v>
      </c>
      <c r="CK367" s="47">
        <f t="shared" si="312"/>
        <v>0.68979166666666658</v>
      </c>
      <c r="CL367" s="45">
        <f>(((CL$3*'[2]Renewable Diesel'!$AF376)*'[2]Feedstock Conversion Rates'!$B$3)/12)</f>
        <v>91.78125</v>
      </c>
      <c r="CM367" s="45">
        <f>(((CM$3*'[2]Renewable Diesel'!$AF376)*'[2]Feedstock Conversion Rates'!$B$6)/12)</f>
        <v>53.739583333333336</v>
      </c>
      <c r="CN367" s="45">
        <f>(((CN$3*'[2]Renewable Diesel'!$AF376)*'[2]Feedstock Conversion Rates'!$B$4)/12)</f>
        <v>42.96875</v>
      </c>
      <c r="CO367" s="47">
        <f t="shared" si="304"/>
        <v>188.48958333333334</v>
      </c>
      <c r="CP367" s="45">
        <f>('[2]Renewable Diesel'!$AG376*'[2]RD Feedstock Breakdown'!CP$3*'[2]Feedstock Conversion Rates'!$B$3)/12</f>
        <v>6.0075000000000003</v>
      </c>
      <c r="CQ367" s="45">
        <f>('[2]Renewable Diesel'!$AG376*'[2]RD Feedstock Breakdown'!CQ$3*'[2]Feedstock Conversion Rates'!$B$6)/12</f>
        <v>3.5175000000000001</v>
      </c>
      <c r="CR367" s="45">
        <f>('[2]Renewable Diesel'!$AG376*'[2]RD Feedstock Breakdown'!CR$3*'[2]Feedstock Conversion Rates'!$B$4)/12</f>
        <v>2.8125</v>
      </c>
      <c r="CS367" s="47">
        <f t="shared" si="267"/>
        <v>12.3375</v>
      </c>
      <c r="CT367" s="45">
        <f>('[2]Renewable Diesel'!AI376*'[2]Feedstock Conversion Rates'!$B$4*'[2]RD Feedstock Breakdown'!$CT$3)/12</f>
        <v>29.375</v>
      </c>
      <c r="CU367" s="47">
        <f t="shared" si="308"/>
        <v>29.375</v>
      </c>
      <c r="CV367" s="45">
        <f>('[2]Renewable Diesel'!AN376*'[2]Feedstock Conversion Rates'!$B$3*'[2]RD Feedstock Breakdown'!$CV$3)/12</f>
        <v>0.50062499999999999</v>
      </c>
      <c r="CW367" s="47">
        <f t="shared" si="284"/>
        <v>0.50062499999999999</v>
      </c>
      <c r="CX367" s="45">
        <f>('[2]Renewable Diesel'!AO376*'[2]RD Feedstock Breakdown'!$CX$3*'[2]Feedstock Conversion Rates'!$B$3)/12</f>
        <v>6.3412499999999996</v>
      </c>
      <c r="CY367" s="45">
        <f>('[2]Renewable Diesel'!AO376*'[2]RD Feedstock Breakdown'!$CY$3*'[2]Feedstock Conversion Rates'!$B$6)/12</f>
        <v>7.4258333333333342</v>
      </c>
      <c r="CZ367" s="47">
        <f t="shared" si="268"/>
        <v>13.767083333333334</v>
      </c>
      <c r="DA367" s="45">
        <f>('[2]Renewable Diesel'!$AP376*'[2]RD Feedstock Breakdown'!DA$3*'[2]Feedstock Conversion Rates'!$B$3)/12</f>
        <v>6.3412499999999996</v>
      </c>
      <c r="DB367" s="45">
        <f>('[2]Renewable Diesel'!$AP376*'[2]RD Feedstock Breakdown'!DB$3*'[2]Feedstock Conversion Rates'!$B$8)/12</f>
        <v>7.421875</v>
      </c>
      <c r="DC367" s="47">
        <f t="shared" si="287"/>
        <v>13.763124999999999</v>
      </c>
      <c r="DD367" s="45">
        <f>('[2]Renewable Diesel'!AQ376*$DD$3*'[2]Feedstock Conversion Rates'!$B$14)/12</f>
        <v>3.1041666666666665</v>
      </c>
      <c r="DE367" s="47">
        <f t="shared" si="288"/>
        <v>3.1041666666666665</v>
      </c>
      <c r="DF367" s="45">
        <f>('[2]Renewable Diesel'!AR376*'[2]Feedstock Conversion Rates'!$B$4*$DF$3)/12</f>
        <v>75</v>
      </c>
      <c r="DG367" s="47">
        <f t="shared" si="269"/>
        <v>75</v>
      </c>
      <c r="DH367" s="45">
        <f>('[2]Renewable Diesel'!AS376*'[2]Feedstock Conversion Rates'!$B$4*$DH$3)/12</f>
        <v>75</v>
      </c>
      <c r="DI367" s="47">
        <f t="shared" si="273"/>
        <v>75</v>
      </c>
      <c r="DJ367" s="45">
        <f>('[2]Renewable Diesel'!AT376*'[2]Feedstock Conversion Rates'!$B$4*0.25)/12</f>
        <v>8.59375</v>
      </c>
      <c r="DK367" s="45">
        <f>('[2]Renewable Diesel'!$AT376*'[2]RD Feedstock Breakdown'!DK$3*'[2]Feedstock Conversion Rates'!$B$3)/12*0.5</f>
        <v>9.1781249999999996</v>
      </c>
      <c r="DL367" s="45">
        <f>('[2]Renewable Diesel'!$AT376*'[2]RD Feedstock Breakdown'!$DL$3*'[2]Feedstock Conversion Rates'!$B$6)/12</f>
        <v>10.747916666666669</v>
      </c>
      <c r="DM367" s="45">
        <f>('[2]Renewable Diesel'!$AT376*'[2]RD Feedstock Breakdown'!$DM$3*'[2]Feedstock Conversion Rates'!$B$8)/12</f>
        <v>10.7421875</v>
      </c>
      <c r="DN367" s="47">
        <f t="shared" si="317"/>
        <v>39.26197916666667</v>
      </c>
      <c r="DP367" s="45">
        <f t="shared" si="290"/>
        <v>48.220250000000007</v>
      </c>
      <c r="DQ367" s="45">
        <f t="shared" si="291"/>
        <v>399.11776750000007</v>
      </c>
      <c r="DR367" s="45">
        <f t="shared" si="296"/>
        <v>1891.953125</v>
      </c>
      <c r="DS367" s="45">
        <f t="shared" si="309"/>
        <v>228.90125</v>
      </c>
      <c r="DT367" s="45">
        <f t="shared" si="292"/>
        <v>243.03923333333344</v>
      </c>
      <c r="DU367" s="45">
        <f t="shared" si="293"/>
        <v>432.90610000000009</v>
      </c>
      <c r="DV367" s="45">
        <f t="shared" si="297"/>
        <v>78.75</v>
      </c>
      <c r="DW367" s="45">
        <f t="shared" si="294"/>
        <v>3</v>
      </c>
      <c r="DX367" s="47">
        <f t="shared" si="298"/>
        <v>3325.8877258333337</v>
      </c>
      <c r="DY367" s="50">
        <f t="shared" si="286"/>
        <v>-5.631051180898794E-13</v>
      </c>
      <c r="EA367" s="51">
        <f t="shared" si="330"/>
        <v>1.4498459952648568E-2</v>
      </c>
      <c r="EB367" s="51">
        <f t="shared" si="330"/>
        <v>0.1200033796691069</v>
      </c>
      <c r="EC367" s="51">
        <f t="shared" si="330"/>
        <v>0.56885658235079262</v>
      </c>
      <c r="ED367" s="51">
        <f t="shared" si="330"/>
        <v>6.882410618435611E-2</v>
      </c>
      <c r="EE367" s="51">
        <f t="shared" si="330"/>
        <v>7.3074996322203753E-2</v>
      </c>
      <c r="EF367" s="51">
        <f t="shared" si="330"/>
        <v>0.13016257182630278</v>
      </c>
      <c r="EG367" s="51">
        <f t="shared" si="327"/>
        <v>2.3677888880108969E-2</v>
      </c>
      <c r="EH367" s="52">
        <f t="shared" si="299"/>
        <v>9.0201481448034171E-4</v>
      </c>
      <c r="EI367" s="51">
        <f t="shared" si="271"/>
        <v>0.99909798518551962</v>
      </c>
      <c r="EK367" s="53">
        <f>(EA367*'[2]Renewable Diesel'!BF376*'[2]Feedstock Conversion Rates'!B$2)+FB367</f>
        <v>86.649034037632845</v>
      </c>
      <c r="EL367" s="53">
        <f>(EB367*'[2]Renewable Diesel'!BF376*'[2]Feedstock Conversion Rates'!B$3)+FC367</f>
        <v>675.8478241457957</v>
      </c>
      <c r="EM367" s="53">
        <f>(EC367*'[2]Renewable Diesel'!BF376*'[2]Feedstock Conversion Rates'!B$4)+FD367</f>
        <v>2999.7632321128967</v>
      </c>
      <c r="EN367" s="53">
        <f>(ED367*'[2]Renewable Diesel'!BF376*'[2]Feedstock Conversion Rates'!B$5)+FE367</f>
        <v>365.3511326951683</v>
      </c>
      <c r="EO367" s="53">
        <f>(EE367*'[2]Renewable Diesel'!BF376*'[2]Feedstock Conversion Rates'!B$6)+FF367</f>
        <v>481.94176864021262</v>
      </c>
      <c r="EP367" s="53">
        <f>(EF367*'[2]Renewable Diesel'!BF376*'[2]Feedstock Conversion Rates'!B$7)+FG367</f>
        <v>841.97049903012987</v>
      </c>
      <c r="EQ367" s="53">
        <f>(EG367*'[2]Renewable Diesel'!BF376*'[2]Feedstock Conversion Rates'!B$8)+FH367</f>
        <v>156.07637909164015</v>
      </c>
      <c r="ER367" s="53">
        <f>(EH367*'[2]Renewable Diesel'!BF376*'[2]Feedstock Conversion Rates'!B$9)+FI367</f>
        <v>5.8664899315714898</v>
      </c>
      <c r="ES367" s="53">
        <f t="shared" si="300"/>
        <v>5613.4663596850478</v>
      </c>
      <c r="ET367" s="36">
        <f>ES367/'[2]Renewable Diesel'!BF376</f>
        <v>7.9837733216591138</v>
      </c>
    </row>
    <row r="368" spans="1:150" x14ac:dyDescent="0.25">
      <c r="A368" s="39">
        <v>51622</v>
      </c>
      <c r="B368" s="45">
        <f t="shared" si="331"/>
        <v>44.25</v>
      </c>
      <c r="C368" s="45">
        <f t="shared" si="321"/>
        <v>49</v>
      </c>
      <c r="D368" s="45">
        <f t="shared" si="332"/>
        <v>2</v>
      </c>
      <c r="E368" s="45">
        <f>('[2]Renewable Diesel'!B377*E$3*'[2]Feedstock Conversion Rates'!$B$2)/12+26+13-100+27.5+39</f>
        <v>95.43</v>
      </c>
      <c r="F368" s="45">
        <f>('[2]Renewable Diesel'!B377*'[2]RD Feedstock Breakdown'!F$3*'[2]Feedstock Conversion Rates'!B$8)/12+77+23-10-12-115.75+24+8</f>
        <v>48.15625</v>
      </c>
      <c r="G368" s="45">
        <f>('[2]Renewable Diesel'!B377*'[2]RD Feedstock Breakdown'!G$3*'[2]Feedstock Conversion Rates'!B$7)/12+116.75-39-57.5-145-31.5+32+70-40+10+60</f>
        <v>151.90700000000004</v>
      </c>
      <c r="H368" s="45">
        <f>('[2]Renewable Diesel'!B377*'[2]RD Feedstock Breakdown'!H$3*'[2]Feedstock Conversion Rates'!B$3)/12+67+10+12+3-235+20+47-20+25</f>
        <v>105.40022499999998</v>
      </c>
      <c r="I368" s="47">
        <f t="shared" si="314"/>
        <v>496.14347500000002</v>
      </c>
      <c r="J368" s="45">
        <f t="shared" si="281"/>
        <v>4</v>
      </c>
      <c r="K368" s="45"/>
      <c r="L368" s="45">
        <v>1</v>
      </c>
      <c r="M368" s="45">
        <f>('[2]Renewable Diesel'!C377*'[2]RD Feedstock Breakdown'!M$3*'[2]Feedstock Conversion Rates'!B$2)/12-55</f>
        <v>-47.20975</v>
      </c>
      <c r="N368" s="45">
        <f>('[2]Renewable Diesel'!C377*'[2]RD Feedstock Breakdown'!N$3*'[2]Feedstock Conversion Rates'!B$8)/12</f>
        <v>3.671875</v>
      </c>
      <c r="O368" s="45">
        <f>('[2]Renewable Diesel'!C377*'[2]RD Feedstock Breakdown'!O$3*'[2]Feedstock Conversion Rates'!B$7)/12+30</f>
        <v>41.999099999999999</v>
      </c>
      <c r="P368" s="45">
        <f>('[2]Renewable Diesel'!C377*'[2]RD Feedstock Breakdown'!P$3*'[2]Feedstock Conversion Rates'!B$3)/12+15+35</f>
        <v>60.447042500000002</v>
      </c>
      <c r="Q368" s="47">
        <f t="shared" si="322"/>
        <v>63.908267500000001</v>
      </c>
      <c r="R368" s="45">
        <f>('[2]Renewable Diesel'!D377*'[2]RD Feedstock Breakdown'!R$3*'[2]Feedstock Conversion Rates'!B$7)/12</f>
        <v>2.2999999999999998</v>
      </c>
      <c r="S368" s="47">
        <f t="shared" si="279"/>
        <v>2.2999999999999998</v>
      </c>
      <c r="T368" s="45">
        <f t="shared" si="323"/>
        <v>0.82499999999999929</v>
      </c>
      <c r="U368" s="45"/>
      <c r="V368" s="45">
        <f>('[2]Renewable Diesel'!E377*'[2]RD Feedstock Breakdown'!V$3*'[2]Feedstock Conversion Rates'!B$6)/12-20+25</f>
        <v>49.250150000000012</v>
      </c>
      <c r="W368" s="45">
        <f>('[2]Renewable Diesel'!E377*'[2]RD Feedstock Breakdown'!W$3*'[2]Feedstock Conversion Rates'!B$8)/12-6</f>
        <v>16.1796875</v>
      </c>
      <c r="X368" s="47">
        <f t="shared" si="301"/>
        <v>66.254837500000008</v>
      </c>
      <c r="Y368" s="45">
        <f t="shared" si="324"/>
        <v>98</v>
      </c>
      <c r="Z368" s="45">
        <f>('[2]Renewable Diesel'!F377*'[2]RD Feedstock Breakdown'!Z$3*'[2]Feedstock Conversion Rates'!B$6)/12-142+15+5+20+5+15</f>
        <v>77.460000000000008</v>
      </c>
      <c r="AA368" s="45">
        <f>('[2]Renewable Diesel'!F377*'[2]RD Feedstock Breakdown'!AA$3*'[2]Feedstock Conversion Rates'!B$7)/12+24</f>
        <v>128.26666666666665</v>
      </c>
      <c r="AB368" s="47">
        <f t="shared" si="270"/>
        <v>303.72666666666669</v>
      </c>
      <c r="AC368" s="45">
        <f>('[2]Renewable Diesel'!G377*'[2]RD Feedstock Breakdown'!AC$3*'[2]Feedstock Conversion Rates'!B$5)/12</f>
        <v>11.796875</v>
      </c>
      <c r="AD368" s="45">
        <f>('[2]Renewable Diesel'!G377*'[2]RD Feedstock Breakdown'!AD$3*'[2]Feedstock Conversion Rates'!B$4)/12</f>
        <v>5.859375</v>
      </c>
      <c r="AE368" s="45">
        <f>('[2]Renewable Diesel'!G377*'[2]RD Feedstock Breakdown'!AE$3*'[2]Feedstock Conversion Rates'!B$6)/12</f>
        <v>7.3281250000000009</v>
      </c>
      <c r="AF368" s="47">
        <f t="shared" si="310"/>
        <v>24.984375</v>
      </c>
      <c r="AG368" s="45">
        <f t="shared" si="326"/>
        <v>148</v>
      </c>
      <c r="AH368" s="45"/>
      <c r="AI368" s="45">
        <f>('[2]Renewable Diesel'!H377*'[2]RD Feedstock Breakdown'!AI$3*'[2]Feedstock Conversion Rates'!B$6)/12-130-20+51-49</f>
        <v>0.51666666666667993</v>
      </c>
      <c r="AJ368" s="47">
        <f t="shared" si="278"/>
        <v>148.51666666666668</v>
      </c>
      <c r="AK368" s="45">
        <f>('[2]Renewable Diesel'!J377*'[2]RD Feedstock Breakdown'!AK$3*'[2]Feedstock Conversion Rates'!B$4)/12</f>
        <v>95.8125</v>
      </c>
      <c r="AL368" s="47">
        <f t="shared" si="280"/>
        <v>95.8125</v>
      </c>
      <c r="AM368" s="45">
        <f>('[2]Renewable Diesel'!K377*'[2]RD Feedstock Breakdown'!AM$3*'[2]Feedstock Conversion Rates'!B$4)/12+5+15-10+10</f>
        <v>78.59375</v>
      </c>
      <c r="AN368" s="45">
        <f>('[2]Renewable Diesel'!K377*'[2]RD Feedstock Breakdown'!AN$3*'[2]Feedstock Conversion Rates'!B$6)/12-5-15+10-10</f>
        <v>4.4270833333333321</v>
      </c>
      <c r="AO368" s="47">
        <f t="shared" si="295"/>
        <v>83.020833333333329</v>
      </c>
      <c r="AP368" s="45">
        <f>('[2]Renewable Diesel'!L377*'[2]RD Feedstock Breakdown'!AP$3*'[2]Feedstock Conversion Rates'!B$4)/12+15-10+15</f>
        <v>78.59375</v>
      </c>
      <c r="AQ368" s="45">
        <f>('[2]Renewable Diesel'!L377*'[2]RD Feedstock Breakdown'!AQ$3*'[2]Feedstock Conversion Rates'!B$6)/12-15+10-15</f>
        <v>4.4270833333333321</v>
      </c>
      <c r="AR368" s="47">
        <f t="shared" si="285"/>
        <v>83.020833333333329</v>
      </c>
      <c r="AS368" s="45">
        <f>('[2]Renewable Diesel'!M377*'[2]RD Feedstock Breakdown'!AS$3*'[2]Feedstock Conversion Rates'!B$4)/12</f>
        <v>456.25</v>
      </c>
      <c r="AT368" s="45">
        <f>('[2]Renewable Diesel'!M377*'[2]RD Feedstock Breakdown'!AT$3*'[2]Feedstock Conversion Rates'!B$5)/12</f>
        <v>0</v>
      </c>
      <c r="AU368" s="47">
        <f t="shared" si="313"/>
        <v>456.25</v>
      </c>
      <c r="AV368" s="45">
        <f>'[2]Renewable Diesel'!N377*'[2]RD Feedstock Breakdown'!$AV$3*'[2]Feedstock Conversion Rates'!$B$4/12-15-10+25+25-22+25</f>
        <v>106.74999999999999</v>
      </c>
      <c r="AW368" s="45">
        <f>'[2]Renewable Diesel'!N377*'[2]RD Feedstock Breakdown'!$AW$3*'[2]Feedstock Conversion Rates'!$B$7/12+15+10-25-25+22-25</f>
        <v>13.400000000000006</v>
      </c>
      <c r="AX368" s="47">
        <f t="shared" si="272"/>
        <v>120.14999999999999</v>
      </c>
      <c r="AY368" s="45">
        <f>('[2]Renewable Diesel'!O377*'[2]RD Feedstock Breakdown'!AY$3*'[2]Feedstock Conversion Rates'!B$4)/12</f>
        <v>210.9375</v>
      </c>
      <c r="AZ368" s="45">
        <f>('[2]Renewable Diesel'!O377*'[2]RD Feedstock Breakdown'!AZ$3*'[2]Feedstock Conversion Rates'!B$3)/12</f>
        <v>25.03125</v>
      </c>
      <c r="BA368" s="47">
        <f t="shared" si="325"/>
        <v>235.96875</v>
      </c>
      <c r="BB368" s="45">
        <f>('[2]Renewable Diesel'!Q377*'[2]RD Feedstock Breakdown'!BB$3*'[2]Feedstock Conversion Rates'!B$4)/12</f>
        <v>11.156249999999998</v>
      </c>
      <c r="BC368" s="45">
        <f>('[2]Renewable Diesel'!Q377*'[2]RD Feedstock Breakdown'!BC$3*'[2]Feedstock Conversion Rates'!B$3)/12</f>
        <v>1.4017500000000001</v>
      </c>
      <c r="BD368" s="45">
        <f>('[2]Renewable Diesel'!Q377*'[2]RD Feedstock Breakdown'!BD$3*'[2]Feedstock Conversion Rates'!B$6)/12</f>
        <v>0.8207500000000002</v>
      </c>
      <c r="BE368" s="47">
        <f t="shared" si="303"/>
        <v>13.378749999999998</v>
      </c>
      <c r="BF368" s="45">
        <f>('[2]Renewable Diesel'!R377*'[2]RD Feedstock Breakdown'!BF$3*'[2]Feedstock Conversion Rates'!B$4)/12</f>
        <v>62.5</v>
      </c>
      <c r="BG368" s="47">
        <f t="shared" si="289"/>
        <v>62.5</v>
      </c>
      <c r="BH368" s="45">
        <f>('[2]Renewable Diesel'!T377*'[2]RD Feedstock Breakdown'!BH$3*'[2]Feedstock Conversion Rates'!B$7)/12</f>
        <v>27.599999999999998</v>
      </c>
      <c r="BI368" s="47">
        <f t="shared" si="277"/>
        <v>27.599999999999998</v>
      </c>
      <c r="BJ368" s="45">
        <f>('[2]Renewable Diesel'!W377*'[2]RD Feedstock Breakdown'!BJ$3*'[2]Feedstock Conversion Rates'!B$4)/12</f>
        <v>7.5</v>
      </c>
      <c r="BK368" s="45">
        <f>('[2]Renewable Diesel'!W377*'[2]RD Feedstock Breakdown'!BK$3*'[2]Feedstock Conversion Rates'!B$3)/12</f>
        <v>1.335</v>
      </c>
      <c r="BL368" s="45">
        <f>('[2]Renewable Diesel'!W377*'[2]RD Feedstock Breakdown'!BL$3*'[2]Feedstock Conversion Rates'!B$6)/12</f>
        <v>3.1266666666666669</v>
      </c>
      <c r="BM368" s="45">
        <f>('[2]Renewable Diesel'!W377*'[2]RD Feedstock Breakdown'!BM$3*'[2]Feedstock Conversion Rates'!B$7)/12</f>
        <v>1.5333333333333332</v>
      </c>
      <c r="BN368" s="47">
        <f t="shared" si="316"/>
        <v>13.495000000000001</v>
      </c>
      <c r="BO368" s="45">
        <f>('[2]Renewable Diesel'!P377*'[2]Feedstock Conversion Rates'!B$4)/12</f>
        <v>31.25</v>
      </c>
      <c r="BP368" s="47">
        <f t="shared" si="311"/>
        <v>31.25</v>
      </c>
      <c r="BQ368" s="45">
        <f>('[2]Renewable Diesel'!$S377*'[2]RD Feedstock Breakdown'!BQ$3*'[2]Feedstock Conversion Rates'!B$4)/12+10+15-15</f>
        <v>38.125</v>
      </c>
      <c r="BR368" s="45">
        <f>('[2]Renewable Diesel'!$S377*'[2]RD Feedstock Breakdown'!BR$3*'[2]Feedstock Conversion Rates'!B$7)/12-10-15+15</f>
        <v>1.5</v>
      </c>
      <c r="BS368" s="47">
        <f t="shared" si="328"/>
        <v>39.625</v>
      </c>
      <c r="BT368" s="47"/>
      <c r="BU368" s="45">
        <f>('[2]Renewable Diesel'!Y377*'[2]Feedstock Conversion Rates'!B$7)/12</f>
        <v>2.6833333333333331</v>
      </c>
      <c r="BV368" s="47">
        <f t="shared" si="305"/>
        <v>2.6833333333333331</v>
      </c>
      <c r="BW368" s="45">
        <f>('[2]Renewable Diesel'!$Z377*'[2]RD Feedstock Breakdown'!BW$3*'[2]Feedstock Conversion Rates'!$B$4)/12-250+180</f>
        <v>1.875</v>
      </c>
      <c r="BX368" s="45">
        <f>('[2]Renewable Diesel'!$Z377*'[2]RD Feedstock Breakdown'!BX$3*'[2]Feedstock Conversion Rates'!$B$5)/12</f>
        <v>7.2354166666666666</v>
      </c>
      <c r="BY368" s="45">
        <f>('[2]Renewable Diesel'!$Z377*'[2]RD Feedstock Breakdown'!BY$3*'[2]Feedstock Conversion Rates'!$B$7)/12</f>
        <v>61.716666666666661</v>
      </c>
      <c r="BZ368" s="45">
        <f>('[2]Renewable Diesel'!$Z377*'[2]RD Feedstock Breakdown'!BZ$3*'[2]Feedstock Conversion Rates'!$B$3)/12+250-180</f>
        <v>85.35250000000002</v>
      </c>
      <c r="CA368" s="47">
        <f t="shared" si="329"/>
        <v>156.17958333333334</v>
      </c>
      <c r="CB368" s="45">
        <f>('[2]Renewable Diesel'!AA377*'[2]Feedstock Conversion Rates'!B$4)/12</f>
        <v>191.25</v>
      </c>
      <c r="CC368" s="47">
        <f t="shared" si="318"/>
        <v>191.25</v>
      </c>
      <c r="CD368" s="45">
        <f>('[2]Renewable Diesel'!$AB377*'[2]RD Feedstock Breakdown'!CD$3*'[2]Feedstock Conversion Rates'!$B$6)/12-15-5</f>
        <v>12.830000000000005</v>
      </c>
      <c r="CE368" s="45">
        <f>('[2]Renewable Diesel'!$AB377*'[2]RD Feedstock Breakdown'!CE$3*'[2]Feedstock Conversion Rates'!$B$4)/12+15+5</f>
        <v>31.25</v>
      </c>
      <c r="CF368" s="47">
        <f t="shared" si="315"/>
        <v>44.080000000000005</v>
      </c>
      <c r="CG368" s="45">
        <f>('[2]Renewable Diesel'!AD377*'[2]Feedstock Conversion Rates'!B$4)/12</f>
        <v>112.5</v>
      </c>
      <c r="CH368" s="47">
        <f t="shared" si="302"/>
        <v>112.5</v>
      </c>
      <c r="CI368" s="45">
        <f>('[2]Renewable Diesel'!$AE377*'[2]RD Feedstock Breakdown'!CI$3*'[2]Feedstock Conversion Rates'!$B$5)/12</f>
        <v>0.34604166666666664</v>
      </c>
      <c r="CJ368" s="45">
        <f>('[2]Renewable Diesel'!$AE377*'[2]RD Feedstock Breakdown'!CJ$3*'[2]Feedstock Conversion Rates'!$B$4)/12</f>
        <v>0.34375</v>
      </c>
      <c r="CK368" s="47">
        <f t="shared" si="312"/>
        <v>0.68979166666666658</v>
      </c>
      <c r="CL368" s="45">
        <f>(((CL$3*'[2]Renewable Diesel'!$AF377)*'[2]Feedstock Conversion Rates'!$B$3)/12)</f>
        <v>91.78125</v>
      </c>
      <c r="CM368" s="45">
        <f>(((CM$3*'[2]Renewable Diesel'!$AF377)*'[2]Feedstock Conversion Rates'!$B$6)/12)</f>
        <v>53.739583333333336</v>
      </c>
      <c r="CN368" s="45">
        <f>(((CN$3*'[2]Renewable Diesel'!$AF377)*'[2]Feedstock Conversion Rates'!$B$4)/12)</f>
        <v>42.96875</v>
      </c>
      <c r="CO368" s="47">
        <f t="shared" si="304"/>
        <v>188.48958333333334</v>
      </c>
      <c r="CP368" s="45">
        <f>('[2]Renewable Diesel'!$AG377*'[2]RD Feedstock Breakdown'!CP$3*'[2]Feedstock Conversion Rates'!$B$3)/12</f>
        <v>6.0075000000000003</v>
      </c>
      <c r="CQ368" s="45">
        <f>('[2]Renewable Diesel'!$AG377*'[2]RD Feedstock Breakdown'!CQ$3*'[2]Feedstock Conversion Rates'!$B$6)/12</f>
        <v>3.5175000000000001</v>
      </c>
      <c r="CR368" s="45">
        <f>('[2]Renewable Diesel'!$AG377*'[2]RD Feedstock Breakdown'!CR$3*'[2]Feedstock Conversion Rates'!$B$4)/12</f>
        <v>2.8125</v>
      </c>
      <c r="CS368" s="47">
        <f t="shared" si="267"/>
        <v>12.3375</v>
      </c>
      <c r="CT368" s="45">
        <f>('[2]Renewable Diesel'!AI377*'[2]Feedstock Conversion Rates'!$B$4*'[2]RD Feedstock Breakdown'!$CT$3)/12</f>
        <v>29.375</v>
      </c>
      <c r="CU368" s="47">
        <f t="shared" si="308"/>
        <v>29.375</v>
      </c>
      <c r="CV368" s="45">
        <f>('[2]Renewable Diesel'!AN377*'[2]Feedstock Conversion Rates'!$B$3*'[2]RD Feedstock Breakdown'!$CV$3)/12</f>
        <v>0.50062499999999999</v>
      </c>
      <c r="CW368" s="47">
        <f t="shared" si="284"/>
        <v>0.50062499999999999</v>
      </c>
      <c r="CX368" s="45">
        <f>('[2]Renewable Diesel'!AO377*'[2]RD Feedstock Breakdown'!$CX$3*'[2]Feedstock Conversion Rates'!$B$3)/12</f>
        <v>6.3412499999999996</v>
      </c>
      <c r="CY368" s="45">
        <f>('[2]Renewable Diesel'!AO377*'[2]RD Feedstock Breakdown'!$CY$3*'[2]Feedstock Conversion Rates'!$B$6)/12</f>
        <v>7.4258333333333342</v>
      </c>
      <c r="CZ368" s="47">
        <f t="shared" si="268"/>
        <v>13.767083333333334</v>
      </c>
      <c r="DA368" s="45">
        <f>('[2]Renewable Diesel'!$AP377*'[2]RD Feedstock Breakdown'!DA$3*'[2]Feedstock Conversion Rates'!$B$3)/12</f>
        <v>6.3412499999999996</v>
      </c>
      <c r="DB368" s="45">
        <f>('[2]Renewable Diesel'!$AP377*'[2]RD Feedstock Breakdown'!DB$3*'[2]Feedstock Conversion Rates'!$B$8)/12</f>
        <v>7.421875</v>
      </c>
      <c r="DC368" s="47">
        <f t="shared" si="287"/>
        <v>13.763124999999999</v>
      </c>
      <c r="DD368" s="45">
        <f>('[2]Renewable Diesel'!AQ377*$DD$3*'[2]Feedstock Conversion Rates'!$B$14)/12</f>
        <v>3.1041666666666665</v>
      </c>
      <c r="DE368" s="47">
        <f t="shared" si="288"/>
        <v>3.1041666666666665</v>
      </c>
      <c r="DF368" s="45">
        <f>('[2]Renewable Diesel'!AR377*'[2]Feedstock Conversion Rates'!$B$4*$DF$3)/12</f>
        <v>75</v>
      </c>
      <c r="DG368" s="47">
        <f t="shared" si="269"/>
        <v>75</v>
      </c>
      <c r="DH368" s="45">
        <f>('[2]Renewable Diesel'!AS377*'[2]Feedstock Conversion Rates'!$B$4*$DH$3)/12</f>
        <v>75</v>
      </c>
      <c r="DI368" s="47">
        <f t="shared" si="273"/>
        <v>75</v>
      </c>
      <c r="DJ368" s="45">
        <f>('[2]Renewable Diesel'!AT377*'[2]Feedstock Conversion Rates'!$B$4*0.25)/12</f>
        <v>8.59375</v>
      </c>
      <c r="DK368" s="45">
        <f>('[2]Renewable Diesel'!$AT377*'[2]RD Feedstock Breakdown'!DK$3*'[2]Feedstock Conversion Rates'!$B$3)/12*0.5</f>
        <v>9.1781249999999996</v>
      </c>
      <c r="DL368" s="45">
        <f>('[2]Renewable Diesel'!$AT377*'[2]RD Feedstock Breakdown'!$DL$3*'[2]Feedstock Conversion Rates'!$B$6)/12</f>
        <v>10.747916666666669</v>
      </c>
      <c r="DM368" s="45">
        <f>('[2]Renewable Diesel'!$AT377*'[2]RD Feedstock Breakdown'!$DM$3*'[2]Feedstock Conversion Rates'!$B$8)/12</f>
        <v>10.7421875</v>
      </c>
      <c r="DN368" s="47">
        <f t="shared" si="317"/>
        <v>39.26197916666667</v>
      </c>
      <c r="DP368" s="45">
        <f t="shared" si="290"/>
        <v>48.220250000000007</v>
      </c>
      <c r="DQ368" s="45">
        <f t="shared" si="291"/>
        <v>399.11776750000007</v>
      </c>
      <c r="DR368" s="45">
        <f t="shared" si="296"/>
        <v>1891.953125</v>
      </c>
      <c r="DS368" s="45">
        <f t="shared" si="309"/>
        <v>228.90125</v>
      </c>
      <c r="DT368" s="45">
        <f t="shared" si="292"/>
        <v>243.03923333333344</v>
      </c>
      <c r="DU368" s="45">
        <f t="shared" si="293"/>
        <v>432.90610000000009</v>
      </c>
      <c r="DV368" s="45">
        <f t="shared" si="297"/>
        <v>78.75</v>
      </c>
      <c r="DW368" s="45">
        <f t="shared" si="294"/>
        <v>3</v>
      </c>
      <c r="DX368" s="47">
        <f t="shared" si="298"/>
        <v>3325.8877258333337</v>
      </c>
      <c r="DY368" s="50">
        <f t="shared" si="286"/>
        <v>-5.631051180898794E-13</v>
      </c>
      <c r="EA368" s="51">
        <f t="shared" si="330"/>
        <v>1.4498459952648568E-2</v>
      </c>
      <c r="EB368" s="51">
        <f t="shared" si="330"/>
        <v>0.1200033796691069</v>
      </c>
      <c r="EC368" s="51">
        <f t="shared" si="330"/>
        <v>0.56885658235079262</v>
      </c>
      <c r="ED368" s="51">
        <f t="shared" si="330"/>
        <v>6.882410618435611E-2</v>
      </c>
      <c r="EE368" s="51">
        <f t="shared" si="330"/>
        <v>7.3074996322203753E-2</v>
      </c>
      <c r="EF368" s="51">
        <f t="shared" si="330"/>
        <v>0.13016257182630278</v>
      </c>
      <c r="EG368" s="51">
        <f t="shared" si="327"/>
        <v>2.3677888880108969E-2</v>
      </c>
      <c r="EH368" s="52">
        <f t="shared" si="299"/>
        <v>9.0201481448034171E-4</v>
      </c>
      <c r="EI368" s="51">
        <f t="shared" si="271"/>
        <v>0.99909798518551962</v>
      </c>
      <c r="EK368" s="53">
        <f>(EA368*'[2]Renewable Diesel'!BF377*'[2]Feedstock Conversion Rates'!B$2)+FB368</f>
        <v>104.94682297569376</v>
      </c>
      <c r="EL368" s="53">
        <f>(EB368*'[2]Renewable Diesel'!BF377*'[2]Feedstock Conversion Rates'!B$3)+FC368</f>
        <v>818.56748603027233</v>
      </c>
      <c r="EM368" s="53">
        <f>(EC368*'[2]Renewable Diesel'!BF377*'[2]Feedstock Conversion Rates'!B$4)+FD368</f>
        <v>3633.2271257959833</v>
      </c>
      <c r="EN368" s="53">
        <f>(ED368*'[2]Renewable Diesel'!BF377*'[2]Feedstock Conversion Rates'!B$5)+FE368</f>
        <v>442.50280540088181</v>
      </c>
      <c r="EO368" s="53">
        <f>(EE368*'[2]Renewable Diesel'!BF377*'[2]Feedstock Conversion Rates'!B$6)+FF368</f>
        <v>583.71403720565809</v>
      </c>
      <c r="EP368" s="53">
        <f>(EF368*'[2]Renewable Diesel'!BF377*'[2]Feedstock Conversion Rates'!B$7)+FG368</f>
        <v>1019.770501701089</v>
      </c>
      <c r="EQ368" s="53">
        <f>(EG368*'[2]Renewable Diesel'!BF377*'[2]Feedstock Conversion Rates'!B$8)+FH368</f>
        <v>189.0352305612974</v>
      </c>
      <c r="ER368" s="53">
        <f>(EH368*'[2]Renewable Diesel'!BF377*'[2]Feedstock Conversion Rates'!B$9)+FI368</f>
        <v>7.1053242217325749</v>
      </c>
      <c r="ES368" s="53">
        <f t="shared" si="300"/>
        <v>6798.8693338926087</v>
      </c>
      <c r="ET368" s="36">
        <f>ES368/'[2]Renewable Diesel'!BF377</f>
        <v>7.9837733216591147</v>
      </c>
    </row>
    <row r="369" spans="1:150" x14ac:dyDescent="0.25">
      <c r="A369" s="39">
        <v>51653</v>
      </c>
      <c r="B369" s="45">
        <f t="shared" si="331"/>
        <v>44.25</v>
      </c>
      <c r="C369" s="45">
        <f t="shared" si="321"/>
        <v>49</v>
      </c>
      <c r="D369" s="45">
        <f t="shared" si="332"/>
        <v>2</v>
      </c>
      <c r="E369" s="45">
        <f>('[2]Renewable Diesel'!B378*E$3*'[2]Feedstock Conversion Rates'!$B$2)/12+26+13-100+27.5+39</f>
        <v>95.43</v>
      </c>
      <c r="F369" s="45">
        <f>('[2]Renewable Diesel'!B378*'[2]RD Feedstock Breakdown'!F$3*'[2]Feedstock Conversion Rates'!B$8)/12+77+23-10-12-115.75+24+8</f>
        <v>48.15625</v>
      </c>
      <c r="G369" s="45">
        <f>('[2]Renewable Diesel'!B378*'[2]RD Feedstock Breakdown'!G$3*'[2]Feedstock Conversion Rates'!B$7)/12+116.75-39-57.5-145-31.5+32+70-40+10+60</f>
        <v>151.90700000000004</v>
      </c>
      <c r="H369" s="45">
        <f>('[2]Renewable Diesel'!B378*'[2]RD Feedstock Breakdown'!H$3*'[2]Feedstock Conversion Rates'!B$3)/12+67+10+12+3-235+20+47-20+25</f>
        <v>105.40022499999998</v>
      </c>
      <c r="I369" s="47">
        <f t="shared" si="314"/>
        <v>496.14347500000002</v>
      </c>
      <c r="J369" s="45">
        <f t="shared" si="281"/>
        <v>4</v>
      </c>
      <c r="K369" s="45"/>
      <c r="L369" s="45">
        <v>1</v>
      </c>
      <c r="M369" s="45">
        <f>('[2]Renewable Diesel'!C378*'[2]RD Feedstock Breakdown'!M$3*'[2]Feedstock Conversion Rates'!B$2)/12-55</f>
        <v>-47.20975</v>
      </c>
      <c r="N369" s="45">
        <f>('[2]Renewable Diesel'!C378*'[2]RD Feedstock Breakdown'!N$3*'[2]Feedstock Conversion Rates'!B$8)/12</f>
        <v>3.671875</v>
      </c>
      <c r="O369" s="45">
        <f>('[2]Renewable Diesel'!C378*'[2]RD Feedstock Breakdown'!O$3*'[2]Feedstock Conversion Rates'!B$7)/12+30</f>
        <v>41.999099999999999</v>
      </c>
      <c r="P369" s="45">
        <f>('[2]Renewable Diesel'!C378*'[2]RD Feedstock Breakdown'!P$3*'[2]Feedstock Conversion Rates'!B$3)/12+15+35</f>
        <v>60.447042500000002</v>
      </c>
      <c r="Q369" s="47">
        <f t="shared" si="322"/>
        <v>63.908267500000001</v>
      </c>
      <c r="R369" s="45">
        <f>('[2]Renewable Diesel'!D378*'[2]RD Feedstock Breakdown'!R$3*'[2]Feedstock Conversion Rates'!B$7)/12</f>
        <v>2.2999999999999998</v>
      </c>
      <c r="S369" s="47">
        <f t="shared" si="279"/>
        <v>2.2999999999999998</v>
      </c>
      <c r="T369" s="45">
        <f t="shared" si="323"/>
        <v>0.82499999999999929</v>
      </c>
      <c r="U369" s="45"/>
      <c r="V369" s="45">
        <f>('[2]Renewable Diesel'!E378*'[2]RD Feedstock Breakdown'!V$3*'[2]Feedstock Conversion Rates'!B$6)/12-20+25</f>
        <v>49.250150000000012</v>
      </c>
      <c r="W369" s="45">
        <f>('[2]Renewable Diesel'!E378*'[2]RD Feedstock Breakdown'!W$3*'[2]Feedstock Conversion Rates'!B$8)/12-6</f>
        <v>16.1796875</v>
      </c>
      <c r="X369" s="47">
        <f t="shared" si="301"/>
        <v>66.254837500000008</v>
      </c>
      <c r="Y369" s="45">
        <f t="shared" si="324"/>
        <v>98</v>
      </c>
      <c r="Z369" s="45">
        <f>('[2]Renewable Diesel'!F378*'[2]RD Feedstock Breakdown'!Z$3*'[2]Feedstock Conversion Rates'!B$6)/12-142+15+5+20+5+15</f>
        <v>77.460000000000008</v>
      </c>
      <c r="AA369" s="45">
        <f>('[2]Renewable Diesel'!F378*'[2]RD Feedstock Breakdown'!AA$3*'[2]Feedstock Conversion Rates'!B$7)/12+24</f>
        <v>128.26666666666665</v>
      </c>
      <c r="AB369" s="47">
        <f t="shared" si="270"/>
        <v>303.72666666666669</v>
      </c>
      <c r="AC369" s="45">
        <f>('[2]Renewable Diesel'!G378*'[2]RD Feedstock Breakdown'!AC$3*'[2]Feedstock Conversion Rates'!B$5)/12</f>
        <v>11.796875</v>
      </c>
      <c r="AD369" s="45">
        <f>('[2]Renewable Diesel'!G378*'[2]RD Feedstock Breakdown'!AD$3*'[2]Feedstock Conversion Rates'!B$4)/12</f>
        <v>5.859375</v>
      </c>
      <c r="AE369" s="45">
        <f>('[2]Renewable Diesel'!G378*'[2]RD Feedstock Breakdown'!AE$3*'[2]Feedstock Conversion Rates'!B$6)/12</f>
        <v>7.3281250000000009</v>
      </c>
      <c r="AF369" s="47">
        <f t="shared" si="310"/>
        <v>24.984375</v>
      </c>
      <c r="AG369" s="45">
        <f t="shared" si="326"/>
        <v>148</v>
      </c>
      <c r="AH369" s="45"/>
      <c r="AI369" s="45">
        <f>('[2]Renewable Diesel'!H378*'[2]RD Feedstock Breakdown'!AI$3*'[2]Feedstock Conversion Rates'!B$6)/12-130-20+51-49</f>
        <v>0.51666666666667993</v>
      </c>
      <c r="AJ369" s="47">
        <f t="shared" si="278"/>
        <v>148.51666666666668</v>
      </c>
      <c r="AK369" s="45">
        <f>('[2]Renewable Diesel'!J378*'[2]RD Feedstock Breakdown'!AK$3*'[2]Feedstock Conversion Rates'!B$4)/12</f>
        <v>95.8125</v>
      </c>
      <c r="AL369" s="47">
        <f t="shared" si="280"/>
        <v>95.8125</v>
      </c>
      <c r="AM369" s="45">
        <f>('[2]Renewable Diesel'!K378*'[2]RD Feedstock Breakdown'!AM$3*'[2]Feedstock Conversion Rates'!B$4)/12+5+15-10+10</f>
        <v>78.59375</v>
      </c>
      <c r="AN369" s="45">
        <f>('[2]Renewable Diesel'!K378*'[2]RD Feedstock Breakdown'!AN$3*'[2]Feedstock Conversion Rates'!B$6)/12-5-15+10-10</f>
        <v>4.4270833333333321</v>
      </c>
      <c r="AO369" s="47">
        <f t="shared" si="295"/>
        <v>83.020833333333329</v>
      </c>
      <c r="AP369" s="45">
        <f>('[2]Renewable Diesel'!L378*'[2]RD Feedstock Breakdown'!AP$3*'[2]Feedstock Conversion Rates'!B$4)/12+15-10+15</f>
        <v>78.59375</v>
      </c>
      <c r="AQ369" s="45">
        <f>('[2]Renewable Diesel'!L378*'[2]RD Feedstock Breakdown'!AQ$3*'[2]Feedstock Conversion Rates'!B$6)/12-15+10-15</f>
        <v>4.4270833333333321</v>
      </c>
      <c r="AR369" s="47">
        <f t="shared" si="285"/>
        <v>83.020833333333329</v>
      </c>
      <c r="AS369" s="45">
        <f>('[2]Renewable Diesel'!M378*'[2]RD Feedstock Breakdown'!AS$3*'[2]Feedstock Conversion Rates'!B$4)/12</f>
        <v>456.25</v>
      </c>
      <c r="AT369" s="45">
        <f>('[2]Renewable Diesel'!M378*'[2]RD Feedstock Breakdown'!AT$3*'[2]Feedstock Conversion Rates'!B$5)/12</f>
        <v>0</v>
      </c>
      <c r="AU369" s="47">
        <f t="shared" si="313"/>
        <v>456.25</v>
      </c>
      <c r="AV369" s="45">
        <f>'[2]Renewable Diesel'!N378*'[2]RD Feedstock Breakdown'!$AV$3*'[2]Feedstock Conversion Rates'!$B$4/12-15-10+25+25-22+25</f>
        <v>106.74999999999999</v>
      </c>
      <c r="AW369" s="45">
        <f>'[2]Renewable Diesel'!N378*'[2]RD Feedstock Breakdown'!$AW$3*'[2]Feedstock Conversion Rates'!$B$7/12+15+10-25-25+22-25</f>
        <v>13.400000000000006</v>
      </c>
      <c r="AX369" s="47">
        <f t="shared" si="272"/>
        <v>120.14999999999999</v>
      </c>
      <c r="AY369" s="45">
        <f>('[2]Renewable Diesel'!O378*'[2]RD Feedstock Breakdown'!AY$3*'[2]Feedstock Conversion Rates'!B$4)/12</f>
        <v>210.9375</v>
      </c>
      <c r="AZ369" s="45">
        <f>('[2]Renewable Diesel'!O378*'[2]RD Feedstock Breakdown'!AZ$3*'[2]Feedstock Conversion Rates'!B$3)/12</f>
        <v>25.03125</v>
      </c>
      <c r="BA369" s="47">
        <f t="shared" si="325"/>
        <v>235.96875</v>
      </c>
      <c r="BB369" s="45">
        <f>('[2]Renewable Diesel'!Q378*'[2]RD Feedstock Breakdown'!BB$3*'[2]Feedstock Conversion Rates'!B$4)/12</f>
        <v>11.156249999999998</v>
      </c>
      <c r="BC369" s="45">
        <f>('[2]Renewable Diesel'!Q378*'[2]RD Feedstock Breakdown'!BC$3*'[2]Feedstock Conversion Rates'!B$3)/12</f>
        <v>1.4017500000000001</v>
      </c>
      <c r="BD369" s="45">
        <f>('[2]Renewable Diesel'!Q378*'[2]RD Feedstock Breakdown'!BD$3*'[2]Feedstock Conversion Rates'!B$6)/12</f>
        <v>0.8207500000000002</v>
      </c>
      <c r="BE369" s="47">
        <f t="shared" si="303"/>
        <v>13.378749999999998</v>
      </c>
      <c r="BF369" s="45">
        <f>('[2]Renewable Diesel'!R378*'[2]RD Feedstock Breakdown'!BF$3*'[2]Feedstock Conversion Rates'!B$4)/12</f>
        <v>62.5</v>
      </c>
      <c r="BG369" s="47">
        <f t="shared" si="289"/>
        <v>62.5</v>
      </c>
      <c r="BH369" s="45">
        <f>('[2]Renewable Diesel'!T378*'[2]RD Feedstock Breakdown'!BH$3*'[2]Feedstock Conversion Rates'!B$7)/12</f>
        <v>27.599999999999998</v>
      </c>
      <c r="BI369" s="47">
        <f t="shared" si="277"/>
        <v>27.599999999999998</v>
      </c>
      <c r="BJ369" s="45">
        <f>('[2]Renewable Diesel'!W378*'[2]RD Feedstock Breakdown'!BJ$3*'[2]Feedstock Conversion Rates'!B$4)/12</f>
        <v>7.5</v>
      </c>
      <c r="BK369" s="45">
        <f>('[2]Renewable Diesel'!W378*'[2]RD Feedstock Breakdown'!BK$3*'[2]Feedstock Conversion Rates'!B$3)/12</f>
        <v>1.335</v>
      </c>
      <c r="BL369" s="45">
        <f>('[2]Renewable Diesel'!W378*'[2]RD Feedstock Breakdown'!BL$3*'[2]Feedstock Conversion Rates'!B$6)/12</f>
        <v>3.1266666666666669</v>
      </c>
      <c r="BM369" s="45">
        <f>('[2]Renewable Diesel'!W378*'[2]RD Feedstock Breakdown'!BM$3*'[2]Feedstock Conversion Rates'!B$7)/12</f>
        <v>1.5333333333333332</v>
      </c>
      <c r="BN369" s="47">
        <f t="shared" si="316"/>
        <v>13.495000000000001</v>
      </c>
      <c r="BO369" s="45">
        <f>('[2]Renewable Diesel'!P378*'[2]Feedstock Conversion Rates'!B$4)/12</f>
        <v>31.25</v>
      </c>
      <c r="BP369" s="47">
        <f t="shared" si="311"/>
        <v>31.25</v>
      </c>
      <c r="BQ369" s="45">
        <f>('[2]Renewable Diesel'!$S378*'[2]RD Feedstock Breakdown'!BQ$3*'[2]Feedstock Conversion Rates'!B$4)/12+10+15-15</f>
        <v>38.125</v>
      </c>
      <c r="BR369" s="45">
        <f>('[2]Renewable Diesel'!$S378*'[2]RD Feedstock Breakdown'!BR$3*'[2]Feedstock Conversion Rates'!B$7)/12-10-15+15</f>
        <v>1.5</v>
      </c>
      <c r="BS369" s="47">
        <f t="shared" si="328"/>
        <v>39.625</v>
      </c>
      <c r="BT369" s="47"/>
      <c r="BU369" s="45">
        <f>('[2]Renewable Diesel'!Y378*'[2]Feedstock Conversion Rates'!B$7)/12</f>
        <v>2.6833333333333331</v>
      </c>
      <c r="BV369" s="47">
        <f t="shared" si="305"/>
        <v>2.6833333333333331</v>
      </c>
      <c r="BW369" s="45">
        <f>('[2]Renewable Diesel'!$Z378*'[2]RD Feedstock Breakdown'!BW$3*'[2]Feedstock Conversion Rates'!$B$4)/12-250+180</f>
        <v>1.875</v>
      </c>
      <c r="BX369" s="45">
        <f>('[2]Renewable Diesel'!$Z378*'[2]RD Feedstock Breakdown'!BX$3*'[2]Feedstock Conversion Rates'!$B$5)/12</f>
        <v>7.2354166666666666</v>
      </c>
      <c r="BY369" s="45">
        <f>('[2]Renewable Diesel'!$Z378*'[2]RD Feedstock Breakdown'!BY$3*'[2]Feedstock Conversion Rates'!$B$7)/12</f>
        <v>61.716666666666661</v>
      </c>
      <c r="BZ369" s="45">
        <f>('[2]Renewable Diesel'!$Z378*'[2]RD Feedstock Breakdown'!BZ$3*'[2]Feedstock Conversion Rates'!$B$3)/12+250-180</f>
        <v>85.35250000000002</v>
      </c>
      <c r="CA369" s="47">
        <f t="shared" si="329"/>
        <v>156.17958333333334</v>
      </c>
      <c r="CB369" s="45">
        <f>('[2]Renewable Diesel'!AA378*'[2]Feedstock Conversion Rates'!B$4)/12</f>
        <v>191.25</v>
      </c>
      <c r="CC369" s="47">
        <f t="shared" si="318"/>
        <v>191.25</v>
      </c>
      <c r="CD369" s="45">
        <f>('[2]Renewable Diesel'!$AB378*'[2]RD Feedstock Breakdown'!CD$3*'[2]Feedstock Conversion Rates'!$B$6)/12-15-5</f>
        <v>12.830000000000005</v>
      </c>
      <c r="CE369" s="45">
        <f>('[2]Renewable Diesel'!$AB378*'[2]RD Feedstock Breakdown'!CE$3*'[2]Feedstock Conversion Rates'!$B$4)/12+15+5</f>
        <v>31.25</v>
      </c>
      <c r="CF369" s="47">
        <f t="shared" si="315"/>
        <v>44.080000000000005</v>
      </c>
      <c r="CG369" s="45">
        <f>('[2]Renewable Diesel'!AD378*'[2]Feedstock Conversion Rates'!B$4)/12</f>
        <v>112.5</v>
      </c>
      <c r="CH369" s="47">
        <f t="shared" si="302"/>
        <v>112.5</v>
      </c>
      <c r="CI369" s="45">
        <f>('[2]Renewable Diesel'!$AE378*'[2]RD Feedstock Breakdown'!CI$3*'[2]Feedstock Conversion Rates'!$B$5)/12</f>
        <v>0.34604166666666664</v>
      </c>
      <c r="CJ369" s="45">
        <f>('[2]Renewable Diesel'!$AE378*'[2]RD Feedstock Breakdown'!CJ$3*'[2]Feedstock Conversion Rates'!$B$4)/12</f>
        <v>0.34375</v>
      </c>
      <c r="CK369" s="47">
        <f t="shared" si="312"/>
        <v>0.68979166666666658</v>
      </c>
      <c r="CL369" s="45">
        <f>(((CL$3*'[2]Renewable Diesel'!$AF378)*'[2]Feedstock Conversion Rates'!$B$3)/12)</f>
        <v>91.78125</v>
      </c>
      <c r="CM369" s="45">
        <f>(((CM$3*'[2]Renewable Diesel'!$AF378)*'[2]Feedstock Conversion Rates'!$B$6)/12)</f>
        <v>53.739583333333336</v>
      </c>
      <c r="CN369" s="45">
        <f>(((CN$3*'[2]Renewable Diesel'!$AF378)*'[2]Feedstock Conversion Rates'!$B$4)/12)</f>
        <v>42.96875</v>
      </c>
      <c r="CO369" s="47">
        <f t="shared" si="304"/>
        <v>188.48958333333334</v>
      </c>
      <c r="CP369" s="45">
        <f>('[2]Renewable Diesel'!$AG378*'[2]RD Feedstock Breakdown'!CP$3*'[2]Feedstock Conversion Rates'!$B$3)/12</f>
        <v>6.0075000000000003</v>
      </c>
      <c r="CQ369" s="45">
        <f>('[2]Renewable Diesel'!$AG378*'[2]RD Feedstock Breakdown'!CQ$3*'[2]Feedstock Conversion Rates'!$B$6)/12</f>
        <v>3.5175000000000001</v>
      </c>
      <c r="CR369" s="45">
        <f>('[2]Renewable Diesel'!$AG378*'[2]RD Feedstock Breakdown'!CR$3*'[2]Feedstock Conversion Rates'!$B$4)/12</f>
        <v>2.8125</v>
      </c>
      <c r="CS369" s="47">
        <f t="shared" ref="CS369:CS375" si="333">SUM(CP369:CR369)</f>
        <v>12.3375</v>
      </c>
      <c r="CT369" s="45">
        <f>('[2]Renewable Diesel'!AI378*'[2]Feedstock Conversion Rates'!$B$4*'[2]RD Feedstock Breakdown'!$CT$3)/12</f>
        <v>29.375</v>
      </c>
      <c r="CU369" s="47">
        <f t="shared" si="308"/>
        <v>29.375</v>
      </c>
      <c r="CV369" s="45">
        <f>('[2]Renewable Diesel'!AN378*'[2]Feedstock Conversion Rates'!$B$3*'[2]RD Feedstock Breakdown'!$CV$3)/12</f>
        <v>0.50062499999999999</v>
      </c>
      <c r="CW369" s="47">
        <f t="shared" si="284"/>
        <v>0.50062499999999999</v>
      </c>
      <c r="CX369" s="45">
        <f>('[2]Renewable Diesel'!AO378*'[2]RD Feedstock Breakdown'!$CX$3*'[2]Feedstock Conversion Rates'!$B$3)/12</f>
        <v>6.3412499999999996</v>
      </c>
      <c r="CY369" s="45">
        <f>('[2]Renewable Diesel'!AO378*'[2]RD Feedstock Breakdown'!$CY$3*'[2]Feedstock Conversion Rates'!$B$6)/12</f>
        <v>7.4258333333333342</v>
      </c>
      <c r="CZ369" s="47">
        <f t="shared" si="268"/>
        <v>13.767083333333334</v>
      </c>
      <c r="DA369" s="45">
        <f>('[2]Renewable Diesel'!$AP378*'[2]RD Feedstock Breakdown'!DA$3*'[2]Feedstock Conversion Rates'!$B$3)/12</f>
        <v>6.3412499999999996</v>
      </c>
      <c r="DB369" s="45">
        <f>('[2]Renewable Diesel'!$AP378*'[2]RD Feedstock Breakdown'!DB$3*'[2]Feedstock Conversion Rates'!$B$8)/12</f>
        <v>7.421875</v>
      </c>
      <c r="DC369" s="47">
        <f t="shared" si="287"/>
        <v>13.763124999999999</v>
      </c>
      <c r="DD369" s="45">
        <f>('[2]Renewable Diesel'!AQ378*$DD$3*'[2]Feedstock Conversion Rates'!$B$14)/12</f>
        <v>3.1041666666666665</v>
      </c>
      <c r="DE369" s="47">
        <f t="shared" si="288"/>
        <v>3.1041666666666665</v>
      </c>
      <c r="DF369" s="45">
        <f>('[2]Renewable Diesel'!AR378*'[2]Feedstock Conversion Rates'!$B$4*$DF$3)/12</f>
        <v>75</v>
      </c>
      <c r="DG369" s="47">
        <f t="shared" si="269"/>
        <v>75</v>
      </c>
      <c r="DH369" s="45">
        <f>('[2]Renewable Diesel'!AS378*'[2]Feedstock Conversion Rates'!$B$4*$DH$3)/12</f>
        <v>75</v>
      </c>
      <c r="DI369" s="47">
        <f t="shared" si="273"/>
        <v>75</v>
      </c>
      <c r="DJ369" s="45">
        <f>('[2]Renewable Diesel'!AT378*'[2]Feedstock Conversion Rates'!$B$4*0.25)/12</f>
        <v>8.59375</v>
      </c>
      <c r="DK369" s="45">
        <f>('[2]Renewable Diesel'!$AT378*'[2]RD Feedstock Breakdown'!DK$3*'[2]Feedstock Conversion Rates'!$B$3)/12*0.5</f>
        <v>9.1781249999999996</v>
      </c>
      <c r="DL369" s="45">
        <f>('[2]Renewable Diesel'!$AT378*'[2]RD Feedstock Breakdown'!$DL$3*'[2]Feedstock Conversion Rates'!$B$6)/12</f>
        <v>10.747916666666669</v>
      </c>
      <c r="DM369" s="45">
        <f>('[2]Renewable Diesel'!$AT378*'[2]RD Feedstock Breakdown'!$DM$3*'[2]Feedstock Conversion Rates'!$B$8)/12</f>
        <v>10.7421875</v>
      </c>
      <c r="DN369" s="47">
        <f t="shared" si="317"/>
        <v>39.26197916666667</v>
      </c>
      <c r="DP369" s="45">
        <f t="shared" si="290"/>
        <v>48.220250000000007</v>
      </c>
      <c r="DQ369" s="45">
        <f t="shared" si="291"/>
        <v>399.11776750000007</v>
      </c>
      <c r="DR369" s="45">
        <f t="shared" si="296"/>
        <v>1891.953125</v>
      </c>
      <c r="DS369" s="45">
        <f t="shared" si="309"/>
        <v>228.90125</v>
      </c>
      <c r="DT369" s="45">
        <f t="shared" si="292"/>
        <v>243.03923333333344</v>
      </c>
      <c r="DU369" s="45">
        <f t="shared" si="293"/>
        <v>432.90610000000009</v>
      </c>
      <c r="DV369" s="45">
        <f t="shared" si="297"/>
        <v>78.75</v>
      </c>
      <c r="DW369" s="45">
        <f t="shared" si="294"/>
        <v>3</v>
      </c>
      <c r="DX369" s="47">
        <f t="shared" si="298"/>
        <v>3325.8877258333337</v>
      </c>
      <c r="DY369" s="50">
        <f t="shared" si="286"/>
        <v>-5.631051180898794E-13</v>
      </c>
      <c r="EA369" s="51">
        <f t="shared" si="330"/>
        <v>1.4498459952648568E-2</v>
      </c>
      <c r="EB369" s="51">
        <f t="shared" si="330"/>
        <v>0.1200033796691069</v>
      </c>
      <c r="EC369" s="51">
        <f t="shared" si="330"/>
        <v>0.56885658235079262</v>
      </c>
      <c r="ED369" s="51">
        <f t="shared" si="330"/>
        <v>6.882410618435611E-2</v>
      </c>
      <c r="EE369" s="51">
        <f t="shared" si="330"/>
        <v>7.3074996322203753E-2</v>
      </c>
      <c r="EF369" s="51">
        <f t="shared" si="330"/>
        <v>0.13016257182630278</v>
      </c>
      <c r="EG369" s="51">
        <f t="shared" si="327"/>
        <v>2.3677888880108969E-2</v>
      </c>
      <c r="EH369" s="52">
        <f t="shared" si="299"/>
        <v>9.0201481448034171E-4</v>
      </c>
      <c r="EI369" s="51">
        <f t="shared" si="271"/>
        <v>0.99909798518551962</v>
      </c>
      <c r="EK369" s="53">
        <f>(EA369*'[2]Renewable Diesel'!BF378*'[2]Feedstock Conversion Rates'!B$2)+FB369</f>
        <v>102.04876520174267</v>
      </c>
      <c r="EL369" s="53">
        <f>(EB369*'[2]Renewable Diesel'!BF378*'[2]Feedstock Conversion Rates'!B$3)+FC369</f>
        <v>795.96312508698725</v>
      </c>
      <c r="EM369" s="53">
        <f>(EC369*'[2]Renewable Diesel'!BF378*'[2]Feedstock Conversion Rates'!B$4)+FD369</f>
        <v>3532.897246168453</v>
      </c>
      <c r="EN369" s="53">
        <f>(ED369*'[2]Renewable Diesel'!BF378*'[2]Feedstock Conversion Rates'!B$5)+FE369</f>
        <v>430.28329595004107</v>
      </c>
      <c r="EO369" s="53">
        <f>(EE369*'[2]Renewable Diesel'!BF378*'[2]Feedstock Conversion Rates'!B$6)+FF369</f>
        <v>567.59504517404571</v>
      </c>
      <c r="EP369" s="53">
        <f>(EF369*'[2]Renewable Diesel'!BF378*'[2]Feedstock Conversion Rates'!B$7)+FG369</f>
        <v>991.61001292873868</v>
      </c>
      <c r="EQ369" s="53">
        <f>(EG369*'[2]Renewable Diesel'!BF378*'[2]Feedstock Conversion Rates'!B$8)+FH369</f>
        <v>183.8151104667073</v>
      </c>
      <c r="ER369" s="53">
        <f>(EH369*'[2]Renewable Diesel'!BF378*'[2]Feedstock Conversion Rates'!B$9)+FI369</f>
        <v>6.909113993415283</v>
      </c>
      <c r="ES369" s="53">
        <f t="shared" si="300"/>
        <v>6611.1217149701315</v>
      </c>
      <c r="ET369" s="36">
        <f>ES369/'[2]Renewable Diesel'!BF378</f>
        <v>7.9837733216591147</v>
      </c>
    </row>
    <row r="370" spans="1:150" x14ac:dyDescent="0.25">
      <c r="A370" s="39">
        <v>51683</v>
      </c>
      <c r="B370" s="45">
        <f t="shared" si="331"/>
        <v>44.25</v>
      </c>
      <c r="C370" s="45">
        <f t="shared" si="321"/>
        <v>49</v>
      </c>
      <c r="D370" s="45">
        <f t="shared" si="332"/>
        <v>2</v>
      </c>
      <c r="E370" s="45">
        <f>('[2]Renewable Diesel'!B379*E$3*'[2]Feedstock Conversion Rates'!$B$2)/12+26+13-100+27.5+39</f>
        <v>95.43</v>
      </c>
      <c r="F370" s="45">
        <f>('[2]Renewable Diesel'!B379*'[2]RD Feedstock Breakdown'!F$3*'[2]Feedstock Conversion Rates'!B$8)/12+77+23-10-12-115.75+24+8</f>
        <v>48.15625</v>
      </c>
      <c r="G370" s="45">
        <f>('[2]Renewable Diesel'!B379*'[2]RD Feedstock Breakdown'!G$3*'[2]Feedstock Conversion Rates'!B$7)/12+116.75-39-57.5-145-31.5+32+70-40+10+60</f>
        <v>151.90700000000004</v>
      </c>
      <c r="H370" s="45">
        <f>('[2]Renewable Diesel'!B379*'[2]RD Feedstock Breakdown'!H$3*'[2]Feedstock Conversion Rates'!B$3)/12+67+10+12+3-235+20+47-20+25</f>
        <v>105.40022499999998</v>
      </c>
      <c r="I370" s="47">
        <f t="shared" si="314"/>
        <v>496.14347500000002</v>
      </c>
      <c r="J370" s="45">
        <f t="shared" si="281"/>
        <v>4</v>
      </c>
      <c r="K370" s="45"/>
      <c r="L370" s="45">
        <v>1</v>
      </c>
      <c r="M370" s="45">
        <f>('[2]Renewable Diesel'!C379*'[2]RD Feedstock Breakdown'!M$3*'[2]Feedstock Conversion Rates'!B$2)/12-55</f>
        <v>-47.20975</v>
      </c>
      <c r="N370" s="45">
        <f>('[2]Renewable Diesel'!C379*'[2]RD Feedstock Breakdown'!N$3*'[2]Feedstock Conversion Rates'!B$8)/12</f>
        <v>3.671875</v>
      </c>
      <c r="O370" s="45">
        <f>('[2]Renewable Diesel'!C379*'[2]RD Feedstock Breakdown'!O$3*'[2]Feedstock Conversion Rates'!B$7)/12+30</f>
        <v>41.999099999999999</v>
      </c>
      <c r="P370" s="45">
        <f>('[2]Renewable Diesel'!C379*'[2]RD Feedstock Breakdown'!P$3*'[2]Feedstock Conversion Rates'!B$3)/12+15+35</f>
        <v>60.447042500000002</v>
      </c>
      <c r="Q370" s="47">
        <f t="shared" si="322"/>
        <v>63.908267500000001</v>
      </c>
      <c r="R370" s="45">
        <f>('[2]Renewable Diesel'!D379*'[2]RD Feedstock Breakdown'!R$3*'[2]Feedstock Conversion Rates'!B$7)/12</f>
        <v>2.2999999999999998</v>
      </c>
      <c r="S370" s="47">
        <f t="shared" si="279"/>
        <v>2.2999999999999998</v>
      </c>
      <c r="T370" s="45">
        <f t="shared" si="323"/>
        <v>0.82499999999999929</v>
      </c>
      <c r="U370" s="45"/>
      <c r="V370" s="45">
        <f>('[2]Renewable Diesel'!E379*'[2]RD Feedstock Breakdown'!V$3*'[2]Feedstock Conversion Rates'!B$6)/12-20+25</f>
        <v>49.250150000000012</v>
      </c>
      <c r="W370" s="45">
        <f>('[2]Renewable Diesel'!E379*'[2]RD Feedstock Breakdown'!W$3*'[2]Feedstock Conversion Rates'!B$8)/12-6</f>
        <v>16.1796875</v>
      </c>
      <c r="X370" s="47">
        <f t="shared" si="301"/>
        <v>66.254837500000008</v>
      </c>
      <c r="Y370" s="45">
        <f t="shared" si="324"/>
        <v>98</v>
      </c>
      <c r="Z370" s="45">
        <f>('[2]Renewable Diesel'!F379*'[2]RD Feedstock Breakdown'!Z$3*'[2]Feedstock Conversion Rates'!B$6)/12-142+15+5+20+5+15</f>
        <v>77.460000000000008</v>
      </c>
      <c r="AA370" s="45">
        <f>('[2]Renewable Diesel'!F379*'[2]RD Feedstock Breakdown'!AA$3*'[2]Feedstock Conversion Rates'!B$7)/12+24</f>
        <v>128.26666666666665</v>
      </c>
      <c r="AB370" s="47">
        <f t="shared" si="270"/>
        <v>303.72666666666669</v>
      </c>
      <c r="AC370" s="45">
        <f>('[2]Renewable Diesel'!G379*'[2]RD Feedstock Breakdown'!AC$3*'[2]Feedstock Conversion Rates'!B$5)/12</f>
        <v>11.796875</v>
      </c>
      <c r="AD370" s="45">
        <f>('[2]Renewable Diesel'!G379*'[2]RD Feedstock Breakdown'!AD$3*'[2]Feedstock Conversion Rates'!B$4)/12</f>
        <v>5.859375</v>
      </c>
      <c r="AE370" s="45">
        <f>('[2]Renewable Diesel'!G379*'[2]RD Feedstock Breakdown'!AE$3*'[2]Feedstock Conversion Rates'!B$6)/12</f>
        <v>7.3281250000000009</v>
      </c>
      <c r="AF370" s="47">
        <f t="shared" si="310"/>
        <v>24.984375</v>
      </c>
      <c r="AG370" s="45">
        <f t="shared" si="326"/>
        <v>148</v>
      </c>
      <c r="AH370" s="45"/>
      <c r="AI370" s="45">
        <f>('[2]Renewable Diesel'!H379*'[2]RD Feedstock Breakdown'!AI$3*'[2]Feedstock Conversion Rates'!B$6)/12-130-20+51-49</f>
        <v>0.51666666666667993</v>
      </c>
      <c r="AJ370" s="47">
        <f t="shared" si="278"/>
        <v>148.51666666666668</v>
      </c>
      <c r="AK370" s="45">
        <f>('[2]Renewable Diesel'!J379*'[2]RD Feedstock Breakdown'!AK$3*'[2]Feedstock Conversion Rates'!B$4)/12</f>
        <v>95.8125</v>
      </c>
      <c r="AL370" s="47">
        <f t="shared" si="280"/>
        <v>95.8125</v>
      </c>
      <c r="AM370" s="45">
        <f>('[2]Renewable Diesel'!K379*'[2]RD Feedstock Breakdown'!AM$3*'[2]Feedstock Conversion Rates'!B$4)/12+5+15-10+10</f>
        <v>78.59375</v>
      </c>
      <c r="AN370" s="45">
        <f>('[2]Renewable Diesel'!K379*'[2]RD Feedstock Breakdown'!AN$3*'[2]Feedstock Conversion Rates'!B$6)/12-5-15+10-10</f>
        <v>4.4270833333333321</v>
      </c>
      <c r="AO370" s="47">
        <f t="shared" si="295"/>
        <v>83.020833333333329</v>
      </c>
      <c r="AP370" s="45">
        <f>('[2]Renewable Diesel'!L379*'[2]RD Feedstock Breakdown'!AP$3*'[2]Feedstock Conversion Rates'!B$4)/12+15-10+15</f>
        <v>78.59375</v>
      </c>
      <c r="AQ370" s="45">
        <f>('[2]Renewable Diesel'!L379*'[2]RD Feedstock Breakdown'!AQ$3*'[2]Feedstock Conversion Rates'!B$6)/12-15+10-15</f>
        <v>4.4270833333333321</v>
      </c>
      <c r="AR370" s="47">
        <f t="shared" si="285"/>
        <v>83.020833333333329</v>
      </c>
      <c r="AS370" s="45">
        <f>('[2]Renewable Diesel'!M379*'[2]RD Feedstock Breakdown'!AS$3*'[2]Feedstock Conversion Rates'!B$4)/12</f>
        <v>456.25</v>
      </c>
      <c r="AT370" s="45">
        <f>('[2]Renewable Diesel'!M379*'[2]RD Feedstock Breakdown'!AT$3*'[2]Feedstock Conversion Rates'!B$5)/12</f>
        <v>0</v>
      </c>
      <c r="AU370" s="47">
        <f t="shared" si="313"/>
        <v>456.25</v>
      </c>
      <c r="AV370" s="45">
        <f>'[2]Renewable Diesel'!N379*'[2]RD Feedstock Breakdown'!$AV$3*'[2]Feedstock Conversion Rates'!$B$4/12-15-10+25+25-22+25</f>
        <v>106.74999999999999</v>
      </c>
      <c r="AW370" s="45">
        <f>'[2]Renewable Diesel'!N379*'[2]RD Feedstock Breakdown'!$AW$3*'[2]Feedstock Conversion Rates'!$B$7/12+15+10-25-25+22-25</f>
        <v>13.400000000000006</v>
      </c>
      <c r="AX370" s="47">
        <f t="shared" si="272"/>
        <v>120.14999999999999</v>
      </c>
      <c r="AY370" s="45">
        <f>('[2]Renewable Diesel'!O379*'[2]RD Feedstock Breakdown'!AY$3*'[2]Feedstock Conversion Rates'!B$4)/12</f>
        <v>210.9375</v>
      </c>
      <c r="AZ370" s="45">
        <f>('[2]Renewable Diesel'!O379*'[2]RD Feedstock Breakdown'!AZ$3*'[2]Feedstock Conversion Rates'!B$3)/12</f>
        <v>25.03125</v>
      </c>
      <c r="BA370" s="47">
        <f t="shared" si="325"/>
        <v>235.96875</v>
      </c>
      <c r="BB370" s="45">
        <f>('[2]Renewable Diesel'!Q379*'[2]RD Feedstock Breakdown'!BB$3*'[2]Feedstock Conversion Rates'!B$4)/12</f>
        <v>11.156249999999998</v>
      </c>
      <c r="BC370" s="45">
        <f>('[2]Renewable Diesel'!Q379*'[2]RD Feedstock Breakdown'!BC$3*'[2]Feedstock Conversion Rates'!B$3)/12</f>
        <v>1.4017500000000001</v>
      </c>
      <c r="BD370" s="45">
        <f>('[2]Renewable Diesel'!Q379*'[2]RD Feedstock Breakdown'!BD$3*'[2]Feedstock Conversion Rates'!B$6)/12</f>
        <v>0.8207500000000002</v>
      </c>
      <c r="BE370" s="47">
        <f t="shared" si="303"/>
        <v>13.378749999999998</v>
      </c>
      <c r="BF370" s="45">
        <f>('[2]Renewable Diesel'!R379*'[2]RD Feedstock Breakdown'!BF$3*'[2]Feedstock Conversion Rates'!B$4)/12</f>
        <v>62.5</v>
      </c>
      <c r="BG370" s="47">
        <f t="shared" si="289"/>
        <v>62.5</v>
      </c>
      <c r="BH370" s="45">
        <f>('[2]Renewable Diesel'!T379*'[2]RD Feedstock Breakdown'!BH$3*'[2]Feedstock Conversion Rates'!B$7)/12</f>
        <v>27.599999999999998</v>
      </c>
      <c r="BI370" s="47">
        <f t="shared" si="277"/>
        <v>27.599999999999998</v>
      </c>
      <c r="BJ370" s="45">
        <f>('[2]Renewable Diesel'!W379*'[2]RD Feedstock Breakdown'!BJ$3*'[2]Feedstock Conversion Rates'!B$4)/12</f>
        <v>7.5</v>
      </c>
      <c r="BK370" s="45">
        <f>('[2]Renewable Diesel'!W379*'[2]RD Feedstock Breakdown'!BK$3*'[2]Feedstock Conversion Rates'!B$3)/12</f>
        <v>1.335</v>
      </c>
      <c r="BL370" s="45">
        <f>('[2]Renewable Diesel'!W379*'[2]RD Feedstock Breakdown'!BL$3*'[2]Feedstock Conversion Rates'!B$6)/12</f>
        <v>3.1266666666666669</v>
      </c>
      <c r="BM370" s="45">
        <f>('[2]Renewable Diesel'!W379*'[2]RD Feedstock Breakdown'!BM$3*'[2]Feedstock Conversion Rates'!B$7)/12</f>
        <v>1.5333333333333332</v>
      </c>
      <c r="BN370" s="47">
        <f t="shared" si="316"/>
        <v>13.495000000000001</v>
      </c>
      <c r="BO370" s="45">
        <f>('[2]Renewable Diesel'!P379*'[2]Feedstock Conversion Rates'!B$4)/12</f>
        <v>31.25</v>
      </c>
      <c r="BP370" s="47">
        <f t="shared" si="311"/>
        <v>31.25</v>
      </c>
      <c r="BQ370" s="45">
        <f>('[2]Renewable Diesel'!$S379*'[2]RD Feedstock Breakdown'!BQ$3*'[2]Feedstock Conversion Rates'!B$4)/12+10+15-15</f>
        <v>38.125</v>
      </c>
      <c r="BR370" s="45">
        <f>('[2]Renewable Diesel'!$S379*'[2]RD Feedstock Breakdown'!BR$3*'[2]Feedstock Conversion Rates'!B$7)/12-10-15+15</f>
        <v>1.5</v>
      </c>
      <c r="BS370" s="47">
        <f t="shared" si="328"/>
        <v>39.625</v>
      </c>
      <c r="BT370" s="47"/>
      <c r="BU370" s="45">
        <f>('[2]Renewable Diesel'!Y379*'[2]Feedstock Conversion Rates'!B$7)/12</f>
        <v>2.6833333333333331</v>
      </c>
      <c r="BV370" s="47">
        <f t="shared" si="305"/>
        <v>2.6833333333333331</v>
      </c>
      <c r="BW370" s="45">
        <f>('[2]Renewable Diesel'!$Z379*'[2]RD Feedstock Breakdown'!BW$3*'[2]Feedstock Conversion Rates'!$B$4)/12-250+180</f>
        <v>1.875</v>
      </c>
      <c r="BX370" s="45">
        <f>('[2]Renewable Diesel'!$Z379*'[2]RD Feedstock Breakdown'!BX$3*'[2]Feedstock Conversion Rates'!$B$5)/12</f>
        <v>7.2354166666666666</v>
      </c>
      <c r="BY370" s="45">
        <f>('[2]Renewable Diesel'!$Z379*'[2]RD Feedstock Breakdown'!BY$3*'[2]Feedstock Conversion Rates'!$B$7)/12</f>
        <v>61.716666666666661</v>
      </c>
      <c r="BZ370" s="45">
        <f>('[2]Renewable Diesel'!$Z379*'[2]RD Feedstock Breakdown'!BZ$3*'[2]Feedstock Conversion Rates'!$B$3)/12+250-180</f>
        <v>85.35250000000002</v>
      </c>
      <c r="CA370" s="47">
        <f t="shared" si="329"/>
        <v>156.17958333333334</v>
      </c>
      <c r="CB370" s="45">
        <f>('[2]Renewable Diesel'!AA379*'[2]Feedstock Conversion Rates'!B$4)/12</f>
        <v>191.25</v>
      </c>
      <c r="CC370" s="47">
        <f t="shared" si="318"/>
        <v>191.25</v>
      </c>
      <c r="CD370" s="45">
        <f>('[2]Renewable Diesel'!$AB379*'[2]RD Feedstock Breakdown'!CD$3*'[2]Feedstock Conversion Rates'!$B$6)/12-15-5</f>
        <v>12.830000000000005</v>
      </c>
      <c r="CE370" s="45">
        <f>('[2]Renewable Diesel'!$AB379*'[2]RD Feedstock Breakdown'!CE$3*'[2]Feedstock Conversion Rates'!$B$4)/12+15+5</f>
        <v>31.25</v>
      </c>
      <c r="CF370" s="47">
        <f t="shared" si="315"/>
        <v>44.080000000000005</v>
      </c>
      <c r="CG370" s="45">
        <f>('[2]Renewable Diesel'!AD379*'[2]Feedstock Conversion Rates'!B$4)/12</f>
        <v>112.5</v>
      </c>
      <c r="CH370" s="47">
        <f t="shared" si="302"/>
        <v>112.5</v>
      </c>
      <c r="CI370" s="45">
        <f>('[2]Renewable Diesel'!$AE379*'[2]RD Feedstock Breakdown'!CI$3*'[2]Feedstock Conversion Rates'!$B$5)/12</f>
        <v>0.34604166666666664</v>
      </c>
      <c r="CJ370" s="45">
        <f>('[2]Renewable Diesel'!$AE379*'[2]RD Feedstock Breakdown'!CJ$3*'[2]Feedstock Conversion Rates'!$B$4)/12</f>
        <v>0.34375</v>
      </c>
      <c r="CK370" s="47">
        <f t="shared" si="312"/>
        <v>0.68979166666666658</v>
      </c>
      <c r="CL370" s="45">
        <f>(((CL$3*'[2]Renewable Diesel'!$AF379)*'[2]Feedstock Conversion Rates'!$B$3)/12)</f>
        <v>91.78125</v>
      </c>
      <c r="CM370" s="45">
        <f>(((CM$3*'[2]Renewable Diesel'!$AF379)*'[2]Feedstock Conversion Rates'!$B$6)/12)</f>
        <v>53.739583333333336</v>
      </c>
      <c r="CN370" s="45">
        <f>(((CN$3*'[2]Renewable Diesel'!$AF379)*'[2]Feedstock Conversion Rates'!$B$4)/12)</f>
        <v>42.96875</v>
      </c>
      <c r="CO370" s="47">
        <f t="shared" si="304"/>
        <v>188.48958333333334</v>
      </c>
      <c r="CP370" s="45">
        <f>('[2]Renewable Diesel'!$AG379*'[2]RD Feedstock Breakdown'!CP$3*'[2]Feedstock Conversion Rates'!$B$3)/12</f>
        <v>6.0075000000000003</v>
      </c>
      <c r="CQ370" s="45">
        <f>('[2]Renewable Diesel'!$AG379*'[2]RD Feedstock Breakdown'!CQ$3*'[2]Feedstock Conversion Rates'!$B$6)/12</f>
        <v>3.5175000000000001</v>
      </c>
      <c r="CR370" s="45">
        <f>('[2]Renewable Diesel'!$AG379*'[2]RD Feedstock Breakdown'!CR$3*'[2]Feedstock Conversion Rates'!$B$4)/12</f>
        <v>2.8125</v>
      </c>
      <c r="CS370" s="47">
        <f t="shared" si="333"/>
        <v>12.3375</v>
      </c>
      <c r="CT370" s="45">
        <f>('[2]Renewable Diesel'!AI379*'[2]Feedstock Conversion Rates'!$B$4*'[2]RD Feedstock Breakdown'!$CT$3)/12</f>
        <v>29.375</v>
      </c>
      <c r="CU370" s="47">
        <f t="shared" si="308"/>
        <v>29.375</v>
      </c>
      <c r="CV370" s="45">
        <f>('[2]Renewable Diesel'!AN379*'[2]Feedstock Conversion Rates'!$B$3*'[2]RD Feedstock Breakdown'!$CV$3)/12</f>
        <v>0.50062499999999999</v>
      </c>
      <c r="CW370" s="47">
        <f t="shared" si="284"/>
        <v>0.50062499999999999</v>
      </c>
      <c r="CX370" s="45">
        <f>('[2]Renewable Diesel'!AO379*'[2]RD Feedstock Breakdown'!$CX$3*'[2]Feedstock Conversion Rates'!$B$3)/12</f>
        <v>6.3412499999999996</v>
      </c>
      <c r="CY370" s="45">
        <f>('[2]Renewable Diesel'!AO379*'[2]RD Feedstock Breakdown'!$CY$3*'[2]Feedstock Conversion Rates'!$B$6)/12</f>
        <v>7.4258333333333342</v>
      </c>
      <c r="CZ370" s="47">
        <f t="shared" ref="CZ370:CZ375" si="334">CY370+CX370</f>
        <v>13.767083333333334</v>
      </c>
      <c r="DA370" s="45">
        <f>('[2]Renewable Diesel'!$AP379*'[2]RD Feedstock Breakdown'!DA$3*'[2]Feedstock Conversion Rates'!$B$3)/12</f>
        <v>6.3412499999999996</v>
      </c>
      <c r="DB370" s="45">
        <f>('[2]Renewable Diesel'!$AP379*'[2]RD Feedstock Breakdown'!DB$3*'[2]Feedstock Conversion Rates'!$B$8)/12</f>
        <v>7.421875</v>
      </c>
      <c r="DC370" s="47">
        <f t="shared" si="287"/>
        <v>13.763124999999999</v>
      </c>
      <c r="DD370" s="45">
        <f>('[2]Renewable Diesel'!AQ379*$DD$3*'[2]Feedstock Conversion Rates'!$B$14)/12</f>
        <v>3.1041666666666665</v>
      </c>
      <c r="DE370" s="47">
        <f t="shared" si="288"/>
        <v>3.1041666666666665</v>
      </c>
      <c r="DF370" s="45">
        <f>('[2]Renewable Diesel'!AR379*'[2]Feedstock Conversion Rates'!$B$4*$DF$3)/12</f>
        <v>75</v>
      </c>
      <c r="DG370" s="47">
        <f t="shared" ref="DG370:DG375" si="335">DF370</f>
        <v>75</v>
      </c>
      <c r="DH370" s="45">
        <f>('[2]Renewable Diesel'!AS379*'[2]Feedstock Conversion Rates'!$B$4*$DH$3)/12</f>
        <v>75</v>
      </c>
      <c r="DI370" s="47">
        <f t="shared" si="273"/>
        <v>75</v>
      </c>
      <c r="DJ370" s="45">
        <f>('[2]Renewable Diesel'!AT379*'[2]Feedstock Conversion Rates'!$B$4*0.25)/12</f>
        <v>8.59375</v>
      </c>
      <c r="DK370" s="45">
        <f>('[2]Renewable Diesel'!$AT379*'[2]RD Feedstock Breakdown'!DK$3*'[2]Feedstock Conversion Rates'!$B$3)/12*0.5</f>
        <v>9.1781249999999996</v>
      </c>
      <c r="DL370" s="45">
        <f>('[2]Renewable Diesel'!$AT379*'[2]RD Feedstock Breakdown'!$DL$3*'[2]Feedstock Conversion Rates'!$B$6)/12</f>
        <v>10.747916666666669</v>
      </c>
      <c r="DM370" s="45">
        <f>('[2]Renewable Diesel'!$AT379*'[2]RD Feedstock Breakdown'!$DM$3*'[2]Feedstock Conversion Rates'!$B$8)/12</f>
        <v>10.7421875</v>
      </c>
      <c r="DN370" s="47">
        <f t="shared" si="317"/>
        <v>39.26197916666667</v>
      </c>
      <c r="DP370" s="45">
        <f t="shared" si="290"/>
        <v>48.220250000000007</v>
      </c>
      <c r="DQ370" s="45">
        <f t="shared" si="291"/>
        <v>399.11776750000007</v>
      </c>
      <c r="DR370" s="45">
        <f t="shared" si="296"/>
        <v>1891.953125</v>
      </c>
      <c r="DS370" s="45">
        <f t="shared" si="309"/>
        <v>228.90125</v>
      </c>
      <c r="DT370" s="45">
        <f t="shared" si="292"/>
        <v>243.03923333333344</v>
      </c>
      <c r="DU370" s="45">
        <f t="shared" si="293"/>
        <v>432.90610000000009</v>
      </c>
      <c r="DV370" s="45">
        <f t="shared" si="297"/>
        <v>78.75</v>
      </c>
      <c r="DW370" s="45">
        <f t="shared" si="294"/>
        <v>3</v>
      </c>
      <c r="DX370" s="47">
        <f t="shared" si="298"/>
        <v>3325.8877258333337</v>
      </c>
      <c r="DY370" s="50">
        <f t="shared" si="286"/>
        <v>-5.631051180898794E-13</v>
      </c>
      <c r="EA370" s="51">
        <f t="shared" si="330"/>
        <v>1.4498459952648568E-2</v>
      </c>
      <c r="EB370" s="51">
        <f t="shared" si="330"/>
        <v>0.1200033796691069</v>
      </c>
      <c r="EC370" s="51">
        <f t="shared" si="330"/>
        <v>0.56885658235079262</v>
      </c>
      <c r="ED370" s="51">
        <f t="shared" si="330"/>
        <v>6.882410618435611E-2</v>
      </c>
      <c r="EE370" s="51">
        <f t="shared" si="330"/>
        <v>7.3074996322203753E-2</v>
      </c>
      <c r="EF370" s="51">
        <f t="shared" si="330"/>
        <v>0.13016257182630278</v>
      </c>
      <c r="EG370" s="51">
        <f t="shared" si="327"/>
        <v>2.3677888880108969E-2</v>
      </c>
      <c r="EH370" s="52">
        <f t="shared" si="299"/>
        <v>9.0201481448034171E-4</v>
      </c>
      <c r="EI370" s="51">
        <f t="shared" si="271"/>
        <v>0.99909798518551962</v>
      </c>
      <c r="EK370" s="53">
        <f>(EA370*'[2]Renewable Diesel'!BF379*'[2]Feedstock Conversion Rates'!B$2)+FB370</f>
        <v>105.51761417803624</v>
      </c>
      <c r="EL370" s="53">
        <f>(EB370*'[2]Renewable Diesel'!BF379*'[2]Feedstock Conversion Rates'!B$3)+FC370</f>
        <v>823.01956096023855</v>
      </c>
      <c r="EM370" s="53">
        <f>(EC370*'[2]Renewable Diesel'!BF379*'[2]Feedstock Conversion Rates'!B$4)+FD370</f>
        <v>3652.9877437996047</v>
      </c>
      <c r="EN370" s="53">
        <f>(ED370*'[2]Renewable Diesel'!BF379*'[2]Feedstock Conversion Rates'!B$5)+FE370</f>
        <v>444.90951673499416</v>
      </c>
      <c r="EO370" s="53">
        <f>(EE370*'[2]Renewable Diesel'!BF379*'[2]Feedstock Conversion Rates'!B$6)+FF370</f>
        <v>586.88877682781856</v>
      </c>
      <c r="EP370" s="53">
        <f>(EF370*'[2]Renewable Diesel'!BF379*'[2]Feedstock Conversion Rates'!B$7)+FG370</f>
        <v>1025.3168919040031</v>
      </c>
      <c r="EQ370" s="53">
        <f>(EG370*'[2]Renewable Diesel'!BF379*'[2]Feedstock Conversion Rates'!B$8)+FH370</f>
        <v>190.06336694006285</v>
      </c>
      <c r="ER370" s="53">
        <f>(EH370*'[2]Renewable Diesel'!BF379*'[2]Feedstock Conversion Rates'!B$9)+FI370</f>
        <v>7.1439690938741078</v>
      </c>
      <c r="ES370" s="53">
        <f t="shared" si="300"/>
        <v>6835.8474404386316</v>
      </c>
      <c r="ET370" s="36">
        <f>ES370/'[2]Renewable Diesel'!BF379</f>
        <v>7.9837733216591129</v>
      </c>
    </row>
    <row r="371" spans="1:150" x14ac:dyDescent="0.25">
      <c r="A371" s="39">
        <v>51714</v>
      </c>
      <c r="B371" s="45">
        <f t="shared" si="331"/>
        <v>44.25</v>
      </c>
      <c r="C371" s="45">
        <f t="shared" si="321"/>
        <v>49</v>
      </c>
      <c r="D371" s="45">
        <f t="shared" si="332"/>
        <v>2</v>
      </c>
      <c r="E371" s="45">
        <f>('[2]Renewable Diesel'!B380*E$3*'[2]Feedstock Conversion Rates'!$B$2)/12+26+13-100+27.5+39</f>
        <v>95.43</v>
      </c>
      <c r="F371" s="45">
        <f>('[2]Renewable Diesel'!B380*'[2]RD Feedstock Breakdown'!F$3*'[2]Feedstock Conversion Rates'!B$8)/12+77+23-10-12-115.75+24+8</f>
        <v>48.15625</v>
      </c>
      <c r="G371" s="45">
        <f>('[2]Renewable Diesel'!B380*'[2]RD Feedstock Breakdown'!G$3*'[2]Feedstock Conversion Rates'!B$7)/12+116.75-39-57.5-145-31.5+32+70-40+10+60</f>
        <v>151.90700000000004</v>
      </c>
      <c r="H371" s="45">
        <f>('[2]Renewable Diesel'!B380*'[2]RD Feedstock Breakdown'!H$3*'[2]Feedstock Conversion Rates'!B$3)/12+67+10+12+3-235+20+47-20+25</f>
        <v>105.40022499999998</v>
      </c>
      <c r="I371" s="47">
        <f t="shared" si="314"/>
        <v>496.14347500000002</v>
      </c>
      <c r="J371" s="45">
        <f t="shared" si="281"/>
        <v>4</v>
      </c>
      <c r="K371" s="45"/>
      <c r="L371" s="45">
        <v>1</v>
      </c>
      <c r="M371" s="45">
        <f>('[2]Renewable Diesel'!C380*'[2]RD Feedstock Breakdown'!M$3*'[2]Feedstock Conversion Rates'!B$2)/12-55</f>
        <v>-47.20975</v>
      </c>
      <c r="N371" s="45">
        <f>('[2]Renewable Diesel'!C380*'[2]RD Feedstock Breakdown'!N$3*'[2]Feedstock Conversion Rates'!B$8)/12</f>
        <v>3.671875</v>
      </c>
      <c r="O371" s="45">
        <f>('[2]Renewable Diesel'!C380*'[2]RD Feedstock Breakdown'!O$3*'[2]Feedstock Conversion Rates'!B$7)/12+30</f>
        <v>41.999099999999999</v>
      </c>
      <c r="P371" s="45">
        <f>('[2]Renewable Diesel'!C380*'[2]RD Feedstock Breakdown'!P$3*'[2]Feedstock Conversion Rates'!B$3)/12+15+35</f>
        <v>60.447042500000002</v>
      </c>
      <c r="Q371" s="47">
        <f t="shared" si="322"/>
        <v>63.908267500000001</v>
      </c>
      <c r="R371" s="45">
        <f>('[2]Renewable Diesel'!D380*'[2]RD Feedstock Breakdown'!R$3*'[2]Feedstock Conversion Rates'!B$7)/12</f>
        <v>2.2999999999999998</v>
      </c>
      <c r="S371" s="47">
        <f t="shared" si="279"/>
        <v>2.2999999999999998</v>
      </c>
      <c r="T371" s="45">
        <f t="shared" si="323"/>
        <v>0.82499999999999929</v>
      </c>
      <c r="U371" s="45"/>
      <c r="V371" s="45">
        <f>('[2]Renewable Diesel'!E380*'[2]RD Feedstock Breakdown'!V$3*'[2]Feedstock Conversion Rates'!B$6)/12-20+25</f>
        <v>49.250150000000012</v>
      </c>
      <c r="W371" s="45">
        <f>('[2]Renewable Diesel'!E380*'[2]RD Feedstock Breakdown'!W$3*'[2]Feedstock Conversion Rates'!B$8)/12-6</f>
        <v>16.1796875</v>
      </c>
      <c r="X371" s="47">
        <f t="shared" si="301"/>
        <v>66.254837500000008</v>
      </c>
      <c r="Y371" s="45">
        <f t="shared" si="324"/>
        <v>98</v>
      </c>
      <c r="Z371" s="45">
        <f>('[2]Renewable Diesel'!F380*'[2]RD Feedstock Breakdown'!Z$3*'[2]Feedstock Conversion Rates'!B$6)/12-142+15+5+20+5+15</f>
        <v>77.460000000000008</v>
      </c>
      <c r="AA371" s="45">
        <f>('[2]Renewable Diesel'!F380*'[2]RD Feedstock Breakdown'!AA$3*'[2]Feedstock Conversion Rates'!B$7)/12+24</f>
        <v>128.26666666666665</v>
      </c>
      <c r="AB371" s="47">
        <f t="shared" ref="AB371:AB375" si="336">SUM(Y371:AA371)</f>
        <v>303.72666666666669</v>
      </c>
      <c r="AC371" s="45">
        <f>('[2]Renewable Diesel'!G380*'[2]RD Feedstock Breakdown'!AC$3*'[2]Feedstock Conversion Rates'!B$5)/12</f>
        <v>11.796875</v>
      </c>
      <c r="AD371" s="45">
        <f>('[2]Renewable Diesel'!G380*'[2]RD Feedstock Breakdown'!AD$3*'[2]Feedstock Conversion Rates'!B$4)/12</f>
        <v>5.859375</v>
      </c>
      <c r="AE371" s="45">
        <f>('[2]Renewable Diesel'!G380*'[2]RD Feedstock Breakdown'!AE$3*'[2]Feedstock Conversion Rates'!B$6)/12</f>
        <v>7.3281250000000009</v>
      </c>
      <c r="AF371" s="47">
        <f t="shared" si="310"/>
        <v>24.984375</v>
      </c>
      <c r="AG371" s="45">
        <f t="shared" si="326"/>
        <v>148</v>
      </c>
      <c r="AH371" s="45"/>
      <c r="AI371" s="45">
        <f>('[2]Renewable Diesel'!H380*'[2]RD Feedstock Breakdown'!AI$3*'[2]Feedstock Conversion Rates'!B$6)/12-130-20+51-49</f>
        <v>0.51666666666667993</v>
      </c>
      <c r="AJ371" s="47">
        <f t="shared" si="278"/>
        <v>148.51666666666668</v>
      </c>
      <c r="AK371" s="45">
        <f>('[2]Renewable Diesel'!J380*'[2]RD Feedstock Breakdown'!AK$3*'[2]Feedstock Conversion Rates'!B$4)/12</f>
        <v>95.8125</v>
      </c>
      <c r="AL371" s="47">
        <f t="shared" si="280"/>
        <v>95.8125</v>
      </c>
      <c r="AM371" s="45">
        <f>('[2]Renewable Diesel'!K380*'[2]RD Feedstock Breakdown'!AM$3*'[2]Feedstock Conversion Rates'!B$4)/12+5+15-10+10</f>
        <v>78.59375</v>
      </c>
      <c r="AN371" s="45">
        <f>('[2]Renewable Diesel'!K380*'[2]RD Feedstock Breakdown'!AN$3*'[2]Feedstock Conversion Rates'!B$6)/12-5-15+10-10</f>
        <v>4.4270833333333321</v>
      </c>
      <c r="AO371" s="47">
        <f t="shared" si="295"/>
        <v>83.020833333333329</v>
      </c>
      <c r="AP371" s="45">
        <f>('[2]Renewable Diesel'!L380*'[2]RD Feedstock Breakdown'!AP$3*'[2]Feedstock Conversion Rates'!B$4)/12+15-10+15</f>
        <v>78.59375</v>
      </c>
      <c r="AQ371" s="45">
        <f>('[2]Renewable Diesel'!L380*'[2]RD Feedstock Breakdown'!AQ$3*'[2]Feedstock Conversion Rates'!B$6)/12-15+10-15</f>
        <v>4.4270833333333321</v>
      </c>
      <c r="AR371" s="47">
        <f t="shared" si="285"/>
        <v>83.020833333333329</v>
      </c>
      <c r="AS371" s="45">
        <f>('[2]Renewable Diesel'!M380*'[2]RD Feedstock Breakdown'!AS$3*'[2]Feedstock Conversion Rates'!B$4)/12</f>
        <v>456.25</v>
      </c>
      <c r="AT371" s="45">
        <f>('[2]Renewable Diesel'!M380*'[2]RD Feedstock Breakdown'!AT$3*'[2]Feedstock Conversion Rates'!B$5)/12</f>
        <v>0</v>
      </c>
      <c r="AU371" s="47">
        <f t="shared" si="313"/>
        <v>456.25</v>
      </c>
      <c r="AV371" s="45">
        <f>'[2]Renewable Diesel'!N380*'[2]RD Feedstock Breakdown'!$AV$3*'[2]Feedstock Conversion Rates'!$B$4/12-15-10+25+25-22+25</f>
        <v>106.74999999999999</v>
      </c>
      <c r="AW371" s="45">
        <f>'[2]Renewable Diesel'!N380*'[2]RD Feedstock Breakdown'!$AW$3*'[2]Feedstock Conversion Rates'!$B$7/12+15+10-25-25+22-25</f>
        <v>13.400000000000006</v>
      </c>
      <c r="AX371" s="47">
        <f t="shared" si="272"/>
        <v>120.14999999999999</v>
      </c>
      <c r="AY371" s="45">
        <f>('[2]Renewable Diesel'!O380*'[2]RD Feedstock Breakdown'!AY$3*'[2]Feedstock Conversion Rates'!B$4)/12</f>
        <v>210.9375</v>
      </c>
      <c r="AZ371" s="45">
        <f>('[2]Renewable Diesel'!O380*'[2]RD Feedstock Breakdown'!AZ$3*'[2]Feedstock Conversion Rates'!B$3)/12</f>
        <v>25.03125</v>
      </c>
      <c r="BA371" s="47">
        <f t="shared" si="325"/>
        <v>235.96875</v>
      </c>
      <c r="BB371" s="45">
        <f>('[2]Renewable Diesel'!Q380*'[2]RD Feedstock Breakdown'!BB$3*'[2]Feedstock Conversion Rates'!B$4)/12</f>
        <v>11.156249999999998</v>
      </c>
      <c r="BC371" s="45">
        <f>('[2]Renewable Diesel'!Q380*'[2]RD Feedstock Breakdown'!BC$3*'[2]Feedstock Conversion Rates'!B$3)/12</f>
        <v>1.4017500000000001</v>
      </c>
      <c r="BD371" s="45">
        <f>('[2]Renewable Diesel'!Q380*'[2]RD Feedstock Breakdown'!BD$3*'[2]Feedstock Conversion Rates'!B$6)/12</f>
        <v>0.8207500000000002</v>
      </c>
      <c r="BE371" s="47">
        <f t="shared" si="303"/>
        <v>13.378749999999998</v>
      </c>
      <c r="BF371" s="45">
        <f>('[2]Renewable Diesel'!R380*'[2]RD Feedstock Breakdown'!BF$3*'[2]Feedstock Conversion Rates'!B$4)/12</f>
        <v>62.5</v>
      </c>
      <c r="BG371" s="47">
        <f t="shared" si="289"/>
        <v>62.5</v>
      </c>
      <c r="BH371" s="45">
        <f>('[2]Renewable Diesel'!T380*'[2]RD Feedstock Breakdown'!BH$3*'[2]Feedstock Conversion Rates'!B$7)/12</f>
        <v>27.599999999999998</v>
      </c>
      <c r="BI371" s="47">
        <f t="shared" si="277"/>
        <v>27.599999999999998</v>
      </c>
      <c r="BJ371" s="45">
        <f>('[2]Renewable Diesel'!W380*'[2]RD Feedstock Breakdown'!BJ$3*'[2]Feedstock Conversion Rates'!B$4)/12</f>
        <v>7.5</v>
      </c>
      <c r="BK371" s="45">
        <f>('[2]Renewable Diesel'!W380*'[2]RD Feedstock Breakdown'!BK$3*'[2]Feedstock Conversion Rates'!B$3)/12</f>
        <v>1.335</v>
      </c>
      <c r="BL371" s="45">
        <f>('[2]Renewable Diesel'!W380*'[2]RD Feedstock Breakdown'!BL$3*'[2]Feedstock Conversion Rates'!B$6)/12</f>
        <v>3.1266666666666669</v>
      </c>
      <c r="BM371" s="45">
        <f>('[2]Renewable Diesel'!W380*'[2]RD Feedstock Breakdown'!BM$3*'[2]Feedstock Conversion Rates'!B$7)/12</f>
        <v>1.5333333333333332</v>
      </c>
      <c r="BN371" s="47">
        <f t="shared" si="316"/>
        <v>13.495000000000001</v>
      </c>
      <c r="BO371" s="45">
        <f>('[2]Renewable Diesel'!P380*'[2]Feedstock Conversion Rates'!B$4)/12</f>
        <v>31.25</v>
      </c>
      <c r="BP371" s="47">
        <f t="shared" si="311"/>
        <v>31.25</v>
      </c>
      <c r="BQ371" s="45">
        <f>('[2]Renewable Diesel'!$S380*'[2]RD Feedstock Breakdown'!BQ$3*'[2]Feedstock Conversion Rates'!B$4)/12+10+15-15</f>
        <v>38.125</v>
      </c>
      <c r="BR371" s="45">
        <f>('[2]Renewable Diesel'!$S380*'[2]RD Feedstock Breakdown'!BR$3*'[2]Feedstock Conversion Rates'!B$7)/12-10-15+15</f>
        <v>1.5</v>
      </c>
      <c r="BS371" s="47">
        <f t="shared" si="328"/>
        <v>39.625</v>
      </c>
      <c r="BT371" s="47"/>
      <c r="BU371" s="45">
        <f>('[2]Renewable Diesel'!Y380*'[2]Feedstock Conversion Rates'!B$7)/12</f>
        <v>2.6833333333333331</v>
      </c>
      <c r="BV371" s="47">
        <f t="shared" si="305"/>
        <v>2.6833333333333331</v>
      </c>
      <c r="BW371" s="45">
        <f>('[2]Renewable Diesel'!$Z380*'[2]RD Feedstock Breakdown'!BW$3*'[2]Feedstock Conversion Rates'!$B$4)/12-250+180</f>
        <v>1.875</v>
      </c>
      <c r="BX371" s="45">
        <f>('[2]Renewable Diesel'!$Z380*'[2]RD Feedstock Breakdown'!BX$3*'[2]Feedstock Conversion Rates'!$B$5)/12</f>
        <v>7.2354166666666666</v>
      </c>
      <c r="BY371" s="45">
        <f>('[2]Renewable Diesel'!$Z380*'[2]RD Feedstock Breakdown'!BY$3*'[2]Feedstock Conversion Rates'!$B$7)/12</f>
        <v>61.716666666666661</v>
      </c>
      <c r="BZ371" s="45">
        <f>('[2]Renewable Diesel'!$Z380*'[2]RD Feedstock Breakdown'!BZ$3*'[2]Feedstock Conversion Rates'!$B$3)/12+250-180</f>
        <v>85.35250000000002</v>
      </c>
      <c r="CA371" s="47">
        <f t="shared" si="329"/>
        <v>156.17958333333334</v>
      </c>
      <c r="CB371" s="45">
        <f>('[2]Renewable Diesel'!AA380*'[2]Feedstock Conversion Rates'!B$4)/12</f>
        <v>191.25</v>
      </c>
      <c r="CC371" s="47">
        <f t="shared" si="318"/>
        <v>191.25</v>
      </c>
      <c r="CD371" s="45">
        <f>('[2]Renewable Diesel'!$AB380*'[2]RD Feedstock Breakdown'!CD$3*'[2]Feedstock Conversion Rates'!$B$6)/12-15-5</f>
        <v>12.830000000000005</v>
      </c>
      <c r="CE371" s="45">
        <f>('[2]Renewable Diesel'!$AB380*'[2]RD Feedstock Breakdown'!CE$3*'[2]Feedstock Conversion Rates'!$B$4)/12+15+5</f>
        <v>31.25</v>
      </c>
      <c r="CF371" s="47">
        <f t="shared" si="315"/>
        <v>44.080000000000005</v>
      </c>
      <c r="CG371" s="45">
        <f>('[2]Renewable Diesel'!AD380*'[2]Feedstock Conversion Rates'!B$4)/12</f>
        <v>112.5</v>
      </c>
      <c r="CH371" s="47">
        <f t="shared" si="302"/>
        <v>112.5</v>
      </c>
      <c r="CI371" s="45">
        <f>('[2]Renewable Diesel'!$AE380*'[2]RD Feedstock Breakdown'!CI$3*'[2]Feedstock Conversion Rates'!$B$5)/12</f>
        <v>0.34604166666666664</v>
      </c>
      <c r="CJ371" s="45">
        <f>('[2]Renewable Diesel'!$AE380*'[2]RD Feedstock Breakdown'!CJ$3*'[2]Feedstock Conversion Rates'!$B$4)/12</f>
        <v>0.34375</v>
      </c>
      <c r="CK371" s="47">
        <f t="shared" si="312"/>
        <v>0.68979166666666658</v>
      </c>
      <c r="CL371" s="45">
        <f>(((CL$3*'[2]Renewable Diesel'!$AF380)*'[2]Feedstock Conversion Rates'!$B$3)/12)</f>
        <v>91.78125</v>
      </c>
      <c r="CM371" s="45">
        <f>(((CM$3*'[2]Renewable Diesel'!$AF380)*'[2]Feedstock Conversion Rates'!$B$6)/12)</f>
        <v>53.739583333333336</v>
      </c>
      <c r="CN371" s="45">
        <f>(((CN$3*'[2]Renewable Diesel'!$AF380)*'[2]Feedstock Conversion Rates'!$B$4)/12)</f>
        <v>42.96875</v>
      </c>
      <c r="CO371" s="47">
        <f t="shared" si="304"/>
        <v>188.48958333333334</v>
      </c>
      <c r="CP371" s="45">
        <f>('[2]Renewable Diesel'!$AG380*'[2]RD Feedstock Breakdown'!CP$3*'[2]Feedstock Conversion Rates'!$B$3)/12</f>
        <v>6.0075000000000003</v>
      </c>
      <c r="CQ371" s="45">
        <f>('[2]Renewable Diesel'!$AG380*'[2]RD Feedstock Breakdown'!CQ$3*'[2]Feedstock Conversion Rates'!$B$6)/12</f>
        <v>3.5175000000000001</v>
      </c>
      <c r="CR371" s="45">
        <f>('[2]Renewable Diesel'!$AG380*'[2]RD Feedstock Breakdown'!CR$3*'[2]Feedstock Conversion Rates'!$B$4)/12</f>
        <v>2.8125</v>
      </c>
      <c r="CS371" s="47">
        <f t="shared" si="333"/>
        <v>12.3375</v>
      </c>
      <c r="CT371" s="45">
        <f>('[2]Renewable Diesel'!AI380*'[2]Feedstock Conversion Rates'!$B$4*'[2]RD Feedstock Breakdown'!$CT$3)/12</f>
        <v>29.375</v>
      </c>
      <c r="CU371" s="47">
        <f t="shared" si="308"/>
        <v>29.375</v>
      </c>
      <c r="CV371" s="45">
        <f>('[2]Renewable Diesel'!AN380*'[2]Feedstock Conversion Rates'!$B$3*'[2]RD Feedstock Breakdown'!$CV$3)/12</f>
        <v>0.50062499999999999</v>
      </c>
      <c r="CW371" s="47">
        <f t="shared" si="284"/>
        <v>0.50062499999999999</v>
      </c>
      <c r="CX371" s="45">
        <f>('[2]Renewable Diesel'!AO380*'[2]RD Feedstock Breakdown'!$CX$3*'[2]Feedstock Conversion Rates'!$B$3)/12</f>
        <v>6.3412499999999996</v>
      </c>
      <c r="CY371" s="45">
        <f>('[2]Renewable Diesel'!AO380*'[2]RD Feedstock Breakdown'!$CY$3*'[2]Feedstock Conversion Rates'!$B$6)/12</f>
        <v>7.4258333333333342</v>
      </c>
      <c r="CZ371" s="47">
        <f t="shared" si="334"/>
        <v>13.767083333333334</v>
      </c>
      <c r="DA371" s="45">
        <f>('[2]Renewable Diesel'!$AP380*'[2]RD Feedstock Breakdown'!DA$3*'[2]Feedstock Conversion Rates'!$B$3)/12</f>
        <v>6.3412499999999996</v>
      </c>
      <c r="DB371" s="45">
        <f>('[2]Renewable Diesel'!$AP380*'[2]RD Feedstock Breakdown'!DB$3*'[2]Feedstock Conversion Rates'!$B$8)/12</f>
        <v>7.421875</v>
      </c>
      <c r="DC371" s="47">
        <f t="shared" si="287"/>
        <v>13.763124999999999</v>
      </c>
      <c r="DD371" s="45">
        <f>('[2]Renewable Diesel'!AQ380*$DD$3*'[2]Feedstock Conversion Rates'!$B$14)/12</f>
        <v>3.1041666666666665</v>
      </c>
      <c r="DE371" s="47">
        <f t="shared" si="288"/>
        <v>3.1041666666666665</v>
      </c>
      <c r="DF371" s="45">
        <f>('[2]Renewable Diesel'!AR380*'[2]Feedstock Conversion Rates'!$B$4*$DF$3)/12</f>
        <v>75</v>
      </c>
      <c r="DG371" s="47">
        <f t="shared" si="335"/>
        <v>75</v>
      </c>
      <c r="DH371" s="45">
        <f>('[2]Renewable Diesel'!AS380*'[2]Feedstock Conversion Rates'!$B$4*$DH$3)/12</f>
        <v>75</v>
      </c>
      <c r="DI371" s="47">
        <f t="shared" si="273"/>
        <v>75</v>
      </c>
      <c r="DJ371" s="45">
        <f>('[2]Renewable Diesel'!AT380*'[2]Feedstock Conversion Rates'!$B$4*0.25)/12</f>
        <v>8.59375</v>
      </c>
      <c r="DK371" s="45">
        <f>('[2]Renewable Diesel'!$AT380*'[2]RD Feedstock Breakdown'!DK$3*'[2]Feedstock Conversion Rates'!$B$3)/12*0.5</f>
        <v>9.1781249999999996</v>
      </c>
      <c r="DL371" s="45">
        <f>('[2]Renewable Diesel'!$AT380*'[2]RD Feedstock Breakdown'!$DL$3*'[2]Feedstock Conversion Rates'!$B$6)/12</f>
        <v>10.747916666666669</v>
      </c>
      <c r="DM371" s="45">
        <f>('[2]Renewable Diesel'!$AT380*'[2]RD Feedstock Breakdown'!$DM$3*'[2]Feedstock Conversion Rates'!$B$8)/12</f>
        <v>10.7421875</v>
      </c>
      <c r="DN371" s="47">
        <f t="shared" si="317"/>
        <v>39.26197916666667</v>
      </c>
      <c r="DP371" s="45">
        <f t="shared" si="290"/>
        <v>48.220250000000007</v>
      </c>
      <c r="DQ371" s="45">
        <f t="shared" si="291"/>
        <v>399.11776750000007</v>
      </c>
      <c r="DR371" s="45">
        <f t="shared" si="296"/>
        <v>1891.953125</v>
      </c>
      <c r="DS371" s="45">
        <f t="shared" si="309"/>
        <v>228.90125</v>
      </c>
      <c r="DT371" s="45">
        <f t="shared" si="292"/>
        <v>243.03923333333344</v>
      </c>
      <c r="DU371" s="45">
        <f t="shared" si="293"/>
        <v>432.90610000000009</v>
      </c>
      <c r="DV371" s="45">
        <f t="shared" si="297"/>
        <v>78.75</v>
      </c>
      <c r="DW371" s="45">
        <f t="shared" si="294"/>
        <v>3</v>
      </c>
      <c r="DX371" s="47">
        <f t="shared" si="298"/>
        <v>3325.8877258333337</v>
      </c>
      <c r="DY371" s="50">
        <f t="shared" si="286"/>
        <v>-5.631051180898794E-13</v>
      </c>
      <c r="EA371" s="51">
        <f t="shared" si="330"/>
        <v>1.4498459952648568E-2</v>
      </c>
      <c r="EB371" s="51">
        <f t="shared" si="330"/>
        <v>0.1200033796691069</v>
      </c>
      <c r="EC371" s="51">
        <f t="shared" si="330"/>
        <v>0.56885658235079262</v>
      </c>
      <c r="ED371" s="51">
        <f t="shared" si="330"/>
        <v>6.882410618435611E-2</v>
      </c>
      <c r="EE371" s="51">
        <f t="shared" si="330"/>
        <v>7.3074996322203753E-2</v>
      </c>
      <c r="EF371" s="51">
        <f t="shared" si="330"/>
        <v>0.13016257182630278</v>
      </c>
      <c r="EG371" s="51">
        <f t="shared" si="327"/>
        <v>2.3677888880108969E-2</v>
      </c>
      <c r="EH371" s="52">
        <f t="shared" si="299"/>
        <v>9.0201481448034171E-4</v>
      </c>
      <c r="EI371" s="51">
        <f t="shared" si="271"/>
        <v>0.99909798518551962</v>
      </c>
      <c r="EK371" s="53">
        <f>(EA371*'[2]Renewable Diesel'!BF380*'[2]Feedstock Conversion Rates'!B$2)+FB371</f>
        <v>111.1926437878047</v>
      </c>
      <c r="EL371" s="53">
        <f>(EB371*'[2]Renewable Diesel'!BF380*'[2]Feedstock Conversion Rates'!B$3)+FC371</f>
        <v>867.28383298962069</v>
      </c>
      <c r="EM371" s="53">
        <f>(EC371*'[2]Renewable Diesel'!BF380*'[2]Feedstock Conversion Rates'!B$4)+FD371</f>
        <v>3849.4555446655881</v>
      </c>
      <c r="EN371" s="53">
        <f>(ED371*'[2]Renewable Diesel'!BF380*'[2]Feedstock Conversion Rates'!B$5)+FE371</f>
        <v>468.83798309397315</v>
      </c>
      <c r="EO371" s="53">
        <f>(EE371*'[2]Renewable Diesel'!BF380*'[2]Feedstock Conversion Rates'!B$6)+FF371</f>
        <v>618.45328112488346</v>
      </c>
      <c r="EP371" s="53">
        <f>(EF371*'[2]Renewable Diesel'!BF380*'[2]Feedstock Conversion Rates'!B$7)+FG371</f>
        <v>1080.4612748231741</v>
      </c>
      <c r="EQ371" s="53">
        <f>(EG371*'[2]Renewable Diesel'!BF380*'[2]Feedstock Conversion Rates'!B$8)+FH371</f>
        <v>200.28550135353845</v>
      </c>
      <c r="ER371" s="53">
        <f>(EH371*'[2]Renewable Diesel'!BF380*'[2]Feedstock Conversion Rates'!B$9)+FI371</f>
        <v>7.5281915429393491</v>
      </c>
      <c r="ES371" s="53">
        <f t="shared" si="300"/>
        <v>7203.4982533815219</v>
      </c>
      <c r="ET371" s="36">
        <f>ES371/'[2]Renewable Diesel'!BF380</f>
        <v>7.9837733216591138</v>
      </c>
    </row>
    <row r="372" spans="1:150" x14ac:dyDescent="0.25">
      <c r="A372" s="39">
        <v>51745</v>
      </c>
      <c r="B372" s="45">
        <f t="shared" si="331"/>
        <v>44.25</v>
      </c>
      <c r="C372" s="45">
        <f t="shared" si="321"/>
        <v>49</v>
      </c>
      <c r="D372" s="45">
        <f t="shared" si="332"/>
        <v>2</v>
      </c>
      <c r="E372" s="45">
        <f>('[2]Renewable Diesel'!B381*E$3*'[2]Feedstock Conversion Rates'!$B$2)/12+26+13-100+27.5+39</f>
        <v>95.43</v>
      </c>
      <c r="F372" s="45">
        <f>('[2]Renewable Diesel'!B381*'[2]RD Feedstock Breakdown'!F$3*'[2]Feedstock Conversion Rates'!B$8)/12+77+23-10-12-115.75+24+8</f>
        <v>48.15625</v>
      </c>
      <c r="G372" s="45">
        <f>('[2]Renewable Diesel'!B381*'[2]RD Feedstock Breakdown'!G$3*'[2]Feedstock Conversion Rates'!B$7)/12+116.75-39-57.5-145-31.5+32+70-40+10+60</f>
        <v>151.90700000000004</v>
      </c>
      <c r="H372" s="45">
        <f>('[2]Renewable Diesel'!B381*'[2]RD Feedstock Breakdown'!H$3*'[2]Feedstock Conversion Rates'!B$3)/12+67+10+12+3-235+20+47-20+25</f>
        <v>105.40022499999998</v>
      </c>
      <c r="I372" s="47">
        <f t="shared" si="314"/>
        <v>496.14347500000002</v>
      </c>
      <c r="J372" s="45">
        <f t="shared" si="281"/>
        <v>4</v>
      </c>
      <c r="K372" s="45"/>
      <c r="L372" s="45">
        <v>1</v>
      </c>
      <c r="M372" s="45">
        <f>('[2]Renewable Diesel'!C381*'[2]RD Feedstock Breakdown'!M$3*'[2]Feedstock Conversion Rates'!B$2)/12-55</f>
        <v>-47.20975</v>
      </c>
      <c r="N372" s="45">
        <f>('[2]Renewable Diesel'!C381*'[2]RD Feedstock Breakdown'!N$3*'[2]Feedstock Conversion Rates'!B$8)/12</f>
        <v>3.671875</v>
      </c>
      <c r="O372" s="45">
        <f>('[2]Renewable Diesel'!C381*'[2]RD Feedstock Breakdown'!O$3*'[2]Feedstock Conversion Rates'!B$7)/12+30</f>
        <v>41.999099999999999</v>
      </c>
      <c r="P372" s="45">
        <f>('[2]Renewable Diesel'!C381*'[2]RD Feedstock Breakdown'!P$3*'[2]Feedstock Conversion Rates'!B$3)/12+15+35</f>
        <v>60.447042500000002</v>
      </c>
      <c r="Q372" s="47">
        <f t="shared" si="322"/>
        <v>63.908267500000001</v>
      </c>
      <c r="R372" s="45">
        <f>('[2]Renewable Diesel'!D381*'[2]RD Feedstock Breakdown'!R$3*'[2]Feedstock Conversion Rates'!B$7)/12</f>
        <v>2.2999999999999998</v>
      </c>
      <c r="S372" s="47">
        <f t="shared" si="279"/>
        <v>2.2999999999999998</v>
      </c>
      <c r="T372" s="45">
        <f t="shared" si="323"/>
        <v>0.82499999999999929</v>
      </c>
      <c r="U372" s="45"/>
      <c r="V372" s="45">
        <f>('[2]Renewable Diesel'!E381*'[2]RD Feedstock Breakdown'!V$3*'[2]Feedstock Conversion Rates'!B$6)/12-20+25</f>
        <v>49.250150000000012</v>
      </c>
      <c r="W372" s="45">
        <f>('[2]Renewable Diesel'!E381*'[2]RD Feedstock Breakdown'!W$3*'[2]Feedstock Conversion Rates'!B$8)/12-6</f>
        <v>16.1796875</v>
      </c>
      <c r="X372" s="47">
        <f t="shared" si="301"/>
        <v>66.254837500000008</v>
      </c>
      <c r="Y372" s="45">
        <f t="shared" si="324"/>
        <v>98</v>
      </c>
      <c r="Z372" s="45">
        <f>('[2]Renewable Diesel'!F381*'[2]RD Feedstock Breakdown'!Z$3*'[2]Feedstock Conversion Rates'!B$6)/12-142+15+5+20+5+15</f>
        <v>77.460000000000008</v>
      </c>
      <c r="AA372" s="45">
        <f>('[2]Renewable Diesel'!F381*'[2]RD Feedstock Breakdown'!AA$3*'[2]Feedstock Conversion Rates'!B$7)/12+24</f>
        <v>128.26666666666665</v>
      </c>
      <c r="AB372" s="47">
        <f t="shared" si="336"/>
        <v>303.72666666666669</v>
      </c>
      <c r="AC372" s="45">
        <f>('[2]Renewable Diesel'!G381*'[2]RD Feedstock Breakdown'!AC$3*'[2]Feedstock Conversion Rates'!B$5)/12</f>
        <v>11.796875</v>
      </c>
      <c r="AD372" s="45">
        <f>('[2]Renewable Diesel'!G381*'[2]RD Feedstock Breakdown'!AD$3*'[2]Feedstock Conversion Rates'!B$4)/12</f>
        <v>5.859375</v>
      </c>
      <c r="AE372" s="45">
        <f>('[2]Renewable Diesel'!G381*'[2]RD Feedstock Breakdown'!AE$3*'[2]Feedstock Conversion Rates'!B$6)/12</f>
        <v>7.3281250000000009</v>
      </c>
      <c r="AF372" s="47">
        <f t="shared" si="310"/>
        <v>24.984375</v>
      </c>
      <c r="AG372" s="45">
        <f t="shared" si="326"/>
        <v>148</v>
      </c>
      <c r="AH372" s="45"/>
      <c r="AI372" s="45">
        <f>('[2]Renewable Diesel'!H381*'[2]RD Feedstock Breakdown'!AI$3*'[2]Feedstock Conversion Rates'!B$6)/12-130-20+51-49</f>
        <v>0.51666666666667993</v>
      </c>
      <c r="AJ372" s="47">
        <f t="shared" si="278"/>
        <v>148.51666666666668</v>
      </c>
      <c r="AK372" s="45">
        <f>('[2]Renewable Diesel'!J381*'[2]RD Feedstock Breakdown'!AK$3*'[2]Feedstock Conversion Rates'!B$4)/12</f>
        <v>95.8125</v>
      </c>
      <c r="AL372" s="47">
        <f t="shared" si="280"/>
        <v>95.8125</v>
      </c>
      <c r="AM372" s="45">
        <f>('[2]Renewable Diesel'!K381*'[2]RD Feedstock Breakdown'!AM$3*'[2]Feedstock Conversion Rates'!B$4)/12+5+15-10+10</f>
        <v>78.59375</v>
      </c>
      <c r="AN372" s="45">
        <f>('[2]Renewable Diesel'!K381*'[2]RD Feedstock Breakdown'!AN$3*'[2]Feedstock Conversion Rates'!B$6)/12-5-15+10-10</f>
        <v>4.4270833333333321</v>
      </c>
      <c r="AO372" s="47">
        <f t="shared" si="295"/>
        <v>83.020833333333329</v>
      </c>
      <c r="AP372" s="45">
        <f>('[2]Renewable Diesel'!L381*'[2]RD Feedstock Breakdown'!AP$3*'[2]Feedstock Conversion Rates'!B$4)/12+15-10+15</f>
        <v>78.59375</v>
      </c>
      <c r="AQ372" s="45">
        <f>('[2]Renewable Diesel'!L381*'[2]RD Feedstock Breakdown'!AQ$3*'[2]Feedstock Conversion Rates'!B$6)/12-15+10-15</f>
        <v>4.4270833333333321</v>
      </c>
      <c r="AR372" s="47">
        <f t="shared" si="285"/>
        <v>83.020833333333329</v>
      </c>
      <c r="AS372" s="45">
        <f>('[2]Renewable Diesel'!M381*'[2]RD Feedstock Breakdown'!AS$3*'[2]Feedstock Conversion Rates'!B$4)/12</f>
        <v>456.25</v>
      </c>
      <c r="AT372" s="45">
        <f>('[2]Renewable Diesel'!M381*'[2]RD Feedstock Breakdown'!AT$3*'[2]Feedstock Conversion Rates'!B$5)/12</f>
        <v>0</v>
      </c>
      <c r="AU372" s="47">
        <f t="shared" si="313"/>
        <v>456.25</v>
      </c>
      <c r="AV372" s="45">
        <f>'[2]Renewable Diesel'!N381*'[2]RD Feedstock Breakdown'!$AV$3*'[2]Feedstock Conversion Rates'!$B$4/12-15-10+25+25-22+25</f>
        <v>106.74999999999999</v>
      </c>
      <c r="AW372" s="45">
        <f>'[2]Renewable Diesel'!N381*'[2]RD Feedstock Breakdown'!$AW$3*'[2]Feedstock Conversion Rates'!$B$7/12+15+10-25-25+22-25</f>
        <v>13.400000000000006</v>
      </c>
      <c r="AX372" s="47">
        <f t="shared" si="272"/>
        <v>120.14999999999999</v>
      </c>
      <c r="AY372" s="45">
        <f>('[2]Renewable Diesel'!O381*'[2]RD Feedstock Breakdown'!AY$3*'[2]Feedstock Conversion Rates'!B$4)/12</f>
        <v>210.9375</v>
      </c>
      <c r="AZ372" s="45">
        <f>('[2]Renewable Diesel'!O381*'[2]RD Feedstock Breakdown'!AZ$3*'[2]Feedstock Conversion Rates'!B$3)/12</f>
        <v>25.03125</v>
      </c>
      <c r="BA372" s="47">
        <f t="shared" si="325"/>
        <v>235.96875</v>
      </c>
      <c r="BB372" s="45">
        <f>('[2]Renewable Diesel'!Q381*'[2]RD Feedstock Breakdown'!BB$3*'[2]Feedstock Conversion Rates'!B$4)/12</f>
        <v>11.156249999999998</v>
      </c>
      <c r="BC372" s="45">
        <f>('[2]Renewable Diesel'!Q381*'[2]RD Feedstock Breakdown'!BC$3*'[2]Feedstock Conversion Rates'!B$3)/12</f>
        <v>1.4017500000000001</v>
      </c>
      <c r="BD372" s="45">
        <f>('[2]Renewable Diesel'!Q381*'[2]RD Feedstock Breakdown'!BD$3*'[2]Feedstock Conversion Rates'!B$6)/12</f>
        <v>0.8207500000000002</v>
      </c>
      <c r="BE372" s="47">
        <f t="shared" si="303"/>
        <v>13.378749999999998</v>
      </c>
      <c r="BF372" s="45">
        <f>('[2]Renewable Diesel'!R381*'[2]RD Feedstock Breakdown'!BF$3*'[2]Feedstock Conversion Rates'!B$4)/12</f>
        <v>62.5</v>
      </c>
      <c r="BG372" s="47">
        <f t="shared" si="289"/>
        <v>62.5</v>
      </c>
      <c r="BH372" s="45">
        <f>('[2]Renewable Diesel'!T381*'[2]RD Feedstock Breakdown'!BH$3*'[2]Feedstock Conversion Rates'!B$7)/12</f>
        <v>27.599999999999998</v>
      </c>
      <c r="BI372" s="47">
        <f t="shared" si="277"/>
        <v>27.599999999999998</v>
      </c>
      <c r="BJ372" s="45">
        <f>('[2]Renewable Diesel'!W381*'[2]RD Feedstock Breakdown'!BJ$3*'[2]Feedstock Conversion Rates'!B$4)/12</f>
        <v>7.5</v>
      </c>
      <c r="BK372" s="45">
        <f>('[2]Renewable Diesel'!W381*'[2]RD Feedstock Breakdown'!BK$3*'[2]Feedstock Conversion Rates'!B$3)/12</f>
        <v>1.335</v>
      </c>
      <c r="BL372" s="45">
        <f>('[2]Renewable Diesel'!W381*'[2]RD Feedstock Breakdown'!BL$3*'[2]Feedstock Conversion Rates'!B$6)/12</f>
        <v>3.1266666666666669</v>
      </c>
      <c r="BM372" s="45">
        <f>('[2]Renewable Diesel'!W381*'[2]RD Feedstock Breakdown'!BM$3*'[2]Feedstock Conversion Rates'!B$7)/12</f>
        <v>1.5333333333333332</v>
      </c>
      <c r="BN372" s="47">
        <f t="shared" si="316"/>
        <v>13.495000000000001</v>
      </c>
      <c r="BO372" s="45">
        <f>('[2]Renewable Diesel'!P381*'[2]Feedstock Conversion Rates'!B$4)/12</f>
        <v>31.25</v>
      </c>
      <c r="BP372" s="47">
        <f t="shared" si="311"/>
        <v>31.25</v>
      </c>
      <c r="BQ372" s="45">
        <f>('[2]Renewable Diesel'!$S381*'[2]RD Feedstock Breakdown'!BQ$3*'[2]Feedstock Conversion Rates'!B$4)/12+10+15-15</f>
        <v>38.125</v>
      </c>
      <c r="BR372" s="45">
        <f>('[2]Renewable Diesel'!$S381*'[2]RD Feedstock Breakdown'!BR$3*'[2]Feedstock Conversion Rates'!B$7)/12-10-15+15</f>
        <v>1.5</v>
      </c>
      <c r="BS372" s="47">
        <f t="shared" si="328"/>
        <v>39.625</v>
      </c>
      <c r="BT372" s="47"/>
      <c r="BU372" s="45">
        <f>('[2]Renewable Diesel'!Y381*'[2]Feedstock Conversion Rates'!B$7)/12</f>
        <v>2.6833333333333331</v>
      </c>
      <c r="BV372" s="47">
        <f t="shared" si="305"/>
        <v>2.6833333333333331</v>
      </c>
      <c r="BW372" s="45">
        <f>('[2]Renewable Diesel'!$Z381*'[2]RD Feedstock Breakdown'!BW$3*'[2]Feedstock Conversion Rates'!$B$4)/12-250+180</f>
        <v>1.875</v>
      </c>
      <c r="BX372" s="45">
        <f>('[2]Renewable Diesel'!$Z381*'[2]RD Feedstock Breakdown'!BX$3*'[2]Feedstock Conversion Rates'!$B$5)/12</f>
        <v>7.2354166666666666</v>
      </c>
      <c r="BY372" s="45">
        <f>('[2]Renewable Diesel'!$Z381*'[2]RD Feedstock Breakdown'!BY$3*'[2]Feedstock Conversion Rates'!$B$7)/12</f>
        <v>61.716666666666661</v>
      </c>
      <c r="BZ372" s="45">
        <f>('[2]Renewable Diesel'!$Z381*'[2]RD Feedstock Breakdown'!BZ$3*'[2]Feedstock Conversion Rates'!$B$3)/12+250-180</f>
        <v>85.35250000000002</v>
      </c>
      <c r="CA372" s="47">
        <f t="shared" si="329"/>
        <v>156.17958333333334</v>
      </c>
      <c r="CB372" s="45">
        <f>('[2]Renewable Diesel'!AA381*'[2]Feedstock Conversion Rates'!B$4)/12</f>
        <v>191.25</v>
      </c>
      <c r="CC372" s="47">
        <f t="shared" si="318"/>
        <v>191.25</v>
      </c>
      <c r="CD372" s="45">
        <f>('[2]Renewable Diesel'!$AB381*'[2]RD Feedstock Breakdown'!CD$3*'[2]Feedstock Conversion Rates'!$B$6)/12-15-5</f>
        <v>12.830000000000005</v>
      </c>
      <c r="CE372" s="45">
        <f>('[2]Renewable Diesel'!$AB381*'[2]RD Feedstock Breakdown'!CE$3*'[2]Feedstock Conversion Rates'!$B$4)/12+15+5</f>
        <v>31.25</v>
      </c>
      <c r="CF372" s="47">
        <f t="shared" si="315"/>
        <v>44.080000000000005</v>
      </c>
      <c r="CG372" s="45">
        <f>('[2]Renewable Diesel'!AD381*'[2]Feedstock Conversion Rates'!B$4)/12</f>
        <v>112.5</v>
      </c>
      <c r="CH372" s="47">
        <f t="shared" si="302"/>
        <v>112.5</v>
      </c>
      <c r="CI372" s="45">
        <f>('[2]Renewable Diesel'!$AE381*'[2]RD Feedstock Breakdown'!CI$3*'[2]Feedstock Conversion Rates'!$B$5)/12</f>
        <v>0.34604166666666664</v>
      </c>
      <c r="CJ372" s="45">
        <f>('[2]Renewable Diesel'!$AE381*'[2]RD Feedstock Breakdown'!CJ$3*'[2]Feedstock Conversion Rates'!$B$4)/12</f>
        <v>0.34375</v>
      </c>
      <c r="CK372" s="47">
        <f t="shared" si="312"/>
        <v>0.68979166666666658</v>
      </c>
      <c r="CL372" s="45">
        <f>(((CL$3*'[2]Renewable Diesel'!$AF381)*'[2]Feedstock Conversion Rates'!$B$3)/12)</f>
        <v>91.78125</v>
      </c>
      <c r="CM372" s="45">
        <f>(((CM$3*'[2]Renewable Diesel'!$AF381)*'[2]Feedstock Conversion Rates'!$B$6)/12)</f>
        <v>53.739583333333336</v>
      </c>
      <c r="CN372" s="45">
        <f>(((CN$3*'[2]Renewable Diesel'!$AF381)*'[2]Feedstock Conversion Rates'!$B$4)/12)</f>
        <v>42.96875</v>
      </c>
      <c r="CO372" s="47">
        <f t="shared" si="304"/>
        <v>188.48958333333334</v>
      </c>
      <c r="CP372" s="45">
        <f>('[2]Renewable Diesel'!$AG381*'[2]RD Feedstock Breakdown'!CP$3*'[2]Feedstock Conversion Rates'!$B$3)/12</f>
        <v>6.0075000000000003</v>
      </c>
      <c r="CQ372" s="45">
        <f>('[2]Renewable Diesel'!$AG381*'[2]RD Feedstock Breakdown'!CQ$3*'[2]Feedstock Conversion Rates'!$B$6)/12</f>
        <v>3.5175000000000001</v>
      </c>
      <c r="CR372" s="45">
        <f>('[2]Renewable Diesel'!$AG381*'[2]RD Feedstock Breakdown'!CR$3*'[2]Feedstock Conversion Rates'!$B$4)/12</f>
        <v>2.8125</v>
      </c>
      <c r="CS372" s="47">
        <f t="shared" si="333"/>
        <v>12.3375</v>
      </c>
      <c r="CT372" s="45">
        <f>('[2]Renewable Diesel'!AI381*'[2]Feedstock Conversion Rates'!$B$4*'[2]RD Feedstock Breakdown'!$CT$3)/12</f>
        <v>29.375</v>
      </c>
      <c r="CU372" s="47">
        <f t="shared" si="308"/>
        <v>29.375</v>
      </c>
      <c r="CV372" s="45">
        <f>('[2]Renewable Diesel'!AN381*'[2]Feedstock Conversion Rates'!$B$3*'[2]RD Feedstock Breakdown'!$CV$3)/12</f>
        <v>0.50062499999999999</v>
      </c>
      <c r="CW372" s="47">
        <f t="shared" si="284"/>
        <v>0.50062499999999999</v>
      </c>
      <c r="CX372" s="45">
        <f>('[2]Renewable Diesel'!AO381*'[2]RD Feedstock Breakdown'!$CX$3*'[2]Feedstock Conversion Rates'!$B$3)/12</f>
        <v>6.3412499999999996</v>
      </c>
      <c r="CY372" s="45">
        <f>('[2]Renewable Diesel'!AO381*'[2]RD Feedstock Breakdown'!$CY$3*'[2]Feedstock Conversion Rates'!$B$6)/12</f>
        <v>7.4258333333333342</v>
      </c>
      <c r="CZ372" s="47">
        <f t="shared" si="334"/>
        <v>13.767083333333334</v>
      </c>
      <c r="DA372" s="45">
        <f>('[2]Renewable Diesel'!$AP381*'[2]RD Feedstock Breakdown'!DA$3*'[2]Feedstock Conversion Rates'!$B$3)/12</f>
        <v>6.3412499999999996</v>
      </c>
      <c r="DB372" s="45">
        <f>('[2]Renewable Diesel'!$AP381*'[2]RD Feedstock Breakdown'!DB$3*'[2]Feedstock Conversion Rates'!$B$8)/12</f>
        <v>7.421875</v>
      </c>
      <c r="DC372" s="47">
        <f t="shared" si="287"/>
        <v>13.763124999999999</v>
      </c>
      <c r="DD372" s="45">
        <f>('[2]Renewable Diesel'!AQ381*$DD$3*'[2]Feedstock Conversion Rates'!$B$14)/12</f>
        <v>3.1041666666666665</v>
      </c>
      <c r="DE372" s="47">
        <f t="shared" si="288"/>
        <v>3.1041666666666665</v>
      </c>
      <c r="DF372" s="45">
        <f>('[2]Renewable Diesel'!AR381*'[2]Feedstock Conversion Rates'!$B$4*$DF$3)/12</f>
        <v>75</v>
      </c>
      <c r="DG372" s="47">
        <f t="shared" si="335"/>
        <v>75</v>
      </c>
      <c r="DH372" s="45">
        <f>('[2]Renewable Diesel'!AS381*'[2]Feedstock Conversion Rates'!$B$4*$DH$3)/12</f>
        <v>75</v>
      </c>
      <c r="DI372" s="47">
        <f t="shared" si="273"/>
        <v>75</v>
      </c>
      <c r="DJ372" s="45">
        <f>('[2]Renewable Diesel'!AT381*'[2]Feedstock Conversion Rates'!$B$4*0.25)/12</f>
        <v>8.59375</v>
      </c>
      <c r="DK372" s="45">
        <f>('[2]Renewable Diesel'!$AT381*'[2]RD Feedstock Breakdown'!DK$3*'[2]Feedstock Conversion Rates'!$B$3)/12*0.5</f>
        <v>9.1781249999999996</v>
      </c>
      <c r="DL372" s="45">
        <f>('[2]Renewable Diesel'!$AT381*'[2]RD Feedstock Breakdown'!$DL$3*'[2]Feedstock Conversion Rates'!$B$6)/12</f>
        <v>10.747916666666669</v>
      </c>
      <c r="DM372" s="45">
        <f>('[2]Renewable Diesel'!$AT381*'[2]RD Feedstock Breakdown'!$DM$3*'[2]Feedstock Conversion Rates'!$B$8)/12</f>
        <v>10.7421875</v>
      </c>
      <c r="DN372" s="47">
        <f t="shared" si="317"/>
        <v>39.26197916666667</v>
      </c>
      <c r="DP372" s="45">
        <f t="shared" si="290"/>
        <v>48.220250000000007</v>
      </c>
      <c r="DQ372" s="45">
        <f t="shared" si="291"/>
        <v>399.11776750000007</v>
      </c>
      <c r="DR372" s="45">
        <f t="shared" si="296"/>
        <v>1891.953125</v>
      </c>
      <c r="DS372" s="45">
        <f t="shared" si="309"/>
        <v>228.90125</v>
      </c>
      <c r="DT372" s="45">
        <f t="shared" si="292"/>
        <v>243.03923333333344</v>
      </c>
      <c r="DU372" s="45">
        <f t="shared" si="293"/>
        <v>432.90610000000009</v>
      </c>
      <c r="DV372" s="45">
        <f t="shared" si="297"/>
        <v>78.75</v>
      </c>
      <c r="DW372" s="45">
        <f t="shared" si="294"/>
        <v>3</v>
      </c>
      <c r="DX372" s="47">
        <f t="shared" si="298"/>
        <v>3325.8877258333337</v>
      </c>
      <c r="DY372" s="50">
        <f t="shared" si="286"/>
        <v>-5.631051180898794E-13</v>
      </c>
      <c r="EA372" s="51">
        <f t="shared" si="330"/>
        <v>1.4498459952648568E-2</v>
      </c>
      <c r="EB372" s="51">
        <f t="shared" si="330"/>
        <v>0.1200033796691069</v>
      </c>
      <c r="EC372" s="51">
        <f t="shared" si="330"/>
        <v>0.56885658235079262</v>
      </c>
      <c r="ED372" s="51">
        <f t="shared" si="330"/>
        <v>6.882410618435611E-2</v>
      </c>
      <c r="EE372" s="51">
        <f t="shared" si="330"/>
        <v>7.3074996322203753E-2</v>
      </c>
      <c r="EF372" s="51">
        <f t="shared" si="330"/>
        <v>0.13016257182630278</v>
      </c>
      <c r="EG372" s="51">
        <f t="shared" si="327"/>
        <v>2.3677888880108969E-2</v>
      </c>
      <c r="EH372" s="52">
        <f t="shared" si="299"/>
        <v>9.0201481448034171E-4</v>
      </c>
      <c r="EI372" s="51">
        <f t="shared" ref="EI372:EI375" si="337">SUM(EA372:EG372)</f>
        <v>0.99909798518551962</v>
      </c>
      <c r="EK372" s="53">
        <f>(EA372*'[2]Renewable Diesel'!BF381*'[2]Feedstock Conversion Rates'!B$2)+FB372</f>
        <v>125.26926631049496</v>
      </c>
      <c r="EL372" s="53">
        <f>(EB372*'[2]Renewable Diesel'!BF381*'[2]Feedstock Conversion Rates'!B$3)+FC372</f>
        <v>977.07911009738393</v>
      </c>
      <c r="EM372" s="53">
        <f>(EC372*'[2]Renewable Diesel'!BF381*'[2]Feedstock Conversion Rates'!B$4)+FD372</f>
        <v>4336.7839395506244</v>
      </c>
      <c r="EN372" s="53">
        <f>(ED372*'[2]Renewable Diesel'!BF381*'[2]Feedstock Conversion Rates'!B$5)+FE372</f>
        <v>528.19132777123252</v>
      </c>
      <c r="EO372" s="53">
        <f>(EE372*'[2]Renewable Diesel'!BF381*'[2]Feedstock Conversion Rates'!B$6)+FF372</f>
        <v>696.74742981809982</v>
      </c>
      <c r="EP372" s="53">
        <f>(EF372*'[2]Renewable Diesel'!BF381*'[2]Feedstock Conversion Rates'!B$7)+FG372</f>
        <v>1217.2441140287531</v>
      </c>
      <c r="EQ372" s="53">
        <f>(EG372*'[2]Renewable Diesel'!BF381*'[2]Feedstock Conversion Rates'!B$8)+FH372</f>
        <v>225.64098624246546</v>
      </c>
      <c r="ER372" s="53">
        <f>(EH372*'[2]Renewable Diesel'!BF381*'[2]Feedstock Conversion Rates'!B$9)+FI372</f>
        <v>8.4812358003517172</v>
      </c>
      <c r="ES372" s="53">
        <f t="shared" si="300"/>
        <v>8115.437409619406</v>
      </c>
      <c r="ET372" s="36">
        <f>ES372/'[2]Renewable Diesel'!BF381</f>
        <v>7.9837733216591138</v>
      </c>
    </row>
    <row r="373" spans="1:150" x14ac:dyDescent="0.25">
      <c r="A373" s="39">
        <v>51775</v>
      </c>
      <c r="B373" s="45">
        <f>115.75+145+100+235+31.5-21-287-20-28-32-70-39-47+40+20-3-10-60-25-1</f>
        <v>44.25</v>
      </c>
      <c r="C373" s="45">
        <f t="shared" si="321"/>
        <v>49</v>
      </c>
      <c r="D373" s="45">
        <f>1+1</f>
        <v>2</v>
      </c>
      <c r="E373" s="45">
        <f>('[2]Renewable Diesel'!B382*E$3*'[2]Feedstock Conversion Rates'!$B$2)/12+26+13-100+27.5+39</f>
        <v>95.43</v>
      </c>
      <c r="F373" s="45">
        <f>('[2]Renewable Diesel'!B382*'[2]RD Feedstock Breakdown'!F$3*'[2]Feedstock Conversion Rates'!B$8)/12+77+23-10-12-115.75+24+8</f>
        <v>48.15625</v>
      </c>
      <c r="G373" s="45">
        <f>('[2]Renewable Diesel'!B382*'[2]RD Feedstock Breakdown'!G$3*'[2]Feedstock Conversion Rates'!B$7)/12+116.75-39-57.5-145-31.5+32+70-40+10+60</f>
        <v>151.90700000000004</v>
      </c>
      <c r="H373" s="45">
        <f>('[2]Renewable Diesel'!B382*'[2]RD Feedstock Breakdown'!H$3*'[2]Feedstock Conversion Rates'!B$3)/12+67+10+12+3-235+20+47-20+25</f>
        <v>105.40022499999998</v>
      </c>
      <c r="I373" s="47">
        <f t="shared" si="314"/>
        <v>496.14347500000002</v>
      </c>
      <c r="J373" s="45">
        <f t="shared" si="281"/>
        <v>4</v>
      </c>
      <c r="K373" s="45"/>
      <c r="L373" s="45">
        <v>1</v>
      </c>
      <c r="M373" s="45">
        <f>('[2]Renewable Diesel'!C382*'[2]RD Feedstock Breakdown'!M$3*'[2]Feedstock Conversion Rates'!B$2)/12-55</f>
        <v>-47.20975</v>
      </c>
      <c r="N373" s="45">
        <f>('[2]Renewable Diesel'!C382*'[2]RD Feedstock Breakdown'!N$3*'[2]Feedstock Conversion Rates'!B$8)/12</f>
        <v>3.671875</v>
      </c>
      <c r="O373" s="45">
        <f>('[2]Renewable Diesel'!C382*'[2]RD Feedstock Breakdown'!O$3*'[2]Feedstock Conversion Rates'!B$7)/12+30</f>
        <v>41.999099999999999</v>
      </c>
      <c r="P373" s="45">
        <f>('[2]Renewable Diesel'!C382*'[2]RD Feedstock Breakdown'!P$3*'[2]Feedstock Conversion Rates'!B$3)/12+15+35</f>
        <v>60.447042500000002</v>
      </c>
      <c r="Q373" s="47">
        <f t="shared" si="322"/>
        <v>63.908267500000001</v>
      </c>
      <c r="R373" s="45">
        <f>('[2]Renewable Diesel'!D382*'[2]RD Feedstock Breakdown'!R$3*'[2]Feedstock Conversion Rates'!B$7)/12</f>
        <v>2.2999999999999998</v>
      </c>
      <c r="S373" s="47">
        <f t="shared" si="279"/>
        <v>2.2999999999999998</v>
      </c>
      <c r="T373" s="45">
        <f t="shared" si="323"/>
        <v>0.82499999999999929</v>
      </c>
      <c r="U373" s="45"/>
      <c r="V373" s="45">
        <f>('[2]Renewable Diesel'!E382*'[2]RD Feedstock Breakdown'!V$3*'[2]Feedstock Conversion Rates'!B$6)/12-20+25</f>
        <v>49.250150000000012</v>
      </c>
      <c r="W373" s="45">
        <f>('[2]Renewable Diesel'!E382*'[2]RD Feedstock Breakdown'!W$3*'[2]Feedstock Conversion Rates'!B$8)/12-6</f>
        <v>16.1796875</v>
      </c>
      <c r="X373" s="47">
        <f t="shared" si="301"/>
        <v>66.254837500000008</v>
      </c>
      <c r="Y373" s="45">
        <f t="shared" si="324"/>
        <v>98</v>
      </c>
      <c r="Z373" s="45">
        <f>('[2]Renewable Diesel'!F382*'[2]RD Feedstock Breakdown'!Z$3*'[2]Feedstock Conversion Rates'!B$6)/12-142+15+5+20+5+15</f>
        <v>77.460000000000008</v>
      </c>
      <c r="AA373" s="45">
        <f>('[2]Renewable Diesel'!F382*'[2]RD Feedstock Breakdown'!AA$3*'[2]Feedstock Conversion Rates'!B$7)/12+24</f>
        <v>128.26666666666665</v>
      </c>
      <c r="AB373" s="47">
        <f t="shared" si="336"/>
        <v>303.72666666666669</v>
      </c>
      <c r="AC373" s="45">
        <f>('[2]Renewable Diesel'!G382*'[2]RD Feedstock Breakdown'!AC$3*'[2]Feedstock Conversion Rates'!B$5)/12</f>
        <v>11.796875</v>
      </c>
      <c r="AD373" s="45">
        <f>('[2]Renewable Diesel'!G382*'[2]RD Feedstock Breakdown'!AD$3*'[2]Feedstock Conversion Rates'!B$4)/12</f>
        <v>5.859375</v>
      </c>
      <c r="AE373" s="45">
        <f>('[2]Renewable Diesel'!G382*'[2]RD Feedstock Breakdown'!AE$3*'[2]Feedstock Conversion Rates'!B$6)/12</f>
        <v>7.3281250000000009</v>
      </c>
      <c r="AF373" s="47">
        <f t="shared" si="310"/>
        <v>24.984375</v>
      </c>
      <c r="AG373" s="45">
        <f t="shared" si="326"/>
        <v>148</v>
      </c>
      <c r="AH373" s="45"/>
      <c r="AI373" s="45">
        <f>('[2]Renewable Diesel'!H382*'[2]RD Feedstock Breakdown'!AI$3*'[2]Feedstock Conversion Rates'!B$6)/12-130-20+51-49</f>
        <v>0.51666666666667993</v>
      </c>
      <c r="AJ373" s="47">
        <f t="shared" si="278"/>
        <v>148.51666666666668</v>
      </c>
      <c r="AK373" s="45">
        <f>('[2]Renewable Diesel'!J382*'[2]RD Feedstock Breakdown'!AK$3*'[2]Feedstock Conversion Rates'!B$4)/12</f>
        <v>95.8125</v>
      </c>
      <c r="AL373" s="47">
        <f t="shared" si="280"/>
        <v>95.8125</v>
      </c>
      <c r="AM373" s="45">
        <f>('[2]Renewable Diesel'!K382*'[2]RD Feedstock Breakdown'!AM$3*'[2]Feedstock Conversion Rates'!B$4)/12+5+15-10+10</f>
        <v>78.59375</v>
      </c>
      <c r="AN373" s="45">
        <f>('[2]Renewable Diesel'!K382*'[2]RD Feedstock Breakdown'!AN$3*'[2]Feedstock Conversion Rates'!B$6)/12-5-15+10-10</f>
        <v>4.4270833333333321</v>
      </c>
      <c r="AO373" s="47">
        <f t="shared" si="295"/>
        <v>83.020833333333329</v>
      </c>
      <c r="AP373" s="45">
        <f>('[2]Renewable Diesel'!L382*'[2]RD Feedstock Breakdown'!AP$3*'[2]Feedstock Conversion Rates'!B$4)/12+15-10+15</f>
        <v>78.59375</v>
      </c>
      <c r="AQ373" s="45">
        <f>('[2]Renewable Diesel'!L382*'[2]RD Feedstock Breakdown'!AQ$3*'[2]Feedstock Conversion Rates'!B$6)/12-15+10-15</f>
        <v>4.4270833333333321</v>
      </c>
      <c r="AR373" s="47">
        <f t="shared" si="285"/>
        <v>83.020833333333329</v>
      </c>
      <c r="AS373" s="45">
        <f>('[2]Renewable Diesel'!M382*'[2]RD Feedstock Breakdown'!AS$3*'[2]Feedstock Conversion Rates'!B$4)/12</f>
        <v>456.25</v>
      </c>
      <c r="AT373" s="45">
        <f>('[2]Renewable Diesel'!M382*'[2]RD Feedstock Breakdown'!AT$3*'[2]Feedstock Conversion Rates'!B$5)/12</f>
        <v>0</v>
      </c>
      <c r="AU373" s="47">
        <f t="shared" si="313"/>
        <v>456.25</v>
      </c>
      <c r="AV373" s="45">
        <f>'[2]Renewable Diesel'!N382*'[2]RD Feedstock Breakdown'!$AV$3*'[2]Feedstock Conversion Rates'!$B$4/12-15-10+25+25-22+25</f>
        <v>106.74999999999999</v>
      </c>
      <c r="AW373" s="45">
        <f>'[2]Renewable Diesel'!N382*'[2]RD Feedstock Breakdown'!$AW$3*'[2]Feedstock Conversion Rates'!$B$7/12+15+10-25-25+22-25</f>
        <v>13.400000000000006</v>
      </c>
      <c r="AX373" s="47">
        <f t="shared" si="272"/>
        <v>120.14999999999999</v>
      </c>
      <c r="AY373" s="45">
        <f>('[2]Renewable Diesel'!O382*'[2]RD Feedstock Breakdown'!AY$3*'[2]Feedstock Conversion Rates'!B$4)/12</f>
        <v>210.9375</v>
      </c>
      <c r="AZ373" s="45">
        <f>('[2]Renewable Diesel'!O382*'[2]RD Feedstock Breakdown'!AZ$3*'[2]Feedstock Conversion Rates'!B$3)/12</f>
        <v>25.03125</v>
      </c>
      <c r="BA373" s="47">
        <f t="shared" si="325"/>
        <v>235.96875</v>
      </c>
      <c r="BB373" s="45">
        <f>('[2]Renewable Diesel'!Q382*'[2]RD Feedstock Breakdown'!BB$3*'[2]Feedstock Conversion Rates'!B$4)/12</f>
        <v>11.156249999999998</v>
      </c>
      <c r="BC373" s="45">
        <f>('[2]Renewable Diesel'!Q382*'[2]RD Feedstock Breakdown'!BC$3*'[2]Feedstock Conversion Rates'!B$3)/12</f>
        <v>1.4017500000000001</v>
      </c>
      <c r="BD373" s="45">
        <f>('[2]Renewable Diesel'!Q382*'[2]RD Feedstock Breakdown'!BD$3*'[2]Feedstock Conversion Rates'!B$6)/12</f>
        <v>0.8207500000000002</v>
      </c>
      <c r="BE373" s="47">
        <f t="shared" si="303"/>
        <v>13.378749999999998</v>
      </c>
      <c r="BF373" s="45">
        <f>('[2]Renewable Diesel'!R382*'[2]RD Feedstock Breakdown'!BF$3*'[2]Feedstock Conversion Rates'!B$4)/12</f>
        <v>62.5</v>
      </c>
      <c r="BG373" s="47">
        <f t="shared" si="289"/>
        <v>62.5</v>
      </c>
      <c r="BH373" s="45">
        <f>('[2]Renewable Diesel'!T382*'[2]RD Feedstock Breakdown'!BH$3*'[2]Feedstock Conversion Rates'!B$7)/12</f>
        <v>27.599999999999998</v>
      </c>
      <c r="BI373" s="47">
        <f t="shared" si="277"/>
        <v>27.599999999999998</v>
      </c>
      <c r="BJ373" s="45">
        <f>('[2]Renewable Diesel'!W382*'[2]RD Feedstock Breakdown'!BJ$3*'[2]Feedstock Conversion Rates'!B$4)/12</f>
        <v>7.5</v>
      </c>
      <c r="BK373" s="45">
        <f>('[2]Renewable Diesel'!W382*'[2]RD Feedstock Breakdown'!BK$3*'[2]Feedstock Conversion Rates'!B$3)/12</f>
        <v>1.335</v>
      </c>
      <c r="BL373" s="45">
        <f>('[2]Renewable Diesel'!W382*'[2]RD Feedstock Breakdown'!BL$3*'[2]Feedstock Conversion Rates'!B$6)/12</f>
        <v>3.1266666666666669</v>
      </c>
      <c r="BM373" s="45">
        <f>('[2]Renewable Diesel'!W382*'[2]RD Feedstock Breakdown'!BM$3*'[2]Feedstock Conversion Rates'!B$7)/12</f>
        <v>1.5333333333333332</v>
      </c>
      <c r="BN373" s="47">
        <f t="shared" si="316"/>
        <v>13.495000000000001</v>
      </c>
      <c r="BO373" s="45">
        <f>('[2]Renewable Diesel'!P382*'[2]Feedstock Conversion Rates'!B$4)/12</f>
        <v>31.25</v>
      </c>
      <c r="BP373" s="47">
        <f t="shared" si="311"/>
        <v>31.25</v>
      </c>
      <c r="BQ373" s="45">
        <f>('[2]Renewable Diesel'!$S382*'[2]RD Feedstock Breakdown'!BQ$3*'[2]Feedstock Conversion Rates'!B$4)/12+10+15-15</f>
        <v>38.125</v>
      </c>
      <c r="BR373" s="45">
        <f>('[2]Renewable Diesel'!$S382*'[2]RD Feedstock Breakdown'!BR$3*'[2]Feedstock Conversion Rates'!B$7)/12-10-15+15</f>
        <v>1.5</v>
      </c>
      <c r="BS373" s="47">
        <f t="shared" si="328"/>
        <v>39.625</v>
      </c>
      <c r="BT373" s="47"/>
      <c r="BU373" s="45">
        <f>('[2]Renewable Diesel'!Y382*'[2]Feedstock Conversion Rates'!B$7)/12</f>
        <v>2.6833333333333331</v>
      </c>
      <c r="BV373" s="47">
        <f t="shared" si="305"/>
        <v>2.6833333333333331</v>
      </c>
      <c r="BW373" s="45">
        <f>('[2]Renewable Diesel'!$Z382*'[2]RD Feedstock Breakdown'!BW$3*'[2]Feedstock Conversion Rates'!$B$4)/12-250+180</f>
        <v>1.875</v>
      </c>
      <c r="BX373" s="45">
        <f>('[2]Renewable Diesel'!$Z382*'[2]RD Feedstock Breakdown'!BX$3*'[2]Feedstock Conversion Rates'!$B$5)/12</f>
        <v>7.2354166666666666</v>
      </c>
      <c r="BY373" s="45">
        <f>('[2]Renewable Diesel'!$Z382*'[2]RD Feedstock Breakdown'!BY$3*'[2]Feedstock Conversion Rates'!$B$7)/12</f>
        <v>61.716666666666661</v>
      </c>
      <c r="BZ373" s="45">
        <f>('[2]Renewable Diesel'!$Z382*'[2]RD Feedstock Breakdown'!BZ$3*'[2]Feedstock Conversion Rates'!$B$3)/12+250-180</f>
        <v>85.35250000000002</v>
      </c>
      <c r="CA373" s="47">
        <f t="shared" si="329"/>
        <v>156.17958333333334</v>
      </c>
      <c r="CB373" s="45">
        <f>('[2]Renewable Diesel'!AA382*'[2]Feedstock Conversion Rates'!B$4)/12</f>
        <v>191.25</v>
      </c>
      <c r="CC373" s="47">
        <f t="shared" si="318"/>
        <v>191.25</v>
      </c>
      <c r="CD373" s="45">
        <f>('[2]Renewable Diesel'!$AB382*'[2]RD Feedstock Breakdown'!CD$3*'[2]Feedstock Conversion Rates'!$B$6)/12-15-5</f>
        <v>12.830000000000005</v>
      </c>
      <c r="CE373" s="45">
        <f>('[2]Renewable Diesel'!$AB382*'[2]RD Feedstock Breakdown'!CE$3*'[2]Feedstock Conversion Rates'!$B$4)/12+15+5</f>
        <v>31.25</v>
      </c>
      <c r="CF373" s="47">
        <f t="shared" si="315"/>
        <v>44.080000000000005</v>
      </c>
      <c r="CG373" s="45">
        <f>('[2]Renewable Diesel'!AD382*'[2]Feedstock Conversion Rates'!B$4)/12</f>
        <v>112.5</v>
      </c>
      <c r="CH373" s="47">
        <f t="shared" si="302"/>
        <v>112.5</v>
      </c>
      <c r="CI373" s="45">
        <f>('[2]Renewable Diesel'!$AE382*'[2]RD Feedstock Breakdown'!CI$3*'[2]Feedstock Conversion Rates'!$B$5)/12</f>
        <v>0.34604166666666664</v>
      </c>
      <c r="CJ373" s="45">
        <f>('[2]Renewable Diesel'!$AE382*'[2]RD Feedstock Breakdown'!CJ$3*'[2]Feedstock Conversion Rates'!$B$4)/12</f>
        <v>0.34375</v>
      </c>
      <c r="CK373" s="47">
        <f t="shared" si="312"/>
        <v>0.68979166666666658</v>
      </c>
      <c r="CL373" s="45">
        <f>(((CL$3*'[2]Renewable Diesel'!$AF382)*'[2]Feedstock Conversion Rates'!$B$3)/12)</f>
        <v>91.78125</v>
      </c>
      <c r="CM373" s="45">
        <f>(((CM$3*'[2]Renewable Diesel'!$AF382)*'[2]Feedstock Conversion Rates'!$B$6)/12)</f>
        <v>53.739583333333336</v>
      </c>
      <c r="CN373" s="45">
        <f>(((CN$3*'[2]Renewable Diesel'!$AF382)*'[2]Feedstock Conversion Rates'!$B$4)/12)</f>
        <v>42.96875</v>
      </c>
      <c r="CO373" s="47">
        <f t="shared" si="304"/>
        <v>188.48958333333334</v>
      </c>
      <c r="CP373" s="45">
        <f>('[2]Renewable Diesel'!$AG382*'[2]RD Feedstock Breakdown'!CP$3*'[2]Feedstock Conversion Rates'!$B$3)/12</f>
        <v>6.0075000000000003</v>
      </c>
      <c r="CQ373" s="45">
        <f>('[2]Renewable Diesel'!$AG382*'[2]RD Feedstock Breakdown'!CQ$3*'[2]Feedstock Conversion Rates'!$B$6)/12</f>
        <v>3.5175000000000001</v>
      </c>
      <c r="CR373" s="45">
        <f>('[2]Renewable Diesel'!$AG382*'[2]RD Feedstock Breakdown'!CR$3*'[2]Feedstock Conversion Rates'!$B$4)/12</f>
        <v>2.8125</v>
      </c>
      <c r="CS373" s="47">
        <f t="shared" si="333"/>
        <v>12.3375</v>
      </c>
      <c r="CT373" s="45">
        <f>('[2]Renewable Diesel'!AI382*'[2]Feedstock Conversion Rates'!$B$4*'[2]RD Feedstock Breakdown'!$CT$3)/12</f>
        <v>29.375</v>
      </c>
      <c r="CU373" s="47">
        <f t="shared" si="308"/>
        <v>29.375</v>
      </c>
      <c r="CV373" s="45">
        <f>('[2]Renewable Diesel'!AN382*'[2]Feedstock Conversion Rates'!$B$3*'[2]RD Feedstock Breakdown'!$CV$3)/12</f>
        <v>0.50062499999999999</v>
      </c>
      <c r="CW373" s="47">
        <f t="shared" si="284"/>
        <v>0.50062499999999999</v>
      </c>
      <c r="CX373" s="45">
        <f>('[2]Renewable Diesel'!AO382*'[2]RD Feedstock Breakdown'!$CX$3*'[2]Feedstock Conversion Rates'!$B$3)/12</f>
        <v>6.3412499999999996</v>
      </c>
      <c r="CY373" s="45">
        <f>('[2]Renewable Diesel'!AO382*'[2]RD Feedstock Breakdown'!$CY$3*'[2]Feedstock Conversion Rates'!$B$6)/12</f>
        <v>7.4258333333333342</v>
      </c>
      <c r="CZ373" s="47">
        <f t="shared" si="334"/>
        <v>13.767083333333334</v>
      </c>
      <c r="DA373" s="45">
        <f>('[2]Renewable Diesel'!$AP382*'[2]RD Feedstock Breakdown'!DA$3*'[2]Feedstock Conversion Rates'!$B$3)/12</f>
        <v>6.3412499999999996</v>
      </c>
      <c r="DB373" s="45">
        <f>('[2]Renewable Diesel'!$AP382*'[2]RD Feedstock Breakdown'!DB$3*'[2]Feedstock Conversion Rates'!$B$8)/12</f>
        <v>7.421875</v>
      </c>
      <c r="DC373" s="47">
        <f t="shared" si="287"/>
        <v>13.763124999999999</v>
      </c>
      <c r="DD373" s="45">
        <f>('[2]Renewable Diesel'!AQ382*$DD$3*'[2]Feedstock Conversion Rates'!$B$14)/12</f>
        <v>3.1041666666666665</v>
      </c>
      <c r="DE373" s="47">
        <f t="shared" si="288"/>
        <v>3.1041666666666665</v>
      </c>
      <c r="DF373" s="45">
        <f>('[2]Renewable Diesel'!AR382*'[2]Feedstock Conversion Rates'!$B$4*$DF$3)/12</f>
        <v>75</v>
      </c>
      <c r="DG373" s="47">
        <f t="shared" si="335"/>
        <v>75</v>
      </c>
      <c r="DH373" s="45">
        <f>('[2]Renewable Diesel'!AS382*'[2]Feedstock Conversion Rates'!$B$4*$DH$3)/12</f>
        <v>75</v>
      </c>
      <c r="DI373" s="47">
        <f t="shared" si="273"/>
        <v>75</v>
      </c>
      <c r="DJ373" s="45">
        <f>('[2]Renewable Diesel'!AT382*'[2]Feedstock Conversion Rates'!$B$4*0.25)/12</f>
        <v>8.59375</v>
      </c>
      <c r="DK373" s="45">
        <f>('[2]Renewable Diesel'!$AT382*'[2]RD Feedstock Breakdown'!DK$3*'[2]Feedstock Conversion Rates'!$B$3)/12*0.5</f>
        <v>9.1781249999999996</v>
      </c>
      <c r="DL373" s="45">
        <f>('[2]Renewable Diesel'!$AT382*'[2]RD Feedstock Breakdown'!$DL$3*'[2]Feedstock Conversion Rates'!$B$6)/12</f>
        <v>10.747916666666669</v>
      </c>
      <c r="DM373" s="45">
        <f>('[2]Renewable Diesel'!$AT382*'[2]RD Feedstock Breakdown'!$DM$3*'[2]Feedstock Conversion Rates'!$B$8)/12</f>
        <v>10.7421875</v>
      </c>
      <c r="DN373" s="47">
        <f t="shared" si="317"/>
        <v>39.26197916666667</v>
      </c>
      <c r="DP373" s="45">
        <f t="shared" si="290"/>
        <v>48.220250000000007</v>
      </c>
      <c r="DQ373" s="45">
        <f t="shared" si="291"/>
        <v>399.11776750000007</v>
      </c>
      <c r="DR373" s="45">
        <f t="shared" si="296"/>
        <v>1891.953125</v>
      </c>
      <c r="DS373" s="45">
        <f t="shared" si="309"/>
        <v>228.90125</v>
      </c>
      <c r="DT373" s="45">
        <f t="shared" si="292"/>
        <v>243.03923333333344</v>
      </c>
      <c r="DU373" s="45">
        <f t="shared" si="293"/>
        <v>432.90610000000009</v>
      </c>
      <c r="DV373" s="45">
        <f t="shared" si="297"/>
        <v>78.75</v>
      </c>
      <c r="DW373" s="45">
        <f t="shared" si="294"/>
        <v>3</v>
      </c>
      <c r="DX373" s="47">
        <f t="shared" si="298"/>
        <v>3325.8877258333337</v>
      </c>
      <c r="DY373" s="50">
        <f t="shared" si="286"/>
        <v>-5.631051180898794E-13</v>
      </c>
      <c r="EA373" s="51">
        <f t="shared" si="330"/>
        <v>1.4498459952648568E-2</v>
      </c>
      <c r="EB373" s="51">
        <f t="shared" si="330"/>
        <v>0.1200033796691069</v>
      </c>
      <c r="EC373" s="51">
        <f t="shared" si="330"/>
        <v>0.56885658235079262</v>
      </c>
      <c r="ED373" s="51">
        <f t="shared" si="330"/>
        <v>6.882410618435611E-2</v>
      </c>
      <c r="EE373" s="51">
        <f t="shared" si="330"/>
        <v>7.3074996322203753E-2</v>
      </c>
      <c r="EF373" s="51">
        <f t="shared" si="330"/>
        <v>0.13016257182630278</v>
      </c>
      <c r="EG373" s="51">
        <f t="shared" si="327"/>
        <v>2.3677888880108969E-2</v>
      </c>
      <c r="EH373" s="52">
        <f t="shared" si="299"/>
        <v>9.0201481448034171E-4</v>
      </c>
      <c r="EI373" s="51">
        <f t="shared" si="337"/>
        <v>0.99909798518551962</v>
      </c>
      <c r="EK373" s="53">
        <f>(EA373*'[2]Renewable Diesel'!BF382*'[2]Feedstock Conversion Rates'!B$2)+FB373</f>
        <v>128.58953550490773</v>
      </c>
      <c r="EL373" s="53">
        <f>(EB373*'[2]Renewable Diesel'!BF382*'[2]Feedstock Conversion Rates'!B$3)+FC373</f>
        <v>1002.9766487779375</v>
      </c>
      <c r="EM373" s="53">
        <f>(EC373*'[2]Renewable Diesel'!BF382*'[2]Feedstock Conversion Rates'!B$4)+FD373</f>
        <v>4451.7306502755328</v>
      </c>
      <c r="EN373" s="53">
        <f>(ED373*'[2]Renewable Diesel'!BF382*'[2]Feedstock Conversion Rates'!B$5)+FE373</f>
        <v>542.19106965531091</v>
      </c>
      <c r="EO373" s="53">
        <f>(EE373*'[2]Renewable Diesel'!BF382*'[2]Feedstock Conversion Rates'!B$6)+FF373</f>
        <v>715.21476099714027</v>
      </c>
      <c r="EP373" s="53">
        <f>(EF373*'[2]Renewable Diesel'!BF382*'[2]Feedstock Conversion Rates'!B$7)+FG373</f>
        <v>1249.5072401164593</v>
      </c>
      <c r="EQ373" s="53">
        <f>(EG373*'[2]Renewable Diesel'!BF382*'[2]Feedstock Conversion Rates'!B$8)+FH373</f>
        <v>231.62161371545491</v>
      </c>
      <c r="ER373" s="53">
        <f>(EH373*'[2]Renewable Diesel'!BF382*'[2]Feedstock Conversion Rates'!B$9)+FI373</f>
        <v>8.7060314488602728</v>
      </c>
      <c r="ES373" s="53">
        <f t="shared" si="300"/>
        <v>8330.5375504916046</v>
      </c>
      <c r="ET373" s="36">
        <f>ES373/'[2]Renewable Diesel'!BF382</f>
        <v>7.9837733216591138</v>
      </c>
    </row>
    <row r="374" spans="1:150" x14ac:dyDescent="0.25">
      <c r="A374" s="39">
        <v>51806</v>
      </c>
      <c r="B374" s="45">
        <f>115.75+145+100+235+31.5-21-287-20-28-32-70-39-47+40+20-3-10-60-25-1</f>
        <v>44.25</v>
      </c>
      <c r="C374" s="45">
        <f t="shared" si="321"/>
        <v>49</v>
      </c>
      <c r="D374" s="45">
        <f>1+1</f>
        <v>2</v>
      </c>
      <c r="E374" s="45">
        <f>('[2]Renewable Diesel'!B383*E$3*'[2]Feedstock Conversion Rates'!$B$2)/12+26+13-100+27.5+39</f>
        <v>95.43</v>
      </c>
      <c r="F374" s="45">
        <f>('[2]Renewable Diesel'!B383*'[2]RD Feedstock Breakdown'!F$3*'[2]Feedstock Conversion Rates'!B$8)/12+77+23-10-12-115.75+24+8</f>
        <v>48.15625</v>
      </c>
      <c r="G374" s="45">
        <f>('[2]Renewable Diesel'!B383*'[2]RD Feedstock Breakdown'!G$3*'[2]Feedstock Conversion Rates'!B$7)/12+116.75-39-57.5-145-31.5+32+70-40+10+60</f>
        <v>151.90700000000004</v>
      </c>
      <c r="H374" s="45">
        <f>('[2]Renewable Diesel'!B383*'[2]RD Feedstock Breakdown'!H$3*'[2]Feedstock Conversion Rates'!B$3)/12+67+10+12+3-235+20+47-20+25</f>
        <v>105.40022499999998</v>
      </c>
      <c r="I374" s="47">
        <f t="shared" si="314"/>
        <v>496.14347500000002</v>
      </c>
      <c r="J374" s="45">
        <f t="shared" si="281"/>
        <v>4</v>
      </c>
      <c r="K374" s="45"/>
      <c r="L374" s="45">
        <v>1</v>
      </c>
      <c r="M374" s="45">
        <f>('[2]Renewable Diesel'!C383*'[2]RD Feedstock Breakdown'!M$3*'[2]Feedstock Conversion Rates'!B$2)/12-55</f>
        <v>-47.20975</v>
      </c>
      <c r="N374" s="45">
        <f>('[2]Renewable Diesel'!C383*'[2]RD Feedstock Breakdown'!N$3*'[2]Feedstock Conversion Rates'!B$8)/12</f>
        <v>3.671875</v>
      </c>
      <c r="O374" s="45">
        <f>('[2]Renewable Diesel'!C383*'[2]RD Feedstock Breakdown'!O$3*'[2]Feedstock Conversion Rates'!B$7)/12+30</f>
        <v>41.999099999999999</v>
      </c>
      <c r="P374" s="45">
        <f>('[2]Renewable Diesel'!C383*'[2]RD Feedstock Breakdown'!P$3*'[2]Feedstock Conversion Rates'!B$3)/12+15+35</f>
        <v>60.447042500000002</v>
      </c>
      <c r="Q374" s="47">
        <f t="shared" si="322"/>
        <v>63.908267500000001</v>
      </c>
      <c r="R374" s="45">
        <f>('[2]Renewable Diesel'!D383*'[2]RD Feedstock Breakdown'!R$3*'[2]Feedstock Conversion Rates'!B$7)/12</f>
        <v>2.2999999999999998</v>
      </c>
      <c r="S374" s="47">
        <f t="shared" si="279"/>
        <v>2.2999999999999998</v>
      </c>
      <c r="T374" s="45">
        <f t="shared" si="323"/>
        <v>0.82499999999999929</v>
      </c>
      <c r="U374" s="45"/>
      <c r="V374" s="45">
        <f>('[2]Renewable Diesel'!E383*'[2]RD Feedstock Breakdown'!V$3*'[2]Feedstock Conversion Rates'!B$6)/12-20+25</f>
        <v>49.250150000000012</v>
      </c>
      <c r="W374" s="45">
        <f>('[2]Renewable Diesel'!E383*'[2]RD Feedstock Breakdown'!W$3*'[2]Feedstock Conversion Rates'!B$8)/12-6</f>
        <v>16.1796875</v>
      </c>
      <c r="X374" s="47">
        <f t="shared" si="301"/>
        <v>66.254837500000008</v>
      </c>
      <c r="Y374" s="45">
        <f t="shared" si="324"/>
        <v>98</v>
      </c>
      <c r="Z374" s="45">
        <f>('[2]Renewable Diesel'!F383*'[2]RD Feedstock Breakdown'!Z$3*'[2]Feedstock Conversion Rates'!B$6)/12-142+15+5+20+5+15</f>
        <v>77.460000000000008</v>
      </c>
      <c r="AA374" s="45">
        <f>('[2]Renewable Diesel'!F383*'[2]RD Feedstock Breakdown'!AA$3*'[2]Feedstock Conversion Rates'!B$7)/12+24</f>
        <v>128.26666666666665</v>
      </c>
      <c r="AB374" s="47">
        <f t="shared" si="336"/>
        <v>303.72666666666669</v>
      </c>
      <c r="AC374" s="45">
        <f>('[2]Renewable Diesel'!G383*'[2]RD Feedstock Breakdown'!AC$3*'[2]Feedstock Conversion Rates'!B$5)/12</f>
        <v>11.796875</v>
      </c>
      <c r="AD374" s="45">
        <f>('[2]Renewable Diesel'!G383*'[2]RD Feedstock Breakdown'!AD$3*'[2]Feedstock Conversion Rates'!B$4)/12</f>
        <v>5.859375</v>
      </c>
      <c r="AE374" s="45">
        <f>('[2]Renewable Diesel'!G383*'[2]RD Feedstock Breakdown'!AE$3*'[2]Feedstock Conversion Rates'!B$6)/12</f>
        <v>7.3281250000000009</v>
      </c>
      <c r="AF374" s="47">
        <f t="shared" si="310"/>
        <v>24.984375</v>
      </c>
      <c r="AG374" s="45">
        <f t="shared" si="326"/>
        <v>148</v>
      </c>
      <c r="AH374" s="45"/>
      <c r="AI374" s="45">
        <f>('[2]Renewable Diesel'!H383*'[2]RD Feedstock Breakdown'!AI$3*'[2]Feedstock Conversion Rates'!B$6)/12-130-20+51-49</f>
        <v>0.51666666666667993</v>
      </c>
      <c r="AJ374" s="47">
        <f t="shared" si="278"/>
        <v>148.51666666666668</v>
      </c>
      <c r="AK374" s="45">
        <f>('[2]Renewable Diesel'!J383*'[2]RD Feedstock Breakdown'!AK$3*'[2]Feedstock Conversion Rates'!B$4)/12</f>
        <v>95.8125</v>
      </c>
      <c r="AL374" s="47">
        <f t="shared" si="280"/>
        <v>95.8125</v>
      </c>
      <c r="AM374" s="45">
        <f>('[2]Renewable Diesel'!K383*'[2]RD Feedstock Breakdown'!AM$3*'[2]Feedstock Conversion Rates'!B$4)/12+5+15-10+10</f>
        <v>78.59375</v>
      </c>
      <c r="AN374" s="45">
        <f>('[2]Renewable Diesel'!K383*'[2]RD Feedstock Breakdown'!AN$3*'[2]Feedstock Conversion Rates'!B$6)/12-5-15+10-10</f>
        <v>4.4270833333333321</v>
      </c>
      <c r="AO374" s="47">
        <f t="shared" si="295"/>
        <v>83.020833333333329</v>
      </c>
      <c r="AP374" s="45">
        <f>('[2]Renewable Diesel'!L383*'[2]RD Feedstock Breakdown'!AP$3*'[2]Feedstock Conversion Rates'!B$4)/12+15-10+15</f>
        <v>78.59375</v>
      </c>
      <c r="AQ374" s="45">
        <f>('[2]Renewable Diesel'!L383*'[2]RD Feedstock Breakdown'!AQ$3*'[2]Feedstock Conversion Rates'!B$6)/12-15+10-15</f>
        <v>4.4270833333333321</v>
      </c>
      <c r="AR374" s="47">
        <f t="shared" si="285"/>
        <v>83.020833333333329</v>
      </c>
      <c r="AS374" s="45">
        <f>('[2]Renewable Diesel'!M383*'[2]RD Feedstock Breakdown'!AS$3*'[2]Feedstock Conversion Rates'!B$4)/12</f>
        <v>456.25</v>
      </c>
      <c r="AT374" s="45">
        <f>('[2]Renewable Diesel'!M383*'[2]RD Feedstock Breakdown'!AT$3*'[2]Feedstock Conversion Rates'!B$5)/12</f>
        <v>0</v>
      </c>
      <c r="AU374" s="47">
        <f t="shared" si="313"/>
        <v>456.25</v>
      </c>
      <c r="AV374" s="45">
        <f>'[2]Renewable Diesel'!N383*'[2]RD Feedstock Breakdown'!$AV$3*'[2]Feedstock Conversion Rates'!$B$4/12-15-10+25+25-22+25</f>
        <v>106.74999999999999</v>
      </c>
      <c r="AW374" s="45">
        <f>'[2]Renewable Diesel'!N383*'[2]RD Feedstock Breakdown'!$AW$3*'[2]Feedstock Conversion Rates'!$B$7/12+15+10-25-25+22-25</f>
        <v>13.400000000000006</v>
      </c>
      <c r="AX374" s="47">
        <f t="shared" si="272"/>
        <v>120.14999999999999</v>
      </c>
      <c r="AY374" s="45">
        <f>('[2]Renewable Diesel'!O383*'[2]RD Feedstock Breakdown'!AY$3*'[2]Feedstock Conversion Rates'!B$4)/12</f>
        <v>210.9375</v>
      </c>
      <c r="AZ374" s="45">
        <f>('[2]Renewable Diesel'!O383*'[2]RD Feedstock Breakdown'!AZ$3*'[2]Feedstock Conversion Rates'!B$3)/12</f>
        <v>25.03125</v>
      </c>
      <c r="BA374" s="47">
        <f t="shared" si="325"/>
        <v>235.96875</v>
      </c>
      <c r="BB374" s="45">
        <f>('[2]Renewable Diesel'!Q383*'[2]RD Feedstock Breakdown'!BB$3*'[2]Feedstock Conversion Rates'!B$4)/12</f>
        <v>11.156249999999998</v>
      </c>
      <c r="BC374" s="45">
        <f>('[2]Renewable Diesel'!Q383*'[2]RD Feedstock Breakdown'!BC$3*'[2]Feedstock Conversion Rates'!B$3)/12</f>
        <v>1.4017500000000001</v>
      </c>
      <c r="BD374" s="45">
        <f>('[2]Renewable Diesel'!Q383*'[2]RD Feedstock Breakdown'!BD$3*'[2]Feedstock Conversion Rates'!B$6)/12</f>
        <v>0.8207500000000002</v>
      </c>
      <c r="BE374" s="47">
        <f t="shared" si="303"/>
        <v>13.378749999999998</v>
      </c>
      <c r="BF374" s="45">
        <f>('[2]Renewable Diesel'!R383*'[2]RD Feedstock Breakdown'!BF$3*'[2]Feedstock Conversion Rates'!B$4)/12</f>
        <v>62.5</v>
      </c>
      <c r="BG374" s="47">
        <f t="shared" si="289"/>
        <v>62.5</v>
      </c>
      <c r="BH374" s="45">
        <f>('[2]Renewable Diesel'!T383*'[2]RD Feedstock Breakdown'!BH$3*'[2]Feedstock Conversion Rates'!B$7)/12</f>
        <v>27.599999999999998</v>
      </c>
      <c r="BI374" s="47">
        <f t="shared" si="277"/>
        <v>27.599999999999998</v>
      </c>
      <c r="BJ374" s="45">
        <f>('[2]Renewable Diesel'!W383*'[2]RD Feedstock Breakdown'!BJ$3*'[2]Feedstock Conversion Rates'!B$4)/12</f>
        <v>7.5</v>
      </c>
      <c r="BK374" s="45">
        <f>('[2]Renewable Diesel'!W383*'[2]RD Feedstock Breakdown'!BK$3*'[2]Feedstock Conversion Rates'!B$3)/12</f>
        <v>1.335</v>
      </c>
      <c r="BL374" s="45">
        <f>('[2]Renewable Diesel'!W383*'[2]RD Feedstock Breakdown'!BL$3*'[2]Feedstock Conversion Rates'!B$6)/12</f>
        <v>3.1266666666666669</v>
      </c>
      <c r="BM374" s="45">
        <f>('[2]Renewable Diesel'!W383*'[2]RD Feedstock Breakdown'!BM$3*'[2]Feedstock Conversion Rates'!B$7)/12</f>
        <v>1.5333333333333332</v>
      </c>
      <c r="BN374" s="47">
        <f t="shared" si="316"/>
        <v>13.495000000000001</v>
      </c>
      <c r="BO374" s="45">
        <f>('[2]Renewable Diesel'!P383*'[2]Feedstock Conversion Rates'!B$4)/12</f>
        <v>31.25</v>
      </c>
      <c r="BP374" s="47">
        <f t="shared" si="311"/>
        <v>31.25</v>
      </c>
      <c r="BQ374" s="45">
        <f>('[2]Renewable Diesel'!$S383*'[2]RD Feedstock Breakdown'!BQ$3*'[2]Feedstock Conversion Rates'!B$4)/12+10+15-15</f>
        <v>38.125</v>
      </c>
      <c r="BR374" s="45">
        <f>('[2]Renewable Diesel'!$S383*'[2]RD Feedstock Breakdown'!BR$3*'[2]Feedstock Conversion Rates'!B$7)/12-10-15+15</f>
        <v>1.5</v>
      </c>
      <c r="BS374" s="47">
        <f t="shared" si="328"/>
        <v>39.625</v>
      </c>
      <c r="BT374" s="47"/>
      <c r="BU374" s="45">
        <f>('[2]Renewable Diesel'!Y383*'[2]Feedstock Conversion Rates'!B$7)/12</f>
        <v>2.6833333333333331</v>
      </c>
      <c r="BV374" s="47">
        <f t="shared" si="305"/>
        <v>2.6833333333333331</v>
      </c>
      <c r="BW374" s="45">
        <f>('[2]Renewable Diesel'!$Z383*'[2]RD Feedstock Breakdown'!BW$3*'[2]Feedstock Conversion Rates'!$B$4)/12-250+180</f>
        <v>1.875</v>
      </c>
      <c r="BX374" s="45">
        <f>('[2]Renewable Diesel'!$Z383*'[2]RD Feedstock Breakdown'!BX$3*'[2]Feedstock Conversion Rates'!$B$5)/12</f>
        <v>7.2354166666666666</v>
      </c>
      <c r="BY374" s="45">
        <f>('[2]Renewable Diesel'!$Z383*'[2]RD Feedstock Breakdown'!BY$3*'[2]Feedstock Conversion Rates'!$B$7)/12</f>
        <v>61.716666666666661</v>
      </c>
      <c r="BZ374" s="45">
        <f>('[2]Renewable Diesel'!$Z383*'[2]RD Feedstock Breakdown'!BZ$3*'[2]Feedstock Conversion Rates'!$B$3)/12+250-180</f>
        <v>85.35250000000002</v>
      </c>
      <c r="CA374" s="47">
        <f t="shared" si="329"/>
        <v>156.17958333333334</v>
      </c>
      <c r="CB374" s="45">
        <f>('[2]Renewable Diesel'!AA383*'[2]Feedstock Conversion Rates'!B$4)/12</f>
        <v>191.25</v>
      </c>
      <c r="CC374" s="47">
        <f t="shared" si="318"/>
        <v>191.25</v>
      </c>
      <c r="CD374" s="45">
        <f>('[2]Renewable Diesel'!$AB383*'[2]RD Feedstock Breakdown'!CD$3*'[2]Feedstock Conversion Rates'!$B$6)/12-15-5</f>
        <v>12.830000000000005</v>
      </c>
      <c r="CE374" s="45">
        <f>('[2]Renewable Diesel'!$AB383*'[2]RD Feedstock Breakdown'!CE$3*'[2]Feedstock Conversion Rates'!$B$4)/12+15+5</f>
        <v>31.25</v>
      </c>
      <c r="CF374" s="47">
        <f t="shared" si="315"/>
        <v>44.080000000000005</v>
      </c>
      <c r="CG374" s="45">
        <f>('[2]Renewable Diesel'!AD383*'[2]Feedstock Conversion Rates'!B$4)/12</f>
        <v>112.5</v>
      </c>
      <c r="CH374" s="47">
        <f t="shared" si="302"/>
        <v>112.5</v>
      </c>
      <c r="CI374" s="45">
        <f>('[2]Renewable Diesel'!$AE383*'[2]RD Feedstock Breakdown'!CI$3*'[2]Feedstock Conversion Rates'!$B$5)/12</f>
        <v>0.34604166666666664</v>
      </c>
      <c r="CJ374" s="45">
        <f>('[2]Renewable Diesel'!$AE383*'[2]RD Feedstock Breakdown'!CJ$3*'[2]Feedstock Conversion Rates'!$B$4)/12</f>
        <v>0.34375</v>
      </c>
      <c r="CK374" s="47">
        <f t="shared" si="312"/>
        <v>0.68979166666666658</v>
      </c>
      <c r="CL374" s="45">
        <f>(((CL$3*'[2]Renewable Diesel'!$AF383)*'[2]Feedstock Conversion Rates'!$B$3)/12)</f>
        <v>91.78125</v>
      </c>
      <c r="CM374" s="45">
        <f>(((CM$3*'[2]Renewable Diesel'!$AF383)*'[2]Feedstock Conversion Rates'!$B$6)/12)</f>
        <v>53.739583333333336</v>
      </c>
      <c r="CN374" s="45">
        <f>(((CN$3*'[2]Renewable Diesel'!$AF383)*'[2]Feedstock Conversion Rates'!$B$4)/12)</f>
        <v>42.96875</v>
      </c>
      <c r="CO374" s="47">
        <f t="shared" si="304"/>
        <v>188.48958333333334</v>
      </c>
      <c r="CP374" s="45">
        <f>('[2]Renewable Diesel'!$AG383*'[2]RD Feedstock Breakdown'!CP$3*'[2]Feedstock Conversion Rates'!$B$3)/12</f>
        <v>6.0075000000000003</v>
      </c>
      <c r="CQ374" s="45">
        <f>('[2]Renewable Diesel'!$AG383*'[2]RD Feedstock Breakdown'!CQ$3*'[2]Feedstock Conversion Rates'!$B$6)/12</f>
        <v>3.5175000000000001</v>
      </c>
      <c r="CR374" s="45">
        <f>('[2]Renewable Diesel'!$AG383*'[2]RD Feedstock Breakdown'!CR$3*'[2]Feedstock Conversion Rates'!$B$4)/12</f>
        <v>2.8125</v>
      </c>
      <c r="CS374" s="47">
        <f t="shared" si="333"/>
        <v>12.3375</v>
      </c>
      <c r="CT374" s="45">
        <f>('[2]Renewable Diesel'!AI383*'[2]Feedstock Conversion Rates'!$B$4*'[2]RD Feedstock Breakdown'!$CT$3)/12</f>
        <v>29.375</v>
      </c>
      <c r="CU374" s="47">
        <f t="shared" si="308"/>
        <v>29.375</v>
      </c>
      <c r="CV374" s="45">
        <f>('[2]Renewable Diesel'!AN383*'[2]Feedstock Conversion Rates'!$B$3*'[2]RD Feedstock Breakdown'!$CV$3)/12</f>
        <v>0.50062499999999999</v>
      </c>
      <c r="CW374" s="47">
        <f t="shared" si="284"/>
        <v>0.50062499999999999</v>
      </c>
      <c r="CX374" s="45">
        <f>('[2]Renewable Diesel'!AO383*'[2]RD Feedstock Breakdown'!$CX$3*'[2]Feedstock Conversion Rates'!$B$3)/12</f>
        <v>6.3412499999999996</v>
      </c>
      <c r="CY374" s="45">
        <f>('[2]Renewable Diesel'!AO383*'[2]RD Feedstock Breakdown'!$CY$3*'[2]Feedstock Conversion Rates'!$B$6)/12</f>
        <v>7.4258333333333342</v>
      </c>
      <c r="CZ374" s="47">
        <f t="shared" si="334"/>
        <v>13.767083333333334</v>
      </c>
      <c r="DA374" s="45">
        <f>('[2]Renewable Diesel'!$AP383*'[2]RD Feedstock Breakdown'!DA$3*'[2]Feedstock Conversion Rates'!$B$3)/12</f>
        <v>6.3412499999999996</v>
      </c>
      <c r="DB374" s="45">
        <f>('[2]Renewable Diesel'!$AP383*'[2]RD Feedstock Breakdown'!DB$3*'[2]Feedstock Conversion Rates'!$B$8)/12</f>
        <v>7.421875</v>
      </c>
      <c r="DC374" s="47">
        <f t="shared" si="287"/>
        <v>13.763124999999999</v>
      </c>
      <c r="DD374" s="45">
        <f>('[2]Renewable Diesel'!AQ383*$DD$3*'[2]Feedstock Conversion Rates'!$B$14)/12</f>
        <v>3.1041666666666665</v>
      </c>
      <c r="DE374" s="47">
        <f t="shared" si="288"/>
        <v>3.1041666666666665</v>
      </c>
      <c r="DF374" s="45">
        <f>('[2]Renewable Diesel'!AR383*'[2]Feedstock Conversion Rates'!$B$4*$DF$3)/12</f>
        <v>75</v>
      </c>
      <c r="DG374" s="47">
        <f t="shared" si="335"/>
        <v>75</v>
      </c>
      <c r="DH374" s="45">
        <f>('[2]Renewable Diesel'!AS383*'[2]Feedstock Conversion Rates'!$B$4*$DH$3)/12</f>
        <v>75</v>
      </c>
      <c r="DI374" s="47">
        <f t="shared" si="273"/>
        <v>75</v>
      </c>
      <c r="DJ374" s="45">
        <f>('[2]Renewable Diesel'!AT383*'[2]Feedstock Conversion Rates'!$B$4*0.25)/12</f>
        <v>8.59375</v>
      </c>
      <c r="DK374" s="45">
        <f>('[2]Renewable Diesel'!$AT383*'[2]RD Feedstock Breakdown'!DK$3*'[2]Feedstock Conversion Rates'!$B$3)/12*0.5</f>
        <v>9.1781249999999996</v>
      </c>
      <c r="DL374" s="45">
        <f>('[2]Renewable Diesel'!$AT383*'[2]RD Feedstock Breakdown'!$DL$3*'[2]Feedstock Conversion Rates'!$B$6)/12</f>
        <v>10.747916666666669</v>
      </c>
      <c r="DM374" s="45">
        <f>('[2]Renewable Diesel'!$AT383*'[2]RD Feedstock Breakdown'!$DM$3*'[2]Feedstock Conversion Rates'!$B$8)/12</f>
        <v>10.7421875</v>
      </c>
      <c r="DN374" s="47">
        <f t="shared" si="317"/>
        <v>39.26197916666667</v>
      </c>
      <c r="DP374" s="45">
        <f t="shared" si="290"/>
        <v>48.220250000000007</v>
      </c>
      <c r="DQ374" s="45">
        <f t="shared" si="291"/>
        <v>399.11776750000007</v>
      </c>
      <c r="DR374" s="45">
        <f t="shared" si="296"/>
        <v>1891.953125</v>
      </c>
      <c r="DS374" s="45">
        <f t="shared" si="309"/>
        <v>228.90125</v>
      </c>
      <c r="DT374" s="45">
        <f t="shared" si="292"/>
        <v>243.03923333333344</v>
      </c>
      <c r="DU374" s="45">
        <f t="shared" si="293"/>
        <v>432.90610000000009</v>
      </c>
      <c r="DV374" s="45">
        <f t="shared" si="297"/>
        <v>78.75</v>
      </c>
      <c r="DW374" s="45">
        <f t="shared" si="294"/>
        <v>3</v>
      </c>
      <c r="DX374" s="47">
        <f t="shared" si="298"/>
        <v>3325.8877258333337</v>
      </c>
      <c r="DY374" s="50">
        <f t="shared" si="286"/>
        <v>-5.631051180898794E-13</v>
      </c>
      <c r="EA374" s="51">
        <f t="shared" si="330"/>
        <v>1.4498459952648568E-2</v>
      </c>
      <c r="EB374" s="51">
        <f t="shared" si="330"/>
        <v>0.1200033796691069</v>
      </c>
      <c r="EC374" s="51">
        <f t="shared" si="330"/>
        <v>0.56885658235079262</v>
      </c>
      <c r="ED374" s="51">
        <f t="shared" si="330"/>
        <v>6.882410618435611E-2</v>
      </c>
      <c r="EE374" s="51">
        <f t="shared" si="330"/>
        <v>7.3074996322203753E-2</v>
      </c>
      <c r="EF374" s="51">
        <f t="shared" si="330"/>
        <v>0.13016257182630278</v>
      </c>
      <c r="EG374" s="51">
        <f t="shared" si="327"/>
        <v>2.3677888880108969E-2</v>
      </c>
      <c r="EH374" s="52">
        <f t="shared" si="299"/>
        <v>9.0201481448034171E-4</v>
      </c>
      <c r="EI374" s="51">
        <f t="shared" si="337"/>
        <v>0.99909798518551962</v>
      </c>
      <c r="EK374" s="53">
        <f>(EA374*'[2]Renewable Diesel'!BF383*'[2]Feedstock Conversion Rates'!B$2)+FB374</f>
        <v>130.96333130977513</v>
      </c>
      <c r="EL374" s="53">
        <f>(EB374*'[2]Renewable Diesel'!BF383*'[2]Feedstock Conversion Rates'!B$3)+FC374</f>
        <v>1021.4918549484906</v>
      </c>
      <c r="EM374" s="53">
        <f>(EC374*'[2]Renewable Diesel'!BF383*'[2]Feedstock Conversion Rates'!B$4)+FD374</f>
        <v>4533.9107398180486</v>
      </c>
      <c r="EN374" s="53">
        <f>(ED374*'[2]Renewable Diesel'!BF383*'[2]Feedstock Conversion Rates'!B$5)+FE374</f>
        <v>552.2000558572654</v>
      </c>
      <c r="EO374" s="53">
        <f>(EE374*'[2]Renewable Diesel'!BF383*'[2]Feedstock Conversion Rates'!B$6)+FF374</f>
        <v>728.41780891677024</v>
      </c>
      <c r="EP374" s="53">
        <f>(EF374*'[2]Renewable Diesel'!BF383*'[2]Feedstock Conversion Rates'!B$7)+FG374</f>
        <v>1272.5734642309924</v>
      </c>
      <c r="EQ374" s="53">
        <f>(EG374*'[2]Renewable Diesel'!BF383*'[2]Feedstock Conversion Rates'!B$8)+FH374</f>
        <v>235.89740810879712</v>
      </c>
      <c r="ER374" s="53">
        <f>(EH374*'[2]Renewable Diesel'!BF383*'[2]Feedstock Conversion Rates'!B$9)+FI374</f>
        <v>8.8667470222481217</v>
      </c>
      <c r="ES374" s="53">
        <f t="shared" si="300"/>
        <v>8484.3214102123857</v>
      </c>
      <c r="ET374" s="36">
        <f>ES374/'[2]Renewable Diesel'!BF383</f>
        <v>7.983773321659112</v>
      </c>
    </row>
    <row r="375" spans="1:150" x14ac:dyDescent="0.25">
      <c r="A375" s="39">
        <v>51836</v>
      </c>
      <c r="B375" s="45">
        <f>115.75+145+100+235+31.5-21-287-20-28-32-70-39-47+40+20-3-10-60-25-1</f>
        <v>44.25</v>
      </c>
      <c r="C375" s="45">
        <f t="shared" si="321"/>
        <v>49</v>
      </c>
      <c r="D375" s="45">
        <f>1+1</f>
        <v>2</v>
      </c>
      <c r="E375" s="45">
        <f>('[2]Renewable Diesel'!B384*E$3*'[2]Feedstock Conversion Rates'!$B$2)/12+26+13-100+27.5+39</f>
        <v>95.43</v>
      </c>
      <c r="F375" s="45">
        <f>('[2]Renewable Diesel'!B384*'[2]RD Feedstock Breakdown'!F$3*'[2]Feedstock Conversion Rates'!B$8)/12+77+23-10-12-115.75+24+8</f>
        <v>48.15625</v>
      </c>
      <c r="G375" s="45">
        <f>('[2]Renewable Diesel'!B384*'[2]RD Feedstock Breakdown'!G$3*'[2]Feedstock Conversion Rates'!B$7)/12+116.75-39-57.5-145-31.5+32+70-40+10+60</f>
        <v>151.90700000000004</v>
      </c>
      <c r="H375" s="45">
        <f>('[2]Renewable Diesel'!B384*'[2]RD Feedstock Breakdown'!H$3*'[2]Feedstock Conversion Rates'!B$3)/12+67+10+12+3-235+20+47-20+25</f>
        <v>105.40022499999998</v>
      </c>
      <c r="I375" s="47">
        <f t="shared" si="314"/>
        <v>496.14347500000002</v>
      </c>
      <c r="J375" s="45">
        <f t="shared" si="281"/>
        <v>4</v>
      </c>
      <c r="K375" s="45"/>
      <c r="L375" s="45">
        <v>1</v>
      </c>
      <c r="M375" s="45">
        <f>('[2]Renewable Diesel'!C384*'[2]RD Feedstock Breakdown'!M$3*'[2]Feedstock Conversion Rates'!B$2)/12-55</f>
        <v>-47.20975</v>
      </c>
      <c r="N375" s="45">
        <f>('[2]Renewable Diesel'!C384*'[2]RD Feedstock Breakdown'!N$3*'[2]Feedstock Conversion Rates'!B$8)/12</f>
        <v>3.671875</v>
      </c>
      <c r="O375" s="45">
        <f>('[2]Renewable Diesel'!C384*'[2]RD Feedstock Breakdown'!O$3*'[2]Feedstock Conversion Rates'!B$7)/12+30</f>
        <v>41.999099999999999</v>
      </c>
      <c r="P375" s="45">
        <f>('[2]Renewable Diesel'!C384*'[2]RD Feedstock Breakdown'!P$3*'[2]Feedstock Conversion Rates'!B$3)/12+15+35</f>
        <v>60.447042500000002</v>
      </c>
      <c r="Q375" s="47">
        <f t="shared" si="322"/>
        <v>63.908267500000001</v>
      </c>
      <c r="R375" s="45">
        <f>('[2]Renewable Diesel'!D384*'[2]RD Feedstock Breakdown'!R$3*'[2]Feedstock Conversion Rates'!B$7)/12</f>
        <v>2.2999999999999998</v>
      </c>
      <c r="S375" s="47">
        <f t="shared" si="279"/>
        <v>2.2999999999999998</v>
      </c>
      <c r="T375" s="45">
        <f t="shared" si="323"/>
        <v>0.82499999999999929</v>
      </c>
      <c r="U375" s="45"/>
      <c r="V375" s="45">
        <f>('[2]Renewable Diesel'!E384*'[2]RD Feedstock Breakdown'!V$3*'[2]Feedstock Conversion Rates'!B$6)/12-20+25</f>
        <v>49.250150000000012</v>
      </c>
      <c r="W375" s="45">
        <f>('[2]Renewable Diesel'!E384*'[2]RD Feedstock Breakdown'!W$3*'[2]Feedstock Conversion Rates'!B$8)/12-6</f>
        <v>16.1796875</v>
      </c>
      <c r="X375" s="47">
        <f t="shared" si="301"/>
        <v>66.254837500000008</v>
      </c>
      <c r="Y375" s="45">
        <f t="shared" si="324"/>
        <v>98</v>
      </c>
      <c r="Z375" s="45">
        <f>('[2]Renewable Diesel'!F384*'[2]RD Feedstock Breakdown'!Z$3*'[2]Feedstock Conversion Rates'!B$6)/12-142+15+5+20+5+15</f>
        <v>77.460000000000008</v>
      </c>
      <c r="AA375" s="45">
        <f>('[2]Renewable Diesel'!F384*'[2]RD Feedstock Breakdown'!AA$3*'[2]Feedstock Conversion Rates'!B$7)/12+24</f>
        <v>128.26666666666665</v>
      </c>
      <c r="AB375" s="47">
        <f t="shared" si="336"/>
        <v>303.72666666666669</v>
      </c>
      <c r="AC375" s="45">
        <f>('[2]Renewable Diesel'!G384*'[2]RD Feedstock Breakdown'!AC$3*'[2]Feedstock Conversion Rates'!B$5)/12</f>
        <v>11.796875</v>
      </c>
      <c r="AD375" s="45">
        <f>('[2]Renewable Diesel'!G384*'[2]RD Feedstock Breakdown'!AD$3*'[2]Feedstock Conversion Rates'!B$4)/12</f>
        <v>5.859375</v>
      </c>
      <c r="AE375" s="45">
        <f>('[2]Renewable Diesel'!G384*'[2]RD Feedstock Breakdown'!AE$3*'[2]Feedstock Conversion Rates'!B$6)/12</f>
        <v>7.3281250000000009</v>
      </c>
      <c r="AF375" s="47">
        <f t="shared" si="310"/>
        <v>24.984375</v>
      </c>
      <c r="AG375" s="45">
        <f t="shared" si="326"/>
        <v>148</v>
      </c>
      <c r="AH375" s="45"/>
      <c r="AI375" s="45">
        <f>('[2]Renewable Diesel'!H384*'[2]RD Feedstock Breakdown'!AI$3*'[2]Feedstock Conversion Rates'!B$6)/12-130-20+51-49</f>
        <v>0.51666666666667993</v>
      </c>
      <c r="AJ375" s="47">
        <f t="shared" si="278"/>
        <v>148.51666666666668</v>
      </c>
      <c r="AK375" s="45">
        <f>('[2]Renewable Diesel'!J384*'[2]RD Feedstock Breakdown'!AK$3*'[2]Feedstock Conversion Rates'!B$4)/12</f>
        <v>95.8125</v>
      </c>
      <c r="AL375" s="47">
        <f t="shared" si="280"/>
        <v>95.8125</v>
      </c>
      <c r="AM375" s="45">
        <f>('[2]Renewable Diesel'!K384*'[2]RD Feedstock Breakdown'!AM$3*'[2]Feedstock Conversion Rates'!B$4)/12+5+15-10+10</f>
        <v>78.59375</v>
      </c>
      <c r="AN375" s="45">
        <f>('[2]Renewable Diesel'!K384*'[2]RD Feedstock Breakdown'!AN$3*'[2]Feedstock Conversion Rates'!B$6)/12-5-15+10-10</f>
        <v>4.4270833333333321</v>
      </c>
      <c r="AO375" s="47">
        <f t="shared" si="295"/>
        <v>83.020833333333329</v>
      </c>
      <c r="AP375" s="45">
        <f>('[2]Renewable Diesel'!L384*'[2]RD Feedstock Breakdown'!AP$3*'[2]Feedstock Conversion Rates'!B$4)/12+15-10+15</f>
        <v>78.59375</v>
      </c>
      <c r="AQ375" s="45">
        <f>('[2]Renewable Diesel'!L384*'[2]RD Feedstock Breakdown'!AQ$3*'[2]Feedstock Conversion Rates'!B$6)/12-15+10-15</f>
        <v>4.4270833333333321</v>
      </c>
      <c r="AR375" s="47">
        <f t="shared" si="285"/>
        <v>83.020833333333329</v>
      </c>
      <c r="AS375" s="45">
        <f>('[2]Renewable Diesel'!M384*'[2]RD Feedstock Breakdown'!AS$3*'[2]Feedstock Conversion Rates'!B$4)/12</f>
        <v>456.25</v>
      </c>
      <c r="AT375" s="45">
        <f>('[2]Renewable Diesel'!M384*'[2]RD Feedstock Breakdown'!AT$3*'[2]Feedstock Conversion Rates'!B$5)/12</f>
        <v>0</v>
      </c>
      <c r="AU375" s="47">
        <f t="shared" si="313"/>
        <v>456.25</v>
      </c>
      <c r="AV375" s="45">
        <f>'[2]Renewable Diesel'!N384*'[2]RD Feedstock Breakdown'!$AV$3*'[2]Feedstock Conversion Rates'!$B$4/12-15-10+25+25-22+25</f>
        <v>106.74999999999999</v>
      </c>
      <c r="AW375" s="45">
        <f>'[2]Renewable Diesel'!N384*'[2]RD Feedstock Breakdown'!$AW$3*'[2]Feedstock Conversion Rates'!$B$7/12+15+10-25-25+22-25</f>
        <v>13.400000000000006</v>
      </c>
      <c r="AX375" s="47">
        <f>SUM(AV375:AW375)</f>
        <v>120.14999999999999</v>
      </c>
      <c r="AY375" s="45">
        <f>('[2]Renewable Diesel'!O384*'[2]RD Feedstock Breakdown'!AY$3*'[2]Feedstock Conversion Rates'!B$4)/12</f>
        <v>210.9375</v>
      </c>
      <c r="AZ375" s="45">
        <f>('[2]Renewable Diesel'!O384*'[2]RD Feedstock Breakdown'!AZ$3*'[2]Feedstock Conversion Rates'!B$3)/12</f>
        <v>25.03125</v>
      </c>
      <c r="BA375" s="47">
        <f t="shared" si="325"/>
        <v>235.96875</v>
      </c>
      <c r="BB375" s="45">
        <f>('[2]Renewable Diesel'!Q384*'[2]RD Feedstock Breakdown'!BB$3*'[2]Feedstock Conversion Rates'!B$4)/12</f>
        <v>11.156249999999998</v>
      </c>
      <c r="BC375" s="45">
        <f>('[2]Renewable Diesel'!Q384*'[2]RD Feedstock Breakdown'!BC$3*'[2]Feedstock Conversion Rates'!B$3)/12</f>
        <v>1.4017500000000001</v>
      </c>
      <c r="BD375" s="45">
        <f>('[2]Renewable Diesel'!Q384*'[2]RD Feedstock Breakdown'!BD$3*'[2]Feedstock Conversion Rates'!B$6)/12</f>
        <v>0.8207500000000002</v>
      </c>
      <c r="BE375" s="47">
        <f t="shared" si="303"/>
        <v>13.378749999999998</v>
      </c>
      <c r="BF375" s="45">
        <f>('[2]Renewable Diesel'!R384*'[2]RD Feedstock Breakdown'!BF$3*'[2]Feedstock Conversion Rates'!B$4)/12</f>
        <v>62.5</v>
      </c>
      <c r="BG375" s="47">
        <f t="shared" si="289"/>
        <v>62.5</v>
      </c>
      <c r="BH375" s="45">
        <f>('[2]Renewable Diesel'!T384*'[2]RD Feedstock Breakdown'!BH$3*'[2]Feedstock Conversion Rates'!B$7)/12</f>
        <v>27.599999999999998</v>
      </c>
      <c r="BI375" s="47">
        <f t="shared" si="277"/>
        <v>27.599999999999998</v>
      </c>
      <c r="BJ375" s="45">
        <f>('[2]Renewable Diesel'!W384*'[2]RD Feedstock Breakdown'!BJ$3*'[2]Feedstock Conversion Rates'!B$4)/12</f>
        <v>7.5</v>
      </c>
      <c r="BK375" s="45">
        <f>('[2]Renewable Diesel'!W384*'[2]RD Feedstock Breakdown'!BK$3*'[2]Feedstock Conversion Rates'!B$3)/12</f>
        <v>1.335</v>
      </c>
      <c r="BL375" s="45">
        <f>('[2]Renewable Diesel'!W384*'[2]RD Feedstock Breakdown'!BL$3*'[2]Feedstock Conversion Rates'!B$6)/12</f>
        <v>3.1266666666666669</v>
      </c>
      <c r="BM375" s="45">
        <f>('[2]Renewable Diesel'!W384*'[2]RD Feedstock Breakdown'!BM$3*'[2]Feedstock Conversion Rates'!B$7)/12</f>
        <v>1.5333333333333332</v>
      </c>
      <c r="BN375" s="47">
        <f t="shared" si="316"/>
        <v>13.495000000000001</v>
      </c>
      <c r="BO375" s="45">
        <f>('[2]Renewable Diesel'!P384*'[2]Feedstock Conversion Rates'!B$4)/12</f>
        <v>31.25</v>
      </c>
      <c r="BP375" s="47">
        <f t="shared" si="311"/>
        <v>31.25</v>
      </c>
      <c r="BQ375" s="45">
        <f>('[2]Renewable Diesel'!$S384*'[2]RD Feedstock Breakdown'!BQ$3*'[2]Feedstock Conversion Rates'!B$4)/12+10+15-15</f>
        <v>38.125</v>
      </c>
      <c r="BR375" s="45">
        <f>('[2]Renewable Diesel'!$S384*'[2]RD Feedstock Breakdown'!BR$3*'[2]Feedstock Conversion Rates'!B$7)/12-10-15+15</f>
        <v>1.5</v>
      </c>
      <c r="BS375" s="47">
        <f t="shared" si="328"/>
        <v>39.625</v>
      </c>
      <c r="BT375" s="47"/>
      <c r="BU375" s="45">
        <f>('[2]Renewable Diesel'!Y384*'[2]Feedstock Conversion Rates'!B$7)/12</f>
        <v>2.6833333333333331</v>
      </c>
      <c r="BV375" s="47">
        <f t="shared" si="305"/>
        <v>2.6833333333333331</v>
      </c>
      <c r="BW375" s="45">
        <f>('[2]Renewable Diesel'!$Z384*'[2]RD Feedstock Breakdown'!BW$3*'[2]Feedstock Conversion Rates'!$B$4)/12-250+180</f>
        <v>1.875</v>
      </c>
      <c r="BX375" s="45">
        <f>('[2]Renewable Diesel'!$Z384*'[2]RD Feedstock Breakdown'!BX$3*'[2]Feedstock Conversion Rates'!$B$5)/12</f>
        <v>7.2354166666666666</v>
      </c>
      <c r="BY375" s="45">
        <f>('[2]Renewable Diesel'!$Z384*'[2]RD Feedstock Breakdown'!BY$3*'[2]Feedstock Conversion Rates'!$B$7)/12</f>
        <v>61.716666666666661</v>
      </c>
      <c r="BZ375" s="45">
        <f>('[2]Renewable Diesel'!$Z384*'[2]RD Feedstock Breakdown'!BZ$3*'[2]Feedstock Conversion Rates'!$B$3)/12+250-180</f>
        <v>85.35250000000002</v>
      </c>
      <c r="CA375" s="47">
        <f t="shared" si="329"/>
        <v>156.17958333333334</v>
      </c>
      <c r="CB375" s="45">
        <f>('[2]Renewable Diesel'!AA384*'[2]Feedstock Conversion Rates'!B$4)/12</f>
        <v>191.25</v>
      </c>
      <c r="CC375" s="47">
        <f t="shared" si="318"/>
        <v>191.25</v>
      </c>
      <c r="CD375" s="45">
        <f>('[2]Renewable Diesel'!$AB384*'[2]RD Feedstock Breakdown'!CD$3*'[2]Feedstock Conversion Rates'!$B$6)/12-15-5</f>
        <v>12.830000000000005</v>
      </c>
      <c r="CE375" s="45">
        <f>('[2]Renewable Diesel'!$AB384*'[2]RD Feedstock Breakdown'!CE$3*'[2]Feedstock Conversion Rates'!$B$4)/12+15+5</f>
        <v>31.25</v>
      </c>
      <c r="CF375" s="47">
        <f t="shared" si="315"/>
        <v>44.080000000000005</v>
      </c>
      <c r="CG375" s="45">
        <f>('[2]Renewable Diesel'!AD384*'[2]Feedstock Conversion Rates'!B$4)/12</f>
        <v>112.5</v>
      </c>
      <c r="CH375" s="47">
        <f t="shared" si="302"/>
        <v>112.5</v>
      </c>
      <c r="CI375" s="45">
        <f>('[2]Renewable Diesel'!$AE384*'[2]RD Feedstock Breakdown'!CI$3*'[2]Feedstock Conversion Rates'!$B$5)/12</f>
        <v>0.34604166666666664</v>
      </c>
      <c r="CJ375" s="45">
        <f>('[2]Renewable Diesel'!$AE384*'[2]RD Feedstock Breakdown'!CJ$3*'[2]Feedstock Conversion Rates'!$B$4)/12</f>
        <v>0.34375</v>
      </c>
      <c r="CK375" s="47">
        <f t="shared" si="312"/>
        <v>0.68979166666666658</v>
      </c>
      <c r="CL375" s="45">
        <f>(((CL$3*'[2]Renewable Diesel'!$AF384)*'[2]Feedstock Conversion Rates'!$B$3)/12)</f>
        <v>91.78125</v>
      </c>
      <c r="CM375" s="45">
        <f>(((CM$3*'[2]Renewable Diesel'!$AF384)*'[2]Feedstock Conversion Rates'!$B$6)/12)</f>
        <v>53.739583333333336</v>
      </c>
      <c r="CN375" s="45">
        <f>(((CN$3*'[2]Renewable Diesel'!$AF384)*'[2]Feedstock Conversion Rates'!$B$4)/12)</f>
        <v>42.96875</v>
      </c>
      <c r="CO375" s="47">
        <f t="shared" si="304"/>
        <v>188.48958333333334</v>
      </c>
      <c r="CP375" s="45">
        <f>('[2]Renewable Diesel'!$AG384*'[2]RD Feedstock Breakdown'!CP$3*'[2]Feedstock Conversion Rates'!$B$3)/12</f>
        <v>6.0075000000000003</v>
      </c>
      <c r="CQ375" s="45">
        <f>('[2]Renewable Diesel'!$AG384*'[2]RD Feedstock Breakdown'!CQ$3*'[2]Feedstock Conversion Rates'!$B$6)/12</f>
        <v>3.5175000000000001</v>
      </c>
      <c r="CR375" s="45">
        <f>('[2]Renewable Diesel'!$AG384*'[2]RD Feedstock Breakdown'!CR$3*'[2]Feedstock Conversion Rates'!$B$4)/12</f>
        <v>2.8125</v>
      </c>
      <c r="CS375" s="47">
        <f t="shared" si="333"/>
        <v>12.3375</v>
      </c>
      <c r="CT375" s="45">
        <f>('[2]Renewable Diesel'!AI384*'[2]Feedstock Conversion Rates'!$B$4*'[2]RD Feedstock Breakdown'!$CT$3)/12</f>
        <v>29.375</v>
      </c>
      <c r="CU375" s="47">
        <f t="shared" si="308"/>
        <v>29.375</v>
      </c>
      <c r="CV375" s="45">
        <f>('[2]Renewable Diesel'!AN384*'[2]Feedstock Conversion Rates'!$B$3*'[2]RD Feedstock Breakdown'!$CV$3)/12</f>
        <v>0.50062499999999999</v>
      </c>
      <c r="CW375" s="47">
        <f t="shared" si="284"/>
        <v>0.50062499999999999</v>
      </c>
      <c r="CX375" s="45">
        <f>('[2]Renewable Diesel'!AO384*'[2]RD Feedstock Breakdown'!$CX$3*'[2]Feedstock Conversion Rates'!$B$3)/12</f>
        <v>6.3412499999999996</v>
      </c>
      <c r="CY375" s="45">
        <f>('[2]Renewable Diesel'!AO384*'[2]RD Feedstock Breakdown'!$CY$3*'[2]Feedstock Conversion Rates'!$B$6)/12</f>
        <v>7.4258333333333342</v>
      </c>
      <c r="CZ375" s="47">
        <f t="shared" si="334"/>
        <v>13.767083333333334</v>
      </c>
      <c r="DA375" s="45">
        <f>('[2]Renewable Diesel'!$AP384*'[2]RD Feedstock Breakdown'!DA$3*'[2]Feedstock Conversion Rates'!$B$3)/12</f>
        <v>6.3412499999999996</v>
      </c>
      <c r="DB375" s="45">
        <f>('[2]Renewable Diesel'!$AP384*'[2]RD Feedstock Breakdown'!DB$3*'[2]Feedstock Conversion Rates'!$B$8)/12</f>
        <v>7.421875</v>
      </c>
      <c r="DC375" s="47">
        <f t="shared" si="287"/>
        <v>13.763124999999999</v>
      </c>
      <c r="DD375" s="45">
        <f>('[2]Renewable Diesel'!AQ384*$DD$3*'[2]Feedstock Conversion Rates'!$B$14)/12</f>
        <v>3.1041666666666665</v>
      </c>
      <c r="DE375" s="47">
        <f t="shared" si="288"/>
        <v>3.1041666666666665</v>
      </c>
      <c r="DF375" s="45">
        <f>('[2]Renewable Diesel'!AR384*'[2]Feedstock Conversion Rates'!$B$4*$DF$3)/12</f>
        <v>75</v>
      </c>
      <c r="DG375" s="47">
        <f t="shared" si="335"/>
        <v>75</v>
      </c>
      <c r="DH375" s="45">
        <f>('[2]Renewable Diesel'!AS384*'[2]Feedstock Conversion Rates'!$B$4*$DH$3)/12</f>
        <v>75</v>
      </c>
      <c r="DI375" s="47">
        <f t="shared" si="273"/>
        <v>75</v>
      </c>
      <c r="DJ375" s="45">
        <f>('[2]Renewable Diesel'!AT384*'[2]Feedstock Conversion Rates'!$B$4*0.25)/12</f>
        <v>8.59375</v>
      </c>
      <c r="DK375" s="45">
        <f>('[2]Renewable Diesel'!$AT384*'[2]RD Feedstock Breakdown'!DK$3*'[2]Feedstock Conversion Rates'!$B$3)/12*0.5</f>
        <v>9.1781249999999996</v>
      </c>
      <c r="DL375" s="45">
        <f>('[2]Renewable Diesel'!$AT384*'[2]RD Feedstock Breakdown'!$DL$3*'[2]Feedstock Conversion Rates'!$B$6)/12</f>
        <v>10.747916666666669</v>
      </c>
      <c r="DM375" s="45">
        <f>('[2]Renewable Diesel'!$AT384*'[2]RD Feedstock Breakdown'!$DM$3*'[2]Feedstock Conversion Rates'!$B$8)/12</f>
        <v>10.7421875</v>
      </c>
      <c r="DN375" s="47">
        <f t="shared" si="317"/>
        <v>39.26197916666667</v>
      </c>
      <c r="DP375" s="45">
        <f t="shared" si="290"/>
        <v>48.220250000000007</v>
      </c>
      <c r="DQ375" s="45">
        <f t="shared" si="291"/>
        <v>399.11776750000007</v>
      </c>
      <c r="DR375" s="45">
        <f t="shared" si="296"/>
        <v>1891.953125</v>
      </c>
      <c r="DS375" s="45">
        <f t="shared" si="309"/>
        <v>228.90125</v>
      </c>
      <c r="DT375" s="45">
        <f t="shared" si="292"/>
        <v>243.03923333333344</v>
      </c>
      <c r="DU375" s="45">
        <f t="shared" si="293"/>
        <v>432.90610000000009</v>
      </c>
      <c r="DV375" s="45">
        <f t="shared" si="297"/>
        <v>78.75</v>
      </c>
      <c r="DW375" s="45">
        <f t="shared" si="294"/>
        <v>3</v>
      </c>
      <c r="DX375" s="47">
        <f t="shared" si="298"/>
        <v>3325.8877258333337</v>
      </c>
      <c r="DY375" s="50">
        <f t="shared" si="286"/>
        <v>-5.631051180898794E-13</v>
      </c>
      <c r="EA375" s="51">
        <f t="shared" si="330"/>
        <v>1.4498459952648568E-2</v>
      </c>
      <c r="EB375" s="51">
        <f t="shared" si="330"/>
        <v>0.1200033796691069</v>
      </c>
      <c r="EC375" s="51">
        <f t="shared" si="330"/>
        <v>0.56885658235079262</v>
      </c>
      <c r="ED375" s="51">
        <f t="shared" si="330"/>
        <v>6.882410618435611E-2</v>
      </c>
      <c r="EE375" s="51">
        <f t="shared" si="330"/>
        <v>7.3074996322203753E-2</v>
      </c>
      <c r="EF375" s="51">
        <f t="shared" si="330"/>
        <v>0.13016257182630278</v>
      </c>
      <c r="EG375" s="51">
        <f t="shared" si="327"/>
        <v>2.3677888880108969E-2</v>
      </c>
      <c r="EH375" s="52">
        <f t="shared" si="299"/>
        <v>9.0201481448034171E-4</v>
      </c>
      <c r="EI375" s="51">
        <f t="shared" si="337"/>
        <v>0.99909798518551962</v>
      </c>
      <c r="EK375" s="53">
        <f>(EA375*'[2]Renewable Diesel'!BF384*'[2]Feedstock Conversion Rates'!B$2)+FB375</f>
        <v>133.8355948695071</v>
      </c>
      <c r="EL375" s="53">
        <f>(EB375*'[2]Renewable Diesel'!BF384*'[2]Feedstock Conversion Rates'!B$3)+FC375</f>
        <v>1043.8950253793926</v>
      </c>
      <c r="EM375" s="53">
        <f>(EC375*'[2]Renewable Diesel'!BF384*'[2]Feedstock Conversion Rates'!B$4)+FD375</f>
        <v>4633.3476315862763</v>
      </c>
      <c r="EN375" s="53">
        <f>(ED375*'[2]Renewable Diesel'!BF384*'[2]Feedstock Conversion Rates'!B$5)+FE375</f>
        <v>564.31080534919124</v>
      </c>
      <c r="EO375" s="53">
        <f>(EE375*'[2]Renewable Diesel'!BF384*'[2]Feedstock Conversion Rates'!B$6)+FF375</f>
        <v>744.39333357613157</v>
      </c>
      <c r="EP375" s="53">
        <f>(EF375*'[2]Renewable Diesel'!BF384*'[2]Feedstock Conversion Rates'!B$7)+FG375</f>
        <v>1300.483310077436</v>
      </c>
      <c r="EQ375" s="53">
        <f>(EG375*'[2]Renewable Diesel'!BF384*'[2]Feedstock Conversion Rates'!B$8)+FH375</f>
        <v>241.0710664326179</v>
      </c>
      <c r="ER375" s="53">
        <f>(EH375*'[2]Renewable Diesel'!BF384*'[2]Feedstock Conversion Rates'!B$9)+FI375</f>
        <v>9.0612108779752258</v>
      </c>
      <c r="ES375" s="53">
        <f t="shared" si="300"/>
        <v>8670.3979781485286</v>
      </c>
      <c r="ET375" s="36">
        <f>ES375/'[2]Renewable Diesel'!BF384</f>
        <v>7.9837733216591147</v>
      </c>
    </row>
    <row r="376" spans="1:150" x14ac:dyDescent="0.25">
      <c r="E376" s="45"/>
      <c r="F376" s="45"/>
      <c r="G376" s="45"/>
      <c r="H376" s="45"/>
      <c r="I376" s="47"/>
    </row>
    <row r="377" spans="1:150" x14ac:dyDescent="0.25">
      <c r="I377" s="47">
        <f>'[2]Renewable Diesel'!B384*7.5/12</f>
        <v>431.25</v>
      </c>
      <c r="Q377" s="47">
        <f>'[2]Renewable Diesel'!C384*7.5/12</f>
        <v>29.375</v>
      </c>
      <c r="S377" s="47">
        <f>'[2]Renewable Diesel'!D384*7.5/12</f>
        <v>1.875</v>
      </c>
      <c r="X377" s="47">
        <f>'[2]Renewable Diesel'!E384*7.5/12</f>
        <v>53.125</v>
      </c>
      <c r="AB377" s="47">
        <f>'[2]Renewable Diesel'!F384*7.5/12</f>
        <v>212.5</v>
      </c>
      <c r="AF377" s="47">
        <f>'[2]Renewable Diesel'!G384*7.5/12</f>
        <v>23.4375</v>
      </c>
      <c r="AJ377" s="47">
        <f>'[2]Renewable Diesel'!H384*7.5/12</f>
        <v>118.75</v>
      </c>
      <c r="AL377" s="47">
        <f>'[2]Renewable Diesel'!J384*7.5/12</f>
        <v>95.8125</v>
      </c>
      <c r="AO377" s="47">
        <f>'[2]Renewable Diesel'!K384*7.5/12</f>
        <v>78.125</v>
      </c>
      <c r="AR377" s="47">
        <f>'[2]Renewable Diesel'!L384*7.5/12</f>
        <v>78.125</v>
      </c>
      <c r="AU377" s="47">
        <f>'[2]Renewable Diesel'!M384*7.5/12</f>
        <v>456.25</v>
      </c>
      <c r="AX377" s="47">
        <f>'[2]Renewable Diesel'!N384*7.5/12</f>
        <v>112.5</v>
      </c>
      <c r="BA377" s="47">
        <f>'[2]Renewable Diesel'!O384*7.5/12</f>
        <v>234.375</v>
      </c>
      <c r="BE377" s="47">
        <f>'[2]Renewable Diesel'!Q384*7.5/12</f>
        <v>13.125</v>
      </c>
      <c r="BG377" s="47">
        <f>'[2]Renewable Diesel'!R384*7.5/12</f>
        <v>62.5</v>
      </c>
      <c r="BI377" s="47">
        <f>'[2]Renewable Diesel'!T384*7.5/12</f>
        <v>22.5</v>
      </c>
      <c r="BN377" s="47">
        <f>'[2]Renewable Diesel'!W384*7.5/12</f>
        <v>12.5</v>
      </c>
      <c r="BP377" s="47">
        <f>'[2]Renewable Diesel'!P384*7.5/12</f>
        <v>31.25</v>
      </c>
      <c r="BS377" s="47">
        <f>'[2]Renewable Diesel'!S384*7.5/12</f>
        <v>37.5</v>
      </c>
      <c r="BV377" s="47">
        <f>'[2]Renewable Diesel'!Y384*7.5/12</f>
        <v>2.1875</v>
      </c>
      <c r="CA377" s="47">
        <f>'[2]Renewable Diesel'!Z384*7.5/12</f>
        <v>143.75</v>
      </c>
      <c r="CC377" s="47">
        <f>'[2]Renewable Diesel'!AA384*7.5/12</f>
        <v>191.25</v>
      </c>
      <c r="CF377" s="47">
        <f>'[2]Renewable Diesel'!AB384*7.5/12</f>
        <v>37.5</v>
      </c>
      <c r="CH377" s="47">
        <f>'[2]Renewable Diesel'!AD384*7.5/12</f>
        <v>112.5</v>
      </c>
      <c r="CK377" s="47">
        <f>'[2]Renewable Diesel'!AE384*7.5/12</f>
        <v>0.6875</v>
      </c>
      <c r="CO377" s="47">
        <f>'[2]Renewable Diesel'!AF384*7.5/12</f>
        <v>171.875</v>
      </c>
      <c r="CS377" s="47">
        <f>'[2]Renewable Diesel'!AG384*7.5/12</f>
        <v>11.25</v>
      </c>
      <c r="CU377" s="47">
        <f>'[2]Renewable Diesel'!AI384*7.5/12</f>
        <v>29.375</v>
      </c>
      <c r="CW377" s="47">
        <f>'[2]Renewable Diesel'!AN384*7.5/12</f>
        <v>0.46875</v>
      </c>
      <c r="CZ377" s="47">
        <f>'[2]Renewable Diesel'!AO384*7.5/12</f>
        <v>11.875</v>
      </c>
      <c r="DC377" s="47">
        <f>'[2]Renewable Diesel'!AP384*7.5/12</f>
        <v>11.875</v>
      </c>
      <c r="DE377" s="47">
        <f>'[2]Renewable Diesel'!AQ384*7.5/12</f>
        <v>3.125</v>
      </c>
      <c r="DG377" s="47">
        <f>'[2]Renewable Diesel'!AR384*7.5/12</f>
        <v>75</v>
      </c>
      <c r="DI377" s="47">
        <f>'[2]Renewable Diesel'!AS384*7.5/12</f>
        <v>75</v>
      </c>
      <c r="DJ377" s="47"/>
      <c r="DN377" s="47">
        <f>'[2]Renewable Diesel'!AT384*7.5/12</f>
        <v>34.375</v>
      </c>
    </row>
  </sheetData>
  <mergeCells count="38">
    <mergeCell ref="AC1:AF1"/>
    <mergeCell ref="B1:I1"/>
    <mergeCell ref="J1:Q1"/>
    <mergeCell ref="R1:S1"/>
    <mergeCell ref="T1:X1"/>
    <mergeCell ref="Y1:AB1"/>
    <mergeCell ref="BO1:BP1"/>
    <mergeCell ref="AG1:AJ1"/>
    <mergeCell ref="AK1:AL1"/>
    <mergeCell ref="AM1:AO1"/>
    <mergeCell ref="AP1:AR1"/>
    <mergeCell ref="AS1:AU1"/>
    <mergeCell ref="AV1:AX1"/>
    <mergeCell ref="AY1:BA1"/>
    <mergeCell ref="BB1:BE1"/>
    <mergeCell ref="BF1:BG1"/>
    <mergeCell ref="BH1:BI1"/>
    <mergeCell ref="BJ1:BN1"/>
    <mergeCell ref="CX1:CZ1"/>
    <mergeCell ref="BQ1:BS1"/>
    <mergeCell ref="BT1:BV1"/>
    <mergeCell ref="BW1:CA1"/>
    <mergeCell ref="CB1:CC1"/>
    <mergeCell ref="CD1:CF1"/>
    <mergeCell ref="CG1:CH1"/>
    <mergeCell ref="CI1:CK1"/>
    <mergeCell ref="CL1:CO1"/>
    <mergeCell ref="CP1:CS1"/>
    <mergeCell ref="CT1:CU1"/>
    <mergeCell ref="CV1:CW1"/>
    <mergeCell ref="EA1:EI1"/>
    <mergeCell ref="EK1:ES1"/>
    <mergeCell ref="DA1:DC1"/>
    <mergeCell ref="DD1:DE1"/>
    <mergeCell ref="DF1:DG1"/>
    <mergeCell ref="DH1:DI1"/>
    <mergeCell ref="DJ1:DN1"/>
    <mergeCell ref="DP1:D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87EB-0115-43BB-8B2D-C742B6105460}">
  <dimension ref="A1:I144"/>
  <sheetViews>
    <sheetView workbookViewId="0">
      <selection activeCell="C7" sqref="C7"/>
    </sheetView>
  </sheetViews>
  <sheetFormatPr defaultRowHeight="15" x14ac:dyDescent="0.25"/>
  <cols>
    <col min="1" max="1" width="21.140625" bestFit="1" customWidth="1"/>
    <col min="2" max="3" width="9.85546875" bestFit="1" customWidth="1"/>
    <col min="4" max="9" width="9.42578125" bestFit="1" customWidth="1"/>
  </cols>
  <sheetData>
    <row r="1" spans="1:9" ht="15.75" thickBot="1" x14ac:dyDescent="0.3">
      <c r="B1" t="s">
        <v>258</v>
      </c>
      <c r="C1" t="s">
        <v>259</v>
      </c>
      <c r="D1" s="55" t="s">
        <v>260</v>
      </c>
      <c r="E1" s="56" t="s">
        <v>261</v>
      </c>
      <c r="F1" s="56" t="s">
        <v>262</v>
      </c>
      <c r="G1" s="56" t="s">
        <v>263</v>
      </c>
      <c r="H1" s="57" t="s">
        <v>264</v>
      </c>
      <c r="I1" s="58" t="s">
        <v>265</v>
      </c>
    </row>
    <row r="2" spans="1:9" x14ac:dyDescent="0.25">
      <c r="A2" s="59" t="s">
        <v>266</v>
      </c>
      <c r="B2" s="60">
        <v>44564</v>
      </c>
      <c r="C2" s="61">
        <v>44570</v>
      </c>
      <c r="D2" s="62">
        <v>6.5869400000000002</v>
      </c>
      <c r="E2" s="63">
        <v>6.5352399999999999</v>
      </c>
      <c r="F2" s="63">
        <v>6.6314000000000002</v>
      </c>
      <c r="G2" s="63">
        <v>6.5201700000000002</v>
      </c>
      <c r="H2" s="64">
        <v>6.4252700000000003</v>
      </c>
      <c r="I2" s="65">
        <v>6.5028100000000002</v>
      </c>
    </row>
    <row r="3" spans="1:9" x14ac:dyDescent="0.25">
      <c r="A3" s="59" t="s">
        <v>266</v>
      </c>
      <c r="B3" s="60">
        <v>44571</v>
      </c>
      <c r="C3" s="61">
        <v>44577</v>
      </c>
      <c r="D3" s="62">
        <v>6.5924699999999996</v>
      </c>
      <c r="E3" s="63">
        <v>6.5438900000000002</v>
      </c>
      <c r="F3" s="63">
        <v>6.4998699999999996</v>
      </c>
      <c r="G3" s="63">
        <v>6.4927299999999999</v>
      </c>
      <c r="H3" s="64">
        <v>6.4449199999999998</v>
      </c>
      <c r="I3" s="65">
        <v>6.4943900000000001</v>
      </c>
    </row>
    <row r="4" spans="1:9" x14ac:dyDescent="0.25">
      <c r="A4" s="59" t="s">
        <v>266</v>
      </c>
      <c r="B4" s="60">
        <v>44578</v>
      </c>
      <c r="C4" s="61">
        <v>44584</v>
      </c>
      <c r="D4" s="62">
        <v>6.5997500000000002</v>
      </c>
      <c r="E4" s="63">
        <v>6.5269199999999996</v>
      </c>
      <c r="F4" s="63">
        <v>6.63605</v>
      </c>
      <c r="G4" s="63">
        <v>6.5066899999999999</v>
      </c>
      <c r="H4" s="64">
        <v>6.4895100000000001</v>
      </c>
      <c r="I4" s="65">
        <v>6.53165</v>
      </c>
    </row>
    <row r="5" spans="1:9" x14ac:dyDescent="0.25">
      <c r="A5" s="59" t="s">
        <v>266</v>
      </c>
      <c r="B5" s="60">
        <v>44585</v>
      </c>
      <c r="C5" s="61">
        <v>44591</v>
      </c>
      <c r="D5" s="62">
        <v>6.5790199999999999</v>
      </c>
      <c r="E5" s="63">
        <v>6.5339799999999997</v>
      </c>
      <c r="F5" s="63">
        <v>6.6399600000000003</v>
      </c>
      <c r="G5" s="63">
        <v>6.4888300000000001</v>
      </c>
      <c r="H5" s="64">
        <v>6.4610000000000003</v>
      </c>
      <c r="I5" s="65">
        <v>6.5178000000000003</v>
      </c>
    </row>
    <row r="6" spans="1:9" x14ac:dyDescent="0.25">
      <c r="A6" s="59" t="s">
        <v>266</v>
      </c>
      <c r="B6" s="60">
        <v>44592</v>
      </c>
      <c r="C6" s="61">
        <v>44598</v>
      </c>
      <c r="D6" s="62">
        <v>6.7189899999999998</v>
      </c>
      <c r="E6" s="63">
        <v>6.6734299999999998</v>
      </c>
      <c r="F6" s="63">
        <v>6.6943099999999998</v>
      </c>
      <c r="G6" s="63">
        <v>6.5232000000000001</v>
      </c>
      <c r="H6" s="64">
        <v>6.5084400000000002</v>
      </c>
      <c r="I6" s="65">
        <v>6.5814399999999997</v>
      </c>
    </row>
    <row r="7" spans="1:9" x14ac:dyDescent="0.25">
      <c r="A7" s="59" t="s">
        <v>266</v>
      </c>
      <c r="B7" s="60">
        <v>44599</v>
      </c>
      <c r="C7" s="61">
        <v>44605</v>
      </c>
      <c r="D7" s="62">
        <v>6.7242800000000003</v>
      </c>
      <c r="E7" s="63">
        <v>6.6819499999999996</v>
      </c>
      <c r="F7" s="63">
        <v>6.6453800000000003</v>
      </c>
      <c r="G7" s="63">
        <v>6.5412100000000004</v>
      </c>
      <c r="H7" s="64">
        <v>6.5585399999999998</v>
      </c>
      <c r="I7" s="65">
        <v>6.6034699999999997</v>
      </c>
    </row>
    <row r="8" spans="1:9" x14ac:dyDescent="0.25">
      <c r="A8" s="59" t="s">
        <v>266</v>
      </c>
      <c r="B8" s="60">
        <v>44606</v>
      </c>
      <c r="C8" s="61">
        <v>44612</v>
      </c>
      <c r="D8" s="62">
        <v>6.7449399999999997</v>
      </c>
      <c r="E8" s="63">
        <v>6.76227</v>
      </c>
      <c r="F8" s="63">
        <v>6.6452499999999999</v>
      </c>
      <c r="G8" s="63">
        <v>6.5672499999999996</v>
      </c>
      <c r="H8" s="64">
        <v>6.6016300000000001</v>
      </c>
      <c r="I8" s="65">
        <v>6.6307700000000001</v>
      </c>
    </row>
    <row r="9" spans="1:9" x14ac:dyDescent="0.25">
      <c r="A9" s="59" t="s">
        <v>266</v>
      </c>
      <c r="B9" s="60">
        <v>44613</v>
      </c>
      <c r="C9" s="61">
        <v>44619</v>
      </c>
      <c r="D9" s="62">
        <v>6.7065200000000003</v>
      </c>
      <c r="E9" s="63">
        <v>6.7625099999999998</v>
      </c>
      <c r="F9" s="63">
        <v>6.7438200000000004</v>
      </c>
      <c r="G9" s="63">
        <v>6.7167199999999996</v>
      </c>
      <c r="H9" s="64">
        <v>6.6565399999999997</v>
      </c>
      <c r="I9" s="65">
        <v>6.7055699999999998</v>
      </c>
    </row>
    <row r="10" spans="1:9" x14ac:dyDescent="0.25">
      <c r="A10" s="59" t="s">
        <v>266</v>
      </c>
      <c r="B10" s="60">
        <v>44620</v>
      </c>
      <c r="C10" s="61">
        <v>44626</v>
      </c>
      <c r="D10" s="62">
        <v>6.8045</v>
      </c>
      <c r="E10" s="63">
        <v>6.8577899999999996</v>
      </c>
      <c r="F10" s="63">
        <v>6.7669800000000002</v>
      </c>
      <c r="G10" s="63">
        <v>6.7852600000000001</v>
      </c>
      <c r="H10" s="64">
        <v>6.7670000000000003</v>
      </c>
      <c r="I10" s="65">
        <v>6.79068</v>
      </c>
    </row>
    <row r="11" spans="1:9" x14ac:dyDescent="0.25">
      <c r="A11" s="59" t="s">
        <v>266</v>
      </c>
      <c r="B11" s="60">
        <v>44627</v>
      </c>
      <c r="C11" s="61">
        <v>44633</v>
      </c>
      <c r="D11" s="62">
        <v>6.9510300000000003</v>
      </c>
      <c r="E11" s="63">
        <v>7.0887700000000002</v>
      </c>
      <c r="F11" s="63">
        <v>6.8995800000000003</v>
      </c>
      <c r="G11" s="63">
        <v>7.06569</v>
      </c>
      <c r="H11" s="64">
        <v>7.0889499999999996</v>
      </c>
      <c r="I11" s="65">
        <v>7.0524699999999996</v>
      </c>
    </row>
    <row r="12" spans="1:9" x14ac:dyDescent="0.25">
      <c r="A12" s="59" t="s">
        <v>266</v>
      </c>
      <c r="B12" s="60">
        <v>44634</v>
      </c>
      <c r="C12" s="61">
        <v>44640</v>
      </c>
      <c r="D12" s="62">
        <v>7.0499900000000002</v>
      </c>
      <c r="E12" s="63">
        <v>7.2911299999999999</v>
      </c>
      <c r="F12" s="63">
        <v>6.9602700000000004</v>
      </c>
      <c r="G12" s="63">
        <v>7.23001</v>
      </c>
      <c r="H12" s="64">
        <v>7.3090400000000004</v>
      </c>
      <c r="I12" s="65">
        <v>7.2214999999999998</v>
      </c>
    </row>
    <row r="13" spans="1:9" x14ac:dyDescent="0.25">
      <c r="A13" s="59" t="s">
        <v>266</v>
      </c>
      <c r="B13" s="60">
        <v>44641</v>
      </c>
      <c r="C13" s="61">
        <v>44647</v>
      </c>
      <c r="D13" s="62">
        <v>7.2685399999999998</v>
      </c>
      <c r="E13" s="63">
        <v>7.3619899999999996</v>
      </c>
      <c r="F13" s="63">
        <v>6.9298599999999997</v>
      </c>
      <c r="G13" s="63">
        <v>7.3042600000000002</v>
      </c>
      <c r="H13" s="64">
        <v>7.2645400000000002</v>
      </c>
      <c r="I13" s="65">
        <v>7.2572700000000001</v>
      </c>
    </row>
    <row r="14" spans="1:9" x14ac:dyDescent="0.25">
      <c r="A14" s="59" t="s">
        <v>266</v>
      </c>
      <c r="B14" s="60">
        <v>44648</v>
      </c>
      <c r="C14" s="61">
        <v>44654</v>
      </c>
      <c r="D14" s="62">
        <v>7.1537300000000004</v>
      </c>
      <c r="E14" s="63">
        <v>7.1707099999999997</v>
      </c>
      <c r="F14" s="63">
        <v>6.9098499999999996</v>
      </c>
      <c r="G14" s="63">
        <v>7.1409200000000004</v>
      </c>
      <c r="H14" s="64">
        <v>7.1633800000000001</v>
      </c>
      <c r="I14" s="65">
        <v>7.1322099999999997</v>
      </c>
    </row>
    <row r="15" spans="1:9" x14ac:dyDescent="0.25">
      <c r="A15" s="59" t="s">
        <v>266</v>
      </c>
      <c r="B15" s="60">
        <v>44655</v>
      </c>
      <c r="C15" s="61">
        <v>44661</v>
      </c>
      <c r="D15" s="62">
        <v>6.8951200000000004</v>
      </c>
      <c r="E15" s="63">
        <v>7.0567000000000002</v>
      </c>
      <c r="F15" s="63">
        <v>6.7983399999999996</v>
      </c>
      <c r="G15" s="63">
        <v>6.8836300000000001</v>
      </c>
      <c r="H15" s="64">
        <v>6.90808</v>
      </c>
      <c r="I15" s="65">
        <v>6.91425</v>
      </c>
    </row>
    <row r="16" spans="1:9" x14ac:dyDescent="0.25">
      <c r="A16" s="59" t="s">
        <v>266</v>
      </c>
      <c r="B16" s="60">
        <v>44662</v>
      </c>
      <c r="C16" s="61">
        <v>44668</v>
      </c>
      <c r="D16" s="62">
        <v>6.7969299999999997</v>
      </c>
      <c r="E16" s="63">
        <v>6.9707100000000004</v>
      </c>
      <c r="F16" s="63">
        <v>6.7877000000000001</v>
      </c>
      <c r="G16" s="63">
        <v>6.7239000000000004</v>
      </c>
      <c r="H16" s="64">
        <v>6.83941</v>
      </c>
      <c r="I16" s="65">
        <v>6.8283699999999996</v>
      </c>
    </row>
    <row r="17" spans="1:9" x14ac:dyDescent="0.25">
      <c r="A17" s="59" t="s">
        <v>266</v>
      </c>
      <c r="B17" s="60">
        <v>44669</v>
      </c>
      <c r="C17" s="61">
        <v>44675</v>
      </c>
      <c r="D17" s="62">
        <v>6.7597100000000001</v>
      </c>
      <c r="E17" s="63">
        <v>6.9895199999999997</v>
      </c>
      <c r="F17" s="63">
        <v>6.8450300000000004</v>
      </c>
      <c r="G17" s="63">
        <v>6.7924300000000004</v>
      </c>
      <c r="H17" s="64">
        <v>6.8783300000000001</v>
      </c>
      <c r="I17" s="65">
        <v>6.8608500000000001</v>
      </c>
    </row>
    <row r="18" spans="1:9" x14ac:dyDescent="0.25">
      <c r="A18" s="59" t="s">
        <v>266</v>
      </c>
      <c r="B18" s="60">
        <v>44676</v>
      </c>
      <c r="C18" s="61">
        <v>44682</v>
      </c>
      <c r="D18" s="62">
        <v>6.8665200000000004</v>
      </c>
      <c r="E18" s="63">
        <v>7.0738200000000004</v>
      </c>
      <c r="F18" s="63">
        <v>6.8964499999999997</v>
      </c>
      <c r="G18" s="63">
        <v>6.9796399999999998</v>
      </c>
      <c r="H18" s="64">
        <v>6.9812599999999998</v>
      </c>
      <c r="I18" s="65">
        <v>6.9744900000000003</v>
      </c>
    </row>
    <row r="19" spans="1:9" x14ac:dyDescent="0.25">
      <c r="A19" s="59" t="s">
        <v>266</v>
      </c>
      <c r="B19" s="60">
        <v>44683</v>
      </c>
      <c r="C19" s="61">
        <v>44689</v>
      </c>
      <c r="D19" s="62">
        <v>6.92469</v>
      </c>
      <c r="E19" s="63">
        <v>7.1935000000000002</v>
      </c>
      <c r="F19" s="63">
        <v>7.0502700000000003</v>
      </c>
      <c r="G19" s="63">
        <v>7.2502500000000003</v>
      </c>
      <c r="H19" s="64">
        <v>7.1577999999999999</v>
      </c>
      <c r="I19" s="65">
        <v>7.1527799999999999</v>
      </c>
    </row>
    <row r="20" spans="1:9" x14ac:dyDescent="0.25">
      <c r="A20" s="59" t="s">
        <v>266</v>
      </c>
      <c r="B20" s="60">
        <v>44690</v>
      </c>
      <c r="C20" s="61">
        <v>44696</v>
      </c>
      <c r="D20" s="62">
        <v>6.9992900000000002</v>
      </c>
      <c r="E20" s="63">
        <v>7.4392399999999999</v>
      </c>
      <c r="F20" s="63">
        <v>7.1653900000000004</v>
      </c>
      <c r="G20" s="63">
        <v>7.4104000000000001</v>
      </c>
      <c r="H20" s="64">
        <v>7.3256100000000002</v>
      </c>
      <c r="I20" s="65">
        <v>7.3220200000000002</v>
      </c>
    </row>
    <row r="21" spans="1:9" x14ac:dyDescent="0.25">
      <c r="A21" s="59" t="s">
        <v>266</v>
      </c>
      <c r="B21" s="60">
        <v>44697</v>
      </c>
      <c r="C21" s="61">
        <v>44703</v>
      </c>
      <c r="D21" s="62">
        <v>7.1727800000000004</v>
      </c>
      <c r="E21" s="63">
        <v>7.4859499999999999</v>
      </c>
      <c r="F21" s="63">
        <v>7.2361399999999998</v>
      </c>
      <c r="G21" s="63">
        <v>7.4921499999999996</v>
      </c>
      <c r="H21" s="64">
        <v>7.4045800000000002</v>
      </c>
      <c r="I21" s="65">
        <v>7.38734</v>
      </c>
    </row>
    <row r="22" spans="1:9" x14ac:dyDescent="0.25">
      <c r="A22" s="59" t="s">
        <v>266</v>
      </c>
      <c r="B22" s="60">
        <v>44704</v>
      </c>
      <c r="C22" s="61">
        <v>44710</v>
      </c>
      <c r="D22" s="62">
        <v>7.1860299999999997</v>
      </c>
      <c r="E22" s="63">
        <v>7.4093799999999996</v>
      </c>
      <c r="F22" s="63">
        <v>7.1973200000000004</v>
      </c>
      <c r="G22" s="63">
        <v>7.4832099999999997</v>
      </c>
      <c r="H22" s="64">
        <v>7.4249000000000001</v>
      </c>
      <c r="I22" s="65">
        <v>7.3849900000000002</v>
      </c>
    </row>
    <row r="23" spans="1:9" x14ac:dyDescent="0.25">
      <c r="A23" s="59" t="s">
        <v>266</v>
      </c>
      <c r="B23" s="60">
        <v>44711</v>
      </c>
      <c r="C23" s="61">
        <v>44717</v>
      </c>
      <c r="D23" s="62">
        <v>7.1406700000000001</v>
      </c>
      <c r="E23" s="63">
        <v>7.3140799999999997</v>
      </c>
      <c r="F23" s="63">
        <v>7.0627800000000001</v>
      </c>
      <c r="G23" s="63">
        <v>7.3236800000000004</v>
      </c>
      <c r="H23" s="64">
        <v>7.2732299999999999</v>
      </c>
      <c r="I23" s="65">
        <v>7.2556599999999998</v>
      </c>
    </row>
    <row r="24" spans="1:9" x14ac:dyDescent="0.25">
      <c r="A24" s="59" t="s">
        <v>266</v>
      </c>
      <c r="B24" s="60">
        <v>44718</v>
      </c>
      <c r="C24" s="61">
        <v>44724</v>
      </c>
      <c r="D24" s="62">
        <v>7.1739300000000004</v>
      </c>
      <c r="E24" s="63">
        <v>7.1875299999999998</v>
      </c>
      <c r="F24" s="63">
        <v>7.0227199999999996</v>
      </c>
      <c r="G24" s="63">
        <v>7.1083999999999996</v>
      </c>
      <c r="H24" s="64">
        <v>6.9834500000000004</v>
      </c>
      <c r="I24" s="65">
        <v>7.0634899999999998</v>
      </c>
    </row>
    <row r="25" spans="1:9" x14ac:dyDescent="0.25">
      <c r="A25" s="59" t="s">
        <v>266</v>
      </c>
      <c r="B25" s="60">
        <v>44725</v>
      </c>
      <c r="C25" s="61">
        <v>44731</v>
      </c>
      <c r="D25" s="62">
        <v>7.0569600000000001</v>
      </c>
      <c r="E25" s="63">
        <v>7.1710200000000004</v>
      </c>
      <c r="F25" s="63">
        <v>6.9274199999999997</v>
      </c>
      <c r="G25" s="63">
        <v>6.9404399999999997</v>
      </c>
      <c r="H25" s="64">
        <v>6.9098600000000001</v>
      </c>
      <c r="I25" s="65">
        <v>6.9747300000000001</v>
      </c>
    </row>
    <row r="26" spans="1:9" x14ac:dyDescent="0.25">
      <c r="A26" s="59" t="s">
        <v>266</v>
      </c>
      <c r="B26" s="60">
        <v>44732</v>
      </c>
      <c r="C26" s="61">
        <v>44738</v>
      </c>
      <c r="D26" s="62">
        <v>7.0071000000000003</v>
      </c>
      <c r="E26" s="63">
        <v>7.0996199999999998</v>
      </c>
      <c r="F26" s="63">
        <v>6.9131799999999997</v>
      </c>
      <c r="G26" s="63">
        <v>6.90008</v>
      </c>
      <c r="H26" s="64">
        <v>6.8527800000000001</v>
      </c>
      <c r="I26" s="65">
        <v>6.9316599999999999</v>
      </c>
    </row>
    <row r="27" spans="1:9" x14ac:dyDescent="0.25">
      <c r="A27" s="59" t="s">
        <v>266</v>
      </c>
      <c r="B27" s="60">
        <v>44739</v>
      </c>
      <c r="C27" s="61">
        <v>44745</v>
      </c>
      <c r="D27" s="62">
        <v>6.9477399999999996</v>
      </c>
      <c r="E27" s="63">
        <v>6.9580399999999996</v>
      </c>
      <c r="F27" s="63">
        <v>6.6825700000000001</v>
      </c>
      <c r="G27" s="63">
        <v>6.7736200000000002</v>
      </c>
      <c r="H27" s="64">
        <v>6.7196800000000003</v>
      </c>
      <c r="I27" s="65">
        <v>6.7875399999999999</v>
      </c>
    </row>
    <row r="28" spans="1:9" x14ac:dyDescent="0.25">
      <c r="A28" s="59" t="s">
        <v>266</v>
      </c>
      <c r="B28" s="60">
        <v>44746</v>
      </c>
      <c r="C28" s="61">
        <v>44752</v>
      </c>
      <c r="D28" s="62">
        <v>6.7745699999999998</v>
      </c>
      <c r="E28" s="63">
        <v>6.43093</v>
      </c>
      <c r="F28" s="63">
        <v>6.5883200000000004</v>
      </c>
      <c r="G28" s="63">
        <v>6.4041300000000003</v>
      </c>
      <c r="H28" s="64">
        <v>6.4674199999999997</v>
      </c>
      <c r="I28" s="65">
        <v>6.4845899999999999</v>
      </c>
    </row>
    <row r="29" spans="1:9" x14ac:dyDescent="0.25">
      <c r="A29" s="59" t="s">
        <v>266</v>
      </c>
      <c r="B29" s="60">
        <v>44753</v>
      </c>
      <c r="C29" s="61">
        <v>44759</v>
      </c>
      <c r="D29" s="62">
        <v>6.6866399999999997</v>
      </c>
      <c r="E29" s="63">
        <v>6.3047199999999997</v>
      </c>
      <c r="F29" s="63">
        <v>6.5053200000000002</v>
      </c>
      <c r="G29" s="63">
        <v>6.3502000000000001</v>
      </c>
      <c r="H29" s="64">
        <v>6.31806</v>
      </c>
      <c r="I29" s="65">
        <v>6.3816100000000002</v>
      </c>
    </row>
    <row r="30" spans="1:9" x14ac:dyDescent="0.25">
      <c r="A30" s="59" t="s">
        <v>266</v>
      </c>
      <c r="B30" s="60">
        <v>44760</v>
      </c>
      <c r="C30" s="61">
        <v>44766</v>
      </c>
      <c r="D30" s="62">
        <v>6.5328999999999997</v>
      </c>
      <c r="E30" s="63">
        <v>6.1804199999999998</v>
      </c>
      <c r="F30" s="63">
        <v>6.2801499999999999</v>
      </c>
      <c r="G30" s="63">
        <v>6.2260400000000002</v>
      </c>
      <c r="H30" s="64">
        <v>6.1228600000000002</v>
      </c>
      <c r="I30" s="65">
        <v>6.21455</v>
      </c>
    </row>
    <row r="31" spans="1:9" x14ac:dyDescent="0.25">
      <c r="A31" s="59" t="s">
        <v>266</v>
      </c>
      <c r="B31" s="60">
        <v>44767</v>
      </c>
      <c r="C31" s="61">
        <v>44773</v>
      </c>
      <c r="D31" s="62">
        <v>6.3314199999999996</v>
      </c>
      <c r="E31" s="63">
        <v>5.99092</v>
      </c>
      <c r="F31" s="63">
        <v>6.17265</v>
      </c>
      <c r="G31" s="63">
        <v>6.0552799999999998</v>
      </c>
      <c r="H31" s="64">
        <v>6.1467599999999996</v>
      </c>
      <c r="I31" s="65">
        <v>6.11721</v>
      </c>
    </row>
    <row r="32" spans="1:9" x14ac:dyDescent="0.25">
      <c r="A32" s="59" t="s">
        <v>266</v>
      </c>
      <c r="B32" s="60">
        <v>44774</v>
      </c>
      <c r="C32" s="61">
        <v>44780</v>
      </c>
      <c r="D32" s="62">
        <v>6.17</v>
      </c>
      <c r="E32" s="63">
        <v>5.9461199999999996</v>
      </c>
      <c r="F32" s="63">
        <v>6.0427600000000004</v>
      </c>
      <c r="G32" s="63">
        <v>6.0296700000000003</v>
      </c>
      <c r="H32" s="64">
        <v>5.8491900000000001</v>
      </c>
      <c r="I32" s="65">
        <v>5.9702799999999998</v>
      </c>
    </row>
    <row r="33" spans="1:9" x14ac:dyDescent="0.25">
      <c r="A33" s="59" t="s">
        <v>266</v>
      </c>
      <c r="B33" s="60">
        <v>44781</v>
      </c>
      <c r="C33" s="61">
        <v>44787</v>
      </c>
      <c r="D33" s="62">
        <v>6.3327299999999997</v>
      </c>
      <c r="E33" s="63">
        <v>5.7754700000000003</v>
      </c>
      <c r="F33" s="63">
        <v>5.9739000000000004</v>
      </c>
      <c r="G33" s="63">
        <v>5.9292400000000001</v>
      </c>
      <c r="H33" s="64">
        <v>5.83622</v>
      </c>
      <c r="I33" s="65">
        <v>5.9103399999999997</v>
      </c>
    </row>
    <row r="34" spans="1:9" x14ac:dyDescent="0.25">
      <c r="A34" s="59" t="s">
        <v>266</v>
      </c>
      <c r="B34" s="60">
        <v>44788</v>
      </c>
      <c r="C34" s="61">
        <v>44794</v>
      </c>
      <c r="D34" s="62">
        <v>6.2552000000000003</v>
      </c>
      <c r="E34" s="63">
        <v>5.8791500000000001</v>
      </c>
      <c r="F34" s="63">
        <v>5.81447</v>
      </c>
      <c r="G34" s="63">
        <v>5.8680700000000003</v>
      </c>
      <c r="H34" s="64">
        <v>5.8583600000000002</v>
      </c>
      <c r="I34" s="65">
        <v>5.89072</v>
      </c>
    </row>
    <row r="35" spans="1:9" x14ac:dyDescent="0.25">
      <c r="A35" s="59" t="s">
        <v>266</v>
      </c>
      <c r="B35" s="60">
        <v>44795</v>
      </c>
      <c r="C35" s="61">
        <v>44801</v>
      </c>
      <c r="D35" s="62">
        <v>6.0016600000000002</v>
      </c>
      <c r="E35" s="63">
        <v>5.9344900000000003</v>
      </c>
      <c r="F35" s="63">
        <v>6.0493100000000002</v>
      </c>
      <c r="G35" s="63">
        <v>5.6893200000000004</v>
      </c>
      <c r="H35" s="64">
        <v>5.89255</v>
      </c>
      <c r="I35" s="65">
        <v>5.8801300000000003</v>
      </c>
    </row>
    <row r="36" spans="1:9" x14ac:dyDescent="0.25">
      <c r="A36" s="59" t="s">
        <v>266</v>
      </c>
      <c r="B36" s="60">
        <v>44802</v>
      </c>
      <c r="C36" s="61">
        <v>44808</v>
      </c>
      <c r="D36" s="62">
        <v>5.8606699999999998</v>
      </c>
      <c r="E36" s="63">
        <v>5.9500700000000002</v>
      </c>
      <c r="F36" s="63">
        <v>5.8806200000000004</v>
      </c>
      <c r="G36" s="63">
        <v>5.8824800000000002</v>
      </c>
      <c r="H36" s="64">
        <v>5.7575599999999998</v>
      </c>
      <c r="I36" s="65">
        <v>5.8491499999999998</v>
      </c>
    </row>
    <row r="37" spans="1:9" x14ac:dyDescent="0.25">
      <c r="A37" s="59" t="s">
        <v>266</v>
      </c>
      <c r="B37" s="60">
        <v>44809</v>
      </c>
      <c r="C37" s="61">
        <v>44815</v>
      </c>
      <c r="D37" s="62">
        <v>5.8490099999999998</v>
      </c>
      <c r="E37" s="63">
        <v>6.0198200000000002</v>
      </c>
      <c r="F37" s="63">
        <v>5.8402099999999999</v>
      </c>
      <c r="G37" s="63">
        <v>5.7512100000000004</v>
      </c>
      <c r="H37" s="64">
        <v>5.8560800000000004</v>
      </c>
      <c r="I37" s="65">
        <v>5.8631500000000001</v>
      </c>
    </row>
    <row r="38" spans="1:9" x14ac:dyDescent="0.25">
      <c r="A38" s="59" t="s">
        <v>266</v>
      </c>
      <c r="B38" s="60">
        <v>44816</v>
      </c>
      <c r="C38" s="61">
        <v>44822</v>
      </c>
      <c r="D38" s="62">
        <v>5.8477600000000001</v>
      </c>
      <c r="E38" s="63">
        <v>5.9763999999999999</v>
      </c>
      <c r="F38" s="63">
        <v>5.7947100000000002</v>
      </c>
      <c r="G38" s="63">
        <v>5.8223700000000003</v>
      </c>
      <c r="H38" s="64">
        <v>5.84206</v>
      </c>
      <c r="I38" s="65">
        <v>5.8576899999999998</v>
      </c>
    </row>
    <row r="39" spans="1:9" x14ac:dyDescent="0.25">
      <c r="A39" s="59" t="s">
        <v>266</v>
      </c>
      <c r="B39" s="60">
        <v>44823</v>
      </c>
      <c r="C39" s="61">
        <v>44829</v>
      </c>
      <c r="D39" s="62">
        <v>5.9367000000000001</v>
      </c>
      <c r="E39" s="63">
        <v>5.7035999999999998</v>
      </c>
      <c r="F39" s="63">
        <v>5.6876100000000003</v>
      </c>
      <c r="G39" s="63">
        <v>5.5957800000000004</v>
      </c>
      <c r="H39" s="64">
        <v>5.6608400000000003</v>
      </c>
      <c r="I39" s="65">
        <v>5.6856400000000002</v>
      </c>
    </row>
    <row r="40" spans="1:9" x14ac:dyDescent="0.25">
      <c r="A40" s="59" t="s">
        <v>266</v>
      </c>
      <c r="B40" s="60">
        <v>44830</v>
      </c>
      <c r="C40" s="61">
        <v>44836</v>
      </c>
      <c r="D40" s="62">
        <v>5.6661599999999996</v>
      </c>
      <c r="E40" s="63">
        <v>5.5937900000000003</v>
      </c>
      <c r="F40" s="63">
        <v>5.67232</v>
      </c>
      <c r="G40" s="63">
        <v>5.4152500000000003</v>
      </c>
      <c r="H40" s="64">
        <v>5.5280399999999998</v>
      </c>
      <c r="I40" s="65">
        <v>5.55044</v>
      </c>
    </row>
    <row r="41" spans="1:9" x14ac:dyDescent="0.25">
      <c r="A41" s="59" t="s">
        <v>266</v>
      </c>
      <c r="B41" s="60">
        <v>44837</v>
      </c>
      <c r="C41" s="61">
        <v>44843</v>
      </c>
      <c r="D41" s="62">
        <v>5.6433799999999996</v>
      </c>
      <c r="E41" s="63">
        <v>5.4028099999999997</v>
      </c>
      <c r="F41" s="63">
        <v>5.31853</v>
      </c>
      <c r="G41" s="63">
        <v>5.2098599999999999</v>
      </c>
      <c r="H41" s="64">
        <v>5.2646899999999999</v>
      </c>
      <c r="I41" s="65">
        <v>5.3126600000000002</v>
      </c>
    </row>
    <row r="42" spans="1:9" x14ac:dyDescent="0.25">
      <c r="A42" s="59" t="s">
        <v>266</v>
      </c>
      <c r="B42" s="60">
        <v>44844</v>
      </c>
      <c r="C42" s="61">
        <v>44850</v>
      </c>
      <c r="D42" s="62">
        <v>5.4851999999999999</v>
      </c>
      <c r="E42" s="63">
        <v>5.3831699999999998</v>
      </c>
      <c r="F42" s="63">
        <v>5.2954499999999998</v>
      </c>
      <c r="G42" s="63">
        <v>5.1097000000000001</v>
      </c>
      <c r="H42" s="64">
        <v>5.1936099999999996</v>
      </c>
      <c r="I42" s="65">
        <v>5.2498800000000001</v>
      </c>
    </row>
    <row r="43" spans="1:9" x14ac:dyDescent="0.25">
      <c r="A43" s="59" t="s">
        <v>266</v>
      </c>
      <c r="B43" s="60">
        <v>44851</v>
      </c>
      <c r="C43" s="61">
        <v>44857</v>
      </c>
      <c r="D43" s="62">
        <v>5.3938699999999997</v>
      </c>
      <c r="E43" s="63">
        <v>5.5370499999999998</v>
      </c>
      <c r="F43" s="63">
        <v>5.38415</v>
      </c>
      <c r="G43" s="63">
        <v>5.2174300000000002</v>
      </c>
      <c r="H43" s="64">
        <v>5.3087099999999996</v>
      </c>
      <c r="I43" s="65">
        <v>5.34612</v>
      </c>
    </row>
    <row r="44" spans="1:9" x14ac:dyDescent="0.25">
      <c r="A44" s="59" t="s">
        <v>266</v>
      </c>
      <c r="B44" s="60">
        <v>44858</v>
      </c>
      <c r="C44" s="61">
        <v>44864</v>
      </c>
      <c r="D44" s="62">
        <v>5.3748899999999997</v>
      </c>
      <c r="E44" s="63">
        <v>5.5415700000000001</v>
      </c>
      <c r="F44" s="63">
        <v>5.4253200000000001</v>
      </c>
      <c r="G44" s="63">
        <v>5.3719999999999999</v>
      </c>
      <c r="H44" s="64">
        <v>5.4273400000000001</v>
      </c>
      <c r="I44" s="65">
        <v>5.4285699999999997</v>
      </c>
    </row>
    <row r="45" spans="1:9" x14ac:dyDescent="0.25">
      <c r="A45" s="59" t="s">
        <v>266</v>
      </c>
      <c r="B45" s="60">
        <v>44865</v>
      </c>
      <c r="C45" s="61">
        <v>44871</v>
      </c>
      <c r="D45" s="62">
        <v>5.8080600000000002</v>
      </c>
      <c r="E45" s="63">
        <v>5.7970899999999999</v>
      </c>
      <c r="F45" s="63">
        <v>5.5746599999999997</v>
      </c>
      <c r="G45" s="63">
        <v>5.6337999999999999</v>
      </c>
      <c r="H45" s="64">
        <v>5.67211</v>
      </c>
      <c r="I45" s="65">
        <v>5.6818900000000001</v>
      </c>
    </row>
    <row r="46" spans="1:9" x14ac:dyDescent="0.25">
      <c r="A46" s="59" t="s">
        <v>266</v>
      </c>
      <c r="B46" s="60">
        <v>44872</v>
      </c>
      <c r="C46" s="61">
        <v>44878</v>
      </c>
      <c r="D46" s="62">
        <v>5.9634400000000003</v>
      </c>
      <c r="E46" s="63">
        <v>5.9930399999999997</v>
      </c>
      <c r="F46" s="63">
        <v>5.88293</v>
      </c>
      <c r="G46" s="63">
        <v>5.8835300000000004</v>
      </c>
      <c r="H46" s="64">
        <v>5.9181600000000003</v>
      </c>
      <c r="I46" s="65">
        <v>5.9214900000000004</v>
      </c>
    </row>
    <row r="47" spans="1:9" x14ac:dyDescent="0.25">
      <c r="A47" s="59" t="s">
        <v>266</v>
      </c>
      <c r="B47" s="60">
        <v>44879</v>
      </c>
      <c r="C47" s="61">
        <v>44885</v>
      </c>
      <c r="D47" s="62">
        <v>6.1003100000000003</v>
      </c>
      <c r="E47" s="63">
        <v>6.0406899999999997</v>
      </c>
      <c r="F47" s="63">
        <v>5.93614</v>
      </c>
      <c r="G47" s="63">
        <v>6.0067000000000004</v>
      </c>
      <c r="H47" s="64">
        <v>6.0743900000000002</v>
      </c>
      <c r="I47" s="65">
        <v>6.0372300000000001</v>
      </c>
    </row>
    <row r="48" spans="1:9" x14ac:dyDescent="0.25">
      <c r="A48" s="59" t="s">
        <v>266</v>
      </c>
      <c r="B48" s="60">
        <v>44886</v>
      </c>
      <c r="C48" s="61">
        <v>44892</v>
      </c>
      <c r="D48" s="62">
        <v>6.22072</v>
      </c>
      <c r="E48" s="63">
        <v>6.2400900000000004</v>
      </c>
      <c r="F48" s="63">
        <v>5.9873200000000004</v>
      </c>
      <c r="G48" s="63">
        <v>6.0542400000000001</v>
      </c>
      <c r="H48" s="64">
        <v>6.18004</v>
      </c>
      <c r="I48" s="65">
        <v>6.1405799999999999</v>
      </c>
    </row>
    <row r="49" spans="1:9" x14ac:dyDescent="0.25">
      <c r="A49" s="59" t="s">
        <v>266</v>
      </c>
      <c r="B49" s="60">
        <v>44893</v>
      </c>
      <c r="C49" s="61">
        <v>44899</v>
      </c>
      <c r="D49" s="62">
        <v>6.3063399999999996</v>
      </c>
      <c r="E49" s="63">
        <v>6.2509100000000002</v>
      </c>
      <c r="F49" s="63">
        <v>6.0393499999999998</v>
      </c>
      <c r="G49" s="63">
        <v>6.1357999999999997</v>
      </c>
      <c r="H49" s="64">
        <v>6.2171900000000004</v>
      </c>
      <c r="I49" s="65">
        <v>6.1923300000000001</v>
      </c>
    </row>
    <row r="50" spans="1:9" x14ac:dyDescent="0.25">
      <c r="A50" s="59" t="s">
        <v>266</v>
      </c>
      <c r="B50" s="60">
        <v>44900</v>
      </c>
      <c r="C50" s="61">
        <v>44906</v>
      </c>
      <c r="D50" s="62">
        <v>6.19733</v>
      </c>
      <c r="E50" s="63">
        <v>6.1868400000000001</v>
      </c>
      <c r="F50" s="63">
        <v>5.9710599999999996</v>
      </c>
      <c r="G50" s="63">
        <v>5.9944199999999999</v>
      </c>
      <c r="H50" s="64">
        <v>6.0669300000000002</v>
      </c>
      <c r="I50" s="65">
        <v>6.07111</v>
      </c>
    </row>
    <row r="51" spans="1:9" x14ac:dyDescent="0.25">
      <c r="A51" s="59" t="s">
        <v>266</v>
      </c>
      <c r="B51" s="60">
        <v>44907</v>
      </c>
      <c r="C51" s="61">
        <v>44913</v>
      </c>
      <c r="D51" s="62">
        <v>6.1864600000000003</v>
      </c>
      <c r="E51" s="63">
        <v>6.0406599999999999</v>
      </c>
      <c r="F51" s="63">
        <v>5.8316499999999998</v>
      </c>
      <c r="G51" s="63">
        <v>5.7128699999999997</v>
      </c>
      <c r="H51" s="64">
        <v>5.8108899999999997</v>
      </c>
      <c r="I51" s="65">
        <v>5.8627599999999997</v>
      </c>
    </row>
    <row r="52" spans="1:9" x14ac:dyDescent="0.25">
      <c r="A52" s="59" t="s">
        <v>266</v>
      </c>
      <c r="B52" s="60">
        <v>44914</v>
      </c>
      <c r="C52" s="61">
        <v>44920</v>
      </c>
      <c r="D52" s="62">
        <v>6.1045100000000003</v>
      </c>
      <c r="E52" s="63">
        <v>5.9266899999999998</v>
      </c>
      <c r="F52" s="63">
        <v>5.6541699999999997</v>
      </c>
      <c r="G52" s="63">
        <v>5.5787100000000001</v>
      </c>
      <c r="H52" s="64">
        <v>5.6430699999999998</v>
      </c>
      <c r="I52" s="65">
        <v>5.7098800000000001</v>
      </c>
    </row>
    <row r="53" spans="1:9" x14ac:dyDescent="0.25">
      <c r="A53" s="59" t="s">
        <v>266</v>
      </c>
      <c r="B53" s="60">
        <v>44921</v>
      </c>
      <c r="C53" s="61">
        <v>44927</v>
      </c>
      <c r="D53" s="62">
        <v>6.0396200000000002</v>
      </c>
      <c r="E53" s="63">
        <v>5.9257400000000002</v>
      </c>
      <c r="F53" s="63">
        <v>5.7276199999999999</v>
      </c>
      <c r="G53" s="63">
        <v>5.6131500000000001</v>
      </c>
      <c r="H53" s="64">
        <v>5.6858700000000004</v>
      </c>
      <c r="I53" s="65">
        <v>5.7370200000000002</v>
      </c>
    </row>
    <row r="54" spans="1:9" x14ac:dyDescent="0.25">
      <c r="A54" s="59" t="s">
        <v>266</v>
      </c>
      <c r="B54" s="60">
        <v>44928</v>
      </c>
      <c r="C54" s="61">
        <v>44934</v>
      </c>
      <c r="D54" s="62">
        <v>6.0948700000000002</v>
      </c>
      <c r="E54" s="63">
        <v>5.8896899999999999</v>
      </c>
      <c r="F54" s="63">
        <v>5.5726500000000003</v>
      </c>
      <c r="G54" s="63">
        <v>5.5932599999999999</v>
      </c>
      <c r="H54" s="64">
        <v>5.6301800000000002</v>
      </c>
      <c r="I54" s="65">
        <v>5.7110799999999999</v>
      </c>
    </row>
    <row r="55" spans="1:9" x14ac:dyDescent="0.25">
      <c r="A55" s="59" t="s">
        <v>266</v>
      </c>
      <c r="B55" s="60">
        <v>44935</v>
      </c>
      <c r="C55" s="61">
        <v>44941</v>
      </c>
      <c r="D55" s="62">
        <v>6.0568200000000001</v>
      </c>
      <c r="E55" s="63">
        <v>5.84734</v>
      </c>
      <c r="F55" s="63">
        <v>5.5075599999999998</v>
      </c>
      <c r="G55" s="63">
        <v>5.5647200000000003</v>
      </c>
      <c r="H55" s="64">
        <v>5.6165900000000004</v>
      </c>
      <c r="I55" s="65">
        <v>5.6697499999999996</v>
      </c>
    </row>
    <row r="56" spans="1:9" x14ac:dyDescent="0.25">
      <c r="A56" s="59" t="s">
        <v>266</v>
      </c>
      <c r="B56" s="60">
        <v>44942</v>
      </c>
      <c r="C56" s="61">
        <v>44948</v>
      </c>
      <c r="D56" s="62">
        <v>5.9470299999999998</v>
      </c>
      <c r="E56" s="63">
        <v>5.8020399999999999</v>
      </c>
      <c r="F56" s="63">
        <v>5.6080100000000002</v>
      </c>
      <c r="G56" s="63">
        <v>5.4287799999999997</v>
      </c>
      <c r="H56" s="64">
        <v>5.5580699999999998</v>
      </c>
      <c r="I56" s="65">
        <v>5.6112200000000003</v>
      </c>
    </row>
    <row r="57" spans="1:9" x14ac:dyDescent="0.25">
      <c r="A57" s="59" t="s">
        <v>266</v>
      </c>
      <c r="B57" s="60">
        <v>44949</v>
      </c>
      <c r="C57" s="61">
        <v>44955</v>
      </c>
      <c r="D57" s="62">
        <v>5.6714000000000002</v>
      </c>
      <c r="E57" s="63">
        <v>5.7425699999999997</v>
      </c>
      <c r="F57" s="63">
        <v>5.4853300000000003</v>
      </c>
      <c r="G57" s="63">
        <v>5.3528599999999997</v>
      </c>
      <c r="H57" s="64">
        <v>5.4363400000000004</v>
      </c>
      <c r="I57" s="65">
        <v>5.4970800000000004</v>
      </c>
    </row>
    <row r="58" spans="1:9" x14ac:dyDescent="0.25">
      <c r="A58" s="59" t="s">
        <v>266</v>
      </c>
      <c r="B58" s="60">
        <v>44956</v>
      </c>
      <c r="C58" s="61">
        <v>44962</v>
      </c>
      <c r="D58" s="62">
        <v>5.6681999999999997</v>
      </c>
      <c r="E58" s="63">
        <v>5.5880700000000001</v>
      </c>
      <c r="F58" s="63">
        <v>5.3786800000000001</v>
      </c>
      <c r="G58" s="63">
        <v>5.1639400000000002</v>
      </c>
      <c r="H58" s="64">
        <v>5.3151400000000004</v>
      </c>
      <c r="I58" s="65">
        <v>5.3704799999999997</v>
      </c>
    </row>
    <row r="59" spans="1:9" x14ac:dyDescent="0.25">
      <c r="A59" s="59" t="s">
        <v>266</v>
      </c>
      <c r="B59" s="60">
        <v>44963</v>
      </c>
      <c r="C59" s="61">
        <v>44969</v>
      </c>
      <c r="D59" s="62">
        <v>5.6604099999999997</v>
      </c>
      <c r="E59" s="63">
        <v>5.47872</v>
      </c>
      <c r="F59" s="63">
        <v>5.2092799999999997</v>
      </c>
      <c r="G59" s="63">
        <v>5.0508800000000003</v>
      </c>
      <c r="H59" s="64">
        <v>5.1888100000000001</v>
      </c>
      <c r="I59" s="65">
        <v>5.2448600000000001</v>
      </c>
    </row>
    <row r="60" spans="1:9" x14ac:dyDescent="0.25">
      <c r="A60" s="59" t="s">
        <v>266</v>
      </c>
      <c r="B60" s="60">
        <v>44970</v>
      </c>
      <c r="C60" s="61">
        <v>44976</v>
      </c>
      <c r="D60" s="62">
        <v>5.5690099999999996</v>
      </c>
      <c r="E60" s="63">
        <v>5.4741799999999996</v>
      </c>
      <c r="F60" s="63">
        <v>5.1131599999999997</v>
      </c>
      <c r="G60" s="63">
        <v>5.0173300000000003</v>
      </c>
      <c r="H60" s="64">
        <v>5.1201600000000003</v>
      </c>
      <c r="I60" s="65">
        <v>5.1881599999999999</v>
      </c>
    </row>
    <row r="61" spans="1:9" x14ac:dyDescent="0.25">
      <c r="A61" s="59" t="s">
        <v>266</v>
      </c>
      <c r="B61" s="60">
        <v>44977</v>
      </c>
      <c r="C61" s="61">
        <v>44983</v>
      </c>
      <c r="D61" s="62">
        <v>5.3731099999999996</v>
      </c>
      <c r="E61" s="63">
        <v>5.39628</v>
      </c>
      <c r="F61" s="63">
        <v>5.00943</v>
      </c>
      <c r="G61" s="63">
        <v>5.0237299999999996</v>
      </c>
      <c r="H61" s="64">
        <v>5.0928399999999998</v>
      </c>
      <c r="I61" s="65">
        <v>5.1356000000000002</v>
      </c>
    </row>
    <row r="62" spans="1:9" x14ac:dyDescent="0.25">
      <c r="A62" s="59" t="s">
        <v>266</v>
      </c>
      <c r="B62" s="60">
        <v>44984</v>
      </c>
      <c r="C62" s="61">
        <v>44990</v>
      </c>
      <c r="D62" s="62">
        <v>5.3634399999999998</v>
      </c>
      <c r="E62" s="63">
        <v>5.3131000000000004</v>
      </c>
      <c r="F62" s="63">
        <v>4.9845199999999998</v>
      </c>
      <c r="G62" s="63">
        <v>4.9409799999999997</v>
      </c>
      <c r="H62" s="64">
        <v>5.0854200000000001</v>
      </c>
      <c r="I62" s="65">
        <v>5.1124599999999996</v>
      </c>
    </row>
    <row r="63" spans="1:9" x14ac:dyDescent="0.25">
      <c r="A63" s="59" t="s">
        <v>266</v>
      </c>
      <c r="B63" s="60">
        <v>44991</v>
      </c>
      <c r="C63" s="61">
        <v>44997</v>
      </c>
      <c r="D63" s="62">
        <v>5.2099500000000001</v>
      </c>
      <c r="E63" s="63">
        <v>5.1949399999999999</v>
      </c>
      <c r="F63" s="63">
        <v>4.9061500000000002</v>
      </c>
      <c r="G63" s="63">
        <v>4.83786</v>
      </c>
      <c r="H63" s="64">
        <v>4.9831300000000001</v>
      </c>
      <c r="I63" s="65">
        <v>4.9943</v>
      </c>
    </row>
    <row r="64" spans="1:9" x14ac:dyDescent="0.25">
      <c r="A64" s="59" t="s">
        <v>266</v>
      </c>
      <c r="B64" s="60">
        <v>44998</v>
      </c>
      <c r="C64" s="61">
        <v>45004</v>
      </c>
      <c r="D64" s="62">
        <v>5.0976900000000001</v>
      </c>
      <c r="E64" s="63">
        <v>5.1467299999999998</v>
      </c>
      <c r="F64" s="63">
        <v>4.8539500000000002</v>
      </c>
      <c r="G64" s="63">
        <v>4.7766700000000002</v>
      </c>
      <c r="H64" s="64">
        <v>4.9344000000000001</v>
      </c>
      <c r="I64" s="65">
        <v>4.9401299999999999</v>
      </c>
    </row>
    <row r="65" spans="1:9" x14ac:dyDescent="0.25">
      <c r="A65" s="59" t="s">
        <v>266</v>
      </c>
      <c r="B65" s="60">
        <v>45005</v>
      </c>
      <c r="C65" s="61">
        <v>45011</v>
      </c>
      <c r="D65" s="62">
        <v>4.9534200000000004</v>
      </c>
      <c r="E65" s="63">
        <v>5.0101800000000001</v>
      </c>
      <c r="F65" s="63">
        <v>4.7111700000000001</v>
      </c>
      <c r="G65" s="63">
        <v>4.69536</v>
      </c>
      <c r="H65" s="64">
        <v>4.7998500000000002</v>
      </c>
      <c r="I65" s="65">
        <v>4.8110600000000003</v>
      </c>
    </row>
    <row r="66" spans="1:9" x14ac:dyDescent="0.25">
      <c r="A66" s="59" t="s">
        <v>266</v>
      </c>
      <c r="B66" s="60">
        <v>45012</v>
      </c>
      <c r="C66" s="61">
        <v>45018</v>
      </c>
      <c r="D66" s="62">
        <v>4.91439</v>
      </c>
      <c r="E66" s="63">
        <v>4.9845499999999996</v>
      </c>
      <c r="F66" s="63">
        <v>4.6957399999999998</v>
      </c>
      <c r="G66" s="63">
        <v>4.5834200000000003</v>
      </c>
      <c r="H66" s="64">
        <v>4.6978200000000001</v>
      </c>
      <c r="I66" s="65">
        <v>4.73874</v>
      </c>
    </row>
    <row r="67" spans="1:9" x14ac:dyDescent="0.25">
      <c r="A67" s="59" t="s">
        <v>266</v>
      </c>
      <c r="B67" s="60">
        <v>45019</v>
      </c>
      <c r="C67" s="61">
        <v>45025</v>
      </c>
      <c r="D67" s="62">
        <v>4.7973499999999998</v>
      </c>
      <c r="E67" s="63">
        <v>4.6666699999999999</v>
      </c>
      <c r="F67" s="63">
        <v>4.4145599999999998</v>
      </c>
      <c r="G67" s="63">
        <v>4.3638700000000004</v>
      </c>
      <c r="H67" s="64">
        <v>4.4393399999999996</v>
      </c>
      <c r="I67" s="65">
        <v>4.4874400000000003</v>
      </c>
    </row>
    <row r="68" spans="1:9" x14ac:dyDescent="0.25">
      <c r="A68" s="59" t="s">
        <v>266</v>
      </c>
      <c r="B68" s="60">
        <v>45026</v>
      </c>
      <c r="C68" s="61">
        <v>45032</v>
      </c>
      <c r="D68" s="62">
        <v>4.6814</v>
      </c>
      <c r="E68" s="63">
        <v>4.6037299999999997</v>
      </c>
      <c r="F68" s="63">
        <v>4.2731599999999998</v>
      </c>
      <c r="G68" s="63">
        <v>4.1701300000000003</v>
      </c>
      <c r="H68" s="64">
        <v>4.3568199999999999</v>
      </c>
      <c r="I68" s="65">
        <v>4.3707799999999999</v>
      </c>
    </row>
    <row r="69" spans="1:9" x14ac:dyDescent="0.25">
      <c r="A69" s="59" t="s">
        <v>266</v>
      </c>
      <c r="B69" s="60">
        <v>45033</v>
      </c>
      <c r="C69" s="61">
        <v>45039</v>
      </c>
      <c r="D69" s="62">
        <v>4.4023300000000001</v>
      </c>
      <c r="E69" s="63">
        <v>4.4028600000000004</v>
      </c>
      <c r="F69" s="63">
        <v>4.1180300000000001</v>
      </c>
      <c r="G69" s="63">
        <v>4.0731999999999999</v>
      </c>
      <c r="H69" s="64">
        <v>4.2316000000000003</v>
      </c>
      <c r="I69" s="65">
        <v>4.2210000000000001</v>
      </c>
    </row>
    <row r="70" spans="1:9" x14ac:dyDescent="0.25">
      <c r="A70" s="59" t="s">
        <v>266</v>
      </c>
      <c r="B70" s="60">
        <v>45040</v>
      </c>
      <c r="C70" s="61">
        <v>45046</v>
      </c>
      <c r="D70" s="62">
        <v>4.3540299999999998</v>
      </c>
      <c r="E70" s="63">
        <v>4.3965399999999999</v>
      </c>
      <c r="F70" s="63">
        <v>4.1405200000000004</v>
      </c>
      <c r="G70" s="63">
        <v>3.9726599999999999</v>
      </c>
      <c r="H70" s="64">
        <v>4.1517600000000003</v>
      </c>
      <c r="I70" s="65">
        <v>4.1572500000000003</v>
      </c>
    </row>
    <row r="71" spans="1:9" x14ac:dyDescent="0.25">
      <c r="A71" s="59" t="s">
        <v>266</v>
      </c>
      <c r="B71" s="60">
        <v>45047</v>
      </c>
      <c r="C71" s="61">
        <v>45053</v>
      </c>
      <c r="D71" s="62">
        <v>4.2555800000000001</v>
      </c>
      <c r="E71" s="63">
        <v>4.3389800000000003</v>
      </c>
      <c r="F71" s="63">
        <v>4.0129700000000001</v>
      </c>
      <c r="G71" s="63">
        <v>3.9283199999999998</v>
      </c>
      <c r="H71" s="64">
        <v>4.0452399999999997</v>
      </c>
      <c r="I71" s="65">
        <v>4.0835699999999999</v>
      </c>
    </row>
    <row r="72" spans="1:9" x14ac:dyDescent="0.25">
      <c r="A72" s="59" t="s">
        <v>266</v>
      </c>
      <c r="B72" s="60">
        <v>45054</v>
      </c>
      <c r="C72" s="61">
        <v>45060</v>
      </c>
      <c r="D72" s="62">
        <v>4.0744899999999999</v>
      </c>
      <c r="E72" s="63">
        <v>4.2869599999999997</v>
      </c>
      <c r="F72" s="63">
        <v>4.0075599999999998</v>
      </c>
      <c r="G72" s="63">
        <v>3.9106399999999999</v>
      </c>
      <c r="H72" s="64">
        <v>4.0370699999999999</v>
      </c>
      <c r="I72" s="65">
        <v>4.04596</v>
      </c>
    </row>
    <row r="73" spans="1:9" x14ac:dyDescent="0.25">
      <c r="A73" s="59" t="s">
        <v>266</v>
      </c>
      <c r="B73" s="60">
        <v>45061</v>
      </c>
      <c r="C73" s="61">
        <v>45067</v>
      </c>
      <c r="D73" s="62">
        <v>4.0316099999999997</v>
      </c>
      <c r="E73" s="63">
        <v>4.2752800000000004</v>
      </c>
      <c r="F73" s="63">
        <v>3.9885600000000001</v>
      </c>
      <c r="G73" s="63">
        <v>3.9694199999999999</v>
      </c>
      <c r="H73" s="64">
        <v>4.1363000000000003</v>
      </c>
      <c r="I73" s="65">
        <v>4.0936000000000003</v>
      </c>
    </row>
    <row r="74" spans="1:9" x14ac:dyDescent="0.25">
      <c r="A74" s="59" t="s">
        <v>266</v>
      </c>
      <c r="B74" s="60">
        <v>45068</v>
      </c>
      <c r="C74" s="61">
        <v>45074</v>
      </c>
      <c r="D74" s="62">
        <v>4.0156000000000001</v>
      </c>
      <c r="E74" s="63">
        <v>4.2012299999999998</v>
      </c>
      <c r="F74" s="63">
        <v>3.94889</v>
      </c>
      <c r="G74" s="63">
        <v>3.9592000000000001</v>
      </c>
      <c r="H74" s="64">
        <v>4.1005099999999999</v>
      </c>
      <c r="I74" s="65">
        <v>4.0552900000000003</v>
      </c>
    </row>
    <row r="75" spans="1:9" x14ac:dyDescent="0.25">
      <c r="A75" s="59" t="s">
        <v>266</v>
      </c>
      <c r="B75" s="60">
        <v>45075</v>
      </c>
      <c r="C75" s="61">
        <v>45081</v>
      </c>
      <c r="D75" s="62">
        <v>3.9788899999999998</v>
      </c>
      <c r="E75" s="63">
        <v>4.1178100000000004</v>
      </c>
      <c r="F75" s="63">
        <v>3.8997099999999998</v>
      </c>
      <c r="G75" s="63">
        <v>3.8544100000000001</v>
      </c>
      <c r="H75" s="64">
        <v>3.9658000000000002</v>
      </c>
      <c r="I75" s="65">
        <v>3.9524599999999999</v>
      </c>
    </row>
    <row r="76" spans="1:9" x14ac:dyDescent="0.25">
      <c r="A76" s="59" t="s">
        <v>266</v>
      </c>
      <c r="B76" s="60">
        <v>45082</v>
      </c>
      <c r="C76" s="61">
        <v>45088</v>
      </c>
      <c r="D76" s="62">
        <v>3.8431999999999999</v>
      </c>
      <c r="E76" s="63">
        <v>4.0882800000000001</v>
      </c>
      <c r="F76" s="63">
        <v>3.8206600000000002</v>
      </c>
      <c r="G76" s="63">
        <v>3.7322799999999998</v>
      </c>
      <c r="H76" s="64">
        <v>3.87696</v>
      </c>
      <c r="I76" s="65">
        <v>3.8621799999999999</v>
      </c>
    </row>
    <row r="77" spans="1:9" x14ac:dyDescent="0.25">
      <c r="A77" s="59" t="s">
        <v>266</v>
      </c>
      <c r="B77" s="60">
        <v>45089</v>
      </c>
      <c r="C77" s="61">
        <v>45095</v>
      </c>
      <c r="D77" s="62">
        <v>3.8863799999999999</v>
      </c>
      <c r="E77" s="63">
        <v>4.0888299999999997</v>
      </c>
      <c r="F77" s="63">
        <v>3.87873</v>
      </c>
      <c r="G77" s="63">
        <v>3.7734399999999999</v>
      </c>
      <c r="H77" s="64">
        <v>3.8957700000000002</v>
      </c>
      <c r="I77" s="65">
        <v>3.89235</v>
      </c>
    </row>
    <row r="78" spans="1:9" x14ac:dyDescent="0.25">
      <c r="A78" s="59" t="s">
        <v>266</v>
      </c>
      <c r="B78" s="60">
        <v>45096</v>
      </c>
      <c r="C78" s="61">
        <v>45102</v>
      </c>
      <c r="D78" s="62">
        <v>3.9638399999999998</v>
      </c>
      <c r="E78" s="63">
        <v>4.1701600000000001</v>
      </c>
      <c r="F78" s="63">
        <v>3.9977999999999998</v>
      </c>
      <c r="G78" s="63">
        <v>3.8672599999999999</v>
      </c>
      <c r="H78" s="64">
        <v>3.9854799999999999</v>
      </c>
      <c r="I78" s="65">
        <v>3.98685</v>
      </c>
    </row>
    <row r="79" spans="1:9" x14ac:dyDescent="0.25">
      <c r="A79" s="59" t="s">
        <v>266</v>
      </c>
      <c r="B79" s="60">
        <v>45103</v>
      </c>
      <c r="C79" s="61">
        <v>45109</v>
      </c>
      <c r="D79" s="62">
        <v>3.9847800000000002</v>
      </c>
      <c r="E79" s="63">
        <v>4.2415200000000004</v>
      </c>
      <c r="F79" s="63">
        <v>4.0389900000000001</v>
      </c>
      <c r="G79" s="63">
        <v>3.9297200000000001</v>
      </c>
      <c r="H79" s="64">
        <v>4.0302199999999999</v>
      </c>
      <c r="I79" s="65">
        <v>4.0336299999999996</v>
      </c>
    </row>
    <row r="80" spans="1:9" x14ac:dyDescent="0.25">
      <c r="A80" s="59" t="s">
        <v>266</v>
      </c>
      <c r="B80" s="60">
        <v>45110</v>
      </c>
      <c r="C80" s="61">
        <v>45116</v>
      </c>
      <c r="D80" s="62">
        <v>4.05837</v>
      </c>
      <c r="E80" s="63">
        <v>4.2754899999999996</v>
      </c>
      <c r="F80" s="63">
        <v>4.13375</v>
      </c>
      <c r="G80" s="63">
        <v>3.9323600000000001</v>
      </c>
      <c r="H80" s="64">
        <v>4.0733800000000002</v>
      </c>
      <c r="I80" s="65">
        <v>4.07118</v>
      </c>
    </row>
    <row r="81" spans="1:9" x14ac:dyDescent="0.25">
      <c r="A81" s="59" t="s">
        <v>266</v>
      </c>
      <c r="B81" s="60">
        <v>45117</v>
      </c>
      <c r="C81" s="61">
        <v>45123</v>
      </c>
      <c r="D81" s="62">
        <v>4.1343300000000003</v>
      </c>
      <c r="E81" s="63">
        <v>4.3125499999999999</v>
      </c>
      <c r="F81" s="63">
        <v>4.1969900000000004</v>
      </c>
      <c r="G81" s="63">
        <v>4.07104</v>
      </c>
      <c r="H81" s="64">
        <v>4.1019600000000001</v>
      </c>
      <c r="I81" s="65">
        <v>4.1400499999999996</v>
      </c>
    </row>
    <row r="82" spans="1:9" x14ac:dyDescent="0.25">
      <c r="A82" s="59" t="s">
        <v>266</v>
      </c>
      <c r="B82" s="60">
        <v>45124</v>
      </c>
      <c r="C82" s="61">
        <v>45130</v>
      </c>
      <c r="D82" s="62">
        <v>4.18797</v>
      </c>
      <c r="E82" s="63">
        <v>4.33453</v>
      </c>
      <c r="F82" s="63">
        <v>4.26004</v>
      </c>
      <c r="G82" s="63">
        <v>4.0539500000000004</v>
      </c>
      <c r="H82" s="64">
        <v>4.1690899999999997</v>
      </c>
      <c r="I82" s="65">
        <v>4.1745999999999999</v>
      </c>
    </row>
    <row r="83" spans="1:9" x14ac:dyDescent="0.25">
      <c r="A83" s="59" t="s">
        <v>266</v>
      </c>
      <c r="B83" s="60">
        <v>45131</v>
      </c>
      <c r="C83" s="61">
        <v>45137</v>
      </c>
      <c r="D83" s="62">
        <v>4.2197500000000003</v>
      </c>
      <c r="E83" s="63">
        <v>4.3535899999999996</v>
      </c>
      <c r="F83" s="63">
        <v>4.1889000000000003</v>
      </c>
      <c r="G83" s="63">
        <v>4.0407500000000001</v>
      </c>
      <c r="H83" s="64">
        <v>4.0891000000000002</v>
      </c>
      <c r="I83" s="65">
        <v>4.1397000000000004</v>
      </c>
    </row>
    <row r="84" spans="1:9" x14ac:dyDescent="0.25">
      <c r="A84" s="59" t="s">
        <v>266</v>
      </c>
      <c r="B84" s="60">
        <v>45138</v>
      </c>
      <c r="C84" s="61">
        <v>45144</v>
      </c>
      <c r="D84" s="62">
        <v>4.1689699999999998</v>
      </c>
      <c r="E84" s="63">
        <v>4.4257299999999997</v>
      </c>
      <c r="F84" s="63">
        <v>4.1635299999999997</v>
      </c>
      <c r="G84" s="63">
        <v>4.0958399999999999</v>
      </c>
      <c r="H84" s="64">
        <v>4.1523899999999996</v>
      </c>
      <c r="I84" s="65">
        <v>4.1881700000000004</v>
      </c>
    </row>
    <row r="85" spans="1:9" x14ac:dyDescent="0.25">
      <c r="A85" s="59" t="s">
        <v>266</v>
      </c>
      <c r="B85" s="60">
        <v>45145</v>
      </c>
      <c r="C85" s="61">
        <v>45151</v>
      </c>
      <c r="D85" s="62">
        <v>4.23848</v>
      </c>
      <c r="E85" s="63">
        <v>4.4516400000000003</v>
      </c>
      <c r="F85" s="63">
        <v>4.35738</v>
      </c>
      <c r="G85" s="63">
        <v>4.1219299999999999</v>
      </c>
      <c r="H85" s="64">
        <v>4.1678800000000003</v>
      </c>
      <c r="I85" s="65">
        <v>4.2404799999999998</v>
      </c>
    </row>
    <row r="86" spans="1:9" x14ac:dyDescent="0.25">
      <c r="A86" s="59" t="s">
        <v>266</v>
      </c>
      <c r="B86" s="60">
        <v>45152</v>
      </c>
      <c r="C86" s="61">
        <v>45158</v>
      </c>
      <c r="D86" s="62">
        <v>4.2453000000000003</v>
      </c>
      <c r="E86" s="63">
        <v>4.4837899999999999</v>
      </c>
      <c r="F86" s="63">
        <v>4.2325999999999997</v>
      </c>
      <c r="G86" s="63">
        <v>4.1127599999999997</v>
      </c>
      <c r="H86" s="64">
        <v>4.1312300000000004</v>
      </c>
      <c r="I86" s="65">
        <v>4.2127800000000004</v>
      </c>
    </row>
    <row r="87" spans="1:9" x14ac:dyDescent="0.25">
      <c r="A87" s="59" t="s">
        <v>266</v>
      </c>
      <c r="B87" s="60">
        <v>45159</v>
      </c>
      <c r="C87" s="61">
        <v>45165</v>
      </c>
      <c r="D87" s="62">
        <v>4.32294</v>
      </c>
      <c r="E87" s="63">
        <v>4.5038499999999999</v>
      </c>
      <c r="F87" s="63">
        <v>4.2466299999999997</v>
      </c>
      <c r="G87" s="63">
        <v>4.0503</v>
      </c>
      <c r="H87" s="64">
        <v>4.1524999999999999</v>
      </c>
      <c r="I87" s="65">
        <v>4.2177100000000003</v>
      </c>
    </row>
    <row r="88" spans="1:9" x14ac:dyDescent="0.25">
      <c r="A88" s="59" t="s">
        <v>266</v>
      </c>
      <c r="B88" s="60">
        <v>45166</v>
      </c>
      <c r="C88" s="61">
        <v>45172</v>
      </c>
      <c r="D88" s="62">
        <v>4.2618600000000004</v>
      </c>
      <c r="E88" s="63">
        <v>4.5442499999999999</v>
      </c>
      <c r="F88" s="63">
        <v>4.3302300000000002</v>
      </c>
      <c r="G88" s="63">
        <v>4.0771800000000002</v>
      </c>
      <c r="H88" s="64">
        <v>4.1636100000000003</v>
      </c>
      <c r="I88" s="65">
        <v>4.2357899999999997</v>
      </c>
    </row>
    <row r="89" spans="1:9" x14ac:dyDescent="0.25">
      <c r="A89" s="59" t="s">
        <v>266</v>
      </c>
      <c r="B89" s="60">
        <v>45173</v>
      </c>
      <c r="C89" s="61">
        <v>45179</v>
      </c>
      <c r="D89" s="62">
        <v>4.2840699999999998</v>
      </c>
      <c r="E89" s="63">
        <v>4.5094099999999999</v>
      </c>
      <c r="F89" s="63">
        <v>4.2215199999999999</v>
      </c>
      <c r="G89" s="63">
        <v>4.1509299999999998</v>
      </c>
      <c r="H89" s="64">
        <v>4.2039200000000001</v>
      </c>
      <c r="I89" s="65">
        <v>4.2569900000000001</v>
      </c>
    </row>
    <row r="90" spans="1:9" x14ac:dyDescent="0.25">
      <c r="A90" s="59" t="s">
        <v>266</v>
      </c>
      <c r="B90" s="60">
        <v>45180</v>
      </c>
      <c r="C90" s="61">
        <v>45186</v>
      </c>
      <c r="D90" s="62">
        <v>4.2976700000000001</v>
      </c>
      <c r="E90" s="63">
        <v>4.5622600000000002</v>
      </c>
      <c r="F90" s="63">
        <v>4.3063500000000001</v>
      </c>
      <c r="G90" s="63">
        <v>4.17624</v>
      </c>
      <c r="H90" s="64">
        <v>4.2536899999999997</v>
      </c>
      <c r="I90" s="65">
        <v>4.2944300000000002</v>
      </c>
    </row>
    <row r="91" spans="1:9" x14ac:dyDescent="0.25">
      <c r="A91" s="59" t="s">
        <v>266</v>
      </c>
      <c r="B91" s="60">
        <v>45187</v>
      </c>
      <c r="C91" s="61">
        <v>45193</v>
      </c>
      <c r="D91" s="62">
        <v>4.2792300000000001</v>
      </c>
      <c r="E91" s="63">
        <v>4.52895</v>
      </c>
      <c r="F91" s="63">
        <v>4.27738</v>
      </c>
      <c r="G91" s="63">
        <v>4.1054199999999996</v>
      </c>
      <c r="H91" s="64">
        <v>4.2372199999999998</v>
      </c>
      <c r="I91" s="65">
        <v>4.2627600000000001</v>
      </c>
    </row>
    <row r="92" spans="1:9" x14ac:dyDescent="0.25">
      <c r="A92" s="59" t="s">
        <v>266</v>
      </c>
      <c r="B92" s="60">
        <v>45194</v>
      </c>
      <c r="C92" s="61">
        <v>45200</v>
      </c>
      <c r="D92" s="62">
        <v>4.2879399999999999</v>
      </c>
      <c r="E92" s="63">
        <v>4.5309799999999996</v>
      </c>
      <c r="F92" s="63">
        <v>4.2366099999999998</v>
      </c>
      <c r="G92" s="63">
        <v>4.1531000000000002</v>
      </c>
      <c r="H92" s="64">
        <v>4.2340200000000001</v>
      </c>
      <c r="I92" s="65">
        <v>4.2678099999999999</v>
      </c>
    </row>
    <row r="93" spans="1:9" x14ac:dyDescent="0.25">
      <c r="A93" s="59" t="s">
        <v>266</v>
      </c>
      <c r="B93" s="60">
        <v>45201</v>
      </c>
      <c r="C93" s="61">
        <v>45207</v>
      </c>
      <c r="D93" s="62">
        <v>4.2467499999999996</v>
      </c>
      <c r="E93" s="63">
        <v>4.4883800000000003</v>
      </c>
      <c r="F93" s="63">
        <v>4.2205599999999999</v>
      </c>
      <c r="G93" s="63">
        <v>4.16418</v>
      </c>
      <c r="H93" s="64">
        <v>4.1785300000000003</v>
      </c>
      <c r="I93" s="65">
        <v>4.2382299999999997</v>
      </c>
    </row>
    <row r="94" spans="1:9" x14ac:dyDescent="0.25">
      <c r="A94" s="59" t="s">
        <v>266</v>
      </c>
      <c r="B94" s="60">
        <v>45208</v>
      </c>
      <c r="C94" s="61">
        <v>45214</v>
      </c>
      <c r="D94" s="62">
        <v>4.2366799999999998</v>
      </c>
      <c r="E94" s="63">
        <v>4.4773199999999997</v>
      </c>
      <c r="F94" s="63">
        <v>4.2434700000000003</v>
      </c>
      <c r="G94" s="63">
        <v>4.0632299999999999</v>
      </c>
      <c r="H94" s="64">
        <v>4.1981999999999999</v>
      </c>
      <c r="I94" s="65">
        <v>4.2137500000000001</v>
      </c>
    </row>
    <row r="95" spans="1:9" x14ac:dyDescent="0.25">
      <c r="A95" s="59" t="s">
        <v>266</v>
      </c>
      <c r="B95" s="60">
        <v>45215</v>
      </c>
      <c r="C95" s="61">
        <v>45221</v>
      </c>
      <c r="D95" s="62">
        <v>4.2308300000000001</v>
      </c>
      <c r="E95" s="63">
        <v>4.4646400000000002</v>
      </c>
      <c r="F95" s="63">
        <v>4.1897000000000002</v>
      </c>
      <c r="G95" s="63">
        <v>4.07064</v>
      </c>
      <c r="H95" s="64">
        <v>4.1677400000000002</v>
      </c>
      <c r="I95" s="65">
        <v>4.1979699999999998</v>
      </c>
    </row>
    <row r="96" spans="1:9" x14ac:dyDescent="0.25">
      <c r="A96" s="59" t="s">
        <v>266</v>
      </c>
      <c r="B96" s="60">
        <v>45222</v>
      </c>
      <c r="C96" s="61">
        <v>45228</v>
      </c>
      <c r="D96" s="62">
        <v>4.3266799999999996</v>
      </c>
      <c r="E96" s="63">
        <v>4.4773800000000001</v>
      </c>
      <c r="F96" s="63">
        <v>4.2165400000000002</v>
      </c>
      <c r="G96" s="63">
        <v>4.0797600000000003</v>
      </c>
      <c r="H96" s="64">
        <v>4.1711</v>
      </c>
      <c r="I96" s="65">
        <v>4.2126700000000001</v>
      </c>
    </row>
    <row r="97" spans="1:9" x14ac:dyDescent="0.25">
      <c r="A97" s="59" t="s">
        <v>266</v>
      </c>
      <c r="B97" s="60">
        <v>45229</v>
      </c>
      <c r="C97" s="61">
        <v>45235</v>
      </c>
      <c r="D97" s="62">
        <v>4.3663100000000004</v>
      </c>
      <c r="E97" s="63">
        <v>4.5435400000000001</v>
      </c>
      <c r="F97" s="63">
        <v>4.3017300000000001</v>
      </c>
      <c r="G97" s="63">
        <v>4.1284999999999998</v>
      </c>
      <c r="H97" s="64">
        <v>4.1507300000000003</v>
      </c>
      <c r="I97" s="65">
        <v>4.2441199999999997</v>
      </c>
    </row>
    <row r="98" spans="1:9" x14ac:dyDescent="0.25">
      <c r="A98" s="59" t="s">
        <v>266</v>
      </c>
      <c r="B98" s="60">
        <v>45236</v>
      </c>
      <c r="C98" s="61">
        <v>45242</v>
      </c>
      <c r="D98" s="62">
        <v>4.3438100000000004</v>
      </c>
      <c r="E98" s="63">
        <v>4.5241100000000003</v>
      </c>
      <c r="F98" s="63">
        <v>4.3349500000000001</v>
      </c>
      <c r="G98" s="63">
        <v>4.1959499999999998</v>
      </c>
      <c r="H98" s="64">
        <v>4.2901999999999996</v>
      </c>
      <c r="I98" s="65">
        <v>4.31724</v>
      </c>
    </row>
    <row r="99" spans="1:9" x14ac:dyDescent="0.25">
      <c r="A99" s="59" t="s">
        <v>266</v>
      </c>
      <c r="B99" s="60">
        <v>45243</v>
      </c>
      <c r="C99" s="61">
        <v>45249</v>
      </c>
      <c r="D99" s="62">
        <v>4.3911699999999998</v>
      </c>
      <c r="E99" s="63">
        <v>4.6045800000000003</v>
      </c>
      <c r="F99" s="63">
        <v>4.22471</v>
      </c>
      <c r="G99" s="63">
        <v>4.2943699999999998</v>
      </c>
      <c r="H99" s="64">
        <v>4.3833299999999999</v>
      </c>
      <c r="I99" s="65">
        <v>4.3979299999999997</v>
      </c>
    </row>
    <row r="100" spans="1:9" x14ac:dyDescent="0.25">
      <c r="A100" s="59" t="s">
        <v>266</v>
      </c>
      <c r="B100" s="60">
        <v>45250</v>
      </c>
      <c r="C100" s="61">
        <v>45256</v>
      </c>
      <c r="D100" s="62">
        <v>4.4194699999999996</v>
      </c>
      <c r="E100" s="63">
        <v>4.6871499999999999</v>
      </c>
      <c r="F100" s="63">
        <v>4.3486200000000004</v>
      </c>
      <c r="G100" s="63">
        <v>4.3340300000000003</v>
      </c>
      <c r="H100" s="64">
        <v>4.4321099999999998</v>
      </c>
      <c r="I100" s="65">
        <v>4.4564599999999999</v>
      </c>
    </row>
    <row r="101" spans="1:9" x14ac:dyDescent="0.25">
      <c r="A101" s="59" t="s">
        <v>266</v>
      </c>
      <c r="B101" s="60">
        <v>45257</v>
      </c>
      <c r="C101" s="61">
        <v>45263</v>
      </c>
      <c r="D101" s="63">
        <v>4.5644600000000004</v>
      </c>
      <c r="E101" s="63">
        <v>4.77102</v>
      </c>
      <c r="F101" s="63">
        <v>4.5926799999999997</v>
      </c>
      <c r="G101" s="63">
        <v>4.5965299999999996</v>
      </c>
      <c r="H101" s="63">
        <v>4.6764000000000001</v>
      </c>
      <c r="I101" s="63">
        <v>4.6518300000000004</v>
      </c>
    </row>
    <row r="102" spans="1:9" x14ac:dyDescent="0.25">
      <c r="A102" s="59" t="s">
        <v>266</v>
      </c>
      <c r="B102" s="60">
        <v>45264</v>
      </c>
      <c r="C102" s="61">
        <v>45270</v>
      </c>
      <c r="D102" s="63">
        <v>4.7108699999999999</v>
      </c>
      <c r="E102" s="63">
        <v>4.82456</v>
      </c>
      <c r="F102" s="63">
        <v>4.5705900000000002</v>
      </c>
      <c r="G102" s="63">
        <v>4.6038500000000004</v>
      </c>
      <c r="H102" s="63">
        <v>4.6690899999999997</v>
      </c>
      <c r="I102" s="65">
        <v>4.6682100000000002</v>
      </c>
    </row>
    <row r="103" spans="1:9" x14ac:dyDescent="0.25">
      <c r="A103" s="59" t="s">
        <v>266</v>
      </c>
      <c r="B103" s="60">
        <v>45271</v>
      </c>
      <c r="C103" s="61">
        <v>45277</v>
      </c>
      <c r="D103" s="63">
        <v>4.6400499999999996</v>
      </c>
      <c r="E103" s="63">
        <v>4.7731599999999998</v>
      </c>
      <c r="F103" s="63">
        <v>4.4874700000000001</v>
      </c>
      <c r="G103" s="63">
        <v>4.4573299999999998</v>
      </c>
      <c r="H103" s="63">
        <v>4.5203199999999999</v>
      </c>
      <c r="I103" s="65">
        <v>4.5546300000000004</v>
      </c>
    </row>
    <row r="104" spans="1:9" x14ac:dyDescent="0.25">
      <c r="A104" s="59" t="s">
        <v>266</v>
      </c>
      <c r="B104" s="60">
        <v>45278</v>
      </c>
      <c r="C104" s="61">
        <v>45284</v>
      </c>
      <c r="D104" s="63">
        <v>4.5730300000000002</v>
      </c>
      <c r="E104" s="63">
        <v>4.6966000000000001</v>
      </c>
      <c r="F104" s="63">
        <v>4.4030199999999997</v>
      </c>
      <c r="G104" s="63">
        <v>4.3822299999999998</v>
      </c>
      <c r="H104" s="63">
        <v>4.4419000000000004</v>
      </c>
      <c r="I104" s="65">
        <v>4.47173</v>
      </c>
    </row>
    <row r="105" spans="1:9" x14ac:dyDescent="0.25">
      <c r="A105" s="59" t="s">
        <v>266</v>
      </c>
      <c r="B105" s="60">
        <v>45285</v>
      </c>
      <c r="C105" s="61">
        <v>45291</v>
      </c>
      <c r="D105" s="63">
        <v>4.5209700000000002</v>
      </c>
      <c r="E105" s="63">
        <v>4.6490499999999999</v>
      </c>
      <c r="F105" s="63">
        <v>4.2078300000000004</v>
      </c>
      <c r="G105" s="63">
        <v>4.4580099999999998</v>
      </c>
      <c r="H105" s="63">
        <v>4.4391100000000003</v>
      </c>
      <c r="I105" s="65">
        <v>4.4715999999999996</v>
      </c>
    </row>
    <row r="106" spans="1:9" x14ac:dyDescent="0.25">
      <c r="A106" s="59" t="s">
        <v>266</v>
      </c>
      <c r="B106" s="60">
        <v>45292</v>
      </c>
      <c r="C106" s="61">
        <v>45298</v>
      </c>
      <c r="D106" s="63">
        <v>4.4700800000000003</v>
      </c>
      <c r="E106" s="63">
        <v>4.6219900000000003</v>
      </c>
      <c r="F106" s="63">
        <v>4.2647899999999996</v>
      </c>
      <c r="G106" s="63">
        <v>4.2845700000000004</v>
      </c>
      <c r="H106" s="63">
        <v>4.4232899999999997</v>
      </c>
      <c r="I106" s="65">
        <v>4.4093999999999998</v>
      </c>
    </row>
    <row r="107" spans="1:9" x14ac:dyDescent="0.25">
      <c r="A107" s="59" t="s">
        <v>266</v>
      </c>
      <c r="B107" s="60">
        <v>45299</v>
      </c>
      <c r="C107" s="61">
        <v>45305</v>
      </c>
      <c r="D107" s="63">
        <v>4.3832000000000004</v>
      </c>
      <c r="E107" s="63">
        <v>4.5142899999999999</v>
      </c>
      <c r="F107" s="63">
        <v>4.24979</v>
      </c>
      <c r="G107" s="63">
        <v>4.3186099999999996</v>
      </c>
      <c r="H107" s="63">
        <v>4.4749499999999998</v>
      </c>
      <c r="I107" s="65">
        <v>4.4082100000000004</v>
      </c>
    </row>
    <row r="108" spans="1:9" x14ac:dyDescent="0.25">
      <c r="A108" s="59" t="s">
        <v>266</v>
      </c>
      <c r="B108" s="60">
        <v>45306</v>
      </c>
      <c r="C108" s="61">
        <v>45312</v>
      </c>
      <c r="D108" s="63">
        <v>4.4638400000000003</v>
      </c>
      <c r="E108" s="63">
        <v>4.51938</v>
      </c>
      <c r="F108" s="63">
        <v>4.2218999999999998</v>
      </c>
      <c r="G108" s="63">
        <v>4.0377599999999996</v>
      </c>
      <c r="H108" s="63">
        <v>4.3864000000000001</v>
      </c>
      <c r="I108" s="65">
        <v>4.2914000000000003</v>
      </c>
    </row>
    <row r="109" spans="1:9" x14ac:dyDescent="0.25">
      <c r="A109" s="59" t="s">
        <v>266</v>
      </c>
      <c r="B109" s="60">
        <v>45313</v>
      </c>
      <c r="C109" s="61">
        <v>45319</v>
      </c>
      <c r="D109" s="63">
        <v>4.3560600000000003</v>
      </c>
      <c r="E109" s="63">
        <v>4.4373800000000001</v>
      </c>
      <c r="F109" s="63">
        <v>4.1017299999999999</v>
      </c>
      <c r="G109" s="63">
        <v>3.9938699999999998</v>
      </c>
      <c r="H109" s="63">
        <v>4.2083000000000004</v>
      </c>
      <c r="I109" s="65">
        <v>4.1939000000000002</v>
      </c>
    </row>
    <row r="110" spans="1:9" x14ac:dyDescent="0.25">
      <c r="A110" s="59" t="s">
        <v>266</v>
      </c>
      <c r="B110" s="60">
        <v>45320</v>
      </c>
      <c r="C110" s="61">
        <v>45326</v>
      </c>
      <c r="D110" s="63">
        <v>4.2926000000000002</v>
      </c>
      <c r="E110" s="63">
        <v>4.3615000000000004</v>
      </c>
      <c r="F110" s="63">
        <v>3.9705699999999999</v>
      </c>
      <c r="G110" s="63">
        <v>3.95627</v>
      </c>
      <c r="H110" s="63">
        <v>4.1378399999999997</v>
      </c>
      <c r="I110" s="65">
        <v>4.1196400000000004</v>
      </c>
    </row>
    <row r="111" spans="1:9" x14ac:dyDescent="0.25">
      <c r="A111" s="59" t="s">
        <v>266</v>
      </c>
      <c r="B111" s="60">
        <v>45327</v>
      </c>
      <c r="C111" s="61">
        <v>45333</v>
      </c>
      <c r="D111" s="63">
        <v>4.1691399999999996</v>
      </c>
      <c r="E111" s="63">
        <v>4.4075699999999998</v>
      </c>
      <c r="F111" s="63">
        <v>4.1404699999999997</v>
      </c>
      <c r="G111" s="63">
        <v>3.9119199999999998</v>
      </c>
      <c r="H111" s="63">
        <v>4.17563</v>
      </c>
      <c r="I111" s="65">
        <v>4.1335699999999997</v>
      </c>
    </row>
    <row r="112" spans="1:9" x14ac:dyDescent="0.25">
      <c r="A112" s="59" t="s">
        <v>266</v>
      </c>
      <c r="B112" s="60">
        <v>45334</v>
      </c>
      <c r="C112" s="61">
        <v>45340</v>
      </c>
      <c r="D112" s="63">
        <v>4.2474499999999997</v>
      </c>
      <c r="E112" s="63">
        <v>4.3585700000000003</v>
      </c>
      <c r="F112" s="63">
        <v>4.0201399999999996</v>
      </c>
      <c r="G112" s="63">
        <v>3.91269</v>
      </c>
      <c r="H112" s="63">
        <v>4.1299400000000004</v>
      </c>
      <c r="I112" s="65">
        <v>4.1071600000000004</v>
      </c>
    </row>
    <row r="113" spans="1:9" x14ac:dyDescent="0.25">
      <c r="A113" s="59" t="s">
        <v>266</v>
      </c>
      <c r="B113" s="60">
        <v>45341</v>
      </c>
      <c r="C113" s="61">
        <v>45347</v>
      </c>
      <c r="D113" s="63">
        <v>4.1828599999999998</v>
      </c>
      <c r="E113" s="63">
        <v>4.3607899999999997</v>
      </c>
      <c r="F113" s="63">
        <v>3.9778600000000002</v>
      </c>
      <c r="G113" s="63">
        <v>3.9206400000000001</v>
      </c>
      <c r="H113" s="63">
        <v>4.0619100000000001</v>
      </c>
      <c r="I113" s="65">
        <v>4.0742700000000003</v>
      </c>
    </row>
    <row r="114" spans="1:9" x14ac:dyDescent="0.25">
      <c r="A114" s="59" t="s">
        <v>266</v>
      </c>
      <c r="B114" s="60">
        <v>45348</v>
      </c>
      <c r="C114" s="61">
        <v>45354</v>
      </c>
      <c r="D114" s="63">
        <v>4.1539999999999999</v>
      </c>
      <c r="E114" s="63">
        <v>4.3653599999999999</v>
      </c>
      <c r="F114" s="63">
        <v>4.0937299999999999</v>
      </c>
      <c r="G114" s="63">
        <v>3.85317</v>
      </c>
      <c r="H114" s="63">
        <v>4.1356000000000002</v>
      </c>
      <c r="I114" s="65">
        <v>4.0880799999999997</v>
      </c>
    </row>
    <row r="115" spans="1:9" x14ac:dyDescent="0.25">
      <c r="A115" s="59" t="s">
        <v>266</v>
      </c>
      <c r="B115" s="60">
        <v>45355</v>
      </c>
      <c r="C115" s="61">
        <v>45361</v>
      </c>
      <c r="D115" s="63">
        <v>4.2213200000000004</v>
      </c>
      <c r="E115" s="63">
        <v>4.4162699999999999</v>
      </c>
      <c r="F115" s="63">
        <v>4.1963499999999998</v>
      </c>
      <c r="G115" s="63">
        <v>4.0219100000000001</v>
      </c>
      <c r="H115" s="63">
        <v>4.1664199999999996</v>
      </c>
      <c r="I115" s="65">
        <v>4.1784299999999996</v>
      </c>
    </row>
    <row r="116" spans="1:9" x14ac:dyDescent="0.25">
      <c r="A116" s="59" t="s">
        <v>266</v>
      </c>
      <c r="B116" s="60">
        <v>45362</v>
      </c>
      <c r="C116" s="61">
        <v>45368</v>
      </c>
      <c r="D116" s="63">
        <v>4.2599600000000004</v>
      </c>
      <c r="E116" s="63">
        <v>4.5125599999999997</v>
      </c>
      <c r="F116" s="63">
        <v>4.2457399999999996</v>
      </c>
      <c r="G116" s="63">
        <v>4.1104200000000004</v>
      </c>
      <c r="H116" s="63">
        <v>4.2178800000000001</v>
      </c>
      <c r="I116" s="65">
        <v>4.2500999999999998</v>
      </c>
    </row>
    <row r="117" spans="1:9" x14ac:dyDescent="0.25">
      <c r="A117" s="59" t="s">
        <v>266</v>
      </c>
      <c r="B117" s="60">
        <v>45369</v>
      </c>
      <c r="C117" s="61">
        <v>45375</v>
      </c>
      <c r="D117" s="63">
        <v>4.3788600000000004</v>
      </c>
      <c r="E117" s="63">
        <v>4.6351399999999998</v>
      </c>
      <c r="F117" s="63">
        <v>4.4436299999999997</v>
      </c>
      <c r="G117" s="63">
        <v>4.3425700000000003</v>
      </c>
      <c r="H117" s="63">
        <v>4.40266</v>
      </c>
      <c r="I117" s="65">
        <v>4.4363900000000003</v>
      </c>
    </row>
    <row r="118" spans="1:9" x14ac:dyDescent="0.25">
      <c r="A118" s="59" t="s">
        <v>266</v>
      </c>
      <c r="B118" s="60">
        <v>45376</v>
      </c>
      <c r="C118" s="61">
        <v>45382</v>
      </c>
      <c r="D118" s="63">
        <v>4.4386599999999996</v>
      </c>
      <c r="E118" s="63">
        <v>4.7483000000000004</v>
      </c>
      <c r="F118" s="63">
        <v>4.5600399999999999</v>
      </c>
      <c r="G118" s="63">
        <v>4.4339300000000001</v>
      </c>
      <c r="H118" s="63">
        <v>4.5888099999999996</v>
      </c>
      <c r="I118" s="65">
        <v>4.5761599999999998</v>
      </c>
    </row>
    <row r="119" spans="1:9" x14ac:dyDescent="0.25">
      <c r="A119" s="59" t="s">
        <v>266</v>
      </c>
      <c r="B119" s="60">
        <v>45383</v>
      </c>
      <c r="C119" s="61">
        <v>45389</v>
      </c>
      <c r="D119" s="63">
        <v>4.5863699999999996</v>
      </c>
      <c r="E119" s="63">
        <v>4.8559900000000003</v>
      </c>
      <c r="F119" s="63">
        <v>4.5339900000000002</v>
      </c>
      <c r="G119" s="63">
        <v>4.4510199999999998</v>
      </c>
      <c r="H119" s="63">
        <v>4.6453100000000003</v>
      </c>
      <c r="I119" s="65">
        <v>4.6036299999999999</v>
      </c>
    </row>
    <row r="120" spans="1:9" x14ac:dyDescent="0.25">
      <c r="A120" s="59" t="s">
        <v>266</v>
      </c>
      <c r="B120" s="60">
        <v>45390</v>
      </c>
      <c r="C120" s="61">
        <v>45396</v>
      </c>
      <c r="D120" s="63">
        <v>4.6001399999999997</v>
      </c>
      <c r="E120" s="63">
        <v>4.9563800000000002</v>
      </c>
      <c r="F120" s="63">
        <v>4.5616199999999996</v>
      </c>
      <c r="G120" s="63">
        <v>4.5033200000000004</v>
      </c>
      <c r="H120" s="63">
        <v>4.5816699999999999</v>
      </c>
      <c r="I120" s="65">
        <v>4.6048600000000004</v>
      </c>
    </row>
    <row r="121" spans="1:9" x14ac:dyDescent="0.25">
      <c r="A121" s="59" t="s">
        <v>266</v>
      </c>
      <c r="B121" s="60">
        <v>45397</v>
      </c>
      <c r="C121" s="61">
        <v>45403</v>
      </c>
      <c r="D121" s="63">
        <v>4.6893900000000004</v>
      </c>
      <c r="E121" s="63">
        <v>4.9612800000000004</v>
      </c>
      <c r="F121" s="63">
        <v>4.6555400000000002</v>
      </c>
      <c r="G121" s="63">
        <v>4.5791199999999996</v>
      </c>
      <c r="H121" s="63">
        <v>4.5716999999999999</v>
      </c>
      <c r="I121" s="65">
        <v>4.6677299999999997</v>
      </c>
    </row>
    <row r="122" spans="1:9" x14ac:dyDescent="0.25">
      <c r="A122" s="59" t="s">
        <v>266</v>
      </c>
      <c r="B122" s="60">
        <v>45404</v>
      </c>
      <c r="C122" s="61">
        <v>45410</v>
      </c>
      <c r="D122" s="63">
        <v>4.7775100000000004</v>
      </c>
      <c r="E122" s="63">
        <v>4.9813599999999996</v>
      </c>
      <c r="F122" s="63">
        <v>4.6650900000000002</v>
      </c>
      <c r="G122" s="63">
        <v>4.6043200000000004</v>
      </c>
      <c r="H122" s="63">
        <v>4.7158499999999997</v>
      </c>
      <c r="I122" s="65">
        <v>4.7349100000000002</v>
      </c>
    </row>
    <row r="123" spans="1:9" x14ac:dyDescent="0.25">
      <c r="A123" s="59" t="s">
        <v>266</v>
      </c>
      <c r="B123" s="60">
        <v>45411</v>
      </c>
      <c r="C123" s="61">
        <v>45417</v>
      </c>
      <c r="D123" s="63">
        <v>4.7540699999999996</v>
      </c>
      <c r="E123" s="63">
        <v>4.9774099999999999</v>
      </c>
      <c r="F123" s="63">
        <v>4.6066599999999998</v>
      </c>
      <c r="G123" s="63">
        <v>4.4574199999999999</v>
      </c>
      <c r="H123" s="63">
        <v>4.6142500000000002</v>
      </c>
      <c r="I123" s="65">
        <v>4.6687599999999998</v>
      </c>
    </row>
    <row r="124" spans="1:9" x14ac:dyDescent="0.25">
      <c r="A124" s="59" t="s">
        <v>266</v>
      </c>
      <c r="B124" s="60">
        <v>45418</v>
      </c>
      <c r="C124" s="61">
        <v>45424</v>
      </c>
      <c r="D124" s="63">
        <v>4.6913600000000004</v>
      </c>
      <c r="E124" s="63">
        <v>4.8263100000000003</v>
      </c>
      <c r="F124" s="63">
        <v>4.4958499999999999</v>
      </c>
      <c r="G124" s="63">
        <v>4.4409599999999996</v>
      </c>
      <c r="H124" s="63">
        <v>4.5101699999999996</v>
      </c>
      <c r="I124" s="65">
        <v>4.56189</v>
      </c>
    </row>
    <row r="125" spans="1:9" x14ac:dyDescent="0.25">
      <c r="A125" s="59" t="s">
        <v>266</v>
      </c>
      <c r="B125" s="60">
        <v>45425</v>
      </c>
      <c r="C125" s="61">
        <v>45431</v>
      </c>
      <c r="D125" s="63">
        <v>4.6889599999999998</v>
      </c>
      <c r="E125" s="63">
        <v>4.7838399999999996</v>
      </c>
      <c r="F125" s="63">
        <v>4.5813800000000002</v>
      </c>
      <c r="G125" s="63">
        <v>4.3719299999999999</v>
      </c>
      <c r="H125" s="63">
        <v>4.4648500000000002</v>
      </c>
      <c r="I125" s="65">
        <v>4.5331299999999999</v>
      </c>
    </row>
    <row r="126" spans="1:9" x14ac:dyDescent="0.25">
      <c r="A126" s="59" t="s">
        <v>266</v>
      </c>
      <c r="B126" s="60">
        <v>45432</v>
      </c>
      <c r="C126" s="61">
        <v>45438</v>
      </c>
      <c r="D126" s="63">
        <v>4.8070599999999999</v>
      </c>
      <c r="E126" s="63">
        <v>4.8288799999999998</v>
      </c>
      <c r="F126" s="63">
        <v>4.6097700000000001</v>
      </c>
      <c r="G126" s="63">
        <v>4.4131600000000004</v>
      </c>
      <c r="H126" s="63">
        <v>4.5506099999999998</v>
      </c>
      <c r="I126" s="65">
        <v>4.5951500000000003</v>
      </c>
    </row>
    <row r="127" spans="1:9" x14ac:dyDescent="0.25">
      <c r="A127" s="59" t="s">
        <v>266</v>
      </c>
      <c r="B127" s="60">
        <v>45439</v>
      </c>
      <c r="C127" s="61">
        <v>45445</v>
      </c>
      <c r="D127" s="63">
        <v>4.8061800000000003</v>
      </c>
      <c r="E127" s="63">
        <v>4.9176299999999999</v>
      </c>
      <c r="F127" s="63">
        <v>4.60466</v>
      </c>
      <c r="G127" s="63">
        <v>4.69156</v>
      </c>
      <c r="H127" s="63">
        <v>4.5646500000000003</v>
      </c>
      <c r="I127" s="65">
        <v>4.6837999999999997</v>
      </c>
    </row>
    <row r="128" spans="1:9" x14ac:dyDescent="0.25">
      <c r="A128" s="59" t="s">
        <v>266</v>
      </c>
      <c r="B128" s="60">
        <v>45446</v>
      </c>
      <c r="C128" s="61">
        <v>45452</v>
      </c>
      <c r="D128" s="63">
        <v>4.81053</v>
      </c>
      <c r="E128" s="63">
        <v>4.9155899999999999</v>
      </c>
      <c r="F128" s="63">
        <v>4.6378399999999997</v>
      </c>
      <c r="G128" s="63">
        <v>4.5804099999999996</v>
      </c>
      <c r="H128" s="63">
        <v>4.62026</v>
      </c>
      <c r="I128" s="65">
        <v>4.68506</v>
      </c>
    </row>
    <row r="129" spans="1:9" x14ac:dyDescent="0.25">
      <c r="A129" s="59" t="s">
        <v>266</v>
      </c>
      <c r="B129" s="60">
        <v>45453</v>
      </c>
      <c r="C129" s="61">
        <v>45459</v>
      </c>
      <c r="D129" s="63">
        <v>4.84877</v>
      </c>
      <c r="E129" s="63">
        <v>5.0331299999999999</v>
      </c>
      <c r="F129" s="63">
        <v>4.6078400000000004</v>
      </c>
      <c r="G129" s="63">
        <v>4.6298199999999996</v>
      </c>
      <c r="H129" s="63">
        <v>4.74864</v>
      </c>
      <c r="I129" s="65">
        <v>4.7522799999999998</v>
      </c>
    </row>
    <row r="130" spans="1:9" x14ac:dyDescent="0.25">
      <c r="A130" s="59" t="s">
        <v>266</v>
      </c>
      <c r="B130" s="60">
        <v>45460</v>
      </c>
      <c r="C130" s="61">
        <v>45466</v>
      </c>
      <c r="D130" s="63">
        <v>4.9850300000000001</v>
      </c>
      <c r="E130" s="63">
        <v>5.11313</v>
      </c>
      <c r="F130" s="63">
        <v>4.9084099999999999</v>
      </c>
      <c r="G130" s="63">
        <v>4.7822199999999997</v>
      </c>
      <c r="H130" s="63">
        <v>4.94306</v>
      </c>
      <c r="I130" s="65">
        <v>4.9281699999999997</v>
      </c>
    </row>
    <row r="131" spans="1:9" x14ac:dyDescent="0.25">
      <c r="A131" s="59" t="s">
        <v>266</v>
      </c>
      <c r="B131" s="60">
        <v>45467</v>
      </c>
      <c r="C131" s="61">
        <v>45473</v>
      </c>
      <c r="D131" s="63">
        <v>5.0042999999999997</v>
      </c>
      <c r="E131" s="63">
        <v>5.2485099999999996</v>
      </c>
      <c r="F131" s="63">
        <v>4.9023000000000003</v>
      </c>
      <c r="G131" s="63">
        <v>4.8662099999999997</v>
      </c>
      <c r="H131" s="63">
        <v>4.9741200000000001</v>
      </c>
      <c r="I131" s="65">
        <v>4.9900900000000004</v>
      </c>
    </row>
    <row r="132" spans="1:9" x14ac:dyDescent="0.25">
      <c r="A132" s="59" t="s">
        <v>266</v>
      </c>
      <c r="B132" s="60">
        <v>45474</v>
      </c>
      <c r="C132" s="61">
        <v>45480</v>
      </c>
      <c r="D132" s="63">
        <v>5.06412</v>
      </c>
      <c r="E132" s="63">
        <v>5.1925499999999998</v>
      </c>
      <c r="F132" s="63">
        <v>4.8604599999999998</v>
      </c>
      <c r="G132" s="63">
        <v>4.8146599999999999</v>
      </c>
      <c r="H132" s="63">
        <v>4.9475300000000004</v>
      </c>
      <c r="I132" s="65">
        <v>4.9529300000000003</v>
      </c>
    </row>
    <row r="133" spans="1:9" x14ac:dyDescent="0.25">
      <c r="A133" s="59" t="s">
        <v>266</v>
      </c>
      <c r="B133" s="60">
        <v>45481</v>
      </c>
      <c r="C133" s="61">
        <v>45487</v>
      </c>
      <c r="D133" s="63">
        <v>5.0871899999999997</v>
      </c>
      <c r="E133" s="63">
        <v>5.2447299999999997</v>
      </c>
      <c r="F133" s="63">
        <v>5.1005000000000003</v>
      </c>
      <c r="G133" s="63">
        <v>4.8967200000000002</v>
      </c>
      <c r="H133" s="63">
        <v>5.0030099999999997</v>
      </c>
      <c r="I133" s="65">
        <v>5.0408400000000002</v>
      </c>
    </row>
    <row r="134" spans="1:9" x14ac:dyDescent="0.25">
      <c r="A134" s="59" t="s">
        <v>266</v>
      </c>
      <c r="B134" s="60">
        <v>45488</v>
      </c>
      <c r="C134" s="61">
        <v>45494</v>
      </c>
      <c r="D134" s="63">
        <v>5.0772199999999996</v>
      </c>
      <c r="E134" s="63">
        <v>5.2252900000000002</v>
      </c>
      <c r="F134" s="63">
        <v>5.1661299999999999</v>
      </c>
      <c r="G134" s="63">
        <v>4.9684999999999997</v>
      </c>
      <c r="H134" s="63">
        <v>5.0034299999999998</v>
      </c>
      <c r="I134" s="65">
        <v>5.0669599999999999</v>
      </c>
    </row>
    <row r="135" spans="1:9" x14ac:dyDescent="0.25">
      <c r="A135" s="59" t="s">
        <v>266</v>
      </c>
      <c r="B135" s="60">
        <v>45495</v>
      </c>
      <c r="C135" s="61">
        <v>45501</v>
      </c>
      <c r="D135" s="63">
        <v>5.1873100000000001</v>
      </c>
      <c r="E135" s="63">
        <v>5.3193700000000002</v>
      </c>
      <c r="F135" s="63">
        <v>5.1002999999999998</v>
      </c>
      <c r="G135" s="63">
        <v>5.0347900000000001</v>
      </c>
      <c r="H135" s="63">
        <v>5.1752200000000004</v>
      </c>
      <c r="I135" s="65">
        <v>5.1698599999999999</v>
      </c>
    </row>
    <row r="136" spans="1:9" x14ac:dyDescent="0.25">
      <c r="A136" s="59" t="s">
        <v>266</v>
      </c>
      <c r="B136" s="60">
        <v>45502</v>
      </c>
      <c r="C136" s="61">
        <v>45508</v>
      </c>
      <c r="D136" s="63">
        <v>5.3043899999999997</v>
      </c>
      <c r="E136" s="63">
        <v>5.3819699999999999</v>
      </c>
      <c r="F136" s="63">
        <v>5.2247899999999996</v>
      </c>
      <c r="G136" s="63">
        <v>5.1316100000000002</v>
      </c>
      <c r="H136" s="63">
        <v>5.2007500000000002</v>
      </c>
      <c r="I136" s="65">
        <v>5.2302200000000001</v>
      </c>
    </row>
    <row r="137" spans="1:9" x14ac:dyDescent="0.25">
      <c r="A137" s="59" t="s">
        <v>266</v>
      </c>
      <c r="B137" s="60">
        <v>45509</v>
      </c>
      <c r="C137" s="61">
        <v>45515</v>
      </c>
      <c r="D137" s="63">
        <v>5.3136900000000002</v>
      </c>
      <c r="E137" s="63">
        <v>5.3787700000000003</v>
      </c>
      <c r="F137" s="63">
        <v>5.3575699999999999</v>
      </c>
      <c r="G137" s="63">
        <v>5.1189299999999998</v>
      </c>
      <c r="H137" s="63">
        <v>5.2425800000000002</v>
      </c>
      <c r="I137" s="65">
        <v>5.2594599999999998</v>
      </c>
    </row>
    <row r="138" spans="1:9" x14ac:dyDescent="0.25">
      <c r="A138" s="59" t="s">
        <v>266</v>
      </c>
      <c r="B138" s="60">
        <v>45516</v>
      </c>
      <c r="C138" s="61">
        <v>45522</v>
      </c>
      <c r="D138" s="63">
        <v>5.2274500000000002</v>
      </c>
      <c r="E138" s="63">
        <v>5.4282399999999997</v>
      </c>
      <c r="F138" s="63">
        <v>5.1703799999999998</v>
      </c>
      <c r="G138" s="63">
        <v>5.0015400000000003</v>
      </c>
      <c r="H138" s="63">
        <v>5.1442699999999997</v>
      </c>
      <c r="I138" s="65">
        <v>5.1676500000000001</v>
      </c>
    </row>
    <row r="139" spans="1:9" x14ac:dyDescent="0.25">
      <c r="A139" s="59" t="s">
        <v>266</v>
      </c>
      <c r="B139" s="60">
        <v>45523</v>
      </c>
      <c r="C139" s="61">
        <v>45529</v>
      </c>
      <c r="D139" s="63">
        <v>5.2064599999999999</v>
      </c>
      <c r="E139" s="63">
        <v>5.3573000000000004</v>
      </c>
      <c r="F139" s="63">
        <v>5.0947199999999997</v>
      </c>
      <c r="G139" s="63">
        <v>4.9336700000000002</v>
      </c>
      <c r="H139" s="63">
        <v>5.0657899999999998</v>
      </c>
      <c r="I139" s="65">
        <v>5.0922700000000001</v>
      </c>
    </row>
    <row r="140" spans="1:9" x14ac:dyDescent="0.25">
      <c r="A140" s="59" t="s">
        <v>266</v>
      </c>
      <c r="B140" s="60">
        <v>45530</v>
      </c>
      <c r="C140" s="61">
        <v>45536</v>
      </c>
      <c r="D140" s="63">
        <v>5.2101100000000002</v>
      </c>
      <c r="E140" s="63">
        <v>5.3136799999999997</v>
      </c>
      <c r="F140" s="63">
        <v>4.9992700000000001</v>
      </c>
      <c r="G140" s="63">
        <v>4.9174600000000002</v>
      </c>
      <c r="H140" s="63">
        <v>5.0486199999999997</v>
      </c>
      <c r="I140" s="65">
        <v>5.0680300000000003</v>
      </c>
    </row>
    <row r="141" spans="1:9" x14ac:dyDescent="0.25">
      <c r="A141" s="59" t="s">
        <v>266</v>
      </c>
      <c r="B141" s="60">
        <v>45537</v>
      </c>
      <c r="C141" s="61">
        <v>45543</v>
      </c>
      <c r="D141" s="63">
        <v>5.2812700000000001</v>
      </c>
      <c r="E141" s="63">
        <v>5.3533499999999998</v>
      </c>
      <c r="F141" s="63">
        <v>5.1688099999999997</v>
      </c>
      <c r="G141" s="63">
        <v>4.9885599999999997</v>
      </c>
      <c r="H141" s="63">
        <v>5.0834599999999996</v>
      </c>
      <c r="I141" s="65">
        <v>5.1147299999999998</v>
      </c>
    </row>
    <row r="142" spans="1:9" x14ac:dyDescent="0.25">
      <c r="A142" s="59" t="s">
        <v>266</v>
      </c>
      <c r="B142" s="60">
        <v>45544</v>
      </c>
      <c r="C142" s="61">
        <v>45550</v>
      </c>
      <c r="D142" s="63">
        <v>5.3623700000000003</v>
      </c>
      <c r="E142" s="63">
        <v>5.4538099999999998</v>
      </c>
      <c r="F142" s="63">
        <v>5.2332900000000002</v>
      </c>
      <c r="G142" s="63">
        <v>5.0893100000000002</v>
      </c>
      <c r="H142" s="63">
        <v>5.2297200000000004</v>
      </c>
      <c r="I142" s="65">
        <v>5.2402499999999996</v>
      </c>
    </row>
    <row r="143" spans="1:9" x14ac:dyDescent="0.25">
      <c r="A143" s="59" t="s">
        <v>266</v>
      </c>
      <c r="B143" s="60">
        <v>45551</v>
      </c>
      <c r="C143" s="61">
        <v>45557</v>
      </c>
      <c r="D143" s="63">
        <v>5.4279400000000004</v>
      </c>
      <c r="E143" s="63">
        <v>5.4960899999999997</v>
      </c>
      <c r="F143" s="63">
        <v>5.1829099999999997</v>
      </c>
      <c r="G143" s="63">
        <v>5.1057699999999997</v>
      </c>
      <c r="H143" s="63">
        <v>5.2456500000000004</v>
      </c>
      <c r="I143" s="65">
        <v>5.2601899999999997</v>
      </c>
    </row>
    <row r="144" spans="1:9" x14ac:dyDescent="0.25">
      <c r="A144" s="59" t="s">
        <v>266</v>
      </c>
      <c r="B144" s="60">
        <v>45558</v>
      </c>
      <c r="C144" s="61">
        <v>45564</v>
      </c>
      <c r="D144" s="63">
        <v>5.4927000000000001</v>
      </c>
      <c r="E144" s="63">
        <v>5.5917599999999998</v>
      </c>
      <c r="F144" s="63">
        <v>5.3715200000000003</v>
      </c>
      <c r="G144" s="63">
        <v>5.1388100000000003</v>
      </c>
      <c r="H144" s="63">
        <v>5.2911700000000002</v>
      </c>
      <c r="I144" s="65">
        <v>5.3263800000000003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A6BB-FEA9-4C72-8FC3-570A74D18DE7}">
  <dimension ref="A1:C102"/>
  <sheetViews>
    <sheetView workbookViewId="0">
      <selection activeCell="C7" sqref="C7"/>
    </sheetView>
  </sheetViews>
  <sheetFormatPr defaultColWidth="8.7109375" defaultRowHeight="15.75" x14ac:dyDescent="0.25"/>
  <cols>
    <col min="1" max="1" width="11" style="66" bestFit="1" customWidth="1"/>
    <col min="2" max="16384" width="8.7109375" style="66"/>
  </cols>
  <sheetData>
    <row r="1" spans="1:3" x14ac:dyDescent="0.25">
      <c r="A1" s="66" t="s">
        <v>267</v>
      </c>
      <c r="B1" s="66" t="s">
        <v>268</v>
      </c>
      <c r="C1" s="66" t="s">
        <v>269</v>
      </c>
    </row>
    <row r="2" spans="1:3" x14ac:dyDescent="0.25">
      <c r="A2" s="66" t="s">
        <v>270</v>
      </c>
      <c r="B2" s="66">
        <v>7577.45</v>
      </c>
      <c r="C2" s="66">
        <f t="shared" ref="C2:C65" si="0">B2/1000</f>
        <v>7.5774499999999998</v>
      </c>
    </row>
    <row r="3" spans="1:3" x14ac:dyDescent="0.25">
      <c r="A3" s="66" t="s">
        <v>271</v>
      </c>
      <c r="B3" s="66">
        <v>7486.1960000000008</v>
      </c>
      <c r="C3" s="66">
        <f t="shared" si="0"/>
        <v>7.4861960000000005</v>
      </c>
    </row>
    <row r="4" spans="1:3" x14ac:dyDescent="0.25">
      <c r="A4" s="66" t="s">
        <v>272</v>
      </c>
      <c r="B4" s="66">
        <v>7501.67</v>
      </c>
      <c r="C4" s="66">
        <f t="shared" si="0"/>
        <v>7.5016699999999998</v>
      </c>
    </row>
    <row r="5" spans="1:3" x14ac:dyDescent="0.25">
      <c r="A5" s="66" t="s">
        <v>273</v>
      </c>
      <c r="B5" s="66">
        <v>7658.5640000000003</v>
      </c>
      <c r="C5" s="66">
        <f t="shared" si="0"/>
        <v>7.6585640000000001</v>
      </c>
    </row>
    <row r="6" spans="1:3" x14ac:dyDescent="0.25">
      <c r="A6" s="66" t="s">
        <v>274</v>
      </c>
      <c r="B6" s="66">
        <v>7583.1020000000008</v>
      </c>
      <c r="C6" s="66">
        <f t="shared" si="0"/>
        <v>7.5831020000000011</v>
      </c>
    </row>
    <row r="7" spans="1:3" x14ac:dyDescent="0.25">
      <c r="A7" s="66" t="s">
        <v>275</v>
      </c>
      <c r="B7" s="66">
        <v>7678.65</v>
      </c>
      <c r="C7" s="66">
        <f t="shared" si="0"/>
        <v>7.6786499999999993</v>
      </c>
    </row>
    <row r="8" spans="1:3" x14ac:dyDescent="0.25">
      <c r="A8" s="66" t="s">
        <v>276</v>
      </c>
      <c r="B8" s="66">
        <v>7901.1440000000002</v>
      </c>
      <c r="C8" s="66">
        <f t="shared" si="0"/>
        <v>7.9011440000000004</v>
      </c>
    </row>
    <row r="9" spans="1:3" x14ac:dyDescent="0.25">
      <c r="A9" s="66" t="s">
        <v>277</v>
      </c>
      <c r="B9" s="66">
        <v>8044.2424999999994</v>
      </c>
      <c r="C9" s="66">
        <f t="shared" si="0"/>
        <v>8.0442424999999993</v>
      </c>
    </row>
    <row r="10" spans="1:3" x14ac:dyDescent="0.25">
      <c r="A10" s="66" t="s">
        <v>278</v>
      </c>
      <c r="B10" s="66">
        <v>9137.9499999999989</v>
      </c>
      <c r="C10" s="66">
        <f t="shared" si="0"/>
        <v>9.1379499999999982</v>
      </c>
    </row>
    <row r="11" spans="1:3" x14ac:dyDescent="0.25">
      <c r="A11" s="66" t="s">
        <v>279</v>
      </c>
      <c r="B11" s="66">
        <v>9041.4639999999999</v>
      </c>
      <c r="C11" s="66">
        <f t="shared" si="0"/>
        <v>9.0414639999999995</v>
      </c>
    </row>
    <row r="12" spans="1:3" x14ac:dyDescent="0.25">
      <c r="A12" s="66" t="s">
        <v>280</v>
      </c>
      <c r="B12" s="66">
        <v>8728.4660000000003</v>
      </c>
      <c r="C12" s="66">
        <f t="shared" si="0"/>
        <v>8.7284660000000009</v>
      </c>
    </row>
    <row r="13" spans="1:3" x14ac:dyDescent="0.25">
      <c r="A13" s="66" t="s">
        <v>281</v>
      </c>
      <c r="B13" s="66">
        <v>8175.246000000001</v>
      </c>
      <c r="C13" s="66">
        <f t="shared" si="0"/>
        <v>8.1752460000000013</v>
      </c>
    </row>
    <row r="14" spans="1:3" x14ac:dyDescent="0.25">
      <c r="A14" s="66" t="s">
        <v>282</v>
      </c>
      <c r="B14" s="66">
        <v>7815.45</v>
      </c>
      <c r="C14" s="66">
        <f t="shared" si="0"/>
        <v>7.8154500000000002</v>
      </c>
    </row>
    <row r="15" spans="1:3" x14ac:dyDescent="0.25">
      <c r="A15" s="66" t="s">
        <v>283</v>
      </c>
      <c r="B15" s="66">
        <v>7978.3339999999998</v>
      </c>
      <c r="C15" s="66">
        <f t="shared" si="0"/>
        <v>7.9783340000000003</v>
      </c>
    </row>
    <row r="16" spans="1:3" x14ac:dyDescent="0.25">
      <c r="A16" s="66" t="s">
        <v>284</v>
      </c>
      <c r="B16" s="66">
        <v>8436.23</v>
      </c>
      <c r="C16" s="66">
        <f t="shared" si="0"/>
        <v>8.4362300000000001</v>
      </c>
    </row>
    <row r="17" spans="1:3" x14ac:dyDescent="0.25">
      <c r="A17" s="66" t="s">
        <v>285</v>
      </c>
      <c r="B17" s="66">
        <v>8492.7199999999993</v>
      </c>
      <c r="C17" s="66">
        <f t="shared" si="0"/>
        <v>8.4927199999999985</v>
      </c>
    </row>
    <row r="18" spans="1:3" x14ac:dyDescent="0.25">
      <c r="A18" s="66" t="s">
        <v>286</v>
      </c>
      <c r="B18" s="66">
        <v>9318.5240000000013</v>
      </c>
      <c r="C18" s="66">
        <f t="shared" si="0"/>
        <v>9.3185240000000018</v>
      </c>
    </row>
    <row r="19" spans="1:3" x14ac:dyDescent="0.25">
      <c r="A19" s="66" t="s">
        <v>287</v>
      </c>
      <c r="B19" s="66">
        <v>9116.0750000000007</v>
      </c>
      <c r="C19" s="66">
        <f t="shared" si="0"/>
        <v>9.1160750000000004</v>
      </c>
    </row>
    <row r="20" spans="1:3" x14ac:dyDescent="0.25">
      <c r="A20" s="66" t="s">
        <v>288</v>
      </c>
      <c r="B20" s="66">
        <v>9396.35</v>
      </c>
      <c r="C20" s="66">
        <f t="shared" si="0"/>
        <v>9.39635</v>
      </c>
    </row>
    <row r="21" spans="1:3" x14ac:dyDescent="0.25">
      <c r="A21" s="66" t="s">
        <v>289</v>
      </c>
      <c r="B21" s="66">
        <v>8870.098</v>
      </c>
      <c r="C21" s="66">
        <f t="shared" si="0"/>
        <v>8.8700980000000005</v>
      </c>
    </row>
    <row r="22" spans="1:3" x14ac:dyDescent="0.25">
      <c r="A22" s="66" t="s">
        <v>290</v>
      </c>
      <c r="B22" s="66">
        <v>8424.6720000000005</v>
      </c>
      <c r="C22" s="66">
        <f t="shared" si="0"/>
        <v>8.424672000000001</v>
      </c>
    </row>
    <row r="23" spans="1:3" x14ac:dyDescent="0.25">
      <c r="A23" s="66" t="s">
        <v>291</v>
      </c>
      <c r="B23" s="66">
        <v>8437.7924999999996</v>
      </c>
      <c r="C23" s="66">
        <f t="shared" si="0"/>
        <v>8.4377924999999987</v>
      </c>
    </row>
    <row r="24" spans="1:3" x14ac:dyDescent="0.25">
      <c r="A24" s="66" t="s">
        <v>292</v>
      </c>
      <c r="B24" s="66">
        <v>8438.8379999999997</v>
      </c>
      <c r="C24" s="66">
        <f t="shared" si="0"/>
        <v>8.4388380000000005</v>
      </c>
    </row>
    <row r="25" spans="1:3" x14ac:dyDescent="0.25">
      <c r="A25" s="66" t="s">
        <v>293</v>
      </c>
      <c r="B25" s="66">
        <v>8231.8799999999992</v>
      </c>
      <c r="C25" s="66">
        <f t="shared" si="0"/>
        <v>8.2318799999999985</v>
      </c>
    </row>
    <row r="26" spans="1:3" x14ac:dyDescent="0.25">
      <c r="A26" s="66" t="s">
        <v>294</v>
      </c>
      <c r="B26" s="66">
        <v>7569.0325000000003</v>
      </c>
      <c r="C26" s="66">
        <f t="shared" si="0"/>
        <v>7.5690325000000005</v>
      </c>
    </row>
    <row r="27" spans="1:3" x14ac:dyDescent="0.25">
      <c r="A27" s="66" t="s">
        <v>295</v>
      </c>
      <c r="B27" s="66">
        <v>7527.4600000000009</v>
      </c>
      <c r="C27" s="66">
        <f t="shared" si="0"/>
        <v>7.5274600000000014</v>
      </c>
    </row>
    <row r="28" spans="1:3" x14ac:dyDescent="0.25">
      <c r="A28" s="66" t="s">
        <v>296</v>
      </c>
      <c r="B28" s="66">
        <v>7166</v>
      </c>
      <c r="C28" s="66">
        <f t="shared" si="0"/>
        <v>7.1660000000000004</v>
      </c>
    </row>
    <row r="29" spans="1:3" x14ac:dyDescent="0.25">
      <c r="A29" s="66" t="s">
        <v>297</v>
      </c>
      <c r="B29" s="66">
        <v>7142.079999999999</v>
      </c>
      <c r="C29" s="66">
        <f t="shared" si="0"/>
        <v>7.1420799999999991</v>
      </c>
    </row>
    <row r="30" spans="1:3" x14ac:dyDescent="0.25">
      <c r="A30" s="66" t="s">
        <v>298</v>
      </c>
      <c r="B30" s="66">
        <v>7028.8420000000015</v>
      </c>
      <c r="C30" s="66">
        <f t="shared" si="0"/>
        <v>7.0288420000000018</v>
      </c>
    </row>
    <row r="31" spans="1:3" x14ac:dyDescent="0.25">
      <c r="A31" s="66" t="s">
        <v>299</v>
      </c>
      <c r="B31" s="66">
        <v>6913.8160000000007</v>
      </c>
      <c r="C31" s="66">
        <f t="shared" si="0"/>
        <v>6.9138160000000006</v>
      </c>
    </row>
    <row r="32" spans="1:3" x14ac:dyDescent="0.25">
      <c r="A32" s="66" t="s">
        <v>300</v>
      </c>
      <c r="B32" s="66">
        <v>6774.4520000000002</v>
      </c>
      <c r="C32" s="66">
        <f t="shared" si="0"/>
        <v>6.7744520000000001</v>
      </c>
    </row>
    <row r="33" spans="1:3" x14ac:dyDescent="0.25">
      <c r="A33" s="66" t="s">
        <v>301</v>
      </c>
      <c r="B33" s="66">
        <v>7090.0119999999997</v>
      </c>
      <c r="C33" s="66">
        <f t="shared" si="0"/>
        <v>7.0900119999999998</v>
      </c>
    </row>
    <row r="34" spans="1:3" x14ac:dyDescent="0.25">
      <c r="A34" s="66" t="s">
        <v>302</v>
      </c>
      <c r="B34" s="66">
        <v>6910.3919999999998</v>
      </c>
      <c r="C34" s="66">
        <f t="shared" si="0"/>
        <v>6.9103919999999999</v>
      </c>
    </row>
    <row r="35" spans="1:3" x14ac:dyDescent="0.25">
      <c r="A35" s="66" t="s">
        <v>303</v>
      </c>
      <c r="B35" s="66">
        <v>6919.0460000000003</v>
      </c>
      <c r="C35" s="66">
        <f t="shared" si="0"/>
        <v>6.9190460000000007</v>
      </c>
    </row>
    <row r="36" spans="1:3" x14ac:dyDescent="0.25">
      <c r="A36" s="66" t="s">
        <v>304</v>
      </c>
      <c r="B36" s="66">
        <v>7066.2320000000009</v>
      </c>
      <c r="C36" s="66">
        <f t="shared" si="0"/>
        <v>7.0662320000000012</v>
      </c>
    </row>
    <row r="37" spans="1:3" x14ac:dyDescent="0.25">
      <c r="A37" s="66" t="s">
        <v>305</v>
      </c>
      <c r="B37" s="66">
        <v>6471.3249999999998</v>
      </c>
      <c r="C37" s="66">
        <f t="shared" si="0"/>
        <v>6.4713250000000002</v>
      </c>
    </row>
    <row r="38" spans="1:3" x14ac:dyDescent="0.25">
      <c r="A38" s="66" t="s">
        <v>306</v>
      </c>
      <c r="B38" s="66">
        <v>6411.1459999999988</v>
      </c>
      <c r="C38" s="66">
        <f t="shared" si="0"/>
        <v>6.4111459999999987</v>
      </c>
    </row>
    <row r="39" spans="1:3" x14ac:dyDescent="0.25">
      <c r="A39" s="66" t="s">
        <v>307</v>
      </c>
      <c r="B39" s="66">
        <v>6195.576</v>
      </c>
      <c r="C39" s="66">
        <f t="shared" si="0"/>
        <v>6.195576</v>
      </c>
    </row>
    <row r="40" spans="1:3" x14ac:dyDescent="0.25">
      <c r="A40" s="66" t="s">
        <v>308</v>
      </c>
      <c r="B40" s="66">
        <v>5818.612000000001</v>
      </c>
      <c r="C40" s="66">
        <f t="shared" si="0"/>
        <v>5.8186120000000008</v>
      </c>
    </row>
    <row r="41" spans="1:3" x14ac:dyDescent="0.25">
      <c r="A41" s="66" t="s">
        <v>309</v>
      </c>
      <c r="B41" s="66">
        <v>6304.2659999999996</v>
      </c>
      <c r="C41" s="66">
        <f t="shared" si="0"/>
        <v>6.3042659999999993</v>
      </c>
    </row>
    <row r="42" spans="1:3" x14ac:dyDescent="0.25">
      <c r="A42" s="66" t="s">
        <v>310</v>
      </c>
      <c r="B42" s="66">
        <v>6535.63</v>
      </c>
      <c r="C42" s="66">
        <f t="shared" si="0"/>
        <v>6.5356300000000003</v>
      </c>
    </row>
    <row r="43" spans="1:3" x14ac:dyDescent="0.25">
      <c r="A43" s="66" t="s">
        <v>311</v>
      </c>
      <c r="B43" s="66">
        <v>6742.35</v>
      </c>
      <c r="C43" s="66">
        <f t="shared" si="0"/>
        <v>6.7423500000000001</v>
      </c>
    </row>
    <row r="44" spans="1:3" x14ac:dyDescent="0.25">
      <c r="A44" s="66" t="s">
        <v>312</v>
      </c>
      <c r="B44" s="66">
        <v>7094.1220000000003</v>
      </c>
      <c r="C44" s="66">
        <f t="shared" si="0"/>
        <v>7.0941220000000005</v>
      </c>
    </row>
    <row r="45" spans="1:3" x14ac:dyDescent="0.25">
      <c r="A45" s="66" t="s">
        <v>313</v>
      </c>
      <c r="B45" s="66">
        <v>7120.5980000000009</v>
      </c>
      <c r="C45" s="66">
        <f t="shared" si="0"/>
        <v>7.1205980000000011</v>
      </c>
    </row>
    <row r="46" spans="1:3" x14ac:dyDescent="0.25">
      <c r="A46" s="66" t="s">
        <v>314</v>
      </c>
      <c r="B46" s="66">
        <v>7386.5679999999993</v>
      </c>
      <c r="C46" s="66">
        <f t="shared" si="0"/>
        <v>7.3865679999999996</v>
      </c>
    </row>
    <row r="47" spans="1:3" x14ac:dyDescent="0.25">
      <c r="A47" s="66" t="s">
        <v>315</v>
      </c>
      <c r="B47" s="66">
        <v>7185.6859999999997</v>
      </c>
      <c r="C47" s="66">
        <f t="shared" si="0"/>
        <v>7.1856859999999996</v>
      </c>
    </row>
    <row r="48" spans="1:3" x14ac:dyDescent="0.25">
      <c r="A48" s="66" t="s">
        <v>316</v>
      </c>
      <c r="B48" s="66">
        <v>7081.7825000000003</v>
      </c>
      <c r="C48" s="66">
        <f t="shared" si="0"/>
        <v>7.0817825000000001</v>
      </c>
    </row>
    <row r="49" spans="1:3" x14ac:dyDescent="0.25">
      <c r="A49" s="66" t="s">
        <v>317</v>
      </c>
      <c r="B49" s="66">
        <v>6698.616</v>
      </c>
      <c r="C49" s="66">
        <f t="shared" si="0"/>
        <v>6.6986160000000003</v>
      </c>
    </row>
    <row r="50" spans="1:3" x14ac:dyDescent="0.25">
      <c r="A50" s="66" t="s">
        <v>318</v>
      </c>
      <c r="B50" s="66">
        <v>6065.018</v>
      </c>
      <c r="C50" s="66">
        <f t="shared" si="0"/>
        <v>6.0650180000000002</v>
      </c>
    </row>
    <row r="51" spans="1:3" x14ac:dyDescent="0.25">
      <c r="A51" s="66" t="s">
        <v>319</v>
      </c>
      <c r="B51" s="66">
        <v>6518.4839999999995</v>
      </c>
      <c r="C51" s="66">
        <f t="shared" si="0"/>
        <v>6.5184839999999991</v>
      </c>
    </row>
    <row r="52" spans="1:3" x14ac:dyDescent="0.25">
      <c r="A52" s="66" t="s">
        <v>320</v>
      </c>
      <c r="B52" s="66">
        <v>6537.2919999999995</v>
      </c>
      <c r="C52" s="66">
        <f t="shared" si="0"/>
        <v>6.5372919999999999</v>
      </c>
    </row>
    <row r="53" spans="1:3" x14ac:dyDescent="0.25">
      <c r="A53" s="66" t="s">
        <v>321</v>
      </c>
      <c r="B53" s="66">
        <v>6651.0599999999995</v>
      </c>
      <c r="C53" s="66">
        <f t="shared" si="0"/>
        <v>6.6510599999999993</v>
      </c>
    </row>
    <row r="54" spans="1:3" x14ac:dyDescent="0.25">
      <c r="A54" s="66" t="s">
        <v>322</v>
      </c>
      <c r="B54" s="66">
        <v>6417.9150000000009</v>
      </c>
      <c r="C54" s="66">
        <f t="shared" si="0"/>
        <v>6.4179150000000007</v>
      </c>
    </row>
    <row r="55" spans="1:3" x14ac:dyDescent="0.25">
      <c r="A55" s="66" t="s">
        <v>323</v>
      </c>
      <c r="B55" s="66">
        <v>6138.5779999999995</v>
      </c>
      <c r="C55" s="66">
        <f t="shared" si="0"/>
        <v>6.1385779999999999</v>
      </c>
    </row>
    <row r="56" spans="1:3" x14ac:dyDescent="0.25">
      <c r="A56" s="66" t="s">
        <v>324</v>
      </c>
      <c r="B56" s="66">
        <v>5962.665</v>
      </c>
      <c r="C56" s="66">
        <f t="shared" si="0"/>
        <v>5.9626650000000003</v>
      </c>
    </row>
    <row r="57" spans="1:3" x14ac:dyDescent="0.25">
      <c r="A57" s="66" t="s">
        <v>325</v>
      </c>
      <c r="B57" s="66">
        <v>5698.48</v>
      </c>
      <c r="C57" s="66">
        <f t="shared" si="0"/>
        <v>5.69848</v>
      </c>
    </row>
    <row r="58" spans="1:3" x14ac:dyDescent="0.25">
      <c r="A58" s="66" t="s">
        <v>326</v>
      </c>
      <c r="B58" s="66">
        <v>5782.7420000000002</v>
      </c>
      <c r="C58" s="66">
        <f t="shared" si="0"/>
        <v>5.7827419999999998</v>
      </c>
    </row>
    <row r="59" spans="1:3" x14ac:dyDescent="0.25">
      <c r="A59" s="66" t="s">
        <v>327</v>
      </c>
      <c r="B59" s="66">
        <v>6036.7460000000001</v>
      </c>
      <c r="C59" s="66">
        <f t="shared" si="0"/>
        <v>6.0367459999999999</v>
      </c>
    </row>
    <row r="60" spans="1:3" x14ac:dyDescent="0.25">
      <c r="A60" s="66" t="s">
        <v>328</v>
      </c>
      <c r="B60" s="66">
        <v>5853.0959999999995</v>
      </c>
      <c r="C60" s="66">
        <f t="shared" si="0"/>
        <v>5.8530959999999999</v>
      </c>
    </row>
    <row r="61" spans="1:3" x14ac:dyDescent="0.25">
      <c r="A61" s="66" t="s">
        <v>329</v>
      </c>
      <c r="B61" s="66">
        <v>5781.6466666666665</v>
      </c>
      <c r="C61" s="66">
        <f t="shared" si="0"/>
        <v>5.7816466666666662</v>
      </c>
    </row>
    <row r="62" spans="1:3" x14ac:dyDescent="0.25">
      <c r="A62" s="66" t="s">
        <v>330</v>
      </c>
      <c r="B62" s="66">
        <v>5800.7899999999991</v>
      </c>
      <c r="C62" s="66">
        <f t="shared" si="0"/>
        <v>5.8007899999999992</v>
      </c>
    </row>
    <row r="63" spans="1:3" x14ac:dyDescent="0.25">
      <c r="A63" s="66" t="s">
        <v>331</v>
      </c>
      <c r="B63" s="66">
        <v>5627.9339999999993</v>
      </c>
      <c r="C63" s="66">
        <f t="shared" si="0"/>
        <v>5.6279339999999989</v>
      </c>
    </row>
    <row r="64" spans="1:3" x14ac:dyDescent="0.25">
      <c r="A64" s="66" t="s">
        <v>332</v>
      </c>
      <c r="B64" s="66">
        <v>5544.0739999999996</v>
      </c>
      <c r="C64" s="66">
        <f t="shared" si="0"/>
        <v>5.5440739999999993</v>
      </c>
    </row>
    <row r="65" spans="1:3" x14ac:dyDescent="0.25">
      <c r="A65" s="66" t="s">
        <v>333</v>
      </c>
      <c r="B65" s="66">
        <v>5301.1080000000002</v>
      </c>
      <c r="C65" s="66">
        <f t="shared" si="0"/>
        <v>5.3011080000000002</v>
      </c>
    </row>
    <row r="66" spans="1:3" x14ac:dyDescent="0.25">
      <c r="A66" s="66" t="s">
        <v>334</v>
      </c>
      <c r="B66" s="66">
        <v>5131.3860000000004</v>
      </c>
      <c r="C66" s="66">
        <f t="shared" ref="C66:C102" si="1">B66/1000</f>
        <v>5.131386</v>
      </c>
    </row>
    <row r="67" spans="1:3" x14ac:dyDescent="0.25">
      <c r="A67" s="66" t="s">
        <v>335</v>
      </c>
      <c r="B67" s="66">
        <v>4926.7325000000001</v>
      </c>
      <c r="C67" s="66">
        <f t="shared" si="1"/>
        <v>4.9267325</v>
      </c>
    </row>
    <row r="68" spans="1:3" x14ac:dyDescent="0.25">
      <c r="A68" s="66" t="s">
        <v>336</v>
      </c>
      <c r="B68" s="66">
        <v>4677.9979999999996</v>
      </c>
      <c r="C68" s="66">
        <f t="shared" si="1"/>
        <v>4.6779979999999997</v>
      </c>
    </row>
    <row r="69" spans="1:3" x14ac:dyDescent="0.25">
      <c r="A69" s="66" t="s">
        <v>337</v>
      </c>
      <c r="B69" s="66">
        <v>4763.9960000000001</v>
      </c>
      <c r="C69" s="66">
        <f t="shared" si="1"/>
        <v>4.7639959999999997</v>
      </c>
    </row>
    <row r="70" spans="1:3" x14ac:dyDescent="0.25">
      <c r="A70" s="66" t="s">
        <v>338</v>
      </c>
      <c r="B70" s="66">
        <v>4522.9979999999996</v>
      </c>
      <c r="C70" s="66">
        <f t="shared" si="1"/>
        <v>4.5229979999999994</v>
      </c>
    </row>
    <row r="71" spans="1:3" x14ac:dyDescent="0.25">
      <c r="A71" s="66" t="s">
        <v>339</v>
      </c>
      <c r="B71" s="66">
        <v>4665.2024999999994</v>
      </c>
      <c r="C71" s="66">
        <f t="shared" si="1"/>
        <v>4.6652024999999995</v>
      </c>
    </row>
    <row r="72" spans="1:3" x14ac:dyDescent="0.25">
      <c r="A72" s="66" t="s">
        <v>340</v>
      </c>
      <c r="B72" s="66">
        <v>4624.6759999999995</v>
      </c>
      <c r="C72" s="66">
        <f t="shared" si="1"/>
        <v>4.6246759999999991</v>
      </c>
    </row>
    <row r="73" spans="1:3" x14ac:dyDescent="0.25">
      <c r="A73" s="66" t="s">
        <v>341</v>
      </c>
      <c r="B73" s="66">
        <v>4381.4859999999999</v>
      </c>
      <c r="C73" s="66">
        <f t="shared" si="1"/>
        <v>4.3814859999999998</v>
      </c>
    </row>
    <row r="74" spans="1:3" x14ac:dyDescent="0.25">
      <c r="A74" s="66" t="s">
        <v>342</v>
      </c>
      <c r="B74" s="66">
        <v>4404.6000000000004</v>
      </c>
      <c r="C74" s="66">
        <f t="shared" si="1"/>
        <v>4.4046000000000003</v>
      </c>
    </row>
    <row r="75" spans="1:3" x14ac:dyDescent="0.25">
      <c r="A75" s="66" t="s">
        <v>343</v>
      </c>
      <c r="B75" s="66">
        <v>4288.6424999999999</v>
      </c>
      <c r="C75" s="66">
        <f t="shared" si="1"/>
        <v>4.2886424999999999</v>
      </c>
    </row>
    <row r="76" spans="1:3" x14ac:dyDescent="0.25">
      <c r="A76" s="66" t="s">
        <v>344</v>
      </c>
      <c r="B76" s="66">
        <v>4518.116</v>
      </c>
      <c r="C76" s="66">
        <f t="shared" si="1"/>
        <v>4.518116</v>
      </c>
    </row>
    <row r="77" spans="1:3" x14ac:dyDescent="0.25">
      <c r="A77" s="66" t="s">
        <v>345</v>
      </c>
      <c r="B77" s="66">
        <v>4705.5</v>
      </c>
      <c r="C77" s="66">
        <f t="shared" si="1"/>
        <v>4.7054999999999998</v>
      </c>
    </row>
    <row r="78" spans="1:3" x14ac:dyDescent="0.25">
      <c r="A78" s="66" t="s">
        <v>346</v>
      </c>
      <c r="B78" s="66">
        <v>4678.3024999999998</v>
      </c>
      <c r="C78" s="66">
        <f t="shared" si="1"/>
        <v>4.6783025</v>
      </c>
    </row>
    <row r="79" spans="1:3" x14ac:dyDescent="0.25">
      <c r="A79" s="66" t="s">
        <v>347</v>
      </c>
      <c r="B79" s="66">
        <v>4684.116</v>
      </c>
      <c r="C79" s="66">
        <f t="shared" si="1"/>
        <v>4.6841160000000004</v>
      </c>
    </row>
    <row r="80" spans="1:3" x14ac:dyDescent="0.25">
      <c r="A80" s="66" t="s">
        <v>348</v>
      </c>
      <c r="B80" s="66">
        <v>4725.5424999999996</v>
      </c>
      <c r="C80" s="66">
        <f t="shared" si="1"/>
        <v>4.7255424999999995</v>
      </c>
    </row>
    <row r="81" spans="1:3" x14ac:dyDescent="0.25">
      <c r="A81" s="66" t="s">
        <v>349</v>
      </c>
      <c r="B81" s="66">
        <v>4569.5640000000003</v>
      </c>
      <c r="C81" s="66">
        <f t="shared" si="1"/>
        <v>4.5695640000000006</v>
      </c>
    </row>
    <row r="82" spans="1:3" x14ac:dyDescent="0.25">
      <c r="A82" s="66" t="s">
        <v>350</v>
      </c>
      <c r="B82" s="66">
        <v>4586.351999999999</v>
      </c>
      <c r="C82" s="66">
        <f t="shared" si="1"/>
        <v>4.5863519999999989</v>
      </c>
    </row>
    <row r="83" spans="1:3" x14ac:dyDescent="0.25">
      <c r="A83" s="66" t="s">
        <v>351</v>
      </c>
      <c r="B83" s="66">
        <v>4791.9359999999997</v>
      </c>
      <c r="C83" s="66">
        <f t="shared" si="1"/>
        <v>4.7919359999999998</v>
      </c>
    </row>
    <row r="84" spans="1:3" x14ac:dyDescent="0.25">
      <c r="A84" s="66" t="s">
        <v>352</v>
      </c>
      <c r="B84" s="66">
        <v>4809.7</v>
      </c>
      <c r="C84" s="66">
        <f t="shared" si="1"/>
        <v>4.8096999999999994</v>
      </c>
    </row>
    <row r="85" spans="1:3" x14ac:dyDescent="0.25">
      <c r="A85" s="66" t="s">
        <v>353</v>
      </c>
      <c r="B85" s="66">
        <v>4685.72</v>
      </c>
      <c r="C85" s="66">
        <f t="shared" si="1"/>
        <v>4.6857199999999999</v>
      </c>
    </row>
    <row r="86" spans="1:3" x14ac:dyDescent="0.25">
      <c r="A86" s="66" t="s">
        <v>354</v>
      </c>
      <c r="B86" s="66">
        <v>4750.5199999999995</v>
      </c>
      <c r="C86" s="66">
        <f t="shared" si="1"/>
        <v>4.7505199999999999</v>
      </c>
    </row>
    <row r="87" spans="1:3" x14ac:dyDescent="0.25">
      <c r="A87" s="66" t="s">
        <v>355</v>
      </c>
      <c r="B87" s="66">
        <v>4633.4479999999994</v>
      </c>
      <c r="C87" s="66">
        <f t="shared" si="1"/>
        <v>4.6334479999999996</v>
      </c>
    </row>
    <row r="88" spans="1:3" x14ac:dyDescent="0.25">
      <c r="A88" s="66" t="s">
        <v>356</v>
      </c>
      <c r="B88" s="66">
        <v>4646.0259999999998</v>
      </c>
      <c r="C88" s="66">
        <f t="shared" si="1"/>
        <v>4.646026</v>
      </c>
    </row>
    <row r="89" spans="1:3" x14ac:dyDescent="0.25">
      <c r="A89" s="66" t="s">
        <v>357</v>
      </c>
      <c r="B89" s="66">
        <v>4488.833333333333</v>
      </c>
      <c r="C89" s="66">
        <f t="shared" si="1"/>
        <v>4.488833333333333</v>
      </c>
    </row>
    <row r="90" spans="1:3" x14ac:dyDescent="0.25">
      <c r="A90" s="66" t="s">
        <v>358</v>
      </c>
      <c r="B90" s="66">
        <v>4572.402</v>
      </c>
      <c r="C90" s="66">
        <f t="shared" si="1"/>
        <v>4.5724020000000003</v>
      </c>
    </row>
    <row r="91" spans="1:3" x14ac:dyDescent="0.25">
      <c r="A91" s="66" t="s">
        <v>359</v>
      </c>
      <c r="B91" s="66">
        <v>4564.116</v>
      </c>
      <c r="C91" s="66">
        <f t="shared" si="1"/>
        <v>4.5641160000000003</v>
      </c>
    </row>
    <row r="92" spans="1:3" x14ac:dyDescent="0.25">
      <c r="A92" s="66" t="s">
        <v>360</v>
      </c>
      <c r="B92" s="66">
        <v>4540.3999999999996</v>
      </c>
      <c r="C92" s="66">
        <f t="shared" si="1"/>
        <v>4.5404</v>
      </c>
    </row>
    <row r="93" spans="1:3" x14ac:dyDescent="0.25">
      <c r="A93" s="66" t="s">
        <v>361</v>
      </c>
      <c r="B93" s="66">
        <v>4621.2280000000001</v>
      </c>
      <c r="C93" s="66">
        <f t="shared" si="1"/>
        <v>4.6212280000000003</v>
      </c>
    </row>
    <row r="94" spans="1:3" x14ac:dyDescent="0.25">
      <c r="A94" s="66" t="s">
        <v>362</v>
      </c>
      <c r="B94" s="66">
        <v>4457.0150000000003</v>
      </c>
      <c r="C94" s="66">
        <f t="shared" si="1"/>
        <v>4.4570150000000002</v>
      </c>
    </row>
    <row r="95" spans="1:3" x14ac:dyDescent="0.25">
      <c r="A95" s="66" t="s">
        <v>363</v>
      </c>
      <c r="B95" s="66">
        <v>4551.0860000000011</v>
      </c>
      <c r="C95" s="66">
        <f t="shared" si="1"/>
        <v>4.5510860000000015</v>
      </c>
    </row>
    <row r="96" spans="1:3" x14ac:dyDescent="0.25">
      <c r="A96" s="66" t="s">
        <v>364</v>
      </c>
      <c r="B96" s="66">
        <v>4445.3380000000006</v>
      </c>
      <c r="C96" s="66">
        <f t="shared" si="1"/>
        <v>4.4453380000000005</v>
      </c>
    </row>
    <row r="97" spans="1:3" x14ac:dyDescent="0.25">
      <c r="A97" s="66" t="s">
        <v>365</v>
      </c>
      <c r="B97" s="66">
        <v>4508.09</v>
      </c>
      <c r="C97" s="66">
        <f t="shared" si="1"/>
        <v>4.5080900000000002</v>
      </c>
    </row>
    <row r="98" spans="1:3" x14ac:dyDescent="0.25">
      <c r="A98" s="66" t="s">
        <v>366</v>
      </c>
      <c r="B98" s="66">
        <v>4768.6720000000005</v>
      </c>
      <c r="C98" s="66">
        <f t="shared" si="1"/>
        <v>4.7686720000000005</v>
      </c>
    </row>
    <row r="99" spans="1:3" x14ac:dyDescent="0.25">
      <c r="A99" s="66" t="s">
        <v>367</v>
      </c>
      <c r="B99" s="66">
        <v>4946.99</v>
      </c>
      <c r="C99" s="66">
        <f t="shared" si="1"/>
        <v>4.9469899999999996</v>
      </c>
    </row>
    <row r="100" spans="1:3" x14ac:dyDescent="0.25">
      <c r="A100" s="66" t="s">
        <v>368</v>
      </c>
      <c r="B100" s="66">
        <v>4888.7374999999993</v>
      </c>
      <c r="C100" s="66">
        <f t="shared" si="1"/>
        <v>4.8887374999999995</v>
      </c>
    </row>
    <row r="101" spans="1:3" x14ac:dyDescent="0.25">
      <c r="A101" s="66" t="s">
        <v>369</v>
      </c>
      <c r="B101" s="66">
        <v>4860.4179999999997</v>
      </c>
      <c r="C101" s="66">
        <f t="shared" si="1"/>
        <v>4.8604179999999992</v>
      </c>
    </row>
    <row r="102" spans="1:3" x14ac:dyDescent="0.25">
      <c r="A102" s="66" t="s">
        <v>370</v>
      </c>
      <c r="B102" s="66">
        <v>4613.373333333333</v>
      </c>
      <c r="C102" s="66">
        <f t="shared" si="1"/>
        <v>4.6133733333333327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70C2-EAE5-4B06-8706-6A76C9D4E47A}">
  <dimension ref="A1:O13"/>
  <sheetViews>
    <sheetView workbookViewId="0">
      <selection activeCell="C7" sqref="C7"/>
    </sheetView>
  </sheetViews>
  <sheetFormatPr defaultRowHeight="15" x14ac:dyDescent="0.25"/>
  <sheetData>
    <row r="1" spans="1:15" x14ac:dyDescent="0.25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</row>
    <row r="2" spans="1:15" x14ac:dyDescent="0.25">
      <c r="A2" s="5" t="s">
        <v>5</v>
      </c>
      <c r="O2">
        <v>15957718</v>
      </c>
    </row>
    <row r="3" spans="1:15" x14ac:dyDescent="0.25">
      <c r="A3" s="5" t="s">
        <v>6</v>
      </c>
      <c r="O3">
        <v>15628475</v>
      </c>
    </row>
    <row r="4" spans="1:15" x14ac:dyDescent="0.25">
      <c r="A4" s="5" t="s">
        <v>7</v>
      </c>
      <c r="O4">
        <v>18653745</v>
      </c>
    </row>
    <row r="5" spans="1:15" x14ac:dyDescent="0.25">
      <c r="A5" s="5" t="s">
        <v>8</v>
      </c>
      <c r="O5">
        <v>17084235</v>
      </c>
    </row>
    <row r="6" spans="1:15" x14ac:dyDescent="0.25">
      <c r="A6" s="5" t="s">
        <v>9</v>
      </c>
      <c r="O6">
        <v>17341475</v>
      </c>
    </row>
    <row r="7" spans="1:15" x14ac:dyDescent="0.25">
      <c r="A7" s="5" t="s">
        <v>10</v>
      </c>
      <c r="O7">
        <v>17328695</v>
      </c>
    </row>
    <row r="8" spans="1:15" x14ac:dyDescent="0.25">
      <c r="A8" s="5" t="s">
        <v>11</v>
      </c>
      <c r="O8">
        <v>18959564</v>
      </c>
    </row>
    <row r="9" spans="1:15" x14ac:dyDescent="0.25">
      <c r="A9" s="5" t="s">
        <v>12</v>
      </c>
      <c r="O9">
        <v>19992385</v>
      </c>
    </row>
    <row r="10" spans="1:15" x14ac:dyDescent="0.25">
      <c r="A10" s="5" t="s">
        <v>13</v>
      </c>
      <c r="O10">
        <v>18537598</v>
      </c>
    </row>
    <row r="11" spans="1:15" x14ac:dyDescent="0.25">
      <c r="A11" s="5" t="s">
        <v>14</v>
      </c>
      <c r="O11">
        <v>18864847</v>
      </c>
    </row>
    <row r="12" spans="1:15" x14ac:dyDescent="0.25">
      <c r="A12" s="5" t="s">
        <v>15</v>
      </c>
    </row>
    <row r="13" spans="1:15" x14ac:dyDescent="0.25">
      <c r="A13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8FC0-80DE-46E3-951F-4AB5B9244953}">
  <dimension ref="A1:I170"/>
  <sheetViews>
    <sheetView workbookViewId="0">
      <selection activeCell="C7" sqref="C7"/>
    </sheetView>
  </sheetViews>
  <sheetFormatPr defaultRowHeight="15" x14ac:dyDescent="0.25"/>
  <cols>
    <col min="1" max="1" width="10.42578125" bestFit="1" customWidth="1"/>
    <col min="2" max="2" width="10.42578125" customWidth="1"/>
    <col min="3" max="3" width="10.85546875" bestFit="1" customWidth="1"/>
    <col min="4" max="4" width="23.5703125" bestFit="1" customWidth="1"/>
    <col min="5" max="5" width="23.5703125" customWidth="1"/>
    <col min="6" max="6" width="19.85546875" bestFit="1" customWidth="1"/>
    <col min="7" max="7" width="13.28515625" bestFit="1" customWidth="1"/>
    <col min="8" max="8" width="10.85546875" bestFit="1" customWidth="1"/>
    <col min="9" max="9" width="12.7109375" bestFit="1" customWidth="1"/>
  </cols>
  <sheetData>
    <row r="1" spans="1:9" x14ac:dyDescent="0.25"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</row>
    <row r="2" spans="1:9" x14ac:dyDescent="0.25">
      <c r="A2" s="5">
        <f>'Fuel Prices'!C2</f>
        <v>44570</v>
      </c>
      <c r="B2" s="67">
        <f>C2/2.204622</f>
        <v>3.3683329840671097</v>
      </c>
      <c r="C2" s="67">
        <f>SBO_Prices!C2*0.98</f>
        <v>7.4259009999999996</v>
      </c>
      <c r="D2" s="68">
        <f>'Fuel Prices'!I2</f>
        <v>6.5028100000000002</v>
      </c>
      <c r="E2" s="68">
        <f>D2*3.78541</f>
        <v>24.615802002100001</v>
      </c>
      <c r="F2" s="15">
        <f>D2/C2</f>
        <v>0.87569306404704295</v>
      </c>
      <c r="G2" s="67">
        <f>B2*7.5</f>
        <v>25.262497380503323</v>
      </c>
      <c r="H2" s="69">
        <f>E2-G2</f>
        <v>-0.64669537840332225</v>
      </c>
      <c r="I2" s="69">
        <f>H2/7.5</f>
        <v>-8.6226050453776307E-2</v>
      </c>
    </row>
    <row r="3" spans="1:9" x14ac:dyDescent="0.25">
      <c r="A3" s="5">
        <f>'Fuel Prices'!C3</f>
        <v>44577</v>
      </c>
      <c r="B3" s="67">
        <f t="shared" ref="B3:B66" si="0">C3/2.204622</f>
        <v>3.3277686968559688</v>
      </c>
      <c r="C3" s="67">
        <f>SBO_Prices!C3*0.98</f>
        <v>7.3364720800000001</v>
      </c>
      <c r="D3" s="68">
        <f>'Fuel Prices'!I3</f>
        <v>6.4943900000000001</v>
      </c>
      <c r="E3" s="68">
        <f t="shared" ref="E3:E66" si="1">D3*3.78541</f>
        <v>24.583928849900001</v>
      </c>
      <c r="F3" s="15">
        <f t="shared" ref="F3:F66" si="2">D3/C3</f>
        <v>0.88521975265255837</v>
      </c>
      <c r="G3" s="67">
        <f t="shared" ref="G3:G66" si="3">B3*7.5</f>
        <v>24.958265226419766</v>
      </c>
      <c r="H3" s="69">
        <f t="shared" ref="H3:H66" si="4">E3-G3</f>
        <v>-0.37433637651976426</v>
      </c>
      <c r="I3" s="69">
        <f t="shared" ref="I3:I66" si="5">H3/7.5</f>
        <v>-4.9911516869301904E-2</v>
      </c>
    </row>
    <row r="4" spans="1:9" x14ac:dyDescent="0.25">
      <c r="A4" s="5">
        <f>'Fuel Prices'!C4</f>
        <v>44584</v>
      </c>
      <c r="B4" s="67">
        <f t="shared" si="0"/>
        <v>3.334647209362875</v>
      </c>
      <c r="C4" s="67">
        <f>SBO_Prices!C4*0.98</f>
        <v>7.3516366</v>
      </c>
      <c r="D4" s="68">
        <f>'Fuel Prices'!I4</f>
        <v>6.53165</v>
      </c>
      <c r="E4" s="68">
        <f t="shared" si="1"/>
        <v>24.724973226500001</v>
      </c>
      <c r="F4" s="15">
        <f t="shared" si="2"/>
        <v>0.88846203306621552</v>
      </c>
      <c r="G4" s="67">
        <f t="shared" si="3"/>
        <v>25.009854070221561</v>
      </c>
      <c r="H4" s="69">
        <f t="shared" si="4"/>
        <v>-0.28488084372155953</v>
      </c>
      <c r="I4" s="69">
        <f t="shared" si="5"/>
        <v>-3.7984112496207936E-2</v>
      </c>
    </row>
    <row r="5" spans="1:9" x14ac:dyDescent="0.25">
      <c r="A5" s="5">
        <f>'Fuel Prices'!C5</f>
        <v>44591</v>
      </c>
      <c r="B5" s="67">
        <f t="shared" si="0"/>
        <v>3.4043898319076917</v>
      </c>
      <c r="C5" s="67">
        <f>SBO_Prices!C5*0.98</f>
        <v>7.5053927199999997</v>
      </c>
      <c r="D5" s="68">
        <f>'Fuel Prices'!I5</f>
        <v>6.5178000000000003</v>
      </c>
      <c r="E5" s="68">
        <f t="shared" si="1"/>
        <v>24.672545298000003</v>
      </c>
      <c r="F5" s="15">
        <f t="shared" si="2"/>
        <v>0.86841558372178029</v>
      </c>
      <c r="G5" s="67">
        <f t="shared" si="3"/>
        <v>25.532923739307687</v>
      </c>
      <c r="H5" s="69">
        <f t="shared" si="4"/>
        <v>-0.86037844130768448</v>
      </c>
      <c r="I5" s="69">
        <f t="shared" si="5"/>
        <v>-0.11471712550769127</v>
      </c>
    </row>
    <row r="6" spans="1:9" x14ac:dyDescent="0.25">
      <c r="A6" s="5">
        <f>'Fuel Prices'!C6</f>
        <v>44598</v>
      </c>
      <c r="B6" s="67">
        <f t="shared" si="0"/>
        <v>3.3708454147695166</v>
      </c>
      <c r="C6" s="67">
        <f>SBO_Prices!C6*0.98</f>
        <v>7.4314399600000014</v>
      </c>
      <c r="D6" s="68">
        <f>'Fuel Prices'!I6</f>
        <v>6.5814399999999997</v>
      </c>
      <c r="E6" s="68">
        <f t="shared" si="1"/>
        <v>24.9134487904</v>
      </c>
      <c r="F6" s="15">
        <f t="shared" si="2"/>
        <v>0.88562109569946634</v>
      </c>
      <c r="G6" s="67">
        <f t="shared" si="3"/>
        <v>25.281340610771373</v>
      </c>
      <c r="H6" s="69">
        <f t="shared" si="4"/>
        <v>-0.3678918203713728</v>
      </c>
      <c r="I6" s="69">
        <f t="shared" si="5"/>
        <v>-4.9052242716183039E-2</v>
      </c>
    </row>
    <row r="7" spans="1:9" x14ac:dyDescent="0.25">
      <c r="A7" s="5">
        <f>'Fuel Prices'!C7</f>
        <v>44605</v>
      </c>
      <c r="B7" s="67">
        <f t="shared" si="0"/>
        <v>3.4133184736431006</v>
      </c>
      <c r="C7" s="67">
        <f>SBO_Prices!C7*0.98</f>
        <v>7.5250769999999996</v>
      </c>
      <c r="D7" s="68">
        <f>'Fuel Prices'!I7</f>
        <v>6.6034699999999997</v>
      </c>
      <c r="E7" s="68">
        <f t="shared" si="1"/>
        <v>24.996841372700001</v>
      </c>
      <c r="F7" s="15">
        <f t="shared" si="2"/>
        <v>0.87752856216620778</v>
      </c>
      <c r="G7" s="67">
        <f t="shared" si="3"/>
        <v>25.599888552323254</v>
      </c>
      <c r="H7" s="69">
        <f t="shared" si="4"/>
        <v>-0.60304717962325327</v>
      </c>
      <c r="I7" s="69">
        <f t="shared" si="5"/>
        <v>-8.040629061643377E-2</v>
      </c>
    </row>
    <row r="8" spans="1:9" x14ac:dyDescent="0.25">
      <c r="A8" s="5">
        <f>'Fuel Prices'!C8</f>
        <v>44612</v>
      </c>
      <c r="B8" s="67">
        <f t="shared" si="0"/>
        <v>3.5122216506956749</v>
      </c>
      <c r="C8" s="67">
        <f>SBO_Prices!C8*0.98</f>
        <v>7.7431211200000005</v>
      </c>
      <c r="D8" s="68">
        <f>'Fuel Prices'!I8</f>
        <v>6.6307700000000001</v>
      </c>
      <c r="E8" s="68">
        <f t="shared" si="1"/>
        <v>25.100183065700001</v>
      </c>
      <c r="F8" s="15">
        <f t="shared" si="2"/>
        <v>0.85634331392197049</v>
      </c>
      <c r="G8" s="67">
        <f t="shared" si="3"/>
        <v>26.341662380217564</v>
      </c>
      <c r="H8" s="69">
        <f t="shared" si="4"/>
        <v>-1.2414793145175622</v>
      </c>
      <c r="I8" s="69">
        <f t="shared" si="5"/>
        <v>-0.1655305752690083</v>
      </c>
    </row>
    <row r="9" spans="1:9" x14ac:dyDescent="0.25">
      <c r="A9" s="5">
        <f>'Fuel Prices'!C9</f>
        <v>44619</v>
      </c>
      <c r="B9" s="67">
        <f t="shared" si="0"/>
        <v>3.5758318886412268</v>
      </c>
      <c r="C9" s="67">
        <f>SBO_Prices!C9*0.98</f>
        <v>7.8833576499999989</v>
      </c>
      <c r="D9" s="68">
        <f>'Fuel Prices'!I9</f>
        <v>6.7055699999999998</v>
      </c>
      <c r="E9" s="68">
        <f t="shared" si="1"/>
        <v>25.3833317337</v>
      </c>
      <c r="F9" s="15">
        <f t="shared" si="2"/>
        <v>0.85059822193909984</v>
      </c>
      <c r="G9" s="67">
        <f t="shared" si="3"/>
        <v>26.818739164809202</v>
      </c>
      <c r="H9" s="69">
        <f t="shared" si="4"/>
        <v>-1.4354074311092013</v>
      </c>
      <c r="I9" s="69">
        <f t="shared" si="5"/>
        <v>-0.19138765748122685</v>
      </c>
    </row>
    <row r="10" spans="1:9" x14ac:dyDescent="0.25">
      <c r="A10" s="5">
        <f>'Fuel Prices'!C10</f>
        <v>44626</v>
      </c>
      <c r="B10" s="67">
        <f t="shared" si="0"/>
        <v>4.0620074552462953</v>
      </c>
      <c r="C10" s="67">
        <f>SBO_Prices!C10*0.98</f>
        <v>8.9551909999999975</v>
      </c>
      <c r="D10" s="68">
        <f>'Fuel Prices'!I10</f>
        <v>6.79068</v>
      </c>
      <c r="E10" s="68">
        <f t="shared" si="1"/>
        <v>25.7055079788</v>
      </c>
      <c r="F10" s="15">
        <f t="shared" si="2"/>
        <v>0.75829538420788589</v>
      </c>
      <c r="G10" s="67">
        <f t="shared" si="3"/>
        <v>30.465055914347214</v>
      </c>
      <c r="H10" s="69">
        <f t="shared" si="4"/>
        <v>-4.7595479355472143</v>
      </c>
      <c r="I10" s="69">
        <f t="shared" si="5"/>
        <v>-0.63460639140629527</v>
      </c>
    </row>
    <row r="11" spans="1:9" x14ac:dyDescent="0.25">
      <c r="A11" s="5">
        <f>'Fuel Prices'!C11</f>
        <v>44633</v>
      </c>
      <c r="B11" s="67">
        <f t="shared" si="0"/>
        <v>4.019117436004902</v>
      </c>
      <c r="C11" s="67">
        <f>SBO_Prices!C11*0.98</f>
        <v>8.8606347200000002</v>
      </c>
      <c r="D11" s="68">
        <f>'Fuel Prices'!I11</f>
        <v>7.0524699999999996</v>
      </c>
      <c r="E11" s="68">
        <f t="shared" si="1"/>
        <v>26.696490462699998</v>
      </c>
      <c r="F11" s="15">
        <f t="shared" si="2"/>
        <v>0.79593282229334461</v>
      </c>
      <c r="G11" s="67">
        <f t="shared" si="3"/>
        <v>30.143380770036764</v>
      </c>
      <c r="H11" s="69">
        <f t="shared" si="4"/>
        <v>-3.4468903073367656</v>
      </c>
      <c r="I11" s="69">
        <f t="shared" si="5"/>
        <v>-0.45958537431156876</v>
      </c>
    </row>
    <row r="12" spans="1:9" x14ac:dyDescent="0.25">
      <c r="A12" s="5">
        <f>'Fuel Prices'!C12</f>
        <v>44640</v>
      </c>
      <c r="B12" s="67">
        <f t="shared" si="0"/>
        <v>3.879983362227176</v>
      </c>
      <c r="C12" s="67">
        <f>SBO_Prices!C12*0.98</f>
        <v>8.5538966800000011</v>
      </c>
      <c r="D12" s="68">
        <f>'Fuel Prices'!I12</f>
        <v>7.2214999999999998</v>
      </c>
      <c r="E12" s="68">
        <f t="shared" si="1"/>
        <v>27.336338314999999</v>
      </c>
      <c r="F12" s="15">
        <f t="shared" si="2"/>
        <v>0.84423512115650179</v>
      </c>
      <c r="G12" s="67">
        <f t="shared" si="3"/>
        <v>29.099875216703818</v>
      </c>
      <c r="H12" s="69">
        <f t="shared" si="4"/>
        <v>-1.7635369017038194</v>
      </c>
      <c r="I12" s="69">
        <f t="shared" si="5"/>
        <v>-0.23513825356050924</v>
      </c>
    </row>
    <row r="13" spans="1:9" x14ac:dyDescent="0.25">
      <c r="A13" s="5">
        <f>'Fuel Prices'!C13</f>
        <v>44647</v>
      </c>
      <c r="B13" s="67">
        <f t="shared" si="0"/>
        <v>3.634065649349413</v>
      </c>
      <c r="C13" s="67">
        <f>SBO_Prices!C13*0.98</f>
        <v>8.011741080000002</v>
      </c>
      <c r="D13" s="68">
        <f>'Fuel Prices'!I13</f>
        <v>7.2572700000000001</v>
      </c>
      <c r="E13" s="68">
        <f t="shared" si="1"/>
        <v>27.471742430700001</v>
      </c>
      <c r="F13" s="15">
        <f t="shared" si="2"/>
        <v>0.90582932318127263</v>
      </c>
      <c r="G13" s="67">
        <f t="shared" si="3"/>
        <v>27.255492370120599</v>
      </c>
      <c r="H13" s="69">
        <f t="shared" si="4"/>
        <v>0.21625006057940155</v>
      </c>
      <c r="I13" s="69">
        <f t="shared" si="5"/>
        <v>2.8833341410586872E-2</v>
      </c>
    </row>
    <row r="14" spans="1:9" x14ac:dyDescent="0.25">
      <c r="A14" s="5">
        <f>'Fuel Prices'!C14</f>
        <v>44654</v>
      </c>
      <c r="B14" s="67">
        <f t="shared" si="0"/>
        <v>3.4741288982873253</v>
      </c>
      <c r="C14" s="67">
        <f>SBO_Prices!C14*0.98</f>
        <v>7.659141</v>
      </c>
      <c r="D14" s="68">
        <f>'Fuel Prices'!I14</f>
        <v>7.1322099999999997</v>
      </c>
      <c r="E14" s="68">
        <f t="shared" si="1"/>
        <v>26.998339056100001</v>
      </c>
      <c r="F14" s="15">
        <f t="shared" si="2"/>
        <v>0.93120233718115386</v>
      </c>
      <c r="G14" s="67">
        <f t="shared" si="3"/>
        <v>26.055966737154939</v>
      </c>
      <c r="H14" s="69">
        <f t="shared" si="4"/>
        <v>0.94237231894506124</v>
      </c>
      <c r="I14" s="69">
        <f t="shared" si="5"/>
        <v>0.12564964252600816</v>
      </c>
    </row>
    <row r="15" spans="1:9" x14ac:dyDescent="0.25">
      <c r="A15" s="5">
        <f>'Fuel Prices'!C15</f>
        <v>44661</v>
      </c>
      <c r="B15" s="67">
        <f t="shared" si="0"/>
        <v>3.5465341995135673</v>
      </c>
      <c r="C15" s="67">
        <f>SBO_Prices!C15*0.98</f>
        <v>7.8187673200000001</v>
      </c>
      <c r="D15" s="68">
        <f>'Fuel Prices'!I15</f>
        <v>6.91425</v>
      </c>
      <c r="E15" s="68">
        <f t="shared" si="1"/>
        <v>26.173271092500002</v>
      </c>
      <c r="F15" s="15">
        <f t="shared" si="2"/>
        <v>0.88431458783965966</v>
      </c>
      <c r="G15" s="67">
        <f t="shared" si="3"/>
        <v>26.599006496351755</v>
      </c>
      <c r="H15" s="69">
        <f t="shared" si="4"/>
        <v>-0.42573540385175335</v>
      </c>
      <c r="I15" s="69">
        <f t="shared" si="5"/>
        <v>-5.676472051356711E-2</v>
      </c>
    </row>
    <row r="16" spans="1:9" x14ac:dyDescent="0.25">
      <c r="A16" s="5">
        <f>'Fuel Prices'!C16</f>
        <v>44668</v>
      </c>
      <c r="B16" s="67">
        <f t="shared" si="0"/>
        <v>3.7500784261428937</v>
      </c>
      <c r="C16" s="67">
        <f>SBO_Prices!C16*0.98</f>
        <v>8.2675053999999992</v>
      </c>
      <c r="D16" s="68">
        <f>'Fuel Prices'!I16</f>
        <v>6.8283699999999996</v>
      </c>
      <c r="E16" s="68">
        <f t="shared" si="1"/>
        <v>25.848180081700001</v>
      </c>
      <c r="F16" s="15">
        <f t="shared" si="2"/>
        <v>0.82592870154037035</v>
      </c>
      <c r="G16" s="67">
        <f t="shared" si="3"/>
        <v>28.125588196071703</v>
      </c>
      <c r="H16" s="69">
        <f t="shared" si="4"/>
        <v>-2.2774081143717027</v>
      </c>
      <c r="I16" s="69">
        <f t="shared" si="5"/>
        <v>-0.30365441524956033</v>
      </c>
    </row>
    <row r="17" spans="1:9" x14ac:dyDescent="0.25">
      <c r="A17" s="5">
        <f>'Fuel Prices'!C17</f>
        <v>44675</v>
      </c>
      <c r="B17" s="67">
        <f t="shared" si="0"/>
        <v>3.775189397547515</v>
      </c>
      <c r="C17" s="67">
        <f>SBO_Prices!C17*0.98</f>
        <v>8.3228655999999983</v>
      </c>
      <c r="D17" s="68">
        <f>'Fuel Prices'!I17</f>
        <v>6.8608500000000001</v>
      </c>
      <c r="E17" s="68">
        <f t="shared" si="1"/>
        <v>25.971130198500003</v>
      </c>
      <c r="F17" s="15">
        <f t="shared" si="2"/>
        <v>0.82433747338176422</v>
      </c>
      <c r="G17" s="67">
        <f t="shared" si="3"/>
        <v>28.313920481606363</v>
      </c>
      <c r="H17" s="69">
        <f t="shared" si="4"/>
        <v>-2.3427902831063605</v>
      </c>
      <c r="I17" s="69">
        <f t="shared" si="5"/>
        <v>-0.31237203774751471</v>
      </c>
    </row>
    <row r="18" spans="1:9" x14ac:dyDescent="0.25">
      <c r="A18" s="5">
        <f>'Fuel Prices'!C18</f>
        <v>44682</v>
      </c>
      <c r="B18" s="67">
        <f t="shared" si="0"/>
        <v>4.1422763267353773</v>
      </c>
      <c r="C18" s="67">
        <f>SBO_Prices!C18*0.98</f>
        <v>9.132153520000001</v>
      </c>
      <c r="D18" s="68">
        <f>'Fuel Prices'!I18</f>
        <v>6.9744900000000003</v>
      </c>
      <c r="E18" s="68">
        <f t="shared" si="1"/>
        <v>26.401304190900003</v>
      </c>
      <c r="F18" s="15">
        <f t="shared" si="2"/>
        <v>0.76372894791194879</v>
      </c>
      <c r="G18" s="67">
        <f t="shared" si="3"/>
        <v>31.06707245051533</v>
      </c>
      <c r="H18" s="69">
        <f t="shared" si="4"/>
        <v>-4.6657682596153265</v>
      </c>
      <c r="I18" s="69">
        <f t="shared" si="5"/>
        <v>-0.62210243461537684</v>
      </c>
    </row>
    <row r="19" spans="1:9" x14ac:dyDescent="0.25">
      <c r="A19" s="5">
        <f>'Fuel Prices'!C19</f>
        <v>44689</v>
      </c>
      <c r="B19" s="67">
        <f t="shared" si="0"/>
        <v>4.0522835660716439</v>
      </c>
      <c r="C19" s="67">
        <f>SBO_Prices!C19*0.98</f>
        <v>8.9337534999999999</v>
      </c>
      <c r="D19" s="68">
        <f>'Fuel Prices'!I19</f>
        <v>7.1527799999999999</v>
      </c>
      <c r="E19" s="68">
        <f t="shared" si="1"/>
        <v>27.0762049398</v>
      </c>
      <c r="F19" s="15">
        <f t="shared" si="2"/>
        <v>0.80064667107728016</v>
      </c>
      <c r="G19" s="67">
        <f t="shared" si="3"/>
        <v>30.392126745537329</v>
      </c>
      <c r="H19" s="69">
        <f t="shared" si="4"/>
        <v>-3.3159218057373288</v>
      </c>
      <c r="I19" s="69">
        <f t="shared" si="5"/>
        <v>-0.44212290743164384</v>
      </c>
    </row>
    <row r="20" spans="1:9" x14ac:dyDescent="0.25">
      <c r="A20" s="5">
        <f>'Fuel Prices'!C20</f>
        <v>44696</v>
      </c>
      <c r="B20" s="67">
        <f t="shared" si="0"/>
        <v>4.176871590685387</v>
      </c>
      <c r="C20" s="67">
        <f>SBO_Prices!C20*0.98</f>
        <v>9.2084229999999998</v>
      </c>
      <c r="D20" s="68">
        <f>'Fuel Prices'!I20</f>
        <v>7.3220200000000002</v>
      </c>
      <c r="E20" s="68">
        <f t="shared" si="1"/>
        <v>27.716847728200001</v>
      </c>
      <c r="F20" s="15">
        <f t="shared" si="2"/>
        <v>0.79514375045542551</v>
      </c>
      <c r="G20" s="67">
        <f t="shared" si="3"/>
        <v>31.326536930140403</v>
      </c>
      <c r="H20" s="69">
        <f t="shared" si="4"/>
        <v>-3.6096892019404017</v>
      </c>
      <c r="I20" s="69">
        <f t="shared" si="5"/>
        <v>-0.48129189359205354</v>
      </c>
    </row>
    <row r="21" spans="1:9" x14ac:dyDescent="0.25">
      <c r="A21" s="5">
        <f>'Fuel Prices'!C21</f>
        <v>44703</v>
      </c>
      <c r="B21" s="67">
        <f t="shared" si="0"/>
        <v>3.9429417106424589</v>
      </c>
      <c r="C21" s="67">
        <f>SBO_Prices!C21*0.98</f>
        <v>8.6926960399999995</v>
      </c>
      <c r="D21" s="68">
        <f>'Fuel Prices'!I21</f>
        <v>7.38734</v>
      </c>
      <c r="E21" s="68">
        <f t="shared" si="1"/>
        <v>27.9641107094</v>
      </c>
      <c r="F21" s="15">
        <f t="shared" si="2"/>
        <v>0.84983300531925654</v>
      </c>
      <c r="G21" s="67">
        <f t="shared" si="3"/>
        <v>29.572062829818442</v>
      </c>
      <c r="H21" s="69">
        <f t="shared" si="4"/>
        <v>-1.6079521204184424</v>
      </c>
      <c r="I21" s="69">
        <f t="shared" si="5"/>
        <v>-0.21439361605579232</v>
      </c>
    </row>
    <row r="22" spans="1:9" x14ac:dyDescent="0.25">
      <c r="A22" s="5">
        <f>'Fuel Prices'!C22</f>
        <v>44710</v>
      </c>
      <c r="B22" s="67">
        <f t="shared" si="0"/>
        <v>3.7449406564934939</v>
      </c>
      <c r="C22" s="67">
        <f>SBO_Prices!C22*0.98</f>
        <v>8.2561785600000004</v>
      </c>
      <c r="D22" s="68">
        <f>'Fuel Prices'!I22</f>
        <v>7.3849900000000002</v>
      </c>
      <c r="E22" s="68">
        <f t="shared" si="1"/>
        <v>27.9552149959</v>
      </c>
      <c r="F22" s="15">
        <f t="shared" si="2"/>
        <v>0.89448041201279438</v>
      </c>
      <c r="G22" s="67">
        <f t="shared" si="3"/>
        <v>28.087054923701203</v>
      </c>
      <c r="H22" s="69">
        <f t="shared" si="4"/>
        <v>-0.13183992780120235</v>
      </c>
      <c r="I22" s="69">
        <f t="shared" si="5"/>
        <v>-1.7578657040160314E-2</v>
      </c>
    </row>
    <row r="23" spans="1:9" x14ac:dyDescent="0.25">
      <c r="A23" s="5">
        <f>'Fuel Prices'!C23</f>
        <v>44717</v>
      </c>
      <c r="B23" s="67">
        <f t="shared" si="0"/>
        <v>3.7507729896553688</v>
      </c>
      <c r="C23" s="67">
        <f>SBO_Prices!C23*0.98</f>
        <v>8.2690366499999985</v>
      </c>
      <c r="D23" s="68">
        <f>'Fuel Prices'!I23</f>
        <v>7.2556599999999998</v>
      </c>
      <c r="E23" s="68">
        <f t="shared" si="1"/>
        <v>27.465647920599999</v>
      </c>
      <c r="F23" s="15">
        <f t="shared" si="2"/>
        <v>0.87744924918188638</v>
      </c>
      <c r="G23" s="67">
        <f t="shared" si="3"/>
        <v>28.130797422415267</v>
      </c>
      <c r="H23" s="69">
        <f t="shared" si="4"/>
        <v>-0.665149501815268</v>
      </c>
      <c r="I23" s="69">
        <f t="shared" si="5"/>
        <v>-8.8686600242035729E-2</v>
      </c>
    </row>
    <row r="24" spans="1:9" x14ac:dyDescent="0.25">
      <c r="A24" s="5">
        <f>'Fuel Prices'!C24</f>
        <v>44724</v>
      </c>
      <c r="B24" s="67">
        <f t="shared" si="0"/>
        <v>3.7512377359928371</v>
      </c>
      <c r="C24" s="67">
        <f>SBO_Prices!C24*0.98</f>
        <v>8.2700612400000004</v>
      </c>
      <c r="D24" s="68">
        <f>'Fuel Prices'!I24</f>
        <v>7.0634899999999998</v>
      </c>
      <c r="E24" s="68">
        <f t="shared" si="1"/>
        <v>26.738205680900002</v>
      </c>
      <c r="F24" s="15">
        <f t="shared" si="2"/>
        <v>0.85410371157058074</v>
      </c>
      <c r="G24" s="67">
        <f t="shared" si="3"/>
        <v>28.134283019946277</v>
      </c>
      <c r="H24" s="69">
        <f t="shared" si="4"/>
        <v>-1.3960773390462755</v>
      </c>
      <c r="I24" s="69">
        <f t="shared" si="5"/>
        <v>-0.18614364520617008</v>
      </c>
    </row>
    <row r="25" spans="1:9" x14ac:dyDescent="0.25">
      <c r="A25" s="5">
        <f>'Fuel Prices'!C25</f>
        <v>44731</v>
      </c>
      <c r="B25" s="67">
        <f t="shared" si="0"/>
        <v>3.6592406317273425</v>
      </c>
      <c r="C25" s="67">
        <f>SBO_Prices!C25*0.98</f>
        <v>8.0672423999999978</v>
      </c>
      <c r="D25" s="68">
        <f>'Fuel Prices'!I25</f>
        <v>6.9747300000000001</v>
      </c>
      <c r="E25" s="68">
        <f t="shared" si="1"/>
        <v>26.402212689300001</v>
      </c>
      <c r="F25" s="15">
        <f t="shared" si="2"/>
        <v>0.86457424410601591</v>
      </c>
      <c r="G25" s="67">
        <f t="shared" si="3"/>
        <v>27.444304737955068</v>
      </c>
      <c r="H25" s="69">
        <f t="shared" si="4"/>
        <v>-1.0420920486550678</v>
      </c>
      <c r="I25" s="69">
        <f t="shared" si="5"/>
        <v>-0.13894560648734236</v>
      </c>
    </row>
    <row r="26" spans="1:9" x14ac:dyDescent="0.25">
      <c r="A26" s="5">
        <f>'Fuel Prices'!C26</f>
        <v>44738</v>
      </c>
      <c r="B26" s="67">
        <f t="shared" si="0"/>
        <v>3.364591231512704</v>
      </c>
      <c r="C26" s="67">
        <f>SBO_Prices!C26*0.98</f>
        <v>7.4176518500000004</v>
      </c>
      <c r="D26" s="68">
        <f>'Fuel Prices'!I26</f>
        <v>6.9316599999999999</v>
      </c>
      <c r="E26" s="68">
        <f t="shared" si="1"/>
        <v>26.239175080600003</v>
      </c>
      <c r="F26" s="15">
        <f t="shared" si="2"/>
        <v>0.93448171202588859</v>
      </c>
      <c r="G26" s="67">
        <f t="shared" si="3"/>
        <v>25.23443423634528</v>
      </c>
      <c r="H26" s="69">
        <f t="shared" si="4"/>
        <v>1.004740844254723</v>
      </c>
      <c r="I26" s="69">
        <f t="shared" si="5"/>
        <v>0.13396544590062973</v>
      </c>
    </row>
    <row r="27" spans="1:9" x14ac:dyDescent="0.25">
      <c r="A27" s="5">
        <f>'Fuel Prices'!C27</f>
        <v>44745</v>
      </c>
      <c r="B27" s="67">
        <f t="shared" si="0"/>
        <v>3.346111396874385</v>
      </c>
      <c r="C27" s="67">
        <f>SBO_Prices!C27*0.98</f>
        <v>7.376910800000001</v>
      </c>
      <c r="D27" s="68">
        <f>'Fuel Prices'!I27</f>
        <v>6.7875399999999999</v>
      </c>
      <c r="E27" s="68">
        <f t="shared" si="1"/>
        <v>25.693621791400002</v>
      </c>
      <c r="F27" s="15">
        <f t="shared" si="2"/>
        <v>0.92010601510865486</v>
      </c>
      <c r="G27" s="67">
        <f t="shared" si="3"/>
        <v>25.095835476557887</v>
      </c>
      <c r="H27" s="69">
        <f t="shared" si="4"/>
        <v>0.59778631484211431</v>
      </c>
      <c r="I27" s="69">
        <f t="shared" si="5"/>
        <v>7.9704841978948573E-2</v>
      </c>
    </row>
    <row r="28" spans="1:9" x14ac:dyDescent="0.25">
      <c r="A28" s="5">
        <f>'Fuel Prices'!C28</f>
        <v>44752</v>
      </c>
      <c r="B28" s="67">
        <f t="shared" si="0"/>
        <v>3.1854349634540524</v>
      </c>
      <c r="C28" s="67">
        <f>SBO_Prices!C28*0.98</f>
        <v>7.0226800000000003</v>
      </c>
      <c r="D28" s="68">
        <f>'Fuel Prices'!I28</f>
        <v>6.4845899999999999</v>
      </c>
      <c r="E28" s="68">
        <f t="shared" si="1"/>
        <v>24.546831831900001</v>
      </c>
      <c r="F28" s="15">
        <f t="shared" si="2"/>
        <v>0.92337825445556387</v>
      </c>
      <c r="G28" s="67">
        <f t="shared" si="3"/>
        <v>23.890762225905394</v>
      </c>
      <c r="H28" s="69">
        <f t="shared" si="4"/>
        <v>0.65606960599460606</v>
      </c>
      <c r="I28" s="69">
        <f t="shared" si="5"/>
        <v>8.7475947465947473E-2</v>
      </c>
    </row>
    <row r="29" spans="1:9" x14ac:dyDescent="0.25">
      <c r="A29" s="5">
        <f>'Fuel Prices'!C29</f>
        <v>44759</v>
      </c>
      <c r="B29" s="67">
        <f t="shared" si="0"/>
        <v>3.1748020295542725</v>
      </c>
      <c r="C29" s="67">
        <f>SBO_Prices!C29*0.98</f>
        <v>6.9992383999999994</v>
      </c>
      <c r="D29" s="68">
        <f>'Fuel Prices'!I29</f>
        <v>6.3816100000000002</v>
      </c>
      <c r="E29" s="68">
        <f t="shared" si="1"/>
        <v>24.157010310100002</v>
      </c>
      <c r="F29" s="15">
        <f t="shared" si="2"/>
        <v>0.91175777067402086</v>
      </c>
      <c r="G29" s="67">
        <f t="shared" si="3"/>
        <v>23.811015221657044</v>
      </c>
      <c r="H29" s="69">
        <f t="shared" si="4"/>
        <v>0.34599508844295812</v>
      </c>
      <c r="I29" s="69">
        <f t="shared" si="5"/>
        <v>4.6132678459061084E-2</v>
      </c>
    </row>
    <row r="30" spans="1:9" x14ac:dyDescent="0.25">
      <c r="A30" s="5">
        <f>'Fuel Prices'!C30</f>
        <v>44766</v>
      </c>
      <c r="B30" s="67">
        <f t="shared" si="0"/>
        <v>3.1244654004178498</v>
      </c>
      <c r="C30" s="67">
        <f>SBO_Prices!C30*0.98</f>
        <v>6.8882651600000013</v>
      </c>
      <c r="D30" s="68">
        <f>'Fuel Prices'!I30</f>
        <v>6.21455</v>
      </c>
      <c r="E30" s="68">
        <f t="shared" si="1"/>
        <v>23.524619715500002</v>
      </c>
      <c r="F30" s="15">
        <f t="shared" si="2"/>
        <v>0.90219378256338767</v>
      </c>
      <c r="G30" s="67">
        <f t="shared" si="3"/>
        <v>23.433490503133875</v>
      </c>
      <c r="H30" s="69">
        <f t="shared" si="4"/>
        <v>9.1129212366126922E-2</v>
      </c>
      <c r="I30" s="69">
        <f t="shared" si="5"/>
        <v>1.2150561648816923E-2</v>
      </c>
    </row>
    <row r="31" spans="1:9" x14ac:dyDescent="0.25">
      <c r="A31" s="5">
        <f>'Fuel Prices'!C31</f>
        <v>44773</v>
      </c>
      <c r="B31" s="67">
        <f t="shared" si="0"/>
        <v>3.0733339683628307</v>
      </c>
      <c r="C31" s="67">
        <f>SBO_Prices!C31*0.98</f>
        <v>6.7755396800000005</v>
      </c>
      <c r="D31" s="68">
        <f>'Fuel Prices'!I31</f>
        <v>6.11721</v>
      </c>
      <c r="E31" s="68">
        <f t="shared" si="1"/>
        <v>23.156147906100003</v>
      </c>
      <c r="F31" s="15">
        <f t="shared" si="2"/>
        <v>0.90283730727114564</v>
      </c>
      <c r="G31" s="67">
        <f t="shared" si="3"/>
        <v>23.05000476272123</v>
      </c>
      <c r="H31" s="69">
        <f t="shared" si="4"/>
        <v>0.10614314337877317</v>
      </c>
      <c r="I31" s="69">
        <f t="shared" si="5"/>
        <v>1.4152419117169756E-2</v>
      </c>
    </row>
    <row r="32" spans="1:9" x14ac:dyDescent="0.25">
      <c r="A32" s="5">
        <f>'Fuel Prices'!C32</f>
        <v>44780</v>
      </c>
      <c r="B32" s="67">
        <f t="shared" si="0"/>
        <v>3.0113837927771745</v>
      </c>
      <c r="C32" s="67">
        <f>SBO_Prices!C32*0.98</f>
        <v>6.6389629599999997</v>
      </c>
      <c r="D32" s="68">
        <f>'Fuel Prices'!I32</f>
        <v>5.9702799999999998</v>
      </c>
      <c r="E32" s="68">
        <f t="shared" si="1"/>
        <v>22.599957614800001</v>
      </c>
      <c r="F32" s="15">
        <f t="shared" si="2"/>
        <v>0.89927900426183427</v>
      </c>
      <c r="G32" s="67">
        <f t="shared" si="3"/>
        <v>22.585378445828809</v>
      </c>
      <c r="H32" s="69">
        <f t="shared" si="4"/>
        <v>1.4579168971192047E-2</v>
      </c>
      <c r="I32" s="69">
        <f t="shared" si="5"/>
        <v>1.9438891961589396E-3</v>
      </c>
    </row>
    <row r="33" spans="1:9" x14ac:dyDescent="0.25">
      <c r="A33" s="5">
        <f>'Fuel Prices'!C33</f>
        <v>44787</v>
      </c>
      <c r="B33" s="67">
        <f t="shared" si="0"/>
        <v>3.1516567284550363</v>
      </c>
      <c r="C33" s="67">
        <f>SBO_Prices!C33*0.98</f>
        <v>6.9482117599999995</v>
      </c>
      <c r="D33" s="68">
        <f>'Fuel Prices'!I33</f>
        <v>5.9103399999999997</v>
      </c>
      <c r="E33" s="68">
        <f t="shared" si="1"/>
        <v>22.3730601394</v>
      </c>
      <c r="F33" s="15">
        <f t="shared" si="2"/>
        <v>0.85062750016127897</v>
      </c>
      <c r="G33" s="67">
        <f t="shared" si="3"/>
        <v>23.637425463412772</v>
      </c>
      <c r="H33" s="69">
        <f t="shared" si="4"/>
        <v>-1.2643653240127719</v>
      </c>
      <c r="I33" s="69">
        <f t="shared" si="5"/>
        <v>-0.16858204320170292</v>
      </c>
    </row>
    <row r="34" spans="1:9" x14ac:dyDescent="0.25">
      <c r="A34" s="5">
        <f>'Fuel Prices'!C34</f>
        <v>44794</v>
      </c>
      <c r="B34" s="67">
        <f t="shared" si="0"/>
        <v>3.0718119296641326</v>
      </c>
      <c r="C34" s="67">
        <f>SBO_Prices!C34*0.98</f>
        <v>6.7721841600000001</v>
      </c>
      <c r="D34" s="68">
        <f>'Fuel Prices'!I34</f>
        <v>5.89072</v>
      </c>
      <c r="E34" s="68">
        <f t="shared" si="1"/>
        <v>22.298790395200001</v>
      </c>
      <c r="F34" s="15">
        <f t="shared" si="2"/>
        <v>0.86984049175650291</v>
      </c>
      <c r="G34" s="67">
        <f t="shared" si="3"/>
        <v>23.038589472480993</v>
      </c>
      <c r="H34" s="69">
        <f t="shared" si="4"/>
        <v>-0.73979907728099192</v>
      </c>
      <c r="I34" s="69">
        <f t="shared" si="5"/>
        <v>-9.8639876970798929E-2</v>
      </c>
    </row>
    <row r="35" spans="1:9" x14ac:dyDescent="0.25">
      <c r="A35" s="5">
        <f>'Fuel Prices'!C35</f>
        <v>44801</v>
      </c>
      <c r="B35" s="67">
        <f t="shared" si="0"/>
        <v>3.0756588113517873</v>
      </c>
      <c r="C35" s="67">
        <f>SBO_Prices!C35*0.98</f>
        <v>6.7806650800000003</v>
      </c>
      <c r="D35" s="68">
        <f>'Fuel Prices'!I35</f>
        <v>5.8801300000000003</v>
      </c>
      <c r="E35" s="68">
        <f t="shared" si="1"/>
        <v>22.258702903300001</v>
      </c>
      <c r="F35" s="15">
        <f t="shared" si="2"/>
        <v>0.8671907446577497</v>
      </c>
      <c r="G35" s="67">
        <f t="shared" si="3"/>
        <v>23.067441085138405</v>
      </c>
      <c r="H35" s="69">
        <f t="shared" si="4"/>
        <v>-0.80873818183840385</v>
      </c>
      <c r="I35" s="69">
        <f t="shared" si="5"/>
        <v>-0.10783175757845384</v>
      </c>
    </row>
    <row r="36" spans="1:9" x14ac:dyDescent="0.25">
      <c r="A36" s="5">
        <f>'Fuel Prices'!C36</f>
        <v>44808</v>
      </c>
      <c r="B36" s="67">
        <f t="shared" si="0"/>
        <v>3.1410860274459749</v>
      </c>
      <c r="C36" s="67">
        <f>SBO_Prices!C36*0.98</f>
        <v>6.9249073600000006</v>
      </c>
      <c r="D36" s="68">
        <f>'Fuel Prices'!I36</f>
        <v>5.8491499999999998</v>
      </c>
      <c r="E36" s="68">
        <f t="shared" si="1"/>
        <v>22.141430901500001</v>
      </c>
      <c r="F36" s="15">
        <f t="shared" si="2"/>
        <v>0.84465389873461061</v>
      </c>
      <c r="G36" s="67">
        <f t="shared" si="3"/>
        <v>23.558145205844813</v>
      </c>
      <c r="H36" s="69">
        <f t="shared" si="4"/>
        <v>-1.4167143043448114</v>
      </c>
      <c r="I36" s="69">
        <f t="shared" si="5"/>
        <v>-0.18889524057930818</v>
      </c>
    </row>
    <row r="37" spans="1:9" x14ac:dyDescent="0.25">
      <c r="A37" s="5">
        <f>'Fuel Prices'!C37</f>
        <v>44815</v>
      </c>
      <c r="B37" s="67">
        <f t="shared" si="0"/>
        <v>2.8766375823156984</v>
      </c>
      <c r="C37" s="67">
        <f>SBO_Prices!C37*0.98</f>
        <v>6.3418985000000001</v>
      </c>
      <c r="D37" s="68">
        <f>'Fuel Prices'!I37</f>
        <v>5.8631500000000001</v>
      </c>
      <c r="E37" s="68">
        <f t="shared" si="1"/>
        <v>22.194426641500002</v>
      </c>
      <c r="F37" s="15">
        <f t="shared" si="2"/>
        <v>0.92451022355529655</v>
      </c>
      <c r="G37" s="67">
        <f t="shared" si="3"/>
        <v>21.57478186736774</v>
      </c>
      <c r="H37" s="69">
        <f t="shared" si="4"/>
        <v>0.61964477413226149</v>
      </c>
      <c r="I37" s="69">
        <f t="shared" si="5"/>
        <v>8.261930321763486E-2</v>
      </c>
    </row>
    <row r="38" spans="1:9" x14ac:dyDescent="0.25">
      <c r="A38" s="5">
        <f>'Fuel Prices'!C38</f>
        <v>44822</v>
      </c>
      <c r="B38" s="67">
        <f t="shared" si="0"/>
        <v>2.8498867742406628</v>
      </c>
      <c r="C38" s="67">
        <f>SBO_Prices!C38*0.98</f>
        <v>6.2829230799999989</v>
      </c>
      <c r="D38" s="68">
        <f>'Fuel Prices'!I38</f>
        <v>5.8576899999999998</v>
      </c>
      <c r="E38" s="68">
        <f t="shared" si="1"/>
        <v>22.173758302900001</v>
      </c>
      <c r="F38" s="15">
        <f t="shared" si="2"/>
        <v>0.93231922871161443</v>
      </c>
      <c r="G38" s="67">
        <f t="shared" si="3"/>
        <v>21.37415080680497</v>
      </c>
      <c r="H38" s="69">
        <f t="shared" si="4"/>
        <v>0.79960749609503168</v>
      </c>
      <c r="I38" s="69">
        <f t="shared" si="5"/>
        <v>0.1066143328126709</v>
      </c>
    </row>
    <row r="39" spans="1:9" x14ac:dyDescent="0.25">
      <c r="A39" s="5">
        <f>'Fuel Prices'!C39</f>
        <v>44829</v>
      </c>
      <c r="B39" s="67">
        <f t="shared" si="0"/>
        <v>2.7540614581547311</v>
      </c>
      <c r="C39" s="67">
        <f>SBO_Prices!C39*0.98</f>
        <v>6.0716644799999999</v>
      </c>
      <c r="D39" s="68">
        <f>'Fuel Prices'!I39</f>
        <v>5.6856400000000002</v>
      </c>
      <c r="E39" s="68">
        <f t="shared" si="1"/>
        <v>21.522478512400003</v>
      </c>
      <c r="F39" s="15">
        <f t="shared" si="2"/>
        <v>0.93642196776986597</v>
      </c>
      <c r="G39" s="67">
        <f t="shared" si="3"/>
        <v>20.655460936160484</v>
      </c>
      <c r="H39" s="69">
        <f t="shared" si="4"/>
        <v>0.86701757623951892</v>
      </c>
      <c r="I39" s="69">
        <f t="shared" si="5"/>
        <v>0.11560234349860252</v>
      </c>
    </row>
    <row r="40" spans="1:9" x14ac:dyDescent="0.25">
      <c r="A40" s="5">
        <f>'Fuel Prices'!C40</f>
        <v>44836</v>
      </c>
      <c r="B40" s="67">
        <f t="shared" si="0"/>
        <v>2.5864931766080534</v>
      </c>
      <c r="C40" s="67">
        <f>SBO_Prices!C40*0.98</f>
        <v>5.7022397600000003</v>
      </c>
      <c r="D40" s="68">
        <f>'Fuel Prices'!I40</f>
        <v>5.55044</v>
      </c>
      <c r="E40" s="68">
        <f t="shared" si="1"/>
        <v>21.010691080400001</v>
      </c>
      <c r="F40" s="15">
        <f t="shared" si="2"/>
        <v>0.97337892365297518</v>
      </c>
      <c r="G40" s="67">
        <f t="shared" si="3"/>
        <v>19.398698824560402</v>
      </c>
      <c r="H40" s="69">
        <f t="shared" si="4"/>
        <v>1.6119922558395992</v>
      </c>
      <c r="I40" s="69">
        <f t="shared" si="5"/>
        <v>0.21493230077861322</v>
      </c>
    </row>
    <row r="41" spans="1:9" x14ac:dyDescent="0.25">
      <c r="A41" s="5">
        <f>'Fuel Prices'!C41</f>
        <v>44843</v>
      </c>
      <c r="B41" s="67">
        <f t="shared" si="0"/>
        <v>2.8023764073841222</v>
      </c>
      <c r="C41" s="67">
        <f>SBO_Prices!C41*0.98</f>
        <v>6.1781806799999988</v>
      </c>
      <c r="D41" s="68">
        <f>'Fuel Prices'!I41</f>
        <v>5.3126600000000002</v>
      </c>
      <c r="E41" s="68">
        <f t="shared" si="1"/>
        <v>20.1105962906</v>
      </c>
      <c r="F41" s="15">
        <f t="shared" si="2"/>
        <v>0.8599068682465274</v>
      </c>
      <c r="G41" s="67">
        <f t="shared" si="3"/>
        <v>21.017823055380916</v>
      </c>
      <c r="H41" s="69">
        <f t="shared" si="4"/>
        <v>-0.90722676478091557</v>
      </c>
      <c r="I41" s="69">
        <f t="shared" si="5"/>
        <v>-0.12096356863745542</v>
      </c>
    </row>
    <row r="42" spans="1:9" x14ac:dyDescent="0.25">
      <c r="A42" s="5">
        <f>'Fuel Prices'!C42</f>
        <v>44850</v>
      </c>
      <c r="B42" s="67">
        <f t="shared" si="0"/>
        <v>2.9052224825843163</v>
      </c>
      <c r="C42" s="67">
        <f>SBO_Prices!C42*0.98</f>
        <v>6.4049174000000004</v>
      </c>
      <c r="D42" s="68">
        <f>'Fuel Prices'!I42</f>
        <v>5.2498800000000001</v>
      </c>
      <c r="E42" s="68">
        <f t="shared" si="1"/>
        <v>19.8729482508</v>
      </c>
      <c r="F42" s="15">
        <f t="shared" si="2"/>
        <v>0.8196639663143821</v>
      </c>
      <c r="G42" s="67">
        <f t="shared" si="3"/>
        <v>21.789168619382373</v>
      </c>
      <c r="H42" s="69">
        <f t="shared" si="4"/>
        <v>-1.9162203685823727</v>
      </c>
      <c r="I42" s="69">
        <f t="shared" si="5"/>
        <v>-0.25549604914431634</v>
      </c>
    </row>
    <row r="43" spans="1:9" x14ac:dyDescent="0.25">
      <c r="A43" s="5">
        <f>'Fuel Prices'!C43</f>
        <v>44857</v>
      </c>
      <c r="B43" s="67">
        <f t="shared" si="0"/>
        <v>2.9971137909355892</v>
      </c>
      <c r="C43" s="67">
        <f>SBO_Prices!C43*0.98</f>
        <v>6.6075030000000003</v>
      </c>
      <c r="D43" s="68">
        <f>'Fuel Prices'!I43</f>
        <v>5.34612</v>
      </c>
      <c r="E43" s="68">
        <f t="shared" si="1"/>
        <v>20.237256109200001</v>
      </c>
      <c r="F43" s="15">
        <f t="shared" si="2"/>
        <v>0.80909838406429779</v>
      </c>
      <c r="G43" s="67">
        <f t="shared" si="3"/>
        <v>22.47835343201692</v>
      </c>
      <c r="H43" s="69">
        <f t="shared" si="4"/>
        <v>-2.2410973228169198</v>
      </c>
      <c r="I43" s="69">
        <f t="shared" si="5"/>
        <v>-0.29881297637558929</v>
      </c>
    </row>
    <row r="44" spans="1:9" x14ac:dyDescent="0.25">
      <c r="A44" s="5">
        <f>'Fuel Prices'!C44</f>
        <v>44864</v>
      </c>
      <c r="B44" s="67">
        <f t="shared" si="0"/>
        <v>3.1534837083182516</v>
      </c>
      <c r="C44" s="67">
        <f>SBO_Prices!C44*0.98</f>
        <v>6.9522395600000007</v>
      </c>
      <c r="D44" s="68">
        <f>'Fuel Prices'!I44</f>
        <v>5.4285699999999997</v>
      </c>
      <c r="E44" s="68">
        <f t="shared" si="1"/>
        <v>20.549363163700001</v>
      </c>
      <c r="F44" s="15">
        <f t="shared" si="2"/>
        <v>0.78083759242611583</v>
      </c>
      <c r="G44" s="67">
        <f t="shared" si="3"/>
        <v>23.651127812386889</v>
      </c>
      <c r="H44" s="69">
        <f t="shared" si="4"/>
        <v>-3.1017646486868884</v>
      </c>
      <c r="I44" s="69">
        <f t="shared" si="5"/>
        <v>-0.41356861982491844</v>
      </c>
    </row>
    <row r="45" spans="1:9" x14ac:dyDescent="0.25">
      <c r="A45" s="5">
        <f>'Fuel Prices'!C45</f>
        <v>44871</v>
      </c>
      <c r="B45" s="67">
        <f t="shared" si="0"/>
        <v>3.1652528369942785</v>
      </c>
      <c r="C45" s="67">
        <f>SBO_Prices!C45*0.98</f>
        <v>6.9781860400000006</v>
      </c>
      <c r="D45" s="68">
        <f>'Fuel Prices'!I45</f>
        <v>5.6818900000000001</v>
      </c>
      <c r="E45" s="68">
        <f t="shared" si="1"/>
        <v>21.508283224900001</v>
      </c>
      <c r="F45" s="15">
        <f t="shared" si="2"/>
        <v>0.81423595866183007</v>
      </c>
      <c r="G45" s="67">
        <f t="shared" si="3"/>
        <v>23.739396277457089</v>
      </c>
      <c r="H45" s="69">
        <f t="shared" si="4"/>
        <v>-2.2311130525570881</v>
      </c>
      <c r="I45" s="69">
        <f t="shared" si="5"/>
        <v>-0.2974817403409451</v>
      </c>
    </row>
    <row r="46" spans="1:9" x14ac:dyDescent="0.25">
      <c r="A46" s="5">
        <f>'Fuel Prices'!C46</f>
        <v>44878</v>
      </c>
      <c r="B46" s="67">
        <f t="shared" si="0"/>
        <v>3.2834819937386088</v>
      </c>
      <c r="C46" s="67">
        <f>SBO_Prices!C46*0.98</f>
        <v>7.2388366399999997</v>
      </c>
      <c r="D46" s="68">
        <f>'Fuel Prices'!I46</f>
        <v>5.9214900000000004</v>
      </c>
      <c r="E46" s="68">
        <f t="shared" si="1"/>
        <v>22.415267460900001</v>
      </c>
      <c r="F46" s="15">
        <f t="shared" si="2"/>
        <v>0.81801680221367734</v>
      </c>
      <c r="G46" s="67">
        <f t="shared" si="3"/>
        <v>24.626114953039565</v>
      </c>
      <c r="H46" s="69">
        <f t="shared" si="4"/>
        <v>-2.210847492139564</v>
      </c>
      <c r="I46" s="69">
        <f t="shared" si="5"/>
        <v>-0.29477966561860852</v>
      </c>
    </row>
    <row r="47" spans="1:9" x14ac:dyDescent="0.25">
      <c r="A47" s="5">
        <f>'Fuel Prices'!C47</f>
        <v>44885</v>
      </c>
      <c r="B47" s="67">
        <f t="shared" si="0"/>
        <v>3.1941857969302672</v>
      </c>
      <c r="C47" s="67">
        <f>SBO_Prices!C47*0.98</f>
        <v>7.0419722799999995</v>
      </c>
      <c r="D47" s="68">
        <f>'Fuel Prices'!I47</f>
        <v>6.0372300000000001</v>
      </c>
      <c r="E47" s="68">
        <f t="shared" si="1"/>
        <v>22.853390814300003</v>
      </c>
      <c r="F47" s="15">
        <f t="shared" si="2"/>
        <v>0.8573208981731465</v>
      </c>
      <c r="G47" s="67">
        <f t="shared" si="3"/>
        <v>23.956393476977002</v>
      </c>
      <c r="H47" s="69">
        <f t="shared" si="4"/>
        <v>-1.1030026626769995</v>
      </c>
      <c r="I47" s="69">
        <f t="shared" si="5"/>
        <v>-0.14706702169026661</v>
      </c>
    </row>
    <row r="48" spans="1:9" x14ac:dyDescent="0.25">
      <c r="A48" s="5">
        <f>'Fuel Prices'!C48</f>
        <v>44892</v>
      </c>
      <c r="B48" s="67">
        <f t="shared" si="0"/>
        <v>3.1479985457824515</v>
      </c>
      <c r="C48" s="67">
        <f>SBO_Prices!C48*0.98</f>
        <v>6.9401468499999996</v>
      </c>
      <c r="D48" s="68">
        <f>'Fuel Prices'!I48</f>
        <v>6.1405799999999999</v>
      </c>
      <c r="E48" s="68">
        <f t="shared" si="1"/>
        <v>23.244612937799999</v>
      </c>
      <c r="F48" s="15">
        <f t="shared" si="2"/>
        <v>0.88479107614271879</v>
      </c>
      <c r="G48" s="67">
        <f t="shared" si="3"/>
        <v>23.609989093368387</v>
      </c>
      <c r="H48" s="69">
        <f t="shared" si="4"/>
        <v>-0.36537615556838787</v>
      </c>
      <c r="I48" s="69">
        <f t="shared" si="5"/>
        <v>-4.8716820742451719E-2</v>
      </c>
    </row>
    <row r="49" spans="1:9" x14ac:dyDescent="0.25">
      <c r="A49" s="5">
        <f>'Fuel Prices'!C49</f>
        <v>44899</v>
      </c>
      <c r="B49" s="67">
        <f t="shared" si="0"/>
        <v>2.9776731249166524</v>
      </c>
      <c r="C49" s="67">
        <f>SBO_Prices!C49*0.98</f>
        <v>6.5646436800000005</v>
      </c>
      <c r="D49" s="68">
        <f>'Fuel Prices'!I49</f>
        <v>6.1923300000000001</v>
      </c>
      <c r="E49" s="68">
        <f t="shared" si="1"/>
        <v>23.440507905300002</v>
      </c>
      <c r="F49" s="15">
        <f t="shared" si="2"/>
        <v>0.94328501314788793</v>
      </c>
      <c r="G49" s="67">
        <f t="shared" si="3"/>
        <v>22.332548436874895</v>
      </c>
      <c r="H49" s="69">
        <f t="shared" si="4"/>
        <v>1.1079594684251077</v>
      </c>
      <c r="I49" s="69">
        <f t="shared" si="5"/>
        <v>0.1477279291233477</v>
      </c>
    </row>
    <row r="50" spans="1:9" x14ac:dyDescent="0.25">
      <c r="A50" s="5">
        <f>'Fuel Prices'!C50</f>
        <v>44906</v>
      </c>
      <c r="B50" s="67">
        <f t="shared" si="0"/>
        <v>2.6960257313952232</v>
      </c>
      <c r="C50" s="67">
        <f>SBO_Prices!C50*0.98</f>
        <v>5.94371764</v>
      </c>
      <c r="D50" s="68">
        <f>'Fuel Prices'!I50</f>
        <v>6.07111</v>
      </c>
      <c r="E50" s="68">
        <f t="shared" si="1"/>
        <v>22.9816405051</v>
      </c>
      <c r="F50" s="15">
        <f t="shared" si="2"/>
        <v>1.0214331110116461</v>
      </c>
      <c r="G50" s="67">
        <f t="shared" si="3"/>
        <v>20.220192985464173</v>
      </c>
      <c r="H50" s="69">
        <f t="shared" si="4"/>
        <v>2.7614475196358264</v>
      </c>
      <c r="I50" s="69">
        <f t="shared" si="5"/>
        <v>0.36819300261811017</v>
      </c>
    </row>
    <row r="51" spans="1:9" x14ac:dyDescent="0.25">
      <c r="A51" s="5">
        <f>'Fuel Prices'!C51</f>
        <v>44913</v>
      </c>
      <c r="B51" s="67">
        <f t="shared" si="0"/>
        <v>2.8976007315539802</v>
      </c>
      <c r="C51" s="67">
        <f>SBO_Prices!C51*0.98</f>
        <v>6.3881143199999988</v>
      </c>
      <c r="D51" s="68">
        <f>'Fuel Prices'!I51</f>
        <v>5.8627599999999997</v>
      </c>
      <c r="E51" s="68">
        <f t="shared" si="1"/>
        <v>22.192950331599999</v>
      </c>
      <c r="F51" s="15">
        <f t="shared" si="2"/>
        <v>0.91776065773350168</v>
      </c>
      <c r="G51" s="67">
        <f t="shared" si="3"/>
        <v>21.732005486654852</v>
      </c>
      <c r="H51" s="69">
        <f t="shared" si="4"/>
        <v>0.46094484494514631</v>
      </c>
      <c r="I51" s="69">
        <f t="shared" si="5"/>
        <v>6.1459312659352845E-2</v>
      </c>
    </row>
    <row r="52" spans="1:9" x14ac:dyDescent="0.25">
      <c r="A52" s="5">
        <f>'Fuel Prices'!C52</f>
        <v>44920</v>
      </c>
      <c r="B52" s="67">
        <f t="shared" si="0"/>
        <v>2.9059612759012654</v>
      </c>
      <c r="C52" s="67">
        <f>SBO_Prices!C52*0.98</f>
        <v>6.4065461599999995</v>
      </c>
      <c r="D52" s="68">
        <f>'Fuel Prices'!I52</f>
        <v>5.7098800000000001</v>
      </c>
      <c r="E52" s="68">
        <f t="shared" si="1"/>
        <v>21.614236850800001</v>
      </c>
      <c r="F52" s="15">
        <f t="shared" si="2"/>
        <v>0.89125713877631696</v>
      </c>
      <c r="G52" s="67">
        <f t="shared" si="3"/>
        <v>21.794709569259492</v>
      </c>
      <c r="H52" s="69">
        <f t="shared" si="4"/>
        <v>-0.18047271845949098</v>
      </c>
      <c r="I52" s="69">
        <f t="shared" si="5"/>
        <v>-2.406302912793213E-2</v>
      </c>
    </row>
    <row r="53" spans="1:9" x14ac:dyDescent="0.25">
      <c r="A53" s="5">
        <f>'Fuel Prices'!C53</f>
        <v>44927</v>
      </c>
      <c r="B53" s="67">
        <f t="shared" si="0"/>
        <v>2.95653350098112</v>
      </c>
      <c r="C53" s="67">
        <f>SBO_Prices!C53*0.98</f>
        <v>6.5180387999999994</v>
      </c>
      <c r="D53" s="68">
        <f>'Fuel Prices'!I53</f>
        <v>5.7370200000000002</v>
      </c>
      <c r="E53" s="68">
        <f t="shared" si="1"/>
        <v>21.716972878200004</v>
      </c>
      <c r="F53" s="15">
        <f t="shared" si="2"/>
        <v>0.88017579766478238</v>
      </c>
      <c r="G53" s="67">
        <f t="shared" si="3"/>
        <v>22.174001257358398</v>
      </c>
      <c r="H53" s="69">
        <f t="shared" si="4"/>
        <v>-0.45702837915839467</v>
      </c>
      <c r="I53" s="69">
        <f t="shared" si="5"/>
        <v>-6.0937117221119289E-2</v>
      </c>
    </row>
    <row r="54" spans="1:9" x14ac:dyDescent="0.25">
      <c r="A54" s="5">
        <f>'Fuel Prices'!C54</f>
        <v>44934</v>
      </c>
      <c r="B54" s="67">
        <f t="shared" si="0"/>
        <v>2.852895734506868</v>
      </c>
      <c r="C54" s="67">
        <f>SBO_Prices!C54*0.98</f>
        <v>6.2895567000000003</v>
      </c>
      <c r="D54" s="68">
        <f>'Fuel Prices'!I54</f>
        <v>5.7110799999999999</v>
      </c>
      <c r="E54" s="68">
        <f t="shared" si="1"/>
        <v>21.6187793428</v>
      </c>
      <c r="F54" s="15">
        <f t="shared" si="2"/>
        <v>0.90802583908656065</v>
      </c>
      <c r="G54" s="67">
        <f t="shared" si="3"/>
        <v>21.396718008801511</v>
      </c>
      <c r="H54" s="69">
        <f t="shared" si="4"/>
        <v>0.22206133399848937</v>
      </c>
      <c r="I54" s="69">
        <f t="shared" si="5"/>
        <v>2.960817786646525E-2</v>
      </c>
    </row>
    <row r="55" spans="1:9" x14ac:dyDescent="0.25">
      <c r="A55" s="5">
        <f>'Fuel Prices'!C55</f>
        <v>44941</v>
      </c>
      <c r="B55" s="67">
        <f t="shared" si="0"/>
        <v>2.7287246702609331</v>
      </c>
      <c r="C55" s="67">
        <f>SBO_Prices!C55*0.98</f>
        <v>6.0158064399999995</v>
      </c>
      <c r="D55" s="68">
        <f>'Fuel Prices'!I55</f>
        <v>5.6697499999999996</v>
      </c>
      <c r="E55" s="68">
        <f t="shared" si="1"/>
        <v>21.462328347499998</v>
      </c>
      <c r="F55" s="15">
        <f t="shared" si="2"/>
        <v>0.94247546967285734</v>
      </c>
      <c r="G55" s="67">
        <f t="shared" si="3"/>
        <v>20.465435026957</v>
      </c>
      <c r="H55" s="69">
        <f t="shared" si="4"/>
        <v>0.9968933205429984</v>
      </c>
      <c r="I55" s="69">
        <f t="shared" si="5"/>
        <v>0.13291910940573312</v>
      </c>
    </row>
    <row r="56" spans="1:9" x14ac:dyDescent="0.25">
      <c r="A56" s="5">
        <f>'Fuel Prices'!C56</f>
        <v>44948</v>
      </c>
      <c r="B56" s="67">
        <f t="shared" si="0"/>
        <v>2.6505277095121067</v>
      </c>
      <c r="C56" s="67">
        <f>SBO_Prices!C56*0.98</f>
        <v>5.8434116999999999</v>
      </c>
      <c r="D56" s="68">
        <f>'Fuel Prices'!I56</f>
        <v>5.6112200000000003</v>
      </c>
      <c r="E56" s="68">
        <f t="shared" si="1"/>
        <v>21.240768300200003</v>
      </c>
      <c r="F56" s="15">
        <f t="shared" si="2"/>
        <v>0.96026436063028053</v>
      </c>
      <c r="G56" s="67">
        <f t="shared" si="3"/>
        <v>19.878957821340801</v>
      </c>
      <c r="H56" s="69">
        <f t="shared" si="4"/>
        <v>1.3618104788592014</v>
      </c>
      <c r="I56" s="69">
        <f t="shared" si="5"/>
        <v>0.18157473051456019</v>
      </c>
    </row>
    <row r="57" spans="1:9" x14ac:dyDescent="0.25">
      <c r="A57" s="5">
        <f>'Fuel Prices'!C57</f>
        <v>44955</v>
      </c>
      <c r="B57" s="67">
        <f t="shared" si="0"/>
        <v>2.5330920221244275</v>
      </c>
      <c r="C57" s="67">
        <f>SBO_Prices!C57*0.98</f>
        <v>5.5845104000000001</v>
      </c>
      <c r="D57" s="68">
        <f>'Fuel Prices'!I57</f>
        <v>5.4970800000000004</v>
      </c>
      <c r="E57" s="68">
        <f t="shared" si="1"/>
        <v>20.808701602800003</v>
      </c>
      <c r="F57" s="15">
        <f t="shared" si="2"/>
        <v>0.9843441244195732</v>
      </c>
      <c r="G57" s="67">
        <f t="shared" si="3"/>
        <v>18.998190165933206</v>
      </c>
      <c r="H57" s="69">
        <f t="shared" si="4"/>
        <v>1.8105114368667969</v>
      </c>
      <c r="I57" s="69">
        <f t="shared" si="5"/>
        <v>0.24140152491557293</v>
      </c>
    </row>
    <row r="58" spans="1:9" x14ac:dyDescent="0.25">
      <c r="A58" s="5">
        <f>'Fuel Prices'!C58</f>
        <v>44962</v>
      </c>
      <c r="B58" s="67">
        <f t="shared" si="0"/>
        <v>2.5705482209648634</v>
      </c>
      <c r="C58" s="67">
        <f>SBO_Prices!C58*0.98</f>
        <v>5.6670871599999995</v>
      </c>
      <c r="D58" s="68">
        <f>'Fuel Prices'!I58</f>
        <v>5.3704799999999997</v>
      </c>
      <c r="E58" s="68">
        <f t="shared" si="1"/>
        <v>20.329468696799999</v>
      </c>
      <c r="F58" s="15">
        <f t="shared" si="2"/>
        <v>0.94766144376717165</v>
      </c>
      <c r="G58" s="67">
        <f t="shared" si="3"/>
        <v>19.279111657236474</v>
      </c>
      <c r="H58" s="69">
        <f t="shared" si="4"/>
        <v>1.0503570395635258</v>
      </c>
      <c r="I58" s="69">
        <f t="shared" si="5"/>
        <v>0.14004760527513677</v>
      </c>
    </row>
    <row r="59" spans="1:9" x14ac:dyDescent="0.25">
      <c r="A59" s="5">
        <f>'Fuel Prices'!C59</f>
        <v>44969</v>
      </c>
      <c r="B59" s="67">
        <f t="shared" si="0"/>
        <v>2.6834582436354166</v>
      </c>
      <c r="C59" s="67">
        <f>SBO_Prices!C59*0.98</f>
        <v>5.9160110799999996</v>
      </c>
      <c r="D59" s="68">
        <f>'Fuel Prices'!I59</f>
        <v>5.2448600000000001</v>
      </c>
      <c r="E59" s="68">
        <f t="shared" si="1"/>
        <v>19.853945492600001</v>
      </c>
      <c r="F59" s="15">
        <f t="shared" si="2"/>
        <v>0.886553444386044</v>
      </c>
      <c r="G59" s="67">
        <f t="shared" si="3"/>
        <v>20.125936827265626</v>
      </c>
      <c r="H59" s="69">
        <f t="shared" si="4"/>
        <v>-0.27199133466562486</v>
      </c>
      <c r="I59" s="69">
        <f t="shared" si="5"/>
        <v>-3.6265511288749983E-2</v>
      </c>
    </row>
    <row r="60" spans="1:9" x14ac:dyDescent="0.25">
      <c r="A60" s="5">
        <f>'Fuel Prices'!C60</f>
        <v>44976</v>
      </c>
      <c r="B60" s="67">
        <f t="shared" si="0"/>
        <v>2.6018220266331369</v>
      </c>
      <c r="C60" s="67">
        <f>SBO_Prices!C60*0.98</f>
        <v>5.7360340799999996</v>
      </c>
      <c r="D60" s="68">
        <f>'Fuel Prices'!I60</f>
        <v>5.1881599999999999</v>
      </c>
      <c r="E60" s="68">
        <f t="shared" si="1"/>
        <v>19.639312745600002</v>
      </c>
      <c r="F60" s="15">
        <f t="shared" si="2"/>
        <v>0.9044855605181481</v>
      </c>
      <c r="G60" s="67">
        <f t="shared" si="3"/>
        <v>19.513665199748527</v>
      </c>
      <c r="H60" s="69">
        <f t="shared" si="4"/>
        <v>0.12564754585147497</v>
      </c>
      <c r="I60" s="69">
        <f t="shared" si="5"/>
        <v>1.6753006113529995E-2</v>
      </c>
    </row>
    <row r="61" spans="1:9" x14ac:dyDescent="0.25">
      <c r="A61" s="5">
        <f>'Fuel Prices'!C61</f>
        <v>44983</v>
      </c>
      <c r="B61" s="67">
        <f t="shared" si="0"/>
        <v>2.5700613226817719</v>
      </c>
      <c r="C61" s="67">
        <f>SBO_Prices!C61*0.98</f>
        <v>5.6660137333333331</v>
      </c>
      <c r="D61" s="68">
        <f>'Fuel Prices'!I61</f>
        <v>5.1356000000000002</v>
      </c>
      <c r="E61" s="68">
        <f t="shared" si="1"/>
        <v>19.440351596000003</v>
      </c>
      <c r="F61" s="15">
        <f t="shared" si="2"/>
        <v>0.90638679002613554</v>
      </c>
      <c r="G61" s="67">
        <f t="shared" si="3"/>
        <v>19.275459920113288</v>
      </c>
      <c r="H61" s="69">
        <f t="shared" si="4"/>
        <v>0.16489167588671449</v>
      </c>
      <c r="I61" s="69">
        <f t="shared" si="5"/>
        <v>2.1985556784895267E-2</v>
      </c>
    </row>
    <row r="62" spans="1:9" x14ac:dyDescent="0.25">
      <c r="A62" s="5">
        <f>'Fuel Prices'!C62</f>
        <v>44990</v>
      </c>
      <c r="B62" s="67">
        <f t="shared" si="0"/>
        <v>2.5785709296196804</v>
      </c>
      <c r="C62" s="67">
        <f>SBO_Prices!C62*0.98</f>
        <v>5.6847741999999988</v>
      </c>
      <c r="D62" s="68">
        <f>'Fuel Prices'!I62</f>
        <v>5.1124599999999996</v>
      </c>
      <c r="E62" s="68">
        <f t="shared" si="1"/>
        <v>19.3527572086</v>
      </c>
      <c r="F62" s="15">
        <f t="shared" si="2"/>
        <v>0.89932507785445559</v>
      </c>
      <c r="G62" s="67">
        <f t="shared" si="3"/>
        <v>19.339281972147603</v>
      </c>
      <c r="H62" s="69">
        <f t="shared" si="4"/>
        <v>1.3475236452396899E-2</v>
      </c>
      <c r="I62" s="69">
        <f t="shared" si="5"/>
        <v>1.7966981936529199E-3</v>
      </c>
    </row>
    <row r="63" spans="1:9" x14ac:dyDescent="0.25">
      <c r="A63" s="5">
        <f>'Fuel Prices'!C63</f>
        <v>44997</v>
      </c>
      <c r="B63" s="67">
        <f t="shared" si="0"/>
        <v>2.5017328684917408</v>
      </c>
      <c r="C63" s="67">
        <f>SBO_Prices!C63*0.98</f>
        <v>5.5153753199999986</v>
      </c>
      <c r="D63" s="68">
        <f>'Fuel Prices'!I63</f>
        <v>4.9943</v>
      </c>
      <c r="E63" s="68">
        <f t="shared" si="1"/>
        <v>18.905473163</v>
      </c>
      <c r="F63" s="15">
        <f t="shared" si="2"/>
        <v>0.90552314398070755</v>
      </c>
      <c r="G63" s="67">
        <f t="shared" si="3"/>
        <v>18.762996513688055</v>
      </c>
      <c r="H63" s="69">
        <f t="shared" si="4"/>
        <v>0.14247664931194493</v>
      </c>
      <c r="I63" s="69">
        <f t="shared" si="5"/>
        <v>1.899688657492599E-2</v>
      </c>
    </row>
    <row r="64" spans="1:9" x14ac:dyDescent="0.25">
      <c r="A64" s="5">
        <f>'Fuel Prices'!C64</f>
        <v>45004</v>
      </c>
      <c r="B64" s="67">
        <f t="shared" si="0"/>
        <v>2.4644553669517948</v>
      </c>
      <c r="C64" s="67">
        <f>SBO_Prices!C64*0.98</f>
        <v>5.4331925199999995</v>
      </c>
      <c r="D64" s="68">
        <f>'Fuel Prices'!I64</f>
        <v>4.9401299999999999</v>
      </c>
      <c r="E64" s="68">
        <f t="shared" si="1"/>
        <v>18.700417503299999</v>
      </c>
      <c r="F64" s="15">
        <f t="shared" si="2"/>
        <v>0.90924994500286915</v>
      </c>
      <c r="G64" s="67">
        <f t="shared" si="3"/>
        <v>18.48341525213846</v>
      </c>
      <c r="H64" s="69">
        <f t="shared" si="4"/>
        <v>0.2170022511615386</v>
      </c>
      <c r="I64" s="69">
        <f t="shared" si="5"/>
        <v>2.8933633488205147E-2</v>
      </c>
    </row>
    <row r="65" spans="1:9" x14ac:dyDescent="0.25">
      <c r="A65" s="5">
        <f>'Fuel Prices'!C65</f>
        <v>45011</v>
      </c>
      <c r="B65" s="67">
        <f t="shared" si="0"/>
        <v>2.3564519631936904</v>
      </c>
      <c r="C65" s="67">
        <f>SBO_Prices!C65*0.98</f>
        <v>5.19508584</v>
      </c>
      <c r="D65" s="68">
        <f>'Fuel Prices'!I65</f>
        <v>4.8110600000000003</v>
      </c>
      <c r="E65" s="68">
        <f t="shared" si="1"/>
        <v>18.211834634600002</v>
      </c>
      <c r="F65" s="15">
        <f t="shared" si="2"/>
        <v>0.92607901932184444</v>
      </c>
      <c r="G65" s="67">
        <f t="shared" si="3"/>
        <v>17.673389723952678</v>
      </c>
      <c r="H65" s="69">
        <f t="shared" si="4"/>
        <v>0.5384449106473248</v>
      </c>
      <c r="I65" s="69">
        <f t="shared" si="5"/>
        <v>7.1792654752976637E-2</v>
      </c>
    </row>
    <row r="66" spans="1:9" x14ac:dyDescent="0.25">
      <c r="A66" s="5">
        <f>'Fuel Prices'!C66</f>
        <v>45018</v>
      </c>
      <c r="B66" s="67">
        <f t="shared" si="0"/>
        <v>2.281007029776533</v>
      </c>
      <c r="C66" s="67">
        <f>SBO_Prices!C66*0.98</f>
        <v>5.0287582799999999</v>
      </c>
      <c r="D66" s="68">
        <f>'Fuel Prices'!I66</f>
        <v>4.73874</v>
      </c>
      <c r="E66" s="68">
        <f t="shared" si="1"/>
        <v>17.9380737834</v>
      </c>
      <c r="F66" s="15">
        <f t="shared" si="2"/>
        <v>0.94232805319885049</v>
      </c>
      <c r="G66" s="67">
        <f t="shared" si="3"/>
        <v>17.107552723323998</v>
      </c>
      <c r="H66" s="69">
        <f t="shared" si="4"/>
        <v>0.83052106007600202</v>
      </c>
      <c r="I66" s="69">
        <f t="shared" si="5"/>
        <v>0.11073614134346693</v>
      </c>
    </row>
    <row r="67" spans="1:9" x14ac:dyDescent="0.25">
      <c r="A67" s="5">
        <f>'Fuel Prices'!C67</f>
        <v>45025</v>
      </c>
      <c r="B67" s="67">
        <f t="shared" ref="B67:B100" si="6">C67/2.204622</f>
        <v>2.1900343233443191</v>
      </c>
      <c r="C67" s="67">
        <f>SBO_Prices!C67*0.98</f>
        <v>4.8281978499999996</v>
      </c>
      <c r="D67" s="68">
        <f>'Fuel Prices'!I67</f>
        <v>4.4874400000000003</v>
      </c>
      <c r="E67" s="68">
        <f t="shared" ref="E67:E100" si="7">D67*3.78541</f>
        <v>16.986800250400002</v>
      </c>
      <c r="F67" s="15">
        <f t="shared" ref="F67:F100" si="8">D67/C67</f>
        <v>0.92942338723753848</v>
      </c>
      <c r="G67" s="67">
        <f t="shared" ref="G67:G100" si="9">B67*7.5</f>
        <v>16.425257425082393</v>
      </c>
      <c r="H67" s="69">
        <f t="shared" ref="H67:H100" si="10">E67-G67</f>
        <v>0.56154282531760913</v>
      </c>
      <c r="I67" s="69">
        <f t="shared" ref="I67:I100" si="11">H67/7.5</f>
        <v>7.4872376709014546E-2</v>
      </c>
    </row>
    <row r="68" spans="1:9" x14ac:dyDescent="0.25">
      <c r="A68" s="5">
        <f>'Fuel Prices'!C68</f>
        <v>45032</v>
      </c>
      <c r="B68" s="67">
        <f t="shared" si="6"/>
        <v>2.0794667022283182</v>
      </c>
      <c r="C68" s="67">
        <f>SBO_Prices!C68*0.98</f>
        <v>4.5844380399999993</v>
      </c>
      <c r="D68" s="68">
        <f>'Fuel Prices'!I68</f>
        <v>4.3707799999999999</v>
      </c>
      <c r="E68" s="68">
        <f t="shared" si="7"/>
        <v>16.5451943198</v>
      </c>
      <c r="F68" s="15">
        <f t="shared" si="8"/>
        <v>0.95339493343877768</v>
      </c>
      <c r="G68" s="67">
        <f t="shared" si="9"/>
        <v>15.596000266712387</v>
      </c>
      <c r="H68" s="69">
        <f t="shared" si="10"/>
        <v>0.94919405308761284</v>
      </c>
      <c r="I68" s="69">
        <f t="shared" si="11"/>
        <v>0.12655920707834839</v>
      </c>
    </row>
    <row r="69" spans="1:9" x14ac:dyDescent="0.25">
      <c r="A69" s="5">
        <f>'Fuel Prices'!C69</f>
        <v>45039</v>
      </c>
      <c r="B69" s="67">
        <f t="shared" si="6"/>
        <v>2.1176945889136545</v>
      </c>
      <c r="C69" s="67">
        <f>SBO_Prices!C69*0.98</f>
        <v>4.6687160799999994</v>
      </c>
      <c r="D69" s="68">
        <f>'Fuel Prices'!I69</f>
        <v>4.2210000000000001</v>
      </c>
      <c r="E69" s="68">
        <f t="shared" si="7"/>
        <v>15.978215610000001</v>
      </c>
      <c r="F69" s="15">
        <f t="shared" si="8"/>
        <v>0.90410295414665709</v>
      </c>
      <c r="G69" s="67">
        <f t="shared" si="9"/>
        <v>15.882709416852409</v>
      </c>
      <c r="H69" s="69">
        <f t="shared" si="10"/>
        <v>9.5506193147592455E-2</v>
      </c>
      <c r="I69" s="69">
        <f t="shared" si="11"/>
        <v>1.273415908634566E-2</v>
      </c>
    </row>
    <row r="70" spans="1:9" x14ac:dyDescent="0.25">
      <c r="A70" s="5">
        <f>'Fuel Prices'!C70</f>
        <v>45046</v>
      </c>
      <c r="B70" s="67">
        <f t="shared" si="6"/>
        <v>2.0105660017907825</v>
      </c>
      <c r="C70" s="67">
        <f>SBO_Prices!C70*0.98</f>
        <v>4.432538039999999</v>
      </c>
      <c r="D70" s="68">
        <f>'Fuel Prices'!I70</f>
        <v>4.1572500000000003</v>
      </c>
      <c r="E70" s="68">
        <f t="shared" si="7"/>
        <v>15.736895722500002</v>
      </c>
      <c r="F70" s="15">
        <f t="shared" si="8"/>
        <v>0.93789381218711465</v>
      </c>
      <c r="G70" s="67">
        <f t="shared" si="9"/>
        <v>15.079245013430869</v>
      </c>
      <c r="H70" s="69">
        <f t="shared" si="10"/>
        <v>0.65765070906913259</v>
      </c>
      <c r="I70" s="69">
        <f t="shared" si="11"/>
        <v>8.7686761209217673E-2</v>
      </c>
    </row>
    <row r="71" spans="1:9" x14ac:dyDescent="0.25">
      <c r="A71" s="5">
        <f>'Fuel Prices'!C71</f>
        <v>45053</v>
      </c>
      <c r="B71" s="67">
        <f t="shared" si="6"/>
        <v>2.0737788382770375</v>
      </c>
      <c r="C71" s="67">
        <f>SBO_Prices!C71*0.98</f>
        <v>4.5718984499999991</v>
      </c>
      <c r="D71" s="68">
        <f>'Fuel Prices'!I71</f>
        <v>4.0835699999999999</v>
      </c>
      <c r="E71" s="68">
        <f t="shared" si="7"/>
        <v>15.4579867137</v>
      </c>
      <c r="F71" s="15">
        <f t="shared" si="8"/>
        <v>0.89318913021788593</v>
      </c>
      <c r="G71" s="67">
        <f t="shared" si="9"/>
        <v>15.553341287077782</v>
      </c>
      <c r="H71" s="69">
        <f t="shared" si="10"/>
        <v>-9.5354573377781193E-2</v>
      </c>
      <c r="I71" s="69">
        <f t="shared" si="11"/>
        <v>-1.2713943117037493E-2</v>
      </c>
    </row>
    <row r="72" spans="1:9" x14ac:dyDescent="0.25">
      <c r="A72" s="5">
        <f>'Fuel Prices'!C72</f>
        <v>45060</v>
      </c>
      <c r="B72" s="67">
        <f t="shared" si="6"/>
        <v>2.0557639722365102</v>
      </c>
      <c r="C72" s="67">
        <f>SBO_Prices!C72*0.98</f>
        <v>4.5321824799999995</v>
      </c>
      <c r="D72" s="68">
        <f>'Fuel Prices'!I72</f>
        <v>4.04596</v>
      </c>
      <c r="E72" s="68">
        <f t="shared" si="7"/>
        <v>15.315617443600001</v>
      </c>
      <c r="F72" s="15">
        <f t="shared" si="8"/>
        <v>0.89271780601384798</v>
      </c>
      <c r="G72" s="67">
        <f t="shared" si="9"/>
        <v>15.418229791773827</v>
      </c>
      <c r="H72" s="69">
        <f t="shared" si="10"/>
        <v>-0.10261234817382636</v>
      </c>
      <c r="I72" s="69">
        <f t="shared" si="11"/>
        <v>-1.3681646423176848E-2</v>
      </c>
    </row>
    <row r="73" spans="1:9" x14ac:dyDescent="0.25">
      <c r="A73" s="5">
        <f>'Fuel Prices'!C73</f>
        <v>45067</v>
      </c>
      <c r="B73" s="67">
        <f t="shared" si="6"/>
        <v>1.9476609958532574</v>
      </c>
      <c r="C73" s="67">
        <f>SBO_Prices!C73*0.98</f>
        <v>4.29385628</v>
      </c>
      <c r="D73" s="68">
        <f>'Fuel Prices'!I73</f>
        <v>4.0936000000000003</v>
      </c>
      <c r="E73" s="68">
        <f t="shared" si="7"/>
        <v>15.495954376000002</v>
      </c>
      <c r="F73" s="15">
        <f t="shared" si="8"/>
        <v>0.95336213721619956</v>
      </c>
      <c r="G73" s="67">
        <f t="shared" si="9"/>
        <v>14.60745746889943</v>
      </c>
      <c r="H73" s="69">
        <f t="shared" si="10"/>
        <v>0.88849690710057239</v>
      </c>
      <c r="I73" s="69">
        <f t="shared" si="11"/>
        <v>0.11846625428007632</v>
      </c>
    </row>
    <row r="74" spans="1:9" x14ac:dyDescent="0.25">
      <c r="A74" s="5">
        <f>'Fuel Prices'!C74</f>
        <v>45074</v>
      </c>
      <c r="B74" s="67">
        <f t="shared" si="6"/>
        <v>1.9579356461107618</v>
      </c>
      <c r="C74" s="67">
        <f>SBO_Prices!C74*0.98</f>
        <v>4.3165079999999998</v>
      </c>
      <c r="D74" s="68">
        <f>'Fuel Prices'!I74</f>
        <v>4.0552900000000003</v>
      </c>
      <c r="E74" s="68">
        <f t="shared" si="7"/>
        <v>15.350935318900001</v>
      </c>
      <c r="F74" s="15">
        <f t="shared" si="8"/>
        <v>0.93948395323256684</v>
      </c>
      <c r="G74" s="67">
        <f t="shared" si="9"/>
        <v>14.684517345830713</v>
      </c>
      <c r="H74" s="69">
        <f t="shared" si="10"/>
        <v>0.66641797306928829</v>
      </c>
      <c r="I74" s="69">
        <f t="shared" si="11"/>
        <v>8.8855729742571776E-2</v>
      </c>
    </row>
    <row r="75" spans="1:9" x14ac:dyDescent="0.25">
      <c r="A75" s="5">
        <f>'Fuel Prices'!C75</f>
        <v>45081</v>
      </c>
      <c r="B75" s="67">
        <f t="shared" si="6"/>
        <v>1.9063901430721457</v>
      </c>
      <c r="C75" s="67">
        <f>SBO_Prices!C75*0.98</f>
        <v>4.2028696500000002</v>
      </c>
      <c r="D75" s="68">
        <f>'Fuel Prices'!I75</f>
        <v>3.9524599999999999</v>
      </c>
      <c r="E75" s="68">
        <f t="shared" si="7"/>
        <v>14.961681608599999</v>
      </c>
      <c r="F75" s="15">
        <f t="shared" si="8"/>
        <v>0.94041936323197639</v>
      </c>
      <c r="G75" s="67">
        <f t="shared" si="9"/>
        <v>14.297926073041094</v>
      </c>
      <c r="H75" s="69">
        <f t="shared" si="10"/>
        <v>0.66375553555890576</v>
      </c>
      <c r="I75" s="69">
        <f t="shared" si="11"/>
        <v>8.8500738074520774E-2</v>
      </c>
    </row>
    <row r="76" spans="1:9" x14ac:dyDescent="0.25">
      <c r="A76" s="5">
        <f>'Fuel Prices'!C76</f>
        <v>45088</v>
      </c>
      <c r="B76" s="67">
        <f t="shared" si="6"/>
        <v>2.0083958519873248</v>
      </c>
      <c r="C76" s="67">
        <f>SBO_Prices!C76*0.98</f>
        <v>4.4277536800000004</v>
      </c>
      <c r="D76" s="68">
        <f>'Fuel Prices'!I76</f>
        <v>3.8621799999999999</v>
      </c>
      <c r="E76" s="68">
        <f t="shared" si="7"/>
        <v>14.619934793800001</v>
      </c>
      <c r="F76" s="15">
        <f t="shared" si="8"/>
        <v>0.87226622778166818</v>
      </c>
      <c r="G76" s="67">
        <f t="shared" si="9"/>
        <v>15.062968889904937</v>
      </c>
      <c r="H76" s="69">
        <f t="shared" si="10"/>
        <v>-0.44303409610493638</v>
      </c>
      <c r="I76" s="69">
        <f t="shared" si="11"/>
        <v>-5.9071212813991518E-2</v>
      </c>
    </row>
    <row r="77" spans="1:9" x14ac:dyDescent="0.25">
      <c r="A77" s="5">
        <f>'Fuel Prices'!C77</f>
        <v>45095</v>
      </c>
      <c r="B77" s="67">
        <f t="shared" si="6"/>
        <v>2.0916919090891772</v>
      </c>
      <c r="C77" s="67">
        <f>SBO_Prices!C77*0.98</f>
        <v>4.6113900000000001</v>
      </c>
      <c r="D77" s="68">
        <f>'Fuel Prices'!I77</f>
        <v>3.89235</v>
      </c>
      <c r="E77" s="68">
        <f t="shared" si="7"/>
        <v>14.734140613500001</v>
      </c>
      <c r="F77" s="15">
        <f t="shared" si="8"/>
        <v>0.84407304522063842</v>
      </c>
      <c r="G77" s="67">
        <f t="shared" si="9"/>
        <v>15.687689318168829</v>
      </c>
      <c r="H77" s="69">
        <f t="shared" si="10"/>
        <v>-0.9535487046688278</v>
      </c>
      <c r="I77" s="69">
        <f t="shared" si="11"/>
        <v>-0.12713982728917703</v>
      </c>
    </row>
    <row r="78" spans="1:9" x14ac:dyDescent="0.25">
      <c r="A78" s="5">
        <f>'Fuel Prices'!C78</f>
        <v>45102</v>
      </c>
      <c r="B78" s="67">
        <f t="shared" si="6"/>
        <v>2.0796020587656296</v>
      </c>
      <c r="C78" s="67">
        <f>SBO_Prices!C78*0.98</f>
        <v>4.5847364500000003</v>
      </c>
      <c r="D78" s="68">
        <f>'Fuel Prices'!I78</f>
        <v>3.98685</v>
      </c>
      <c r="E78" s="68">
        <f t="shared" si="7"/>
        <v>15.091861858500002</v>
      </c>
      <c r="F78" s="15">
        <f t="shared" si="8"/>
        <v>0.86959196967581409</v>
      </c>
      <c r="G78" s="67">
        <f t="shared" si="9"/>
        <v>15.597015440742222</v>
      </c>
      <c r="H78" s="69">
        <f t="shared" si="10"/>
        <v>-0.50515358224222062</v>
      </c>
      <c r="I78" s="69">
        <f t="shared" si="11"/>
        <v>-6.735381096562941E-2</v>
      </c>
    </row>
    <row r="79" spans="1:9" x14ac:dyDescent="0.25">
      <c r="A79" s="5">
        <f>'Fuel Prices'!C79</f>
        <v>45109</v>
      </c>
      <c r="B79" s="67">
        <f t="shared" si="6"/>
        <v>2.0821862795526851</v>
      </c>
      <c r="C79" s="67">
        <f>SBO_Prices!C79*0.98</f>
        <v>4.5904336800000003</v>
      </c>
      <c r="D79" s="68">
        <f>'Fuel Prices'!I79</f>
        <v>4.0336299999999996</v>
      </c>
      <c r="E79" s="68">
        <f t="shared" si="7"/>
        <v>15.2689433383</v>
      </c>
      <c r="F79" s="15">
        <f t="shared" si="8"/>
        <v>0.87870346925478282</v>
      </c>
      <c r="G79" s="67">
        <f t="shared" si="9"/>
        <v>15.616397096645137</v>
      </c>
      <c r="H79" s="69">
        <f t="shared" si="10"/>
        <v>-0.34745375834513759</v>
      </c>
      <c r="I79" s="69">
        <f t="shared" si="11"/>
        <v>-4.6327167779351676E-2</v>
      </c>
    </row>
    <row r="80" spans="1:9" x14ac:dyDescent="0.25">
      <c r="A80" s="5">
        <f>'Fuel Prices'!C80</f>
        <v>45116</v>
      </c>
      <c r="B80" s="67">
        <f t="shared" si="6"/>
        <v>2.1006012141763981</v>
      </c>
      <c r="C80" s="67">
        <f>SBO_Prices!C80*0.98</f>
        <v>4.6310316499999997</v>
      </c>
      <c r="D80" s="68">
        <f>'Fuel Prices'!I80</f>
        <v>4.07118</v>
      </c>
      <c r="E80" s="68">
        <f t="shared" si="7"/>
        <v>15.411085483800001</v>
      </c>
      <c r="F80" s="15">
        <f t="shared" si="8"/>
        <v>0.87910865390004411</v>
      </c>
      <c r="G80" s="67">
        <f t="shared" si="9"/>
        <v>15.754509106322987</v>
      </c>
      <c r="H80" s="69">
        <f t="shared" si="10"/>
        <v>-0.34342362252298564</v>
      </c>
      <c r="I80" s="69">
        <f t="shared" si="11"/>
        <v>-4.5789816336398087E-2</v>
      </c>
    </row>
    <row r="81" spans="1:9" x14ac:dyDescent="0.25">
      <c r="A81" s="5">
        <f>'Fuel Prices'!C81</f>
        <v>45123</v>
      </c>
      <c r="B81" s="67">
        <f t="shared" si="6"/>
        <v>2.0312655502848109</v>
      </c>
      <c r="C81" s="67">
        <f>SBO_Prices!C81*0.98</f>
        <v>4.4781727200000008</v>
      </c>
      <c r="D81" s="68">
        <f>'Fuel Prices'!I81</f>
        <v>4.1400499999999996</v>
      </c>
      <c r="E81" s="68">
        <f t="shared" si="7"/>
        <v>15.6717866705</v>
      </c>
      <c r="F81" s="15">
        <f t="shared" si="8"/>
        <v>0.92449538212541271</v>
      </c>
      <c r="G81" s="67">
        <f t="shared" si="9"/>
        <v>15.234491627136082</v>
      </c>
      <c r="H81" s="69">
        <f t="shared" si="10"/>
        <v>0.43729504336391756</v>
      </c>
      <c r="I81" s="69">
        <f t="shared" si="11"/>
        <v>5.8306005781855672E-2</v>
      </c>
    </row>
    <row r="82" spans="1:9" x14ac:dyDescent="0.25">
      <c r="A82" s="5">
        <f>'Fuel Prices'!C82</f>
        <v>45130</v>
      </c>
      <c r="B82" s="67">
        <f t="shared" si="6"/>
        <v>2.0387281629231668</v>
      </c>
      <c r="C82" s="67">
        <f>SBO_Prices!C82*0.98</f>
        <v>4.4946249599999986</v>
      </c>
      <c r="D82" s="68">
        <f>'Fuel Prices'!I82</f>
        <v>4.1745999999999999</v>
      </c>
      <c r="E82" s="68">
        <f t="shared" si="7"/>
        <v>15.802572586</v>
      </c>
      <c r="F82" s="15">
        <f t="shared" si="8"/>
        <v>0.92879829510847578</v>
      </c>
      <c r="G82" s="67">
        <f t="shared" si="9"/>
        <v>15.290461221923751</v>
      </c>
      <c r="H82" s="69">
        <f t="shared" si="10"/>
        <v>0.51211136407624913</v>
      </c>
      <c r="I82" s="69">
        <f t="shared" si="11"/>
        <v>6.8281515210166552E-2</v>
      </c>
    </row>
    <row r="83" spans="1:9" x14ac:dyDescent="0.25">
      <c r="A83" s="5">
        <f>'Fuel Prices'!C83</f>
        <v>45137</v>
      </c>
      <c r="B83" s="67">
        <f t="shared" si="6"/>
        <v>2.1301144958183307</v>
      </c>
      <c r="C83" s="67">
        <f>SBO_Prices!C83*0.98</f>
        <v>4.69609728</v>
      </c>
      <c r="D83" s="68">
        <f>'Fuel Prices'!I83</f>
        <v>4.1397000000000004</v>
      </c>
      <c r="E83" s="68">
        <f t="shared" si="7"/>
        <v>15.670461777000002</v>
      </c>
      <c r="F83" s="15">
        <f t="shared" si="8"/>
        <v>0.88151921759167651</v>
      </c>
      <c r="G83" s="67">
        <f t="shared" si="9"/>
        <v>15.975858718637481</v>
      </c>
      <c r="H83" s="69">
        <f t="shared" si="10"/>
        <v>-0.3053969416374791</v>
      </c>
      <c r="I83" s="69">
        <f t="shared" si="11"/>
        <v>-4.0719592218330547E-2</v>
      </c>
    </row>
    <row r="84" spans="1:9" x14ac:dyDescent="0.25">
      <c r="A84" s="5">
        <f>'Fuel Prices'!C84</f>
        <v>45144</v>
      </c>
      <c r="B84" s="67">
        <f t="shared" si="6"/>
        <v>2.1380109606091202</v>
      </c>
      <c r="C84" s="67">
        <f>SBO_Prices!C84*0.98</f>
        <v>4.7135059999999998</v>
      </c>
      <c r="D84" s="68">
        <f>'Fuel Prices'!I84</f>
        <v>4.1881700000000004</v>
      </c>
      <c r="E84" s="68">
        <f t="shared" si="7"/>
        <v>15.853940599700001</v>
      </c>
      <c r="F84" s="15">
        <f t="shared" si="8"/>
        <v>0.88854665720166703</v>
      </c>
      <c r="G84" s="67">
        <f t="shared" si="9"/>
        <v>16.0350822045684</v>
      </c>
      <c r="H84" s="69">
        <f t="shared" si="10"/>
        <v>-0.18114160486839914</v>
      </c>
      <c r="I84" s="69">
        <f t="shared" si="11"/>
        <v>-2.4152213982453218E-2</v>
      </c>
    </row>
    <row r="85" spans="1:9" x14ac:dyDescent="0.25">
      <c r="A85" s="5">
        <f>'Fuel Prices'!C85</f>
        <v>45151</v>
      </c>
      <c r="B85" s="67">
        <f t="shared" si="6"/>
        <v>2.0828992906720516</v>
      </c>
      <c r="C85" s="67">
        <f>SBO_Prices!C85*0.98</f>
        <v>4.5920056000000002</v>
      </c>
      <c r="D85" s="68">
        <f>'Fuel Prices'!I85</f>
        <v>4.2404799999999998</v>
      </c>
      <c r="E85" s="68">
        <f t="shared" si="7"/>
        <v>16.0519553968</v>
      </c>
      <c r="F85" s="15">
        <f t="shared" si="8"/>
        <v>0.92344835119539048</v>
      </c>
      <c r="G85" s="67">
        <f t="shared" si="9"/>
        <v>15.621744680040386</v>
      </c>
      <c r="H85" s="69">
        <f t="shared" si="10"/>
        <v>0.43021071675961409</v>
      </c>
      <c r="I85" s="69">
        <f t="shared" si="11"/>
        <v>5.7361428901281881E-2</v>
      </c>
    </row>
    <row r="86" spans="1:9" x14ac:dyDescent="0.25">
      <c r="A86" s="5">
        <f>'Fuel Prices'!C86</f>
        <v>45158</v>
      </c>
      <c r="B86" s="67">
        <f t="shared" si="6"/>
        <v>2.1117042286614209</v>
      </c>
      <c r="C86" s="67">
        <f>SBO_Prices!C86*0.98</f>
        <v>4.6555095999999994</v>
      </c>
      <c r="D86" s="68">
        <f>'Fuel Prices'!I86</f>
        <v>4.2127800000000004</v>
      </c>
      <c r="E86" s="68">
        <f t="shared" si="7"/>
        <v>15.947099539800002</v>
      </c>
      <c r="F86" s="15">
        <f t="shared" si="8"/>
        <v>0.90490201115684543</v>
      </c>
      <c r="G86" s="67">
        <f t="shared" si="9"/>
        <v>15.837781714960657</v>
      </c>
      <c r="H86" s="69">
        <f t="shared" si="10"/>
        <v>0.10931782483934427</v>
      </c>
      <c r="I86" s="69">
        <f t="shared" si="11"/>
        <v>1.4575709978579236E-2</v>
      </c>
    </row>
    <row r="87" spans="1:9" x14ac:dyDescent="0.25">
      <c r="A87" s="5">
        <f>'Fuel Prices'!C87</f>
        <v>45165</v>
      </c>
      <c r="B87" s="67">
        <f t="shared" si="6"/>
        <v>2.0596633073606267</v>
      </c>
      <c r="C87" s="67">
        <f>SBO_Prices!C87*0.98</f>
        <v>4.5407790399999994</v>
      </c>
      <c r="D87" s="68">
        <f>'Fuel Prices'!I87</f>
        <v>4.2177100000000003</v>
      </c>
      <c r="E87" s="68">
        <f t="shared" si="7"/>
        <v>15.965761611100001</v>
      </c>
      <c r="F87" s="15">
        <f t="shared" si="8"/>
        <v>0.92885162718686276</v>
      </c>
      <c r="G87" s="67">
        <f t="shared" si="9"/>
        <v>15.447474805204701</v>
      </c>
      <c r="H87" s="69">
        <f t="shared" si="10"/>
        <v>0.51828680589530052</v>
      </c>
      <c r="I87" s="69">
        <f t="shared" si="11"/>
        <v>6.910490745270674E-2</v>
      </c>
    </row>
    <row r="88" spans="1:9" x14ac:dyDescent="0.25">
      <c r="A88" s="5">
        <f>'Fuel Prices'!C88</f>
        <v>45172</v>
      </c>
      <c r="B88" s="67">
        <f t="shared" si="6"/>
        <v>2.0652544880709707</v>
      </c>
      <c r="C88" s="67">
        <f>SBO_Prices!C88*0.98</f>
        <v>4.5531054800000001</v>
      </c>
      <c r="D88" s="68">
        <f>'Fuel Prices'!I88</f>
        <v>4.2357899999999997</v>
      </c>
      <c r="E88" s="68">
        <f t="shared" si="7"/>
        <v>16.034201823899998</v>
      </c>
      <c r="F88" s="15">
        <f t="shared" si="8"/>
        <v>0.9303079005321</v>
      </c>
      <c r="G88" s="67">
        <f t="shared" si="9"/>
        <v>15.48940866053228</v>
      </c>
      <c r="H88" s="69">
        <f t="shared" si="10"/>
        <v>0.54479316336771788</v>
      </c>
      <c r="I88" s="69">
        <f t="shared" si="11"/>
        <v>7.2639088449029054E-2</v>
      </c>
    </row>
    <row r="89" spans="1:9" x14ac:dyDescent="0.25">
      <c r="A89" s="5">
        <f>'Fuel Prices'!C89</f>
        <v>45179</v>
      </c>
      <c r="B89" s="67">
        <f t="shared" si="6"/>
        <v>1.9953791020259557</v>
      </c>
      <c r="C89" s="67">
        <f>SBO_Prices!C89*0.98</f>
        <v>4.3990566666666666</v>
      </c>
      <c r="D89" s="68">
        <f>'Fuel Prices'!I89</f>
        <v>4.2569900000000001</v>
      </c>
      <c r="E89" s="68">
        <f t="shared" si="7"/>
        <v>16.114452515900002</v>
      </c>
      <c r="F89" s="15">
        <f t="shared" si="8"/>
        <v>0.96770519740217031</v>
      </c>
      <c r="G89" s="67">
        <f t="shared" si="9"/>
        <v>14.965343265194667</v>
      </c>
      <c r="H89" s="69">
        <f t="shared" si="10"/>
        <v>1.1491092507053349</v>
      </c>
      <c r="I89" s="69">
        <f t="shared" si="11"/>
        <v>0.15321456676071132</v>
      </c>
    </row>
    <row r="90" spans="1:9" x14ac:dyDescent="0.25">
      <c r="A90" s="5">
        <f>'Fuel Prices'!C90</f>
        <v>45186</v>
      </c>
      <c r="B90" s="67">
        <f t="shared" si="6"/>
        <v>2.0325270998837897</v>
      </c>
      <c r="C90" s="67">
        <f>SBO_Prices!C90*0.98</f>
        <v>4.4809539599999999</v>
      </c>
      <c r="D90" s="68">
        <f>'Fuel Prices'!I90</f>
        <v>4.2944300000000002</v>
      </c>
      <c r="E90" s="68">
        <f t="shared" si="7"/>
        <v>16.256178266300001</v>
      </c>
      <c r="F90" s="15">
        <f t="shared" si="8"/>
        <v>0.95837405122546726</v>
      </c>
      <c r="G90" s="67">
        <f t="shared" si="9"/>
        <v>15.243953249128422</v>
      </c>
      <c r="H90" s="69">
        <f t="shared" si="10"/>
        <v>1.0122250171715788</v>
      </c>
      <c r="I90" s="69">
        <f t="shared" si="11"/>
        <v>0.13496333562287716</v>
      </c>
    </row>
    <row r="91" spans="1:9" x14ac:dyDescent="0.25">
      <c r="A91" s="5">
        <f>'Fuel Prices'!C91</f>
        <v>45193</v>
      </c>
      <c r="B91" s="67">
        <f t="shared" si="6"/>
        <v>2.0288438017945931</v>
      </c>
      <c r="C91" s="67">
        <f>SBO_Prices!C91*0.98</f>
        <v>4.4728336799999999</v>
      </c>
      <c r="D91" s="68">
        <f>'Fuel Prices'!I91</f>
        <v>4.2627600000000001</v>
      </c>
      <c r="E91" s="68">
        <f t="shared" si="7"/>
        <v>16.136294331600002</v>
      </c>
      <c r="F91" s="15">
        <f t="shared" si="8"/>
        <v>0.95303342466335572</v>
      </c>
      <c r="G91" s="67">
        <f t="shared" si="9"/>
        <v>15.216328513459448</v>
      </c>
      <c r="H91" s="69">
        <f t="shared" si="10"/>
        <v>0.91996581814055389</v>
      </c>
      <c r="I91" s="69">
        <f t="shared" si="11"/>
        <v>0.12266210908540719</v>
      </c>
    </row>
    <row r="92" spans="1:9" x14ac:dyDescent="0.25">
      <c r="A92" s="5">
        <f>'Fuel Prices'!C92</f>
        <v>45200</v>
      </c>
      <c r="B92" s="67">
        <f t="shared" si="6"/>
        <v>2.0183015501070023</v>
      </c>
      <c r="C92" s="67">
        <f>SBO_Prices!C92*0.98</f>
        <v>4.449592</v>
      </c>
      <c r="D92" s="68">
        <f>'Fuel Prices'!I92</f>
        <v>4.2678099999999999</v>
      </c>
      <c r="E92" s="68">
        <f t="shared" si="7"/>
        <v>16.155410652099999</v>
      </c>
      <c r="F92" s="15">
        <f t="shared" si="8"/>
        <v>0.95914636667811337</v>
      </c>
      <c r="G92" s="67">
        <f t="shared" si="9"/>
        <v>15.137261625802518</v>
      </c>
      <c r="H92" s="69">
        <f t="shared" si="10"/>
        <v>1.0181490262974808</v>
      </c>
      <c r="I92" s="69">
        <f t="shared" si="11"/>
        <v>0.13575320350633077</v>
      </c>
    </row>
    <row r="93" spans="1:9" x14ac:dyDescent="0.25">
      <c r="A93" s="5">
        <f>'Fuel Prices'!C93</f>
        <v>45207</v>
      </c>
      <c r="B93" s="67">
        <f t="shared" si="6"/>
        <v>2.0542312650422612</v>
      </c>
      <c r="C93" s="67">
        <f>SBO_Prices!C93*0.98</f>
        <v>4.5288034399999999</v>
      </c>
      <c r="D93" s="68">
        <f>'Fuel Prices'!I93</f>
        <v>4.2382299999999997</v>
      </c>
      <c r="E93" s="68">
        <f t="shared" si="7"/>
        <v>16.043438224300001</v>
      </c>
      <c r="F93" s="15">
        <f t="shared" si="8"/>
        <v>0.93583880513922235</v>
      </c>
      <c r="G93" s="67">
        <f t="shared" si="9"/>
        <v>15.406734487816959</v>
      </c>
      <c r="H93" s="69">
        <f t="shared" si="10"/>
        <v>0.63670373648304235</v>
      </c>
      <c r="I93" s="69">
        <f t="shared" si="11"/>
        <v>8.4893831531072314E-2</v>
      </c>
    </row>
    <row r="94" spans="1:9" x14ac:dyDescent="0.25">
      <c r="A94" s="5">
        <f>'Fuel Prices'!C94</f>
        <v>45214</v>
      </c>
      <c r="B94" s="67">
        <f t="shared" si="6"/>
        <v>1.9812351958748482</v>
      </c>
      <c r="C94" s="67">
        <f>SBO_Prices!C94*0.98</f>
        <v>4.3678746999999998</v>
      </c>
      <c r="D94" s="68">
        <f>'Fuel Prices'!I94</f>
        <v>4.2137500000000001</v>
      </c>
      <c r="E94" s="68">
        <f t="shared" si="7"/>
        <v>15.950771387500001</v>
      </c>
      <c r="F94" s="15">
        <f t="shared" si="8"/>
        <v>0.96471402899904624</v>
      </c>
      <c r="G94" s="67">
        <f t="shared" si="9"/>
        <v>14.859263969061361</v>
      </c>
      <c r="H94" s="69">
        <f t="shared" si="10"/>
        <v>1.0915074184386402</v>
      </c>
      <c r="I94" s="69">
        <f t="shared" si="11"/>
        <v>0.14553432245848535</v>
      </c>
    </row>
    <row r="95" spans="1:9" x14ac:dyDescent="0.25">
      <c r="A95" s="5">
        <f>'Fuel Prices'!C95</f>
        <v>45221</v>
      </c>
      <c r="B95" s="67">
        <f t="shared" si="6"/>
        <v>2.0230516977513608</v>
      </c>
      <c r="C95" s="67">
        <f>SBO_Prices!C95*0.98</f>
        <v>4.460064280000001</v>
      </c>
      <c r="D95" s="68">
        <f>'Fuel Prices'!I95</f>
        <v>4.1979699999999998</v>
      </c>
      <c r="E95" s="68">
        <f t="shared" si="7"/>
        <v>15.8910376177</v>
      </c>
      <c r="F95" s="15">
        <f t="shared" si="8"/>
        <v>0.94123531331705357</v>
      </c>
      <c r="G95" s="67">
        <f t="shared" si="9"/>
        <v>15.172887733135207</v>
      </c>
      <c r="H95" s="69">
        <f t="shared" si="10"/>
        <v>0.71814988456479334</v>
      </c>
      <c r="I95" s="69">
        <f t="shared" si="11"/>
        <v>9.5753317941972449E-2</v>
      </c>
    </row>
    <row r="96" spans="1:9" x14ac:dyDescent="0.25">
      <c r="A96" s="5">
        <f>'Fuel Prices'!C96</f>
        <v>45228</v>
      </c>
      <c r="B96" s="67">
        <f t="shared" si="6"/>
        <v>1.9760445282683381</v>
      </c>
      <c r="C96" s="67">
        <f>SBO_Prices!C96*0.98</f>
        <v>4.35643124</v>
      </c>
      <c r="D96" s="68">
        <f>'Fuel Prices'!I96</f>
        <v>4.2126700000000001</v>
      </c>
      <c r="E96" s="68">
        <f t="shared" si="7"/>
        <v>15.946683144700001</v>
      </c>
      <c r="F96" s="15">
        <f t="shared" si="8"/>
        <v>0.96700022746141179</v>
      </c>
      <c r="G96" s="67">
        <f t="shared" si="9"/>
        <v>14.820333962012535</v>
      </c>
      <c r="H96" s="69">
        <f t="shared" si="10"/>
        <v>1.1263491826874663</v>
      </c>
      <c r="I96" s="69">
        <f t="shared" si="11"/>
        <v>0.15017989102499552</v>
      </c>
    </row>
    <row r="97" spans="1:9" x14ac:dyDescent="0.25">
      <c r="A97" s="5">
        <f>'Fuel Prices'!C97</f>
        <v>45235</v>
      </c>
      <c r="B97" s="67">
        <f t="shared" si="6"/>
        <v>2.0039390879706365</v>
      </c>
      <c r="C97" s="67">
        <f>SBO_Prices!C97*0.98</f>
        <v>4.4179282000000004</v>
      </c>
      <c r="D97" s="68">
        <f>'Fuel Prices'!I97</f>
        <v>4.2441199999999997</v>
      </c>
      <c r="E97" s="68">
        <f t="shared" si="7"/>
        <v>16.065734289199998</v>
      </c>
      <c r="F97" s="15">
        <f t="shared" si="8"/>
        <v>0.96065843713802301</v>
      </c>
      <c r="G97" s="67">
        <f t="shared" si="9"/>
        <v>15.029543159779774</v>
      </c>
      <c r="H97" s="69">
        <f t="shared" si="10"/>
        <v>1.0361911294202244</v>
      </c>
      <c r="I97" s="69">
        <f t="shared" si="11"/>
        <v>0.13815881725602991</v>
      </c>
    </row>
    <row r="98" spans="1:9" x14ac:dyDescent="0.25">
      <c r="A98" s="5">
        <f>'Fuel Prices'!C98</f>
        <v>45242</v>
      </c>
      <c r="B98" s="67">
        <f t="shared" si="6"/>
        <v>2.1197731674636286</v>
      </c>
      <c r="C98" s="67">
        <f>SBO_Prices!C98*0.98</f>
        <v>4.6732985600000001</v>
      </c>
      <c r="D98" s="68">
        <f>'Fuel Prices'!I98</f>
        <v>4.31724</v>
      </c>
      <c r="E98" s="68">
        <f t="shared" si="7"/>
        <v>16.3425234684</v>
      </c>
      <c r="F98" s="15">
        <f t="shared" si="8"/>
        <v>0.92381001225823667</v>
      </c>
      <c r="G98" s="67">
        <f t="shared" si="9"/>
        <v>15.898298755977216</v>
      </c>
      <c r="H98" s="69">
        <f t="shared" si="10"/>
        <v>0.44422471242278405</v>
      </c>
      <c r="I98" s="69">
        <f t="shared" si="11"/>
        <v>5.9229961656371205E-2</v>
      </c>
    </row>
    <row r="99" spans="1:9" x14ac:dyDescent="0.25">
      <c r="A99" s="5">
        <f>'Fuel Prices'!C99</f>
        <v>45249</v>
      </c>
      <c r="B99" s="67">
        <f t="shared" si="6"/>
        <v>2.1990392003708568</v>
      </c>
      <c r="C99" s="67">
        <f>SBO_Prices!C99*0.98</f>
        <v>4.8480501999999994</v>
      </c>
      <c r="D99" s="68">
        <f>'Fuel Prices'!I99</f>
        <v>4.3979299999999997</v>
      </c>
      <c r="E99" s="68">
        <f t="shared" si="7"/>
        <v>16.647968201299999</v>
      </c>
      <c r="F99" s="15">
        <f t="shared" si="8"/>
        <v>0.90715438548883021</v>
      </c>
      <c r="G99" s="67">
        <f t="shared" si="9"/>
        <v>16.492794002781427</v>
      </c>
      <c r="H99" s="69">
        <f t="shared" si="10"/>
        <v>0.15517419851857284</v>
      </c>
      <c r="I99" s="69">
        <f t="shared" si="11"/>
        <v>2.0689893135809712E-2</v>
      </c>
    </row>
    <row r="100" spans="1:9" x14ac:dyDescent="0.25">
      <c r="A100" s="5">
        <f>'Fuel Prices'!C100</f>
        <v>45256</v>
      </c>
      <c r="B100" s="67">
        <f t="shared" si="6"/>
        <v>2.173144761324163</v>
      </c>
      <c r="C100" s="67">
        <f>SBO_Prices!C100*0.98</f>
        <v>4.7909627499999994</v>
      </c>
      <c r="D100" s="68">
        <f>'Fuel Prices'!I100</f>
        <v>4.4564599999999999</v>
      </c>
      <c r="E100" s="68">
        <f t="shared" si="7"/>
        <v>16.869528248600002</v>
      </c>
      <c r="F100" s="15">
        <f t="shared" si="8"/>
        <v>0.93018047364279766</v>
      </c>
      <c r="G100" s="67">
        <f t="shared" si="9"/>
        <v>16.298585709931224</v>
      </c>
      <c r="H100" s="69">
        <f t="shared" si="10"/>
        <v>0.57094253866877764</v>
      </c>
      <c r="I100" s="69">
        <f t="shared" si="11"/>
        <v>7.6125671822503682E-2</v>
      </c>
    </row>
    <row r="101" spans="1:9" x14ac:dyDescent="0.25">
      <c r="A101" s="5"/>
      <c r="B101" s="5"/>
    </row>
    <row r="102" spans="1:9" x14ac:dyDescent="0.25">
      <c r="A102" s="5"/>
      <c r="B102" s="5"/>
    </row>
    <row r="103" spans="1:9" x14ac:dyDescent="0.25">
      <c r="A103" s="5"/>
      <c r="B103" s="5"/>
    </row>
    <row r="104" spans="1:9" x14ac:dyDescent="0.25">
      <c r="A104" s="5"/>
      <c r="B104" s="5"/>
    </row>
    <row r="105" spans="1:9" x14ac:dyDescent="0.25">
      <c r="A105" s="5"/>
      <c r="B105" s="5"/>
    </row>
    <row r="106" spans="1:9" x14ac:dyDescent="0.25">
      <c r="A106" s="5"/>
      <c r="B106" s="5"/>
    </row>
    <row r="107" spans="1:9" x14ac:dyDescent="0.25">
      <c r="A107" s="5"/>
      <c r="B107" s="5"/>
    </row>
    <row r="108" spans="1:9" x14ac:dyDescent="0.25">
      <c r="A108" s="5"/>
      <c r="B108" s="5"/>
    </row>
    <row r="109" spans="1:9" x14ac:dyDescent="0.25">
      <c r="A109" s="5"/>
      <c r="B109" s="5"/>
    </row>
    <row r="110" spans="1:9" x14ac:dyDescent="0.25">
      <c r="A110" s="5"/>
      <c r="B110" s="5"/>
    </row>
    <row r="111" spans="1:9" x14ac:dyDescent="0.25">
      <c r="A111" s="5"/>
      <c r="B111" s="5"/>
    </row>
    <row r="112" spans="1:9" x14ac:dyDescent="0.25">
      <c r="A112" s="5"/>
      <c r="B112" s="5"/>
    </row>
    <row r="113" spans="1:2" x14ac:dyDescent="0.25">
      <c r="A113" s="5"/>
      <c r="B113" s="5"/>
    </row>
    <row r="114" spans="1:2" x14ac:dyDescent="0.25">
      <c r="A114" s="5"/>
      <c r="B114" s="5"/>
    </row>
    <row r="115" spans="1:2" x14ac:dyDescent="0.25">
      <c r="A115" s="5"/>
      <c r="B115" s="5"/>
    </row>
    <row r="116" spans="1:2" x14ac:dyDescent="0.25">
      <c r="A116" s="5"/>
      <c r="B116" s="5"/>
    </row>
    <row r="117" spans="1:2" x14ac:dyDescent="0.25">
      <c r="A117" s="5"/>
      <c r="B117" s="5"/>
    </row>
    <row r="118" spans="1:2" x14ac:dyDescent="0.25">
      <c r="A118" s="5"/>
      <c r="B118" s="5"/>
    </row>
    <row r="119" spans="1:2" x14ac:dyDescent="0.25">
      <c r="A119" s="5"/>
      <c r="B119" s="5"/>
    </row>
    <row r="120" spans="1:2" x14ac:dyDescent="0.25">
      <c r="A120" s="5"/>
      <c r="B120" s="5"/>
    </row>
    <row r="121" spans="1:2" x14ac:dyDescent="0.25">
      <c r="A121" s="5"/>
      <c r="B121" s="5"/>
    </row>
    <row r="122" spans="1:2" x14ac:dyDescent="0.25">
      <c r="A122" s="5"/>
      <c r="B122" s="5"/>
    </row>
    <row r="123" spans="1:2" x14ac:dyDescent="0.25">
      <c r="A123" s="5"/>
      <c r="B123" s="5"/>
    </row>
    <row r="124" spans="1:2" x14ac:dyDescent="0.25">
      <c r="A124" s="5"/>
      <c r="B124" s="5"/>
    </row>
    <row r="125" spans="1:2" x14ac:dyDescent="0.25">
      <c r="A125" s="5"/>
      <c r="B125" s="5"/>
    </row>
    <row r="126" spans="1:2" x14ac:dyDescent="0.25">
      <c r="A126" s="5"/>
      <c r="B126" s="5"/>
    </row>
    <row r="127" spans="1:2" x14ac:dyDescent="0.25">
      <c r="A127" s="5"/>
      <c r="B127" s="5"/>
    </row>
    <row r="128" spans="1:2" x14ac:dyDescent="0.25">
      <c r="A128" s="5"/>
      <c r="B128" s="5"/>
    </row>
    <row r="129" spans="1:2" x14ac:dyDescent="0.25">
      <c r="A129" s="5"/>
      <c r="B129" s="5"/>
    </row>
    <row r="130" spans="1:2" x14ac:dyDescent="0.25">
      <c r="A130" s="5"/>
      <c r="B130" s="5"/>
    </row>
    <row r="131" spans="1:2" x14ac:dyDescent="0.25">
      <c r="A131" s="5"/>
      <c r="B131" s="5"/>
    </row>
    <row r="132" spans="1:2" x14ac:dyDescent="0.25">
      <c r="A132" s="5"/>
      <c r="B132" s="5"/>
    </row>
    <row r="133" spans="1:2" x14ac:dyDescent="0.25">
      <c r="A133" s="5"/>
      <c r="B133" s="5"/>
    </row>
    <row r="134" spans="1:2" x14ac:dyDescent="0.25">
      <c r="A134" s="5"/>
      <c r="B134" s="5"/>
    </row>
    <row r="135" spans="1:2" x14ac:dyDescent="0.25">
      <c r="A135" s="5"/>
      <c r="B135" s="5"/>
    </row>
    <row r="136" spans="1:2" x14ac:dyDescent="0.25">
      <c r="A136" s="5"/>
      <c r="B136" s="5"/>
    </row>
    <row r="137" spans="1:2" x14ac:dyDescent="0.25">
      <c r="A137" s="5"/>
      <c r="B137" s="5"/>
    </row>
    <row r="138" spans="1:2" x14ac:dyDescent="0.25">
      <c r="A138" s="5"/>
      <c r="B138" s="5"/>
    </row>
    <row r="139" spans="1:2" x14ac:dyDescent="0.25">
      <c r="A139" s="5"/>
      <c r="B139" s="5"/>
    </row>
    <row r="140" spans="1:2" x14ac:dyDescent="0.25">
      <c r="A140" s="5"/>
      <c r="B140" s="5"/>
    </row>
    <row r="141" spans="1:2" x14ac:dyDescent="0.25">
      <c r="A141" s="5"/>
      <c r="B141" s="5"/>
    </row>
    <row r="142" spans="1:2" x14ac:dyDescent="0.25">
      <c r="A142" s="5"/>
      <c r="B142" s="5"/>
    </row>
    <row r="143" spans="1:2" x14ac:dyDescent="0.25">
      <c r="A143" s="5"/>
      <c r="B143" s="5"/>
    </row>
    <row r="144" spans="1:2" x14ac:dyDescent="0.25">
      <c r="A144" s="5"/>
      <c r="B144" s="5"/>
    </row>
    <row r="145" spans="1:2" x14ac:dyDescent="0.25">
      <c r="A145" s="5"/>
      <c r="B145" s="5"/>
    </row>
    <row r="146" spans="1:2" x14ac:dyDescent="0.25">
      <c r="A146" s="5"/>
      <c r="B146" s="5"/>
    </row>
    <row r="147" spans="1:2" x14ac:dyDescent="0.25">
      <c r="A147" s="5"/>
      <c r="B147" s="5"/>
    </row>
    <row r="148" spans="1:2" x14ac:dyDescent="0.25">
      <c r="A148" s="5"/>
      <c r="B148" s="5"/>
    </row>
    <row r="149" spans="1:2" x14ac:dyDescent="0.25">
      <c r="A149" s="5"/>
      <c r="B149" s="5"/>
    </row>
    <row r="150" spans="1:2" x14ac:dyDescent="0.25">
      <c r="A150" s="5"/>
      <c r="B150" s="5"/>
    </row>
    <row r="151" spans="1:2" x14ac:dyDescent="0.25">
      <c r="A151" s="5"/>
      <c r="B151" s="5"/>
    </row>
    <row r="152" spans="1:2" x14ac:dyDescent="0.25">
      <c r="A152" s="5"/>
      <c r="B152" s="5"/>
    </row>
    <row r="153" spans="1:2" x14ac:dyDescent="0.25">
      <c r="A153" s="5"/>
      <c r="B153" s="5"/>
    </row>
    <row r="154" spans="1:2" x14ac:dyDescent="0.25">
      <c r="A154" s="5"/>
      <c r="B154" s="5"/>
    </row>
    <row r="155" spans="1:2" x14ac:dyDescent="0.25">
      <c r="A155" s="5"/>
      <c r="B155" s="5"/>
    </row>
    <row r="156" spans="1:2" x14ac:dyDescent="0.25">
      <c r="A156" s="5"/>
      <c r="B156" s="5"/>
    </row>
    <row r="157" spans="1:2" x14ac:dyDescent="0.25">
      <c r="A157" s="5"/>
      <c r="B157" s="5"/>
    </row>
    <row r="158" spans="1:2" x14ac:dyDescent="0.25">
      <c r="A158" s="5"/>
      <c r="B158" s="5"/>
    </row>
    <row r="159" spans="1:2" x14ac:dyDescent="0.25">
      <c r="A159" s="5"/>
      <c r="B159" s="5"/>
    </row>
    <row r="160" spans="1:2" x14ac:dyDescent="0.25">
      <c r="A160" s="5"/>
      <c r="B160" s="5"/>
    </row>
    <row r="161" spans="1:2" x14ac:dyDescent="0.25">
      <c r="A161" s="5"/>
      <c r="B161" s="5"/>
    </row>
    <row r="162" spans="1:2" x14ac:dyDescent="0.25">
      <c r="A162" s="5"/>
      <c r="B162" s="5"/>
    </row>
    <row r="163" spans="1:2" x14ac:dyDescent="0.25">
      <c r="A163" s="5"/>
      <c r="B163" s="5"/>
    </row>
    <row r="164" spans="1:2" x14ac:dyDescent="0.25">
      <c r="A164" s="5"/>
      <c r="B164" s="5"/>
    </row>
    <row r="165" spans="1:2" x14ac:dyDescent="0.25">
      <c r="A165" s="5"/>
      <c r="B165" s="5"/>
    </row>
    <row r="166" spans="1:2" x14ac:dyDescent="0.25">
      <c r="A166" s="5"/>
      <c r="B166" s="5"/>
    </row>
    <row r="167" spans="1:2" x14ac:dyDescent="0.25">
      <c r="A167" s="5"/>
      <c r="B167" s="5"/>
    </row>
    <row r="168" spans="1:2" x14ac:dyDescent="0.25">
      <c r="A168" s="5"/>
      <c r="B168" s="5"/>
    </row>
    <row r="169" spans="1:2" x14ac:dyDescent="0.25">
      <c r="A169" s="5"/>
      <c r="B169" s="5"/>
    </row>
    <row r="170" spans="1:2" x14ac:dyDescent="0.25">
      <c r="A170" s="5"/>
      <c r="B170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8130-2D53-4B0D-82E1-51F79FA03A84}">
  <dimension ref="A1:G18"/>
  <sheetViews>
    <sheetView workbookViewId="0">
      <selection activeCell="C7" sqref="C7"/>
    </sheetView>
  </sheetViews>
  <sheetFormatPr defaultRowHeight="15" x14ac:dyDescent="0.25"/>
  <cols>
    <col min="1" max="1" width="20.42578125" bestFit="1" customWidth="1"/>
  </cols>
  <sheetData>
    <row r="1" spans="1:7" x14ac:dyDescent="0.25">
      <c r="A1" t="s">
        <v>379</v>
      </c>
      <c r="B1" s="36"/>
    </row>
    <row r="2" spans="1:7" x14ac:dyDescent="0.25">
      <c r="A2" t="s">
        <v>380</v>
      </c>
      <c r="B2" s="36">
        <v>7.45</v>
      </c>
      <c r="D2" t="s">
        <v>381</v>
      </c>
      <c r="G2" s="17">
        <f>B2*(0.453592/0.00378541)</f>
        <v>892.70657603799862</v>
      </c>
    </row>
    <row r="3" spans="1:7" x14ac:dyDescent="0.25">
      <c r="A3" t="s">
        <v>382</v>
      </c>
      <c r="B3" s="36">
        <v>8.1999999999999993</v>
      </c>
      <c r="D3" s="36">
        <v>927</v>
      </c>
      <c r="G3" s="17">
        <f t="shared" ref="G3:G13" si="0">B3*(0.453592/0.00378541)</f>
        <v>982.57636557202522</v>
      </c>
    </row>
    <row r="4" spans="1:7" x14ac:dyDescent="0.25">
      <c r="A4" t="s">
        <v>383</v>
      </c>
      <c r="B4" s="36">
        <v>7.45</v>
      </c>
      <c r="D4" t="s">
        <v>384</v>
      </c>
      <c r="G4" s="17">
        <f t="shared" si="0"/>
        <v>892.70657603799862</v>
      </c>
    </row>
    <row r="5" spans="1:7" x14ac:dyDescent="0.25">
      <c r="A5" t="s">
        <v>385</v>
      </c>
      <c r="B5" s="36">
        <v>7.45</v>
      </c>
      <c r="D5">
        <v>7.6</v>
      </c>
      <c r="G5" s="17">
        <f t="shared" si="0"/>
        <v>892.70657603799862</v>
      </c>
    </row>
    <row r="6" spans="1:7" x14ac:dyDescent="0.25">
      <c r="A6" t="s">
        <v>386</v>
      </c>
      <c r="B6" s="36">
        <v>7.5</v>
      </c>
      <c r="G6" s="17">
        <f t="shared" si="0"/>
        <v>898.697895340267</v>
      </c>
    </row>
    <row r="7" spans="1:7" x14ac:dyDescent="0.25">
      <c r="A7" t="s">
        <v>387</v>
      </c>
      <c r="B7" s="36">
        <v>7.45</v>
      </c>
      <c r="G7" s="17">
        <f t="shared" si="0"/>
        <v>892.70657603799862</v>
      </c>
    </row>
    <row r="8" spans="1:7" x14ac:dyDescent="0.25">
      <c r="A8" t="s">
        <v>388</v>
      </c>
      <c r="B8" s="36">
        <v>7.45</v>
      </c>
      <c r="G8" s="17">
        <f t="shared" si="0"/>
        <v>892.70657603799862</v>
      </c>
    </row>
    <row r="9" spans="1:7" x14ac:dyDescent="0.25">
      <c r="A9" t="s">
        <v>389</v>
      </c>
      <c r="B9" s="36">
        <v>7.75</v>
      </c>
      <c r="G9" s="17">
        <f t="shared" si="0"/>
        <v>928.65449185160924</v>
      </c>
    </row>
    <row r="10" spans="1:7" x14ac:dyDescent="0.25">
      <c r="A10" t="s">
        <v>390</v>
      </c>
      <c r="B10" s="36">
        <v>7.8579999999999997</v>
      </c>
      <c r="G10" s="17">
        <f t="shared" si="0"/>
        <v>941.595741544509</v>
      </c>
    </row>
    <row r="11" spans="1:7" x14ac:dyDescent="0.25">
      <c r="A11" t="s">
        <v>391</v>
      </c>
      <c r="B11" s="36">
        <v>7.8</v>
      </c>
      <c r="G11" s="17">
        <f t="shared" si="0"/>
        <v>934.64581115387762</v>
      </c>
    </row>
    <row r="12" spans="1:7" x14ac:dyDescent="0.25">
      <c r="A12" t="s">
        <v>392</v>
      </c>
      <c r="B12" s="36">
        <v>8.23</v>
      </c>
      <c r="D12" t="s">
        <v>393</v>
      </c>
      <c r="G12" s="17">
        <f t="shared" si="0"/>
        <v>986.17115715338639</v>
      </c>
    </row>
    <row r="13" spans="1:7" x14ac:dyDescent="0.25">
      <c r="A13" t="s">
        <v>394</v>
      </c>
      <c r="B13" s="36">
        <v>8.4</v>
      </c>
      <c r="D13" s="17">
        <f>D3/0.453592</f>
        <v>2043.6868375103618</v>
      </c>
      <c r="G13" s="17">
        <f t="shared" si="0"/>
        <v>1006.5416427810991</v>
      </c>
    </row>
    <row r="14" spans="1:7" x14ac:dyDescent="0.25">
      <c r="D14" t="s">
        <v>395</v>
      </c>
    </row>
    <row r="15" spans="1:7" x14ac:dyDescent="0.25">
      <c r="D15" s="17">
        <f>D13*0.378541</f>
        <v>773.61925915800987</v>
      </c>
    </row>
    <row r="17" spans="1:2" x14ac:dyDescent="0.25">
      <c r="B17">
        <f>B6*((D5*0.008345404)/1.00231 )</f>
        <v>0.47459172112420311</v>
      </c>
    </row>
    <row r="18" spans="1:2" x14ac:dyDescent="0.25">
      <c r="A18" t="s">
        <v>249</v>
      </c>
      <c r="B18">
        <f>1/B17</f>
        <v>2.1070742608640973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F4F6-B732-4876-A045-1A93009E89AA}">
  <dimension ref="A1:F17"/>
  <sheetViews>
    <sheetView workbookViewId="0">
      <selection activeCell="C7" sqref="C7"/>
    </sheetView>
  </sheetViews>
  <sheetFormatPr defaultRowHeight="15" x14ac:dyDescent="0.25"/>
  <cols>
    <col min="1" max="1" width="12.42578125" bestFit="1" customWidth="1"/>
    <col min="2" max="2" width="13.140625" customWidth="1"/>
    <col min="3" max="3" width="11.5703125" bestFit="1" customWidth="1"/>
    <col min="4" max="4" width="10.42578125" bestFit="1" customWidth="1"/>
    <col min="5" max="5" width="23.5703125" bestFit="1" customWidth="1"/>
    <col min="6" max="6" width="20" bestFit="1" customWidth="1"/>
  </cols>
  <sheetData>
    <row r="1" spans="1:6" x14ac:dyDescent="0.25">
      <c r="A1" t="s">
        <v>396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</row>
    <row r="2" spans="1:6" x14ac:dyDescent="0.25">
      <c r="A2" t="s">
        <v>402</v>
      </c>
      <c r="B2">
        <v>150</v>
      </c>
      <c r="C2" s="2">
        <v>45597</v>
      </c>
      <c r="D2" t="s">
        <v>403</v>
      </c>
      <c r="E2">
        <v>80</v>
      </c>
      <c r="F2" t="s">
        <v>404</v>
      </c>
    </row>
    <row r="3" spans="1:6" x14ac:dyDescent="0.25">
      <c r="A3" t="s">
        <v>405</v>
      </c>
      <c r="B3">
        <v>500</v>
      </c>
      <c r="C3">
        <v>2025</v>
      </c>
      <c r="D3" t="s">
        <v>406</v>
      </c>
      <c r="E3">
        <v>2200</v>
      </c>
      <c r="F3" t="s">
        <v>407</v>
      </c>
    </row>
    <row r="4" spans="1:6" x14ac:dyDescent="0.25">
      <c r="A4" t="s">
        <v>408</v>
      </c>
      <c r="B4" s="17">
        <f>(0.05*1825)+(2665*0.05)</f>
        <v>224.5</v>
      </c>
      <c r="C4">
        <v>2026</v>
      </c>
      <c r="D4" t="s">
        <v>403</v>
      </c>
      <c r="E4">
        <v>3000</v>
      </c>
      <c r="F4" t="s">
        <v>409</v>
      </c>
    </row>
    <row r="5" spans="1:6" x14ac:dyDescent="0.25">
      <c r="A5" t="s">
        <v>410</v>
      </c>
      <c r="B5" s="17">
        <v>3</v>
      </c>
      <c r="C5">
        <v>2026</v>
      </c>
      <c r="D5" t="s">
        <v>411</v>
      </c>
      <c r="E5">
        <v>12000</v>
      </c>
      <c r="F5" t="s">
        <v>407</v>
      </c>
    </row>
    <row r="6" spans="1:6" x14ac:dyDescent="0.25">
      <c r="B6" s="17">
        <v>1000</v>
      </c>
      <c r="C6">
        <v>2035</v>
      </c>
      <c r="E6">
        <f>SUM(E2:E5)</f>
        <v>17280</v>
      </c>
    </row>
    <row r="7" spans="1:6" x14ac:dyDescent="0.25">
      <c r="E7">
        <f>E6/4.97</f>
        <v>3476.8611670020123</v>
      </c>
    </row>
    <row r="10" spans="1:6" x14ac:dyDescent="0.25">
      <c r="B10">
        <v>0.26</v>
      </c>
    </row>
    <row r="11" spans="1:6" x14ac:dyDescent="0.25">
      <c r="B11">
        <v>0.26</v>
      </c>
    </row>
    <row r="13" spans="1:6" x14ac:dyDescent="0.25">
      <c r="B13">
        <v>39</v>
      </c>
    </row>
    <row r="14" spans="1:6" x14ac:dyDescent="0.25">
      <c r="B14">
        <v>130</v>
      </c>
    </row>
    <row r="15" spans="1:6" x14ac:dyDescent="0.25">
      <c r="B15">
        <f>((0.05*1825)+(2665*0.05))*0.26</f>
        <v>58.370000000000005</v>
      </c>
    </row>
    <row r="16" spans="1:6" x14ac:dyDescent="0.25">
      <c r="B16">
        <v>0.78</v>
      </c>
    </row>
    <row r="17" spans="2:2" x14ac:dyDescent="0.25">
      <c r="B17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Charts</vt:lpstr>
      </vt:variant>
      <vt:variant>
        <vt:i4>3</vt:i4>
      </vt:variant>
    </vt:vector>
  </HeadingPairs>
  <TitlesOfParts>
    <vt:vector size="16" baseType="lpstr">
      <vt:lpstr>BD_Sales</vt:lpstr>
      <vt:lpstr>Production</vt:lpstr>
      <vt:lpstr>Diesel_Sales</vt:lpstr>
      <vt:lpstr>Feedstocks</vt:lpstr>
      <vt:lpstr>Capacity</vt:lpstr>
      <vt:lpstr>Plant_List</vt:lpstr>
      <vt:lpstr>BD_Feedstock_Breakdown</vt:lpstr>
      <vt:lpstr>Fuel Prices</vt:lpstr>
      <vt:lpstr>SBO_Prices</vt:lpstr>
      <vt:lpstr>Sheet3</vt:lpstr>
      <vt:lpstr>SBO_Profitability</vt:lpstr>
      <vt:lpstr>Feedstock_Conversion</vt:lpstr>
      <vt:lpstr>RD_Capacity</vt:lpstr>
      <vt:lpstr>Sales_Mandate_chart</vt:lpstr>
      <vt:lpstr>Prod_Chart</vt:lpstr>
      <vt:lpstr>Feedstock_demand_chart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2025-07-09T11:12:08Z</dcterms:created>
  <dcterms:modified xsi:type="dcterms:W3CDTF">2025-11-28T13:28:51Z</dcterms:modified>
</cp:coreProperties>
</file>