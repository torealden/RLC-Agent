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torem\Dropbox\RLC Documents\Models\Oilseeds\"/>
    </mc:Choice>
  </mc:AlternateContent>
  <xr:revisionPtr revIDLastSave="0" documentId="8_{629FCDA5-8E54-4A14-B0FF-106FE3F053D6}" xr6:coauthVersionLast="47" xr6:coauthVersionMax="47" xr10:uidLastSave="{00000000-0000-0000-0000-000000000000}"/>
  <bookViews>
    <workbookView xWindow="2775" yWindow="1170" windowWidth="22860" windowHeight="12030" xr2:uid="{FF35765F-8374-4793-8454-72684854E4CC}"/>
  </bookViews>
  <sheets>
    <sheet name="Data Sources" sheetId="1" r:id="rId1"/>
    <sheet name="Notes" sheetId="2" r:id="rId2"/>
    <sheet name="Capacity" sheetId="3" r:id="rId3"/>
    <sheet name="annual_data" sheetId="4" r:id="rId4"/>
    <sheet name="monthly_data" sheetId="5" r:id="rId5"/>
    <sheet name="BD" sheetId="6" r:id="rId6"/>
    <sheet name="RD" sheetId="7" r:id="rId7"/>
    <sheet name="SAF" sheetId="8" r:id="rId8"/>
    <sheet name="Jet Fuel" sheetId="9" r:id="rId9"/>
    <sheet name="Diesel" sheetId="10" r:id="rId10"/>
  </sheets>
  <externalReferences>
    <externalReference r:id="rId11"/>
  </externalReferences>
  <definedNames>
    <definedName name="_xlnm.Print_Area" localSheetId="5">BD!$A$2:$I$13</definedName>
    <definedName name="_xlnm.Print_Area" localSheetId="6">RD!$A$2:$I$12</definedName>
    <definedName name="Z_11027877_8754_42DF_AEF4_DF91AFC7E3D7_.wvu.PrintArea" localSheetId="5" hidden="1">BD!$A$1:$F$13</definedName>
    <definedName name="Z_11027877_8754_42DF_AEF4_DF91AFC7E3D7_.wvu.PrintArea" localSheetId="6" hidden="1">RD!$A$1:$F$12</definedName>
    <definedName name="Z_2C7BB91D_B6C7_4C7E_824A_AD371B7FEFAE_.wvu.Cols" localSheetId="5" hidden="1">BD!#REF!</definedName>
    <definedName name="Z_2C7BB91D_B6C7_4C7E_824A_AD371B7FEFAE_.wvu.Cols" localSheetId="6" hidden="1">RD!#REF!</definedName>
    <definedName name="Z_2C7BB91D_B6C7_4C7E_824A_AD371B7FEFAE_.wvu.PrintArea" localSheetId="5" hidden="1">BD!$A$1:$F$13</definedName>
    <definedName name="Z_2C7BB91D_B6C7_4C7E_824A_AD371B7FEFAE_.wvu.PrintArea" localSheetId="6" hidden="1">RD!$A$1:$F$12</definedName>
    <definedName name="Z_3389ABBF_4A47_4E3C_9E30_013DEA936013_.wvu.PrintArea" localSheetId="5" hidden="1">BD!$A$1:$F$13</definedName>
    <definedName name="Z_3389ABBF_4A47_4E3C_9E30_013DEA936013_.wvu.PrintArea" localSheetId="6" hidden="1">RD!$A$1:$F$12</definedName>
    <definedName name="Z_63FD8648_A18A_466A_B152_26B7B5EB5F8A_.wvu.PrintArea" localSheetId="5" hidden="1">BD!$A$1:$F$13</definedName>
    <definedName name="Z_63FD8648_A18A_466A_B152_26B7B5EB5F8A_.wvu.PrintArea" localSheetId="6" hidden="1">RD!$A$1:$F$12</definedName>
    <definedName name="Z_896AD9BE_343E_4241_9567_E97EA3C7D73E_.wvu.PrintArea" localSheetId="5" hidden="1">BD!$A$1:$F$13</definedName>
    <definedName name="Z_896AD9BE_343E_4241_9567_E97EA3C7D73E_.wvu.PrintArea" localSheetId="6" hidden="1">RD!$A$1:$F$12</definedName>
    <definedName name="Z_8F904101_0CD0_4EB8_918C_6C9451EECAE3_.wvu.PrintArea" localSheetId="5" hidden="1">BD!$A$1:$F$13</definedName>
    <definedName name="Z_8F904101_0CD0_4EB8_918C_6C9451EECAE3_.wvu.PrintArea" localSheetId="6" hidden="1">RD!$A$1:$F$12</definedName>
    <definedName name="Z_A9F82761_E541_4BC7_AF39_E754A8EE4364_.wvu.PrintArea" localSheetId="5" hidden="1">BD!$A$1:$F$13</definedName>
    <definedName name="Z_A9F82761_E541_4BC7_AF39_E754A8EE4364_.wvu.PrintArea" localSheetId="6" hidden="1">RD!$A$1:$F$12</definedName>
    <definedName name="Z_BDBF5671_C3A9_474A_BD59_73FB0F340729_.wvu.PrintArea" localSheetId="5" hidden="1">BD!$A$1:$F$13</definedName>
    <definedName name="Z_BDBF5671_C3A9_474A_BD59_73FB0F340729_.wvu.PrintArea" localSheetId="6" hidden="1">RD!$A$1:$F$12</definedName>
    <definedName name="Z_BE7D4983_2668_442B_8E12_AE767275E8F1_.wvu.PrintArea" localSheetId="5" hidden="1">BD!$A$1:$F$13</definedName>
    <definedName name="Z_BE7D4983_2668_442B_8E12_AE767275E8F1_.wvu.PrintArea" localSheetId="6" hidden="1">RD!$A$1:$F$12</definedName>
    <definedName name="Z_F5DE2E4F_A48B_4F36_85E7_0AB7ADB29149_.wvu.PrintArea" localSheetId="5" hidden="1">BD!$A$1:$F$13</definedName>
    <definedName name="Z_F5DE2E4F_A48B_4F36_85E7_0AB7ADB29149_.wvu.PrintArea" localSheetId="6" hidden="1">RD!$A$1:$F$12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15" i="10" l="1"/>
  <c r="T115" i="10"/>
  <c r="S115" i="10"/>
  <c r="R115" i="10"/>
  <c r="Q115" i="10"/>
  <c r="P115" i="10"/>
  <c r="O115" i="10"/>
  <c r="N115" i="10"/>
  <c r="M115" i="10"/>
  <c r="L115" i="10"/>
  <c r="K115" i="10"/>
  <c r="J115" i="10"/>
  <c r="I115" i="10"/>
  <c r="H115" i="10"/>
  <c r="G115" i="10"/>
  <c r="F115" i="10"/>
  <c r="E115" i="10"/>
  <c r="D115" i="10"/>
  <c r="C115" i="10"/>
  <c r="B115" i="10"/>
  <c r="U99" i="10"/>
  <c r="T99" i="10"/>
  <c r="S99" i="10"/>
  <c r="R99" i="10"/>
  <c r="Q99" i="10"/>
  <c r="P99" i="10"/>
  <c r="O99" i="10"/>
  <c r="N99" i="10"/>
  <c r="M99" i="10"/>
  <c r="L99" i="10"/>
  <c r="K99" i="10"/>
  <c r="J99" i="10"/>
  <c r="I99" i="10"/>
  <c r="H99" i="10"/>
  <c r="G99" i="10"/>
  <c r="F99" i="10"/>
  <c r="E99" i="10"/>
  <c r="D99" i="10"/>
  <c r="C99" i="10"/>
  <c r="B99" i="10"/>
  <c r="U83" i="10"/>
  <c r="T83" i="10"/>
  <c r="S83" i="10"/>
  <c r="R83" i="10"/>
  <c r="Q83" i="10"/>
  <c r="P83" i="10"/>
  <c r="O83" i="10"/>
  <c r="N83" i="10"/>
  <c r="M83" i="10"/>
  <c r="L83" i="10"/>
  <c r="K83" i="10"/>
  <c r="J83" i="10"/>
  <c r="I83" i="10"/>
  <c r="H83" i="10"/>
  <c r="G83" i="10"/>
  <c r="F83" i="10"/>
  <c r="E83" i="10"/>
  <c r="D83" i="10"/>
  <c r="C83" i="10"/>
  <c r="B83" i="10"/>
  <c r="U67" i="10"/>
  <c r="T67" i="10"/>
  <c r="S67" i="10"/>
  <c r="R67" i="10"/>
  <c r="Q67" i="10"/>
  <c r="P67" i="10"/>
  <c r="O67" i="10"/>
  <c r="N67" i="10"/>
  <c r="M67" i="10"/>
  <c r="L67" i="10"/>
  <c r="K67" i="10"/>
  <c r="J67" i="10"/>
  <c r="I67" i="10"/>
  <c r="H67" i="10"/>
  <c r="G67" i="10"/>
  <c r="F67" i="10"/>
  <c r="E67" i="10"/>
  <c r="D67" i="10"/>
  <c r="C67" i="10"/>
  <c r="B67" i="10"/>
  <c r="U51" i="10"/>
  <c r="T51" i="10"/>
  <c r="S51" i="10"/>
  <c r="R51" i="10"/>
  <c r="Q51" i="10"/>
  <c r="P51" i="10"/>
  <c r="O51" i="10"/>
  <c r="N51" i="10"/>
  <c r="K51" i="10"/>
  <c r="I51" i="10"/>
  <c r="H51" i="10"/>
  <c r="G51" i="10"/>
  <c r="F51" i="10"/>
  <c r="E51" i="10"/>
  <c r="C51" i="10"/>
  <c r="B51" i="10"/>
  <c r="U35" i="10"/>
  <c r="T35" i="10"/>
  <c r="S35" i="10"/>
  <c r="R35" i="10"/>
  <c r="Q35" i="10"/>
  <c r="P35" i="10"/>
  <c r="O35" i="10"/>
  <c r="N35" i="10"/>
  <c r="M35" i="10"/>
  <c r="M51" i="10" s="1"/>
  <c r="L35" i="10"/>
  <c r="L51" i="10" s="1"/>
  <c r="K35" i="10"/>
  <c r="J35" i="10"/>
  <c r="J51" i="10" s="1"/>
  <c r="I35" i="10"/>
  <c r="H35" i="10"/>
  <c r="G35" i="10"/>
  <c r="F35" i="10"/>
  <c r="E35" i="10"/>
  <c r="D35" i="10"/>
  <c r="D51" i="10" s="1"/>
  <c r="C35" i="10"/>
  <c r="B35" i="10"/>
  <c r="U19" i="10"/>
  <c r="T19" i="10"/>
  <c r="S19" i="10"/>
  <c r="R19" i="10"/>
  <c r="Q19" i="10"/>
  <c r="P19" i="10"/>
  <c r="O19" i="10"/>
  <c r="N19" i="10"/>
  <c r="M19" i="10"/>
  <c r="L19" i="10"/>
  <c r="K19" i="10"/>
  <c r="J19" i="10"/>
  <c r="I19" i="10"/>
  <c r="H19" i="10"/>
  <c r="G19" i="10"/>
  <c r="F19" i="10"/>
  <c r="E19" i="10"/>
  <c r="D19" i="10"/>
  <c r="C19" i="10"/>
  <c r="B19" i="10"/>
  <c r="J111" i="9"/>
  <c r="I111" i="9"/>
  <c r="H111" i="9"/>
  <c r="G111" i="9"/>
  <c r="F111" i="9"/>
  <c r="E111" i="9"/>
  <c r="J110" i="9"/>
  <c r="J31" i="9" s="1"/>
  <c r="I110" i="9"/>
  <c r="H110" i="9"/>
  <c r="G110" i="9"/>
  <c r="F110" i="9"/>
  <c r="E110" i="9"/>
  <c r="J109" i="9"/>
  <c r="I109" i="9"/>
  <c r="H109" i="9"/>
  <c r="G109" i="9"/>
  <c r="F109" i="9"/>
  <c r="K109" i="9" s="1"/>
  <c r="E109" i="9"/>
  <c r="L108" i="9"/>
  <c r="K108" i="9"/>
  <c r="J108" i="9"/>
  <c r="I108" i="9"/>
  <c r="H108" i="9"/>
  <c r="G108" i="9"/>
  <c r="F108" i="9"/>
  <c r="E108" i="9"/>
  <c r="K107" i="9"/>
  <c r="J107" i="9"/>
  <c r="I107" i="9"/>
  <c r="H107" i="9"/>
  <c r="G107" i="9"/>
  <c r="F107" i="9"/>
  <c r="E107" i="9"/>
  <c r="K106" i="9"/>
  <c r="J106" i="9"/>
  <c r="I106" i="9"/>
  <c r="H106" i="9"/>
  <c r="G106" i="9"/>
  <c r="F106" i="9"/>
  <c r="E106" i="9"/>
  <c r="K105" i="9"/>
  <c r="J105" i="9"/>
  <c r="I105" i="9"/>
  <c r="H105" i="9"/>
  <c r="G105" i="9"/>
  <c r="L105" i="9" s="1"/>
  <c r="F105" i="9"/>
  <c r="E105" i="9"/>
  <c r="L104" i="9"/>
  <c r="K104" i="9"/>
  <c r="J104" i="9"/>
  <c r="I104" i="9"/>
  <c r="H104" i="9"/>
  <c r="G104" i="9"/>
  <c r="F104" i="9"/>
  <c r="E104" i="9"/>
  <c r="K103" i="9"/>
  <c r="J103" i="9"/>
  <c r="J24" i="9" s="1"/>
  <c r="I103" i="9"/>
  <c r="H103" i="9"/>
  <c r="G103" i="9"/>
  <c r="L103" i="9" s="1"/>
  <c r="F103" i="9"/>
  <c r="E103" i="9"/>
  <c r="K102" i="9"/>
  <c r="J102" i="9"/>
  <c r="I102" i="9"/>
  <c r="H102" i="9"/>
  <c r="G102" i="9"/>
  <c r="L102" i="9" s="1"/>
  <c r="F102" i="9"/>
  <c r="E102" i="9"/>
  <c r="M101" i="9"/>
  <c r="K101" i="9"/>
  <c r="J101" i="9"/>
  <c r="I101" i="9"/>
  <c r="H101" i="9"/>
  <c r="G101" i="9"/>
  <c r="L101" i="9" s="1"/>
  <c r="F101" i="9"/>
  <c r="E101" i="9"/>
  <c r="K100" i="9"/>
  <c r="J100" i="9"/>
  <c r="I100" i="9"/>
  <c r="H100" i="9"/>
  <c r="G100" i="9"/>
  <c r="L100" i="9" s="1"/>
  <c r="F100" i="9"/>
  <c r="E100" i="9"/>
  <c r="T99" i="9"/>
  <c r="S99" i="9"/>
  <c r="R99" i="9"/>
  <c r="Q99" i="9"/>
  <c r="P99" i="9"/>
  <c r="O99" i="9"/>
  <c r="N99" i="9"/>
  <c r="M99" i="9"/>
  <c r="L99" i="9"/>
  <c r="K99" i="9"/>
  <c r="J99" i="9"/>
  <c r="I99" i="9"/>
  <c r="H99" i="9"/>
  <c r="G99" i="9"/>
  <c r="F99" i="9"/>
  <c r="E99" i="9"/>
  <c r="J96" i="9"/>
  <c r="I96" i="9"/>
  <c r="H96" i="9"/>
  <c r="G96" i="9"/>
  <c r="F96" i="9"/>
  <c r="E96" i="9"/>
  <c r="K95" i="9"/>
  <c r="J95" i="9"/>
  <c r="I95" i="9"/>
  <c r="H95" i="9"/>
  <c r="G95" i="9"/>
  <c r="F95" i="9"/>
  <c r="E95" i="9"/>
  <c r="J94" i="9"/>
  <c r="I94" i="9"/>
  <c r="H94" i="9"/>
  <c r="G94" i="9"/>
  <c r="F94" i="9"/>
  <c r="E94" i="9"/>
  <c r="J93" i="9"/>
  <c r="I93" i="9"/>
  <c r="H93" i="9"/>
  <c r="G93" i="9"/>
  <c r="F93" i="9"/>
  <c r="K93" i="9" s="1"/>
  <c r="E93" i="9"/>
  <c r="J92" i="9"/>
  <c r="I92" i="9"/>
  <c r="H92" i="9"/>
  <c r="G92" i="9"/>
  <c r="F92" i="9"/>
  <c r="E92" i="9"/>
  <c r="K91" i="9"/>
  <c r="J91" i="9"/>
  <c r="I91" i="9"/>
  <c r="H91" i="9"/>
  <c r="G91" i="9"/>
  <c r="F91" i="9"/>
  <c r="E91" i="9"/>
  <c r="K90" i="9"/>
  <c r="J90" i="9"/>
  <c r="I90" i="9"/>
  <c r="H90" i="9"/>
  <c r="G90" i="9"/>
  <c r="F90" i="9"/>
  <c r="E90" i="9"/>
  <c r="K89" i="9"/>
  <c r="J89" i="9"/>
  <c r="I89" i="9"/>
  <c r="H89" i="9"/>
  <c r="M89" i="9" s="1"/>
  <c r="G89" i="9"/>
  <c r="L89" i="9" s="1"/>
  <c r="F89" i="9"/>
  <c r="E89" i="9"/>
  <c r="M88" i="9"/>
  <c r="K88" i="9"/>
  <c r="J88" i="9"/>
  <c r="I88" i="9"/>
  <c r="H88" i="9"/>
  <c r="G88" i="9"/>
  <c r="L88" i="9" s="1"/>
  <c r="F88" i="9"/>
  <c r="E88" i="9"/>
  <c r="K87" i="9"/>
  <c r="J87" i="9"/>
  <c r="I87" i="9"/>
  <c r="H87" i="9"/>
  <c r="G87" i="9"/>
  <c r="F87" i="9"/>
  <c r="E87" i="9"/>
  <c r="K86" i="9"/>
  <c r="J86" i="9"/>
  <c r="I86" i="9"/>
  <c r="H86" i="9"/>
  <c r="G86" i="9"/>
  <c r="F86" i="9"/>
  <c r="E86" i="9"/>
  <c r="K85" i="9"/>
  <c r="J85" i="9"/>
  <c r="I85" i="9"/>
  <c r="H85" i="9"/>
  <c r="G85" i="9"/>
  <c r="L85" i="9" s="1"/>
  <c r="F85" i="9"/>
  <c r="F5" i="9" s="1"/>
  <c r="E85" i="9"/>
  <c r="E5" i="9" s="1"/>
  <c r="T84" i="9"/>
  <c r="S84" i="9"/>
  <c r="R84" i="9"/>
  <c r="Q84" i="9"/>
  <c r="P84" i="9"/>
  <c r="O84" i="9"/>
  <c r="N84" i="9"/>
  <c r="M84" i="9"/>
  <c r="L84" i="9"/>
  <c r="K84" i="9"/>
  <c r="J84" i="9"/>
  <c r="I84" i="9"/>
  <c r="H84" i="9"/>
  <c r="G84" i="9"/>
  <c r="F84" i="9"/>
  <c r="E84" i="9"/>
  <c r="J81" i="9"/>
  <c r="J9" i="9" s="1"/>
  <c r="I81" i="9"/>
  <c r="I9" i="9" s="1"/>
  <c r="J80" i="9"/>
  <c r="I80" i="9"/>
  <c r="H80" i="9"/>
  <c r="G80" i="9"/>
  <c r="F80" i="9"/>
  <c r="E80" i="9"/>
  <c r="J79" i="9"/>
  <c r="I79" i="9"/>
  <c r="H79" i="9"/>
  <c r="G79" i="9"/>
  <c r="F79" i="9"/>
  <c r="E79" i="9"/>
  <c r="J78" i="9"/>
  <c r="I78" i="9"/>
  <c r="H78" i="9"/>
  <c r="G78" i="9"/>
  <c r="F78" i="9"/>
  <c r="E78" i="9"/>
  <c r="J77" i="9"/>
  <c r="I77" i="9"/>
  <c r="H77" i="9"/>
  <c r="G77" i="9"/>
  <c r="F77" i="9"/>
  <c r="F29" i="9" s="1"/>
  <c r="E77" i="9"/>
  <c r="E29" i="9" s="1"/>
  <c r="J76" i="9"/>
  <c r="I76" i="9"/>
  <c r="H76" i="9"/>
  <c r="G76" i="9"/>
  <c r="F76" i="9"/>
  <c r="E76" i="9"/>
  <c r="K75" i="9"/>
  <c r="J75" i="9"/>
  <c r="I75" i="9"/>
  <c r="H75" i="9"/>
  <c r="G75" i="9"/>
  <c r="F75" i="9"/>
  <c r="E75" i="9"/>
  <c r="K74" i="9"/>
  <c r="J74" i="9"/>
  <c r="I74" i="9"/>
  <c r="H74" i="9"/>
  <c r="H26" i="9" s="1"/>
  <c r="G74" i="9"/>
  <c r="G26" i="9" s="1"/>
  <c r="F74" i="9"/>
  <c r="E74" i="9"/>
  <c r="K73" i="9"/>
  <c r="J73" i="9"/>
  <c r="I73" i="9"/>
  <c r="H73" i="9"/>
  <c r="G73" i="9"/>
  <c r="F73" i="9"/>
  <c r="E73" i="9"/>
  <c r="K72" i="9"/>
  <c r="J72" i="9"/>
  <c r="I72" i="9"/>
  <c r="H72" i="9"/>
  <c r="G72" i="9"/>
  <c r="F72" i="9"/>
  <c r="E72" i="9"/>
  <c r="K71" i="9"/>
  <c r="J71" i="9"/>
  <c r="I71" i="9"/>
  <c r="H71" i="9"/>
  <c r="G71" i="9"/>
  <c r="F71" i="9"/>
  <c r="E71" i="9"/>
  <c r="K70" i="9"/>
  <c r="J70" i="9"/>
  <c r="I70" i="9"/>
  <c r="I22" i="9" s="1"/>
  <c r="H70" i="9"/>
  <c r="G70" i="9"/>
  <c r="F70" i="9"/>
  <c r="E70" i="9"/>
  <c r="K69" i="9"/>
  <c r="J69" i="9"/>
  <c r="I69" i="9"/>
  <c r="H69" i="9"/>
  <c r="G69" i="9"/>
  <c r="F69" i="9"/>
  <c r="E69" i="9"/>
  <c r="T68" i="9"/>
  <c r="S68" i="9"/>
  <c r="R68" i="9"/>
  <c r="Q68" i="9"/>
  <c r="P68" i="9"/>
  <c r="O68" i="9"/>
  <c r="N68" i="9"/>
  <c r="M68" i="9"/>
  <c r="L68" i="9"/>
  <c r="K68" i="9"/>
  <c r="J68" i="9"/>
  <c r="I68" i="9"/>
  <c r="H68" i="9"/>
  <c r="G68" i="9"/>
  <c r="F68" i="9"/>
  <c r="E68" i="9"/>
  <c r="J64" i="9"/>
  <c r="I64" i="9"/>
  <c r="H64" i="9"/>
  <c r="G64" i="9"/>
  <c r="F64" i="9"/>
  <c r="F32" i="9" s="1"/>
  <c r="E64" i="9"/>
  <c r="E32" i="9" s="1"/>
  <c r="J63" i="9"/>
  <c r="I63" i="9"/>
  <c r="H63" i="9"/>
  <c r="G63" i="9"/>
  <c r="F63" i="9"/>
  <c r="E63" i="9"/>
  <c r="J62" i="9"/>
  <c r="I62" i="9"/>
  <c r="H62" i="9"/>
  <c r="G62" i="9"/>
  <c r="F62" i="9"/>
  <c r="E62" i="9"/>
  <c r="J61" i="9"/>
  <c r="I61" i="9"/>
  <c r="H61" i="9"/>
  <c r="G61" i="9"/>
  <c r="F61" i="9"/>
  <c r="E61" i="9"/>
  <c r="J60" i="9"/>
  <c r="I60" i="9"/>
  <c r="H60" i="9"/>
  <c r="H28" i="9" s="1"/>
  <c r="G60" i="9"/>
  <c r="F60" i="9"/>
  <c r="E60" i="9"/>
  <c r="K59" i="9"/>
  <c r="J59" i="9"/>
  <c r="I59" i="9"/>
  <c r="H59" i="9"/>
  <c r="G59" i="9"/>
  <c r="F59" i="9"/>
  <c r="F27" i="9" s="1"/>
  <c r="E59" i="9"/>
  <c r="K58" i="9"/>
  <c r="J58" i="9"/>
  <c r="I58" i="9"/>
  <c r="H58" i="9"/>
  <c r="G58" i="9"/>
  <c r="F58" i="9"/>
  <c r="E58" i="9"/>
  <c r="K57" i="9"/>
  <c r="K25" i="9" s="1"/>
  <c r="J57" i="9"/>
  <c r="I57" i="9"/>
  <c r="H57" i="9"/>
  <c r="H25" i="9" s="1"/>
  <c r="G57" i="9"/>
  <c r="G25" i="9" s="1"/>
  <c r="F57" i="9"/>
  <c r="F25" i="9" s="1"/>
  <c r="E57" i="9"/>
  <c r="E25" i="9" s="1"/>
  <c r="K56" i="9"/>
  <c r="J56" i="9"/>
  <c r="I56" i="9"/>
  <c r="H56" i="9"/>
  <c r="G56" i="9"/>
  <c r="F56" i="9"/>
  <c r="E56" i="9"/>
  <c r="K55" i="9"/>
  <c r="J55" i="9"/>
  <c r="I55" i="9"/>
  <c r="H55" i="9"/>
  <c r="G55" i="9"/>
  <c r="F55" i="9"/>
  <c r="E55" i="9"/>
  <c r="K54" i="9"/>
  <c r="J54" i="9"/>
  <c r="I54" i="9"/>
  <c r="H54" i="9"/>
  <c r="G54" i="9"/>
  <c r="F54" i="9"/>
  <c r="F65" i="9" s="1"/>
  <c r="F10" i="9" s="1"/>
  <c r="E54" i="9"/>
  <c r="K53" i="9"/>
  <c r="J53" i="9"/>
  <c r="I53" i="9"/>
  <c r="H53" i="9"/>
  <c r="G53" i="9"/>
  <c r="F53" i="9"/>
  <c r="E53" i="9"/>
  <c r="T52" i="9"/>
  <c r="S52" i="9"/>
  <c r="R52" i="9"/>
  <c r="Q52" i="9"/>
  <c r="P52" i="9"/>
  <c r="O52" i="9"/>
  <c r="N52" i="9"/>
  <c r="M52" i="9"/>
  <c r="L52" i="9"/>
  <c r="K52" i="9"/>
  <c r="J52" i="9"/>
  <c r="I52" i="9"/>
  <c r="H52" i="9"/>
  <c r="G52" i="9"/>
  <c r="F52" i="9"/>
  <c r="E52" i="9"/>
  <c r="J48" i="9"/>
  <c r="I48" i="9"/>
  <c r="H48" i="9"/>
  <c r="G48" i="9"/>
  <c r="F48" i="9"/>
  <c r="E48" i="9"/>
  <c r="J47" i="9"/>
  <c r="I47" i="9"/>
  <c r="H47" i="9"/>
  <c r="G47" i="9"/>
  <c r="F47" i="9"/>
  <c r="E47" i="9"/>
  <c r="J46" i="9"/>
  <c r="I46" i="9"/>
  <c r="H46" i="9"/>
  <c r="G46" i="9"/>
  <c r="F46" i="9"/>
  <c r="F30" i="9" s="1"/>
  <c r="E46" i="9"/>
  <c r="J45" i="9"/>
  <c r="I45" i="9"/>
  <c r="H45" i="9"/>
  <c r="G45" i="9"/>
  <c r="F45" i="9"/>
  <c r="E45" i="9"/>
  <c r="J44" i="9"/>
  <c r="I44" i="9"/>
  <c r="H44" i="9"/>
  <c r="G44" i="9"/>
  <c r="F44" i="9"/>
  <c r="E44" i="9"/>
  <c r="K43" i="9"/>
  <c r="J43" i="9"/>
  <c r="I43" i="9"/>
  <c r="H43" i="9"/>
  <c r="G43" i="9"/>
  <c r="F43" i="9"/>
  <c r="E43" i="9"/>
  <c r="K42" i="9"/>
  <c r="J42" i="9"/>
  <c r="I42" i="9"/>
  <c r="H42" i="9"/>
  <c r="G42" i="9"/>
  <c r="F42" i="9"/>
  <c r="E42" i="9"/>
  <c r="K41" i="9"/>
  <c r="J41" i="9"/>
  <c r="I41" i="9"/>
  <c r="H41" i="9"/>
  <c r="G41" i="9"/>
  <c r="F41" i="9"/>
  <c r="E41" i="9"/>
  <c r="K40" i="9"/>
  <c r="J40" i="9"/>
  <c r="I40" i="9"/>
  <c r="H40" i="9"/>
  <c r="G40" i="9"/>
  <c r="F40" i="9"/>
  <c r="E40" i="9"/>
  <c r="K39" i="9"/>
  <c r="J39" i="9"/>
  <c r="I39" i="9"/>
  <c r="H39" i="9"/>
  <c r="G39" i="9"/>
  <c r="G23" i="9" s="1"/>
  <c r="F39" i="9"/>
  <c r="E39" i="9"/>
  <c r="K38" i="9"/>
  <c r="J38" i="9"/>
  <c r="I38" i="9"/>
  <c r="H38" i="9"/>
  <c r="G38" i="9"/>
  <c r="F38" i="9"/>
  <c r="E38" i="9"/>
  <c r="K37" i="9"/>
  <c r="K21" i="9" s="1"/>
  <c r="J37" i="9"/>
  <c r="J49" i="9" s="1"/>
  <c r="J7" i="9" s="1"/>
  <c r="I37" i="9"/>
  <c r="I49" i="9" s="1"/>
  <c r="I7" i="9" s="1"/>
  <c r="H37" i="9"/>
  <c r="G37" i="9"/>
  <c r="F37" i="9"/>
  <c r="E37" i="9"/>
  <c r="O36" i="9"/>
  <c r="I36" i="9"/>
  <c r="G31" i="9"/>
  <c r="F31" i="9"/>
  <c r="E31" i="9"/>
  <c r="J30" i="9"/>
  <c r="I30" i="9"/>
  <c r="H30" i="9"/>
  <c r="G30" i="9"/>
  <c r="J28" i="9"/>
  <c r="I28" i="9"/>
  <c r="J27" i="9"/>
  <c r="I27" i="9"/>
  <c r="H27" i="9"/>
  <c r="G27" i="9"/>
  <c r="F26" i="9"/>
  <c r="E26" i="9"/>
  <c r="I24" i="9"/>
  <c r="H24" i="9"/>
  <c r="G24" i="9"/>
  <c r="K23" i="9"/>
  <c r="J23" i="9"/>
  <c r="I23" i="9"/>
  <c r="H23" i="9"/>
  <c r="T20" i="9"/>
  <c r="T36" i="9" s="1"/>
  <c r="S20" i="9"/>
  <c r="S36" i="9" s="1"/>
  <c r="R20" i="9"/>
  <c r="R36" i="9" s="1"/>
  <c r="Q20" i="9"/>
  <c r="Q36" i="9" s="1"/>
  <c r="P20" i="9"/>
  <c r="P36" i="9" s="1"/>
  <c r="O20" i="9"/>
  <c r="N20" i="9"/>
  <c r="N36" i="9" s="1"/>
  <c r="M20" i="9"/>
  <c r="M36" i="9" s="1"/>
  <c r="L20" i="9"/>
  <c r="L36" i="9" s="1"/>
  <c r="K20" i="9"/>
  <c r="K36" i="9" s="1"/>
  <c r="J20" i="9"/>
  <c r="J36" i="9" s="1"/>
  <c r="I20" i="9"/>
  <c r="H20" i="9"/>
  <c r="H36" i="9" s="1"/>
  <c r="G20" i="9"/>
  <c r="G36" i="9" s="1"/>
  <c r="F20" i="9"/>
  <c r="F36" i="9" s="1"/>
  <c r="E20" i="9"/>
  <c r="E36" i="9" s="1"/>
  <c r="Q17" i="9"/>
  <c r="P17" i="9"/>
  <c r="O17" i="9"/>
  <c r="N17" i="9"/>
  <c r="M17" i="9"/>
  <c r="L17" i="9"/>
  <c r="K17" i="9"/>
  <c r="J17" i="9"/>
  <c r="I17" i="9"/>
  <c r="H17" i="9"/>
  <c r="J12" i="9"/>
  <c r="I12" i="9"/>
  <c r="H12" i="9"/>
  <c r="F12" i="9"/>
  <c r="E12" i="9"/>
  <c r="K9" i="9"/>
  <c r="K81" i="9" s="1"/>
  <c r="J5" i="9"/>
  <c r="H5" i="9"/>
  <c r="G5" i="9"/>
  <c r="K111" i="8"/>
  <c r="I110" i="8"/>
  <c r="C110" i="8"/>
  <c r="G107" i="8"/>
  <c r="I105" i="8"/>
  <c r="F105" i="8"/>
  <c r="E105" i="8"/>
  <c r="D105" i="8"/>
  <c r="C105" i="8"/>
  <c r="B102" i="8"/>
  <c r="K101" i="8"/>
  <c r="J101" i="8"/>
  <c r="I101" i="8"/>
  <c r="T100" i="8"/>
  <c r="E100" i="8"/>
  <c r="C100" i="8"/>
  <c r="J95" i="8"/>
  <c r="I95" i="8"/>
  <c r="H95" i="8"/>
  <c r="G95" i="8"/>
  <c r="F95" i="8"/>
  <c r="F94" i="8"/>
  <c r="E94" i="8"/>
  <c r="G92" i="8"/>
  <c r="H89" i="8"/>
  <c r="G89" i="8"/>
  <c r="F87" i="8"/>
  <c r="B87" i="8"/>
  <c r="K86" i="8"/>
  <c r="I86" i="8"/>
  <c r="I5" i="8" s="1"/>
  <c r="H86" i="8"/>
  <c r="H5" i="8" s="1"/>
  <c r="G86" i="8"/>
  <c r="G5" i="8" s="1"/>
  <c r="F86" i="8"/>
  <c r="F5" i="8" s="1"/>
  <c r="S85" i="8"/>
  <c r="S100" i="8" s="1"/>
  <c r="R85" i="8"/>
  <c r="R100" i="8" s="1"/>
  <c r="P85" i="8"/>
  <c r="P100" i="8" s="1"/>
  <c r="D85" i="8"/>
  <c r="D100" i="8" s="1"/>
  <c r="J81" i="8"/>
  <c r="F81" i="8"/>
  <c r="E80" i="8"/>
  <c r="D80" i="8"/>
  <c r="J79" i="8"/>
  <c r="I79" i="8"/>
  <c r="E78" i="8"/>
  <c r="C78" i="8"/>
  <c r="I77" i="8"/>
  <c r="H77" i="8"/>
  <c r="G77" i="8"/>
  <c r="J76" i="8"/>
  <c r="G76" i="8"/>
  <c r="G73" i="8"/>
  <c r="E73" i="8"/>
  <c r="D73" i="8"/>
  <c r="C73" i="8"/>
  <c r="B73" i="8"/>
  <c r="K72" i="8"/>
  <c r="J72" i="8"/>
  <c r="E71" i="8"/>
  <c r="H70" i="8"/>
  <c r="G70" i="8"/>
  <c r="N69" i="8"/>
  <c r="N85" i="8" s="1"/>
  <c r="N100" i="8" s="1"/>
  <c r="M69" i="8"/>
  <c r="M85" i="8" s="1"/>
  <c r="M100" i="8" s="1"/>
  <c r="L69" i="8"/>
  <c r="L85" i="8" s="1"/>
  <c r="L100" i="8" s="1"/>
  <c r="H69" i="8"/>
  <c r="H85" i="8" s="1"/>
  <c r="H100" i="8" s="1"/>
  <c r="G69" i="8"/>
  <c r="G85" i="8" s="1"/>
  <c r="G100" i="8" s="1"/>
  <c r="E69" i="8"/>
  <c r="E85" i="8" s="1"/>
  <c r="D69" i="8"/>
  <c r="C69" i="8"/>
  <c r="C85" i="8" s="1"/>
  <c r="B69" i="8"/>
  <c r="B85" i="8" s="1"/>
  <c r="B100" i="8" s="1"/>
  <c r="U66" i="8"/>
  <c r="T66" i="8"/>
  <c r="S66" i="8"/>
  <c r="R66" i="8"/>
  <c r="Q66" i="8"/>
  <c r="P66" i="8"/>
  <c r="O66" i="8"/>
  <c r="N66" i="8"/>
  <c r="M66" i="8"/>
  <c r="L66" i="8"/>
  <c r="K65" i="8"/>
  <c r="H63" i="8"/>
  <c r="F63" i="8"/>
  <c r="K62" i="8"/>
  <c r="I62" i="8"/>
  <c r="I30" i="8" s="1"/>
  <c r="H62" i="8"/>
  <c r="E62" i="8"/>
  <c r="D62" i="8"/>
  <c r="C62" i="8"/>
  <c r="K59" i="8"/>
  <c r="J57" i="8"/>
  <c r="I55" i="8"/>
  <c r="I23" i="8" s="1"/>
  <c r="H55" i="8"/>
  <c r="H23" i="8" s="1"/>
  <c r="G55" i="8"/>
  <c r="C55" i="8"/>
  <c r="B55" i="8"/>
  <c r="K54" i="8"/>
  <c r="J54" i="8"/>
  <c r="I54" i="8"/>
  <c r="H54" i="8"/>
  <c r="U53" i="8"/>
  <c r="U69" i="8" s="1"/>
  <c r="U85" i="8" s="1"/>
  <c r="U100" i="8" s="1"/>
  <c r="T53" i="8"/>
  <c r="T69" i="8" s="1"/>
  <c r="T85" i="8" s="1"/>
  <c r="S53" i="8"/>
  <c r="S69" i="8" s="1"/>
  <c r="R53" i="8"/>
  <c r="R69" i="8" s="1"/>
  <c r="Q53" i="8"/>
  <c r="Q69" i="8" s="1"/>
  <c r="Q85" i="8" s="1"/>
  <c r="Q100" i="8" s="1"/>
  <c r="P53" i="8"/>
  <c r="P69" i="8" s="1"/>
  <c r="O53" i="8"/>
  <c r="O69" i="8" s="1"/>
  <c r="O85" i="8" s="1"/>
  <c r="O100" i="8" s="1"/>
  <c r="N53" i="8"/>
  <c r="M53" i="8"/>
  <c r="L53" i="8"/>
  <c r="K53" i="8"/>
  <c r="K69" i="8" s="1"/>
  <c r="K85" i="8" s="1"/>
  <c r="K100" i="8" s="1"/>
  <c r="J53" i="8"/>
  <c r="J69" i="8" s="1"/>
  <c r="J85" i="8" s="1"/>
  <c r="J100" i="8" s="1"/>
  <c r="I53" i="8"/>
  <c r="I69" i="8" s="1"/>
  <c r="I85" i="8" s="1"/>
  <c r="I100" i="8" s="1"/>
  <c r="H53" i="8"/>
  <c r="G53" i="8"/>
  <c r="F53" i="8"/>
  <c r="F69" i="8" s="1"/>
  <c r="F85" i="8" s="1"/>
  <c r="F100" i="8" s="1"/>
  <c r="E53" i="8"/>
  <c r="D53" i="8"/>
  <c r="C53" i="8"/>
  <c r="B53" i="8"/>
  <c r="U50" i="8"/>
  <c r="T50" i="8"/>
  <c r="S50" i="8"/>
  <c r="R50" i="8"/>
  <c r="Q50" i="8"/>
  <c r="P50" i="8"/>
  <c r="O50" i="8"/>
  <c r="N50" i="8"/>
  <c r="M50" i="8"/>
  <c r="L50" i="8"/>
  <c r="I49" i="8"/>
  <c r="E49" i="8"/>
  <c r="D49" i="8"/>
  <c r="C49" i="8"/>
  <c r="B49" i="8"/>
  <c r="K48" i="8"/>
  <c r="J48" i="8"/>
  <c r="I48" i="8"/>
  <c r="H48" i="8"/>
  <c r="G47" i="8"/>
  <c r="G31" i="8" s="1"/>
  <c r="K46" i="8"/>
  <c r="J44" i="8"/>
  <c r="E44" i="8"/>
  <c r="H42" i="8"/>
  <c r="G41" i="8"/>
  <c r="G25" i="8" s="1"/>
  <c r="F41" i="8"/>
  <c r="U37" i="8"/>
  <c r="T37" i="8"/>
  <c r="S37" i="8"/>
  <c r="R37" i="8"/>
  <c r="Q37" i="8"/>
  <c r="P37" i="8"/>
  <c r="O37" i="8"/>
  <c r="N37" i="8"/>
  <c r="L37" i="8"/>
  <c r="E37" i="8"/>
  <c r="D37" i="8"/>
  <c r="U34" i="8"/>
  <c r="T34" i="8"/>
  <c r="S34" i="8"/>
  <c r="R34" i="8"/>
  <c r="Q34" i="8"/>
  <c r="P34" i="8"/>
  <c r="O34" i="8"/>
  <c r="N34" i="8"/>
  <c r="M34" i="8"/>
  <c r="L34" i="8"/>
  <c r="F33" i="8"/>
  <c r="J30" i="8"/>
  <c r="K26" i="8"/>
  <c r="J26" i="8"/>
  <c r="I26" i="8"/>
  <c r="H26" i="8"/>
  <c r="U21" i="8"/>
  <c r="T21" i="8"/>
  <c r="S21" i="8"/>
  <c r="R21" i="8"/>
  <c r="Q21" i="8"/>
  <c r="P21" i="8"/>
  <c r="O21" i="8"/>
  <c r="N21" i="8"/>
  <c r="M21" i="8"/>
  <c r="M37" i="8" s="1"/>
  <c r="L21" i="8"/>
  <c r="K21" i="8"/>
  <c r="K37" i="8" s="1"/>
  <c r="J21" i="8"/>
  <c r="J37" i="8" s="1"/>
  <c r="I21" i="8"/>
  <c r="I37" i="8" s="1"/>
  <c r="H21" i="8"/>
  <c r="H37" i="8" s="1"/>
  <c r="G21" i="8"/>
  <c r="G37" i="8" s="1"/>
  <c r="F21" i="8"/>
  <c r="F37" i="8" s="1"/>
  <c r="E21" i="8"/>
  <c r="D21" i="8"/>
  <c r="C21" i="8"/>
  <c r="C37" i="8" s="1"/>
  <c r="B21" i="8"/>
  <c r="B37" i="8" s="1"/>
  <c r="H18" i="8"/>
  <c r="I18" i="8" s="1"/>
  <c r="J18" i="8" s="1"/>
  <c r="K18" i="8" s="1"/>
  <c r="G18" i="8"/>
  <c r="R16" i="8"/>
  <c r="S16" i="8" s="1"/>
  <c r="T16" i="8" s="1"/>
  <c r="U16" i="8" s="1"/>
  <c r="V16" i="8" s="1"/>
  <c r="N16" i="8"/>
  <c r="O16" i="8" s="1"/>
  <c r="P16" i="8" s="1"/>
  <c r="M16" i="8"/>
  <c r="M14" i="8"/>
  <c r="M13" i="8"/>
  <c r="J12" i="8"/>
  <c r="K5" i="8" s="1"/>
  <c r="J10" i="8"/>
  <c r="I10" i="8"/>
  <c r="H10" i="8"/>
  <c r="G10" i="8"/>
  <c r="F10" i="8"/>
  <c r="E10" i="8"/>
  <c r="D10" i="8"/>
  <c r="C10" i="8"/>
  <c r="B10" i="8"/>
  <c r="I8" i="8"/>
  <c r="H8" i="8"/>
  <c r="G8" i="8"/>
  <c r="F8" i="8"/>
  <c r="E8" i="8"/>
  <c r="D8" i="8"/>
  <c r="C8" i="8"/>
  <c r="B8" i="8"/>
  <c r="J7" i="8"/>
  <c r="J8" i="8" s="1"/>
  <c r="I7" i="8"/>
  <c r="H7" i="8"/>
  <c r="G7" i="8"/>
  <c r="F7" i="8"/>
  <c r="E7" i="8"/>
  <c r="D7" i="8"/>
  <c r="C7" i="8"/>
  <c r="B7" i="8"/>
  <c r="J6" i="8"/>
  <c r="I6" i="8"/>
  <c r="H6" i="8"/>
  <c r="G6" i="8"/>
  <c r="F6" i="8"/>
  <c r="E6" i="8"/>
  <c r="D6" i="8"/>
  <c r="C6" i="8"/>
  <c r="B6" i="8"/>
  <c r="D5" i="8"/>
  <c r="S131" i="7"/>
  <c r="R131" i="7"/>
  <c r="Q131" i="7"/>
  <c r="P131" i="7"/>
  <c r="O131" i="7"/>
  <c r="M131" i="7"/>
  <c r="U130" i="7"/>
  <c r="T130" i="7"/>
  <c r="S130" i="7"/>
  <c r="R130" i="7"/>
  <c r="Q130" i="7"/>
  <c r="P130" i="7"/>
  <c r="O130" i="7"/>
  <c r="N130" i="7"/>
  <c r="M130" i="7"/>
  <c r="L130" i="7"/>
  <c r="K130" i="7"/>
  <c r="U129" i="7"/>
  <c r="T129" i="7"/>
  <c r="S129" i="7"/>
  <c r="R129" i="7"/>
  <c r="Q129" i="7"/>
  <c r="P129" i="7"/>
  <c r="O129" i="7"/>
  <c r="N129" i="7"/>
  <c r="M129" i="7"/>
  <c r="L129" i="7"/>
  <c r="K129" i="7"/>
  <c r="H129" i="7"/>
  <c r="F129" i="7"/>
  <c r="U128" i="7"/>
  <c r="T128" i="7"/>
  <c r="S128" i="7"/>
  <c r="R128" i="7"/>
  <c r="Q128" i="7"/>
  <c r="P128" i="7"/>
  <c r="O128" i="7"/>
  <c r="N128" i="7"/>
  <c r="M128" i="7"/>
  <c r="L128" i="7"/>
  <c r="K128" i="7"/>
  <c r="J128" i="7"/>
  <c r="I128" i="7"/>
  <c r="U127" i="7"/>
  <c r="T127" i="7"/>
  <c r="S127" i="7"/>
  <c r="R127" i="7"/>
  <c r="Q127" i="7"/>
  <c r="P127" i="7"/>
  <c r="O127" i="7"/>
  <c r="N127" i="7"/>
  <c r="M127" i="7"/>
  <c r="L127" i="7"/>
  <c r="K127" i="7"/>
  <c r="U126" i="7"/>
  <c r="T126" i="7"/>
  <c r="S126" i="7"/>
  <c r="R126" i="7"/>
  <c r="Q126" i="7"/>
  <c r="P126" i="7"/>
  <c r="O126" i="7"/>
  <c r="N126" i="7"/>
  <c r="M126" i="7"/>
  <c r="L126" i="7"/>
  <c r="K126" i="7"/>
  <c r="F126" i="7"/>
  <c r="E126" i="7"/>
  <c r="U125" i="7"/>
  <c r="T125" i="7"/>
  <c r="S125" i="7"/>
  <c r="R125" i="7"/>
  <c r="Q125" i="7"/>
  <c r="P125" i="7"/>
  <c r="O125" i="7"/>
  <c r="N125" i="7"/>
  <c r="M125" i="7"/>
  <c r="L125" i="7"/>
  <c r="K125" i="7"/>
  <c r="G125" i="7"/>
  <c r="E125" i="7"/>
  <c r="U124" i="7"/>
  <c r="T124" i="7"/>
  <c r="S124" i="7"/>
  <c r="R124" i="7"/>
  <c r="Q124" i="7"/>
  <c r="P124" i="7"/>
  <c r="O124" i="7"/>
  <c r="N124" i="7"/>
  <c r="M124" i="7"/>
  <c r="L124" i="7"/>
  <c r="K124" i="7"/>
  <c r="J124" i="7"/>
  <c r="I124" i="7"/>
  <c r="H124" i="7"/>
  <c r="U123" i="7"/>
  <c r="T123" i="7"/>
  <c r="S123" i="7"/>
  <c r="R123" i="7"/>
  <c r="Q123" i="7"/>
  <c r="P123" i="7"/>
  <c r="O123" i="7"/>
  <c r="N123" i="7"/>
  <c r="M123" i="7"/>
  <c r="L123" i="7"/>
  <c r="K123" i="7"/>
  <c r="J123" i="7"/>
  <c r="I123" i="7"/>
  <c r="H123" i="7"/>
  <c r="G123" i="7"/>
  <c r="F123" i="7"/>
  <c r="E123" i="7"/>
  <c r="U122" i="7"/>
  <c r="T122" i="7"/>
  <c r="S122" i="7"/>
  <c r="R122" i="7"/>
  <c r="Q122" i="7"/>
  <c r="P122" i="7"/>
  <c r="O122" i="7"/>
  <c r="N122" i="7"/>
  <c r="M122" i="7"/>
  <c r="L122" i="7"/>
  <c r="U121" i="7"/>
  <c r="T121" i="7"/>
  <c r="S121" i="7"/>
  <c r="R121" i="7"/>
  <c r="Q121" i="7"/>
  <c r="P121" i="7"/>
  <c r="O121" i="7"/>
  <c r="N121" i="7"/>
  <c r="M121" i="7"/>
  <c r="L121" i="7"/>
  <c r="K121" i="7"/>
  <c r="J121" i="7"/>
  <c r="U120" i="7"/>
  <c r="T120" i="7"/>
  <c r="S120" i="7"/>
  <c r="R120" i="7"/>
  <c r="Q120" i="7"/>
  <c r="P120" i="7"/>
  <c r="O120" i="7"/>
  <c r="N120" i="7"/>
  <c r="M120" i="7"/>
  <c r="L120" i="7"/>
  <c r="I120" i="7"/>
  <c r="H120" i="7"/>
  <c r="G120" i="7"/>
  <c r="F120" i="7"/>
  <c r="E120" i="7"/>
  <c r="U119" i="7"/>
  <c r="U131" i="7" s="1"/>
  <c r="T119" i="7"/>
  <c r="T131" i="7" s="1"/>
  <c r="S119" i="7"/>
  <c r="R119" i="7"/>
  <c r="Q119" i="7"/>
  <c r="P119" i="7"/>
  <c r="O119" i="7"/>
  <c r="N119" i="7"/>
  <c r="N131" i="7" s="1"/>
  <c r="M119" i="7"/>
  <c r="L119" i="7"/>
  <c r="L131" i="7" s="1"/>
  <c r="J119" i="7"/>
  <c r="J131" i="7" s="1"/>
  <c r="I119" i="7"/>
  <c r="I131" i="7" s="1"/>
  <c r="H119" i="7"/>
  <c r="H131" i="7" s="1"/>
  <c r="U118" i="7"/>
  <c r="T118" i="7"/>
  <c r="S118" i="7"/>
  <c r="R118" i="7"/>
  <c r="Q118" i="7"/>
  <c r="P118" i="7"/>
  <c r="O118" i="7"/>
  <c r="N118" i="7"/>
  <c r="M118" i="7"/>
  <c r="L118" i="7"/>
  <c r="K118" i="7"/>
  <c r="J118" i="7"/>
  <c r="I118" i="7"/>
  <c r="H118" i="7"/>
  <c r="G118" i="7"/>
  <c r="F118" i="7"/>
  <c r="E118" i="7"/>
  <c r="J116" i="7"/>
  <c r="J117" i="7" s="1"/>
  <c r="I116" i="7"/>
  <c r="I117" i="7" s="1"/>
  <c r="H116" i="7"/>
  <c r="H117" i="7" s="1"/>
  <c r="G116" i="7"/>
  <c r="F116" i="7"/>
  <c r="F117" i="7" s="1"/>
  <c r="E116" i="7"/>
  <c r="E117" i="7" s="1"/>
  <c r="U115" i="7"/>
  <c r="T115" i="7"/>
  <c r="S115" i="7"/>
  <c r="R115" i="7"/>
  <c r="Q115" i="7"/>
  <c r="P115" i="7"/>
  <c r="O115" i="7"/>
  <c r="N115" i="7"/>
  <c r="M115" i="7"/>
  <c r="L115" i="7"/>
  <c r="K115" i="7"/>
  <c r="J115" i="7"/>
  <c r="I115" i="7"/>
  <c r="H115" i="7"/>
  <c r="G115" i="7"/>
  <c r="F115" i="7"/>
  <c r="E115" i="7"/>
  <c r="U102" i="7"/>
  <c r="T102" i="7"/>
  <c r="S102" i="7"/>
  <c r="R102" i="7"/>
  <c r="Q102" i="7"/>
  <c r="P102" i="7"/>
  <c r="O102" i="7"/>
  <c r="N102" i="7"/>
  <c r="M102" i="7"/>
  <c r="L102" i="7"/>
  <c r="K102" i="7"/>
  <c r="J102" i="7"/>
  <c r="I102" i="7"/>
  <c r="H102" i="7"/>
  <c r="G102" i="7"/>
  <c r="F102" i="7"/>
  <c r="E102" i="7"/>
  <c r="E99" i="7"/>
  <c r="J98" i="7"/>
  <c r="I98" i="7"/>
  <c r="H98" i="7"/>
  <c r="G98" i="7"/>
  <c r="F98" i="7"/>
  <c r="E98" i="7"/>
  <c r="J97" i="7"/>
  <c r="I97" i="7"/>
  <c r="H97" i="7"/>
  <c r="G97" i="7"/>
  <c r="F97" i="7"/>
  <c r="E97" i="7"/>
  <c r="J96" i="7"/>
  <c r="I96" i="7"/>
  <c r="H96" i="7"/>
  <c r="G96" i="7"/>
  <c r="F96" i="7"/>
  <c r="E96" i="7"/>
  <c r="J95" i="7"/>
  <c r="I95" i="7"/>
  <c r="H95" i="7"/>
  <c r="G95" i="7"/>
  <c r="F95" i="7"/>
  <c r="E95" i="7"/>
  <c r="J94" i="7"/>
  <c r="I94" i="7"/>
  <c r="H94" i="7"/>
  <c r="G94" i="7"/>
  <c r="F94" i="7"/>
  <c r="E94" i="7"/>
  <c r="J93" i="7"/>
  <c r="I93" i="7"/>
  <c r="H93" i="7"/>
  <c r="G93" i="7"/>
  <c r="F93" i="7"/>
  <c r="E93" i="7"/>
  <c r="J92" i="7"/>
  <c r="I92" i="7"/>
  <c r="H92" i="7"/>
  <c r="G92" i="7"/>
  <c r="F92" i="7"/>
  <c r="E92" i="7"/>
  <c r="J91" i="7"/>
  <c r="I91" i="7"/>
  <c r="H91" i="7"/>
  <c r="G91" i="7"/>
  <c r="F91" i="7"/>
  <c r="E91" i="7"/>
  <c r="K90" i="7"/>
  <c r="J90" i="7"/>
  <c r="I90" i="7"/>
  <c r="H90" i="7"/>
  <c r="G90" i="7"/>
  <c r="F90" i="7"/>
  <c r="E90" i="7"/>
  <c r="K89" i="7"/>
  <c r="J89" i="7"/>
  <c r="I89" i="7"/>
  <c r="H89" i="7"/>
  <c r="G89" i="7"/>
  <c r="F89" i="7"/>
  <c r="E89" i="7"/>
  <c r="K88" i="7"/>
  <c r="J88" i="7"/>
  <c r="I88" i="7"/>
  <c r="H88" i="7"/>
  <c r="G88" i="7"/>
  <c r="F88" i="7"/>
  <c r="E88" i="7"/>
  <c r="K87" i="7"/>
  <c r="J87" i="7"/>
  <c r="I87" i="7"/>
  <c r="I99" i="7" s="1"/>
  <c r="H87" i="7"/>
  <c r="H99" i="7" s="1"/>
  <c r="G87" i="7"/>
  <c r="G99" i="7" s="1"/>
  <c r="F87" i="7"/>
  <c r="F99" i="7" s="1"/>
  <c r="E87" i="7"/>
  <c r="U86" i="7"/>
  <c r="T86" i="7"/>
  <c r="S86" i="7"/>
  <c r="R86" i="7"/>
  <c r="Q86" i="7"/>
  <c r="P86" i="7"/>
  <c r="O86" i="7"/>
  <c r="N86" i="7"/>
  <c r="M86" i="7"/>
  <c r="L86" i="7"/>
  <c r="K86" i="7"/>
  <c r="J86" i="7"/>
  <c r="I86" i="7"/>
  <c r="H86" i="7"/>
  <c r="G86" i="7"/>
  <c r="F86" i="7"/>
  <c r="E86" i="7"/>
  <c r="J83" i="7"/>
  <c r="J10" i="7" s="1"/>
  <c r="K3" i="7" s="1"/>
  <c r="K55" i="7" s="1"/>
  <c r="I83" i="7"/>
  <c r="I10" i="7" s="1"/>
  <c r="J3" i="7" s="1"/>
  <c r="J55" i="7" s="1"/>
  <c r="J67" i="7" s="1"/>
  <c r="J7" i="7" s="1"/>
  <c r="J99" i="7" s="1"/>
  <c r="H83" i="7"/>
  <c r="H10" i="7" s="1"/>
  <c r="I3" i="7" s="1"/>
  <c r="I55" i="7" s="1"/>
  <c r="I67" i="7" s="1"/>
  <c r="I7" i="7" s="1"/>
  <c r="I9" i="7" s="1"/>
  <c r="G83" i="7"/>
  <c r="F83" i="7"/>
  <c r="E83" i="7"/>
  <c r="J82" i="7"/>
  <c r="I82" i="7"/>
  <c r="H82" i="7"/>
  <c r="G82" i="7"/>
  <c r="F82" i="7"/>
  <c r="E82" i="7"/>
  <c r="J81" i="7"/>
  <c r="I81" i="7"/>
  <c r="H81" i="7"/>
  <c r="G81" i="7"/>
  <c r="F81" i="7"/>
  <c r="E81" i="7"/>
  <c r="E65" i="7" s="1"/>
  <c r="J80" i="7"/>
  <c r="I80" i="7"/>
  <c r="H80" i="7"/>
  <c r="G80" i="7"/>
  <c r="F80" i="7"/>
  <c r="E80" i="7"/>
  <c r="J79" i="7"/>
  <c r="I79" i="7"/>
  <c r="H79" i="7"/>
  <c r="G79" i="7"/>
  <c r="F79" i="7"/>
  <c r="E79" i="7"/>
  <c r="E63" i="7" s="1"/>
  <c r="J78" i="7"/>
  <c r="I78" i="7"/>
  <c r="H78" i="7"/>
  <c r="G78" i="7"/>
  <c r="F78" i="7"/>
  <c r="E78" i="7"/>
  <c r="J77" i="7"/>
  <c r="I77" i="7"/>
  <c r="H77" i="7"/>
  <c r="H61" i="7" s="1"/>
  <c r="G77" i="7"/>
  <c r="G61" i="7" s="1"/>
  <c r="F77" i="7"/>
  <c r="E77" i="7"/>
  <c r="J76" i="7"/>
  <c r="I76" i="7"/>
  <c r="H76" i="7"/>
  <c r="G76" i="7"/>
  <c r="F76" i="7"/>
  <c r="F60" i="7" s="1"/>
  <c r="E76" i="7"/>
  <c r="K75" i="7"/>
  <c r="J75" i="7"/>
  <c r="I75" i="7"/>
  <c r="H75" i="7"/>
  <c r="G75" i="7"/>
  <c r="G59" i="7" s="1"/>
  <c r="F75" i="7"/>
  <c r="E75" i="7"/>
  <c r="K74" i="7"/>
  <c r="K58" i="7" s="1"/>
  <c r="J74" i="7"/>
  <c r="J58" i="7" s="1"/>
  <c r="I74" i="7"/>
  <c r="H74" i="7"/>
  <c r="G74" i="7"/>
  <c r="F74" i="7"/>
  <c r="E74" i="7"/>
  <c r="K73" i="7"/>
  <c r="J73" i="7"/>
  <c r="I73" i="7"/>
  <c r="I57" i="7" s="1"/>
  <c r="H73" i="7"/>
  <c r="G73" i="7"/>
  <c r="F73" i="7"/>
  <c r="E73" i="7"/>
  <c r="E57" i="7" s="1"/>
  <c r="K72" i="7"/>
  <c r="J72" i="7"/>
  <c r="I72" i="7"/>
  <c r="I56" i="7" s="1"/>
  <c r="H72" i="7"/>
  <c r="G72" i="7"/>
  <c r="F72" i="7"/>
  <c r="F56" i="7" s="1"/>
  <c r="E72" i="7"/>
  <c r="E56" i="7" s="1"/>
  <c r="U71" i="7"/>
  <c r="T71" i="7"/>
  <c r="S71" i="7"/>
  <c r="R71" i="7"/>
  <c r="Q71" i="7"/>
  <c r="P71" i="7"/>
  <c r="O71" i="7"/>
  <c r="N71" i="7"/>
  <c r="M71" i="7"/>
  <c r="L71" i="7"/>
  <c r="K71" i="7"/>
  <c r="J71" i="7"/>
  <c r="I71" i="7"/>
  <c r="H71" i="7"/>
  <c r="G71" i="7"/>
  <c r="F71" i="7"/>
  <c r="E71" i="7"/>
  <c r="J66" i="7"/>
  <c r="I66" i="7"/>
  <c r="G66" i="7"/>
  <c r="F66" i="7"/>
  <c r="E66" i="7"/>
  <c r="H65" i="7"/>
  <c r="G65" i="7"/>
  <c r="F65" i="7"/>
  <c r="H63" i="7"/>
  <c r="G63" i="7"/>
  <c r="F61" i="7"/>
  <c r="E61" i="7"/>
  <c r="G60" i="7"/>
  <c r="I58" i="7"/>
  <c r="H58" i="7"/>
  <c r="E58" i="7"/>
  <c r="H57" i="7"/>
  <c r="J56" i="7"/>
  <c r="H56" i="7"/>
  <c r="U54" i="7"/>
  <c r="T54" i="7"/>
  <c r="S54" i="7"/>
  <c r="R54" i="7"/>
  <c r="Q54" i="7"/>
  <c r="P54" i="7"/>
  <c r="O54" i="7"/>
  <c r="N54" i="7"/>
  <c r="M54" i="7"/>
  <c r="L54" i="7"/>
  <c r="K54" i="7"/>
  <c r="J54" i="7"/>
  <c r="I54" i="7"/>
  <c r="H54" i="7"/>
  <c r="G54" i="7"/>
  <c r="F54" i="7"/>
  <c r="E54" i="7"/>
  <c r="D54" i="7"/>
  <c r="C54" i="7"/>
  <c r="B54" i="7"/>
  <c r="U51" i="7"/>
  <c r="T51" i="7"/>
  <c r="S51" i="7"/>
  <c r="R51" i="7"/>
  <c r="Q51" i="7"/>
  <c r="P51" i="7"/>
  <c r="O51" i="7"/>
  <c r="N51" i="7"/>
  <c r="M51" i="7"/>
  <c r="L51" i="7"/>
  <c r="K51" i="7"/>
  <c r="J51" i="7"/>
  <c r="I51" i="7"/>
  <c r="H51" i="7"/>
  <c r="H5" i="7" s="1"/>
  <c r="G51" i="7"/>
  <c r="F51" i="7"/>
  <c r="F5" i="7" s="1"/>
  <c r="E51" i="7"/>
  <c r="E5" i="7" s="1"/>
  <c r="U50" i="7"/>
  <c r="J50" i="7"/>
  <c r="I50" i="7"/>
  <c r="H50" i="7"/>
  <c r="G50" i="7"/>
  <c r="F50" i="7"/>
  <c r="E50" i="7"/>
  <c r="J49" i="7"/>
  <c r="O49" i="7" s="1"/>
  <c r="T49" i="7" s="1"/>
  <c r="I49" i="7"/>
  <c r="H49" i="7"/>
  <c r="G49" i="7"/>
  <c r="F49" i="7"/>
  <c r="E49" i="7"/>
  <c r="J48" i="7"/>
  <c r="O48" i="7" s="1"/>
  <c r="I48" i="7"/>
  <c r="N48" i="7" s="1"/>
  <c r="H48" i="7"/>
  <c r="G48" i="7"/>
  <c r="F48" i="7"/>
  <c r="E48" i="7"/>
  <c r="J47" i="7"/>
  <c r="I47" i="7"/>
  <c r="H47" i="7"/>
  <c r="G47" i="7"/>
  <c r="F47" i="7"/>
  <c r="F63" i="7" s="1"/>
  <c r="E47" i="7"/>
  <c r="J46" i="7"/>
  <c r="O46" i="7" s="1"/>
  <c r="I46" i="7"/>
  <c r="N46" i="7" s="1"/>
  <c r="H46" i="7"/>
  <c r="H62" i="7" s="1"/>
  <c r="G46" i="7"/>
  <c r="G62" i="7" s="1"/>
  <c r="F46" i="7"/>
  <c r="F62" i="7" s="1"/>
  <c r="E46" i="7"/>
  <c r="E62" i="7" s="1"/>
  <c r="J45" i="7"/>
  <c r="I45" i="7"/>
  <c r="H45" i="7"/>
  <c r="G45" i="7"/>
  <c r="F45" i="7"/>
  <c r="E45" i="7"/>
  <c r="J44" i="7"/>
  <c r="I44" i="7"/>
  <c r="H44" i="7"/>
  <c r="G44" i="7"/>
  <c r="F44" i="7"/>
  <c r="E44" i="7"/>
  <c r="J43" i="7"/>
  <c r="J59" i="7" s="1"/>
  <c r="I43" i="7"/>
  <c r="H43" i="7"/>
  <c r="H59" i="7" s="1"/>
  <c r="G43" i="7"/>
  <c r="L43" i="7" s="1"/>
  <c r="Q43" i="7" s="1"/>
  <c r="F43" i="7"/>
  <c r="E43" i="7"/>
  <c r="K42" i="7"/>
  <c r="J42" i="7"/>
  <c r="I42" i="7"/>
  <c r="H42" i="7"/>
  <c r="G42" i="7"/>
  <c r="F42" i="7"/>
  <c r="E42" i="7"/>
  <c r="M41" i="7"/>
  <c r="R41" i="7" s="1"/>
  <c r="L41" i="7"/>
  <c r="K41" i="7"/>
  <c r="J41" i="7"/>
  <c r="I41" i="7"/>
  <c r="H41" i="7"/>
  <c r="G41" i="7"/>
  <c r="F41" i="7"/>
  <c r="E41" i="7"/>
  <c r="K40" i="7"/>
  <c r="J40" i="7"/>
  <c r="I40" i="7"/>
  <c r="H40" i="7"/>
  <c r="G40" i="7"/>
  <c r="F40" i="7"/>
  <c r="E40" i="7"/>
  <c r="P39" i="7"/>
  <c r="U39" i="7" s="1"/>
  <c r="O39" i="7"/>
  <c r="O50" i="7" s="1"/>
  <c r="N39" i="7"/>
  <c r="N50" i="7" s="1"/>
  <c r="K39" i="7"/>
  <c r="J39" i="7"/>
  <c r="I39" i="7"/>
  <c r="H39" i="7"/>
  <c r="G39" i="7"/>
  <c r="F39" i="7"/>
  <c r="E39" i="7"/>
  <c r="U38" i="7"/>
  <c r="T38" i="7"/>
  <c r="S38" i="7"/>
  <c r="R38" i="7"/>
  <c r="Q38" i="7"/>
  <c r="P38" i="7"/>
  <c r="O38" i="7"/>
  <c r="N38" i="7"/>
  <c r="M38" i="7"/>
  <c r="L38" i="7"/>
  <c r="K38" i="7"/>
  <c r="J38" i="7"/>
  <c r="I38" i="7"/>
  <c r="H38" i="7"/>
  <c r="G38" i="7"/>
  <c r="F38" i="7"/>
  <c r="E38" i="7"/>
  <c r="D38" i="7"/>
  <c r="C38" i="7"/>
  <c r="B38" i="7"/>
  <c r="U35" i="7"/>
  <c r="T35" i="7"/>
  <c r="S35" i="7"/>
  <c r="S4" i="7" s="1"/>
  <c r="R35" i="7"/>
  <c r="R4" i="7" s="1"/>
  <c r="Q35" i="7"/>
  <c r="Q4" i="7" s="1"/>
  <c r="P35" i="7"/>
  <c r="O35" i="7"/>
  <c r="N35" i="7"/>
  <c r="M35" i="7"/>
  <c r="L35" i="7"/>
  <c r="K35" i="7"/>
  <c r="J35" i="7"/>
  <c r="I35" i="7"/>
  <c r="I4" i="7" s="1"/>
  <c r="H35" i="7"/>
  <c r="H4" i="7" s="1"/>
  <c r="G35" i="7"/>
  <c r="G4" i="7" s="1"/>
  <c r="J34" i="7"/>
  <c r="J130" i="7" s="1"/>
  <c r="I34" i="7"/>
  <c r="I130" i="7" s="1"/>
  <c r="H34" i="7"/>
  <c r="H130" i="7" s="1"/>
  <c r="G34" i="7"/>
  <c r="G130" i="7" s="1"/>
  <c r="F34" i="7"/>
  <c r="F130" i="7" s="1"/>
  <c r="E34" i="7"/>
  <c r="E130" i="7" s="1"/>
  <c r="J33" i="7"/>
  <c r="J129" i="7" s="1"/>
  <c r="I33" i="7"/>
  <c r="H33" i="7"/>
  <c r="G33" i="7"/>
  <c r="G129" i="7" s="1"/>
  <c r="F33" i="7"/>
  <c r="E33" i="7"/>
  <c r="E129" i="7" s="1"/>
  <c r="J32" i="7"/>
  <c r="I32" i="7"/>
  <c r="H32" i="7"/>
  <c r="H128" i="7" s="1"/>
  <c r="G32" i="7"/>
  <c r="F32" i="7"/>
  <c r="E32" i="7"/>
  <c r="J31" i="7"/>
  <c r="J127" i="7" s="1"/>
  <c r="I31" i="7"/>
  <c r="I127" i="7" s="1"/>
  <c r="H31" i="7"/>
  <c r="H127" i="7" s="1"/>
  <c r="G31" i="7"/>
  <c r="G127" i="7" s="1"/>
  <c r="F31" i="7"/>
  <c r="F127" i="7" s="1"/>
  <c r="E31" i="7"/>
  <c r="E127" i="7" s="1"/>
  <c r="J30" i="7"/>
  <c r="J126" i="7" s="1"/>
  <c r="I30" i="7"/>
  <c r="I126" i="7" s="1"/>
  <c r="H30" i="7"/>
  <c r="H126" i="7" s="1"/>
  <c r="G30" i="7"/>
  <c r="G126" i="7" s="1"/>
  <c r="F30" i="7"/>
  <c r="E30" i="7"/>
  <c r="J29" i="7"/>
  <c r="I29" i="7"/>
  <c r="H29" i="7"/>
  <c r="H125" i="7" s="1"/>
  <c r="G29" i="7"/>
  <c r="F29" i="7"/>
  <c r="F125" i="7" s="1"/>
  <c r="E29" i="7"/>
  <c r="J28" i="7"/>
  <c r="I28" i="7"/>
  <c r="H28" i="7"/>
  <c r="H60" i="7" s="1"/>
  <c r="G28" i="7"/>
  <c r="G124" i="7" s="1"/>
  <c r="F28" i="7"/>
  <c r="F124" i="7" s="1"/>
  <c r="E28" i="7"/>
  <c r="E124" i="7" s="1"/>
  <c r="J27" i="7"/>
  <c r="I27" i="7"/>
  <c r="I59" i="7" s="1"/>
  <c r="H27" i="7"/>
  <c r="G27" i="7"/>
  <c r="F27" i="7"/>
  <c r="E27" i="7"/>
  <c r="K26" i="7"/>
  <c r="K122" i="7" s="1"/>
  <c r="J26" i="7"/>
  <c r="J122" i="7" s="1"/>
  <c r="I26" i="7"/>
  <c r="I122" i="7" s="1"/>
  <c r="H26" i="7"/>
  <c r="H122" i="7" s="1"/>
  <c r="G26" i="7"/>
  <c r="G122" i="7" s="1"/>
  <c r="F26" i="7"/>
  <c r="F122" i="7" s="1"/>
  <c r="E26" i="7"/>
  <c r="E122" i="7" s="1"/>
  <c r="K25" i="7"/>
  <c r="J25" i="7"/>
  <c r="I25" i="7"/>
  <c r="I121" i="7" s="1"/>
  <c r="H25" i="7"/>
  <c r="H121" i="7" s="1"/>
  <c r="G25" i="7"/>
  <c r="F25" i="7"/>
  <c r="E25" i="7"/>
  <c r="E121" i="7" s="1"/>
  <c r="K24" i="7"/>
  <c r="K120" i="7" s="1"/>
  <c r="J24" i="7"/>
  <c r="J120" i="7" s="1"/>
  <c r="I24" i="7"/>
  <c r="H24" i="7"/>
  <c r="G24" i="7"/>
  <c r="F24" i="7"/>
  <c r="E24" i="7"/>
  <c r="K23" i="7"/>
  <c r="K119" i="7" s="1"/>
  <c r="K131" i="7" s="1"/>
  <c r="J23" i="7"/>
  <c r="I23" i="7"/>
  <c r="H23" i="7"/>
  <c r="G23" i="7"/>
  <c r="G119" i="7" s="1"/>
  <c r="G131" i="7" s="1"/>
  <c r="F23" i="7"/>
  <c r="F35" i="7" s="1"/>
  <c r="F4" i="7" s="1"/>
  <c r="E23" i="7"/>
  <c r="U22" i="7"/>
  <c r="T22" i="7"/>
  <c r="S22" i="7"/>
  <c r="R22" i="7"/>
  <c r="Q22" i="7"/>
  <c r="P22" i="7"/>
  <c r="O22" i="7"/>
  <c r="N22" i="7"/>
  <c r="M22" i="7"/>
  <c r="L22" i="7"/>
  <c r="K22" i="7"/>
  <c r="J22" i="7"/>
  <c r="I22" i="7"/>
  <c r="H22" i="7"/>
  <c r="G22" i="7"/>
  <c r="F22" i="7"/>
  <c r="E22" i="7"/>
  <c r="D22" i="7"/>
  <c r="C22" i="7"/>
  <c r="B22" i="7"/>
  <c r="G10" i="7"/>
  <c r="H3" i="7" s="1"/>
  <c r="F10" i="7"/>
  <c r="G3" i="7" s="1"/>
  <c r="E10" i="7"/>
  <c r="K9" i="7"/>
  <c r="U4" i="7"/>
  <c r="T4" i="7"/>
  <c r="P4" i="7"/>
  <c r="O4" i="7"/>
  <c r="N4" i="7"/>
  <c r="M4" i="7"/>
  <c r="L4" i="7"/>
  <c r="K4" i="7"/>
  <c r="K7" i="7" s="1"/>
  <c r="J4" i="7"/>
  <c r="E3" i="7"/>
  <c r="U102" i="6"/>
  <c r="T102" i="6"/>
  <c r="S102" i="6"/>
  <c r="R102" i="6"/>
  <c r="Q102" i="6"/>
  <c r="P102" i="6"/>
  <c r="O102" i="6"/>
  <c r="N102" i="6"/>
  <c r="M102" i="6"/>
  <c r="L102" i="6"/>
  <c r="K102" i="6"/>
  <c r="J102" i="6"/>
  <c r="I102" i="6"/>
  <c r="H102" i="6"/>
  <c r="G102" i="6"/>
  <c r="F102" i="6"/>
  <c r="E102" i="6"/>
  <c r="U87" i="6"/>
  <c r="T87" i="6"/>
  <c r="S87" i="6"/>
  <c r="R87" i="6"/>
  <c r="Q87" i="6"/>
  <c r="P87" i="6"/>
  <c r="O87" i="6"/>
  <c r="N87" i="6"/>
  <c r="M87" i="6"/>
  <c r="L87" i="6"/>
  <c r="K87" i="6"/>
  <c r="J87" i="6"/>
  <c r="I87" i="6"/>
  <c r="H87" i="6"/>
  <c r="G87" i="6"/>
  <c r="F87" i="6"/>
  <c r="E87" i="6"/>
  <c r="U71" i="6"/>
  <c r="T71" i="6"/>
  <c r="S71" i="6"/>
  <c r="R71" i="6"/>
  <c r="Q71" i="6"/>
  <c r="P71" i="6"/>
  <c r="O71" i="6"/>
  <c r="N71" i="6"/>
  <c r="M71" i="6"/>
  <c r="L71" i="6"/>
  <c r="K71" i="6"/>
  <c r="J71" i="6"/>
  <c r="I71" i="6"/>
  <c r="H71" i="6"/>
  <c r="G71" i="6"/>
  <c r="F71" i="6"/>
  <c r="E71" i="6"/>
  <c r="U68" i="6"/>
  <c r="T68" i="6"/>
  <c r="S68" i="6"/>
  <c r="R68" i="6"/>
  <c r="Q68" i="6"/>
  <c r="P68" i="6"/>
  <c r="O68" i="6"/>
  <c r="N68" i="6"/>
  <c r="M68" i="6"/>
  <c r="L68" i="6"/>
  <c r="K68" i="6"/>
  <c r="J68" i="6"/>
  <c r="I68" i="6"/>
  <c r="H68" i="6"/>
  <c r="H9" i="6" s="1"/>
  <c r="G68" i="6"/>
  <c r="G9" i="6" s="1"/>
  <c r="F68" i="6"/>
  <c r="F9" i="6" s="1"/>
  <c r="E68" i="6"/>
  <c r="E9" i="6" s="1"/>
  <c r="U55" i="6"/>
  <c r="T55" i="6"/>
  <c r="S55" i="6"/>
  <c r="R55" i="6"/>
  <c r="Q55" i="6"/>
  <c r="P55" i="6"/>
  <c r="O55" i="6"/>
  <c r="N55" i="6"/>
  <c r="M55" i="6"/>
  <c r="L55" i="6"/>
  <c r="K55" i="6"/>
  <c r="J55" i="6"/>
  <c r="I55" i="6"/>
  <c r="H55" i="6"/>
  <c r="G55" i="6"/>
  <c r="F55" i="6"/>
  <c r="E55" i="6"/>
  <c r="U39" i="6"/>
  <c r="T39" i="6"/>
  <c r="S39" i="6"/>
  <c r="R39" i="6"/>
  <c r="Q39" i="6"/>
  <c r="P39" i="6"/>
  <c r="O39" i="6"/>
  <c r="N39" i="6"/>
  <c r="M39" i="6"/>
  <c r="L39" i="6"/>
  <c r="K39" i="6"/>
  <c r="J39" i="6"/>
  <c r="I39" i="6"/>
  <c r="H39" i="6"/>
  <c r="G39" i="6"/>
  <c r="F39" i="6"/>
  <c r="E39" i="6"/>
  <c r="U23" i="6"/>
  <c r="T23" i="6"/>
  <c r="S23" i="6"/>
  <c r="R23" i="6"/>
  <c r="Q23" i="6"/>
  <c r="P23" i="6"/>
  <c r="O23" i="6"/>
  <c r="N23" i="6"/>
  <c r="M23" i="6"/>
  <c r="L23" i="6"/>
  <c r="K23" i="6"/>
  <c r="J23" i="6"/>
  <c r="I23" i="6"/>
  <c r="H23" i="6"/>
  <c r="G23" i="6"/>
  <c r="F23" i="6"/>
  <c r="E23" i="6"/>
  <c r="D23" i="6"/>
  <c r="C23" i="6"/>
  <c r="B23" i="6"/>
  <c r="J13" i="6"/>
  <c r="J11" i="6"/>
  <c r="I11" i="6"/>
  <c r="H11" i="6"/>
  <c r="G11" i="6"/>
  <c r="F11" i="6"/>
  <c r="E11" i="6"/>
  <c r="F3" i="6" s="1"/>
  <c r="J10" i="6"/>
  <c r="J7" i="6" s="1"/>
  <c r="J9" i="6"/>
  <c r="I9" i="6"/>
  <c r="J8" i="6"/>
  <c r="I8" i="6"/>
  <c r="H8" i="6"/>
  <c r="G8" i="6"/>
  <c r="F8" i="6"/>
  <c r="E8" i="6"/>
  <c r="E6" i="6"/>
  <c r="E10" i="6" s="1"/>
  <c r="E7" i="6" s="1"/>
  <c r="J5" i="6"/>
  <c r="I5" i="6"/>
  <c r="H5" i="6"/>
  <c r="G5" i="6"/>
  <c r="F5" i="6"/>
  <c r="E5" i="6"/>
  <c r="U4" i="6"/>
  <c r="T4" i="6"/>
  <c r="S4" i="6"/>
  <c r="R4" i="6"/>
  <c r="Q4" i="6"/>
  <c r="P4" i="6"/>
  <c r="O4" i="6"/>
  <c r="N4" i="6"/>
  <c r="M4" i="6"/>
  <c r="L4" i="6"/>
  <c r="K4" i="6"/>
  <c r="J4" i="6"/>
  <c r="I4" i="6"/>
  <c r="H4" i="6"/>
  <c r="H6" i="6" s="1"/>
  <c r="H10" i="6" s="1"/>
  <c r="H7" i="6" s="1"/>
  <c r="G4" i="6"/>
  <c r="F4" i="6"/>
  <c r="F6" i="6" s="1"/>
  <c r="F10" i="6" s="1"/>
  <c r="F7" i="6" s="1"/>
  <c r="E4" i="6"/>
  <c r="K3" i="6"/>
  <c r="K6" i="6" s="1"/>
  <c r="J3" i="6"/>
  <c r="J6" i="6" s="1"/>
  <c r="I3" i="6"/>
  <c r="H3" i="6"/>
  <c r="B135" i="5"/>
  <c r="B134" i="5"/>
  <c r="B133" i="5"/>
  <c r="B132" i="5"/>
  <c r="B131" i="5"/>
  <c r="B130" i="5"/>
  <c r="B129" i="5"/>
  <c r="B128" i="5"/>
  <c r="B127" i="5"/>
  <c r="B126" i="5"/>
  <c r="B125" i="5"/>
  <c r="B124" i="5"/>
  <c r="W123" i="5"/>
  <c r="K112" i="8" s="1"/>
  <c r="T123" i="5"/>
  <c r="K97" i="8" s="1"/>
  <c r="Q123" i="5"/>
  <c r="K81" i="8" s="1"/>
  <c r="N123" i="5"/>
  <c r="K123" i="5"/>
  <c r="H123" i="5"/>
  <c r="E123" i="5"/>
  <c r="K49" i="8" s="1"/>
  <c r="B123" i="5"/>
  <c r="W122" i="5"/>
  <c r="T122" i="5"/>
  <c r="K96" i="8" s="1"/>
  <c r="Q122" i="5"/>
  <c r="K80" i="8" s="1"/>
  <c r="N122" i="5"/>
  <c r="K122" i="5"/>
  <c r="H122" i="5"/>
  <c r="K64" i="8" s="1"/>
  <c r="E122" i="5"/>
  <c r="B122" i="5"/>
  <c r="W121" i="5"/>
  <c r="K110" i="8" s="1"/>
  <c r="T121" i="5"/>
  <c r="K95" i="8" s="1"/>
  <c r="Q121" i="5"/>
  <c r="K79" i="8" s="1"/>
  <c r="N121" i="5"/>
  <c r="K121" i="5"/>
  <c r="H121" i="5"/>
  <c r="K63" i="8" s="1"/>
  <c r="E121" i="5"/>
  <c r="K47" i="8" s="1"/>
  <c r="B121" i="5"/>
  <c r="W120" i="5"/>
  <c r="K109" i="8" s="1"/>
  <c r="K30" i="8" s="1"/>
  <c r="T120" i="5"/>
  <c r="K94" i="8" s="1"/>
  <c r="Q120" i="5"/>
  <c r="K78" i="8" s="1"/>
  <c r="N120" i="5"/>
  <c r="K120" i="5"/>
  <c r="H120" i="5"/>
  <c r="E120" i="5"/>
  <c r="B120" i="5"/>
  <c r="W119" i="5"/>
  <c r="K108" i="8" s="1"/>
  <c r="T119" i="5"/>
  <c r="K93" i="8" s="1"/>
  <c r="Q119" i="5"/>
  <c r="K77" i="8" s="1"/>
  <c r="N119" i="5"/>
  <c r="K119" i="5"/>
  <c r="H119" i="5"/>
  <c r="K61" i="8" s="1"/>
  <c r="E119" i="5"/>
  <c r="K45" i="8" s="1"/>
  <c r="B119" i="5"/>
  <c r="W118" i="5"/>
  <c r="K107" i="8" s="1"/>
  <c r="T118" i="5"/>
  <c r="K92" i="8" s="1"/>
  <c r="Q118" i="5"/>
  <c r="K76" i="8" s="1"/>
  <c r="N118" i="5"/>
  <c r="K118" i="5"/>
  <c r="H118" i="5"/>
  <c r="K60" i="8" s="1"/>
  <c r="E118" i="5"/>
  <c r="K44" i="8" s="1"/>
  <c r="B118" i="5"/>
  <c r="W117" i="5"/>
  <c r="K106" i="8" s="1"/>
  <c r="T117" i="5"/>
  <c r="K91" i="8" s="1"/>
  <c r="Q117" i="5"/>
  <c r="K75" i="8" s="1"/>
  <c r="N117" i="5"/>
  <c r="K117" i="5"/>
  <c r="H117" i="5"/>
  <c r="E117" i="5"/>
  <c r="K43" i="8" s="1"/>
  <c r="B117" i="5"/>
  <c r="W116" i="5"/>
  <c r="K105" i="8" s="1"/>
  <c r="T116" i="5"/>
  <c r="K90" i="8" s="1"/>
  <c r="Q116" i="5"/>
  <c r="K74" i="8" s="1"/>
  <c r="N116" i="5"/>
  <c r="K116" i="5"/>
  <c r="H116" i="5"/>
  <c r="K58" i="8" s="1"/>
  <c r="E116" i="5"/>
  <c r="K42" i="8" s="1"/>
  <c r="B116" i="5"/>
  <c r="W115" i="5"/>
  <c r="K104" i="8" s="1"/>
  <c r="T115" i="5"/>
  <c r="K89" i="8" s="1"/>
  <c r="Q115" i="5"/>
  <c r="K73" i="8" s="1"/>
  <c r="N115" i="5"/>
  <c r="K115" i="5"/>
  <c r="H115" i="5"/>
  <c r="K57" i="8" s="1"/>
  <c r="E115" i="5"/>
  <c r="K41" i="8" s="1"/>
  <c r="B115" i="5"/>
  <c r="W114" i="5"/>
  <c r="K103" i="8" s="1"/>
  <c r="T114" i="5"/>
  <c r="K88" i="8" s="1"/>
  <c r="Q114" i="5"/>
  <c r="N114" i="5"/>
  <c r="K114" i="5"/>
  <c r="H114" i="5"/>
  <c r="K56" i="8" s="1"/>
  <c r="E114" i="5"/>
  <c r="K40" i="8" s="1"/>
  <c r="B114" i="5"/>
  <c r="W113" i="5"/>
  <c r="K102" i="8" s="1"/>
  <c r="T113" i="5"/>
  <c r="K87" i="8" s="1"/>
  <c r="Q113" i="5"/>
  <c r="K71" i="8" s="1"/>
  <c r="N113" i="5"/>
  <c r="K113" i="5"/>
  <c r="H113" i="5"/>
  <c r="K55" i="8" s="1"/>
  <c r="E113" i="5"/>
  <c r="K39" i="8" s="1"/>
  <c r="B113" i="5"/>
  <c r="W112" i="5"/>
  <c r="T112" i="5"/>
  <c r="Q112" i="5"/>
  <c r="K70" i="8" s="1"/>
  <c r="N112" i="5"/>
  <c r="K112" i="5"/>
  <c r="H112" i="5"/>
  <c r="E112" i="5"/>
  <c r="K38" i="8" s="1"/>
  <c r="B112" i="5"/>
  <c r="W111" i="5"/>
  <c r="J112" i="8" s="1"/>
  <c r="T111" i="5"/>
  <c r="J97" i="8" s="1"/>
  <c r="Q111" i="5"/>
  <c r="N111" i="5"/>
  <c r="K111" i="5"/>
  <c r="H111" i="5"/>
  <c r="J65" i="8" s="1"/>
  <c r="E111" i="5"/>
  <c r="J49" i="8" s="1"/>
  <c r="W110" i="5"/>
  <c r="J111" i="8" s="1"/>
  <c r="T110" i="5"/>
  <c r="J96" i="8" s="1"/>
  <c r="Q110" i="5"/>
  <c r="J80" i="8" s="1"/>
  <c r="N110" i="5"/>
  <c r="K110" i="5"/>
  <c r="H110" i="5"/>
  <c r="J64" i="8" s="1"/>
  <c r="E110" i="5"/>
  <c r="W109" i="5"/>
  <c r="J110" i="8" s="1"/>
  <c r="T109" i="5"/>
  <c r="Q109" i="5"/>
  <c r="N109" i="5"/>
  <c r="K109" i="5"/>
  <c r="H109" i="5"/>
  <c r="J63" i="8" s="1"/>
  <c r="E109" i="5"/>
  <c r="J47" i="8" s="1"/>
  <c r="W108" i="5"/>
  <c r="J109" i="8" s="1"/>
  <c r="T108" i="5"/>
  <c r="J94" i="8" s="1"/>
  <c r="Q108" i="5"/>
  <c r="J78" i="8" s="1"/>
  <c r="N108" i="5"/>
  <c r="K108" i="5"/>
  <c r="H108" i="5"/>
  <c r="J62" i="8" s="1"/>
  <c r="E108" i="5"/>
  <c r="J46" i="8" s="1"/>
  <c r="W107" i="5"/>
  <c r="J108" i="8" s="1"/>
  <c r="T107" i="5"/>
  <c r="J93" i="8" s="1"/>
  <c r="Q107" i="5"/>
  <c r="J77" i="8" s="1"/>
  <c r="N107" i="5"/>
  <c r="K107" i="5"/>
  <c r="H107" i="5"/>
  <c r="J61" i="8" s="1"/>
  <c r="E107" i="5"/>
  <c r="J45" i="8" s="1"/>
  <c r="W106" i="5"/>
  <c r="J107" i="8" s="1"/>
  <c r="T106" i="5"/>
  <c r="J92" i="8" s="1"/>
  <c r="Q106" i="5"/>
  <c r="N106" i="5"/>
  <c r="K106" i="5"/>
  <c r="H106" i="5"/>
  <c r="J60" i="8" s="1"/>
  <c r="E106" i="5"/>
  <c r="W105" i="5"/>
  <c r="J106" i="8" s="1"/>
  <c r="T105" i="5"/>
  <c r="J91" i="8" s="1"/>
  <c r="Q105" i="5"/>
  <c r="J75" i="8" s="1"/>
  <c r="N105" i="5"/>
  <c r="K105" i="5"/>
  <c r="H105" i="5"/>
  <c r="J59" i="8" s="1"/>
  <c r="E105" i="5"/>
  <c r="J43" i="8" s="1"/>
  <c r="W104" i="5"/>
  <c r="J105" i="8" s="1"/>
  <c r="T104" i="5"/>
  <c r="J90" i="8" s="1"/>
  <c r="Q104" i="5"/>
  <c r="J74" i="8" s="1"/>
  <c r="N104" i="5"/>
  <c r="K104" i="5"/>
  <c r="H104" i="5"/>
  <c r="J58" i="8" s="1"/>
  <c r="E104" i="5"/>
  <c r="J42" i="8" s="1"/>
  <c r="W103" i="5"/>
  <c r="J104" i="8" s="1"/>
  <c r="T103" i="5"/>
  <c r="J89" i="8" s="1"/>
  <c r="Q103" i="5"/>
  <c r="J73" i="8" s="1"/>
  <c r="N103" i="5"/>
  <c r="K103" i="5"/>
  <c r="H103" i="5"/>
  <c r="E103" i="5"/>
  <c r="J41" i="8" s="1"/>
  <c r="W102" i="5"/>
  <c r="J103" i="8" s="1"/>
  <c r="T102" i="5"/>
  <c r="J88" i="8" s="1"/>
  <c r="Q102" i="5"/>
  <c r="N102" i="5"/>
  <c r="K102" i="5"/>
  <c r="H102" i="5"/>
  <c r="J56" i="8" s="1"/>
  <c r="J24" i="8" s="1"/>
  <c r="E102" i="5"/>
  <c r="J40" i="8" s="1"/>
  <c r="W101" i="5"/>
  <c r="J102" i="8" s="1"/>
  <c r="T101" i="5"/>
  <c r="J87" i="8" s="1"/>
  <c r="Q101" i="5"/>
  <c r="J71" i="8" s="1"/>
  <c r="N101" i="5"/>
  <c r="K101" i="5"/>
  <c r="H101" i="5"/>
  <c r="J55" i="8" s="1"/>
  <c r="E101" i="5"/>
  <c r="J39" i="8" s="1"/>
  <c r="W100" i="5"/>
  <c r="T100" i="5"/>
  <c r="J86" i="8" s="1"/>
  <c r="J5" i="8" s="1"/>
  <c r="Q100" i="5"/>
  <c r="J70" i="8" s="1"/>
  <c r="N100" i="5"/>
  <c r="K100" i="5"/>
  <c r="H100" i="5"/>
  <c r="E100" i="5"/>
  <c r="J38" i="8" s="1"/>
  <c r="W99" i="5"/>
  <c r="I112" i="8" s="1"/>
  <c r="I12" i="8" s="1"/>
  <c r="T99" i="5"/>
  <c r="I97" i="8" s="1"/>
  <c r="Q99" i="5"/>
  <c r="I81" i="8" s="1"/>
  <c r="N99" i="5"/>
  <c r="K99" i="5"/>
  <c r="H99" i="5"/>
  <c r="I65" i="8" s="1"/>
  <c r="E99" i="5"/>
  <c r="W98" i="5"/>
  <c r="I111" i="8" s="1"/>
  <c r="T98" i="5"/>
  <c r="I96" i="8" s="1"/>
  <c r="Q98" i="5"/>
  <c r="I80" i="8" s="1"/>
  <c r="N98" i="5"/>
  <c r="K98" i="5"/>
  <c r="H98" i="5"/>
  <c r="I64" i="8" s="1"/>
  <c r="I32" i="8" s="1"/>
  <c r="E98" i="5"/>
  <c r="K97" i="5"/>
  <c r="H97" i="5"/>
  <c r="I63" i="8" s="1"/>
  <c r="E97" i="5"/>
  <c r="I47" i="8" s="1"/>
  <c r="W96" i="5"/>
  <c r="I109" i="8" s="1"/>
  <c r="T96" i="5"/>
  <c r="I94" i="8" s="1"/>
  <c r="Q96" i="5"/>
  <c r="I78" i="8" s="1"/>
  <c r="N96" i="5"/>
  <c r="K96" i="5"/>
  <c r="H96" i="5"/>
  <c r="E96" i="5"/>
  <c r="I46" i="8" s="1"/>
  <c r="W95" i="5"/>
  <c r="I108" i="8" s="1"/>
  <c r="T95" i="5"/>
  <c r="I93" i="8" s="1"/>
  <c r="Q95" i="5"/>
  <c r="N95" i="5"/>
  <c r="K95" i="5"/>
  <c r="H95" i="5"/>
  <c r="I61" i="8" s="1"/>
  <c r="E95" i="5"/>
  <c r="I45" i="8" s="1"/>
  <c r="W94" i="5"/>
  <c r="I107" i="8" s="1"/>
  <c r="T94" i="5"/>
  <c r="I92" i="8" s="1"/>
  <c r="Q94" i="5"/>
  <c r="I76" i="8" s="1"/>
  <c r="N94" i="5"/>
  <c r="K94" i="5"/>
  <c r="H94" i="5"/>
  <c r="I60" i="8" s="1"/>
  <c r="E94" i="5"/>
  <c r="I44" i="8" s="1"/>
  <c r="Q93" i="5"/>
  <c r="I75" i="8" s="1"/>
  <c r="N93" i="5"/>
  <c r="K93" i="5"/>
  <c r="H93" i="5"/>
  <c r="I59" i="8" s="1"/>
  <c r="I27" i="8" s="1"/>
  <c r="E93" i="5"/>
  <c r="I43" i="8" s="1"/>
  <c r="W92" i="5"/>
  <c r="T92" i="5"/>
  <c r="I90" i="8" s="1"/>
  <c r="Q92" i="5"/>
  <c r="I74" i="8" s="1"/>
  <c r="N92" i="5"/>
  <c r="K92" i="5"/>
  <c r="H92" i="5"/>
  <c r="I58" i="8" s="1"/>
  <c r="E92" i="5"/>
  <c r="I42" i="8" s="1"/>
  <c r="W91" i="5"/>
  <c r="I104" i="8" s="1"/>
  <c r="T91" i="5"/>
  <c r="I89" i="8" s="1"/>
  <c r="Q91" i="5"/>
  <c r="I73" i="8" s="1"/>
  <c r="N91" i="5"/>
  <c r="K91" i="5"/>
  <c r="H91" i="5"/>
  <c r="I57" i="8" s="1"/>
  <c r="E91" i="5"/>
  <c r="I41" i="8" s="1"/>
  <c r="W90" i="5"/>
  <c r="I103" i="8" s="1"/>
  <c r="T90" i="5"/>
  <c r="I88" i="8" s="1"/>
  <c r="Q90" i="5"/>
  <c r="I72" i="8" s="1"/>
  <c r="N90" i="5"/>
  <c r="K90" i="5"/>
  <c r="H90" i="5"/>
  <c r="I56" i="8" s="1"/>
  <c r="E90" i="5"/>
  <c r="I40" i="8" s="1"/>
  <c r="W89" i="5"/>
  <c r="I102" i="8" s="1"/>
  <c r="T89" i="5"/>
  <c r="I87" i="8" s="1"/>
  <c r="Q89" i="5"/>
  <c r="I71" i="8" s="1"/>
  <c r="N89" i="5"/>
  <c r="K89" i="5"/>
  <c r="H89" i="5"/>
  <c r="E89" i="5"/>
  <c r="I39" i="8" s="1"/>
  <c r="W88" i="5"/>
  <c r="T88" i="5"/>
  <c r="Q88" i="5"/>
  <c r="I70" i="8" s="1"/>
  <c r="N88" i="5"/>
  <c r="K88" i="5"/>
  <c r="H88" i="5"/>
  <c r="E88" i="5"/>
  <c r="I38" i="8" s="1"/>
  <c r="W87" i="5"/>
  <c r="H112" i="8" s="1"/>
  <c r="H12" i="8" s="1"/>
  <c r="T87" i="5"/>
  <c r="H97" i="8" s="1"/>
  <c r="Q87" i="5"/>
  <c r="H81" i="8" s="1"/>
  <c r="H33" i="8" s="1"/>
  <c r="N87" i="5"/>
  <c r="K87" i="5"/>
  <c r="H87" i="5"/>
  <c r="H65" i="8" s="1"/>
  <c r="E87" i="5"/>
  <c r="H49" i="8" s="1"/>
  <c r="W86" i="5"/>
  <c r="H111" i="8" s="1"/>
  <c r="T86" i="5"/>
  <c r="H96" i="8" s="1"/>
  <c r="Q86" i="5"/>
  <c r="H80" i="8" s="1"/>
  <c r="N86" i="5"/>
  <c r="K86" i="5"/>
  <c r="H86" i="5"/>
  <c r="H64" i="8" s="1"/>
  <c r="E86" i="5"/>
  <c r="W85" i="5"/>
  <c r="H110" i="8" s="1"/>
  <c r="T85" i="5"/>
  <c r="Q85" i="5"/>
  <c r="H79" i="8" s="1"/>
  <c r="N85" i="5"/>
  <c r="K85" i="5"/>
  <c r="E85" i="5"/>
  <c r="H47" i="8" s="1"/>
  <c r="W84" i="5"/>
  <c r="H109" i="8" s="1"/>
  <c r="T84" i="5"/>
  <c r="H94" i="8" s="1"/>
  <c r="Q84" i="5"/>
  <c r="H78" i="8" s="1"/>
  <c r="N84" i="5"/>
  <c r="K84" i="5"/>
  <c r="H84" i="5"/>
  <c r="E84" i="5"/>
  <c r="H46" i="8" s="1"/>
  <c r="W83" i="5"/>
  <c r="H108" i="8" s="1"/>
  <c r="T83" i="5"/>
  <c r="H93" i="8" s="1"/>
  <c r="Q83" i="5"/>
  <c r="N83" i="5"/>
  <c r="K83" i="5"/>
  <c r="H83" i="5"/>
  <c r="H61" i="8" s="1"/>
  <c r="E83" i="5"/>
  <c r="H45" i="8" s="1"/>
  <c r="W82" i="5"/>
  <c r="H107" i="8" s="1"/>
  <c r="T82" i="5"/>
  <c r="H92" i="8" s="1"/>
  <c r="Q82" i="5"/>
  <c r="H76" i="8" s="1"/>
  <c r="N82" i="5"/>
  <c r="K82" i="5"/>
  <c r="H82" i="5"/>
  <c r="H60" i="8" s="1"/>
  <c r="E82" i="5"/>
  <c r="H44" i="8" s="1"/>
  <c r="W81" i="5"/>
  <c r="H106" i="8" s="1"/>
  <c r="T81" i="5"/>
  <c r="H91" i="8" s="1"/>
  <c r="Q81" i="5"/>
  <c r="H75" i="8" s="1"/>
  <c r="N81" i="5"/>
  <c r="K81" i="5"/>
  <c r="H81" i="5"/>
  <c r="H59" i="8" s="1"/>
  <c r="H27" i="8" s="1"/>
  <c r="E81" i="5"/>
  <c r="H43" i="8" s="1"/>
  <c r="W80" i="5"/>
  <c r="H105" i="8" s="1"/>
  <c r="T80" i="5"/>
  <c r="H90" i="8" s="1"/>
  <c r="Q80" i="5"/>
  <c r="H74" i="8" s="1"/>
  <c r="N80" i="5"/>
  <c r="K80" i="5"/>
  <c r="H80" i="5"/>
  <c r="H58" i="8" s="1"/>
  <c r="E80" i="5"/>
  <c r="W79" i="5"/>
  <c r="H104" i="8" s="1"/>
  <c r="T79" i="5"/>
  <c r="Q79" i="5"/>
  <c r="H73" i="8" s="1"/>
  <c r="N79" i="5"/>
  <c r="K79" i="5"/>
  <c r="H79" i="5"/>
  <c r="H57" i="8" s="1"/>
  <c r="E79" i="5"/>
  <c r="H41" i="8" s="1"/>
  <c r="W78" i="5"/>
  <c r="H103" i="8" s="1"/>
  <c r="T78" i="5"/>
  <c r="H88" i="8" s="1"/>
  <c r="Q78" i="5"/>
  <c r="H72" i="8" s="1"/>
  <c r="N78" i="5"/>
  <c r="K78" i="5"/>
  <c r="H78" i="5"/>
  <c r="H56" i="8" s="1"/>
  <c r="E78" i="5"/>
  <c r="H40" i="8" s="1"/>
  <c r="W77" i="5"/>
  <c r="H102" i="8" s="1"/>
  <c r="T77" i="5"/>
  <c r="H87" i="8" s="1"/>
  <c r="Q77" i="5"/>
  <c r="H71" i="8" s="1"/>
  <c r="N77" i="5"/>
  <c r="K77" i="5"/>
  <c r="H77" i="5"/>
  <c r="E77" i="5"/>
  <c r="H39" i="8" s="1"/>
  <c r="W76" i="5"/>
  <c r="H101" i="8" s="1"/>
  <c r="T76" i="5"/>
  <c r="Q76" i="5"/>
  <c r="N76" i="5"/>
  <c r="K76" i="5"/>
  <c r="H76" i="5"/>
  <c r="E76" i="5"/>
  <c r="H38" i="8" s="1"/>
  <c r="W75" i="5"/>
  <c r="G112" i="8" s="1"/>
  <c r="G12" i="8" s="1"/>
  <c r="T75" i="5"/>
  <c r="G97" i="8" s="1"/>
  <c r="Q75" i="5"/>
  <c r="G81" i="8" s="1"/>
  <c r="N75" i="5"/>
  <c r="K75" i="5"/>
  <c r="H75" i="5"/>
  <c r="G65" i="8" s="1"/>
  <c r="G33" i="8" s="1"/>
  <c r="E75" i="5"/>
  <c r="G49" i="8" s="1"/>
  <c r="W74" i="5"/>
  <c r="G111" i="8" s="1"/>
  <c r="T74" i="5"/>
  <c r="G96" i="8" s="1"/>
  <c r="Q74" i="5"/>
  <c r="G80" i="8" s="1"/>
  <c r="N74" i="5"/>
  <c r="K74" i="5"/>
  <c r="H74" i="5"/>
  <c r="G64" i="8" s="1"/>
  <c r="E74" i="5"/>
  <c r="G48" i="8" s="1"/>
  <c r="W73" i="5"/>
  <c r="G110" i="8" s="1"/>
  <c r="T73" i="5"/>
  <c r="Q73" i="5"/>
  <c r="G79" i="8" s="1"/>
  <c r="N73" i="5"/>
  <c r="K73" i="5"/>
  <c r="H73" i="5"/>
  <c r="G63" i="8" s="1"/>
  <c r="E73" i="5"/>
  <c r="W72" i="5"/>
  <c r="G109" i="8" s="1"/>
  <c r="T72" i="5"/>
  <c r="G94" i="8" s="1"/>
  <c r="Q72" i="5"/>
  <c r="G78" i="8" s="1"/>
  <c r="N72" i="5"/>
  <c r="K72" i="5"/>
  <c r="H72" i="5"/>
  <c r="G62" i="8" s="1"/>
  <c r="G30" i="8" s="1"/>
  <c r="E72" i="5"/>
  <c r="G46" i="8" s="1"/>
  <c r="W71" i="5"/>
  <c r="G108" i="8" s="1"/>
  <c r="T71" i="5"/>
  <c r="G93" i="8" s="1"/>
  <c r="Q71" i="5"/>
  <c r="N71" i="5"/>
  <c r="K71" i="5"/>
  <c r="H71" i="5"/>
  <c r="G61" i="8" s="1"/>
  <c r="G29" i="8" s="1"/>
  <c r="E71" i="5"/>
  <c r="G45" i="8" s="1"/>
  <c r="N70" i="5"/>
  <c r="K70" i="5"/>
  <c r="H70" i="5"/>
  <c r="G60" i="8" s="1"/>
  <c r="G28" i="8" s="1"/>
  <c r="E70" i="5"/>
  <c r="G44" i="8" s="1"/>
  <c r="W69" i="5"/>
  <c r="G106" i="8" s="1"/>
  <c r="T69" i="5"/>
  <c r="G91" i="8" s="1"/>
  <c r="Q69" i="5"/>
  <c r="G75" i="8" s="1"/>
  <c r="N69" i="5"/>
  <c r="K69" i="5"/>
  <c r="H69" i="5"/>
  <c r="G59" i="8" s="1"/>
  <c r="E69" i="5"/>
  <c r="G43" i="8" s="1"/>
  <c r="W68" i="5"/>
  <c r="G105" i="8" s="1"/>
  <c r="G26" i="8" s="1"/>
  <c r="T68" i="5"/>
  <c r="G90" i="8" s="1"/>
  <c r="Q68" i="5"/>
  <c r="G74" i="8" s="1"/>
  <c r="N68" i="5"/>
  <c r="K68" i="5"/>
  <c r="H68" i="5"/>
  <c r="G58" i="8" s="1"/>
  <c r="E68" i="5"/>
  <c r="G42" i="8" s="1"/>
  <c r="W67" i="5"/>
  <c r="G104" i="8" s="1"/>
  <c r="T67" i="5"/>
  <c r="Q67" i="5"/>
  <c r="N67" i="5"/>
  <c r="K67" i="5"/>
  <c r="H67" i="5"/>
  <c r="G57" i="8" s="1"/>
  <c r="E67" i="5"/>
  <c r="W66" i="5"/>
  <c r="G103" i="8" s="1"/>
  <c r="T66" i="5"/>
  <c r="G88" i="8" s="1"/>
  <c r="Q66" i="5"/>
  <c r="G72" i="8" s="1"/>
  <c r="N66" i="5"/>
  <c r="K66" i="5"/>
  <c r="H66" i="5"/>
  <c r="G56" i="8" s="1"/>
  <c r="E66" i="5"/>
  <c r="G40" i="8" s="1"/>
  <c r="W65" i="5"/>
  <c r="G102" i="8" s="1"/>
  <c r="T65" i="5"/>
  <c r="G87" i="8" s="1"/>
  <c r="Q65" i="5"/>
  <c r="G71" i="8" s="1"/>
  <c r="N65" i="5"/>
  <c r="K65" i="5"/>
  <c r="H65" i="5"/>
  <c r="E65" i="5"/>
  <c r="G39" i="8" s="1"/>
  <c r="W64" i="5"/>
  <c r="G101" i="8" s="1"/>
  <c r="T64" i="5"/>
  <c r="Q64" i="5"/>
  <c r="N64" i="5"/>
  <c r="K64" i="5"/>
  <c r="H64" i="5"/>
  <c r="G54" i="8" s="1"/>
  <c r="E64" i="5"/>
  <c r="G38" i="8" s="1"/>
  <c r="W63" i="5"/>
  <c r="F112" i="8" s="1"/>
  <c r="F12" i="8" s="1"/>
  <c r="T63" i="5"/>
  <c r="F97" i="8" s="1"/>
  <c r="Q63" i="5"/>
  <c r="N63" i="5"/>
  <c r="K63" i="5"/>
  <c r="H63" i="5"/>
  <c r="F65" i="8" s="1"/>
  <c r="E63" i="5"/>
  <c r="F49" i="8" s="1"/>
  <c r="W62" i="5"/>
  <c r="F111" i="8" s="1"/>
  <c r="T62" i="5"/>
  <c r="F96" i="8" s="1"/>
  <c r="Q62" i="5"/>
  <c r="F80" i="8" s="1"/>
  <c r="N62" i="5"/>
  <c r="K62" i="5"/>
  <c r="H62" i="5"/>
  <c r="F64" i="8" s="1"/>
  <c r="E62" i="5"/>
  <c r="F48" i="8" s="1"/>
  <c r="W61" i="5"/>
  <c r="F110" i="8" s="1"/>
  <c r="F31" i="8" s="1"/>
  <c r="T61" i="5"/>
  <c r="Q61" i="5"/>
  <c r="F79" i="8" s="1"/>
  <c r="N61" i="5"/>
  <c r="K61" i="5"/>
  <c r="H61" i="5"/>
  <c r="E61" i="5"/>
  <c r="F47" i="8" s="1"/>
  <c r="W60" i="5"/>
  <c r="F109" i="8" s="1"/>
  <c r="T60" i="5"/>
  <c r="Q60" i="5"/>
  <c r="F78" i="8" s="1"/>
  <c r="N60" i="5"/>
  <c r="K60" i="5"/>
  <c r="H60" i="5"/>
  <c r="F62" i="8" s="1"/>
  <c r="F30" i="8" s="1"/>
  <c r="E60" i="5"/>
  <c r="F46" i="8" s="1"/>
  <c r="W59" i="5"/>
  <c r="F108" i="8" s="1"/>
  <c r="T59" i="5"/>
  <c r="F93" i="8" s="1"/>
  <c r="Q59" i="5"/>
  <c r="F77" i="8" s="1"/>
  <c r="N59" i="5"/>
  <c r="K59" i="5"/>
  <c r="H59" i="5"/>
  <c r="F61" i="8" s="1"/>
  <c r="E59" i="5"/>
  <c r="F45" i="8" s="1"/>
  <c r="W58" i="5"/>
  <c r="F107" i="8" s="1"/>
  <c r="T58" i="5"/>
  <c r="F92" i="8" s="1"/>
  <c r="Q58" i="5"/>
  <c r="F76" i="8" s="1"/>
  <c r="N58" i="5"/>
  <c r="K58" i="5"/>
  <c r="H58" i="5"/>
  <c r="F60" i="8" s="1"/>
  <c r="E58" i="5"/>
  <c r="F44" i="8" s="1"/>
  <c r="W57" i="5"/>
  <c r="F106" i="8" s="1"/>
  <c r="T57" i="5"/>
  <c r="F91" i="8" s="1"/>
  <c r="Q57" i="5"/>
  <c r="F75" i="8" s="1"/>
  <c r="N57" i="5"/>
  <c r="K57" i="5"/>
  <c r="H57" i="5"/>
  <c r="F59" i="8" s="1"/>
  <c r="F27" i="8" s="1"/>
  <c r="E57" i="5"/>
  <c r="F43" i="8" s="1"/>
  <c r="W56" i="5"/>
  <c r="T56" i="5"/>
  <c r="F90" i="8" s="1"/>
  <c r="Q56" i="5"/>
  <c r="F74" i="8" s="1"/>
  <c r="N56" i="5"/>
  <c r="K56" i="5"/>
  <c r="H56" i="5"/>
  <c r="F58" i="8" s="1"/>
  <c r="F26" i="8" s="1"/>
  <c r="E56" i="5"/>
  <c r="F42" i="8" s="1"/>
  <c r="W55" i="5"/>
  <c r="F104" i="8" s="1"/>
  <c r="T55" i="5"/>
  <c r="F89" i="8" s="1"/>
  <c r="Q55" i="5"/>
  <c r="F73" i="8" s="1"/>
  <c r="N55" i="5"/>
  <c r="K55" i="5"/>
  <c r="H55" i="5"/>
  <c r="F57" i="8" s="1"/>
  <c r="E55" i="5"/>
  <c r="W54" i="5"/>
  <c r="F103" i="8" s="1"/>
  <c r="T54" i="5"/>
  <c r="F88" i="8" s="1"/>
  <c r="Q54" i="5"/>
  <c r="F72" i="8" s="1"/>
  <c r="N54" i="5"/>
  <c r="K54" i="5"/>
  <c r="H54" i="5"/>
  <c r="F56" i="8" s="1"/>
  <c r="E54" i="5"/>
  <c r="F40" i="8" s="1"/>
  <c r="F24" i="8" s="1"/>
  <c r="W53" i="5"/>
  <c r="F102" i="8" s="1"/>
  <c r="T53" i="5"/>
  <c r="Q53" i="5"/>
  <c r="F71" i="8" s="1"/>
  <c r="N53" i="5"/>
  <c r="K53" i="5"/>
  <c r="H53" i="5"/>
  <c r="F55" i="8" s="1"/>
  <c r="F23" i="8" s="1"/>
  <c r="E53" i="5"/>
  <c r="F39" i="8" s="1"/>
  <c r="W52" i="5"/>
  <c r="F101" i="8" s="1"/>
  <c r="T52" i="5"/>
  <c r="Q52" i="5"/>
  <c r="F70" i="8" s="1"/>
  <c r="N52" i="5"/>
  <c r="K52" i="5"/>
  <c r="H52" i="5"/>
  <c r="F54" i="8" s="1"/>
  <c r="E52" i="5"/>
  <c r="F38" i="8" s="1"/>
  <c r="W51" i="5"/>
  <c r="E112" i="8" s="1"/>
  <c r="E12" i="8" s="1"/>
  <c r="T51" i="5"/>
  <c r="E97" i="8" s="1"/>
  <c r="Q51" i="5"/>
  <c r="B81" i="8" s="1"/>
  <c r="N51" i="5"/>
  <c r="K51" i="5"/>
  <c r="H51" i="5"/>
  <c r="E51" i="5"/>
  <c r="W50" i="5"/>
  <c r="E111" i="8" s="1"/>
  <c r="T50" i="5"/>
  <c r="E96" i="8" s="1"/>
  <c r="Q50" i="5"/>
  <c r="N50" i="5"/>
  <c r="K50" i="5"/>
  <c r="H50" i="5"/>
  <c r="E50" i="5"/>
  <c r="W49" i="5"/>
  <c r="E110" i="8" s="1"/>
  <c r="T49" i="5"/>
  <c r="E95" i="8" s="1"/>
  <c r="Q49" i="5"/>
  <c r="N49" i="5"/>
  <c r="K49" i="5"/>
  <c r="H49" i="5"/>
  <c r="E49" i="5"/>
  <c r="W48" i="5"/>
  <c r="E109" i="8" s="1"/>
  <c r="T48" i="5"/>
  <c r="Q48" i="5"/>
  <c r="N48" i="5"/>
  <c r="K48" i="5"/>
  <c r="H48" i="5"/>
  <c r="B62" i="8" s="1"/>
  <c r="E48" i="5"/>
  <c r="E46" i="8" s="1"/>
  <c r="W47" i="5"/>
  <c r="E108" i="8" s="1"/>
  <c r="T47" i="5"/>
  <c r="E93" i="8" s="1"/>
  <c r="Q47" i="5"/>
  <c r="N47" i="5"/>
  <c r="K47" i="5"/>
  <c r="H47" i="5"/>
  <c r="E47" i="5"/>
  <c r="W46" i="5"/>
  <c r="E107" i="8" s="1"/>
  <c r="T46" i="5"/>
  <c r="E92" i="8" s="1"/>
  <c r="Q46" i="5"/>
  <c r="N46" i="5"/>
  <c r="K46" i="5"/>
  <c r="H46" i="5"/>
  <c r="E46" i="5"/>
  <c r="D44" i="8" s="1"/>
  <c r="W45" i="5"/>
  <c r="E106" i="8" s="1"/>
  <c r="T45" i="5"/>
  <c r="E91" i="8" s="1"/>
  <c r="Q45" i="5"/>
  <c r="N45" i="5"/>
  <c r="K45" i="5"/>
  <c r="H45" i="5"/>
  <c r="E45" i="5"/>
  <c r="W44" i="5"/>
  <c r="T44" i="5"/>
  <c r="E90" i="8" s="1"/>
  <c r="Q44" i="5"/>
  <c r="N44" i="5"/>
  <c r="K44" i="5"/>
  <c r="H44" i="5"/>
  <c r="E44" i="5"/>
  <c r="E42" i="8" s="1"/>
  <c r="W43" i="5"/>
  <c r="E104" i="8" s="1"/>
  <c r="T43" i="5"/>
  <c r="E89" i="8" s="1"/>
  <c r="Q43" i="5"/>
  <c r="N43" i="5"/>
  <c r="K43" i="5"/>
  <c r="H43" i="5"/>
  <c r="E43" i="5"/>
  <c r="W42" i="5"/>
  <c r="E103" i="8" s="1"/>
  <c r="T42" i="5"/>
  <c r="E88" i="8" s="1"/>
  <c r="Q42" i="5"/>
  <c r="N42" i="5"/>
  <c r="K42" i="5"/>
  <c r="H42" i="5"/>
  <c r="C56" i="8" s="1"/>
  <c r="E42" i="5"/>
  <c r="W41" i="5"/>
  <c r="E102" i="8" s="1"/>
  <c r="T41" i="5"/>
  <c r="E87" i="8" s="1"/>
  <c r="Q41" i="5"/>
  <c r="D71" i="8" s="1"/>
  <c r="N41" i="5"/>
  <c r="K41" i="5"/>
  <c r="H41" i="5"/>
  <c r="E41" i="5"/>
  <c r="W40" i="5"/>
  <c r="E101" i="8" s="1"/>
  <c r="T40" i="5"/>
  <c r="E86" i="8" s="1"/>
  <c r="E5" i="8" s="1"/>
  <c r="Q40" i="5"/>
  <c r="N40" i="5"/>
  <c r="K40" i="5"/>
  <c r="H40" i="5"/>
  <c r="E40" i="5"/>
  <c r="W39" i="5"/>
  <c r="D112" i="8" s="1"/>
  <c r="D12" i="8" s="1"/>
  <c r="T39" i="5"/>
  <c r="D97" i="8" s="1"/>
  <c r="Q39" i="5"/>
  <c r="N39" i="5"/>
  <c r="K39" i="5"/>
  <c r="H39" i="5"/>
  <c r="E39" i="5"/>
  <c r="W38" i="5"/>
  <c r="D111" i="8" s="1"/>
  <c r="T38" i="5"/>
  <c r="D96" i="8" s="1"/>
  <c r="Q38" i="5"/>
  <c r="N38" i="5"/>
  <c r="K38" i="5"/>
  <c r="H38" i="5"/>
  <c r="E38" i="5"/>
  <c r="W37" i="5"/>
  <c r="D110" i="8" s="1"/>
  <c r="T37" i="5"/>
  <c r="D95" i="8" s="1"/>
  <c r="Q37" i="5"/>
  <c r="N37" i="5"/>
  <c r="K37" i="5"/>
  <c r="H37" i="5"/>
  <c r="E37" i="5"/>
  <c r="W36" i="5"/>
  <c r="D109" i="8" s="1"/>
  <c r="T36" i="5"/>
  <c r="D94" i="8" s="1"/>
  <c r="Q36" i="5"/>
  <c r="N36" i="5"/>
  <c r="K36" i="5"/>
  <c r="H36" i="5"/>
  <c r="E36" i="5"/>
  <c r="W35" i="5"/>
  <c r="D108" i="8" s="1"/>
  <c r="T35" i="5"/>
  <c r="D93" i="8" s="1"/>
  <c r="Q35" i="5"/>
  <c r="N35" i="5"/>
  <c r="K35" i="5"/>
  <c r="H35" i="5"/>
  <c r="E35" i="5"/>
  <c r="W34" i="5"/>
  <c r="D107" i="8" s="1"/>
  <c r="T34" i="5"/>
  <c r="D92" i="8" s="1"/>
  <c r="Q34" i="5"/>
  <c r="N34" i="5"/>
  <c r="K34" i="5"/>
  <c r="H34" i="5"/>
  <c r="E34" i="5"/>
  <c r="W33" i="5"/>
  <c r="D106" i="8" s="1"/>
  <c r="T33" i="5"/>
  <c r="D91" i="8" s="1"/>
  <c r="Q33" i="5"/>
  <c r="N33" i="5"/>
  <c r="K33" i="5"/>
  <c r="H33" i="5"/>
  <c r="E33" i="5"/>
  <c r="W32" i="5"/>
  <c r="T32" i="5"/>
  <c r="D90" i="8" s="1"/>
  <c r="Q32" i="5"/>
  <c r="N32" i="5"/>
  <c r="K32" i="5"/>
  <c r="H32" i="5"/>
  <c r="E32" i="5"/>
  <c r="W31" i="5"/>
  <c r="D104" i="8" s="1"/>
  <c r="T31" i="5"/>
  <c r="D89" i="8" s="1"/>
  <c r="Q31" i="5"/>
  <c r="N31" i="5"/>
  <c r="K31" i="5"/>
  <c r="H31" i="5"/>
  <c r="E31" i="5"/>
  <c r="W30" i="5"/>
  <c r="D103" i="8" s="1"/>
  <c r="T30" i="5"/>
  <c r="D88" i="8" s="1"/>
  <c r="Q30" i="5"/>
  <c r="N30" i="5"/>
  <c r="K30" i="5"/>
  <c r="H30" i="5"/>
  <c r="E30" i="5"/>
  <c r="W29" i="5"/>
  <c r="D102" i="8" s="1"/>
  <c r="T29" i="5"/>
  <c r="D87" i="8" s="1"/>
  <c r="Q29" i="5"/>
  <c r="N29" i="5"/>
  <c r="K29" i="5"/>
  <c r="H29" i="5"/>
  <c r="E29" i="5"/>
  <c r="W28" i="5"/>
  <c r="D101" i="8" s="1"/>
  <c r="T28" i="5"/>
  <c r="D86" i="8" s="1"/>
  <c r="Q28" i="5"/>
  <c r="N28" i="5"/>
  <c r="K28" i="5"/>
  <c r="H28" i="5"/>
  <c r="E28" i="5"/>
  <c r="W27" i="5"/>
  <c r="C112" i="8" s="1"/>
  <c r="C12" i="8" s="1"/>
  <c r="T27" i="5"/>
  <c r="C97" i="8" s="1"/>
  <c r="Q27" i="5"/>
  <c r="N27" i="5"/>
  <c r="K27" i="5"/>
  <c r="H27" i="5"/>
  <c r="E27" i="5"/>
  <c r="W26" i="5"/>
  <c r="C111" i="8" s="1"/>
  <c r="T26" i="5"/>
  <c r="C96" i="8" s="1"/>
  <c r="Q26" i="5"/>
  <c r="N26" i="5"/>
  <c r="K26" i="5"/>
  <c r="H26" i="5"/>
  <c r="E26" i="5"/>
  <c r="W25" i="5"/>
  <c r="T25" i="5"/>
  <c r="C95" i="8" s="1"/>
  <c r="Q25" i="5"/>
  <c r="N25" i="5"/>
  <c r="K25" i="5"/>
  <c r="H25" i="5"/>
  <c r="E25" i="5"/>
  <c r="W24" i="5"/>
  <c r="C109" i="8" s="1"/>
  <c r="T24" i="5"/>
  <c r="C94" i="8" s="1"/>
  <c r="Q24" i="5"/>
  <c r="N24" i="5"/>
  <c r="K24" i="5"/>
  <c r="H24" i="5"/>
  <c r="E24" i="5"/>
  <c r="W23" i="5"/>
  <c r="C108" i="8" s="1"/>
  <c r="T23" i="5"/>
  <c r="C93" i="8" s="1"/>
  <c r="Q23" i="5"/>
  <c r="N23" i="5"/>
  <c r="K23" i="5"/>
  <c r="H23" i="5"/>
  <c r="E23" i="5"/>
  <c r="W22" i="5"/>
  <c r="C107" i="8" s="1"/>
  <c r="T22" i="5"/>
  <c r="C92" i="8" s="1"/>
  <c r="Q22" i="5"/>
  <c r="N22" i="5"/>
  <c r="K22" i="5"/>
  <c r="H22" i="5"/>
  <c r="E22" i="5"/>
  <c r="W21" i="5"/>
  <c r="C106" i="8" s="1"/>
  <c r="T21" i="5"/>
  <c r="C91" i="8" s="1"/>
  <c r="Q21" i="5"/>
  <c r="N21" i="5"/>
  <c r="K21" i="5"/>
  <c r="H21" i="5"/>
  <c r="E21" i="5"/>
  <c r="W20" i="5"/>
  <c r="T20" i="5"/>
  <c r="C90" i="8" s="1"/>
  <c r="Q20" i="5"/>
  <c r="N20" i="5"/>
  <c r="K20" i="5"/>
  <c r="H20" i="5"/>
  <c r="E20" i="5"/>
  <c r="W19" i="5"/>
  <c r="C104" i="8" s="1"/>
  <c r="T19" i="5"/>
  <c r="C89" i="8" s="1"/>
  <c r="Q19" i="5"/>
  <c r="N19" i="5"/>
  <c r="K19" i="5"/>
  <c r="H19" i="5"/>
  <c r="E19" i="5"/>
  <c r="W18" i="5"/>
  <c r="C103" i="8" s="1"/>
  <c r="T18" i="5"/>
  <c r="C88" i="8" s="1"/>
  <c r="Q18" i="5"/>
  <c r="N18" i="5"/>
  <c r="K18" i="5"/>
  <c r="H18" i="5"/>
  <c r="E18" i="5"/>
  <c r="W17" i="5"/>
  <c r="C102" i="8" s="1"/>
  <c r="T17" i="5"/>
  <c r="C87" i="8" s="1"/>
  <c r="Q17" i="5"/>
  <c r="N17" i="5"/>
  <c r="K17" i="5"/>
  <c r="H17" i="5"/>
  <c r="E17" i="5"/>
  <c r="W16" i="5"/>
  <c r="C101" i="8" s="1"/>
  <c r="T16" i="5"/>
  <c r="C86" i="8" s="1"/>
  <c r="C5" i="8" s="1"/>
  <c r="Q16" i="5"/>
  <c r="N16" i="5"/>
  <c r="K16" i="5"/>
  <c r="H16" i="5"/>
  <c r="E16" i="5"/>
  <c r="W15" i="5"/>
  <c r="B112" i="8" s="1"/>
  <c r="B12" i="8" s="1"/>
  <c r="T15" i="5"/>
  <c r="B97" i="8" s="1"/>
  <c r="Q15" i="5"/>
  <c r="N15" i="5"/>
  <c r="K15" i="5"/>
  <c r="H15" i="5"/>
  <c r="E15" i="5"/>
  <c r="W14" i="5"/>
  <c r="B111" i="8" s="1"/>
  <c r="T14" i="5"/>
  <c r="B96" i="8" s="1"/>
  <c r="Q14" i="5"/>
  <c r="N14" i="5"/>
  <c r="K14" i="5"/>
  <c r="H14" i="5"/>
  <c r="E14" i="5"/>
  <c r="W13" i="5"/>
  <c r="B110" i="8" s="1"/>
  <c r="T13" i="5"/>
  <c r="B95" i="8" s="1"/>
  <c r="Q13" i="5"/>
  <c r="N13" i="5"/>
  <c r="K13" i="5"/>
  <c r="H13" i="5"/>
  <c r="E13" i="5"/>
  <c r="W12" i="5"/>
  <c r="B109" i="8" s="1"/>
  <c r="T12" i="5"/>
  <c r="B94" i="8" s="1"/>
  <c r="Q12" i="5"/>
  <c r="N12" i="5"/>
  <c r="K12" i="5"/>
  <c r="H12" i="5"/>
  <c r="E12" i="5"/>
  <c r="W11" i="5"/>
  <c r="B108" i="8" s="1"/>
  <c r="T11" i="5"/>
  <c r="B93" i="8" s="1"/>
  <c r="Q11" i="5"/>
  <c r="N11" i="5"/>
  <c r="K11" i="5"/>
  <c r="H11" i="5"/>
  <c r="E11" i="5"/>
  <c r="W10" i="5"/>
  <c r="B107" i="8" s="1"/>
  <c r="T10" i="5"/>
  <c r="B92" i="8" s="1"/>
  <c r="Q10" i="5"/>
  <c r="N10" i="5"/>
  <c r="K10" i="5"/>
  <c r="H10" i="5"/>
  <c r="E10" i="5"/>
  <c r="W9" i="5"/>
  <c r="B106" i="8" s="1"/>
  <c r="T9" i="5"/>
  <c r="B91" i="8" s="1"/>
  <c r="Q9" i="5"/>
  <c r="N9" i="5"/>
  <c r="K9" i="5"/>
  <c r="H9" i="5"/>
  <c r="E9" i="5"/>
  <c r="W8" i="5"/>
  <c r="B105" i="8" s="1"/>
  <c r="T8" i="5"/>
  <c r="B90" i="8" s="1"/>
  <c r="Q8" i="5"/>
  <c r="N8" i="5"/>
  <c r="K8" i="5"/>
  <c r="H8" i="5"/>
  <c r="E8" i="5"/>
  <c r="W7" i="5"/>
  <c r="B104" i="8" s="1"/>
  <c r="T7" i="5"/>
  <c r="B89" i="8" s="1"/>
  <c r="Q7" i="5"/>
  <c r="N7" i="5"/>
  <c r="K7" i="5"/>
  <c r="H7" i="5"/>
  <c r="E7" i="5"/>
  <c r="W6" i="5"/>
  <c r="B103" i="8" s="1"/>
  <c r="T6" i="5"/>
  <c r="B88" i="8" s="1"/>
  <c r="Q6" i="5"/>
  <c r="N6" i="5"/>
  <c r="K6" i="5"/>
  <c r="H6" i="5"/>
  <c r="E6" i="5"/>
  <c r="W5" i="5"/>
  <c r="T5" i="5"/>
  <c r="Q5" i="5"/>
  <c r="N5" i="5"/>
  <c r="K5" i="5"/>
  <c r="H5" i="5"/>
  <c r="E5" i="5"/>
  <c r="W4" i="5"/>
  <c r="B101" i="8" s="1"/>
  <c r="T4" i="5"/>
  <c r="B86" i="8" s="1"/>
  <c r="B5" i="8" s="1"/>
  <c r="Q4" i="5"/>
  <c r="N4" i="5"/>
  <c r="K4" i="5"/>
  <c r="H4" i="5"/>
  <c r="E4" i="5"/>
  <c r="D121" i="3"/>
  <c r="D120" i="3"/>
  <c r="D119" i="3"/>
  <c r="D118" i="3"/>
  <c r="D117" i="3"/>
  <c r="D116" i="3"/>
  <c r="D115" i="3"/>
  <c r="D114" i="3"/>
  <c r="D113" i="3"/>
  <c r="D112" i="3"/>
  <c r="D111" i="3"/>
  <c r="D110" i="3"/>
  <c r="D109" i="3"/>
  <c r="D108" i="3"/>
  <c r="D107" i="3"/>
  <c r="D106" i="3"/>
  <c r="D105" i="3"/>
  <c r="D104" i="3"/>
  <c r="D103" i="3"/>
  <c r="D102" i="3"/>
  <c r="D101" i="3"/>
  <c r="D100" i="3"/>
  <c r="D99" i="3"/>
  <c r="D98" i="3"/>
  <c r="D97" i="3"/>
  <c r="D96" i="3"/>
  <c r="D95" i="3"/>
  <c r="D94" i="3"/>
  <c r="D93" i="3"/>
  <c r="D92" i="3"/>
  <c r="D91" i="3"/>
  <c r="D90" i="3"/>
  <c r="D89" i="3"/>
  <c r="D88" i="3"/>
  <c r="D87" i="3"/>
  <c r="D86" i="3"/>
  <c r="D85" i="3"/>
  <c r="D84" i="3"/>
  <c r="D83" i="3"/>
  <c r="D82" i="3"/>
  <c r="D81" i="3"/>
  <c r="D80" i="3"/>
  <c r="D79" i="3"/>
  <c r="D78" i="3"/>
  <c r="D77" i="3"/>
  <c r="D76" i="3"/>
  <c r="D75" i="3"/>
  <c r="D74" i="3"/>
  <c r="D73" i="3"/>
  <c r="D72" i="3"/>
  <c r="D71" i="3"/>
  <c r="D70" i="3"/>
  <c r="D69" i="3"/>
  <c r="D68" i="3"/>
  <c r="D67" i="3"/>
  <c r="D66" i="3"/>
  <c r="D65" i="3"/>
  <c r="D64" i="3"/>
  <c r="D63" i="3"/>
  <c r="D62" i="3"/>
  <c r="D61" i="3"/>
  <c r="D60" i="3"/>
  <c r="D59" i="3"/>
  <c r="D58" i="3"/>
  <c r="D57" i="3"/>
  <c r="D56" i="3"/>
  <c r="D55" i="3"/>
  <c r="D54" i="3"/>
  <c r="D53" i="3"/>
  <c r="D52" i="3"/>
  <c r="D51" i="3"/>
  <c r="D50" i="3"/>
  <c r="D49" i="3"/>
  <c r="D48" i="3"/>
  <c r="D47" i="3"/>
  <c r="D46" i="3"/>
  <c r="D45" i="3"/>
  <c r="D44" i="3"/>
  <c r="D43" i="3"/>
  <c r="D42" i="3"/>
  <c r="D41" i="3"/>
  <c r="D40" i="3"/>
  <c r="D39" i="3"/>
  <c r="D3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D7" i="3"/>
  <c r="D6" i="3"/>
  <c r="D5" i="3"/>
  <c r="D4" i="3"/>
  <c r="D3" i="3"/>
  <c r="D2" i="3"/>
  <c r="E13" i="6" l="1"/>
  <c r="K6" i="8"/>
  <c r="L18" i="8"/>
  <c r="E60" i="8"/>
  <c r="E28" i="8" s="1"/>
  <c r="D60" i="8"/>
  <c r="D28" i="8" s="1"/>
  <c r="C60" i="8"/>
  <c r="B60" i="8"/>
  <c r="I31" i="8"/>
  <c r="L48" i="7"/>
  <c r="Q48" i="7" s="1"/>
  <c r="G5" i="7"/>
  <c r="G6" i="7" s="1"/>
  <c r="G55" i="7"/>
  <c r="G67" i="7" s="1"/>
  <c r="G7" i="7" s="1"/>
  <c r="M44" i="7"/>
  <c r="R44" i="7" s="1"/>
  <c r="J5" i="7"/>
  <c r="O40" i="7"/>
  <c r="K44" i="7"/>
  <c r="P44" i="7" s="1"/>
  <c r="U44" i="7" s="1"/>
  <c r="I5" i="7"/>
  <c r="N41" i="7"/>
  <c r="S41" i="7" s="1"/>
  <c r="K29" i="8"/>
  <c r="I6" i="7"/>
  <c r="H55" i="7"/>
  <c r="H67" i="7" s="1"/>
  <c r="H7" i="7" s="1"/>
  <c r="H9" i="7" s="1"/>
  <c r="H6" i="7"/>
  <c r="S39" i="7"/>
  <c r="S50" i="7" s="1"/>
  <c r="N44" i="7"/>
  <c r="S44" i="7" s="1"/>
  <c r="K49" i="7"/>
  <c r="P49" i="7" s="1"/>
  <c r="U49" i="7" s="1"/>
  <c r="K50" i="7"/>
  <c r="K46" i="7"/>
  <c r="P46" i="7" s="1"/>
  <c r="U46" i="7" s="1"/>
  <c r="K47" i="7"/>
  <c r="P47" i="7" s="1"/>
  <c r="U47" i="7" s="1"/>
  <c r="K45" i="7"/>
  <c r="P45" i="7" s="1"/>
  <c r="U45" i="7" s="1"/>
  <c r="P40" i="7"/>
  <c r="U40" i="7" s="1"/>
  <c r="K43" i="7"/>
  <c r="K110" i="9"/>
  <c r="H31" i="9"/>
  <c r="J29" i="8"/>
  <c r="J6" i="7"/>
  <c r="G64" i="7"/>
  <c r="G128" i="7"/>
  <c r="G24" i="8"/>
  <c r="H25" i="8"/>
  <c r="I29" i="8"/>
  <c r="J27" i="8"/>
  <c r="I12" i="7"/>
  <c r="H29" i="9"/>
  <c r="G23" i="8"/>
  <c r="G49" i="9"/>
  <c r="G7" i="9" s="1"/>
  <c r="E54" i="8"/>
  <c r="D54" i="8"/>
  <c r="B54" i="8"/>
  <c r="C54" i="8"/>
  <c r="E79" i="8"/>
  <c r="D79" i="8"/>
  <c r="C79" i="8"/>
  <c r="B79" i="8"/>
  <c r="L44" i="7"/>
  <c r="Q44" i="7" s="1"/>
  <c r="J14" i="9"/>
  <c r="I25" i="8"/>
  <c r="C30" i="8"/>
  <c r="G121" i="7"/>
  <c r="G57" i="7"/>
  <c r="H50" i="8"/>
  <c r="K9" i="6"/>
  <c r="M9" i="6" s="1"/>
  <c r="J12" i="7"/>
  <c r="N40" i="7"/>
  <c r="S40" i="7" s="1"/>
  <c r="F58" i="7"/>
  <c r="I63" i="7"/>
  <c r="I29" i="9"/>
  <c r="K99" i="7"/>
  <c r="K67" i="7"/>
  <c r="F66" i="8"/>
  <c r="B64" i="8"/>
  <c r="E64" i="8"/>
  <c r="D64" i="8"/>
  <c r="C64" i="8"/>
  <c r="J33" i="8"/>
  <c r="F121" i="7"/>
  <c r="F57" i="7"/>
  <c r="F128" i="7"/>
  <c r="F64" i="7"/>
  <c r="N49" i="7"/>
  <c r="S49" i="7" s="1"/>
  <c r="M49" i="7"/>
  <c r="R49" i="7" s="1"/>
  <c r="M45" i="7"/>
  <c r="R45" i="7" s="1"/>
  <c r="M46" i="7"/>
  <c r="R46" i="7" s="1"/>
  <c r="M42" i="7"/>
  <c r="R42" i="7" s="1"/>
  <c r="M47" i="7"/>
  <c r="R47" i="7" s="1"/>
  <c r="M39" i="7"/>
  <c r="R39" i="7" s="1"/>
  <c r="M43" i="7"/>
  <c r="M48" i="7"/>
  <c r="R48" i="7" s="1"/>
  <c r="M40" i="7"/>
  <c r="R40" i="7" s="1"/>
  <c r="N101" i="9"/>
  <c r="G27" i="8"/>
  <c r="C58" i="8"/>
  <c r="B58" i="8"/>
  <c r="E58" i="8"/>
  <c r="E26" i="8" s="1"/>
  <c r="D58" i="8"/>
  <c r="D26" i="8" s="1"/>
  <c r="E77" i="8"/>
  <c r="D77" i="8"/>
  <c r="C77" i="8"/>
  <c r="B77" i="8"/>
  <c r="H30" i="8"/>
  <c r="E22" i="9"/>
  <c r="E81" i="9"/>
  <c r="E9" i="9" s="1"/>
  <c r="Q7" i="7"/>
  <c r="F22" i="9"/>
  <c r="F81" i="9"/>
  <c r="F9" i="9" s="1"/>
  <c r="F11" i="9" s="1"/>
  <c r="J22" i="8"/>
  <c r="J66" i="8"/>
  <c r="K23" i="8"/>
  <c r="F82" i="8"/>
  <c r="F9" i="8" s="1"/>
  <c r="B70" i="8"/>
  <c r="E70" i="8"/>
  <c r="D70" i="8"/>
  <c r="C70" i="8"/>
  <c r="D45" i="8"/>
  <c r="E45" i="8"/>
  <c r="C45" i="8"/>
  <c r="B45" i="8"/>
  <c r="K6" i="7"/>
  <c r="K10" i="7" s="1"/>
  <c r="E30" i="8"/>
  <c r="C39" i="8"/>
  <c r="B39" i="8"/>
  <c r="D39" i="8"/>
  <c r="E39" i="8"/>
  <c r="N47" i="7"/>
  <c r="S47" i="7" s="1"/>
  <c r="J63" i="7"/>
  <c r="R7" i="7"/>
  <c r="O47" i="7"/>
  <c r="T47" i="7" s="1"/>
  <c r="G56" i="7"/>
  <c r="B42" i="8"/>
  <c r="G22" i="9"/>
  <c r="G81" i="9"/>
  <c r="G9" i="9" s="1"/>
  <c r="K66" i="8"/>
  <c r="K10" i="8" s="1"/>
  <c r="K22" i="8"/>
  <c r="O7" i="7"/>
  <c r="I28" i="8"/>
  <c r="F32" i="8"/>
  <c r="E35" i="7"/>
  <c r="E4" i="7" s="1"/>
  <c r="E6" i="7" s="1"/>
  <c r="E119" i="7"/>
  <c r="E131" i="7" s="1"/>
  <c r="I125" i="7"/>
  <c r="I61" i="7"/>
  <c r="S7" i="7"/>
  <c r="C42" i="8"/>
  <c r="G82" i="8"/>
  <c r="G9" i="8" s="1"/>
  <c r="D42" i="8"/>
  <c r="H31" i="8"/>
  <c r="H82" i="8"/>
  <c r="H9" i="8" s="1"/>
  <c r="L90" i="9"/>
  <c r="G117" i="7"/>
  <c r="J32" i="8"/>
  <c r="K48" i="7"/>
  <c r="P48" i="7" s="1"/>
  <c r="U48" i="7" s="1"/>
  <c r="E57" i="8"/>
  <c r="D57" i="8"/>
  <c r="C57" i="8"/>
  <c r="B57" i="8"/>
  <c r="J23" i="8"/>
  <c r="E48" i="8"/>
  <c r="D48" i="8"/>
  <c r="C48" i="8"/>
  <c r="B48" i="8"/>
  <c r="O44" i="7"/>
  <c r="T44" i="7" s="1"/>
  <c r="K32" i="8"/>
  <c r="I82" i="8"/>
  <c r="I9" i="8" s="1"/>
  <c r="H29" i="8"/>
  <c r="O43" i="7"/>
  <c r="I66" i="8"/>
  <c r="I22" i="8"/>
  <c r="L9" i="9"/>
  <c r="K14" i="9"/>
  <c r="K9" i="8"/>
  <c r="K17" i="8" s="1"/>
  <c r="M103" i="9"/>
  <c r="E41" i="8"/>
  <c r="D41" i="8"/>
  <c r="C41" i="8"/>
  <c r="B41" i="8"/>
  <c r="E38" i="8"/>
  <c r="D38" i="8"/>
  <c r="C38" i="8"/>
  <c r="B38" i="8"/>
  <c r="H24" i="8"/>
  <c r="H49" i="9"/>
  <c r="H7" i="9" s="1"/>
  <c r="E76" i="8"/>
  <c r="D76" i="8"/>
  <c r="B76" i="8"/>
  <c r="C76" i="8"/>
  <c r="F29" i="8"/>
  <c r="I50" i="8"/>
  <c r="E128" i="7"/>
  <c r="E64" i="7"/>
  <c r="C61" i="8"/>
  <c r="B61" i="8"/>
  <c r="E61" i="8"/>
  <c r="E29" i="8" s="1"/>
  <c r="D61" i="8"/>
  <c r="D29" i="8" s="1"/>
  <c r="H28" i="8"/>
  <c r="N43" i="7"/>
  <c r="S43" i="7" s="1"/>
  <c r="C24" i="8"/>
  <c r="J9" i="7"/>
  <c r="H22" i="8"/>
  <c r="H66" i="8"/>
  <c r="G8" i="9"/>
  <c r="E55" i="8"/>
  <c r="D55" i="8"/>
  <c r="C80" i="8"/>
  <c r="B80" i="8"/>
  <c r="K24" i="8"/>
  <c r="L40" i="7"/>
  <c r="Q40" i="7" s="1"/>
  <c r="L49" i="7"/>
  <c r="Q49" i="7" s="1"/>
  <c r="L46" i="7"/>
  <c r="Q46" i="7" s="1"/>
  <c r="G58" i="7"/>
  <c r="H66" i="7"/>
  <c r="K56" i="7"/>
  <c r="E60" i="7"/>
  <c r="H22" i="9"/>
  <c r="H81" i="9"/>
  <c r="H9" i="9" s="1"/>
  <c r="H14" i="9" s="1"/>
  <c r="M85" i="9"/>
  <c r="L107" i="9"/>
  <c r="N45" i="7"/>
  <c r="S45" i="7" s="1"/>
  <c r="K33" i="8"/>
  <c r="G28" i="9"/>
  <c r="M105" i="9"/>
  <c r="E65" i="8"/>
  <c r="D65" i="8"/>
  <c r="B65" i="8"/>
  <c r="B33" i="8" s="1"/>
  <c r="C65" i="8"/>
  <c r="C33" i="8" s="1"/>
  <c r="F3" i="7"/>
  <c r="P41" i="7"/>
  <c r="U41" i="7" s="1"/>
  <c r="I60" i="7"/>
  <c r="N88" i="9"/>
  <c r="N105" i="9"/>
  <c r="E43" i="8"/>
  <c r="D43" i="8"/>
  <c r="B43" i="8"/>
  <c r="C43" i="8"/>
  <c r="K50" i="8"/>
  <c r="K7" i="8" s="1"/>
  <c r="Q41" i="7"/>
  <c r="I62" i="7"/>
  <c r="J60" i="7"/>
  <c r="E74" i="8"/>
  <c r="D74" i="8"/>
  <c r="C74" i="8"/>
  <c r="B74" i="8"/>
  <c r="J25" i="8"/>
  <c r="M93" i="9"/>
  <c r="E40" i="8"/>
  <c r="D40" i="8"/>
  <c r="C40" i="8"/>
  <c r="D59" i="8"/>
  <c r="C59" i="8"/>
  <c r="B59" i="8"/>
  <c r="G50" i="8"/>
  <c r="J31" i="8"/>
  <c r="R50" i="7"/>
  <c r="R43" i="7"/>
  <c r="J62" i="7"/>
  <c r="F119" i="7"/>
  <c r="F131" i="7" s="1"/>
  <c r="E59" i="8"/>
  <c r="K5" i="9"/>
  <c r="S46" i="7"/>
  <c r="H64" i="7"/>
  <c r="B46" i="8"/>
  <c r="M86" i="9"/>
  <c r="L94" i="9"/>
  <c r="G22" i="8"/>
  <c r="G34" i="8" s="1"/>
  <c r="G66" i="8"/>
  <c r="J28" i="8"/>
  <c r="K25" i="8"/>
  <c r="T46" i="7"/>
  <c r="T43" i="7"/>
  <c r="T39" i="7"/>
  <c r="T50" i="7" s="1"/>
  <c r="E55" i="7"/>
  <c r="E67" i="7" s="1"/>
  <c r="E7" i="7" s="1"/>
  <c r="E9" i="7" s="1"/>
  <c r="I64" i="7"/>
  <c r="B40" i="8"/>
  <c r="C46" i="8"/>
  <c r="I31" i="9"/>
  <c r="N103" i="9"/>
  <c r="J65" i="7"/>
  <c r="G3" i="6"/>
  <c r="G6" i="6" s="1"/>
  <c r="G10" i="6" s="1"/>
  <c r="G7" i="6" s="1"/>
  <c r="F13" i="6"/>
  <c r="D78" i="8"/>
  <c r="D30" i="8" s="1"/>
  <c r="B78" i="8"/>
  <c r="B30" i="8" s="1"/>
  <c r="E75" i="8"/>
  <c r="D75" i="8"/>
  <c r="C75" i="8"/>
  <c r="B75" i="8"/>
  <c r="F28" i="8"/>
  <c r="I24" i="8"/>
  <c r="K82" i="8"/>
  <c r="H13" i="6"/>
  <c r="L45" i="7"/>
  <c r="Q45" i="7" s="1"/>
  <c r="S48" i="7"/>
  <c r="J57" i="7"/>
  <c r="J64" i="7"/>
  <c r="D46" i="8"/>
  <c r="N108" i="9"/>
  <c r="J125" i="7"/>
  <c r="J61" i="7"/>
  <c r="I6" i="6"/>
  <c r="I10" i="6" s="1"/>
  <c r="I7" i="6" s="1"/>
  <c r="I129" i="7"/>
  <c r="I65" i="7"/>
  <c r="O45" i="7"/>
  <c r="T45" i="7" s="1"/>
  <c r="D56" i="8"/>
  <c r="B56" i="8"/>
  <c r="E56" i="8"/>
  <c r="E81" i="8"/>
  <c r="D81" i="8"/>
  <c r="C81" i="8"/>
  <c r="G32" i="8"/>
  <c r="J50" i="8"/>
  <c r="C72" i="8"/>
  <c r="B72" i="8"/>
  <c r="E72" i="8"/>
  <c r="D72" i="8"/>
  <c r="F50" i="8"/>
  <c r="F25" i="8"/>
  <c r="K28" i="8"/>
  <c r="O42" i="7"/>
  <c r="T42" i="7" s="1"/>
  <c r="T48" i="7"/>
  <c r="K57" i="7"/>
  <c r="K24" i="9"/>
  <c r="M108" i="9"/>
  <c r="E47" i="8"/>
  <c r="D47" i="8"/>
  <c r="C47" i="8"/>
  <c r="B47" i="8"/>
  <c r="F22" i="8"/>
  <c r="L39" i="7"/>
  <c r="Q39" i="7" s="1"/>
  <c r="T40" i="7"/>
  <c r="P42" i="7"/>
  <c r="U42" i="7" s="1"/>
  <c r="L47" i="7"/>
  <c r="E59" i="7"/>
  <c r="K26" i="9"/>
  <c r="I33" i="8"/>
  <c r="H32" i="8"/>
  <c r="C44" i="8"/>
  <c r="B44" i="8"/>
  <c r="E63" i="8"/>
  <c r="E31" i="8" s="1"/>
  <c r="D63" i="8"/>
  <c r="C63" i="8"/>
  <c r="B63" i="8"/>
  <c r="T93" i="5"/>
  <c r="W93" i="5" s="1"/>
  <c r="J82" i="8"/>
  <c r="J9" i="8" s="1"/>
  <c r="K31" i="8"/>
  <c r="L42" i="7"/>
  <c r="Q42" i="7" s="1"/>
  <c r="F59" i="7"/>
  <c r="K27" i="8"/>
  <c r="G29" i="9"/>
  <c r="G32" i="9"/>
  <c r="N42" i="7"/>
  <c r="S42" i="7" s="1"/>
  <c r="Q47" i="7"/>
  <c r="I25" i="9"/>
  <c r="E27" i="9"/>
  <c r="H32" i="9"/>
  <c r="L111" i="9"/>
  <c r="J25" i="9"/>
  <c r="I32" i="9"/>
  <c r="E23" i="9"/>
  <c r="B71" i="8"/>
  <c r="B23" i="8" s="1"/>
  <c r="E49" i="9"/>
  <c r="E7" i="9" s="1"/>
  <c r="K7" i="9" s="1"/>
  <c r="J32" i="9"/>
  <c r="K96" i="9"/>
  <c r="F23" i="9"/>
  <c r="C71" i="8"/>
  <c r="C23" i="8" s="1"/>
  <c r="G65" i="9"/>
  <c r="G10" i="9" s="1"/>
  <c r="G21" i="9"/>
  <c r="G33" i="9" s="1"/>
  <c r="G6" i="9" s="1"/>
  <c r="L96" i="9"/>
  <c r="H65" i="9"/>
  <c r="H10" i="9" s="1"/>
  <c r="H21" i="9"/>
  <c r="H33" i="9" s="1"/>
  <c r="H6" i="9" s="1"/>
  <c r="L87" i="9"/>
  <c r="K111" i="9"/>
  <c r="I21" i="9"/>
  <c r="M87" i="9"/>
  <c r="O41" i="7"/>
  <c r="T41" i="7" s="1"/>
  <c r="P50" i="7"/>
  <c r="K12" i="9"/>
  <c r="J21" i="9"/>
  <c r="J65" i="9"/>
  <c r="J10" i="9" s="1"/>
  <c r="N87" i="9"/>
  <c r="K92" i="9"/>
  <c r="K94" i="9"/>
  <c r="M100" i="9"/>
  <c r="E30" i="9"/>
  <c r="Q50" i="7"/>
  <c r="L12" i="9"/>
  <c r="O87" i="9"/>
  <c r="G12" i="9"/>
  <c r="I65" i="9"/>
  <c r="I10" i="9" s="1"/>
  <c r="L109" i="9"/>
  <c r="J29" i="9"/>
  <c r="I26" i="9"/>
  <c r="I5" i="9"/>
  <c r="M109" i="9"/>
  <c r="J26" i="9"/>
  <c r="Q89" i="9"/>
  <c r="N109" i="9"/>
  <c r="J22" i="9"/>
  <c r="R89" i="9"/>
  <c r="K22" i="9"/>
  <c r="N89" i="9"/>
  <c r="L91" i="9"/>
  <c r="L93" i="9"/>
  <c r="F49" i="9"/>
  <c r="F7" i="9" s="1"/>
  <c r="E24" i="9"/>
  <c r="O89" i="9"/>
  <c r="M91" i="9"/>
  <c r="F24" i="9"/>
  <c r="P89" i="9"/>
  <c r="N93" i="9"/>
  <c r="L95" i="9"/>
  <c r="M102" i="9"/>
  <c r="O93" i="9"/>
  <c r="N102" i="9"/>
  <c r="K27" i="9"/>
  <c r="O102" i="9"/>
  <c r="M104" i="9"/>
  <c r="L106" i="9"/>
  <c r="E65" i="9"/>
  <c r="E10" i="9" s="1"/>
  <c r="E21" i="9"/>
  <c r="E28" i="9"/>
  <c r="F21" i="9"/>
  <c r="F28" i="9"/>
  <c r="L86" i="9"/>
  <c r="L110" i="9"/>
  <c r="I13" i="6" l="1"/>
  <c r="E50" i="8"/>
  <c r="L3" i="7"/>
  <c r="L6" i="7" s="1"/>
  <c r="K12" i="7"/>
  <c r="M18" i="8"/>
  <c r="L6" i="8"/>
  <c r="B27" i="8"/>
  <c r="P9" i="6"/>
  <c r="N9" i="6"/>
  <c r="B25" i="8"/>
  <c r="E25" i="8"/>
  <c r="M5" i="9"/>
  <c r="M107" i="9"/>
  <c r="H34" i="8"/>
  <c r="C27" i="8"/>
  <c r="G11" i="9"/>
  <c r="L5" i="9"/>
  <c r="N85" i="9"/>
  <c r="H8" i="9"/>
  <c r="M95" i="9"/>
  <c r="B29" i="8"/>
  <c r="Q9" i="6"/>
  <c r="J34" i="8"/>
  <c r="S99" i="7"/>
  <c r="S67" i="7"/>
  <c r="S9" i="7"/>
  <c r="B28" i="8"/>
  <c r="C28" i="8"/>
  <c r="L50" i="7"/>
  <c r="F34" i="8"/>
  <c r="O9" i="7"/>
  <c r="O99" i="7"/>
  <c r="O67" i="7"/>
  <c r="H11" i="9"/>
  <c r="L7" i="7"/>
  <c r="P102" i="9"/>
  <c r="C22" i="8"/>
  <c r="C66" i="8"/>
  <c r="O91" i="9"/>
  <c r="E12" i="7"/>
  <c r="D22" i="8"/>
  <c r="D66" i="8"/>
  <c r="K7" i="6"/>
  <c r="R99" i="7"/>
  <c r="R67" i="7"/>
  <c r="R9" i="7"/>
  <c r="T9" i="6"/>
  <c r="U9" i="6"/>
  <c r="S9" i="6"/>
  <c r="L9" i="6"/>
  <c r="O9" i="6"/>
  <c r="O108" i="9"/>
  <c r="R9" i="6"/>
  <c r="J33" i="9"/>
  <c r="J6" i="9" s="1"/>
  <c r="F55" i="7"/>
  <c r="F67" i="7" s="1"/>
  <c r="F7" i="7" s="1"/>
  <c r="F6" i="7"/>
  <c r="C29" i="8"/>
  <c r="L14" i="9"/>
  <c r="L9" i="8"/>
  <c r="L17" i="8" s="1"/>
  <c r="L81" i="9"/>
  <c r="M9" i="9"/>
  <c r="K76" i="9"/>
  <c r="D32" i="8"/>
  <c r="P87" i="9"/>
  <c r="E27" i="8"/>
  <c r="K79" i="9"/>
  <c r="N96" i="9"/>
  <c r="O88" i="9"/>
  <c r="E82" i="8"/>
  <c r="E9" i="8" s="1"/>
  <c r="O110" i="9"/>
  <c r="P110" i="9" s="1"/>
  <c r="S89" i="9"/>
  <c r="T89" i="9" s="1"/>
  <c r="N104" i="9"/>
  <c r="H11" i="8"/>
  <c r="H17" i="8"/>
  <c r="K66" i="7"/>
  <c r="E33" i="9"/>
  <c r="E6" i="9" s="1"/>
  <c r="N107" i="9"/>
  <c r="B31" i="8"/>
  <c r="D24" i="8"/>
  <c r="F17" i="8"/>
  <c r="F11" i="8"/>
  <c r="K95" i="7"/>
  <c r="K93" i="7"/>
  <c r="K97" i="7"/>
  <c r="K94" i="7"/>
  <c r="K96" i="7"/>
  <c r="K92" i="7"/>
  <c r="K91" i="7"/>
  <c r="K98" i="7"/>
  <c r="E22" i="8"/>
  <c r="E66" i="8"/>
  <c r="P43" i="7"/>
  <c r="U43" i="7" s="1"/>
  <c r="O101" i="9"/>
  <c r="Q99" i="7"/>
  <c r="Q67" i="7"/>
  <c r="Q9" i="7"/>
  <c r="D27" i="8"/>
  <c r="P108" i="9"/>
  <c r="M94" i="9"/>
  <c r="C25" i="8"/>
  <c r="O86" i="9"/>
  <c r="P88" i="9"/>
  <c r="K78" i="9"/>
  <c r="O107" i="9"/>
  <c r="P107" i="9" s="1"/>
  <c r="C32" i="8"/>
  <c r="K49" i="9"/>
  <c r="C82" i="8"/>
  <c r="C9" i="8" s="1"/>
  <c r="C11" i="8" s="1"/>
  <c r="M7" i="7"/>
  <c r="L7" i="9"/>
  <c r="N7" i="9" s="1"/>
  <c r="O105" i="9"/>
  <c r="D23" i="8"/>
  <c r="I34" i="8"/>
  <c r="B32" i="8"/>
  <c r="E24" i="8"/>
  <c r="E23" i="8"/>
  <c r="B82" i="8"/>
  <c r="B9" i="8" s="1"/>
  <c r="B11" i="8" s="1"/>
  <c r="I33" i="9"/>
  <c r="I6" i="9" s="1"/>
  <c r="M90" i="9"/>
  <c r="K10" i="9"/>
  <c r="E11" i="9"/>
  <c r="O109" i="9"/>
  <c r="N100" i="9"/>
  <c r="O100" i="9" s="1"/>
  <c r="M96" i="9"/>
  <c r="N91" i="9"/>
  <c r="C31" i="8"/>
  <c r="G13" i="6"/>
  <c r="M50" i="7"/>
  <c r="M7" i="9"/>
  <c r="B50" i="8"/>
  <c r="C50" i="8"/>
  <c r="D50" i="8"/>
  <c r="O96" i="9"/>
  <c r="N12" i="9"/>
  <c r="J11" i="9"/>
  <c r="Q108" i="9"/>
  <c r="R108" i="9" s="1"/>
  <c r="O103" i="9"/>
  <c r="P103" i="9" s="1"/>
  <c r="N86" i="9"/>
  <c r="D25" i="8"/>
  <c r="H12" i="7"/>
  <c r="K77" i="9"/>
  <c r="P7" i="7"/>
  <c r="K34" i="8"/>
  <c r="B26" i="8"/>
  <c r="K11" i="8"/>
  <c r="C26" i="8"/>
  <c r="F33" i="9"/>
  <c r="F6" i="9" s="1"/>
  <c r="D33" i="8"/>
  <c r="D82" i="8"/>
  <c r="D9" i="8" s="1"/>
  <c r="D11" i="8" s="1"/>
  <c r="E32" i="8"/>
  <c r="L10" i="9"/>
  <c r="I11" i="9"/>
  <c r="M111" i="9"/>
  <c r="E33" i="8"/>
  <c r="M12" i="9"/>
  <c r="J17" i="8"/>
  <c r="J11" i="8"/>
  <c r="B22" i="8"/>
  <c r="B66" i="8"/>
  <c r="M110" i="9"/>
  <c r="Q110" i="9" s="1"/>
  <c r="P109" i="9"/>
  <c r="Q109" i="9" s="1"/>
  <c r="B24" i="8"/>
  <c r="N110" i="9"/>
  <c r="M106" i="9"/>
  <c r="P93" i="9"/>
  <c r="L92" i="9"/>
  <c r="M92" i="9" s="1"/>
  <c r="Q87" i="9"/>
  <c r="D31" i="8"/>
  <c r="K8" i="8"/>
  <c r="L7" i="8"/>
  <c r="I14" i="9"/>
  <c r="I17" i="8"/>
  <c r="I11" i="8"/>
  <c r="G17" i="8"/>
  <c r="G11" i="8"/>
  <c r="G9" i="7"/>
  <c r="G12" i="7"/>
  <c r="N49" i="9" l="1"/>
  <c r="Q100" i="9"/>
  <c r="R100" i="9" s="1"/>
  <c r="M6" i="9"/>
  <c r="Q103" i="9"/>
  <c r="R103" i="9"/>
  <c r="T103" i="9" s="1"/>
  <c r="S103" i="9"/>
  <c r="Q91" i="9"/>
  <c r="S88" i="9"/>
  <c r="R109" i="9"/>
  <c r="S109" i="9" s="1"/>
  <c r="T109" i="9" s="1"/>
  <c r="K10" i="6"/>
  <c r="K11" i="6" s="1"/>
  <c r="U7" i="6"/>
  <c r="U10" i="6" s="1"/>
  <c r="T7" i="6"/>
  <c r="T10" i="6" s="1"/>
  <c r="L7" i="6"/>
  <c r="L10" i="6" s="1"/>
  <c r="L10" i="7"/>
  <c r="L6" i="9"/>
  <c r="F8" i="9"/>
  <c r="R87" i="9"/>
  <c r="S87" i="9" s="1"/>
  <c r="E17" i="8"/>
  <c r="E11" i="8"/>
  <c r="Q102" i="9"/>
  <c r="R102" i="9" s="1"/>
  <c r="O7" i="6"/>
  <c r="O10" i="6" s="1"/>
  <c r="O7" i="9"/>
  <c r="T88" i="9"/>
  <c r="Q88" i="9"/>
  <c r="C34" i="8"/>
  <c r="N7" i="6"/>
  <c r="N10" i="6" s="1"/>
  <c r="O12" i="9"/>
  <c r="S108" i="9"/>
  <c r="T108" i="9" s="1"/>
  <c r="R7" i="6"/>
  <c r="R10" i="6" s="1"/>
  <c r="Q7" i="6"/>
  <c r="Q10" i="6" s="1"/>
  <c r="M49" i="9"/>
  <c r="L67" i="7"/>
  <c r="T7" i="7"/>
  <c r="L9" i="7"/>
  <c r="L99" i="7"/>
  <c r="M10" i="9"/>
  <c r="S7" i="6"/>
  <c r="S10" i="6" s="1"/>
  <c r="B34" i="8"/>
  <c r="K6" i="9"/>
  <c r="E8" i="9"/>
  <c r="N94" i="9"/>
  <c r="N90" i="9"/>
  <c r="O90" i="9" s="1"/>
  <c r="M6" i="8"/>
  <c r="N18" i="8"/>
  <c r="N106" i="9"/>
  <c r="O106" i="9"/>
  <c r="O104" i="9"/>
  <c r="K61" i="7"/>
  <c r="O94" i="9"/>
  <c r="N92" i="9"/>
  <c r="D34" i="8"/>
  <c r="S110" i="9"/>
  <c r="P99" i="7"/>
  <c r="P67" i="7"/>
  <c r="P9" i="7"/>
  <c r="K63" i="7"/>
  <c r="R110" i="9"/>
  <c r="Q93" i="9"/>
  <c r="R93" i="9" s="1"/>
  <c r="S93" i="9" s="1"/>
  <c r="P7" i="6"/>
  <c r="P10" i="6" s="1"/>
  <c r="P101" i="9"/>
  <c r="K59" i="7"/>
  <c r="K76" i="7" s="1"/>
  <c r="K77" i="7" s="1"/>
  <c r="K78" i="7" s="1"/>
  <c r="K79" i="7" s="1"/>
  <c r="K80" i="7" s="1"/>
  <c r="K81" i="7" s="1"/>
  <c r="K82" i="7" s="1"/>
  <c r="K83" i="7" s="1"/>
  <c r="Q107" i="9"/>
  <c r="R107" i="9" s="1"/>
  <c r="O61" i="7"/>
  <c r="O62" i="7"/>
  <c r="O58" i="7"/>
  <c r="O56" i="7"/>
  <c r="O60" i="7"/>
  <c r="O64" i="7"/>
  <c r="O63" i="7"/>
  <c r="O55" i="7"/>
  <c r="O66" i="7" s="1"/>
  <c r="O65" i="7"/>
  <c r="O59" i="7"/>
  <c r="O57" i="7"/>
  <c r="O85" i="9"/>
  <c r="P85" i="9" s="1"/>
  <c r="L11" i="9"/>
  <c r="L65" i="9"/>
  <c r="K80" i="9"/>
  <c r="K62" i="7"/>
  <c r="R88" i="9"/>
  <c r="O87" i="7"/>
  <c r="O96" i="7"/>
  <c r="O93" i="7"/>
  <c r="O90" i="7"/>
  <c r="O91" i="7"/>
  <c r="O88" i="7"/>
  <c r="O97" i="7"/>
  <c r="O95" i="7"/>
  <c r="O89" i="7"/>
  <c r="O94" i="7"/>
  <c r="O92" i="7"/>
  <c r="O98" i="7"/>
  <c r="L49" i="9"/>
  <c r="N5" i="9"/>
  <c r="P7" i="8"/>
  <c r="L8" i="8"/>
  <c r="M7" i="8"/>
  <c r="N7" i="8"/>
  <c r="E34" i="8"/>
  <c r="K65" i="7"/>
  <c r="L75" i="9"/>
  <c r="L79" i="9"/>
  <c r="L72" i="9"/>
  <c r="L76" i="9"/>
  <c r="L69" i="9"/>
  <c r="L80" i="9" s="1"/>
  <c r="L78" i="9"/>
  <c r="L74" i="9"/>
  <c r="L73" i="9"/>
  <c r="L71" i="9"/>
  <c r="L77" i="9"/>
  <c r="L70" i="9"/>
  <c r="N95" i="9"/>
  <c r="M7" i="6"/>
  <c r="M10" i="6" s="1"/>
  <c r="J8" i="9"/>
  <c r="P91" i="9"/>
  <c r="P100" i="9"/>
  <c r="S100" i="9" s="1"/>
  <c r="K12" i="8"/>
  <c r="L5" i="8" s="1"/>
  <c r="P86" i="9"/>
  <c r="Q86" i="9" s="1"/>
  <c r="K60" i="7"/>
  <c r="F9" i="7"/>
  <c r="F12" i="7"/>
  <c r="N7" i="7"/>
  <c r="O5" i="9"/>
  <c r="N111" i="9"/>
  <c r="T110" i="9"/>
  <c r="I8" i="9"/>
  <c r="M9" i="7"/>
  <c r="M67" i="7"/>
  <c r="U7" i="7"/>
  <c r="M99" i="7"/>
  <c r="K64" i="7"/>
  <c r="N9" i="9"/>
  <c r="M14" i="9"/>
  <c r="M9" i="8"/>
  <c r="M17" i="8" s="1"/>
  <c r="M81" i="9"/>
  <c r="O7" i="8"/>
  <c r="P105" i="9"/>
  <c r="K11" i="9"/>
  <c r="K65" i="9"/>
  <c r="K46" i="9"/>
  <c r="K44" i="9"/>
  <c r="K48" i="9" s="1"/>
  <c r="K45" i="9"/>
  <c r="K47" i="9"/>
  <c r="P96" i="9"/>
  <c r="Q96" i="9" s="1"/>
  <c r="P90" i="9" l="1"/>
  <c r="R85" i="9"/>
  <c r="O49" i="9"/>
  <c r="P61" i="7"/>
  <c r="P65" i="7"/>
  <c r="P57" i="7"/>
  <c r="P58" i="7"/>
  <c r="P66" i="7"/>
  <c r="P62" i="7"/>
  <c r="P60" i="7"/>
  <c r="P64" i="7"/>
  <c r="P56" i="7"/>
  <c r="P55" i="7"/>
  <c r="P63" i="7"/>
  <c r="P59" i="7"/>
  <c r="M33" i="9"/>
  <c r="P5" i="9"/>
  <c r="P87" i="7"/>
  <c r="P96" i="7"/>
  <c r="P90" i="7"/>
  <c r="P97" i="7"/>
  <c r="P94" i="7"/>
  <c r="P91" i="7"/>
  <c r="P98" i="7"/>
  <c r="P88" i="7"/>
  <c r="P93" i="7"/>
  <c r="P95" i="7"/>
  <c r="P89" i="7"/>
  <c r="P92" i="7"/>
  <c r="Q105" i="9"/>
  <c r="R105" i="9"/>
  <c r="S105" i="9" s="1"/>
  <c r="Q85" i="9"/>
  <c r="T85" i="9" s="1"/>
  <c r="M3" i="7"/>
  <c r="M6" i="7" s="1"/>
  <c r="M10" i="7" s="1"/>
  <c r="L12" i="7"/>
  <c r="O9" i="9"/>
  <c r="N14" i="9"/>
  <c r="N9" i="8"/>
  <c r="N17" i="8" s="1"/>
  <c r="N81" i="9"/>
  <c r="K62" i="9"/>
  <c r="K63" i="9"/>
  <c r="K61" i="9"/>
  <c r="K60" i="9"/>
  <c r="K64" i="9" s="1"/>
  <c r="L62" i="9"/>
  <c r="L55" i="9"/>
  <c r="L59" i="9"/>
  <c r="L63" i="9"/>
  <c r="L56" i="9"/>
  <c r="L54" i="9"/>
  <c r="L61" i="9"/>
  <c r="L53" i="9"/>
  <c r="L57" i="9"/>
  <c r="L64" i="9" s="1"/>
  <c r="L60" i="9"/>
  <c r="L58" i="9"/>
  <c r="M79" i="9"/>
  <c r="M72" i="9"/>
  <c r="M76" i="9"/>
  <c r="M73" i="9"/>
  <c r="M78" i="9"/>
  <c r="M74" i="9"/>
  <c r="M71" i="9"/>
  <c r="M75" i="9"/>
  <c r="M77" i="9"/>
  <c r="M70" i="9"/>
  <c r="M69" i="9"/>
  <c r="M80" i="9" s="1"/>
  <c r="P104" i="9"/>
  <c r="T104" i="9" s="1"/>
  <c r="M11" i="9"/>
  <c r="M65" i="9"/>
  <c r="O10" i="9"/>
  <c r="P10" i="9"/>
  <c r="K13" i="6"/>
  <c r="L3" i="6"/>
  <c r="L6" i="6" s="1"/>
  <c r="L11" i="6" s="1"/>
  <c r="P7" i="9"/>
  <c r="T99" i="7"/>
  <c r="T9" i="7"/>
  <c r="T67" i="7"/>
  <c r="P12" i="9"/>
  <c r="R106" i="9"/>
  <c r="S106" i="9" s="1"/>
  <c r="T87" i="9"/>
  <c r="O111" i="9"/>
  <c r="L95" i="7"/>
  <c r="Q95" i="7" s="1"/>
  <c r="L91" i="7"/>
  <c r="Q91" i="7" s="1"/>
  <c r="L97" i="7"/>
  <c r="Q97" i="7" s="1"/>
  <c r="L94" i="7"/>
  <c r="Q94" i="7" s="1"/>
  <c r="L92" i="7"/>
  <c r="Q92" i="7" s="1"/>
  <c r="L90" i="7"/>
  <c r="Q90" i="7" s="1"/>
  <c r="L93" i="7"/>
  <c r="Q93" i="7" s="1"/>
  <c r="L88" i="7"/>
  <c r="Q88" i="7" s="1"/>
  <c r="L87" i="7"/>
  <c r="Q87" i="7" s="1"/>
  <c r="Q98" i="7" s="1"/>
  <c r="L96" i="7"/>
  <c r="Q96" i="7" s="1"/>
  <c r="L98" i="7"/>
  <c r="L89" i="7"/>
  <c r="Q89" i="7" s="1"/>
  <c r="M64" i="7"/>
  <c r="R64" i="7" s="1"/>
  <c r="M56" i="7"/>
  <c r="R56" i="7" s="1"/>
  <c r="M62" i="7"/>
  <c r="R62" i="7" s="1"/>
  <c r="M58" i="7"/>
  <c r="R58" i="7" s="1"/>
  <c r="M60" i="7"/>
  <c r="R60" i="7" s="1"/>
  <c r="M57" i="7"/>
  <c r="R57" i="7" s="1"/>
  <c r="M65" i="7"/>
  <c r="R65" i="7" s="1"/>
  <c r="M59" i="7"/>
  <c r="R59" i="7" s="1"/>
  <c r="M63" i="7"/>
  <c r="R63" i="7" s="1"/>
  <c r="M55" i="7"/>
  <c r="R55" i="7" s="1"/>
  <c r="R66" i="7" s="1"/>
  <c r="M61" i="7"/>
  <c r="R61" i="7" s="1"/>
  <c r="Q94" i="9"/>
  <c r="R86" i="9"/>
  <c r="P92" i="9"/>
  <c r="T93" i="9"/>
  <c r="T100" i="9"/>
  <c r="U99" i="7"/>
  <c r="U67" i="7"/>
  <c r="U9" i="7"/>
  <c r="S107" i="9"/>
  <c r="T107" i="9" s="1"/>
  <c r="Q101" i="9"/>
  <c r="S85" i="9"/>
  <c r="L33" i="9"/>
  <c r="Q104" i="9"/>
  <c r="R104" i="9" s="1"/>
  <c r="S104" i="9" s="1"/>
  <c r="K33" i="9"/>
  <c r="K8" i="9"/>
  <c r="M42" i="9"/>
  <c r="N42" i="9" s="1"/>
  <c r="M46" i="9"/>
  <c r="N46" i="9" s="1"/>
  <c r="M39" i="9"/>
  <c r="N39" i="9" s="1"/>
  <c r="M37" i="9"/>
  <c r="N37" i="9" s="1"/>
  <c r="S102" i="9"/>
  <c r="T102" i="9" s="1"/>
  <c r="L38" i="9"/>
  <c r="M38" i="9" s="1"/>
  <c r="L42" i="9"/>
  <c r="L46" i="9"/>
  <c r="L39" i="9"/>
  <c r="L43" i="9"/>
  <c r="M43" i="9" s="1"/>
  <c r="N43" i="9" s="1"/>
  <c r="L45" i="9"/>
  <c r="M45" i="9" s="1"/>
  <c r="N45" i="9" s="1"/>
  <c r="L41" i="9"/>
  <c r="M41" i="9" s="1"/>
  <c r="N41" i="9" s="1"/>
  <c r="L44" i="9"/>
  <c r="L40" i="9"/>
  <c r="L47" i="9"/>
  <c r="M47" i="9" s="1"/>
  <c r="L37" i="9"/>
  <c r="P106" i="9"/>
  <c r="Q106" i="9" s="1"/>
  <c r="O18" i="8"/>
  <c r="N6" i="8"/>
  <c r="R91" i="9"/>
  <c r="S91" i="9" s="1"/>
  <c r="T91" i="9" s="1"/>
  <c r="P94" i="9"/>
  <c r="Q7" i="8"/>
  <c r="R7" i="8" s="1"/>
  <c r="M8" i="8"/>
  <c r="O95" i="9"/>
  <c r="P95" i="9"/>
  <c r="N9" i="7"/>
  <c r="N99" i="7"/>
  <c r="N67" i="7"/>
  <c r="L8" i="9"/>
  <c r="M91" i="7"/>
  <c r="R91" i="7" s="1"/>
  <c r="M93" i="7"/>
  <c r="R93" i="7" s="1"/>
  <c r="M94" i="7"/>
  <c r="R94" i="7" s="1"/>
  <c r="M92" i="7"/>
  <c r="R92" i="7" s="1"/>
  <c r="M90" i="7"/>
  <c r="R90" i="7" s="1"/>
  <c r="M95" i="7"/>
  <c r="R95" i="7" s="1"/>
  <c r="M97" i="7"/>
  <c r="R97" i="7" s="1"/>
  <c r="M88" i="7"/>
  <c r="R88" i="7" s="1"/>
  <c r="M87" i="7"/>
  <c r="R87" i="7" s="1"/>
  <c r="R98" i="7" s="1"/>
  <c r="M96" i="7"/>
  <c r="R96" i="7" s="1"/>
  <c r="M89" i="7"/>
  <c r="R89" i="7" s="1"/>
  <c r="N6" i="9"/>
  <c r="L64" i="7"/>
  <c r="Q64" i="7" s="1"/>
  <c r="L56" i="7"/>
  <c r="Q56" i="7" s="1"/>
  <c r="L65" i="7"/>
  <c r="Q65" i="7" s="1"/>
  <c r="L57" i="7"/>
  <c r="Q57" i="7" s="1"/>
  <c r="L62" i="7"/>
  <c r="Q62" i="7" s="1"/>
  <c r="L55" i="7"/>
  <c r="Q55" i="7" s="1"/>
  <c r="Q66" i="7" s="1"/>
  <c r="L58" i="7"/>
  <c r="Q58" i="7" s="1"/>
  <c r="L60" i="7"/>
  <c r="Q60" i="7" s="1"/>
  <c r="L66" i="7"/>
  <c r="L59" i="7"/>
  <c r="Q59" i="7" s="1"/>
  <c r="L63" i="7"/>
  <c r="Q63" i="7" s="1"/>
  <c r="L61" i="7"/>
  <c r="Q61" i="7" s="1"/>
  <c r="R96" i="9"/>
  <c r="N8" i="8"/>
  <c r="L10" i="8"/>
  <c r="L11" i="8" s="1"/>
  <c r="L12" i="8" s="1"/>
  <c r="M5" i="8" s="1"/>
  <c r="M8" i="9"/>
  <c r="O92" i="9"/>
  <c r="N10" i="9"/>
  <c r="T7" i="8" l="1"/>
  <c r="S7" i="8"/>
  <c r="N44" i="9"/>
  <c r="T86" i="9"/>
  <c r="O11" i="9"/>
  <c r="O65" i="9"/>
  <c r="Q95" i="9"/>
  <c r="K29" i="9"/>
  <c r="K30" i="9"/>
  <c r="K32" i="9"/>
  <c r="L32" i="9" s="1"/>
  <c r="K31" i="9"/>
  <c r="K28" i="9"/>
  <c r="M55" i="9"/>
  <c r="M59" i="9"/>
  <c r="M63" i="9"/>
  <c r="M60" i="9"/>
  <c r="M54" i="9"/>
  <c r="M61" i="9"/>
  <c r="M62" i="9"/>
  <c r="M57" i="9"/>
  <c r="M53" i="9"/>
  <c r="M64" i="9" s="1"/>
  <c r="M58" i="9"/>
  <c r="M56" i="9"/>
  <c r="N11" i="9"/>
  <c r="N65" i="9"/>
  <c r="Q10" i="9"/>
  <c r="R10" i="9" s="1"/>
  <c r="N79" i="9"/>
  <c r="N72" i="9"/>
  <c r="N76" i="9"/>
  <c r="N69" i="9"/>
  <c r="N80" i="9" s="1"/>
  <c r="N73" i="9"/>
  <c r="N77" i="9"/>
  <c r="N78" i="9"/>
  <c r="N74" i="9"/>
  <c r="N70" i="9"/>
  <c r="N71" i="9"/>
  <c r="N75" i="9"/>
  <c r="R101" i="9"/>
  <c r="S101" i="9" s="1"/>
  <c r="T101" i="9" s="1"/>
  <c r="P65" i="9"/>
  <c r="N8" i="9"/>
  <c r="M66" i="7"/>
  <c r="Q92" i="9"/>
  <c r="P6" i="9"/>
  <c r="R94" i="9"/>
  <c r="S94" i="9" s="1"/>
  <c r="T94" i="9" s="1"/>
  <c r="M98" i="7"/>
  <c r="Q5" i="9"/>
  <c r="N64" i="7"/>
  <c r="S64" i="7" s="1"/>
  <c r="N61" i="7"/>
  <c r="S61" i="7" s="1"/>
  <c r="N62" i="7"/>
  <c r="S62" i="7" s="1"/>
  <c r="N58" i="7"/>
  <c r="S58" i="7" s="1"/>
  <c r="N56" i="7"/>
  <c r="S56" i="7" s="1"/>
  <c r="N60" i="7"/>
  <c r="S60" i="7" s="1"/>
  <c r="N59" i="7"/>
  <c r="S59" i="7" s="1"/>
  <c r="N63" i="7"/>
  <c r="S63" i="7" s="1"/>
  <c r="N55" i="7"/>
  <c r="S55" i="7" s="1"/>
  <c r="S66" i="7" s="1"/>
  <c r="N57" i="7"/>
  <c r="S57" i="7" s="1"/>
  <c r="N65" i="7"/>
  <c r="S65" i="7" s="1"/>
  <c r="M40" i="9"/>
  <c r="N40" i="9" s="1"/>
  <c r="N48" i="9" s="1"/>
  <c r="L72" i="7"/>
  <c r="L73" i="7" s="1"/>
  <c r="L74" i="7" s="1"/>
  <c r="L75" i="7" s="1"/>
  <c r="L76" i="7" s="1"/>
  <c r="L77" i="7" s="1"/>
  <c r="L78" i="7" s="1"/>
  <c r="L79" i="7" s="1"/>
  <c r="L80" i="7" s="1"/>
  <c r="L81" i="7" s="1"/>
  <c r="L82" i="7" s="1"/>
  <c r="L83" i="7" s="1"/>
  <c r="M72" i="7" s="1"/>
  <c r="M73" i="7" s="1"/>
  <c r="M74" i="7" s="1"/>
  <c r="M75" i="7" s="1"/>
  <c r="M76" i="7" s="1"/>
  <c r="M77" i="7" s="1"/>
  <c r="M78" i="7" s="1"/>
  <c r="M79" i="7" s="1"/>
  <c r="M80" i="7" s="1"/>
  <c r="M81" i="7" s="1"/>
  <c r="M82" i="7" s="1"/>
  <c r="M83" i="7" s="1"/>
  <c r="N72" i="7" s="1"/>
  <c r="N73" i="7" s="1"/>
  <c r="N74" i="7" s="1"/>
  <c r="N75" i="7" s="1"/>
  <c r="N76" i="7" s="1"/>
  <c r="N77" i="7" s="1"/>
  <c r="N78" i="7" s="1"/>
  <c r="N79" i="7" s="1"/>
  <c r="N80" i="7" s="1"/>
  <c r="N81" i="7" s="1"/>
  <c r="N82" i="7" s="1"/>
  <c r="U65" i="7"/>
  <c r="U62" i="7"/>
  <c r="U58" i="7"/>
  <c r="U63" i="7"/>
  <c r="U59" i="7"/>
  <c r="U55" i="7"/>
  <c r="U66" i="7" s="1"/>
  <c r="U60" i="7"/>
  <c r="U64" i="7"/>
  <c r="U56" i="7"/>
  <c r="U61" i="7"/>
  <c r="U57" i="7"/>
  <c r="N38" i="9"/>
  <c r="M22" i="9"/>
  <c r="M26" i="9"/>
  <c r="M25" i="9"/>
  <c r="M31" i="9"/>
  <c r="M24" i="9"/>
  <c r="M21" i="9"/>
  <c r="M28" i="9"/>
  <c r="L48" i="9"/>
  <c r="N47" i="9"/>
  <c r="O47" i="9" s="1"/>
  <c r="N91" i="7"/>
  <c r="S91" i="7" s="1"/>
  <c r="N87" i="7"/>
  <c r="S87" i="7" s="1"/>
  <c r="S98" i="7" s="1"/>
  <c r="N93" i="7"/>
  <c r="S93" i="7" s="1"/>
  <c r="N90" i="7"/>
  <c r="S90" i="7" s="1"/>
  <c r="N97" i="7"/>
  <c r="S97" i="7" s="1"/>
  <c r="N94" i="7"/>
  <c r="S94" i="7" s="1"/>
  <c r="N92" i="7"/>
  <c r="S92" i="7" s="1"/>
  <c r="N95" i="7"/>
  <c r="S95" i="7" s="1"/>
  <c r="N88" i="7"/>
  <c r="S88" i="7" s="1"/>
  <c r="N89" i="7"/>
  <c r="S89" i="7" s="1"/>
  <c r="N96" i="7"/>
  <c r="S96" i="7" s="1"/>
  <c r="N98" i="7"/>
  <c r="P9" i="9"/>
  <c r="P11" i="9" s="1"/>
  <c r="O81" i="9"/>
  <c r="O9" i="8"/>
  <c r="O17" i="8" s="1"/>
  <c r="O14" i="9"/>
  <c r="P111" i="9"/>
  <c r="N10" i="8"/>
  <c r="N11" i="8" s="1"/>
  <c r="N12" i="8"/>
  <c r="O5" i="8" s="1"/>
  <c r="T96" i="9"/>
  <c r="S96" i="9"/>
  <c r="M44" i="9"/>
  <c r="P49" i="9"/>
  <c r="U88" i="7"/>
  <c r="U97" i="7"/>
  <c r="U95" i="7"/>
  <c r="U91" i="7"/>
  <c r="U89" i="7"/>
  <c r="U93" i="7"/>
  <c r="U92" i="7"/>
  <c r="U87" i="7"/>
  <c r="U98" i="7" s="1"/>
  <c r="U94" i="7"/>
  <c r="U96" i="7"/>
  <c r="U90" i="7"/>
  <c r="T106" i="9"/>
  <c r="P18" i="8"/>
  <c r="O6" i="8"/>
  <c r="O8" i="8" s="1"/>
  <c r="Q12" i="9"/>
  <c r="Q90" i="9"/>
  <c r="S86" i="9"/>
  <c r="N33" i="9"/>
  <c r="O6" i="9"/>
  <c r="L25" i="9"/>
  <c r="L22" i="9"/>
  <c r="L26" i="9"/>
  <c r="L27" i="9"/>
  <c r="M27" i="9" s="1"/>
  <c r="L31" i="9"/>
  <c r="L24" i="9"/>
  <c r="L21" i="9"/>
  <c r="L28" i="9"/>
  <c r="L23" i="9"/>
  <c r="M23" i="9" s="1"/>
  <c r="R95" i="9"/>
  <c r="U7" i="8"/>
  <c r="N3" i="7"/>
  <c r="N6" i="7" s="1"/>
  <c r="N10" i="7" s="1"/>
  <c r="M12" i="7"/>
  <c r="O46" i="9"/>
  <c r="O39" i="9"/>
  <c r="O43" i="9"/>
  <c r="O41" i="9"/>
  <c r="O44" i="9"/>
  <c r="O42" i="9"/>
  <c r="O37" i="9"/>
  <c r="O38" i="9"/>
  <c r="O45" i="9"/>
  <c r="M10" i="8"/>
  <c r="M11" i="8" s="1"/>
  <c r="M12" i="8" s="1"/>
  <c r="N5" i="8" s="1"/>
  <c r="T65" i="7"/>
  <c r="T62" i="7"/>
  <c r="T66" i="7"/>
  <c r="T63" i="7"/>
  <c r="T59" i="7"/>
  <c r="T60" i="7"/>
  <c r="T64" i="7"/>
  <c r="T58" i="7"/>
  <c r="T56" i="7"/>
  <c r="T57" i="7"/>
  <c r="T61" i="7"/>
  <c r="T55" i="7"/>
  <c r="T88" i="7"/>
  <c r="T97" i="7"/>
  <c r="T94" i="7"/>
  <c r="T87" i="7"/>
  <c r="T91" i="7"/>
  <c r="T95" i="7"/>
  <c r="T93" i="7"/>
  <c r="T89" i="7"/>
  <c r="T98" i="7"/>
  <c r="T92" i="7"/>
  <c r="T90" i="7"/>
  <c r="T96" i="7"/>
  <c r="Q7" i="9"/>
  <c r="M3" i="6"/>
  <c r="M6" i="6" s="1"/>
  <c r="M11" i="6" s="1"/>
  <c r="L13" i="6"/>
  <c r="T105" i="9"/>
  <c r="R65" i="9" l="1"/>
  <c r="M32" i="9"/>
  <c r="N32" i="9" s="1"/>
  <c r="S95" i="9"/>
  <c r="T95" i="9" s="1"/>
  <c r="O3" i="7"/>
  <c r="O6" i="7" s="1"/>
  <c r="O10" i="7" s="1"/>
  <c r="N12" i="7"/>
  <c r="P33" i="9"/>
  <c r="P8" i="9"/>
  <c r="Q18" i="8"/>
  <c r="P6" i="8"/>
  <c r="P8" i="8" s="1"/>
  <c r="L30" i="9"/>
  <c r="M30" i="9" s="1"/>
  <c r="N30" i="9" s="1"/>
  <c r="O40" i="9"/>
  <c r="O48" i="9" s="1"/>
  <c r="R92" i="9"/>
  <c r="S92" i="9" s="1"/>
  <c r="L29" i="9"/>
  <c r="M29" i="9" s="1"/>
  <c r="N66" i="7"/>
  <c r="N83" i="7" s="1"/>
  <c r="O72" i="7" s="1"/>
  <c r="O73" i="7" s="1"/>
  <c r="O74" i="7" s="1"/>
  <c r="O75" i="7" s="1"/>
  <c r="O76" i="7" s="1"/>
  <c r="O77" i="7" s="1"/>
  <c r="O78" i="7" s="1"/>
  <c r="O79" i="7" s="1"/>
  <c r="O80" i="7" s="1"/>
  <c r="O81" i="7" s="1"/>
  <c r="O82" i="7" s="1"/>
  <c r="O83" i="7" s="1"/>
  <c r="P72" i="7" s="1"/>
  <c r="P73" i="7" s="1"/>
  <c r="P74" i="7" s="1"/>
  <c r="P75" i="7" s="1"/>
  <c r="P76" i="7" s="1"/>
  <c r="P77" i="7" s="1"/>
  <c r="P78" i="7" s="1"/>
  <c r="P79" i="7" s="1"/>
  <c r="P80" i="7" s="1"/>
  <c r="P81" i="7" s="1"/>
  <c r="P82" i="7" s="1"/>
  <c r="P83" i="7" s="1"/>
  <c r="Q72" i="7" s="1"/>
  <c r="Q73" i="7" s="1"/>
  <c r="Q74" i="7" s="1"/>
  <c r="Q75" i="7" s="1"/>
  <c r="Q76" i="7" s="1"/>
  <c r="Q77" i="7" s="1"/>
  <c r="Q78" i="7" s="1"/>
  <c r="Q79" i="7" s="1"/>
  <c r="Q80" i="7" s="1"/>
  <c r="Q81" i="7" s="1"/>
  <c r="Q82" i="7" s="1"/>
  <c r="Q83" i="7" s="1"/>
  <c r="R72" i="7" s="1"/>
  <c r="R73" i="7" s="1"/>
  <c r="R74" i="7" s="1"/>
  <c r="R75" i="7" s="1"/>
  <c r="R76" i="7" s="1"/>
  <c r="R77" i="7" s="1"/>
  <c r="R78" i="7" s="1"/>
  <c r="R79" i="7" s="1"/>
  <c r="R80" i="7" s="1"/>
  <c r="R81" i="7" s="1"/>
  <c r="R82" i="7" s="1"/>
  <c r="R83" i="7" s="1"/>
  <c r="S72" i="7" s="1"/>
  <c r="S73" i="7" s="1"/>
  <c r="S74" i="7" s="1"/>
  <c r="S75" i="7" s="1"/>
  <c r="S76" i="7" s="1"/>
  <c r="S77" i="7" s="1"/>
  <c r="S78" i="7" s="1"/>
  <c r="S79" i="7" s="1"/>
  <c r="S80" i="7" s="1"/>
  <c r="S81" i="7" s="1"/>
  <c r="S82" i="7" s="1"/>
  <c r="S83" i="7" s="1"/>
  <c r="T72" i="7" s="1"/>
  <c r="T73" i="7" s="1"/>
  <c r="T74" i="7" s="1"/>
  <c r="T75" i="7" s="1"/>
  <c r="T76" i="7" s="1"/>
  <c r="T77" i="7" s="1"/>
  <c r="T78" i="7" s="1"/>
  <c r="T79" i="7" s="1"/>
  <c r="T80" i="7" s="1"/>
  <c r="T81" i="7" s="1"/>
  <c r="T82" i="7" s="1"/>
  <c r="T83" i="7" s="1"/>
  <c r="U72" i="7" s="1"/>
  <c r="U73" i="7" s="1"/>
  <c r="U74" i="7" s="1"/>
  <c r="U75" i="7" s="1"/>
  <c r="U76" i="7" s="1"/>
  <c r="U77" i="7" s="1"/>
  <c r="U78" i="7" s="1"/>
  <c r="U79" i="7" s="1"/>
  <c r="U80" i="7" s="1"/>
  <c r="U81" i="7" s="1"/>
  <c r="U82" i="7" s="1"/>
  <c r="U83" i="7" s="1"/>
  <c r="O33" i="9"/>
  <c r="Q6" i="9"/>
  <c r="O8" i="9"/>
  <c r="R5" i="9"/>
  <c r="R12" i="9"/>
  <c r="Q111" i="9"/>
  <c r="R111" i="9" s="1"/>
  <c r="S111" i="9" s="1"/>
  <c r="Q65" i="9"/>
  <c r="T10" i="9"/>
  <c r="U10" i="9" s="1"/>
  <c r="P81" i="9"/>
  <c r="P14" i="9"/>
  <c r="P9" i="8"/>
  <c r="P17" i="8" s="1"/>
  <c r="Q9" i="9"/>
  <c r="M48" i="9"/>
  <c r="R90" i="9"/>
  <c r="S90" i="9"/>
  <c r="T90" i="9" s="1"/>
  <c r="O10" i="8"/>
  <c r="O11" i="8" s="1"/>
  <c r="O12" i="8"/>
  <c r="P5" i="8" s="1"/>
  <c r="O54" i="9"/>
  <c r="P54" i="9" s="1"/>
  <c r="O55" i="9"/>
  <c r="O58" i="9"/>
  <c r="P58" i="9" s="1"/>
  <c r="O60" i="9"/>
  <c r="P46" i="9"/>
  <c r="P39" i="9"/>
  <c r="P43" i="9"/>
  <c r="P47" i="9"/>
  <c r="P40" i="9"/>
  <c r="P41" i="9"/>
  <c r="P37" i="9"/>
  <c r="P48" i="9" s="1"/>
  <c r="P44" i="9"/>
  <c r="P42" i="9"/>
  <c r="P38" i="9"/>
  <c r="P45" i="9"/>
  <c r="S10" i="9"/>
  <c r="V7" i="8"/>
  <c r="N3" i="6"/>
  <c r="N6" i="6" s="1"/>
  <c r="N11" i="6" s="1"/>
  <c r="M13" i="6"/>
  <c r="N55" i="9"/>
  <c r="P55" i="9" s="1"/>
  <c r="N59" i="9"/>
  <c r="N63" i="9"/>
  <c r="N56" i="9"/>
  <c r="N60" i="9"/>
  <c r="P60" i="9" s="1"/>
  <c r="N61" i="9"/>
  <c r="N62" i="9"/>
  <c r="O62" i="9" s="1"/>
  <c r="N57" i="9"/>
  <c r="N53" i="9"/>
  <c r="N58" i="9"/>
  <c r="N54" i="9"/>
  <c r="O72" i="9"/>
  <c r="O76" i="9"/>
  <c r="O69" i="9"/>
  <c r="O80" i="9" s="1"/>
  <c r="O77" i="9"/>
  <c r="O74" i="9"/>
  <c r="O70" i="9"/>
  <c r="O78" i="9"/>
  <c r="O73" i="9"/>
  <c r="O75" i="9"/>
  <c r="O79" i="9"/>
  <c r="O71" i="9"/>
  <c r="N22" i="9"/>
  <c r="N26" i="9"/>
  <c r="N23" i="9"/>
  <c r="N25" i="9"/>
  <c r="N31" i="9"/>
  <c r="N24" i="9"/>
  <c r="N21" i="9"/>
  <c r="N28" i="9"/>
  <c r="N27" i="9"/>
  <c r="Q49" i="9"/>
  <c r="R7" i="9"/>
  <c r="S7" i="9"/>
  <c r="S49" i="9" s="1"/>
  <c r="V10" i="9" l="1"/>
  <c r="P57" i="9"/>
  <c r="P61" i="9"/>
  <c r="P63" i="9"/>
  <c r="P22" i="9"/>
  <c r="P26" i="9"/>
  <c r="P30" i="9"/>
  <c r="P23" i="9"/>
  <c r="P27" i="9"/>
  <c r="P31" i="9"/>
  <c r="P24" i="9"/>
  <c r="P21" i="9"/>
  <c r="P28" i="9"/>
  <c r="P25" i="9"/>
  <c r="P32" i="9"/>
  <c r="R6" i="9"/>
  <c r="R33" i="9" s="1"/>
  <c r="Q81" i="9"/>
  <c r="Q14" i="9"/>
  <c r="Q9" i="8"/>
  <c r="Q17" i="8" s="1"/>
  <c r="P3" i="7"/>
  <c r="P6" i="7" s="1"/>
  <c r="P10" i="7" s="1"/>
  <c r="O12" i="7"/>
  <c r="P10" i="8"/>
  <c r="P11" i="8" s="1"/>
  <c r="P12" i="8"/>
  <c r="Q5" i="8" s="1"/>
  <c r="N64" i="9"/>
  <c r="R9" i="9"/>
  <c r="Q8" i="9"/>
  <c r="P72" i="9"/>
  <c r="P76" i="9"/>
  <c r="P69" i="9"/>
  <c r="P80" i="9" s="1"/>
  <c r="P73" i="9"/>
  <c r="P77" i="9"/>
  <c r="P74" i="9"/>
  <c r="P70" i="9"/>
  <c r="P79" i="9"/>
  <c r="P75" i="9"/>
  <c r="P78" i="9"/>
  <c r="P71" i="9"/>
  <c r="O61" i="9"/>
  <c r="P62" i="9"/>
  <c r="R62" i="9" s="1"/>
  <c r="O53" i="9"/>
  <c r="P53" i="9" s="1"/>
  <c r="Q60" i="9"/>
  <c r="Q57" i="9"/>
  <c r="Q54" i="9"/>
  <c r="R54" i="9" s="1"/>
  <c r="Q61" i="9"/>
  <c r="Q55" i="9"/>
  <c r="Q62" i="9"/>
  <c r="Q58" i="9"/>
  <c r="R58" i="9" s="1"/>
  <c r="S65" i="9"/>
  <c r="T111" i="9"/>
  <c r="R18" i="8"/>
  <c r="Q6" i="8"/>
  <c r="Q8" i="8" s="1"/>
  <c r="O22" i="9"/>
  <c r="O26" i="9"/>
  <c r="O30" i="9"/>
  <c r="O27" i="9"/>
  <c r="O31" i="9"/>
  <c r="O24" i="9"/>
  <c r="O21" i="9"/>
  <c r="O28" i="9"/>
  <c r="O25" i="9"/>
  <c r="O32" i="9"/>
  <c r="O23" i="9"/>
  <c r="N29" i="9"/>
  <c r="O29" i="9" s="1"/>
  <c r="P29" i="9" s="1"/>
  <c r="O56" i="9"/>
  <c r="O63" i="9"/>
  <c r="Q63" i="9" s="1"/>
  <c r="R63" i="9" s="1"/>
  <c r="R49" i="9"/>
  <c r="T7" i="9"/>
  <c r="R60" i="9"/>
  <c r="R57" i="9"/>
  <c r="R61" i="9"/>
  <c r="R55" i="9"/>
  <c r="O57" i="9"/>
  <c r="T65" i="9"/>
  <c r="Q11" i="9"/>
  <c r="R8" i="9"/>
  <c r="Q33" i="9"/>
  <c r="S6" i="9"/>
  <c r="S33" i="9" s="1"/>
  <c r="O3" i="6"/>
  <c r="O6" i="6" s="1"/>
  <c r="O11" i="6" s="1"/>
  <c r="N13" i="6"/>
  <c r="S5" i="9"/>
  <c r="S8" i="9" s="1"/>
  <c r="S12" i="9"/>
  <c r="T5" i="9" s="1"/>
  <c r="O59" i="9"/>
  <c r="P59" i="9" s="1"/>
  <c r="Q39" i="9"/>
  <c r="Q43" i="9"/>
  <c r="Q47" i="9"/>
  <c r="Q44" i="9"/>
  <c r="Q37" i="9"/>
  <c r="Q46" i="9"/>
  <c r="Q42" i="9"/>
  <c r="Q38" i="9"/>
  <c r="Q40" i="9"/>
  <c r="Q45" i="9"/>
  <c r="Q41" i="9"/>
  <c r="T92" i="9"/>
  <c r="Q53" i="9" l="1"/>
  <c r="Q48" i="9"/>
  <c r="Q59" i="9"/>
  <c r="S18" i="8"/>
  <c r="R6" i="8"/>
  <c r="R8" i="8" s="1"/>
  <c r="S60" i="9"/>
  <c r="S61" i="9"/>
  <c r="T61" i="9" s="1"/>
  <c r="S63" i="9"/>
  <c r="T63" i="9" s="1"/>
  <c r="S57" i="9"/>
  <c r="S55" i="9"/>
  <c r="S54" i="9"/>
  <c r="S62" i="9"/>
  <c r="S58" i="9"/>
  <c r="R39" i="9"/>
  <c r="S39" i="9" s="1"/>
  <c r="R43" i="9"/>
  <c r="S43" i="9" s="1"/>
  <c r="R47" i="9"/>
  <c r="S47" i="9" s="1"/>
  <c r="R40" i="9"/>
  <c r="S40" i="9" s="1"/>
  <c r="R44" i="9"/>
  <c r="S44" i="9" s="1"/>
  <c r="R41" i="9"/>
  <c r="S41" i="9" s="1"/>
  <c r="R37" i="9"/>
  <c r="S37" i="9" s="1"/>
  <c r="S48" i="9" s="1"/>
  <c r="R46" i="9"/>
  <c r="S46" i="9" s="1"/>
  <c r="R45" i="9"/>
  <c r="S45" i="9" s="1"/>
  <c r="R42" i="9"/>
  <c r="S42" i="9" s="1"/>
  <c r="R38" i="9"/>
  <c r="S38" i="9" s="1"/>
  <c r="T60" i="9"/>
  <c r="T57" i="9"/>
  <c r="T55" i="9"/>
  <c r="T62" i="9"/>
  <c r="T54" i="9"/>
  <c r="T58" i="9"/>
  <c r="P3" i="6"/>
  <c r="P6" i="6" s="1"/>
  <c r="P11" i="6" s="1"/>
  <c r="O13" i="6"/>
  <c r="S24" i="9"/>
  <c r="S29" i="9"/>
  <c r="S31" i="9"/>
  <c r="Q26" i="9"/>
  <c r="Q30" i="9"/>
  <c r="R30" i="9" s="1"/>
  <c r="S30" i="9" s="1"/>
  <c r="Q23" i="9"/>
  <c r="R23" i="9" s="1"/>
  <c r="S23" i="9" s="1"/>
  <c r="Q31" i="9"/>
  <c r="Q29" i="9"/>
  <c r="Q24" i="9"/>
  <c r="Q22" i="9"/>
  <c r="R22" i="9" s="1"/>
  <c r="S22" i="9" s="1"/>
  <c r="Q21" i="9"/>
  <c r="R21" i="9" s="1"/>
  <c r="S21" i="9" s="1"/>
  <c r="Q28" i="9"/>
  <c r="R28" i="9" s="1"/>
  <c r="S28" i="9" s="1"/>
  <c r="Q25" i="9"/>
  <c r="R25" i="9" s="1"/>
  <c r="S25" i="9" s="1"/>
  <c r="Q32" i="9"/>
  <c r="R32" i="9" s="1"/>
  <c r="S32" i="9" s="1"/>
  <c r="Q27" i="9"/>
  <c r="R27" i="9" s="1"/>
  <c r="S27" i="9" s="1"/>
  <c r="P56" i="9"/>
  <c r="P64" i="9" s="1"/>
  <c r="U12" i="9"/>
  <c r="V5" i="9" s="1"/>
  <c r="O64" i="9"/>
  <c r="Q76" i="9"/>
  <c r="Q69" i="9"/>
  <c r="Q80" i="9" s="1"/>
  <c r="Q73" i="9"/>
  <c r="Q70" i="9"/>
  <c r="Q74" i="9"/>
  <c r="Q72" i="9"/>
  <c r="Q79" i="9"/>
  <c r="Q75" i="9"/>
  <c r="Q77" i="9"/>
  <c r="Q78" i="9"/>
  <c r="Q71" i="9"/>
  <c r="T12" i="9"/>
  <c r="U5" i="9" s="1"/>
  <c r="T49" i="9"/>
  <c r="U7" i="9"/>
  <c r="V7" i="9" s="1"/>
  <c r="R81" i="9"/>
  <c r="R9" i="8"/>
  <c r="R17" i="8" s="1"/>
  <c r="R11" i="9"/>
  <c r="T6" i="9"/>
  <c r="U6" i="9" s="1"/>
  <c r="Q3" i="7"/>
  <c r="Q6" i="7" s="1"/>
  <c r="Q10" i="7" s="1"/>
  <c r="P12" i="7"/>
  <c r="S9" i="9"/>
  <c r="T9" i="9" s="1"/>
  <c r="Q10" i="8"/>
  <c r="Q11" i="8" s="1"/>
  <c r="Q12" i="8"/>
  <c r="R5" i="8" s="1"/>
  <c r="R26" i="9"/>
  <c r="S26" i="9" s="1"/>
  <c r="R31" i="9"/>
  <c r="R29" i="9"/>
  <c r="R24" i="9"/>
  <c r="T81" i="9" l="1"/>
  <c r="T9" i="8"/>
  <c r="T17" i="8" s="1"/>
  <c r="T11" i="9"/>
  <c r="U9" i="9"/>
  <c r="Q12" i="7"/>
  <c r="R3" i="7"/>
  <c r="R6" i="7" s="1"/>
  <c r="R10" i="7" s="1"/>
  <c r="T18" i="8"/>
  <c r="S6" i="8"/>
  <c r="S8" i="8" s="1"/>
  <c r="R48" i="9"/>
  <c r="V12" i="9"/>
  <c r="T43" i="9"/>
  <c r="T47" i="9"/>
  <c r="T40" i="9"/>
  <c r="T44" i="9"/>
  <c r="T37" i="9"/>
  <c r="T48" i="9" s="1"/>
  <c r="T41" i="9"/>
  <c r="T39" i="9"/>
  <c r="T46" i="9"/>
  <c r="T42" i="9"/>
  <c r="T45" i="9"/>
  <c r="T38" i="9"/>
  <c r="U8" i="9"/>
  <c r="Q56" i="9"/>
  <c r="T33" i="9"/>
  <c r="V6" i="9"/>
  <c r="S81" i="9"/>
  <c r="S9" i="8"/>
  <c r="S17" i="8" s="1"/>
  <c r="V9" i="9"/>
  <c r="S11" i="9"/>
  <c r="R10" i="8"/>
  <c r="R11" i="8" s="1"/>
  <c r="R12" i="8"/>
  <c r="S5" i="8" s="1"/>
  <c r="V8" i="9"/>
  <c r="R76" i="9"/>
  <c r="R69" i="9"/>
  <c r="R80" i="9" s="1"/>
  <c r="R73" i="9"/>
  <c r="R77" i="9"/>
  <c r="R70" i="9"/>
  <c r="R74" i="9"/>
  <c r="R72" i="9"/>
  <c r="R79" i="9"/>
  <c r="R75" i="9"/>
  <c r="R78" i="9"/>
  <c r="R71" i="9"/>
  <c r="Q3" i="6"/>
  <c r="Q6" i="6" s="1"/>
  <c r="Q11" i="6" s="1"/>
  <c r="P13" i="6"/>
  <c r="R59" i="9"/>
  <c r="S59" i="9" s="1"/>
  <c r="Q64" i="9"/>
  <c r="T8" i="9"/>
  <c r="R53" i="9"/>
  <c r="S10" i="8" l="1"/>
  <c r="S11" i="8" s="1"/>
  <c r="S12" i="8"/>
  <c r="T5" i="8" s="1"/>
  <c r="S53" i="9"/>
  <c r="T53" i="9"/>
  <c r="S69" i="9"/>
  <c r="T69" i="9" s="1"/>
  <c r="S73" i="9"/>
  <c r="T73" i="9" s="1"/>
  <c r="S77" i="9"/>
  <c r="T77" i="9" s="1"/>
  <c r="S74" i="9"/>
  <c r="T74" i="9" s="1"/>
  <c r="S72" i="9"/>
  <c r="T72" i="9" s="1"/>
  <c r="S79" i="9"/>
  <c r="T79" i="9" s="1"/>
  <c r="S70" i="9"/>
  <c r="T70" i="9" s="1"/>
  <c r="S75" i="9"/>
  <c r="T75" i="9" s="1"/>
  <c r="S76" i="9"/>
  <c r="T76" i="9" s="1"/>
  <c r="S78" i="9"/>
  <c r="T78" i="9" s="1"/>
  <c r="S71" i="9"/>
  <c r="T71" i="9" s="1"/>
  <c r="T30" i="9"/>
  <c r="T23" i="9"/>
  <c r="T27" i="9"/>
  <c r="T31" i="9"/>
  <c r="T24" i="9"/>
  <c r="T29" i="9"/>
  <c r="T22" i="9"/>
  <c r="T28" i="9"/>
  <c r="T26" i="9"/>
  <c r="T21" i="9"/>
  <c r="T25" i="9"/>
  <c r="T32" i="9"/>
  <c r="T59" i="9"/>
  <c r="V9" i="8"/>
  <c r="V17" i="8" s="1"/>
  <c r="V11" i="9"/>
  <c r="U18" i="8"/>
  <c r="T6" i="8"/>
  <c r="T8" i="8" s="1"/>
  <c r="R12" i="7"/>
  <c r="S3" i="7"/>
  <c r="S6" i="7" s="1"/>
  <c r="S10" i="7" s="1"/>
  <c r="R3" i="6"/>
  <c r="R6" i="6" s="1"/>
  <c r="R11" i="6" s="1"/>
  <c r="Q13" i="6"/>
  <c r="U9" i="8"/>
  <c r="U17" i="8" s="1"/>
  <c r="U11" i="9"/>
  <c r="R56" i="9"/>
  <c r="R64" i="9" s="1"/>
  <c r="T80" i="9" l="1"/>
  <c r="T56" i="9"/>
  <c r="S56" i="9"/>
  <c r="R13" i="6"/>
  <c r="S3" i="6"/>
  <c r="S6" i="6" s="1"/>
  <c r="S11" i="6" s="1"/>
  <c r="S12" i="7"/>
  <c r="T3" i="7"/>
  <c r="T6" i="7" s="1"/>
  <c r="T10" i="7" s="1"/>
  <c r="T10" i="8"/>
  <c r="T11" i="8" s="1"/>
  <c r="T12" i="8" s="1"/>
  <c r="U5" i="8" s="1"/>
  <c r="V18" i="8"/>
  <c r="V6" i="8" s="1"/>
  <c r="V8" i="8" s="1"/>
  <c r="U6" i="8"/>
  <c r="U8" i="8" s="1"/>
  <c r="S80" i="9"/>
  <c r="T64" i="9"/>
  <c r="S64" i="9"/>
  <c r="V10" i="8" l="1"/>
  <c r="V11" i="8" s="1"/>
  <c r="V12" i="8"/>
  <c r="S13" i="6"/>
  <c r="T3" i="6"/>
  <c r="T6" i="6" s="1"/>
  <c r="T11" i="6" s="1"/>
  <c r="U3" i="7"/>
  <c r="U6" i="7" s="1"/>
  <c r="U10" i="7" s="1"/>
  <c r="U12" i="7" s="1"/>
  <c r="T12" i="7"/>
  <c r="U10" i="8"/>
  <c r="U11" i="8" s="1"/>
  <c r="U12" i="8" s="1"/>
  <c r="V5" i="8" s="1"/>
  <c r="U3" i="6" l="1"/>
  <c r="U6" i="6" s="1"/>
  <c r="U11" i="6" s="1"/>
  <c r="U13" i="6" s="1"/>
  <c r="T13" i="6"/>
</calcChain>
</file>

<file path=xl/sharedStrings.xml><?xml version="1.0" encoding="utf-8"?>
<sst xmlns="http://schemas.openxmlformats.org/spreadsheetml/2006/main" count="688" uniqueCount="168">
  <si>
    <t>Data Series and Source</t>
  </si>
  <si>
    <t>Link</t>
  </si>
  <si>
    <t>Web Page</t>
  </si>
  <si>
    <t>Monthly EuroStat Balances Kerosene-type jet fuel and Kerosene-type jet fuel (excluding biofuel portion)</t>
  </si>
  <si>
    <t>https://ec.europa.eu/eurostat/databrowser/view/nrg_cb_oilm__custom_12828275/settings_1/table?lang=en</t>
  </si>
  <si>
    <r>
      <t>DOI</t>
    </r>
    <r>
      <rPr>
        <sz val="11"/>
        <color rgb="FF9E9E9E"/>
        <rFont val="Arial"/>
        <family val="2"/>
      </rPr>
      <t>:</t>
    </r>
    <r>
      <rPr>
        <b/>
        <sz val="11"/>
        <color rgb="FF757575"/>
        <rFont val="Inherit"/>
      </rPr>
      <t>10.2908/nrg_cb_oilm</t>
    </r>
  </si>
  <si>
    <t>Monthly EuroStat Stocks Kerosene-type jet fuel and Kerosene-type jet fuel (excluding biofuel portion)</t>
  </si>
  <si>
    <t>https://ec.europa.eu/eurostat/databrowser/view/nrg_stk_oilm__custom_13609796/default/table?lang=en</t>
  </si>
  <si>
    <r>
      <t>DOI:</t>
    </r>
    <r>
      <rPr>
        <b/>
        <sz val="11"/>
        <color rgb="FF757575"/>
        <rFont val="Arial"/>
        <family val="2"/>
      </rPr>
      <t>10.2908/nrg_stk_oilm</t>
    </r>
  </si>
  <si>
    <t>Eurostat Air transport of passengers by Country</t>
  </si>
  <si>
    <t>https://ec.europa.eu/eurostat/databrowser/view/ttr00012__custom_13331436/default/table?lang=en</t>
  </si>
  <si>
    <r>
      <t>DOI:</t>
    </r>
    <r>
      <rPr>
        <b/>
        <sz val="11"/>
        <color rgb="FF757575"/>
        <rFont val="Arial"/>
        <family val="2"/>
      </rPr>
      <t>10.2908/ttr00012</t>
    </r>
  </si>
  <si>
    <t>Annual EuroStat Stocks Kerosene-type jet fuel and Kerosene-type jet fuel (excluding biofuel portion)</t>
  </si>
  <si>
    <t>https://ec.europa.eu/eurostat/databrowser/view/nrg_cb_oil__custom_13610641/default/table?lang=en</t>
  </si>
  <si>
    <r>
      <t>DOI:</t>
    </r>
    <r>
      <rPr>
        <b/>
        <sz val="11"/>
        <color rgb="FF757575"/>
        <rFont val="Arial"/>
        <family val="2"/>
      </rPr>
      <t>10.2908/nrg_cb_oil</t>
    </r>
  </si>
  <si>
    <t>Annual EuroStat Stocks Pure bio jet kerosene</t>
  </si>
  <si>
    <t>https://ec.europa.eu/eurostat/databrowser/view/nrg_cb_rw__custom_13610866/default/table?lang=en</t>
  </si>
  <si>
    <r>
      <t>DOI:</t>
    </r>
    <r>
      <rPr>
        <b/>
        <sz val="11"/>
        <color rgb="FF757575"/>
        <rFont val="Arial"/>
        <family val="2"/>
      </rPr>
      <t>10.2908/nrg_cb_rw</t>
    </r>
  </si>
  <si>
    <t>EuroStat Definitions</t>
  </si>
  <si>
    <t>Term</t>
  </si>
  <si>
    <t>Definition</t>
  </si>
  <si>
    <t>Gross inland deliveries - calculated</t>
  </si>
  <si>
    <t>Gross inland deliveries - observed (GIDO)</t>
  </si>
  <si>
    <t>These are the observed deliveries of oil products from primary sources (e.g. refineries, blending plants etc.) to the inland market.  This figure may differ from the calculated figure due, for example, to differences in coverage and/or differences of definition in different reporting systems.</t>
  </si>
  <si>
    <t>International Aviation - Energy use</t>
  </si>
  <si>
    <t>Eurostat defines international aviation energy use as "air bunkers" in its final energy consumption data. This data is part of the "Final energy consumption (Europe 2020-2030)" dataset, which also includes final energy consumption for all products, ambient heat, and other factors. Eurostat defines international aviation energy use as "air bunkers" in its final energy consumption data. This data is part of the "Final energy consumption (Europe 2020-2030)" dataset, which also includes final energy consumption for all products, ambient heat, and other factors. </t>
  </si>
  <si>
    <t>Indigenous production</t>
  </si>
  <si>
    <t xml:space="preserve">Report all production within national boundaries including offshore production. Production should only include marketable production, excluding volumes returned to formation. Such production should include all crude oil, NGL, condensates and oil from shale and tar sands, etc. It should also include the receipts of additives/oxygenates by refineries and blending plants, from outside the refinery sector.  </t>
  </si>
  <si>
    <t>Freight and mail air transport by type of schedule, transport coverage and country [avia_gooc__custom_13331499]</t>
  </si>
  <si>
    <t>J</t>
  </si>
  <si>
    <t>F</t>
  </si>
  <si>
    <t>M</t>
  </si>
  <si>
    <t>A</t>
  </si>
  <si>
    <t>S</t>
  </si>
  <si>
    <t>O</t>
  </si>
  <si>
    <t>N</t>
  </si>
  <si>
    <t>D</t>
  </si>
  <si>
    <t>BD</t>
  </si>
  <si>
    <t>RD</t>
  </si>
  <si>
    <t>Combined</t>
  </si>
  <si>
    <t>Annual Total</t>
  </si>
  <si>
    <t>Imports</t>
  </si>
  <si>
    <t>Exports</t>
  </si>
  <si>
    <t>Change in stock</t>
  </si>
  <si>
    <t>International aviation</t>
  </si>
  <si>
    <t>online data code/ geopolitcal entity/ energy balance/ energy product classification</t>
  </si>
  <si>
    <t>nrg_cb_rw/ EU27_2020/ IPRD/ R5230P</t>
  </si>
  <si>
    <t>nrg_cb_rw/ EU27_2020/ IMP/ R5230P</t>
  </si>
  <si>
    <t>nrg_cb_rw/ EU27_2020/ EXP/ R5230P</t>
  </si>
  <si>
    <t>nrg_cb_rw/ EU27_2020/ STK_CHG/ R5230P</t>
  </si>
  <si>
    <t>nrg_cb_oil/ EU27_2020/IMP/ 04661</t>
  </si>
  <si>
    <t>nrg_cb_oil/ EU27_2020/IMP/ 04661XR5230B</t>
  </si>
  <si>
    <t>nrg_cb_oil/ EU27_2020/EXP/ 04661</t>
  </si>
  <si>
    <t>nrg_cb_oil/ EU27_2020/EXP/ 04661XR5230B</t>
  </si>
  <si>
    <t>nrg_cb_oil/ EU27_2020/STK_CHG/ 04661</t>
  </si>
  <si>
    <t>nrg_cb_oil/ EU27_2020/STK_CHG/ 04661XR5230B</t>
  </si>
  <si>
    <t>nrg_cb_oil/ EU27_2020/INTAVI/ 04661</t>
  </si>
  <si>
    <t>nrg_cb_oil/ EU27_2020/INTAVI/ 04661XR5230B</t>
  </si>
  <si>
    <t>Thousand tons</t>
  </si>
  <si>
    <t>Pure bio jet kerosene</t>
  </si>
  <si>
    <t>Kerosene-type jet fuel</t>
  </si>
  <si>
    <t>Kerosene-type jet fuel (excluding biofuel portion)</t>
  </si>
  <si>
    <t>Data th tons</t>
  </si>
  <si>
    <t>Gross inland deliveries - observed</t>
  </si>
  <si>
    <t>Opening stock</t>
  </si>
  <si>
    <t>Closing stock</t>
  </si>
  <si>
    <t>nrg_cb_oilm/ EU27_2020/ IMP/ 04661</t>
  </si>
  <si>
    <t>nrg_cb_oilm/ EU27_2020/ IMP/ 04661XR5230B</t>
  </si>
  <si>
    <t>nrg_cb_oilm/ EU27_2020/ EXP/ 04661</t>
  </si>
  <si>
    <t>nrg_cb_oilm/ EU27_2020/ EXP/ 04661XR5230B</t>
  </si>
  <si>
    <t>nrg_cb_oilm/ EU27_2020/ GID_CAL/ 04661</t>
  </si>
  <si>
    <t>nrg_cb_oilm/ EU27_2020/ GID_CAL/ 04661XR5230B</t>
  </si>
  <si>
    <t>nrg_cb_oilm/ EU27_2020/ GID_OBS/ 04661</t>
  </si>
  <si>
    <t>nrg_cb_oilm/ EU27_2020/ GID_OBS/ 04661XR5230B</t>
  </si>
  <si>
    <t>nrg_cb_oilm/ EU27_2020/ INTAVI_E/ 04661</t>
  </si>
  <si>
    <t>nrg_cb_oilm/ EU27_2020/ INTAVI_E/ 04661XR5230B</t>
  </si>
  <si>
    <t>nrg_stk_oilm/ EU27_2020/ STK_OP/ 04661</t>
  </si>
  <si>
    <t>nrg_stk_oilm/ EU27_2020/ STK_OP/ 04661XR5230B</t>
  </si>
  <si>
    <t>nrg_stk_oilm/ EU27_2020/ STK_CL/ 04661</t>
  </si>
  <si>
    <t>nrg_stk_oilm/ EU27_2020/ STK_CL/ 04661XR5230B</t>
  </si>
  <si>
    <t>Kerosene-Type jet fuel</t>
  </si>
  <si>
    <t>Kerosene-Type jet fuel (excluding biofuel portion)</t>
  </si>
  <si>
    <t>Differential (Biofuel portion)</t>
  </si>
  <si>
    <t/>
  </si>
  <si>
    <t>:</t>
  </si>
  <si>
    <t>EUROPEAN UNION BD SUPPLY AND DEMAND</t>
  </si>
  <si>
    <t>thousand tonnes</t>
  </si>
  <si>
    <t>Beginning Stocks</t>
  </si>
  <si>
    <t xml:space="preserve">Production </t>
  </si>
  <si>
    <t xml:space="preserve">Imports </t>
  </si>
  <si>
    <t xml:space="preserve">    Total Supply</t>
  </si>
  <si>
    <t xml:space="preserve">Consumption </t>
  </si>
  <si>
    <t>Biodiesel Losses and Co-Products</t>
  </si>
  <si>
    <t xml:space="preserve">    Total Use</t>
  </si>
  <si>
    <t xml:space="preserve">Final Stocks  </t>
  </si>
  <si>
    <t>Yield</t>
  </si>
  <si>
    <t>Stocks/Use</t>
  </si>
  <si>
    <t>BIODIESEL PRODUCTION</t>
  </si>
  <si>
    <t>January</t>
  </si>
  <si>
    <t>February</t>
  </si>
  <si>
    <t>March</t>
  </si>
  <si>
    <t>April</t>
  </si>
  <si>
    <t>May</t>
  </si>
  <si>
    <t>June</t>
  </si>
  <si>
    <t>July</t>
  </si>
  <si>
    <t>August</t>
  </si>
  <si>
    <t>September</t>
  </si>
  <si>
    <t>October</t>
  </si>
  <si>
    <t>November</t>
  </si>
  <si>
    <t>December</t>
  </si>
  <si>
    <t xml:space="preserve">    Total</t>
  </si>
  <si>
    <t xml:space="preserve">BIODIESEL IMPORTS </t>
  </si>
  <si>
    <t>BIODIESEL EXPORTS</t>
  </si>
  <si>
    <t xml:space="preserve">BIODIESEL CONSUMPTION </t>
  </si>
  <si>
    <t>BIODIESEL STOCKS</t>
  </si>
  <si>
    <t>BIODIESEL PERCENT OF BIOMASS-BASED DIESEL PRODUCTION</t>
  </si>
  <si>
    <t xml:space="preserve">  Average</t>
  </si>
  <si>
    <t>EUROPEAN UNION (EU) RENEWABLE DIESEL SUPPLY AND DEMAND</t>
  </si>
  <si>
    <t>Consumption</t>
  </si>
  <si>
    <t>Final Stocks  (December 31)</t>
  </si>
  <si>
    <t>RENEWABLE DIESEL PRODUCTION</t>
  </si>
  <si>
    <t xml:space="preserve">RENEWABLE DIESEL IMPORTS </t>
  </si>
  <si>
    <t xml:space="preserve">RENEWABLE DIESEL CONSUMPTION </t>
  </si>
  <si>
    <t xml:space="preserve">RENEWABLE DIESEL STOCKS </t>
  </si>
  <si>
    <t>RENEWABLE DIESEL CAPACITY</t>
  </si>
  <si>
    <t>RENEWABLE DIESEL CAPACITY UTILIZATION</t>
  </si>
  <si>
    <t xml:space="preserve">EUROPEAN UNION (EU) SUSTAINABLE AVIATION FUEL (SAF) SUPPLY AND DEMAND </t>
  </si>
  <si>
    <t>Production</t>
  </si>
  <si>
    <t xml:space="preserve">  Total Supply</t>
  </si>
  <si>
    <t>Domestic Use</t>
  </si>
  <si>
    <t xml:space="preserve">  Total Demand</t>
  </si>
  <si>
    <t xml:space="preserve">  Ending Stocks</t>
  </si>
  <si>
    <t>Mandate</t>
  </si>
  <si>
    <t>shows step change to the next mandate -- this is not accurate but a guide to use for forecasting</t>
  </si>
  <si>
    <t>Blending Rate</t>
  </si>
  <si>
    <t>Capacity (th tons)</t>
  </si>
  <si>
    <t xml:space="preserve">SAF DOMESTIC PRODUCTION </t>
  </si>
  <si>
    <t xml:space="preserve">  Total</t>
  </si>
  <si>
    <t>SAF IMPORTS (Eurostat)</t>
  </si>
  <si>
    <t>SAF EXPORTS (Eurostat)</t>
  </si>
  <si>
    <t>SAF CONSUMPTION</t>
  </si>
  <si>
    <t>SAF OPENING STOCKS</t>
  </si>
  <si>
    <t>SAF CLOSING STOCKS</t>
  </si>
  <si>
    <t xml:space="preserve">EUROPEAN UNION (EU) JET FUEL SUPPLY AND DEMAND </t>
  </si>
  <si>
    <t xml:space="preserve">% Change </t>
  </si>
  <si>
    <t>MM Flights Basecase (https://www.eurocontrol.int/our-data)</t>
  </si>
  <si>
    <t xml:space="preserve">% growth </t>
  </si>
  <si>
    <t xml:space="preserve">JET FUEL PRODUCTION </t>
  </si>
  <si>
    <t xml:space="preserve">JET FUEL IMPORTS (Eurostat) </t>
  </si>
  <si>
    <t xml:space="preserve">JET FUEL EXPORTS (Eurostat) </t>
  </si>
  <si>
    <t>JET FUEL USE</t>
  </si>
  <si>
    <t>JET FUEL OPENING STOCK</t>
  </si>
  <si>
    <t>JET FUEL CLOSING STOCK</t>
  </si>
  <si>
    <t>Air transport of passengers by country (yearly data) [ttr00012__custom_13331436]</t>
  </si>
  <si>
    <t>EU 27 (passengers)</t>
  </si>
  <si>
    <t>EU 27 (tonnes)</t>
  </si>
  <si>
    <t>EUROPEAN UNION (EU) DISTILATE FUEL OIL SUPPLY AND DEMAND</t>
  </si>
  <si>
    <t>Reported Domestic Consumption</t>
  </si>
  <si>
    <t>Diesel Adjustment</t>
  </si>
  <si>
    <t>Domestic Consumption</t>
  </si>
  <si>
    <t xml:space="preserve">Stocks Change  </t>
  </si>
  <si>
    <t xml:space="preserve">DISTILATE FUEL OIL PRODUCTION </t>
  </si>
  <si>
    <t>DISTILATE FUEL OIL IMPORTS</t>
  </si>
  <si>
    <t>DISTILATE FUEL OIL EXPORTS</t>
  </si>
  <si>
    <t>DISTILATE FUEL OIL CONSUMPTION</t>
  </si>
  <si>
    <t>DISTILATE FUEL OIL ADJUSTMENT</t>
  </si>
  <si>
    <t>DISTILATE FUEL OIL CALCULATED DOMESTIC CONSUMPTION</t>
  </si>
  <si>
    <t>DISTILATE FUEL OIL STOCKS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</si>
</sst>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409]mmm\-yy;@"/>
    <numFmt numFmtId="165" formatCode="_(* #,##0_);_(* \(#,##0\);_(* &quot;-&quot;??_);_(@_)"/>
    <numFmt numFmtId="166" formatCode="_(* #,##0.0_);_(* \(#,##0.0\);_(* &quot;-&quot;??_);_(@_)"/>
    <numFmt numFmtId="167" formatCode="#,##0.000_);[Red]\(#,##0.000\)"/>
    <numFmt numFmtId="168" formatCode="0.0%"/>
    <numFmt numFmtId="169" formatCode="#,##0.0000_);[Red]\(#,##0.0000\)"/>
    <numFmt numFmtId="170" formatCode="0.000%"/>
    <numFmt numFmtId="171" formatCode="0.0"/>
    <numFmt numFmtId="172" formatCode="0_);[Red]\(0\)"/>
    <numFmt numFmtId="173" formatCode="#,##0.0_);[Red]\(#,##0.0\)"/>
  </numFmts>
  <fonts count="35">
    <font>
      <sz val="11"/>
      <color theme="1"/>
      <name val="Aptos Narrow"/>
      <family val="2"/>
      <scheme val="minor"/>
    </font>
    <font>
      <sz val="11"/>
      <color theme="1"/>
      <name val="Aptos Narrow"/>
      <family val="2"/>
      <scheme val="minor"/>
    </font>
    <font>
      <u/>
      <sz val="11"/>
      <color theme="10"/>
      <name val="Aptos Narrow"/>
      <family val="2"/>
      <scheme val="minor"/>
    </font>
    <font>
      <b/>
      <sz val="11"/>
      <color theme="1"/>
      <name val="Aptos Display"/>
      <family val="2"/>
    </font>
    <font>
      <sz val="11"/>
      <color theme="1"/>
      <name val="Aptos Display"/>
      <family val="2"/>
    </font>
    <font>
      <sz val="11"/>
      <color rgb="FF9E9E9E"/>
      <name val="Inherit"/>
    </font>
    <font>
      <sz val="11"/>
      <color rgb="FF9E9E9E"/>
      <name val="Arial"/>
      <family val="2"/>
    </font>
    <font>
      <b/>
      <sz val="11"/>
      <color rgb="FF757575"/>
      <name val="Inherit"/>
    </font>
    <font>
      <b/>
      <sz val="11"/>
      <color rgb="FF757575"/>
      <name val="Arial"/>
      <family val="2"/>
    </font>
    <font>
      <b/>
      <sz val="11"/>
      <name val="Aptos"/>
      <family val="2"/>
    </font>
    <font>
      <sz val="10"/>
      <color theme="1"/>
      <name val="Aptos Display"/>
      <family val="2"/>
    </font>
    <font>
      <b/>
      <sz val="12"/>
      <color theme="1"/>
      <name val="Aptos Display"/>
      <family val="2"/>
    </font>
    <font>
      <b/>
      <sz val="10"/>
      <color theme="1"/>
      <name val="Aptos Display"/>
      <family val="2"/>
    </font>
    <font>
      <b/>
      <sz val="11"/>
      <color rgb="FF000000"/>
      <name val="Aptos"/>
      <family val="2"/>
    </font>
    <font>
      <sz val="11"/>
      <color theme="1"/>
      <name val="Aptos"/>
      <family val="2"/>
    </font>
    <font>
      <sz val="11"/>
      <name val="Aptos"/>
      <family val="2"/>
    </font>
    <font>
      <sz val="9"/>
      <name val="Arial"/>
      <family val="2"/>
    </font>
    <font>
      <b/>
      <sz val="10"/>
      <color rgb="FFFF0000"/>
      <name val="Aptos Display"/>
      <family val="2"/>
    </font>
    <font>
      <sz val="10"/>
      <name val="Aptos"/>
      <family val="2"/>
    </font>
    <font>
      <b/>
      <sz val="10"/>
      <color rgb="FF000000"/>
      <name val="Aptos Display"/>
      <family val="2"/>
    </font>
    <font>
      <b/>
      <sz val="11"/>
      <color theme="0"/>
      <name val="Aptos Display"/>
      <family val="2"/>
    </font>
    <font>
      <sz val="10"/>
      <name val="MS Sans Serif"/>
      <family val="2"/>
    </font>
    <font>
      <b/>
      <sz val="11"/>
      <name val="Aptos Display"/>
      <family val="2"/>
    </font>
    <font>
      <sz val="11"/>
      <name val="Aptos Display"/>
      <family val="2"/>
    </font>
    <font>
      <sz val="10"/>
      <name val="Aptos Display"/>
      <family val="2"/>
    </font>
    <font>
      <b/>
      <sz val="10"/>
      <name val="Aptos Display"/>
      <family val="2"/>
    </font>
    <font>
      <sz val="8"/>
      <color theme="1"/>
      <name val="Aptos Display"/>
      <family val="2"/>
    </font>
    <font>
      <b/>
      <sz val="10"/>
      <color theme="0"/>
      <name val="Aptos Display"/>
      <family val="2"/>
    </font>
    <font>
      <sz val="10"/>
      <color theme="1"/>
      <name val="Arial Narrow"/>
      <family val="2"/>
    </font>
    <font>
      <sz val="11"/>
      <color rgb="FFFF0000"/>
      <name val="Aptos Display"/>
      <family val="2"/>
    </font>
    <font>
      <b/>
      <sz val="11"/>
      <color rgb="FF6F0791"/>
      <name val="Aptos Display"/>
      <family val="2"/>
    </font>
    <font>
      <sz val="9"/>
      <color theme="1"/>
      <name val="Aptos Display"/>
      <family val="2"/>
    </font>
    <font>
      <sz val="9"/>
      <name val="Aptos Display"/>
      <family val="2"/>
    </font>
    <font>
      <b/>
      <i/>
      <sz val="11"/>
      <color rgb="FFFF0000"/>
      <name val="Aptos Display"/>
      <family val="2"/>
    </font>
    <font>
      <b/>
      <u/>
      <sz val="11"/>
      <color theme="10"/>
      <name val="Aptos Display"/>
      <family val="2"/>
    </font>
  </fonts>
  <fills count="6">
    <fill>
      <patternFill patternType="none"/>
    </fill>
    <fill>
      <patternFill patternType="gray125"/>
    </fill>
    <fill>
      <patternFill patternType="solid">
        <fgColor rgb="FFFF0000"/>
        <bgColor indexed="64"/>
      </patternFill>
    </fill>
    <fill>
      <patternFill patternType="solid">
        <fgColor rgb="FF8C8C8C"/>
        <bgColor indexed="64"/>
      </patternFill>
    </fill>
    <fill>
      <patternFill patternType="solid">
        <fgColor theme="0"/>
        <bgColor indexed="64"/>
      </patternFill>
    </fill>
    <fill>
      <patternFill patternType="solid">
        <fgColor rgb="FFFFFF00"/>
        <bgColor indexed="64"/>
      </patternFill>
    </fill>
  </fills>
  <borders count="12">
    <border>
      <left/>
      <right/>
      <top/>
      <bottom/>
      <diagonal/>
    </border>
    <border>
      <left/>
      <right/>
      <top style="thin">
        <color rgb="FF6F0791"/>
      </top>
      <bottom style="thick">
        <color auto="1"/>
      </bottom>
      <diagonal/>
    </border>
    <border>
      <left/>
      <right/>
      <top/>
      <bottom style="thick">
        <color auto="1"/>
      </bottom>
      <diagonal/>
    </border>
    <border>
      <left/>
      <right/>
      <top/>
      <bottom style="thin">
        <color auto="1"/>
      </bottom>
      <diagonal/>
    </border>
    <border>
      <left/>
      <right/>
      <top style="thin">
        <color auto="1"/>
      </top>
      <bottom/>
      <diagonal/>
    </border>
    <border>
      <left/>
      <right/>
      <top/>
      <bottom style="thin">
        <color rgb="FF7030A0"/>
      </bottom>
      <diagonal/>
    </border>
    <border>
      <left/>
      <right/>
      <top style="medium">
        <color theme="3"/>
      </top>
      <bottom style="medium">
        <color theme="3"/>
      </bottom>
      <diagonal/>
    </border>
    <border>
      <left/>
      <right/>
      <top style="thin">
        <color rgb="FF6F0791"/>
      </top>
      <bottom/>
      <diagonal/>
    </border>
    <border>
      <left/>
      <right/>
      <top style="thick">
        <color auto="1"/>
      </top>
      <bottom/>
      <diagonal/>
    </border>
    <border>
      <left/>
      <right/>
      <top style="medium">
        <color rgb="FF8C8C8C"/>
      </top>
      <bottom style="medium">
        <color rgb="FF8C8C8C"/>
      </bottom>
      <diagonal/>
    </border>
    <border>
      <left/>
      <right/>
      <top style="thick">
        <color rgb="FF8C8C8C"/>
      </top>
      <bottom/>
      <diagonal/>
    </border>
    <border>
      <left/>
      <right/>
      <top style="medium">
        <color rgb="FF8C8C8C"/>
      </top>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40" fontId="21" fillId="0" borderId="0" applyFont="0" applyFill="0" applyBorder="0" applyAlignment="0" applyProtection="0"/>
    <xf numFmtId="0" fontId="1" fillId="0" borderId="0"/>
    <xf numFmtId="9" fontId="28" fillId="0" borderId="0" applyFont="0" applyFill="0" applyBorder="0" applyAlignment="0" applyProtection="0"/>
  </cellStyleXfs>
  <cellXfs count="180">
    <xf numFmtId="0" fontId="0" fillId="0" borderId="0" xfId="0"/>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wrapText="1"/>
    </xf>
    <xf numFmtId="0" fontId="3" fillId="0" borderId="0" xfId="0" applyFont="1"/>
    <xf numFmtId="0" fontId="4" fillId="0" borderId="0" xfId="0" applyFont="1"/>
    <xf numFmtId="0" fontId="2" fillId="0" borderId="0" xfId="3"/>
    <xf numFmtId="0" fontId="5" fillId="0" borderId="0" xfId="0" applyFont="1" applyAlignment="1">
      <alignment vertical="center"/>
    </xf>
    <xf numFmtId="0" fontId="6" fillId="0" borderId="0" xfId="0" applyFont="1"/>
    <xf numFmtId="0" fontId="9" fillId="0" borderId="0" xfId="0" applyFont="1" applyAlignment="1">
      <alignment horizontal="left" vertical="center"/>
    </xf>
    <xf numFmtId="0" fontId="10" fillId="0" borderId="0" xfId="0" applyFont="1"/>
    <xf numFmtId="0" fontId="11" fillId="0" borderId="0" xfId="0" applyFont="1" applyAlignment="1">
      <alignment horizontal="center" vertical="center"/>
    </xf>
    <xf numFmtId="17" fontId="10" fillId="0" borderId="0" xfId="0" applyNumberFormat="1" applyFont="1"/>
    <xf numFmtId="38" fontId="10" fillId="0" borderId="0" xfId="0" applyNumberFormat="1" applyFont="1"/>
    <xf numFmtId="38" fontId="12" fillId="0" borderId="0" xfId="0" applyNumberFormat="1" applyFont="1"/>
    <xf numFmtId="0" fontId="13" fillId="0" borderId="0" xfId="0" applyFont="1" applyAlignment="1">
      <alignment wrapText="1"/>
    </xf>
    <xf numFmtId="0" fontId="14" fillId="0" borderId="0" xfId="0" applyFont="1" applyAlignment="1">
      <alignment wrapText="1"/>
    </xf>
    <xf numFmtId="0" fontId="15" fillId="0" borderId="0" xfId="0" applyFont="1" applyAlignment="1">
      <alignment horizontal="left" vertical="center" wrapText="1"/>
    </xf>
    <xf numFmtId="0" fontId="15" fillId="0" borderId="0" xfId="0" applyFont="1" applyAlignment="1">
      <alignment horizontal="left" vertical="center"/>
    </xf>
    <xf numFmtId="0" fontId="16" fillId="0" borderId="0" xfId="0" applyFont="1" applyAlignment="1">
      <alignment horizontal="left" vertical="center"/>
    </xf>
    <xf numFmtId="164" fontId="17" fillId="0" borderId="0" xfId="0" applyNumberFormat="1" applyFont="1" applyAlignment="1">
      <alignment horizontal="left" vertical="center" wrapText="1"/>
    </xf>
    <xf numFmtId="0" fontId="18" fillId="0" borderId="0" xfId="0" applyFont="1" applyAlignment="1">
      <alignment horizontal="left" vertical="center" wrapText="1"/>
    </xf>
    <xf numFmtId="0" fontId="16" fillId="0" borderId="0" xfId="0" applyFont="1" applyAlignment="1">
      <alignment horizontal="left" vertical="center" wrapText="1"/>
    </xf>
    <xf numFmtId="0" fontId="14" fillId="0" borderId="0" xfId="0" applyFont="1"/>
    <xf numFmtId="165" fontId="14" fillId="0" borderId="0" xfId="1" applyNumberFormat="1" applyFont="1"/>
    <xf numFmtId="164" fontId="19" fillId="0" borderId="0" xfId="0" applyNumberFormat="1" applyFont="1" applyAlignment="1">
      <alignment horizontal="center" vertical="center" wrapText="1"/>
    </xf>
    <xf numFmtId="0" fontId="19" fillId="0" borderId="0" xfId="0" applyFont="1" applyAlignment="1">
      <alignment horizontal="center" vertical="center" wrapText="1"/>
    </xf>
    <xf numFmtId="0" fontId="4" fillId="0" borderId="0" xfId="0" applyFont="1" applyAlignment="1">
      <alignment horizontal="center" vertical="center" wrapText="1"/>
    </xf>
    <xf numFmtId="164" fontId="0" fillId="0" borderId="0" xfId="0" applyNumberFormat="1" applyAlignment="1">
      <alignment horizontal="left"/>
    </xf>
    <xf numFmtId="0" fontId="0" fillId="0" borderId="0" xfId="0" applyAlignment="1">
      <alignment horizontal="left"/>
    </xf>
    <xf numFmtId="166" fontId="10" fillId="0" borderId="0" xfId="1" applyNumberFormat="1" applyFont="1"/>
    <xf numFmtId="166" fontId="0" fillId="0" borderId="0" xfId="1" applyNumberFormat="1" applyFont="1"/>
    <xf numFmtId="167" fontId="10" fillId="0" borderId="0" xfId="0" applyNumberFormat="1" applyFont="1"/>
    <xf numFmtId="164" fontId="0" fillId="2" borderId="0" xfId="0" applyNumberFormat="1" applyFill="1" applyAlignment="1">
      <alignment horizontal="left"/>
    </xf>
    <xf numFmtId="0" fontId="0" fillId="2" borderId="0" xfId="0" applyFill="1" applyAlignment="1">
      <alignment horizontal="left"/>
    </xf>
    <xf numFmtId="166" fontId="10" fillId="2" borderId="0" xfId="1" applyNumberFormat="1" applyFont="1" applyFill="1"/>
    <xf numFmtId="166" fontId="0" fillId="2" borderId="0" xfId="1" applyNumberFormat="1" applyFont="1" applyFill="1"/>
    <xf numFmtId="167" fontId="10" fillId="2" borderId="0" xfId="0" applyNumberFormat="1" applyFont="1" applyFill="1"/>
    <xf numFmtId="0" fontId="0" fillId="2" borderId="0" xfId="0" applyFill="1"/>
    <xf numFmtId="164" fontId="0" fillId="0" borderId="0" xfId="0" applyNumberFormat="1"/>
    <xf numFmtId="0" fontId="20" fillId="3" borderId="1" xfId="0" applyFont="1" applyFill="1" applyBorder="1"/>
    <xf numFmtId="0" fontId="20" fillId="3" borderId="2" xfId="0" applyFont="1" applyFill="1" applyBorder="1"/>
    <xf numFmtId="0" fontId="4" fillId="3" borderId="2" xfId="0" applyFont="1" applyFill="1" applyBorder="1"/>
    <xf numFmtId="0" fontId="3" fillId="3" borderId="2" xfId="0" applyFont="1" applyFill="1" applyBorder="1"/>
    <xf numFmtId="0" fontId="4" fillId="0" borderId="2" xfId="0" applyFont="1" applyBorder="1"/>
    <xf numFmtId="0" fontId="4" fillId="4" borderId="0" xfId="0" applyFont="1" applyFill="1" applyAlignment="1">
      <alignment horizontal="right"/>
    </xf>
    <xf numFmtId="0" fontId="22" fillId="4" borderId="0" xfId="4" quotePrefix="1" applyNumberFormat="1" applyFont="1" applyFill="1" applyBorder="1" applyAlignment="1">
      <alignment horizontal="center"/>
    </xf>
    <xf numFmtId="0" fontId="4" fillId="4" borderId="0" xfId="0" applyFont="1" applyFill="1"/>
    <xf numFmtId="38" fontId="4" fillId="4" borderId="0" xfId="0" applyNumberFormat="1" applyFont="1" applyFill="1" applyAlignment="1">
      <alignment horizontal="center"/>
    </xf>
    <xf numFmtId="38" fontId="3" fillId="4" borderId="0" xfId="0" applyNumberFormat="1" applyFont="1" applyFill="1" applyAlignment="1">
      <alignment horizontal="center"/>
    </xf>
    <xf numFmtId="38" fontId="4" fillId="4" borderId="0" xfId="0" applyNumberFormat="1" applyFont="1" applyFill="1"/>
    <xf numFmtId="0" fontId="23" fillId="4" borderId="3" xfId="0" applyFont="1" applyFill="1" applyBorder="1"/>
    <xf numFmtId="38" fontId="23" fillId="4" borderId="3" xfId="0" applyNumberFormat="1" applyFont="1" applyFill="1" applyBorder="1" applyAlignment="1">
      <alignment horizontal="center"/>
    </xf>
    <xf numFmtId="38" fontId="22" fillId="4" borderId="3" xfId="0" applyNumberFormat="1" applyFont="1" applyFill="1" applyBorder="1" applyAlignment="1">
      <alignment horizontal="center"/>
    </xf>
    <xf numFmtId="0" fontId="23" fillId="0" borderId="0" xfId="0" applyFont="1"/>
    <xf numFmtId="0" fontId="4" fillId="4" borderId="4" xfId="0" applyFont="1" applyFill="1" applyBorder="1"/>
    <xf numFmtId="38" fontId="4" fillId="4" borderId="4" xfId="0" applyNumberFormat="1" applyFont="1" applyFill="1" applyBorder="1" applyAlignment="1">
      <alignment horizontal="center"/>
    </xf>
    <xf numFmtId="38" fontId="3" fillId="4" borderId="4" xfId="0" applyNumberFormat="1" applyFont="1" applyFill="1" applyBorder="1" applyAlignment="1">
      <alignment horizontal="center"/>
    </xf>
    <xf numFmtId="38" fontId="4" fillId="5" borderId="0" xfId="0" applyNumberFormat="1" applyFont="1" applyFill="1" applyAlignment="1">
      <alignment horizontal="center"/>
    </xf>
    <xf numFmtId="38" fontId="4" fillId="4" borderId="5" xfId="0" applyNumberFormat="1" applyFont="1" applyFill="1" applyBorder="1"/>
    <xf numFmtId="38" fontId="4" fillId="4" borderId="5" xfId="0" applyNumberFormat="1" applyFont="1" applyFill="1" applyBorder="1" applyAlignment="1">
      <alignment horizontal="center"/>
    </xf>
    <xf numFmtId="38" fontId="3" fillId="4" borderId="5" xfId="0" applyNumberFormat="1" applyFont="1" applyFill="1" applyBorder="1" applyAlignment="1">
      <alignment horizontal="center"/>
    </xf>
    <xf numFmtId="2" fontId="23" fillId="4" borderId="0" xfId="0" applyNumberFormat="1" applyFont="1" applyFill="1"/>
    <xf numFmtId="2" fontId="22" fillId="4" borderId="0" xfId="2" applyNumberFormat="1" applyFont="1" applyFill="1" applyBorder="1" applyAlignment="1">
      <alignment horizontal="center"/>
    </xf>
    <xf numFmtId="0" fontId="4" fillId="4" borderId="3" xfId="0" applyFont="1" applyFill="1" applyBorder="1"/>
    <xf numFmtId="168" fontId="4" fillId="4" borderId="3" xfId="2" applyNumberFormat="1" applyFont="1" applyFill="1" applyBorder="1" applyAlignment="1">
      <alignment horizontal="center"/>
    </xf>
    <xf numFmtId="168" fontId="3" fillId="4" borderId="3" xfId="2" applyNumberFormat="1" applyFont="1" applyFill="1" applyBorder="1" applyAlignment="1">
      <alignment horizontal="center"/>
    </xf>
    <xf numFmtId="40" fontId="4" fillId="4" borderId="0" xfId="0" applyNumberFormat="1" applyFont="1" applyFill="1" applyAlignment="1">
      <alignment horizontal="center"/>
    </xf>
    <xf numFmtId="40" fontId="3" fillId="4" borderId="0" xfId="0" applyNumberFormat="1" applyFont="1" applyFill="1" applyAlignment="1">
      <alignment horizontal="center"/>
    </xf>
    <xf numFmtId="9" fontId="4" fillId="4" borderId="0" xfId="2" applyFont="1" applyFill="1" applyAlignment="1">
      <alignment horizontal="center"/>
    </xf>
    <xf numFmtId="9" fontId="3" fillId="4" borderId="0" xfId="2" applyFont="1" applyFill="1" applyAlignment="1">
      <alignment horizontal="center"/>
    </xf>
    <xf numFmtId="0" fontId="4" fillId="0" borderId="0" xfId="0" applyFont="1" applyAlignment="1">
      <alignment horizontal="center"/>
    </xf>
    <xf numFmtId="0" fontId="4" fillId="0" borderId="6" xfId="0" applyFont="1" applyBorder="1" applyAlignment="1">
      <alignment horizontal="right"/>
    </xf>
    <xf numFmtId="0" fontId="3" fillId="0" borderId="6" xfId="0" applyFont="1" applyBorder="1"/>
    <xf numFmtId="38" fontId="24" fillId="0" borderId="0" xfId="0" applyNumberFormat="1" applyFont="1"/>
    <xf numFmtId="38" fontId="25" fillId="0" borderId="0" xfId="0" applyNumberFormat="1" applyFont="1"/>
    <xf numFmtId="38" fontId="23" fillId="4" borderId="0" xfId="0" applyNumberFormat="1" applyFont="1" applyFill="1"/>
    <xf numFmtId="0" fontId="4" fillId="0" borderId="3" xfId="0" applyFont="1" applyBorder="1"/>
    <xf numFmtId="38" fontId="10" fillId="0" borderId="3" xfId="0" applyNumberFormat="1" applyFont="1" applyBorder="1"/>
    <xf numFmtId="38" fontId="12" fillId="0" borderId="3" xfId="0" applyNumberFormat="1" applyFont="1" applyBorder="1"/>
    <xf numFmtId="38" fontId="3" fillId="0" borderId="0" xfId="0" applyNumberFormat="1" applyFont="1"/>
    <xf numFmtId="4" fontId="3" fillId="0" borderId="0" xfId="0" applyNumberFormat="1" applyFont="1" applyAlignment="1">
      <alignment horizontal="center"/>
    </xf>
    <xf numFmtId="4" fontId="4" fillId="0" borderId="0" xfId="0" applyNumberFormat="1" applyFont="1" applyAlignment="1">
      <alignment horizontal="center"/>
    </xf>
    <xf numFmtId="0" fontId="3" fillId="0" borderId="6" xfId="0" applyFont="1" applyBorder="1" applyAlignment="1">
      <alignment horizontal="center"/>
    </xf>
    <xf numFmtId="3" fontId="10" fillId="0" borderId="0" xfId="0" applyNumberFormat="1" applyFont="1" applyAlignment="1">
      <alignment horizontal="center"/>
    </xf>
    <xf numFmtId="3" fontId="12" fillId="0" borderId="0" xfId="0" applyNumberFormat="1" applyFont="1" applyAlignment="1">
      <alignment horizontal="center"/>
    </xf>
    <xf numFmtId="38" fontId="10" fillId="0" borderId="3" xfId="0" applyNumberFormat="1" applyFont="1" applyBorder="1" applyAlignment="1">
      <alignment horizontal="center"/>
    </xf>
    <xf numFmtId="38" fontId="12" fillId="0" borderId="3" xfId="0" applyNumberFormat="1" applyFont="1" applyBorder="1" applyAlignment="1">
      <alignment horizontal="center"/>
    </xf>
    <xf numFmtId="0" fontId="4" fillId="0" borderId="4" xfId="0" applyFont="1" applyBorder="1"/>
    <xf numFmtId="38" fontId="3" fillId="0" borderId="4" xfId="0" applyNumberFormat="1" applyFont="1" applyBorder="1"/>
    <xf numFmtId="3" fontId="10" fillId="0" borderId="0" xfId="0" applyNumberFormat="1" applyFont="1"/>
    <xf numFmtId="3" fontId="12" fillId="0" borderId="0" xfId="0" applyNumberFormat="1" applyFont="1"/>
    <xf numFmtId="0" fontId="3" fillId="0" borderId="0" xfId="0" applyFont="1" applyAlignment="1">
      <alignment horizontal="center"/>
    </xf>
    <xf numFmtId="38" fontId="4" fillId="0" borderId="4" xfId="0" applyNumberFormat="1" applyFont="1" applyBorder="1" applyAlignment="1">
      <alignment horizontal="center"/>
    </xf>
    <xf numFmtId="38" fontId="3" fillId="0" borderId="4" xfId="0" applyNumberFormat="1" applyFont="1" applyBorder="1" applyAlignment="1">
      <alignment horizontal="center"/>
    </xf>
    <xf numFmtId="168" fontId="4" fillId="0" borderId="0" xfId="2" applyNumberFormat="1" applyFont="1"/>
    <xf numFmtId="0" fontId="20" fillId="3" borderId="7" xfId="0" applyFont="1" applyFill="1" applyBorder="1"/>
    <xf numFmtId="0" fontId="20" fillId="3" borderId="0" xfId="0" applyFont="1" applyFill="1"/>
    <xf numFmtId="0" fontId="4" fillId="3" borderId="0" xfId="0" applyFont="1" applyFill="1" applyAlignment="1">
      <alignment horizontal="center"/>
    </xf>
    <xf numFmtId="0" fontId="3" fillId="3" borderId="0" xfId="0" applyFont="1" applyFill="1" applyAlignment="1">
      <alignment horizontal="center"/>
    </xf>
    <xf numFmtId="0" fontId="26" fillId="4" borderId="8" xfId="0" applyFont="1" applyFill="1" applyBorder="1" applyAlignment="1">
      <alignment horizontal="right"/>
    </xf>
    <xf numFmtId="0" fontId="22" fillId="4" borderId="8" xfId="4" quotePrefix="1" applyNumberFormat="1" applyFont="1" applyFill="1" applyBorder="1" applyAlignment="1">
      <alignment horizontal="center"/>
    </xf>
    <xf numFmtId="38" fontId="4" fillId="4" borderId="3" xfId="0" applyNumberFormat="1" applyFont="1" applyFill="1" applyBorder="1" applyAlignment="1">
      <alignment horizontal="center"/>
    </xf>
    <xf numFmtId="38" fontId="3" fillId="4" borderId="3" xfId="0" applyNumberFormat="1" applyFont="1" applyFill="1" applyBorder="1" applyAlignment="1">
      <alignment horizontal="center"/>
    </xf>
    <xf numFmtId="38" fontId="4" fillId="0" borderId="0" xfId="0" applyNumberFormat="1" applyFont="1"/>
    <xf numFmtId="38" fontId="4" fillId="0" borderId="0" xfId="0" applyNumberFormat="1" applyFont="1" applyAlignment="1">
      <alignment horizontal="center"/>
    </xf>
    <xf numFmtId="38" fontId="3" fillId="0" borderId="0" xfId="0" applyNumberFormat="1" applyFont="1" applyAlignment="1">
      <alignment horizontal="center"/>
    </xf>
    <xf numFmtId="38" fontId="4" fillId="4" borderId="4" xfId="0" applyNumberFormat="1" applyFont="1" applyFill="1" applyBorder="1"/>
    <xf numFmtId="9" fontId="4" fillId="4" borderId="0" xfId="2" applyFont="1" applyFill="1" applyBorder="1" applyAlignment="1">
      <alignment horizontal="center"/>
    </xf>
    <xf numFmtId="9" fontId="3" fillId="4" borderId="0" xfId="2" applyFont="1" applyFill="1" applyBorder="1" applyAlignment="1">
      <alignment horizontal="center"/>
    </xf>
    <xf numFmtId="0" fontId="3" fillId="0" borderId="6" xfId="0" applyFont="1" applyBorder="1" applyAlignment="1">
      <alignment horizontal="right"/>
    </xf>
    <xf numFmtId="38" fontId="4" fillId="0" borderId="0" xfId="0" applyNumberFormat="1" applyFont="1" applyAlignment="1">
      <alignment horizontal="right"/>
    </xf>
    <xf numFmtId="38" fontId="3" fillId="0" borderId="0" xfId="0" applyNumberFormat="1" applyFont="1" applyAlignment="1">
      <alignment horizontal="right"/>
    </xf>
    <xf numFmtId="38" fontId="4" fillId="0" borderId="3" xfId="0" applyNumberFormat="1" applyFont="1" applyBorder="1" applyAlignment="1">
      <alignment horizontal="right"/>
    </xf>
    <xf numFmtId="38" fontId="3" fillId="0" borderId="3" xfId="0" applyNumberFormat="1" applyFont="1" applyBorder="1" applyAlignment="1">
      <alignment horizontal="right"/>
    </xf>
    <xf numFmtId="38" fontId="10" fillId="0" borderId="0" xfId="0" applyNumberFormat="1" applyFont="1" applyAlignment="1">
      <alignment horizontal="center"/>
    </xf>
    <xf numFmtId="38" fontId="12" fillId="0" borderId="0" xfId="0" applyNumberFormat="1" applyFont="1" applyAlignment="1">
      <alignment horizontal="center"/>
    </xf>
    <xf numFmtId="0" fontId="3" fillId="0" borderId="4" xfId="0" applyFont="1" applyBorder="1" applyAlignment="1">
      <alignment horizontal="center"/>
    </xf>
    <xf numFmtId="1" fontId="4" fillId="0" borderId="0" xfId="0" applyNumberFormat="1" applyFont="1" applyAlignment="1">
      <alignment horizontal="right"/>
    </xf>
    <xf numFmtId="3" fontId="3" fillId="0" borderId="0" xfId="0" applyNumberFormat="1" applyFont="1" applyAlignment="1">
      <alignment horizontal="right"/>
    </xf>
    <xf numFmtId="1" fontId="3" fillId="0" borderId="0" xfId="0" applyNumberFormat="1" applyFont="1" applyAlignment="1">
      <alignment horizontal="center"/>
    </xf>
    <xf numFmtId="38" fontId="4" fillId="0" borderId="4" xfId="0" applyNumberFormat="1" applyFont="1" applyBorder="1"/>
    <xf numFmtId="168" fontId="10" fillId="0" borderId="0" xfId="2" applyNumberFormat="1" applyFont="1" applyAlignment="1">
      <alignment horizontal="right"/>
    </xf>
    <xf numFmtId="168" fontId="12" fillId="0" borderId="0" xfId="2" applyNumberFormat="1" applyFont="1" applyAlignment="1">
      <alignment horizontal="right"/>
    </xf>
    <xf numFmtId="168" fontId="10" fillId="0" borderId="0" xfId="0" applyNumberFormat="1" applyFont="1"/>
    <xf numFmtId="168" fontId="12" fillId="0" borderId="0" xfId="0" applyNumberFormat="1" applyFont="1"/>
    <xf numFmtId="0" fontId="27" fillId="3" borderId="7" xfId="0" applyFont="1" applyFill="1" applyBorder="1"/>
    <xf numFmtId="0" fontId="27" fillId="3" borderId="0" xfId="0" applyFont="1" applyFill="1"/>
    <xf numFmtId="0" fontId="26" fillId="0" borderId="9" xfId="5" applyFont="1" applyBorder="1" applyAlignment="1">
      <alignment horizontal="right"/>
    </xf>
    <xf numFmtId="0" fontId="4" fillId="0" borderId="9" xfId="5" applyFont="1" applyBorder="1" applyAlignment="1">
      <alignment horizontal="center"/>
    </xf>
    <xf numFmtId="0" fontId="4" fillId="0" borderId="0" xfId="5" applyFont="1"/>
    <xf numFmtId="38" fontId="4" fillId="0" borderId="0" xfId="5" applyNumberFormat="1" applyFont="1" applyAlignment="1">
      <alignment horizontal="center" vertical="center"/>
    </xf>
    <xf numFmtId="38" fontId="3" fillId="0" borderId="0" xfId="5" applyNumberFormat="1" applyFont="1" applyAlignment="1">
      <alignment horizontal="center" vertical="center"/>
    </xf>
    <xf numFmtId="0" fontId="4" fillId="0" borderId="4" xfId="5" applyFont="1" applyBorder="1"/>
    <xf numFmtId="38" fontId="4" fillId="0" borderId="4" xfId="5" applyNumberFormat="1" applyFont="1" applyBorder="1" applyAlignment="1">
      <alignment horizontal="center" vertical="center"/>
    </xf>
    <xf numFmtId="38" fontId="3" fillId="0" borderId="4" xfId="5" applyNumberFormat="1" applyFont="1" applyBorder="1" applyAlignment="1">
      <alignment horizontal="center" vertical="center"/>
    </xf>
    <xf numFmtId="0" fontId="3" fillId="0" borderId="0" xfId="5" applyFont="1"/>
    <xf numFmtId="167" fontId="4" fillId="0" borderId="0" xfId="5" applyNumberFormat="1" applyFont="1" applyAlignment="1">
      <alignment horizontal="center" vertical="center"/>
    </xf>
    <xf numFmtId="40" fontId="4" fillId="0" borderId="0" xfId="5" applyNumberFormat="1" applyFont="1" applyAlignment="1">
      <alignment horizontal="center" vertical="center"/>
    </xf>
    <xf numFmtId="169" fontId="4" fillId="0" borderId="0" xfId="5" applyNumberFormat="1" applyFont="1" applyAlignment="1">
      <alignment horizontal="center" vertical="center"/>
    </xf>
    <xf numFmtId="0" fontId="4" fillId="0" borderId="0" xfId="5" applyFont="1" applyAlignment="1">
      <alignment horizontal="center" vertical="center"/>
    </xf>
    <xf numFmtId="0" fontId="4" fillId="0" borderId="10" xfId="5" applyFont="1" applyBorder="1"/>
    <xf numFmtId="170" fontId="4" fillId="0" borderId="0" xfId="6" applyNumberFormat="1" applyFont="1" applyFill="1"/>
    <xf numFmtId="168" fontId="4" fillId="0" borderId="0" xfId="6" applyNumberFormat="1" applyFont="1" applyFill="1"/>
    <xf numFmtId="168" fontId="29" fillId="0" borderId="0" xfId="6" applyNumberFormat="1" applyFont="1" applyFill="1"/>
    <xf numFmtId="0" fontId="29" fillId="0" borderId="0" xfId="5" applyFont="1"/>
    <xf numFmtId="10" fontId="4" fillId="0" borderId="0" xfId="6" applyNumberFormat="1" applyFont="1" applyFill="1"/>
    <xf numFmtId="171" fontId="4" fillId="0" borderId="0" xfId="5" applyNumberFormat="1" applyFont="1"/>
    <xf numFmtId="0" fontId="4" fillId="0" borderId="9" xfId="5" applyFont="1" applyBorder="1" applyAlignment="1">
      <alignment horizontal="right"/>
    </xf>
    <xf numFmtId="172" fontId="4" fillId="0" borderId="9" xfId="5" applyNumberFormat="1" applyFont="1" applyBorder="1"/>
    <xf numFmtId="38" fontId="4" fillId="0" borderId="0" xfId="5" applyNumberFormat="1" applyFont="1"/>
    <xf numFmtId="38" fontId="3" fillId="0" borderId="0" xfId="5" applyNumberFormat="1" applyFont="1"/>
    <xf numFmtId="0" fontId="4" fillId="0" borderId="11" xfId="5" applyFont="1" applyBorder="1"/>
    <xf numFmtId="38" fontId="23" fillId="0" borderId="0" xfId="5" applyNumberFormat="1" applyFont="1"/>
    <xf numFmtId="173" fontId="23" fillId="0" borderId="0" xfId="5" applyNumberFormat="1" applyFont="1"/>
    <xf numFmtId="9" fontId="4" fillId="0" borderId="0" xfId="2" applyFont="1"/>
    <xf numFmtId="40" fontId="3" fillId="0" borderId="0" xfId="5" applyNumberFormat="1" applyFont="1" applyAlignment="1">
      <alignment horizontal="center" vertical="center"/>
    </xf>
    <xf numFmtId="173" fontId="4" fillId="0" borderId="0" xfId="5" applyNumberFormat="1" applyFont="1"/>
    <xf numFmtId="173" fontId="30" fillId="0" borderId="0" xfId="5" applyNumberFormat="1" applyFont="1"/>
    <xf numFmtId="38" fontId="30" fillId="0" borderId="0" xfId="5" applyNumberFormat="1" applyFont="1"/>
    <xf numFmtId="38" fontId="22" fillId="0" borderId="0" xfId="5" applyNumberFormat="1" applyFont="1"/>
    <xf numFmtId="0" fontId="31" fillId="0" borderId="0" xfId="5" applyFont="1"/>
    <xf numFmtId="38" fontId="32" fillId="0" borderId="0" xfId="5" applyNumberFormat="1" applyFont="1"/>
    <xf numFmtId="168" fontId="4" fillId="4" borderId="0" xfId="2" applyNumberFormat="1" applyFont="1" applyFill="1" applyAlignment="1">
      <alignment horizontal="center"/>
    </xf>
    <xf numFmtId="168" fontId="3" fillId="4" borderId="0" xfId="2" applyNumberFormat="1" applyFont="1" applyFill="1" applyAlignment="1">
      <alignment horizontal="center"/>
    </xf>
    <xf numFmtId="3" fontId="4" fillId="0" borderId="0" xfId="0" applyNumberFormat="1" applyFont="1" applyAlignment="1">
      <alignment horizontal="center"/>
    </xf>
    <xf numFmtId="0" fontId="33" fillId="0" borderId="0" xfId="0" applyFont="1" applyAlignment="1">
      <alignment horizontal="left"/>
    </xf>
    <xf numFmtId="168" fontId="3" fillId="0" borderId="0" xfId="2" applyNumberFormat="1" applyFont="1" applyAlignment="1">
      <alignment horizontal="center"/>
    </xf>
    <xf numFmtId="0" fontId="4" fillId="0" borderId="11" xfId="0" applyFont="1" applyBorder="1"/>
    <xf numFmtId="38" fontId="24" fillId="0" borderId="0" xfId="0" applyNumberFormat="1" applyFont="1" applyAlignment="1">
      <alignment horizontal="center"/>
    </xf>
    <xf numFmtId="3" fontId="25" fillId="0" borderId="0" xfId="0" applyNumberFormat="1" applyFont="1" applyAlignment="1">
      <alignment horizontal="center"/>
    </xf>
    <xf numFmtId="0" fontId="23" fillId="0" borderId="3" xfId="0" applyFont="1" applyBorder="1"/>
    <xf numFmtId="38" fontId="24" fillId="0" borderId="3" xfId="0" applyNumberFormat="1" applyFont="1" applyBorder="1" applyAlignment="1">
      <alignment horizontal="center"/>
    </xf>
    <xf numFmtId="38" fontId="25" fillId="0" borderId="3" xfId="0" applyNumberFormat="1" applyFont="1" applyBorder="1" applyAlignment="1">
      <alignment horizontal="center"/>
    </xf>
    <xf numFmtId="38" fontId="25" fillId="0" borderId="0" xfId="0" applyNumberFormat="1" applyFont="1" applyAlignment="1">
      <alignment horizontal="center"/>
    </xf>
    <xf numFmtId="38" fontId="22" fillId="0" borderId="0" xfId="0" applyNumberFormat="1" applyFont="1" applyAlignment="1">
      <alignment horizontal="center"/>
    </xf>
    <xf numFmtId="0" fontId="22" fillId="0" borderId="0" xfId="0" applyFont="1" applyAlignment="1">
      <alignment horizontal="center"/>
    </xf>
    <xf numFmtId="0" fontId="3" fillId="0" borderId="4" xfId="0" applyFont="1" applyBorder="1"/>
    <xf numFmtId="0" fontId="4" fillId="0" borderId="4" xfId="0" applyFont="1" applyBorder="1" applyAlignment="1">
      <alignment horizontal="center"/>
    </xf>
    <xf numFmtId="0" fontId="34" fillId="0" borderId="0" xfId="3" applyFont="1" applyAlignment="1">
      <alignment horizontal="center"/>
    </xf>
  </cellXfs>
  <cellStyles count="7">
    <cellStyle name="Comma" xfId="1" builtinId="3"/>
    <cellStyle name="Comma 9" xfId="4" xr:uid="{EEA8B34B-19D4-4232-AF13-D6031D7E2A77}"/>
    <cellStyle name="Hyperlink" xfId="3" builtinId="8"/>
    <cellStyle name="Normal" xfId="0" builtinId="0"/>
    <cellStyle name="Normal 2" xfId="5" xr:uid="{9C48CECE-537D-4EF7-AF0F-D21FEAD353BD}"/>
    <cellStyle name="Percent" xfId="2" builtinId="5"/>
    <cellStyle name="Percent 2" xfId="6" xr:uid="{2F83A16A-6DD1-4F09-BE98-201BB85102B1}"/>
  </cellStyles>
  <dxfs count="7">
    <dxf>
      <font>
        <strike val="0"/>
        <color rgb="FF7030A0"/>
      </font>
    </dxf>
    <dxf>
      <font>
        <strike val="0"/>
        <color rgb="FF7030A0"/>
      </font>
    </dxf>
    <dxf>
      <font>
        <strike val="0"/>
        <color rgb="FF7030A0"/>
      </font>
    </dxf>
    <dxf>
      <font>
        <strike val="0"/>
        <color rgb="FF7030A0"/>
      </font>
    </dxf>
    <dxf>
      <font>
        <strike val="0"/>
        <color rgb="FF7030A0"/>
      </font>
    </dxf>
    <dxf>
      <font>
        <strike val="0"/>
        <color rgb="FF7030A0"/>
      </font>
    </dxf>
    <dxf>
      <font>
        <strike val="0"/>
        <color rgb="FF7030A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Freight and mail air transport (tonnes)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2018</c:v>
          </c:tx>
          <c:spPr>
            <a:ln w="28575" cap="rnd">
              <a:solidFill>
                <a:schemeClr val="accent1"/>
              </a:solidFill>
              <a:round/>
            </a:ln>
            <a:effectLst/>
          </c:spPr>
          <c:marker>
            <c:symbol val="none"/>
          </c:marker>
          <c:cat>
            <c:strRef>
              <c:f>Notes!$A$2:$A$13</c:f>
              <c:strCache>
                <c:ptCount val="12"/>
                <c:pt idx="0">
                  <c:v>J</c:v>
                </c:pt>
                <c:pt idx="1">
                  <c:v>F</c:v>
                </c:pt>
                <c:pt idx="2">
                  <c:v>M</c:v>
                </c:pt>
                <c:pt idx="3">
                  <c:v>A</c:v>
                </c:pt>
                <c:pt idx="4">
                  <c:v>M</c:v>
                </c:pt>
                <c:pt idx="5">
                  <c:v>J</c:v>
                </c:pt>
                <c:pt idx="6">
                  <c:v>J</c:v>
                </c:pt>
                <c:pt idx="7">
                  <c:v>A</c:v>
                </c:pt>
                <c:pt idx="8">
                  <c:v>S</c:v>
                </c:pt>
                <c:pt idx="9">
                  <c:v>O</c:v>
                </c:pt>
                <c:pt idx="10">
                  <c:v>N</c:v>
                </c:pt>
                <c:pt idx="11">
                  <c:v>D</c:v>
                </c:pt>
              </c:strCache>
            </c:strRef>
          </c:cat>
          <c:val>
            <c:numRef>
              <c:f>Notes!$B$2:$B$13</c:f>
              <c:numCache>
                <c:formatCode>General</c:formatCode>
                <c:ptCount val="12"/>
                <c:pt idx="0">
                  <c:v>1124837.6000000001</c:v>
                </c:pt>
                <c:pt idx="1">
                  <c:v>1066553.5</c:v>
                </c:pt>
                <c:pt idx="2">
                  <c:v>1279015.2</c:v>
                </c:pt>
                <c:pt idx="3">
                  <c:v>1203321.3999999999</c:v>
                </c:pt>
                <c:pt idx="4">
                  <c:v>1218205.5</c:v>
                </c:pt>
                <c:pt idx="5">
                  <c:v>1204172.7</c:v>
                </c:pt>
                <c:pt idx="6">
                  <c:v>1218041.7</c:v>
                </c:pt>
                <c:pt idx="7">
                  <c:v>1159793.1000000001</c:v>
                </c:pt>
                <c:pt idx="8">
                  <c:v>1205425.6000000001</c:v>
                </c:pt>
                <c:pt idx="9">
                  <c:v>1275211.8</c:v>
                </c:pt>
                <c:pt idx="10">
                  <c:v>1270398.6000000001</c:v>
                </c:pt>
                <c:pt idx="11">
                  <c:v>1216208.3</c:v>
                </c:pt>
              </c:numCache>
            </c:numRef>
          </c:val>
          <c:smooth val="0"/>
          <c:extLst>
            <c:ext xmlns:c16="http://schemas.microsoft.com/office/drawing/2014/chart" uri="{C3380CC4-5D6E-409C-BE32-E72D297353CC}">
              <c16:uniqueId val="{00000000-5CC9-44C4-A65A-6A0FD2BF7B1F}"/>
            </c:ext>
          </c:extLst>
        </c:ser>
        <c:ser>
          <c:idx val="1"/>
          <c:order val="1"/>
          <c:tx>
            <c:v>2019</c:v>
          </c:tx>
          <c:spPr>
            <a:ln w="28575" cap="rnd">
              <a:solidFill>
                <a:schemeClr val="accent2"/>
              </a:solidFill>
              <a:round/>
            </a:ln>
            <a:effectLst/>
          </c:spPr>
          <c:marker>
            <c:symbol val="none"/>
          </c:marker>
          <c:cat>
            <c:strRef>
              <c:f>Notes!$A$2:$A$13</c:f>
              <c:strCache>
                <c:ptCount val="12"/>
                <c:pt idx="0">
                  <c:v>J</c:v>
                </c:pt>
                <c:pt idx="1">
                  <c:v>F</c:v>
                </c:pt>
                <c:pt idx="2">
                  <c:v>M</c:v>
                </c:pt>
                <c:pt idx="3">
                  <c:v>A</c:v>
                </c:pt>
                <c:pt idx="4">
                  <c:v>M</c:v>
                </c:pt>
                <c:pt idx="5">
                  <c:v>J</c:v>
                </c:pt>
                <c:pt idx="6">
                  <c:v>J</c:v>
                </c:pt>
                <c:pt idx="7">
                  <c:v>A</c:v>
                </c:pt>
                <c:pt idx="8">
                  <c:v>S</c:v>
                </c:pt>
                <c:pt idx="9">
                  <c:v>O</c:v>
                </c:pt>
                <c:pt idx="10">
                  <c:v>N</c:v>
                </c:pt>
                <c:pt idx="11">
                  <c:v>D</c:v>
                </c:pt>
              </c:strCache>
            </c:strRef>
          </c:cat>
          <c:val>
            <c:numRef>
              <c:f>Notes!$C$2:$C$13</c:f>
              <c:numCache>
                <c:formatCode>General</c:formatCode>
                <c:ptCount val="12"/>
                <c:pt idx="0">
                  <c:v>1098170.5</c:v>
                </c:pt>
                <c:pt idx="1">
                  <c:v>1041250.1</c:v>
                </c:pt>
                <c:pt idx="2">
                  <c:v>1268027.6000000001</c:v>
                </c:pt>
                <c:pt idx="3">
                  <c:v>1133207.2</c:v>
                </c:pt>
                <c:pt idx="4">
                  <c:v>1187565.3</c:v>
                </c:pt>
                <c:pt idx="5">
                  <c:v>1116672</c:v>
                </c:pt>
                <c:pt idx="6">
                  <c:v>1177916</c:v>
                </c:pt>
                <c:pt idx="7">
                  <c:v>1100250.7</c:v>
                </c:pt>
                <c:pt idx="8">
                  <c:v>1169810</c:v>
                </c:pt>
                <c:pt idx="9">
                  <c:v>1275507.7</c:v>
                </c:pt>
                <c:pt idx="10">
                  <c:v>1244441.8999999999</c:v>
                </c:pt>
                <c:pt idx="11">
                  <c:v>1219650.7</c:v>
                </c:pt>
              </c:numCache>
            </c:numRef>
          </c:val>
          <c:smooth val="0"/>
          <c:extLst>
            <c:ext xmlns:c16="http://schemas.microsoft.com/office/drawing/2014/chart" uri="{C3380CC4-5D6E-409C-BE32-E72D297353CC}">
              <c16:uniqueId val="{00000001-5CC9-44C4-A65A-6A0FD2BF7B1F}"/>
            </c:ext>
          </c:extLst>
        </c:ser>
        <c:ser>
          <c:idx val="3"/>
          <c:order val="3"/>
          <c:tx>
            <c:v>2021</c:v>
          </c:tx>
          <c:spPr>
            <a:ln w="28575" cap="rnd">
              <a:solidFill>
                <a:schemeClr val="accent4"/>
              </a:solidFill>
              <a:round/>
            </a:ln>
            <a:effectLst/>
          </c:spPr>
          <c:marker>
            <c:symbol val="none"/>
          </c:marker>
          <c:cat>
            <c:strRef>
              <c:f>Notes!$A$2:$A$13</c:f>
              <c:strCache>
                <c:ptCount val="12"/>
                <c:pt idx="0">
                  <c:v>J</c:v>
                </c:pt>
                <c:pt idx="1">
                  <c:v>F</c:v>
                </c:pt>
                <c:pt idx="2">
                  <c:v>M</c:v>
                </c:pt>
                <c:pt idx="3">
                  <c:v>A</c:v>
                </c:pt>
                <c:pt idx="4">
                  <c:v>M</c:v>
                </c:pt>
                <c:pt idx="5">
                  <c:v>J</c:v>
                </c:pt>
                <c:pt idx="6">
                  <c:v>J</c:v>
                </c:pt>
                <c:pt idx="7">
                  <c:v>A</c:v>
                </c:pt>
                <c:pt idx="8">
                  <c:v>S</c:v>
                </c:pt>
                <c:pt idx="9">
                  <c:v>O</c:v>
                </c:pt>
                <c:pt idx="10">
                  <c:v>N</c:v>
                </c:pt>
                <c:pt idx="11">
                  <c:v>D</c:v>
                </c:pt>
              </c:strCache>
            </c:strRef>
          </c:cat>
          <c:val>
            <c:numRef>
              <c:f>Notes!$E$2:$E$13</c:f>
              <c:numCache>
                <c:formatCode>General</c:formatCode>
                <c:ptCount val="12"/>
                <c:pt idx="0">
                  <c:v>1128853.3</c:v>
                </c:pt>
                <c:pt idx="1">
                  <c:v>1124129.5</c:v>
                </c:pt>
                <c:pt idx="2">
                  <c:v>1340223.7</c:v>
                </c:pt>
                <c:pt idx="3">
                  <c:v>1293821.3999999999</c:v>
                </c:pt>
                <c:pt idx="4">
                  <c:v>1301441.8</c:v>
                </c:pt>
                <c:pt idx="5">
                  <c:v>1256353.5</c:v>
                </c:pt>
                <c:pt idx="6">
                  <c:v>1299275.7</c:v>
                </c:pt>
                <c:pt idx="7">
                  <c:v>1228907.8999999999</c:v>
                </c:pt>
                <c:pt idx="8">
                  <c:v>1273764</c:v>
                </c:pt>
                <c:pt idx="9">
                  <c:v>1376194.2</c:v>
                </c:pt>
                <c:pt idx="10">
                  <c:v>1364391.1</c:v>
                </c:pt>
                <c:pt idx="11">
                  <c:v>1398191.3</c:v>
                </c:pt>
              </c:numCache>
            </c:numRef>
          </c:val>
          <c:smooth val="0"/>
          <c:extLst>
            <c:ext xmlns:c16="http://schemas.microsoft.com/office/drawing/2014/chart" uri="{C3380CC4-5D6E-409C-BE32-E72D297353CC}">
              <c16:uniqueId val="{00000002-5CC9-44C4-A65A-6A0FD2BF7B1F}"/>
            </c:ext>
          </c:extLst>
        </c:ser>
        <c:ser>
          <c:idx val="4"/>
          <c:order val="4"/>
          <c:tx>
            <c:v>2022</c:v>
          </c:tx>
          <c:spPr>
            <a:ln w="28575" cap="rnd">
              <a:solidFill>
                <a:schemeClr val="accent5"/>
              </a:solidFill>
              <a:round/>
            </a:ln>
            <a:effectLst/>
          </c:spPr>
          <c:marker>
            <c:symbol val="none"/>
          </c:marker>
          <c:cat>
            <c:strRef>
              <c:f>Notes!$A$2:$A$13</c:f>
              <c:strCache>
                <c:ptCount val="12"/>
                <c:pt idx="0">
                  <c:v>J</c:v>
                </c:pt>
                <c:pt idx="1">
                  <c:v>F</c:v>
                </c:pt>
                <c:pt idx="2">
                  <c:v>M</c:v>
                </c:pt>
                <c:pt idx="3">
                  <c:v>A</c:v>
                </c:pt>
                <c:pt idx="4">
                  <c:v>M</c:v>
                </c:pt>
                <c:pt idx="5">
                  <c:v>J</c:v>
                </c:pt>
                <c:pt idx="6">
                  <c:v>J</c:v>
                </c:pt>
                <c:pt idx="7">
                  <c:v>A</c:v>
                </c:pt>
                <c:pt idx="8">
                  <c:v>S</c:v>
                </c:pt>
                <c:pt idx="9">
                  <c:v>O</c:v>
                </c:pt>
                <c:pt idx="10">
                  <c:v>N</c:v>
                </c:pt>
                <c:pt idx="11">
                  <c:v>D</c:v>
                </c:pt>
              </c:strCache>
            </c:strRef>
          </c:cat>
          <c:val>
            <c:numRef>
              <c:f>Notes!$F$2:$F$13</c:f>
              <c:numCache>
                <c:formatCode>General</c:formatCode>
                <c:ptCount val="12"/>
                <c:pt idx="0">
                  <c:v>1136529.6000000001</c:v>
                </c:pt>
                <c:pt idx="1">
                  <c:v>1107243.8999999999</c:v>
                </c:pt>
                <c:pt idx="2">
                  <c:v>1267828.1000000001</c:v>
                </c:pt>
                <c:pt idx="3">
                  <c:v>1135185.8</c:v>
                </c:pt>
                <c:pt idx="4">
                  <c:v>1185819</c:v>
                </c:pt>
                <c:pt idx="5">
                  <c:v>1164581.8999999999</c:v>
                </c:pt>
                <c:pt idx="6">
                  <c:v>1168347</c:v>
                </c:pt>
                <c:pt idx="7">
                  <c:v>1139526.5</c:v>
                </c:pt>
                <c:pt idx="8">
                  <c:v>1180399.6000000001</c:v>
                </c:pt>
                <c:pt idx="9">
                  <c:v>1235890.3999999999</c:v>
                </c:pt>
                <c:pt idx="10">
                  <c:v>1204937.2</c:v>
                </c:pt>
                <c:pt idx="11">
                  <c:v>1175053.8</c:v>
                </c:pt>
              </c:numCache>
            </c:numRef>
          </c:val>
          <c:smooth val="0"/>
          <c:extLst>
            <c:ext xmlns:c16="http://schemas.microsoft.com/office/drawing/2014/chart" uri="{C3380CC4-5D6E-409C-BE32-E72D297353CC}">
              <c16:uniqueId val="{00000003-5CC9-44C4-A65A-6A0FD2BF7B1F}"/>
            </c:ext>
          </c:extLst>
        </c:ser>
        <c:ser>
          <c:idx val="5"/>
          <c:order val="5"/>
          <c:tx>
            <c:v>2023</c:v>
          </c:tx>
          <c:spPr>
            <a:ln w="28575" cap="rnd">
              <a:solidFill>
                <a:schemeClr val="accent6"/>
              </a:solidFill>
              <a:round/>
            </a:ln>
            <a:effectLst/>
          </c:spPr>
          <c:marker>
            <c:symbol val="none"/>
          </c:marker>
          <c:cat>
            <c:strRef>
              <c:f>Notes!$A$2:$A$13</c:f>
              <c:strCache>
                <c:ptCount val="12"/>
                <c:pt idx="0">
                  <c:v>J</c:v>
                </c:pt>
                <c:pt idx="1">
                  <c:v>F</c:v>
                </c:pt>
                <c:pt idx="2">
                  <c:v>M</c:v>
                </c:pt>
                <c:pt idx="3">
                  <c:v>A</c:v>
                </c:pt>
                <c:pt idx="4">
                  <c:v>M</c:v>
                </c:pt>
                <c:pt idx="5">
                  <c:v>J</c:v>
                </c:pt>
                <c:pt idx="6">
                  <c:v>J</c:v>
                </c:pt>
                <c:pt idx="7">
                  <c:v>A</c:v>
                </c:pt>
                <c:pt idx="8">
                  <c:v>S</c:v>
                </c:pt>
                <c:pt idx="9">
                  <c:v>O</c:v>
                </c:pt>
                <c:pt idx="10">
                  <c:v>N</c:v>
                </c:pt>
                <c:pt idx="11">
                  <c:v>D</c:v>
                </c:pt>
              </c:strCache>
            </c:strRef>
          </c:cat>
          <c:val>
            <c:numRef>
              <c:f>Notes!$G$2:$G$13</c:f>
              <c:numCache>
                <c:formatCode>General</c:formatCode>
                <c:ptCount val="12"/>
                <c:pt idx="0">
                  <c:v>994899.7</c:v>
                </c:pt>
                <c:pt idx="1">
                  <c:v>1022455.5</c:v>
                </c:pt>
                <c:pt idx="2">
                  <c:v>1194312.3</c:v>
                </c:pt>
                <c:pt idx="3">
                  <c:v>1086871.8999999999</c:v>
                </c:pt>
                <c:pt idx="4">
                  <c:v>1092584.3999999999</c:v>
                </c:pt>
                <c:pt idx="5">
                  <c:v>1097718.7</c:v>
                </c:pt>
                <c:pt idx="6">
                  <c:v>1108141.7</c:v>
                </c:pt>
                <c:pt idx="7">
                  <c:v>1072495</c:v>
                </c:pt>
                <c:pt idx="8">
                  <c:v>1124368.3999999999</c:v>
                </c:pt>
                <c:pt idx="9">
                  <c:v>1203182.3</c:v>
                </c:pt>
                <c:pt idx="10">
                  <c:v>1218173</c:v>
                </c:pt>
                <c:pt idx="11">
                  <c:v>1186166.7</c:v>
                </c:pt>
              </c:numCache>
            </c:numRef>
          </c:val>
          <c:smooth val="0"/>
          <c:extLst>
            <c:ext xmlns:c16="http://schemas.microsoft.com/office/drawing/2014/chart" uri="{C3380CC4-5D6E-409C-BE32-E72D297353CC}">
              <c16:uniqueId val="{00000004-5CC9-44C4-A65A-6A0FD2BF7B1F}"/>
            </c:ext>
          </c:extLst>
        </c:ser>
        <c:ser>
          <c:idx val="6"/>
          <c:order val="6"/>
          <c:tx>
            <c:v>2024</c:v>
          </c:tx>
          <c:spPr>
            <a:ln w="28575" cap="rnd">
              <a:solidFill>
                <a:schemeClr val="accent1">
                  <a:lumMod val="60000"/>
                </a:schemeClr>
              </a:solidFill>
              <a:round/>
            </a:ln>
            <a:effectLst/>
          </c:spPr>
          <c:marker>
            <c:symbol val="none"/>
          </c:marker>
          <c:cat>
            <c:strRef>
              <c:f>Notes!$A$2:$A$13</c:f>
              <c:strCache>
                <c:ptCount val="12"/>
                <c:pt idx="0">
                  <c:v>J</c:v>
                </c:pt>
                <c:pt idx="1">
                  <c:v>F</c:v>
                </c:pt>
                <c:pt idx="2">
                  <c:v>M</c:v>
                </c:pt>
                <c:pt idx="3">
                  <c:v>A</c:v>
                </c:pt>
                <c:pt idx="4">
                  <c:v>M</c:v>
                </c:pt>
                <c:pt idx="5">
                  <c:v>J</c:v>
                </c:pt>
                <c:pt idx="6">
                  <c:v>J</c:v>
                </c:pt>
                <c:pt idx="7">
                  <c:v>A</c:v>
                </c:pt>
                <c:pt idx="8">
                  <c:v>S</c:v>
                </c:pt>
                <c:pt idx="9">
                  <c:v>O</c:v>
                </c:pt>
                <c:pt idx="10">
                  <c:v>N</c:v>
                </c:pt>
                <c:pt idx="11">
                  <c:v>D</c:v>
                </c:pt>
              </c:strCache>
            </c:strRef>
          </c:cat>
          <c:val>
            <c:numRef>
              <c:f>Notes!$H$2:$H$13</c:f>
              <c:numCache>
                <c:formatCode>General</c:formatCode>
                <c:ptCount val="12"/>
                <c:pt idx="0">
                  <c:v>1106534.5</c:v>
                </c:pt>
                <c:pt idx="1">
                  <c:v>1112063.3999999999</c:v>
                </c:pt>
                <c:pt idx="2">
                  <c:v>1274539.8</c:v>
                </c:pt>
              </c:numCache>
            </c:numRef>
          </c:val>
          <c:smooth val="0"/>
          <c:extLst>
            <c:ext xmlns:c16="http://schemas.microsoft.com/office/drawing/2014/chart" uri="{C3380CC4-5D6E-409C-BE32-E72D297353CC}">
              <c16:uniqueId val="{00000005-5CC9-44C4-A65A-6A0FD2BF7B1F}"/>
            </c:ext>
          </c:extLst>
        </c:ser>
        <c:dLbls>
          <c:showLegendKey val="0"/>
          <c:showVal val="0"/>
          <c:showCatName val="0"/>
          <c:showSerName val="0"/>
          <c:showPercent val="0"/>
          <c:showBubbleSize val="0"/>
        </c:dLbls>
        <c:smooth val="0"/>
        <c:axId val="961375919"/>
        <c:axId val="961323311"/>
        <c:extLst>
          <c:ext xmlns:c15="http://schemas.microsoft.com/office/drawing/2012/chart" uri="{02D57815-91ED-43cb-92C2-25804820EDAC}">
            <c15:filteredLineSeries>
              <c15:ser>
                <c:idx val="2"/>
                <c:order val="2"/>
                <c:tx>
                  <c:v>2020</c:v>
                </c:tx>
                <c:spPr>
                  <a:ln w="28575" cap="rnd">
                    <a:solidFill>
                      <a:schemeClr val="accent3"/>
                    </a:solidFill>
                    <a:round/>
                  </a:ln>
                  <a:effectLst/>
                </c:spPr>
                <c:marker>
                  <c:symbol val="none"/>
                </c:marker>
                <c:cat>
                  <c:strRef>
                    <c:extLst>
                      <c:ext uri="{02D57815-91ED-43cb-92C2-25804820EDAC}">
                        <c15:formulaRef>
                          <c15:sqref>Notes!$A$2:$A$13</c15:sqref>
                        </c15:formulaRef>
                      </c:ext>
                    </c:extLst>
                    <c:strCache>
                      <c:ptCount val="12"/>
                      <c:pt idx="0">
                        <c:v>J</c:v>
                      </c:pt>
                      <c:pt idx="1">
                        <c:v>F</c:v>
                      </c:pt>
                      <c:pt idx="2">
                        <c:v>M</c:v>
                      </c:pt>
                      <c:pt idx="3">
                        <c:v>A</c:v>
                      </c:pt>
                      <c:pt idx="4">
                        <c:v>M</c:v>
                      </c:pt>
                      <c:pt idx="5">
                        <c:v>J</c:v>
                      </c:pt>
                      <c:pt idx="6">
                        <c:v>J</c:v>
                      </c:pt>
                      <c:pt idx="7">
                        <c:v>A</c:v>
                      </c:pt>
                      <c:pt idx="8">
                        <c:v>S</c:v>
                      </c:pt>
                      <c:pt idx="9">
                        <c:v>O</c:v>
                      </c:pt>
                      <c:pt idx="10">
                        <c:v>N</c:v>
                      </c:pt>
                      <c:pt idx="11">
                        <c:v>D</c:v>
                      </c:pt>
                    </c:strCache>
                  </c:strRef>
                </c:cat>
                <c:val>
                  <c:numRef>
                    <c:extLst>
                      <c:ext uri="{02D57815-91ED-43cb-92C2-25804820EDAC}">
                        <c15:formulaRef>
                          <c15:sqref>Notes!$D$2:$D$13</c15:sqref>
                        </c15:formulaRef>
                      </c:ext>
                    </c:extLst>
                    <c:numCache>
                      <c:formatCode>General</c:formatCode>
                      <c:ptCount val="12"/>
                      <c:pt idx="0">
                        <c:v>1082699.5</c:v>
                      </c:pt>
                      <c:pt idx="1">
                        <c:v>1050967.7</c:v>
                      </c:pt>
                      <c:pt idx="2">
                        <c:v>1072266.2</c:v>
                      </c:pt>
                      <c:pt idx="3">
                        <c:v>839035.2</c:v>
                      </c:pt>
                      <c:pt idx="4">
                        <c:v>975782.3</c:v>
                      </c:pt>
                      <c:pt idx="5">
                        <c:v>970139.9</c:v>
                      </c:pt>
                      <c:pt idx="6">
                        <c:v>1014675.7</c:v>
                      </c:pt>
                      <c:pt idx="7">
                        <c:v>1004974.8</c:v>
                      </c:pt>
                      <c:pt idx="8">
                        <c:v>1075884.5</c:v>
                      </c:pt>
                      <c:pt idx="9">
                        <c:v>1185442.3</c:v>
                      </c:pt>
                      <c:pt idx="10">
                        <c:v>1230897.5</c:v>
                      </c:pt>
                      <c:pt idx="11">
                        <c:v>1243689.6000000001</c:v>
                      </c:pt>
                    </c:numCache>
                  </c:numRef>
                </c:val>
                <c:smooth val="0"/>
                <c:extLst>
                  <c:ext xmlns:c16="http://schemas.microsoft.com/office/drawing/2014/chart" uri="{C3380CC4-5D6E-409C-BE32-E72D297353CC}">
                    <c16:uniqueId val="{00000006-5CC9-44C4-A65A-6A0FD2BF7B1F}"/>
                  </c:ext>
                </c:extLst>
              </c15:ser>
            </c15:filteredLineSeries>
          </c:ext>
        </c:extLst>
      </c:lineChart>
      <c:catAx>
        <c:axId val="96137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323311"/>
        <c:crosses val="autoZero"/>
        <c:auto val="1"/>
        <c:lblAlgn val="ctr"/>
        <c:lblOffset val="100"/>
        <c:noMultiLvlLbl val="0"/>
      </c:catAx>
      <c:valAx>
        <c:axId val="961323311"/>
        <c:scaling>
          <c:orientation val="minMax"/>
          <c:min val="90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3759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9525</xdr:colOff>
      <xdr:row>0</xdr:row>
      <xdr:rowOff>185737</xdr:rowOff>
    </xdr:from>
    <xdr:to>
      <xdr:col>15</xdr:col>
      <xdr:colOff>314325</xdr:colOff>
      <xdr:row>15</xdr:row>
      <xdr:rowOff>71437</xdr:rowOff>
    </xdr:to>
    <xdr:graphicFrame macro="">
      <xdr:nvGraphicFramePr>
        <xdr:cNvPr id="2" name="Chart 1">
          <a:extLst>
            <a:ext uri="{FF2B5EF4-FFF2-40B4-BE49-F238E27FC236}">
              <a16:creationId xmlns:a16="http://schemas.microsoft.com/office/drawing/2014/main" id="{0E912CB6-0C1C-4E82-9403-2C5DE395A4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torem\Dropbox\FM%20Files\HOBO\Biofuel%20Model\eubbdbal%20-%20HOBO.xlsx" TargetMode="External"/><Relationship Id="rId1" Type="http://schemas.openxmlformats.org/officeDocument/2006/relationships/externalLinkPath" Target="/Users/torem/Dropbox/FM%20Files/HOBO/Biofuel%20Model/eubbdbal%20-%20HOB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ources"/>
      <sheetName val="Notes"/>
      <sheetName val="Capacity"/>
      <sheetName val="annual_data"/>
      <sheetName val="monthly_data"/>
      <sheetName val="BD"/>
      <sheetName val="RD"/>
      <sheetName val="SAF"/>
      <sheetName val="Jet Fuel"/>
      <sheetName val="Diesel"/>
    </sheetNames>
    <sheetDataSet>
      <sheetData sheetId="0"/>
      <sheetData sheetId="1">
        <row r="2">
          <cell r="A2" t="str">
            <v>J</v>
          </cell>
          <cell r="B2">
            <v>1124837.6000000001</v>
          </cell>
          <cell r="C2">
            <v>1098170.5</v>
          </cell>
          <cell r="D2">
            <v>1082699.5</v>
          </cell>
          <cell r="E2">
            <v>1128853.3</v>
          </cell>
          <cell r="F2">
            <v>1136529.6000000001</v>
          </cell>
          <cell r="G2">
            <v>994899.7</v>
          </cell>
          <cell r="H2">
            <v>1106534.5</v>
          </cell>
        </row>
        <row r="3">
          <cell r="A3" t="str">
            <v>F</v>
          </cell>
          <cell r="B3">
            <v>1066553.5</v>
          </cell>
          <cell r="C3">
            <v>1041250.1</v>
          </cell>
          <cell r="D3">
            <v>1050967.7</v>
          </cell>
          <cell r="E3">
            <v>1124129.5</v>
          </cell>
          <cell r="F3">
            <v>1107243.8999999999</v>
          </cell>
          <cell r="G3">
            <v>1022455.5</v>
          </cell>
          <cell r="H3">
            <v>1112063.3999999999</v>
          </cell>
        </row>
        <row r="4">
          <cell r="A4" t="str">
            <v>M</v>
          </cell>
          <cell r="B4">
            <v>1279015.2</v>
          </cell>
          <cell r="C4">
            <v>1268027.6000000001</v>
          </cell>
          <cell r="D4">
            <v>1072266.2</v>
          </cell>
          <cell r="E4">
            <v>1340223.7</v>
          </cell>
          <cell r="F4">
            <v>1267828.1000000001</v>
          </cell>
          <cell r="G4">
            <v>1194312.3</v>
          </cell>
          <cell r="H4">
            <v>1274539.8</v>
          </cell>
        </row>
        <row r="5">
          <cell r="A5" t="str">
            <v>A</v>
          </cell>
          <cell r="B5">
            <v>1203321.3999999999</v>
          </cell>
          <cell r="C5">
            <v>1133207.2</v>
          </cell>
          <cell r="D5">
            <v>839035.2</v>
          </cell>
          <cell r="E5">
            <v>1293821.3999999999</v>
          </cell>
          <cell r="F5">
            <v>1135185.8</v>
          </cell>
          <cell r="G5">
            <v>1086871.8999999999</v>
          </cell>
        </row>
        <row r="6">
          <cell r="A6" t="str">
            <v>M</v>
          </cell>
          <cell r="B6">
            <v>1218205.5</v>
          </cell>
          <cell r="C6">
            <v>1187565.3</v>
          </cell>
          <cell r="D6">
            <v>975782.3</v>
          </cell>
          <cell r="E6">
            <v>1301441.8</v>
          </cell>
          <cell r="F6">
            <v>1185819</v>
          </cell>
          <cell r="G6">
            <v>1092584.3999999999</v>
          </cell>
        </row>
        <row r="7">
          <cell r="A7" t="str">
            <v>J</v>
          </cell>
          <cell r="B7">
            <v>1204172.7</v>
          </cell>
          <cell r="C7">
            <v>1116672</v>
          </cell>
          <cell r="D7">
            <v>970139.9</v>
          </cell>
          <cell r="E7">
            <v>1256353.5</v>
          </cell>
          <cell r="F7">
            <v>1164581.8999999999</v>
          </cell>
          <cell r="G7">
            <v>1097718.7</v>
          </cell>
        </row>
        <row r="8">
          <cell r="A8" t="str">
            <v>J</v>
          </cell>
          <cell r="B8">
            <v>1218041.7</v>
          </cell>
          <cell r="C8">
            <v>1177916</v>
          </cell>
          <cell r="D8">
            <v>1014675.7</v>
          </cell>
          <cell r="E8">
            <v>1299275.7</v>
          </cell>
          <cell r="F8">
            <v>1168347</v>
          </cell>
          <cell r="G8">
            <v>1108141.7</v>
          </cell>
        </row>
        <row r="9">
          <cell r="A9" t="str">
            <v>A</v>
          </cell>
          <cell r="B9">
            <v>1159793.1000000001</v>
          </cell>
          <cell r="C9">
            <v>1100250.7</v>
          </cell>
          <cell r="D9">
            <v>1004974.8</v>
          </cell>
          <cell r="E9">
            <v>1228907.8999999999</v>
          </cell>
          <cell r="F9">
            <v>1139526.5</v>
          </cell>
          <cell r="G9">
            <v>1072495</v>
          </cell>
        </row>
        <row r="10">
          <cell r="A10" t="str">
            <v>S</v>
          </cell>
          <cell r="B10">
            <v>1205425.6000000001</v>
          </cell>
          <cell r="C10">
            <v>1169810</v>
          </cell>
          <cell r="D10">
            <v>1075884.5</v>
          </cell>
          <cell r="E10">
            <v>1273764</v>
          </cell>
          <cell r="F10">
            <v>1180399.6000000001</v>
          </cell>
          <cell r="G10">
            <v>1124368.3999999999</v>
          </cell>
        </row>
        <row r="11">
          <cell r="A11" t="str">
            <v>O</v>
          </cell>
          <cell r="B11">
            <v>1275211.8</v>
          </cell>
          <cell r="C11">
            <v>1275507.7</v>
          </cell>
          <cell r="D11">
            <v>1185442.3</v>
          </cell>
          <cell r="E11">
            <v>1376194.2</v>
          </cell>
          <cell r="F11">
            <v>1235890.3999999999</v>
          </cell>
          <cell r="G11">
            <v>1203182.3</v>
          </cell>
        </row>
        <row r="12">
          <cell r="A12" t="str">
            <v>N</v>
          </cell>
          <cell r="B12">
            <v>1270398.6000000001</v>
          </cell>
          <cell r="C12">
            <v>1244441.8999999999</v>
          </cell>
          <cell r="D12">
            <v>1230897.5</v>
          </cell>
          <cell r="E12">
            <v>1364391.1</v>
          </cell>
          <cell r="F12">
            <v>1204937.2</v>
          </cell>
          <cell r="G12">
            <v>1218173</v>
          </cell>
        </row>
        <row r="13">
          <cell r="A13" t="str">
            <v>D</v>
          </cell>
          <cell r="B13">
            <v>1216208.3</v>
          </cell>
          <cell r="C13">
            <v>1219650.7</v>
          </cell>
          <cell r="D13">
            <v>1243689.6000000001</v>
          </cell>
          <cell r="E13">
            <v>1398191.3</v>
          </cell>
          <cell r="F13">
            <v>1175053.8</v>
          </cell>
          <cell r="G13">
            <v>1186166.7</v>
          </cell>
        </row>
      </sheetData>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c.europa.eu/eurostat/databrowser/view/nrg_stk_oilm__custom_13609796/default/table?lang=en" TargetMode="External"/><Relationship Id="rId2" Type="http://schemas.openxmlformats.org/officeDocument/2006/relationships/hyperlink" Target="https://ec.europa.eu/eurostat/databrowser/view/ttr00012__custom_13331436/default/table?lang=en" TargetMode="External"/><Relationship Id="rId1" Type="http://schemas.openxmlformats.org/officeDocument/2006/relationships/hyperlink" Target="https://ec.europa.eu/eurostat/databrowser/view/nrg_cb_oilm__custom_12828275/settings_1/table?lang=e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54310-A254-4ED8-A6E5-9F09D1F4F4B1}">
  <dimension ref="A2:F22"/>
  <sheetViews>
    <sheetView tabSelected="1" zoomScale="110" zoomScaleNormal="110" workbookViewId="0">
      <selection activeCell="B4" sqref="B4"/>
    </sheetView>
  </sheetViews>
  <sheetFormatPr defaultColWidth="9.140625" defaultRowHeight="15"/>
  <cols>
    <col min="1" max="1" width="47.5703125" style="5" bestFit="1" customWidth="1"/>
    <col min="2" max="2" width="45.7109375" style="5" customWidth="1"/>
    <col min="3" max="16384" width="9.140625" style="5"/>
  </cols>
  <sheetData>
    <row r="2" spans="1:6" s="4" customFormat="1" ht="39" customHeight="1">
      <c r="A2" s="1" t="s">
        <v>0</v>
      </c>
      <c r="B2" s="2" t="s">
        <v>1</v>
      </c>
      <c r="C2" s="3" t="s">
        <v>2</v>
      </c>
      <c r="D2" s="3"/>
      <c r="E2" s="3"/>
      <c r="F2" s="3"/>
    </row>
    <row r="3" spans="1:6">
      <c r="A3" s="5" t="s">
        <v>3</v>
      </c>
      <c r="B3" s="6" t="s">
        <v>4</v>
      </c>
      <c r="D3" s="7" t="s">
        <v>5</v>
      </c>
    </row>
    <row r="4" spans="1:6">
      <c r="A4" s="5" t="s">
        <v>6</v>
      </c>
      <c r="B4" s="6" t="s">
        <v>7</v>
      </c>
      <c r="D4" s="8" t="s">
        <v>8</v>
      </c>
    </row>
    <row r="5" spans="1:6">
      <c r="A5" s="5" t="s">
        <v>9</v>
      </c>
      <c r="B5" s="6" t="s">
        <v>10</v>
      </c>
      <c r="D5" s="8" t="s">
        <v>11</v>
      </c>
    </row>
    <row r="6" spans="1:6">
      <c r="A6" s="5" t="s">
        <v>12</v>
      </c>
      <c r="B6" s="5" t="s">
        <v>13</v>
      </c>
      <c r="D6" s="8" t="s">
        <v>14</v>
      </c>
    </row>
    <row r="7" spans="1:6">
      <c r="A7" s="5" t="s">
        <v>15</v>
      </c>
      <c r="B7" s="5" t="s">
        <v>16</v>
      </c>
      <c r="D7" s="8" t="s">
        <v>17</v>
      </c>
    </row>
    <row r="17" spans="1:2">
      <c r="A17" s="4" t="s">
        <v>18</v>
      </c>
      <c r="B17" s="4"/>
    </row>
    <row r="18" spans="1:2">
      <c r="A18" s="4" t="s">
        <v>19</v>
      </c>
      <c r="B18" s="4" t="s">
        <v>20</v>
      </c>
    </row>
    <row r="19" spans="1:2">
      <c r="A19" s="5" t="s">
        <v>21</v>
      </c>
    </row>
    <row r="20" spans="1:2">
      <c r="A20" s="5" t="s">
        <v>22</v>
      </c>
      <c r="B20" s="5" t="s">
        <v>23</v>
      </c>
    </row>
    <row r="21" spans="1:2">
      <c r="A21" s="5" t="s">
        <v>24</v>
      </c>
      <c r="B21" s="5" t="s">
        <v>25</v>
      </c>
    </row>
    <row r="22" spans="1:2">
      <c r="A22" s="5" t="s">
        <v>26</v>
      </c>
      <c r="B22" s="5" t="s">
        <v>27</v>
      </c>
    </row>
  </sheetData>
  <mergeCells count="1">
    <mergeCell ref="C2:F2"/>
  </mergeCells>
  <hyperlinks>
    <hyperlink ref="B3" r:id="rId1" xr:uid="{959C234B-C2D6-478E-983D-C047D59F1404}"/>
    <hyperlink ref="B5" r:id="rId2" xr:uid="{49BDC9D9-8AB8-4522-B490-69FB4004237E}"/>
    <hyperlink ref="B4" r:id="rId3" xr:uid="{53B23553-DD7B-4262-AA47-00595299E5E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718E1-EB58-4973-8B19-758A52DB3A02}">
  <dimension ref="A1:H13"/>
  <sheetViews>
    <sheetView workbookViewId="0">
      <selection activeCell="B4" sqref="B4"/>
    </sheetView>
  </sheetViews>
  <sheetFormatPr defaultRowHeight="15"/>
  <sheetData>
    <row r="1" spans="1:8">
      <c r="A1" s="9" t="s">
        <v>28</v>
      </c>
      <c r="B1" s="5">
        <v>2018</v>
      </c>
      <c r="C1">
        <v>2019</v>
      </c>
      <c r="D1">
        <v>2020</v>
      </c>
      <c r="E1">
        <v>2021</v>
      </c>
      <c r="F1">
        <v>2022</v>
      </c>
      <c r="G1">
        <v>2023</v>
      </c>
      <c r="H1">
        <v>2024</v>
      </c>
    </row>
    <row r="2" spans="1:8">
      <c r="A2" s="5" t="s">
        <v>29</v>
      </c>
      <c r="B2" s="5">
        <v>1124837.6000000001</v>
      </c>
      <c r="C2" s="5">
        <v>1098170.5</v>
      </c>
      <c r="D2" s="5">
        <v>1082699.5</v>
      </c>
      <c r="E2" s="5">
        <v>1128853.3</v>
      </c>
      <c r="F2" s="5">
        <v>1136529.6000000001</v>
      </c>
      <c r="G2" s="5">
        <v>994899.7</v>
      </c>
      <c r="H2" s="5">
        <v>1106534.5</v>
      </c>
    </row>
    <row r="3" spans="1:8">
      <c r="A3" s="5" t="s">
        <v>30</v>
      </c>
      <c r="B3" s="5">
        <v>1066553.5</v>
      </c>
      <c r="C3" s="5">
        <v>1041250.1</v>
      </c>
      <c r="D3" s="5">
        <v>1050967.7</v>
      </c>
      <c r="E3" s="5">
        <v>1124129.5</v>
      </c>
      <c r="F3" s="5">
        <v>1107243.8999999999</v>
      </c>
      <c r="G3" s="5">
        <v>1022455.5</v>
      </c>
      <c r="H3" s="5">
        <v>1112063.3999999999</v>
      </c>
    </row>
    <row r="4" spans="1:8">
      <c r="A4" s="5" t="s">
        <v>31</v>
      </c>
      <c r="B4" s="5">
        <v>1279015.2</v>
      </c>
      <c r="C4" s="5">
        <v>1268027.6000000001</v>
      </c>
      <c r="D4" s="5">
        <v>1072266.2</v>
      </c>
      <c r="E4" s="5">
        <v>1340223.7</v>
      </c>
      <c r="F4" s="5">
        <v>1267828.1000000001</v>
      </c>
      <c r="G4" s="5">
        <v>1194312.3</v>
      </c>
      <c r="H4" s="5">
        <v>1274539.8</v>
      </c>
    </row>
    <row r="5" spans="1:8">
      <c r="A5" s="5" t="s">
        <v>32</v>
      </c>
      <c r="B5" s="5">
        <v>1203321.3999999999</v>
      </c>
      <c r="C5" s="5">
        <v>1133207.2</v>
      </c>
      <c r="D5" s="5">
        <v>839035.2</v>
      </c>
      <c r="E5" s="5">
        <v>1293821.3999999999</v>
      </c>
      <c r="F5" s="5">
        <v>1135185.8</v>
      </c>
      <c r="G5" s="5">
        <v>1086871.8999999999</v>
      </c>
    </row>
    <row r="6" spans="1:8">
      <c r="A6" s="5" t="s">
        <v>31</v>
      </c>
      <c r="B6" s="5">
        <v>1218205.5</v>
      </c>
      <c r="C6" s="5">
        <v>1187565.3</v>
      </c>
      <c r="D6" s="5">
        <v>975782.3</v>
      </c>
      <c r="E6" s="5">
        <v>1301441.8</v>
      </c>
      <c r="F6" s="5">
        <v>1185819</v>
      </c>
      <c r="G6" s="5">
        <v>1092584.3999999999</v>
      </c>
    </row>
    <row r="7" spans="1:8">
      <c r="A7" s="5" t="s">
        <v>29</v>
      </c>
      <c r="B7" s="5">
        <v>1204172.7</v>
      </c>
      <c r="C7" s="5">
        <v>1116672</v>
      </c>
      <c r="D7" s="5">
        <v>970139.9</v>
      </c>
      <c r="E7" s="5">
        <v>1256353.5</v>
      </c>
      <c r="F7" s="5">
        <v>1164581.8999999999</v>
      </c>
      <c r="G7" s="5">
        <v>1097718.7</v>
      </c>
    </row>
    <row r="8" spans="1:8">
      <c r="A8" s="5" t="s">
        <v>29</v>
      </c>
      <c r="B8" s="5">
        <v>1218041.7</v>
      </c>
      <c r="C8" s="5">
        <v>1177916</v>
      </c>
      <c r="D8" s="5">
        <v>1014675.7</v>
      </c>
      <c r="E8" s="5">
        <v>1299275.7</v>
      </c>
      <c r="F8" s="5">
        <v>1168347</v>
      </c>
      <c r="G8" s="5">
        <v>1108141.7</v>
      </c>
    </row>
    <row r="9" spans="1:8">
      <c r="A9" s="5" t="s">
        <v>32</v>
      </c>
      <c r="B9" s="5">
        <v>1159793.1000000001</v>
      </c>
      <c r="C9" s="5">
        <v>1100250.7</v>
      </c>
      <c r="D9" s="5">
        <v>1004974.8</v>
      </c>
      <c r="E9" s="5">
        <v>1228907.8999999999</v>
      </c>
      <c r="F9" s="5">
        <v>1139526.5</v>
      </c>
      <c r="G9" s="5">
        <v>1072495</v>
      </c>
    </row>
    <row r="10" spans="1:8">
      <c r="A10" s="5" t="s">
        <v>33</v>
      </c>
      <c r="B10" s="5">
        <v>1205425.6000000001</v>
      </c>
      <c r="C10" s="5">
        <v>1169810</v>
      </c>
      <c r="D10" s="5">
        <v>1075884.5</v>
      </c>
      <c r="E10" s="5">
        <v>1273764</v>
      </c>
      <c r="F10" s="5">
        <v>1180399.6000000001</v>
      </c>
      <c r="G10" s="5">
        <v>1124368.3999999999</v>
      </c>
    </row>
    <row r="11" spans="1:8">
      <c r="A11" s="5" t="s">
        <v>34</v>
      </c>
      <c r="B11" s="5">
        <v>1275211.8</v>
      </c>
      <c r="C11" s="5">
        <v>1275507.7</v>
      </c>
      <c r="D11" s="5">
        <v>1185442.3</v>
      </c>
      <c r="E11" s="5">
        <v>1376194.2</v>
      </c>
      <c r="F11" s="5">
        <v>1235890.3999999999</v>
      </c>
      <c r="G11" s="5">
        <v>1203182.3</v>
      </c>
    </row>
    <row r="12" spans="1:8">
      <c r="A12" s="5" t="s">
        <v>35</v>
      </c>
      <c r="B12" s="5">
        <v>1270398.6000000001</v>
      </c>
      <c r="C12" s="5">
        <v>1244441.8999999999</v>
      </c>
      <c r="D12" s="5">
        <v>1230897.5</v>
      </c>
      <c r="E12" s="5">
        <v>1364391.1</v>
      </c>
      <c r="F12" s="5">
        <v>1204937.2</v>
      </c>
      <c r="G12" s="5">
        <v>1218173</v>
      </c>
    </row>
    <row r="13" spans="1:8">
      <c r="A13" s="5" t="s">
        <v>36</v>
      </c>
      <c r="B13" s="5">
        <v>1216208.3</v>
      </c>
      <c r="C13" s="5">
        <v>1219650.7</v>
      </c>
      <c r="D13" s="5">
        <v>1243689.6000000001</v>
      </c>
      <c r="E13" s="5">
        <v>1398191.3</v>
      </c>
      <c r="F13" s="5">
        <v>1175053.8</v>
      </c>
      <c r="G13" s="5">
        <v>1186166.7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436F3-B475-46B6-95A3-93B2DCFECBCB}">
  <dimension ref="A1:D121"/>
  <sheetViews>
    <sheetView workbookViewId="0">
      <pane xSplit="1" ySplit="1" topLeftCell="B2" activePane="bottomRight" state="frozen"/>
      <selection activeCell="B4" sqref="B4"/>
      <selection pane="topRight" activeCell="B4" sqref="B4"/>
      <selection pane="bottomLeft" activeCell="B4" sqref="B4"/>
      <selection pane="bottomRight" activeCell="B4" sqref="B4"/>
    </sheetView>
  </sheetViews>
  <sheetFormatPr defaultColWidth="9.140625" defaultRowHeight="13.5"/>
  <cols>
    <col min="1" max="1" width="9.140625" style="10"/>
    <col min="2" max="4" width="14.28515625" style="10" customWidth="1"/>
    <col min="5" max="16384" width="9.140625" style="10"/>
  </cols>
  <sheetData>
    <row r="1" spans="1:4" ht="15.75">
      <c r="B1" s="11" t="s">
        <v>37</v>
      </c>
      <c r="C1" s="11" t="s">
        <v>38</v>
      </c>
      <c r="D1" s="11" t="s">
        <v>39</v>
      </c>
    </row>
    <row r="2" spans="1:4">
      <c r="A2" s="12">
        <v>42005</v>
      </c>
      <c r="B2" s="13">
        <v>2106</v>
      </c>
      <c r="C2" s="13">
        <v>255</v>
      </c>
      <c r="D2" s="13">
        <f t="shared" ref="D2:D65" si="0">C2+B2</f>
        <v>2361</v>
      </c>
    </row>
    <row r="3" spans="1:4">
      <c r="A3" s="12">
        <v>42036</v>
      </c>
      <c r="B3" s="13">
        <v>2155</v>
      </c>
      <c r="C3" s="13">
        <v>255</v>
      </c>
      <c r="D3" s="13">
        <f t="shared" si="0"/>
        <v>2410</v>
      </c>
    </row>
    <row r="4" spans="1:4">
      <c r="A4" s="12">
        <v>42064</v>
      </c>
      <c r="B4" s="13">
        <v>2160</v>
      </c>
      <c r="C4" s="13">
        <v>255</v>
      </c>
      <c r="D4" s="13">
        <f t="shared" si="0"/>
        <v>2415</v>
      </c>
    </row>
    <row r="5" spans="1:4">
      <c r="A5" s="12">
        <v>42095</v>
      </c>
      <c r="B5" s="13">
        <v>2209</v>
      </c>
      <c r="C5" s="13">
        <v>255</v>
      </c>
      <c r="D5" s="13">
        <f t="shared" si="0"/>
        <v>2464</v>
      </c>
    </row>
    <row r="6" spans="1:4">
      <c r="A6" s="12">
        <v>42125</v>
      </c>
      <c r="B6" s="13">
        <v>2168</v>
      </c>
      <c r="C6" s="13">
        <v>255</v>
      </c>
      <c r="D6" s="13">
        <f t="shared" si="0"/>
        <v>2423</v>
      </c>
    </row>
    <row r="7" spans="1:4">
      <c r="A7" s="12">
        <v>42156</v>
      </c>
      <c r="B7" s="13">
        <v>2151</v>
      </c>
      <c r="C7" s="13">
        <v>255</v>
      </c>
      <c r="D7" s="13">
        <f t="shared" si="0"/>
        <v>2406</v>
      </c>
    </row>
    <row r="8" spans="1:4">
      <c r="A8" s="12">
        <v>42186</v>
      </c>
      <c r="B8" s="13">
        <v>2131</v>
      </c>
      <c r="C8" s="13">
        <v>255</v>
      </c>
      <c r="D8" s="13">
        <f t="shared" si="0"/>
        <v>2386</v>
      </c>
    </row>
    <row r="9" spans="1:4">
      <c r="A9" s="12">
        <v>42217</v>
      </c>
      <c r="B9" s="13">
        <v>2134</v>
      </c>
      <c r="C9" s="13">
        <v>255</v>
      </c>
      <c r="D9" s="13">
        <f t="shared" si="0"/>
        <v>2389</v>
      </c>
    </row>
    <row r="10" spans="1:4">
      <c r="A10" s="12">
        <v>42248</v>
      </c>
      <c r="B10" s="13">
        <v>2154</v>
      </c>
      <c r="C10" s="13">
        <v>255</v>
      </c>
      <c r="D10" s="13">
        <f t="shared" si="0"/>
        <v>2409</v>
      </c>
    </row>
    <row r="11" spans="1:4">
      <c r="A11" s="12">
        <v>42278</v>
      </c>
      <c r="B11" s="13">
        <v>2166</v>
      </c>
      <c r="C11" s="13">
        <v>255</v>
      </c>
      <c r="D11" s="13">
        <f t="shared" si="0"/>
        <v>2421</v>
      </c>
    </row>
    <row r="12" spans="1:4">
      <c r="A12" s="12">
        <v>42309</v>
      </c>
      <c r="B12" s="13">
        <v>2122</v>
      </c>
      <c r="C12" s="13">
        <v>255</v>
      </c>
      <c r="D12" s="13">
        <f t="shared" si="0"/>
        <v>2377</v>
      </c>
    </row>
    <row r="13" spans="1:4">
      <c r="A13" s="12">
        <v>42339</v>
      </c>
      <c r="B13" s="13">
        <v>2029</v>
      </c>
      <c r="C13" s="13">
        <v>255</v>
      </c>
      <c r="D13" s="13">
        <f t="shared" si="0"/>
        <v>2284</v>
      </c>
    </row>
    <row r="14" spans="1:4">
      <c r="A14" s="12">
        <v>42370</v>
      </c>
      <c r="B14" s="13">
        <v>2270</v>
      </c>
      <c r="C14" s="13">
        <v>266</v>
      </c>
      <c r="D14" s="13">
        <f t="shared" si="0"/>
        <v>2536</v>
      </c>
    </row>
    <row r="15" spans="1:4">
      <c r="A15" s="12">
        <v>42401</v>
      </c>
      <c r="B15" s="13">
        <v>2270</v>
      </c>
      <c r="C15" s="13">
        <v>277</v>
      </c>
      <c r="D15" s="13">
        <f t="shared" si="0"/>
        <v>2547</v>
      </c>
    </row>
    <row r="16" spans="1:4">
      <c r="A16" s="12">
        <v>42430</v>
      </c>
      <c r="B16" s="13">
        <v>2299</v>
      </c>
      <c r="C16" s="13">
        <v>308</v>
      </c>
      <c r="D16" s="13">
        <f t="shared" si="0"/>
        <v>2607</v>
      </c>
    </row>
    <row r="17" spans="1:4">
      <c r="A17" s="12">
        <v>42461</v>
      </c>
      <c r="B17" s="13">
        <v>2290</v>
      </c>
      <c r="C17" s="13">
        <v>333</v>
      </c>
      <c r="D17" s="13">
        <f t="shared" si="0"/>
        <v>2623</v>
      </c>
    </row>
    <row r="18" spans="1:4">
      <c r="A18" s="12">
        <v>42491</v>
      </c>
      <c r="B18" s="13">
        <v>2275</v>
      </c>
      <c r="C18" s="13">
        <v>358</v>
      </c>
      <c r="D18" s="13">
        <f t="shared" si="0"/>
        <v>2633</v>
      </c>
    </row>
    <row r="19" spans="1:4">
      <c r="A19" s="12">
        <v>42522</v>
      </c>
      <c r="B19" s="13">
        <v>2275</v>
      </c>
      <c r="C19" s="13">
        <v>408</v>
      </c>
      <c r="D19" s="13">
        <f t="shared" si="0"/>
        <v>2683</v>
      </c>
    </row>
    <row r="20" spans="1:4">
      <c r="A20" s="12">
        <v>42552</v>
      </c>
      <c r="B20" s="13">
        <v>2275</v>
      </c>
      <c r="C20" s="13">
        <v>408</v>
      </c>
      <c r="D20" s="13">
        <f t="shared" si="0"/>
        <v>2683</v>
      </c>
    </row>
    <row r="21" spans="1:4">
      <c r="A21" s="12">
        <v>42583</v>
      </c>
      <c r="B21" s="13">
        <v>2275</v>
      </c>
      <c r="C21" s="13">
        <v>408</v>
      </c>
      <c r="D21" s="13">
        <f t="shared" si="0"/>
        <v>2683</v>
      </c>
    </row>
    <row r="22" spans="1:4">
      <c r="A22" s="12">
        <v>42614</v>
      </c>
      <c r="B22" s="13">
        <v>2279</v>
      </c>
      <c r="C22" s="13">
        <v>408</v>
      </c>
      <c r="D22" s="13">
        <f t="shared" si="0"/>
        <v>2687</v>
      </c>
    </row>
    <row r="23" spans="1:4">
      <c r="A23" s="12">
        <v>42644</v>
      </c>
      <c r="B23" s="13">
        <v>2312</v>
      </c>
      <c r="C23" s="13">
        <v>408</v>
      </c>
      <c r="D23" s="13">
        <f t="shared" si="0"/>
        <v>2720</v>
      </c>
    </row>
    <row r="24" spans="1:4">
      <c r="A24" s="12">
        <v>42675</v>
      </c>
      <c r="B24" s="13">
        <v>2312</v>
      </c>
      <c r="C24" s="13">
        <v>408</v>
      </c>
      <c r="D24" s="13">
        <f t="shared" si="0"/>
        <v>2720</v>
      </c>
    </row>
    <row r="25" spans="1:4">
      <c r="A25" s="12">
        <v>42705</v>
      </c>
      <c r="B25" s="13">
        <v>2316</v>
      </c>
      <c r="C25" s="13">
        <v>408</v>
      </c>
      <c r="D25" s="13">
        <f t="shared" si="0"/>
        <v>2724</v>
      </c>
    </row>
    <row r="26" spans="1:4">
      <c r="A26" s="12">
        <v>42736</v>
      </c>
      <c r="B26" s="13">
        <v>2316</v>
      </c>
      <c r="C26" s="13">
        <v>408</v>
      </c>
      <c r="D26" s="13">
        <f t="shared" si="0"/>
        <v>2724</v>
      </c>
    </row>
    <row r="27" spans="1:4">
      <c r="A27" s="12">
        <v>42767</v>
      </c>
      <c r="B27" s="13">
        <v>2316</v>
      </c>
      <c r="C27" s="13">
        <v>408</v>
      </c>
      <c r="D27" s="13">
        <f t="shared" si="0"/>
        <v>2724</v>
      </c>
    </row>
    <row r="28" spans="1:4">
      <c r="A28" s="12">
        <v>42795</v>
      </c>
      <c r="B28" s="13">
        <v>2362</v>
      </c>
      <c r="C28" s="13">
        <v>408</v>
      </c>
      <c r="D28" s="13">
        <f t="shared" si="0"/>
        <v>2770</v>
      </c>
    </row>
    <row r="29" spans="1:4">
      <c r="A29" s="12">
        <v>42826</v>
      </c>
      <c r="B29" s="13">
        <v>2328</v>
      </c>
      <c r="C29" s="13">
        <v>408</v>
      </c>
      <c r="D29" s="13">
        <f t="shared" si="0"/>
        <v>2736</v>
      </c>
    </row>
    <row r="30" spans="1:4">
      <c r="A30" s="12">
        <v>42856</v>
      </c>
      <c r="B30" s="13">
        <v>2329</v>
      </c>
      <c r="C30" s="13">
        <v>408</v>
      </c>
      <c r="D30" s="13">
        <f t="shared" si="0"/>
        <v>2737</v>
      </c>
    </row>
    <row r="31" spans="1:4">
      <c r="A31" s="12">
        <v>42887</v>
      </c>
      <c r="B31" s="13">
        <v>2329</v>
      </c>
      <c r="C31" s="13">
        <v>408</v>
      </c>
      <c r="D31" s="13">
        <f t="shared" si="0"/>
        <v>2737</v>
      </c>
    </row>
    <row r="32" spans="1:4">
      <c r="A32" s="12">
        <v>42917</v>
      </c>
      <c r="B32" s="13">
        <v>2330</v>
      </c>
      <c r="C32" s="13">
        <v>408</v>
      </c>
      <c r="D32" s="13">
        <f t="shared" si="0"/>
        <v>2738</v>
      </c>
    </row>
    <row r="33" spans="1:4">
      <c r="A33" s="12">
        <v>42948</v>
      </c>
      <c r="B33" s="13">
        <v>2321</v>
      </c>
      <c r="C33" s="13">
        <v>408</v>
      </c>
      <c r="D33" s="13">
        <f t="shared" si="0"/>
        <v>2729</v>
      </c>
    </row>
    <row r="34" spans="1:4">
      <c r="A34" s="12">
        <v>42979</v>
      </c>
      <c r="B34" s="13">
        <v>2350</v>
      </c>
      <c r="C34" s="13">
        <v>408</v>
      </c>
      <c r="D34" s="13">
        <f t="shared" si="0"/>
        <v>2758</v>
      </c>
    </row>
    <row r="35" spans="1:4">
      <c r="A35" s="12">
        <v>43009</v>
      </c>
      <c r="B35" s="13">
        <v>2357</v>
      </c>
      <c r="C35" s="13">
        <v>408</v>
      </c>
      <c r="D35" s="13">
        <f t="shared" si="0"/>
        <v>2765</v>
      </c>
    </row>
    <row r="36" spans="1:4">
      <c r="A36" s="12">
        <v>43040</v>
      </c>
      <c r="B36" s="13">
        <v>2417</v>
      </c>
      <c r="C36" s="13">
        <v>408</v>
      </c>
      <c r="D36" s="13">
        <f t="shared" si="0"/>
        <v>2825</v>
      </c>
    </row>
    <row r="37" spans="1:4">
      <c r="A37" s="12">
        <v>43070</v>
      </c>
      <c r="B37" s="13">
        <v>2401</v>
      </c>
      <c r="C37" s="13">
        <v>408</v>
      </c>
      <c r="D37" s="13">
        <f t="shared" si="0"/>
        <v>2809</v>
      </c>
    </row>
    <row r="38" spans="1:4">
      <c r="A38" s="12">
        <v>43101</v>
      </c>
      <c r="B38" s="13">
        <v>2549</v>
      </c>
      <c r="C38" s="13">
        <v>408</v>
      </c>
      <c r="D38" s="13">
        <f t="shared" si="0"/>
        <v>2957</v>
      </c>
    </row>
    <row r="39" spans="1:4">
      <c r="A39" s="12">
        <v>43132</v>
      </c>
      <c r="B39" s="13">
        <v>2550</v>
      </c>
      <c r="C39" s="13">
        <v>408</v>
      </c>
      <c r="D39" s="13">
        <f t="shared" si="0"/>
        <v>2958</v>
      </c>
    </row>
    <row r="40" spans="1:4">
      <c r="A40" s="12">
        <v>43160</v>
      </c>
      <c r="B40" s="13">
        <v>2548</v>
      </c>
      <c r="C40" s="13">
        <v>408</v>
      </c>
      <c r="D40" s="13">
        <f t="shared" si="0"/>
        <v>2956</v>
      </c>
    </row>
    <row r="41" spans="1:4">
      <c r="A41" s="12">
        <v>43191</v>
      </c>
      <c r="B41" s="13">
        <v>2567</v>
      </c>
      <c r="C41" s="13">
        <v>408</v>
      </c>
      <c r="D41" s="13">
        <f t="shared" si="0"/>
        <v>2975</v>
      </c>
    </row>
    <row r="42" spans="1:4">
      <c r="A42" s="12">
        <v>43221</v>
      </c>
      <c r="B42" s="13">
        <v>2511</v>
      </c>
      <c r="C42" s="13">
        <v>418</v>
      </c>
      <c r="D42" s="13">
        <f t="shared" si="0"/>
        <v>2929</v>
      </c>
    </row>
    <row r="43" spans="1:4">
      <c r="A43" s="12">
        <v>43252</v>
      </c>
      <c r="B43" s="13">
        <v>2512</v>
      </c>
      <c r="C43" s="13">
        <v>428</v>
      </c>
      <c r="D43" s="13">
        <f t="shared" si="0"/>
        <v>2940</v>
      </c>
    </row>
    <row r="44" spans="1:4">
      <c r="A44" s="12">
        <v>43282</v>
      </c>
      <c r="B44" s="13">
        <v>2512</v>
      </c>
      <c r="C44" s="13">
        <v>268</v>
      </c>
      <c r="D44" s="13">
        <f t="shared" si="0"/>
        <v>2780</v>
      </c>
    </row>
    <row r="45" spans="1:4">
      <c r="A45" s="12">
        <v>43313</v>
      </c>
      <c r="B45" s="13">
        <v>2512</v>
      </c>
      <c r="C45" s="13">
        <v>456.75</v>
      </c>
      <c r="D45" s="13">
        <f t="shared" si="0"/>
        <v>2968.75</v>
      </c>
    </row>
    <row r="46" spans="1:4">
      <c r="A46" s="12">
        <v>43344</v>
      </c>
      <c r="B46" s="13">
        <v>2512</v>
      </c>
      <c r="C46" s="13">
        <v>485.5</v>
      </c>
      <c r="D46" s="13">
        <f t="shared" si="0"/>
        <v>2997.5</v>
      </c>
    </row>
    <row r="47" spans="1:4">
      <c r="A47" s="12">
        <v>43374</v>
      </c>
      <c r="B47" s="13">
        <v>2517</v>
      </c>
      <c r="C47" s="13">
        <v>514.29999999999995</v>
      </c>
      <c r="D47" s="13">
        <f t="shared" si="0"/>
        <v>3031.3</v>
      </c>
    </row>
    <row r="48" spans="1:4">
      <c r="A48" s="12">
        <v>43405</v>
      </c>
      <c r="B48" s="13">
        <v>2502</v>
      </c>
      <c r="C48" s="13">
        <v>558</v>
      </c>
      <c r="D48" s="13">
        <f t="shared" si="0"/>
        <v>3060</v>
      </c>
    </row>
    <row r="49" spans="1:4">
      <c r="A49" s="12">
        <v>43435</v>
      </c>
      <c r="B49" s="13">
        <v>2507</v>
      </c>
      <c r="C49" s="13">
        <v>558</v>
      </c>
      <c r="D49" s="13">
        <f t="shared" si="0"/>
        <v>3065</v>
      </c>
    </row>
    <row r="50" spans="1:4">
      <c r="A50" s="12">
        <v>43466</v>
      </c>
      <c r="B50" s="13">
        <v>2564</v>
      </c>
      <c r="C50" s="13">
        <v>558</v>
      </c>
      <c r="D50" s="13">
        <f t="shared" si="0"/>
        <v>3122</v>
      </c>
    </row>
    <row r="51" spans="1:4">
      <c r="A51" s="12">
        <v>43497</v>
      </c>
      <c r="B51" s="13">
        <v>2563</v>
      </c>
      <c r="C51" s="13">
        <v>558</v>
      </c>
      <c r="D51" s="13">
        <f t="shared" si="0"/>
        <v>3121</v>
      </c>
    </row>
    <row r="52" spans="1:4">
      <c r="A52" s="12">
        <v>43525</v>
      </c>
      <c r="B52" s="13">
        <v>2563</v>
      </c>
      <c r="C52" s="13">
        <v>558</v>
      </c>
      <c r="D52" s="13">
        <f t="shared" si="0"/>
        <v>3121</v>
      </c>
    </row>
    <row r="53" spans="1:4">
      <c r="A53" s="12">
        <v>43556</v>
      </c>
      <c r="B53" s="13">
        <v>2563</v>
      </c>
      <c r="C53" s="13">
        <v>558</v>
      </c>
      <c r="D53" s="13">
        <f t="shared" si="0"/>
        <v>3121</v>
      </c>
    </row>
    <row r="54" spans="1:4">
      <c r="A54" s="12">
        <v>43586</v>
      </c>
      <c r="B54" s="13">
        <v>2553</v>
      </c>
      <c r="C54" s="13">
        <v>558</v>
      </c>
      <c r="D54" s="13">
        <f t="shared" si="0"/>
        <v>3111</v>
      </c>
    </row>
    <row r="55" spans="1:4">
      <c r="A55" s="12">
        <v>43617</v>
      </c>
      <c r="B55" s="13">
        <v>2504</v>
      </c>
      <c r="C55" s="13">
        <v>558</v>
      </c>
      <c r="D55" s="13">
        <f t="shared" si="0"/>
        <v>3062</v>
      </c>
    </row>
    <row r="56" spans="1:4">
      <c r="A56" s="12">
        <v>43647</v>
      </c>
      <c r="B56" s="13">
        <v>2561</v>
      </c>
      <c r="C56" s="13">
        <v>558</v>
      </c>
      <c r="D56" s="13">
        <f t="shared" si="0"/>
        <v>3119</v>
      </c>
    </row>
    <row r="57" spans="1:4">
      <c r="A57" s="12">
        <v>43678</v>
      </c>
      <c r="B57" s="13">
        <v>2561</v>
      </c>
      <c r="C57" s="13">
        <v>558</v>
      </c>
      <c r="D57" s="13">
        <f t="shared" si="0"/>
        <v>3119</v>
      </c>
    </row>
    <row r="58" spans="1:4">
      <c r="A58" s="12">
        <v>43709</v>
      </c>
      <c r="B58" s="13">
        <v>2547</v>
      </c>
      <c r="C58" s="13">
        <v>558</v>
      </c>
      <c r="D58" s="13">
        <f t="shared" si="0"/>
        <v>3105</v>
      </c>
    </row>
    <row r="59" spans="1:4">
      <c r="A59" s="12">
        <v>43739</v>
      </c>
      <c r="B59" s="13">
        <v>2515</v>
      </c>
      <c r="C59" s="13">
        <v>558</v>
      </c>
      <c r="D59" s="13">
        <f t="shared" si="0"/>
        <v>3073</v>
      </c>
    </row>
    <row r="60" spans="1:4">
      <c r="A60" s="12">
        <v>43770</v>
      </c>
      <c r="B60" s="13">
        <v>2510</v>
      </c>
      <c r="C60" s="13">
        <v>558</v>
      </c>
      <c r="D60" s="13">
        <f t="shared" si="0"/>
        <v>3068</v>
      </c>
    </row>
    <row r="61" spans="1:4">
      <c r="A61" s="12">
        <v>43800</v>
      </c>
      <c r="B61" s="13">
        <v>2513</v>
      </c>
      <c r="C61" s="13">
        <v>558</v>
      </c>
      <c r="D61" s="13">
        <f t="shared" si="0"/>
        <v>3071</v>
      </c>
    </row>
    <row r="62" spans="1:4">
      <c r="A62" s="12">
        <v>43831</v>
      </c>
      <c r="B62" s="13">
        <v>2515</v>
      </c>
      <c r="C62" s="13">
        <v>558</v>
      </c>
      <c r="D62" s="13">
        <f t="shared" si="0"/>
        <v>3073</v>
      </c>
    </row>
    <row r="63" spans="1:4">
      <c r="A63" s="12">
        <v>43862</v>
      </c>
      <c r="B63" s="13">
        <v>2515</v>
      </c>
      <c r="C63" s="13">
        <v>558</v>
      </c>
      <c r="D63" s="13">
        <f t="shared" si="0"/>
        <v>3073</v>
      </c>
    </row>
    <row r="64" spans="1:4">
      <c r="A64" s="12">
        <v>43891</v>
      </c>
      <c r="B64" s="13">
        <v>2514</v>
      </c>
      <c r="C64" s="13">
        <v>558</v>
      </c>
      <c r="D64" s="13">
        <f t="shared" si="0"/>
        <v>3072</v>
      </c>
    </row>
    <row r="65" spans="1:4">
      <c r="A65" s="12">
        <v>43922</v>
      </c>
      <c r="B65" s="13">
        <v>2514</v>
      </c>
      <c r="C65" s="13">
        <v>558</v>
      </c>
      <c r="D65" s="13">
        <f t="shared" si="0"/>
        <v>3072</v>
      </c>
    </row>
    <row r="66" spans="1:4">
      <c r="A66" s="12">
        <v>43952</v>
      </c>
      <c r="B66" s="13">
        <v>2514</v>
      </c>
      <c r="C66" s="13">
        <v>558</v>
      </c>
      <c r="D66" s="13">
        <f t="shared" ref="D66:D129" si="1">C66+B66</f>
        <v>3072</v>
      </c>
    </row>
    <row r="67" spans="1:4">
      <c r="A67" s="12">
        <v>43983</v>
      </c>
      <c r="B67" s="13">
        <v>2514</v>
      </c>
      <c r="C67" s="13">
        <v>558</v>
      </c>
      <c r="D67" s="13">
        <f t="shared" si="1"/>
        <v>3072</v>
      </c>
    </row>
    <row r="68" spans="1:4">
      <c r="A68" s="12">
        <v>44013</v>
      </c>
      <c r="B68" s="13">
        <v>2509</v>
      </c>
      <c r="C68" s="13">
        <v>618</v>
      </c>
      <c r="D68" s="13">
        <f t="shared" si="1"/>
        <v>3127</v>
      </c>
    </row>
    <row r="69" spans="1:4">
      <c r="A69" s="12">
        <v>44044</v>
      </c>
      <c r="B69" s="13">
        <v>2459</v>
      </c>
      <c r="C69" s="13">
        <v>678</v>
      </c>
      <c r="D69" s="13">
        <f t="shared" si="1"/>
        <v>3137</v>
      </c>
    </row>
    <row r="70" spans="1:4">
      <c r="A70" s="12">
        <v>44075</v>
      </c>
      <c r="B70" s="13">
        <v>2460</v>
      </c>
      <c r="C70" s="13">
        <v>738</v>
      </c>
      <c r="D70" s="13">
        <f t="shared" si="1"/>
        <v>3198</v>
      </c>
    </row>
    <row r="71" spans="1:4">
      <c r="A71" s="12">
        <v>44105</v>
      </c>
      <c r="B71" s="13">
        <v>2454</v>
      </c>
      <c r="C71" s="13">
        <v>738</v>
      </c>
      <c r="D71" s="13">
        <f t="shared" si="1"/>
        <v>3192</v>
      </c>
    </row>
    <row r="72" spans="1:4">
      <c r="A72" s="12">
        <v>44136</v>
      </c>
      <c r="B72" s="13">
        <v>2451</v>
      </c>
      <c r="C72" s="13">
        <v>738</v>
      </c>
      <c r="D72" s="13">
        <f t="shared" si="1"/>
        <v>3189</v>
      </c>
    </row>
    <row r="73" spans="1:4">
      <c r="A73" s="12">
        <v>44166</v>
      </c>
      <c r="B73" s="13">
        <v>2476</v>
      </c>
      <c r="C73" s="13">
        <v>738</v>
      </c>
      <c r="D73" s="13">
        <f t="shared" si="1"/>
        <v>3214</v>
      </c>
    </row>
    <row r="74" spans="1:4">
      <c r="A74" s="12">
        <v>44197</v>
      </c>
      <c r="B74" s="13">
        <v>2394</v>
      </c>
      <c r="C74" s="13">
        <v>791</v>
      </c>
      <c r="D74" s="13">
        <f t="shared" si="1"/>
        <v>3185</v>
      </c>
    </row>
    <row r="75" spans="1:4">
      <c r="A75" s="12">
        <v>44228</v>
      </c>
      <c r="B75" s="13">
        <v>2394</v>
      </c>
      <c r="C75" s="13">
        <v>791</v>
      </c>
      <c r="D75" s="13">
        <f t="shared" si="1"/>
        <v>3185</v>
      </c>
    </row>
    <row r="76" spans="1:4">
      <c r="A76" s="12">
        <v>44256</v>
      </c>
      <c r="B76" s="13">
        <v>2410</v>
      </c>
      <c r="C76" s="13">
        <v>791</v>
      </c>
      <c r="D76" s="13">
        <f t="shared" si="1"/>
        <v>3201</v>
      </c>
    </row>
    <row r="77" spans="1:4">
      <c r="A77" s="12">
        <v>44287</v>
      </c>
      <c r="B77" s="13">
        <v>2410</v>
      </c>
      <c r="C77" s="13">
        <v>971</v>
      </c>
      <c r="D77" s="13">
        <f t="shared" si="1"/>
        <v>3381</v>
      </c>
    </row>
    <row r="78" spans="1:4">
      <c r="A78" s="12">
        <v>44317</v>
      </c>
      <c r="B78" s="13">
        <v>2428</v>
      </c>
      <c r="C78" s="13">
        <v>971</v>
      </c>
      <c r="D78" s="13">
        <f t="shared" si="1"/>
        <v>3399</v>
      </c>
    </row>
    <row r="79" spans="1:4">
      <c r="A79" s="12">
        <v>44348</v>
      </c>
      <c r="B79" s="13">
        <v>2428</v>
      </c>
      <c r="C79" s="13">
        <v>911</v>
      </c>
      <c r="D79" s="13">
        <f t="shared" si="1"/>
        <v>3339</v>
      </c>
    </row>
    <row r="80" spans="1:4">
      <c r="A80" s="12">
        <v>44378</v>
      </c>
      <c r="B80" s="13">
        <v>2430</v>
      </c>
      <c r="C80" s="13">
        <v>911</v>
      </c>
      <c r="D80" s="13">
        <f t="shared" si="1"/>
        <v>3341</v>
      </c>
    </row>
    <row r="81" spans="1:4">
      <c r="A81" s="12">
        <v>44409</v>
      </c>
      <c r="B81" s="13">
        <v>2430</v>
      </c>
      <c r="C81" s="13">
        <v>911</v>
      </c>
      <c r="D81" s="13">
        <f t="shared" si="1"/>
        <v>3341</v>
      </c>
    </row>
    <row r="82" spans="1:4">
      <c r="A82" s="12">
        <v>44440</v>
      </c>
      <c r="B82" s="13">
        <v>2462</v>
      </c>
      <c r="C82" s="13">
        <v>911</v>
      </c>
      <c r="D82" s="13">
        <f t="shared" si="1"/>
        <v>3373</v>
      </c>
    </row>
    <row r="83" spans="1:4">
      <c r="A83" s="12">
        <v>44470</v>
      </c>
      <c r="B83" s="13">
        <v>2461</v>
      </c>
      <c r="C83" s="13">
        <v>1014</v>
      </c>
      <c r="D83" s="13">
        <f t="shared" si="1"/>
        <v>3475</v>
      </c>
    </row>
    <row r="84" spans="1:4">
      <c r="A84" s="12">
        <v>44501</v>
      </c>
      <c r="B84" s="13">
        <v>2389</v>
      </c>
      <c r="C84" s="13">
        <v>1017</v>
      </c>
      <c r="D84" s="13">
        <f t="shared" si="1"/>
        <v>3406</v>
      </c>
    </row>
    <row r="85" spans="1:4">
      <c r="A85" s="12">
        <v>44531</v>
      </c>
      <c r="B85" s="13">
        <v>2244</v>
      </c>
      <c r="C85" s="13">
        <v>1106</v>
      </c>
      <c r="D85" s="13">
        <f t="shared" si="1"/>
        <v>3350</v>
      </c>
    </row>
    <row r="86" spans="1:4">
      <c r="A86" s="12">
        <v>44562</v>
      </c>
      <c r="B86" s="13">
        <v>2263</v>
      </c>
      <c r="C86" s="13">
        <v>1750</v>
      </c>
      <c r="D86" s="13">
        <f t="shared" si="1"/>
        <v>4013</v>
      </c>
    </row>
    <row r="87" spans="1:4">
      <c r="A87" s="12">
        <v>44593</v>
      </c>
      <c r="B87" s="13">
        <v>2285</v>
      </c>
      <c r="C87" s="13">
        <v>1750</v>
      </c>
      <c r="D87" s="13">
        <f t="shared" si="1"/>
        <v>4035</v>
      </c>
    </row>
    <row r="88" spans="1:4">
      <c r="A88" s="12">
        <v>44621</v>
      </c>
      <c r="B88" s="13">
        <v>2284</v>
      </c>
      <c r="C88" s="13">
        <v>1750</v>
      </c>
      <c r="D88" s="13">
        <f t="shared" si="1"/>
        <v>4034</v>
      </c>
    </row>
    <row r="89" spans="1:4">
      <c r="A89" s="12">
        <v>44652</v>
      </c>
      <c r="B89" s="13">
        <v>2225</v>
      </c>
      <c r="C89" s="13">
        <v>1922</v>
      </c>
      <c r="D89" s="13">
        <f t="shared" si="1"/>
        <v>4147</v>
      </c>
    </row>
    <row r="90" spans="1:4">
      <c r="A90" s="12">
        <v>44682</v>
      </c>
      <c r="B90" s="13">
        <v>2223</v>
      </c>
      <c r="C90" s="13">
        <v>1947</v>
      </c>
      <c r="D90" s="13">
        <f t="shared" si="1"/>
        <v>4170</v>
      </c>
    </row>
    <row r="91" spans="1:4">
      <c r="A91" s="12">
        <v>44713</v>
      </c>
      <c r="B91" s="13">
        <v>2223</v>
      </c>
      <c r="C91" s="13">
        <v>1947</v>
      </c>
      <c r="D91" s="13">
        <f t="shared" si="1"/>
        <v>4170</v>
      </c>
    </row>
    <row r="92" spans="1:4">
      <c r="A92" s="12">
        <v>44743</v>
      </c>
      <c r="B92" s="13">
        <v>2097</v>
      </c>
      <c r="C92" s="13">
        <v>2174</v>
      </c>
      <c r="D92" s="13">
        <f t="shared" si="1"/>
        <v>4271</v>
      </c>
    </row>
    <row r="93" spans="1:4">
      <c r="A93" s="12">
        <v>44774</v>
      </c>
      <c r="B93" s="13">
        <v>2092</v>
      </c>
      <c r="C93" s="13">
        <v>2219</v>
      </c>
      <c r="D93" s="13">
        <f t="shared" si="1"/>
        <v>4311</v>
      </c>
    </row>
    <row r="94" spans="1:4">
      <c r="A94" s="12">
        <v>44805</v>
      </c>
      <c r="B94" s="13">
        <v>2092</v>
      </c>
      <c r="C94" s="13">
        <v>2219</v>
      </c>
      <c r="D94" s="13">
        <f t="shared" si="1"/>
        <v>4311</v>
      </c>
    </row>
    <row r="95" spans="1:4">
      <c r="A95" s="12">
        <v>44835</v>
      </c>
      <c r="B95" s="13">
        <v>2092</v>
      </c>
      <c r="C95" s="13">
        <v>2219</v>
      </c>
      <c r="D95" s="13">
        <f t="shared" si="1"/>
        <v>4311</v>
      </c>
    </row>
    <row r="96" spans="1:4">
      <c r="A96" s="12">
        <v>44866</v>
      </c>
      <c r="B96" s="13">
        <v>2092</v>
      </c>
      <c r="C96" s="13">
        <v>2755</v>
      </c>
      <c r="D96" s="13">
        <f t="shared" si="1"/>
        <v>4847</v>
      </c>
    </row>
    <row r="97" spans="1:4">
      <c r="A97" s="12">
        <v>44896</v>
      </c>
      <c r="B97" s="13">
        <v>2090</v>
      </c>
      <c r="C97" s="13">
        <v>2939</v>
      </c>
      <c r="D97" s="13">
        <f t="shared" si="1"/>
        <v>5029</v>
      </c>
    </row>
    <row r="98" spans="1:4">
      <c r="A98" s="12">
        <v>44927</v>
      </c>
      <c r="B98" s="13">
        <v>2051</v>
      </c>
      <c r="C98" s="13">
        <v>2999</v>
      </c>
      <c r="D98" s="13">
        <f t="shared" si="1"/>
        <v>5050</v>
      </c>
    </row>
    <row r="99" spans="1:4">
      <c r="A99" s="12">
        <v>44958</v>
      </c>
      <c r="B99" s="13">
        <v>2063</v>
      </c>
      <c r="C99" s="13">
        <v>3278</v>
      </c>
      <c r="D99" s="13">
        <f t="shared" si="1"/>
        <v>5341</v>
      </c>
    </row>
    <row r="100" spans="1:4">
      <c r="A100" s="12">
        <v>44986</v>
      </c>
      <c r="B100" s="13">
        <v>2087</v>
      </c>
      <c r="C100" s="13">
        <v>3278</v>
      </c>
      <c r="D100" s="13">
        <f t="shared" si="1"/>
        <v>5365</v>
      </c>
    </row>
    <row r="101" spans="1:4">
      <c r="A101" s="12">
        <v>45017</v>
      </c>
      <c r="B101" s="13">
        <v>2087</v>
      </c>
      <c r="C101" s="13">
        <v>3278</v>
      </c>
      <c r="D101" s="13">
        <f t="shared" si="1"/>
        <v>5365</v>
      </c>
    </row>
    <row r="102" spans="1:4">
      <c r="A102" s="12">
        <v>45047</v>
      </c>
      <c r="B102" s="13">
        <v>2082</v>
      </c>
      <c r="C102" s="13">
        <v>3278</v>
      </c>
      <c r="D102" s="13">
        <f t="shared" si="1"/>
        <v>5360</v>
      </c>
    </row>
    <row r="103" spans="1:4">
      <c r="A103" s="12">
        <v>45078</v>
      </c>
      <c r="B103" s="13">
        <v>2082</v>
      </c>
      <c r="C103" s="13">
        <v>3700</v>
      </c>
      <c r="D103" s="13">
        <f t="shared" si="1"/>
        <v>5782</v>
      </c>
    </row>
    <row r="104" spans="1:4">
      <c r="A104" s="12">
        <v>45108</v>
      </c>
      <c r="B104" s="13">
        <v>2080</v>
      </c>
      <c r="C104" s="13">
        <v>3704</v>
      </c>
      <c r="D104" s="13">
        <f t="shared" si="1"/>
        <v>5784</v>
      </c>
    </row>
    <row r="105" spans="1:4">
      <c r="A105" s="12">
        <v>45139</v>
      </c>
      <c r="B105" s="13">
        <v>2080</v>
      </c>
      <c r="C105" s="13">
        <v>3704</v>
      </c>
      <c r="D105" s="13">
        <f t="shared" si="1"/>
        <v>5784</v>
      </c>
    </row>
    <row r="106" spans="1:4">
      <c r="A106" s="12">
        <v>45170</v>
      </c>
      <c r="B106" s="13">
        <v>2070</v>
      </c>
      <c r="C106" s="13">
        <v>3704</v>
      </c>
      <c r="D106" s="13">
        <f t="shared" si="1"/>
        <v>5774</v>
      </c>
    </row>
    <row r="107" spans="1:4">
      <c r="A107" s="12">
        <v>45200</v>
      </c>
      <c r="B107" s="13">
        <v>2079</v>
      </c>
      <c r="C107" s="13">
        <v>3857</v>
      </c>
      <c r="D107" s="13">
        <f t="shared" si="1"/>
        <v>5936</v>
      </c>
    </row>
    <row r="108" spans="1:4">
      <c r="A108" s="12">
        <v>45231</v>
      </c>
      <c r="B108" s="13">
        <v>2079</v>
      </c>
      <c r="C108" s="13">
        <v>3897</v>
      </c>
      <c r="D108" s="13">
        <f t="shared" si="1"/>
        <v>5976</v>
      </c>
    </row>
    <row r="109" spans="1:4">
      <c r="A109" s="12">
        <v>45261</v>
      </c>
      <c r="B109" s="14">
        <v>2073</v>
      </c>
      <c r="C109" s="14">
        <v>3857</v>
      </c>
      <c r="D109" s="14">
        <f t="shared" si="1"/>
        <v>5930</v>
      </c>
    </row>
    <row r="110" spans="1:4">
      <c r="A110" s="12">
        <v>45292</v>
      </c>
      <c r="B110" s="14">
        <v>2073</v>
      </c>
      <c r="C110" s="14">
        <v>3857</v>
      </c>
      <c r="D110" s="14">
        <f t="shared" si="1"/>
        <v>5930</v>
      </c>
    </row>
    <row r="111" spans="1:4">
      <c r="A111" s="12">
        <v>45323</v>
      </c>
      <c r="B111" s="14">
        <v>1984</v>
      </c>
      <c r="C111" s="14">
        <v>3857</v>
      </c>
      <c r="D111" s="14">
        <f t="shared" si="1"/>
        <v>5841</v>
      </c>
    </row>
    <row r="112" spans="1:4">
      <c r="A112" s="12">
        <v>45352</v>
      </c>
      <c r="B112" s="14">
        <v>1984</v>
      </c>
      <c r="C112" s="14">
        <v>3857</v>
      </c>
      <c r="D112" s="14">
        <f t="shared" si="1"/>
        <v>5841</v>
      </c>
    </row>
    <row r="113" spans="1:4">
      <c r="A113" s="12">
        <v>45383</v>
      </c>
      <c r="B113" s="14">
        <v>1991</v>
      </c>
      <c r="C113" s="14">
        <v>4129</v>
      </c>
      <c r="D113" s="14">
        <f t="shared" si="1"/>
        <v>6120</v>
      </c>
    </row>
    <row r="114" spans="1:4">
      <c r="A114" s="12">
        <v>45413</v>
      </c>
      <c r="B114" s="14">
        <v>2022</v>
      </c>
      <c r="C114" s="14">
        <v>4575</v>
      </c>
      <c r="D114" s="14">
        <f t="shared" si="1"/>
        <v>6597</v>
      </c>
    </row>
    <row r="115" spans="1:4">
      <c r="A115" s="12">
        <v>45444</v>
      </c>
      <c r="B115" s="14">
        <v>2022</v>
      </c>
      <c r="C115" s="14">
        <v>4897</v>
      </c>
      <c r="D115" s="14">
        <f t="shared" si="1"/>
        <v>6919</v>
      </c>
    </row>
    <row r="116" spans="1:4">
      <c r="A116" s="12">
        <v>45474</v>
      </c>
      <c r="B116" s="14">
        <v>2022</v>
      </c>
      <c r="C116" s="14">
        <v>4997.8750000000009</v>
      </c>
      <c r="D116" s="14">
        <f t="shared" si="1"/>
        <v>7019.8750000000009</v>
      </c>
    </row>
    <row r="117" spans="1:4">
      <c r="A117" s="12">
        <v>45505</v>
      </c>
      <c r="B117" s="14">
        <v>1995</v>
      </c>
      <c r="C117" s="14">
        <v>5040.6250000000009</v>
      </c>
      <c r="D117" s="14">
        <f t="shared" si="1"/>
        <v>7035.6250000000009</v>
      </c>
    </row>
    <row r="118" spans="1:4">
      <c r="A118" s="12">
        <v>45536</v>
      </c>
      <c r="B118" s="14">
        <v>1995</v>
      </c>
      <c r="C118" s="14">
        <v>5120.6250000000009</v>
      </c>
      <c r="D118" s="14">
        <f t="shared" si="1"/>
        <v>7115.6250000000009</v>
      </c>
    </row>
    <row r="119" spans="1:4">
      <c r="A119" s="12">
        <v>45566</v>
      </c>
      <c r="B119" s="14">
        <v>1986.1111111111111</v>
      </c>
      <c r="C119" s="14">
        <v>5225.6250000000009</v>
      </c>
      <c r="D119" s="14">
        <f t="shared" si="1"/>
        <v>7211.7361111111122</v>
      </c>
    </row>
    <row r="120" spans="1:4">
      <c r="A120" s="12">
        <v>45597</v>
      </c>
      <c r="B120" s="14">
        <v>1977.2222222222222</v>
      </c>
      <c r="C120" s="14">
        <v>5245.6250000000009</v>
      </c>
      <c r="D120" s="14">
        <f t="shared" si="1"/>
        <v>7222.8472222222226</v>
      </c>
    </row>
    <row r="121" spans="1:4">
      <c r="A121" s="12">
        <v>45627</v>
      </c>
      <c r="B121" s="14">
        <v>1968.3333333333333</v>
      </c>
      <c r="C121" s="14">
        <v>5271.6250000000009</v>
      </c>
      <c r="D121" s="14">
        <f t="shared" si="1"/>
        <v>7239.9583333333339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8F451-07A7-436A-899C-D937AEDE8ED0}">
  <sheetPr>
    <tabColor rgb="FFFF0000"/>
  </sheetPr>
  <dimension ref="A1:N13"/>
  <sheetViews>
    <sheetView zoomScale="110" zoomScaleNormal="110" workbookViewId="0">
      <pane xSplit="1" ySplit="3" topLeftCell="B4" activePane="bottomRight" state="frozen"/>
      <selection activeCell="B4" sqref="B4"/>
      <selection pane="topRight" activeCell="B4" sqref="B4"/>
      <selection pane="bottomLeft" activeCell="B4" sqref="B4"/>
      <selection pane="bottomRight" activeCell="B4" sqref="B4"/>
    </sheetView>
  </sheetViews>
  <sheetFormatPr defaultRowHeight="15"/>
  <cols>
    <col min="1" max="1" width="10.5703125" style="23" bestFit="1" customWidth="1"/>
    <col min="2" max="2" width="9.140625" style="23"/>
    <col min="3" max="14" width="14.85546875" style="23" customWidth="1"/>
    <col min="15" max="16384" width="9.140625" style="23"/>
  </cols>
  <sheetData>
    <row r="1" spans="1:14" s="16" customFormat="1" ht="30">
      <c r="A1" s="15" t="s">
        <v>40</v>
      </c>
      <c r="C1" s="17" t="s">
        <v>26</v>
      </c>
      <c r="D1" s="18" t="s">
        <v>41</v>
      </c>
      <c r="E1" s="18" t="s">
        <v>42</v>
      </c>
      <c r="F1" s="18" t="s">
        <v>43</v>
      </c>
      <c r="G1" s="19" t="s">
        <v>41</v>
      </c>
      <c r="H1" s="19" t="s">
        <v>41</v>
      </c>
      <c r="I1" s="19" t="s">
        <v>42</v>
      </c>
      <c r="J1" s="19" t="s">
        <v>42</v>
      </c>
      <c r="K1" s="19" t="s">
        <v>43</v>
      </c>
      <c r="L1" s="19" t="s">
        <v>43</v>
      </c>
      <c r="M1" s="19" t="s">
        <v>44</v>
      </c>
      <c r="N1" s="19" t="s">
        <v>44</v>
      </c>
    </row>
    <row r="2" spans="1:14" s="16" customFormat="1" ht="51.75" customHeight="1">
      <c r="A2" s="20" t="s">
        <v>45</v>
      </c>
      <c r="B2" s="20"/>
      <c r="C2" s="21" t="s">
        <v>46</v>
      </c>
      <c r="D2" s="21" t="s">
        <v>47</v>
      </c>
      <c r="E2" s="21" t="s">
        <v>48</v>
      </c>
      <c r="F2" s="21" t="s">
        <v>49</v>
      </c>
      <c r="G2" s="21" t="s">
        <v>50</v>
      </c>
      <c r="H2" s="21" t="s">
        <v>51</v>
      </c>
      <c r="I2" s="21" t="s">
        <v>52</v>
      </c>
      <c r="J2" s="21" t="s">
        <v>53</v>
      </c>
      <c r="K2" s="21" t="s">
        <v>54</v>
      </c>
      <c r="L2" s="21" t="s">
        <v>55</v>
      </c>
      <c r="M2" s="21" t="s">
        <v>56</v>
      </c>
      <c r="N2" s="21" t="s">
        <v>57</v>
      </c>
    </row>
    <row r="3" spans="1:14" s="16" customFormat="1" ht="36">
      <c r="A3" s="15" t="s">
        <v>58</v>
      </c>
      <c r="C3" s="17" t="s">
        <v>59</v>
      </c>
      <c r="D3" s="17" t="s">
        <v>59</v>
      </c>
      <c r="E3" s="17" t="s">
        <v>59</v>
      </c>
      <c r="F3" s="17" t="s">
        <v>59</v>
      </c>
      <c r="G3" s="22" t="s">
        <v>60</v>
      </c>
      <c r="H3" s="22" t="s">
        <v>61</v>
      </c>
      <c r="I3" s="22" t="s">
        <v>60</v>
      </c>
      <c r="J3" s="22" t="s">
        <v>61</v>
      </c>
      <c r="K3" s="22" t="s">
        <v>60</v>
      </c>
      <c r="L3" s="22" t="s">
        <v>61</v>
      </c>
      <c r="M3" s="22" t="s">
        <v>60</v>
      </c>
      <c r="N3" s="22" t="s">
        <v>61</v>
      </c>
    </row>
    <row r="4" spans="1:14">
      <c r="A4" s="23">
        <v>2014</v>
      </c>
      <c r="C4" s="24">
        <v>0</v>
      </c>
      <c r="D4" s="24">
        <v>0</v>
      </c>
      <c r="E4" s="24">
        <v>0</v>
      </c>
      <c r="F4" s="24">
        <v>0</v>
      </c>
      <c r="G4" s="23">
        <v>20774.580000000002</v>
      </c>
      <c r="H4" s="23">
        <v>20774.580000000002</v>
      </c>
      <c r="I4" s="23">
        <v>12189.222</v>
      </c>
      <c r="J4" s="23">
        <v>12189.222</v>
      </c>
      <c r="K4" s="23">
        <v>36.570999999999998</v>
      </c>
      <c r="L4" s="23">
        <v>36.570999999999998</v>
      </c>
      <c r="M4" s="23">
        <v>32117.095000000001</v>
      </c>
      <c r="N4" s="23">
        <v>32117.095000000001</v>
      </c>
    </row>
    <row r="5" spans="1:14">
      <c r="A5" s="23">
        <v>2015</v>
      </c>
      <c r="C5" s="24">
        <v>1</v>
      </c>
      <c r="D5" s="24">
        <v>0</v>
      </c>
      <c r="E5" s="24">
        <v>1</v>
      </c>
      <c r="F5" s="24">
        <v>0</v>
      </c>
      <c r="G5" s="23">
        <v>22720.669000000002</v>
      </c>
      <c r="H5" s="23">
        <v>22720.669000000002</v>
      </c>
      <c r="I5" s="23">
        <v>12971.361000000001</v>
      </c>
      <c r="J5" s="23">
        <v>12971.361000000001</v>
      </c>
      <c r="K5" s="23">
        <v>-1062.3440000000001</v>
      </c>
      <c r="L5" s="23">
        <v>-1062.3440000000001</v>
      </c>
      <c r="M5" s="23">
        <v>33460.256000000001</v>
      </c>
      <c r="N5" s="23">
        <v>33460.256000000001</v>
      </c>
    </row>
    <row r="6" spans="1:14">
      <c r="A6" s="23">
        <v>2016</v>
      </c>
      <c r="C6" s="24">
        <v>0</v>
      </c>
      <c r="D6" s="24">
        <v>0</v>
      </c>
      <c r="E6" s="24">
        <v>0</v>
      </c>
      <c r="F6" s="24">
        <v>0</v>
      </c>
      <c r="G6" s="23">
        <v>24273.557000000001</v>
      </c>
      <c r="H6" s="23">
        <v>24273.557000000001</v>
      </c>
      <c r="I6" s="23">
        <v>14222.726000000001</v>
      </c>
      <c r="J6" s="23">
        <v>14222.726000000001</v>
      </c>
      <c r="K6" s="23">
        <v>-49.686</v>
      </c>
      <c r="L6" s="23">
        <v>-49.686</v>
      </c>
      <c r="M6" s="23">
        <v>35055.957000000002</v>
      </c>
      <c r="N6" s="23">
        <v>35055.957000000002</v>
      </c>
    </row>
    <row r="7" spans="1:14">
      <c r="A7" s="23">
        <v>2017</v>
      </c>
      <c r="C7" s="24">
        <v>0</v>
      </c>
      <c r="D7" s="24">
        <v>0</v>
      </c>
      <c r="E7" s="24">
        <v>0</v>
      </c>
      <c r="F7" s="24">
        <v>0</v>
      </c>
      <c r="G7" s="23">
        <v>25485.914000000001</v>
      </c>
      <c r="H7" s="23">
        <v>25485.914000000001</v>
      </c>
      <c r="I7" s="23">
        <v>15254.425999999999</v>
      </c>
      <c r="J7" s="23">
        <v>15254.425999999999</v>
      </c>
      <c r="K7" s="23">
        <v>629.65599999999995</v>
      </c>
      <c r="L7" s="23">
        <v>629.65599999999995</v>
      </c>
      <c r="M7" s="23">
        <v>37716.502999999997</v>
      </c>
      <c r="N7" s="23">
        <v>37716.502999999997</v>
      </c>
    </row>
    <row r="8" spans="1:14">
      <c r="A8" s="23">
        <v>2018</v>
      </c>
      <c r="C8" s="24">
        <v>7</v>
      </c>
      <c r="D8" s="24">
        <v>0</v>
      </c>
      <c r="E8" s="24">
        <v>7</v>
      </c>
      <c r="F8" s="24">
        <v>0</v>
      </c>
      <c r="G8" s="23">
        <v>27204.807000000001</v>
      </c>
      <c r="H8" s="23">
        <v>27204.807000000001</v>
      </c>
      <c r="I8" s="23">
        <v>17136.384999999998</v>
      </c>
      <c r="J8" s="23">
        <v>17136.384999999998</v>
      </c>
      <c r="K8" s="23">
        <v>-433.654</v>
      </c>
      <c r="L8" s="23">
        <v>-433.654</v>
      </c>
      <c r="M8" s="23">
        <v>39729.455000000002</v>
      </c>
      <c r="N8" s="23">
        <v>39729.455000000002</v>
      </c>
    </row>
    <row r="9" spans="1:14">
      <c r="A9" s="23">
        <v>2019</v>
      </c>
      <c r="C9" s="24">
        <v>24</v>
      </c>
      <c r="D9" s="24">
        <v>0</v>
      </c>
      <c r="E9" s="24">
        <v>24</v>
      </c>
      <c r="F9" s="24">
        <v>0</v>
      </c>
      <c r="G9" s="23">
        <v>28162.345000000001</v>
      </c>
      <c r="H9" s="23">
        <v>28162.345000000001</v>
      </c>
      <c r="I9" s="23">
        <v>17181.739000000001</v>
      </c>
      <c r="J9" s="23">
        <v>17181.739000000001</v>
      </c>
      <c r="K9" s="23">
        <v>-371.327</v>
      </c>
      <c r="L9" s="23">
        <v>-371.327</v>
      </c>
      <c r="M9" s="23">
        <v>40479.163</v>
      </c>
      <c r="N9" s="23">
        <v>40479.163</v>
      </c>
    </row>
    <row r="10" spans="1:14">
      <c r="A10" s="23">
        <v>2020</v>
      </c>
      <c r="C10" s="24">
        <v>44</v>
      </c>
      <c r="D10" s="24">
        <v>0</v>
      </c>
      <c r="E10" s="24">
        <v>44</v>
      </c>
      <c r="F10" s="24">
        <v>0</v>
      </c>
      <c r="G10" s="23">
        <v>17749.850999999999</v>
      </c>
      <c r="H10" s="23">
        <v>17749.850999999999</v>
      </c>
      <c r="I10" s="23">
        <v>11585.800999999999</v>
      </c>
      <c r="J10" s="23">
        <v>11585.800999999999</v>
      </c>
      <c r="K10" s="23">
        <v>-1033.826</v>
      </c>
      <c r="L10" s="23">
        <v>-1033.826</v>
      </c>
      <c r="M10" s="23">
        <v>17461.383999999998</v>
      </c>
      <c r="N10" s="23">
        <v>17461.383999999998</v>
      </c>
    </row>
    <row r="11" spans="1:14">
      <c r="A11" s="23">
        <v>2021</v>
      </c>
      <c r="C11" s="24">
        <v>89</v>
      </c>
      <c r="D11" s="24">
        <v>0</v>
      </c>
      <c r="E11" s="24">
        <v>89</v>
      </c>
      <c r="F11" s="24">
        <v>0</v>
      </c>
      <c r="G11" s="23">
        <v>19040.828000000001</v>
      </c>
      <c r="H11" s="23">
        <v>19040.828000000001</v>
      </c>
      <c r="I11" s="23">
        <v>12123.396000000001</v>
      </c>
      <c r="J11" s="23">
        <v>12123.396000000001</v>
      </c>
      <c r="K11" s="23">
        <v>1970.867</v>
      </c>
      <c r="L11" s="23">
        <v>1970.867</v>
      </c>
      <c r="M11" s="23">
        <v>20977.386999999999</v>
      </c>
      <c r="N11" s="23">
        <v>20977.386999999999</v>
      </c>
    </row>
    <row r="12" spans="1:14">
      <c r="A12" s="23">
        <v>2022</v>
      </c>
      <c r="C12" s="24">
        <v>165.071</v>
      </c>
      <c r="D12" s="24">
        <v>29.117999999999999</v>
      </c>
      <c r="E12" s="24">
        <v>161</v>
      </c>
      <c r="F12" s="24">
        <v>0</v>
      </c>
      <c r="G12" s="23">
        <v>24891.580999999998</v>
      </c>
      <c r="H12" s="23">
        <v>24871.626</v>
      </c>
      <c r="I12" s="23">
        <v>14299.949000000001</v>
      </c>
      <c r="J12" s="23">
        <v>14299.949000000001</v>
      </c>
      <c r="K12" s="23">
        <v>-196.93899999999999</v>
      </c>
      <c r="L12" s="23">
        <v>-196.90199999999999</v>
      </c>
      <c r="M12" s="23">
        <v>33530.985999999997</v>
      </c>
      <c r="N12" s="23">
        <v>33486.031000000003</v>
      </c>
    </row>
    <row r="13" spans="1:14">
      <c r="A13" s="23">
        <v>2023</v>
      </c>
      <c r="C13" s="24">
        <v>213.084</v>
      </c>
      <c r="D13" s="24">
        <v>48.994</v>
      </c>
      <c r="E13" s="24">
        <v>206</v>
      </c>
      <c r="F13" s="24">
        <v>2.0190000000000001</v>
      </c>
      <c r="G13" s="23">
        <v>25184.52</v>
      </c>
      <c r="H13" s="23">
        <v>25123.749</v>
      </c>
      <c r="I13" s="23">
        <v>15475.325000000001</v>
      </c>
      <c r="J13" s="23">
        <v>15475.325000000001</v>
      </c>
      <c r="K13" s="23">
        <v>-167.77199999999999</v>
      </c>
      <c r="L13" s="23">
        <v>-170.018</v>
      </c>
    </row>
  </sheetData>
  <mergeCells count="1">
    <mergeCell ref="A2:B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30BEC-AF23-4576-BC0E-14E196A88C26}">
  <sheetPr>
    <tabColor rgb="FFFFFF00"/>
  </sheetPr>
  <dimension ref="A1:BH142"/>
  <sheetViews>
    <sheetView zoomScaleNormal="100" zoomScaleSheetLayoutView="84" workbookViewId="0">
      <pane xSplit="1" ySplit="3" topLeftCell="B114" activePane="bottomRight" state="frozen"/>
      <selection activeCell="B4" sqref="B4"/>
      <selection pane="topRight" activeCell="B4" sqref="B4"/>
      <selection pane="bottomLeft" activeCell="B4" sqref="B4"/>
      <selection pane="bottomRight" activeCell="B4" sqref="B4"/>
    </sheetView>
  </sheetViews>
  <sheetFormatPr defaultRowHeight="15"/>
  <cols>
    <col min="1" max="1" width="7.5703125" style="39" bestFit="1" customWidth="1"/>
    <col min="2" max="23" width="14.85546875" customWidth="1"/>
  </cols>
  <sheetData>
    <row r="1" spans="1:60" s="27" customFormat="1" ht="45">
      <c r="A1" s="25"/>
      <c r="B1" s="26" t="s">
        <v>62</v>
      </c>
      <c r="C1" s="27" t="s">
        <v>41</v>
      </c>
      <c r="D1" s="27" t="s">
        <v>41</v>
      </c>
      <c r="E1" s="27" t="s">
        <v>41</v>
      </c>
      <c r="F1" s="27" t="s">
        <v>42</v>
      </c>
      <c r="G1" s="27" t="s">
        <v>42</v>
      </c>
      <c r="H1" s="27" t="s">
        <v>42</v>
      </c>
      <c r="I1" s="27" t="s">
        <v>21</v>
      </c>
      <c r="J1" s="27" t="s">
        <v>21</v>
      </c>
      <c r="K1" s="27" t="s">
        <v>21</v>
      </c>
      <c r="L1" s="27" t="s">
        <v>63</v>
      </c>
      <c r="M1" s="27" t="s">
        <v>63</v>
      </c>
      <c r="N1" s="27" t="s">
        <v>63</v>
      </c>
      <c r="O1" s="27" t="s">
        <v>24</v>
      </c>
      <c r="P1" s="27" t="s">
        <v>24</v>
      </c>
      <c r="Q1" s="27" t="s">
        <v>24</v>
      </c>
      <c r="R1" s="22" t="s">
        <v>64</v>
      </c>
      <c r="S1" s="22" t="s">
        <v>64</v>
      </c>
      <c r="T1" s="22" t="s">
        <v>64</v>
      </c>
      <c r="U1" s="22" t="s">
        <v>65</v>
      </c>
      <c r="V1" s="22" t="s">
        <v>65</v>
      </c>
      <c r="W1" s="22" t="s">
        <v>65</v>
      </c>
    </row>
    <row r="2" spans="1:60" s="27" customFormat="1" ht="75">
      <c r="A2" s="20" t="s">
        <v>45</v>
      </c>
      <c r="B2" s="20"/>
      <c r="C2" s="27" t="s">
        <v>66</v>
      </c>
      <c r="D2" s="27" t="s">
        <v>67</v>
      </c>
      <c r="F2" s="27" t="s">
        <v>68</v>
      </c>
      <c r="G2" s="27" t="s">
        <v>69</v>
      </c>
      <c r="I2" s="27" t="s">
        <v>70</v>
      </c>
      <c r="J2" s="27" t="s">
        <v>71</v>
      </c>
      <c r="L2" s="27" t="s">
        <v>72</v>
      </c>
      <c r="M2" s="27" t="s">
        <v>73</v>
      </c>
      <c r="O2" s="27" t="s">
        <v>74</v>
      </c>
      <c r="P2" s="27" t="s">
        <v>75</v>
      </c>
      <c r="R2" s="27" t="s">
        <v>76</v>
      </c>
      <c r="S2" s="27" t="s">
        <v>77</v>
      </c>
      <c r="T2" s="22"/>
      <c r="U2" s="27" t="s">
        <v>78</v>
      </c>
      <c r="V2" s="27" t="s">
        <v>79</v>
      </c>
      <c r="W2" s="22"/>
    </row>
    <row r="3" spans="1:60" s="27" customFormat="1" ht="60">
      <c r="A3" s="25"/>
      <c r="B3" s="26"/>
      <c r="C3" s="27" t="s">
        <v>80</v>
      </c>
      <c r="D3" s="27" t="s">
        <v>81</v>
      </c>
      <c r="E3" s="27" t="s">
        <v>82</v>
      </c>
      <c r="F3" s="27" t="s">
        <v>80</v>
      </c>
      <c r="G3" s="27" t="s">
        <v>81</v>
      </c>
      <c r="H3" s="27" t="s">
        <v>82</v>
      </c>
      <c r="I3" s="27" t="s">
        <v>80</v>
      </c>
      <c r="J3" s="27" t="s">
        <v>81</v>
      </c>
      <c r="K3" s="27" t="s">
        <v>82</v>
      </c>
      <c r="L3" s="27" t="s">
        <v>80</v>
      </c>
      <c r="M3" s="27" t="s">
        <v>81</v>
      </c>
      <c r="N3" s="27" t="s">
        <v>82</v>
      </c>
      <c r="O3" s="27" t="s">
        <v>80</v>
      </c>
      <c r="P3" s="27" t="s">
        <v>81</v>
      </c>
      <c r="Q3" s="27" t="s">
        <v>82</v>
      </c>
      <c r="R3" s="22" t="s">
        <v>60</v>
      </c>
      <c r="S3" s="22" t="s">
        <v>61</v>
      </c>
      <c r="T3" s="27" t="s">
        <v>82</v>
      </c>
      <c r="U3" s="22" t="s">
        <v>60</v>
      </c>
      <c r="V3" s="22" t="s">
        <v>61</v>
      </c>
      <c r="W3" s="27" t="s">
        <v>82</v>
      </c>
    </row>
    <row r="4" spans="1:60">
      <c r="A4" s="28">
        <v>42005</v>
      </c>
      <c r="B4" s="29">
        <v>2015</v>
      </c>
      <c r="C4" s="30">
        <v>1514</v>
      </c>
      <c r="D4" s="30">
        <v>1514</v>
      </c>
      <c r="E4" s="30">
        <f>C4-D4</f>
        <v>0</v>
      </c>
      <c r="F4" s="30">
        <v>1059</v>
      </c>
      <c r="G4" s="30">
        <v>1059</v>
      </c>
      <c r="H4" s="30">
        <f>F4-G4</f>
        <v>0</v>
      </c>
      <c r="I4" s="30">
        <v>2682</v>
      </c>
      <c r="J4" s="30">
        <v>2682</v>
      </c>
      <c r="K4" s="30">
        <f>I4-J4</f>
        <v>0</v>
      </c>
      <c r="L4" s="30">
        <v>2700</v>
      </c>
      <c r="M4" s="30">
        <v>2700</v>
      </c>
      <c r="N4" s="30">
        <f>L4-M4</f>
        <v>0</v>
      </c>
      <c r="O4" s="30">
        <v>2156</v>
      </c>
      <c r="P4" s="30">
        <v>2156</v>
      </c>
      <c r="Q4" s="30">
        <f>O4-P4</f>
        <v>0</v>
      </c>
      <c r="R4" s="31">
        <v>6160</v>
      </c>
      <c r="S4" s="31">
        <v>6160</v>
      </c>
      <c r="T4" s="30">
        <f>R4-S4</f>
        <v>0</v>
      </c>
      <c r="U4" s="31">
        <v>6141</v>
      </c>
      <c r="V4" s="31">
        <v>6141</v>
      </c>
      <c r="W4" s="30">
        <f>U4-V4</f>
        <v>0</v>
      </c>
      <c r="X4" s="30"/>
      <c r="Y4" s="30"/>
      <c r="Z4" s="30"/>
      <c r="AA4" s="30"/>
      <c r="AB4" s="30"/>
      <c r="AC4" s="30"/>
      <c r="AD4" s="30"/>
      <c r="AE4" s="30"/>
      <c r="AF4" s="30"/>
      <c r="AG4" s="30"/>
      <c r="AH4" s="30"/>
      <c r="AI4" s="30"/>
      <c r="AJ4" s="30"/>
      <c r="AK4" s="30"/>
      <c r="AL4" s="30"/>
      <c r="AM4" s="30"/>
      <c r="AN4" s="32"/>
      <c r="AO4" s="32"/>
      <c r="AP4" s="32"/>
      <c r="AQ4" s="32"/>
      <c r="AR4" s="32"/>
      <c r="AS4" s="32"/>
      <c r="AT4" s="32"/>
      <c r="AU4" s="32"/>
      <c r="AV4" s="32"/>
      <c r="AW4" s="32"/>
      <c r="AX4" s="32"/>
      <c r="AY4" s="32"/>
      <c r="AZ4" s="32"/>
      <c r="BA4" s="32"/>
      <c r="BB4" s="32"/>
      <c r="BC4" s="32"/>
      <c r="BD4" s="32"/>
      <c r="BE4" s="32"/>
      <c r="BF4" s="32"/>
      <c r="BG4" s="32"/>
      <c r="BH4" s="32"/>
    </row>
    <row r="5" spans="1:60">
      <c r="A5" s="28">
        <v>42036</v>
      </c>
      <c r="B5" s="29">
        <v>2015</v>
      </c>
      <c r="C5" s="30">
        <v>1140</v>
      </c>
      <c r="D5" s="30">
        <v>1140</v>
      </c>
      <c r="E5" s="30">
        <f t="shared" ref="E5:E68" si="0">C5-D5</f>
        <v>0</v>
      </c>
      <c r="F5" s="30">
        <v>908</v>
      </c>
      <c r="G5" s="30">
        <v>908</v>
      </c>
      <c r="H5" s="30">
        <f t="shared" ref="H5:H68" si="1">F5-G5</f>
        <v>0</v>
      </c>
      <c r="I5" s="30">
        <v>2559</v>
      </c>
      <c r="J5" s="30">
        <v>2559</v>
      </c>
      <c r="K5" s="30">
        <f t="shared" ref="K5:K68" si="2">I5-J5</f>
        <v>0</v>
      </c>
      <c r="L5" s="30">
        <v>2499</v>
      </c>
      <c r="M5" s="30">
        <v>2499</v>
      </c>
      <c r="N5" s="30">
        <f t="shared" ref="N5:N68" si="3">L5-M5</f>
        <v>0</v>
      </c>
      <c r="O5" s="30">
        <v>2035</v>
      </c>
      <c r="P5" s="30">
        <v>2035</v>
      </c>
      <c r="Q5" s="30">
        <f t="shared" ref="Q5:Q68" si="4">O5-P5</f>
        <v>0</v>
      </c>
      <c r="R5" s="31">
        <v>6131</v>
      </c>
      <c r="S5" s="31">
        <v>6131</v>
      </c>
      <c r="T5" s="30">
        <f t="shared" ref="T5:T68" si="5">R5-S5</f>
        <v>0</v>
      </c>
      <c r="U5" s="31">
        <v>6121</v>
      </c>
      <c r="V5" s="31">
        <v>6194</v>
      </c>
      <c r="W5" s="30">
        <f t="shared" ref="W5:W68" si="6">U5-V5</f>
        <v>-73</v>
      </c>
      <c r="X5" s="30"/>
      <c r="Y5" s="30"/>
      <c r="Z5" s="30"/>
      <c r="AA5" s="30"/>
      <c r="AB5" s="30"/>
      <c r="AC5" s="30"/>
      <c r="AD5" s="30"/>
      <c r="AE5" s="30"/>
      <c r="AF5" s="30"/>
      <c r="AG5" s="30"/>
      <c r="AH5" s="30"/>
      <c r="AI5" s="30"/>
      <c r="AJ5" s="30"/>
      <c r="AK5" s="30"/>
      <c r="AL5" s="30"/>
      <c r="AM5" s="30"/>
      <c r="AN5" s="32"/>
      <c r="AO5" s="32"/>
      <c r="AP5" s="32"/>
      <c r="AQ5" s="32"/>
      <c r="AR5" s="32"/>
      <c r="AS5" s="32"/>
      <c r="AT5" s="32"/>
      <c r="AU5" s="32"/>
      <c r="AV5" s="32"/>
      <c r="AW5" s="32"/>
      <c r="AX5" s="32"/>
      <c r="AY5" s="32"/>
      <c r="AZ5" s="32"/>
      <c r="BA5" s="32"/>
      <c r="BB5" s="32"/>
      <c r="BC5" s="32"/>
      <c r="BD5" s="32"/>
      <c r="BE5" s="32"/>
      <c r="BF5" s="32"/>
      <c r="BG5" s="32"/>
      <c r="BH5" s="32"/>
    </row>
    <row r="6" spans="1:60">
      <c r="A6" s="28">
        <v>42064</v>
      </c>
      <c r="B6" s="29">
        <v>2015</v>
      </c>
      <c r="C6" s="30">
        <v>1690</v>
      </c>
      <c r="D6" s="30">
        <v>1690</v>
      </c>
      <c r="E6" s="30">
        <f t="shared" si="0"/>
        <v>0</v>
      </c>
      <c r="F6" s="30">
        <v>996</v>
      </c>
      <c r="G6" s="30">
        <v>996</v>
      </c>
      <c r="H6" s="30">
        <f t="shared" si="1"/>
        <v>0</v>
      </c>
      <c r="I6" s="30">
        <v>2856</v>
      </c>
      <c r="J6" s="30">
        <v>2856</v>
      </c>
      <c r="K6" s="30">
        <f t="shared" si="2"/>
        <v>0</v>
      </c>
      <c r="L6" s="30">
        <v>2863</v>
      </c>
      <c r="M6" s="30">
        <v>2863</v>
      </c>
      <c r="N6" s="30">
        <f t="shared" si="3"/>
        <v>0</v>
      </c>
      <c r="O6" s="30">
        <v>2301</v>
      </c>
      <c r="P6" s="30">
        <v>2301</v>
      </c>
      <c r="Q6" s="30">
        <f t="shared" si="4"/>
        <v>0</v>
      </c>
      <c r="R6" s="31">
        <v>6131</v>
      </c>
      <c r="S6" s="31">
        <v>6131</v>
      </c>
      <c r="T6" s="30">
        <f t="shared" si="5"/>
        <v>0</v>
      </c>
      <c r="U6" s="31">
        <v>6367</v>
      </c>
      <c r="V6" s="31">
        <v>6440</v>
      </c>
      <c r="W6" s="30">
        <f t="shared" si="6"/>
        <v>-73</v>
      </c>
      <c r="X6" s="30"/>
      <c r="Y6" s="30"/>
      <c r="Z6" s="30"/>
      <c r="AA6" s="30"/>
      <c r="AB6" s="30"/>
      <c r="AC6" s="30"/>
      <c r="AD6" s="30"/>
      <c r="AE6" s="30"/>
      <c r="AF6" s="30"/>
      <c r="AG6" s="30"/>
      <c r="AH6" s="30"/>
      <c r="AI6" s="30"/>
      <c r="AJ6" s="30"/>
      <c r="AK6" s="30"/>
      <c r="AL6" s="30"/>
      <c r="AM6" s="30"/>
      <c r="AN6" s="32"/>
      <c r="AO6" s="32"/>
      <c r="AP6" s="32"/>
      <c r="AQ6" s="32"/>
      <c r="AR6" s="32"/>
      <c r="AS6" s="32"/>
      <c r="AT6" s="32"/>
      <c r="AU6" s="32"/>
      <c r="AV6" s="32"/>
      <c r="AW6" s="32"/>
      <c r="AX6" s="32"/>
      <c r="AY6" s="32"/>
      <c r="AZ6" s="32"/>
      <c r="BA6" s="32"/>
      <c r="BB6" s="32"/>
      <c r="BC6" s="32"/>
      <c r="BD6" s="32"/>
      <c r="BE6" s="32"/>
      <c r="BF6" s="32"/>
      <c r="BG6" s="32"/>
      <c r="BH6" s="32"/>
    </row>
    <row r="7" spans="1:60">
      <c r="A7" s="28">
        <v>42095</v>
      </c>
      <c r="B7" s="29">
        <v>2015</v>
      </c>
      <c r="C7" s="30">
        <v>1887</v>
      </c>
      <c r="D7" s="30">
        <v>1887</v>
      </c>
      <c r="E7" s="30">
        <f t="shared" si="0"/>
        <v>0</v>
      </c>
      <c r="F7" s="30">
        <v>1073</v>
      </c>
      <c r="G7" s="30">
        <v>1073</v>
      </c>
      <c r="H7" s="30">
        <f t="shared" si="1"/>
        <v>0</v>
      </c>
      <c r="I7" s="30">
        <v>3241</v>
      </c>
      <c r="J7" s="30">
        <v>3241</v>
      </c>
      <c r="K7" s="30">
        <f t="shared" si="2"/>
        <v>0</v>
      </c>
      <c r="L7" s="30">
        <v>3103</v>
      </c>
      <c r="M7" s="30">
        <v>3103</v>
      </c>
      <c r="N7" s="30">
        <f t="shared" si="3"/>
        <v>0</v>
      </c>
      <c r="O7" s="30">
        <v>2457</v>
      </c>
      <c r="P7" s="30">
        <v>2457</v>
      </c>
      <c r="Q7" s="30">
        <f t="shared" si="4"/>
        <v>0</v>
      </c>
      <c r="R7" s="31">
        <v>6367</v>
      </c>
      <c r="S7" s="31">
        <v>6367</v>
      </c>
      <c r="T7" s="30">
        <f t="shared" si="5"/>
        <v>0</v>
      </c>
      <c r="U7" s="31">
        <v>6709</v>
      </c>
      <c r="V7" s="31">
        <v>6777</v>
      </c>
      <c r="W7" s="30">
        <f t="shared" si="6"/>
        <v>-68</v>
      </c>
      <c r="X7" s="30"/>
      <c r="Y7" s="30"/>
      <c r="Z7" s="30"/>
      <c r="AA7" s="30"/>
      <c r="AB7" s="30"/>
      <c r="AC7" s="30"/>
      <c r="AD7" s="30"/>
      <c r="AE7" s="30"/>
      <c r="AF7" s="30"/>
      <c r="AG7" s="30"/>
      <c r="AH7" s="30"/>
      <c r="AI7" s="30"/>
      <c r="AJ7" s="30"/>
      <c r="AK7" s="30"/>
      <c r="AL7" s="30"/>
      <c r="AM7" s="30"/>
      <c r="AN7" s="32"/>
      <c r="AO7" s="32"/>
      <c r="AP7" s="32"/>
      <c r="AQ7" s="32"/>
      <c r="AR7" s="32"/>
      <c r="AS7" s="32"/>
      <c r="AT7" s="32"/>
      <c r="AU7" s="32"/>
      <c r="AV7" s="32"/>
      <c r="AW7" s="32"/>
      <c r="AX7" s="32"/>
      <c r="AY7" s="32"/>
      <c r="AZ7" s="32"/>
      <c r="BA7" s="32"/>
      <c r="BB7" s="32"/>
      <c r="BC7" s="32"/>
      <c r="BD7" s="32"/>
      <c r="BE7" s="32"/>
      <c r="BF7" s="32"/>
      <c r="BG7" s="32"/>
      <c r="BH7" s="32"/>
    </row>
    <row r="8" spans="1:60">
      <c r="A8" s="28">
        <v>42125</v>
      </c>
      <c r="B8" s="29">
        <v>2015</v>
      </c>
      <c r="C8" s="30">
        <v>1620</v>
      </c>
      <c r="D8" s="30">
        <v>1620</v>
      </c>
      <c r="E8" s="30">
        <f t="shared" si="0"/>
        <v>0</v>
      </c>
      <c r="F8" s="30">
        <v>1136</v>
      </c>
      <c r="G8" s="30">
        <v>1136</v>
      </c>
      <c r="H8" s="30">
        <f t="shared" si="1"/>
        <v>0</v>
      </c>
      <c r="I8" s="30">
        <v>3306</v>
      </c>
      <c r="J8" s="30">
        <v>3306</v>
      </c>
      <c r="K8" s="30">
        <f t="shared" si="2"/>
        <v>0</v>
      </c>
      <c r="L8" s="30">
        <v>3371</v>
      </c>
      <c r="M8" s="30">
        <v>3371</v>
      </c>
      <c r="N8" s="30">
        <f t="shared" si="3"/>
        <v>0</v>
      </c>
      <c r="O8" s="30">
        <v>2669</v>
      </c>
      <c r="P8" s="30">
        <v>2669</v>
      </c>
      <c r="Q8" s="30">
        <f t="shared" si="4"/>
        <v>0</v>
      </c>
      <c r="R8" s="31">
        <v>6705</v>
      </c>
      <c r="S8" s="31">
        <v>6705</v>
      </c>
      <c r="T8" s="30">
        <f t="shared" si="5"/>
        <v>0</v>
      </c>
      <c r="U8" s="31">
        <v>6673</v>
      </c>
      <c r="V8" s="31">
        <v>6741</v>
      </c>
      <c r="W8" s="30">
        <f t="shared" si="6"/>
        <v>-68</v>
      </c>
      <c r="X8" s="30"/>
      <c r="Y8" s="30"/>
      <c r="Z8" s="30"/>
      <c r="AA8" s="30"/>
      <c r="AB8" s="30"/>
      <c r="AC8" s="30"/>
      <c r="AD8" s="30"/>
      <c r="AE8" s="30"/>
      <c r="AF8" s="30"/>
      <c r="AG8" s="30"/>
      <c r="AH8" s="30"/>
      <c r="AI8" s="30"/>
      <c r="AJ8" s="30"/>
      <c r="AK8" s="30"/>
      <c r="AL8" s="30"/>
      <c r="AM8" s="30"/>
      <c r="AN8" s="32"/>
      <c r="AO8" s="32"/>
      <c r="AP8" s="32"/>
      <c r="AQ8" s="32"/>
      <c r="AR8" s="32"/>
      <c r="AS8" s="32"/>
      <c r="AT8" s="32"/>
      <c r="AU8" s="32"/>
      <c r="AV8" s="32"/>
      <c r="AW8" s="32"/>
      <c r="AX8" s="32"/>
      <c r="AY8" s="32"/>
      <c r="AZ8" s="32"/>
      <c r="BA8" s="32"/>
      <c r="BB8" s="32"/>
      <c r="BC8" s="32"/>
      <c r="BD8" s="32"/>
      <c r="BE8" s="32"/>
      <c r="BF8" s="32"/>
      <c r="BG8" s="32"/>
      <c r="BH8" s="32"/>
    </row>
    <row r="9" spans="1:60">
      <c r="A9" s="28">
        <v>42156</v>
      </c>
      <c r="B9" s="29">
        <v>2015</v>
      </c>
      <c r="C9" s="30">
        <v>1925</v>
      </c>
      <c r="D9" s="30">
        <v>1925</v>
      </c>
      <c r="E9" s="30">
        <f t="shared" si="0"/>
        <v>0</v>
      </c>
      <c r="F9" s="30">
        <v>1039</v>
      </c>
      <c r="G9" s="30">
        <v>1039</v>
      </c>
      <c r="H9" s="30">
        <f t="shared" si="1"/>
        <v>0</v>
      </c>
      <c r="I9" s="30">
        <v>3706</v>
      </c>
      <c r="J9" s="30">
        <v>3706</v>
      </c>
      <c r="K9" s="30">
        <f t="shared" si="2"/>
        <v>0</v>
      </c>
      <c r="L9" s="30">
        <v>3588</v>
      </c>
      <c r="M9" s="30">
        <v>3588</v>
      </c>
      <c r="N9" s="30">
        <f t="shared" si="3"/>
        <v>0</v>
      </c>
      <c r="O9" s="30">
        <v>2814</v>
      </c>
      <c r="P9" s="30">
        <v>2814</v>
      </c>
      <c r="Q9" s="30">
        <f t="shared" si="4"/>
        <v>0</v>
      </c>
      <c r="R9" s="31">
        <v>6673</v>
      </c>
      <c r="S9" s="31">
        <v>6673</v>
      </c>
      <c r="T9" s="30">
        <f t="shared" si="5"/>
        <v>0</v>
      </c>
      <c r="U9" s="31">
        <v>6659</v>
      </c>
      <c r="V9" s="31">
        <v>6659</v>
      </c>
      <c r="W9" s="30">
        <f t="shared" si="6"/>
        <v>0</v>
      </c>
      <c r="X9" s="30"/>
      <c r="Y9" s="30"/>
      <c r="Z9" s="30"/>
      <c r="AA9" s="30"/>
      <c r="AB9" s="30"/>
      <c r="AC9" s="30"/>
      <c r="AD9" s="30"/>
      <c r="AE9" s="30"/>
      <c r="AF9" s="30"/>
      <c r="AG9" s="30"/>
      <c r="AH9" s="30"/>
      <c r="AI9" s="30"/>
      <c r="AJ9" s="30"/>
      <c r="AK9" s="30"/>
      <c r="AL9" s="30"/>
      <c r="AM9" s="30"/>
      <c r="AN9" s="32"/>
      <c r="AO9" s="32"/>
      <c r="AP9" s="32"/>
      <c r="AQ9" s="32"/>
      <c r="AR9" s="32"/>
      <c r="AS9" s="32"/>
      <c r="AT9" s="32"/>
      <c r="AU9" s="32"/>
      <c r="AV9" s="32"/>
      <c r="AW9" s="32"/>
      <c r="AX9" s="32"/>
      <c r="AY9" s="32"/>
      <c r="AZ9" s="32"/>
      <c r="BA9" s="32"/>
      <c r="BB9" s="32"/>
      <c r="BC9" s="32"/>
      <c r="BD9" s="32"/>
      <c r="BE9" s="32"/>
      <c r="BF9" s="32"/>
      <c r="BG9" s="32"/>
      <c r="BH9" s="32"/>
    </row>
    <row r="10" spans="1:60">
      <c r="A10" s="28">
        <v>42186</v>
      </c>
      <c r="B10" s="29">
        <v>2015</v>
      </c>
      <c r="C10" s="30">
        <v>2414</v>
      </c>
      <c r="D10" s="30">
        <v>2414</v>
      </c>
      <c r="E10" s="30">
        <f t="shared" si="0"/>
        <v>0</v>
      </c>
      <c r="F10" s="30">
        <v>1214</v>
      </c>
      <c r="G10" s="30">
        <v>1214</v>
      </c>
      <c r="H10" s="30">
        <f t="shared" si="1"/>
        <v>0</v>
      </c>
      <c r="I10" s="30">
        <v>3860</v>
      </c>
      <c r="J10" s="30">
        <v>3860</v>
      </c>
      <c r="K10" s="30">
        <f t="shared" si="2"/>
        <v>0</v>
      </c>
      <c r="L10" s="30">
        <v>3900</v>
      </c>
      <c r="M10" s="30">
        <v>3900</v>
      </c>
      <c r="N10" s="30">
        <f t="shared" si="3"/>
        <v>0</v>
      </c>
      <c r="O10" s="30">
        <v>3029</v>
      </c>
      <c r="P10" s="30">
        <v>3029</v>
      </c>
      <c r="Q10" s="30">
        <f t="shared" si="4"/>
        <v>0</v>
      </c>
      <c r="R10" s="31">
        <v>6659</v>
      </c>
      <c r="S10" s="31">
        <v>6659</v>
      </c>
      <c r="T10" s="30">
        <f t="shared" si="5"/>
        <v>0</v>
      </c>
      <c r="U10" s="31">
        <v>6894</v>
      </c>
      <c r="V10" s="31">
        <v>6894</v>
      </c>
      <c r="W10" s="30">
        <f t="shared" si="6"/>
        <v>0</v>
      </c>
      <c r="X10" s="30"/>
      <c r="Y10" s="30"/>
      <c r="Z10" s="30"/>
      <c r="AA10" s="30"/>
      <c r="AB10" s="30"/>
      <c r="AC10" s="30"/>
      <c r="AD10" s="30"/>
      <c r="AE10" s="30"/>
      <c r="AF10" s="30"/>
      <c r="AG10" s="30"/>
      <c r="AH10" s="30"/>
      <c r="AI10" s="30"/>
      <c r="AJ10" s="30"/>
      <c r="AK10" s="30"/>
      <c r="AL10" s="30"/>
      <c r="AM10" s="30"/>
      <c r="AN10" s="32"/>
      <c r="AO10" s="32"/>
      <c r="AP10" s="32"/>
      <c r="AQ10" s="32"/>
      <c r="AR10" s="32"/>
      <c r="AS10" s="32"/>
      <c r="AT10" s="32"/>
      <c r="AU10" s="32"/>
      <c r="AV10" s="32"/>
      <c r="AW10" s="32"/>
      <c r="AX10" s="32"/>
      <c r="AY10" s="32"/>
      <c r="AZ10" s="32"/>
      <c r="BA10" s="32"/>
      <c r="BB10" s="32"/>
      <c r="BC10" s="32"/>
      <c r="BD10" s="32"/>
      <c r="BE10" s="32"/>
      <c r="BF10" s="32"/>
      <c r="BG10" s="32"/>
      <c r="BH10" s="32"/>
    </row>
    <row r="11" spans="1:60">
      <c r="A11" s="28">
        <v>42217</v>
      </c>
      <c r="B11" s="29">
        <v>2015</v>
      </c>
      <c r="C11" s="30">
        <v>2306</v>
      </c>
      <c r="D11" s="30">
        <v>2306</v>
      </c>
      <c r="E11" s="30">
        <f t="shared" si="0"/>
        <v>0</v>
      </c>
      <c r="F11" s="30">
        <v>1180</v>
      </c>
      <c r="G11" s="30">
        <v>1180</v>
      </c>
      <c r="H11" s="30">
        <f t="shared" si="1"/>
        <v>0</v>
      </c>
      <c r="I11" s="30">
        <v>3772</v>
      </c>
      <c r="J11" s="30">
        <v>3772</v>
      </c>
      <c r="K11" s="30">
        <f t="shared" si="2"/>
        <v>0</v>
      </c>
      <c r="L11" s="30">
        <v>3886</v>
      </c>
      <c r="M11" s="30">
        <v>3886</v>
      </c>
      <c r="N11" s="30">
        <f t="shared" si="3"/>
        <v>0</v>
      </c>
      <c r="O11" s="30">
        <v>3029</v>
      </c>
      <c r="P11" s="30">
        <v>3029</v>
      </c>
      <c r="Q11" s="30">
        <f t="shared" si="4"/>
        <v>0</v>
      </c>
      <c r="R11" s="31">
        <v>6894</v>
      </c>
      <c r="S11" s="31">
        <v>6894</v>
      </c>
      <c r="T11" s="30">
        <f t="shared" si="5"/>
        <v>0</v>
      </c>
      <c r="U11" s="31">
        <v>6958</v>
      </c>
      <c r="V11" s="31">
        <v>6958</v>
      </c>
      <c r="W11" s="30">
        <f t="shared" si="6"/>
        <v>0</v>
      </c>
      <c r="X11" s="30"/>
      <c r="Y11" s="30"/>
      <c r="Z11" s="30"/>
      <c r="AA11" s="30"/>
      <c r="AB11" s="30"/>
      <c r="AC11" s="30"/>
      <c r="AD11" s="30"/>
      <c r="AE11" s="30"/>
      <c r="AF11" s="30"/>
      <c r="AG11" s="30"/>
      <c r="AH11" s="30"/>
      <c r="AI11" s="30"/>
      <c r="AJ11" s="30"/>
      <c r="AK11" s="30"/>
      <c r="AL11" s="30"/>
      <c r="AM11" s="30"/>
      <c r="AN11" s="32"/>
      <c r="AO11" s="32"/>
      <c r="AP11" s="32"/>
      <c r="AQ11" s="32"/>
      <c r="AR11" s="32"/>
      <c r="AS11" s="32"/>
      <c r="AT11" s="32"/>
      <c r="AU11" s="32"/>
      <c r="AV11" s="32"/>
      <c r="AW11" s="32"/>
      <c r="AX11" s="32"/>
      <c r="AY11" s="32"/>
      <c r="AZ11" s="32"/>
      <c r="BA11" s="32"/>
      <c r="BB11" s="32"/>
      <c r="BC11" s="32"/>
      <c r="BD11" s="32"/>
      <c r="BE11" s="32"/>
      <c r="BF11" s="32"/>
      <c r="BG11" s="32"/>
      <c r="BH11" s="32"/>
    </row>
    <row r="12" spans="1:60">
      <c r="A12" s="28">
        <v>42248</v>
      </c>
      <c r="B12" s="29">
        <v>2015</v>
      </c>
      <c r="C12" s="30">
        <v>2356</v>
      </c>
      <c r="D12" s="30">
        <v>2356</v>
      </c>
      <c r="E12" s="30">
        <f t="shared" si="0"/>
        <v>0</v>
      </c>
      <c r="F12" s="30">
        <v>1124</v>
      </c>
      <c r="G12" s="30">
        <v>1124</v>
      </c>
      <c r="H12" s="30">
        <f t="shared" si="1"/>
        <v>0</v>
      </c>
      <c r="I12" s="30">
        <v>3695</v>
      </c>
      <c r="J12" s="30">
        <v>3695</v>
      </c>
      <c r="K12" s="30">
        <f t="shared" si="2"/>
        <v>0</v>
      </c>
      <c r="L12" s="30">
        <v>3669</v>
      </c>
      <c r="M12" s="30">
        <v>3669</v>
      </c>
      <c r="N12" s="30">
        <f t="shared" si="3"/>
        <v>0</v>
      </c>
      <c r="O12" s="30">
        <v>2919</v>
      </c>
      <c r="P12" s="30">
        <v>2919</v>
      </c>
      <c r="Q12" s="30">
        <f t="shared" si="4"/>
        <v>0</v>
      </c>
      <c r="R12" s="31">
        <v>6958</v>
      </c>
      <c r="S12" s="31">
        <v>6958</v>
      </c>
      <c r="T12" s="30">
        <f t="shared" si="5"/>
        <v>0</v>
      </c>
      <c r="U12" s="31">
        <v>7110</v>
      </c>
      <c r="V12" s="31">
        <v>7110</v>
      </c>
      <c r="W12" s="30">
        <f t="shared" si="6"/>
        <v>0</v>
      </c>
      <c r="X12" s="30"/>
      <c r="Y12" s="30"/>
      <c r="Z12" s="30"/>
      <c r="AA12" s="30"/>
      <c r="AB12" s="30"/>
      <c r="AC12" s="30"/>
      <c r="AD12" s="30"/>
      <c r="AE12" s="30"/>
      <c r="AF12" s="30"/>
      <c r="AG12" s="30"/>
      <c r="AH12" s="30"/>
      <c r="AI12" s="30"/>
      <c r="AJ12" s="30"/>
      <c r="AK12" s="30"/>
      <c r="AL12" s="30"/>
      <c r="AM12" s="30"/>
      <c r="AN12" s="32"/>
      <c r="AO12" s="32"/>
      <c r="AP12" s="32"/>
      <c r="AQ12" s="32"/>
      <c r="AR12" s="32"/>
      <c r="AS12" s="32"/>
      <c r="AT12" s="32"/>
      <c r="AU12" s="32"/>
      <c r="AV12" s="32"/>
      <c r="AW12" s="32"/>
      <c r="AX12" s="32"/>
      <c r="AY12" s="32"/>
      <c r="AZ12" s="32"/>
      <c r="BA12" s="32"/>
      <c r="BB12" s="32"/>
      <c r="BC12" s="32"/>
      <c r="BD12" s="32"/>
      <c r="BE12" s="32"/>
      <c r="BF12" s="32"/>
      <c r="BG12" s="32"/>
      <c r="BH12" s="32"/>
    </row>
    <row r="13" spans="1:60">
      <c r="A13" s="28">
        <v>42278</v>
      </c>
      <c r="B13" s="29">
        <v>2015</v>
      </c>
      <c r="C13" s="30">
        <v>1886</v>
      </c>
      <c r="D13" s="30">
        <v>1886</v>
      </c>
      <c r="E13" s="30">
        <f t="shared" si="0"/>
        <v>0</v>
      </c>
      <c r="F13" s="30">
        <v>1180</v>
      </c>
      <c r="G13" s="30">
        <v>1180</v>
      </c>
      <c r="H13" s="30">
        <f t="shared" si="1"/>
        <v>0</v>
      </c>
      <c r="I13" s="30">
        <v>3494</v>
      </c>
      <c r="J13" s="30">
        <v>3494</v>
      </c>
      <c r="K13" s="30">
        <f t="shared" si="2"/>
        <v>0</v>
      </c>
      <c r="L13" s="30">
        <v>3473</v>
      </c>
      <c r="M13" s="30">
        <v>3473</v>
      </c>
      <c r="N13" s="30">
        <f t="shared" si="3"/>
        <v>0</v>
      </c>
      <c r="O13" s="30">
        <v>2725</v>
      </c>
      <c r="P13" s="30">
        <v>2725</v>
      </c>
      <c r="Q13" s="30">
        <f t="shared" si="4"/>
        <v>0</v>
      </c>
      <c r="R13" s="31">
        <v>7110</v>
      </c>
      <c r="S13" s="31">
        <v>7110</v>
      </c>
      <c r="T13" s="30">
        <f t="shared" si="5"/>
        <v>0</v>
      </c>
      <c r="U13" s="31">
        <v>7023</v>
      </c>
      <c r="V13" s="31">
        <v>7023</v>
      </c>
      <c r="W13" s="30">
        <f t="shared" si="6"/>
        <v>0</v>
      </c>
      <c r="X13" s="30"/>
      <c r="Y13" s="30"/>
      <c r="Z13" s="30"/>
      <c r="AA13" s="30"/>
      <c r="AB13" s="30"/>
      <c r="AC13" s="30"/>
      <c r="AD13" s="30"/>
      <c r="AE13" s="30"/>
      <c r="AF13" s="30"/>
      <c r="AG13" s="30"/>
      <c r="AH13" s="30"/>
      <c r="AI13" s="30"/>
      <c r="AJ13" s="30"/>
      <c r="AK13" s="30"/>
      <c r="AL13" s="30"/>
      <c r="AM13" s="30"/>
      <c r="AN13" s="32"/>
      <c r="AO13" s="32"/>
      <c r="AP13" s="32"/>
      <c r="AQ13" s="32"/>
      <c r="AR13" s="32"/>
      <c r="AS13" s="32"/>
      <c r="AT13" s="32"/>
      <c r="AU13" s="32"/>
      <c r="AV13" s="32"/>
      <c r="AW13" s="32"/>
      <c r="AX13" s="32"/>
      <c r="AY13" s="32"/>
      <c r="AZ13" s="32"/>
      <c r="BA13" s="32"/>
      <c r="BB13" s="32"/>
      <c r="BC13" s="32"/>
      <c r="BD13" s="32"/>
      <c r="BE13" s="32"/>
      <c r="BF13" s="32"/>
      <c r="BG13" s="32"/>
      <c r="BH13" s="32"/>
    </row>
    <row r="14" spans="1:60">
      <c r="A14" s="28">
        <v>42309</v>
      </c>
      <c r="B14" s="29">
        <v>2015</v>
      </c>
      <c r="C14" s="30">
        <v>1896</v>
      </c>
      <c r="D14" s="30">
        <v>1896</v>
      </c>
      <c r="E14" s="30">
        <f t="shared" si="0"/>
        <v>0</v>
      </c>
      <c r="F14" s="30">
        <v>1178</v>
      </c>
      <c r="G14" s="30">
        <v>1178</v>
      </c>
      <c r="H14" s="30">
        <f t="shared" si="1"/>
        <v>0</v>
      </c>
      <c r="I14" s="30">
        <v>2900</v>
      </c>
      <c r="J14" s="30">
        <v>2900</v>
      </c>
      <c r="K14" s="30">
        <f t="shared" si="2"/>
        <v>0</v>
      </c>
      <c r="L14" s="30">
        <v>2857</v>
      </c>
      <c r="M14" s="30">
        <v>2857</v>
      </c>
      <c r="N14" s="30">
        <f t="shared" si="3"/>
        <v>0</v>
      </c>
      <c r="O14" s="30">
        <v>2306</v>
      </c>
      <c r="P14" s="30">
        <v>2306</v>
      </c>
      <c r="Q14" s="30">
        <f t="shared" si="4"/>
        <v>0</v>
      </c>
      <c r="R14" s="31">
        <v>7027</v>
      </c>
      <c r="S14" s="31">
        <v>7027</v>
      </c>
      <c r="T14" s="30">
        <f t="shared" si="5"/>
        <v>0</v>
      </c>
      <c r="U14" s="31">
        <v>7127</v>
      </c>
      <c r="V14" s="31">
        <v>7127</v>
      </c>
      <c r="W14" s="30">
        <f t="shared" si="6"/>
        <v>0</v>
      </c>
      <c r="X14" s="30"/>
      <c r="Y14" s="30"/>
      <c r="Z14" s="30"/>
      <c r="AA14" s="30"/>
      <c r="AB14" s="30"/>
      <c r="AC14" s="30"/>
      <c r="AD14" s="30"/>
      <c r="AE14" s="30"/>
      <c r="AF14" s="30"/>
      <c r="AG14" s="30"/>
      <c r="AH14" s="30"/>
      <c r="AI14" s="30"/>
      <c r="AJ14" s="30"/>
      <c r="AK14" s="30"/>
      <c r="AL14" s="30"/>
      <c r="AM14" s="30"/>
      <c r="AN14" s="32"/>
      <c r="AO14" s="32"/>
      <c r="AP14" s="32"/>
      <c r="AQ14" s="32"/>
      <c r="AR14" s="32"/>
      <c r="AS14" s="32"/>
      <c r="AT14" s="32"/>
      <c r="AU14" s="32"/>
      <c r="AV14" s="32"/>
      <c r="AW14" s="32"/>
      <c r="AX14" s="32"/>
      <c r="AY14" s="32"/>
      <c r="AZ14" s="32"/>
      <c r="BA14" s="32"/>
      <c r="BB14" s="32"/>
      <c r="BC14" s="32"/>
      <c r="BD14" s="32"/>
      <c r="BE14" s="32"/>
      <c r="BF14" s="32"/>
      <c r="BG14" s="32"/>
      <c r="BH14" s="32"/>
    </row>
    <row r="15" spans="1:60">
      <c r="A15" s="28">
        <v>42339</v>
      </c>
      <c r="B15" s="29">
        <v>2015</v>
      </c>
      <c r="C15" s="30">
        <v>1711</v>
      </c>
      <c r="D15" s="30">
        <v>1711</v>
      </c>
      <c r="E15" s="30">
        <f t="shared" si="0"/>
        <v>0</v>
      </c>
      <c r="F15" s="30">
        <v>1019</v>
      </c>
      <c r="G15" s="30">
        <v>1019</v>
      </c>
      <c r="H15" s="30">
        <f t="shared" si="1"/>
        <v>0</v>
      </c>
      <c r="I15" s="30">
        <v>3045</v>
      </c>
      <c r="J15" s="30">
        <v>3045</v>
      </c>
      <c r="K15" s="30">
        <f t="shared" si="2"/>
        <v>0</v>
      </c>
      <c r="L15" s="30">
        <v>2926</v>
      </c>
      <c r="M15" s="30">
        <v>2926</v>
      </c>
      <c r="N15" s="30">
        <f t="shared" si="3"/>
        <v>0</v>
      </c>
      <c r="O15" s="30">
        <v>2323</v>
      </c>
      <c r="P15" s="30">
        <v>2323</v>
      </c>
      <c r="Q15" s="30">
        <f t="shared" si="4"/>
        <v>0</v>
      </c>
      <c r="R15" s="31">
        <v>7127</v>
      </c>
      <c r="S15" s="31">
        <v>7127</v>
      </c>
      <c r="T15" s="30">
        <f t="shared" si="5"/>
        <v>0</v>
      </c>
      <c r="U15" s="31">
        <v>7197</v>
      </c>
      <c r="V15" s="31">
        <v>7197</v>
      </c>
      <c r="W15" s="30">
        <f t="shared" si="6"/>
        <v>0</v>
      </c>
      <c r="X15" s="30"/>
      <c r="Y15" s="30"/>
      <c r="Z15" s="30"/>
      <c r="AA15" s="30"/>
      <c r="AB15" s="30"/>
      <c r="AC15" s="30"/>
      <c r="AD15" s="30"/>
      <c r="AE15" s="30"/>
      <c r="AF15" s="30"/>
      <c r="AG15" s="30"/>
      <c r="AH15" s="30"/>
      <c r="AI15" s="30"/>
      <c r="AJ15" s="30"/>
      <c r="AK15" s="30"/>
      <c r="AL15" s="30"/>
      <c r="AM15" s="30"/>
      <c r="AN15" s="32"/>
      <c r="AO15" s="32"/>
      <c r="AP15" s="32"/>
      <c r="AQ15" s="32"/>
      <c r="AR15" s="32"/>
      <c r="AS15" s="32"/>
      <c r="AT15" s="32"/>
      <c r="AU15" s="32"/>
      <c r="AV15" s="32"/>
      <c r="AW15" s="32"/>
      <c r="AX15" s="32"/>
      <c r="AY15" s="32"/>
      <c r="AZ15" s="32"/>
      <c r="BA15" s="32"/>
      <c r="BB15" s="32"/>
      <c r="BC15" s="32"/>
      <c r="BD15" s="32"/>
      <c r="BE15" s="32"/>
      <c r="BF15" s="32"/>
      <c r="BG15" s="32"/>
      <c r="BH15" s="32"/>
    </row>
    <row r="16" spans="1:60">
      <c r="A16" s="28">
        <v>42370</v>
      </c>
      <c r="B16" s="29">
        <v>2016</v>
      </c>
      <c r="C16" s="30">
        <v>1661</v>
      </c>
      <c r="D16" s="30">
        <v>1661</v>
      </c>
      <c r="E16" s="30">
        <f t="shared" si="0"/>
        <v>0</v>
      </c>
      <c r="F16" s="30">
        <v>1049</v>
      </c>
      <c r="G16" s="30">
        <v>1049</v>
      </c>
      <c r="H16" s="30">
        <f t="shared" si="1"/>
        <v>0</v>
      </c>
      <c r="I16" s="30">
        <v>2930</v>
      </c>
      <c r="J16" s="30">
        <v>2930</v>
      </c>
      <c r="K16" s="30">
        <f t="shared" si="2"/>
        <v>0</v>
      </c>
      <c r="L16" s="30">
        <v>2777</v>
      </c>
      <c r="M16" s="30">
        <v>2777</v>
      </c>
      <c r="N16" s="30">
        <f t="shared" si="3"/>
        <v>0</v>
      </c>
      <c r="O16" s="30">
        <v>2241</v>
      </c>
      <c r="P16" s="30">
        <v>2241</v>
      </c>
      <c r="Q16" s="30">
        <f t="shared" si="4"/>
        <v>0</v>
      </c>
      <c r="R16" s="31">
        <v>7323</v>
      </c>
      <c r="S16" s="31">
        <v>7323</v>
      </c>
      <c r="T16" s="30">
        <f t="shared" si="5"/>
        <v>0</v>
      </c>
      <c r="U16" s="31">
        <v>7297</v>
      </c>
      <c r="V16" s="31">
        <v>7297</v>
      </c>
      <c r="W16" s="30">
        <f t="shared" si="6"/>
        <v>0</v>
      </c>
      <c r="X16" s="30"/>
      <c r="Y16" s="30"/>
      <c r="Z16" s="30"/>
      <c r="AA16" s="30"/>
      <c r="AB16" s="30"/>
      <c r="AC16" s="30"/>
      <c r="AD16" s="30"/>
      <c r="AE16" s="30"/>
      <c r="AF16" s="30"/>
      <c r="AG16" s="30"/>
      <c r="AH16" s="30"/>
      <c r="AI16" s="30"/>
      <c r="AJ16" s="30"/>
      <c r="AK16" s="30"/>
      <c r="AL16" s="30"/>
      <c r="AM16" s="30"/>
      <c r="AN16" s="32"/>
      <c r="AO16" s="32"/>
      <c r="AP16" s="32"/>
      <c r="AQ16" s="32"/>
      <c r="AR16" s="32"/>
      <c r="AS16" s="32"/>
      <c r="AT16" s="32"/>
      <c r="AU16" s="32"/>
      <c r="AV16" s="32"/>
      <c r="AW16" s="32"/>
      <c r="AX16" s="32"/>
      <c r="AY16" s="32"/>
      <c r="AZ16" s="32"/>
      <c r="BA16" s="32"/>
      <c r="BB16" s="32"/>
      <c r="BC16" s="32"/>
      <c r="BD16" s="32"/>
      <c r="BE16" s="32"/>
      <c r="BF16" s="32"/>
      <c r="BG16" s="32"/>
      <c r="BH16" s="32"/>
    </row>
    <row r="17" spans="1:60">
      <c r="A17" s="28">
        <v>42401</v>
      </c>
      <c r="B17" s="29">
        <v>2016</v>
      </c>
      <c r="C17" s="30">
        <v>1408</v>
      </c>
      <c r="D17" s="30">
        <v>1408</v>
      </c>
      <c r="E17" s="30">
        <f t="shared" si="0"/>
        <v>0</v>
      </c>
      <c r="F17" s="30">
        <v>980</v>
      </c>
      <c r="G17" s="30">
        <v>980</v>
      </c>
      <c r="H17" s="30">
        <f t="shared" si="1"/>
        <v>0</v>
      </c>
      <c r="I17" s="30">
        <v>2612</v>
      </c>
      <c r="J17" s="30">
        <v>2612</v>
      </c>
      <c r="K17" s="30">
        <f t="shared" si="2"/>
        <v>0</v>
      </c>
      <c r="L17" s="30">
        <v>2690</v>
      </c>
      <c r="M17" s="30">
        <v>2690</v>
      </c>
      <c r="N17" s="30">
        <f t="shared" si="3"/>
        <v>0</v>
      </c>
      <c r="O17" s="30">
        <v>2181</v>
      </c>
      <c r="P17" s="30">
        <v>2181</v>
      </c>
      <c r="Q17" s="30">
        <f t="shared" si="4"/>
        <v>0</v>
      </c>
      <c r="R17" s="31">
        <v>7297</v>
      </c>
      <c r="S17" s="31">
        <v>7297</v>
      </c>
      <c r="T17" s="30">
        <f t="shared" si="5"/>
        <v>0</v>
      </c>
      <c r="U17" s="31">
        <v>7128</v>
      </c>
      <c r="V17" s="31">
        <v>7128</v>
      </c>
      <c r="W17" s="30">
        <f t="shared" si="6"/>
        <v>0</v>
      </c>
      <c r="X17" s="30"/>
      <c r="Y17" s="30"/>
      <c r="Z17" s="30"/>
      <c r="AA17" s="30"/>
      <c r="AB17" s="30"/>
      <c r="AC17" s="30"/>
      <c r="AD17" s="30"/>
      <c r="AE17" s="30"/>
      <c r="AF17" s="30"/>
      <c r="AG17" s="30"/>
      <c r="AH17" s="30"/>
      <c r="AI17" s="30"/>
      <c r="AJ17" s="30"/>
      <c r="AK17" s="30"/>
      <c r="AL17" s="30"/>
      <c r="AM17" s="30"/>
      <c r="AN17" s="32"/>
      <c r="AO17" s="32"/>
      <c r="AP17" s="32"/>
      <c r="AQ17" s="32"/>
      <c r="AR17" s="32"/>
      <c r="AS17" s="32"/>
      <c r="AT17" s="32"/>
      <c r="AU17" s="32"/>
      <c r="AV17" s="32"/>
      <c r="AW17" s="32"/>
      <c r="AX17" s="32"/>
      <c r="AY17" s="32"/>
      <c r="AZ17" s="32"/>
      <c r="BA17" s="32"/>
      <c r="BB17" s="32"/>
      <c r="BC17" s="32"/>
      <c r="BD17" s="32"/>
      <c r="BE17" s="32"/>
      <c r="BF17" s="32"/>
      <c r="BG17" s="32"/>
      <c r="BH17" s="32"/>
    </row>
    <row r="18" spans="1:60">
      <c r="A18" s="28">
        <v>42430</v>
      </c>
      <c r="B18" s="29">
        <v>2016</v>
      </c>
      <c r="C18" s="30">
        <v>1920</v>
      </c>
      <c r="D18" s="30">
        <v>1920</v>
      </c>
      <c r="E18" s="30">
        <f t="shared" si="0"/>
        <v>0</v>
      </c>
      <c r="F18" s="30">
        <v>1201</v>
      </c>
      <c r="G18" s="30">
        <v>1201</v>
      </c>
      <c r="H18" s="30">
        <f t="shared" si="1"/>
        <v>0</v>
      </c>
      <c r="I18" s="30">
        <v>3068</v>
      </c>
      <c r="J18" s="30">
        <v>3068</v>
      </c>
      <c r="K18" s="30">
        <f t="shared" si="2"/>
        <v>0</v>
      </c>
      <c r="L18" s="30">
        <v>2991</v>
      </c>
      <c r="M18" s="30">
        <v>2991</v>
      </c>
      <c r="N18" s="30">
        <f t="shared" si="3"/>
        <v>0</v>
      </c>
      <c r="O18" s="30">
        <v>2433</v>
      </c>
      <c r="P18" s="30">
        <v>2433</v>
      </c>
      <c r="Q18" s="30">
        <f t="shared" si="4"/>
        <v>0</v>
      </c>
      <c r="R18" s="31">
        <v>7128</v>
      </c>
      <c r="S18" s="31">
        <v>7128</v>
      </c>
      <c r="T18" s="30">
        <f t="shared" si="5"/>
        <v>0</v>
      </c>
      <c r="U18" s="31">
        <v>7216</v>
      </c>
      <c r="V18" s="31">
        <v>7216</v>
      </c>
      <c r="W18" s="30">
        <f t="shared" si="6"/>
        <v>0</v>
      </c>
      <c r="X18" s="30"/>
      <c r="Y18" s="30"/>
      <c r="Z18" s="30"/>
      <c r="AA18" s="30"/>
      <c r="AB18" s="30"/>
      <c r="AC18" s="30"/>
      <c r="AD18" s="30"/>
      <c r="AE18" s="30"/>
      <c r="AF18" s="30"/>
      <c r="AG18" s="30"/>
      <c r="AH18" s="30"/>
      <c r="AI18" s="30"/>
      <c r="AJ18" s="30"/>
      <c r="AK18" s="30"/>
      <c r="AL18" s="30"/>
      <c r="AM18" s="30"/>
      <c r="AN18" s="32"/>
      <c r="AO18" s="32"/>
      <c r="AP18" s="32"/>
      <c r="AQ18" s="32"/>
      <c r="AR18" s="32"/>
      <c r="AS18" s="32"/>
      <c r="AT18" s="32"/>
      <c r="AU18" s="32"/>
      <c r="AV18" s="32"/>
      <c r="AW18" s="32"/>
      <c r="AX18" s="32"/>
      <c r="AY18" s="32"/>
      <c r="AZ18" s="32"/>
      <c r="BA18" s="32"/>
      <c r="BB18" s="32"/>
      <c r="BC18" s="32"/>
      <c r="BD18" s="32"/>
      <c r="BE18" s="32"/>
      <c r="BF18" s="32"/>
      <c r="BG18" s="32"/>
      <c r="BH18" s="32"/>
    </row>
    <row r="19" spans="1:60">
      <c r="A19" s="28">
        <v>42461</v>
      </c>
      <c r="B19" s="29">
        <v>2016</v>
      </c>
      <c r="C19" s="30">
        <v>1903</v>
      </c>
      <c r="D19" s="30">
        <v>1903</v>
      </c>
      <c r="E19" s="30">
        <f t="shared" si="0"/>
        <v>0</v>
      </c>
      <c r="F19" s="30">
        <v>1066</v>
      </c>
      <c r="G19" s="30">
        <v>1066</v>
      </c>
      <c r="H19" s="30">
        <f t="shared" si="1"/>
        <v>0</v>
      </c>
      <c r="I19" s="30">
        <v>3185</v>
      </c>
      <c r="J19" s="30">
        <v>3185</v>
      </c>
      <c r="K19" s="30">
        <f t="shared" si="2"/>
        <v>0</v>
      </c>
      <c r="L19" s="30">
        <v>3197</v>
      </c>
      <c r="M19" s="30">
        <v>3197</v>
      </c>
      <c r="N19" s="30">
        <f t="shared" si="3"/>
        <v>0</v>
      </c>
      <c r="O19" s="30">
        <v>2593</v>
      </c>
      <c r="P19" s="30">
        <v>2593</v>
      </c>
      <c r="Q19" s="30">
        <f t="shared" si="4"/>
        <v>0</v>
      </c>
      <c r="R19" s="31">
        <v>7222</v>
      </c>
      <c r="S19" s="31">
        <v>7222</v>
      </c>
      <c r="T19" s="30">
        <f t="shared" si="5"/>
        <v>0</v>
      </c>
      <c r="U19" s="31">
        <v>7440</v>
      </c>
      <c r="V19" s="31">
        <v>7440</v>
      </c>
      <c r="W19" s="30">
        <f t="shared" si="6"/>
        <v>0</v>
      </c>
      <c r="X19" s="30"/>
      <c r="Y19" s="30"/>
      <c r="Z19" s="30"/>
      <c r="AA19" s="30"/>
      <c r="AB19" s="30"/>
      <c r="AC19" s="30"/>
      <c r="AD19" s="30"/>
      <c r="AE19" s="30"/>
      <c r="AF19" s="30"/>
      <c r="AG19" s="30"/>
      <c r="AH19" s="30"/>
      <c r="AI19" s="30"/>
      <c r="AJ19" s="30"/>
      <c r="AK19" s="30"/>
      <c r="AL19" s="30"/>
      <c r="AM19" s="30"/>
      <c r="AN19" s="32"/>
      <c r="AO19" s="32"/>
      <c r="AP19" s="32"/>
      <c r="AQ19" s="32"/>
      <c r="AR19" s="32"/>
      <c r="AS19" s="32"/>
      <c r="AT19" s="32"/>
      <c r="AU19" s="32"/>
      <c r="AV19" s="32"/>
      <c r="AW19" s="32"/>
      <c r="AX19" s="32"/>
      <c r="AY19" s="32"/>
      <c r="AZ19" s="32"/>
      <c r="BA19" s="32"/>
      <c r="BB19" s="32"/>
      <c r="BC19" s="32"/>
      <c r="BD19" s="32"/>
      <c r="BE19" s="32"/>
      <c r="BF19" s="32"/>
      <c r="BG19" s="32"/>
      <c r="BH19" s="32"/>
    </row>
    <row r="20" spans="1:60">
      <c r="A20" s="28">
        <v>42491</v>
      </c>
      <c r="B20" s="29">
        <v>2016</v>
      </c>
      <c r="C20" s="30">
        <v>2140</v>
      </c>
      <c r="D20" s="30">
        <v>2140</v>
      </c>
      <c r="E20" s="30">
        <f t="shared" si="0"/>
        <v>0</v>
      </c>
      <c r="F20" s="30">
        <v>1241</v>
      </c>
      <c r="G20" s="30">
        <v>1241</v>
      </c>
      <c r="H20" s="30">
        <f t="shared" si="1"/>
        <v>0</v>
      </c>
      <c r="I20" s="30">
        <v>3597</v>
      </c>
      <c r="J20" s="30">
        <v>3597</v>
      </c>
      <c r="K20" s="30">
        <f t="shared" si="2"/>
        <v>0</v>
      </c>
      <c r="L20" s="30">
        <v>3541</v>
      </c>
      <c r="M20" s="30">
        <v>3541</v>
      </c>
      <c r="N20" s="30">
        <f t="shared" si="3"/>
        <v>0</v>
      </c>
      <c r="O20" s="30">
        <v>2888</v>
      </c>
      <c r="P20" s="30">
        <v>2888</v>
      </c>
      <c r="Q20" s="30">
        <f t="shared" si="4"/>
        <v>0</v>
      </c>
      <c r="R20" s="31">
        <v>7440</v>
      </c>
      <c r="S20" s="31">
        <v>7440</v>
      </c>
      <c r="T20" s="30">
        <f t="shared" si="5"/>
        <v>0</v>
      </c>
      <c r="U20" s="31">
        <v>7394</v>
      </c>
      <c r="V20" s="31">
        <v>7394</v>
      </c>
      <c r="W20" s="30">
        <f t="shared" si="6"/>
        <v>0</v>
      </c>
      <c r="X20" s="30"/>
      <c r="Y20" s="30"/>
      <c r="Z20" s="30"/>
      <c r="AA20" s="30"/>
      <c r="AB20" s="30"/>
      <c r="AC20" s="30"/>
      <c r="AD20" s="30"/>
      <c r="AE20" s="30"/>
      <c r="AF20" s="30"/>
      <c r="AG20" s="30"/>
      <c r="AH20" s="30"/>
      <c r="AI20" s="30"/>
      <c r="AJ20" s="30"/>
      <c r="AK20" s="30"/>
      <c r="AL20" s="30"/>
      <c r="AM20" s="30"/>
      <c r="AN20" s="32"/>
      <c r="AO20" s="32"/>
      <c r="AP20" s="32"/>
      <c r="AQ20" s="32"/>
      <c r="AR20" s="32"/>
      <c r="AS20" s="32"/>
      <c r="AT20" s="32"/>
      <c r="AU20" s="32"/>
      <c r="AV20" s="32"/>
      <c r="AW20" s="32"/>
      <c r="AX20" s="32"/>
      <c r="AY20" s="32"/>
      <c r="AZ20" s="32"/>
      <c r="BA20" s="32"/>
      <c r="BB20" s="32"/>
      <c r="BC20" s="32"/>
      <c r="BD20" s="32"/>
      <c r="BE20" s="32"/>
      <c r="BF20" s="32"/>
      <c r="BG20" s="32"/>
      <c r="BH20" s="32"/>
    </row>
    <row r="21" spans="1:60">
      <c r="A21" s="28">
        <v>42522</v>
      </c>
      <c r="B21" s="29">
        <v>2016</v>
      </c>
      <c r="C21" s="30">
        <v>2294</v>
      </c>
      <c r="D21" s="30">
        <v>2294</v>
      </c>
      <c r="E21" s="30">
        <f t="shared" si="0"/>
        <v>0</v>
      </c>
      <c r="F21" s="30">
        <v>1114</v>
      </c>
      <c r="G21" s="30">
        <v>1114</v>
      </c>
      <c r="H21" s="30">
        <f t="shared" si="1"/>
        <v>0</v>
      </c>
      <c r="I21" s="30">
        <v>3743</v>
      </c>
      <c r="J21" s="30">
        <v>3743</v>
      </c>
      <c r="K21" s="30">
        <f t="shared" si="2"/>
        <v>0</v>
      </c>
      <c r="L21" s="30">
        <v>3691</v>
      </c>
      <c r="M21" s="30">
        <v>3691</v>
      </c>
      <c r="N21" s="30">
        <f t="shared" si="3"/>
        <v>0</v>
      </c>
      <c r="O21" s="30">
        <v>3010</v>
      </c>
      <c r="P21" s="30">
        <v>3010</v>
      </c>
      <c r="Q21" s="30">
        <f t="shared" si="4"/>
        <v>0</v>
      </c>
      <c r="R21" s="31">
        <v>7394</v>
      </c>
      <c r="S21" s="31">
        <v>7394</v>
      </c>
      <c r="T21" s="30">
        <f t="shared" si="5"/>
        <v>0</v>
      </c>
      <c r="U21" s="31">
        <v>7290</v>
      </c>
      <c r="V21" s="31">
        <v>7290</v>
      </c>
      <c r="W21" s="30">
        <f t="shared" si="6"/>
        <v>0</v>
      </c>
      <c r="X21" s="30"/>
      <c r="Y21" s="30"/>
      <c r="Z21" s="30"/>
      <c r="AA21" s="30"/>
      <c r="AB21" s="30"/>
      <c r="AC21" s="30"/>
      <c r="AD21" s="30"/>
      <c r="AE21" s="30"/>
      <c r="AF21" s="30"/>
      <c r="AG21" s="30"/>
      <c r="AH21" s="30"/>
      <c r="AI21" s="30"/>
      <c r="AJ21" s="30"/>
      <c r="AK21" s="30"/>
      <c r="AL21" s="30"/>
      <c r="AM21" s="30"/>
      <c r="AN21" s="32"/>
      <c r="AO21" s="32"/>
      <c r="AP21" s="32"/>
      <c r="AQ21" s="32"/>
      <c r="AR21" s="32"/>
      <c r="AS21" s="32"/>
      <c r="AT21" s="32"/>
      <c r="AU21" s="32"/>
      <c r="AV21" s="32"/>
      <c r="AW21" s="32"/>
      <c r="AX21" s="32"/>
      <c r="AY21" s="32"/>
      <c r="AZ21" s="32"/>
      <c r="BA21" s="32"/>
      <c r="BB21" s="32"/>
      <c r="BC21" s="32"/>
      <c r="BD21" s="32"/>
      <c r="BE21" s="32"/>
      <c r="BF21" s="32"/>
      <c r="BG21" s="32"/>
      <c r="BH21" s="32"/>
    </row>
    <row r="22" spans="1:60">
      <c r="A22" s="28">
        <v>42552</v>
      </c>
      <c r="B22" s="29">
        <v>2016</v>
      </c>
      <c r="C22" s="30">
        <v>2536</v>
      </c>
      <c r="D22" s="30">
        <v>2536</v>
      </c>
      <c r="E22" s="30">
        <f t="shared" si="0"/>
        <v>0</v>
      </c>
      <c r="F22" s="30">
        <v>1398</v>
      </c>
      <c r="G22" s="30">
        <v>1398</v>
      </c>
      <c r="H22" s="30">
        <f t="shared" si="1"/>
        <v>0</v>
      </c>
      <c r="I22" s="30">
        <v>4044</v>
      </c>
      <c r="J22" s="30">
        <v>4044</v>
      </c>
      <c r="K22" s="30">
        <f t="shared" si="2"/>
        <v>0</v>
      </c>
      <c r="L22" s="30">
        <v>4174</v>
      </c>
      <c r="M22" s="30">
        <v>4174</v>
      </c>
      <c r="N22" s="30">
        <f t="shared" si="3"/>
        <v>0</v>
      </c>
      <c r="O22" s="30">
        <v>3330</v>
      </c>
      <c r="P22" s="30">
        <v>3330</v>
      </c>
      <c r="Q22" s="30">
        <f t="shared" si="4"/>
        <v>0</v>
      </c>
      <c r="R22" s="31">
        <v>7290</v>
      </c>
      <c r="S22" s="31">
        <v>7290</v>
      </c>
      <c r="T22" s="30">
        <f t="shared" si="5"/>
        <v>0</v>
      </c>
      <c r="U22" s="31">
        <v>7266</v>
      </c>
      <c r="V22" s="31">
        <v>7266</v>
      </c>
      <c r="W22" s="30">
        <f t="shared" si="6"/>
        <v>0</v>
      </c>
      <c r="X22" s="30"/>
      <c r="Y22" s="30"/>
      <c r="Z22" s="30"/>
      <c r="AA22" s="30"/>
      <c r="AB22" s="30"/>
      <c r="AC22" s="30"/>
      <c r="AD22" s="30"/>
      <c r="AE22" s="30"/>
      <c r="AF22" s="30"/>
      <c r="AG22" s="30"/>
      <c r="AH22" s="30"/>
      <c r="AI22" s="30"/>
      <c r="AJ22" s="30"/>
      <c r="AK22" s="30"/>
      <c r="AL22" s="30"/>
      <c r="AM22" s="30"/>
      <c r="AN22" s="32"/>
      <c r="AO22" s="32"/>
      <c r="AP22" s="32"/>
      <c r="AQ22" s="32"/>
      <c r="AR22" s="32"/>
      <c r="AS22" s="32"/>
      <c r="AT22" s="32"/>
      <c r="AU22" s="32"/>
      <c r="AV22" s="32"/>
      <c r="AW22" s="32"/>
      <c r="AX22" s="32"/>
      <c r="AY22" s="32"/>
      <c r="AZ22" s="32"/>
      <c r="BA22" s="32"/>
      <c r="BB22" s="32"/>
      <c r="BC22" s="32"/>
      <c r="BD22" s="32"/>
      <c r="BE22" s="32"/>
      <c r="BF22" s="32"/>
      <c r="BG22" s="32"/>
      <c r="BH22" s="32"/>
    </row>
    <row r="23" spans="1:60">
      <c r="A23" s="28">
        <v>42583</v>
      </c>
      <c r="B23" s="29">
        <v>2016</v>
      </c>
      <c r="C23" s="30">
        <v>2283</v>
      </c>
      <c r="D23" s="30">
        <v>2283</v>
      </c>
      <c r="E23" s="30">
        <f t="shared" si="0"/>
        <v>0</v>
      </c>
      <c r="F23" s="30">
        <v>1248</v>
      </c>
      <c r="G23" s="30">
        <v>1248</v>
      </c>
      <c r="H23" s="30">
        <f t="shared" si="1"/>
        <v>0</v>
      </c>
      <c r="I23" s="30">
        <v>4242</v>
      </c>
      <c r="J23" s="30">
        <v>4242</v>
      </c>
      <c r="K23" s="30">
        <f t="shared" si="2"/>
        <v>0</v>
      </c>
      <c r="L23" s="30">
        <v>4107</v>
      </c>
      <c r="M23" s="30">
        <v>4107</v>
      </c>
      <c r="N23" s="30">
        <f t="shared" si="3"/>
        <v>0</v>
      </c>
      <c r="O23" s="30">
        <v>3290</v>
      </c>
      <c r="P23" s="30">
        <v>3290</v>
      </c>
      <c r="Q23" s="30">
        <f t="shared" si="4"/>
        <v>0</v>
      </c>
      <c r="R23" s="31">
        <v>7266</v>
      </c>
      <c r="S23" s="31">
        <v>7266</v>
      </c>
      <c r="T23" s="30">
        <f t="shared" si="5"/>
        <v>0</v>
      </c>
      <c r="U23" s="31">
        <v>7343</v>
      </c>
      <c r="V23" s="31">
        <v>7343</v>
      </c>
      <c r="W23" s="30">
        <f t="shared" si="6"/>
        <v>0</v>
      </c>
      <c r="X23" s="30"/>
      <c r="Y23" s="30"/>
      <c r="Z23" s="30"/>
      <c r="AA23" s="30"/>
      <c r="AB23" s="30"/>
      <c r="AC23" s="30"/>
      <c r="AD23" s="30"/>
      <c r="AE23" s="30"/>
      <c r="AF23" s="30"/>
      <c r="AG23" s="30"/>
      <c r="AH23" s="30"/>
      <c r="AI23" s="30"/>
      <c r="AJ23" s="30"/>
      <c r="AK23" s="30"/>
      <c r="AL23" s="30"/>
      <c r="AM23" s="30"/>
      <c r="AN23" s="32"/>
      <c r="AO23" s="32"/>
      <c r="AP23" s="32"/>
      <c r="AQ23" s="32"/>
      <c r="AR23" s="32"/>
      <c r="AS23" s="32"/>
      <c r="AT23" s="32"/>
      <c r="AU23" s="32"/>
      <c r="AV23" s="32"/>
      <c r="AW23" s="32"/>
      <c r="AX23" s="32"/>
      <c r="AY23" s="32"/>
      <c r="AZ23" s="32"/>
      <c r="BA23" s="32"/>
      <c r="BB23" s="32"/>
      <c r="BC23" s="32"/>
      <c r="BD23" s="32"/>
      <c r="BE23" s="32"/>
      <c r="BF23" s="32"/>
      <c r="BG23" s="32"/>
      <c r="BH23" s="32"/>
    </row>
    <row r="24" spans="1:60">
      <c r="A24" s="28">
        <v>42614</v>
      </c>
      <c r="B24" s="29">
        <v>2016</v>
      </c>
      <c r="C24" s="30">
        <v>2167</v>
      </c>
      <c r="D24" s="30">
        <v>2167</v>
      </c>
      <c r="E24" s="30">
        <f t="shared" si="0"/>
        <v>0</v>
      </c>
      <c r="F24" s="30">
        <v>1286</v>
      </c>
      <c r="G24" s="30">
        <v>1286</v>
      </c>
      <c r="H24" s="30">
        <f t="shared" si="1"/>
        <v>0</v>
      </c>
      <c r="I24" s="30">
        <v>3898</v>
      </c>
      <c r="J24" s="30">
        <v>3898</v>
      </c>
      <c r="K24" s="30">
        <f t="shared" si="2"/>
        <v>0</v>
      </c>
      <c r="L24" s="30">
        <v>3864</v>
      </c>
      <c r="M24" s="30">
        <v>3864</v>
      </c>
      <c r="N24" s="30">
        <f t="shared" si="3"/>
        <v>0</v>
      </c>
      <c r="O24" s="30">
        <v>3126</v>
      </c>
      <c r="P24" s="30">
        <v>3126</v>
      </c>
      <c r="Q24" s="30">
        <f t="shared" si="4"/>
        <v>0</v>
      </c>
      <c r="R24" s="31">
        <v>7343</v>
      </c>
      <c r="S24" s="31">
        <v>7343</v>
      </c>
      <c r="T24" s="30">
        <f t="shared" si="5"/>
        <v>0</v>
      </c>
      <c r="U24" s="31">
        <v>7270</v>
      </c>
      <c r="V24" s="31">
        <v>7270</v>
      </c>
      <c r="W24" s="30">
        <f t="shared" si="6"/>
        <v>0</v>
      </c>
      <c r="X24" s="30"/>
      <c r="Y24" s="30"/>
      <c r="Z24" s="30"/>
      <c r="AA24" s="30"/>
      <c r="AB24" s="30"/>
      <c r="AC24" s="30"/>
      <c r="AD24" s="30"/>
      <c r="AE24" s="30"/>
      <c r="AF24" s="30"/>
      <c r="AG24" s="30"/>
      <c r="AH24" s="30"/>
      <c r="AI24" s="30"/>
      <c r="AJ24" s="30"/>
      <c r="AK24" s="30"/>
      <c r="AL24" s="30"/>
      <c r="AM24" s="30"/>
      <c r="AN24" s="32"/>
      <c r="AO24" s="32"/>
      <c r="AP24" s="32"/>
      <c r="AQ24" s="32"/>
      <c r="AR24" s="32"/>
      <c r="AS24" s="32"/>
      <c r="AT24" s="32"/>
      <c r="AU24" s="32"/>
      <c r="AV24" s="32"/>
      <c r="AW24" s="32"/>
      <c r="AX24" s="32"/>
      <c r="AY24" s="32"/>
      <c r="AZ24" s="32"/>
      <c r="BA24" s="32"/>
      <c r="BB24" s="32"/>
      <c r="BC24" s="32"/>
      <c r="BD24" s="32"/>
      <c r="BE24" s="32"/>
      <c r="BF24" s="32"/>
      <c r="BG24" s="32"/>
      <c r="BH24" s="32"/>
    </row>
    <row r="25" spans="1:60">
      <c r="A25" s="28">
        <v>42644</v>
      </c>
      <c r="B25" s="29">
        <v>2016</v>
      </c>
      <c r="C25" s="30">
        <v>2065</v>
      </c>
      <c r="D25" s="30">
        <v>2065</v>
      </c>
      <c r="E25" s="30">
        <f t="shared" si="0"/>
        <v>0</v>
      </c>
      <c r="F25" s="30">
        <v>1246</v>
      </c>
      <c r="G25" s="30">
        <v>1246</v>
      </c>
      <c r="H25" s="30">
        <f t="shared" si="1"/>
        <v>0</v>
      </c>
      <c r="I25" s="30">
        <v>3733</v>
      </c>
      <c r="J25" s="30">
        <v>3733</v>
      </c>
      <c r="K25" s="30">
        <f t="shared" si="2"/>
        <v>0</v>
      </c>
      <c r="L25" s="30">
        <v>3668</v>
      </c>
      <c r="M25" s="30">
        <v>3668</v>
      </c>
      <c r="N25" s="30">
        <f t="shared" si="3"/>
        <v>0</v>
      </c>
      <c r="O25" s="30">
        <v>2956</v>
      </c>
      <c r="P25" s="30">
        <v>2956</v>
      </c>
      <c r="Q25" s="30">
        <f t="shared" si="4"/>
        <v>0</v>
      </c>
      <c r="R25" s="31">
        <v>7270</v>
      </c>
      <c r="S25" s="31">
        <v>7270</v>
      </c>
      <c r="T25" s="30">
        <f t="shared" si="5"/>
        <v>0</v>
      </c>
      <c r="U25" s="31">
        <v>7224</v>
      </c>
      <c r="V25" s="31">
        <v>7224</v>
      </c>
      <c r="W25" s="30">
        <f t="shared" si="6"/>
        <v>0</v>
      </c>
      <c r="X25" s="30"/>
      <c r="Y25" s="30"/>
      <c r="Z25" s="30"/>
      <c r="AA25" s="30"/>
      <c r="AB25" s="30"/>
      <c r="AC25" s="30"/>
      <c r="AD25" s="30"/>
      <c r="AE25" s="30"/>
      <c r="AF25" s="30"/>
      <c r="AG25" s="30"/>
      <c r="AH25" s="30"/>
      <c r="AI25" s="30"/>
      <c r="AJ25" s="30"/>
      <c r="AK25" s="30"/>
      <c r="AL25" s="30"/>
      <c r="AM25" s="30"/>
      <c r="AN25" s="32"/>
      <c r="AO25" s="32"/>
      <c r="AP25" s="32"/>
      <c r="AQ25" s="32"/>
      <c r="AR25" s="32"/>
      <c r="AS25" s="32"/>
      <c r="AT25" s="32"/>
      <c r="AU25" s="32"/>
      <c r="AV25" s="32"/>
      <c r="AW25" s="32"/>
      <c r="AX25" s="32"/>
      <c r="AY25" s="32"/>
      <c r="AZ25" s="32"/>
      <c r="BA25" s="32"/>
      <c r="BB25" s="32"/>
      <c r="BC25" s="32"/>
      <c r="BD25" s="32"/>
      <c r="BE25" s="32"/>
      <c r="BF25" s="32"/>
      <c r="BG25" s="32"/>
      <c r="BH25" s="32"/>
    </row>
    <row r="26" spans="1:60">
      <c r="A26" s="28">
        <v>42675</v>
      </c>
      <c r="B26" s="29">
        <v>2016</v>
      </c>
      <c r="C26" s="30">
        <v>1923</v>
      </c>
      <c r="D26" s="30">
        <v>1923</v>
      </c>
      <c r="E26" s="30">
        <f t="shared" si="0"/>
        <v>0</v>
      </c>
      <c r="F26" s="30">
        <v>1224</v>
      </c>
      <c r="G26" s="30">
        <v>1224</v>
      </c>
      <c r="H26" s="30">
        <f t="shared" si="1"/>
        <v>0</v>
      </c>
      <c r="I26" s="30">
        <v>3112</v>
      </c>
      <c r="J26" s="30">
        <v>3112</v>
      </c>
      <c r="K26" s="30">
        <f t="shared" si="2"/>
        <v>0</v>
      </c>
      <c r="L26" s="30">
        <v>3031</v>
      </c>
      <c r="M26" s="30">
        <v>3031</v>
      </c>
      <c r="N26" s="30">
        <f t="shared" si="3"/>
        <v>0</v>
      </c>
      <c r="O26" s="30">
        <v>2491</v>
      </c>
      <c r="P26" s="30">
        <v>2491</v>
      </c>
      <c r="Q26" s="30">
        <f t="shared" si="4"/>
        <v>0</v>
      </c>
      <c r="R26" s="31">
        <v>7224</v>
      </c>
      <c r="S26" s="31">
        <v>7224</v>
      </c>
      <c r="T26" s="30">
        <f t="shared" si="5"/>
        <v>0</v>
      </c>
      <c r="U26" s="31">
        <v>7492</v>
      </c>
      <c r="V26" s="31">
        <v>7492</v>
      </c>
      <c r="W26" s="30">
        <f t="shared" si="6"/>
        <v>0</v>
      </c>
      <c r="X26" s="30"/>
      <c r="Y26" s="30"/>
      <c r="Z26" s="30"/>
      <c r="AA26" s="30"/>
      <c r="AB26" s="30"/>
      <c r="AC26" s="30"/>
      <c r="AD26" s="30"/>
      <c r="AE26" s="30"/>
      <c r="AF26" s="30"/>
      <c r="AG26" s="30"/>
      <c r="AH26" s="30"/>
      <c r="AI26" s="30"/>
      <c r="AJ26" s="30"/>
      <c r="AK26" s="30"/>
      <c r="AL26" s="30"/>
      <c r="AM26" s="30"/>
      <c r="AN26" s="32"/>
      <c r="AO26" s="32"/>
      <c r="AP26" s="32"/>
      <c r="AQ26" s="32"/>
      <c r="AR26" s="32"/>
      <c r="AS26" s="32"/>
      <c r="AT26" s="32"/>
      <c r="AU26" s="32"/>
      <c r="AV26" s="32"/>
      <c r="AW26" s="32"/>
      <c r="AX26" s="32"/>
      <c r="AY26" s="32"/>
      <c r="AZ26" s="32"/>
      <c r="BA26" s="32"/>
      <c r="BB26" s="32"/>
      <c r="BC26" s="32"/>
      <c r="BD26" s="32"/>
      <c r="BE26" s="32"/>
      <c r="BF26" s="32"/>
      <c r="BG26" s="32"/>
      <c r="BH26" s="32"/>
    </row>
    <row r="27" spans="1:60">
      <c r="A27" s="28">
        <v>42705</v>
      </c>
      <c r="B27" s="29">
        <v>2016</v>
      </c>
      <c r="C27" s="30">
        <v>1520</v>
      </c>
      <c r="D27" s="30">
        <v>1520</v>
      </c>
      <c r="E27" s="30">
        <f t="shared" si="0"/>
        <v>0</v>
      </c>
      <c r="F27" s="30">
        <v>1212</v>
      </c>
      <c r="G27" s="30">
        <v>1212</v>
      </c>
      <c r="H27" s="30">
        <f t="shared" si="1"/>
        <v>0</v>
      </c>
      <c r="I27" s="30">
        <v>3033</v>
      </c>
      <c r="J27" s="30">
        <v>3033</v>
      </c>
      <c r="K27" s="30">
        <f t="shared" si="2"/>
        <v>0</v>
      </c>
      <c r="L27" s="30">
        <v>3126</v>
      </c>
      <c r="M27" s="30">
        <v>3126</v>
      </c>
      <c r="N27" s="30">
        <f t="shared" si="3"/>
        <v>0</v>
      </c>
      <c r="O27" s="30">
        <v>2558</v>
      </c>
      <c r="P27" s="30">
        <v>2558</v>
      </c>
      <c r="Q27" s="30">
        <f t="shared" si="4"/>
        <v>0</v>
      </c>
      <c r="R27" s="31">
        <v>7492</v>
      </c>
      <c r="S27" s="31">
        <v>7492</v>
      </c>
      <c r="T27" s="30">
        <f t="shared" si="5"/>
        <v>0</v>
      </c>
      <c r="U27" s="31">
        <v>7404</v>
      </c>
      <c r="V27" s="31">
        <v>7404</v>
      </c>
      <c r="W27" s="30">
        <f t="shared" si="6"/>
        <v>0</v>
      </c>
      <c r="X27" s="30"/>
      <c r="Y27" s="30"/>
      <c r="Z27" s="30"/>
      <c r="AA27" s="30"/>
      <c r="AB27" s="30"/>
      <c r="AC27" s="30"/>
      <c r="AD27" s="30"/>
      <c r="AE27" s="30"/>
      <c r="AF27" s="30"/>
      <c r="AG27" s="30"/>
      <c r="AH27" s="30"/>
      <c r="AI27" s="30"/>
      <c r="AJ27" s="30"/>
      <c r="AK27" s="30"/>
      <c r="AL27" s="30"/>
      <c r="AM27" s="30"/>
      <c r="AN27" s="32"/>
      <c r="AO27" s="32"/>
      <c r="AP27" s="32"/>
      <c r="AQ27" s="32"/>
      <c r="AR27" s="32"/>
      <c r="AS27" s="32"/>
      <c r="AT27" s="32"/>
      <c r="AU27" s="32"/>
      <c r="AV27" s="32"/>
      <c r="AW27" s="32"/>
      <c r="AX27" s="32"/>
      <c r="AY27" s="32"/>
      <c r="AZ27" s="32"/>
      <c r="BA27" s="32"/>
      <c r="BB27" s="32"/>
      <c r="BC27" s="32"/>
      <c r="BD27" s="32"/>
      <c r="BE27" s="32"/>
      <c r="BF27" s="32"/>
      <c r="BG27" s="32"/>
      <c r="BH27" s="32"/>
    </row>
    <row r="28" spans="1:60">
      <c r="A28" s="28">
        <v>42736</v>
      </c>
      <c r="B28" s="29">
        <v>2017</v>
      </c>
      <c r="C28" s="30">
        <v>1948</v>
      </c>
      <c r="D28" s="30">
        <v>1948</v>
      </c>
      <c r="E28" s="30">
        <f t="shared" si="0"/>
        <v>0</v>
      </c>
      <c r="F28" s="30">
        <v>1263</v>
      </c>
      <c r="G28" s="30">
        <v>1263</v>
      </c>
      <c r="H28" s="30">
        <f t="shared" si="1"/>
        <v>0</v>
      </c>
      <c r="I28" s="30">
        <v>3256</v>
      </c>
      <c r="J28" s="30">
        <v>3256</v>
      </c>
      <c r="K28" s="30">
        <f t="shared" si="2"/>
        <v>0</v>
      </c>
      <c r="L28" s="30">
        <v>3099</v>
      </c>
      <c r="M28" s="30">
        <v>3099</v>
      </c>
      <c r="N28" s="30">
        <f t="shared" si="3"/>
        <v>0</v>
      </c>
      <c r="O28" s="30">
        <v>2514</v>
      </c>
      <c r="P28" s="30">
        <v>2514</v>
      </c>
      <c r="Q28" s="30">
        <f t="shared" si="4"/>
        <v>0</v>
      </c>
      <c r="R28" s="31">
        <v>7483</v>
      </c>
      <c r="S28" s="31">
        <v>7483</v>
      </c>
      <c r="T28" s="30">
        <f t="shared" si="5"/>
        <v>0</v>
      </c>
      <c r="U28" s="31">
        <v>7420</v>
      </c>
      <c r="V28" s="31">
        <v>7420</v>
      </c>
      <c r="W28" s="30">
        <f t="shared" si="6"/>
        <v>0</v>
      </c>
      <c r="X28" s="30"/>
      <c r="Y28" s="30"/>
      <c r="Z28" s="30"/>
      <c r="AA28" s="30"/>
      <c r="AB28" s="30"/>
      <c r="AC28" s="30"/>
      <c r="AD28" s="30"/>
      <c r="AE28" s="30"/>
      <c r="AF28" s="30"/>
      <c r="AG28" s="30"/>
      <c r="AH28" s="30"/>
      <c r="AI28" s="30"/>
      <c r="AJ28" s="30"/>
      <c r="AK28" s="30"/>
      <c r="AL28" s="30"/>
      <c r="AM28" s="30"/>
      <c r="AN28" s="32"/>
      <c r="AO28" s="32"/>
      <c r="AP28" s="32"/>
      <c r="AQ28" s="32"/>
      <c r="AR28" s="32"/>
      <c r="AS28" s="32"/>
      <c r="AT28" s="32"/>
      <c r="AU28" s="32"/>
      <c r="AV28" s="32"/>
      <c r="AW28" s="32"/>
      <c r="AX28" s="32"/>
      <c r="AY28" s="32"/>
      <c r="AZ28" s="32"/>
      <c r="BA28" s="32"/>
      <c r="BB28" s="32"/>
      <c r="BC28" s="32"/>
      <c r="BD28" s="32"/>
      <c r="BE28" s="32"/>
      <c r="BF28" s="32"/>
      <c r="BG28" s="32"/>
      <c r="BH28" s="32"/>
    </row>
    <row r="29" spans="1:60">
      <c r="A29" s="28">
        <v>42767</v>
      </c>
      <c r="B29" s="29">
        <v>2017</v>
      </c>
      <c r="C29" s="30">
        <v>1754</v>
      </c>
      <c r="D29" s="30">
        <v>1754</v>
      </c>
      <c r="E29" s="30">
        <f t="shared" si="0"/>
        <v>0</v>
      </c>
      <c r="F29" s="30">
        <v>1013</v>
      </c>
      <c r="G29" s="30">
        <v>1013</v>
      </c>
      <c r="H29" s="30">
        <f t="shared" si="1"/>
        <v>0</v>
      </c>
      <c r="I29" s="30">
        <v>2856</v>
      </c>
      <c r="J29" s="30">
        <v>2856</v>
      </c>
      <c r="K29" s="30">
        <f t="shared" si="2"/>
        <v>0</v>
      </c>
      <c r="L29" s="30">
        <v>2787</v>
      </c>
      <c r="M29" s="30">
        <v>2787</v>
      </c>
      <c r="N29" s="30">
        <f t="shared" si="3"/>
        <v>0</v>
      </c>
      <c r="O29" s="30">
        <v>2297</v>
      </c>
      <c r="P29" s="30">
        <v>2297</v>
      </c>
      <c r="Q29" s="30">
        <f t="shared" si="4"/>
        <v>0</v>
      </c>
      <c r="R29" s="31">
        <v>7420</v>
      </c>
      <c r="S29" s="31">
        <v>7420</v>
      </c>
      <c r="T29" s="30">
        <f t="shared" si="5"/>
        <v>0</v>
      </c>
      <c r="U29" s="31">
        <v>7519</v>
      </c>
      <c r="V29" s="31">
        <v>7519</v>
      </c>
      <c r="W29" s="30">
        <f t="shared" si="6"/>
        <v>0</v>
      </c>
      <c r="X29" s="30"/>
      <c r="Y29" s="30"/>
      <c r="Z29" s="30"/>
      <c r="AA29" s="30"/>
      <c r="AB29" s="30"/>
      <c r="AC29" s="30"/>
      <c r="AD29" s="30"/>
      <c r="AE29" s="30"/>
      <c r="AF29" s="30"/>
      <c r="AG29" s="30"/>
      <c r="AH29" s="30"/>
      <c r="AI29" s="30"/>
      <c r="AJ29" s="30"/>
      <c r="AK29" s="30"/>
      <c r="AL29" s="30"/>
      <c r="AM29" s="30"/>
      <c r="AN29" s="32"/>
      <c r="AO29" s="32"/>
      <c r="AP29" s="32"/>
      <c r="AQ29" s="32"/>
      <c r="AR29" s="32"/>
      <c r="AS29" s="32"/>
      <c r="AT29" s="32"/>
      <c r="AU29" s="32"/>
      <c r="AV29" s="32"/>
      <c r="AW29" s="32"/>
      <c r="AX29" s="32"/>
      <c r="AY29" s="32"/>
      <c r="AZ29" s="32"/>
      <c r="BA29" s="32"/>
      <c r="BB29" s="32"/>
      <c r="BC29" s="32"/>
      <c r="BD29" s="32"/>
      <c r="BE29" s="32"/>
      <c r="BF29" s="32"/>
      <c r="BG29" s="32"/>
      <c r="BH29" s="32"/>
    </row>
    <row r="30" spans="1:60">
      <c r="A30" s="28">
        <v>42795</v>
      </c>
      <c r="B30" s="29">
        <v>2017</v>
      </c>
      <c r="C30" s="30">
        <v>1856</v>
      </c>
      <c r="D30" s="30">
        <v>1856</v>
      </c>
      <c r="E30" s="30">
        <f t="shared" si="0"/>
        <v>0</v>
      </c>
      <c r="F30" s="30">
        <v>1222</v>
      </c>
      <c r="G30" s="30">
        <v>1222</v>
      </c>
      <c r="H30" s="30">
        <f t="shared" si="1"/>
        <v>0</v>
      </c>
      <c r="I30" s="30">
        <v>3387</v>
      </c>
      <c r="J30" s="30">
        <v>3387</v>
      </c>
      <c r="K30" s="30">
        <f t="shared" si="2"/>
        <v>0</v>
      </c>
      <c r="L30" s="30">
        <v>3282</v>
      </c>
      <c r="M30" s="30">
        <v>3282</v>
      </c>
      <c r="N30" s="30">
        <f t="shared" si="3"/>
        <v>0</v>
      </c>
      <c r="O30" s="30">
        <v>2686</v>
      </c>
      <c r="P30" s="30">
        <v>2686</v>
      </c>
      <c r="Q30" s="30">
        <f t="shared" si="4"/>
        <v>0</v>
      </c>
      <c r="R30" s="31">
        <v>7519</v>
      </c>
      <c r="S30" s="31">
        <v>7519</v>
      </c>
      <c r="T30" s="30">
        <f t="shared" si="5"/>
        <v>0</v>
      </c>
      <c r="U30" s="31">
        <v>7432</v>
      </c>
      <c r="V30" s="31">
        <v>7432</v>
      </c>
      <c r="W30" s="30">
        <f t="shared" si="6"/>
        <v>0</v>
      </c>
      <c r="X30" s="30"/>
      <c r="Y30" s="30"/>
      <c r="Z30" s="30"/>
      <c r="AA30" s="30"/>
      <c r="AB30" s="30"/>
      <c r="AC30" s="30"/>
      <c r="AD30" s="30"/>
      <c r="AE30" s="30"/>
      <c r="AF30" s="30"/>
      <c r="AG30" s="30"/>
      <c r="AH30" s="30"/>
      <c r="AI30" s="30"/>
      <c r="AJ30" s="30"/>
      <c r="AK30" s="30"/>
      <c r="AL30" s="30"/>
      <c r="AM30" s="30"/>
      <c r="AN30" s="32"/>
      <c r="AO30" s="32"/>
      <c r="AP30" s="32"/>
      <c r="AQ30" s="32"/>
      <c r="AR30" s="32"/>
      <c r="AS30" s="32"/>
      <c r="AT30" s="32"/>
      <c r="AU30" s="32"/>
      <c r="AV30" s="32"/>
      <c r="AW30" s="32"/>
      <c r="AX30" s="32"/>
      <c r="AY30" s="32"/>
      <c r="AZ30" s="32"/>
      <c r="BA30" s="32"/>
      <c r="BB30" s="32"/>
      <c r="BC30" s="32"/>
      <c r="BD30" s="32"/>
      <c r="BE30" s="32"/>
      <c r="BF30" s="32"/>
      <c r="BG30" s="32"/>
      <c r="BH30" s="32"/>
    </row>
    <row r="31" spans="1:60">
      <c r="A31" s="28">
        <v>42826</v>
      </c>
      <c r="B31" s="29">
        <v>2017</v>
      </c>
      <c r="C31" s="30">
        <v>1904</v>
      </c>
      <c r="D31" s="30">
        <v>1904</v>
      </c>
      <c r="E31" s="30">
        <f t="shared" si="0"/>
        <v>0</v>
      </c>
      <c r="F31" s="30">
        <v>1037</v>
      </c>
      <c r="G31" s="30">
        <v>1037</v>
      </c>
      <c r="H31" s="30">
        <f t="shared" si="1"/>
        <v>0</v>
      </c>
      <c r="I31" s="30">
        <v>3522</v>
      </c>
      <c r="J31" s="30">
        <v>3522</v>
      </c>
      <c r="K31" s="30">
        <f t="shared" si="2"/>
        <v>0</v>
      </c>
      <c r="L31" s="30">
        <v>3525</v>
      </c>
      <c r="M31" s="30">
        <v>3525</v>
      </c>
      <c r="N31" s="30">
        <f t="shared" si="3"/>
        <v>0</v>
      </c>
      <c r="O31" s="30">
        <v>2832</v>
      </c>
      <c r="P31" s="30">
        <v>2832</v>
      </c>
      <c r="Q31" s="30">
        <f t="shared" si="4"/>
        <v>0</v>
      </c>
      <c r="R31" s="31">
        <v>7432</v>
      </c>
      <c r="S31" s="31">
        <v>7432</v>
      </c>
      <c r="T31" s="30">
        <f t="shared" si="5"/>
        <v>0</v>
      </c>
      <c r="U31" s="31">
        <v>7836</v>
      </c>
      <c r="V31" s="31">
        <v>7836</v>
      </c>
      <c r="W31" s="30">
        <f t="shared" si="6"/>
        <v>0</v>
      </c>
      <c r="X31" s="30"/>
      <c r="Y31" s="30"/>
      <c r="Z31" s="30"/>
      <c r="AA31" s="30"/>
      <c r="AB31" s="30"/>
      <c r="AC31" s="30"/>
      <c r="AD31" s="30"/>
      <c r="AE31" s="30"/>
      <c r="AF31" s="30"/>
      <c r="AG31" s="30"/>
      <c r="AH31" s="30"/>
      <c r="AI31" s="30"/>
      <c r="AJ31" s="30"/>
      <c r="AK31" s="30"/>
      <c r="AL31" s="30"/>
      <c r="AM31" s="30"/>
      <c r="AN31" s="32"/>
      <c r="AO31" s="32"/>
      <c r="AP31" s="32"/>
      <c r="AQ31" s="32"/>
      <c r="AR31" s="32"/>
      <c r="AS31" s="32"/>
      <c r="AT31" s="32"/>
      <c r="AU31" s="32"/>
      <c r="AV31" s="32"/>
      <c r="AW31" s="32"/>
      <c r="AX31" s="32"/>
      <c r="AY31" s="32"/>
      <c r="AZ31" s="32"/>
      <c r="BA31" s="32"/>
      <c r="BB31" s="32"/>
      <c r="BC31" s="32"/>
      <c r="BD31" s="32"/>
      <c r="BE31" s="32"/>
      <c r="BF31" s="32"/>
      <c r="BG31" s="32"/>
      <c r="BH31" s="32"/>
    </row>
    <row r="32" spans="1:60">
      <c r="A32" s="28">
        <v>42856</v>
      </c>
      <c r="B32" s="29">
        <v>2017</v>
      </c>
      <c r="C32" s="30">
        <v>2173</v>
      </c>
      <c r="D32" s="30">
        <v>2173</v>
      </c>
      <c r="E32" s="30">
        <f t="shared" si="0"/>
        <v>0</v>
      </c>
      <c r="F32" s="30">
        <v>1260</v>
      </c>
      <c r="G32" s="30">
        <v>1260</v>
      </c>
      <c r="H32" s="30">
        <f t="shared" si="1"/>
        <v>0</v>
      </c>
      <c r="I32" s="30">
        <v>3854</v>
      </c>
      <c r="J32" s="30">
        <v>3854</v>
      </c>
      <c r="K32" s="30">
        <f t="shared" si="2"/>
        <v>0</v>
      </c>
      <c r="L32" s="30">
        <v>3812</v>
      </c>
      <c r="M32" s="30">
        <v>3812</v>
      </c>
      <c r="N32" s="30">
        <f t="shared" si="3"/>
        <v>0</v>
      </c>
      <c r="O32" s="30">
        <v>3076</v>
      </c>
      <c r="P32" s="30">
        <v>3076</v>
      </c>
      <c r="Q32" s="30">
        <f t="shared" si="4"/>
        <v>0</v>
      </c>
      <c r="R32" s="31">
        <v>7657</v>
      </c>
      <c r="S32" s="31">
        <v>7657</v>
      </c>
      <c r="T32" s="30">
        <f t="shared" si="5"/>
        <v>0</v>
      </c>
      <c r="U32" s="31">
        <v>7480</v>
      </c>
      <c r="V32" s="31">
        <v>7480</v>
      </c>
      <c r="W32" s="30">
        <f t="shared" si="6"/>
        <v>0</v>
      </c>
      <c r="X32" s="30"/>
      <c r="Y32" s="30"/>
      <c r="Z32" s="30"/>
      <c r="AA32" s="30"/>
      <c r="AB32" s="30"/>
      <c r="AC32" s="30"/>
      <c r="AD32" s="30"/>
      <c r="AE32" s="30"/>
      <c r="AF32" s="30"/>
      <c r="AG32" s="30"/>
      <c r="AH32" s="30"/>
      <c r="AI32" s="30"/>
      <c r="AJ32" s="30"/>
      <c r="AK32" s="30"/>
      <c r="AL32" s="30"/>
      <c r="AM32" s="30"/>
      <c r="AN32" s="32"/>
      <c r="AO32" s="32"/>
      <c r="AP32" s="32"/>
      <c r="AQ32" s="32"/>
      <c r="AR32" s="32"/>
      <c r="AS32" s="32"/>
      <c r="AT32" s="32"/>
      <c r="AU32" s="32"/>
      <c r="AV32" s="32"/>
      <c r="AW32" s="32"/>
      <c r="AX32" s="32"/>
      <c r="AY32" s="32"/>
      <c r="AZ32" s="32"/>
      <c r="BA32" s="32"/>
      <c r="BB32" s="32"/>
      <c r="BC32" s="32"/>
      <c r="BD32" s="32"/>
      <c r="BE32" s="32"/>
      <c r="BF32" s="32"/>
      <c r="BG32" s="32"/>
      <c r="BH32" s="32"/>
    </row>
    <row r="33" spans="1:60">
      <c r="A33" s="28">
        <v>42887</v>
      </c>
      <c r="B33" s="29">
        <v>2017</v>
      </c>
      <c r="C33" s="30">
        <v>2169</v>
      </c>
      <c r="D33" s="30">
        <v>2169</v>
      </c>
      <c r="E33" s="30">
        <f t="shared" si="0"/>
        <v>0</v>
      </c>
      <c r="F33" s="30">
        <v>1238</v>
      </c>
      <c r="G33" s="30">
        <v>1238</v>
      </c>
      <c r="H33" s="30">
        <f t="shared" si="1"/>
        <v>0</v>
      </c>
      <c r="I33" s="30">
        <v>3892</v>
      </c>
      <c r="J33" s="30">
        <v>3892</v>
      </c>
      <c r="K33" s="30">
        <f t="shared" si="2"/>
        <v>0</v>
      </c>
      <c r="L33" s="30">
        <v>4074</v>
      </c>
      <c r="M33" s="30">
        <v>4074</v>
      </c>
      <c r="N33" s="30">
        <f t="shared" si="3"/>
        <v>0</v>
      </c>
      <c r="O33" s="30">
        <v>3283</v>
      </c>
      <c r="P33" s="30">
        <v>3283</v>
      </c>
      <c r="Q33" s="30">
        <f t="shared" si="4"/>
        <v>0</v>
      </c>
      <c r="R33" s="31">
        <v>7480</v>
      </c>
      <c r="S33" s="31">
        <v>7480</v>
      </c>
      <c r="T33" s="30">
        <f t="shared" si="5"/>
        <v>0</v>
      </c>
      <c r="U33" s="31">
        <v>7502</v>
      </c>
      <c r="V33" s="31">
        <v>7502</v>
      </c>
      <c r="W33" s="30">
        <f t="shared" si="6"/>
        <v>0</v>
      </c>
      <c r="X33" s="30"/>
      <c r="Y33" s="30"/>
      <c r="Z33" s="30"/>
      <c r="AA33" s="30"/>
      <c r="AB33" s="30"/>
      <c r="AC33" s="30"/>
      <c r="AD33" s="30"/>
      <c r="AE33" s="30"/>
      <c r="AF33" s="30"/>
      <c r="AG33" s="30"/>
      <c r="AH33" s="30"/>
      <c r="AI33" s="30"/>
      <c r="AJ33" s="30"/>
      <c r="AK33" s="30"/>
      <c r="AL33" s="30"/>
      <c r="AM33" s="30"/>
      <c r="AN33" s="32"/>
      <c r="AO33" s="32"/>
      <c r="AP33" s="32"/>
      <c r="AQ33" s="32"/>
      <c r="AR33" s="32"/>
      <c r="AS33" s="32"/>
      <c r="AT33" s="32"/>
      <c r="AU33" s="32"/>
      <c r="AV33" s="32"/>
      <c r="AW33" s="32"/>
      <c r="AX33" s="32"/>
      <c r="AY33" s="32"/>
      <c r="AZ33" s="32"/>
      <c r="BA33" s="32"/>
      <c r="BB33" s="32"/>
      <c r="BC33" s="32"/>
      <c r="BD33" s="32"/>
      <c r="BE33" s="32"/>
      <c r="BF33" s="32"/>
      <c r="BG33" s="32"/>
      <c r="BH33" s="32"/>
    </row>
    <row r="34" spans="1:60">
      <c r="A34" s="28">
        <v>42917</v>
      </c>
      <c r="B34" s="29">
        <v>2017</v>
      </c>
      <c r="C34" s="30">
        <v>2506</v>
      </c>
      <c r="D34" s="30">
        <v>2506</v>
      </c>
      <c r="E34" s="30">
        <f t="shared" si="0"/>
        <v>0</v>
      </c>
      <c r="F34" s="30">
        <v>1256</v>
      </c>
      <c r="G34" s="30">
        <v>1256</v>
      </c>
      <c r="H34" s="30">
        <f t="shared" si="1"/>
        <v>0</v>
      </c>
      <c r="I34" s="30">
        <v>4569</v>
      </c>
      <c r="J34" s="30">
        <v>4569</v>
      </c>
      <c r="K34" s="30">
        <f t="shared" si="2"/>
        <v>0</v>
      </c>
      <c r="L34" s="30">
        <v>4498</v>
      </c>
      <c r="M34" s="30">
        <v>4498</v>
      </c>
      <c r="N34" s="30">
        <f t="shared" si="3"/>
        <v>0</v>
      </c>
      <c r="O34" s="30">
        <v>3565</v>
      </c>
      <c r="P34" s="30">
        <v>3467</v>
      </c>
      <c r="Q34" s="30">
        <f t="shared" si="4"/>
        <v>98</v>
      </c>
      <c r="R34" s="31">
        <v>7466</v>
      </c>
      <c r="S34" s="31">
        <v>7466</v>
      </c>
      <c r="T34" s="30">
        <f t="shared" si="5"/>
        <v>0</v>
      </c>
      <c r="U34" s="31">
        <v>7699</v>
      </c>
      <c r="V34" s="31">
        <v>7699</v>
      </c>
      <c r="W34" s="30">
        <f t="shared" si="6"/>
        <v>0</v>
      </c>
      <c r="X34" s="30"/>
      <c r="Y34" s="30"/>
      <c r="Z34" s="30"/>
      <c r="AA34" s="30"/>
      <c r="AB34" s="30"/>
      <c r="AC34" s="30"/>
      <c r="AD34" s="30"/>
      <c r="AE34" s="30"/>
      <c r="AF34" s="30"/>
      <c r="AG34" s="30"/>
      <c r="AH34" s="30"/>
      <c r="AI34" s="30"/>
      <c r="AJ34" s="30"/>
      <c r="AK34" s="30"/>
      <c r="AL34" s="30"/>
      <c r="AM34" s="30"/>
      <c r="AN34" s="32"/>
      <c r="AO34" s="32"/>
      <c r="AP34" s="32"/>
      <c r="AQ34" s="32"/>
      <c r="AR34" s="32"/>
      <c r="AS34" s="32"/>
      <c r="AT34" s="32"/>
      <c r="AU34" s="32"/>
      <c r="AV34" s="32"/>
      <c r="AW34" s="32"/>
      <c r="AX34" s="32"/>
      <c r="AY34" s="32"/>
      <c r="AZ34" s="32"/>
      <c r="BA34" s="32"/>
      <c r="BB34" s="32"/>
      <c r="BC34" s="32"/>
      <c r="BD34" s="32"/>
      <c r="BE34" s="32"/>
      <c r="BF34" s="32"/>
      <c r="BG34" s="32"/>
      <c r="BH34" s="32"/>
    </row>
    <row r="35" spans="1:60">
      <c r="A35" s="28">
        <v>42948</v>
      </c>
      <c r="B35" s="29">
        <v>2017</v>
      </c>
      <c r="C35" s="30">
        <v>2314</v>
      </c>
      <c r="D35" s="30">
        <v>2314</v>
      </c>
      <c r="E35" s="30">
        <f t="shared" si="0"/>
        <v>0</v>
      </c>
      <c r="F35" s="30">
        <v>1342</v>
      </c>
      <c r="G35" s="30">
        <v>1342</v>
      </c>
      <c r="H35" s="30">
        <f t="shared" si="1"/>
        <v>0</v>
      </c>
      <c r="I35" s="30">
        <v>4321</v>
      </c>
      <c r="J35" s="30">
        <v>4321</v>
      </c>
      <c r="K35" s="30">
        <f t="shared" si="2"/>
        <v>0</v>
      </c>
      <c r="L35" s="30">
        <v>4460</v>
      </c>
      <c r="M35" s="30">
        <v>4460</v>
      </c>
      <c r="N35" s="30">
        <f t="shared" si="3"/>
        <v>0</v>
      </c>
      <c r="O35" s="30">
        <v>3566</v>
      </c>
      <c r="P35" s="30">
        <v>3566</v>
      </c>
      <c r="Q35" s="30">
        <f t="shared" si="4"/>
        <v>0</v>
      </c>
      <c r="R35" s="31">
        <v>7694</v>
      </c>
      <c r="S35" s="31">
        <v>7694</v>
      </c>
      <c r="T35" s="30">
        <f t="shared" si="5"/>
        <v>0</v>
      </c>
      <c r="U35" s="31">
        <v>7545</v>
      </c>
      <c r="V35" s="31">
        <v>7545</v>
      </c>
      <c r="W35" s="30">
        <f t="shared" si="6"/>
        <v>0</v>
      </c>
      <c r="X35" s="30"/>
      <c r="Y35" s="30"/>
      <c r="Z35" s="30"/>
      <c r="AA35" s="30"/>
      <c r="AB35" s="30"/>
      <c r="AC35" s="30"/>
      <c r="AD35" s="30"/>
      <c r="AE35" s="30"/>
      <c r="AF35" s="30"/>
      <c r="AG35" s="30"/>
      <c r="AH35" s="30"/>
      <c r="AI35" s="30"/>
      <c r="AJ35" s="30"/>
      <c r="AK35" s="30"/>
      <c r="AL35" s="30"/>
      <c r="AM35" s="30"/>
      <c r="AN35" s="32"/>
      <c r="AO35" s="32"/>
      <c r="AP35" s="32"/>
      <c r="AQ35" s="32"/>
      <c r="AR35" s="32"/>
      <c r="AS35" s="32"/>
      <c r="AT35" s="32"/>
      <c r="AU35" s="32"/>
      <c r="AV35" s="32"/>
      <c r="AW35" s="32"/>
      <c r="AX35" s="32"/>
      <c r="AY35" s="32"/>
      <c r="AZ35" s="32"/>
      <c r="BA35" s="32"/>
      <c r="BB35" s="32"/>
      <c r="BC35" s="32"/>
      <c r="BD35" s="32"/>
      <c r="BE35" s="32"/>
      <c r="BF35" s="32"/>
      <c r="BG35" s="32"/>
      <c r="BH35" s="32"/>
    </row>
    <row r="36" spans="1:60">
      <c r="A36" s="28">
        <v>42979</v>
      </c>
      <c r="B36" s="29">
        <v>2017</v>
      </c>
      <c r="C36" s="30">
        <v>2254</v>
      </c>
      <c r="D36" s="30">
        <v>2254</v>
      </c>
      <c r="E36" s="30">
        <f t="shared" si="0"/>
        <v>0</v>
      </c>
      <c r="F36" s="30">
        <v>1515</v>
      </c>
      <c r="G36" s="30">
        <v>1515</v>
      </c>
      <c r="H36" s="30">
        <f t="shared" si="1"/>
        <v>0</v>
      </c>
      <c r="I36" s="30">
        <v>4066</v>
      </c>
      <c r="J36" s="30">
        <v>4066</v>
      </c>
      <c r="K36" s="30">
        <f t="shared" si="2"/>
        <v>0</v>
      </c>
      <c r="L36" s="30">
        <v>4125</v>
      </c>
      <c r="M36" s="30">
        <v>4125</v>
      </c>
      <c r="N36" s="30">
        <f t="shared" si="3"/>
        <v>0</v>
      </c>
      <c r="O36" s="30">
        <v>3325</v>
      </c>
      <c r="P36" s="30">
        <v>3325</v>
      </c>
      <c r="Q36" s="30">
        <f t="shared" si="4"/>
        <v>0</v>
      </c>
      <c r="R36" s="31">
        <v>7545</v>
      </c>
      <c r="S36" s="31">
        <v>7545</v>
      </c>
      <c r="T36" s="30">
        <f t="shared" si="5"/>
        <v>0</v>
      </c>
      <c r="U36" s="31">
        <v>6948</v>
      </c>
      <c r="V36" s="31">
        <v>6948</v>
      </c>
      <c r="W36" s="30">
        <f t="shared" si="6"/>
        <v>0</v>
      </c>
      <c r="X36" s="30"/>
      <c r="Y36" s="30"/>
      <c r="Z36" s="30"/>
      <c r="AA36" s="30"/>
      <c r="AB36" s="30"/>
      <c r="AC36" s="30"/>
      <c r="AD36" s="30"/>
      <c r="AE36" s="30"/>
      <c r="AF36" s="30"/>
      <c r="AG36" s="30"/>
      <c r="AH36" s="30"/>
      <c r="AI36" s="30"/>
      <c r="AJ36" s="30"/>
      <c r="AK36" s="30"/>
      <c r="AL36" s="30"/>
      <c r="AM36" s="30"/>
      <c r="AN36" s="32"/>
      <c r="AO36" s="32"/>
      <c r="AP36" s="32"/>
      <c r="AQ36" s="32"/>
      <c r="AR36" s="32"/>
      <c r="AS36" s="32"/>
      <c r="AT36" s="32"/>
      <c r="AU36" s="32"/>
      <c r="AV36" s="32"/>
      <c r="AW36" s="32"/>
      <c r="AX36" s="32"/>
      <c r="AY36" s="32"/>
      <c r="AZ36" s="32"/>
      <c r="BA36" s="32"/>
      <c r="BB36" s="32"/>
      <c r="BC36" s="32"/>
      <c r="BD36" s="32"/>
      <c r="BE36" s="32"/>
      <c r="BF36" s="32"/>
      <c r="BG36" s="32"/>
      <c r="BH36" s="32"/>
    </row>
    <row r="37" spans="1:60">
      <c r="A37" s="28">
        <v>43009</v>
      </c>
      <c r="B37" s="29">
        <v>2017</v>
      </c>
      <c r="C37" s="30">
        <v>2414</v>
      </c>
      <c r="D37" s="30">
        <v>2414</v>
      </c>
      <c r="E37" s="30">
        <f t="shared" si="0"/>
        <v>0</v>
      </c>
      <c r="F37" s="30">
        <v>1402</v>
      </c>
      <c r="G37" s="30">
        <v>1402</v>
      </c>
      <c r="H37" s="30">
        <f t="shared" si="1"/>
        <v>0</v>
      </c>
      <c r="I37" s="30">
        <v>4122</v>
      </c>
      <c r="J37" s="30">
        <v>4122</v>
      </c>
      <c r="K37" s="30">
        <f t="shared" si="2"/>
        <v>0</v>
      </c>
      <c r="L37" s="30">
        <v>3924</v>
      </c>
      <c r="M37" s="30">
        <v>3924</v>
      </c>
      <c r="N37" s="30">
        <f t="shared" si="3"/>
        <v>0</v>
      </c>
      <c r="O37" s="30">
        <v>3167</v>
      </c>
      <c r="P37" s="30">
        <v>3167</v>
      </c>
      <c r="Q37" s="30">
        <f t="shared" si="4"/>
        <v>0</v>
      </c>
      <c r="R37" s="31">
        <v>6949</v>
      </c>
      <c r="S37" s="31">
        <v>6949</v>
      </c>
      <c r="T37" s="30">
        <f t="shared" si="5"/>
        <v>0</v>
      </c>
      <c r="U37" s="31">
        <v>6575</v>
      </c>
      <c r="V37" s="31">
        <v>6575</v>
      </c>
      <c r="W37" s="30">
        <f t="shared" si="6"/>
        <v>0</v>
      </c>
      <c r="X37" s="30"/>
      <c r="Y37" s="30"/>
      <c r="Z37" s="30"/>
      <c r="AA37" s="30"/>
      <c r="AB37" s="30"/>
      <c r="AC37" s="30"/>
      <c r="AD37" s="30"/>
      <c r="AE37" s="30"/>
      <c r="AF37" s="30"/>
      <c r="AG37" s="30"/>
      <c r="AH37" s="30"/>
      <c r="AI37" s="30"/>
      <c r="AJ37" s="30"/>
      <c r="AK37" s="30"/>
      <c r="AL37" s="30"/>
      <c r="AM37" s="30"/>
      <c r="AN37" s="32"/>
      <c r="AO37" s="32"/>
      <c r="AP37" s="32"/>
      <c r="AQ37" s="32"/>
      <c r="AR37" s="32"/>
      <c r="AS37" s="32"/>
      <c r="AT37" s="32"/>
      <c r="AU37" s="32"/>
      <c r="AV37" s="32"/>
      <c r="AW37" s="32"/>
      <c r="AX37" s="32"/>
      <c r="AY37" s="32"/>
      <c r="AZ37" s="32"/>
      <c r="BA37" s="32"/>
      <c r="BB37" s="32"/>
      <c r="BC37" s="32"/>
      <c r="BD37" s="32"/>
      <c r="BE37" s="32"/>
      <c r="BF37" s="32"/>
      <c r="BG37" s="32"/>
      <c r="BH37" s="32"/>
    </row>
    <row r="38" spans="1:60">
      <c r="A38" s="28">
        <v>43040</v>
      </c>
      <c r="B38" s="29">
        <v>2017</v>
      </c>
      <c r="C38" s="30">
        <v>2228</v>
      </c>
      <c r="D38" s="30">
        <v>2228</v>
      </c>
      <c r="E38" s="30">
        <f t="shared" si="0"/>
        <v>0</v>
      </c>
      <c r="F38" s="30">
        <v>1338</v>
      </c>
      <c r="G38" s="30">
        <v>1338</v>
      </c>
      <c r="H38" s="30">
        <f t="shared" si="1"/>
        <v>0</v>
      </c>
      <c r="I38" s="30">
        <v>3301</v>
      </c>
      <c r="J38" s="30">
        <v>3301</v>
      </c>
      <c r="K38" s="30">
        <f t="shared" si="2"/>
        <v>0</v>
      </c>
      <c r="L38" s="30">
        <v>3232</v>
      </c>
      <c r="M38" s="30">
        <v>3232</v>
      </c>
      <c r="N38" s="30">
        <f t="shared" si="3"/>
        <v>0</v>
      </c>
      <c r="O38" s="30">
        <v>2665</v>
      </c>
      <c r="P38" s="30">
        <v>2665</v>
      </c>
      <c r="Q38" s="30">
        <f t="shared" si="4"/>
        <v>0</v>
      </c>
      <c r="R38" s="31">
        <v>6550</v>
      </c>
      <c r="S38" s="31">
        <v>6550</v>
      </c>
      <c r="T38" s="30">
        <f t="shared" si="5"/>
        <v>0</v>
      </c>
      <c r="U38" s="31">
        <v>6764</v>
      </c>
      <c r="V38" s="31">
        <v>6764</v>
      </c>
      <c r="W38" s="30">
        <f t="shared" si="6"/>
        <v>0</v>
      </c>
      <c r="X38" s="30"/>
      <c r="Y38" s="30"/>
      <c r="Z38" s="30"/>
      <c r="AA38" s="30"/>
      <c r="AB38" s="30"/>
      <c r="AC38" s="30"/>
      <c r="AD38" s="30"/>
      <c r="AE38" s="30"/>
      <c r="AF38" s="30"/>
      <c r="AG38" s="30"/>
      <c r="AH38" s="30"/>
      <c r="AI38" s="30"/>
      <c r="AJ38" s="30"/>
      <c r="AK38" s="30"/>
      <c r="AL38" s="30"/>
      <c r="AM38" s="30"/>
      <c r="AN38" s="32"/>
      <c r="AO38" s="32"/>
      <c r="AP38" s="32"/>
      <c r="AQ38" s="32"/>
      <c r="AR38" s="32"/>
      <c r="AS38" s="32"/>
      <c r="AT38" s="32"/>
      <c r="AU38" s="32"/>
      <c r="AV38" s="32"/>
      <c r="AW38" s="32"/>
      <c r="AX38" s="32"/>
      <c r="AY38" s="32"/>
      <c r="AZ38" s="32"/>
      <c r="BA38" s="32"/>
      <c r="BB38" s="32"/>
      <c r="BC38" s="32"/>
      <c r="BD38" s="32"/>
      <c r="BE38" s="32"/>
      <c r="BF38" s="32"/>
      <c r="BG38" s="32"/>
      <c r="BH38" s="32"/>
    </row>
    <row r="39" spans="1:60">
      <c r="A39" s="28">
        <v>43070</v>
      </c>
      <c r="B39" s="29">
        <v>2017</v>
      </c>
      <c r="C39" s="30">
        <v>1895</v>
      </c>
      <c r="D39" s="30">
        <v>1895</v>
      </c>
      <c r="E39" s="30">
        <f t="shared" si="0"/>
        <v>0</v>
      </c>
      <c r="F39" s="30">
        <v>1438</v>
      </c>
      <c r="G39" s="30">
        <v>1438</v>
      </c>
      <c r="H39" s="30">
        <f t="shared" si="1"/>
        <v>0</v>
      </c>
      <c r="I39" s="30">
        <v>3201</v>
      </c>
      <c r="J39" s="30">
        <v>3201</v>
      </c>
      <c r="K39" s="30">
        <f t="shared" si="2"/>
        <v>0</v>
      </c>
      <c r="L39" s="30">
        <v>3340</v>
      </c>
      <c r="M39" s="30">
        <v>3340</v>
      </c>
      <c r="N39" s="30">
        <f t="shared" si="3"/>
        <v>0</v>
      </c>
      <c r="O39" s="30">
        <v>2695</v>
      </c>
      <c r="P39" s="30">
        <v>2695</v>
      </c>
      <c r="Q39" s="30">
        <f t="shared" si="4"/>
        <v>0</v>
      </c>
      <c r="R39" s="31">
        <v>6798</v>
      </c>
      <c r="S39" s="31">
        <v>6798</v>
      </c>
      <c r="T39" s="30">
        <f t="shared" si="5"/>
        <v>0</v>
      </c>
      <c r="U39" s="31">
        <v>6969</v>
      </c>
      <c r="V39" s="31">
        <v>6969</v>
      </c>
      <c r="W39" s="30">
        <f t="shared" si="6"/>
        <v>0</v>
      </c>
      <c r="X39" s="30"/>
      <c r="Y39" s="30"/>
      <c r="Z39" s="30"/>
      <c r="AA39" s="30"/>
      <c r="AB39" s="30"/>
      <c r="AC39" s="30"/>
      <c r="AD39" s="30"/>
      <c r="AE39" s="30"/>
      <c r="AF39" s="30"/>
      <c r="AG39" s="30"/>
      <c r="AH39" s="30"/>
      <c r="AI39" s="30"/>
      <c r="AJ39" s="30"/>
      <c r="AK39" s="30"/>
      <c r="AL39" s="30"/>
      <c r="AM39" s="30"/>
      <c r="AN39" s="32"/>
      <c r="AO39" s="32"/>
      <c r="AP39" s="32"/>
      <c r="AQ39" s="32"/>
      <c r="AR39" s="32"/>
      <c r="AS39" s="32"/>
      <c r="AT39" s="32"/>
      <c r="AU39" s="32"/>
      <c r="AV39" s="32"/>
      <c r="AW39" s="32"/>
      <c r="AX39" s="32"/>
      <c r="AY39" s="32"/>
      <c r="AZ39" s="32"/>
      <c r="BA39" s="32"/>
      <c r="BB39" s="32"/>
      <c r="BC39" s="32"/>
      <c r="BD39" s="32"/>
      <c r="BE39" s="32"/>
      <c r="BF39" s="32"/>
      <c r="BG39" s="32"/>
      <c r="BH39" s="32"/>
    </row>
    <row r="40" spans="1:60">
      <c r="A40" s="28">
        <v>43101</v>
      </c>
      <c r="B40" s="29">
        <v>2018</v>
      </c>
      <c r="C40" s="30">
        <v>2044</v>
      </c>
      <c r="D40" s="30">
        <v>2044</v>
      </c>
      <c r="E40" s="30">
        <f t="shared" si="0"/>
        <v>0</v>
      </c>
      <c r="F40" s="30">
        <v>1262</v>
      </c>
      <c r="G40" s="30">
        <v>1262</v>
      </c>
      <c r="H40" s="30">
        <f t="shared" si="1"/>
        <v>0</v>
      </c>
      <c r="I40" s="30">
        <v>3399</v>
      </c>
      <c r="J40" s="30">
        <v>3399</v>
      </c>
      <c r="K40" s="30">
        <f t="shared" si="2"/>
        <v>0</v>
      </c>
      <c r="L40" s="30">
        <v>3143</v>
      </c>
      <c r="M40" s="30">
        <v>3143</v>
      </c>
      <c r="N40" s="30">
        <f t="shared" si="3"/>
        <v>0</v>
      </c>
      <c r="O40" s="30">
        <v>2591</v>
      </c>
      <c r="P40" s="30">
        <v>2591</v>
      </c>
      <c r="Q40" s="30">
        <f t="shared" si="4"/>
        <v>0</v>
      </c>
      <c r="R40" s="31">
        <v>6806</v>
      </c>
      <c r="S40" s="31">
        <v>6806</v>
      </c>
      <c r="T40" s="30">
        <f t="shared" si="5"/>
        <v>0</v>
      </c>
      <c r="U40" s="31">
        <v>6891</v>
      </c>
      <c r="V40" s="31">
        <v>6891</v>
      </c>
      <c r="W40" s="30">
        <f t="shared" si="6"/>
        <v>0</v>
      </c>
      <c r="X40" s="30"/>
      <c r="Y40" s="30"/>
      <c r="Z40" s="30"/>
      <c r="AA40" s="30"/>
      <c r="AB40" s="30"/>
      <c r="AC40" s="30"/>
      <c r="AD40" s="30"/>
      <c r="AE40" s="30"/>
      <c r="AF40" s="30"/>
      <c r="AG40" s="30"/>
      <c r="AH40" s="30"/>
      <c r="AI40" s="30"/>
      <c r="AJ40" s="30"/>
      <c r="AK40" s="30"/>
      <c r="AL40" s="30"/>
      <c r="AM40" s="30"/>
      <c r="AN40" s="32"/>
      <c r="AO40" s="32"/>
      <c r="AP40" s="32"/>
      <c r="AQ40" s="32"/>
      <c r="AR40" s="32"/>
      <c r="AS40" s="32"/>
      <c r="AT40" s="32"/>
      <c r="AU40" s="32"/>
      <c r="AV40" s="32"/>
      <c r="AW40" s="32"/>
      <c r="AX40" s="32"/>
      <c r="AY40" s="32"/>
      <c r="AZ40" s="32"/>
      <c r="BA40" s="32"/>
      <c r="BB40" s="32"/>
      <c r="BC40" s="32"/>
      <c r="BD40" s="32"/>
      <c r="BE40" s="32"/>
      <c r="BF40" s="32"/>
      <c r="BG40" s="32"/>
      <c r="BH40" s="32"/>
    </row>
    <row r="41" spans="1:60">
      <c r="A41" s="28">
        <v>43132</v>
      </c>
      <c r="B41" s="29">
        <v>2018</v>
      </c>
      <c r="C41" s="30">
        <v>1446</v>
      </c>
      <c r="D41" s="30">
        <v>1446</v>
      </c>
      <c r="E41" s="30">
        <f t="shared" si="0"/>
        <v>0</v>
      </c>
      <c r="F41" s="30">
        <v>1399</v>
      </c>
      <c r="G41" s="30">
        <v>1399</v>
      </c>
      <c r="H41" s="30">
        <f t="shared" si="1"/>
        <v>0</v>
      </c>
      <c r="I41" s="30">
        <v>2918</v>
      </c>
      <c r="J41" s="30">
        <v>2918</v>
      </c>
      <c r="K41" s="30">
        <f t="shared" si="2"/>
        <v>0</v>
      </c>
      <c r="L41" s="30">
        <v>2991</v>
      </c>
      <c r="M41" s="30">
        <v>2991</v>
      </c>
      <c r="N41" s="30">
        <f t="shared" si="3"/>
        <v>0</v>
      </c>
      <c r="O41" s="30">
        <v>2491</v>
      </c>
      <c r="P41" s="30">
        <v>2491</v>
      </c>
      <c r="Q41" s="30">
        <f t="shared" si="4"/>
        <v>0</v>
      </c>
      <c r="R41" s="31">
        <v>6891</v>
      </c>
      <c r="S41" s="31">
        <v>6891</v>
      </c>
      <c r="T41" s="30">
        <f t="shared" si="5"/>
        <v>0</v>
      </c>
      <c r="U41" s="31">
        <v>6647</v>
      </c>
      <c r="V41" s="31">
        <v>6647</v>
      </c>
      <c r="W41" s="30">
        <f t="shared" si="6"/>
        <v>0</v>
      </c>
      <c r="X41" s="30"/>
      <c r="Y41" s="30"/>
      <c r="Z41" s="30"/>
      <c r="AA41" s="30"/>
      <c r="AB41" s="30"/>
      <c r="AC41" s="30"/>
      <c r="AD41" s="30"/>
      <c r="AE41" s="30"/>
      <c r="AF41" s="30"/>
      <c r="AG41" s="30"/>
      <c r="AH41" s="30"/>
      <c r="AI41" s="30"/>
      <c r="AJ41" s="30"/>
      <c r="AK41" s="30"/>
      <c r="AL41" s="30"/>
      <c r="AM41" s="30"/>
      <c r="AN41" s="32"/>
      <c r="AO41" s="32"/>
      <c r="AP41" s="32"/>
      <c r="AQ41" s="32"/>
      <c r="AR41" s="32"/>
      <c r="AS41" s="32"/>
      <c r="AT41" s="32"/>
      <c r="AU41" s="32"/>
      <c r="AV41" s="32"/>
      <c r="AW41" s="32"/>
      <c r="AX41" s="32"/>
      <c r="AY41" s="32"/>
      <c r="AZ41" s="32"/>
      <c r="BA41" s="32"/>
      <c r="BB41" s="32"/>
      <c r="BC41" s="32"/>
      <c r="BD41" s="32"/>
      <c r="BE41" s="32"/>
      <c r="BF41" s="32"/>
      <c r="BG41" s="32"/>
      <c r="BH41" s="32"/>
    </row>
    <row r="42" spans="1:60">
      <c r="A42" s="28">
        <v>43160</v>
      </c>
      <c r="B42" s="29">
        <v>2018</v>
      </c>
      <c r="C42" s="30">
        <v>1807</v>
      </c>
      <c r="D42" s="30">
        <v>1807</v>
      </c>
      <c r="E42" s="30">
        <f t="shared" si="0"/>
        <v>0</v>
      </c>
      <c r="F42" s="30">
        <v>1209</v>
      </c>
      <c r="G42" s="30">
        <v>1209</v>
      </c>
      <c r="H42" s="30">
        <f t="shared" si="1"/>
        <v>0</v>
      </c>
      <c r="I42" s="30">
        <v>3391</v>
      </c>
      <c r="J42" s="30">
        <v>3391</v>
      </c>
      <c r="K42" s="30">
        <f t="shared" si="2"/>
        <v>0</v>
      </c>
      <c r="L42" s="30">
        <v>3473</v>
      </c>
      <c r="M42" s="30">
        <v>3473</v>
      </c>
      <c r="N42" s="30">
        <f t="shared" si="3"/>
        <v>0</v>
      </c>
      <c r="O42" s="30">
        <v>2895</v>
      </c>
      <c r="P42" s="30">
        <v>2895</v>
      </c>
      <c r="Q42" s="30">
        <f t="shared" si="4"/>
        <v>0</v>
      </c>
      <c r="R42" s="31">
        <v>6657</v>
      </c>
      <c r="S42" s="31">
        <v>6657</v>
      </c>
      <c r="T42" s="30">
        <f t="shared" si="5"/>
        <v>0</v>
      </c>
      <c r="U42" s="31">
        <v>6680</v>
      </c>
      <c r="V42" s="31">
        <v>6680</v>
      </c>
      <c r="W42" s="30">
        <f t="shared" si="6"/>
        <v>0</v>
      </c>
      <c r="X42" s="30"/>
      <c r="Y42" s="30"/>
      <c r="Z42" s="30"/>
      <c r="AA42" s="30"/>
      <c r="AB42" s="30"/>
      <c r="AC42" s="30"/>
      <c r="AD42" s="30"/>
      <c r="AE42" s="30"/>
      <c r="AF42" s="30"/>
      <c r="AG42" s="30"/>
      <c r="AH42" s="30"/>
      <c r="AI42" s="30"/>
      <c r="AJ42" s="30"/>
      <c r="AK42" s="30"/>
      <c r="AL42" s="30"/>
      <c r="AM42" s="30"/>
      <c r="AN42" s="32"/>
      <c r="AO42" s="32"/>
      <c r="AP42" s="32"/>
      <c r="AQ42" s="32"/>
      <c r="AR42" s="32"/>
      <c r="AS42" s="32"/>
      <c r="AT42" s="32"/>
      <c r="AU42" s="32"/>
      <c r="AV42" s="32"/>
      <c r="AW42" s="32"/>
      <c r="AX42" s="32"/>
      <c r="AY42" s="32"/>
      <c r="AZ42" s="32"/>
      <c r="BA42" s="32"/>
      <c r="BB42" s="32"/>
      <c r="BC42" s="32"/>
      <c r="BD42" s="32"/>
      <c r="BE42" s="32"/>
      <c r="BF42" s="32"/>
      <c r="BG42" s="32"/>
      <c r="BH42" s="32"/>
    </row>
    <row r="43" spans="1:60">
      <c r="A43" s="28">
        <v>43191</v>
      </c>
      <c r="B43" s="29">
        <v>2018</v>
      </c>
      <c r="C43" s="30">
        <v>2178</v>
      </c>
      <c r="D43" s="30">
        <v>2178</v>
      </c>
      <c r="E43" s="30">
        <f t="shared" si="0"/>
        <v>0</v>
      </c>
      <c r="F43" s="30">
        <v>1376</v>
      </c>
      <c r="G43" s="30">
        <v>1376</v>
      </c>
      <c r="H43" s="30">
        <f t="shared" si="1"/>
        <v>0</v>
      </c>
      <c r="I43" s="30">
        <v>3764</v>
      </c>
      <c r="J43" s="30">
        <v>3764</v>
      </c>
      <c r="K43" s="30">
        <f t="shared" si="2"/>
        <v>0</v>
      </c>
      <c r="L43" s="30">
        <v>3661</v>
      </c>
      <c r="M43" s="30">
        <v>3661</v>
      </c>
      <c r="N43" s="30">
        <f t="shared" si="3"/>
        <v>0</v>
      </c>
      <c r="O43" s="30">
        <v>3079</v>
      </c>
      <c r="P43" s="30">
        <v>3079</v>
      </c>
      <c r="Q43" s="30">
        <f t="shared" si="4"/>
        <v>0</v>
      </c>
      <c r="R43" s="31">
        <v>6680</v>
      </c>
      <c r="S43" s="31">
        <v>6680</v>
      </c>
      <c r="T43" s="30">
        <f t="shared" si="5"/>
        <v>0</v>
      </c>
      <c r="U43" s="31">
        <v>6374</v>
      </c>
      <c r="V43" s="31">
        <v>6374</v>
      </c>
      <c r="W43" s="30">
        <f t="shared" si="6"/>
        <v>0</v>
      </c>
      <c r="X43" s="30"/>
      <c r="Y43" s="30"/>
      <c r="Z43" s="30"/>
      <c r="AA43" s="30"/>
      <c r="AB43" s="30"/>
      <c r="AC43" s="30"/>
      <c r="AD43" s="30"/>
      <c r="AE43" s="30"/>
      <c r="AF43" s="30"/>
      <c r="AG43" s="30"/>
      <c r="AH43" s="30"/>
      <c r="AI43" s="30"/>
      <c r="AJ43" s="30"/>
      <c r="AK43" s="30"/>
      <c r="AL43" s="30"/>
      <c r="AM43" s="30"/>
      <c r="AN43" s="32"/>
      <c r="AO43" s="32"/>
      <c r="AP43" s="32"/>
      <c r="AQ43" s="32"/>
      <c r="AR43" s="32"/>
      <c r="AS43" s="32"/>
      <c r="AT43" s="32"/>
      <c r="AU43" s="32"/>
      <c r="AV43" s="32"/>
      <c r="AW43" s="32"/>
      <c r="AX43" s="32"/>
      <c r="AY43" s="32"/>
      <c r="AZ43" s="32"/>
      <c r="BA43" s="32"/>
      <c r="BB43" s="32"/>
      <c r="BC43" s="32"/>
      <c r="BD43" s="32"/>
      <c r="BE43" s="32"/>
      <c r="BF43" s="32"/>
      <c r="BG43" s="32"/>
      <c r="BH43" s="32"/>
    </row>
    <row r="44" spans="1:60">
      <c r="A44" s="28">
        <v>43221</v>
      </c>
      <c r="B44" s="29">
        <v>2018</v>
      </c>
      <c r="C44" s="30">
        <v>2499</v>
      </c>
      <c r="D44" s="30">
        <v>2499</v>
      </c>
      <c r="E44" s="30">
        <f t="shared" si="0"/>
        <v>0</v>
      </c>
      <c r="F44" s="30">
        <v>1594</v>
      </c>
      <c r="G44" s="30">
        <v>1594</v>
      </c>
      <c r="H44" s="30">
        <f t="shared" si="1"/>
        <v>0</v>
      </c>
      <c r="I44" s="30">
        <v>4149</v>
      </c>
      <c r="J44" s="30">
        <v>4149</v>
      </c>
      <c r="K44" s="30">
        <f t="shared" si="2"/>
        <v>0</v>
      </c>
      <c r="L44" s="30">
        <v>4114</v>
      </c>
      <c r="M44" s="30">
        <v>4114</v>
      </c>
      <c r="N44" s="30">
        <f t="shared" si="3"/>
        <v>0</v>
      </c>
      <c r="O44" s="30">
        <v>3466</v>
      </c>
      <c r="P44" s="30">
        <v>3466</v>
      </c>
      <c r="Q44" s="30">
        <f t="shared" si="4"/>
        <v>0</v>
      </c>
      <c r="R44" s="31">
        <v>6374</v>
      </c>
      <c r="S44" s="31">
        <v>6374</v>
      </c>
      <c r="T44" s="30">
        <f t="shared" si="5"/>
        <v>0</v>
      </c>
      <c r="U44" s="31">
        <v>6437</v>
      </c>
      <c r="V44" s="31">
        <v>6437</v>
      </c>
      <c r="W44" s="30">
        <f t="shared" si="6"/>
        <v>0</v>
      </c>
      <c r="X44" s="30"/>
      <c r="Y44" s="30"/>
      <c r="Z44" s="30"/>
      <c r="AA44" s="30"/>
      <c r="AB44" s="30"/>
      <c r="AC44" s="30"/>
      <c r="AD44" s="30"/>
      <c r="AE44" s="30"/>
      <c r="AF44" s="30"/>
      <c r="AG44" s="30"/>
      <c r="AH44" s="30"/>
      <c r="AI44" s="30"/>
      <c r="AJ44" s="30"/>
      <c r="AK44" s="30"/>
      <c r="AL44" s="30"/>
      <c r="AM44" s="30"/>
      <c r="AN44" s="32"/>
      <c r="AO44" s="32"/>
      <c r="AP44" s="32"/>
      <c r="AQ44" s="32"/>
      <c r="AR44" s="32"/>
      <c r="AS44" s="32"/>
      <c r="AT44" s="32"/>
      <c r="AU44" s="32"/>
      <c r="AV44" s="32"/>
      <c r="AW44" s="32"/>
      <c r="AX44" s="32"/>
      <c r="AY44" s="32"/>
      <c r="AZ44" s="32"/>
      <c r="BA44" s="32"/>
      <c r="BB44" s="32"/>
      <c r="BC44" s="32"/>
      <c r="BD44" s="32"/>
      <c r="BE44" s="32"/>
      <c r="BF44" s="32"/>
      <c r="BG44" s="32"/>
      <c r="BH44" s="32"/>
    </row>
    <row r="45" spans="1:60">
      <c r="A45" s="28">
        <v>43252</v>
      </c>
      <c r="B45" s="29">
        <v>2018</v>
      </c>
      <c r="C45" s="30">
        <v>2426</v>
      </c>
      <c r="D45" s="30">
        <v>2426</v>
      </c>
      <c r="E45" s="30">
        <f t="shared" si="0"/>
        <v>0</v>
      </c>
      <c r="F45" s="30">
        <v>1279</v>
      </c>
      <c r="G45" s="30">
        <v>1279</v>
      </c>
      <c r="H45" s="30">
        <f t="shared" si="1"/>
        <v>0</v>
      </c>
      <c r="I45" s="30">
        <v>4252</v>
      </c>
      <c r="J45" s="30">
        <v>4252</v>
      </c>
      <c r="K45" s="30">
        <f t="shared" si="2"/>
        <v>0</v>
      </c>
      <c r="L45" s="30">
        <v>4307</v>
      </c>
      <c r="M45" s="30">
        <v>4307</v>
      </c>
      <c r="N45" s="30">
        <f t="shared" si="3"/>
        <v>0</v>
      </c>
      <c r="O45" s="30">
        <v>3670</v>
      </c>
      <c r="P45" s="30">
        <v>3670</v>
      </c>
      <c r="Q45" s="30">
        <f t="shared" si="4"/>
        <v>0</v>
      </c>
      <c r="R45" s="31">
        <v>6437</v>
      </c>
      <c r="S45" s="31">
        <v>6437</v>
      </c>
      <c r="T45" s="30">
        <f t="shared" si="5"/>
        <v>0</v>
      </c>
      <c r="U45" s="31">
        <v>6497</v>
      </c>
      <c r="V45" s="31">
        <v>6497</v>
      </c>
      <c r="W45" s="30">
        <f t="shared" si="6"/>
        <v>0</v>
      </c>
      <c r="X45" s="30"/>
      <c r="Y45" s="30"/>
      <c r="Z45" s="30"/>
      <c r="AA45" s="30"/>
      <c r="AB45" s="30"/>
      <c r="AC45" s="30"/>
      <c r="AD45" s="30"/>
      <c r="AE45" s="30"/>
      <c r="AF45" s="30"/>
      <c r="AG45" s="30"/>
      <c r="AH45" s="30"/>
      <c r="AI45" s="30"/>
      <c r="AJ45" s="30"/>
      <c r="AK45" s="30"/>
      <c r="AL45" s="30"/>
      <c r="AM45" s="30"/>
      <c r="AN45" s="32"/>
      <c r="AO45" s="32"/>
      <c r="AP45" s="32"/>
      <c r="AQ45" s="32"/>
      <c r="AR45" s="32"/>
      <c r="AS45" s="32"/>
      <c r="AT45" s="32"/>
      <c r="AU45" s="32"/>
      <c r="AV45" s="32"/>
      <c r="AW45" s="32"/>
      <c r="AX45" s="32"/>
      <c r="AY45" s="32"/>
      <c r="AZ45" s="32"/>
      <c r="BA45" s="32"/>
      <c r="BB45" s="32"/>
      <c r="BC45" s="32"/>
      <c r="BD45" s="32"/>
      <c r="BE45" s="32"/>
      <c r="BF45" s="32"/>
      <c r="BG45" s="32"/>
      <c r="BH45" s="32"/>
    </row>
    <row r="46" spans="1:60">
      <c r="A46" s="28">
        <v>43282</v>
      </c>
      <c r="B46" s="29">
        <v>2018</v>
      </c>
      <c r="C46" s="30">
        <v>2692</v>
      </c>
      <c r="D46" s="30">
        <v>2692</v>
      </c>
      <c r="E46" s="30">
        <f t="shared" si="0"/>
        <v>0</v>
      </c>
      <c r="F46" s="30">
        <v>1497</v>
      </c>
      <c r="G46" s="30">
        <v>1497</v>
      </c>
      <c r="H46" s="30">
        <f t="shared" si="1"/>
        <v>0</v>
      </c>
      <c r="I46" s="30">
        <v>4710</v>
      </c>
      <c r="J46" s="30">
        <v>4710</v>
      </c>
      <c r="K46" s="30">
        <f t="shared" si="2"/>
        <v>0</v>
      </c>
      <c r="L46" s="30">
        <v>4689</v>
      </c>
      <c r="M46" s="30">
        <v>4689</v>
      </c>
      <c r="N46" s="30">
        <f t="shared" si="3"/>
        <v>0</v>
      </c>
      <c r="O46" s="30">
        <v>3946</v>
      </c>
      <c r="P46" s="30">
        <v>3946</v>
      </c>
      <c r="Q46" s="30">
        <f t="shared" si="4"/>
        <v>0</v>
      </c>
      <c r="R46" s="31">
        <v>6497</v>
      </c>
      <c r="S46" s="31">
        <v>6497</v>
      </c>
      <c r="T46" s="30">
        <f t="shared" si="5"/>
        <v>0</v>
      </c>
      <c r="U46" s="31">
        <v>6553</v>
      </c>
      <c r="V46" s="31">
        <v>6553</v>
      </c>
      <c r="W46" s="30">
        <f t="shared" si="6"/>
        <v>0</v>
      </c>
      <c r="X46" s="30"/>
      <c r="Y46" s="30"/>
      <c r="Z46" s="30"/>
      <c r="AA46" s="30"/>
      <c r="AB46" s="30"/>
      <c r="AC46" s="30"/>
      <c r="AD46" s="30"/>
      <c r="AE46" s="30"/>
      <c r="AF46" s="30"/>
      <c r="AG46" s="30"/>
      <c r="AH46" s="30"/>
      <c r="AI46" s="30"/>
      <c r="AJ46" s="30"/>
      <c r="AK46" s="30"/>
      <c r="AL46" s="30"/>
      <c r="AM46" s="30"/>
      <c r="AN46" s="32"/>
      <c r="AO46" s="32"/>
      <c r="AP46" s="32"/>
      <c r="AQ46" s="32"/>
      <c r="AR46" s="32"/>
      <c r="AS46" s="32"/>
      <c r="AT46" s="32"/>
      <c r="AU46" s="32"/>
      <c r="AV46" s="32"/>
      <c r="AW46" s="32"/>
      <c r="AX46" s="32"/>
      <c r="AY46" s="32"/>
      <c r="AZ46" s="32"/>
      <c r="BA46" s="32"/>
      <c r="BB46" s="32"/>
      <c r="BC46" s="32"/>
      <c r="BD46" s="32"/>
      <c r="BE46" s="32"/>
      <c r="BF46" s="32"/>
      <c r="BG46" s="32"/>
      <c r="BH46" s="32"/>
    </row>
    <row r="47" spans="1:60">
      <c r="A47" s="28">
        <v>43313</v>
      </c>
      <c r="B47" s="29">
        <v>2018</v>
      </c>
      <c r="C47" s="30">
        <v>2670</v>
      </c>
      <c r="D47" s="30">
        <v>2670</v>
      </c>
      <c r="E47" s="30">
        <f t="shared" si="0"/>
        <v>0</v>
      </c>
      <c r="F47" s="30">
        <v>1612</v>
      </c>
      <c r="G47" s="30">
        <v>1612</v>
      </c>
      <c r="H47" s="30">
        <f t="shared" si="1"/>
        <v>0</v>
      </c>
      <c r="I47" s="30">
        <v>4634</v>
      </c>
      <c r="J47" s="30">
        <v>4634</v>
      </c>
      <c r="K47" s="30">
        <f t="shared" si="2"/>
        <v>0</v>
      </c>
      <c r="L47" s="30">
        <v>4598</v>
      </c>
      <c r="M47" s="30">
        <v>4598</v>
      </c>
      <c r="N47" s="30">
        <f t="shared" si="3"/>
        <v>0</v>
      </c>
      <c r="O47" s="30">
        <v>3877</v>
      </c>
      <c r="P47" s="30">
        <v>3877</v>
      </c>
      <c r="Q47" s="30">
        <f t="shared" si="4"/>
        <v>0</v>
      </c>
      <c r="R47" s="31">
        <v>6553</v>
      </c>
      <c r="S47" s="31">
        <v>6553</v>
      </c>
      <c r="T47" s="30">
        <f t="shared" si="5"/>
        <v>0</v>
      </c>
      <c r="U47" s="31">
        <v>6632</v>
      </c>
      <c r="V47" s="31">
        <v>6632</v>
      </c>
      <c r="W47" s="30">
        <f t="shared" si="6"/>
        <v>0</v>
      </c>
      <c r="X47" s="30"/>
      <c r="Y47" s="30"/>
      <c r="Z47" s="30"/>
      <c r="AA47" s="30"/>
      <c r="AB47" s="30"/>
      <c r="AC47" s="30"/>
      <c r="AD47" s="30"/>
      <c r="AE47" s="30"/>
      <c r="AF47" s="30"/>
      <c r="AG47" s="30"/>
      <c r="AH47" s="30"/>
      <c r="AI47" s="30"/>
      <c r="AJ47" s="30"/>
      <c r="AK47" s="30"/>
      <c r="AL47" s="30"/>
      <c r="AM47" s="30"/>
      <c r="AN47" s="32"/>
      <c r="AO47" s="32"/>
      <c r="AP47" s="32"/>
      <c r="AQ47" s="32"/>
      <c r="AR47" s="32"/>
      <c r="AS47" s="32"/>
      <c r="AT47" s="32"/>
      <c r="AU47" s="32"/>
      <c r="AV47" s="32"/>
      <c r="AW47" s="32"/>
      <c r="AX47" s="32"/>
      <c r="AY47" s="32"/>
      <c r="AZ47" s="32"/>
      <c r="BA47" s="32"/>
      <c r="BB47" s="32"/>
      <c r="BC47" s="32"/>
      <c r="BD47" s="32"/>
      <c r="BE47" s="32"/>
      <c r="BF47" s="32"/>
      <c r="BG47" s="32"/>
      <c r="BH47" s="32"/>
    </row>
    <row r="48" spans="1:60">
      <c r="A48" s="28">
        <v>43344</v>
      </c>
      <c r="B48" s="29">
        <v>2018</v>
      </c>
      <c r="C48" s="30">
        <v>2590</v>
      </c>
      <c r="D48" s="30">
        <v>2590</v>
      </c>
      <c r="E48" s="30">
        <f t="shared" si="0"/>
        <v>0</v>
      </c>
      <c r="F48" s="30">
        <v>1565</v>
      </c>
      <c r="G48" s="30">
        <v>1565</v>
      </c>
      <c r="H48" s="30">
        <f t="shared" si="1"/>
        <v>0</v>
      </c>
      <c r="I48" s="30">
        <v>4598</v>
      </c>
      <c r="J48" s="30">
        <v>4598</v>
      </c>
      <c r="K48" s="30">
        <f t="shared" si="2"/>
        <v>0</v>
      </c>
      <c r="L48" s="30">
        <v>4389</v>
      </c>
      <c r="M48" s="30">
        <v>4389</v>
      </c>
      <c r="N48" s="30">
        <f t="shared" si="3"/>
        <v>0</v>
      </c>
      <c r="O48" s="30">
        <v>3722</v>
      </c>
      <c r="P48" s="30">
        <v>3722</v>
      </c>
      <c r="Q48" s="30">
        <f t="shared" si="4"/>
        <v>0</v>
      </c>
      <c r="R48" s="31">
        <v>6632</v>
      </c>
      <c r="S48" s="31">
        <v>6632</v>
      </c>
      <c r="T48" s="30">
        <f t="shared" si="5"/>
        <v>0</v>
      </c>
      <c r="U48" s="31">
        <v>6463</v>
      </c>
      <c r="V48" s="31">
        <v>6463</v>
      </c>
      <c r="W48" s="30">
        <f t="shared" si="6"/>
        <v>0</v>
      </c>
      <c r="X48" s="30"/>
      <c r="Y48" s="30"/>
      <c r="Z48" s="30"/>
      <c r="AA48" s="30"/>
      <c r="AB48" s="30"/>
      <c r="AC48" s="30"/>
      <c r="AD48" s="30"/>
      <c r="AE48" s="30"/>
      <c r="AF48" s="30"/>
      <c r="AG48" s="30"/>
      <c r="AH48" s="30"/>
      <c r="AI48" s="30"/>
      <c r="AJ48" s="30"/>
      <c r="AK48" s="30"/>
      <c r="AL48" s="30"/>
      <c r="AM48" s="30"/>
      <c r="AN48" s="32"/>
      <c r="AO48" s="32"/>
      <c r="AP48" s="32"/>
      <c r="AQ48" s="32"/>
      <c r="AR48" s="32"/>
      <c r="AS48" s="32"/>
      <c r="AT48" s="32"/>
      <c r="AU48" s="32"/>
      <c r="AV48" s="32"/>
      <c r="AW48" s="32"/>
      <c r="AX48" s="32"/>
      <c r="AY48" s="32"/>
      <c r="AZ48" s="32"/>
      <c r="BA48" s="32"/>
      <c r="BB48" s="32"/>
      <c r="BC48" s="32"/>
      <c r="BD48" s="32"/>
      <c r="BE48" s="32"/>
      <c r="BF48" s="32"/>
      <c r="BG48" s="32"/>
      <c r="BH48" s="32"/>
    </row>
    <row r="49" spans="1:60">
      <c r="A49" s="28">
        <v>43374</v>
      </c>
      <c r="B49" s="29">
        <v>2018</v>
      </c>
      <c r="C49" s="30">
        <v>2349</v>
      </c>
      <c r="D49" s="30">
        <v>2349</v>
      </c>
      <c r="E49" s="30">
        <f t="shared" si="0"/>
        <v>0</v>
      </c>
      <c r="F49" s="30">
        <v>1560</v>
      </c>
      <c r="G49" s="30">
        <v>1560</v>
      </c>
      <c r="H49" s="30">
        <f t="shared" si="1"/>
        <v>0</v>
      </c>
      <c r="I49" s="30">
        <v>4179</v>
      </c>
      <c r="J49" s="30">
        <v>4179</v>
      </c>
      <c r="K49" s="30">
        <f t="shared" si="2"/>
        <v>0</v>
      </c>
      <c r="L49" s="30">
        <v>4155</v>
      </c>
      <c r="M49" s="30">
        <v>4155</v>
      </c>
      <c r="N49" s="30">
        <f t="shared" si="3"/>
        <v>0</v>
      </c>
      <c r="O49" s="30">
        <v>3496</v>
      </c>
      <c r="P49" s="30">
        <v>3496</v>
      </c>
      <c r="Q49" s="30">
        <f t="shared" si="4"/>
        <v>0</v>
      </c>
      <c r="R49" s="31">
        <v>6463</v>
      </c>
      <c r="S49" s="31">
        <v>6463</v>
      </c>
      <c r="T49" s="30">
        <f t="shared" si="5"/>
        <v>0</v>
      </c>
      <c r="U49" s="31">
        <v>6402</v>
      </c>
      <c r="V49" s="31">
        <v>6402</v>
      </c>
      <c r="W49" s="30">
        <f t="shared" si="6"/>
        <v>0</v>
      </c>
      <c r="X49" s="30"/>
      <c r="Y49" s="30"/>
      <c r="Z49" s="30"/>
      <c r="AA49" s="30"/>
      <c r="AB49" s="30"/>
      <c r="AC49" s="30"/>
      <c r="AD49" s="30"/>
      <c r="AE49" s="30"/>
      <c r="AF49" s="30"/>
      <c r="AG49" s="30"/>
      <c r="AH49" s="30"/>
      <c r="AI49" s="30"/>
      <c r="AJ49" s="30"/>
      <c r="AK49" s="30"/>
      <c r="AL49" s="30"/>
      <c r="AM49" s="30"/>
      <c r="AN49" s="32"/>
      <c r="AO49" s="32"/>
      <c r="AP49" s="32"/>
      <c r="AQ49" s="32"/>
      <c r="AR49" s="32"/>
      <c r="AS49" s="32"/>
      <c r="AT49" s="32"/>
      <c r="AU49" s="32"/>
      <c r="AV49" s="32"/>
      <c r="AW49" s="32"/>
      <c r="AX49" s="32"/>
      <c r="AY49" s="32"/>
      <c r="AZ49" s="32"/>
      <c r="BA49" s="32"/>
      <c r="BB49" s="32"/>
      <c r="BC49" s="32"/>
      <c r="BD49" s="32"/>
      <c r="BE49" s="32"/>
      <c r="BF49" s="32"/>
      <c r="BG49" s="32"/>
      <c r="BH49" s="32"/>
    </row>
    <row r="50" spans="1:60">
      <c r="A50" s="28">
        <v>43405</v>
      </c>
      <c r="B50" s="29">
        <v>2018</v>
      </c>
      <c r="C50" s="30">
        <v>2513</v>
      </c>
      <c r="D50" s="30">
        <v>2513</v>
      </c>
      <c r="E50" s="30">
        <f t="shared" si="0"/>
        <v>0</v>
      </c>
      <c r="F50" s="30">
        <v>1438</v>
      </c>
      <c r="G50" s="30">
        <v>1438</v>
      </c>
      <c r="H50" s="30">
        <f t="shared" si="1"/>
        <v>0</v>
      </c>
      <c r="I50" s="30">
        <v>3499</v>
      </c>
      <c r="J50" s="30">
        <v>3499</v>
      </c>
      <c r="K50" s="30">
        <f t="shared" si="2"/>
        <v>0</v>
      </c>
      <c r="L50" s="30">
        <v>3483</v>
      </c>
      <c r="M50" s="30">
        <v>3483</v>
      </c>
      <c r="N50" s="30">
        <f t="shared" si="3"/>
        <v>0</v>
      </c>
      <c r="O50" s="30">
        <v>2917</v>
      </c>
      <c r="P50" s="30">
        <v>2917</v>
      </c>
      <c r="Q50" s="30">
        <f t="shared" si="4"/>
        <v>0</v>
      </c>
      <c r="R50" s="31">
        <v>6402</v>
      </c>
      <c r="S50" s="31">
        <v>6402</v>
      </c>
      <c r="T50" s="30">
        <f t="shared" si="5"/>
        <v>0</v>
      </c>
      <c r="U50" s="31">
        <v>6744</v>
      </c>
      <c r="V50" s="31">
        <v>6744</v>
      </c>
      <c r="W50" s="30">
        <f t="shared" si="6"/>
        <v>0</v>
      </c>
      <c r="X50" s="30"/>
      <c r="Y50" s="30"/>
      <c r="Z50" s="30"/>
      <c r="AA50" s="30"/>
      <c r="AB50" s="30"/>
      <c r="AC50" s="30"/>
      <c r="AD50" s="30"/>
      <c r="AE50" s="30"/>
      <c r="AF50" s="30"/>
      <c r="AG50" s="30"/>
      <c r="AH50" s="30"/>
      <c r="AI50" s="30"/>
      <c r="AJ50" s="30"/>
      <c r="AK50" s="30"/>
      <c r="AL50" s="30"/>
      <c r="AM50" s="30"/>
      <c r="AN50" s="32"/>
      <c r="AO50" s="32"/>
      <c r="AP50" s="32"/>
      <c r="AQ50" s="32"/>
      <c r="AR50" s="32"/>
      <c r="AS50" s="32"/>
      <c r="AT50" s="32"/>
      <c r="AU50" s="32"/>
      <c r="AV50" s="32"/>
      <c r="AW50" s="32"/>
      <c r="AX50" s="32"/>
      <c r="AY50" s="32"/>
      <c r="AZ50" s="32"/>
      <c r="BA50" s="32"/>
      <c r="BB50" s="32"/>
      <c r="BC50" s="32"/>
      <c r="BD50" s="32"/>
      <c r="BE50" s="32"/>
      <c r="BF50" s="32"/>
      <c r="BG50" s="32"/>
      <c r="BH50" s="32"/>
    </row>
    <row r="51" spans="1:60">
      <c r="A51" s="28">
        <v>43435</v>
      </c>
      <c r="B51" s="29">
        <v>2018</v>
      </c>
      <c r="C51" s="30">
        <v>1789</v>
      </c>
      <c r="D51" s="30">
        <v>1789</v>
      </c>
      <c r="E51" s="30">
        <f t="shared" si="0"/>
        <v>0</v>
      </c>
      <c r="F51" s="30">
        <v>1435</v>
      </c>
      <c r="G51" s="30">
        <v>1435</v>
      </c>
      <c r="H51" s="30">
        <f t="shared" si="1"/>
        <v>0</v>
      </c>
      <c r="I51" s="30">
        <v>3373</v>
      </c>
      <c r="J51" s="30">
        <v>3373</v>
      </c>
      <c r="K51" s="30">
        <f t="shared" si="2"/>
        <v>0</v>
      </c>
      <c r="L51" s="30">
        <v>3448</v>
      </c>
      <c r="M51" s="30">
        <v>3448</v>
      </c>
      <c r="N51" s="30">
        <f t="shared" si="3"/>
        <v>0</v>
      </c>
      <c r="O51" s="30">
        <v>2892</v>
      </c>
      <c r="P51" s="30">
        <v>2892</v>
      </c>
      <c r="Q51" s="30">
        <f t="shared" si="4"/>
        <v>0</v>
      </c>
      <c r="R51" s="31">
        <v>6743</v>
      </c>
      <c r="S51" s="31">
        <v>6743</v>
      </c>
      <c r="T51" s="30">
        <f t="shared" si="5"/>
        <v>0</v>
      </c>
      <c r="U51" s="31">
        <v>6698</v>
      </c>
      <c r="V51" s="31">
        <v>6698</v>
      </c>
      <c r="W51" s="30">
        <f t="shared" si="6"/>
        <v>0</v>
      </c>
      <c r="X51" s="30"/>
      <c r="Y51" s="30"/>
      <c r="Z51" s="30"/>
      <c r="AA51" s="30"/>
      <c r="AB51" s="30"/>
      <c r="AC51" s="30"/>
      <c r="AD51" s="30"/>
      <c r="AE51" s="30"/>
      <c r="AF51" s="30"/>
      <c r="AG51" s="30"/>
      <c r="AH51" s="30"/>
      <c r="AI51" s="30"/>
      <c r="AJ51" s="30"/>
      <c r="AK51" s="30"/>
      <c r="AL51" s="30"/>
      <c r="AM51" s="30"/>
      <c r="AN51" s="32"/>
      <c r="AO51" s="32"/>
      <c r="AP51" s="32"/>
      <c r="AQ51" s="32"/>
      <c r="AR51" s="32"/>
      <c r="AS51" s="32"/>
      <c r="AT51" s="32"/>
      <c r="AU51" s="32"/>
      <c r="AV51" s="32"/>
      <c r="AW51" s="32"/>
      <c r="AX51" s="32"/>
      <c r="AY51" s="32"/>
      <c r="AZ51" s="32"/>
      <c r="BA51" s="32"/>
      <c r="BB51" s="32"/>
      <c r="BC51" s="32"/>
      <c r="BD51" s="32"/>
      <c r="BE51" s="32"/>
      <c r="BF51" s="32"/>
      <c r="BG51" s="32"/>
      <c r="BH51" s="32"/>
    </row>
    <row r="52" spans="1:60">
      <c r="A52" s="28">
        <v>43466</v>
      </c>
      <c r="B52" s="29">
        <v>2019</v>
      </c>
      <c r="C52" s="30">
        <v>2008.3810000000001</v>
      </c>
      <c r="D52" s="30">
        <v>2008.3810000000001</v>
      </c>
      <c r="E52" s="30">
        <f t="shared" si="0"/>
        <v>0</v>
      </c>
      <c r="F52" s="30">
        <v>1372.7850000000001</v>
      </c>
      <c r="G52" s="30">
        <v>1372.7850000000001</v>
      </c>
      <c r="H52" s="30">
        <f t="shared" si="1"/>
        <v>0</v>
      </c>
      <c r="I52" s="30">
        <v>3543.6469999999999</v>
      </c>
      <c r="J52" s="30">
        <v>3543.6469999999999</v>
      </c>
      <c r="K52" s="30">
        <f t="shared" si="2"/>
        <v>0</v>
      </c>
      <c r="L52" s="30">
        <v>3357.288</v>
      </c>
      <c r="M52" s="30">
        <v>3357.288</v>
      </c>
      <c r="N52" s="30">
        <f t="shared" si="3"/>
        <v>0</v>
      </c>
      <c r="O52" s="30">
        <v>2843.1579999999999</v>
      </c>
      <c r="P52" s="30">
        <v>2843.1579999999999</v>
      </c>
      <c r="Q52" s="30">
        <f t="shared" si="4"/>
        <v>0</v>
      </c>
      <c r="R52" s="31">
        <v>6712.6229999999996</v>
      </c>
      <c r="S52" s="31">
        <v>6712.6229999999996</v>
      </c>
      <c r="T52" s="30">
        <f t="shared" si="5"/>
        <v>0</v>
      </c>
      <c r="U52" s="31">
        <v>6774.7619999999997</v>
      </c>
      <c r="V52" s="31">
        <v>6774.7619999999997</v>
      </c>
      <c r="W52" s="30">
        <f t="shared" si="6"/>
        <v>0</v>
      </c>
      <c r="X52" s="30"/>
      <c r="Y52" s="30"/>
      <c r="Z52" s="30"/>
      <c r="AA52" s="30"/>
      <c r="AB52" s="30"/>
      <c r="AC52" s="30"/>
      <c r="AD52" s="30"/>
      <c r="AE52" s="30"/>
      <c r="AF52" s="30"/>
      <c r="AG52" s="30"/>
      <c r="AH52" s="30"/>
      <c r="AI52" s="30"/>
      <c r="AJ52" s="30"/>
      <c r="AK52" s="30"/>
      <c r="AL52" s="30"/>
      <c r="AM52" s="30"/>
      <c r="AN52" s="32"/>
      <c r="AO52" s="32"/>
      <c r="AP52" s="32"/>
      <c r="AQ52" s="32"/>
      <c r="AR52" s="32"/>
      <c r="AS52" s="32"/>
      <c r="AT52" s="32"/>
      <c r="AU52" s="32"/>
      <c r="AV52" s="32"/>
      <c r="AW52" s="32"/>
      <c r="AX52" s="32"/>
      <c r="AY52" s="32"/>
      <c r="AZ52" s="32"/>
      <c r="BA52" s="32"/>
      <c r="BB52" s="32"/>
      <c r="BC52" s="32"/>
      <c r="BD52" s="32"/>
      <c r="BE52" s="32"/>
      <c r="BF52" s="32"/>
      <c r="BG52" s="32"/>
      <c r="BH52" s="32"/>
    </row>
    <row r="53" spans="1:60">
      <c r="A53" s="28">
        <v>43497</v>
      </c>
      <c r="B53" s="29">
        <v>2019</v>
      </c>
      <c r="C53" s="30">
        <v>1846.31</v>
      </c>
      <c r="D53" s="30">
        <v>1846.31</v>
      </c>
      <c r="E53" s="30">
        <f t="shared" si="0"/>
        <v>0</v>
      </c>
      <c r="F53" s="30">
        <v>1444.43</v>
      </c>
      <c r="G53" s="30">
        <v>1444.43</v>
      </c>
      <c r="H53" s="30">
        <f t="shared" si="1"/>
        <v>0</v>
      </c>
      <c r="I53" s="30">
        <v>3099.576</v>
      </c>
      <c r="J53" s="30">
        <v>3099.576</v>
      </c>
      <c r="K53" s="30">
        <f t="shared" si="2"/>
        <v>0</v>
      </c>
      <c r="L53" s="30">
        <v>3107.009</v>
      </c>
      <c r="M53" s="30">
        <v>3107.009</v>
      </c>
      <c r="N53" s="30">
        <f t="shared" si="3"/>
        <v>0</v>
      </c>
      <c r="O53" s="30">
        <v>2661.788</v>
      </c>
      <c r="P53" s="30">
        <v>2661.788</v>
      </c>
      <c r="Q53" s="30">
        <f t="shared" si="4"/>
        <v>0</v>
      </c>
      <c r="R53" s="31">
        <v>6774.7619999999997</v>
      </c>
      <c r="S53" s="31">
        <v>6774.7619999999997</v>
      </c>
      <c r="T53" s="30">
        <f t="shared" si="5"/>
        <v>0</v>
      </c>
      <c r="U53" s="31">
        <v>6607.6930000000002</v>
      </c>
      <c r="V53" s="31">
        <v>6607.6930000000002</v>
      </c>
      <c r="W53" s="30">
        <f t="shared" si="6"/>
        <v>0</v>
      </c>
      <c r="X53" s="30"/>
      <c r="Y53" s="30"/>
      <c r="Z53" s="30"/>
      <c r="AA53" s="30"/>
      <c r="AB53" s="30"/>
      <c r="AC53" s="30"/>
      <c r="AD53" s="30"/>
      <c r="AE53" s="30"/>
      <c r="AF53" s="30"/>
      <c r="AG53" s="30"/>
      <c r="AH53" s="30"/>
      <c r="AI53" s="30"/>
      <c r="AJ53" s="30"/>
      <c r="AK53" s="30"/>
      <c r="AL53" s="30"/>
      <c r="AM53" s="30"/>
      <c r="AN53" s="32"/>
      <c r="AO53" s="32"/>
      <c r="AP53" s="32"/>
      <c r="AQ53" s="32"/>
      <c r="AR53" s="32"/>
      <c r="AS53" s="32"/>
      <c r="AT53" s="32"/>
      <c r="AU53" s="32"/>
      <c r="AV53" s="32"/>
      <c r="AW53" s="32"/>
      <c r="AX53" s="32"/>
      <c r="AY53" s="32"/>
      <c r="AZ53" s="32"/>
      <c r="BA53" s="32"/>
      <c r="BB53" s="32"/>
      <c r="BC53" s="32"/>
      <c r="BD53" s="32"/>
      <c r="BE53" s="32"/>
      <c r="BF53" s="32"/>
      <c r="BG53" s="32"/>
      <c r="BH53" s="32"/>
    </row>
    <row r="54" spans="1:60">
      <c r="A54" s="28">
        <v>43525</v>
      </c>
      <c r="B54" s="29">
        <v>2019</v>
      </c>
      <c r="C54" s="30">
        <v>2167.5349999999999</v>
      </c>
      <c r="D54" s="30">
        <v>2167.5349999999999</v>
      </c>
      <c r="E54" s="30">
        <f t="shared" si="0"/>
        <v>0</v>
      </c>
      <c r="F54" s="30">
        <v>1366.395</v>
      </c>
      <c r="G54" s="30">
        <v>1366.395</v>
      </c>
      <c r="H54" s="30">
        <f t="shared" si="1"/>
        <v>0</v>
      </c>
      <c r="I54" s="30">
        <v>3568.8989999999999</v>
      </c>
      <c r="J54" s="30">
        <v>3568.8989999999999</v>
      </c>
      <c r="K54" s="30">
        <f t="shared" si="2"/>
        <v>0</v>
      </c>
      <c r="L54" s="30">
        <v>3585.8919999999998</v>
      </c>
      <c r="M54" s="30">
        <v>3585.8919999999998</v>
      </c>
      <c r="N54" s="30">
        <f t="shared" si="3"/>
        <v>0</v>
      </c>
      <c r="O54" s="30">
        <v>2988.27</v>
      </c>
      <c r="P54" s="30">
        <v>2988.27</v>
      </c>
      <c r="Q54" s="30">
        <f t="shared" si="4"/>
        <v>0</v>
      </c>
      <c r="R54" s="31">
        <v>6607.6930000000002</v>
      </c>
      <c r="S54" s="31">
        <v>6607.6930000000002</v>
      </c>
      <c r="T54" s="30">
        <f t="shared" si="5"/>
        <v>0</v>
      </c>
      <c r="U54" s="31">
        <v>6861.7889999999998</v>
      </c>
      <c r="V54" s="31">
        <v>6861.7889999999998</v>
      </c>
      <c r="W54" s="30">
        <f t="shared" si="6"/>
        <v>0</v>
      </c>
      <c r="X54" s="30"/>
      <c r="Y54" s="30"/>
      <c r="Z54" s="30"/>
      <c r="AA54" s="30"/>
      <c r="AB54" s="30"/>
      <c r="AC54" s="30"/>
      <c r="AD54" s="30"/>
      <c r="AE54" s="30"/>
      <c r="AF54" s="30"/>
      <c r="AG54" s="30"/>
      <c r="AH54" s="30"/>
      <c r="AI54" s="30"/>
      <c r="AJ54" s="30"/>
      <c r="AK54" s="30"/>
      <c r="AL54" s="30"/>
      <c r="AM54" s="30"/>
      <c r="AN54" s="32"/>
      <c r="AO54" s="32"/>
      <c r="AP54" s="32"/>
      <c r="AQ54" s="32"/>
      <c r="AR54" s="32"/>
      <c r="AS54" s="32"/>
      <c r="AT54" s="32"/>
      <c r="AU54" s="32"/>
      <c r="AV54" s="32"/>
      <c r="AW54" s="32"/>
      <c r="AX54" s="32"/>
      <c r="AY54" s="32"/>
      <c r="AZ54" s="32"/>
      <c r="BA54" s="32"/>
      <c r="BB54" s="32"/>
      <c r="BC54" s="32"/>
      <c r="BD54" s="32"/>
      <c r="BE54" s="32"/>
      <c r="BF54" s="32"/>
      <c r="BG54" s="32"/>
      <c r="BH54" s="32"/>
    </row>
    <row r="55" spans="1:60">
      <c r="A55" s="28">
        <v>43556</v>
      </c>
      <c r="B55" s="29">
        <v>2019</v>
      </c>
      <c r="C55" s="30">
        <v>2551.962</v>
      </c>
      <c r="D55" s="30">
        <v>2551.962</v>
      </c>
      <c r="E55" s="30">
        <f t="shared" si="0"/>
        <v>0</v>
      </c>
      <c r="F55" s="30">
        <v>1409.1420000000001</v>
      </c>
      <c r="G55" s="30">
        <v>1409.1420000000001</v>
      </c>
      <c r="H55" s="30">
        <f t="shared" si="1"/>
        <v>0</v>
      </c>
      <c r="I55" s="30">
        <v>4007.7530000000002</v>
      </c>
      <c r="J55" s="30">
        <v>4007.7530000000002</v>
      </c>
      <c r="K55" s="30">
        <f t="shared" si="2"/>
        <v>0</v>
      </c>
      <c r="L55" s="30">
        <v>3950.26</v>
      </c>
      <c r="M55" s="30">
        <v>3950.26</v>
      </c>
      <c r="N55" s="30">
        <f t="shared" si="3"/>
        <v>0</v>
      </c>
      <c r="O55" s="30">
        <v>3289.4920000000002</v>
      </c>
      <c r="P55" s="30">
        <v>3289.4920000000002</v>
      </c>
      <c r="Q55" s="30">
        <f t="shared" si="4"/>
        <v>0</v>
      </c>
      <c r="R55" s="31">
        <v>6886.7889999999998</v>
      </c>
      <c r="S55" s="31">
        <v>6886.7889999999998</v>
      </c>
      <c r="T55" s="30">
        <f t="shared" si="5"/>
        <v>0</v>
      </c>
      <c r="U55" s="31">
        <v>7070.0069999999996</v>
      </c>
      <c r="V55" s="31">
        <v>7070.0069999999996</v>
      </c>
      <c r="W55" s="30">
        <f t="shared" si="6"/>
        <v>0</v>
      </c>
      <c r="X55" s="30"/>
      <c r="Y55" s="30"/>
      <c r="Z55" s="30"/>
      <c r="AA55" s="30"/>
      <c r="AB55" s="30"/>
      <c r="AC55" s="30"/>
      <c r="AD55" s="30"/>
      <c r="AE55" s="30"/>
      <c r="AF55" s="30"/>
      <c r="AG55" s="30"/>
      <c r="AH55" s="30"/>
      <c r="AI55" s="30"/>
      <c r="AJ55" s="30"/>
      <c r="AK55" s="30"/>
      <c r="AL55" s="30"/>
      <c r="AM55" s="30"/>
      <c r="AN55" s="32"/>
      <c r="AO55" s="32"/>
      <c r="AP55" s="32"/>
      <c r="AQ55" s="32"/>
      <c r="AR55" s="32"/>
      <c r="AS55" s="32"/>
      <c r="AT55" s="32"/>
      <c r="AU55" s="32"/>
      <c r="AV55" s="32"/>
      <c r="AW55" s="32"/>
      <c r="AX55" s="32"/>
      <c r="AY55" s="32"/>
      <c r="AZ55" s="32"/>
      <c r="BA55" s="32"/>
      <c r="BB55" s="32"/>
      <c r="BC55" s="32"/>
      <c r="BD55" s="32"/>
      <c r="BE55" s="32"/>
      <c r="BF55" s="32"/>
      <c r="BG55" s="32"/>
      <c r="BH55" s="32"/>
    </row>
    <row r="56" spans="1:60">
      <c r="A56" s="28">
        <v>43586</v>
      </c>
      <c r="B56" s="29">
        <v>2019</v>
      </c>
      <c r="C56" s="30">
        <v>2431.944</v>
      </c>
      <c r="D56" s="30">
        <v>2427.944</v>
      </c>
      <c r="E56" s="30">
        <f t="shared" si="0"/>
        <v>4</v>
      </c>
      <c r="F56" s="30">
        <v>1385.4749999999999</v>
      </c>
      <c r="G56" s="30">
        <v>1385.4749999999999</v>
      </c>
      <c r="H56" s="30">
        <f t="shared" si="1"/>
        <v>0</v>
      </c>
      <c r="I56" s="30">
        <v>4288.8280000000004</v>
      </c>
      <c r="J56" s="30">
        <v>4288.8280000000004</v>
      </c>
      <c r="K56" s="30">
        <f t="shared" si="2"/>
        <v>0</v>
      </c>
      <c r="L56" s="30">
        <v>4146.2129999999997</v>
      </c>
      <c r="M56" s="30">
        <v>4146.2129999999997</v>
      </c>
      <c r="N56" s="30">
        <f t="shared" si="3"/>
        <v>0</v>
      </c>
      <c r="O56" s="30">
        <v>3442.348</v>
      </c>
      <c r="P56" s="30">
        <v>3442.348</v>
      </c>
      <c r="Q56" s="30">
        <f t="shared" si="4"/>
        <v>0</v>
      </c>
      <c r="R56" s="31">
        <v>7070.0069999999996</v>
      </c>
      <c r="S56" s="31">
        <v>7070.0069999999996</v>
      </c>
      <c r="T56" s="30">
        <f t="shared" si="5"/>
        <v>0</v>
      </c>
      <c r="U56" s="31">
        <v>6990.9979999999996</v>
      </c>
      <c r="V56" s="31">
        <v>6986.9979999999996</v>
      </c>
      <c r="W56" s="30">
        <f t="shared" si="6"/>
        <v>4</v>
      </c>
      <c r="X56" s="30"/>
      <c r="Y56" s="30"/>
      <c r="Z56" s="30"/>
      <c r="AA56" s="30"/>
      <c r="AB56" s="30"/>
      <c r="AC56" s="30"/>
      <c r="AD56" s="30"/>
      <c r="AE56" s="30"/>
      <c r="AF56" s="30"/>
      <c r="AG56" s="30"/>
      <c r="AH56" s="30"/>
      <c r="AI56" s="30"/>
      <c r="AJ56" s="30"/>
      <c r="AK56" s="30"/>
      <c r="AL56" s="30"/>
      <c r="AM56" s="30"/>
      <c r="AN56" s="32"/>
      <c r="AO56" s="32"/>
      <c r="AP56" s="32"/>
      <c r="AQ56" s="32"/>
      <c r="AR56" s="32"/>
      <c r="AS56" s="32"/>
      <c r="AT56" s="32"/>
      <c r="AU56" s="32"/>
      <c r="AV56" s="32"/>
      <c r="AW56" s="32"/>
      <c r="AX56" s="32"/>
      <c r="AY56" s="32"/>
      <c r="AZ56" s="32"/>
      <c r="BA56" s="32"/>
      <c r="BB56" s="32"/>
      <c r="BC56" s="32"/>
      <c r="BD56" s="32"/>
      <c r="BE56" s="32"/>
      <c r="BF56" s="32"/>
      <c r="BG56" s="32"/>
      <c r="BH56" s="32"/>
    </row>
    <row r="57" spans="1:60">
      <c r="A57" s="28">
        <v>43617</v>
      </c>
      <c r="B57" s="29">
        <v>2019</v>
      </c>
      <c r="C57" s="30">
        <v>2581.056</v>
      </c>
      <c r="D57" s="30">
        <v>2581.056</v>
      </c>
      <c r="E57" s="30">
        <f t="shared" si="0"/>
        <v>0</v>
      </c>
      <c r="F57" s="30">
        <v>1453.223</v>
      </c>
      <c r="G57" s="30">
        <v>1453.223</v>
      </c>
      <c r="H57" s="30">
        <f t="shared" si="1"/>
        <v>0</v>
      </c>
      <c r="I57" s="30">
        <v>4429.99</v>
      </c>
      <c r="J57" s="30">
        <v>4428.99</v>
      </c>
      <c r="K57" s="30">
        <f t="shared" si="2"/>
        <v>1</v>
      </c>
      <c r="L57" s="30">
        <v>4421.7659999999996</v>
      </c>
      <c r="M57" s="30">
        <v>4421.7659999999996</v>
      </c>
      <c r="N57" s="30">
        <f t="shared" si="3"/>
        <v>0</v>
      </c>
      <c r="O57" s="30">
        <v>3665.962</v>
      </c>
      <c r="P57" s="30">
        <v>3665.962</v>
      </c>
      <c r="Q57" s="30">
        <f t="shared" si="4"/>
        <v>0</v>
      </c>
      <c r="R57" s="31">
        <v>6990.9979999999996</v>
      </c>
      <c r="S57" s="31">
        <v>6986.9979999999996</v>
      </c>
      <c r="T57" s="30">
        <f t="shared" si="5"/>
        <v>4</v>
      </c>
      <c r="U57" s="31">
        <v>6802.3389999999999</v>
      </c>
      <c r="V57" s="31">
        <v>6799.3389999999999</v>
      </c>
      <c r="W57" s="30">
        <f t="shared" si="6"/>
        <v>3</v>
      </c>
      <c r="X57" s="30"/>
      <c r="Y57" s="30"/>
      <c r="Z57" s="30"/>
      <c r="AA57" s="30"/>
      <c r="AB57" s="30"/>
      <c r="AC57" s="30"/>
      <c r="AD57" s="30"/>
      <c r="AE57" s="30"/>
      <c r="AF57" s="30"/>
      <c r="AG57" s="30"/>
      <c r="AH57" s="30"/>
      <c r="AI57" s="30"/>
      <c r="AJ57" s="30"/>
      <c r="AK57" s="30"/>
      <c r="AL57" s="30"/>
      <c r="AM57" s="30"/>
      <c r="AN57" s="32"/>
      <c r="AO57" s="32"/>
      <c r="AP57" s="32"/>
      <c r="AQ57" s="32"/>
      <c r="AR57" s="32"/>
      <c r="AS57" s="32"/>
      <c r="AT57" s="32"/>
      <c r="AU57" s="32"/>
      <c r="AV57" s="32"/>
      <c r="AW57" s="32"/>
      <c r="AX57" s="32"/>
      <c r="AY57" s="32"/>
      <c r="AZ57" s="32"/>
      <c r="BA57" s="32"/>
      <c r="BB57" s="32"/>
      <c r="BC57" s="32"/>
      <c r="BD57" s="32"/>
      <c r="BE57" s="32"/>
      <c r="BF57" s="32"/>
      <c r="BG57" s="32"/>
      <c r="BH57" s="32"/>
    </row>
    <row r="58" spans="1:60">
      <c r="A58" s="28">
        <v>43647</v>
      </c>
      <c r="B58" s="29">
        <v>2019</v>
      </c>
      <c r="C58" s="30">
        <v>2515.799</v>
      </c>
      <c r="D58" s="30">
        <v>2515.799</v>
      </c>
      <c r="E58" s="30">
        <f t="shared" si="0"/>
        <v>0</v>
      </c>
      <c r="F58" s="30">
        <v>1488.3869999999999</v>
      </c>
      <c r="G58" s="30">
        <v>1488.3869999999999</v>
      </c>
      <c r="H58" s="30">
        <f t="shared" si="1"/>
        <v>0</v>
      </c>
      <c r="I58" s="30">
        <v>4729.1989999999996</v>
      </c>
      <c r="J58" s="30">
        <v>4727.1989999999996</v>
      </c>
      <c r="K58" s="30">
        <f t="shared" si="2"/>
        <v>2</v>
      </c>
      <c r="L58" s="30">
        <v>4675.7179999999998</v>
      </c>
      <c r="M58" s="30">
        <v>4675.7179999999998</v>
      </c>
      <c r="N58" s="30">
        <f t="shared" si="3"/>
        <v>0</v>
      </c>
      <c r="O58" s="30">
        <v>3814.7179999999998</v>
      </c>
      <c r="P58" s="30">
        <v>3814.7179999999998</v>
      </c>
      <c r="Q58" s="30">
        <f t="shared" si="4"/>
        <v>0</v>
      </c>
      <c r="R58" s="31">
        <v>6802.3389999999999</v>
      </c>
      <c r="S58" s="31">
        <v>6799.3389999999999</v>
      </c>
      <c r="T58" s="30">
        <f t="shared" si="5"/>
        <v>3</v>
      </c>
      <c r="U58" s="31">
        <v>7009.8050000000003</v>
      </c>
      <c r="V58" s="31">
        <v>7008.8050000000003</v>
      </c>
      <c r="W58" s="30">
        <f t="shared" si="6"/>
        <v>1</v>
      </c>
      <c r="X58" s="30"/>
      <c r="Y58" s="30"/>
      <c r="Z58" s="30"/>
      <c r="AA58" s="30"/>
      <c r="AB58" s="30"/>
      <c r="AC58" s="30"/>
      <c r="AD58" s="30"/>
      <c r="AE58" s="30"/>
      <c r="AF58" s="30"/>
      <c r="AG58" s="30"/>
      <c r="AH58" s="30"/>
      <c r="AI58" s="30"/>
      <c r="AJ58" s="30"/>
      <c r="AK58" s="30"/>
      <c r="AL58" s="30"/>
      <c r="AM58" s="30"/>
      <c r="AN58" s="32"/>
      <c r="AO58" s="32"/>
      <c r="AP58" s="32"/>
      <c r="AQ58" s="32"/>
      <c r="AR58" s="32"/>
      <c r="AS58" s="32"/>
      <c r="AT58" s="32"/>
      <c r="AU58" s="32"/>
      <c r="AV58" s="32"/>
      <c r="AW58" s="32"/>
      <c r="AX58" s="32"/>
      <c r="AY58" s="32"/>
      <c r="AZ58" s="32"/>
      <c r="BA58" s="32"/>
      <c r="BB58" s="32"/>
      <c r="BC58" s="32"/>
      <c r="BD58" s="32"/>
      <c r="BE58" s="32"/>
      <c r="BF58" s="32"/>
      <c r="BG58" s="32"/>
      <c r="BH58" s="32"/>
    </row>
    <row r="59" spans="1:60">
      <c r="A59" s="28">
        <v>43678</v>
      </c>
      <c r="B59" s="29">
        <v>2019</v>
      </c>
      <c r="C59" s="30">
        <v>2518.5439999999999</v>
      </c>
      <c r="D59" s="30">
        <v>2518.5439999999999</v>
      </c>
      <c r="E59" s="30">
        <f t="shared" si="0"/>
        <v>0</v>
      </c>
      <c r="F59" s="30">
        <v>1361.7059999999999</v>
      </c>
      <c r="G59" s="30">
        <v>1361.7059999999999</v>
      </c>
      <c r="H59" s="30">
        <f t="shared" si="1"/>
        <v>0</v>
      </c>
      <c r="I59" s="30">
        <v>4821.4040000000005</v>
      </c>
      <c r="J59" s="30">
        <v>4821.4040000000005</v>
      </c>
      <c r="K59" s="30">
        <f t="shared" si="2"/>
        <v>0</v>
      </c>
      <c r="L59" s="30">
        <v>4688.7190000000001</v>
      </c>
      <c r="M59" s="30">
        <v>4688.7190000000001</v>
      </c>
      <c r="N59" s="30">
        <f t="shared" si="3"/>
        <v>0</v>
      </c>
      <c r="O59" s="30">
        <v>3832.9589999999998</v>
      </c>
      <c r="P59" s="30">
        <v>3832.9589999999998</v>
      </c>
      <c r="Q59" s="30">
        <f t="shared" si="4"/>
        <v>0</v>
      </c>
      <c r="R59" s="31">
        <v>7009.8050000000003</v>
      </c>
      <c r="S59" s="31">
        <v>7008.8050000000003</v>
      </c>
      <c r="T59" s="30">
        <f t="shared" si="5"/>
        <v>1</v>
      </c>
      <c r="U59" s="31">
        <v>7249.2250000000004</v>
      </c>
      <c r="V59" s="31">
        <v>7248.2250000000004</v>
      </c>
      <c r="W59" s="30">
        <f t="shared" si="6"/>
        <v>1</v>
      </c>
      <c r="X59" s="30"/>
      <c r="Y59" s="30"/>
      <c r="Z59" s="30"/>
      <c r="AA59" s="30"/>
      <c r="AB59" s="30"/>
      <c r="AC59" s="30"/>
      <c r="AD59" s="30"/>
      <c r="AE59" s="30"/>
      <c r="AF59" s="30"/>
      <c r="AG59" s="30"/>
      <c r="AH59" s="30"/>
      <c r="AI59" s="30"/>
      <c r="AJ59" s="30"/>
      <c r="AK59" s="30"/>
      <c r="AL59" s="30"/>
      <c r="AM59" s="30"/>
      <c r="AN59" s="32"/>
      <c r="AO59" s="32"/>
      <c r="AP59" s="32"/>
      <c r="AQ59" s="32"/>
      <c r="AR59" s="32"/>
      <c r="AS59" s="32"/>
      <c r="AT59" s="32"/>
      <c r="AU59" s="32"/>
      <c r="AV59" s="32"/>
      <c r="AW59" s="32"/>
      <c r="AX59" s="32"/>
      <c r="AY59" s="32"/>
      <c r="AZ59" s="32"/>
      <c r="BA59" s="32"/>
      <c r="BB59" s="32"/>
      <c r="BC59" s="32"/>
      <c r="BD59" s="32"/>
      <c r="BE59" s="32"/>
      <c r="BF59" s="32"/>
      <c r="BG59" s="32"/>
      <c r="BH59" s="32"/>
    </row>
    <row r="60" spans="1:60">
      <c r="A60" s="28">
        <v>43709</v>
      </c>
      <c r="B60" s="29">
        <v>2019</v>
      </c>
      <c r="C60" s="30">
        <v>2528.931</v>
      </c>
      <c r="D60" s="30">
        <v>2528.931</v>
      </c>
      <c r="E60" s="30">
        <f t="shared" si="0"/>
        <v>0</v>
      </c>
      <c r="F60" s="30">
        <v>1524.8720000000001</v>
      </c>
      <c r="G60" s="30">
        <v>1524.8720000000001</v>
      </c>
      <c r="H60" s="30">
        <f t="shared" si="1"/>
        <v>0</v>
      </c>
      <c r="I60" s="30">
        <v>4277.09</v>
      </c>
      <c r="J60" s="30">
        <v>4277.09</v>
      </c>
      <c r="K60" s="30">
        <f t="shared" si="2"/>
        <v>0</v>
      </c>
      <c r="L60" s="30">
        <v>4405.0379999999996</v>
      </c>
      <c r="M60" s="30">
        <v>4405.0379999999996</v>
      </c>
      <c r="N60" s="30">
        <f t="shared" si="3"/>
        <v>0</v>
      </c>
      <c r="O60" s="30">
        <v>3642.1750000000002</v>
      </c>
      <c r="P60" s="30">
        <v>3642.1750000000002</v>
      </c>
      <c r="Q60" s="30">
        <f t="shared" si="4"/>
        <v>0</v>
      </c>
      <c r="R60" s="31">
        <v>7249.2250000000004</v>
      </c>
      <c r="S60" s="31">
        <v>7248.2250000000004</v>
      </c>
      <c r="T60" s="30">
        <f t="shared" si="5"/>
        <v>1</v>
      </c>
      <c r="U60" s="31">
        <v>7303.4669999999996</v>
      </c>
      <c r="V60" s="31">
        <v>7302.4669999999996</v>
      </c>
      <c r="W60" s="30">
        <f t="shared" si="6"/>
        <v>1</v>
      </c>
      <c r="X60" s="30"/>
      <c r="Y60" s="30"/>
      <c r="Z60" s="30"/>
      <c r="AA60" s="30"/>
      <c r="AB60" s="30"/>
      <c r="AC60" s="30"/>
      <c r="AD60" s="30"/>
      <c r="AE60" s="30"/>
      <c r="AF60" s="30"/>
      <c r="AG60" s="30"/>
      <c r="AH60" s="30"/>
      <c r="AI60" s="30"/>
      <c r="AJ60" s="30"/>
      <c r="AK60" s="30"/>
      <c r="AL60" s="30"/>
      <c r="AM60" s="30"/>
      <c r="AN60" s="32"/>
      <c r="AO60" s="32"/>
      <c r="AP60" s="32"/>
      <c r="AQ60" s="32"/>
      <c r="AR60" s="32"/>
      <c r="AS60" s="32"/>
      <c r="AT60" s="32"/>
      <c r="AU60" s="32"/>
      <c r="AV60" s="32"/>
      <c r="AW60" s="32"/>
      <c r="AX60" s="32"/>
      <c r="AY60" s="32"/>
      <c r="AZ60" s="32"/>
      <c r="BA60" s="32"/>
      <c r="BB60" s="32"/>
      <c r="BC60" s="32"/>
      <c r="BD60" s="32"/>
      <c r="BE60" s="32"/>
      <c r="BF60" s="32"/>
      <c r="BG60" s="32"/>
      <c r="BH60" s="32"/>
    </row>
    <row r="61" spans="1:60">
      <c r="A61" s="28">
        <v>43739</v>
      </c>
      <c r="B61" s="29">
        <v>2019</v>
      </c>
      <c r="C61" s="30">
        <v>2349.9450000000002</v>
      </c>
      <c r="D61" s="30">
        <v>2349.9450000000002</v>
      </c>
      <c r="E61" s="30">
        <f t="shared" si="0"/>
        <v>0</v>
      </c>
      <c r="F61" s="30">
        <v>1629.998</v>
      </c>
      <c r="G61" s="30">
        <v>1629.998</v>
      </c>
      <c r="H61" s="30">
        <f t="shared" si="1"/>
        <v>0</v>
      </c>
      <c r="I61" s="30">
        <v>4145.2389999999996</v>
      </c>
      <c r="J61" s="30">
        <v>4145.2389999999996</v>
      </c>
      <c r="K61" s="30">
        <f t="shared" si="2"/>
        <v>0</v>
      </c>
      <c r="L61" s="30">
        <v>4191.2240000000002</v>
      </c>
      <c r="M61" s="30">
        <v>4191.2240000000002</v>
      </c>
      <c r="N61" s="30">
        <f t="shared" si="3"/>
        <v>0</v>
      </c>
      <c r="O61" s="30">
        <v>3493.0839999999998</v>
      </c>
      <c r="P61" s="30">
        <v>3493.0839999999998</v>
      </c>
      <c r="Q61" s="30">
        <f t="shared" si="4"/>
        <v>0</v>
      </c>
      <c r="R61" s="31">
        <v>7303.5720000000001</v>
      </c>
      <c r="S61" s="31">
        <v>7302.5720000000001</v>
      </c>
      <c r="T61" s="30">
        <f t="shared" si="5"/>
        <v>1</v>
      </c>
      <c r="U61" s="31">
        <v>6994.1419999999998</v>
      </c>
      <c r="V61" s="31">
        <v>6993.1419999999998</v>
      </c>
      <c r="W61" s="30">
        <f t="shared" si="6"/>
        <v>1</v>
      </c>
      <c r="X61" s="30"/>
      <c r="Y61" s="30"/>
      <c r="Z61" s="30"/>
      <c r="AA61" s="30"/>
      <c r="AB61" s="30"/>
      <c r="AC61" s="30"/>
      <c r="AD61" s="30"/>
      <c r="AE61" s="30"/>
      <c r="AF61" s="30"/>
      <c r="AG61" s="30"/>
      <c r="AH61" s="30"/>
      <c r="AI61" s="30"/>
      <c r="AJ61" s="30"/>
      <c r="AK61" s="30"/>
      <c r="AL61" s="30"/>
      <c r="AM61" s="30"/>
      <c r="AN61" s="32"/>
      <c r="AO61" s="32"/>
      <c r="AP61" s="32"/>
      <c r="AQ61" s="32"/>
      <c r="AR61" s="32"/>
      <c r="AS61" s="32"/>
      <c r="AT61" s="32"/>
      <c r="AU61" s="32"/>
      <c r="AV61" s="32"/>
      <c r="AW61" s="32"/>
      <c r="AX61" s="32"/>
      <c r="AY61" s="32"/>
      <c r="AZ61" s="32"/>
      <c r="BA61" s="32"/>
      <c r="BB61" s="32"/>
      <c r="BC61" s="32"/>
      <c r="BD61" s="32"/>
      <c r="BE61" s="32"/>
      <c r="BF61" s="32"/>
      <c r="BG61" s="32"/>
      <c r="BH61" s="32"/>
    </row>
    <row r="62" spans="1:60">
      <c r="A62" s="28">
        <v>43770</v>
      </c>
      <c r="B62" s="29">
        <v>2019</v>
      </c>
      <c r="C62" s="30">
        <v>2282.25</v>
      </c>
      <c r="D62" s="30">
        <v>2282.25</v>
      </c>
      <c r="E62" s="30">
        <f t="shared" si="0"/>
        <v>0</v>
      </c>
      <c r="F62" s="30">
        <v>1251.471</v>
      </c>
      <c r="G62" s="30">
        <v>1251.471</v>
      </c>
      <c r="H62" s="30">
        <f t="shared" si="1"/>
        <v>0</v>
      </c>
      <c r="I62" s="30">
        <v>3650.0709999999999</v>
      </c>
      <c r="J62" s="30">
        <v>3650.0709999999999</v>
      </c>
      <c r="K62" s="30">
        <f t="shared" si="2"/>
        <v>0</v>
      </c>
      <c r="L62" s="30">
        <v>3401.9589999999998</v>
      </c>
      <c r="M62" s="30">
        <v>3401.9589999999998</v>
      </c>
      <c r="N62" s="30">
        <f t="shared" si="3"/>
        <v>0</v>
      </c>
      <c r="O62" s="30">
        <v>2878.5279999999998</v>
      </c>
      <c r="P62" s="30">
        <v>2878.5279999999998</v>
      </c>
      <c r="Q62" s="30">
        <f t="shared" si="4"/>
        <v>0</v>
      </c>
      <c r="R62" s="31">
        <v>7079.1419999999998</v>
      </c>
      <c r="S62" s="31">
        <v>7078.1419999999998</v>
      </c>
      <c r="T62" s="30">
        <f t="shared" si="5"/>
        <v>1</v>
      </c>
      <c r="U62" s="31">
        <v>7265.9430000000002</v>
      </c>
      <c r="V62" s="31">
        <v>7264.9430000000002</v>
      </c>
      <c r="W62" s="30">
        <f t="shared" si="6"/>
        <v>1</v>
      </c>
      <c r="X62" s="30"/>
      <c r="Y62" s="30"/>
      <c r="Z62" s="30"/>
      <c r="AA62" s="30"/>
      <c r="AB62" s="30"/>
      <c r="AC62" s="30"/>
      <c r="AD62" s="30"/>
      <c r="AE62" s="30"/>
      <c r="AF62" s="30"/>
      <c r="AG62" s="30"/>
      <c r="AH62" s="30"/>
      <c r="AI62" s="30"/>
      <c r="AJ62" s="30"/>
      <c r="AK62" s="30"/>
      <c r="AL62" s="30"/>
      <c r="AM62" s="30"/>
      <c r="AN62" s="32"/>
      <c r="AO62" s="32"/>
      <c r="AP62" s="32"/>
      <c r="AQ62" s="32"/>
      <c r="AR62" s="32"/>
      <c r="AS62" s="32"/>
      <c r="AT62" s="32"/>
      <c r="AU62" s="32"/>
      <c r="AV62" s="32"/>
      <c r="AW62" s="32"/>
      <c r="AX62" s="32"/>
      <c r="AY62" s="32"/>
      <c r="AZ62" s="32"/>
      <c r="BA62" s="32"/>
      <c r="BB62" s="32"/>
      <c r="BC62" s="32"/>
      <c r="BD62" s="32"/>
      <c r="BE62" s="32"/>
      <c r="BF62" s="32"/>
      <c r="BG62" s="32"/>
      <c r="BH62" s="32"/>
    </row>
    <row r="63" spans="1:60">
      <c r="A63" s="28">
        <v>43800</v>
      </c>
      <c r="B63" s="29">
        <v>2019</v>
      </c>
      <c r="C63" s="30">
        <v>2234.9580000000001</v>
      </c>
      <c r="D63" s="30">
        <v>2234.9580000000001</v>
      </c>
      <c r="E63" s="30">
        <f t="shared" si="0"/>
        <v>0</v>
      </c>
      <c r="F63" s="30">
        <v>1550.057</v>
      </c>
      <c r="G63" s="30">
        <v>1550.057</v>
      </c>
      <c r="H63" s="30">
        <f t="shared" si="1"/>
        <v>0</v>
      </c>
      <c r="I63" s="30">
        <v>3682.0859999999998</v>
      </c>
      <c r="J63" s="30">
        <v>3659.6950000000002</v>
      </c>
      <c r="K63" s="30">
        <f t="shared" si="2"/>
        <v>22.390999999999622</v>
      </c>
      <c r="L63" s="30">
        <v>3499.2559999999999</v>
      </c>
      <c r="M63" s="30">
        <v>3499.2559999999999</v>
      </c>
      <c r="N63" s="30">
        <f t="shared" si="3"/>
        <v>0</v>
      </c>
      <c r="O63" s="30">
        <v>2922.1550000000002</v>
      </c>
      <c r="P63" s="30">
        <v>2922.1550000000002</v>
      </c>
      <c r="Q63" s="30">
        <f t="shared" si="4"/>
        <v>0</v>
      </c>
      <c r="R63" s="31">
        <v>7289.2860000000001</v>
      </c>
      <c r="S63" s="31">
        <v>7288.2860000000001</v>
      </c>
      <c r="T63" s="30">
        <f t="shared" si="5"/>
        <v>1</v>
      </c>
      <c r="U63" s="31">
        <v>7171.3940000000002</v>
      </c>
      <c r="V63" s="31">
        <v>7170.7309999999998</v>
      </c>
      <c r="W63" s="30">
        <f t="shared" si="6"/>
        <v>0.66300000000046566</v>
      </c>
      <c r="X63" s="30"/>
      <c r="Y63" s="30"/>
      <c r="Z63" s="30"/>
      <c r="AA63" s="30"/>
      <c r="AB63" s="30"/>
      <c r="AC63" s="30"/>
      <c r="AD63" s="30"/>
      <c r="AE63" s="30"/>
      <c r="AF63" s="30"/>
      <c r="AG63" s="30"/>
      <c r="AH63" s="30"/>
      <c r="AI63" s="30"/>
      <c r="AJ63" s="30"/>
      <c r="AK63" s="30"/>
      <c r="AL63" s="30"/>
      <c r="AM63" s="30"/>
      <c r="AN63" s="32"/>
      <c r="AO63" s="32"/>
      <c r="AP63" s="32"/>
      <c r="AQ63" s="32"/>
      <c r="AR63" s="32"/>
      <c r="AS63" s="32"/>
      <c r="AT63" s="32"/>
      <c r="AU63" s="32"/>
      <c r="AV63" s="32"/>
      <c r="AW63" s="32"/>
      <c r="AX63" s="32"/>
      <c r="AY63" s="32"/>
      <c r="AZ63" s="32"/>
      <c r="BA63" s="32"/>
      <c r="BB63" s="32"/>
      <c r="BC63" s="32"/>
      <c r="BD63" s="32"/>
      <c r="BE63" s="32"/>
      <c r="BF63" s="32"/>
      <c r="BG63" s="32"/>
      <c r="BH63" s="32"/>
    </row>
    <row r="64" spans="1:60">
      <c r="A64" s="28">
        <v>43831</v>
      </c>
      <c r="B64" s="29">
        <v>2020</v>
      </c>
      <c r="C64" s="30">
        <v>2190.8139999999999</v>
      </c>
      <c r="D64" s="30">
        <v>2190.8139999999999</v>
      </c>
      <c r="E64" s="30">
        <f t="shared" si="0"/>
        <v>0</v>
      </c>
      <c r="F64" s="30">
        <v>1346.9549999999999</v>
      </c>
      <c r="G64" s="30">
        <v>1346.9549999999999</v>
      </c>
      <c r="H64" s="30">
        <f t="shared" si="1"/>
        <v>0</v>
      </c>
      <c r="I64" s="30">
        <v>3409.1959999999999</v>
      </c>
      <c r="J64" s="30">
        <v>3385.364</v>
      </c>
      <c r="K64" s="30">
        <f t="shared" si="2"/>
        <v>23.83199999999988</v>
      </c>
      <c r="L64" s="30">
        <v>3310.75</v>
      </c>
      <c r="M64" s="30">
        <v>3310.75</v>
      </c>
      <c r="N64" s="30">
        <f t="shared" si="3"/>
        <v>0</v>
      </c>
      <c r="O64" s="30">
        <v>2781.9929999999999</v>
      </c>
      <c r="P64" s="30">
        <v>2781.9929999999999</v>
      </c>
      <c r="Q64" s="30">
        <f t="shared" si="4"/>
        <v>0</v>
      </c>
      <c r="R64" s="31">
        <v>7169.37</v>
      </c>
      <c r="S64" s="31">
        <v>7168.7070000000003</v>
      </c>
      <c r="T64" s="30">
        <f t="shared" si="5"/>
        <v>0.66299999999955617</v>
      </c>
      <c r="U64" s="31">
        <v>7859.8670000000002</v>
      </c>
      <c r="V64" s="31">
        <v>7859.71</v>
      </c>
      <c r="W64" s="30">
        <f t="shared" si="6"/>
        <v>0.1570000000001528</v>
      </c>
      <c r="X64" s="30"/>
      <c r="Y64" s="30"/>
      <c r="Z64" s="30"/>
      <c r="AA64" s="30"/>
      <c r="AB64" s="30"/>
      <c r="AC64" s="30"/>
      <c r="AD64" s="30"/>
      <c r="AE64" s="30"/>
      <c r="AF64" s="30"/>
      <c r="AG64" s="30"/>
      <c r="AH64" s="30"/>
      <c r="AI64" s="30"/>
      <c r="AJ64" s="30"/>
      <c r="AK64" s="30"/>
      <c r="AL64" s="30"/>
      <c r="AM64" s="30"/>
      <c r="AN64" s="32"/>
      <c r="AO64" s="32"/>
      <c r="AP64" s="32"/>
      <c r="AQ64" s="32"/>
      <c r="AR64" s="32"/>
      <c r="AS64" s="32"/>
      <c r="AT64" s="32"/>
      <c r="AU64" s="32"/>
      <c r="AV64" s="32"/>
      <c r="AW64" s="32"/>
      <c r="AX64" s="32"/>
      <c r="AY64" s="32"/>
      <c r="AZ64" s="32"/>
      <c r="BA64" s="32"/>
      <c r="BB64" s="32"/>
      <c r="BC64" s="32"/>
      <c r="BD64" s="32"/>
      <c r="BE64" s="32"/>
      <c r="BF64" s="32"/>
      <c r="BG64" s="32"/>
      <c r="BH64" s="32"/>
    </row>
    <row r="65" spans="1:60">
      <c r="A65" s="28">
        <v>43862</v>
      </c>
      <c r="B65" s="29">
        <v>2020</v>
      </c>
      <c r="C65" s="30">
        <v>1575.4159999999999</v>
      </c>
      <c r="D65" s="30">
        <v>1575.4159999999999</v>
      </c>
      <c r="E65" s="30">
        <f t="shared" si="0"/>
        <v>0</v>
      </c>
      <c r="F65" s="30">
        <v>1473.173</v>
      </c>
      <c r="G65" s="30">
        <v>1473.173</v>
      </c>
      <c r="H65" s="30">
        <f t="shared" si="1"/>
        <v>0</v>
      </c>
      <c r="I65" s="30">
        <v>3090.2370000000001</v>
      </c>
      <c r="J65" s="30">
        <v>3090.1909999999998</v>
      </c>
      <c r="K65" s="30">
        <f t="shared" si="2"/>
        <v>4.6000000000276486E-2</v>
      </c>
      <c r="L65" s="30">
        <v>3233.0520000000001</v>
      </c>
      <c r="M65" s="30">
        <v>3233.0520000000001</v>
      </c>
      <c r="N65" s="30">
        <f t="shared" si="3"/>
        <v>0</v>
      </c>
      <c r="O65" s="30">
        <v>2719.6379999999999</v>
      </c>
      <c r="P65" s="30">
        <v>2719.6379999999999</v>
      </c>
      <c r="Q65" s="30">
        <f t="shared" si="4"/>
        <v>0</v>
      </c>
      <c r="R65" s="31">
        <v>7859.8670000000002</v>
      </c>
      <c r="S65" s="31">
        <v>7859.71</v>
      </c>
      <c r="T65" s="30">
        <f t="shared" si="5"/>
        <v>0.1570000000001528</v>
      </c>
      <c r="U65" s="31">
        <v>7561.3440000000001</v>
      </c>
      <c r="V65" s="31">
        <v>7561.2330000000002</v>
      </c>
      <c r="W65" s="30">
        <f t="shared" si="6"/>
        <v>0.11099999999987631</v>
      </c>
      <c r="X65" s="30"/>
      <c r="Y65" s="30"/>
      <c r="Z65" s="30"/>
      <c r="AA65" s="30"/>
      <c r="AB65" s="30"/>
      <c r="AC65" s="30"/>
      <c r="AD65" s="30"/>
      <c r="AE65" s="30"/>
      <c r="AF65" s="30"/>
      <c r="AG65" s="30"/>
      <c r="AH65" s="30"/>
      <c r="AI65" s="30"/>
      <c r="AJ65" s="30"/>
      <c r="AK65" s="30"/>
      <c r="AL65" s="30"/>
      <c r="AM65" s="30"/>
      <c r="AN65" s="32"/>
      <c r="AO65" s="32"/>
      <c r="AP65" s="32"/>
      <c r="AQ65" s="32"/>
      <c r="AR65" s="32"/>
      <c r="AS65" s="32"/>
      <c r="AT65" s="32"/>
      <c r="AU65" s="32"/>
      <c r="AV65" s="32"/>
      <c r="AW65" s="32"/>
      <c r="AX65" s="32"/>
      <c r="AY65" s="32"/>
      <c r="AZ65" s="32"/>
      <c r="BA65" s="32"/>
      <c r="BB65" s="32"/>
      <c r="BC65" s="32"/>
      <c r="BD65" s="32"/>
      <c r="BE65" s="32"/>
      <c r="BF65" s="32"/>
      <c r="BG65" s="32"/>
      <c r="BH65" s="32"/>
    </row>
    <row r="66" spans="1:60">
      <c r="A66" s="28">
        <v>43891</v>
      </c>
      <c r="B66" s="29">
        <v>2020</v>
      </c>
      <c r="C66" s="30">
        <v>1841.4190000000001</v>
      </c>
      <c r="D66" s="30">
        <v>1841.4190000000001</v>
      </c>
      <c r="E66" s="30">
        <f t="shared" si="0"/>
        <v>0</v>
      </c>
      <c r="F66" s="30">
        <v>1220.1120000000001</v>
      </c>
      <c r="G66" s="30">
        <v>1220.1120000000001</v>
      </c>
      <c r="H66" s="30">
        <f t="shared" si="1"/>
        <v>0</v>
      </c>
      <c r="I66" s="30">
        <v>2449.8119999999999</v>
      </c>
      <c r="J66" s="30">
        <v>2449.799</v>
      </c>
      <c r="K66" s="30">
        <f t="shared" si="2"/>
        <v>1.2999999999919964E-2</v>
      </c>
      <c r="L66" s="30">
        <v>2160.6379999999999</v>
      </c>
      <c r="M66" s="30">
        <v>2160.6379999999999</v>
      </c>
      <c r="N66" s="30">
        <f t="shared" si="3"/>
        <v>0</v>
      </c>
      <c r="O66" s="30">
        <v>1879.57</v>
      </c>
      <c r="P66" s="30">
        <v>1879.57</v>
      </c>
      <c r="Q66" s="30">
        <f t="shared" si="4"/>
        <v>0</v>
      </c>
      <c r="R66" s="31">
        <v>7561.13</v>
      </c>
      <c r="S66" s="31">
        <v>7561.0190000000002</v>
      </c>
      <c r="T66" s="30">
        <f t="shared" si="5"/>
        <v>0.11099999999987631</v>
      </c>
      <c r="U66" s="31">
        <v>7893.5559999999996</v>
      </c>
      <c r="V66" s="31">
        <v>7893.4579999999996</v>
      </c>
      <c r="W66" s="30">
        <f t="shared" si="6"/>
        <v>9.7999999999956344E-2</v>
      </c>
      <c r="X66" s="30"/>
      <c r="Y66" s="30"/>
      <c r="Z66" s="30"/>
      <c r="AA66" s="30"/>
      <c r="AB66" s="30"/>
      <c r="AC66" s="30"/>
      <c r="AD66" s="30"/>
      <c r="AE66" s="30"/>
      <c r="AF66" s="30"/>
      <c r="AG66" s="30"/>
      <c r="AH66" s="30"/>
      <c r="AI66" s="30"/>
      <c r="AJ66" s="30"/>
      <c r="AK66" s="30"/>
      <c r="AL66" s="30"/>
      <c r="AM66" s="30"/>
      <c r="AN66" s="32"/>
      <c r="AO66" s="32"/>
      <c r="AP66" s="32"/>
      <c r="AQ66" s="32"/>
      <c r="AR66" s="32"/>
      <c r="AS66" s="32"/>
      <c r="AT66" s="32"/>
      <c r="AU66" s="32"/>
      <c r="AV66" s="32"/>
      <c r="AW66" s="32"/>
      <c r="AX66" s="32"/>
      <c r="AY66" s="32"/>
      <c r="AZ66" s="32"/>
      <c r="BA66" s="32"/>
      <c r="BB66" s="32"/>
      <c r="BC66" s="32"/>
      <c r="BD66" s="32"/>
      <c r="BE66" s="32"/>
      <c r="BF66" s="32"/>
      <c r="BG66" s="32"/>
      <c r="BH66" s="32"/>
    </row>
    <row r="67" spans="1:60">
      <c r="A67" s="28">
        <v>43922</v>
      </c>
      <c r="B67" s="29">
        <v>2020</v>
      </c>
      <c r="C67" s="30">
        <v>1166.739</v>
      </c>
      <c r="D67" s="30">
        <v>1164.1010000000001</v>
      </c>
      <c r="E67" s="30">
        <f t="shared" si="0"/>
        <v>2.63799999999992</v>
      </c>
      <c r="F67" s="30">
        <v>921.11900000000003</v>
      </c>
      <c r="G67" s="30">
        <v>921.11900000000003</v>
      </c>
      <c r="H67" s="30">
        <f t="shared" si="1"/>
        <v>0</v>
      </c>
      <c r="I67" s="30">
        <v>774.56100000000004</v>
      </c>
      <c r="J67" s="30">
        <v>774.53499999999997</v>
      </c>
      <c r="K67" s="30">
        <f t="shared" si="2"/>
        <v>2.6000000000067303E-2</v>
      </c>
      <c r="L67" s="30">
        <v>736.38400000000001</v>
      </c>
      <c r="M67" s="30">
        <v>736.38400000000001</v>
      </c>
      <c r="N67" s="30">
        <f t="shared" si="3"/>
        <v>0</v>
      </c>
      <c r="O67" s="30">
        <v>620.77200000000005</v>
      </c>
      <c r="P67" s="30">
        <v>620.77200000000005</v>
      </c>
      <c r="Q67" s="30">
        <f t="shared" si="4"/>
        <v>0</v>
      </c>
      <c r="R67" s="31">
        <v>7893.5559999999996</v>
      </c>
      <c r="S67" s="31">
        <v>7893.4579999999996</v>
      </c>
      <c r="T67" s="30">
        <f t="shared" si="5"/>
        <v>9.7999999999956344E-2</v>
      </c>
      <c r="U67" s="31">
        <v>8413.2880000000005</v>
      </c>
      <c r="V67" s="31">
        <v>8410.5779999999995</v>
      </c>
      <c r="W67" s="30">
        <f t="shared" si="6"/>
        <v>2.7100000000009459</v>
      </c>
      <c r="X67" s="30"/>
      <c r="Y67" s="30"/>
      <c r="Z67" s="30"/>
      <c r="AA67" s="30"/>
      <c r="AB67" s="30"/>
      <c r="AC67" s="30"/>
      <c r="AD67" s="30"/>
      <c r="AE67" s="30"/>
      <c r="AF67" s="30"/>
      <c r="AG67" s="30"/>
      <c r="AH67" s="30"/>
      <c r="AI67" s="30"/>
      <c r="AJ67" s="30"/>
      <c r="AK67" s="30"/>
      <c r="AL67" s="30"/>
      <c r="AM67" s="30"/>
      <c r="AN67" s="32"/>
      <c r="AO67" s="32"/>
      <c r="AP67" s="32"/>
      <c r="AQ67" s="32"/>
      <c r="AR67" s="32"/>
      <c r="AS67" s="32"/>
      <c r="AT67" s="32"/>
      <c r="AU67" s="32"/>
      <c r="AV67" s="32"/>
      <c r="AW67" s="32"/>
      <c r="AX67" s="32"/>
      <c r="AY67" s="32"/>
      <c r="AZ67" s="32"/>
      <c r="BA67" s="32"/>
      <c r="BB67" s="32"/>
      <c r="BC67" s="32"/>
      <c r="BD67" s="32"/>
      <c r="BE67" s="32"/>
      <c r="BF67" s="32"/>
      <c r="BG67" s="32"/>
      <c r="BH67" s="32"/>
    </row>
    <row r="68" spans="1:60">
      <c r="A68" s="28">
        <v>43952</v>
      </c>
      <c r="B68" s="29">
        <v>2020</v>
      </c>
      <c r="C68" s="30">
        <v>1649.3779999999999</v>
      </c>
      <c r="D68" s="30">
        <v>1646.74</v>
      </c>
      <c r="E68" s="30">
        <f t="shared" si="0"/>
        <v>2.63799999999992</v>
      </c>
      <c r="F68" s="30">
        <v>666.81200000000001</v>
      </c>
      <c r="G68" s="30">
        <v>666.81200000000001</v>
      </c>
      <c r="H68" s="30">
        <f t="shared" si="1"/>
        <v>0</v>
      </c>
      <c r="I68" s="30">
        <v>940.26499999999999</v>
      </c>
      <c r="J68" s="30">
        <v>937.61199999999997</v>
      </c>
      <c r="K68" s="30">
        <f t="shared" si="2"/>
        <v>2.65300000000002</v>
      </c>
      <c r="L68" s="30">
        <v>898.66099999999994</v>
      </c>
      <c r="M68" s="30">
        <v>898.66099999999994</v>
      </c>
      <c r="N68" s="30">
        <f t="shared" si="3"/>
        <v>0</v>
      </c>
      <c r="O68" s="30">
        <v>738.41899999999998</v>
      </c>
      <c r="P68" s="30">
        <v>738.41899999999998</v>
      </c>
      <c r="Q68" s="30">
        <f t="shared" si="4"/>
        <v>0</v>
      </c>
      <c r="R68" s="31">
        <v>8413.2880000000005</v>
      </c>
      <c r="S68" s="31">
        <v>8410.5779999999995</v>
      </c>
      <c r="T68" s="30">
        <f t="shared" si="5"/>
        <v>2.7100000000009459</v>
      </c>
      <c r="U68" s="31">
        <v>9167.8989999999994</v>
      </c>
      <c r="V68" s="31">
        <v>9165.2039999999997</v>
      </c>
      <c r="W68" s="30">
        <f t="shared" si="6"/>
        <v>2.694999999999709</v>
      </c>
      <c r="X68" s="30"/>
      <c r="Y68" s="30"/>
      <c r="Z68" s="30"/>
      <c r="AA68" s="30"/>
      <c r="AB68" s="30"/>
      <c r="AC68" s="30"/>
      <c r="AD68" s="30"/>
      <c r="AE68" s="30"/>
      <c r="AF68" s="30"/>
      <c r="AG68" s="30"/>
      <c r="AH68" s="30"/>
      <c r="AI68" s="30"/>
      <c r="AJ68" s="30"/>
      <c r="AK68" s="30"/>
      <c r="AL68" s="30"/>
      <c r="AM68" s="30"/>
      <c r="AN68" s="32"/>
      <c r="AO68" s="32"/>
      <c r="AP68" s="32"/>
      <c r="AQ68" s="32"/>
      <c r="AR68" s="32"/>
      <c r="AS68" s="32"/>
      <c r="AT68" s="32"/>
      <c r="AU68" s="32"/>
      <c r="AV68" s="32"/>
      <c r="AW68" s="32"/>
      <c r="AX68" s="32"/>
      <c r="AY68" s="32"/>
      <c r="AZ68" s="32"/>
      <c r="BA68" s="32"/>
      <c r="BB68" s="32"/>
      <c r="BC68" s="32"/>
      <c r="BD68" s="32"/>
      <c r="BE68" s="32"/>
      <c r="BF68" s="32"/>
      <c r="BG68" s="32"/>
      <c r="BH68" s="32"/>
    </row>
    <row r="69" spans="1:60">
      <c r="A69" s="28">
        <v>43983</v>
      </c>
      <c r="B69" s="29">
        <v>2020</v>
      </c>
      <c r="C69" s="30">
        <v>1292.354</v>
      </c>
      <c r="D69" s="30">
        <v>1292.354</v>
      </c>
      <c r="E69" s="30">
        <f t="shared" ref="E69:E123" si="7">C69-D69</f>
        <v>0</v>
      </c>
      <c r="F69" s="30">
        <v>867.65899999999999</v>
      </c>
      <c r="G69" s="30">
        <v>867.65899999999999</v>
      </c>
      <c r="H69" s="30">
        <f t="shared" ref="H69:H123" si="8">F69-G69</f>
        <v>0</v>
      </c>
      <c r="I69" s="30">
        <v>894.221</v>
      </c>
      <c r="J69" s="30">
        <v>894.221</v>
      </c>
      <c r="K69" s="30">
        <f t="shared" ref="K69:K123" si="9">I69-J69</f>
        <v>0</v>
      </c>
      <c r="L69" s="30">
        <v>898.12900000000002</v>
      </c>
      <c r="M69" s="30">
        <v>898.12900000000002</v>
      </c>
      <c r="N69" s="30">
        <f t="shared" ref="N69:N123" si="10">L69-M69</f>
        <v>0</v>
      </c>
      <c r="O69" s="30">
        <v>736.06200000000001</v>
      </c>
      <c r="P69" s="30">
        <v>736.06200000000001</v>
      </c>
      <c r="Q69" s="30">
        <f t="shared" ref="Q69:Q123" si="11">O69-P69</f>
        <v>0</v>
      </c>
      <c r="R69" s="31">
        <v>9167.8989999999994</v>
      </c>
      <c r="S69" s="31">
        <v>9165.2039999999997</v>
      </c>
      <c r="T69" s="30">
        <f t="shared" ref="T69:T123" si="12">R69-S69</f>
        <v>2.694999999999709</v>
      </c>
      <c r="U69" s="31">
        <v>9491.6610000000001</v>
      </c>
      <c r="V69" s="31">
        <v>9488.9660000000003</v>
      </c>
      <c r="W69" s="30">
        <f t="shared" ref="W69:W123" si="13">U69-V69</f>
        <v>2.694999999999709</v>
      </c>
      <c r="X69" s="30"/>
      <c r="Y69" s="30"/>
      <c r="Z69" s="30"/>
      <c r="AA69" s="30"/>
      <c r="AB69" s="30"/>
      <c r="AC69" s="30"/>
      <c r="AD69" s="30"/>
      <c r="AE69" s="30"/>
      <c r="AF69" s="30"/>
      <c r="AG69" s="30"/>
      <c r="AH69" s="30"/>
      <c r="AI69" s="30"/>
      <c r="AJ69" s="30"/>
      <c r="AK69" s="30"/>
      <c r="AL69" s="30"/>
      <c r="AM69" s="30"/>
      <c r="AN69" s="32"/>
      <c r="AO69" s="32"/>
      <c r="AP69" s="32"/>
      <c r="AQ69" s="32"/>
      <c r="AR69" s="32"/>
      <c r="AS69" s="32"/>
      <c r="AT69" s="32"/>
      <c r="AU69" s="32"/>
      <c r="AV69" s="32"/>
      <c r="AW69" s="32"/>
      <c r="AX69" s="32"/>
      <c r="AY69" s="32"/>
      <c r="AZ69" s="32"/>
      <c r="BA69" s="32"/>
      <c r="BB69" s="32"/>
      <c r="BC69" s="32"/>
      <c r="BD69" s="32"/>
      <c r="BE69" s="32"/>
      <c r="BF69" s="32"/>
      <c r="BG69" s="32"/>
      <c r="BH69" s="32"/>
    </row>
    <row r="70" spans="1:60">
      <c r="A70" s="28">
        <v>44013</v>
      </c>
      <c r="B70" s="29">
        <v>2020</v>
      </c>
      <c r="C70" s="30">
        <v>1133.4269999999999</v>
      </c>
      <c r="D70" s="30">
        <v>1133.4269999999999</v>
      </c>
      <c r="E70" s="30">
        <f t="shared" si="7"/>
        <v>0</v>
      </c>
      <c r="F70" s="30">
        <v>807.57</v>
      </c>
      <c r="G70" s="30">
        <v>807.57</v>
      </c>
      <c r="H70" s="30">
        <f t="shared" si="8"/>
        <v>0</v>
      </c>
      <c r="I70" s="30">
        <v>1605.3409999999999</v>
      </c>
      <c r="J70" s="30">
        <v>1605.32</v>
      </c>
      <c r="K70" s="30">
        <f t="shared" si="9"/>
        <v>2.0999999999958163E-2</v>
      </c>
      <c r="L70" s="30">
        <v>1600.0809999999999</v>
      </c>
      <c r="M70" s="30">
        <v>1600.0809999999999</v>
      </c>
      <c r="N70" s="30">
        <f t="shared" si="10"/>
        <v>0</v>
      </c>
      <c r="O70" s="30">
        <v>1311.4960000000001</v>
      </c>
      <c r="P70" s="30">
        <v>1284.402</v>
      </c>
      <c r="Q70" s="30">
        <v>0</v>
      </c>
      <c r="R70" s="31">
        <v>9491.6610000000001</v>
      </c>
      <c r="S70" s="31">
        <v>9488.9660000000003</v>
      </c>
      <c r="T70" s="30">
        <v>0</v>
      </c>
      <c r="U70" s="31">
        <v>9271.5290000000005</v>
      </c>
      <c r="V70" s="31">
        <v>9268.8549999999996</v>
      </c>
      <c r="W70" s="30">
        <v>0</v>
      </c>
      <c r="X70" s="30"/>
      <c r="Y70" s="30"/>
      <c r="Z70" s="30"/>
      <c r="AA70" s="30"/>
      <c r="AB70" s="30"/>
      <c r="AC70" s="30"/>
      <c r="AD70" s="30"/>
      <c r="AE70" s="30"/>
      <c r="AF70" s="30"/>
      <c r="AG70" s="30"/>
      <c r="AH70" s="30"/>
      <c r="AI70" s="30"/>
      <c r="AJ70" s="30"/>
      <c r="AK70" s="30"/>
      <c r="AL70" s="30"/>
      <c r="AM70" s="30"/>
      <c r="AN70" s="32"/>
      <c r="AO70" s="32"/>
      <c r="AP70" s="32"/>
      <c r="AQ70" s="32"/>
      <c r="AR70" s="32"/>
      <c r="AS70" s="32"/>
      <c r="AT70" s="32"/>
      <c r="AU70" s="32"/>
      <c r="AV70" s="32"/>
      <c r="AW70" s="32"/>
      <c r="AX70" s="32"/>
      <c r="AY70" s="32"/>
      <c r="AZ70" s="32"/>
      <c r="BA70" s="32"/>
      <c r="BB70" s="32"/>
      <c r="BC70" s="32"/>
      <c r="BD70" s="32"/>
      <c r="BE70" s="32"/>
      <c r="BF70" s="32"/>
      <c r="BG70" s="32"/>
      <c r="BH70" s="32"/>
    </row>
    <row r="71" spans="1:60">
      <c r="A71" s="28">
        <v>44044</v>
      </c>
      <c r="B71" s="29">
        <v>2020</v>
      </c>
      <c r="C71" s="30">
        <v>1423.4480000000001</v>
      </c>
      <c r="D71" s="30">
        <v>1423.4059999999999</v>
      </c>
      <c r="E71" s="30">
        <f t="shared" si="7"/>
        <v>4.20000000001437E-2</v>
      </c>
      <c r="F71" s="30">
        <v>924.18899999999996</v>
      </c>
      <c r="G71" s="30">
        <v>924.18899999999996</v>
      </c>
      <c r="H71" s="30">
        <f t="shared" si="8"/>
        <v>0</v>
      </c>
      <c r="I71" s="30">
        <v>1908.6669999999999</v>
      </c>
      <c r="J71" s="30">
        <v>1908.5920000000001</v>
      </c>
      <c r="K71" s="30">
        <f t="shared" si="9"/>
        <v>7.4999999999818101E-2</v>
      </c>
      <c r="L71" s="30">
        <v>1924.4570000000001</v>
      </c>
      <c r="M71" s="30">
        <v>1924.415</v>
      </c>
      <c r="N71" s="30">
        <f t="shared" si="10"/>
        <v>4.20000000001437E-2</v>
      </c>
      <c r="O71" s="30">
        <v>1611.2049999999999</v>
      </c>
      <c r="P71" s="30">
        <v>1611.165</v>
      </c>
      <c r="Q71" s="30">
        <f t="shared" si="11"/>
        <v>3.999999999996362E-2</v>
      </c>
      <c r="R71" s="31">
        <v>9271.5290000000005</v>
      </c>
      <c r="S71" s="31">
        <v>9268.8549999999996</v>
      </c>
      <c r="T71" s="30">
        <f t="shared" si="12"/>
        <v>2.6740000000008877</v>
      </c>
      <c r="U71" s="31">
        <v>9162.8230000000003</v>
      </c>
      <c r="V71" s="31">
        <v>9160.1820000000007</v>
      </c>
      <c r="W71" s="30">
        <f t="shared" si="13"/>
        <v>2.6409999999996217</v>
      </c>
      <c r="X71" s="30"/>
      <c r="Y71" s="30"/>
      <c r="Z71" s="30"/>
      <c r="AA71" s="30"/>
      <c r="AB71" s="30"/>
      <c r="AC71" s="30"/>
      <c r="AD71" s="30"/>
      <c r="AE71" s="30"/>
      <c r="AF71" s="30"/>
      <c r="AG71" s="30"/>
      <c r="AH71" s="30"/>
      <c r="AI71" s="30"/>
      <c r="AJ71" s="30"/>
      <c r="AK71" s="30"/>
      <c r="AL71" s="30"/>
      <c r="AM71" s="30"/>
      <c r="AN71" s="32"/>
      <c r="AO71" s="32"/>
      <c r="AP71" s="32"/>
      <c r="AQ71" s="32"/>
      <c r="AR71" s="32"/>
      <c r="AS71" s="32"/>
      <c r="AT71" s="32"/>
      <c r="AU71" s="32"/>
      <c r="AV71" s="32"/>
      <c r="AW71" s="32"/>
      <c r="AX71" s="32"/>
      <c r="AY71" s="32"/>
      <c r="AZ71" s="32"/>
      <c r="BA71" s="32"/>
      <c r="BB71" s="32"/>
      <c r="BC71" s="32"/>
      <c r="BD71" s="32"/>
      <c r="BE71" s="32"/>
      <c r="BF71" s="32"/>
      <c r="BG71" s="32"/>
      <c r="BH71" s="32"/>
    </row>
    <row r="72" spans="1:60">
      <c r="A72" s="28">
        <v>44075</v>
      </c>
      <c r="B72" s="29">
        <v>2020</v>
      </c>
      <c r="C72" s="30">
        <v>1455.1410000000001</v>
      </c>
      <c r="D72" s="30">
        <v>1455.12</v>
      </c>
      <c r="E72" s="30">
        <f t="shared" si="7"/>
        <v>2.1000000000185537E-2</v>
      </c>
      <c r="F72" s="30">
        <v>813.27599999999995</v>
      </c>
      <c r="G72" s="30">
        <v>813.27599999999995</v>
      </c>
      <c r="H72" s="30">
        <f t="shared" si="8"/>
        <v>0</v>
      </c>
      <c r="I72" s="30">
        <v>1768.6679999999999</v>
      </c>
      <c r="J72" s="30">
        <v>1768.395</v>
      </c>
      <c r="K72" s="30">
        <f t="shared" si="9"/>
        <v>0.27299999999991087</v>
      </c>
      <c r="L72" s="30">
        <v>1710.0039999999999</v>
      </c>
      <c r="M72" s="30">
        <v>1709.9829999999999</v>
      </c>
      <c r="N72" s="30">
        <f t="shared" si="10"/>
        <v>2.0999999999958163E-2</v>
      </c>
      <c r="O72" s="30">
        <v>1421.7940000000001</v>
      </c>
      <c r="P72" s="30">
        <v>1421.7739999999999</v>
      </c>
      <c r="Q72" s="30">
        <f t="shared" si="11"/>
        <v>2.0000000000209184E-2</v>
      </c>
      <c r="R72" s="31">
        <v>9027.6029999999992</v>
      </c>
      <c r="S72" s="31">
        <v>9024.9619999999995</v>
      </c>
      <c r="T72" s="30">
        <f t="shared" si="12"/>
        <v>2.6409999999996217</v>
      </c>
      <c r="U72" s="31">
        <v>9013.3529999999992</v>
      </c>
      <c r="V72" s="31">
        <v>9010.9639999999999</v>
      </c>
      <c r="W72" s="30">
        <f t="shared" si="13"/>
        <v>2.3889999999992142</v>
      </c>
      <c r="X72" s="30"/>
      <c r="Y72" s="30"/>
      <c r="Z72" s="30"/>
      <c r="AA72" s="30"/>
      <c r="AB72" s="30"/>
      <c r="AC72" s="30"/>
      <c r="AD72" s="30"/>
      <c r="AE72" s="30"/>
      <c r="AF72" s="30"/>
      <c r="AG72" s="30"/>
      <c r="AH72" s="30"/>
      <c r="AI72" s="30"/>
      <c r="AJ72" s="30"/>
      <c r="AK72" s="30"/>
      <c r="AL72" s="30"/>
      <c r="AM72" s="30"/>
      <c r="AN72" s="32"/>
      <c r="AO72" s="32"/>
      <c r="AP72" s="32"/>
      <c r="AQ72" s="32"/>
      <c r="AR72" s="32"/>
      <c r="AS72" s="32"/>
      <c r="AT72" s="32"/>
      <c r="AU72" s="32"/>
      <c r="AV72" s="32"/>
      <c r="AW72" s="32"/>
      <c r="AX72" s="32"/>
      <c r="AY72" s="32"/>
      <c r="AZ72" s="32"/>
      <c r="BA72" s="32"/>
      <c r="BB72" s="32"/>
      <c r="BC72" s="32"/>
      <c r="BD72" s="32"/>
      <c r="BE72" s="32"/>
      <c r="BF72" s="32"/>
      <c r="BG72" s="32"/>
      <c r="BH72" s="32"/>
    </row>
    <row r="73" spans="1:60">
      <c r="A73" s="28">
        <v>44105</v>
      </c>
      <c r="B73" s="29">
        <v>2020</v>
      </c>
      <c r="C73" s="30">
        <v>1704.915</v>
      </c>
      <c r="D73" s="30">
        <v>1700.8620000000001</v>
      </c>
      <c r="E73" s="30">
        <f t="shared" si="7"/>
        <v>4.0529999999998836</v>
      </c>
      <c r="F73" s="30">
        <v>785.75699999999995</v>
      </c>
      <c r="G73" s="30">
        <v>785.75699999999995</v>
      </c>
      <c r="H73" s="30">
        <f t="shared" si="8"/>
        <v>0</v>
      </c>
      <c r="I73" s="30">
        <v>1676.2159999999999</v>
      </c>
      <c r="J73" s="30">
        <v>1676.184</v>
      </c>
      <c r="K73" s="30">
        <f t="shared" si="9"/>
        <v>3.1999999999925421E-2</v>
      </c>
      <c r="L73" s="30">
        <v>1553.191</v>
      </c>
      <c r="M73" s="30">
        <v>1553.171</v>
      </c>
      <c r="N73" s="30">
        <f t="shared" si="10"/>
        <v>1.999999999998181E-2</v>
      </c>
      <c r="O73" s="30">
        <v>1309.5450000000001</v>
      </c>
      <c r="P73" s="30">
        <v>1309.5260000000001</v>
      </c>
      <c r="Q73" s="30">
        <f t="shared" si="11"/>
        <v>1.9000000000005457E-2</v>
      </c>
      <c r="R73" s="31">
        <v>9013.3529999999992</v>
      </c>
      <c r="S73" s="31">
        <v>9010.9639999999999</v>
      </c>
      <c r="T73" s="30">
        <f t="shared" si="12"/>
        <v>2.3889999999992142</v>
      </c>
      <c r="U73" s="31">
        <v>9139.6010000000006</v>
      </c>
      <c r="V73" s="31">
        <v>9133.1910000000007</v>
      </c>
      <c r="W73" s="30">
        <f t="shared" si="13"/>
        <v>6.4099999999998545</v>
      </c>
      <c r="X73" s="30"/>
      <c r="Y73" s="30"/>
      <c r="Z73" s="30"/>
      <c r="AA73" s="30"/>
      <c r="AB73" s="30"/>
      <c r="AC73" s="30"/>
      <c r="AD73" s="30"/>
      <c r="AE73" s="30"/>
      <c r="AF73" s="30"/>
      <c r="AG73" s="30"/>
      <c r="AH73" s="30"/>
      <c r="AI73" s="30"/>
      <c r="AJ73" s="30"/>
      <c r="AK73" s="30"/>
      <c r="AL73" s="30"/>
      <c r="AM73" s="30"/>
      <c r="AN73" s="32"/>
      <c r="AO73" s="32"/>
      <c r="AP73" s="32"/>
      <c r="AQ73" s="32"/>
      <c r="AR73" s="32"/>
      <c r="AS73" s="32"/>
      <c r="AT73" s="32"/>
      <c r="AU73" s="32"/>
      <c r="AV73" s="32"/>
      <c r="AW73" s="32"/>
      <c r="AX73" s="32"/>
      <c r="AY73" s="32"/>
      <c r="AZ73" s="32"/>
      <c r="BA73" s="32"/>
      <c r="BB73" s="32"/>
      <c r="BC73" s="32"/>
      <c r="BD73" s="32"/>
      <c r="BE73" s="32"/>
      <c r="BF73" s="32"/>
      <c r="BG73" s="32"/>
      <c r="BH73" s="32"/>
    </row>
    <row r="74" spans="1:60">
      <c r="A74" s="28">
        <v>44136</v>
      </c>
      <c r="B74" s="29">
        <v>2020</v>
      </c>
      <c r="C74" s="30">
        <v>1132.463</v>
      </c>
      <c r="D74" s="30">
        <v>1132.463</v>
      </c>
      <c r="E74" s="30">
        <f t="shared" si="7"/>
        <v>0</v>
      </c>
      <c r="F74" s="30">
        <v>955.18</v>
      </c>
      <c r="G74" s="30">
        <v>955.18</v>
      </c>
      <c r="H74" s="30">
        <f t="shared" si="8"/>
        <v>0</v>
      </c>
      <c r="I74" s="30">
        <v>1275.932</v>
      </c>
      <c r="J74" s="30">
        <v>1275.913</v>
      </c>
      <c r="K74" s="30">
        <f t="shared" si="9"/>
        <v>1.9000000000005457E-2</v>
      </c>
      <c r="L74" s="30">
        <v>1393.614</v>
      </c>
      <c r="M74" s="30">
        <v>1393.614</v>
      </c>
      <c r="N74" s="30">
        <f t="shared" si="10"/>
        <v>0</v>
      </c>
      <c r="O74" s="30">
        <v>1190.4259999999999</v>
      </c>
      <c r="P74" s="30">
        <v>1190.4259999999999</v>
      </c>
      <c r="Q74" s="30">
        <f t="shared" si="11"/>
        <v>0</v>
      </c>
      <c r="R74" s="31">
        <v>9139.6010000000006</v>
      </c>
      <c r="S74" s="31">
        <v>9133.1910000000007</v>
      </c>
      <c r="T74" s="30">
        <f t="shared" si="12"/>
        <v>6.4099999999998545</v>
      </c>
      <c r="U74" s="31">
        <v>8902.9979999999996</v>
      </c>
      <c r="V74" s="31">
        <v>8896.607</v>
      </c>
      <c r="W74" s="30">
        <f t="shared" si="13"/>
        <v>6.3909999999996217</v>
      </c>
      <c r="X74" s="30"/>
      <c r="Y74" s="30"/>
      <c r="Z74" s="30"/>
      <c r="AA74" s="30"/>
      <c r="AB74" s="30"/>
      <c r="AC74" s="30"/>
      <c r="AD74" s="30"/>
      <c r="AE74" s="30"/>
      <c r="AF74" s="30"/>
      <c r="AG74" s="30"/>
      <c r="AH74" s="30"/>
      <c r="AI74" s="30"/>
      <c r="AJ74" s="30"/>
      <c r="AK74" s="30"/>
      <c r="AL74" s="30"/>
      <c r="AM74" s="30"/>
      <c r="AN74" s="32"/>
      <c r="AO74" s="32"/>
      <c r="AP74" s="32"/>
      <c r="AQ74" s="32"/>
      <c r="AR74" s="32"/>
      <c r="AS74" s="32"/>
      <c r="AT74" s="32"/>
      <c r="AU74" s="32"/>
      <c r="AV74" s="32"/>
      <c r="AW74" s="32"/>
      <c r="AX74" s="32"/>
      <c r="AY74" s="32"/>
      <c r="AZ74" s="32"/>
      <c r="BA74" s="32"/>
      <c r="BB74" s="32"/>
      <c r="BC74" s="32"/>
      <c r="BD74" s="32"/>
      <c r="BE74" s="32"/>
      <c r="BF74" s="32"/>
      <c r="BG74" s="32"/>
      <c r="BH74" s="32"/>
    </row>
    <row r="75" spans="1:60">
      <c r="A75" s="28">
        <v>44166</v>
      </c>
      <c r="B75" s="29">
        <v>2020</v>
      </c>
      <c r="C75" s="30">
        <v>1101.836</v>
      </c>
      <c r="D75" s="30">
        <v>1101.819</v>
      </c>
      <c r="E75" s="30">
        <f t="shared" si="7"/>
        <v>1.7000000000052751E-2</v>
      </c>
      <c r="F75" s="30">
        <v>946.60900000000004</v>
      </c>
      <c r="G75" s="30">
        <v>946.60900000000004</v>
      </c>
      <c r="H75" s="30">
        <f t="shared" si="8"/>
        <v>0</v>
      </c>
      <c r="I75" s="30">
        <v>1456.0540000000001</v>
      </c>
      <c r="J75" s="30">
        <v>1456.002</v>
      </c>
      <c r="K75" s="30">
        <f t="shared" si="9"/>
        <v>5.2000000000134605E-2</v>
      </c>
      <c r="L75" s="30">
        <v>1435.135</v>
      </c>
      <c r="M75" s="30">
        <v>1435.1179999999999</v>
      </c>
      <c r="N75" s="30">
        <f t="shared" si="10"/>
        <v>1.7000000000052751E-2</v>
      </c>
      <c r="O75" s="30">
        <v>975.70299999999997</v>
      </c>
      <c r="P75" s="30">
        <v>975.68700000000001</v>
      </c>
      <c r="Q75" s="30">
        <f t="shared" si="11"/>
        <v>1.5999999999962711E-2</v>
      </c>
      <c r="R75" s="31">
        <v>8902.9979999999996</v>
      </c>
      <c r="S75" s="31">
        <v>8896.607</v>
      </c>
      <c r="T75" s="30">
        <f t="shared" si="12"/>
        <v>6.3909999999996217</v>
      </c>
      <c r="U75" s="31">
        <v>8477.0259999999998</v>
      </c>
      <c r="V75" s="31">
        <v>8470.67</v>
      </c>
      <c r="W75" s="30">
        <f t="shared" si="13"/>
        <v>6.3559999999997672</v>
      </c>
      <c r="X75" s="30"/>
      <c r="Y75" s="30"/>
      <c r="Z75" s="30"/>
      <c r="AA75" s="30"/>
      <c r="AB75" s="30"/>
      <c r="AC75" s="30"/>
      <c r="AD75" s="30"/>
      <c r="AE75" s="30"/>
      <c r="AF75" s="30"/>
      <c r="AG75" s="30"/>
      <c r="AH75" s="30"/>
      <c r="AI75" s="30"/>
      <c r="AJ75" s="30"/>
      <c r="AK75" s="30"/>
      <c r="AL75" s="30"/>
      <c r="AM75" s="30"/>
      <c r="AN75" s="32"/>
      <c r="AO75" s="32"/>
      <c r="AP75" s="32"/>
      <c r="AQ75" s="32"/>
      <c r="AR75" s="32"/>
      <c r="AS75" s="32"/>
      <c r="AT75" s="32"/>
      <c r="AU75" s="32"/>
      <c r="AV75" s="32"/>
      <c r="AW75" s="32"/>
      <c r="AX75" s="32"/>
      <c r="AY75" s="32"/>
      <c r="AZ75" s="32"/>
      <c r="BA75" s="32"/>
      <c r="BB75" s="32"/>
      <c r="BC75" s="32"/>
      <c r="BD75" s="32"/>
      <c r="BE75" s="32"/>
      <c r="BF75" s="32"/>
      <c r="BG75" s="32"/>
      <c r="BH75" s="32"/>
    </row>
    <row r="76" spans="1:60">
      <c r="A76" s="28">
        <v>44197</v>
      </c>
      <c r="B76" s="29">
        <v>2021</v>
      </c>
      <c r="C76" s="30">
        <v>1260.6010000000001</v>
      </c>
      <c r="D76" s="30">
        <v>1260.6010000000001</v>
      </c>
      <c r="E76" s="30">
        <f t="shared" si="7"/>
        <v>0</v>
      </c>
      <c r="F76" s="30">
        <v>817.24599999999998</v>
      </c>
      <c r="G76" s="30">
        <v>817.24599999999998</v>
      </c>
      <c r="H76" s="30">
        <f t="shared" si="8"/>
        <v>0</v>
      </c>
      <c r="I76" s="30">
        <v>1436.153</v>
      </c>
      <c r="J76" s="30">
        <v>1436.1880000000001</v>
      </c>
      <c r="K76" s="30">
        <f t="shared" si="9"/>
        <v>-3.5000000000081855E-2</v>
      </c>
      <c r="L76" s="30">
        <v>1361.61</v>
      </c>
      <c r="M76" s="30">
        <v>1361.575</v>
      </c>
      <c r="N76" s="30">
        <f t="shared" si="10"/>
        <v>3.4999999999854481E-2</v>
      </c>
      <c r="O76" s="30">
        <v>1091.2</v>
      </c>
      <c r="P76" s="30">
        <v>1091.2</v>
      </c>
      <c r="Q76" s="30">
        <f t="shared" si="11"/>
        <v>0</v>
      </c>
      <c r="R76" s="31">
        <v>8477.1059999999998</v>
      </c>
      <c r="S76" s="31">
        <v>8470.75</v>
      </c>
      <c r="T76" s="30">
        <f t="shared" si="12"/>
        <v>6.3559999999997672</v>
      </c>
      <c r="U76" s="31">
        <v>8874.1090000000004</v>
      </c>
      <c r="V76" s="31">
        <v>8867.7180000000008</v>
      </c>
      <c r="W76" s="30">
        <f t="shared" si="13"/>
        <v>6.3909999999996217</v>
      </c>
      <c r="X76" s="30"/>
      <c r="Y76" s="30"/>
      <c r="Z76" s="30"/>
      <c r="AA76" s="30"/>
      <c r="AB76" s="30"/>
      <c r="AC76" s="30"/>
      <c r="AD76" s="30"/>
      <c r="AE76" s="30"/>
      <c r="AF76" s="30"/>
      <c r="AG76" s="30"/>
      <c r="AH76" s="30"/>
      <c r="AI76" s="30"/>
      <c r="AJ76" s="30"/>
      <c r="AK76" s="30"/>
      <c r="AL76" s="30"/>
      <c r="AM76" s="30"/>
      <c r="AN76" s="32"/>
      <c r="AO76" s="32"/>
      <c r="AP76" s="32"/>
      <c r="AQ76" s="32"/>
      <c r="AR76" s="32"/>
      <c r="AS76" s="32"/>
      <c r="AT76" s="32"/>
      <c r="AU76" s="32"/>
      <c r="AV76" s="32"/>
      <c r="AW76" s="32"/>
      <c r="AX76" s="32"/>
      <c r="AY76" s="32"/>
      <c r="AZ76" s="32"/>
      <c r="BA76" s="32"/>
      <c r="BB76" s="32"/>
      <c r="BC76" s="32"/>
      <c r="BD76" s="32"/>
      <c r="BE76" s="32"/>
      <c r="BF76" s="32"/>
      <c r="BG76" s="32"/>
      <c r="BH76" s="32"/>
    </row>
    <row r="77" spans="1:60">
      <c r="A77" s="28">
        <v>44228</v>
      </c>
      <c r="B77" s="29">
        <v>2021</v>
      </c>
      <c r="C77" s="30">
        <v>1130.3820000000001</v>
      </c>
      <c r="D77" s="30">
        <v>1130.3620000000001</v>
      </c>
      <c r="E77" s="30">
        <f t="shared" si="7"/>
        <v>1.999999999998181E-2</v>
      </c>
      <c r="F77" s="30">
        <v>851.10400000000004</v>
      </c>
      <c r="G77" s="30">
        <v>851.10400000000004</v>
      </c>
      <c r="H77" s="30">
        <f t="shared" si="8"/>
        <v>0</v>
      </c>
      <c r="I77" s="30">
        <v>1138.6949999999999</v>
      </c>
      <c r="J77" s="30">
        <v>1138.655</v>
      </c>
      <c r="K77" s="30">
        <f t="shared" si="9"/>
        <v>3.999999999996362E-2</v>
      </c>
      <c r="L77" s="30">
        <v>1212.633</v>
      </c>
      <c r="M77" s="30">
        <v>1212.596</v>
      </c>
      <c r="N77" s="30">
        <f t="shared" si="10"/>
        <v>3.7000000000034561E-2</v>
      </c>
      <c r="O77" s="30">
        <v>1013.003</v>
      </c>
      <c r="P77" s="30">
        <v>1012.984</v>
      </c>
      <c r="Q77" s="30">
        <f t="shared" si="11"/>
        <v>1.9000000000005457E-2</v>
      </c>
      <c r="R77" s="31">
        <v>8874.1090000000004</v>
      </c>
      <c r="S77" s="31">
        <v>8867.7180000000008</v>
      </c>
      <c r="T77" s="30">
        <f t="shared" si="12"/>
        <v>6.3909999999996217</v>
      </c>
      <c r="U77" s="31">
        <v>8931.5570000000007</v>
      </c>
      <c r="V77" s="31">
        <v>8925.1859999999997</v>
      </c>
      <c r="W77" s="30">
        <f t="shared" si="13"/>
        <v>6.3710000000010041</v>
      </c>
      <c r="X77" s="30"/>
      <c r="Y77" s="30"/>
      <c r="Z77" s="30"/>
      <c r="AA77" s="30"/>
      <c r="AB77" s="30"/>
      <c r="AC77" s="30"/>
      <c r="AD77" s="30"/>
      <c r="AE77" s="30"/>
      <c r="AF77" s="30"/>
      <c r="AG77" s="30"/>
      <c r="AH77" s="30"/>
      <c r="AI77" s="30"/>
      <c r="AJ77" s="30"/>
      <c r="AK77" s="30"/>
      <c r="AL77" s="30"/>
      <c r="AM77" s="30"/>
      <c r="AN77" s="32"/>
      <c r="AO77" s="32"/>
      <c r="AP77" s="32"/>
      <c r="AQ77" s="32"/>
      <c r="AR77" s="32"/>
      <c r="AS77" s="32"/>
      <c r="AT77" s="32"/>
      <c r="AU77" s="32"/>
      <c r="AV77" s="32"/>
      <c r="AW77" s="32"/>
      <c r="AX77" s="32"/>
      <c r="AY77" s="32"/>
      <c r="AZ77" s="32"/>
      <c r="BA77" s="32"/>
      <c r="BB77" s="32"/>
      <c r="BC77" s="32"/>
      <c r="BD77" s="32"/>
      <c r="BE77" s="32"/>
      <c r="BF77" s="32"/>
      <c r="BG77" s="32"/>
      <c r="BH77" s="32"/>
    </row>
    <row r="78" spans="1:60">
      <c r="A78" s="28">
        <v>44256</v>
      </c>
      <c r="B78" s="29">
        <v>2021</v>
      </c>
      <c r="C78" s="30">
        <v>1108.3399999999999</v>
      </c>
      <c r="D78" s="30">
        <v>1108.3399999999999</v>
      </c>
      <c r="E78" s="30">
        <f t="shared" si="7"/>
        <v>0</v>
      </c>
      <c r="F78" s="30">
        <v>859.327</v>
      </c>
      <c r="G78" s="30">
        <v>859.327</v>
      </c>
      <c r="H78" s="30">
        <f t="shared" si="8"/>
        <v>0</v>
      </c>
      <c r="I78" s="30">
        <v>1387.8820000000001</v>
      </c>
      <c r="J78" s="30">
        <v>1387.855</v>
      </c>
      <c r="K78" s="30">
        <f t="shared" si="9"/>
        <v>2.7000000000043656E-2</v>
      </c>
      <c r="L78" s="30">
        <v>1288.7159999999999</v>
      </c>
      <c r="M78" s="30">
        <v>1288.691</v>
      </c>
      <c r="N78" s="30">
        <f t="shared" si="10"/>
        <v>2.4999999999863576E-2</v>
      </c>
      <c r="O78" s="30">
        <v>1140.4849999999999</v>
      </c>
      <c r="P78" s="30">
        <v>1140.4849999999999</v>
      </c>
      <c r="Q78" s="30">
        <f t="shared" si="11"/>
        <v>0</v>
      </c>
      <c r="R78" s="31">
        <v>8931.5570000000007</v>
      </c>
      <c r="S78" s="31">
        <v>8925.1859999999997</v>
      </c>
      <c r="T78" s="30">
        <f t="shared" si="12"/>
        <v>6.3710000000010041</v>
      </c>
      <c r="U78" s="31">
        <v>8715.3340000000007</v>
      </c>
      <c r="V78" s="31">
        <v>8708.99</v>
      </c>
      <c r="W78" s="30">
        <f t="shared" si="13"/>
        <v>6.3440000000009604</v>
      </c>
      <c r="X78" s="30"/>
      <c r="Y78" s="30"/>
      <c r="Z78" s="30"/>
      <c r="AA78" s="30"/>
      <c r="AB78" s="30"/>
      <c r="AC78" s="30"/>
      <c r="AD78" s="30"/>
      <c r="AE78" s="30"/>
      <c r="AF78" s="30"/>
      <c r="AG78" s="30"/>
      <c r="AH78" s="30"/>
      <c r="AI78" s="30"/>
      <c r="AJ78" s="30"/>
      <c r="AK78" s="30"/>
      <c r="AL78" s="30"/>
      <c r="AM78" s="30"/>
      <c r="AN78" s="32"/>
      <c r="AO78" s="32"/>
      <c r="AP78" s="32"/>
      <c r="AQ78" s="32"/>
      <c r="AR78" s="32"/>
      <c r="AS78" s="32"/>
      <c r="AT78" s="32"/>
      <c r="AU78" s="32"/>
      <c r="AV78" s="32"/>
      <c r="AW78" s="32"/>
      <c r="AX78" s="32"/>
      <c r="AY78" s="32"/>
      <c r="AZ78" s="32"/>
      <c r="BA78" s="32"/>
      <c r="BB78" s="32"/>
      <c r="BC78" s="32"/>
      <c r="BD78" s="32"/>
      <c r="BE78" s="32"/>
      <c r="BF78" s="32"/>
      <c r="BG78" s="32"/>
      <c r="BH78" s="32"/>
    </row>
    <row r="79" spans="1:60">
      <c r="A79" s="28">
        <v>44287</v>
      </c>
      <c r="B79" s="29">
        <v>2021</v>
      </c>
      <c r="C79" s="30">
        <v>1177.385</v>
      </c>
      <c r="D79" s="30">
        <v>1177.366</v>
      </c>
      <c r="E79" s="30">
        <f t="shared" si="7"/>
        <v>1.9000000000005457E-2</v>
      </c>
      <c r="F79" s="30">
        <v>696.85400000000004</v>
      </c>
      <c r="G79" s="30">
        <v>696.85400000000004</v>
      </c>
      <c r="H79" s="30">
        <f t="shared" si="8"/>
        <v>0</v>
      </c>
      <c r="I79" s="30">
        <v>1475.037</v>
      </c>
      <c r="J79" s="30">
        <v>1474.886</v>
      </c>
      <c r="K79" s="30">
        <f t="shared" si="9"/>
        <v>0.1510000000000673</v>
      </c>
      <c r="L79" s="30">
        <v>1405.9069999999999</v>
      </c>
      <c r="M79" s="30">
        <v>1405.76</v>
      </c>
      <c r="N79" s="30">
        <f t="shared" si="10"/>
        <v>0.14699999999993452</v>
      </c>
      <c r="O79" s="30">
        <v>1149.1990000000001</v>
      </c>
      <c r="P79" s="30">
        <v>1149.181</v>
      </c>
      <c r="Q79" s="30">
        <f t="shared" si="11"/>
        <v>1.8000000000029104E-2</v>
      </c>
      <c r="R79" s="31">
        <v>8715.3340000000007</v>
      </c>
      <c r="S79" s="31">
        <v>8708.99</v>
      </c>
      <c r="T79" s="30">
        <f t="shared" si="12"/>
        <v>6.3440000000009604</v>
      </c>
      <c r="U79" s="31">
        <v>8702.7540000000008</v>
      </c>
      <c r="V79" s="31">
        <v>8696.5419999999995</v>
      </c>
      <c r="W79" s="30">
        <f t="shared" si="13"/>
        <v>6.2120000000013533</v>
      </c>
      <c r="X79" s="30"/>
      <c r="Y79" s="30"/>
      <c r="Z79" s="30"/>
      <c r="AA79" s="30"/>
      <c r="AB79" s="30"/>
      <c r="AC79" s="30"/>
      <c r="AD79" s="30"/>
      <c r="AE79" s="30"/>
      <c r="AF79" s="30"/>
      <c r="AG79" s="30"/>
      <c r="AH79" s="30"/>
      <c r="AI79" s="30"/>
      <c r="AJ79" s="30"/>
      <c r="AK79" s="30"/>
      <c r="AL79" s="30"/>
      <c r="AM79" s="30"/>
      <c r="AN79" s="32"/>
      <c r="AO79" s="32"/>
      <c r="AP79" s="32"/>
      <c r="AQ79" s="32"/>
      <c r="AR79" s="32"/>
      <c r="AS79" s="32"/>
      <c r="AT79" s="32"/>
      <c r="AU79" s="32"/>
      <c r="AV79" s="32"/>
      <c r="AW79" s="32"/>
      <c r="AX79" s="32"/>
      <c r="AY79" s="32"/>
      <c r="AZ79" s="32"/>
      <c r="BA79" s="32"/>
      <c r="BB79" s="32"/>
      <c r="BC79" s="32"/>
      <c r="BD79" s="32"/>
      <c r="BE79" s="32"/>
      <c r="BF79" s="32"/>
      <c r="BG79" s="32"/>
      <c r="BH79" s="32"/>
    </row>
    <row r="80" spans="1:60">
      <c r="A80" s="28">
        <v>44317</v>
      </c>
      <c r="B80" s="29">
        <v>2021</v>
      </c>
      <c r="C80" s="30">
        <v>1550.68</v>
      </c>
      <c r="D80" s="30">
        <v>1550.662</v>
      </c>
      <c r="E80" s="30">
        <f t="shared" si="7"/>
        <v>1.8000000000029104E-2</v>
      </c>
      <c r="F80" s="30">
        <v>751.86400000000003</v>
      </c>
      <c r="G80" s="30">
        <v>751.86400000000003</v>
      </c>
      <c r="H80" s="30">
        <f t="shared" si="8"/>
        <v>0</v>
      </c>
      <c r="I80" s="30">
        <v>1841.704</v>
      </c>
      <c r="J80" s="30">
        <v>1841.5920000000001</v>
      </c>
      <c r="K80" s="30">
        <f t="shared" si="9"/>
        <v>0.11199999999985266</v>
      </c>
      <c r="L80" s="30">
        <v>1600.3050000000001</v>
      </c>
      <c r="M80" s="30">
        <v>1600.193</v>
      </c>
      <c r="N80" s="30">
        <f t="shared" si="10"/>
        <v>0.11200000000008004</v>
      </c>
      <c r="O80" s="30">
        <v>1360.569</v>
      </c>
      <c r="P80" s="30">
        <v>1360.5519999999999</v>
      </c>
      <c r="Q80" s="30">
        <f t="shared" si="11"/>
        <v>1.7000000000052751E-2</v>
      </c>
      <c r="R80" s="31">
        <v>8702.7540000000008</v>
      </c>
      <c r="S80" s="31">
        <v>8696.5419999999995</v>
      </c>
      <c r="T80" s="30">
        <f t="shared" si="12"/>
        <v>6.2120000000013533</v>
      </c>
      <c r="U80" s="31">
        <v>8755.3070000000007</v>
      </c>
      <c r="V80" s="31">
        <v>8749.1890000000003</v>
      </c>
      <c r="W80" s="30">
        <f t="shared" si="13"/>
        <v>6.1180000000003929</v>
      </c>
      <c r="X80" s="30"/>
      <c r="Y80" s="30"/>
      <c r="Z80" s="30"/>
      <c r="AA80" s="30"/>
      <c r="AB80" s="30"/>
      <c r="AC80" s="30"/>
      <c r="AD80" s="30"/>
      <c r="AE80" s="30"/>
      <c r="AF80" s="30"/>
      <c r="AG80" s="30"/>
      <c r="AH80" s="30"/>
      <c r="AI80" s="30"/>
      <c r="AJ80" s="30"/>
      <c r="AK80" s="30"/>
      <c r="AL80" s="30"/>
      <c r="AM80" s="30"/>
      <c r="AN80" s="32"/>
      <c r="AO80" s="32"/>
      <c r="AP80" s="32"/>
      <c r="AQ80" s="32"/>
      <c r="AR80" s="32"/>
      <c r="AS80" s="32"/>
      <c r="AT80" s="32"/>
      <c r="AU80" s="32"/>
      <c r="AV80" s="32"/>
      <c r="AW80" s="32"/>
      <c r="AX80" s="32"/>
      <c r="AY80" s="32"/>
      <c r="AZ80" s="32"/>
      <c r="BA80" s="32"/>
      <c r="BB80" s="32"/>
      <c r="BC80" s="32"/>
      <c r="BD80" s="32"/>
      <c r="BE80" s="32"/>
      <c r="BF80" s="32"/>
      <c r="BG80" s="32"/>
      <c r="BH80" s="32"/>
    </row>
    <row r="81" spans="1:60">
      <c r="A81" s="28">
        <v>44348</v>
      </c>
      <c r="B81" s="29">
        <v>2021</v>
      </c>
      <c r="C81" s="30">
        <v>1246.252</v>
      </c>
      <c r="D81" s="30">
        <v>1246.232</v>
      </c>
      <c r="E81" s="30">
        <f t="shared" si="7"/>
        <v>1.999999999998181E-2</v>
      </c>
      <c r="F81" s="30">
        <v>879.30899999999997</v>
      </c>
      <c r="G81" s="30">
        <v>879.30899999999997</v>
      </c>
      <c r="H81" s="30">
        <f t="shared" si="8"/>
        <v>0</v>
      </c>
      <c r="I81" s="30">
        <v>2047.586</v>
      </c>
      <c r="J81" s="30">
        <v>2047.462</v>
      </c>
      <c r="K81" s="30">
        <f t="shared" si="9"/>
        <v>0.12400000000002365</v>
      </c>
      <c r="L81" s="30">
        <v>1986.817</v>
      </c>
      <c r="M81" s="30">
        <v>1986.6949999999999</v>
      </c>
      <c r="N81" s="30">
        <f t="shared" si="10"/>
        <v>0.12200000000007094</v>
      </c>
      <c r="O81" s="30">
        <v>1621.79</v>
      </c>
      <c r="P81" s="30">
        <v>1621.771</v>
      </c>
      <c r="Q81" s="30">
        <f t="shared" si="11"/>
        <v>1.9000000000005457E-2</v>
      </c>
      <c r="R81" s="31">
        <v>8754.8539999999994</v>
      </c>
      <c r="S81" s="31">
        <v>8748.7360000000008</v>
      </c>
      <c r="T81" s="30">
        <f t="shared" si="12"/>
        <v>6.1179999999985739</v>
      </c>
      <c r="U81" s="31">
        <v>8487.6509999999998</v>
      </c>
      <c r="V81" s="31">
        <v>8481.6370000000006</v>
      </c>
      <c r="W81" s="30">
        <f t="shared" si="13"/>
        <v>6.0139999999992142</v>
      </c>
      <c r="X81" s="30"/>
      <c r="Y81" s="30"/>
      <c r="Z81" s="30"/>
      <c r="AA81" s="30"/>
      <c r="AB81" s="30"/>
      <c r="AC81" s="30"/>
      <c r="AD81" s="30"/>
      <c r="AE81" s="30"/>
      <c r="AF81" s="30"/>
      <c r="AG81" s="30"/>
      <c r="AH81" s="30"/>
      <c r="AI81" s="30"/>
      <c r="AJ81" s="30"/>
      <c r="AK81" s="30"/>
      <c r="AL81" s="30"/>
      <c r="AM81" s="30"/>
      <c r="AN81" s="32"/>
      <c r="AO81" s="32"/>
      <c r="AP81" s="32"/>
      <c r="AQ81" s="32"/>
      <c r="AR81" s="32"/>
      <c r="AS81" s="32"/>
      <c r="AT81" s="32"/>
      <c r="AU81" s="32"/>
      <c r="AV81" s="32"/>
      <c r="AW81" s="32"/>
      <c r="AX81" s="32"/>
      <c r="AY81" s="32"/>
      <c r="AZ81" s="32"/>
      <c r="BA81" s="32"/>
      <c r="BB81" s="32"/>
      <c r="BC81" s="32"/>
      <c r="BD81" s="32"/>
      <c r="BE81" s="32"/>
      <c r="BF81" s="32"/>
      <c r="BG81" s="32"/>
      <c r="BH81" s="32"/>
    </row>
    <row r="82" spans="1:60">
      <c r="A82" s="28">
        <v>44378</v>
      </c>
      <c r="B82" s="29">
        <v>2021</v>
      </c>
      <c r="C82" s="30">
        <v>1727.606</v>
      </c>
      <c r="D82" s="30">
        <v>1727.586</v>
      </c>
      <c r="E82" s="30">
        <f t="shared" si="7"/>
        <v>1.999999999998181E-2</v>
      </c>
      <c r="F82" s="30">
        <v>1034.972</v>
      </c>
      <c r="G82" s="30">
        <v>1034.972</v>
      </c>
      <c r="H82" s="30">
        <f t="shared" si="8"/>
        <v>0</v>
      </c>
      <c r="I82" s="30">
        <v>2724.7440000000001</v>
      </c>
      <c r="J82" s="30">
        <v>2724.6869999999999</v>
      </c>
      <c r="K82" s="30">
        <f t="shared" si="9"/>
        <v>5.7000000000243745E-2</v>
      </c>
      <c r="L82" s="30">
        <v>2674.489</v>
      </c>
      <c r="M82" s="30">
        <v>2674.43</v>
      </c>
      <c r="N82" s="30">
        <f t="shared" si="10"/>
        <v>5.9000000000196451E-2</v>
      </c>
      <c r="O82" s="30">
        <v>2213.8690000000001</v>
      </c>
      <c r="P82" s="30">
        <v>2213.85</v>
      </c>
      <c r="Q82" s="30">
        <f t="shared" si="11"/>
        <v>1.9000000000232831E-2</v>
      </c>
      <c r="R82" s="31">
        <v>8487.3060000000005</v>
      </c>
      <c r="S82" s="31">
        <v>8481.2919999999995</v>
      </c>
      <c r="T82" s="30">
        <f t="shared" si="12"/>
        <v>6.0140000000010332</v>
      </c>
      <c r="U82" s="31">
        <v>8046.48</v>
      </c>
      <c r="V82" s="31">
        <v>8040.5029999999997</v>
      </c>
      <c r="W82" s="30">
        <f t="shared" si="13"/>
        <v>5.9769999999998618</v>
      </c>
      <c r="X82" s="30"/>
      <c r="Y82" s="30"/>
      <c r="Z82" s="30"/>
      <c r="AA82" s="30"/>
      <c r="AB82" s="30"/>
      <c r="AC82" s="30"/>
      <c r="AD82" s="30"/>
      <c r="AE82" s="30"/>
      <c r="AF82" s="30"/>
      <c r="AG82" s="30"/>
      <c r="AH82" s="30"/>
      <c r="AI82" s="30"/>
      <c r="AJ82" s="30"/>
      <c r="AK82" s="30"/>
      <c r="AL82" s="30"/>
      <c r="AM82" s="30"/>
      <c r="AN82" s="32"/>
      <c r="AO82" s="32"/>
      <c r="AP82" s="32"/>
      <c r="AQ82" s="32"/>
      <c r="AR82" s="32"/>
      <c r="AS82" s="32"/>
      <c r="AT82" s="32"/>
      <c r="AU82" s="32"/>
      <c r="AV82" s="32"/>
      <c r="AW82" s="32"/>
      <c r="AX82" s="32"/>
      <c r="AY82" s="32"/>
      <c r="AZ82" s="32"/>
      <c r="BA82" s="32"/>
      <c r="BB82" s="32"/>
      <c r="BC82" s="32"/>
      <c r="BD82" s="32"/>
      <c r="BE82" s="32"/>
      <c r="BF82" s="32"/>
      <c r="BG82" s="32"/>
      <c r="BH82" s="32"/>
    </row>
    <row r="83" spans="1:60">
      <c r="A83" s="28">
        <v>44409</v>
      </c>
      <c r="B83" s="29">
        <v>2021</v>
      </c>
      <c r="C83" s="30">
        <v>2095.6019999999999</v>
      </c>
      <c r="D83" s="30">
        <v>2095.5839999999998</v>
      </c>
      <c r="E83" s="30">
        <f t="shared" si="7"/>
        <v>1.8000000000029104E-2</v>
      </c>
      <c r="F83" s="30">
        <v>1325.8040000000001</v>
      </c>
      <c r="G83" s="30">
        <v>1325.8040000000001</v>
      </c>
      <c r="H83" s="30">
        <f t="shared" si="8"/>
        <v>0</v>
      </c>
      <c r="I83" s="30">
        <v>3101.1680000000001</v>
      </c>
      <c r="J83" s="30">
        <v>3101.1129999999998</v>
      </c>
      <c r="K83" s="30">
        <f t="shared" si="9"/>
        <v>5.5000000000291038E-2</v>
      </c>
      <c r="L83" s="30">
        <v>3010.9920000000002</v>
      </c>
      <c r="M83" s="30">
        <v>3010.9369999999999</v>
      </c>
      <c r="N83" s="30">
        <f t="shared" si="10"/>
        <v>5.5000000000291038E-2</v>
      </c>
      <c r="O83" s="30">
        <v>2464.5839999999998</v>
      </c>
      <c r="P83" s="30">
        <v>2464.567</v>
      </c>
      <c r="Q83" s="30">
        <f t="shared" si="11"/>
        <v>1.6999999999825377E-2</v>
      </c>
      <c r="R83" s="31">
        <v>8046.48</v>
      </c>
      <c r="S83" s="31">
        <v>8040.5029999999997</v>
      </c>
      <c r="T83" s="30">
        <f t="shared" si="12"/>
        <v>5.9769999999998618</v>
      </c>
      <c r="U83" s="31">
        <v>7677.6850000000004</v>
      </c>
      <c r="V83" s="31">
        <v>7671.7449999999999</v>
      </c>
      <c r="W83" s="30">
        <f t="shared" si="13"/>
        <v>5.9400000000005093</v>
      </c>
      <c r="X83" s="30"/>
      <c r="Y83" s="30"/>
      <c r="Z83" s="30"/>
      <c r="AA83" s="30"/>
      <c r="AB83" s="30"/>
      <c r="AC83" s="30"/>
      <c r="AD83" s="30"/>
      <c r="AE83" s="30"/>
      <c r="AF83" s="30"/>
      <c r="AG83" s="30"/>
      <c r="AH83" s="30"/>
      <c r="AI83" s="30"/>
      <c r="AJ83" s="30"/>
      <c r="AK83" s="30"/>
      <c r="AL83" s="30"/>
      <c r="AM83" s="30"/>
      <c r="AN83" s="32"/>
      <c r="AO83" s="32"/>
      <c r="AP83" s="32"/>
      <c r="AQ83" s="32"/>
      <c r="AR83" s="32"/>
      <c r="AS83" s="32"/>
      <c r="AT83" s="32"/>
      <c r="AU83" s="32"/>
      <c r="AV83" s="32"/>
      <c r="AW83" s="32"/>
      <c r="AX83" s="32"/>
      <c r="AY83" s="32"/>
      <c r="AZ83" s="32"/>
      <c r="BA83" s="32"/>
      <c r="BB83" s="32"/>
      <c r="BC83" s="32"/>
      <c r="BD83" s="32"/>
      <c r="BE83" s="32"/>
      <c r="BF83" s="32"/>
      <c r="BG83" s="32"/>
      <c r="BH83" s="32"/>
    </row>
    <row r="84" spans="1:60">
      <c r="A84" s="28">
        <v>44440</v>
      </c>
      <c r="B84" s="29">
        <v>2021</v>
      </c>
      <c r="C84" s="30">
        <v>1712.91</v>
      </c>
      <c r="D84" s="30">
        <v>1712.91</v>
      </c>
      <c r="E84" s="30">
        <f t="shared" si="7"/>
        <v>0</v>
      </c>
      <c r="F84" s="30">
        <v>1160.915</v>
      </c>
      <c r="G84" s="30">
        <v>1160.915</v>
      </c>
      <c r="H84" s="30">
        <f t="shared" si="8"/>
        <v>0</v>
      </c>
      <c r="I84" s="30">
        <v>2968.6840000000002</v>
      </c>
      <c r="J84" s="30">
        <v>2968.5920000000001</v>
      </c>
      <c r="K84" s="30">
        <f t="shared" si="9"/>
        <v>9.2000000000098225E-2</v>
      </c>
      <c r="L84" s="30">
        <v>2864.8420000000001</v>
      </c>
      <c r="M84" s="30">
        <v>2864.7510000000002</v>
      </c>
      <c r="N84" s="30">
        <f t="shared" si="10"/>
        <v>9.0999999999894499E-2</v>
      </c>
      <c r="O84" s="30">
        <v>2432.576</v>
      </c>
      <c r="P84" s="30">
        <v>2432.576</v>
      </c>
      <c r="Q84" s="30">
        <f t="shared" si="11"/>
        <v>0</v>
      </c>
      <c r="R84" s="31">
        <v>7677.6850000000004</v>
      </c>
      <c r="S84" s="31">
        <v>7671.7449999999999</v>
      </c>
      <c r="T84" s="30">
        <f t="shared" si="12"/>
        <v>5.9400000000005093</v>
      </c>
      <c r="U84" s="31">
        <v>7038.3320000000003</v>
      </c>
      <c r="V84" s="31">
        <v>7032.4840000000004</v>
      </c>
      <c r="W84" s="30">
        <f t="shared" si="13"/>
        <v>5.8479999999999563</v>
      </c>
      <c r="X84" s="30"/>
      <c r="Y84" s="30"/>
      <c r="Z84" s="30"/>
      <c r="AA84" s="30"/>
      <c r="AB84" s="30"/>
      <c r="AC84" s="30"/>
      <c r="AD84" s="30"/>
      <c r="AE84" s="30"/>
      <c r="AF84" s="30"/>
      <c r="AG84" s="30"/>
      <c r="AH84" s="30"/>
      <c r="AI84" s="30"/>
      <c r="AJ84" s="30"/>
      <c r="AK84" s="30"/>
      <c r="AL84" s="30"/>
      <c r="AM84" s="30"/>
      <c r="AN84" s="32"/>
      <c r="AO84" s="32"/>
      <c r="AP84" s="32"/>
      <c r="AQ84" s="32"/>
      <c r="AR84" s="32"/>
      <c r="AS84" s="32"/>
      <c r="AT84" s="32"/>
      <c r="AU84" s="32"/>
      <c r="AV84" s="32"/>
      <c r="AW84" s="32"/>
      <c r="AX84" s="32"/>
      <c r="AY84" s="32"/>
      <c r="AZ84" s="32"/>
      <c r="BA84" s="32"/>
      <c r="BB84" s="32"/>
      <c r="BC84" s="32"/>
      <c r="BD84" s="32"/>
      <c r="BE84" s="32"/>
      <c r="BF84" s="32"/>
      <c r="BG84" s="32"/>
      <c r="BH84" s="32"/>
    </row>
    <row r="85" spans="1:60">
      <c r="A85" s="28">
        <v>44470</v>
      </c>
      <c r="B85" s="29">
        <v>2021</v>
      </c>
      <c r="C85" s="30">
        <v>1849.374</v>
      </c>
      <c r="D85" s="30">
        <v>1849.354</v>
      </c>
      <c r="E85" s="30">
        <f t="shared" si="7"/>
        <v>1.999999999998181E-2</v>
      </c>
      <c r="F85" s="30">
        <v>1171.366</v>
      </c>
      <c r="G85" s="30">
        <v>1247.366</v>
      </c>
      <c r="H85" s="30">
        <v>0</v>
      </c>
      <c r="I85" s="30">
        <v>2899.5369999999998</v>
      </c>
      <c r="J85" s="30">
        <v>2823.42</v>
      </c>
      <c r="K85" s="30">
        <f t="shared" si="9"/>
        <v>76.116999999999734</v>
      </c>
      <c r="L85" s="30">
        <v>2850.0520000000001</v>
      </c>
      <c r="M85" s="30">
        <v>2849.9270000000001</v>
      </c>
      <c r="N85" s="30">
        <f t="shared" si="10"/>
        <v>0.125</v>
      </c>
      <c r="O85" s="30">
        <v>2343.6619999999998</v>
      </c>
      <c r="P85" s="30">
        <v>2343.643</v>
      </c>
      <c r="Q85" s="30">
        <f t="shared" si="11"/>
        <v>1.8999999999778083E-2</v>
      </c>
      <c r="R85" s="31">
        <v>7116.6260000000002</v>
      </c>
      <c r="S85" s="31">
        <v>7110.7780000000002</v>
      </c>
      <c r="T85" s="30">
        <f t="shared" si="12"/>
        <v>5.8479999999999563</v>
      </c>
      <c r="U85" s="31">
        <v>6676.1689999999999</v>
      </c>
      <c r="V85" s="31">
        <v>6670.4179999999997</v>
      </c>
      <c r="W85" s="30">
        <f t="shared" si="13"/>
        <v>5.7510000000002037</v>
      </c>
      <c r="X85" s="30"/>
      <c r="Y85" s="30"/>
      <c r="Z85" s="30"/>
      <c r="AA85" s="30"/>
      <c r="AB85" s="30"/>
      <c r="AC85" s="30"/>
      <c r="AD85" s="30"/>
      <c r="AE85" s="30"/>
      <c r="AF85" s="30"/>
      <c r="AG85" s="30"/>
      <c r="AH85" s="30"/>
      <c r="AI85" s="30"/>
      <c r="AJ85" s="30"/>
      <c r="AK85" s="30"/>
      <c r="AL85" s="30"/>
      <c r="AM85" s="30"/>
      <c r="AN85" s="32"/>
      <c r="AO85" s="32"/>
      <c r="AP85" s="32"/>
      <c r="AQ85" s="32"/>
      <c r="AR85" s="32"/>
      <c r="AS85" s="32"/>
      <c r="AT85" s="32"/>
      <c r="AU85" s="32"/>
      <c r="AV85" s="32"/>
      <c r="AW85" s="32"/>
      <c r="AX85" s="32"/>
      <c r="AY85" s="32"/>
      <c r="AZ85" s="32"/>
      <c r="BA85" s="32"/>
      <c r="BB85" s="32"/>
      <c r="BC85" s="32"/>
      <c r="BD85" s="32"/>
      <c r="BE85" s="32"/>
      <c r="BF85" s="32"/>
      <c r="BG85" s="32"/>
      <c r="BH85" s="32"/>
    </row>
    <row r="86" spans="1:60">
      <c r="A86" s="28">
        <v>44501</v>
      </c>
      <c r="B86" s="29">
        <v>2021</v>
      </c>
      <c r="C86" s="30">
        <v>1970.8720000000001</v>
      </c>
      <c r="D86" s="30">
        <v>1970.8510000000001</v>
      </c>
      <c r="E86" s="30">
        <f t="shared" si="7"/>
        <v>2.0999999999958163E-2</v>
      </c>
      <c r="F86" s="30">
        <v>1081.201</v>
      </c>
      <c r="G86" s="30">
        <v>1081.201</v>
      </c>
      <c r="H86" s="30">
        <f t="shared" si="8"/>
        <v>0</v>
      </c>
      <c r="I86" s="30">
        <v>2462.152</v>
      </c>
      <c r="J86" s="30">
        <v>2461.9969999999998</v>
      </c>
      <c r="K86" s="30">
        <f t="shared" si="9"/>
        <v>0.15500000000020009</v>
      </c>
      <c r="L86" s="30">
        <v>2553.299</v>
      </c>
      <c r="M86" s="30">
        <v>2553.1190000000001</v>
      </c>
      <c r="N86" s="30">
        <f t="shared" si="10"/>
        <v>0.17999999999983629</v>
      </c>
      <c r="O86" s="30">
        <v>2099.8069999999998</v>
      </c>
      <c r="P86" s="30">
        <v>2099.7869999999998</v>
      </c>
      <c r="Q86" s="30">
        <f t="shared" si="11"/>
        <v>1.999999999998181E-2</v>
      </c>
      <c r="R86" s="31">
        <v>6676.1689999999999</v>
      </c>
      <c r="S86" s="31">
        <v>6670.4179999999997</v>
      </c>
      <c r="T86" s="30">
        <f t="shared" si="12"/>
        <v>5.7510000000002037</v>
      </c>
      <c r="U86" s="31">
        <v>6912.777</v>
      </c>
      <c r="V86" s="31">
        <v>6907.16</v>
      </c>
      <c r="W86" s="30">
        <f t="shared" si="13"/>
        <v>5.6170000000001892</v>
      </c>
      <c r="X86" s="30"/>
      <c r="Y86" s="30"/>
      <c r="Z86" s="30"/>
      <c r="AA86" s="30"/>
      <c r="AB86" s="30"/>
      <c r="AC86" s="30"/>
      <c r="AD86" s="30"/>
      <c r="AE86" s="30"/>
      <c r="AF86" s="30"/>
      <c r="AG86" s="30"/>
      <c r="AH86" s="30"/>
      <c r="AI86" s="30"/>
      <c r="AJ86" s="30"/>
      <c r="AK86" s="30"/>
      <c r="AL86" s="30"/>
      <c r="AM86" s="30"/>
      <c r="AN86" s="32"/>
      <c r="AO86" s="32"/>
      <c r="AP86" s="32"/>
      <c r="AQ86" s="32"/>
      <c r="AR86" s="32"/>
      <c r="AS86" s="32"/>
      <c r="AT86" s="32"/>
      <c r="AU86" s="32"/>
      <c r="AV86" s="32"/>
      <c r="AW86" s="32"/>
      <c r="AX86" s="32"/>
      <c r="AY86" s="32"/>
      <c r="AZ86" s="32"/>
      <c r="BA86" s="32"/>
      <c r="BB86" s="32"/>
      <c r="BC86" s="32"/>
      <c r="BD86" s="32"/>
      <c r="BE86" s="32"/>
      <c r="BF86" s="32"/>
      <c r="BG86" s="32"/>
      <c r="BH86" s="32"/>
    </row>
    <row r="87" spans="1:60">
      <c r="A87" s="28">
        <v>44531</v>
      </c>
      <c r="B87" s="29">
        <v>2021</v>
      </c>
      <c r="C87" s="30">
        <v>2007.2360000000001</v>
      </c>
      <c r="D87" s="30">
        <v>2007.2360000000001</v>
      </c>
      <c r="E87" s="30">
        <f t="shared" si="7"/>
        <v>0</v>
      </c>
      <c r="F87" s="30">
        <v>1432.4970000000001</v>
      </c>
      <c r="G87" s="30">
        <v>1432.4970000000001</v>
      </c>
      <c r="H87" s="30">
        <f t="shared" si="8"/>
        <v>0</v>
      </c>
      <c r="I87" s="30">
        <v>2710.2159999999999</v>
      </c>
      <c r="J87" s="30">
        <v>2707.6410000000001</v>
      </c>
      <c r="K87" s="30">
        <f t="shared" si="9"/>
        <v>2.5749999999998181</v>
      </c>
      <c r="L87" s="30">
        <v>2589.8220000000001</v>
      </c>
      <c r="M87" s="30">
        <v>2587.2460000000001</v>
      </c>
      <c r="N87" s="30">
        <f t="shared" si="10"/>
        <v>2.5760000000000218</v>
      </c>
      <c r="O87" s="30">
        <v>2120.2069999999999</v>
      </c>
      <c r="P87" s="30">
        <v>2120.2069999999999</v>
      </c>
      <c r="Q87" s="30">
        <f t="shared" si="11"/>
        <v>0</v>
      </c>
      <c r="R87" s="31">
        <v>6912.777</v>
      </c>
      <c r="S87" s="31">
        <v>6907.16</v>
      </c>
      <c r="T87" s="30">
        <f t="shared" si="12"/>
        <v>5.6170000000001892</v>
      </c>
      <c r="U87" s="31">
        <v>6678.7550000000001</v>
      </c>
      <c r="V87" s="31">
        <v>6675.7129999999997</v>
      </c>
      <c r="W87" s="30">
        <f t="shared" si="13"/>
        <v>3.0420000000003711</v>
      </c>
      <c r="X87" s="30"/>
      <c r="Y87" s="30"/>
      <c r="Z87" s="30"/>
      <c r="AA87" s="30"/>
      <c r="AB87" s="30"/>
      <c r="AC87" s="30"/>
      <c r="AD87" s="30"/>
      <c r="AE87" s="30"/>
      <c r="AF87" s="30"/>
      <c r="AG87" s="30"/>
      <c r="AH87" s="30"/>
      <c r="AI87" s="30"/>
      <c r="AJ87" s="30"/>
      <c r="AK87" s="30"/>
      <c r="AL87" s="30"/>
      <c r="AM87" s="30"/>
      <c r="AN87" s="32"/>
      <c r="AO87" s="32"/>
      <c r="AP87" s="32"/>
      <c r="AQ87" s="32"/>
      <c r="AR87" s="32"/>
      <c r="AS87" s="32"/>
      <c r="AT87" s="32"/>
      <c r="AU87" s="32"/>
      <c r="AV87" s="32"/>
      <c r="AW87" s="32"/>
      <c r="AX87" s="32"/>
      <c r="AY87" s="32"/>
      <c r="AZ87" s="32"/>
      <c r="BA87" s="32"/>
      <c r="BB87" s="32"/>
      <c r="BC87" s="32"/>
      <c r="BD87" s="32"/>
      <c r="BE87" s="32"/>
      <c r="BF87" s="32"/>
      <c r="BG87" s="32"/>
      <c r="BH87" s="32"/>
    </row>
    <row r="88" spans="1:60">
      <c r="A88" s="28">
        <v>44562</v>
      </c>
      <c r="B88" s="29">
        <v>2022</v>
      </c>
      <c r="C88" s="30">
        <v>1455.5630000000001</v>
      </c>
      <c r="D88" s="30">
        <v>1455.5630000000001</v>
      </c>
      <c r="E88" s="30">
        <f t="shared" si="7"/>
        <v>0</v>
      </c>
      <c r="F88" s="30">
        <v>972.10199999999998</v>
      </c>
      <c r="G88" s="30">
        <v>972.10199999999998</v>
      </c>
      <c r="H88" s="30">
        <f t="shared" si="8"/>
        <v>0</v>
      </c>
      <c r="I88" s="30">
        <v>2437.797</v>
      </c>
      <c r="J88" s="30">
        <v>2437.797</v>
      </c>
      <c r="K88" s="30">
        <f t="shared" si="9"/>
        <v>0</v>
      </c>
      <c r="L88" s="30">
        <v>2323.0059999999999</v>
      </c>
      <c r="M88" s="30">
        <v>2323.0059999999999</v>
      </c>
      <c r="N88" s="30">
        <f t="shared" si="10"/>
        <v>0</v>
      </c>
      <c r="O88" s="30">
        <v>1912.77</v>
      </c>
      <c r="P88" s="30">
        <v>1912.77</v>
      </c>
      <c r="Q88" s="30">
        <f t="shared" si="11"/>
        <v>0</v>
      </c>
      <c r="R88" s="31">
        <v>6678.7569999999996</v>
      </c>
      <c r="S88" s="31">
        <v>6675.7150000000001</v>
      </c>
      <c r="T88" s="30">
        <f t="shared" si="12"/>
        <v>3.0419999999994616</v>
      </c>
      <c r="U88" s="31">
        <v>6804.2370000000001</v>
      </c>
      <c r="V88" s="31">
        <v>6801.1949999999997</v>
      </c>
      <c r="W88" s="30">
        <f t="shared" si="13"/>
        <v>3.0420000000003711</v>
      </c>
      <c r="X88" s="30"/>
      <c r="Y88" s="30"/>
      <c r="Z88" s="30"/>
      <c r="AA88" s="30"/>
      <c r="AB88" s="30"/>
      <c r="AC88" s="30"/>
      <c r="AD88" s="30"/>
      <c r="AE88" s="30"/>
      <c r="AF88" s="30"/>
      <c r="AG88" s="30"/>
      <c r="AH88" s="30"/>
      <c r="AI88" s="30"/>
      <c r="AJ88" s="30"/>
      <c r="AK88" s="30"/>
      <c r="AL88" s="30"/>
      <c r="AM88" s="30"/>
      <c r="AN88" s="32"/>
      <c r="AO88" s="32"/>
      <c r="AP88" s="32"/>
      <c r="AQ88" s="32"/>
      <c r="AR88" s="32"/>
      <c r="AS88" s="32"/>
      <c r="AT88" s="32"/>
      <c r="AU88" s="32"/>
      <c r="AV88" s="32"/>
      <c r="AW88" s="32"/>
      <c r="AX88" s="32"/>
      <c r="AY88" s="32"/>
      <c r="AZ88" s="32"/>
      <c r="BA88" s="32"/>
      <c r="BB88" s="32"/>
      <c r="BC88" s="32"/>
      <c r="BD88" s="32"/>
      <c r="BE88" s="32"/>
      <c r="BF88" s="32"/>
      <c r="BG88" s="32"/>
      <c r="BH88" s="32"/>
    </row>
    <row r="89" spans="1:60">
      <c r="A89" s="28">
        <v>44593</v>
      </c>
      <c r="B89" s="29">
        <v>2022</v>
      </c>
      <c r="C89" s="30">
        <v>1179.248</v>
      </c>
      <c r="D89" s="30">
        <v>1179.2280000000001</v>
      </c>
      <c r="E89" s="30">
        <f t="shared" si="7"/>
        <v>1.999999999998181E-2</v>
      </c>
      <c r="F89" s="30">
        <v>726.12199999999996</v>
      </c>
      <c r="G89" s="30">
        <v>726.12199999999996</v>
      </c>
      <c r="H89" s="30">
        <f t="shared" si="8"/>
        <v>0</v>
      </c>
      <c r="I89" s="30">
        <v>2472.8470000000002</v>
      </c>
      <c r="J89" s="30">
        <v>2472.723</v>
      </c>
      <c r="K89" s="30">
        <f t="shared" si="9"/>
        <v>0.12400000000025102</v>
      </c>
      <c r="L89" s="30">
        <v>2217.5070000000001</v>
      </c>
      <c r="M89" s="30">
        <v>2217.3710000000001</v>
      </c>
      <c r="N89" s="30">
        <f t="shared" si="10"/>
        <v>0.13599999999996726</v>
      </c>
      <c r="O89" s="30">
        <v>1861.5740000000001</v>
      </c>
      <c r="P89" s="30">
        <v>1861.5550000000001</v>
      </c>
      <c r="Q89" s="30">
        <f t="shared" si="11"/>
        <v>1.9000000000005457E-2</v>
      </c>
      <c r="R89" s="31">
        <v>6804.2370000000001</v>
      </c>
      <c r="S89" s="31">
        <v>6801.1949999999997</v>
      </c>
      <c r="T89" s="30">
        <f t="shared" si="12"/>
        <v>3.0420000000003711</v>
      </c>
      <c r="U89" s="31">
        <v>6768.1149999999998</v>
      </c>
      <c r="V89" s="31">
        <v>6765.1769999999997</v>
      </c>
      <c r="W89" s="30">
        <f t="shared" si="13"/>
        <v>2.9380000000001019</v>
      </c>
      <c r="X89" s="30"/>
      <c r="Y89" s="30"/>
      <c r="Z89" s="30"/>
      <c r="AA89" s="30"/>
      <c r="AB89" s="30"/>
      <c r="AC89" s="30"/>
      <c r="AD89" s="30"/>
      <c r="AE89" s="30"/>
      <c r="AF89" s="30"/>
      <c r="AG89" s="30"/>
      <c r="AH89" s="30"/>
      <c r="AI89" s="30"/>
      <c r="AJ89" s="30"/>
      <c r="AK89" s="30"/>
      <c r="AL89" s="30"/>
      <c r="AM89" s="30"/>
      <c r="AN89" s="32"/>
      <c r="AO89" s="32"/>
      <c r="AP89" s="32"/>
      <c r="AQ89" s="32"/>
      <c r="AR89" s="32"/>
      <c r="AS89" s="32"/>
      <c r="AT89" s="32"/>
      <c r="AU89" s="32"/>
      <c r="AV89" s="32"/>
      <c r="AW89" s="32"/>
      <c r="AX89" s="32"/>
      <c r="AY89" s="32"/>
      <c r="AZ89" s="32"/>
      <c r="BA89" s="32"/>
      <c r="BB89" s="32"/>
      <c r="BC89" s="32"/>
      <c r="BD89" s="32"/>
      <c r="BE89" s="32"/>
      <c r="BF89" s="32"/>
      <c r="BG89" s="32"/>
      <c r="BH89" s="32"/>
    </row>
    <row r="90" spans="1:60">
      <c r="A90" s="28">
        <v>44621</v>
      </c>
      <c r="B90" s="29">
        <v>2022</v>
      </c>
      <c r="C90" s="30">
        <v>1801.0609999999999</v>
      </c>
      <c r="D90" s="30">
        <v>1801.0509999999999</v>
      </c>
      <c r="E90" s="30">
        <f t="shared" si="7"/>
        <v>9.9999999999909051E-3</v>
      </c>
      <c r="F90" s="30">
        <v>1077.5920000000001</v>
      </c>
      <c r="G90" s="30">
        <v>1077.5920000000001</v>
      </c>
      <c r="H90" s="30">
        <f t="shared" si="8"/>
        <v>0</v>
      </c>
      <c r="I90" s="30">
        <v>2799.8879999999999</v>
      </c>
      <c r="J90" s="30">
        <v>2799.7809999999999</v>
      </c>
      <c r="K90" s="30">
        <f t="shared" si="9"/>
        <v>0.1069999999999709</v>
      </c>
      <c r="L90" s="30">
        <v>2659.01</v>
      </c>
      <c r="M90" s="30">
        <v>2658.904</v>
      </c>
      <c r="N90" s="30">
        <f t="shared" si="10"/>
        <v>0.10600000000022192</v>
      </c>
      <c r="O90" s="30">
        <v>2153.9259999999999</v>
      </c>
      <c r="P90" s="30">
        <v>2153.9259999999999</v>
      </c>
      <c r="Q90" s="30">
        <f t="shared" si="11"/>
        <v>0</v>
      </c>
      <c r="R90" s="31">
        <v>6768.1149999999998</v>
      </c>
      <c r="S90" s="31">
        <v>6765.1769999999997</v>
      </c>
      <c r="T90" s="30">
        <f t="shared" si="12"/>
        <v>2.9380000000001019</v>
      </c>
      <c r="U90" s="31">
        <v>6534.777</v>
      </c>
      <c r="V90" s="31">
        <v>6531.8379999999997</v>
      </c>
      <c r="W90" s="30">
        <f t="shared" si="13"/>
        <v>2.9390000000003056</v>
      </c>
      <c r="X90" s="30"/>
      <c r="Y90" s="30"/>
      <c r="Z90" s="30"/>
      <c r="AA90" s="30"/>
      <c r="AB90" s="30"/>
      <c r="AC90" s="30"/>
      <c r="AD90" s="30"/>
      <c r="AE90" s="30"/>
      <c r="AF90" s="30"/>
      <c r="AG90" s="30"/>
      <c r="AH90" s="30"/>
      <c r="AI90" s="30"/>
      <c r="AJ90" s="30"/>
      <c r="AK90" s="30"/>
      <c r="AL90" s="30"/>
      <c r="AM90" s="30"/>
      <c r="AN90" s="32"/>
      <c r="AO90" s="32"/>
      <c r="AP90" s="32"/>
      <c r="AQ90" s="32"/>
      <c r="AR90" s="32"/>
      <c r="AS90" s="32"/>
      <c r="AT90" s="32"/>
      <c r="AU90" s="32"/>
      <c r="AV90" s="32"/>
      <c r="AW90" s="32"/>
      <c r="AX90" s="32"/>
      <c r="AY90" s="32"/>
      <c r="AZ90" s="32"/>
      <c r="BA90" s="32"/>
      <c r="BB90" s="32"/>
      <c r="BC90" s="32"/>
      <c r="BD90" s="32"/>
      <c r="BE90" s="32"/>
      <c r="BF90" s="32"/>
      <c r="BG90" s="32"/>
      <c r="BH90" s="32"/>
    </row>
    <row r="91" spans="1:60">
      <c r="A91" s="28">
        <v>44652</v>
      </c>
      <c r="B91" s="29">
        <v>2022</v>
      </c>
      <c r="C91" s="30">
        <v>1848.2629999999999</v>
      </c>
      <c r="D91" s="30">
        <v>1848.2539999999999</v>
      </c>
      <c r="E91" s="30">
        <f t="shared" si="7"/>
        <v>9.0000000000145519E-3</v>
      </c>
      <c r="F91" s="30">
        <v>964.26099999999997</v>
      </c>
      <c r="G91" s="30">
        <v>964.26099999999997</v>
      </c>
      <c r="H91" s="30">
        <f t="shared" si="8"/>
        <v>0</v>
      </c>
      <c r="I91" s="30">
        <v>3318.127</v>
      </c>
      <c r="J91" s="30">
        <v>3320.107</v>
      </c>
      <c r="K91" s="30">
        <f t="shared" si="9"/>
        <v>-1.9800000000000182</v>
      </c>
      <c r="L91" s="30">
        <v>3081.7109999999998</v>
      </c>
      <c r="M91" s="30">
        <v>3081.643</v>
      </c>
      <c r="N91" s="30">
        <f t="shared" si="10"/>
        <v>6.7999999999756255E-2</v>
      </c>
      <c r="O91" s="30">
        <v>2502.875</v>
      </c>
      <c r="P91" s="30">
        <v>2502.875</v>
      </c>
      <c r="Q91" s="30">
        <f t="shared" si="11"/>
        <v>0</v>
      </c>
      <c r="R91" s="31">
        <v>6534.777</v>
      </c>
      <c r="S91" s="31">
        <v>6531.8379999999997</v>
      </c>
      <c r="T91" s="30">
        <f t="shared" si="12"/>
        <v>2.9390000000003056</v>
      </c>
      <c r="U91" s="31">
        <v>6263.2250000000004</v>
      </c>
      <c r="V91" s="31">
        <v>6258.2969999999996</v>
      </c>
      <c r="W91" s="30">
        <f t="shared" si="13"/>
        <v>4.9280000000007931</v>
      </c>
      <c r="X91" s="30"/>
      <c r="Y91" s="30"/>
      <c r="Z91" s="30"/>
      <c r="AA91" s="30"/>
      <c r="AB91" s="30"/>
      <c r="AC91" s="30"/>
      <c r="AD91" s="30"/>
      <c r="AE91" s="30"/>
      <c r="AF91" s="30"/>
      <c r="AG91" s="30"/>
      <c r="AH91" s="30"/>
      <c r="AI91" s="30"/>
      <c r="AJ91" s="30"/>
      <c r="AK91" s="30"/>
      <c r="AL91" s="30"/>
      <c r="AM91" s="30"/>
      <c r="AN91" s="32"/>
      <c r="AO91" s="32"/>
      <c r="AP91" s="32"/>
      <c r="AQ91" s="32"/>
      <c r="AR91" s="32"/>
      <c r="AS91" s="32"/>
      <c r="AT91" s="32"/>
      <c r="AU91" s="32"/>
      <c r="AV91" s="32"/>
      <c r="AW91" s="32"/>
      <c r="AX91" s="32"/>
      <c r="AY91" s="32"/>
      <c r="AZ91" s="32"/>
      <c r="BA91" s="32"/>
      <c r="BB91" s="32"/>
      <c r="BC91" s="32"/>
      <c r="BD91" s="32"/>
      <c r="BE91" s="32"/>
      <c r="BF91" s="32"/>
      <c r="BG91" s="32"/>
      <c r="BH91" s="32"/>
    </row>
    <row r="92" spans="1:60">
      <c r="A92" s="28">
        <v>44682</v>
      </c>
      <c r="B92" s="29">
        <v>2022</v>
      </c>
      <c r="C92" s="30">
        <v>1931.461</v>
      </c>
      <c r="D92" s="30">
        <v>1931.433</v>
      </c>
      <c r="E92" s="30">
        <f t="shared" si="7"/>
        <v>2.8000000000020009E-2</v>
      </c>
      <c r="F92" s="30">
        <v>1231.5029999999999</v>
      </c>
      <c r="G92" s="30">
        <v>1231.5029999999999</v>
      </c>
      <c r="H92" s="30">
        <f t="shared" si="8"/>
        <v>0</v>
      </c>
      <c r="I92" s="30">
        <v>3592.9209999999998</v>
      </c>
      <c r="J92" s="30">
        <v>3592.5369999999998</v>
      </c>
      <c r="K92" s="30">
        <f t="shared" si="9"/>
        <v>0.38400000000001455</v>
      </c>
      <c r="L92" s="30">
        <v>3394.4360000000001</v>
      </c>
      <c r="M92" s="30">
        <v>3394.348</v>
      </c>
      <c r="N92" s="30">
        <f t="shared" si="10"/>
        <v>8.8000000000192813E-2</v>
      </c>
      <c r="O92" s="30">
        <v>2729.14</v>
      </c>
      <c r="P92" s="30">
        <v>2729.14</v>
      </c>
      <c r="Q92" s="30">
        <f t="shared" si="11"/>
        <v>0</v>
      </c>
      <c r="R92" s="31">
        <v>6263.2250000000004</v>
      </c>
      <c r="S92" s="31">
        <v>6258.2969999999996</v>
      </c>
      <c r="T92" s="30">
        <f t="shared" si="12"/>
        <v>4.9280000000007931</v>
      </c>
      <c r="U92" s="31">
        <v>6367.6109999999999</v>
      </c>
      <c r="V92" s="31">
        <v>6363.0389999999998</v>
      </c>
      <c r="W92" s="30">
        <f t="shared" si="13"/>
        <v>4.5720000000001164</v>
      </c>
      <c r="X92" s="30"/>
      <c r="Y92" s="30"/>
      <c r="Z92" s="30"/>
      <c r="AA92" s="30"/>
      <c r="AB92" s="30"/>
      <c r="AC92" s="30"/>
      <c r="AD92" s="30"/>
      <c r="AE92" s="30"/>
      <c r="AF92" s="30"/>
      <c r="AG92" s="30"/>
      <c r="AH92" s="30"/>
      <c r="AI92" s="30"/>
      <c r="AJ92" s="30"/>
      <c r="AK92" s="30"/>
      <c r="AL92" s="30"/>
      <c r="AM92" s="30"/>
      <c r="AN92" s="32"/>
      <c r="AO92" s="32"/>
      <c r="AP92" s="32"/>
      <c r="AQ92" s="32"/>
      <c r="AR92" s="32"/>
      <c r="AS92" s="32"/>
      <c r="AT92" s="32"/>
      <c r="AU92" s="32"/>
      <c r="AV92" s="32"/>
      <c r="AW92" s="32"/>
      <c r="AX92" s="32"/>
      <c r="AY92" s="32"/>
      <c r="AZ92" s="32"/>
      <c r="BA92" s="32"/>
      <c r="BB92" s="32"/>
      <c r="BC92" s="32"/>
      <c r="BD92" s="32"/>
      <c r="BE92" s="32"/>
      <c r="BF92" s="32"/>
      <c r="BG92" s="32"/>
      <c r="BH92" s="32"/>
    </row>
    <row r="93" spans="1:60">
      <c r="A93" s="28">
        <v>44713</v>
      </c>
      <c r="B93" s="29">
        <v>2022</v>
      </c>
      <c r="C93" s="30">
        <v>2112.3820000000001</v>
      </c>
      <c r="D93" s="30">
        <v>2112.3629999999998</v>
      </c>
      <c r="E93" s="30">
        <f t="shared" si="7"/>
        <v>1.9000000000232831E-2</v>
      </c>
      <c r="F93" s="30">
        <v>1490.2840000000001</v>
      </c>
      <c r="G93" s="30">
        <v>1490.2840000000001</v>
      </c>
      <c r="H93" s="30">
        <f t="shared" si="8"/>
        <v>0</v>
      </c>
      <c r="I93" s="30">
        <v>3781.1979999999999</v>
      </c>
      <c r="J93" s="30">
        <v>3781.0369999999998</v>
      </c>
      <c r="K93" s="30">
        <f t="shared" si="9"/>
        <v>0.16100000000005821</v>
      </c>
      <c r="L93" s="30">
        <v>3564.9059999999999</v>
      </c>
      <c r="M93" s="30">
        <v>3563.8040000000001</v>
      </c>
      <c r="N93" s="30">
        <f t="shared" si="10"/>
        <v>1.1019999999998618</v>
      </c>
      <c r="O93" s="30">
        <v>2891.652</v>
      </c>
      <c r="P93" s="30">
        <v>2890.652</v>
      </c>
      <c r="Q93" s="30">
        <f>P93+N93-O93</f>
        <v>0.10199999999986176</v>
      </c>
      <c r="R93" s="31">
        <v>6367.6109999999999</v>
      </c>
      <c r="S93" s="31">
        <v>6363.0389999999998</v>
      </c>
      <c r="T93" s="30">
        <f>S93+Q93-R93</f>
        <v>-4.4700000000002547</v>
      </c>
      <c r="U93" s="31">
        <v>6280.4139999999998</v>
      </c>
      <c r="V93" s="31">
        <v>6274.973</v>
      </c>
      <c r="W93" s="30">
        <f>V93+T93-U93</f>
        <v>-9.9110000000000582</v>
      </c>
      <c r="X93" s="30"/>
      <c r="Y93" s="30"/>
      <c r="Z93" s="30"/>
      <c r="AA93" s="30"/>
      <c r="AB93" s="30"/>
      <c r="AC93" s="30"/>
      <c r="AD93" s="30"/>
      <c r="AE93" s="30"/>
      <c r="AF93" s="30"/>
      <c r="AG93" s="30"/>
      <c r="AH93" s="30"/>
      <c r="AI93" s="30"/>
      <c r="AJ93" s="30"/>
      <c r="AK93" s="30"/>
      <c r="AL93" s="30"/>
      <c r="AM93" s="30"/>
      <c r="AN93" s="32"/>
      <c r="AO93" s="32"/>
      <c r="AP93" s="32"/>
      <c r="AQ93" s="32"/>
      <c r="AR93" s="32"/>
      <c r="AS93" s="32"/>
      <c r="AT93" s="32"/>
      <c r="AU93" s="32"/>
      <c r="AV93" s="32"/>
      <c r="AW93" s="32"/>
      <c r="AX93" s="32"/>
      <c r="AY93" s="32"/>
      <c r="AZ93" s="32"/>
      <c r="BA93" s="32"/>
      <c r="BB93" s="32"/>
      <c r="BC93" s="32"/>
      <c r="BD93" s="32"/>
      <c r="BE93" s="32"/>
      <c r="BF93" s="32"/>
      <c r="BG93" s="32"/>
      <c r="BH93" s="32"/>
    </row>
    <row r="94" spans="1:60">
      <c r="A94" s="28">
        <v>44743</v>
      </c>
      <c r="B94" s="29">
        <v>2022</v>
      </c>
      <c r="C94" s="30">
        <v>2126.3670000000002</v>
      </c>
      <c r="D94" s="30">
        <v>2126.357</v>
      </c>
      <c r="E94" s="30">
        <f t="shared" si="7"/>
        <v>1.0000000000218279E-2</v>
      </c>
      <c r="F94" s="30">
        <v>1198.6669999999999</v>
      </c>
      <c r="G94" s="30">
        <v>1198.6669999999999</v>
      </c>
      <c r="H94" s="30">
        <f t="shared" si="8"/>
        <v>0</v>
      </c>
      <c r="I94" s="30">
        <v>3980.2449999999999</v>
      </c>
      <c r="J94" s="30">
        <v>3980.1529999999998</v>
      </c>
      <c r="K94" s="30">
        <f t="shared" si="9"/>
        <v>9.2000000000098225E-2</v>
      </c>
      <c r="L94" s="30">
        <v>3990.6239999999998</v>
      </c>
      <c r="M94" s="30">
        <v>3990.5320000000002</v>
      </c>
      <c r="N94" s="30">
        <f t="shared" si="10"/>
        <v>9.1999999999643478E-2</v>
      </c>
      <c r="O94" s="30">
        <v>3289.38</v>
      </c>
      <c r="P94" s="30">
        <v>3289.306</v>
      </c>
      <c r="Q94" s="30">
        <f t="shared" si="11"/>
        <v>7.4000000000069122E-2</v>
      </c>
      <c r="R94" s="31">
        <v>6280.4139999999998</v>
      </c>
      <c r="S94" s="31">
        <v>6274.973</v>
      </c>
      <c r="T94" s="30">
        <f t="shared" si="12"/>
        <v>5.4409999999998035</v>
      </c>
      <c r="U94" s="31">
        <v>6347.817</v>
      </c>
      <c r="V94" s="31">
        <v>6342.4579999999996</v>
      </c>
      <c r="W94" s="30">
        <f t="shared" si="13"/>
        <v>5.3590000000003783</v>
      </c>
      <c r="X94" s="30"/>
      <c r="Y94" s="30"/>
      <c r="Z94" s="30"/>
      <c r="AA94" s="30"/>
      <c r="AB94" s="30"/>
      <c r="AC94" s="30"/>
      <c r="AD94" s="30"/>
      <c r="AE94" s="30"/>
      <c r="AF94" s="30"/>
      <c r="AG94" s="30"/>
      <c r="AH94" s="30"/>
      <c r="AI94" s="30"/>
      <c r="AJ94" s="30"/>
      <c r="AK94" s="30"/>
      <c r="AL94" s="30"/>
      <c r="AM94" s="30"/>
      <c r="AN94" s="32"/>
      <c r="AO94" s="32"/>
      <c r="AP94" s="32"/>
      <c r="AQ94" s="32"/>
      <c r="AR94" s="32"/>
      <c r="AS94" s="32"/>
      <c r="AT94" s="32"/>
      <c r="AU94" s="32"/>
      <c r="AV94" s="32"/>
      <c r="AW94" s="32"/>
      <c r="AX94" s="32"/>
      <c r="AY94" s="32"/>
      <c r="AZ94" s="32"/>
      <c r="BA94" s="32"/>
      <c r="BB94" s="32"/>
      <c r="BC94" s="32"/>
      <c r="BD94" s="32"/>
      <c r="BE94" s="32"/>
      <c r="BF94" s="32"/>
      <c r="BG94" s="32"/>
      <c r="BH94" s="32"/>
    </row>
    <row r="95" spans="1:60">
      <c r="A95" s="28">
        <v>44774</v>
      </c>
      <c r="B95" s="29">
        <v>2022</v>
      </c>
      <c r="C95" s="30">
        <v>2461.2379999999998</v>
      </c>
      <c r="D95" s="30">
        <v>2461.2280000000001</v>
      </c>
      <c r="E95" s="30">
        <f t="shared" si="7"/>
        <v>9.9999999997635314E-3</v>
      </c>
      <c r="F95" s="30">
        <v>1334.6289999999999</v>
      </c>
      <c r="G95" s="30">
        <v>1334.6289999999999</v>
      </c>
      <c r="H95" s="30">
        <f t="shared" si="8"/>
        <v>0</v>
      </c>
      <c r="I95" s="30">
        <v>4009.0070000000001</v>
      </c>
      <c r="J95" s="30">
        <v>4008.8789999999999</v>
      </c>
      <c r="K95" s="30">
        <f t="shared" si="9"/>
        <v>0.12800000000015643</v>
      </c>
      <c r="L95" s="30">
        <v>4152.9489999999996</v>
      </c>
      <c r="M95" s="30">
        <v>4152.759</v>
      </c>
      <c r="N95" s="30">
        <f t="shared" si="10"/>
        <v>0.18999999999959982</v>
      </c>
      <c r="O95" s="30">
        <v>3421.2779999999998</v>
      </c>
      <c r="P95" s="30">
        <v>3421.2779999999998</v>
      </c>
      <c r="Q95" s="30">
        <f t="shared" si="11"/>
        <v>0</v>
      </c>
      <c r="R95" s="31">
        <v>6347.817</v>
      </c>
      <c r="S95" s="31">
        <v>6342.4579999999996</v>
      </c>
      <c r="T95" s="30">
        <f t="shared" si="12"/>
        <v>5.3590000000003783</v>
      </c>
      <c r="U95" s="31">
        <v>6516.1530000000002</v>
      </c>
      <c r="V95" s="31">
        <v>6510.9120000000003</v>
      </c>
      <c r="W95" s="30">
        <f t="shared" si="13"/>
        <v>5.2409999999999854</v>
      </c>
      <c r="X95" s="30"/>
      <c r="Y95" s="30"/>
      <c r="Z95" s="30"/>
      <c r="AA95" s="30"/>
      <c r="AB95" s="30"/>
      <c r="AC95" s="30"/>
      <c r="AD95" s="30"/>
      <c r="AE95" s="30"/>
      <c r="AF95" s="30"/>
      <c r="AG95" s="30"/>
      <c r="AH95" s="30"/>
      <c r="AI95" s="30"/>
      <c r="AJ95" s="30"/>
      <c r="AK95" s="30"/>
      <c r="AL95" s="30"/>
      <c r="AM95" s="30"/>
      <c r="AN95" s="32"/>
      <c r="AO95" s="32"/>
      <c r="AP95" s="32"/>
      <c r="AQ95" s="32"/>
      <c r="AR95" s="32"/>
      <c r="AS95" s="32"/>
      <c r="AT95" s="32"/>
      <c r="AU95" s="32"/>
      <c r="AV95" s="32"/>
      <c r="AW95" s="32"/>
      <c r="AX95" s="32"/>
      <c r="AY95" s="32"/>
      <c r="AZ95" s="32"/>
      <c r="BA95" s="32"/>
      <c r="BB95" s="32"/>
      <c r="BC95" s="32"/>
      <c r="BD95" s="32"/>
      <c r="BE95" s="32"/>
      <c r="BF95" s="32"/>
      <c r="BG95" s="32"/>
      <c r="BH95" s="32"/>
    </row>
    <row r="96" spans="1:60">
      <c r="A96" s="28">
        <v>44805</v>
      </c>
      <c r="B96" s="29">
        <v>2022</v>
      </c>
      <c r="C96" s="30">
        <v>2611.8270000000002</v>
      </c>
      <c r="D96" s="30">
        <v>2611.8270000000002</v>
      </c>
      <c r="E96" s="30">
        <f t="shared" si="7"/>
        <v>0</v>
      </c>
      <c r="F96" s="30">
        <v>1417.569</v>
      </c>
      <c r="G96" s="30">
        <v>1417.569</v>
      </c>
      <c r="H96" s="30">
        <f t="shared" si="8"/>
        <v>0</v>
      </c>
      <c r="I96" s="30">
        <v>3825.7570000000001</v>
      </c>
      <c r="J96" s="30">
        <v>3825.67</v>
      </c>
      <c r="K96" s="30">
        <f t="shared" si="9"/>
        <v>8.6999999999989086E-2</v>
      </c>
      <c r="L96" s="30">
        <v>3716.011</v>
      </c>
      <c r="M96" s="30">
        <v>3715.9169999999999</v>
      </c>
      <c r="N96" s="30">
        <f t="shared" si="10"/>
        <v>9.4000000000050932E-2</v>
      </c>
      <c r="O96" s="30">
        <v>3006.5140000000001</v>
      </c>
      <c r="P96" s="30">
        <v>3006.5140000000001</v>
      </c>
      <c r="Q96" s="30">
        <f t="shared" si="11"/>
        <v>0</v>
      </c>
      <c r="R96" s="31">
        <v>6516.1530000000002</v>
      </c>
      <c r="S96" s="31">
        <v>6510.9120000000003</v>
      </c>
      <c r="T96" s="30">
        <f t="shared" si="12"/>
        <v>5.2409999999999854</v>
      </c>
      <c r="U96" s="31">
        <v>6585.1549999999997</v>
      </c>
      <c r="V96" s="31">
        <v>6580.0010000000002</v>
      </c>
      <c r="W96" s="30">
        <f t="shared" si="13"/>
        <v>5.1539999999995416</v>
      </c>
      <c r="X96" s="30"/>
      <c r="Y96" s="30"/>
      <c r="Z96" s="30"/>
      <c r="AA96" s="30"/>
      <c r="AB96" s="30"/>
      <c r="AC96" s="30"/>
      <c r="AD96" s="30"/>
      <c r="AE96" s="30"/>
      <c r="AF96" s="30"/>
      <c r="AG96" s="30"/>
      <c r="AH96" s="30"/>
      <c r="AI96" s="30"/>
      <c r="AJ96" s="30"/>
      <c r="AK96" s="30"/>
      <c r="AL96" s="30"/>
      <c r="AM96" s="30"/>
      <c r="AN96" s="32"/>
      <c r="AO96" s="32"/>
      <c r="AP96" s="32"/>
      <c r="AQ96" s="32"/>
      <c r="AR96" s="32"/>
      <c r="AS96" s="32"/>
      <c r="AT96" s="32"/>
      <c r="AU96" s="32"/>
      <c r="AV96" s="32"/>
      <c r="AW96" s="32"/>
      <c r="AX96" s="32"/>
      <c r="AY96" s="32"/>
      <c r="AZ96" s="32"/>
      <c r="BA96" s="32"/>
      <c r="BB96" s="32"/>
      <c r="BC96" s="32"/>
      <c r="BD96" s="32"/>
      <c r="BE96" s="32"/>
      <c r="BF96" s="32"/>
      <c r="BG96" s="32"/>
      <c r="BH96" s="32"/>
    </row>
    <row r="97" spans="1:60">
      <c r="A97" s="28">
        <v>44835</v>
      </c>
      <c r="B97" s="29">
        <v>2022</v>
      </c>
      <c r="C97" s="30">
        <v>2802.4169999999999</v>
      </c>
      <c r="D97" s="30">
        <v>2802.4169999999999</v>
      </c>
      <c r="E97" s="30">
        <f t="shared" si="7"/>
        <v>0</v>
      </c>
      <c r="F97" s="30">
        <v>1654.412</v>
      </c>
      <c r="G97" s="30">
        <v>1654.412</v>
      </c>
      <c r="H97" s="30">
        <f t="shared" si="8"/>
        <v>0</v>
      </c>
      <c r="I97" s="30">
        <v>3804.0639999999999</v>
      </c>
      <c r="J97" s="30">
        <v>3803.9859999999999</v>
      </c>
      <c r="K97" s="30">
        <f t="shared" si="9"/>
        <v>7.7999999999974534E-2</v>
      </c>
      <c r="L97" s="30">
        <v>3562.2049999999999</v>
      </c>
      <c r="M97" s="30">
        <v>3683.0419999999999</v>
      </c>
      <c r="N97" s="30">
        <v>0</v>
      </c>
      <c r="O97" s="30">
        <v>2890.165</v>
      </c>
      <c r="P97" s="30">
        <v>2990.165</v>
      </c>
      <c r="Q97" s="30">
        <v>0</v>
      </c>
      <c r="R97" s="31">
        <v>6585.1570000000002</v>
      </c>
      <c r="S97" s="31">
        <v>6580.0029999999997</v>
      </c>
      <c r="T97" s="30">
        <v>0</v>
      </c>
      <c r="U97" s="31">
        <v>6384.7759999999998</v>
      </c>
      <c r="V97" s="31">
        <v>6379.6549999999997</v>
      </c>
      <c r="W97" s="30">
        <v>0</v>
      </c>
      <c r="X97" s="30"/>
      <c r="Y97" s="30"/>
      <c r="Z97" s="30"/>
      <c r="AA97" s="30"/>
      <c r="AB97" s="30"/>
      <c r="AC97" s="30"/>
      <c r="AD97" s="30"/>
      <c r="AE97" s="30"/>
      <c r="AF97" s="30"/>
      <c r="AG97" s="30"/>
      <c r="AH97" s="30"/>
      <c r="AI97" s="30"/>
      <c r="AJ97" s="30"/>
      <c r="AK97" s="30"/>
      <c r="AL97" s="30"/>
      <c r="AM97" s="30"/>
      <c r="AN97" s="32"/>
      <c r="AO97" s="32"/>
      <c r="AP97" s="32"/>
      <c r="AQ97" s="32"/>
      <c r="AR97" s="32"/>
      <c r="AS97" s="32"/>
      <c r="AT97" s="32"/>
      <c r="AU97" s="32"/>
      <c r="AV97" s="32"/>
      <c r="AW97" s="32"/>
      <c r="AX97" s="32"/>
      <c r="AY97" s="32"/>
      <c r="AZ97" s="32"/>
      <c r="BA97" s="32"/>
      <c r="BB97" s="32"/>
      <c r="BC97" s="32"/>
      <c r="BD97" s="32"/>
      <c r="BE97" s="32"/>
      <c r="BF97" s="32"/>
      <c r="BG97" s="32"/>
      <c r="BH97" s="32"/>
    </row>
    <row r="98" spans="1:60">
      <c r="A98" s="28">
        <v>44866</v>
      </c>
      <c r="B98" s="29">
        <v>2022</v>
      </c>
      <c r="C98" s="30">
        <v>2285.7719999999999</v>
      </c>
      <c r="D98" s="30">
        <v>2285.7629999999999</v>
      </c>
      <c r="E98" s="30">
        <f t="shared" si="7"/>
        <v>9.0000000000145519E-3</v>
      </c>
      <c r="F98" s="30">
        <v>1032.049</v>
      </c>
      <c r="G98" s="30">
        <v>1032.049</v>
      </c>
      <c r="H98" s="30">
        <f t="shared" si="8"/>
        <v>0</v>
      </c>
      <c r="I98" s="30">
        <v>3115.8519999999999</v>
      </c>
      <c r="J98" s="30">
        <v>3115.498</v>
      </c>
      <c r="K98" s="30">
        <f t="shared" si="9"/>
        <v>0.35399999999981446</v>
      </c>
      <c r="L98" s="30">
        <v>3008.3620000000001</v>
      </c>
      <c r="M98" s="30">
        <v>3007.877</v>
      </c>
      <c r="N98" s="30">
        <f t="shared" si="10"/>
        <v>0.48500000000012733</v>
      </c>
      <c r="O98" s="30">
        <v>2356.3890000000001</v>
      </c>
      <c r="P98" s="30">
        <v>2356.3879999999999</v>
      </c>
      <c r="Q98" s="30">
        <f t="shared" si="11"/>
        <v>1.0000000002037268E-3</v>
      </c>
      <c r="R98" s="31">
        <v>6384.7759999999998</v>
      </c>
      <c r="S98" s="31">
        <v>6379.6549999999997</v>
      </c>
      <c r="T98" s="30">
        <f t="shared" si="12"/>
        <v>5.1210000000000946</v>
      </c>
      <c r="U98" s="31">
        <v>6868.6469999999999</v>
      </c>
      <c r="V98" s="31">
        <v>6863.8710000000001</v>
      </c>
      <c r="W98" s="30">
        <f t="shared" si="13"/>
        <v>4.7759999999998399</v>
      </c>
      <c r="X98" s="30"/>
      <c r="Y98" s="30"/>
      <c r="Z98" s="30"/>
      <c r="AA98" s="30"/>
      <c r="AB98" s="30"/>
      <c r="AC98" s="30"/>
      <c r="AD98" s="30"/>
      <c r="AE98" s="30"/>
      <c r="AF98" s="30"/>
      <c r="AG98" s="30"/>
      <c r="AH98" s="30"/>
      <c r="AI98" s="30"/>
      <c r="AJ98" s="30"/>
      <c r="AK98" s="30"/>
      <c r="AL98" s="30"/>
      <c r="AM98" s="30"/>
      <c r="AN98" s="32"/>
      <c r="AO98" s="32"/>
      <c r="AP98" s="32"/>
      <c r="AQ98" s="32"/>
      <c r="AR98" s="32"/>
      <c r="AS98" s="32"/>
      <c r="AT98" s="32"/>
      <c r="AU98" s="32"/>
      <c r="AV98" s="32"/>
      <c r="AW98" s="32"/>
      <c r="AX98" s="32"/>
      <c r="AY98" s="32"/>
      <c r="AZ98" s="32"/>
      <c r="BA98" s="32"/>
      <c r="BB98" s="32"/>
      <c r="BC98" s="32"/>
      <c r="BD98" s="32"/>
      <c r="BE98" s="32"/>
      <c r="BF98" s="32"/>
      <c r="BG98" s="32"/>
      <c r="BH98" s="32"/>
    </row>
    <row r="99" spans="1:60">
      <c r="A99" s="28">
        <v>44896</v>
      </c>
      <c r="B99" s="29">
        <v>2022</v>
      </c>
      <c r="C99" s="30">
        <v>2178.1370000000002</v>
      </c>
      <c r="D99" s="30">
        <v>2178.1280000000002</v>
      </c>
      <c r="E99" s="30">
        <f t="shared" si="7"/>
        <v>9.0000000000145519E-3</v>
      </c>
      <c r="F99" s="30">
        <v>1165.829</v>
      </c>
      <c r="G99" s="30">
        <v>1165.829</v>
      </c>
      <c r="H99" s="30">
        <f t="shared" si="8"/>
        <v>0</v>
      </c>
      <c r="I99" s="30">
        <v>3380.8049999999998</v>
      </c>
      <c r="J99" s="30">
        <v>3380.6060000000002</v>
      </c>
      <c r="K99" s="30">
        <f t="shared" si="9"/>
        <v>0.19899999999961437</v>
      </c>
      <c r="L99" s="30">
        <v>3254.221</v>
      </c>
      <c r="M99" s="30">
        <v>3253.9079999999999</v>
      </c>
      <c r="N99" s="30">
        <f t="shared" si="10"/>
        <v>0.31300000000010186</v>
      </c>
      <c r="O99" s="30">
        <v>2586.0259999999998</v>
      </c>
      <c r="P99" s="30">
        <v>2586.0259999999998</v>
      </c>
      <c r="Q99" s="30">
        <f t="shared" si="11"/>
        <v>0</v>
      </c>
      <c r="R99" s="31">
        <v>6868.6469999999999</v>
      </c>
      <c r="S99" s="31">
        <v>6863.8710000000001</v>
      </c>
      <c r="T99" s="30">
        <f t="shared" si="12"/>
        <v>4.7759999999998399</v>
      </c>
      <c r="U99" s="31">
        <v>6852.6540000000005</v>
      </c>
      <c r="V99" s="31">
        <v>6848.0240000000003</v>
      </c>
      <c r="W99" s="30">
        <f t="shared" si="13"/>
        <v>4.6300000000001091</v>
      </c>
      <c r="X99" s="30"/>
      <c r="Y99" s="30"/>
      <c r="Z99" s="30"/>
      <c r="AA99" s="30"/>
      <c r="AB99" s="30"/>
      <c r="AC99" s="30"/>
      <c r="AD99" s="30"/>
      <c r="AE99" s="30"/>
      <c r="AF99" s="30"/>
      <c r="AG99" s="30"/>
      <c r="AH99" s="30"/>
      <c r="AI99" s="30"/>
      <c r="AJ99" s="30"/>
      <c r="AK99" s="30"/>
      <c r="AL99" s="30"/>
      <c r="AM99" s="30"/>
      <c r="AN99" s="32"/>
      <c r="AO99" s="32"/>
      <c r="AP99" s="32"/>
      <c r="AQ99" s="32"/>
      <c r="AR99" s="32"/>
      <c r="AS99" s="32"/>
      <c r="AT99" s="32"/>
      <c r="AU99" s="32"/>
      <c r="AV99" s="32"/>
      <c r="AW99" s="32"/>
      <c r="AX99" s="32"/>
      <c r="AY99" s="32"/>
      <c r="AZ99" s="32"/>
      <c r="BA99" s="32"/>
      <c r="BB99" s="32"/>
      <c r="BC99" s="32"/>
      <c r="BD99" s="32"/>
      <c r="BE99" s="32"/>
      <c r="BF99" s="32"/>
      <c r="BG99" s="32"/>
      <c r="BH99" s="32"/>
    </row>
    <row r="100" spans="1:60">
      <c r="A100" s="28">
        <v>44927</v>
      </c>
      <c r="B100" s="29">
        <v>2023</v>
      </c>
      <c r="C100" s="30">
        <v>1439.88</v>
      </c>
      <c r="D100" s="30">
        <v>1439.8710000000001</v>
      </c>
      <c r="E100" s="30">
        <f t="shared" si="7"/>
        <v>9.0000000000145519E-3</v>
      </c>
      <c r="F100" s="30">
        <v>1174.884</v>
      </c>
      <c r="G100" s="30">
        <v>1174.884</v>
      </c>
      <c r="H100" s="30">
        <f t="shared" si="8"/>
        <v>0</v>
      </c>
      <c r="I100" s="30">
        <v>3000.8649999999998</v>
      </c>
      <c r="J100" s="30">
        <v>3000.7249999999999</v>
      </c>
      <c r="K100" s="30">
        <f t="shared" si="9"/>
        <v>0.13999999999987267</v>
      </c>
      <c r="L100" s="30">
        <v>2952.5369999999998</v>
      </c>
      <c r="M100" s="30">
        <v>2952.3980000000001</v>
      </c>
      <c r="N100" s="30">
        <f t="shared" si="10"/>
        <v>0.13899999999966894</v>
      </c>
      <c r="O100" s="30">
        <v>2333.9059999999999</v>
      </c>
      <c r="P100" s="30">
        <v>2333.8789999999999</v>
      </c>
      <c r="Q100" s="30">
        <f t="shared" si="11"/>
        <v>2.7000000000043656E-2</v>
      </c>
      <c r="R100" s="31">
        <v>6852.6540000000005</v>
      </c>
      <c r="S100" s="31">
        <v>6848.0240000000003</v>
      </c>
      <c r="T100" s="30">
        <f t="shared" si="12"/>
        <v>4.6300000000001091</v>
      </c>
      <c r="U100" s="31">
        <v>6790.4489999999996</v>
      </c>
      <c r="V100" s="31">
        <v>6785.95</v>
      </c>
      <c r="W100" s="30">
        <f t="shared" si="13"/>
        <v>4.4989999999997963</v>
      </c>
      <c r="X100" s="30"/>
      <c r="Y100" s="30"/>
      <c r="Z100" s="30"/>
      <c r="AA100" s="30"/>
      <c r="AB100" s="30"/>
      <c r="AC100" s="30"/>
      <c r="AD100" s="30"/>
      <c r="AE100" s="30"/>
      <c r="AF100" s="30"/>
      <c r="AG100" s="30"/>
      <c r="AH100" s="30"/>
      <c r="AI100" s="30"/>
      <c r="AJ100" s="30"/>
      <c r="AK100" s="30"/>
      <c r="AL100" s="30"/>
      <c r="AM100" s="30"/>
      <c r="AN100" s="32"/>
      <c r="AO100" s="32"/>
      <c r="AP100" s="32"/>
      <c r="AQ100" s="32"/>
      <c r="AR100" s="32"/>
      <c r="AS100" s="32"/>
      <c r="AT100" s="32"/>
      <c r="AU100" s="32"/>
      <c r="AV100" s="32"/>
      <c r="AW100" s="32"/>
      <c r="AX100" s="32"/>
      <c r="AY100" s="32"/>
      <c r="AZ100" s="32"/>
      <c r="BA100" s="32"/>
      <c r="BB100" s="32"/>
      <c r="BC100" s="32"/>
      <c r="BD100" s="32"/>
      <c r="BE100" s="32"/>
      <c r="BF100" s="32"/>
      <c r="BG100" s="32"/>
      <c r="BH100" s="32"/>
    </row>
    <row r="101" spans="1:60">
      <c r="A101" s="28">
        <v>44958</v>
      </c>
      <c r="B101" s="29">
        <v>2023</v>
      </c>
      <c r="C101" s="30">
        <v>1887.6310000000001</v>
      </c>
      <c r="D101" s="30">
        <v>1887.6030000000001</v>
      </c>
      <c r="E101" s="30">
        <f t="shared" si="7"/>
        <v>2.8000000000020009E-2</v>
      </c>
      <c r="F101" s="30">
        <v>985.97699999999998</v>
      </c>
      <c r="G101" s="30">
        <v>985.97699999999998</v>
      </c>
      <c r="H101" s="30">
        <f t="shared" si="8"/>
        <v>0</v>
      </c>
      <c r="I101" s="30">
        <v>2981.366</v>
      </c>
      <c r="J101" s="30">
        <v>2981.194</v>
      </c>
      <c r="K101" s="30">
        <f t="shared" si="9"/>
        <v>0.17200000000002547</v>
      </c>
      <c r="L101" s="30">
        <v>2773.5709999999999</v>
      </c>
      <c r="M101" s="30">
        <v>2773.3739999999998</v>
      </c>
      <c r="N101" s="30">
        <f t="shared" si="10"/>
        <v>0.19700000000011642</v>
      </c>
      <c r="O101" s="30">
        <v>2189.2840000000001</v>
      </c>
      <c r="P101" s="30">
        <v>2189.2840000000001</v>
      </c>
      <c r="Q101" s="30">
        <f t="shared" si="11"/>
        <v>0</v>
      </c>
      <c r="R101" s="31">
        <v>6758.4489999999996</v>
      </c>
      <c r="S101" s="31">
        <v>6753.95</v>
      </c>
      <c r="T101" s="30">
        <f t="shared" si="12"/>
        <v>4.4989999999997963</v>
      </c>
      <c r="U101" s="31">
        <v>7081.5060000000003</v>
      </c>
      <c r="V101" s="31">
        <v>7077.125</v>
      </c>
      <c r="W101" s="30">
        <f t="shared" si="13"/>
        <v>4.3810000000003129</v>
      </c>
      <c r="X101" s="30"/>
      <c r="Y101" s="30"/>
      <c r="Z101" s="30"/>
      <c r="AA101" s="30"/>
      <c r="AB101" s="30"/>
      <c r="AC101" s="30"/>
      <c r="AD101" s="30"/>
      <c r="AE101" s="30"/>
      <c r="AF101" s="30"/>
      <c r="AG101" s="30"/>
      <c r="AH101" s="30"/>
      <c r="AI101" s="30"/>
      <c r="AJ101" s="30"/>
      <c r="AK101" s="30"/>
      <c r="AL101" s="30"/>
      <c r="AM101" s="30"/>
      <c r="AN101" s="32"/>
      <c r="AO101" s="32"/>
      <c r="AP101" s="32"/>
      <c r="AQ101" s="32"/>
      <c r="AR101" s="32"/>
      <c r="AS101" s="32"/>
      <c r="AT101" s="32"/>
      <c r="AU101" s="32"/>
      <c r="AV101" s="32"/>
      <c r="AW101" s="32"/>
      <c r="AX101" s="32"/>
      <c r="AY101" s="32"/>
      <c r="AZ101" s="32"/>
      <c r="BA101" s="32"/>
      <c r="BB101" s="32"/>
      <c r="BC101" s="32"/>
      <c r="BD101" s="32"/>
      <c r="BE101" s="32"/>
      <c r="BF101" s="32"/>
      <c r="BG101" s="32"/>
      <c r="BH101" s="32"/>
    </row>
    <row r="102" spans="1:60">
      <c r="A102" s="28">
        <v>44986</v>
      </c>
      <c r="B102" s="29">
        <v>2023</v>
      </c>
      <c r="C102" s="30">
        <v>1610.2840000000001</v>
      </c>
      <c r="D102" s="30">
        <v>1610.2650000000001</v>
      </c>
      <c r="E102" s="30">
        <f t="shared" si="7"/>
        <v>1.9000000000005457E-2</v>
      </c>
      <c r="F102" s="30">
        <v>1179.0650000000001</v>
      </c>
      <c r="G102" s="30">
        <v>1179.0650000000001</v>
      </c>
      <c r="H102" s="30">
        <f t="shared" si="8"/>
        <v>0</v>
      </c>
      <c r="I102" s="30">
        <v>3206.6779999999999</v>
      </c>
      <c r="J102" s="30">
        <v>3206.4859999999999</v>
      </c>
      <c r="K102" s="30">
        <f t="shared" si="9"/>
        <v>0.19200000000000728</v>
      </c>
      <c r="L102" s="30">
        <v>3183.5740000000001</v>
      </c>
      <c r="M102" s="30">
        <v>3183.393</v>
      </c>
      <c r="N102" s="30">
        <f t="shared" si="10"/>
        <v>0.18100000000004002</v>
      </c>
      <c r="O102" s="30">
        <v>2529.777</v>
      </c>
      <c r="P102" s="30">
        <v>2529.777</v>
      </c>
      <c r="Q102" s="30">
        <f t="shared" si="11"/>
        <v>0</v>
      </c>
      <c r="R102" s="31">
        <v>7081.5060000000003</v>
      </c>
      <c r="S102" s="31">
        <v>7077.125</v>
      </c>
      <c r="T102" s="30">
        <f t="shared" si="12"/>
        <v>4.3810000000003129</v>
      </c>
      <c r="U102" s="31">
        <v>6856.6440000000002</v>
      </c>
      <c r="V102" s="31">
        <v>6852.4359999999997</v>
      </c>
      <c r="W102" s="30">
        <f t="shared" si="13"/>
        <v>4.2080000000005384</v>
      </c>
      <c r="X102" s="30"/>
      <c r="Y102" s="30"/>
      <c r="Z102" s="30"/>
      <c r="AA102" s="30"/>
      <c r="AB102" s="30"/>
      <c r="AC102" s="30"/>
      <c r="AD102" s="30"/>
      <c r="AE102" s="30"/>
      <c r="AF102" s="30"/>
      <c r="AG102" s="30"/>
      <c r="AH102" s="30"/>
      <c r="AI102" s="30"/>
      <c r="AJ102" s="30"/>
      <c r="AK102" s="30"/>
      <c r="AL102" s="30"/>
      <c r="AM102" s="30"/>
      <c r="AN102" s="32"/>
      <c r="AO102" s="32"/>
      <c r="AP102" s="32"/>
      <c r="AQ102" s="32"/>
      <c r="AR102" s="32"/>
      <c r="AS102" s="32"/>
      <c r="AT102" s="32"/>
      <c r="AU102" s="32"/>
      <c r="AV102" s="32"/>
      <c r="AW102" s="32"/>
      <c r="AX102" s="32"/>
      <c r="AY102" s="32"/>
      <c r="AZ102" s="32"/>
      <c r="BA102" s="32"/>
      <c r="BB102" s="32"/>
      <c r="BC102" s="32"/>
      <c r="BD102" s="32"/>
      <c r="BE102" s="32"/>
      <c r="BF102" s="32"/>
      <c r="BG102" s="32"/>
      <c r="BH102" s="32"/>
    </row>
    <row r="103" spans="1:60">
      <c r="A103" s="28">
        <v>45017</v>
      </c>
      <c r="B103" s="29">
        <v>2023</v>
      </c>
      <c r="C103" s="30">
        <v>2059.6799999999998</v>
      </c>
      <c r="D103" s="30">
        <v>2059.6799999999998</v>
      </c>
      <c r="E103" s="30">
        <f t="shared" si="7"/>
        <v>0</v>
      </c>
      <c r="F103" s="30">
        <v>1192.165</v>
      </c>
      <c r="G103" s="30">
        <v>1192.165</v>
      </c>
      <c r="H103" s="30">
        <f t="shared" si="8"/>
        <v>0</v>
      </c>
      <c r="I103" s="30">
        <v>3509.9769999999999</v>
      </c>
      <c r="J103" s="30">
        <v>3509.7139999999999</v>
      </c>
      <c r="K103" s="30">
        <f t="shared" si="9"/>
        <v>0.26299999999991996</v>
      </c>
      <c r="L103" s="30">
        <v>3427.239</v>
      </c>
      <c r="M103" s="30">
        <v>3426.6089999999999</v>
      </c>
      <c r="N103" s="30">
        <f t="shared" si="10"/>
        <v>0.63000000000010914</v>
      </c>
      <c r="O103" s="30">
        <v>2714.125</v>
      </c>
      <c r="P103" s="30">
        <v>2714.1239999999998</v>
      </c>
      <c r="Q103" s="30">
        <f t="shared" si="11"/>
        <v>1.0000000002037268E-3</v>
      </c>
      <c r="R103" s="31">
        <v>6856.6440000000002</v>
      </c>
      <c r="S103" s="31">
        <v>6852.4359999999997</v>
      </c>
      <c r="T103" s="30">
        <f t="shared" si="12"/>
        <v>4.2080000000005384</v>
      </c>
      <c r="U103" s="31">
        <v>6926.5309999999999</v>
      </c>
      <c r="V103" s="31">
        <v>6922.5860000000002</v>
      </c>
      <c r="W103" s="30">
        <f t="shared" si="13"/>
        <v>3.944999999999709</v>
      </c>
      <c r="X103" s="30"/>
      <c r="Y103" s="30"/>
      <c r="Z103" s="30"/>
      <c r="AA103" s="30"/>
      <c r="AB103" s="30"/>
      <c r="AC103" s="30"/>
      <c r="AD103" s="30"/>
      <c r="AE103" s="30"/>
      <c r="AF103" s="30"/>
      <c r="AG103" s="30"/>
      <c r="AH103" s="30"/>
      <c r="AI103" s="30"/>
      <c r="AJ103" s="30"/>
      <c r="AK103" s="30"/>
      <c r="AL103" s="30"/>
      <c r="AM103" s="30"/>
      <c r="AN103" s="32"/>
      <c r="AO103" s="32"/>
      <c r="AP103" s="32"/>
      <c r="AQ103" s="32"/>
      <c r="AR103" s="32"/>
      <c r="AS103" s="32"/>
      <c r="AT103" s="32"/>
      <c r="AU103" s="32"/>
      <c r="AV103" s="32"/>
      <c r="AW103" s="32"/>
      <c r="AX103" s="32"/>
      <c r="AY103" s="32"/>
      <c r="AZ103" s="32"/>
      <c r="BA103" s="32"/>
      <c r="BB103" s="32"/>
      <c r="BC103" s="32"/>
      <c r="BD103" s="32"/>
      <c r="BE103" s="32"/>
      <c r="BF103" s="32"/>
      <c r="BG103" s="32"/>
      <c r="BH103" s="32"/>
    </row>
    <row r="104" spans="1:60">
      <c r="A104" s="28">
        <v>45047</v>
      </c>
      <c r="B104" s="29">
        <v>2023</v>
      </c>
      <c r="C104" s="30">
        <v>2474.3429999999998</v>
      </c>
      <c r="D104" s="30">
        <v>2474.3429999999998</v>
      </c>
      <c r="E104" s="30">
        <f t="shared" si="7"/>
        <v>0</v>
      </c>
      <c r="F104" s="30">
        <v>1253.6369999999999</v>
      </c>
      <c r="G104" s="30">
        <v>1253.6369999999999</v>
      </c>
      <c r="H104" s="30">
        <f t="shared" si="8"/>
        <v>0</v>
      </c>
      <c r="I104" s="30">
        <v>3911.163</v>
      </c>
      <c r="J104" s="30">
        <v>3910.9879999999998</v>
      </c>
      <c r="K104" s="30">
        <f t="shared" si="9"/>
        <v>0.1750000000001819</v>
      </c>
      <c r="L104" s="30">
        <v>3783.6889999999999</v>
      </c>
      <c r="M104" s="30">
        <v>3783.5149999999999</v>
      </c>
      <c r="N104" s="30">
        <f t="shared" si="10"/>
        <v>0.17399999999997817</v>
      </c>
      <c r="O104" s="30">
        <v>2985.748</v>
      </c>
      <c r="P104" s="30">
        <v>2985.748</v>
      </c>
      <c r="Q104" s="30">
        <f t="shared" si="11"/>
        <v>0</v>
      </c>
      <c r="R104" s="31">
        <v>6926.5309999999999</v>
      </c>
      <c r="S104" s="31">
        <v>6922.5860000000002</v>
      </c>
      <c r="T104" s="30">
        <f t="shared" si="12"/>
        <v>3.944999999999709</v>
      </c>
      <c r="U104" s="31">
        <v>7360.7079999999996</v>
      </c>
      <c r="V104" s="31">
        <v>7356.9340000000002</v>
      </c>
      <c r="W104" s="30">
        <f t="shared" si="13"/>
        <v>3.7739999999994325</v>
      </c>
      <c r="X104" s="30"/>
      <c r="Y104" s="30"/>
      <c r="Z104" s="30"/>
      <c r="AA104" s="30"/>
      <c r="AB104" s="30"/>
      <c r="AC104" s="30"/>
      <c r="AD104" s="30"/>
      <c r="AE104" s="30"/>
      <c r="AF104" s="30"/>
      <c r="AG104" s="30"/>
      <c r="AH104" s="30"/>
      <c r="AI104" s="30"/>
      <c r="AJ104" s="30"/>
      <c r="AK104" s="30"/>
      <c r="AL104" s="30"/>
      <c r="AM104" s="30"/>
      <c r="AN104" s="32"/>
      <c r="AO104" s="32"/>
      <c r="AP104" s="32"/>
      <c r="AQ104" s="32"/>
      <c r="AR104" s="32"/>
      <c r="AS104" s="32"/>
      <c r="AT104" s="32"/>
      <c r="AU104" s="32"/>
      <c r="AV104" s="32"/>
      <c r="AW104" s="32"/>
      <c r="AX104" s="32"/>
      <c r="AY104" s="32"/>
      <c r="AZ104" s="32"/>
      <c r="BA104" s="32"/>
      <c r="BB104" s="32"/>
      <c r="BC104" s="32"/>
      <c r="BD104" s="32"/>
      <c r="BE104" s="32"/>
      <c r="BF104" s="32"/>
      <c r="BG104" s="32"/>
      <c r="BH104" s="32"/>
    </row>
    <row r="105" spans="1:60">
      <c r="A105" s="28">
        <v>45078</v>
      </c>
      <c r="B105" s="29">
        <v>2023</v>
      </c>
      <c r="C105" s="30">
        <v>1919.335</v>
      </c>
      <c r="D105" s="30">
        <v>1918.71</v>
      </c>
      <c r="E105" s="30">
        <f t="shared" si="7"/>
        <v>0.625</v>
      </c>
      <c r="F105" s="30">
        <v>1269.4069999999999</v>
      </c>
      <c r="G105" s="30">
        <v>1269.4069999999999</v>
      </c>
      <c r="H105" s="30">
        <f t="shared" si="8"/>
        <v>0</v>
      </c>
      <c r="I105" s="30">
        <v>3873.3139999999999</v>
      </c>
      <c r="J105" s="30">
        <v>3872.4830000000002</v>
      </c>
      <c r="K105" s="30">
        <f t="shared" si="9"/>
        <v>0.83099999999967622</v>
      </c>
      <c r="L105" s="30">
        <v>4024.6179999999999</v>
      </c>
      <c r="M105" s="30">
        <v>4023.788</v>
      </c>
      <c r="N105" s="30">
        <f t="shared" si="10"/>
        <v>0.82999999999992724</v>
      </c>
      <c r="O105" s="30">
        <v>3174.0509999999999</v>
      </c>
      <c r="P105" s="30">
        <v>3173.41</v>
      </c>
      <c r="Q105" s="30">
        <f t="shared" si="11"/>
        <v>0.6410000000000764</v>
      </c>
      <c r="R105" s="31">
        <v>7360.7079999999996</v>
      </c>
      <c r="S105" s="31">
        <v>7356.9340000000002</v>
      </c>
      <c r="T105" s="30">
        <f t="shared" si="12"/>
        <v>3.7739999999994325</v>
      </c>
      <c r="U105" s="31">
        <v>7135.7139999999999</v>
      </c>
      <c r="V105" s="31">
        <v>7132.1459999999997</v>
      </c>
      <c r="W105" s="30">
        <f t="shared" si="13"/>
        <v>3.568000000000211</v>
      </c>
      <c r="X105" s="30"/>
      <c r="Y105" s="30"/>
      <c r="Z105" s="30"/>
      <c r="AA105" s="30"/>
      <c r="AB105" s="30"/>
      <c r="AC105" s="30"/>
      <c r="AD105" s="30"/>
      <c r="AE105" s="30"/>
      <c r="AF105" s="30"/>
      <c r="AG105" s="30"/>
      <c r="AH105" s="30"/>
      <c r="AI105" s="30"/>
      <c r="AJ105" s="30"/>
      <c r="AK105" s="30"/>
      <c r="AL105" s="30"/>
      <c r="AM105" s="30"/>
      <c r="AN105" s="32"/>
      <c r="AO105" s="32"/>
      <c r="AP105" s="32"/>
      <c r="AQ105" s="32"/>
      <c r="AR105" s="32"/>
      <c r="AS105" s="32"/>
      <c r="AT105" s="32"/>
      <c r="AU105" s="32"/>
      <c r="AV105" s="32"/>
      <c r="AW105" s="32"/>
      <c r="AX105" s="32"/>
      <c r="AY105" s="32"/>
      <c r="AZ105" s="32"/>
      <c r="BA105" s="32"/>
      <c r="BB105" s="32"/>
      <c r="BC105" s="32"/>
      <c r="BD105" s="32"/>
      <c r="BE105" s="32"/>
      <c r="BF105" s="32"/>
      <c r="BG105" s="32"/>
      <c r="BH105" s="32"/>
    </row>
    <row r="106" spans="1:60">
      <c r="A106" s="28">
        <v>45108</v>
      </c>
      <c r="B106" s="29">
        <v>2023</v>
      </c>
      <c r="C106" s="30">
        <v>2728.3009999999999</v>
      </c>
      <c r="D106" s="30">
        <v>2723.1930000000002</v>
      </c>
      <c r="E106" s="30">
        <f t="shared" si="7"/>
        <v>5.1079999999997199</v>
      </c>
      <c r="F106" s="30">
        <v>1283.9280000000001</v>
      </c>
      <c r="G106" s="30">
        <v>1283.9280000000001</v>
      </c>
      <c r="H106" s="30">
        <f t="shared" si="8"/>
        <v>0</v>
      </c>
      <c r="I106" s="30">
        <v>4655.3310000000001</v>
      </c>
      <c r="J106" s="30">
        <v>4649.9080000000004</v>
      </c>
      <c r="K106" s="30">
        <f t="shared" si="9"/>
        <v>5.4229999999997744</v>
      </c>
      <c r="L106" s="30">
        <v>4483.2389999999996</v>
      </c>
      <c r="M106" s="30">
        <v>4477.8159999999998</v>
      </c>
      <c r="N106" s="30">
        <f t="shared" si="10"/>
        <v>5.4229999999997744</v>
      </c>
      <c r="O106" s="30">
        <v>3615.9259999999999</v>
      </c>
      <c r="P106" s="30">
        <v>3610.8020000000001</v>
      </c>
      <c r="Q106" s="30">
        <f t="shared" si="11"/>
        <v>5.1239999999997963</v>
      </c>
      <c r="R106" s="31">
        <v>7135.7139999999999</v>
      </c>
      <c r="S106" s="31">
        <v>7132.1459999999997</v>
      </c>
      <c r="T106" s="30">
        <f t="shared" si="12"/>
        <v>3.568000000000211</v>
      </c>
      <c r="U106" s="31">
        <v>7177.6350000000002</v>
      </c>
      <c r="V106" s="31">
        <v>7174.3819999999996</v>
      </c>
      <c r="W106" s="30">
        <f t="shared" si="13"/>
        <v>3.2530000000006112</v>
      </c>
      <c r="X106" s="30"/>
      <c r="Y106" s="30"/>
      <c r="Z106" s="30"/>
      <c r="AA106" s="30"/>
      <c r="AB106" s="30"/>
      <c r="AC106" s="30"/>
      <c r="AD106" s="30"/>
      <c r="AE106" s="30"/>
      <c r="AF106" s="30"/>
      <c r="AG106" s="30"/>
      <c r="AH106" s="30"/>
      <c r="AI106" s="30"/>
      <c r="AJ106" s="30"/>
      <c r="AK106" s="30"/>
      <c r="AL106" s="30"/>
      <c r="AM106" s="30"/>
      <c r="AN106" s="32"/>
      <c r="AO106" s="32"/>
      <c r="AP106" s="32"/>
      <c r="AQ106" s="32"/>
      <c r="AR106" s="32"/>
      <c r="AS106" s="32"/>
      <c r="AT106" s="32"/>
      <c r="AU106" s="32"/>
      <c r="AV106" s="32"/>
      <c r="AW106" s="32"/>
      <c r="AX106" s="32"/>
      <c r="AY106" s="32"/>
      <c r="AZ106" s="32"/>
      <c r="BA106" s="32"/>
      <c r="BB106" s="32"/>
      <c r="BC106" s="32"/>
      <c r="BD106" s="32"/>
      <c r="BE106" s="32"/>
      <c r="BF106" s="32"/>
      <c r="BG106" s="32"/>
      <c r="BH106" s="32"/>
    </row>
    <row r="107" spans="1:60">
      <c r="A107" s="28">
        <v>45139</v>
      </c>
      <c r="B107" s="29">
        <v>2023</v>
      </c>
      <c r="C107" s="30">
        <v>2303.681</v>
      </c>
      <c r="D107" s="30">
        <v>2301.9859999999999</v>
      </c>
      <c r="E107" s="30">
        <f t="shared" si="7"/>
        <v>1.6950000000001637</v>
      </c>
      <c r="F107" s="30">
        <v>1344.953</v>
      </c>
      <c r="G107" s="30">
        <v>1344.953</v>
      </c>
      <c r="H107" s="30">
        <f t="shared" si="8"/>
        <v>0</v>
      </c>
      <c r="I107" s="30">
        <v>4424.3739999999998</v>
      </c>
      <c r="J107" s="30">
        <v>4422.4179999999997</v>
      </c>
      <c r="K107" s="30">
        <f t="shared" si="9"/>
        <v>1.956000000000131</v>
      </c>
      <c r="L107" s="30">
        <v>4399.8900000000003</v>
      </c>
      <c r="M107" s="30">
        <v>4397.9340000000002</v>
      </c>
      <c r="N107" s="30">
        <f t="shared" si="10"/>
        <v>1.956000000000131</v>
      </c>
      <c r="O107" s="30">
        <v>3521.1260000000002</v>
      </c>
      <c r="P107" s="30">
        <v>3519.431</v>
      </c>
      <c r="Q107" s="30">
        <f t="shared" si="11"/>
        <v>1.6950000000001637</v>
      </c>
      <c r="R107" s="31">
        <v>7177.6350000000002</v>
      </c>
      <c r="S107" s="31">
        <v>7174.3819999999996</v>
      </c>
      <c r="T107" s="30">
        <f t="shared" si="12"/>
        <v>3.2530000000006112</v>
      </c>
      <c r="U107" s="31">
        <v>7261.5860000000002</v>
      </c>
      <c r="V107" s="31">
        <v>7258.5739999999996</v>
      </c>
      <c r="W107" s="30">
        <f t="shared" si="13"/>
        <v>3.0120000000006257</v>
      </c>
      <c r="X107" s="30"/>
      <c r="Y107" s="30"/>
      <c r="Z107" s="30"/>
      <c r="AA107" s="30"/>
      <c r="AB107" s="30"/>
      <c r="AC107" s="30"/>
      <c r="AD107" s="30"/>
      <c r="AE107" s="30"/>
      <c r="AF107" s="30"/>
      <c r="AG107" s="30"/>
      <c r="AH107" s="30"/>
      <c r="AI107" s="30"/>
      <c r="AJ107" s="30"/>
      <c r="AK107" s="30"/>
      <c r="AL107" s="30"/>
      <c r="AM107" s="30"/>
      <c r="AN107" s="32"/>
      <c r="AO107" s="32"/>
      <c r="AP107" s="32"/>
      <c r="AQ107" s="32"/>
      <c r="AR107" s="32"/>
      <c r="AS107" s="32"/>
      <c r="AT107" s="32"/>
      <c r="AU107" s="32"/>
      <c r="AV107" s="32"/>
      <c r="AW107" s="32"/>
      <c r="AX107" s="32"/>
      <c r="AY107" s="32"/>
      <c r="AZ107" s="32"/>
      <c r="BA107" s="32"/>
      <c r="BB107" s="32"/>
      <c r="BC107" s="32"/>
      <c r="BD107" s="32"/>
      <c r="BE107" s="32"/>
      <c r="BF107" s="32"/>
      <c r="BG107" s="32"/>
      <c r="BH107" s="32"/>
    </row>
    <row r="108" spans="1:60">
      <c r="A108" s="28">
        <v>45170</v>
      </c>
      <c r="B108" s="29">
        <v>2023</v>
      </c>
      <c r="C108" s="30">
        <v>2319.145</v>
      </c>
      <c r="D108" s="30">
        <v>2317.5050000000001</v>
      </c>
      <c r="E108" s="30">
        <f t="shared" si="7"/>
        <v>1.6399999999998727</v>
      </c>
      <c r="F108" s="30">
        <v>1179.5060000000001</v>
      </c>
      <c r="G108" s="30">
        <v>1179.5060000000001</v>
      </c>
      <c r="H108" s="30">
        <f t="shared" si="8"/>
        <v>0</v>
      </c>
      <c r="I108" s="30">
        <v>4300.741</v>
      </c>
      <c r="J108" s="30">
        <v>4298.8879999999999</v>
      </c>
      <c r="K108" s="30">
        <f t="shared" si="9"/>
        <v>1.8530000000000655</v>
      </c>
      <c r="L108" s="30">
        <v>4154.6530000000002</v>
      </c>
      <c r="M108" s="30">
        <v>4152.799</v>
      </c>
      <c r="N108" s="30">
        <f t="shared" si="10"/>
        <v>1.8540000000002692</v>
      </c>
      <c r="O108" s="30">
        <v>3390.6759999999999</v>
      </c>
      <c r="P108" s="30">
        <v>3389.0309999999999</v>
      </c>
      <c r="Q108" s="30">
        <f t="shared" si="11"/>
        <v>1.6449999999999818</v>
      </c>
      <c r="R108" s="31">
        <v>7260.5450000000001</v>
      </c>
      <c r="S108" s="31">
        <v>7257.5330000000004</v>
      </c>
      <c r="T108" s="30">
        <f t="shared" si="12"/>
        <v>3.0119999999997162</v>
      </c>
      <c r="U108" s="31">
        <v>7093.6660000000002</v>
      </c>
      <c r="V108" s="31">
        <v>7090.8670000000002</v>
      </c>
      <c r="W108" s="30">
        <f t="shared" si="13"/>
        <v>2.7989999999999782</v>
      </c>
      <c r="X108" s="30"/>
      <c r="Y108" s="30"/>
      <c r="Z108" s="30"/>
      <c r="AA108" s="30"/>
      <c r="AB108" s="30"/>
      <c r="AC108" s="30"/>
      <c r="AD108" s="30"/>
      <c r="AE108" s="30"/>
      <c r="AF108" s="30"/>
      <c r="AG108" s="30"/>
      <c r="AH108" s="30"/>
      <c r="AI108" s="30"/>
      <c r="AJ108" s="30"/>
      <c r="AK108" s="30"/>
      <c r="AL108" s="30"/>
      <c r="AM108" s="30"/>
      <c r="AN108" s="32"/>
      <c r="AO108" s="32"/>
      <c r="AP108" s="32"/>
      <c r="AQ108" s="32"/>
      <c r="AR108" s="32"/>
      <c r="AS108" s="32"/>
      <c r="AT108" s="32"/>
      <c r="AU108" s="32"/>
      <c r="AV108" s="32"/>
      <c r="AW108" s="32"/>
      <c r="AX108" s="32"/>
      <c r="AY108" s="32"/>
      <c r="AZ108" s="32"/>
      <c r="BA108" s="32"/>
      <c r="BB108" s="32"/>
      <c r="BC108" s="32"/>
      <c r="BD108" s="32"/>
      <c r="BE108" s="32"/>
      <c r="BF108" s="32"/>
      <c r="BG108" s="32"/>
      <c r="BH108" s="32"/>
    </row>
    <row r="109" spans="1:60">
      <c r="A109" s="28">
        <v>45200</v>
      </c>
      <c r="B109" s="29">
        <v>2023</v>
      </c>
      <c r="C109" s="30">
        <v>2300.665</v>
      </c>
      <c r="D109" s="30">
        <v>2298.9699999999998</v>
      </c>
      <c r="E109" s="30">
        <f t="shared" si="7"/>
        <v>1.6950000000001637</v>
      </c>
      <c r="F109" s="30">
        <v>1557.3309999999999</v>
      </c>
      <c r="G109" s="30">
        <v>1557.3309999999999</v>
      </c>
      <c r="H109" s="30">
        <f t="shared" si="8"/>
        <v>0</v>
      </c>
      <c r="I109" s="30">
        <v>4102.5079999999998</v>
      </c>
      <c r="J109" s="30">
        <v>4085.6610000000001</v>
      </c>
      <c r="K109" s="30">
        <f t="shared" si="9"/>
        <v>16.846999999999753</v>
      </c>
      <c r="L109" s="30">
        <v>4064.3789999999999</v>
      </c>
      <c r="M109" s="30">
        <v>4046.306</v>
      </c>
      <c r="N109" s="30">
        <f t="shared" si="10"/>
        <v>18.072999999999865</v>
      </c>
      <c r="O109" s="30">
        <v>3294.614</v>
      </c>
      <c r="P109" s="30">
        <v>3282.9169999999999</v>
      </c>
      <c r="Q109" s="30">
        <f t="shared" si="11"/>
        <v>11.697000000000116</v>
      </c>
      <c r="R109" s="31">
        <v>7093.6660000000002</v>
      </c>
      <c r="S109" s="31">
        <v>7090.8670000000002</v>
      </c>
      <c r="T109" s="30">
        <f t="shared" si="12"/>
        <v>2.7989999999999782</v>
      </c>
      <c r="U109" s="31">
        <v>6999.9660000000003</v>
      </c>
      <c r="V109" s="31">
        <v>6997.3190000000004</v>
      </c>
      <c r="W109" s="30">
        <f t="shared" si="13"/>
        <v>2.6469999999999345</v>
      </c>
      <c r="X109" s="30"/>
      <c r="Y109" s="30"/>
      <c r="Z109" s="30"/>
      <c r="AA109" s="30"/>
      <c r="AB109" s="30"/>
      <c r="AC109" s="30"/>
      <c r="AD109" s="30"/>
      <c r="AE109" s="30"/>
      <c r="AF109" s="30"/>
      <c r="AG109" s="30"/>
      <c r="AH109" s="30"/>
      <c r="AI109" s="30"/>
      <c r="AJ109" s="30"/>
      <c r="AK109" s="30"/>
      <c r="AL109" s="30"/>
      <c r="AM109" s="30"/>
      <c r="AN109" s="32"/>
      <c r="AO109" s="32"/>
      <c r="AP109" s="32"/>
      <c r="AQ109" s="32"/>
      <c r="AR109" s="32"/>
      <c r="AS109" s="32"/>
      <c r="AT109" s="32"/>
      <c r="AU109" s="32"/>
      <c r="AV109" s="32"/>
      <c r="AW109" s="32"/>
      <c r="AX109" s="32"/>
      <c r="AY109" s="32"/>
      <c r="AZ109" s="32"/>
      <c r="BA109" s="32"/>
      <c r="BB109" s="32"/>
      <c r="BC109" s="32"/>
      <c r="BD109" s="32"/>
      <c r="BE109" s="32"/>
      <c r="BF109" s="32"/>
      <c r="BG109" s="32"/>
      <c r="BH109" s="32"/>
    </row>
    <row r="110" spans="1:60">
      <c r="A110" s="28">
        <v>45231</v>
      </c>
      <c r="B110" s="29">
        <v>2023</v>
      </c>
      <c r="C110" s="30">
        <v>2044.221</v>
      </c>
      <c r="D110" s="30">
        <v>2042.5809999999999</v>
      </c>
      <c r="E110" s="30">
        <f t="shared" si="7"/>
        <v>1.6400000000001</v>
      </c>
      <c r="F110" s="30">
        <v>1483.9839999999999</v>
      </c>
      <c r="G110" s="30">
        <v>1483.9839999999999</v>
      </c>
      <c r="H110" s="30">
        <f t="shared" si="8"/>
        <v>0</v>
      </c>
      <c r="I110" s="30">
        <v>3413.1419999999998</v>
      </c>
      <c r="J110" s="30">
        <v>3406.299</v>
      </c>
      <c r="K110" s="30">
        <f t="shared" si="9"/>
        <v>6.8429999999998472</v>
      </c>
      <c r="L110" s="30">
        <v>3309.3960000000002</v>
      </c>
      <c r="M110" s="30">
        <v>3296.4879999999998</v>
      </c>
      <c r="N110" s="30">
        <f t="shared" si="10"/>
        <v>12.908000000000357</v>
      </c>
      <c r="O110" s="30">
        <v>2704.0880000000002</v>
      </c>
      <c r="P110" s="30">
        <v>2697.4349999999999</v>
      </c>
      <c r="Q110" s="30">
        <f t="shared" si="11"/>
        <v>6.6530000000002474</v>
      </c>
      <c r="R110" s="31">
        <v>6999.9660000000003</v>
      </c>
      <c r="S110" s="31">
        <v>6997.3190000000004</v>
      </c>
      <c r="T110" s="30">
        <f t="shared" si="12"/>
        <v>2.6469999999999345</v>
      </c>
      <c r="U110" s="31">
        <v>6993.76</v>
      </c>
      <c r="V110" s="31">
        <v>6991.3159999999998</v>
      </c>
      <c r="W110" s="30">
        <f t="shared" si="13"/>
        <v>2.4440000000004147</v>
      </c>
      <c r="X110" s="30"/>
      <c r="Y110" s="30"/>
      <c r="Z110" s="30"/>
      <c r="AA110" s="30"/>
      <c r="AB110" s="30"/>
      <c r="AC110" s="30"/>
      <c r="AD110" s="30"/>
      <c r="AE110" s="30"/>
      <c r="AF110" s="30"/>
      <c r="AG110" s="30"/>
      <c r="AH110" s="30"/>
      <c r="AI110" s="30"/>
      <c r="AJ110" s="30"/>
      <c r="AK110" s="30"/>
      <c r="AL110" s="30"/>
      <c r="AM110" s="30"/>
      <c r="AN110" s="32"/>
      <c r="AO110" s="32"/>
      <c r="AP110" s="32"/>
      <c r="AQ110" s="32"/>
      <c r="AR110" s="32"/>
      <c r="AS110" s="32"/>
      <c r="AT110" s="32"/>
      <c r="AU110" s="32"/>
      <c r="AV110" s="32"/>
      <c r="AW110" s="32"/>
      <c r="AX110" s="32"/>
      <c r="AY110" s="32"/>
      <c r="AZ110" s="32"/>
      <c r="BA110" s="32"/>
      <c r="BB110" s="32"/>
      <c r="BC110" s="32"/>
      <c r="BD110" s="32"/>
      <c r="BE110" s="32"/>
      <c r="BF110" s="32"/>
      <c r="BG110" s="32"/>
      <c r="BH110" s="32"/>
    </row>
    <row r="111" spans="1:60">
      <c r="A111" s="28">
        <v>45261</v>
      </c>
      <c r="B111" s="29">
        <v>2023</v>
      </c>
      <c r="C111" s="30">
        <v>2108.0549999999998</v>
      </c>
      <c r="D111" s="30">
        <v>2106.3609999999999</v>
      </c>
      <c r="E111" s="30">
        <f t="shared" si="7"/>
        <v>1.69399999999996</v>
      </c>
      <c r="F111" s="30">
        <v>1372.239</v>
      </c>
      <c r="G111" s="30">
        <v>1372.239</v>
      </c>
      <c r="H111" s="30">
        <f t="shared" si="8"/>
        <v>0</v>
      </c>
      <c r="I111" s="30">
        <v>3600.3609999999999</v>
      </c>
      <c r="J111" s="30">
        <v>3573.2939999999999</v>
      </c>
      <c r="K111" s="30">
        <f t="shared" si="9"/>
        <v>27.067000000000007</v>
      </c>
      <c r="L111" s="30">
        <v>3464.27</v>
      </c>
      <c r="M111" s="30">
        <v>3432.5659999999998</v>
      </c>
      <c r="N111" s="30">
        <f t="shared" si="10"/>
        <v>31.704000000000178</v>
      </c>
      <c r="O111" s="30">
        <v>2755.5610000000001</v>
      </c>
      <c r="P111" s="30">
        <v>2728.866</v>
      </c>
      <c r="Q111" s="30">
        <f t="shared" si="11"/>
        <v>26.695000000000164</v>
      </c>
      <c r="R111" s="31">
        <v>6993.76</v>
      </c>
      <c r="S111" s="31">
        <v>6991.3159999999998</v>
      </c>
      <c r="T111" s="30">
        <f t="shared" si="12"/>
        <v>2.4440000000004147</v>
      </c>
      <c r="U111" s="31">
        <v>7201.6540000000005</v>
      </c>
      <c r="V111" s="31">
        <v>7195.5640000000003</v>
      </c>
      <c r="W111" s="30">
        <f t="shared" si="13"/>
        <v>6.0900000000001455</v>
      </c>
      <c r="X111" s="30"/>
      <c r="Y111" s="30"/>
      <c r="Z111" s="30"/>
      <c r="AA111" s="30"/>
      <c r="AB111" s="30"/>
      <c r="AC111" s="30"/>
      <c r="AD111" s="30"/>
      <c r="AE111" s="30"/>
      <c r="AF111" s="30"/>
      <c r="AG111" s="30"/>
      <c r="AH111" s="30"/>
      <c r="AI111" s="30"/>
      <c r="AJ111" s="30"/>
      <c r="AK111" s="30"/>
      <c r="AL111" s="30"/>
      <c r="AM111" s="30"/>
      <c r="AN111" s="32"/>
      <c r="AO111" s="32"/>
      <c r="AP111" s="32"/>
      <c r="AQ111" s="32"/>
      <c r="AR111" s="32"/>
      <c r="AS111" s="32"/>
      <c r="AT111" s="32"/>
      <c r="AU111" s="32"/>
      <c r="AV111" s="32"/>
      <c r="AW111" s="32"/>
      <c r="AX111" s="32"/>
      <c r="AY111" s="32"/>
      <c r="AZ111" s="32"/>
      <c r="BA111" s="32"/>
      <c r="BB111" s="32"/>
      <c r="BC111" s="32"/>
      <c r="BD111" s="32"/>
      <c r="BE111" s="32"/>
      <c r="BF111" s="32"/>
      <c r="BG111" s="32"/>
      <c r="BH111" s="32"/>
    </row>
    <row r="112" spans="1:60">
      <c r="A112" s="28">
        <v>45292</v>
      </c>
      <c r="B112" s="29">
        <f>YEAR(A112)</f>
        <v>2024</v>
      </c>
      <c r="C112" s="30">
        <v>1934.0039999999999</v>
      </c>
      <c r="D112" s="30">
        <v>1932.3140000000001</v>
      </c>
      <c r="E112" s="30">
        <f t="shared" si="7"/>
        <v>1.6899999999998272</v>
      </c>
      <c r="F112" s="30">
        <v>1395.597</v>
      </c>
      <c r="G112" s="30">
        <v>1395.597</v>
      </c>
      <c r="H112" s="30">
        <f t="shared" si="8"/>
        <v>0</v>
      </c>
      <c r="I112" s="30">
        <v>3329.5030000000002</v>
      </c>
      <c r="J112" s="30">
        <v>3327.5909999999999</v>
      </c>
      <c r="K112" s="30">
        <f t="shared" si="9"/>
        <v>1.9120000000002619</v>
      </c>
      <c r="L112" s="30">
        <v>3152.6109999999999</v>
      </c>
      <c r="M112" s="30">
        <v>3150.9209999999998</v>
      </c>
      <c r="N112" s="30">
        <f t="shared" si="10"/>
        <v>1.6900000000000546</v>
      </c>
      <c r="O112" s="30">
        <v>2573.4340000000002</v>
      </c>
      <c r="P112" s="30">
        <v>2571.7440000000001</v>
      </c>
      <c r="Q112" s="30">
        <f t="shared" si="11"/>
        <v>1.6900000000000546</v>
      </c>
      <c r="R112" s="31">
        <v>7188.3649999999998</v>
      </c>
      <c r="S112" s="31">
        <v>7182.2749999999996</v>
      </c>
      <c r="T112" s="30">
        <f t="shared" si="12"/>
        <v>6.0900000000001455</v>
      </c>
      <c r="U112" s="31">
        <v>7240.2460000000001</v>
      </c>
      <c r="V112" s="31">
        <v>7234.3680000000004</v>
      </c>
      <c r="W112" s="30">
        <f t="shared" si="13"/>
        <v>5.8779999999997017</v>
      </c>
      <c r="X112" s="30"/>
      <c r="Y112" s="30"/>
      <c r="Z112" s="30"/>
      <c r="AA112" s="30"/>
      <c r="AB112" s="30"/>
      <c r="AC112" s="30"/>
      <c r="AD112" s="30"/>
      <c r="AE112" s="30"/>
      <c r="AF112" s="30"/>
      <c r="AG112" s="30"/>
      <c r="AH112" s="30"/>
      <c r="AI112" s="30"/>
      <c r="AJ112" s="30"/>
      <c r="AK112" s="30"/>
      <c r="AL112" s="30"/>
      <c r="AM112" s="30"/>
      <c r="AN112" s="32"/>
      <c r="AO112" s="32"/>
      <c r="AP112" s="32"/>
      <c r="AQ112" s="32"/>
      <c r="AR112" s="32"/>
      <c r="AS112" s="32"/>
      <c r="AT112" s="32"/>
      <c r="AU112" s="32"/>
      <c r="AV112" s="32"/>
      <c r="AW112" s="32"/>
      <c r="AX112" s="32"/>
      <c r="AY112" s="32"/>
      <c r="AZ112" s="32"/>
      <c r="BA112" s="32"/>
      <c r="BB112" s="32"/>
      <c r="BC112" s="32"/>
      <c r="BD112" s="32"/>
      <c r="BE112" s="32"/>
      <c r="BF112" s="32"/>
      <c r="BG112" s="32"/>
      <c r="BH112" s="32"/>
    </row>
    <row r="113" spans="1:60">
      <c r="A113" s="28">
        <v>45323</v>
      </c>
      <c r="B113" s="29">
        <f>YEAR(A113)</f>
        <v>2024</v>
      </c>
      <c r="C113" s="30">
        <v>1626.386</v>
      </c>
      <c r="D113" s="30">
        <v>1624.663</v>
      </c>
      <c r="E113" s="30">
        <f t="shared" si="7"/>
        <v>1.7229999999999563</v>
      </c>
      <c r="F113" s="30">
        <v>1346.008</v>
      </c>
      <c r="G113" s="30">
        <v>1346.008</v>
      </c>
      <c r="H113" s="30">
        <f t="shared" si="8"/>
        <v>0</v>
      </c>
      <c r="I113" s="30">
        <v>2951.9639999999999</v>
      </c>
      <c r="J113" s="30">
        <v>2945.3209999999999</v>
      </c>
      <c r="K113" s="30">
        <f t="shared" si="9"/>
        <v>6.6430000000000291</v>
      </c>
      <c r="L113" s="30">
        <v>3027.1109999999999</v>
      </c>
      <c r="M113" s="30">
        <v>3021.76</v>
      </c>
      <c r="N113" s="30">
        <f t="shared" si="10"/>
        <v>5.350999999999658</v>
      </c>
      <c r="O113" s="30">
        <v>2419.8739999999998</v>
      </c>
      <c r="P113" s="30">
        <v>2418.2890000000002</v>
      </c>
      <c r="Q113" s="30">
        <f t="shared" si="11"/>
        <v>1.5849999999995816</v>
      </c>
      <c r="R113" s="31">
        <v>7240.2460000000001</v>
      </c>
      <c r="S113" s="31">
        <v>7234.3680000000004</v>
      </c>
      <c r="T113" s="30">
        <f t="shared" si="12"/>
        <v>5.8779999999997017</v>
      </c>
      <c r="U113" s="31">
        <v>7281.3010000000004</v>
      </c>
      <c r="V113" s="31">
        <v>7277.3429999999998</v>
      </c>
      <c r="W113" s="30">
        <f t="shared" si="13"/>
        <v>3.9580000000005384</v>
      </c>
      <c r="X113" s="30"/>
      <c r="Y113" s="30"/>
      <c r="Z113" s="30"/>
      <c r="AA113" s="30"/>
      <c r="AB113" s="30"/>
      <c r="AC113" s="30"/>
      <c r="AD113" s="30"/>
      <c r="AE113" s="30"/>
      <c r="AF113" s="30"/>
      <c r="AG113" s="30"/>
      <c r="AH113" s="30"/>
      <c r="AI113" s="30"/>
      <c r="AJ113" s="30"/>
      <c r="AK113" s="30"/>
      <c r="AL113" s="30"/>
      <c r="AM113" s="30"/>
      <c r="AN113" s="32"/>
      <c r="AO113" s="32"/>
      <c r="AP113" s="32"/>
      <c r="AQ113" s="32"/>
      <c r="AR113" s="32"/>
      <c r="AS113" s="32"/>
      <c r="AT113" s="32"/>
      <c r="AU113" s="32"/>
      <c r="AV113" s="32"/>
      <c r="AW113" s="32"/>
      <c r="AX113" s="32"/>
      <c r="AY113" s="32"/>
      <c r="AZ113" s="32"/>
      <c r="BA113" s="32"/>
      <c r="BB113" s="32"/>
      <c r="BC113" s="32"/>
      <c r="BD113" s="32"/>
      <c r="BE113" s="32"/>
      <c r="BF113" s="32"/>
      <c r="BG113" s="32"/>
      <c r="BH113" s="32"/>
    </row>
    <row r="114" spans="1:60">
      <c r="A114" s="28">
        <v>45352</v>
      </c>
      <c r="B114" s="29">
        <f t="shared" ref="B114:B135" si="14">YEAR(A114)</f>
        <v>2024</v>
      </c>
      <c r="C114" s="30">
        <v>2230.91</v>
      </c>
      <c r="D114" s="30">
        <v>2225.8159999999998</v>
      </c>
      <c r="E114" s="30">
        <f t="shared" si="7"/>
        <v>5.0940000000000509</v>
      </c>
      <c r="F114" s="30">
        <v>1490.3820000000001</v>
      </c>
      <c r="G114" s="30">
        <v>1490.3820000000001</v>
      </c>
      <c r="H114" s="30">
        <f t="shared" si="8"/>
        <v>0</v>
      </c>
      <c r="I114" s="30">
        <v>3453.3330000000001</v>
      </c>
      <c r="J114" s="30">
        <v>3446.9070000000002</v>
      </c>
      <c r="K114" s="30">
        <f t="shared" si="9"/>
        <v>6.4259999999999309</v>
      </c>
      <c r="L114" s="30">
        <v>3376.6990000000001</v>
      </c>
      <c r="M114" s="30">
        <v>3370.8330000000001</v>
      </c>
      <c r="N114" s="30">
        <f t="shared" si="10"/>
        <v>5.8659999999999854</v>
      </c>
      <c r="O114" s="30">
        <v>2756.623</v>
      </c>
      <c r="P114" s="30">
        <v>2751.5210000000002</v>
      </c>
      <c r="Q114" s="30">
        <f t="shared" si="11"/>
        <v>5.1019999999998618</v>
      </c>
      <c r="R114" s="31">
        <v>7281.3010000000004</v>
      </c>
      <c r="S114" s="31">
        <v>7277.3429999999998</v>
      </c>
      <c r="T114" s="30">
        <f t="shared" si="12"/>
        <v>3.9580000000005384</v>
      </c>
      <c r="U114" s="31">
        <v>7245.3190000000004</v>
      </c>
      <c r="V114" s="31">
        <v>7242.6930000000002</v>
      </c>
      <c r="W114" s="30">
        <f t="shared" si="13"/>
        <v>2.6260000000002037</v>
      </c>
      <c r="X114" s="30"/>
      <c r="Y114" s="30"/>
      <c r="Z114" s="30"/>
      <c r="AA114" s="30"/>
      <c r="AB114" s="30"/>
      <c r="AC114" s="30"/>
      <c r="AD114" s="30"/>
      <c r="AE114" s="30"/>
      <c r="AF114" s="30"/>
      <c r="AG114" s="30"/>
      <c r="AH114" s="30"/>
      <c r="AI114" s="30"/>
      <c r="AJ114" s="30"/>
      <c r="AK114" s="30"/>
      <c r="AL114" s="30"/>
      <c r="AM114" s="30"/>
      <c r="AN114" s="32"/>
      <c r="AO114" s="32"/>
      <c r="AP114" s="32"/>
      <c r="AQ114" s="32"/>
      <c r="AR114" s="32"/>
      <c r="AS114" s="32"/>
      <c r="AT114" s="32"/>
      <c r="AU114" s="32"/>
      <c r="AV114" s="32"/>
      <c r="AW114" s="32"/>
      <c r="AX114" s="32"/>
      <c r="AY114" s="32"/>
      <c r="AZ114" s="32"/>
      <c r="BA114" s="32"/>
      <c r="BB114" s="32"/>
      <c r="BC114" s="32"/>
      <c r="BD114" s="32"/>
      <c r="BE114" s="32"/>
      <c r="BF114" s="32"/>
      <c r="BG114" s="32"/>
      <c r="BH114" s="32"/>
    </row>
    <row r="115" spans="1:60">
      <c r="A115" s="28">
        <v>45383</v>
      </c>
      <c r="B115" s="29">
        <f t="shared" si="14"/>
        <v>2024</v>
      </c>
      <c r="C115" s="30">
        <v>2623.3020000000001</v>
      </c>
      <c r="D115" s="30">
        <v>2618.3719999999998</v>
      </c>
      <c r="E115" s="30">
        <f t="shared" si="7"/>
        <v>4.930000000000291</v>
      </c>
      <c r="F115" s="30">
        <v>1474.5719999999999</v>
      </c>
      <c r="G115" s="30">
        <v>1474.3579999999999</v>
      </c>
      <c r="H115" s="30">
        <f t="shared" si="8"/>
        <v>0.21399999999994179</v>
      </c>
      <c r="I115" s="30">
        <v>3818.998</v>
      </c>
      <c r="J115" s="30">
        <v>3810.85</v>
      </c>
      <c r="K115" s="30">
        <f t="shared" si="9"/>
        <v>8.1480000000001382</v>
      </c>
      <c r="L115" s="30">
        <v>3778.36</v>
      </c>
      <c r="M115" s="30">
        <v>3768.337</v>
      </c>
      <c r="N115" s="30">
        <f t="shared" si="10"/>
        <v>10.023000000000138</v>
      </c>
      <c r="O115" s="30">
        <v>3051.7330000000002</v>
      </c>
      <c r="P115" s="30">
        <v>3046.7919999999999</v>
      </c>
      <c r="Q115" s="30">
        <f t="shared" si="11"/>
        <v>4.9410000000002583</v>
      </c>
      <c r="R115" s="31">
        <v>7245.3190000000004</v>
      </c>
      <c r="S115" s="31">
        <v>7242.6930000000002</v>
      </c>
      <c r="T115" s="30">
        <f t="shared" si="12"/>
        <v>2.6260000000002037</v>
      </c>
      <c r="U115" s="31">
        <v>7525.38</v>
      </c>
      <c r="V115" s="31">
        <v>7519.2659999999996</v>
      </c>
      <c r="W115" s="30">
        <f t="shared" si="13"/>
        <v>6.1140000000004875</v>
      </c>
      <c r="X115" s="30"/>
      <c r="Y115" s="30"/>
      <c r="Z115" s="30"/>
      <c r="AA115" s="30"/>
      <c r="AB115" s="30"/>
      <c r="AC115" s="30"/>
      <c r="AD115" s="30"/>
      <c r="AE115" s="30"/>
      <c r="AF115" s="30"/>
      <c r="AG115" s="30"/>
      <c r="AH115" s="30"/>
      <c r="AI115" s="30"/>
      <c r="AJ115" s="30"/>
      <c r="AK115" s="30"/>
      <c r="AL115" s="30"/>
      <c r="AM115" s="30"/>
      <c r="AN115" s="32"/>
      <c r="AO115" s="32"/>
      <c r="AP115" s="32"/>
      <c r="AQ115" s="32"/>
      <c r="AR115" s="32"/>
      <c r="AS115" s="32"/>
      <c r="AT115" s="32"/>
      <c r="AU115" s="32"/>
      <c r="AV115" s="32"/>
      <c r="AW115" s="32"/>
      <c r="AX115" s="32"/>
      <c r="AY115" s="32"/>
      <c r="AZ115" s="32"/>
      <c r="BA115" s="32"/>
      <c r="BB115" s="32"/>
      <c r="BC115" s="32"/>
      <c r="BD115" s="32"/>
      <c r="BE115" s="32"/>
      <c r="BF115" s="32"/>
      <c r="BG115" s="32"/>
      <c r="BH115" s="32"/>
    </row>
    <row r="116" spans="1:60">
      <c r="A116" s="28">
        <v>45413</v>
      </c>
      <c r="B116" s="29">
        <f t="shared" si="14"/>
        <v>2024</v>
      </c>
      <c r="C116" s="30">
        <v>2600.9319999999998</v>
      </c>
      <c r="D116" s="30">
        <v>2590.181</v>
      </c>
      <c r="E116" s="30">
        <f t="shared" si="7"/>
        <v>10.750999999999749</v>
      </c>
      <c r="F116" s="30">
        <v>1562.731</v>
      </c>
      <c r="G116" s="30">
        <v>1562.569</v>
      </c>
      <c r="H116" s="30">
        <f t="shared" si="8"/>
        <v>0.16200000000003456</v>
      </c>
      <c r="I116" s="30">
        <v>4224.0590000000002</v>
      </c>
      <c r="J116" s="30">
        <v>4215.7870000000003</v>
      </c>
      <c r="K116" s="30">
        <f t="shared" si="9"/>
        <v>8.2719999999999345</v>
      </c>
      <c r="L116" s="30">
        <v>4119.8450000000003</v>
      </c>
      <c r="M116" s="30">
        <v>4111.51</v>
      </c>
      <c r="N116" s="30">
        <f t="shared" si="10"/>
        <v>8.3350000000000364</v>
      </c>
      <c r="O116" s="30">
        <v>3331.4180000000001</v>
      </c>
      <c r="P116" s="30">
        <v>3325.3229999999999</v>
      </c>
      <c r="Q116" s="30">
        <f t="shared" si="11"/>
        <v>6.0950000000002547</v>
      </c>
      <c r="R116" s="31">
        <v>7525.38</v>
      </c>
      <c r="S116" s="31">
        <v>7519.2659999999996</v>
      </c>
      <c r="T116" s="30">
        <f t="shared" si="12"/>
        <v>6.1140000000004875</v>
      </c>
      <c r="U116" s="31">
        <v>7407.5249999999996</v>
      </c>
      <c r="V116" s="31">
        <v>7398.0789999999997</v>
      </c>
      <c r="W116" s="30">
        <f t="shared" si="13"/>
        <v>9.4459999999999127</v>
      </c>
      <c r="X116" s="30"/>
      <c r="Y116" s="30"/>
      <c r="Z116" s="30"/>
      <c r="AA116" s="30"/>
      <c r="AB116" s="30"/>
      <c r="AC116" s="30"/>
      <c r="AD116" s="30"/>
      <c r="AE116" s="30"/>
      <c r="AF116" s="30"/>
      <c r="AG116" s="30"/>
      <c r="AH116" s="30"/>
      <c r="AI116" s="30"/>
      <c r="AJ116" s="30"/>
      <c r="AK116" s="30"/>
      <c r="AL116" s="30"/>
      <c r="AM116" s="30"/>
      <c r="AN116" s="32"/>
      <c r="AO116" s="32"/>
      <c r="AP116" s="32"/>
      <c r="AQ116" s="32"/>
      <c r="AR116" s="32"/>
      <c r="AS116" s="32"/>
      <c r="AT116" s="32"/>
      <c r="AU116" s="32"/>
      <c r="AV116" s="32"/>
      <c r="AW116" s="32"/>
      <c r="AX116" s="32"/>
      <c r="AY116" s="32"/>
      <c r="AZ116" s="32"/>
      <c r="BA116" s="32"/>
      <c r="BB116" s="32"/>
      <c r="BC116" s="32"/>
      <c r="BD116" s="32"/>
      <c r="BE116" s="32"/>
      <c r="BF116" s="32"/>
      <c r="BG116" s="32"/>
      <c r="BH116" s="32"/>
    </row>
    <row r="117" spans="1:60">
      <c r="A117" s="28">
        <v>45444</v>
      </c>
      <c r="B117" s="29">
        <f t="shared" si="14"/>
        <v>2024</v>
      </c>
      <c r="C117" s="30">
        <v>2282.4160000000002</v>
      </c>
      <c r="D117" s="30">
        <v>2277.4859999999999</v>
      </c>
      <c r="E117" s="30">
        <f t="shared" si="7"/>
        <v>4.930000000000291</v>
      </c>
      <c r="F117" s="30">
        <v>1395.9549999999999</v>
      </c>
      <c r="G117" s="30">
        <v>1395.807</v>
      </c>
      <c r="H117" s="30">
        <f t="shared" si="8"/>
        <v>0.14799999999991087</v>
      </c>
      <c r="I117" s="30">
        <v>4396.1350000000002</v>
      </c>
      <c r="J117" s="30">
        <v>4388.2</v>
      </c>
      <c r="K117" s="30">
        <f t="shared" si="9"/>
        <v>7.9350000000004002</v>
      </c>
      <c r="L117" s="30">
        <v>4296.8320000000003</v>
      </c>
      <c r="M117" s="30">
        <v>4286.7359999999999</v>
      </c>
      <c r="N117" s="30">
        <f t="shared" si="10"/>
        <v>10.096000000000458</v>
      </c>
      <c r="O117" s="30">
        <v>3528.6869999999999</v>
      </c>
      <c r="P117" s="30">
        <v>3520.7570000000001</v>
      </c>
      <c r="Q117" s="30">
        <f t="shared" si="11"/>
        <v>7.9299999999998363</v>
      </c>
      <c r="R117" s="31">
        <v>7407.5249999999996</v>
      </c>
      <c r="S117" s="31">
        <v>7398.0789999999997</v>
      </c>
      <c r="T117" s="30">
        <f t="shared" si="12"/>
        <v>9.4459999999999127</v>
      </c>
      <c r="U117" s="31">
        <v>7505.3059999999996</v>
      </c>
      <c r="V117" s="31">
        <v>7496.0020000000004</v>
      </c>
      <c r="W117" s="30">
        <f t="shared" si="13"/>
        <v>9.3039999999991778</v>
      </c>
      <c r="X117" s="30"/>
      <c r="Y117" s="30"/>
      <c r="Z117" s="30"/>
      <c r="AA117" s="30"/>
      <c r="AB117" s="30"/>
      <c r="AC117" s="30"/>
      <c r="AD117" s="30"/>
      <c r="AE117" s="30"/>
      <c r="AF117" s="30"/>
      <c r="AG117" s="30"/>
      <c r="AH117" s="30"/>
      <c r="AI117" s="30"/>
      <c r="AJ117" s="30"/>
      <c r="AK117" s="30"/>
      <c r="AL117" s="30"/>
      <c r="AM117" s="30"/>
      <c r="AN117" s="32"/>
      <c r="AO117" s="32"/>
      <c r="AP117" s="32"/>
      <c r="AQ117" s="32"/>
      <c r="AR117" s="32"/>
      <c r="AS117" s="32"/>
      <c r="AT117" s="32"/>
      <c r="AU117" s="32"/>
      <c r="AV117" s="32"/>
      <c r="AW117" s="32"/>
      <c r="AX117" s="32"/>
      <c r="AY117" s="32"/>
      <c r="AZ117" s="32"/>
      <c r="BA117" s="32"/>
      <c r="BB117" s="32"/>
      <c r="BC117" s="32"/>
      <c r="BD117" s="32"/>
      <c r="BE117" s="32"/>
      <c r="BF117" s="32"/>
      <c r="BG117" s="32"/>
      <c r="BH117" s="32"/>
    </row>
    <row r="118" spans="1:60">
      <c r="A118" s="28">
        <v>45474</v>
      </c>
      <c r="B118" s="29">
        <f t="shared" si="14"/>
        <v>2024</v>
      </c>
      <c r="C118" s="30">
        <v>2240.8969999999999</v>
      </c>
      <c r="D118" s="30">
        <v>2235.8020000000001</v>
      </c>
      <c r="E118" s="30">
        <f t="shared" si="7"/>
        <v>5.0949999999997999</v>
      </c>
      <c r="F118" s="30">
        <v>1592.627</v>
      </c>
      <c r="G118" s="30">
        <v>1592.556</v>
      </c>
      <c r="H118" s="30">
        <f t="shared" si="8"/>
        <v>7.0999999999912689E-2</v>
      </c>
      <c r="I118" s="30">
        <v>4540.1959999999999</v>
      </c>
      <c r="J118" s="30">
        <v>4525.9859999999999</v>
      </c>
      <c r="K118" s="30">
        <f t="shared" si="9"/>
        <v>14.210000000000036</v>
      </c>
      <c r="L118" s="30">
        <v>4620.8890000000001</v>
      </c>
      <c r="M118" s="30">
        <v>4611.7569999999996</v>
      </c>
      <c r="N118" s="30">
        <f t="shared" si="10"/>
        <v>9.1320000000005166</v>
      </c>
      <c r="O118" s="30">
        <v>3793.1210000000001</v>
      </c>
      <c r="P118" s="30">
        <v>3784.027</v>
      </c>
      <c r="Q118" s="30">
        <f t="shared" si="11"/>
        <v>9.0940000000000509</v>
      </c>
      <c r="R118" s="31">
        <v>7505.3059999999996</v>
      </c>
      <c r="S118" s="31">
        <v>7496.0020000000004</v>
      </c>
      <c r="T118" s="30">
        <f t="shared" si="12"/>
        <v>9.3039999999991778</v>
      </c>
      <c r="U118" s="31">
        <v>7248.0230000000001</v>
      </c>
      <c r="V118" s="31">
        <v>7243.8670000000002</v>
      </c>
      <c r="W118" s="30">
        <f t="shared" si="13"/>
        <v>4.1559999999999491</v>
      </c>
      <c r="X118" s="30"/>
      <c r="Y118" s="30"/>
      <c r="Z118" s="30"/>
      <c r="AA118" s="30"/>
      <c r="AB118" s="30"/>
      <c r="AC118" s="30"/>
      <c r="AD118" s="30"/>
      <c r="AE118" s="30"/>
      <c r="AF118" s="30"/>
      <c r="AG118" s="30"/>
      <c r="AH118" s="30"/>
      <c r="AI118" s="30"/>
      <c r="AJ118" s="30"/>
      <c r="AK118" s="30"/>
      <c r="AL118" s="30"/>
      <c r="AM118" s="30"/>
      <c r="AN118" s="32"/>
      <c r="AO118" s="32"/>
      <c r="AP118" s="32"/>
      <c r="AQ118" s="32"/>
      <c r="AR118" s="32"/>
      <c r="AS118" s="32"/>
      <c r="AT118" s="32"/>
      <c r="AU118" s="32"/>
      <c r="AV118" s="32"/>
      <c r="AW118" s="32"/>
      <c r="AX118" s="32"/>
      <c r="AY118" s="32"/>
      <c r="AZ118" s="32"/>
      <c r="BA118" s="32"/>
      <c r="BB118" s="32"/>
      <c r="BC118" s="32"/>
      <c r="BD118" s="32"/>
      <c r="BE118" s="32"/>
      <c r="BF118" s="32"/>
      <c r="BG118" s="32"/>
      <c r="BH118" s="32"/>
    </row>
    <row r="119" spans="1:60">
      <c r="A119" s="28">
        <v>45505</v>
      </c>
      <c r="B119" s="29">
        <f t="shared" si="14"/>
        <v>2024</v>
      </c>
      <c r="C119" s="30">
        <v>2544.4279999999999</v>
      </c>
      <c r="D119" s="30">
        <v>2533.1979999999999</v>
      </c>
      <c r="E119" s="30">
        <f t="shared" si="7"/>
        <v>11.230000000000018</v>
      </c>
      <c r="F119" s="30">
        <v>1285.203</v>
      </c>
      <c r="G119" s="30">
        <v>1284.8440000000001</v>
      </c>
      <c r="H119" s="30">
        <f t="shared" si="8"/>
        <v>0.3589999999999236</v>
      </c>
      <c r="I119" s="30">
        <v>4737.09</v>
      </c>
      <c r="J119" s="30">
        <v>4731.2730000000001</v>
      </c>
      <c r="K119" s="30">
        <f t="shared" si="9"/>
        <v>5.8170000000000073</v>
      </c>
      <c r="L119" s="30">
        <v>4592.9309999999996</v>
      </c>
      <c r="M119" s="30">
        <v>4580.7759999999998</v>
      </c>
      <c r="N119" s="30">
        <f t="shared" si="10"/>
        <v>12.154999999999745</v>
      </c>
      <c r="O119" s="30">
        <v>3763.0929999999998</v>
      </c>
      <c r="P119" s="30">
        <v>3750.9949999999999</v>
      </c>
      <c r="Q119" s="30">
        <f t="shared" si="11"/>
        <v>12.097999999999956</v>
      </c>
      <c r="R119" s="31">
        <v>7248.0230000000001</v>
      </c>
      <c r="S119" s="31">
        <v>7243.8670000000002</v>
      </c>
      <c r="T119" s="30">
        <f t="shared" si="12"/>
        <v>4.1559999999999491</v>
      </c>
      <c r="U119" s="31">
        <v>7184.5730000000003</v>
      </c>
      <c r="V119" s="31">
        <v>7168.3630000000003</v>
      </c>
      <c r="W119" s="30">
        <f t="shared" si="13"/>
        <v>16.210000000000036</v>
      </c>
      <c r="X119" s="30"/>
      <c r="Y119" s="30"/>
      <c r="Z119" s="30"/>
      <c r="AA119" s="30"/>
      <c r="AB119" s="30"/>
      <c r="AC119" s="30"/>
      <c r="AD119" s="30"/>
      <c r="AE119" s="30"/>
      <c r="AF119" s="30"/>
      <c r="AG119" s="30"/>
      <c r="AH119" s="30"/>
      <c r="AI119" s="30"/>
      <c r="AJ119" s="30"/>
      <c r="AK119" s="30"/>
      <c r="AL119" s="30"/>
      <c r="AM119" s="30"/>
      <c r="AN119" s="32"/>
      <c r="AO119" s="32"/>
      <c r="AP119" s="32"/>
      <c r="AQ119" s="32"/>
      <c r="AR119" s="32"/>
      <c r="AS119" s="32"/>
      <c r="AT119" s="32"/>
      <c r="AU119" s="32"/>
      <c r="AV119" s="32"/>
      <c r="AW119" s="32"/>
      <c r="AX119" s="32"/>
      <c r="AY119" s="32"/>
      <c r="AZ119" s="32"/>
      <c r="BA119" s="32"/>
      <c r="BB119" s="32"/>
      <c r="BC119" s="32"/>
      <c r="BD119" s="32"/>
      <c r="BE119" s="32"/>
      <c r="BF119" s="32"/>
      <c r="BG119" s="32"/>
      <c r="BH119" s="32"/>
    </row>
    <row r="120" spans="1:60">
      <c r="A120" s="28">
        <v>45536</v>
      </c>
      <c r="B120" s="29">
        <f t="shared" si="14"/>
        <v>2024</v>
      </c>
      <c r="C120" s="30">
        <v>2727.3449999999998</v>
      </c>
      <c r="D120" s="30">
        <v>2717.165</v>
      </c>
      <c r="E120" s="30">
        <f t="shared" si="7"/>
        <v>10.179999999999836</v>
      </c>
      <c r="F120" s="30">
        <v>1489.1469999999999</v>
      </c>
      <c r="G120" s="30">
        <v>1488.8330000000001</v>
      </c>
      <c r="H120" s="30">
        <f t="shared" si="8"/>
        <v>0.31399999999985084</v>
      </c>
      <c r="I120" s="30">
        <v>4430.9380000000001</v>
      </c>
      <c r="J120" s="30">
        <v>4428.9440000000004</v>
      </c>
      <c r="K120" s="30">
        <f t="shared" si="9"/>
        <v>1.9939999999996871</v>
      </c>
      <c r="L120" s="30">
        <v>4410.93</v>
      </c>
      <c r="M120" s="30">
        <v>4399.0609999999997</v>
      </c>
      <c r="N120" s="30">
        <f t="shared" si="10"/>
        <v>11.869000000000597</v>
      </c>
      <c r="O120" s="30">
        <v>3602.799</v>
      </c>
      <c r="P120" s="30">
        <v>3594.8690000000001</v>
      </c>
      <c r="Q120" s="30">
        <f t="shared" si="11"/>
        <v>7.9299999999998363</v>
      </c>
      <c r="R120" s="31">
        <v>7184.5730000000003</v>
      </c>
      <c r="S120" s="31">
        <v>7168.3630000000003</v>
      </c>
      <c r="T120" s="30">
        <f t="shared" si="12"/>
        <v>16.210000000000036</v>
      </c>
      <c r="U120" s="31">
        <v>7179.9889999999996</v>
      </c>
      <c r="V120" s="31">
        <v>7150.1760000000004</v>
      </c>
      <c r="W120" s="30">
        <f t="shared" si="13"/>
        <v>29.812999999999192</v>
      </c>
      <c r="X120" s="30"/>
      <c r="Y120" s="30"/>
      <c r="Z120" s="30"/>
      <c r="AA120" s="30"/>
      <c r="AB120" s="30"/>
      <c r="AC120" s="30"/>
      <c r="AD120" s="30"/>
      <c r="AE120" s="30"/>
      <c r="AF120" s="30"/>
      <c r="AG120" s="30"/>
      <c r="AH120" s="30"/>
      <c r="AI120" s="30"/>
      <c r="AJ120" s="30"/>
      <c r="AK120" s="30"/>
      <c r="AL120" s="30"/>
      <c r="AM120" s="30"/>
      <c r="AN120" s="32"/>
      <c r="AO120" s="32"/>
      <c r="AP120" s="32"/>
      <c r="AQ120" s="32"/>
      <c r="AR120" s="32"/>
      <c r="AS120" s="32"/>
      <c r="AT120" s="32"/>
      <c r="AU120" s="32"/>
      <c r="AV120" s="32"/>
      <c r="AW120" s="32"/>
      <c r="AX120" s="32"/>
      <c r="AY120" s="32"/>
      <c r="AZ120" s="32"/>
      <c r="BA120" s="32"/>
      <c r="BB120" s="32"/>
      <c r="BC120" s="32"/>
      <c r="BD120" s="32"/>
      <c r="BE120" s="32"/>
      <c r="BF120" s="32"/>
      <c r="BG120" s="32"/>
      <c r="BH120" s="32"/>
    </row>
    <row r="121" spans="1:60" s="38" customFormat="1">
      <c r="A121" s="33">
        <v>45566</v>
      </c>
      <c r="B121" s="34">
        <f t="shared" si="14"/>
        <v>2024</v>
      </c>
      <c r="C121" s="35">
        <v>2727.3449999999998</v>
      </c>
      <c r="D121" s="35">
        <v>2717.165</v>
      </c>
      <c r="E121" s="35">
        <f t="shared" si="7"/>
        <v>10.179999999999836</v>
      </c>
      <c r="F121" s="35">
        <v>1489.1469999999999</v>
      </c>
      <c r="G121" s="35">
        <v>1488.8330000000001</v>
      </c>
      <c r="H121" s="35">
        <f>F121-G121</f>
        <v>0.31399999999985084</v>
      </c>
      <c r="I121" s="35">
        <v>4430.9380000000001</v>
      </c>
      <c r="J121" s="35">
        <v>4428.9440000000004</v>
      </c>
      <c r="K121" s="35">
        <f>I121-J121</f>
        <v>1.9939999999996871</v>
      </c>
      <c r="L121" s="35">
        <v>4410.93</v>
      </c>
      <c r="M121" s="35">
        <v>4399.0609999999997</v>
      </c>
      <c r="N121" s="35">
        <f>L121-M121</f>
        <v>11.869000000000597</v>
      </c>
      <c r="O121" s="35">
        <v>3602.799</v>
      </c>
      <c r="P121" s="35">
        <v>3594.8690000000001</v>
      </c>
      <c r="Q121" s="35">
        <f>O121-P121</f>
        <v>7.9299999999998363</v>
      </c>
      <c r="R121" s="36">
        <v>7184.5730000000003</v>
      </c>
      <c r="S121" s="36">
        <v>7168.3630000000003</v>
      </c>
      <c r="T121" s="35">
        <f>R121-S121</f>
        <v>16.210000000000036</v>
      </c>
      <c r="U121" s="36">
        <v>7179.9889999999996</v>
      </c>
      <c r="V121" s="36">
        <v>7150.1760000000004</v>
      </c>
      <c r="W121" s="35">
        <f>U121-V121</f>
        <v>29.812999999999192</v>
      </c>
      <c r="X121" s="35"/>
      <c r="Y121" s="35"/>
      <c r="Z121" s="35"/>
      <c r="AA121" s="35"/>
      <c r="AB121" s="35"/>
      <c r="AC121" s="35"/>
      <c r="AD121" s="35"/>
      <c r="AE121" s="35"/>
      <c r="AF121" s="35"/>
      <c r="AG121" s="35"/>
      <c r="AH121" s="35"/>
      <c r="AI121" s="35"/>
      <c r="AJ121" s="35"/>
      <c r="AK121" s="35"/>
      <c r="AL121" s="35"/>
      <c r="AM121" s="35"/>
      <c r="AN121" s="37"/>
      <c r="AO121" s="37"/>
      <c r="AP121" s="37"/>
      <c r="AQ121" s="37"/>
      <c r="AR121" s="37"/>
      <c r="AS121" s="37"/>
      <c r="AT121" s="37"/>
      <c r="AU121" s="37"/>
      <c r="AV121" s="37"/>
      <c r="AW121" s="37"/>
      <c r="AX121" s="37"/>
      <c r="AY121" s="37"/>
      <c r="AZ121" s="37"/>
      <c r="BA121" s="37"/>
      <c r="BB121" s="37"/>
      <c r="BC121" s="37"/>
      <c r="BD121" s="37"/>
      <c r="BE121" s="37"/>
      <c r="BF121" s="37"/>
      <c r="BG121" s="37"/>
      <c r="BH121" s="37"/>
    </row>
    <row r="122" spans="1:60">
      <c r="A122" s="28">
        <v>45597</v>
      </c>
      <c r="B122" s="29">
        <f t="shared" si="14"/>
        <v>2024</v>
      </c>
      <c r="C122" s="30">
        <v>2430.7199999999998</v>
      </c>
      <c r="D122" s="30">
        <v>2418.692</v>
      </c>
      <c r="E122" s="30">
        <f t="shared" si="7"/>
        <v>12.027999999999793</v>
      </c>
      <c r="F122" s="30">
        <v>1286.963</v>
      </c>
      <c r="G122" s="30">
        <v>1286.807</v>
      </c>
      <c r="H122" s="30">
        <f t="shared" si="8"/>
        <v>0.15599999999994907</v>
      </c>
      <c r="I122" s="30">
        <v>3552.4940000000001</v>
      </c>
      <c r="J122" s="30">
        <v>3539.02</v>
      </c>
      <c r="K122" s="30">
        <f t="shared" si="9"/>
        <v>13.47400000000016</v>
      </c>
      <c r="L122" s="30">
        <v>3434.1930000000002</v>
      </c>
      <c r="M122" s="30">
        <v>3421.8049999999998</v>
      </c>
      <c r="N122" s="30">
        <f t="shared" si="10"/>
        <v>12.388000000000375</v>
      </c>
      <c r="O122" s="30">
        <v>2786.7820000000002</v>
      </c>
      <c r="P122" s="30">
        <v>2777.8519999999999</v>
      </c>
      <c r="Q122" s="30">
        <f t="shared" si="11"/>
        <v>8.930000000000291</v>
      </c>
      <c r="R122" s="31">
        <v>7217.9139999999998</v>
      </c>
      <c r="S122" s="31">
        <v>7208.1369999999997</v>
      </c>
      <c r="T122" s="30">
        <f t="shared" si="12"/>
        <v>9.7770000000000437</v>
      </c>
      <c r="U122" s="31">
        <v>7502.3779999999997</v>
      </c>
      <c r="V122" s="31">
        <v>7490.1850000000004</v>
      </c>
      <c r="W122" s="30">
        <f t="shared" si="13"/>
        <v>12.192999999999302</v>
      </c>
      <c r="X122" s="30"/>
      <c r="Y122" s="30"/>
      <c r="Z122" s="30"/>
      <c r="AA122" s="30"/>
      <c r="AB122" s="30"/>
      <c r="AC122" s="30"/>
      <c r="AD122" s="30"/>
      <c r="AE122" s="30"/>
      <c r="AF122" s="30"/>
      <c r="AG122" s="30"/>
      <c r="AH122" s="30"/>
      <c r="AI122" s="30"/>
      <c r="AJ122" s="30"/>
      <c r="AK122" s="30"/>
      <c r="AL122" s="30"/>
      <c r="AM122" s="30"/>
      <c r="AN122" s="32"/>
      <c r="AO122" s="32"/>
      <c r="AP122" s="32"/>
      <c r="AQ122" s="32"/>
      <c r="AR122" s="32"/>
      <c r="AS122" s="32"/>
      <c r="AT122" s="32"/>
      <c r="AU122" s="32"/>
      <c r="AV122" s="32"/>
      <c r="AW122" s="32"/>
      <c r="AX122" s="32"/>
      <c r="AY122" s="32"/>
      <c r="AZ122" s="32"/>
      <c r="BA122" s="32"/>
      <c r="BB122" s="32"/>
      <c r="BC122" s="32"/>
      <c r="BD122" s="32"/>
      <c r="BE122" s="32"/>
      <c r="BF122" s="32"/>
      <c r="BG122" s="32"/>
      <c r="BH122" s="32"/>
    </row>
    <row r="123" spans="1:60">
      <c r="A123" s="28">
        <v>45627</v>
      </c>
      <c r="B123" s="29">
        <f t="shared" si="14"/>
        <v>2024</v>
      </c>
      <c r="C123" s="30">
        <v>2030.8030000000001</v>
      </c>
      <c r="D123" s="30">
        <v>2025.7090000000001</v>
      </c>
      <c r="E123" s="30">
        <f t="shared" si="7"/>
        <v>5.0940000000000509</v>
      </c>
      <c r="F123" s="30">
        <v>1568.201</v>
      </c>
      <c r="G123" s="30">
        <v>1568.201</v>
      </c>
      <c r="H123" s="30">
        <f t="shared" si="8"/>
        <v>0</v>
      </c>
      <c r="I123" s="30">
        <v>3526.4340000000002</v>
      </c>
      <c r="J123" s="30">
        <v>3505.6390000000001</v>
      </c>
      <c r="K123" s="30">
        <f t="shared" si="9"/>
        <v>20.795000000000073</v>
      </c>
      <c r="L123" s="30">
        <v>3633.3939999999998</v>
      </c>
      <c r="M123" s="30">
        <v>3619.14</v>
      </c>
      <c r="N123" s="30">
        <f t="shared" si="10"/>
        <v>14.253999999999905</v>
      </c>
      <c r="O123" s="30">
        <v>2984.9119999999998</v>
      </c>
      <c r="P123" s="30">
        <v>2972.808</v>
      </c>
      <c r="Q123" s="30">
        <f t="shared" si="11"/>
        <v>12.103999999999814</v>
      </c>
      <c r="R123" s="31">
        <v>7502.3779999999997</v>
      </c>
      <c r="S123" s="31">
        <v>7490.1850000000004</v>
      </c>
      <c r="T123" s="30">
        <f t="shared" si="12"/>
        <v>12.192999999999302</v>
      </c>
      <c r="U123" s="31">
        <v>7533.7910000000002</v>
      </c>
      <c r="V123" s="31">
        <v>7530.299</v>
      </c>
      <c r="W123" s="30">
        <f t="shared" si="13"/>
        <v>3.4920000000001892</v>
      </c>
      <c r="X123" s="30"/>
      <c r="Y123" s="30"/>
      <c r="Z123" s="30"/>
      <c r="AA123" s="30"/>
      <c r="AB123" s="30"/>
      <c r="AC123" s="30"/>
      <c r="AD123" s="30"/>
      <c r="AE123" s="30"/>
      <c r="AF123" s="30"/>
      <c r="AG123" s="30"/>
      <c r="AH123" s="30"/>
      <c r="AI123" s="30"/>
      <c r="AJ123" s="30"/>
      <c r="AK123" s="30"/>
      <c r="AL123" s="30"/>
      <c r="AM123" s="30"/>
      <c r="AN123" s="32"/>
      <c r="AO123" s="32"/>
      <c r="AP123" s="32"/>
      <c r="AQ123" s="32"/>
      <c r="AR123" s="32"/>
      <c r="AS123" s="32"/>
      <c r="AT123" s="32"/>
      <c r="AU123" s="32"/>
      <c r="AV123" s="32"/>
      <c r="AW123" s="32"/>
      <c r="AX123" s="32"/>
      <c r="AY123" s="32"/>
      <c r="AZ123" s="32"/>
      <c r="BA123" s="32"/>
      <c r="BB123" s="32"/>
      <c r="BC123" s="32"/>
      <c r="BD123" s="32"/>
      <c r="BE123" s="32"/>
      <c r="BF123" s="32"/>
      <c r="BG123" s="32"/>
      <c r="BH123" s="32"/>
    </row>
    <row r="124" spans="1:60">
      <c r="A124" s="28">
        <v>45658</v>
      </c>
      <c r="B124" s="29">
        <f t="shared" si="14"/>
        <v>2025</v>
      </c>
      <c r="C124" s="30"/>
      <c r="D124" s="30"/>
      <c r="E124" s="30"/>
      <c r="F124" s="30"/>
      <c r="G124" s="30"/>
      <c r="H124" s="30"/>
      <c r="I124" s="30"/>
      <c r="J124" s="30"/>
      <c r="K124" s="30"/>
      <c r="L124" s="30"/>
      <c r="M124" s="30" t="s">
        <v>83</v>
      </c>
      <c r="N124" s="30"/>
      <c r="O124" s="30"/>
      <c r="P124" s="30"/>
      <c r="Q124" s="30"/>
      <c r="R124" s="31"/>
      <c r="S124" s="31" t="s">
        <v>83</v>
      </c>
      <c r="T124" s="30"/>
      <c r="U124" s="31"/>
      <c r="V124" s="31"/>
      <c r="W124" s="30"/>
      <c r="X124" s="30"/>
      <c r="Y124" s="30"/>
      <c r="Z124" s="30"/>
      <c r="AA124" s="30"/>
      <c r="AB124" s="30"/>
      <c r="AC124" s="30"/>
      <c r="AD124" s="30"/>
      <c r="AE124" s="30"/>
      <c r="AF124" s="30"/>
      <c r="AG124" s="30"/>
      <c r="AH124" s="30"/>
      <c r="AI124" s="30"/>
      <c r="AJ124" s="30"/>
      <c r="AK124" s="30"/>
      <c r="AL124" s="30"/>
      <c r="AM124" s="30"/>
      <c r="AN124" s="32"/>
      <c r="AO124" s="32"/>
      <c r="AP124" s="32"/>
      <c r="AQ124" s="32"/>
      <c r="AR124" s="32"/>
      <c r="AS124" s="32"/>
      <c r="AT124" s="32"/>
      <c r="AU124" s="32"/>
      <c r="AV124" s="32"/>
      <c r="AW124" s="32"/>
      <c r="AX124" s="32"/>
      <c r="AY124" s="32"/>
      <c r="AZ124" s="32"/>
      <c r="BA124" s="32"/>
      <c r="BB124" s="32"/>
      <c r="BC124" s="32"/>
      <c r="BD124" s="32"/>
      <c r="BE124" s="32"/>
      <c r="BF124" s="32"/>
      <c r="BG124" s="32"/>
      <c r="BH124" s="32"/>
    </row>
    <row r="125" spans="1:60">
      <c r="A125" s="28">
        <v>45689</v>
      </c>
      <c r="B125" s="29">
        <f t="shared" si="14"/>
        <v>2025</v>
      </c>
      <c r="C125" s="30"/>
      <c r="D125" s="30"/>
      <c r="E125" s="30"/>
      <c r="F125" s="30"/>
      <c r="G125" s="30"/>
      <c r="H125" s="30"/>
      <c r="I125" s="30"/>
      <c r="J125" s="30"/>
      <c r="K125" s="30"/>
      <c r="L125" s="30"/>
      <c r="M125" s="30" t="s">
        <v>84</v>
      </c>
      <c r="N125" s="30"/>
      <c r="O125" s="30"/>
      <c r="P125" s="30"/>
      <c r="Q125" s="30"/>
      <c r="R125" s="31"/>
      <c r="S125" s="31" t="s">
        <v>84</v>
      </c>
      <c r="T125" s="30"/>
      <c r="U125" s="31"/>
      <c r="V125" s="31"/>
      <c r="W125" s="30"/>
      <c r="X125" s="30"/>
      <c r="Y125" s="30"/>
      <c r="Z125" s="30"/>
      <c r="AA125" s="30"/>
      <c r="AB125" s="30"/>
      <c r="AC125" s="30"/>
      <c r="AD125" s="30"/>
      <c r="AE125" s="30"/>
      <c r="AF125" s="30"/>
      <c r="AG125" s="30"/>
      <c r="AH125" s="30"/>
      <c r="AI125" s="30"/>
      <c r="AJ125" s="30"/>
      <c r="AK125" s="30"/>
      <c r="AL125" s="30"/>
      <c r="AM125" s="30"/>
      <c r="AN125" s="32"/>
      <c r="AO125" s="32"/>
      <c r="AP125" s="32"/>
      <c r="AQ125" s="32"/>
      <c r="AR125" s="32"/>
      <c r="AS125" s="32"/>
      <c r="AT125" s="32"/>
      <c r="AU125" s="32"/>
      <c r="AV125" s="32"/>
      <c r="AW125" s="32"/>
      <c r="AX125" s="32"/>
      <c r="AY125" s="32"/>
      <c r="AZ125" s="32"/>
      <c r="BA125" s="32"/>
      <c r="BB125" s="32"/>
      <c r="BC125" s="32"/>
      <c r="BD125" s="32"/>
      <c r="BE125" s="32"/>
      <c r="BF125" s="32"/>
      <c r="BG125" s="32"/>
      <c r="BH125" s="32"/>
    </row>
    <row r="126" spans="1:60">
      <c r="A126" s="28">
        <v>45717</v>
      </c>
      <c r="B126" s="29">
        <f t="shared" si="14"/>
        <v>2025</v>
      </c>
      <c r="C126" s="30"/>
      <c r="D126" s="30"/>
      <c r="E126" s="30"/>
      <c r="F126" s="30"/>
      <c r="G126" s="30"/>
      <c r="H126" s="30"/>
      <c r="I126" s="30"/>
      <c r="J126" s="30"/>
      <c r="K126" s="30"/>
      <c r="L126" s="30"/>
      <c r="M126" s="30" t="s">
        <v>83</v>
      </c>
      <c r="N126" s="30"/>
      <c r="O126" s="30"/>
      <c r="P126" s="30"/>
      <c r="Q126" s="30"/>
      <c r="R126" s="31"/>
      <c r="S126" s="31"/>
      <c r="T126" s="30"/>
      <c r="U126" s="31"/>
      <c r="V126" s="31"/>
      <c r="W126" s="30"/>
      <c r="X126" s="30"/>
      <c r="Y126" s="30"/>
      <c r="Z126" s="30"/>
      <c r="AA126" s="30"/>
      <c r="AB126" s="30"/>
      <c r="AC126" s="30"/>
      <c r="AD126" s="30"/>
      <c r="AE126" s="30"/>
      <c r="AF126" s="30"/>
      <c r="AG126" s="30"/>
      <c r="AH126" s="30"/>
      <c r="AI126" s="30"/>
      <c r="AJ126" s="30"/>
      <c r="AK126" s="30"/>
      <c r="AL126" s="30"/>
      <c r="AM126" s="30"/>
      <c r="AN126" s="32"/>
      <c r="AO126" s="32"/>
      <c r="AP126" s="32"/>
      <c r="AQ126" s="32"/>
      <c r="AR126" s="32"/>
      <c r="AS126" s="32"/>
      <c r="AT126" s="32"/>
      <c r="AU126" s="32"/>
      <c r="AV126" s="32"/>
      <c r="AW126" s="32"/>
      <c r="AX126" s="32"/>
      <c r="AY126" s="32"/>
      <c r="AZ126" s="32"/>
      <c r="BA126" s="32"/>
      <c r="BB126" s="32"/>
      <c r="BC126" s="32"/>
      <c r="BD126" s="32"/>
      <c r="BE126" s="32"/>
      <c r="BF126" s="32"/>
      <c r="BG126" s="32"/>
      <c r="BH126" s="32"/>
    </row>
    <row r="127" spans="1:60">
      <c r="A127" s="28">
        <v>45748</v>
      </c>
      <c r="B127" s="29">
        <f t="shared" si="14"/>
        <v>2025</v>
      </c>
      <c r="C127" s="30"/>
      <c r="D127" s="30"/>
      <c r="E127" s="30"/>
      <c r="F127" s="30"/>
      <c r="G127" s="30"/>
      <c r="H127" s="30"/>
      <c r="I127" s="30"/>
      <c r="J127" s="30"/>
      <c r="K127" s="30"/>
      <c r="L127" s="30"/>
      <c r="M127" s="30"/>
      <c r="N127" s="30"/>
      <c r="O127" s="30"/>
      <c r="P127" s="30"/>
      <c r="Q127" s="30"/>
      <c r="R127" s="31"/>
      <c r="S127" s="31"/>
      <c r="T127" s="30"/>
      <c r="U127" s="31"/>
      <c r="V127" s="31"/>
      <c r="W127" s="30"/>
      <c r="X127" s="30"/>
      <c r="Y127" s="30"/>
      <c r="Z127" s="30"/>
      <c r="AA127" s="30"/>
      <c r="AB127" s="30"/>
      <c r="AC127" s="30"/>
      <c r="AD127" s="30"/>
      <c r="AE127" s="30"/>
      <c r="AF127" s="30"/>
      <c r="AG127" s="30"/>
      <c r="AH127" s="30"/>
      <c r="AI127" s="30"/>
      <c r="AJ127" s="30"/>
      <c r="AK127" s="30"/>
      <c r="AL127" s="30"/>
      <c r="AM127" s="30"/>
      <c r="AN127" s="32"/>
      <c r="AO127" s="32"/>
      <c r="AP127" s="32"/>
      <c r="AQ127" s="32"/>
      <c r="AR127" s="32"/>
      <c r="AS127" s="32"/>
      <c r="AT127" s="32"/>
      <c r="AU127" s="32"/>
      <c r="AV127" s="32"/>
      <c r="AW127" s="32"/>
      <c r="AX127" s="32"/>
      <c r="AY127" s="32"/>
      <c r="AZ127" s="32"/>
      <c r="BA127" s="32"/>
      <c r="BB127" s="32"/>
      <c r="BC127" s="32"/>
      <c r="BD127" s="32"/>
      <c r="BE127" s="32"/>
      <c r="BF127" s="32"/>
      <c r="BG127" s="32"/>
      <c r="BH127" s="32"/>
    </row>
    <row r="128" spans="1:60">
      <c r="A128" s="28">
        <v>45778</v>
      </c>
      <c r="B128" s="29">
        <f t="shared" si="14"/>
        <v>2025</v>
      </c>
      <c r="C128" s="30"/>
      <c r="D128" s="30"/>
      <c r="E128" s="30"/>
      <c r="F128" s="30"/>
      <c r="G128" s="30"/>
      <c r="H128" s="30"/>
      <c r="I128" s="30"/>
      <c r="J128" s="30"/>
      <c r="K128" s="30"/>
      <c r="L128" s="30"/>
      <c r="M128" s="30"/>
      <c r="N128" s="30"/>
      <c r="O128" s="30"/>
      <c r="P128" s="30"/>
      <c r="Q128" s="30"/>
      <c r="R128" s="31"/>
      <c r="S128" s="31"/>
      <c r="T128" s="30"/>
      <c r="U128" s="31"/>
      <c r="V128" s="31"/>
      <c r="W128" s="30"/>
      <c r="X128" s="30"/>
      <c r="Y128" s="30"/>
      <c r="Z128" s="30"/>
      <c r="AA128" s="30"/>
      <c r="AB128" s="30"/>
      <c r="AC128" s="30"/>
      <c r="AD128" s="30"/>
      <c r="AE128" s="30"/>
      <c r="AF128" s="30"/>
      <c r="AG128" s="30"/>
      <c r="AH128" s="30"/>
      <c r="AI128" s="30"/>
      <c r="AJ128" s="30"/>
      <c r="AK128" s="30"/>
      <c r="AL128" s="30"/>
      <c r="AM128" s="30"/>
      <c r="AN128" s="32"/>
      <c r="AO128" s="32"/>
      <c r="AP128" s="32"/>
      <c r="AQ128" s="32"/>
      <c r="AR128" s="32"/>
      <c r="AS128" s="32"/>
      <c r="AT128" s="32"/>
      <c r="AU128" s="32"/>
      <c r="AV128" s="32"/>
      <c r="AW128" s="32"/>
      <c r="AX128" s="32"/>
      <c r="AY128" s="32"/>
      <c r="AZ128" s="32"/>
      <c r="BA128" s="32"/>
      <c r="BB128" s="32"/>
      <c r="BC128" s="32"/>
      <c r="BD128" s="32"/>
      <c r="BE128" s="32"/>
      <c r="BF128" s="32"/>
      <c r="BG128" s="32"/>
      <c r="BH128" s="32"/>
    </row>
    <row r="129" spans="1:60">
      <c r="A129" s="28">
        <v>45809</v>
      </c>
      <c r="B129" s="29">
        <f t="shared" si="14"/>
        <v>2025</v>
      </c>
      <c r="C129" s="30"/>
      <c r="D129" s="30"/>
      <c r="E129" s="30"/>
      <c r="F129" s="30"/>
      <c r="G129" s="30"/>
      <c r="H129" s="30"/>
      <c r="I129" s="30"/>
      <c r="J129" s="30"/>
      <c r="K129" s="30"/>
      <c r="L129" s="30"/>
      <c r="M129" s="30"/>
      <c r="N129" s="30"/>
      <c r="O129" s="30"/>
      <c r="P129" s="30"/>
      <c r="Q129" s="30"/>
      <c r="R129" s="31"/>
      <c r="S129" s="31"/>
      <c r="T129" s="30"/>
      <c r="U129" s="31"/>
      <c r="V129" s="31"/>
      <c r="W129" s="30"/>
      <c r="X129" s="30"/>
      <c r="Y129" s="30"/>
      <c r="Z129" s="30"/>
      <c r="AA129" s="30"/>
      <c r="AB129" s="30"/>
      <c r="AC129" s="30"/>
      <c r="AD129" s="30"/>
      <c r="AE129" s="30"/>
      <c r="AF129" s="30"/>
      <c r="AG129" s="30"/>
      <c r="AH129" s="30"/>
      <c r="AI129" s="30"/>
      <c r="AJ129" s="30"/>
      <c r="AK129" s="30"/>
      <c r="AL129" s="30"/>
      <c r="AM129" s="30"/>
      <c r="AN129" s="32"/>
      <c r="AO129" s="32"/>
      <c r="AP129" s="32"/>
      <c r="AQ129" s="32"/>
      <c r="AR129" s="32"/>
      <c r="AS129" s="32"/>
      <c r="AT129" s="32"/>
      <c r="AU129" s="32"/>
      <c r="AV129" s="32"/>
      <c r="AW129" s="32"/>
      <c r="AX129" s="32"/>
      <c r="AY129" s="32"/>
      <c r="AZ129" s="32"/>
      <c r="BA129" s="32"/>
      <c r="BB129" s="32"/>
      <c r="BC129" s="32"/>
      <c r="BD129" s="32"/>
      <c r="BE129" s="32"/>
      <c r="BF129" s="32"/>
      <c r="BG129" s="32"/>
      <c r="BH129" s="32"/>
    </row>
    <row r="130" spans="1:60">
      <c r="A130" s="28">
        <v>45839</v>
      </c>
      <c r="B130" s="29">
        <f t="shared" si="14"/>
        <v>2025</v>
      </c>
      <c r="C130" s="30"/>
      <c r="D130" s="30"/>
      <c r="E130" s="30"/>
      <c r="F130" s="30"/>
      <c r="G130" s="30"/>
      <c r="H130" s="30"/>
      <c r="I130" s="30"/>
      <c r="J130" s="30"/>
      <c r="K130" s="30"/>
      <c r="L130" s="30"/>
      <c r="M130" s="30"/>
      <c r="N130" s="30"/>
      <c r="O130" s="30"/>
      <c r="P130" s="30"/>
      <c r="Q130" s="30"/>
      <c r="R130" s="31"/>
      <c r="S130" s="31"/>
      <c r="T130" s="30"/>
      <c r="U130" s="31"/>
      <c r="V130" s="31"/>
      <c r="W130" s="30"/>
      <c r="X130" s="30"/>
      <c r="Y130" s="30"/>
      <c r="Z130" s="30"/>
      <c r="AA130" s="30"/>
      <c r="AB130" s="30"/>
      <c r="AC130" s="30"/>
      <c r="AD130" s="30"/>
      <c r="AE130" s="30"/>
      <c r="AF130" s="30"/>
      <c r="AG130" s="30"/>
      <c r="AH130" s="30"/>
      <c r="AI130" s="30"/>
      <c r="AJ130" s="30"/>
      <c r="AK130" s="30"/>
      <c r="AL130" s="30"/>
      <c r="AM130" s="30"/>
      <c r="AN130" s="32"/>
      <c r="AO130" s="32"/>
      <c r="AP130" s="32"/>
      <c r="AQ130" s="32"/>
      <c r="AR130" s="32"/>
      <c r="AS130" s="32"/>
      <c r="AT130" s="32"/>
      <c r="AU130" s="32"/>
      <c r="AV130" s="32"/>
      <c r="AW130" s="32"/>
      <c r="AX130" s="32"/>
      <c r="AY130" s="32"/>
      <c r="AZ130" s="32"/>
      <c r="BA130" s="32"/>
      <c r="BB130" s="32"/>
      <c r="BC130" s="32"/>
      <c r="BD130" s="32"/>
      <c r="BE130" s="32"/>
      <c r="BF130" s="32"/>
      <c r="BG130" s="32"/>
      <c r="BH130" s="32"/>
    </row>
    <row r="131" spans="1:60">
      <c r="A131" s="28">
        <v>45870</v>
      </c>
      <c r="B131" s="29">
        <f t="shared" si="14"/>
        <v>2025</v>
      </c>
      <c r="C131" s="30"/>
      <c r="D131" s="30"/>
      <c r="E131" s="30"/>
      <c r="F131" s="30"/>
      <c r="G131" s="30"/>
      <c r="H131" s="30"/>
      <c r="I131" s="30"/>
      <c r="J131" s="30"/>
      <c r="K131" s="30"/>
      <c r="L131" s="30"/>
      <c r="M131" s="30"/>
      <c r="N131" s="30"/>
      <c r="O131" s="30"/>
      <c r="P131" s="30"/>
      <c r="Q131" s="30"/>
      <c r="R131" s="31"/>
      <c r="S131" s="31"/>
      <c r="T131" s="30"/>
      <c r="U131" s="31"/>
      <c r="V131" s="31"/>
      <c r="W131" s="30"/>
      <c r="X131" s="30"/>
      <c r="Y131" s="30"/>
      <c r="Z131" s="30"/>
      <c r="AA131" s="30"/>
      <c r="AB131" s="30"/>
      <c r="AC131" s="30"/>
      <c r="AD131" s="30"/>
      <c r="AE131" s="30"/>
      <c r="AF131" s="30"/>
      <c r="AG131" s="30"/>
      <c r="AH131" s="30"/>
      <c r="AI131" s="30"/>
      <c r="AJ131" s="30"/>
      <c r="AK131" s="30"/>
      <c r="AL131" s="30"/>
      <c r="AM131" s="30"/>
      <c r="AN131" s="32"/>
      <c r="AO131" s="32"/>
      <c r="AP131" s="32"/>
      <c r="AQ131" s="32"/>
      <c r="AR131" s="32"/>
      <c r="AS131" s="32"/>
      <c r="AT131" s="32"/>
      <c r="AU131" s="32"/>
      <c r="AV131" s="32"/>
      <c r="AW131" s="32"/>
      <c r="AX131" s="32"/>
      <c r="AY131" s="32"/>
      <c r="AZ131" s="32"/>
      <c r="BA131" s="32"/>
      <c r="BB131" s="32"/>
      <c r="BC131" s="32"/>
      <c r="BD131" s="32"/>
      <c r="BE131" s="32"/>
      <c r="BF131" s="32"/>
      <c r="BG131" s="32"/>
      <c r="BH131" s="32"/>
    </row>
    <row r="132" spans="1:60">
      <c r="A132" s="28">
        <v>45901</v>
      </c>
      <c r="B132" s="29">
        <f t="shared" si="14"/>
        <v>2025</v>
      </c>
      <c r="C132" s="30"/>
      <c r="D132" s="30"/>
      <c r="E132" s="30"/>
      <c r="F132" s="30"/>
      <c r="G132" s="30"/>
      <c r="H132" s="30"/>
      <c r="I132" s="30"/>
      <c r="J132" s="30"/>
      <c r="K132" s="30"/>
      <c r="L132" s="30"/>
      <c r="M132" s="30"/>
      <c r="N132" s="30"/>
      <c r="O132" s="30"/>
      <c r="P132" s="30"/>
      <c r="Q132" s="30"/>
      <c r="R132" s="31"/>
      <c r="S132" s="31"/>
      <c r="T132" s="30"/>
      <c r="U132" s="31"/>
      <c r="V132" s="31"/>
      <c r="W132" s="30"/>
      <c r="X132" s="30"/>
      <c r="Y132" s="30"/>
      <c r="Z132" s="30"/>
      <c r="AA132" s="30"/>
      <c r="AB132" s="30"/>
      <c r="AC132" s="30"/>
      <c r="AD132" s="30"/>
      <c r="AE132" s="30"/>
      <c r="AF132" s="30"/>
      <c r="AG132" s="30"/>
      <c r="AH132" s="30"/>
      <c r="AI132" s="30"/>
      <c r="AJ132" s="30"/>
      <c r="AK132" s="30"/>
      <c r="AL132" s="30"/>
      <c r="AM132" s="30"/>
      <c r="AN132" s="32"/>
      <c r="AO132" s="32"/>
      <c r="AP132" s="32"/>
      <c r="AQ132" s="32"/>
      <c r="AR132" s="32"/>
      <c r="AS132" s="32"/>
      <c r="AT132" s="32"/>
      <c r="AU132" s="32"/>
      <c r="AV132" s="32"/>
      <c r="AW132" s="32"/>
      <c r="AX132" s="32"/>
      <c r="AY132" s="32"/>
      <c r="AZ132" s="32"/>
      <c r="BA132" s="32"/>
      <c r="BB132" s="32"/>
      <c r="BC132" s="32"/>
      <c r="BD132" s="32"/>
      <c r="BE132" s="32"/>
      <c r="BF132" s="32"/>
      <c r="BG132" s="32"/>
      <c r="BH132" s="32"/>
    </row>
    <row r="133" spans="1:60">
      <c r="A133" s="28">
        <v>45931</v>
      </c>
      <c r="B133" s="29">
        <f t="shared" si="14"/>
        <v>2025</v>
      </c>
      <c r="C133" s="30"/>
      <c r="D133" s="30"/>
      <c r="E133" s="30"/>
      <c r="F133" s="30"/>
      <c r="G133" s="30"/>
      <c r="H133" s="30"/>
      <c r="I133" s="30"/>
      <c r="J133" s="30"/>
      <c r="K133" s="30"/>
      <c r="L133" s="30"/>
      <c r="M133" s="30"/>
      <c r="N133" s="30"/>
      <c r="O133" s="30"/>
      <c r="P133" s="30"/>
      <c r="Q133" s="30"/>
      <c r="R133" s="31"/>
      <c r="S133" s="31"/>
      <c r="T133" s="30"/>
      <c r="U133" s="31"/>
      <c r="V133" s="31"/>
      <c r="W133" s="30"/>
      <c r="X133" s="30"/>
      <c r="Y133" s="30"/>
      <c r="Z133" s="30"/>
      <c r="AA133" s="30"/>
      <c r="AB133" s="30"/>
      <c r="AC133" s="30"/>
      <c r="AD133" s="30"/>
      <c r="AE133" s="30"/>
      <c r="AF133" s="30"/>
      <c r="AG133" s="30"/>
      <c r="AH133" s="30"/>
      <c r="AI133" s="30"/>
      <c r="AJ133" s="30"/>
      <c r="AK133" s="30"/>
      <c r="AL133" s="30"/>
      <c r="AM133" s="30"/>
      <c r="AN133" s="32"/>
      <c r="AO133" s="32"/>
      <c r="AP133" s="32"/>
      <c r="AQ133" s="32"/>
      <c r="AR133" s="32"/>
      <c r="AS133" s="32"/>
      <c r="AT133" s="32"/>
      <c r="AU133" s="32"/>
      <c r="AV133" s="32"/>
      <c r="AW133" s="32"/>
      <c r="AX133" s="32"/>
      <c r="AY133" s="32"/>
      <c r="AZ133" s="32"/>
      <c r="BA133" s="32"/>
      <c r="BB133" s="32"/>
      <c r="BC133" s="32"/>
      <c r="BD133" s="32"/>
      <c r="BE133" s="32"/>
      <c r="BF133" s="32"/>
      <c r="BG133" s="32"/>
      <c r="BH133" s="32"/>
    </row>
    <row r="134" spans="1:60">
      <c r="A134" s="28">
        <v>45962</v>
      </c>
      <c r="B134" s="29">
        <f t="shared" si="14"/>
        <v>2025</v>
      </c>
      <c r="C134" s="30"/>
      <c r="D134" s="30"/>
      <c r="E134" s="30"/>
      <c r="F134" s="30"/>
      <c r="G134" s="30"/>
      <c r="H134" s="30"/>
      <c r="I134" s="30"/>
      <c r="J134" s="30"/>
      <c r="K134" s="30"/>
      <c r="L134" s="30"/>
      <c r="M134" s="30"/>
      <c r="N134" s="30"/>
      <c r="O134" s="30"/>
      <c r="P134" s="30"/>
      <c r="Q134" s="30"/>
      <c r="R134" s="31"/>
      <c r="S134" s="31"/>
      <c r="T134" s="30"/>
      <c r="U134" s="31"/>
      <c r="V134" s="31"/>
      <c r="W134" s="30"/>
      <c r="X134" s="30"/>
      <c r="Y134" s="30"/>
      <c r="Z134" s="30"/>
      <c r="AA134" s="30"/>
      <c r="AB134" s="30"/>
      <c r="AC134" s="30"/>
      <c r="AD134" s="30"/>
      <c r="AE134" s="30"/>
      <c r="AF134" s="30"/>
      <c r="AG134" s="30"/>
      <c r="AH134" s="30"/>
      <c r="AI134" s="30"/>
      <c r="AJ134" s="30"/>
      <c r="AK134" s="30"/>
      <c r="AL134" s="30"/>
      <c r="AM134" s="30"/>
      <c r="AN134" s="32"/>
      <c r="AO134" s="32"/>
      <c r="AP134" s="32"/>
      <c r="AQ134" s="32"/>
      <c r="AR134" s="32"/>
      <c r="AS134" s="32"/>
      <c r="AT134" s="32"/>
      <c r="AU134" s="32"/>
      <c r="AV134" s="32"/>
      <c r="AW134" s="32"/>
      <c r="AX134" s="32"/>
      <c r="AY134" s="32"/>
      <c r="AZ134" s="32"/>
      <c r="BA134" s="32"/>
      <c r="BB134" s="32"/>
      <c r="BC134" s="32"/>
      <c r="BD134" s="32"/>
      <c r="BE134" s="32"/>
      <c r="BF134" s="32"/>
      <c r="BG134" s="32"/>
      <c r="BH134" s="32"/>
    </row>
    <row r="135" spans="1:60">
      <c r="A135" s="28">
        <v>45992</v>
      </c>
      <c r="B135" s="29">
        <f t="shared" si="14"/>
        <v>2025</v>
      </c>
      <c r="C135" s="30"/>
      <c r="D135" s="31"/>
      <c r="E135" s="30"/>
      <c r="F135" s="31"/>
      <c r="G135" s="31"/>
      <c r="H135" s="30"/>
      <c r="I135" s="31"/>
      <c r="J135" s="31"/>
      <c r="K135" s="30"/>
      <c r="L135" s="31"/>
      <c r="M135" s="31"/>
      <c r="N135" s="30"/>
      <c r="O135" s="31"/>
      <c r="P135" s="31"/>
      <c r="Q135" s="30"/>
      <c r="R135" s="31"/>
      <c r="S135" s="31"/>
      <c r="T135" s="30"/>
      <c r="U135" s="31"/>
      <c r="V135" s="31"/>
      <c r="W135" s="30"/>
      <c r="X135" s="30"/>
      <c r="Y135" s="30"/>
      <c r="Z135" s="30"/>
      <c r="AA135" s="30"/>
      <c r="AB135" s="30"/>
      <c r="AC135" s="30"/>
      <c r="AD135" s="30"/>
      <c r="AE135" s="30"/>
      <c r="AF135" s="30"/>
      <c r="AG135" s="30"/>
      <c r="AH135" s="30"/>
      <c r="AI135" s="30"/>
      <c r="AJ135" s="30"/>
      <c r="AK135" s="30"/>
      <c r="AL135" s="30"/>
      <c r="AM135" s="30"/>
      <c r="AN135" s="32"/>
      <c r="AO135" s="32"/>
      <c r="AP135" s="32"/>
      <c r="AQ135" s="32"/>
      <c r="AR135" s="32"/>
      <c r="AS135" s="32"/>
      <c r="AT135" s="32"/>
      <c r="AU135" s="32"/>
      <c r="AV135" s="32"/>
      <c r="AW135" s="32"/>
      <c r="AX135" s="32"/>
      <c r="AY135" s="32"/>
      <c r="AZ135" s="32"/>
      <c r="BA135" s="32"/>
      <c r="BB135" s="32"/>
      <c r="BC135" s="32"/>
      <c r="BD135" s="32"/>
      <c r="BE135" s="32"/>
      <c r="BF135" s="32"/>
      <c r="BG135" s="32"/>
      <c r="BH135" s="32"/>
    </row>
    <row r="136" spans="1:6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row>
    <row r="137" spans="1:6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row>
    <row r="138" spans="1:6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row>
    <row r="139" spans="1:6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row>
    <row r="140" spans="1:6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row>
    <row r="141" spans="1:6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row>
    <row r="142" spans="1:6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row>
  </sheetData>
  <mergeCells count="1">
    <mergeCell ref="A2:B2"/>
  </mergeCells>
  <conditionalFormatting sqref="E3:E1048576">
    <cfRule type="cellIs" dxfId="6" priority="7" operator="greaterThan">
      <formula>0</formula>
    </cfRule>
  </conditionalFormatting>
  <conditionalFormatting sqref="H3:H1048576">
    <cfRule type="cellIs" dxfId="5" priority="6" operator="greaterThan">
      <formula>0</formula>
    </cfRule>
  </conditionalFormatting>
  <conditionalFormatting sqref="K3:K1048576">
    <cfRule type="cellIs" dxfId="4" priority="5" operator="greaterThan">
      <formula>0</formula>
    </cfRule>
  </conditionalFormatting>
  <conditionalFormatting sqref="N3:N1048576">
    <cfRule type="cellIs" dxfId="3" priority="4" operator="greaterThan">
      <formula>0</formula>
    </cfRule>
  </conditionalFormatting>
  <conditionalFormatting sqref="Q3:Q1048576">
    <cfRule type="cellIs" dxfId="2" priority="3" operator="greaterThan">
      <formula>0</formula>
    </cfRule>
  </conditionalFormatting>
  <conditionalFormatting sqref="T3:T1048576">
    <cfRule type="cellIs" dxfId="1" priority="2" operator="greaterThan">
      <formula>0</formula>
    </cfRule>
  </conditionalFormatting>
  <conditionalFormatting sqref="W3:W1048576">
    <cfRule type="cellIs" dxfId="0" priority="1" operator="greaterThan">
      <formula>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AC46-D507-424E-A1FF-1B638618D86F}">
  <sheetPr>
    <pageSetUpPr fitToPage="1"/>
  </sheetPr>
  <dimension ref="A1:V116"/>
  <sheetViews>
    <sheetView showGridLines="0" zoomScaleNormal="100" workbookViewId="0">
      <pane xSplit="1" ySplit="2" topLeftCell="B19" activePane="bottomRight" state="frozen"/>
      <selection activeCell="B4" sqref="B4"/>
      <selection pane="topRight" activeCell="B4" sqref="B4"/>
      <selection pane="bottomLeft" activeCell="B4" sqref="B4"/>
      <selection pane="bottomRight" activeCell="B4" sqref="B4"/>
    </sheetView>
  </sheetViews>
  <sheetFormatPr defaultColWidth="8.85546875" defaultRowHeight="15"/>
  <cols>
    <col min="1" max="1" width="44.7109375" style="5" customWidth="1"/>
    <col min="2" max="9" width="9.28515625" style="5" customWidth="1"/>
    <col min="10" max="10" width="9.28515625" style="4" customWidth="1"/>
    <col min="11" max="21" width="9.28515625" style="5" customWidth="1"/>
    <col min="22" max="16384" width="8.85546875" style="5"/>
  </cols>
  <sheetData>
    <row r="1" spans="1:22" s="44" customFormat="1" ht="15.75" thickBot="1">
      <c r="A1" s="40" t="s">
        <v>85</v>
      </c>
      <c r="B1" s="41"/>
      <c r="C1" s="41"/>
      <c r="D1" s="41"/>
      <c r="E1" s="42"/>
      <c r="F1" s="42"/>
      <c r="G1" s="42"/>
      <c r="H1" s="42"/>
      <c r="I1" s="42"/>
      <c r="J1" s="43"/>
      <c r="K1" s="42"/>
      <c r="L1" s="42"/>
      <c r="M1" s="42"/>
      <c r="N1" s="42"/>
      <c r="O1" s="42"/>
      <c r="P1" s="42"/>
      <c r="Q1" s="42"/>
      <c r="R1" s="42"/>
      <c r="S1" s="42"/>
      <c r="T1" s="42"/>
      <c r="U1" s="42"/>
    </row>
    <row r="2" spans="1:22" ht="15.75" thickTop="1">
      <c r="A2" s="45" t="s">
        <v>86</v>
      </c>
      <c r="B2" s="46">
        <v>2015</v>
      </c>
      <c r="C2" s="46">
        <v>2016</v>
      </c>
      <c r="D2" s="46">
        <v>2017</v>
      </c>
      <c r="E2" s="46">
        <v>2018</v>
      </c>
      <c r="F2" s="46">
        <v>2019</v>
      </c>
      <c r="G2" s="46">
        <v>2020</v>
      </c>
      <c r="H2" s="46">
        <v>2021</v>
      </c>
      <c r="I2" s="46">
        <v>2022</v>
      </c>
      <c r="J2" s="46">
        <v>2023</v>
      </c>
      <c r="K2" s="46">
        <v>2024</v>
      </c>
      <c r="L2" s="46">
        <v>2025</v>
      </c>
      <c r="M2" s="46">
        <v>2026</v>
      </c>
      <c r="N2" s="46">
        <v>2027</v>
      </c>
      <c r="O2" s="46">
        <v>2028</v>
      </c>
      <c r="P2" s="46">
        <v>2029</v>
      </c>
      <c r="Q2" s="46">
        <v>2030</v>
      </c>
      <c r="R2" s="46">
        <v>2031</v>
      </c>
      <c r="S2" s="46">
        <v>2032</v>
      </c>
      <c r="T2" s="46">
        <v>2033</v>
      </c>
      <c r="U2" s="46">
        <v>2034</v>
      </c>
    </row>
    <row r="3" spans="1:22">
      <c r="A3" s="47" t="s">
        <v>87</v>
      </c>
      <c r="B3" s="47"/>
      <c r="C3" s="47"/>
      <c r="D3" s="47"/>
      <c r="E3" s="48">
        <v>0</v>
      </c>
      <c r="F3" s="48">
        <f t="shared" ref="F3:U3" si="0">E11</f>
        <v>0</v>
      </c>
      <c r="G3" s="48">
        <f t="shared" si="0"/>
        <v>0</v>
      </c>
      <c r="H3" s="48">
        <f t="shared" si="0"/>
        <v>0</v>
      </c>
      <c r="I3" s="48">
        <f t="shared" si="0"/>
        <v>0</v>
      </c>
      <c r="J3" s="48">
        <f t="shared" si="0"/>
        <v>0</v>
      </c>
      <c r="K3" s="48">
        <f t="shared" si="0"/>
        <v>0</v>
      </c>
      <c r="L3" s="49" t="e">
        <f t="shared" si="0"/>
        <v>#DIV/0!</v>
      </c>
      <c r="M3" s="49" t="e">
        <f t="shared" si="0"/>
        <v>#DIV/0!</v>
      </c>
      <c r="N3" s="49" t="e">
        <f t="shared" si="0"/>
        <v>#DIV/0!</v>
      </c>
      <c r="O3" s="49" t="e">
        <f t="shared" si="0"/>
        <v>#DIV/0!</v>
      </c>
      <c r="P3" s="49" t="e">
        <f t="shared" si="0"/>
        <v>#DIV/0!</v>
      </c>
      <c r="Q3" s="49" t="e">
        <f t="shared" si="0"/>
        <v>#DIV/0!</v>
      </c>
      <c r="R3" s="49" t="e">
        <f t="shared" si="0"/>
        <v>#DIV/0!</v>
      </c>
      <c r="S3" s="49" t="e">
        <f t="shared" si="0"/>
        <v>#DIV/0!</v>
      </c>
      <c r="T3" s="49" t="e">
        <f t="shared" si="0"/>
        <v>#DIV/0!</v>
      </c>
      <c r="U3" s="49" t="e">
        <f t="shared" si="0"/>
        <v>#DIV/0!</v>
      </c>
      <c r="V3" s="50"/>
    </row>
    <row r="4" spans="1:22">
      <c r="A4" s="47" t="s">
        <v>88</v>
      </c>
      <c r="B4" s="47"/>
      <c r="C4" s="47"/>
      <c r="D4" s="47"/>
      <c r="E4" s="48">
        <f t="shared" ref="E4:T4" si="1">E36</f>
        <v>0</v>
      </c>
      <c r="F4" s="48">
        <f t="shared" si="1"/>
        <v>0</v>
      </c>
      <c r="G4" s="48">
        <f t="shared" si="1"/>
        <v>0</v>
      </c>
      <c r="H4" s="48">
        <f t="shared" si="1"/>
        <v>0</v>
      </c>
      <c r="I4" s="48">
        <f t="shared" si="1"/>
        <v>0</v>
      </c>
      <c r="J4" s="48">
        <f t="shared" si="1"/>
        <v>0</v>
      </c>
      <c r="K4" s="49">
        <f t="shared" si="1"/>
        <v>0</v>
      </c>
      <c r="L4" s="49">
        <f t="shared" si="1"/>
        <v>0</v>
      </c>
      <c r="M4" s="49">
        <f t="shared" si="1"/>
        <v>0</v>
      </c>
      <c r="N4" s="49">
        <f t="shared" si="1"/>
        <v>0</v>
      </c>
      <c r="O4" s="49">
        <f t="shared" si="1"/>
        <v>0</v>
      </c>
      <c r="P4" s="49">
        <f t="shared" si="1"/>
        <v>0</v>
      </c>
      <c r="Q4" s="49">
        <f t="shared" si="1"/>
        <v>0</v>
      </c>
      <c r="R4" s="49">
        <f t="shared" si="1"/>
        <v>0</v>
      </c>
      <c r="S4" s="49">
        <f t="shared" si="1"/>
        <v>0</v>
      </c>
      <c r="T4" s="49">
        <f t="shared" si="1"/>
        <v>0</v>
      </c>
      <c r="U4" s="49">
        <f>U36</f>
        <v>0</v>
      </c>
    </row>
    <row r="5" spans="1:22" s="54" customFormat="1">
      <c r="A5" s="51" t="s">
        <v>89</v>
      </c>
      <c r="B5" s="51"/>
      <c r="C5" s="51"/>
      <c r="D5" s="51"/>
      <c r="E5" s="52">
        <f t="shared" ref="E5:J5" si="2">E52</f>
        <v>0</v>
      </c>
      <c r="F5" s="52">
        <f t="shared" si="2"/>
        <v>0</v>
      </c>
      <c r="G5" s="52">
        <f t="shared" si="2"/>
        <v>0</v>
      </c>
      <c r="H5" s="52">
        <f t="shared" si="2"/>
        <v>0</v>
      </c>
      <c r="I5" s="52">
        <f t="shared" si="2"/>
        <v>0</v>
      </c>
      <c r="J5" s="52">
        <f t="shared" si="2"/>
        <v>0</v>
      </c>
      <c r="K5" s="53">
        <v>426.00000000000011</v>
      </c>
      <c r="L5" s="53">
        <v>120</v>
      </c>
      <c r="M5" s="53">
        <v>120.00000000000001</v>
      </c>
      <c r="N5" s="53">
        <v>120</v>
      </c>
      <c r="O5" s="53">
        <v>119.99999999999999</v>
      </c>
      <c r="P5" s="53">
        <v>120</v>
      </c>
      <c r="Q5" s="53">
        <v>120</v>
      </c>
      <c r="R5" s="53">
        <v>119.99999999999999</v>
      </c>
      <c r="S5" s="53">
        <v>120.00000000000001</v>
      </c>
      <c r="T5" s="53">
        <v>120.00000000000001</v>
      </c>
      <c r="U5" s="53">
        <v>120.00000000000001</v>
      </c>
    </row>
    <row r="6" spans="1:22">
      <c r="A6" s="55" t="s">
        <v>90</v>
      </c>
      <c r="B6" s="55"/>
      <c r="C6" s="55"/>
      <c r="D6" s="55"/>
      <c r="E6" s="56">
        <f t="shared" ref="E6:T6" si="3">E3+E4+E5</f>
        <v>0</v>
      </c>
      <c r="F6" s="56">
        <f t="shared" si="3"/>
        <v>0</v>
      </c>
      <c r="G6" s="56">
        <f t="shared" si="3"/>
        <v>0</v>
      </c>
      <c r="H6" s="56">
        <f t="shared" si="3"/>
        <v>0</v>
      </c>
      <c r="I6" s="56">
        <f t="shared" si="3"/>
        <v>0</v>
      </c>
      <c r="J6" s="56">
        <f>J3+J4+J5</f>
        <v>0</v>
      </c>
      <c r="K6" s="57">
        <f t="shared" si="3"/>
        <v>426.00000000000011</v>
      </c>
      <c r="L6" s="57" t="e">
        <f t="shared" si="3"/>
        <v>#DIV/0!</v>
      </c>
      <c r="M6" s="57" t="e">
        <f t="shared" si="3"/>
        <v>#DIV/0!</v>
      </c>
      <c r="N6" s="57" t="e">
        <f t="shared" si="3"/>
        <v>#DIV/0!</v>
      </c>
      <c r="O6" s="57" t="e">
        <f t="shared" si="3"/>
        <v>#DIV/0!</v>
      </c>
      <c r="P6" s="57" t="e">
        <f t="shared" si="3"/>
        <v>#DIV/0!</v>
      </c>
      <c r="Q6" s="57" t="e">
        <f t="shared" si="3"/>
        <v>#DIV/0!</v>
      </c>
      <c r="R6" s="57" t="e">
        <f t="shared" si="3"/>
        <v>#DIV/0!</v>
      </c>
      <c r="S6" s="57" t="e">
        <f t="shared" si="3"/>
        <v>#DIV/0!</v>
      </c>
      <c r="T6" s="57" t="e">
        <f t="shared" si="3"/>
        <v>#DIV/0!</v>
      </c>
      <c r="U6" s="57" t="e">
        <f>U3+U4+U5</f>
        <v>#DIV/0!</v>
      </c>
    </row>
    <row r="7" spans="1:22">
      <c r="A7" s="50" t="s">
        <v>91</v>
      </c>
      <c r="B7" s="50"/>
      <c r="C7" s="50"/>
      <c r="D7" s="50"/>
      <c r="E7" s="48">
        <f t="shared" ref="E7:J7" si="4">E10-E9</f>
        <v>0</v>
      </c>
      <c r="F7" s="48">
        <f t="shared" si="4"/>
        <v>0</v>
      </c>
      <c r="G7" s="48">
        <f t="shared" si="4"/>
        <v>0</v>
      </c>
      <c r="H7" s="48">
        <f t="shared" si="4"/>
        <v>0</v>
      </c>
      <c r="I7" s="48">
        <f t="shared" si="4"/>
        <v>0</v>
      </c>
      <c r="J7" s="48">
        <f t="shared" si="4"/>
        <v>0</v>
      </c>
      <c r="K7" s="49" t="e">
        <f>MROUND(FORECAST(K4,E7:J7,E4:J4),25)+100</f>
        <v>#DIV/0!</v>
      </c>
      <c r="L7" s="49" t="e">
        <f>MROUND(FORECAST(L4,E7:K7,E4:K4),25)-50</f>
        <v>#DIV/0!</v>
      </c>
      <c r="M7" s="49" t="e">
        <f>MROUND(FORECAST(M4,E7:L7,E4:L4),25)-400</f>
        <v>#DIV/0!</v>
      </c>
      <c r="N7" s="49" t="e">
        <f>MROUND(FORECAST(N4,E7:M7,E4:M4),25)</f>
        <v>#DIV/0!</v>
      </c>
      <c r="O7" s="49" t="e">
        <f>MROUND(FORECAST(O4,E7:N7,E4:N4),25)</f>
        <v>#DIV/0!</v>
      </c>
      <c r="P7" s="49" t="e">
        <f>MROUND(FORECAST(P4,F7:O7,F4:O4),25)</f>
        <v>#DIV/0!</v>
      </c>
      <c r="Q7" s="49" t="e">
        <f>MROUND(FORECAST(Q4,G7:P7,G4:P4),25)</f>
        <v>#DIV/0!</v>
      </c>
      <c r="R7" s="49" t="e">
        <f>MROUND(FORECAST(R4,H7:Q7,H4:Q4),25)</f>
        <v>#DIV/0!</v>
      </c>
      <c r="S7" s="49" t="e">
        <f>MROUND(FORECAST(S4,I7:R7,I4:R4),25)</f>
        <v>#DIV/0!</v>
      </c>
      <c r="T7" s="49" t="e">
        <f>MROUND(FORECAST(T4,J7:S7,J4:S4),25)-25</f>
        <v>#DIV/0!</v>
      </c>
      <c r="U7" s="49" t="e">
        <f>MROUND(FORECAST(U4,K7:T7,K4:T4),25)-25</f>
        <v>#DIV/0!</v>
      </c>
    </row>
    <row r="8" spans="1:22" hidden="1">
      <c r="A8" s="50" t="s">
        <v>92</v>
      </c>
      <c r="B8" s="50"/>
      <c r="C8" s="50"/>
      <c r="D8" s="50"/>
      <c r="E8" s="58" t="e">
        <f>annual_data!#REF!*42/1000</f>
        <v>#REF!</v>
      </c>
      <c r="F8" s="58" t="e">
        <f>annual_data!#REF!*42/1000</f>
        <v>#REF!</v>
      </c>
      <c r="G8" s="48" t="e">
        <f>annual_data!#REF!*42/1000</f>
        <v>#REF!</v>
      </c>
      <c r="H8" s="48" t="e">
        <f>annual_data!#REF!*42/1000</f>
        <v>#REF!</v>
      </c>
      <c r="I8" s="48" t="e">
        <f>annual_data!#REF!*42/1000</f>
        <v>#REF!</v>
      </c>
      <c r="J8" s="48" t="e">
        <f>annual_data!#REF!*42/1000</f>
        <v>#REF!</v>
      </c>
      <c r="K8" s="48"/>
      <c r="L8" s="48"/>
      <c r="M8" s="48"/>
      <c r="N8" s="48"/>
      <c r="O8" s="48"/>
      <c r="P8" s="48"/>
      <c r="Q8" s="48"/>
      <c r="R8" s="48"/>
      <c r="S8" s="48"/>
      <c r="T8" s="48"/>
      <c r="U8" s="48"/>
      <c r="V8" s="50"/>
    </row>
    <row r="9" spans="1:22">
      <c r="A9" s="47" t="s">
        <v>42</v>
      </c>
      <c r="B9" s="47"/>
      <c r="C9" s="47"/>
      <c r="D9" s="47"/>
      <c r="E9" s="48">
        <f t="shared" ref="E9:J9" si="5">E68</f>
        <v>0</v>
      </c>
      <c r="F9" s="48">
        <f t="shared" si="5"/>
        <v>0</v>
      </c>
      <c r="G9" s="48">
        <f t="shared" si="5"/>
        <v>0</v>
      </c>
      <c r="H9" s="48">
        <f t="shared" si="5"/>
        <v>0</v>
      </c>
      <c r="I9" s="48">
        <f t="shared" si="5"/>
        <v>0</v>
      </c>
      <c r="J9" s="48">
        <f t="shared" si="5"/>
        <v>0</v>
      </c>
      <c r="K9" s="49" t="e">
        <f>MROUND(FORECAST(K4,E9:J9,E4:J4),5)</f>
        <v>#DIV/0!</v>
      </c>
      <c r="L9" s="49" t="e">
        <f>MROUND(FORECAST(L4,E9:K9,E4:K4)*0.75,5)</f>
        <v>#DIV/0!</v>
      </c>
      <c r="M9" s="49" t="e">
        <f>MROUND(FORECAST(M4,E9:L9,E4:L4)*0.5,5)</f>
        <v>#DIV/0!</v>
      </c>
      <c r="N9" s="49" t="e">
        <f>MROUND(FORECAST(N4,E9:M9,E4:M4)*0.25,5)</f>
        <v>#DIV/0!</v>
      </c>
      <c r="O9" s="49" t="e">
        <f>MROUND(FORECAST(O4,E9:N9,E4:N4)*0,5)</f>
        <v>#DIV/0!</v>
      </c>
      <c r="P9" s="49" t="e">
        <f t="shared" ref="P9:U9" si="6">MROUND(FORECAST(P4,F9:O9,F4:O4)*0,5)</f>
        <v>#DIV/0!</v>
      </c>
      <c r="Q9" s="49" t="e">
        <f t="shared" si="6"/>
        <v>#DIV/0!</v>
      </c>
      <c r="R9" s="49" t="e">
        <f t="shared" si="6"/>
        <v>#DIV/0!</v>
      </c>
      <c r="S9" s="49" t="e">
        <f t="shared" si="6"/>
        <v>#DIV/0!</v>
      </c>
      <c r="T9" s="49" t="e">
        <f t="shared" si="6"/>
        <v>#DIV/0!</v>
      </c>
      <c r="U9" s="49" t="e">
        <f t="shared" si="6"/>
        <v>#DIV/0!</v>
      </c>
    </row>
    <row r="10" spans="1:22">
      <c r="A10" s="59" t="s">
        <v>93</v>
      </c>
      <c r="B10" s="59"/>
      <c r="C10" s="59"/>
      <c r="D10" s="59"/>
      <c r="E10" s="60">
        <f t="shared" ref="E10:J10" si="7">E6-E11</f>
        <v>0</v>
      </c>
      <c r="F10" s="60">
        <f t="shared" si="7"/>
        <v>0</v>
      </c>
      <c r="G10" s="60">
        <f t="shared" si="7"/>
        <v>0</v>
      </c>
      <c r="H10" s="60">
        <f t="shared" si="7"/>
        <v>0</v>
      </c>
      <c r="I10" s="60">
        <f t="shared" si="7"/>
        <v>0</v>
      </c>
      <c r="J10" s="60">
        <f t="shared" si="7"/>
        <v>0</v>
      </c>
      <c r="K10" s="61" t="e">
        <f t="shared" ref="K10:T10" si="8">SUM(K7:K9)</f>
        <v>#DIV/0!</v>
      </c>
      <c r="L10" s="61" t="e">
        <f t="shared" si="8"/>
        <v>#DIV/0!</v>
      </c>
      <c r="M10" s="61" t="e">
        <f t="shared" si="8"/>
        <v>#DIV/0!</v>
      </c>
      <c r="N10" s="61" t="e">
        <f t="shared" si="8"/>
        <v>#DIV/0!</v>
      </c>
      <c r="O10" s="61" t="e">
        <f t="shared" si="8"/>
        <v>#DIV/0!</v>
      </c>
      <c r="P10" s="61" t="e">
        <f t="shared" si="8"/>
        <v>#DIV/0!</v>
      </c>
      <c r="Q10" s="61" t="e">
        <f t="shared" si="8"/>
        <v>#DIV/0!</v>
      </c>
      <c r="R10" s="61" t="e">
        <f t="shared" si="8"/>
        <v>#DIV/0!</v>
      </c>
      <c r="S10" s="61" t="e">
        <f t="shared" si="8"/>
        <v>#DIV/0!</v>
      </c>
      <c r="T10" s="61" t="e">
        <f t="shared" si="8"/>
        <v>#DIV/0!</v>
      </c>
      <c r="U10" s="61" t="e">
        <f>SUM(U7:U9)</f>
        <v>#DIV/0!</v>
      </c>
    </row>
    <row r="11" spans="1:22">
      <c r="A11" s="50" t="s">
        <v>94</v>
      </c>
      <c r="B11" s="50"/>
      <c r="C11" s="50"/>
      <c r="D11" s="50"/>
      <c r="E11" s="48">
        <f t="shared" ref="E11:J11" si="9">E99</f>
        <v>0</v>
      </c>
      <c r="F11" s="48">
        <f t="shared" si="9"/>
        <v>0</v>
      </c>
      <c r="G11" s="48">
        <f t="shared" si="9"/>
        <v>0</v>
      </c>
      <c r="H11" s="48">
        <f t="shared" si="9"/>
        <v>0</v>
      </c>
      <c r="I11" s="48">
        <f t="shared" si="9"/>
        <v>0</v>
      </c>
      <c r="J11" s="48">
        <f t="shared" si="9"/>
        <v>0</v>
      </c>
      <c r="K11" s="49" t="e">
        <f t="shared" ref="K11:T11" si="10">K6-K10</f>
        <v>#DIV/0!</v>
      </c>
      <c r="L11" s="49" t="e">
        <f t="shared" si="10"/>
        <v>#DIV/0!</v>
      </c>
      <c r="M11" s="49" t="e">
        <f t="shared" si="10"/>
        <v>#DIV/0!</v>
      </c>
      <c r="N11" s="49" t="e">
        <f t="shared" si="10"/>
        <v>#DIV/0!</v>
      </c>
      <c r="O11" s="49" t="e">
        <f t="shared" si="10"/>
        <v>#DIV/0!</v>
      </c>
      <c r="P11" s="49" t="e">
        <f t="shared" si="10"/>
        <v>#DIV/0!</v>
      </c>
      <c r="Q11" s="49" t="e">
        <f t="shared" si="10"/>
        <v>#DIV/0!</v>
      </c>
      <c r="R11" s="49" t="e">
        <f t="shared" si="10"/>
        <v>#DIV/0!</v>
      </c>
      <c r="S11" s="49" t="e">
        <f t="shared" si="10"/>
        <v>#DIV/0!</v>
      </c>
      <c r="T11" s="49" t="e">
        <f t="shared" si="10"/>
        <v>#DIV/0!</v>
      </c>
      <c r="U11" s="49" t="e">
        <f>U6-U10</f>
        <v>#DIV/0!</v>
      </c>
    </row>
    <row r="12" spans="1:22" s="54" customFormat="1">
      <c r="A12" s="62" t="s">
        <v>95</v>
      </c>
      <c r="B12" s="62"/>
      <c r="C12" s="62"/>
      <c r="D12" s="62"/>
      <c r="E12" s="63" t="e">
        <v>#REF!</v>
      </c>
      <c r="F12" s="63" t="e">
        <v>#REF!</v>
      </c>
      <c r="G12" s="63" t="e">
        <v>#REF!</v>
      </c>
      <c r="H12" s="63" t="e">
        <v>#REF!</v>
      </c>
      <c r="I12" s="63" t="e">
        <v>#REF!</v>
      </c>
      <c r="J12" s="63" t="e">
        <v>#REF!</v>
      </c>
      <c r="K12" s="63" t="e">
        <v>#REF!</v>
      </c>
      <c r="L12" s="63">
        <v>5.6597107344671018</v>
      </c>
      <c r="M12" s="63">
        <v>4.7257344860847956</v>
      </c>
      <c r="N12" s="63">
        <v>5.4018315264337788</v>
      </c>
      <c r="O12" s="63">
        <v>4.862357295222095</v>
      </c>
      <c r="P12" s="63">
        <v>4.6448797058151792</v>
      </c>
      <c r="Q12" s="63">
        <v>4.3474486885872503</v>
      </c>
      <c r="R12" s="63">
        <v>5.5712675148130044</v>
      </c>
      <c r="S12" s="63">
        <v>5.5433730087733677</v>
      </c>
      <c r="T12" s="63">
        <v>5.8745759297557747</v>
      </c>
      <c r="U12" s="63">
        <v>5.8745759297557747</v>
      </c>
    </row>
    <row r="13" spans="1:22">
      <c r="A13" s="64" t="s">
        <v>96</v>
      </c>
      <c r="B13" s="64"/>
      <c r="C13" s="64"/>
      <c r="D13" s="64"/>
      <c r="E13" s="65" t="e">
        <f t="shared" ref="E13:T13" si="11">E11/E7</f>
        <v>#DIV/0!</v>
      </c>
      <c r="F13" s="65" t="e">
        <f t="shared" si="11"/>
        <v>#DIV/0!</v>
      </c>
      <c r="G13" s="65" t="e">
        <f t="shared" si="11"/>
        <v>#DIV/0!</v>
      </c>
      <c r="H13" s="65" t="e">
        <f t="shared" si="11"/>
        <v>#DIV/0!</v>
      </c>
      <c r="I13" s="65" t="e">
        <f t="shared" si="11"/>
        <v>#DIV/0!</v>
      </c>
      <c r="J13" s="65" t="e">
        <f>J11/J7</f>
        <v>#DIV/0!</v>
      </c>
      <c r="K13" s="66" t="e">
        <f t="shared" si="11"/>
        <v>#DIV/0!</v>
      </c>
      <c r="L13" s="66" t="e">
        <f t="shared" si="11"/>
        <v>#DIV/0!</v>
      </c>
      <c r="M13" s="66" t="e">
        <f t="shared" si="11"/>
        <v>#DIV/0!</v>
      </c>
      <c r="N13" s="66" t="e">
        <f t="shared" si="11"/>
        <v>#DIV/0!</v>
      </c>
      <c r="O13" s="66" t="e">
        <f t="shared" si="11"/>
        <v>#DIV/0!</v>
      </c>
      <c r="P13" s="66" t="e">
        <f t="shared" si="11"/>
        <v>#DIV/0!</v>
      </c>
      <c r="Q13" s="66" t="e">
        <f t="shared" si="11"/>
        <v>#DIV/0!</v>
      </c>
      <c r="R13" s="66" t="e">
        <f t="shared" si="11"/>
        <v>#DIV/0!</v>
      </c>
      <c r="S13" s="66" t="e">
        <f t="shared" si="11"/>
        <v>#DIV/0!</v>
      </c>
      <c r="T13" s="66" t="e">
        <f t="shared" si="11"/>
        <v>#DIV/0!</v>
      </c>
      <c r="U13" s="66" t="e">
        <f>U11/U7</f>
        <v>#DIV/0!</v>
      </c>
    </row>
    <row r="14" spans="1:22">
      <c r="G14" s="67"/>
      <c r="H14" s="67"/>
      <c r="I14" s="67"/>
      <c r="J14" s="68"/>
      <c r="K14" s="68"/>
      <c r="L14" s="68"/>
      <c r="M14" s="68"/>
      <c r="N14" s="68"/>
      <c r="O14" s="68"/>
      <c r="P14" s="68"/>
      <c r="Q14" s="68"/>
      <c r="R14" s="68"/>
      <c r="S14" s="68"/>
      <c r="T14" s="68"/>
      <c r="U14" s="68"/>
    </row>
    <row r="15" spans="1:22">
      <c r="A15" s="50"/>
      <c r="B15" s="50"/>
      <c r="C15" s="50"/>
      <c r="D15" s="50"/>
      <c r="E15" s="69"/>
      <c r="F15" s="69"/>
      <c r="G15" s="69"/>
      <c r="H15" s="69"/>
      <c r="I15" s="69"/>
      <c r="J15" s="70"/>
      <c r="K15" s="70"/>
      <c r="L15" s="70"/>
      <c r="M15" s="70"/>
      <c r="N15" s="70"/>
      <c r="O15" s="70"/>
      <c r="P15" s="70"/>
      <c r="Q15" s="70"/>
      <c r="R15" s="70"/>
      <c r="S15" s="70"/>
      <c r="T15" s="70"/>
      <c r="U15" s="70"/>
    </row>
    <row r="16" spans="1:22">
      <c r="A16" s="50"/>
      <c r="B16" s="50"/>
      <c r="C16" s="50"/>
      <c r="D16" s="50"/>
      <c r="E16" s="69"/>
      <c r="F16" s="69"/>
      <c r="G16" s="69"/>
      <c r="H16" s="69"/>
      <c r="I16" s="69"/>
      <c r="J16" s="70"/>
      <c r="K16" s="70"/>
      <c r="L16" s="70"/>
      <c r="M16" s="70"/>
      <c r="N16" s="70"/>
      <c r="O16" s="70"/>
      <c r="P16" s="70"/>
      <c r="Q16" s="70"/>
      <c r="R16" s="70"/>
      <c r="S16" s="70"/>
      <c r="T16" s="70"/>
      <c r="U16" s="70"/>
    </row>
    <row r="17" spans="1:22">
      <c r="A17" s="50"/>
      <c r="B17" s="50"/>
      <c r="C17" s="50"/>
      <c r="D17" s="50"/>
      <c r="E17" s="69"/>
      <c r="F17" s="69"/>
      <c r="G17" s="69"/>
      <c r="H17" s="69"/>
      <c r="I17" s="69"/>
      <c r="J17" s="70"/>
      <c r="K17" s="70"/>
      <c r="L17" s="70"/>
      <c r="M17" s="70"/>
      <c r="N17" s="70"/>
      <c r="O17" s="70"/>
      <c r="P17" s="70"/>
      <c r="Q17" s="70"/>
      <c r="R17" s="70"/>
      <c r="S17" s="70"/>
      <c r="T17" s="70"/>
      <c r="U17" s="70"/>
    </row>
    <row r="18" spans="1:22">
      <c r="A18" s="50"/>
      <c r="B18" s="50"/>
      <c r="C18" s="50"/>
      <c r="D18" s="50"/>
      <c r="E18" s="69"/>
      <c r="F18" s="69"/>
      <c r="G18" s="69"/>
      <c r="H18" s="69"/>
      <c r="I18" s="69"/>
      <c r="J18" s="70"/>
      <c r="K18" s="69"/>
      <c r="L18" s="69"/>
      <c r="M18" s="69"/>
      <c r="N18" s="69"/>
      <c r="O18" s="69"/>
      <c r="P18" s="69"/>
      <c r="Q18" s="69"/>
      <c r="R18" s="69"/>
      <c r="S18" s="69"/>
      <c r="T18" s="69"/>
      <c r="U18" s="69"/>
    </row>
    <row r="19" spans="1:22">
      <c r="A19" s="50"/>
      <c r="B19" s="50"/>
      <c r="C19" s="50"/>
      <c r="D19" s="50"/>
      <c r="E19" s="69"/>
      <c r="F19" s="69"/>
      <c r="G19" s="69"/>
      <c r="H19" s="69"/>
      <c r="I19" s="69"/>
      <c r="J19" s="70"/>
      <c r="K19" s="69"/>
      <c r="L19" s="69"/>
      <c r="M19" s="69"/>
      <c r="N19" s="69"/>
      <c r="O19" s="69"/>
      <c r="P19" s="69"/>
      <c r="Q19" s="69"/>
      <c r="R19" s="69"/>
      <c r="S19" s="69"/>
      <c r="T19" s="69"/>
      <c r="U19" s="69"/>
    </row>
    <row r="20" spans="1:22">
      <c r="A20" s="50"/>
      <c r="B20" s="50"/>
      <c r="C20" s="50"/>
      <c r="D20" s="50"/>
      <c r="E20" s="48"/>
      <c r="F20" s="48"/>
      <c r="G20" s="48"/>
      <c r="H20" s="48"/>
      <c r="I20" s="48"/>
      <c r="J20" s="49"/>
      <c r="K20" s="49"/>
      <c r="L20" s="49"/>
      <c r="M20" s="49"/>
      <c r="N20" s="49"/>
      <c r="O20" s="49"/>
      <c r="P20" s="71"/>
      <c r="Q20" s="71"/>
      <c r="R20" s="71"/>
      <c r="S20" s="71"/>
      <c r="T20" s="71"/>
      <c r="U20" s="71"/>
    </row>
    <row r="21" spans="1:22">
      <c r="A21" s="50"/>
      <c r="B21" s="50"/>
      <c r="C21" s="50"/>
      <c r="D21" s="50"/>
      <c r="E21" s="48"/>
      <c r="F21" s="48"/>
      <c r="G21" s="48"/>
      <c r="H21" s="48"/>
      <c r="I21" s="48"/>
      <c r="J21" s="49"/>
      <c r="K21" s="49"/>
      <c r="L21" s="49"/>
      <c r="M21" s="49"/>
      <c r="N21" s="49"/>
      <c r="O21" s="49"/>
      <c r="P21" s="71"/>
      <c r="Q21" s="71"/>
      <c r="R21" s="71"/>
      <c r="S21" s="71"/>
      <c r="T21" s="71"/>
      <c r="U21" s="71"/>
    </row>
    <row r="22" spans="1:22" ht="15.75" thickBot="1">
      <c r="A22" s="4" t="s">
        <v>97</v>
      </c>
      <c r="B22" s="4"/>
      <c r="C22" s="4"/>
      <c r="D22" s="4"/>
      <c r="V22" s="50"/>
    </row>
    <row r="23" spans="1:22" ht="15.75" thickBot="1">
      <c r="A23" s="72" t="s">
        <v>86</v>
      </c>
      <c r="B23" s="73">
        <f t="shared" ref="B23:U23" si="12">B2</f>
        <v>2015</v>
      </c>
      <c r="C23" s="73">
        <f t="shared" si="12"/>
        <v>2016</v>
      </c>
      <c r="D23" s="73">
        <f t="shared" si="12"/>
        <v>2017</v>
      </c>
      <c r="E23" s="73">
        <f t="shared" si="12"/>
        <v>2018</v>
      </c>
      <c r="F23" s="73">
        <f t="shared" si="12"/>
        <v>2019</v>
      </c>
      <c r="G23" s="73">
        <f t="shared" si="12"/>
        <v>2020</v>
      </c>
      <c r="H23" s="73">
        <f t="shared" si="12"/>
        <v>2021</v>
      </c>
      <c r="I23" s="73">
        <f t="shared" si="12"/>
        <v>2022</v>
      </c>
      <c r="J23" s="73">
        <f t="shared" si="12"/>
        <v>2023</v>
      </c>
      <c r="K23" s="73">
        <f t="shared" si="12"/>
        <v>2024</v>
      </c>
      <c r="L23" s="73">
        <f t="shared" si="12"/>
        <v>2025</v>
      </c>
      <c r="M23" s="73">
        <f t="shared" si="12"/>
        <v>2026</v>
      </c>
      <c r="N23" s="73">
        <f t="shared" si="12"/>
        <v>2027</v>
      </c>
      <c r="O23" s="73">
        <f t="shared" si="12"/>
        <v>2028</v>
      </c>
      <c r="P23" s="73">
        <f t="shared" si="12"/>
        <v>2029</v>
      </c>
      <c r="Q23" s="73">
        <f t="shared" si="12"/>
        <v>2030</v>
      </c>
      <c r="R23" s="73">
        <f t="shared" si="12"/>
        <v>2031</v>
      </c>
      <c r="S23" s="73">
        <f t="shared" si="12"/>
        <v>2032</v>
      </c>
      <c r="T23" s="73">
        <f t="shared" si="12"/>
        <v>2033</v>
      </c>
      <c r="U23" s="73">
        <f t="shared" si="12"/>
        <v>2034</v>
      </c>
      <c r="V23" s="50"/>
    </row>
    <row r="24" spans="1:22" s="54" customFormat="1">
      <c r="A24" s="54" t="s">
        <v>98</v>
      </c>
      <c r="E24" s="74"/>
      <c r="F24" s="74"/>
      <c r="G24" s="74"/>
      <c r="H24" s="74"/>
      <c r="I24" s="74"/>
      <c r="J24" s="74"/>
      <c r="K24" s="74"/>
      <c r="L24" s="75"/>
      <c r="M24" s="75"/>
      <c r="N24" s="75"/>
      <c r="O24" s="75"/>
      <c r="P24" s="75"/>
      <c r="Q24" s="75"/>
      <c r="R24" s="75"/>
      <c r="S24" s="75"/>
      <c r="T24" s="75"/>
      <c r="U24" s="75"/>
      <c r="V24" s="76"/>
    </row>
    <row r="25" spans="1:22" s="54" customFormat="1">
      <c r="A25" s="54" t="s">
        <v>99</v>
      </c>
      <c r="E25" s="74"/>
      <c r="F25" s="74"/>
      <c r="G25" s="74"/>
      <c r="H25" s="74"/>
      <c r="I25" s="74"/>
      <c r="J25" s="74"/>
      <c r="K25" s="74"/>
      <c r="L25" s="75"/>
      <c r="M25" s="75"/>
      <c r="N25" s="75"/>
      <c r="O25" s="75"/>
      <c r="P25" s="75"/>
      <c r="Q25" s="75"/>
      <c r="R25" s="75"/>
      <c r="S25" s="75"/>
      <c r="T25" s="75"/>
      <c r="U25" s="75"/>
      <c r="V25" s="76"/>
    </row>
    <row r="26" spans="1:22" s="54" customFormat="1">
      <c r="A26" s="54" t="s">
        <v>100</v>
      </c>
      <c r="E26" s="74"/>
      <c r="F26" s="74"/>
      <c r="G26" s="74"/>
      <c r="H26" s="74"/>
      <c r="I26" s="74"/>
      <c r="J26" s="74"/>
      <c r="K26" s="74"/>
      <c r="L26" s="75"/>
      <c r="M26" s="75"/>
      <c r="N26" s="75"/>
      <c r="O26" s="75"/>
      <c r="P26" s="75"/>
      <c r="Q26" s="75"/>
      <c r="R26" s="75"/>
      <c r="S26" s="75"/>
      <c r="T26" s="75"/>
      <c r="U26" s="75"/>
      <c r="V26" s="76"/>
    </row>
    <row r="27" spans="1:22" s="54" customFormat="1">
      <c r="A27" s="54" t="s">
        <v>101</v>
      </c>
      <c r="E27" s="74"/>
      <c r="F27" s="74"/>
      <c r="G27" s="74"/>
      <c r="H27" s="74"/>
      <c r="I27" s="74"/>
      <c r="J27" s="74"/>
      <c r="K27" s="74"/>
      <c r="L27" s="75"/>
      <c r="M27" s="75"/>
      <c r="N27" s="75"/>
      <c r="O27" s="75"/>
      <c r="P27" s="75"/>
      <c r="Q27" s="75"/>
      <c r="R27" s="75"/>
      <c r="S27" s="75"/>
      <c r="T27" s="75"/>
      <c r="U27" s="75"/>
      <c r="V27" s="76"/>
    </row>
    <row r="28" spans="1:22" s="54" customFormat="1">
      <c r="A28" s="54" t="s">
        <v>102</v>
      </c>
      <c r="E28" s="74"/>
      <c r="F28" s="74"/>
      <c r="G28" s="74"/>
      <c r="H28" s="74"/>
      <c r="I28" s="74"/>
      <c r="J28" s="74"/>
      <c r="K28" s="75"/>
      <c r="L28" s="75"/>
      <c r="M28" s="75"/>
      <c r="N28" s="75"/>
      <c r="O28" s="75"/>
      <c r="P28" s="75"/>
      <c r="Q28" s="75"/>
      <c r="R28" s="75"/>
      <c r="S28" s="75"/>
      <c r="T28" s="75"/>
      <c r="U28" s="75"/>
      <c r="V28" s="76"/>
    </row>
    <row r="29" spans="1:22" s="54" customFormat="1">
      <c r="A29" s="54" t="s">
        <v>103</v>
      </c>
      <c r="E29" s="74"/>
      <c r="F29" s="74"/>
      <c r="G29" s="74"/>
      <c r="H29" s="74"/>
      <c r="I29" s="74"/>
      <c r="J29" s="74"/>
      <c r="K29" s="75"/>
      <c r="L29" s="75"/>
      <c r="M29" s="75"/>
      <c r="N29" s="75"/>
      <c r="O29" s="75"/>
      <c r="P29" s="75"/>
      <c r="Q29" s="75"/>
      <c r="R29" s="75"/>
      <c r="S29" s="75"/>
      <c r="T29" s="75"/>
      <c r="U29" s="75"/>
      <c r="V29" s="76"/>
    </row>
    <row r="30" spans="1:22" s="54" customFormat="1">
      <c r="A30" s="54" t="s">
        <v>104</v>
      </c>
      <c r="E30" s="74"/>
      <c r="F30" s="74"/>
      <c r="G30" s="74"/>
      <c r="H30" s="74"/>
      <c r="I30" s="74"/>
      <c r="J30" s="74"/>
      <c r="K30" s="75"/>
      <c r="L30" s="75"/>
      <c r="M30" s="75"/>
      <c r="N30" s="75"/>
      <c r="O30" s="75"/>
      <c r="P30" s="75"/>
      <c r="Q30" s="75"/>
      <c r="R30" s="75"/>
      <c r="S30" s="75"/>
      <c r="T30" s="75"/>
      <c r="U30" s="75"/>
      <c r="V30" s="76"/>
    </row>
    <row r="31" spans="1:22" s="54" customFormat="1">
      <c r="A31" s="54" t="s">
        <v>105</v>
      </c>
      <c r="E31" s="74"/>
      <c r="F31" s="74"/>
      <c r="G31" s="74"/>
      <c r="H31" s="74"/>
      <c r="I31" s="74"/>
      <c r="J31" s="74"/>
      <c r="K31" s="75"/>
      <c r="L31" s="75"/>
      <c r="M31" s="75"/>
      <c r="N31" s="75"/>
      <c r="O31" s="75"/>
      <c r="P31" s="75"/>
      <c r="Q31" s="75"/>
      <c r="R31" s="75"/>
      <c r="S31" s="75"/>
      <c r="T31" s="75"/>
      <c r="U31" s="75"/>
      <c r="V31" s="76"/>
    </row>
    <row r="32" spans="1:22" s="54" customFormat="1">
      <c r="A32" s="54" t="s">
        <v>106</v>
      </c>
      <c r="E32" s="74"/>
      <c r="F32" s="74"/>
      <c r="G32" s="74"/>
      <c r="H32" s="74"/>
      <c r="I32" s="74"/>
      <c r="J32" s="74"/>
      <c r="K32" s="75"/>
      <c r="L32" s="75"/>
      <c r="M32" s="75"/>
      <c r="N32" s="75"/>
      <c r="O32" s="75"/>
      <c r="P32" s="75"/>
      <c r="Q32" s="75"/>
      <c r="R32" s="75"/>
      <c r="S32" s="75"/>
      <c r="T32" s="75"/>
      <c r="U32" s="75"/>
      <c r="V32" s="76"/>
    </row>
    <row r="33" spans="1:22" s="54" customFormat="1">
      <c r="A33" s="54" t="s">
        <v>107</v>
      </c>
      <c r="E33" s="74"/>
      <c r="F33" s="74"/>
      <c r="G33" s="74"/>
      <c r="H33" s="74"/>
      <c r="I33" s="74"/>
      <c r="J33" s="74"/>
      <c r="K33" s="75"/>
      <c r="L33" s="75"/>
      <c r="M33" s="75"/>
      <c r="N33" s="75"/>
      <c r="O33" s="75"/>
      <c r="P33" s="75"/>
      <c r="Q33" s="75"/>
      <c r="R33" s="75"/>
      <c r="S33" s="75"/>
      <c r="T33" s="75"/>
      <c r="U33" s="75"/>
      <c r="V33" s="76"/>
    </row>
    <row r="34" spans="1:22" s="54" customFormat="1">
      <c r="A34" s="54" t="s">
        <v>108</v>
      </c>
      <c r="E34" s="74"/>
      <c r="F34" s="74"/>
      <c r="G34" s="74"/>
      <c r="H34" s="74"/>
      <c r="I34" s="74"/>
      <c r="J34" s="74"/>
      <c r="K34" s="75"/>
      <c r="L34" s="75"/>
      <c r="M34" s="75"/>
      <c r="N34" s="75"/>
      <c r="O34" s="75"/>
      <c r="P34" s="75"/>
      <c r="Q34" s="75"/>
      <c r="R34" s="75"/>
      <c r="S34" s="75"/>
      <c r="T34" s="75"/>
      <c r="U34" s="75"/>
      <c r="V34" s="76"/>
    </row>
    <row r="35" spans="1:22" s="54" customFormat="1">
      <c r="A35" s="54" t="s">
        <v>109</v>
      </c>
      <c r="E35" s="74"/>
      <c r="F35" s="74"/>
      <c r="G35" s="74"/>
      <c r="H35" s="74"/>
      <c r="I35" s="74"/>
      <c r="J35" s="74"/>
      <c r="K35" s="75"/>
      <c r="L35" s="75"/>
      <c r="M35" s="75"/>
      <c r="N35" s="75"/>
      <c r="O35" s="75"/>
      <c r="P35" s="75"/>
      <c r="Q35" s="75"/>
      <c r="R35" s="75"/>
      <c r="S35" s="75"/>
      <c r="T35" s="75"/>
      <c r="U35" s="75"/>
      <c r="V35" s="76"/>
    </row>
    <row r="36" spans="1:22">
      <c r="A36" s="77" t="s">
        <v>110</v>
      </c>
      <c r="B36" s="77"/>
      <c r="C36" s="77"/>
      <c r="D36" s="77"/>
      <c r="E36" s="78"/>
      <c r="F36" s="78"/>
      <c r="G36" s="78"/>
      <c r="H36" s="78"/>
      <c r="I36" s="78"/>
      <c r="J36" s="78"/>
      <c r="K36" s="79"/>
      <c r="L36" s="79"/>
      <c r="M36" s="79"/>
      <c r="N36" s="79"/>
      <c r="O36" s="79"/>
      <c r="P36" s="79"/>
      <c r="Q36" s="79"/>
      <c r="R36" s="79"/>
      <c r="S36" s="79"/>
      <c r="T36" s="79"/>
      <c r="U36" s="79"/>
      <c r="V36" s="50"/>
    </row>
    <row r="37" spans="1:22">
      <c r="J37" s="80"/>
      <c r="V37" s="50"/>
    </row>
    <row r="38" spans="1:22" ht="15.75" thickBot="1">
      <c r="A38" s="4" t="s">
        <v>111</v>
      </c>
      <c r="B38" s="4"/>
      <c r="C38" s="4"/>
      <c r="D38" s="4"/>
      <c r="E38" s="71"/>
      <c r="F38" s="71"/>
      <c r="G38" s="71"/>
      <c r="H38" s="71"/>
      <c r="I38" s="71"/>
      <c r="J38" s="81"/>
      <c r="K38" s="82"/>
      <c r="L38" s="82"/>
      <c r="M38" s="82"/>
      <c r="N38" s="82"/>
      <c r="O38" s="82"/>
      <c r="P38" s="82"/>
      <c r="Q38" s="82"/>
      <c r="R38" s="82"/>
      <c r="S38" s="82"/>
      <c r="T38" s="82"/>
      <c r="U38" s="82"/>
      <c r="V38" s="50"/>
    </row>
    <row r="39" spans="1:22" ht="15.75" thickBot="1">
      <c r="A39" s="72" t="s">
        <v>86</v>
      </c>
      <c r="B39" s="73"/>
      <c r="C39" s="73"/>
      <c r="D39" s="73"/>
      <c r="E39" s="83">
        <f t="shared" ref="E39:U39" si="13">E2</f>
        <v>2018</v>
      </c>
      <c r="F39" s="83">
        <f t="shared" si="13"/>
        <v>2019</v>
      </c>
      <c r="G39" s="83">
        <f t="shared" si="13"/>
        <v>2020</v>
      </c>
      <c r="H39" s="83">
        <f t="shared" si="13"/>
        <v>2021</v>
      </c>
      <c r="I39" s="83">
        <f t="shared" si="13"/>
        <v>2022</v>
      </c>
      <c r="J39" s="83">
        <f t="shared" si="13"/>
        <v>2023</v>
      </c>
      <c r="K39" s="83">
        <f t="shared" si="13"/>
        <v>2024</v>
      </c>
      <c r="L39" s="83">
        <f t="shared" si="13"/>
        <v>2025</v>
      </c>
      <c r="M39" s="83">
        <f t="shared" si="13"/>
        <v>2026</v>
      </c>
      <c r="N39" s="83">
        <f t="shared" si="13"/>
        <v>2027</v>
      </c>
      <c r="O39" s="83">
        <f t="shared" si="13"/>
        <v>2028</v>
      </c>
      <c r="P39" s="83">
        <f t="shared" si="13"/>
        <v>2029</v>
      </c>
      <c r="Q39" s="83">
        <f t="shared" si="13"/>
        <v>2030</v>
      </c>
      <c r="R39" s="83">
        <f t="shared" si="13"/>
        <v>2031</v>
      </c>
      <c r="S39" s="83">
        <f t="shared" si="13"/>
        <v>2032</v>
      </c>
      <c r="T39" s="83">
        <f t="shared" si="13"/>
        <v>2033</v>
      </c>
      <c r="U39" s="83">
        <f t="shared" si="13"/>
        <v>2034</v>
      </c>
      <c r="V39" s="50"/>
    </row>
    <row r="40" spans="1:22">
      <c r="A40" s="5" t="s">
        <v>98</v>
      </c>
      <c r="E40" s="84"/>
      <c r="F40" s="84"/>
      <c r="G40" s="84"/>
      <c r="H40" s="84"/>
      <c r="I40" s="84"/>
      <c r="J40" s="84"/>
      <c r="K40" s="84"/>
      <c r="L40" s="85"/>
      <c r="M40" s="85"/>
      <c r="N40" s="85"/>
      <c r="O40" s="85"/>
      <c r="P40" s="85"/>
      <c r="Q40" s="85"/>
      <c r="R40" s="85"/>
      <c r="S40" s="85"/>
      <c r="T40" s="85"/>
      <c r="U40" s="85"/>
      <c r="V40" s="50"/>
    </row>
    <row r="41" spans="1:22">
      <c r="A41" s="5" t="s">
        <v>99</v>
      </c>
      <c r="E41" s="84"/>
      <c r="F41" s="84"/>
      <c r="G41" s="84"/>
      <c r="H41" s="84"/>
      <c r="I41" s="84"/>
      <c r="J41" s="84"/>
      <c r="K41" s="84"/>
      <c r="L41" s="85"/>
      <c r="M41" s="85"/>
      <c r="N41" s="85"/>
      <c r="O41" s="85"/>
      <c r="P41" s="85"/>
      <c r="Q41" s="85"/>
      <c r="R41" s="85"/>
      <c r="S41" s="85"/>
      <c r="T41" s="85"/>
      <c r="U41" s="85"/>
      <c r="V41" s="50"/>
    </row>
    <row r="42" spans="1:22">
      <c r="A42" s="5" t="s">
        <v>100</v>
      </c>
      <c r="E42" s="84"/>
      <c r="F42" s="84"/>
      <c r="G42" s="84"/>
      <c r="H42" s="84"/>
      <c r="I42" s="84"/>
      <c r="J42" s="84"/>
      <c r="K42" s="84"/>
      <c r="L42" s="85"/>
      <c r="M42" s="85"/>
      <c r="N42" s="85"/>
      <c r="O42" s="85"/>
      <c r="P42" s="85"/>
      <c r="Q42" s="85"/>
      <c r="R42" s="85"/>
      <c r="S42" s="85"/>
      <c r="T42" s="85"/>
      <c r="U42" s="85"/>
      <c r="V42" s="50"/>
    </row>
    <row r="43" spans="1:22">
      <c r="A43" s="5" t="s">
        <v>101</v>
      </c>
      <c r="E43" s="84"/>
      <c r="F43" s="84"/>
      <c r="G43" s="84"/>
      <c r="H43" s="84"/>
      <c r="I43" s="84"/>
      <c r="J43" s="84"/>
      <c r="K43" s="84"/>
      <c r="L43" s="85"/>
      <c r="M43" s="85"/>
      <c r="N43" s="85"/>
      <c r="O43" s="85"/>
      <c r="P43" s="85"/>
      <c r="Q43" s="85"/>
      <c r="R43" s="85"/>
      <c r="S43" s="85"/>
      <c r="T43" s="85"/>
      <c r="U43" s="85"/>
      <c r="V43" s="50"/>
    </row>
    <row r="44" spans="1:22">
      <c r="A44" s="5" t="s">
        <v>102</v>
      </c>
      <c r="E44" s="84"/>
      <c r="F44" s="84"/>
      <c r="G44" s="84"/>
      <c r="H44" s="84"/>
      <c r="I44" s="84"/>
      <c r="J44" s="84"/>
      <c r="K44" s="85"/>
      <c r="L44" s="85"/>
      <c r="M44" s="85"/>
      <c r="N44" s="85"/>
      <c r="O44" s="85"/>
      <c r="P44" s="85"/>
      <c r="Q44" s="85"/>
      <c r="R44" s="85"/>
      <c r="S44" s="85"/>
      <c r="T44" s="85"/>
      <c r="U44" s="85"/>
      <c r="V44" s="50"/>
    </row>
    <row r="45" spans="1:22">
      <c r="A45" s="5" t="s">
        <v>103</v>
      </c>
      <c r="E45" s="84"/>
      <c r="F45" s="84"/>
      <c r="G45" s="84"/>
      <c r="H45" s="84"/>
      <c r="I45" s="84"/>
      <c r="J45" s="84"/>
      <c r="K45" s="85"/>
      <c r="L45" s="85"/>
      <c r="M45" s="85"/>
      <c r="N45" s="85"/>
      <c r="O45" s="85"/>
      <c r="P45" s="85"/>
      <c r="Q45" s="85"/>
      <c r="R45" s="85"/>
      <c r="S45" s="85"/>
      <c r="T45" s="85"/>
      <c r="U45" s="85"/>
      <c r="V45" s="50"/>
    </row>
    <row r="46" spans="1:22">
      <c r="A46" s="5" t="s">
        <v>104</v>
      </c>
      <c r="E46" s="84"/>
      <c r="F46" s="84"/>
      <c r="G46" s="84"/>
      <c r="H46" s="84"/>
      <c r="I46" s="84"/>
      <c r="J46" s="84"/>
      <c r="K46" s="85"/>
      <c r="L46" s="85"/>
      <c r="M46" s="85"/>
      <c r="N46" s="85"/>
      <c r="O46" s="85"/>
      <c r="P46" s="85"/>
      <c r="Q46" s="85"/>
      <c r="R46" s="85"/>
      <c r="S46" s="85"/>
      <c r="T46" s="85"/>
      <c r="U46" s="85"/>
      <c r="V46" s="50"/>
    </row>
    <row r="47" spans="1:22">
      <c r="A47" s="5" t="s">
        <v>105</v>
      </c>
      <c r="E47" s="84"/>
      <c r="F47" s="84"/>
      <c r="G47" s="84"/>
      <c r="H47" s="84"/>
      <c r="I47" s="84"/>
      <c r="J47" s="84"/>
      <c r="K47" s="85"/>
      <c r="L47" s="85"/>
      <c r="M47" s="85"/>
      <c r="N47" s="85"/>
      <c r="O47" s="85"/>
      <c r="P47" s="85"/>
      <c r="Q47" s="85"/>
      <c r="R47" s="85"/>
      <c r="S47" s="85"/>
      <c r="T47" s="85"/>
      <c r="U47" s="85"/>
      <c r="V47" s="50"/>
    </row>
    <row r="48" spans="1:22">
      <c r="A48" s="5" t="s">
        <v>106</v>
      </c>
      <c r="E48" s="84"/>
      <c r="F48" s="84"/>
      <c r="G48" s="84"/>
      <c r="H48" s="84"/>
      <c r="I48" s="84"/>
      <c r="J48" s="84"/>
      <c r="K48" s="85"/>
      <c r="L48" s="85"/>
      <c r="M48" s="85"/>
      <c r="N48" s="85"/>
      <c r="O48" s="85"/>
      <c r="P48" s="85"/>
      <c r="Q48" s="85"/>
      <c r="R48" s="85"/>
      <c r="S48" s="85"/>
      <c r="T48" s="85"/>
      <c r="U48" s="85"/>
      <c r="V48" s="50"/>
    </row>
    <row r="49" spans="1:22">
      <c r="A49" s="5" t="s">
        <v>107</v>
      </c>
      <c r="E49" s="84"/>
      <c r="F49" s="84"/>
      <c r="G49" s="84"/>
      <c r="H49" s="84"/>
      <c r="I49" s="84"/>
      <c r="J49" s="84"/>
      <c r="K49" s="85"/>
      <c r="L49" s="85"/>
      <c r="M49" s="85"/>
      <c r="N49" s="85"/>
      <c r="O49" s="85"/>
      <c r="P49" s="85"/>
      <c r="Q49" s="85"/>
      <c r="R49" s="85"/>
      <c r="S49" s="85"/>
      <c r="T49" s="85"/>
      <c r="U49" s="85"/>
      <c r="V49" s="50"/>
    </row>
    <row r="50" spans="1:22">
      <c r="A50" s="5" t="s">
        <v>108</v>
      </c>
      <c r="E50" s="84"/>
      <c r="F50" s="84"/>
      <c r="G50" s="84"/>
      <c r="H50" s="84"/>
      <c r="I50" s="84"/>
      <c r="J50" s="84"/>
      <c r="K50" s="85"/>
      <c r="L50" s="85"/>
      <c r="M50" s="85"/>
      <c r="N50" s="85"/>
      <c r="O50" s="85"/>
      <c r="P50" s="85"/>
      <c r="Q50" s="85"/>
      <c r="R50" s="85"/>
      <c r="S50" s="85"/>
      <c r="T50" s="85"/>
      <c r="U50" s="85"/>
      <c r="V50" s="50"/>
    </row>
    <row r="51" spans="1:22">
      <c r="A51" s="5" t="s">
        <v>109</v>
      </c>
      <c r="E51" s="84"/>
      <c r="F51" s="84"/>
      <c r="G51" s="84"/>
      <c r="H51" s="84"/>
      <c r="I51" s="84"/>
      <c r="J51" s="84"/>
      <c r="K51" s="85"/>
      <c r="L51" s="85"/>
      <c r="M51" s="85"/>
      <c r="N51" s="85"/>
      <c r="O51" s="85"/>
      <c r="P51" s="85"/>
      <c r="Q51" s="85"/>
      <c r="R51" s="85"/>
      <c r="S51" s="85"/>
      <c r="T51" s="85"/>
      <c r="U51" s="85"/>
      <c r="V51" s="50"/>
    </row>
    <row r="52" spans="1:22">
      <c r="A52" s="77" t="s">
        <v>110</v>
      </c>
      <c r="B52" s="77"/>
      <c r="C52" s="77"/>
      <c r="D52" s="77"/>
      <c r="E52" s="86"/>
      <c r="F52" s="86"/>
      <c r="G52" s="86"/>
      <c r="H52" s="86"/>
      <c r="I52" s="86"/>
      <c r="J52" s="86"/>
      <c r="K52" s="87"/>
      <c r="L52" s="87"/>
      <c r="M52" s="87"/>
      <c r="N52" s="87"/>
      <c r="O52" s="87"/>
      <c r="P52" s="87"/>
      <c r="Q52" s="87"/>
      <c r="R52" s="87"/>
      <c r="S52" s="87"/>
      <c r="T52" s="87"/>
      <c r="U52" s="87"/>
      <c r="V52" s="50"/>
    </row>
    <row r="53" spans="1:22">
      <c r="J53" s="80"/>
      <c r="V53" s="50"/>
    </row>
    <row r="54" spans="1:22" ht="15.75" thickBot="1">
      <c r="A54" s="4" t="s">
        <v>112</v>
      </c>
      <c r="B54" s="4"/>
      <c r="C54" s="4"/>
      <c r="D54" s="4"/>
      <c r="V54" s="50"/>
    </row>
    <row r="55" spans="1:22" ht="15.75" thickBot="1">
      <c r="A55" s="72" t="s">
        <v>86</v>
      </c>
      <c r="B55" s="73"/>
      <c r="C55" s="73"/>
      <c r="D55" s="73"/>
      <c r="E55" s="83">
        <f t="shared" ref="E55:U55" si="14">E2</f>
        <v>2018</v>
      </c>
      <c r="F55" s="83">
        <f t="shared" si="14"/>
        <v>2019</v>
      </c>
      <c r="G55" s="83">
        <f t="shared" si="14"/>
        <v>2020</v>
      </c>
      <c r="H55" s="83">
        <f t="shared" si="14"/>
        <v>2021</v>
      </c>
      <c r="I55" s="83">
        <f t="shared" si="14"/>
        <v>2022</v>
      </c>
      <c r="J55" s="83">
        <f t="shared" si="14"/>
        <v>2023</v>
      </c>
      <c r="K55" s="83">
        <f t="shared" si="14"/>
        <v>2024</v>
      </c>
      <c r="L55" s="83">
        <f t="shared" si="14"/>
        <v>2025</v>
      </c>
      <c r="M55" s="83">
        <f t="shared" si="14"/>
        <v>2026</v>
      </c>
      <c r="N55" s="83">
        <f t="shared" si="14"/>
        <v>2027</v>
      </c>
      <c r="O55" s="83">
        <f t="shared" si="14"/>
        <v>2028</v>
      </c>
      <c r="P55" s="83">
        <f t="shared" si="14"/>
        <v>2029</v>
      </c>
      <c r="Q55" s="83">
        <f t="shared" si="14"/>
        <v>2030</v>
      </c>
      <c r="R55" s="83">
        <f t="shared" si="14"/>
        <v>2031</v>
      </c>
      <c r="S55" s="83">
        <f t="shared" si="14"/>
        <v>2032</v>
      </c>
      <c r="T55" s="83">
        <f t="shared" si="14"/>
        <v>2033</v>
      </c>
      <c r="U55" s="83">
        <f t="shared" si="14"/>
        <v>2034</v>
      </c>
      <c r="V55" s="50"/>
    </row>
    <row r="56" spans="1:22">
      <c r="A56" s="5" t="s">
        <v>98</v>
      </c>
      <c r="E56" s="84"/>
      <c r="F56" s="84"/>
      <c r="G56" s="84"/>
      <c r="H56" s="84"/>
      <c r="I56" s="84"/>
      <c r="J56" s="84"/>
      <c r="K56" s="84"/>
      <c r="L56" s="85"/>
      <c r="M56" s="85"/>
      <c r="N56" s="85"/>
      <c r="O56" s="85"/>
      <c r="P56" s="85"/>
      <c r="Q56" s="85"/>
      <c r="R56" s="85"/>
      <c r="S56" s="85"/>
      <c r="T56" s="85"/>
      <c r="U56" s="85"/>
      <c r="V56" s="50"/>
    </row>
    <row r="57" spans="1:22">
      <c r="A57" s="5" t="s">
        <v>99</v>
      </c>
      <c r="E57" s="84"/>
      <c r="F57" s="84"/>
      <c r="G57" s="84"/>
      <c r="H57" s="84"/>
      <c r="I57" s="84"/>
      <c r="J57" s="84"/>
      <c r="K57" s="84"/>
      <c r="L57" s="85"/>
      <c r="M57" s="85"/>
      <c r="N57" s="85"/>
      <c r="O57" s="85"/>
      <c r="P57" s="85"/>
      <c r="Q57" s="85"/>
      <c r="R57" s="85"/>
      <c r="S57" s="85"/>
      <c r="T57" s="85"/>
      <c r="U57" s="85"/>
      <c r="V57" s="50"/>
    </row>
    <row r="58" spans="1:22">
      <c r="A58" s="5" t="s">
        <v>100</v>
      </c>
      <c r="E58" s="84"/>
      <c r="F58" s="84"/>
      <c r="G58" s="84"/>
      <c r="H58" s="84"/>
      <c r="I58" s="84"/>
      <c r="J58" s="84"/>
      <c r="K58" s="84"/>
      <c r="L58" s="85"/>
      <c r="M58" s="85"/>
      <c r="N58" s="85"/>
      <c r="O58" s="85"/>
      <c r="P58" s="85"/>
      <c r="Q58" s="85"/>
      <c r="R58" s="85"/>
      <c r="S58" s="85"/>
      <c r="T58" s="85"/>
      <c r="U58" s="85"/>
      <c r="V58" s="50"/>
    </row>
    <row r="59" spans="1:22">
      <c r="A59" s="5" t="s">
        <v>101</v>
      </c>
      <c r="E59" s="84"/>
      <c r="F59" s="84"/>
      <c r="G59" s="84"/>
      <c r="H59" s="84"/>
      <c r="I59" s="84"/>
      <c r="J59" s="84"/>
      <c r="K59" s="84"/>
      <c r="L59" s="85"/>
      <c r="M59" s="85"/>
      <c r="N59" s="85"/>
      <c r="O59" s="85"/>
      <c r="P59" s="85"/>
      <c r="Q59" s="85"/>
      <c r="R59" s="85"/>
      <c r="S59" s="85"/>
      <c r="T59" s="85"/>
      <c r="U59" s="85"/>
      <c r="V59" s="50"/>
    </row>
    <row r="60" spans="1:22">
      <c r="A60" s="5" t="s">
        <v>102</v>
      </c>
      <c r="E60" s="84"/>
      <c r="F60" s="84"/>
      <c r="G60" s="84"/>
      <c r="H60" s="84"/>
      <c r="I60" s="84"/>
      <c r="J60" s="84"/>
      <c r="K60" s="85"/>
      <c r="L60" s="85"/>
      <c r="M60" s="85"/>
      <c r="N60" s="85"/>
      <c r="O60" s="85"/>
      <c r="P60" s="85"/>
      <c r="Q60" s="85"/>
      <c r="R60" s="85"/>
      <c r="S60" s="85"/>
      <c r="T60" s="85"/>
      <c r="U60" s="85"/>
      <c r="V60" s="50"/>
    </row>
    <row r="61" spans="1:22">
      <c r="A61" s="5" t="s">
        <v>103</v>
      </c>
      <c r="E61" s="84"/>
      <c r="F61" s="84"/>
      <c r="G61" s="84"/>
      <c r="H61" s="84"/>
      <c r="I61" s="84"/>
      <c r="J61" s="84"/>
      <c r="K61" s="85"/>
      <c r="L61" s="85"/>
      <c r="M61" s="85"/>
      <c r="N61" s="85"/>
      <c r="O61" s="85"/>
      <c r="P61" s="85"/>
      <c r="Q61" s="85"/>
      <c r="R61" s="85"/>
      <c r="S61" s="85"/>
      <c r="T61" s="85"/>
      <c r="U61" s="85"/>
      <c r="V61" s="50"/>
    </row>
    <row r="62" spans="1:22">
      <c r="A62" s="5" t="s">
        <v>104</v>
      </c>
      <c r="E62" s="84"/>
      <c r="F62" s="84"/>
      <c r="G62" s="84"/>
      <c r="H62" s="84"/>
      <c r="I62" s="84"/>
      <c r="J62" s="84"/>
      <c r="K62" s="85"/>
      <c r="L62" s="85"/>
      <c r="M62" s="85"/>
      <c r="N62" s="85"/>
      <c r="O62" s="85"/>
      <c r="P62" s="85"/>
      <c r="Q62" s="85"/>
      <c r="R62" s="85"/>
      <c r="S62" s="85"/>
      <c r="T62" s="85"/>
      <c r="U62" s="85"/>
      <c r="V62" s="50"/>
    </row>
    <row r="63" spans="1:22">
      <c r="A63" s="5" t="s">
        <v>105</v>
      </c>
      <c r="E63" s="84"/>
      <c r="F63" s="84"/>
      <c r="G63" s="84"/>
      <c r="H63" s="84"/>
      <c r="I63" s="84"/>
      <c r="J63" s="84"/>
      <c r="K63" s="85"/>
      <c r="L63" s="85"/>
      <c r="M63" s="85"/>
      <c r="N63" s="85"/>
      <c r="O63" s="85"/>
      <c r="P63" s="85"/>
      <c r="Q63" s="85"/>
      <c r="R63" s="85"/>
      <c r="S63" s="85"/>
      <c r="T63" s="85"/>
      <c r="U63" s="85"/>
      <c r="V63" s="50"/>
    </row>
    <row r="64" spans="1:22">
      <c r="A64" s="5" t="s">
        <v>106</v>
      </c>
      <c r="E64" s="84"/>
      <c r="F64" s="84"/>
      <c r="G64" s="84"/>
      <c r="H64" s="84"/>
      <c r="I64" s="84"/>
      <c r="J64" s="84"/>
      <c r="K64" s="85"/>
      <c r="L64" s="85"/>
      <c r="M64" s="85"/>
      <c r="N64" s="85"/>
      <c r="O64" s="85"/>
      <c r="P64" s="85"/>
      <c r="Q64" s="85"/>
      <c r="R64" s="85"/>
      <c r="S64" s="85"/>
      <c r="T64" s="85"/>
      <c r="U64" s="85"/>
      <c r="V64" s="50"/>
    </row>
    <row r="65" spans="1:22">
      <c r="A65" s="5" t="s">
        <v>107</v>
      </c>
      <c r="E65" s="84"/>
      <c r="F65" s="84"/>
      <c r="G65" s="84"/>
      <c r="H65" s="84"/>
      <c r="I65" s="84"/>
      <c r="J65" s="84"/>
      <c r="K65" s="85"/>
      <c r="L65" s="85"/>
      <c r="M65" s="85"/>
      <c r="N65" s="85"/>
      <c r="O65" s="85"/>
      <c r="P65" s="85"/>
      <c r="Q65" s="85"/>
      <c r="R65" s="85"/>
      <c r="S65" s="85"/>
      <c r="T65" s="85"/>
      <c r="U65" s="85"/>
      <c r="V65" s="50"/>
    </row>
    <row r="66" spans="1:22">
      <c r="A66" s="5" t="s">
        <v>108</v>
      </c>
      <c r="E66" s="84"/>
      <c r="F66" s="84"/>
      <c r="G66" s="84"/>
      <c r="H66" s="84"/>
      <c r="I66" s="84"/>
      <c r="J66" s="84"/>
      <c r="K66" s="85"/>
      <c r="L66" s="85"/>
      <c r="M66" s="85"/>
      <c r="N66" s="85"/>
      <c r="O66" s="85"/>
      <c r="P66" s="85"/>
      <c r="Q66" s="85"/>
      <c r="R66" s="85"/>
      <c r="S66" s="85"/>
      <c r="T66" s="85"/>
      <c r="U66" s="85"/>
      <c r="V66" s="50"/>
    </row>
    <row r="67" spans="1:22">
      <c r="A67" s="5" t="s">
        <v>109</v>
      </c>
      <c r="E67" s="84"/>
      <c r="F67" s="84"/>
      <c r="G67" s="84"/>
      <c r="H67" s="84"/>
      <c r="I67" s="84"/>
      <c r="J67" s="84"/>
      <c r="K67" s="85"/>
      <c r="L67" s="85"/>
      <c r="M67" s="85"/>
      <c r="N67" s="85"/>
      <c r="O67" s="85"/>
      <c r="P67" s="85"/>
      <c r="Q67" s="85"/>
      <c r="R67" s="85"/>
      <c r="S67" s="85"/>
      <c r="T67" s="85"/>
      <c r="U67" s="85"/>
      <c r="V67" s="50"/>
    </row>
    <row r="68" spans="1:22">
      <c r="A68" s="77" t="s">
        <v>110</v>
      </c>
      <c r="B68" s="77"/>
      <c r="C68" s="77"/>
      <c r="D68" s="77"/>
      <c r="E68" s="86">
        <f t="shared" ref="E68:U68" si="15">SUM(E56:E67)</f>
        <v>0</v>
      </c>
      <c r="F68" s="86">
        <f t="shared" si="15"/>
        <v>0</v>
      </c>
      <c r="G68" s="86">
        <f t="shared" si="15"/>
        <v>0</v>
      </c>
      <c r="H68" s="86">
        <f t="shared" si="15"/>
        <v>0</v>
      </c>
      <c r="I68" s="86">
        <f t="shared" si="15"/>
        <v>0</v>
      </c>
      <c r="J68" s="86">
        <f t="shared" si="15"/>
        <v>0</v>
      </c>
      <c r="K68" s="86">
        <f t="shared" si="15"/>
        <v>0</v>
      </c>
      <c r="L68" s="86">
        <f t="shared" si="15"/>
        <v>0</v>
      </c>
      <c r="M68" s="86">
        <f t="shared" si="15"/>
        <v>0</v>
      </c>
      <c r="N68" s="86">
        <f t="shared" si="15"/>
        <v>0</v>
      </c>
      <c r="O68" s="86">
        <f t="shared" si="15"/>
        <v>0</v>
      </c>
      <c r="P68" s="86">
        <f t="shared" si="15"/>
        <v>0</v>
      </c>
      <c r="Q68" s="86">
        <f t="shared" si="15"/>
        <v>0</v>
      </c>
      <c r="R68" s="86">
        <f t="shared" si="15"/>
        <v>0</v>
      </c>
      <c r="S68" s="86">
        <f t="shared" si="15"/>
        <v>0</v>
      </c>
      <c r="T68" s="86">
        <f t="shared" si="15"/>
        <v>0</v>
      </c>
      <c r="U68" s="86">
        <f t="shared" si="15"/>
        <v>0</v>
      </c>
      <c r="V68" s="50"/>
    </row>
    <row r="69" spans="1:22">
      <c r="A69" s="88"/>
      <c r="B69" s="88"/>
      <c r="C69" s="88"/>
      <c r="D69" s="88"/>
      <c r="E69" s="88"/>
      <c r="F69" s="88"/>
      <c r="G69" s="88"/>
      <c r="H69" s="88"/>
      <c r="I69" s="88"/>
      <c r="J69" s="89"/>
      <c r="K69" s="88"/>
      <c r="L69" s="88"/>
      <c r="M69" s="88"/>
      <c r="N69" s="88"/>
      <c r="O69" s="88"/>
      <c r="P69" s="88"/>
      <c r="Q69" s="88"/>
      <c r="R69" s="88"/>
      <c r="S69" s="88"/>
      <c r="T69" s="88"/>
      <c r="U69" s="88"/>
      <c r="V69" s="50"/>
    </row>
    <row r="70" spans="1:22" ht="15.75" thickBot="1">
      <c r="A70" s="4" t="s">
        <v>113</v>
      </c>
      <c r="B70" s="4"/>
      <c r="C70" s="4"/>
      <c r="D70" s="4"/>
      <c r="V70" s="50"/>
    </row>
    <row r="71" spans="1:22" ht="15.75" thickBot="1">
      <c r="A71" s="72" t="s">
        <v>86</v>
      </c>
      <c r="B71" s="73"/>
      <c r="C71" s="73"/>
      <c r="D71" s="73"/>
      <c r="E71" s="73">
        <f t="shared" ref="E71:U71" si="16">E2</f>
        <v>2018</v>
      </c>
      <c r="F71" s="73">
        <f t="shared" si="16"/>
        <v>2019</v>
      </c>
      <c r="G71" s="73">
        <f t="shared" si="16"/>
        <v>2020</v>
      </c>
      <c r="H71" s="73">
        <f t="shared" si="16"/>
        <v>2021</v>
      </c>
      <c r="I71" s="73">
        <f t="shared" si="16"/>
        <v>2022</v>
      </c>
      <c r="J71" s="73">
        <f t="shared" si="16"/>
        <v>2023</v>
      </c>
      <c r="K71" s="73">
        <f t="shared" si="16"/>
        <v>2024</v>
      </c>
      <c r="L71" s="73">
        <f t="shared" si="16"/>
        <v>2025</v>
      </c>
      <c r="M71" s="73">
        <f t="shared" si="16"/>
        <v>2026</v>
      </c>
      <c r="N71" s="73">
        <f t="shared" si="16"/>
        <v>2027</v>
      </c>
      <c r="O71" s="73">
        <f t="shared" si="16"/>
        <v>2028</v>
      </c>
      <c r="P71" s="73">
        <f t="shared" si="16"/>
        <v>2029</v>
      </c>
      <c r="Q71" s="73">
        <f t="shared" si="16"/>
        <v>2030</v>
      </c>
      <c r="R71" s="73">
        <f t="shared" si="16"/>
        <v>2031</v>
      </c>
      <c r="S71" s="73">
        <f t="shared" si="16"/>
        <v>2032</v>
      </c>
      <c r="T71" s="73">
        <f t="shared" si="16"/>
        <v>2033</v>
      </c>
      <c r="U71" s="73">
        <f t="shared" si="16"/>
        <v>2034</v>
      </c>
      <c r="V71" s="50"/>
    </row>
    <row r="72" spans="1:22">
      <c r="A72" s="5" t="s">
        <v>98</v>
      </c>
      <c r="E72" s="90"/>
      <c r="F72" s="90"/>
      <c r="G72" s="90"/>
      <c r="H72" s="90"/>
      <c r="I72" s="90"/>
      <c r="J72" s="90"/>
      <c r="K72" s="90"/>
      <c r="L72" s="91"/>
      <c r="M72" s="91"/>
      <c r="N72" s="91"/>
      <c r="O72" s="91"/>
      <c r="P72" s="91"/>
      <c r="Q72" s="91"/>
      <c r="R72" s="91"/>
      <c r="S72" s="91"/>
      <c r="T72" s="91"/>
      <c r="U72" s="91"/>
      <c r="V72" s="50"/>
    </row>
    <row r="73" spans="1:22">
      <c r="A73" s="5" t="s">
        <v>99</v>
      </c>
      <c r="E73" s="90"/>
      <c r="F73" s="90"/>
      <c r="G73" s="90"/>
      <c r="H73" s="90"/>
      <c r="I73" s="90"/>
      <c r="J73" s="90"/>
      <c r="K73" s="90"/>
      <c r="L73" s="91"/>
      <c r="M73" s="91"/>
      <c r="N73" s="91"/>
      <c r="O73" s="91"/>
      <c r="P73" s="91"/>
      <c r="Q73" s="91"/>
      <c r="R73" s="91"/>
      <c r="S73" s="91"/>
      <c r="T73" s="91"/>
      <c r="U73" s="91"/>
      <c r="V73" s="50"/>
    </row>
    <row r="74" spans="1:22">
      <c r="A74" s="5" t="s">
        <v>100</v>
      </c>
      <c r="E74" s="90"/>
      <c r="F74" s="90"/>
      <c r="G74" s="90"/>
      <c r="H74" s="90"/>
      <c r="I74" s="90"/>
      <c r="J74" s="90"/>
      <c r="K74" s="90"/>
      <c r="L74" s="91"/>
      <c r="M74" s="91"/>
      <c r="N74" s="91"/>
      <c r="O74" s="91"/>
      <c r="P74" s="91"/>
      <c r="Q74" s="91"/>
      <c r="R74" s="91"/>
      <c r="S74" s="91"/>
      <c r="T74" s="91"/>
      <c r="U74" s="91"/>
      <c r="V74" s="50"/>
    </row>
    <row r="75" spans="1:22">
      <c r="A75" s="5" t="s">
        <v>101</v>
      </c>
      <c r="E75" s="90"/>
      <c r="F75" s="90"/>
      <c r="G75" s="90"/>
      <c r="H75" s="90"/>
      <c r="I75" s="90"/>
      <c r="J75" s="90"/>
      <c r="K75" s="90"/>
      <c r="L75" s="91"/>
      <c r="M75" s="91"/>
      <c r="N75" s="91"/>
      <c r="O75" s="91"/>
      <c r="P75" s="91"/>
      <c r="Q75" s="91"/>
      <c r="R75" s="91"/>
      <c r="S75" s="91"/>
      <c r="T75" s="91"/>
      <c r="U75" s="91"/>
      <c r="V75" s="50"/>
    </row>
    <row r="76" spans="1:22">
      <c r="A76" s="5" t="s">
        <v>102</v>
      </c>
      <c r="E76" s="90"/>
      <c r="F76" s="90"/>
      <c r="G76" s="90"/>
      <c r="H76" s="90"/>
      <c r="I76" s="90"/>
      <c r="J76" s="90"/>
      <c r="K76" s="91"/>
      <c r="L76" s="91"/>
      <c r="M76" s="91"/>
      <c r="N76" s="91"/>
      <c r="O76" s="91"/>
      <c r="P76" s="91"/>
      <c r="Q76" s="91"/>
      <c r="R76" s="91"/>
      <c r="S76" s="91"/>
      <c r="T76" s="91"/>
      <c r="U76" s="91"/>
      <c r="V76" s="50"/>
    </row>
    <row r="77" spans="1:22">
      <c r="A77" s="5" t="s">
        <v>103</v>
      </c>
      <c r="E77" s="90"/>
      <c r="F77" s="90"/>
      <c r="G77" s="90"/>
      <c r="H77" s="90"/>
      <c r="I77" s="90"/>
      <c r="J77" s="90"/>
      <c r="K77" s="91"/>
      <c r="L77" s="91"/>
      <c r="M77" s="91"/>
      <c r="N77" s="91"/>
      <c r="O77" s="91"/>
      <c r="P77" s="91"/>
      <c r="Q77" s="91"/>
      <c r="R77" s="91"/>
      <c r="S77" s="91"/>
      <c r="T77" s="91"/>
      <c r="U77" s="91"/>
      <c r="V77" s="50"/>
    </row>
    <row r="78" spans="1:22">
      <c r="A78" s="5" t="s">
        <v>104</v>
      </c>
      <c r="E78" s="90"/>
      <c r="F78" s="90"/>
      <c r="G78" s="90"/>
      <c r="H78" s="90"/>
      <c r="I78" s="90"/>
      <c r="J78" s="90"/>
      <c r="K78" s="91"/>
      <c r="L78" s="91"/>
      <c r="M78" s="91"/>
      <c r="N78" s="91"/>
      <c r="O78" s="91"/>
      <c r="P78" s="91"/>
      <c r="Q78" s="91"/>
      <c r="R78" s="91"/>
      <c r="S78" s="91"/>
      <c r="T78" s="91"/>
      <c r="U78" s="91"/>
      <c r="V78" s="50"/>
    </row>
    <row r="79" spans="1:22">
      <c r="A79" s="5" t="s">
        <v>105</v>
      </c>
      <c r="E79" s="90"/>
      <c r="F79" s="90"/>
      <c r="G79" s="90"/>
      <c r="H79" s="90"/>
      <c r="I79" s="90"/>
      <c r="J79" s="90"/>
      <c r="K79" s="91"/>
      <c r="L79" s="91"/>
      <c r="M79" s="91"/>
      <c r="N79" s="91"/>
      <c r="O79" s="91"/>
      <c r="P79" s="91"/>
      <c r="Q79" s="91"/>
      <c r="R79" s="91"/>
      <c r="S79" s="91"/>
      <c r="T79" s="91"/>
      <c r="U79" s="91"/>
      <c r="V79" s="50"/>
    </row>
    <row r="80" spans="1:22">
      <c r="A80" s="5" t="s">
        <v>106</v>
      </c>
      <c r="E80" s="90"/>
      <c r="F80" s="90"/>
      <c r="G80" s="90"/>
      <c r="H80" s="90"/>
      <c r="I80" s="90"/>
      <c r="J80" s="90"/>
      <c r="K80" s="91"/>
      <c r="L80" s="91"/>
      <c r="M80" s="91"/>
      <c r="N80" s="91"/>
      <c r="O80" s="91"/>
      <c r="P80" s="91"/>
      <c r="Q80" s="91"/>
      <c r="R80" s="91"/>
      <c r="S80" s="91"/>
      <c r="T80" s="91"/>
      <c r="U80" s="91"/>
      <c r="V80" s="50"/>
    </row>
    <row r="81" spans="1:22">
      <c r="A81" s="5" t="s">
        <v>107</v>
      </c>
      <c r="E81" s="90"/>
      <c r="F81" s="90"/>
      <c r="G81" s="90"/>
      <c r="H81" s="90"/>
      <c r="I81" s="90"/>
      <c r="J81" s="90"/>
      <c r="K81" s="91"/>
      <c r="L81" s="91"/>
      <c r="M81" s="91"/>
      <c r="N81" s="91"/>
      <c r="O81" s="91"/>
      <c r="P81" s="91"/>
      <c r="Q81" s="91"/>
      <c r="R81" s="91"/>
      <c r="S81" s="91"/>
      <c r="T81" s="91"/>
      <c r="U81" s="91"/>
      <c r="V81" s="50"/>
    </row>
    <row r="82" spans="1:22">
      <c r="A82" s="5" t="s">
        <v>108</v>
      </c>
      <c r="E82" s="90"/>
      <c r="F82" s="90"/>
      <c r="G82" s="90"/>
      <c r="H82" s="90"/>
      <c r="I82" s="90"/>
      <c r="J82" s="90"/>
      <c r="K82" s="91"/>
      <c r="L82" s="91"/>
      <c r="M82" s="91"/>
      <c r="N82" s="91"/>
      <c r="O82" s="91"/>
      <c r="P82" s="91"/>
      <c r="Q82" s="91"/>
      <c r="R82" s="91"/>
      <c r="S82" s="91"/>
      <c r="T82" s="91"/>
      <c r="U82" s="91"/>
      <c r="V82" s="50"/>
    </row>
    <row r="83" spans="1:22">
      <c r="A83" s="5" t="s">
        <v>109</v>
      </c>
      <c r="E83" s="90"/>
      <c r="F83" s="90"/>
      <c r="G83" s="90"/>
      <c r="H83" s="90"/>
      <c r="I83" s="90"/>
      <c r="J83" s="90"/>
      <c r="K83" s="91"/>
      <c r="L83" s="91"/>
      <c r="M83" s="91"/>
      <c r="N83" s="91"/>
      <c r="O83" s="91"/>
      <c r="P83" s="91"/>
      <c r="Q83" s="91"/>
      <c r="R83" s="91"/>
      <c r="S83" s="91"/>
      <c r="T83" s="91"/>
      <c r="U83" s="91"/>
      <c r="V83" s="50"/>
    </row>
    <row r="84" spans="1:22">
      <c r="A84" s="77" t="s">
        <v>110</v>
      </c>
      <c r="B84" s="77"/>
      <c r="C84" s="77"/>
      <c r="D84" s="77"/>
      <c r="E84" s="78"/>
      <c r="F84" s="78"/>
      <c r="G84" s="78"/>
      <c r="H84" s="78"/>
      <c r="I84" s="78"/>
      <c r="J84" s="78"/>
      <c r="K84" s="79"/>
      <c r="L84" s="79"/>
      <c r="M84" s="79"/>
      <c r="N84" s="79"/>
      <c r="O84" s="79"/>
      <c r="P84" s="79"/>
      <c r="Q84" s="79"/>
      <c r="R84" s="79"/>
      <c r="S84" s="79"/>
      <c r="T84" s="79"/>
      <c r="U84" s="79"/>
      <c r="V84" s="50"/>
    </row>
    <row r="85" spans="1:22">
      <c r="J85" s="80"/>
      <c r="V85" s="50"/>
    </row>
    <row r="86" spans="1:22" ht="15.75" thickBot="1">
      <c r="A86" s="4" t="s">
        <v>114</v>
      </c>
      <c r="B86" s="4"/>
      <c r="C86" s="4"/>
      <c r="D86" s="4"/>
      <c r="E86" s="71"/>
      <c r="F86" s="71"/>
      <c r="G86" s="71"/>
      <c r="H86" s="71"/>
      <c r="I86" s="71"/>
      <c r="J86" s="92"/>
      <c r="K86" s="71"/>
      <c r="L86" s="71"/>
      <c r="M86" s="71"/>
      <c r="N86" s="71"/>
      <c r="O86" s="71"/>
      <c r="P86" s="71"/>
      <c r="Q86" s="71"/>
      <c r="R86" s="71"/>
      <c r="S86" s="71"/>
      <c r="T86" s="71"/>
      <c r="U86" s="71"/>
      <c r="V86" s="50"/>
    </row>
    <row r="87" spans="1:22" ht="15.75" thickBot="1">
      <c r="A87" s="72" t="s">
        <v>86</v>
      </c>
      <c r="B87" s="73"/>
      <c r="C87" s="73"/>
      <c r="D87" s="73"/>
      <c r="E87" s="83">
        <f t="shared" ref="E87:U87" si="17">E2</f>
        <v>2018</v>
      </c>
      <c r="F87" s="83">
        <f t="shared" si="17"/>
        <v>2019</v>
      </c>
      <c r="G87" s="83">
        <f t="shared" si="17"/>
        <v>2020</v>
      </c>
      <c r="H87" s="83">
        <f t="shared" si="17"/>
        <v>2021</v>
      </c>
      <c r="I87" s="83">
        <f t="shared" si="17"/>
        <v>2022</v>
      </c>
      <c r="J87" s="83">
        <f t="shared" si="17"/>
        <v>2023</v>
      </c>
      <c r="K87" s="83">
        <f t="shared" si="17"/>
        <v>2024</v>
      </c>
      <c r="L87" s="83">
        <f t="shared" si="17"/>
        <v>2025</v>
      </c>
      <c r="M87" s="83">
        <f t="shared" si="17"/>
        <v>2026</v>
      </c>
      <c r="N87" s="83">
        <f t="shared" si="17"/>
        <v>2027</v>
      </c>
      <c r="O87" s="83">
        <f t="shared" si="17"/>
        <v>2028</v>
      </c>
      <c r="P87" s="83">
        <f t="shared" si="17"/>
        <v>2029</v>
      </c>
      <c r="Q87" s="83">
        <f t="shared" si="17"/>
        <v>2030</v>
      </c>
      <c r="R87" s="83">
        <f t="shared" si="17"/>
        <v>2031</v>
      </c>
      <c r="S87" s="83">
        <f t="shared" si="17"/>
        <v>2032</v>
      </c>
      <c r="T87" s="83">
        <f t="shared" si="17"/>
        <v>2033</v>
      </c>
      <c r="U87" s="83">
        <f t="shared" si="17"/>
        <v>2034</v>
      </c>
      <c r="V87" s="50"/>
    </row>
    <row r="88" spans="1:22">
      <c r="A88" s="5" t="s">
        <v>98</v>
      </c>
      <c r="E88" s="84"/>
      <c r="F88" s="84"/>
      <c r="G88" s="84"/>
      <c r="H88" s="84"/>
      <c r="I88" s="84"/>
      <c r="J88" s="84"/>
      <c r="K88" s="84"/>
      <c r="L88" s="85"/>
      <c r="M88" s="85"/>
      <c r="N88" s="85"/>
      <c r="O88" s="85"/>
      <c r="P88" s="85"/>
      <c r="Q88" s="85"/>
      <c r="R88" s="85"/>
      <c r="S88" s="85"/>
      <c r="T88" s="85"/>
      <c r="U88" s="85"/>
      <c r="V88" s="50"/>
    </row>
    <row r="89" spans="1:22">
      <c r="A89" s="5" t="s">
        <v>99</v>
      </c>
      <c r="E89" s="84"/>
      <c r="F89" s="84"/>
      <c r="G89" s="84"/>
      <c r="H89" s="84"/>
      <c r="I89" s="84"/>
      <c r="J89" s="84"/>
      <c r="K89" s="84"/>
      <c r="L89" s="85"/>
      <c r="M89" s="85"/>
      <c r="N89" s="85"/>
      <c r="O89" s="85"/>
      <c r="P89" s="85"/>
      <c r="Q89" s="85"/>
      <c r="R89" s="85"/>
      <c r="S89" s="85"/>
      <c r="T89" s="85"/>
      <c r="U89" s="85"/>
      <c r="V89" s="50"/>
    </row>
    <row r="90" spans="1:22">
      <c r="A90" s="5" t="s">
        <v>100</v>
      </c>
      <c r="E90" s="84"/>
      <c r="F90" s="84"/>
      <c r="G90" s="84"/>
      <c r="H90" s="84"/>
      <c r="I90" s="84"/>
      <c r="J90" s="84"/>
      <c r="K90" s="84"/>
      <c r="L90" s="85"/>
      <c r="M90" s="85"/>
      <c r="N90" s="85"/>
      <c r="O90" s="85"/>
      <c r="P90" s="85"/>
      <c r="Q90" s="85"/>
      <c r="R90" s="85"/>
      <c r="S90" s="85"/>
      <c r="T90" s="85"/>
      <c r="U90" s="85"/>
      <c r="V90" s="50"/>
    </row>
    <row r="91" spans="1:22">
      <c r="A91" s="5" t="s">
        <v>101</v>
      </c>
      <c r="E91" s="84"/>
      <c r="F91" s="84"/>
      <c r="G91" s="84"/>
      <c r="H91" s="84"/>
      <c r="I91" s="84"/>
      <c r="J91" s="84"/>
      <c r="K91" s="84"/>
      <c r="L91" s="85"/>
      <c r="M91" s="85"/>
      <c r="N91" s="85"/>
      <c r="O91" s="85"/>
      <c r="P91" s="85"/>
      <c r="Q91" s="85"/>
      <c r="R91" s="85"/>
      <c r="S91" s="85"/>
      <c r="T91" s="85"/>
      <c r="U91" s="85"/>
      <c r="V91" s="50"/>
    </row>
    <row r="92" spans="1:22">
      <c r="A92" s="5" t="s">
        <v>102</v>
      </c>
      <c r="E92" s="84"/>
      <c r="F92" s="84"/>
      <c r="G92" s="84"/>
      <c r="H92" s="84"/>
      <c r="I92" s="84"/>
      <c r="J92" s="84"/>
      <c r="K92" s="85"/>
      <c r="L92" s="85"/>
      <c r="M92" s="85"/>
      <c r="N92" s="85"/>
      <c r="O92" s="85"/>
      <c r="P92" s="85"/>
      <c r="Q92" s="85"/>
      <c r="R92" s="85"/>
      <c r="S92" s="85"/>
      <c r="T92" s="85"/>
      <c r="U92" s="85"/>
      <c r="V92" s="50"/>
    </row>
    <row r="93" spans="1:22">
      <c r="A93" s="5" t="s">
        <v>103</v>
      </c>
      <c r="E93" s="84"/>
      <c r="F93" s="84"/>
      <c r="G93" s="84"/>
      <c r="H93" s="84"/>
      <c r="I93" s="84"/>
      <c r="J93" s="84"/>
      <c r="K93" s="85"/>
      <c r="L93" s="85"/>
      <c r="M93" s="85"/>
      <c r="N93" s="85"/>
      <c r="O93" s="85"/>
      <c r="P93" s="85"/>
      <c r="Q93" s="85"/>
      <c r="R93" s="85"/>
      <c r="S93" s="85"/>
      <c r="T93" s="85"/>
      <c r="U93" s="85"/>
      <c r="V93" s="50"/>
    </row>
    <row r="94" spans="1:22">
      <c r="A94" s="5" t="s">
        <v>104</v>
      </c>
      <c r="E94" s="84"/>
      <c r="F94" s="84"/>
      <c r="G94" s="84"/>
      <c r="H94" s="84"/>
      <c r="I94" s="84"/>
      <c r="J94" s="84"/>
      <c r="K94" s="85"/>
      <c r="L94" s="85"/>
      <c r="M94" s="85"/>
      <c r="N94" s="85"/>
      <c r="O94" s="85"/>
      <c r="P94" s="85"/>
      <c r="Q94" s="85"/>
      <c r="R94" s="85"/>
      <c r="S94" s="85"/>
      <c r="T94" s="85"/>
      <c r="U94" s="85"/>
      <c r="V94" s="50"/>
    </row>
    <row r="95" spans="1:22">
      <c r="A95" s="5" t="s">
        <v>105</v>
      </c>
      <c r="E95" s="84"/>
      <c r="F95" s="84"/>
      <c r="G95" s="84"/>
      <c r="H95" s="84"/>
      <c r="I95" s="84"/>
      <c r="J95" s="84"/>
      <c r="K95" s="85"/>
      <c r="L95" s="85"/>
      <c r="M95" s="85"/>
      <c r="N95" s="85"/>
      <c r="O95" s="85"/>
      <c r="P95" s="85"/>
      <c r="Q95" s="85"/>
      <c r="R95" s="85"/>
      <c r="S95" s="85"/>
      <c r="T95" s="85"/>
      <c r="U95" s="85"/>
      <c r="V95" s="50"/>
    </row>
    <row r="96" spans="1:22">
      <c r="A96" s="5" t="s">
        <v>106</v>
      </c>
      <c r="E96" s="84"/>
      <c r="F96" s="84"/>
      <c r="G96" s="84"/>
      <c r="H96" s="84"/>
      <c r="I96" s="84"/>
      <c r="J96" s="84"/>
      <c r="K96" s="85"/>
      <c r="L96" s="85"/>
      <c r="M96" s="85"/>
      <c r="N96" s="85"/>
      <c r="O96" s="85"/>
      <c r="P96" s="85"/>
      <c r="Q96" s="85"/>
      <c r="R96" s="85"/>
      <c r="S96" s="85"/>
      <c r="T96" s="85"/>
      <c r="U96" s="85"/>
      <c r="V96" s="50"/>
    </row>
    <row r="97" spans="1:22">
      <c r="A97" s="5" t="s">
        <v>107</v>
      </c>
      <c r="E97" s="84"/>
      <c r="F97" s="84"/>
      <c r="G97" s="84"/>
      <c r="H97" s="84"/>
      <c r="I97" s="84"/>
      <c r="J97" s="84"/>
      <c r="K97" s="85"/>
      <c r="L97" s="85"/>
      <c r="M97" s="85"/>
      <c r="N97" s="85"/>
      <c r="O97" s="85"/>
      <c r="P97" s="85"/>
      <c r="Q97" s="85"/>
      <c r="R97" s="85"/>
      <c r="S97" s="85"/>
      <c r="T97" s="85"/>
      <c r="U97" s="85"/>
      <c r="V97" s="50"/>
    </row>
    <row r="98" spans="1:22">
      <c r="A98" s="5" t="s">
        <v>108</v>
      </c>
      <c r="E98" s="84"/>
      <c r="F98" s="84"/>
      <c r="G98" s="84"/>
      <c r="H98" s="84"/>
      <c r="I98" s="84"/>
      <c r="J98" s="84"/>
      <c r="K98" s="85"/>
      <c r="L98" s="85"/>
      <c r="M98" s="85"/>
      <c r="N98" s="85"/>
      <c r="O98" s="85"/>
      <c r="P98" s="85"/>
      <c r="Q98" s="85"/>
      <c r="R98" s="85"/>
      <c r="S98" s="85"/>
      <c r="T98" s="85"/>
      <c r="U98" s="85"/>
      <c r="V98" s="50"/>
    </row>
    <row r="99" spans="1:22">
      <c r="A99" s="77" t="s">
        <v>109</v>
      </c>
      <c r="E99" s="84"/>
      <c r="F99" s="84"/>
      <c r="G99" s="84"/>
      <c r="H99" s="84"/>
      <c r="I99" s="84"/>
      <c r="J99" s="84"/>
      <c r="K99" s="85"/>
      <c r="L99" s="85"/>
      <c r="M99" s="85"/>
      <c r="N99" s="85"/>
      <c r="O99" s="85"/>
      <c r="P99" s="85"/>
      <c r="Q99" s="85"/>
      <c r="R99" s="85"/>
      <c r="S99" s="85"/>
      <c r="T99" s="85"/>
      <c r="U99" s="85"/>
      <c r="V99" s="50"/>
    </row>
    <row r="100" spans="1:22">
      <c r="A100" s="88"/>
      <c r="B100" s="88"/>
      <c r="C100" s="88"/>
      <c r="D100" s="88"/>
      <c r="E100" s="93"/>
      <c r="F100" s="93"/>
      <c r="G100" s="93"/>
      <c r="H100" s="93"/>
      <c r="I100" s="93"/>
      <c r="J100" s="94"/>
      <c r="K100" s="93"/>
      <c r="L100" s="93"/>
      <c r="M100" s="93"/>
      <c r="N100" s="93"/>
      <c r="O100" s="93"/>
      <c r="P100" s="93"/>
      <c r="Q100" s="93"/>
      <c r="R100" s="93"/>
      <c r="S100" s="93"/>
      <c r="T100" s="93"/>
      <c r="U100" s="93"/>
      <c r="V100" s="50"/>
    </row>
    <row r="101" spans="1:22" ht="15.75" thickBot="1">
      <c r="A101" s="4" t="s">
        <v>115</v>
      </c>
      <c r="B101" s="4"/>
      <c r="C101" s="4"/>
      <c r="D101" s="4"/>
      <c r="V101" s="50"/>
    </row>
    <row r="102" spans="1:22" ht="15.75" thickBot="1">
      <c r="A102" s="72" t="s">
        <v>86</v>
      </c>
      <c r="B102" s="73"/>
      <c r="C102" s="73"/>
      <c r="D102" s="73"/>
      <c r="E102" s="83">
        <f t="shared" ref="E102:T102" si="18">E2</f>
        <v>2018</v>
      </c>
      <c r="F102" s="83">
        <f t="shared" si="18"/>
        <v>2019</v>
      </c>
      <c r="G102" s="83">
        <f t="shared" si="18"/>
        <v>2020</v>
      </c>
      <c r="H102" s="83">
        <f t="shared" si="18"/>
        <v>2021</v>
      </c>
      <c r="I102" s="83">
        <f t="shared" si="18"/>
        <v>2022</v>
      </c>
      <c r="J102" s="83">
        <f t="shared" si="18"/>
        <v>2023</v>
      </c>
      <c r="K102" s="83">
        <f t="shared" si="18"/>
        <v>2024</v>
      </c>
      <c r="L102" s="83">
        <f t="shared" si="18"/>
        <v>2025</v>
      </c>
      <c r="M102" s="83">
        <f t="shared" si="18"/>
        <v>2026</v>
      </c>
      <c r="N102" s="83">
        <f t="shared" si="18"/>
        <v>2027</v>
      </c>
      <c r="O102" s="83">
        <f t="shared" si="18"/>
        <v>2028</v>
      </c>
      <c r="P102" s="83">
        <f t="shared" si="18"/>
        <v>2029</v>
      </c>
      <c r="Q102" s="83">
        <f t="shared" si="18"/>
        <v>2030</v>
      </c>
      <c r="R102" s="83">
        <f t="shared" si="18"/>
        <v>2031</v>
      </c>
      <c r="S102" s="83">
        <f t="shared" si="18"/>
        <v>2032</v>
      </c>
      <c r="T102" s="83">
        <f t="shared" si="18"/>
        <v>2033</v>
      </c>
      <c r="U102" s="83">
        <f>U2</f>
        <v>2034</v>
      </c>
      <c r="V102" s="50"/>
    </row>
    <row r="103" spans="1:22">
      <c r="A103" s="5" t="s">
        <v>98</v>
      </c>
      <c r="E103" s="95"/>
      <c r="F103" s="95"/>
      <c r="G103" s="95"/>
      <c r="H103" s="95"/>
      <c r="I103" s="95"/>
      <c r="J103" s="95"/>
      <c r="K103" s="95"/>
      <c r="L103" s="95"/>
      <c r="M103" s="95"/>
      <c r="N103" s="95"/>
      <c r="O103" s="95"/>
      <c r="P103" s="95"/>
      <c r="Q103" s="95"/>
      <c r="R103" s="95"/>
      <c r="S103" s="95"/>
      <c r="T103" s="95"/>
      <c r="U103" s="95"/>
      <c r="V103" s="50"/>
    </row>
    <row r="104" spans="1:22">
      <c r="A104" s="5" t="s">
        <v>99</v>
      </c>
      <c r="E104" s="95"/>
      <c r="F104" s="95"/>
      <c r="G104" s="95"/>
      <c r="H104" s="95"/>
      <c r="I104" s="95"/>
      <c r="J104" s="95"/>
      <c r="K104" s="95"/>
      <c r="L104" s="95"/>
      <c r="M104" s="95"/>
      <c r="N104" s="95"/>
      <c r="O104" s="95"/>
      <c r="P104" s="95"/>
      <c r="Q104" s="95"/>
      <c r="R104" s="95"/>
      <c r="S104" s="95"/>
      <c r="T104" s="95"/>
      <c r="U104" s="95"/>
      <c r="V104" s="50"/>
    </row>
    <row r="105" spans="1:22">
      <c r="A105" s="5" t="s">
        <v>100</v>
      </c>
      <c r="E105" s="95"/>
      <c r="F105" s="95"/>
      <c r="G105" s="95"/>
      <c r="H105" s="95"/>
      <c r="I105" s="95"/>
      <c r="J105" s="95"/>
      <c r="K105" s="95"/>
      <c r="L105" s="95"/>
      <c r="M105" s="95"/>
      <c r="N105" s="95"/>
      <c r="O105" s="95"/>
      <c r="P105" s="95"/>
      <c r="Q105" s="95"/>
      <c r="R105" s="95"/>
      <c r="S105" s="95"/>
      <c r="T105" s="95"/>
      <c r="U105" s="95"/>
      <c r="V105" s="50"/>
    </row>
    <row r="106" spans="1:22">
      <c r="A106" s="5" t="s">
        <v>101</v>
      </c>
      <c r="E106" s="95"/>
      <c r="F106" s="95"/>
      <c r="G106" s="95"/>
      <c r="H106" s="95"/>
      <c r="I106" s="95"/>
      <c r="J106" s="95"/>
      <c r="K106" s="95"/>
      <c r="L106" s="95"/>
      <c r="M106" s="95"/>
      <c r="N106" s="95"/>
      <c r="O106" s="95"/>
      <c r="P106" s="95"/>
      <c r="Q106" s="95"/>
      <c r="R106" s="95"/>
      <c r="S106" s="95"/>
      <c r="T106" s="95"/>
      <c r="U106" s="95"/>
      <c r="V106" s="50"/>
    </row>
    <row r="107" spans="1:22">
      <c r="A107" s="5" t="s">
        <v>102</v>
      </c>
      <c r="E107" s="95"/>
      <c r="F107" s="95"/>
      <c r="G107" s="95"/>
      <c r="H107" s="95"/>
      <c r="I107" s="95"/>
      <c r="J107" s="95"/>
      <c r="K107" s="95"/>
      <c r="L107" s="95"/>
      <c r="M107" s="95"/>
      <c r="N107" s="95"/>
      <c r="O107" s="95"/>
      <c r="P107" s="95"/>
      <c r="Q107" s="95"/>
      <c r="R107" s="95"/>
      <c r="S107" s="95"/>
      <c r="T107" s="95"/>
      <c r="U107" s="95"/>
      <c r="V107" s="50"/>
    </row>
    <row r="108" spans="1:22">
      <c r="A108" s="5" t="s">
        <v>103</v>
      </c>
      <c r="E108" s="95"/>
      <c r="F108" s="95"/>
      <c r="G108" s="95"/>
      <c r="H108" s="95"/>
      <c r="I108" s="95"/>
      <c r="J108" s="95"/>
      <c r="K108" s="95"/>
      <c r="L108" s="95"/>
      <c r="M108" s="95"/>
      <c r="N108" s="95"/>
      <c r="O108" s="95"/>
      <c r="P108" s="95"/>
      <c r="Q108" s="95"/>
      <c r="R108" s="95"/>
      <c r="S108" s="95"/>
      <c r="T108" s="95"/>
      <c r="U108" s="95"/>
      <c r="V108" s="50"/>
    </row>
    <row r="109" spans="1:22">
      <c r="A109" s="5" t="s">
        <v>104</v>
      </c>
      <c r="E109" s="95"/>
      <c r="F109" s="95"/>
      <c r="G109" s="95"/>
      <c r="H109" s="95"/>
      <c r="I109" s="95"/>
      <c r="J109" s="95"/>
      <c r="K109" s="95"/>
      <c r="L109" s="95"/>
      <c r="M109" s="95"/>
      <c r="N109" s="95"/>
      <c r="O109" s="95"/>
      <c r="P109" s="95"/>
      <c r="Q109" s="95"/>
      <c r="R109" s="95"/>
      <c r="S109" s="95"/>
      <c r="T109" s="95"/>
      <c r="U109" s="95"/>
    </row>
    <row r="110" spans="1:22">
      <c r="A110" s="5" t="s">
        <v>105</v>
      </c>
      <c r="E110" s="95"/>
      <c r="F110" s="95"/>
      <c r="G110" s="95"/>
      <c r="H110" s="95"/>
      <c r="I110" s="95"/>
      <c r="J110" s="95"/>
      <c r="K110" s="95"/>
      <c r="L110" s="95"/>
      <c r="M110" s="95"/>
      <c r="N110" s="95"/>
      <c r="O110" s="95"/>
      <c r="P110" s="95"/>
      <c r="Q110" s="95"/>
      <c r="R110" s="95"/>
      <c r="S110" s="95"/>
      <c r="T110" s="95"/>
      <c r="U110" s="95"/>
    </row>
    <row r="111" spans="1:22">
      <c r="A111" s="5" t="s">
        <v>106</v>
      </c>
      <c r="E111" s="95"/>
      <c r="F111" s="95"/>
      <c r="G111" s="95"/>
      <c r="H111" s="95"/>
      <c r="I111" s="95"/>
      <c r="J111" s="95"/>
      <c r="K111" s="95"/>
      <c r="L111" s="95"/>
      <c r="M111" s="95"/>
      <c r="N111" s="95"/>
      <c r="O111" s="95"/>
      <c r="P111" s="95"/>
      <c r="Q111" s="95"/>
      <c r="R111" s="95"/>
      <c r="S111" s="95"/>
      <c r="T111" s="95"/>
      <c r="U111" s="95"/>
    </row>
    <row r="112" spans="1:22">
      <c r="A112" s="5" t="s">
        <v>107</v>
      </c>
      <c r="E112" s="95"/>
      <c r="F112" s="95"/>
      <c r="G112" s="95"/>
      <c r="H112" s="95"/>
      <c r="I112" s="95"/>
      <c r="J112" s="95"/>
      <c r="K112" s="95"/>
      <c r="L112" s="95"/>
      <c r="M112" s="95"/>
      <c r="N112" s="95"/>
      <c r="O112" s="95"/>
      <c r="P112" s="95"/>
      <c r="Q112" s="95"/>
      <c r="R112" s="95"/>
      <c r="S112" s="95"/>
      <c r="T112" s="95"/>
      <c r="U112" s="95"/>
    </row>
    <row r="113" spans="1:21">
      <c r="A113" s="5" t="s">
        <v>108</v>
      </c>
      <c r="E113" s="95"/>
      <c r="F113" s="95"/>
      <c r="G113" s="95"/>
      <c r="H113" s="95"/>
      <c r="I113" s="95"/>
      <c r="J113" s="95"/>
      <c r="K113" s="95"/>
      <c r="L113" s="95"/>
      <c r="M113" s="95"/>
      <c r="N113" s="95"/>
      <c r="O113" s="95"/>
      <c r="P113" s="95"/>
      <c r="Q113" s="95"/>
      <c r="R113" s="95"/>
      <c r="S113" s="95"/>
      <c r="T113" s="95"/>
      <c r="U113" s="95"/>
    </row>
    <row r="114" spans="1:21">
      <c r="A114" s="5" t="s">
        <v>109</v>
      </c>
      <c r="E114" s="95"/>
      <c r="F114" s="95"/>
      <c r="G114" s="95"/>
      <c r="H114" s="95"/>
      <c r="I114" s="95"/>
      <c r="J114" s="95"/>
      <c r="K114" s="95"/>
      <c r="L114" s="95"/>
      <c r="M114" s="95"/>
      <c r="N114" s="95"/>
      <c r="O114" s="95"/>
      <c r="P114" s="95"/>
      <c r="Q114" s="95"/>
      <c r="R114" s="95"/>
      <c r="S114" s="95"/>
      <c r="T114" s="95"/>
      <c r="U114" s="95"/>
    </row>
    <row r="115" spans="1:21">
      <c r="A115" s="5" t="s">
        <v>116</v>
      </c>
      <c r="E115" s="95"/>
      <c r="F115" s="95"/>
      <c r="G115" s="95"/>
      <c r="H115" s="95"/>
      <c r="I115" s="95"/>
      <c r="J115" s="95"/>
      <c r="K115" s="95"/>
      <c r="L115" s="95"/>
      <c r="M115" s="95"/>
      <c r="N115" s="95"/>
      <c r="O115" s="95"/>
      <c r="P115" s="95"/>
      <c r="Q115" s="95"/>
      <c r="R115" s="95"/>
      <c r="S115" s="95"/>
      <c r="T115" s="95"/>
      <c r="U115" s="95"/>
    </row>
    <row r="116" spans="1:21">
      <c r="A116" s="88"/>
      <c r="B116" s="88"/>
      <c r="C116" s="88"/>
      <c r="D116" s="88"/>
      <c r="E116" s="88"/>
      <c r="F116" s="88"/>
      <c r="G116" s="88"/>
      <c r="H116" s="88"/>
      <c r="I116" s="88"/>
      <c r="J116" s="88"/>
      <c r="K116" s="88"/>
      <c r="L116" s="88"/>
      <c r="M116" s="88"/>
      <c r="N116" s="88"/>
      <c r="O116" s="88"/>
      <c r="P116" s="88"/>
      <c r="Q116" s="88"/>
      <c r="R116" s="88"/>
      <c r="S116" s="88"/>
      <c r="T116" s="88"/>
      <c r="U116" s="88"/>
    </row>
  </sheetData>
  <printOptions verticalCentered="1"/>
  <pageMargins left="0.2" right="0.2" top="0.25" bottom="0.25" header="0" footer="0.1"/>
  <pageSetup scale="52" orientation="landscape" r:id="rId1"/>
  <headerFooter>
    <oddFooter>&amp;L&amp;"Arial,Regular"&amp;10&amp;D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3DAF5-3ED6-45CC-9294-18B5A4D5D99A}">
  <sheetPr>
    <pageSetUpPr fitToPage="1"/>
  </sheetPr>
  <dimension ref="A1:U132"/>
  <sheetViews>
    <sheetView showGridLines="0" zoomScaleNormal="100" workbookViewId="0">
      <pane xSplit="1" ySplit="2" topLeftCell="B3" activePane="bottomRight" state="frozen"/>
      <selection activeCell="B4" sqref="B4"/>
      <selection pane="topRight" activeCell="B4" sqref="B4"/>
      <selection pane="bottomLeft" activeCell="B4" sqref="B4"/>
      <selection pane="bottomRight" activeCell="B4" sqref="B4"/>
    </sheetView>
  </sheetViews>
  <sheetFormatPr defaultColWidth="8.85546875" defaultRowHeight="15"/>
  <cols>
    <col min="1" max="1" width="35.85546875" style="5" customWidth="1"/>
    <col min="2" max="4" width="9.28515625" style="5" customWidth="1"/>
    <col min="5" max="9" width="9.28515625" style="71" customWidth="1"/>
    <col min="10" max="21" width="9.28515625" style="92" customWidth="1"/>
    <col min="22" max="16384" width="8.85546875" style="5"/>
  </cols>
  <sheetData>
    <row r="1" spans="1:21" ht="15.75" thickBot="1">
      <c r="A1" s="96" t="s">
        <v>117</v>
      </c>
      <c r="B1" s="97"/>
      <c r="C1" s="97"/>
      <c r="D1" s="97"/>
      <c r="E1" s="98"/>
      <c r="F1" s="98"/>
      <c r="G1" s="98"/>
      <c r="H1" s="98"/>
      <c r="I1" s="98"/>
      <c r="J1" s="99"/>
      <c r="K1" s="99"/>
      <c r="L1" s="99"/>
      <c r="M1" s="99"/>
      <c r="N1" s="99"/>
      <c r="O1" s="99"/>
      <c r="P1" s="99"/>
      <c r="Q1" s="99"/>
      <c r="R1" s="99"/>
      <c r="S1" s="99"/>
      <c r="T1" s="99"/>
      <c r="U1" s="99"/>
    </row>
    <row r="2" spans="1:21" ht="15.75" thickTop="1">
      <c r="A2" s="100" t="s">
        <v>86</v>
      </c>
      <c r="B2" s="101">
        <v>2015</v>
      </c>
      <c r="C2" s="101">
        <v>2016</v>
      </c>
      <c r="D2" s="101">
        <v>2017</v>
      </c>
      <c r="E2" s="101">
        <v>2018</v>
      </c>
      <c r="F2" s="101">
        <v>2019</v>
      </c>
      <c r="G2" s="101">
        <v>2020</v>
      </c>
      <c r="H2" s="101">
        <v>2021</v>
      </c>
      <c r="I2" s="101">
        <v>2022</v>
      </c>
      <c r="J2" s="101">
        <v>2023</v>
      </c>
      <c r="K2" s="101">
        <v>2024</v>
      </c>
      <c r="L2" s="101">
        <v>2025</v>
      </c>
      <c r="M2" s="101">
        <v>2026</v>
      </c>
      <c r="N2" s="101">
        <v>2027</v>
      </c>
      <c r="O2" s="101">
        <v>2028</v>
      </c>
      <c r="P2" s="101">
        <v>2029</v>
      </c>
      <c r="Q2" s="101">
        <v>2030</v>
      </c>
      <c r="R2" s="101">
        <v>2031</v>
      </c>
      <c r="S2" s="101">
        <v>2032</v>
      </c>
      <c r="T2" s="101">
        <v>2033</v>
      </c>
      <c r="U2" s="101">
        <v>2034</v>
      </c>
    </row>
    <row r="3" spans="1:21">
      <c r="A3" s="47" t="s">
        <v>87</v>
      </c>
      <c r="B3" s="47"/>
      <c r="C3" s="47"/>
      <c r="D3" s="47"/>
      <c r="E3" s="48" t="e">
        <f>#REF!</f>
        <v>#REF!</v>
      </c>
      <c r="F3" s="48" t="e">
        <f t="shared" ref="F3:U3" si="0">E10</f>
        <v>#REF!</v>
      </c>
      <c r="G3" s="48" t="e">
        <f t="shared" si="0"/>
        <v>#REF!</v>
      </c>
      <c r="H3" s="48" t="e">
        <f t="shared" si="0"/>
        <v>#REF!</v>
      </c>
      <c r="I3" s="48" t="e">
        <f t="shared" si="0"/>
        <v>#REF!</v>
      </c>
      <c r="J3" s="48" t="e">
        <f t="shared" si="0"/>
        <v>#REF!</v>
      </c>
      <c r="K3" s="48" t="e">
        <f t="shared" si="0"/>
        <v>#REF!</v>
      </c>
      <c r="L3" s="49" t="e">
        <f t="shared" si="0"/>
        <v>#REF!</v>
      </c>
      <c r="M3" s="49" t="e">
        <f t="shared" si="0"/>
        <v>#REF!</v>
      </c>
      <c r="N3" s="49" t="e">
        <f t="shared" si="0"/>
        <v>#REF!</v>
      </c>
      <c r="O3" s="49" t="e">
        <f t="shared" si="0"/>
        <v>#REF!</v>
      </c>
      <c r="P3" s="49" t="e">
        <f t="shared" si="0"/>
        <v>#REF!</v>
      </c>
      <c r="Q3" s="49" t="e">
        <f t="shared" si="0"/>
        <v>#REF!</v>
      </c>
      <c r="R3" s="49" t="e">
        <f t="shared" si="0"/>
        <v>#REF!</v>
      </c>
      <c r="S3" s="49" t="e">
        <f t="shared" si="0"/>
        <v>#REF!</v>
      </c>
      <c r="T3" s="49" t="e">
        <f t="shared" si="0"/>
        <v>#REF!</v>
      </c>
      <c r="U3" s="49" t="e">
        <f t="shared" si="0"/>
        <v>#REF!</v>
      </c>
    </row>
    <row r="4" spans="1:21">
      <c r="A4" s="47" t="s">
        <v>88</v>
      </c>
      <c r="B4" s="47"/>
      <c r="C4" s="47"/>
      <c r="D4" s="47"/>
      <c r="E4" s="48" t="e">
        <f t="shared" ref="E4:T4" si="1">E35</f>
        <v>#REF!</v>
      </c>
      <c r="F4" s="48" t="e">
        <f t="shared" si="1"/>
        <v>#REF!</v>
      </c>
      <c r="G4" s="48" t="e">
        <f t="shared" si="1"/>
        <v>#REF!</v>
      </c>
      <c r="H4" s="48" t="e">
        <f t="shared" si="1"/>
        <v>#REF!</v>
      </c>
      <c r="I4" s="48" t="e">
        <f t="shared" si="1"/>
        <v>#REF!</v>
      </c>
      <c r="J4" s="48" t="e">
        <f t="shared" si="1"/>
        <v>#REF!</v>
      </c>
      <c r="K4" s="49" t="e">
        <f t="shared" si="1"/>
        <v>#REF!</v>
      </c>
      <c r="L4" s="49">
        <f t="shared" si="1"/>
        <v>3255.9997504715043</v>
      </c>
      <c r="M4" s="49">
        <f t="shared" si="1"/>
        <v>3433.0302866647776</v>
      </c>
      <c r="N4" s="49">
        <f t="shared" si="1"/>
        <v>3599.0566532575631</v>
      </c>
      <c r="O4" s="49">
        <f t="shared" si="1"/>
        <v>3707.8426538927943</v>
      </c>
      <c r="P4" s="49">
        <f t="shared" si="1"/>
        <v>3829.6568561193108</v>
      </c>
      <c r="Q4" s="49">
        <f t="shared" si="1"/>
        <v>3624.8140370827464</v>
      </c>
      <c r="R4" s="49">
        <f t="shared" si="1"/>
        <v>4531.4709039924846</v>
      </c>
      <c r="S4" s="49">
        <f t="shared" si="1"/>
        <v>4791.1171213244879</v>
      </c>
      <c r="T4" s="49">
        <f t="shared" si="1"/>
        <v>5016.0621032273666</v>
      </c>
      <c r="U4" s="49">
        <f>U35</f>
        <v>5016.0621032273666</v>
      </c>
    </row>
    <row r="5" spans="1:21">
      <c r="A5" s="64" t="s">
        <v>89</v>
      </c>
      <c r="B5" s="64"/>
      <c r="C5" s="64"/>
      <c r="D5" s="64"/>
      <c r="E5" s="102" t="e">
        <f t="shared" ref="E5:J5" si="2">E51</f>
        <v>#REF!</v>
      </c>
      <c r="F5" s="102" t="e">
        <f t="shared" si="2"/>
        <v>#REF!</v>
      </c>
      <c r="G5" s="102" t="e">
        <f t="shared" si="2"/>
        <v>#REF!</v>
      </c>
      <c r="H5" s="102" t="e">
        <f t="shared" si="2"/>
        <v>#REF!</v>
      </c>
      <c r="I5" s="102" t="e">
        <f t="shared" si="2"/>
        <v>#REF!</v>
      </c>
      <c r="J5" s="102" t="e">
        <f t="shared" si="2"/>
        <v>#REF!</v>
      </c>
      <c r="K5" s="103">
        <v>349.56267637499985</v>
      </c>
      <c r="L5" s="103">
        <v>421.15943750000002</v>
      </c>
      <c r="M5" s="103">
        <v>398.80429651677764</v>
      </c>
      <c r="N5" s="103">
        <v>416.04805221663895</v>
      </c>
      <c r="O5" s="103">
        <v>405.49224265130454</v>
      </c>
      <c r="P5" s="103">
        <v>401.10003050100352</v>
      </c>
      <c r="Q5" s="103">
        <v>391.43646993157626</v>
      </c>
      <c r="R5" s="103">
        <v>373.25036963735784</v>
      </c>
      <c r="S5" s="103">
        <v>351.51251313369391</v>
      </c>
      <c r="T5" s="103">
        <v>331.17471653939884</v>
      </c>
      <c r="U5" s="103">
        <v>331.17471653939884</v>
      </c>
    </row>
    <row r="6" spans="1:21">
      <c r="A6" s="55" t="s">
        <v>90</v>
      </c>
      <c r="B6" s="55"/>
      <c r="C6" s="55"/>
      <c r="D6" s="55"/>
      <c r="E6" s="56" t="e">
        <f t="shared" ref="E6:T6" si="3">E3+E4+E5</f>
        <v>#REF!</v>
      </c>
      <c r="F6" s="56" t="e">
        <f t="shared" si="3"/>
        <v>#REF!</v>
      </c>
      <c r="G6" s="56" t="e">
        <f t="shared" si="3"/>
        <v>#REF!</v>
      </c>
      <c r="H6" s="56" t="e">
        <f t="shared" si="3"/>
        <v>#REF!</v>
      </c>
      <c r="I6" s="56" t="e">
        <f t="shared" si="3"/>
        <v>#REF!</v>
      </c>
      <c r="J6" s="56" t="e">
        <f>J3+J4+J5</f>
        <v>#REF!</v>
      </c>
      <c r="K6" s="57" t="e">
        <f t="shared" si="3"/>
        <v>#REF!</v>
      </c>
      <c r="L6" s="57" t="e">
        <f t="shared" si="3"/>
        <v>#REF!</v>
      </c>
      <c r="M6" s="57" t="e">
        <f t="shared" si="3"/>
        <v>#REF!</v>
      </c>
      <c r="N6" s="57" t="e">
        <f t="shared" si="3"/>
        <v>#REF!</v>
      </c>
      <c r="O6" s="57" t="e">
        <f t="shared" si="3"/>
        <v>#REF!</v>
      </c>
      <c r="P6" s="57" t="e">
        <f t="shared" si="3"/>
        <v>#REF!</v>
      </c>
      <c r="Q6" s="57" t="e">
        <f t="shared" si="3"/>
        <v>#REF!</v>
      </c>
      <c r="R6" s="57" t="e">
        <f t="shared" si="3"/>
        <v>#REF!</v>
      </c>
      <c r="S6" s="57" t="e">
        <f t="shared" si="3"/>
        <v>#REF!</v>
      </c>
      <c r="T6" s="57" t="e">
        <f t="shared" si="3"/>
        <v>#REF!</v>
      </c>
      <c r="U6" s="57" t="e">
        <f>U3+U4+U5</f>
        <v>#REF!</v>
      </c>
    </row>
    <row r="7" spans="1:21">
      <c r="A7" s="50" t="s">
        <v>118</v>
      </c>
      <c r="B7" s="50"/>
      <c r="C7" s="50"/>
      <c r="D7" s="50"/>
      <c r="E7" s="48" t="e">
        <f t="shared" ref="E7:J7" si="4">E67</f>
        <v>#REF!</v>
      </c>
      <c r="F7" s="48" t="e">
        <f t="shared" si="4"/>
        <v>#REF!</v>
      </c>
      <c r="G7" s="48" t="e">
        <f t="shared" si="4"/>
        <v>#REF!</v>
      </c>
      <c r="H7" s="48" t="e">
        <f t="shared" si="4"/>
        <v>#REF!</v>
      </c>
      <c r="I7" s="48" t="e">
        <f t="shared" si="4"/>
        <v>#REF!</v>
      </c>
      <c r="J7" s="48" t="e">
        <f t="shared" si="4"/>
        <v>#REF!</v>
      </c>
      <c r="K7" s="49" t="e">
        <f>MROUND(FORECAST(K4,E7:J7,E4:J4),25)</f>
        <v>#REF!</v>
      </c>
      <c r="L7" s="49" t="e">
        <f>MROUND(FORECAST(L4,E7:K7,E4:K4),25)</f>
        <v>#REF!</v>
      </c>
      <c r="M7" s="49" t="e">
        <f t="shared" ref="M7:U7" si="5">MROUND(FORECAST(M4,E7:L7,E4:L4),25)</f>
        <v>#REF!</v>
      </c>
      <c r="N7" s="49" t="e">
        <f t="shared" si="5"/>
        <v>#REF!</v>
      </c>
      <c r="O7" s="49" t="e">
        <f t="shared" si="5"/>
        <v>#REF!</v>
      </c>
      <c r="P7" s="49" t="e">
        <f t="shared" si="5"/>
        <v>#REF!</v>
      </c>
      <c r="Q7" s="49" t="e">
        <f t="shared" si="5"/>
        <v>#REF!</v>
      </c>
      <c r="R7" s="49" t="e">
        <f t="shared" si="5"/>
        <v>#REF!</v>
      </c>
      <c r="S7" s="49" t="e">
        <f t="shared" si="5"/>
        <v>#REF!</v>
      </c>
      <c r="T7" s="49" t="e">
        <f t="shared" si="5"/>
        <v>#REF!</v>
      </c>
      <c r="U7" s="49" t="e">
        <f t="shared" si="5"/>
        <v>#REF!</v>
      </c>
    </row>
    <row r="8" spans="1:21">
      <c r="A8" s="104" t="s">
        <v>42</v>
      </c>
      <c r="B8" s="104"/>
      <c r="C8" s="104"/>
      <c r="D8" s="104"/>
      <c r="E8" s="105">
        <v>0</v>
      </c>
      <c r="F8" s="105">
        <v>0</v>
      </c>
      <c r="G8" s="105">
        <v>0</v>
      </c>
      <c r="H8" s="105">
        <v>0</v>
      </c>
      <c r="I8" s="105">
        <v>0</v>
      </c>
      <c r="J8" s="105">
        <v>1</v>
      </c>
      <c r="K8" s="106">
        <v>0</v>
      </c>
      <c r="L8" s="106">
        <v>0</v>
      </c>
      <c r="M8" s="106">
        <v>0</v>
      </c>
      <c r="N8" s="106">
        <v>0</v>
      </c>
      <c r="O8" s="106">
        <v>0</v>
      </c>
      <c r="P8" s="106">
        <v>0</v>
      </c>
      <c r="Q8" s="106">
        <v>0</v>
      </c>
      <c r="R8" s="106">
        <v>0</v>
      </c>
      <c r="S8" s="106">
        <v>0</v>
      </c>
      <c r="T8" s="106">
        <v>0</v>
      </c>
      <c r="U8" s="106">
        <v>0</v>
      </c>
    </row>
    <row r="9" spans="1:21">
      <c r="A9" s="64" t="s">
        <v>93</v>
      </c>
      <c r="B9" s="64"/>
      <c r="C9" s="64"/>
      <c r="D9" s="64"/>
      <c r="E9" s="102" t="e">
        <f t="shared" ref="E9:J9" si="6">E7+E8</f>
        <v>#REF!</v>
      </c>
      <c r="F9" s="102" t="e">
        <f t="shared" si="6"/>
        <v>#REF!</v>
      </c>
      <c r="G9" s="102" t="e">
        <f t="shared" si="6"/>
        <v>#REF!</v>
      </c>
      <c r="H9" s="102" t="e">
        <f t="shared" si="6"/>
        <v>#REF!</v>
      </c>
      <c r="I9" s="102" t="e">
        <f t="shared" si="6"/>
        <v>#REF!</v>
      </c>
      <c r="J9" s="102" t="e">
        <f t="shared" si="6"/>
        <v>#REF!</v>
      </c>
      <c r="K9" s="103" t="e">
        <f t="shared" ref="K9:S9" si="7">SUM(K7:K8)</f>
        <v>#REF!</v>
      </c>
      <c r="L9" s="103" t="e">
        <f t="shared" si="7"/>
        <v>#REF!</v>
      </c>
      <c r="M9" s="103" t="e">
        <f t="shared" si="7"/>
        <v>#REF!</v>
      </c>
      <c r="N9" s="103" t="e">
        <f t="shared" si="7"/>
        <v>#REF!</v>
      </c>
      <c r="O9" s="103" t="e">
        <f t="shared" si="7"/>
        <v>#REF!</v>
      </c>
      <c r="P9" s="103" t="e">
        <f t="shared" si="7"/>
        <v>#REF!</v>
      </c>
      <c r="Q9" s="103" t="e">
        <f t="shared" si="7"/>
        <v>#REF!</v>
      </c>
      <c r="R9" s="103" t="e">
        <f t="shared" si="7"/>
        <v>#REF!</v>
      </c>
      <c r="S9" s="103" t="e">
        <f t="shared" si="7"/>
        <v>#REF!</v>
      </c>
      <c r="T9" s="103" t="e">
        <f>SUM(T7:T8)</f>
        <v>#REF!</v>
      </c>
      <c r="U9" s="103" t="e">
        <f>SUM(U7:U8)</f>
        <v>#REF!</v>
      </c>
    </row>
    <row r="10" spans="1:21">
      <c r="A10" s="107" t="s">
        <v>119</v>
      </c>
      <c r="B10" s="107"/>
      <c r="C10" s="107"/>
      <c r="D10" s="107"/>
      <c r="E10" s="56" t="e">
        <f t="shared" ref="E10:J10" si="8">E83</f>
        <v>#REF!</v>
      </c>
      <c r="F10" s="56" t="e">
        <f t="shared" si="8"/>
        <v>#REF!</v>
      </c>
      <c r="G10" s="56" t="e">
        <f t="shared" si="8"/>
        <v>#REF!</v>
      </c>
      <c r="H10" s="56" t="e">
        <f t="shared" si="8"/>
        <v>#REF!</v>
      </c>
      <c r="I10" s="56" t="e">
        <f t="shared" si="8"/>
        <v>#REF!</v>
      </c>
      <c r="J10" s="56" t="e">
        <f t="shared" si="8"/>
        <v>#REF!</v>
      </c>
      <c r="K10" s="57" t="e">
        <f t="shared" ref="K10:T10" si="9">K6-K9</f>
        <v>#REF!</v>
      </c>
      <c r="L10" s="57" t="e">
        <f t="shared" si="9"/>
        <v>#REF!</v>
      </c>
      <c r="M10" s="57" t="e">
        <f t="shared" si="9"/>
        <v>#REF!</v>
      </c>
      <c r="N10" s="57" t="e">
        <f t="shared" si="9"/>
        <v>#REF!</v>
      </c>
      <c r="O10" s="57" t="e">
        <f t="shared" si="9"/>
        <v>#REF!</v>
      </c>
      <c r="P10" s="57" t="e">
        <f t="shared" si="9"/>
        <v>#REF!</v>
      </c>
      <c r="Q10" s="57" t="e">
        <f t="shared" si="9"/>
        <v>#REF!</v>
      </c>
      <c r="R10" s="57" t="e">
        <f t="shared" si="9"/>
        <v>#REF!</v>
      </c>
      <c r="S10" s="57" t="e">
        <f t="shared" si="9"/>
        <v>#REF!</v>
      </c>
      <c r="T10" s="57" t="e">
        <f t="shared" si="9"/>
        <v>#REF!</v>
      </c>
      <c r="U10" s="57" t="e">
        <f>U6-U9</f>
        <v>#REF!</v>
      </c>
    </row>
    <row r="11" spans="1:21">
      <c r="A11" s="50" t="s">
        <v>95</v>
      </c>
      <c r="B11" s="50"/>
      <c r="C11" s="50"/>
      <c r="D11" s="50"/>
      <c r="E11" s="67" t="e">
        <v>#REF!</v>
      </c>
      <c r="F11" s="67" t="e">
        <v>#REF!</v>
      </c>
      <c r="G11" s="67" t="e">
        <v>#REF!</v>
      </c>
      <c r="H11" s="67" t="e">
        <v>#REF!</v>
      </c>
      <c r="I11" s="67" t="e">
        <v>#REF!</v>
      </c>
      <c r="J11" s="67" t="e">
        <v>#REF!</v>
      </c>
      <c r="K11" s="68" t="e">
        <v>#REF!</v>
      </c>
      <c r="L11" s="68">
        <v>7.9621651246892853</v>
      </c>
      <c r="M11" s="68">
        <v>9.7763388096642778</v>
      </c>
      <c r="N11" s="68">
        <v>10.033343937648709</v>
      </c>
      <c r="O11" s="68">
        <v>10.030751750122153</v>
      </c>
      <c r="P11" s="68">
        <v>10.076251789396292</v>
      </c>
      <c r="Q11" s="68">
        <v>11.314476804614298</v>
      </c>
      <c r="R11" s="68">
        <v>9.1956265589068593</v>
      </c>
      <c r="S11" s="68">
        <v>8.6462320067992593</v>
      </c>
      <c r="T11" s="68">
        <v>8.1227531047708545</v>
      </c>
      <c r="U11" s="68">
        <v>8.1227531047708545</v>
      </c>
    </row>
    <row r="12" spans="1:21">
      <c r="A12" s="64" t="s">
        <v>96</v>
      </c>
      <c r="B12" s="64"/>
      <c r="C12" s="64"/>
      <c r="D12" s="64"/>
      <c r="E12" s="65" t="e">
        <f t="shared" ref="E12:T12" si="10">E10/E7</f>
        <v>#REF!</v>
      </c>
      <c r="F12" s="65" t="e">
        <f t="shared" si="10"/>
        <v>#REF!</v>
      </c>
      <c r="G12" s="65" t="e">
        <f t="shared" si="10"/>
        <v>#REF!</v>
      </c>
      <c r="H12" s="65" t="e">
        <f t="shared" si="10"/>
        <v>#REF!</v>
      </c>
      <c r="I12" s="65" t="e">
        <f t="shared" si="10"/>
        <v>#REF!</v>
      </c>
      <c r="J12" s="65" t="e">
        <f>J10/J7</f>
        <v>#REF!</v>
      </c>
      <c r="K12" s="66" t="e">
        <f t="shared" si="10"/>
        <v>#REF!</v>
      </c>
      <c r="L12" s="66" t="e">
        <f t="shared" si="10"/>
        <v>#REF!</v>
      </c>
      <c r="M12" s="66" t="e">
        <f t="shared" si="10"/>
        <v>#REF!</v>
      </c>
      <c r="N12" s="66" t="e">
        <f t="shared" si="10"/>
        <v>#REF!</v>
      </c>
      <c r="O12" s="66" t="e">
        <f t="shared" si="10"/>
        <v>#REF!</v>
      </c>
      <c r="P12" s="66" t="e">
        <f t="shared" si="10"/>
        <v>#REF!</v>
      </c>
      <c r="Q12" s="66" t="e">
        <f t="shared" si="10"/>
        <v>#REF!</v>
      </c>
      <c r="R12" s="66" t="e">
        <f t="shared" si="10"/>
        <v>#REF!</v>
      </c>
      <c r="S12" s="66" t="e">
        <f t="shared" si="10"/>
        <v>#REF!</v>
      </c>
      <c r="T12" s="66" t="e">
        <f t="shared" si="10"/>
        <v>#REF!</v>
      </c>
      <c r="U12" s="66" t="e">
        <f>U10/U7</f>
        <v>#REF!</v>
      </c>
    </row>
    <row r="13" spans="1:21">
      <c r="A13" s="47"/>
      <c r="B13" s="47"/>
      <c r="C13" s="47"/>
      <c r="D13" s="47"/>
      <c r="E13" s="108"/>
      <c r="F13" s="108"/>
      <c r="G13" s="108"/>
      <c r="H13" s="108"/>
      <c r="I13" s="108"/>
      <c r="J13" s="109"/>
      <c r="K13" s="109"/>
      <c r="L13" s="109"/>
      <c r="M13" s="109"/>
      <c r="N13" s="109"/>
      <c r="O13" s="109"/>
      <c r="P13" s="109"/>
      <c r="Q13" s="109"/>
      <c r="R13" s="109"/>
      <c r="S13" s="109"/>
      <c r="T13" s="109"/>
      <c r="U13" s="109"/>
    </row>
    <row r="14" spans="1:21">
      <c r="A14" s="50"/>
      <c r="B14" s="50"/>
      <c r="C14" s="50"/>
      <c r="D14" s="50"/>
      <c r="E14" s="69"/>
      <c r="F14" s="69"/>
      <c r="G14" s="69"/>
      <c r="H14" s="69"/>
      <c r="I14" s="69"/>
      <c r="J14" s="70"/>
      <c r="K14" s="49"/>
      <c r="L14" s="49"/>
      <c r="M14" s="49"/>
      <c r="N14" s="49"/>
      <c r="O14" s="49"/>
      <c r="P14" s="49"/>
    </row>
    <row r="15" spans="1:21">
      <c r="A15" s="50"/>
      <c r="B15" s="50"/>
      <c r="C15" s="50"/>
      <c r="D15" s="50"/>
      <c r="E15" s="69"/>
      <c r="F15" s="69"/>
      <c r="G15" s="69"/>
      <c r="H15" s="69"/>
      <c r="I15" s="69"/>
      <c r="J15" s="70"/>
      <c r="K15" s="49"/>
      <c r="L15" s="49"/>
      <c r="M15" s="49"/>
      <c r="N15" s="49"/>
      <c r="O15" s="49"/>
    </row>
    <row r="16" spans="1:21">
      <c r="A16" s="50"/>
      <c r="B16" s="50"/>
      <c r="C16" s="50"/>
      <c r="D16" s="50"/>
      <c r="E16" s="69"/>
      <c r="F16" s="69"/>
      <c r="G16" s="69"/>
      <c r="H16" s="69"/>
      <c r="I16" s="69"/>
      <c r="J16" s="49"/>
      <c r="K16" s="49"/>
      <c r="L16" s="49"/>
      <c r="M16" s="49"/>
      <c r="N16" s="49"/>
      <c r="O16" s="49"/>
    </row>
    <row r="17" spans="1:21">
      <c r="A17" s="50"/>
      <c r="B17" s="50"/>
      <c r="C17" s="50"/>
      <c r="D17" s="50"/>
      <c r="E17" s="69"/>
      <c r="F17" s="69"/>
      <c r="G17" s="69"/>
      <c r="H17" s="69"/>
      <c r="I17" s="69"/>
      <c r="J17" s="49"/>
      <c r="K17" s="49"/>
      <c r="L17" s="49"/>
      <c r="M17" s="49"/>
      <c r="N17" s="49"/>
      <c r="O17" s="49"/>
    </row>
    <row r="18" spans="1:21">
      <c r="A18" s="50"/>
      <c r="B18" s="50"/>
      <c r="C18" s="50"/>
      <c r="D18" s="50"/>
      <c r="E18" s="69"/>
      <c r="F18" s="69"/>
      <c r="G18" s="69"/>
      <c r="H18" s="69"/>
      <c r="I18" s="69"/>
      <c r="J18" s="49"/>
      <c r="K18" s="49"/>
      <c r="L18" s="49"/>
      <c r="M18" s="49"/>
      <c r="N18" s="49"/>
      <c r="O18" s="49"/>
    </row>
    <row r="19" spans="1:21">
      <c r="A19" s="50"/>
      <c r="B19" s="50"/>
      <c r="C19" s="50"/>
      <c r="D19" s="50"/>
      <c r="E19" s="67"/>
      <c r="F19" s="67"/>
      <c r="G19" s="67"/>
      <c r="H19" s="67"/>
      <c r="I19" s="67"/>
      <c r="J19" s="68"/>
      <c r="K19" s="68"/>
      <c r="L19" s="49"/>
      <c r="M19" s="49"/>
      <c r="N19" s="49"/>
      <c r="O19" s="49"/>
    </row>
    <row r="20" spans="1:21">
      <c r="A20" s="50"/>
      <c r="B20" s="50"/>
      <c r="C20" s="50"/>
      <c r="D20" s="50"/>
      <c r="E20" s="48"/>
      <c r="F20" s="48"/>
      <c r="G20" s="48"/>
      <c r="H20" s="48"/>
      <c r="I20" s="48"/>
      <c r="J20" s="49"/>
      <c r="K20" s="49"/>
      <c r="L20" s="49"/>
      <c r="M20" s="49"/>
      <c r="N20" s="49"/>
      <c r="O20" s="49"/>
    </row>
    <row r="21" spans="1:21" ht="15.75" thickBot="1">
      <c r="A21" s="4" t="s">
        <v>120</v>
      </c>
      <c r="B21" s="4"/>
      <c r="C21" s="4"/>
      <c r="D21" s="4"/>
    </row>
    <row r="22" spans="1:21" ht="15.75" thickBot="1">
      <c r="A22" s="72" t="s">
        <v>86</v>
      </c>
      <c r="B22" s="110">
        <f t="shared" ref="B22:U22" si="11">B2</f>
        <v>2015</v>
      </c>
      <c r="C22" s="110">
        <f t="shared" si="11"/>
        <v>2016</v>
      </c>
      <c r="D22" s="110">
        <f t="shared" si="11"/>
        <v>2017</v>
      </c>
      <c r="E22" s="110">
        <f t="shared" si="11"/>
        <v>2018</v>
      </c>
      <c r="F22" s="110">
        <f t="shared" si="11"/>
        <v>2019</v>
      </c>
      <c r="G22" s="110">
        <f t="shared" si="11"/>
        <v>2020</v>
      </c>
      <c r="H22" s="110">
        <f t="shared" si="11"/>
        <v>2021</v>
      </c>
      <c r="I22" s="110">
        <f t="shared" si="11"/>
        <v>2022</v>
      </c>
      <c r="J22" s="110">
        <f t="shared" si="11"/>
        <v>2023</v>
      </c>
      <c r="K22" s="110">
        <f t="shared" si="11"/>
        <v>2024</v>
      </c>
      <c r="L22" s="110">
        <f t="shared" si="11"/>
        <v>2025</v>
      </c>
      <c r="M22" s="110">
        <f t="shared" si="11"/>
        <v>2026</v>
      </c>
      <c r="N22" s="110">
        <f t="shared" si="11"/>
        <v>2027</v>
      </c>
      <c r="O22" s="110">
        <f t="shared" si="11"/>
        <v>2028</v>
      </c>
      <c r="P22" s="110">
        <f t="shared" si="11"/>
        <v>2029</v>
      </c>
      <c r="Q22" s="110">
        <f t="shared" si="11"/>
        <v>2030</v>
      </c>
      <c r="R22" s="110">
        <f t="shared" si="11"/>
        <v>2031</v>
      </c>
      <c r="S22" s="110">
        <f t="shared" si="11"/>
        <v>2032</v>
      </c>
      <c r="T22" s="110">
        <f t="shared" si="11"/>
        <v>2033</v>
      </c>
      <c r="U22" s="110">
        <f t="shared" si="11"/>
        <v>2034</v>
      </c>
    </row>
    <row r="23" spans="1:21">
      <c r="A23" s="5" t="s">
        <v>98</v>
      </c>
      <c r="E23" s="111" t="e">
        <f>monthly_data!#REF!</f>
        <v>#REF!</v>
      </c>
      <c r="F23" s="111" t="e">
        <f>monthly_data!#REF!</f>
        <v>#REF!</v>
      </c>
      <c r="G23" s="111" t="e">
        <f>monthly_data!#REF!</f>
        <v>#REF!</v>
      </c>
      <c r="H23" s="111" t="e">
        <f>monthly_data!#REF!</f>
        <v>#REF!</v>
      </c>
      <c r="I23" s="111" t="e">
        <f>monthly_data!#REF!</f>
        <v>#REF!</v>
      </c>
      <c r="J23" s="111" t="e">
        <f>monthly_data!#REF!</f>
        <v>#REF!</v>
      </c>
      <c r="K23" s="111" t="e">
        <f>monthly_data!#REF!</f>
        <v>#REF!</v>
      </c>
      <c r="L23" s="112">
        <v>281.31614413350104</v>
      </c>
      <c r="M23" s="112">
        <v>233.03292523668429</v>
      </c>
      <c r="N23" s="112">
        <v>242.7412178020426</v>
      </c>
      <c r="O23" s="112">
        <v>250.47411052001493</v>
      </c>
      <c r="P23" s="112">
        <v>259.43339827619781</v>
      </c>
      <c r="Q23" s="112">
        <v>246.80090176428411</v>
      </c>
      <c r="R23" s="112">
        <v>306.68040788845377</v>
      </c>
      <c r="S23" s="112">
        <v>325.10026826863657</v>
      </c>
      <c r="T23" s="112">
        <v>342.53571893344116</v>
      </c>
      <c r="U23" s="112">
        <v>342.53571893344116</v>
      </c>
    </row>
    <row r="24" spans="1:21">
      <c r="A24" s="5" t="s">
        <v>99</v>
      </c>
      <c r="E24" s="111" t="e">
        <f>monthly_data!#REF!</f>
        <v>#REF!</v>
      </c>
      <c r="F24" s="111" t="e">
        <f>monthly_data!#REF!</f>
        <v>#REF!</v>
      </c>
      <c r="G24" s="111" t="e">
        <f>monthly_data!#REF!</f>
        <v>#REF!</v>
      </c>
      <c r="H24" s="111" t="e">
        <f>monthly_data!#REF!</f>
        <v>#REF!</v>
      </c>
      <c r="I24" s="111" t="e">
        <f>monthly_data!#REF!</f>
        <v>#REF!</v>
      </c>
      <c r="J24" s="111" t="e">
        <f>monthly_data!#REF!</f>
        <v>#REF!</v>
      </c>
      <c r="K24" s="111" t="e">
        <f>monthly_data!#REF!</f>
        <v>#REF!</v>
      </c>
      <c r="L24" s="112">
        <v>268.0483548928766</v>
      </c>
      <c r="M24" s="112">
        <v>245.00643704712866</v>
      </c>
      <c r="N24" s="112">
        <v>255.83819421225309</v>
      </c>
      <c r="O24" s="112">
        <v>262.56493323774475</v>
      </c>
      <c r="P24" s="112">
        <v>270.70999712317581</v>
      </c>
      <c r="Q24" s="112">
        <v>255.22421669856791</v>
      </c>
      <c r="R24" s="112">
        <v>315.94681400148511</v>
      </c>
      <c r="S24" s="112">
        <v>330.78040885752239</v>
      </c>
      <c r="T24" s="112">
        <v>342.02426686914401</v>
      </c>
      <c r="U24" s="112">
        <v>342.02426686914401</v>
      </c>
    </row>
    <row r="25" spans="1:21">
      <c r="A25" s="5" t="s">
        <v>100</v>
      </c>
      <c r="E25" s="111" t="e">
        <f>monthly_data!#REF!</f>
        <v>#REF!</v>
      </c>
      <c r="F25" s="111" t="e">
        <f>monthly_data!#REF!</f>
        <v>#REF!</v>
      </c>
      <c r="G25" s="111" t="e">
        <f>monthly_data!#REF!</f>
        <v>#REF!</v>
      </c>
      <c r="H25" s="111" t="e">
        <f>monthly_data!#REF!</f>
        <v>#REF!</v>
      </c>
      <c r="I25" s="111" t="e">
        <f>monthly_data!#REF!</f>
        <v>#REF!</v>
      </c>
      <c r="J25" s="111" t="e">
        <f>monthly_data!#REF!</f>
        <v>#REF!</v>
      </c>
      <c r="K25" s="111" t="e">
        <f>monthly_data!#REF!</f>
        <v>#REF!</v>
      </c>
      <c r="L25" s="112">
        <v>273.83092077230742</v>
      </c>
      <c r="M25" s="112">
        <v>262.52104961555699</v>
      </c>
      <c r="N25" s="112">
        <v>275.77261103382421</v>
      </c>
      <c r="O25" s="112">
        <v>285.24039934076552</v>
      </c>
      <c r="P25" s="112">
        <v>294.20668064992122</v>
      </c>
      <c r="Q25" s="112">
        <v>279.90745005668339</v>
      </c>
      <c r="R25" s="112">
        <v>350.33728000670703</v>
      </c>
      <c r="S25" s="112">
        <v>372.88808634386749</v>
      </c>
      <c r="T25" s="112">
        <v>393.88336187739753</v>
      </c>
      <c r="U25" s="112">
        <v>393.88336187739753</v>
      </c>
    </row>
    <row r="26" spans="1:21">
      <c r="A26" s="5" t="s">
        <v>101</v>
      </c>
      <c r="E26" s="111" t="e">
        <f>monthly_data!#REF!</f>
        <v>#REF!</v>
      </c>
      <c r="F26" s="111" t="e">
        <f>monthly_data!#REF!</f>
        <v>#REF!</v>
      </c>
      <c r="G26" s="111" t="e">
        <f>monthly_data!#REF!</f>
        <v>#REF!</v>
      </c>
      <c r="H26" s="111" t="e">
        <f>monthly_data!#REF!</f>
        <v>#REF!</v>
      </c>
      <c r="I26" s="111" t="e">
        <f>monthly_data!#REF!</f>
        <v>#REF!</v>
      </c>
      <c r="J26" s="111" t="e">
        <f>monthly_data!#REF!</f>
        <v>#REF!</v>
      </c>
      <c r="K26" s="111" t="e">
        <f>monthly_data!#REF!</f>
        <v>#REF!</v>
      </c>
      <c r="L26" s="112">
        <v>279.26006002072239</v>
      </c>
      <c r="M26" s="112">
        <v>251.78615486634922</v>
      </c>
      <c r="N26" s="112">
        <v>263.73903747680964</v>
      </c>
      <c r="O26" s="112">
        <v>271.09101926711361</v>
      </c>
      <c r="P26" s="112">
        <v>279.20955737664349</v>
      </c>
      <c r="Q26" s="112">
        <v>263.94623244430932</v>
      </c>
      <c r="R26" s="112">
        <v>327.65129673650131</v>
      </c>
      <c r="S26" s="112">
        <v>344.56675817925532</v>
      </c>
      <c r="T26" s="112">
        <v>358.1766221807469</v>
      </c>
      <c r="U26" s="112">
        <v>358.1766221807469</v>
      </c>
    </row>
    <row r="27" spans="1:21">
      <c r="A27" s="5" t="s">
        <v>102</v>
      </c>
      <c r="E27" s="111" t="e">
        <f>monthly_data!#REF!</f>
        <v>#REF!</v>
      </c>
      <c r="F27" s="111" t="e">
        <f>monthly_data!#REF!</f>
        <v>#REF!</v>
      </c>
      <c r="G27" s="111" t="e">
        <f>monthly_data!#REF!</f>
        <v>#REF!</v>
      </c>
      <c r="H27" s="111" t="e">
        <f>monthly_data!#REF!</f>
        <v>#REF!</v>
      </c>
      <c r="I27" s="111" t="e">
        <f>monthly_data!#REF!</f>
        <v>#REF!</v>
      </c>
      <c r="J27" s="111" t="e">
        <f>monthly_data!#REF!</f>
        <v>#REF!</v>
      </c>
      <c r="K27" s="112">
        <v>220.40273500000001</v>
      </c>
      <c r="L27" s="112">
        <v>273.92222451931747</v>
      </c>
      <c r="M27" s="112">
        <v>277.78156392536624</v>
      </c>
      <c r="N27" s="112">
        <v>291.68410403274737</v>
      </c>
      <c r="O27" s="112">
        <v>299.15926917041247</v>
      </c>
      <c r="P27" s="112">
        <v>307.59039460633397</v>
      </c>
      <c r="Q27" s="112">
        <v>291.45176979975901</v>
      </c>
      <c r="R27" s="112">
        <v>362.68737029123042</v>
      </c>
      <c r="S27" s="112">
        <v>381.6740642164205</v>
      </c>
      <c r="T27" s="112">
        <v>396.73576433276617</v>
      </c>
      <c r="U27" s="112">
        <v>396.73576433276617</v>
      </c>
    </row>
    <row r="28" spans="1:21">
      <c r="A28" s="5" t="s">
        <v>103</v>
      </c>
      <c r="E28" s="111" t="e">
        <f>monthly_data!#REF!</f>
        <v>#REF!</v>
      </c>
      <c r="F28" s="111" t="e">
        <f>monthly_data!#REF!</f>
        <v>#REF!</v>
      </c>
      <c r="G28" s="111" t="e">
        <f>monthly_data!#REF!</f>
        <v>#REF!</v>
      </c>
      <c r="H28" s="111" t="e">
        <f>monthly_data!#REF!</f>
        <v>#REF!</v>
      </c>
      <c r="I28" s="111" t="e">
        <f>monthly_data!#REF!</f>
        <v>#REF!</v>
      </c>
      <c r="J28" s="111" t="e">
        <f>monthly_data!#REF!</f>
        <v>#REF!</v>
      </c>
      <c r="K28" s="112">
        <v>282.589564</v>
      </c>
      <c r="L28" s="112">
        <v>277.21499045369984</v>
      </c>
      <c r="M28" s="112">
        <v>276.91252377739778</v>
      </c>
      <c r="N28" s="112">
        <v>291.01309792387246</v>
      </c>
      <c r="O28" s="112">
        <v>301.13716399810727</v>
      </c>
      <c r="P28" s="112">
        <v>310.76101491788683</v>
      </c>
      <c r="Q28" s="112">
        <v>294.97397696282127</v>
      </c>
      <c r="R28" s="112">
        <v>370.10676927439522</v>
      </c>
      <c r="S28" s="112">
        <v>393.68536874240613</v>
      </c>
      <c r="T28" s="112">
        <v>415.36240015865798</v>
      </c>
      <c r="U28" s="112">
        <v>415.36240015865798</v>
      </c>
    </row>
    <row r="29" spans="1:21">
      <c r="A29" s="5" t="s">
        <v>104</v>
      </c>
      <c r="E29" s="111" t="e">
        <f>monthly_data!#REF!</f>
        <v>#REF!</v>
      </c>
      <c r="F29" s="111" t="e">
        <f>monthly_data!#REF!</f>
        <v>#REF!</v>
      </c>
      <c r="G29" s="111" t="e">
        <f>monthly_data!#REF!</f>
        <v>#REF!</v>
      </c>
      <c r="H29" s="111" t="e">
        <f>monthly_data!#REF!</f>
        <v>#REF!</v>
      </c>
      <c r="I29" s="111" t="e">
        <f>monthly_data!#REF!</f>
        <v>#REF!</v>
      </c>
      <c r="J29" s="111" t="e">
        <f>monthly_data!#REF!</f>
        <v>#REF!</v>
      </c>
      <c r="K29" s="112">
        <v>292.63335999999998</v>
      </c>
      <c r="L29" s="112">
        <v>278.3249303523238</v>
      </c>
      <c r="M29" s="112">
        <v>272.22613665082264</v>
      </c>
      <c r="N29" s="112">
        <v>285.02276565901406</v>
      </c>
      <c r="O29" s="112">
        <v>293.83127148344278</v>
      </c>
      <c r="P29" s="112">
        <v>303.80900051796738</v>
      </c>
      <c r="Q29" s="112">
        <v>287.22386149817959</v>
      </c>
      <c r="R29" s="112">
        <v>358.19699545147546</v>
      </c>
      <c r="S29" s="112">
        <v>378.48850684582573</v>
      </c>
      <c r="T29" s="112">
        <v>396.14530509711005</v>
      </c>
      <c r="U29" s="112">
        <v>396.14530509711005</v>
      </c>
    </row>
    <row r="30" spans="1:21">
      <c r="A30" s="5" t="s">
        <v>105</v>
      </c>
      <c r="E30" s="111" t="e">
        <f>monthly_data!#REF!</f>
        <v>#REF!</v>
      </c>
      <c r="F30" s="111" t="e">
        <f>monthly_data!#REF!</f>
        <v>#REF!</v>
      </c>
      <c r="G30" s="111" t="e">
        <f>monthly_data!#REF!</f>
        <v>#REF!</v>
      </c>
      <c r="H30" s="111" t="e">
        <f>monthly_data!#REF!</f>
        <v>#REF!</v>
      </c>
      <c r="I30" s="111" t="e">
        <f>monthly_data!#REF!</f>
        <v>#REF!</v>
      </c>
      <c r="J30" s="111" t="e">
        <f>monthly_data!#REF!</f>
        <v>#REF!</v>
      </c>
      <c r="K30" s="112">
        <v>210.96762236734895</v>
      </c>
      <c r="L30" s="112">
        <v>284.13134168615903</v>
      </c>
      <c r="M30" s="112">
        <v>279.37077505662933</v>
      </c>
      <c r="N30" s="112">
        <v>293.091446991905</v>
      </c>
      <c r="O30" s="112">
        <v>303.01259553978491</v>
      </c>
      <c r="P30" s="112">
        <v>314.09970175708867</v>
      </c>
      <c r="Q30" s="112">
        <v>299.2777415158547</v>
      </c>
      <c r="R30" s="112">
        <v>376.36182153763519</v>
      </c>
      <c r="S30" s="112">
        <v>402.16017922894162</v>
      </c>
      <c r="T30" s="112">
        <v>427.25342454170419</v>
      </c>
      <c r="U30" s="112">
        <v>427.25342454170419</v>
      </c>
    </row>
    <row r="31" spans="1:21">
      <c r="A31" s="5" t="s">
        <v>106</v>
      </c>
      <c r="E31" s="111" t="e">
        <f>monthly_data!#REF!</f>
        <v>#REF!</v>
      </c>
      <c r="F31" s="111" t="e">
        <f>monthly_data!#REF!</f>
        <v>#REF!</v>
      </c>
      <c r="G31" s="111" t="e">
        <f>monthly_data!#REF!</f>
        <v>#REF!</v>
      </c>
      <c r="H31" s="111" t="e">
        <f>monthly_data!#REF!</f>
        <v>#REF!</v>
      </c>
      <c r="I31" s="111" t="e">
        <f>monthly_data!#REF!</f>
        <v>#REF!</v>
      </c>
      <c r="J31" s="111" t="e">
        <f>monthly_data!#REF!</f>
        <v>#REF!</v>
      </c>
      <c r="K31" s="112">
        <v>236.34989393215412</v>
      </c>
      <c r="L31" s="112">
        <v>280.81334658522292</v>
      </c>
      <c r="M31" s="112">
        <v>281.1648385913262</v>
      </c>
      <c r="N31" s="112">
        <v>295.49810471476133</v>
      </c>
      <c r="O31" s="112">
        <v>304.76915878754465</v>
      </c>
      <c r="P31" s="112">
        <v>315.77483742785972</v>
      </c>
      <c r="Q31" s="112">
        <v>300.38165779244559</v>
      </c>
      <c r="R31" s="112">
        <v>377.74397756947354</v>
      </c>
      <c r="S31" s="112">
        <v>402.84755593889236</v>
      </c>
      <c r="T31" s="112">
        <v>426.53826732151475</v>
      </c>
      <c r="U31" s="112">
        <v>426.53826732151475</v>
      </c>
    </row>
    <row r="32" spans="1:21">
      <c r="A32" s="5" t="s">
        <v>107</v>
      </c>
      <c r="E32" s="111" t="e">
        <f>monthly_data!#REF!</f>
        <v>#REF!</v>
      </c>
      <c r="F32" s="111" t="e">
        <f>monthly_data!#REF!</f>
        <v>#REF!</v>
      </c>
      <c r="G32" s="111" t="e">
        <f>monthly_data!#REF!</f>
        <v>#REF!</v>
      </c>
      <c r="H32" s="111" t="e">
        <f>monthly_data!#REF!</f>
        <v>#REF!</v>
      </c>
      <c r="I32" s="111" t="e">
        <f>monthly_data!#REF!</f>
        <v>#REF!</v>
      </c>
      <c r="J32" s="111" t="e">
        <f>monthly_data!#REF!</f>
        <v>#REF!</v>
      </c>
      <c r="K32" s="112">
        <v>232.78923259214287</v>
      </c>
      <c r="L32" s="112">
        <v>271.98535316124315</v>
      </c>
      <c r="M32" s="112">
        <v>302.69078311763781</v>
      </c>
      <c r="N32" s="112">
        <v>317.52021952702432</v>
      </c>
      <c r="O32" s="112">
        <v>327.52714317692983</v>
      </c>
      <c r="P32" s="112">
        <v>338.22941416596581</v>
      </c>
      <c r="Q32" s="112">
        <v>319.82110230168985</v>
      </c>
      <c r="R32" s="112">
        <v>400.4060210208018</v>
      </c>
      <c r="S32" s="112">
        <v>423.50943397244083</v>
      </c>
      <c r="T32" s="112">
        <v>443.50850319205898</v>
      </c>
      <c r="U32" s="112">
        <v>443.50850319205898</v>
      </c>
    </row>
    <row r="33" spans="1:21">
      <c r="A33" s="5" t="s">
        <v>108</v>
      </c>
      <c r="E33" s="111" t="e">
        <f>monthly_data!#REF!</f>
        <v>#REF!</v>
      </c>
      <c r="F33" s="111" t="e">
        <f>monthly_data!#REF!</f>
        <v>#REF!</v>
      </c>
      <c r="G33" s="111" t="e">
        <f>monthly_data!#REF!</f>
        <v>#REF!</v>
      </c>
      <c r="H33" s="111" t="e">
        <f>monthly_data!#REF!</f>
        <v>#REF!</v>
      </c>
      <c r="I33" s="111" t="e">
        <f>monthly_data!#REF!</f>
        <v>#REF!</v>
      </c>
      <c r="J33" s="111" t="e">
        <f>monthly_data!#REF!</f>
        <v>#REF!</v>
      </c>
      <c r="K33" s="112">
        <v>236.43407279869888</v>
      </c>
      <c r="L33" s="112">
        <v>249.34669053997698</v>
      </c>
      <c r="M33" s="112">
        <v>351.98987103601257</v>
      </c>
      <c r="N33" s="112">
        <v>370.20006984479596</v>
      </c>
      <c r="O33" s="112">
        <v>380.18560657468919</v>
      </c>
      <c r="P33" s="112">
        <v>392.08069109767399</v>
      </c>
      <c r="Q33" s="112">
        <v>367.94014341648972</v>
      </c>
      <c r="R33" s="112">
        <v>460.36157757548415</v>
      </c>
      <c r="S33" s="112">
        <v>482.90813298344631</v>
      </c>
      <c r="T33" s="112">
        <v>499.12806962378249</v>
      </c>
      <c r="U33" s="112">
        <v>499.12806962378249</v>
      </c>
    </row>
    <row r="34" spans="1:21">
      <c r="A34" s="5" t="s">
        <v>109</v>
      </c>
      <c r="E34" s="111" t="e">
        <f>monthly_data!#REF!</f>
        <v>#REF!</v>
      </c>
      <c r="F34" s="111" t="e">
        <f>monthly_data!#REF!</f>
        <v>#REF!</v>
      </c>
      <c r="G34" s="111" t="e">
        <f>monthly_data!#REF!</f>
        <v>#REF!</v>
      </c>
      <c r="H34" s="111" t="e">
        <f>monthly_data!#REF!</f>
        <v>#REF!</v>
      </c>
      <c r="I34" s="111" t="e">
        <f>monthly_data!#REF!</f>
        <v>#REF!</v>
      </c>
      <c r="J34" s="111" t="e">
        <f>monthly_data!#REF!</f>
        <v>#REF!</v>
      </c>
      <c r="K34" s="112">
        <v>248.33749240143808</v>
      </c>
      <c r="L34" s="112">
        <v>237.80539335415429</v>
      </c>
      <c r="M34" s="112">
        <v>398.5472277438663</v>
      </c>
      <c r="N34" s="112">
        <v>416.93578403851268</v>
      </c>
      <c r="O34" s="112">
        <v>428.84998279624426</v>
      </c>
      <c r="P34" s="112">
        <v>443.75216820259561</v>
      </c>
      <c r="Q34" s="112">
        <v>417.86498283166242</v>
      </c>
      <c r="R34" s="112">
        <v>524.99057263884174</v>
      </c>
      <c r="S34" s="112">
        <v>552.50835774683253</v>
      </c>
      <c r="T34" s="112">
        <v>574.77039909904238</v>
      </c>
      <c r="U34" s="112">
        <v>574.77039909904238</v>
      </c>
    </row>
    <row r="35" spans="1:21">
      <c r="A35" s="77" t="s">
        <v>110</v>
      </c>
      <c r="B35" s="77"/>
      <c r="C35" s="77"/>
      <c r="D35" s="77"/>
      <c r="E35" s="113" t="e">
        <f t="shared" ref="E35:T35" si="12">SUM(E23:E34)</f>
        <v>#REF!</v>
      </c>
      <c r="F35" s="113" t="e">
        <f t="shared" si="12"/>
        <v>#REF!</v>
      </c>
      <c r="G35" s="113" t="e">
        <f t="shared" si="12"/>
        <v>#REF!</v>
      </c>
      <c r="H35" s="113" t="e">
        <f t="shared" si="12"/>
        <v>#REF!</v>
      </c>
      <c r="I35" s="113" t="e">
        <f t="shared" si="12"/>
        <v>#REF!</v>
      </c>
      <c r="J35" s="113" t="e">
        <f t="shared" si="12"/>
        <v>#REF!</v>
      </c>
      <c r="K35" s="114" t="e">
        <f t="shared" si="12"/>
        <v>#REF!</v>
      </c>
      <c r="L35" s="114">
        <f t="shared" si="12"/>
        <v>3255.9997504715043</v>
      </c>
      <c r="M35" s="114">
        <f t="shared" si="12"/>
        <v>3433.0302866647776</v>
      </c>
      <c r="N35" s="114">
        <f t="shared" si="12"/>
        <v>3599.0566532575631</v>
      </c>
      <c r="O35" s="114">
        <f t="shared" si="12"/>
        <v>3707.8426538927943</v>
      </c>
      <c r="P35" s="114">
        <f t="shared" si="12"/>
        <v>3829.6568561193108</v>
      </c>
      <c r="Q35" s="114">
        <f t="shared" si="12"/>
        <v>3624.8140370827464</v>
      </c>
      <c r="R35" s="114">
        <f t="shared" si="12"/>
        <v>4531.4709039924846</v>
      </c>
      <c r="S35" s="114">
        <f t="shared" si="12"/>
        <v>4791.1171213244879</v>
      </c>
      <c r="T35" s="114">
        <f t="shared" si="12"/>
        <v>5016.0621032273666</v>
      </c>
      <c r="U35" s="114">
        <f>SUM(U23:U34)</f>
        <v>5016.0621032273666</v>
      </c>
    </row>
    <row r="36" spans="1:21">
      <c r="E36" s="115"/>
      <c r="F36" s="115"/>
      <c r="G36" s="115"/>
      <c r="H36" s="115"/>
      <c r="I36" s="115"/>
      <c r="J36" s="116"/>
      <c r="K36" s="116"/>
      <c r="L36" s="116"/>
      <c r="M36" s="116"/>
      <c r="N36" s="116"/>
      <c r="O36" s="116"/>
      <c r="P36" s="116"/>
      <c r="Q36" s="116"/>
      <c r="R36" s="116"/>
      <c r="S36" s="116"/>
      <c r="T36" s="116"/>
      <c r="U36" s="116"/>
    </row>
    <row r="37" spans="1:21" ht="15.75" thickBot="1">
      <c r="A37" s="4" t="s">
        <v>121</v>
      </c>
      <c r="B37" s="4"/>
      <c r="C37" s="4"/>
      <c r="D37" s="4"/>
    </row>
    <row r="38" spans="1:21" ht="15.75" thickBot="1">
      <c r="A38" s="72" t="s">
        <v>86</v>
      </c>
      <c r="B38" s="110">
        <f t="shared" ref="B38:U38" si="13">B2</f>
        <v>2015</v>
      </c>
      <c r="C38" s="110">
        <f t="shared" si="13"/>
        <v>2016</v>
      </c>
      <c r="D38" s="110">
        <f t="shared" si="13"/>
        <v>2017</v>
      </c>
      <c r="E38" s="110">
        <f t="shared" si="13"/>
        <v>2018</v>
      </c>
      <c r="F38" s="110">
        <f t="shared" si="13"/>
        <v>2019</v>
      </c>
      <c r="G38" s="110">
        <f t="shared" si="13"/>
        <v>2020</v>
      </c>
      <c r="H38" s="110">
        <f t="shared" si="13"/>
        <v>2021</v>
      </c>
      <c r="I38" s="110">
        <f t="shared" si="13"/>
        <v>2022</v>
      </c>
      <c r="J38" s="110">
        <f t="shared" si="13"/>
        <v>2023</v>
      </c>
      <c r="K38" s="110">
        <f t="shared" si="13"/>
        <v>2024</v>
      </c>
      <c r="L38" s="110">
        <f t="shared" si="13"/>
        <v>2025</v>
      </c>
      <c r="M38" s="110">
        <f t="shared" si="13"/>
        <v>2026</v>
      </c>
      <c r="N38" s="110">
        <f t="shared" si="13"/>
        <v>2027</v>
      </c>
      <c r="O38" s="110">
        <f t="shared" si="13"/>
        <v>2028</v>
      </c>
      <c r="P38" s="110">
        <f t="shared" si="13"/>
        <v>2029</v>
      </c>
      <c r="Q38" s="110">
        <f t="shared" si="13"/>
        <v>2030</v>
      </c>
      <c r="R38" s="110">
        <f t="shared" si="13"/>
        <v>2031</v>
      </c>
      <c r="S38" s="110">
        <f t="shared" si="13"/>
        <v>2032</v>
      </c>
      <c r="T38" s="110">
        <f t="shared" si="13"/>
        <v>2033</v>
      </c>
      <c r="U38" s="110">
        <f t="shared" si="13"/>
        <v>2034</v>
      </c>
    </row>
    <row r="39" spans="1:21">
      <c r="A39" s="5" t="s">
        <v>98</v>
      </c>
      <c r="E39" s="111" t="e">
        <f>(monthly_data!#REF!)*42/1000</f>
        <v>#REF!</v>
      </c>
      <c r="F39" s="111" t="e">
        <f>(monthly_data!#REF!)*42/1000</f>
        <v>#REF!</v>
      </c>
      <c r="G39" s="111" t="e">
        <f>(monthly_data!#REF!)*42/1000</f>
        <v>#REF!</v>
      </c>
      <c r="H39" s="111" t="e">
        <f>(monthly_data!#REF!)*42/1000</f>
        <v>#REF!</v>
      </c>
      <c r="I39" s="111" t="e">
        <f>(monthly_data!#REF!)*42/1000</f>
        <v>#REF!</v>
      </c>
      <c r="J39" s="111" t="e">
        <f>(monthly_data!#REF!)*42/1000</f>
        <v>#REF!</v>
      </c>
      <c r="K39" s="111" t="e">
        <f>(monthly_data!#REF!)*42/1000</f>
        <v>#REF!</v>
      </c>
      <c r="L39" s="112" t="e">
        <f t="shared" ref="L39:L49" si="14">L$51*(SUM(G39:K39)/SUM(G$51:K$51))</f>
        <v>#REF!</v>
      </c>
      <c r="M39" s="112" t="e">
        <f t="shared" ref="M39:M49" si="15">M$51*(SUM(H39:L39)/SUM(H$51:L$51))</f>
        <v>#REF!</v>
      </c>
      <c r="N39" s="112" t="e">
        <f t="shared" ref="N39:U49" si="16">N$51*(SUM(I39:M39)/SUM(I$51:M$51))</f>
        <v>#REF!</v>
      </c>
      <c r="O39" s="112" t="e">
        <f t="shared" si="16"/>
        <v>#REF!</v>
      </c>
      <c r="P39" s="112" t="e">
        <f t="shared" si="16"/>
        <v>#REF!</v>
      </c>
      <c r="Q39" s="112" t="e">
        <f t="shared" si="16"/>
        <v>#REF!</v>
      </c>
      <c r="R39" s="112" t="e">
        <f t="shared" si="16"/>
        <v>#REF!</v>
      </c>
      <c r="S39" s="112" t="e">
        <f t="shared" si="16"/>
        <v>#REF!</v>
      </c>
      <c r="T39" s="112" t="e">
        <f t="shared" si="16"/>
        <v>#REF!</v>
      </c>
      <c r="U39" s="112" t="e">
        <f t="shared" si="16"/>
        <v>#REF!</v>
      </c>
    </row>
    <row r="40" spans="1:21">
      <c r="A40" s="5" t="s">
        <v>99</v>
      </c>
      <c r="E40" s="111" t="e">
        <f>(monthly_data!#REF!)*42/1000</f>
        <v>#REF!</v>
      </c>
      <c r="F40" s="111" t="e">
        <f>(monthly_data!#REF!)*42/1000</f>
        <v>#REF!</v>
      </c>
      <c r="G40" s="111" t="e">
        <f>(monthly_data!#REF!)*42/1000</f>
        <v>#REF!</v>
      </c>
      <c r="H40" s="111" t="e">
        <f>(monthly_data!#REF!)*42/1000</f>
        <v>#REF!</v>
      </c>
      <c r="I40" s="111" t="e">
        <f>(monthly_data!#REF!)*42/1000</f>
        <v>#REF!</v>
      </c>
      <c r="J40" s="111" t="e">
        <f>(monthly_data!#REF!)*42/1000</f>
        <v>#REF!</v>
      </c>
      <c r="K40" s="111" t="e">
        <f>(monthly_data!#REF!)*42/1000</f>
        <v>#REF!</v>
      </c>
      <c r="L40" s="112" t="e">
        <f t="shared" si="14"/>
        <v>#REF!</v>
      </c>
      <c r="M40" s="112" t="e">
        <f t="shared" si="15"/>
        <v>#REF!</v>
      </c>
      <c r="N40" s="112" t="e">
        <f t="shared" si="16"/>
        <v>#REF!</v>
      </c>
      <c r="O40" s="112" t="e">
        <f t="shared" si="16"/>
        <v>#REF!</v>
      </c>
      <c r="P40" s="112" t="e">
        <f t="shared" si="16"/>
        <v>#REF!</v>
      </c>
      <c r="Q40" s="112" t="e">
        <f t="shared" si="16"/>
        <v>#REF!</v>
      </c>
      <c r="R40" s="112" t="e">
        <f t="shared" si="16"/>
        <v>#REF!</v>
      </c>
      <c r="S40" s="112" t="e">
        <f t="shared" si="16"/>
        <v>#REF!</v>
      </c>
      <c r="T40" s="112" t="e">
        <f t="shared" si="16"/>
        <v>#REF!</v>
      </c>
      <c r="U40" s="112" t="e">
        <f t="shared" si="16"/>
        <v>#REF!</v>
      </c>
    </row>
    <row r="41" spans="1:21">
      <c r="A41" s="5" t="s">
        <v>100</v>
      </c>
      <c r="E41" s="111" t="e">
        <f>(monthly_data!#REF!)*42/1000</f>
        <v>#REF!</v>
      </c>
      <c r="F41" s="111" t="e">
        <f>(monthly_data!#REF!)*42/1000</f>
        <v>#REF!</v>
      </c>
      <c r="G41" s="111" t="e">
        <f>(monthly_data!#REF!)*42/1000</f>
        <v>#REF!</v>
      </c>
      <c r="H41" s="111" t="e">
        <f>(monthly_data!#REF!)*42/1000</f>
        <v>#REF!</v>
      </c>
      <c r="I41" s="111" t="e">
        <f>(monthly_data!#REF!)*42/1000</f>
        <v>#REF!</v>
      </c>
      <c r="J41" s="111" t="e">
        <f>(monthly_data!#REF!)*42/1000</f>
        <v>#REF!</v>
      </c>
      <c r="K41" s="111" t="e">
        <f>(monthly_data!#REF!)*42/1000</f>
        <v>#REF!</v>
      </c>
      <c r="L41" s="112" t="e">
        <f t="shared" si="14"/>
        <v>#REF!</v>
      </c>
      <c r="M41" s="112" t="e">
        <f t="shared" si="15"/>
        <v>#REF!</v>
      </c>
      <c r="N41" s="112" t="e">
        <f t="shared" si="16"/>
        <v>#REF!</v>
      </c>
      <c r="O41" s="112" t="e">
        <f t="shared" si="16"/>
        <v>#REF!</v>
      </c>
      <c r="P41" s="112" t="e">
        <f t="shared" si="16"/>
        <v>#REF!</v>
      </c>
      <c r="Q41" s="112" t="e">
        <f t="shared" si="16"/>
        <v>#REF!</v>
      </c>
      <c r="R41" s="112" t="e">
        <f t="shared" si="16"/>
        <v>#REF!</v>
      </c>
      <c r="S41" s="112" t="e">
        <f t="shared" si="16"/>
        <v>#REF!</v>
      </c>
      <c r="T41" s="112" t="e">
        <f t="shared" si="16"/>
        <v>#REF!</v>
      </c>
      <c r="U41" s="112" t="e">
        <f t="shared" si="16"/>
        <v>#REF!</v>
      </c>
    </row>
    <row r="42" spans="1:21">
      <c r="A42" s="5" t="s">
        <v>101</v>
      </c>
      <c r="E42" s="111" t="e">
        <f>(monthly_data!#REF!)*42/1000</f>
        <v>#REF!</v>
      </c>
      <c r="F42" s="111" t="e">
        <f>(monthly_data!#REF!)*42/1000</f>
        <v>#REF!</v>
      </c>
      <c r="G42" s="111" t="e">
        <f>(monthly_data!#REF!)*42/1000</f>
        <v>#REF!</v>
      </c>
      <c r="H42" s="111" t="e">
        <f>(monthly_data!#REF!)*42/1000</f>
        <v>#REF!</v>
      </c>
      <c r="I42" s="111" t="e">
        <f>(monthly_data!#REF!)*42/1000</f>
        <v>#REF!</v>
      </c>
      <c r="J42" s="111" t="e">
        <f>(monthly_data!#REF!)*42/1000</f>
        <v>#REF!</v>
      </c>
      <c r="K42" s="111" t="e">
        <f>(monthly_data!#REF!)*42/1000</f>
        <v>#REF!</v>
      </c>
      <c r="L42" s="112" t="e">
        <f t="shared" si="14"/>
        <v>#REF!</v>
      </c>
      <c r="M42" s="112" t="e">
        <f t="shared" si="15"/>
        <v>#REF!</v>
      </c>
      <c r="N42" s="112" t="e">
        <f t="shared" si="16"/>
        <v>#REF!</v>
      </c>
      <c r="O42" s="112" t="e">
        <f t="shared" si="16"/>
        <v>#REF!</v>
      </c>
      <c r="P42" s="112" t="e">
        <f t="shared" si="16"/>
        <v>#REF!</v>
      </c>
      <c r="Q42" s="112" t="e">
        <f t="shared" si="16"/>
        <v>#REF!</v>
      </c>
      <c r="R42" s="112" t="e">
        <f t="shared" si="16"/>
        <v>#REF!</v>
      </c>
      <c r="S42" s="112" t="e">
        <f t="shared" si="16"/>
        <v>#REF!</v>
      </c>
      <c r="T42" s="112" t="e">
        <f t="shared" si="16"/>
        <v>#REF!</v>
      </c>
      <c r="U42" s="112" t="e">
        <f t="shared" si="16"/>
        <v>#REF!</v>
      </c>
    </row>
    <row r="43" spans="1:21">
      <c r="A43" s="5" t="s">
        <v>102</v>
      </c>
      <c r="E43" s="111" t="e">
        <f>(monthly_data!#REF!)*42/1000</f>
        <v>#REF!</v>
      </c>
      <c r="F43" s="111" t="e">
        <f>(monthly_data!#REF!)*42/1000</f>
        <v>#REF!</v>
      </c>
      <c r="G43" s="111" t="e">
        <f>(monthly_data!#REF!)*42/1000</f>
        <v>#REF!</v>
      </c>
      <c r="H43" s="111" t="e">
        <f>(monthly_data!#REF!)*42/1000</f>
        <v>#REF!</v>
      </c>
      <c r="I43" s="111" t="e">
        <f>(monthly_data!#REF!)*42/1000</f>
        <v>#REF!</v>
      </c>
      <c r="J43" s="111" t="e">
        <f>(monthly_data!#REF!)*42/1000</f>
        <v>#REF!</v>
      </c>
      <c r="K43" s="112" t="e">
        <f>K$51*(SUM(F43:J43)/SUM(F$51:J$51))-6</f>
        <v>#REF!</v>
      </c>
      <c r="L43" s="112" t="e">
        <f t="shared" si="14"/>
        <v>#REF!</v>
      </c>
      <c r="M43" s="112" t="e">
        <f t="shared" si="15"/>
        <v>#REF!</v>
      </c>
      <c r="N43" s="112" t="e">
        <f t="shared" si="16"/>
        <v>#REF!</v>
      </c>
      <c r="O43" s="112" t="e">
        <f t="shared" si="16"/>
        <v>#REF!</v>
      </c>
      <c r="P43" s="112" t="e">
        <f t="shared" si="16"/>
        <v>#REF!</v>
      </c>
      <c r="Q43" s="112" t="e">
        <f t="shared" si="16"/>
        <v>#REF!</v>
      </c>
      <c r="R43" s="112" t="e">
        <f t="shared" si="16"/>
        <v>#REF!</v>
      </c>
      <c r="S43" s="112" t="e">
        <f t="shared" si="16"/>
        <v>#REF!</v>
      </c>
      <c r="T43" s="112" t="e">
        <f t="shared" si="16"/>
        <v>#REF!</v>
      </c>
      <c r="U43" s="112" t="e">
        <f t="shared" si="16"/>
        <v>#REF!</v>
      </c>
    </row>
    <row r="44" spans="1:21">
      <c r="A44" s="5" t="s">
        <v>103</v>
      </c>
      <c r="E44" s="111" t="e">
        <f>(monthly_data!#REF!)*42/1000</f>
        <v>#REF!</v>
      </c>
      <c r="F44" s="111" t="e">
        <f>(monthly_data!#REF!)*42/1000</f>
        <v>#REF!</v>
      </c>
      <c r="G44" s="111" t="e">
        <f>(monthly_data!#REF!)*42/1000</f>
        <v>#REF!</v>
      </c>
      <c r="H44" s="111" t="e">
        <f>(monthly_data!#REF!)*42/1000</f>
        <v>#REF!</v>
      </c>
      <c r="I44" s="111" t="e">
        <f>(monthly_data!#REF!)*42/1000</f>
        <v>#REF!</v>
      </c>
      <c r="J44" s="111" t="e">
        <f>(monthly_data!#REF!)*42/1000</f>
        <v>#REF!</v>
      </c>
      <c r="K44" s="112" t="e">
        <f>K$51*(SUM(F44:J44)/SUM(F$51:J$51))-5</f>
        <v>#REF!</v>
      </c>
      <c r="L44" s="112" t="e">
        <f t="shared" si="14"/>
        <v>#REF!</v>
      </c>
      <c r="M44" s="112" t="e">
        <f t="shared" si="15"/>
        <v>#REF!</v>
      </c>
      <c r="N44" s="112" t="e">
        <f t="shared" si="16"/>
        <v>#REF!</v>
      </c>
      <c r="O44" s="112" t="e">
        <f t="shared" si="16"/>
        <v>#REF!</v>
      </c>
      <c r="P44" s="112" t="e">
        <f t="shared" si="16"/>
        <v>#REF!</v>
      </c>
      <c r="Q44" s="112" t="e">
        <f t="shared" si="16"/>
        <v>#REF!</v>
      </c>
      <c r="R44" s="112" t="e">
        <f t="shared" si="16"/>
        <v>#REF!</v>
      </c>
      <c r="S44" s="112" t="e">
        <f t="shared" si="16"/>
        <v>#REF!</v>
      </c>
      <c r="T44" s="112" t="e">
        <f t="shared" si="16"/>
        <v>#REF!</v>
      </c>
      <c r="U44" s="112" t="e">
        <f t="shared" si="16"/>
        <v>#REF!</v>
      </c>
    </row>
    <row r="45" spans="1:21">
      <c r="A45" s="5" t="s">
        <v>104</v>
      </c>
      <c r="E45" s="111" t="e">
        <f>(monthly_data!#REF!)*42/1000</f>
        <v>#REF!</v>
      </c>
      <c r="F45" s="111" t="e">
        <f>(monthly_data!#REF!)*42/1000</f>
        <v>#REF!</v>
      </c>
      <c r="G45" s="111" t="e">
        <f>(monthly_data!#REF!)*42/1000</f>
        <v>#REF!</v>
      </c>
      <c r="H45" s="111" t="e">
        <f>(monthly_data!#REF!)*42/1000</f>
        <v>#REF!</v>
      </c>
      <c r="I45" s="111" t="e">
        <f>(monthly_data!#REF!)*42/1000</f>
        <v>#REF!</v>
      </c>
      <c r="J45" s="111" t="e">
        <f>(monthly_data!#REF!)*42/1000</f>
        <v>#REF!</v>
      </c>
      <c r="K45" s="112" t="e">
        <f>K$51*(SUM(F45:J45)/SUM(F$51:J$51))-2</f>
        <v>#REF!</v>
      </c>
      <c r="L45" s="112" t="e">
        <f t="shared" si="14"/>
        <v>#REF!</v>
      </c>
      <c r="M45" s="112" t="e">
        <f t="shared" si="15"/>
        <v>#REF!</v>
      </c>
      <c r="N45" s="112" t="e">
        <f t="shared" si="16"/>
        <v>#REF!</v>
      </c>
      <c r="O45" s="112" t="e">
        <f t="shared" si="16"/>
        <v>#REF!</v>
      </c>
      <c r="P45" s="112" t="e">
        <f t="shared" si="16"/>
        <v>#REF!</v>
      </c>
      <c r="Q45" s="112" t="e">
        <f t="shared" si="16"/>
        <v>#REF!</v>
      </c>
      <c r="R45" s="112" t="e">
        <f t="shared" si="16"/>
        <v>#REF!</v>
      </c>
      <c r="S45" s="112" t="e">
        <f t="shared" si="16"/>
        <v>#REF!</v>
      </c>
      <c r="T45" s="112" t="e">
        <f t="shared" si="16"/>
        <v>#REF!</v>
      </c>
      <c r="U45" s="112" t="e">
        <f t="shared" si="16"/>
        <v>#REF!</v>
      </c>
    </row>
    <row r="46" spans="1:21">
      <c r="A46" s="5" t="s">
        <v>105</v>
      </c>
      <c r="E46" s="111" t="e">
        <f>(monthly_data!#REF!)*42/1000</f>
        <v>#REF!</v>
      </c>
      <c r="F46" s="111" t="e">
        <f>(monthly_data!#REF!)*42/1000</f>
        <v>#REF!</v>
      </c>
      <c r="G46" s="111" t="e">
        <f>(monthly_data!#REF!)*42/1000</f>
        <v>#REF!</v>
      </c>
      <c r="H46" s="111" t="e">
        <f>(monthly_data!#REF!)*42/1000</f>
        <v>#REF!</v>
      </c>
      <c r="I46" s="111" t="e">
        <f>(monthly_data!#REF!)*42/1000</f>
        <v>#REF!</v>
      </c>
      <c r="J46" s="111" t="e">
        <f>(monthly_data!#REF!)*42/1000</f>
        <v>#REF!</v>
      </c>
      <c r="K46" s="112" t="e">
        <f>K$51*(SUM(F46:J46)/SUM(F$51:J$51))-3</f>
        <v>#REF!</v>
      </c>
      <c r="L46" s="112" t="e">
        <f t="shared" si="14"/>
        <v>#REF!</v>
      </c>
      <c r="M46" s="112" t="e">
        <f t="shared" si="15"/>
        <v>#REF!</v>
      </c>
      <c r="N46" s="112" t="e">
        <f t="shared" si="16"/>
        <v>#REF!</v>
      </c>
      <c r="O46" s="112" t="e">
        <f t="shared" si="16"/>
        <v>#REF!</v>
      </c>
      <c r="P46" s="112" t="e">
        <f t="shared" si="16"/>
        <v>#REF!</v>
      </c>
      <c r="Q46" s="112" t="e">
        <f t="shared" si="16"/>
        <v>#REF!</v>
      </c>
      <c r="R46" s="112" t="e">
        <f t="shared" si="16"/>
        <v>#REF!</v>
      </c>
      <c r="S46" s="112" t="e">
        <f t="shared" si="16"/>
        <v>#REF!</v>
      </c>
      <c r="T46" s="112" t="e">
        <f t="shared" si="16"/>
        <v>#REF!</v>
      </c>
      <c r="U46" s="112" t="e">
        <f t="shared" si="16"/>
        <v>#REF!</v>
      </c>
    </row>
    <row r="47" spans="1:21">
      <c r="A47" s="5" t="s">
        <v>106</v>
      </c>
      <c r="E47" s="111" t="e">
        <f>(monthly_data!#REF!)*42/1000</f>
        <v>#REF!</v>
      </c>
      <c r="F47" s="111" t="e">
        <f>(monthly_data!#REF!)*42/1000</f>
        <v>#REF!</v>
      </c>
      <c r="G47" s="111" t="e">
        <f>(monthly_data!#REF!)*42/1000</f>
        <v>#REF!</v>
      </c>
      <c r="H47" s="111" t="e">
        <f>(monthly_data!#REF!)*42/1000</f>
        <v>#REF!</v>
      </c>
      <c r="I47" s="111" t="e">
        <f>(monthly_data!#REF!)*42/1000</f>
        <v>#REF!</v>
      </c>
      <c r="J47" s="111" t="e">
        <f>(monthly_data!#REF!)*42/1000</f>
        <v>#REF!</v>
      </c>
      <c r="K47" s="112" t="e">
        <f>K$51*(SUM(F47:J47)/SUM(F$51:J$51))+4</f>
        <v>#REF!</v>
      </c>
      <c r="L47" s="112" t="e">
        <f t="shared" si="14"/>
        <v>#REF!</v>
      </c>
      <c r="M47" s="112" t="e">
        <f t="shared" si="15"/>
        <v>#REF!</v>
      </c>
      <c r="N47" s="112" t="e">
        <f t="shared" si="16"/>
        <v>#REF!</v>
      </c>
      <c r="O47" s="112" t="e">
        <f t="shared" si="16"/>
        <v>#REF!</v>
      </c>
      <c r="P47" s="112" t="e">
        <f t="shared" si="16"/>
        <v>#REF!</v>
      </c>
      <c r="Q47" s="112" t="e">
        <f t="shared" si="16"/>
        <v>#REF!</v>
      </c>
      <c r="R47" s="112" t="e">
        <f t="shared" si="16"/>
        <v>#REF!</v>
      </c>
      <c r="S47" s="112" t="e">
        <f t="shared" si="16"/>
        <v>#REF!</v>
      </c>
      <c r="T47" s="112" t="e">
        <f t="shared" si="16"/>
        <v>#REF!</v>
      </c>
      <c r="U47" s="112" t="e">
        <f t="shared" si="16"/>
        <v>#REF!</v>
      </c>
    </row>
    <row r="48" spans="1:21">
      <c r="A48" s="5" t="s">
        <v>107</v>
      </c>
      <c r="E48" s="111" t="e">
        <f>(monthly_data!#REF!)*42/1000</f>
        <v>#REF!</v>
      </c>
      <c r="F48" s="111" t="e">
        <f>(monthly_data!#REF!)*42/1000</f>
        <v>#REF!</v>
      </c>
      <c r="G48" s="111" t="e">
        <f>(monthly_data!#REF!)*42/1000</f>
        <v>#REF!</v>
      </c>
      <c r="H48" s="111" t="e">
        <f>(monthly_data!#REF!)*42/1000</f>
        <v>#REF!</v>
      </c>
      <c r="I48" s="111" t="e">
        <f>(monthly_data!#REF!)*42/1000</f>
        <v>#REF!</v>
      </c>
      <c r="J48" s="111" t="e">
        <f>(monthly_data!#REF!)*42/1000</f>
        <v>#REF!</v>
      </c>
      <c r="K48" s="112" t="e">
        <f>K$51*(SUM(F48:J48)/SUM(F$51:J$51))-4</f>
        <v>#REF!</v>
      </c>
      <c r="L48" s="112" t="e">
        <f t="shared" si="14"/>
        <v>#REF!</v>
      </c>
      <c r="M48" s="112" t="e">
        <f t="shared" si="15"/>
        <v>#REF!</v>
      </c>
      <c r="N48" s="112" t="e">
        <f t="shared" si="16"/>
        <v>#REF!</v>
      </c>
      <c r="O48" s="112" t="e">
        <f t="shared" si="16"/>
        <v>#REF!</v>
      </c>
      <c r="P48" s="112" t="e">
        <f t="shared" si="16"/>
        <v>#REF!</v>
      </c>
      <c r="Q48" s="112" t="e">
        <f t="shared" si="16"/>
        <v>#REF!</v>
      </c>
      <c r="R48" s="112" t="e">
        <f t="shared" si="16"/>
        <v>#REF!</v>
      </c>
      <c r="S48" s="112" t="e">
        <f t="shared" si="16"/>
        <v>#REF!</v>
      </c>
      <c r="T48" s="112" t="e">
        <f t="shared" si="16"/>
        <v>#REF!</v>
      </c>
      <c r="U48" s="112" t="e">
        <f t="shared" si="16"/>
        <v>#REF!</v>
      </c>
    </row>
    <row r="49" spans="1:21">
      <c r="A49" s="5" t="s">
        <v>108</v>
      </c>
      <c r="E49" s="111" t="e">
        <f>(monthly_data!#REF!)*42/1000</f>
        <v>#REF!</v>
      </c>
      <c r="F49" s="111" t="e">
        <f>(monthly_data!#REF!)*42/1000</f>
        <v>#REF!</v>
      </c>
      <c r="G49" s="111" t="e">
        <f>(monthly_data!#REF!)*42/1000</f>
        <v>#REF!</v>
      </c>
      <c r="H49" s="111" t="e">
        <f>(monthly_data!#REF!)*42/1000</f>
        <v>#REF!</v>
      </c>
      <c r="I49" s="111" t="e">
        <f>(monthly_data!#REF!)*42/1000</f>
        <v>#REF!</v>
      </c>
      <c r="J49" s="111" t="e">
        <f>(monthly_data!#REF!)*42/1000</f>
        <v>#REF!</v>
      </c>
      <c r="K49" s="112" t="e">
        <f>K$51*(SUM(F49:J49)/SUM(F$51:J$51))-11</f>
        <v>#REF!</v>
      </c>
      <c r="L49" s="112" t="e">
        <f t="shared" si="14"/>
        <v>#REF!</v>
      </c>
      <c r="M49" s="112" t="e">
        <f t="shared" si="15"/>
        <v>#REF!</v>
      </c>
      <c r="N49" s="112" t="e">
        <f t="shared" si="16"/>
        <v>#REF!</v>
      </c>
      <c r="O49" s="112" t="e">
        <f t="shared" si="16"/>
        <v>#REF!</v>
      </c>
      <c r="P49" s="112" t="e">
        <f t="shared" si="16"/>
        <v>#REF!</v>
      </c>
      <c r="Q49" s="112" t="e">
        <f t="shared" si="16"/>
        <v>#REF!</v>
      </c>
      <c r="R49" s="112" t="e">
        <f t="shared" si="16"/>
        <v>#REF!</v>
      </c>
      <c r="S49" s="112" t="e">
        <f t="shared" si="16"/>
        <v>#REF!</v>
      </c>
      <c r="T49" s="112" t="e">
        <f t="shared" si="16"/>
        <v>#REF!</v>
      </c>
      <c r="U49" s="112" t="e">
        <f t="shared" si="16"/>
        <v>#REF!</v>
      </c>
    </row>
    <row r="50" spans="1:21">
      <c r="A50" s="5" t="s">
        <v>109</v>
      </c>
      <c r="E50" s="111" t="e">
        <f>(monthly_data!#REF!)*42/1000</f>
        <v>#REF!</v>
      </c>
      <c r="F50" s="111" t="e">
        <f>(monthly_data!#REF!)*42/1000</f>
        <v>#REF!</v>
      </c>
      <c r="G50" s="111" t="e">
        <f>(monthly_data!#REF!)*42/1000</f>
        <v>#REF!</v>
      </c>
      <c r="H50" s="111" t="e">
        <f>(monthly_data!#REF!)*42/1000</f>
        <v>#REF!</v>
      </c>
      <c r="I50" s="111" t="e">
        <f>(monthly_data!#REF!)*42/1000</f>
        <v>#REF!</v>
      </c>
      <c r="J50" s="111" t="e">
        <f>(monthly_data!#REF!)*42/1000</f>
        <v>#REF!</v>
      </c>
      <c r="K50" s="112" t="e">
        <f t="shared" ref="K50:U50" si="17">K51-SUM(K39:K49)</f>
        <v>#REF!</v>
      </c>
      <c r="L50" s="112" t="e">
        <f t="shared" si="17"/>
        <v>#REF!</v>
      </c>
      <c r="M50" s="112" t="e">
        <f t="shared" si="17"/>
        <v>#REF!</v>
      </c>
      <c r="N50" s="112" t="e">
        <f t="shared" si="17"/>
        <v>#REF!</v>
      </c>
      <c r="O50" s="112" t="e">
        <f t="shared" si="17"/>
        <v>#REF!</v>
      </c>
      <c r="P50" s="112" t="e">
        <f t="shared" si="17"/>
        <v>#REF!</v>
      </c>
      <c r="Q50" s="112" t="e">
        <f t="shared" si="17"/>
        <v>#REF!</v>
      </c>
      <c r="R50" s="112" t="e">
        <f t="shared" si="17"/>
        <v>#REF!</v>
      </c>
      <c r="S50" s="112" t="e">
        <f t="shared" si="17"/>
        <v>#REF!</v>
      </c>
      <c r="T50" s="112" t="e">
        <f t="shared" si="17"/>
        <v>#REF!</v>
      </c>
      <c r="U50" s="112" t="e">
        <f t="shared" si="17"/>
        <v>#REF!</v>
      </c>
    </row>
    <row r="51" spans="1:21">
      <c r="A51" s="77" t="s">
        <v>110</v>
      </c>
      <c r="B51" s="77"/>
      <c r="C51" s="77"/>
      <c r="D51" s="77"/>
      <c r="E51" s="113" t="e">
        <f t="shared" ref="E51:J51" si="18">SUM(E39:E50)</f>
        <v>#REF!</v>
      </c>
      <c r="F51" s="113" t="e">
        <f t="shared" si="18"/>
        <v>#REF!</v>
      </c>
      <c r="G51" s="113" t="e">
        <f t="shared" si="18"/>
        <v>#REF!</v>
      </c>
      <c r="H51" s="113" t="e">
        <f t="shared" si="18"/>
        <v>#REF!</v>
      </c>
      <c r="I51" s="113" t="e">
        <f t="shared" si="18"/>
        <v>#REF!</v>
      </c>
      <c r="J51" s="113" t="e">
        <f t="shared" si="18"/>
        <v>#REF!</v>
      </c>
      <c r="K51" s="114">
        <f t="shared" ref="K51:T51" si="19">K5</f>
        <v>349.56267637499985</v>
      </c>
      <c r="L51" s="114">
        <f t="shared" si="19"/>
        <v>421.15943750000002</v>
      </c>
      <c r="M51" s="114">
        <f t="shared" si="19"/>
        <v>398.80429651677764</v>
      </c>
      <c r="N51" s="114">
        <f t="shared" si="19"/>
        <v>416.04805221663895</v>
      </c>
      <c r="O51" s="114">
        <f t="shared" si="19"/>
        <v>405.49224265130454</v>
      </c>
      <c r="P51" s="114">
        <f t="shared" si="19"/>
        <v>401.10003050100352</v>
      </c>
      <c r="Q51" s="114">
        <f t="shared" si="19"/>
        <v>391.43646993157626</v>
      </c>
      <c r="R51" s="114">
        <f t="shared" si="19"/>
        <v>373.25036963735784</v>
      </c>
      <c r="S51" s="114">
        <f t="shared" si="19"/>
        <v>351.51251313369391</v>
      </c>
      <c r="T51" s="114">
        <f t="shared" si="19"/>
        <v>331.17471653939884</v>
      </c>
      <c r="U51" s="114">
        <f>U5</f>
        <v>331.17471653939884</v>
      </c>
    </row>
    <row r="52" spans="1:21">
      <c r="J52" s="106"/>
    </row>
    <row r="53" spans="1:21" ht="15.75" thickBot="1">
      <c r="A53" s="4" t="s">
        <v>122</v>
      </c>
      <c r="B53" s="4"/>
      <c r="C53" s="4"/>
      <c r="D53" s="4"/>
    </row>
    <row r="54" spans="1:21" ht="15.75" thickBot="1">
      <c r="A54" s="72" t="s">
        <v>86</v>
      </c>
      <c r="B54" s="110">
        <f t="shared" ref="B54:U54" si="20">B2</f>
        <v>2015</v>
      </c>
      <c r="C54" s="110">
        <f t="shared" si="20"/>
        <v>2016</v>
      </c>
      <c r="D54" s="110">
        <f t="shared" si="20"/>
        <v>2017</v>
      </c>
      <c r="E54" s="110">
        <f t="shared" si="20"/>
        <v>2018</v>
      </c>
      <c r="F54" s="110">
        <f t="shared" si="20"/>
        <v>2019</v>
      </c>
      <c r="G54" s="110">
        <f t="shared" si="20"/>
        <v>2020</v>
      </c>
      <c r="H54" s="110">
        <f t="shared" si="20"/>
        <v>2021</v>
      </c>
      <c r="I54" s="110">
        <f t="shared" si="20"/>
        <v>2022</v>
      </c>
      <c r="J54" s="110">
        <f t="shared" si="20"/>
        <v>2023</v>
      </c>
      <c r="K54" s="110">
        <f t="shared" si="20"/>
        <v>2024</v>
      </c>
      <c r="L54" s="110">
        <f t="shared" si="20"/>
        <v>2025</v>
      </c>
      <c r="M54" s="110">
        <f t="shared" si="20"/>
        <v>2026</v>
      </c>
      <c r="N54" s="110">
        <f t="shared" si="20"/>
        <v>2027</v>
      </c>
      <c r="O54" s="110">
        <f t="shared" si="20"/>
        <v>2028</v>
      </c>
      <c r="P54" s="110">
        <f t="shared" si="20"/>
        <v>2029</v>
      </c>
      <c r="Q54" s="110">
        <f t="shared" si="20"/>
        <v>2030</v>
      </c>
      <c r="R54" s="110">
        <f t="shared" si="20"/>
        <v>2031</v>
      </c>
      <c r="S54" s="110">
        <f t="shared" si="20"/>
        <v>2032</v>
      </c>
      <c r="T54" s="110">
        <f t="shared" si="20"/>
        <v>2033</v>
      </c>
      <c r="U54" s="110">
        <f t="shared" si="20"/>
        <v>2034</v>
      </c>
    </row>
    <row r="55" spans="1:21">
      <c r="A55" s="5" t="s">
        <v>98</v>
      </c>
      <c r="E55" s="111" t="e">
        <f t="shared" ref="E55:K55" si="21">E3+E23+E39-E72</f>
        <v>#REF!</v>
      </c>
      <c r="F55" s="111" t="e">
        <f t="shared" si="21"/>
        <v>#REF!</v>
      </c>
      <c r="G55" s="111" t="e">
        <f t="shared" si="21"/>
        <v>#REF!</v>
      </c>
      <c r="H55" s="111" t="e">
        <f t="shared" si="21"/>
        <v>#REF!</v>
      </c>
      <c r="I55" s="111" t="e">
        <f t="shared" si="21"/>
        <v>#REF!</v>
      </c>
      <c r="J55" s="111" t="e">
        <f t="shared" si="21"/>
        <v>#REF!</v>
      </c>
      <c r="K55" s="111" t="e">
        <f t="shared" si="21"/>
        <v>#REF!</v>
      </c>
      <c r="L55" s="112" t="e">
        <f t="shared" ref="L55:L65" si="22">L$67*((SUM(G55:K55)/SUM(G$67:K$67)))</f>
        <v>#REF!</v>
      </c>
      <c r="M55" s="112" t="e">
        <f t="shared" ref="M55:M65" si="23">M$67*((SUM(H55:L55)/SUM(H$67:L$67)))</f>
        <v>#REF!</v>
      </c>
      <c r="N55" s="112" t="e">
        <f t="shared" ref="N55:U65" si="24">N$67*((SUM(I55:M55)/SUM(I$67:M$67)))</f>
        <v>#REF!</v>
      </c>
      <c r="O55" s="112" t="e">
        <f t="shared" si="24"/>
        <v>#REF!</v>
      </c>
      <c r="P55" s="112" t="e">
        <f t="shared" si="24"/>
        <v>#REF!</v>
      </c>
      <c r="Q55" s="112" t="e">
        <f t="shared" si="24"/>
        <v>#REF!</v>
      </c>
      <c r="R55" s="112" t="e">
        <f t="shared" si="24"/>
        <v>#REF!</v>
      </c>
      <c r="S55" s="112" t="e">
        <f t="shared" si="24"/>
        <v>#REF!</v>
      </c>
      <c r="T55" s="112" t="e">
        <f t="shared" si="24"/>
        <v>#REF!</v>
      </c>
      <c r="U55" s="112" t="e">
        <f t="shared" si="24"/>
        <v>#REF!</v>
      </c>
    </row>
    <row r="56" spans="1:21">
      <c r="A56" s="5" t="s">
        <v>99</v>
      </c>
      <c r="E56" s="111" t="e">
        <f t="shared" ref="E56:K66" si="25">E72+E24+E40-E73</f>
        <v>#REF!</v>
      </c>
      <c r="F56" s="111" t="e">
        <f t="shared" si="25"/>
        <v>#REF!</v>
      </c>
      <c r="G56" s="111" t="e">
        <f t="shared" si="25"/>
        <v>#REF!</v>
      </c>
      <c r="H56" s="111" t="e">
        <f t="shared" si="25"/>
        <v>#REF!</v>
      </c>
      <c r="I56" s="111" t="e">
        <f t="shared" si="25"/>
        <v>#REF!</v>
      </c>
      <c r="J56" s="111" t="e">
        <f t="shared" si="25"/>
        <v>#REF!</v>
      </c>
      <c r="K56" s="111" t="e">
        <f t="shared" si="25"/>
        <v>#REF!</v>
      </c>
      <c r="L56" s="112" t="e">
        <f t="shared" si="22"/>
        <v>#REF!</v>
      </c>
      <c r="M56" s="112" t="e">
        <f t="shared" si="23"/>
        <v>#REF!</v>
      </c>
      <c r="N56" s="112" t="e">
        <f t="shared" si="24"/>
        <v>#REF!</v>
      </c>
      <c r="O56" s="112" t="e">
        <f t="shared" si="24"/>
        <v>#REF!</v>
      </c>
      <c r="P56" s="112" t="e">
        <f t="shared" si="24"/>
        <v>#REF!</v>
      </c>
      <c r="Q56" s="112" t="e">
        <f t="shared" si="24"/>
        <v>#REF!</v>
      </c>
      <c r="R56" s="112" t="e">
        <f t="shared" si="24"/>
        <v>#REF!</v>
      </c>
      <c r="S56" s="112" t="e">
        <f t="shared" si="24"/>
        <v>#REF!</v>
      </c>
      <c r="T56" s="112" t="e">
        <f t="shared" si="24"/>
        <v>#REF!</v>
      </c>
      <c r="U56" s="112" t="e">
        <f t="shared" si="24"/>
        <v>#REF!</v>
      </c>
    </row>
    <row r="57" spans="1:21">
      <c r="A57" s="5" t="s">
        <v>100</v>
      </c>
      <c r="E57" s="111" t="e">
        <f t="shared" si="25"/>
        <v>#REF!</v>
      </c>
      <c r="F57" s="111" t="e">
        <f t="shared" si="25"/>
        <v>#REF!</v>
      </c>
      <c r="G57" s="111" t="e">
        <f t="shared" si="25"/>
        <v>#REF!</v>
      </c>
      <c r="H57" s="111" t="e">
        <f t="shared" si="25"/>
        <v>#REF!</v>
      </c>
      <c r="I57" s="111" t="e">
        <f t="shared" si="25"/>
        <v>#REF!</v>
      </c>
      <c r="J57" s="111" t="e">
        <f t="shared" si="25"/>
        <v>#REF!</v>
      </c>
      <c r="K57" s="111" t="e">
        <f t="shared" si="25"/>
        <v>#REF!</v>
      </c>
      <c r="L57" s="112" t="e">
        <f t="shared" si="22"/>
        <v>#REF!</v>
      </c>
      <c r="M57" s="112" t="e">
        <f t="shared" si="23"/>
        <v>#REF!</v>
      </c>
      <c r="N57" s="112" t="e">
        <f t="shared" si="24"/>
        <v>#REF!</v>
      </c>
      <c r="O57" s="112" t="e">
        <f t="shared" si="24"/>
        <v>#REF!</v>
      </c>
      <c r="P57" s="112" t="e">
        <f t="shared" si="24"/>
        <v>#REF!</v>
      </c>
      <c r="Q57" s="112" t="e">
        <f t="shared" si="24"/>
        <v>#REF!</v>
      </c>
      <c r="R57" s="112" t="e">
        <f t="shared" si="24"/>
        <v>#REF!</v>
      </c>
      <c r="S57" s="112" t="e">
        <f t="shared" si="24"/>
        <v>#REF!</v>
      </c>
      <c r="T57" s="112" t="e">
        <f t="shared" si="24"/>
        <v>#REF!</v>
      </c>
      <c r="U57" s="112" t="e">
        <f t="shared" si="24"/>
        <v>#REF!</v>
      </c>
    </row>
    <row r="58" spans="1:21">
      <c r="A58" s="5" t="s">
        <v>101</v>
      </c>
      <c r="E58" s="111" t="e">
        <f t="shared" si="25"/>
        <v>#REF!</v>
      </c>
      <c r="F58" s="111" t="e">
        <f t="shared" si="25"/>
        <v>#REF!</v>
      </c>
      <c r="G58" s="111" t="e">
        <f t="shared" si="25"/>
        <v>#REF!</v>
      </c>
      <c r="H58" s="111" t="e">
        <f t="shared" si="25"/>
        <v>#REF!</v>
      </c>
      <c r="I58" s="111" t="e">
        <f t="shared" si="25"/>
        <v>#REF!</v>
      </c>
      <c r="J58" s="111" t="e">
        <f t="shared" si="25"/>
        <v>#REF!</v>
      </c>
      <c r="K58" s="111" t="e">
        <f t="shared" si="25"/>
        <v>#REF!</v>
      </c>
      <c r="L58" s="112" t="e">
        <f t="shared" si="22"/>
        <v>#REF!</v>
      </c>
      <c r="M58" s="112" t="e">
        <f t="shared" si="23"/>
        <v>#REF!</v>
      </c>
      <c r="N58" s="112" t="e">
        <f t="shared" si="24"/>
        <v>#REF!</v>
      </c>
      <c r="O58" s="112" t="e">
        <f t="shared" si="24"/>
        <v>#REF!</v>
      </c>
      <c r="P58" s="112" t="e">
        <f t="shared" si="24"/>
        <v>#REF!</v>
      </c>
      <c r="Q58" s="112" t="e">
        <f t="shared" si="24"/>
        <v>#REF!</v>
      </c>
      <c r="R58" s="112" t="e">
        <f t="shared" si="24"/>
        <v>#REF!</v>
      </c>
      <c r="S58" s="112" t="e">
        <f t="shared" si="24"/>
        <v>#REF!</v>
      </c>
      <c r="T58" s="112" t="e">
        <f t="shared" si="24"/>
        <v>#REF!</v>
      </c>
      <c r="U58" s="112" t="e">
        <f t="shared" si="24"/>
        <v>#REF!</v>
      </c>
    </row>
    <row r="59" spans="1:21">
      <c r="A59" s="5" t="s">
        <v>102</v>
      </c>
      <c r="E59" s="111" t="e">
        <f t="shared" si="25"/>
        <v>#REF!</v>
      </c>
      <c r="F59" s="111" t="e">
        <f t="shared" si="25"/>
        <v>#REF!</v>
      </c>
      <c r="G59" s="111" t="e">
        <f t="shared" si="25"/>
        <v>#REF!</v>
      </c>
      <c r="H59" s="111" t="e">
        <f t="shared" si="25"/>
        <v>#REF!</v>
      </c>
      <c r="I59" s="111" t="e">
        <f t="shared" si="25"/>
        <v>#REF!</v>
      </c>
      <c r="J59" s="111" t="e">
        <f t="shared" si="25"/>
        <v>#REF!</v>
      </c>
      <c r="K59" s="112" t="e">
        <f t="shared" ref="K59:K65" si="26">K$67*((SUM(F59:J59)/SUM(F$67:J$67)))</f>
        <v>#REF!</v>
      </c>
      <c r="L59" s="112" t="e">
        <f t="shared" si="22"/>
        <v>#REF!</v>
      </c>
      <c r="M59" s="112" t="e">
        <f t="shared" si="23"/>
        <v>#REF!</v>
      </c>
      <c r="N59" s="112" t="e">
        <f t="shared" si="24"/>
        <v>#REF!</v>
      </c>
      <c r="O59" s="112" t="e">
        <f t="shared" si="24"/>
        <v>#REF!</v>
      </c>
      <c r="P59" s="112" t="e">
        <f t="shared" si="24"/>
        <v>#REF!</v>
      </c>
      <c r="Q59" s="112" t="e">
        <f t="shared" si="24"/>
        <v>#REF!</v>
      </c>
      <c r="R59" s="112" t="e">
        <f t="shared" si="24"/>
        <v>#REF!</v>
      </c>
      <c r="S59" s="112" t="e">
        <f t="shared" si="24"/>
        <v>#REF!</v>
      </c>
      <c r="T59" s="112" t="e">
        <f t="shared" si="24"/>
        <v>#REF!</v>
      </c>
      <c r="U59" s="112" t="e">
        <f t="shared" si="24"/>
        <v>#REF!</v>
      </c>
    </row>
    <row r="60" spans="1:21">
      <c r="A60" s="5" t="s">
        <v>103</v>
      </c>
      <c r="E60" s="111" t="e">
        <f t="shared" si="25"/>
        <v>#REF!</v>
      </c>
      <c r="F60" s="111" t="e">
        <f t="shared" si="25"/>
        <v>#REF!</v>
      </c>
      <c r="G60" s="111" t="e">
        <f t="shared" si="25"/>
        <v>#REF!</v>
      </c>
      <c r="H60" s="111" t="e">
        <f t="shared" si="25"/>
        <v>#REF!</v>
      </c>
      <c r="I60" s="111" t="e">
        <f t="shared" si="25"/>
        <v>#REF!</v>
      </c>
      <c r="J60" s="111" t="e">
        <f t="shared" si="25"/>
        <v>#REF!</v>
      </c>
      <c r="K60" s="112" t="e">
        <f t="shared" si="26"/>
        <v>#REF!</v>
      </c>
      <c r="L60" s="112" t="e">
        <f t="shared" si="22"/>
        <v>#REF!</v>
      </c>
      <c r="M60" s="112" t="e">
        <f t="shared" si="23"/>
        <v>#REF!</v>
      </c>
      <c r="N60" s="112" t="e">
        <f t="shared" si="24"/>
        <v>#REF!</v>
      </c>
      <c r="O60" s="112" t="e">
        <f t="shared" si="24"/>
        <v>#REF!</v>
      </c>
      <c r="P60" s="112" t="e">
        <f t="shared" si="24"/>
        <v>#REF!</v>
      </c>
      <c r="Q60" s="112" t="e">
        <f t="shared" si="24"/>
        <v>#REF!</v>
      </c>
      <c r="R60" s="112" t="e">
        <f t="shared" si="24"/>
        <v>#REF!</v>
      </c>
      <c r="S60" s="112" t="e">
        <f t="shared" si="24"/>
        <v>#REF!</v>
      </c>
      <c r="T60" s="112" t="e">
        <f t="shared" si="24"/>
        <v>#REF!</v>
      </c>
      <c r="U60" s="112" t="e">
        <f t="shared" si="24"/>
        <v>#REF!</v>
      </c>
    </row>
    <row r="61" spans="1:21">
      <c r="A61" s="5" t="s">
        <v>104</v>
      </c>
      <c r="E61" s="111" t="e">
        <f t="shared" si="25"/>
        <v>#REF!</v>
      </c>
      <c r="F61" s="111" t="e">
        <f t="shared" si="25"/>
        <v>#REF!</v>
      </c>
      <c r="G61" s="111" t="e">
        <f t="shared" si="25"/>
        <v>#REF!</v>
      </c>
      <c r="H61" s="111" t="e">
        <f t="shared" si="25"/>
        <v>#REF!</v>
      </c>
      <c r="I61" s="111" t="e">
        <f t="shared" si="25"/>
        <v>#REF!</v>
      </c>
      <c r="J61" s="111" t="e">
        <f t="shared" si="25"/>
        <v>#REF!</v>
      </c>
      <c r="K61" s="112" t="e">
        <f t="shared" si="26"/>
        <v>#REF!</v>
      </c>
      <c r="L61" s="112" t="e">
        <f t="shared" si="22"/>
        <v>#REF!</v>
      </c>
      <c r="M61" s="112" t="e">
        <f t="shared" si="23"/>
        <v>#REF!</v>
      </c>
      <c r="N61" s="112" t="e">
        <f t="shared" si="24"/>
        <v>#REF!</v>
      </c>
      <c r="O61" s="112" t="e">
        <f t="shared" si="24"/>
        <v>#REF!</v>
      </c>
      <c r="P61" s="112" t="e">
        <f t="shared" si="24"/>
        <v>#REF!</v>
      </c>
      <c r="Q61" s="112" t="e">
        <f t="shared" si="24"/>
        <v>#REF!</v>
      </c>
      <c r="R61" s="112" t="e">
        <f t="shared" si="24"/>
        <v>#REF!</v>
      </c>
      <c r="S61" s="112" t="e">
        <f t="shared" si="24"/>
        <v>#REF!</v>
      </c>
      <c r="T61" s="112" t="e">
        <f t="shared" si="24"/>
        <v>#REF!</v>
      </c>
      <c r="U61" s="112" t="e">
        <f t="shared" si="24"/>
        <v>#REF!</v>
      </c>
    </row>
    <row r="62" spans="1:21">
      <c r="A62" s="5" t="s">
        <v>105</v>
      </c>
      <c r="E62" s="111" t="e">
        <f t="shared" si="25"/>
        <v>#REF!</v>
      </c>
      <c r="F62" s="111" t="e">
        <f t="shared" si="25"/>
        <v>#REF!</v>
      </c>
      <c r="G62" s="111" t="e">
        <f t="shared" si="25"/>
        <v>#REF!</v>
      </c>
      <c r="H62" s="111" t="e">
        <f t="shared" si="25"/>
        <v>#REF!</v>
      </c>
      <c r="I62" s="111" t="e">
        <f t="shared" si="25"/>
        <v>#REF!</v>
      </c>
      <c r="J62" s="111" t="e">
        <f t="shared" si="25"/>
        <v>#REF!</v>
      </c>
      <c r="K62" s="112" t="e">
        <f t="shared" si="26"/>
        <v>#REF!</v>
      </c>
      <c r="L62" s="112" t="e">
        <f t="shared" si="22"/>
        <v>#REF!</v>
      </c>
      <c r="M62" s="112" t="e">
        <f t="shared" si="23"/>
        <v>#REF!</v>
      </c>
      <c r="N62" s="112" t="e">
        <f t="shared" si="24"/>
        <v>#REF!</v>
      </c>
      <c r="O62" s="112" t="e">
        <f t="shared" si="24"/>
        <v>#REF!</v>
      </c>
      <c r="P62" s="112" t="e">
        <f t="shared" si="24"/>
        <v>#REF!</v>
      </c>
      <c r="Q62" s="112" t="e">
        <f t="shared" si="24"/>
        <v>#REF!</v>
      </c>
      <c r="R62" s="112" t="e">
        <f t="shared" si="24"/>
        <v>#REF!</v>
      </c>
      <c r="S62" s="112" t="e">
        <f t="shared" si="24"/>
        <v>#REF!</v>
      </c>
      <c r="T62" s="112" t="e">
        <f t="shared" si="24"/>
        <v>#REF!</v>
      </c>
      <c r="U62" s="112" t="e">
        <f t="shared" si="24"/>
        <v>#REF!</v>
      </c>
    </row>
    <row r="63" spans="1:21">
      <c r="A63" s="5" t="s">
        <v>106</v>
      </c>
      <c r="E63" s="111" t="e">
        <f t="shared" si="25"/>
        <v>#REF!</v>
      </c>
      <c r="F63" s="111" t="e">
        <f t="shared" si="25"/>
        <v>#REF!</v>
      </c>
      <c r="G63" s="111" t="e">
        <f t="shared" si="25"/>
        <v>#REF!</v>
      </c>
      <c r="H63" s="111" t="e">
        <f t="shared" si="25"/>
        <v>#REF!</v>
      </c>
      <c r="I63" s="111" t="e">
        <f t="shared" si="25"/>
        <v>#REF!</v>
      </c>
      <c r="J63" s="111" t="e">
        <f t="shared" si="25"/>
        <v>#REF!</v>
      </c>
      <c r="K63" s="112" t="e">
        <f t="shared" si="26"/>
        <v>#REF!</v>
      </c>
      <c r="L63" s="112" t="e">
        <f t="shared" si="22"/>
        <v>#REF!</v>
      </c>
      <c r="M63" s="112" t="e">
        <f t="shared" si="23"/>
        <v>#REF!</v>
      </c>
      <c r="N63" s="112" t="e">
        <f t="shared" si="24"/>
        <v>#REF!</v>
      </c>
      <c r="O63" s="112" t="e">
        <f t="shared" si="24"/>
        <v>#REF!</v>
      </c>
      <c r="P63" s="112" t="e">
        <f t="shared" si="24"/>
        <v>#REF!</v>
      </c>
      <c r="Q63" s="112" t="e">
        <f t="shared" si="24"/>
        <v>#REF!</v>
      </c>
      <c r="R63" s="112" t="e">
        <f t="shared" si="24"/>
        <v>#REF!</v>
      </c>
      <c r="S63" s="112" t="e">
        <f t="shared" si="24"/>
        <v>#REF!</v>
      </c>
      <c r="T63" s="112" t="e">
        <f t="shared" si="24"/>
        <v>#REF!</v>
      </c>
      <c r="U63" s="112" t="e">
        <f t="shared" si="24"/>
        <v>#REF!</v>
      </c>
    </row>
    <row r="64" spans="1:21">
      <c r="A64" s="5" t="s">
        <v>107</v>
      </c>
      <c r="E64" s="111" t="e">
        <f t="shared" si="25"/>
        <v>#REF!</v>
      </c>
      <c r="F64" s="111" t="e">
        <f t="shared" si="25"/>
        <v>#REF!</v>
      </c>
      <c r="G64" s="111" t="e">
        <f t="shared" si="25"/>
        <v>#REF!</v>
      </c>
      <c r="H64" s="111" t="e">
        <f t="shared" si="25"/>
        <v>#REF!</v>
      </c>
      <c r="I64" s="111" t="e">
        <f t="shared" si="25"/>
        <v>#REF!</v>
      </c>
      <c r="J64" s="111" t="e">
        <f t="shared" si="25"/>
        <v>#REF!</v>
      </c>
      <c r="K64" s="112" t="e">
        <f t="shared" si="26"/>
        <v>#REF!</v>
      </c>
      <c r="L64" s="112" t="e">
        <f t="shared" si="22"/>
        <v>#REF!</v>
      </c>
      <c r="M64" s="112" t="e">
        <f t="shared" si="23"/>
        <v>#REF!</v>
      </c>
      <c r="N64" s="112" t="e">
        <f t="shared" si="24"/>
        <v>#REF!</v>
      </c>
      <c r="O64" s="112" t="e">
        <f t="shared" si="24"/>
        <v>#REF!</v>
      </c>
      <c r="P64" s="112" t="e">
        <f t="shared" si="24"/>
        <v>#REF!</v>
      </c>
      <c r="Q64" s="112" t="e">
        <f t="shared" si="24"/>
        <v>#REF!</v>
      </c>
      <c r="R64" s="112" t="e">
        <f t="shared" si="24"/>
        <v>#REF!</v>
      </c>
      <c r="S64" s="112" t="e">
        <f t="shared" si="24"/>
        <v>#REF!</v>
      </c>
      <c r="T64" s="112" t="e">
        <f t="shared" si="24"/>
        <v>#REF!</v>
      </c>
      <c r="U64" s="112" t="e">
        <f t="shared" si="24"/>
        <v>#REF!</v>
      </c>
    </row>
    <row r="65" spans="1:21">
      <c r="A65" s="5" t="s">
        <v>108</v>
      </c>
      <c r="E65" s="111" t="e">
        <f t="shared" si="25"/>
        <v>#REF!</v>
      </c>
      <c r="F65" s="111" t="e">
        <f t="shared" si="25"/>
        <v>#REF!</v>
      </c>
      <c r="G65" s="111" t="e">
        <f t="shared" si="25"/>
        <v>#REF!</v>
      </c>
      <c r="H65" s="111" t="e">
        <f t="shared" si="25"/>
        <v>#REF!</v>
      </c>
      <c r="I65" s="111" t="e">
        <f t="shared" si="25"/>
        <v>#REF!</v>
      </c>
      <c r="J65" s="111" t="e">
        <f t="shared" si="25"/>
        <v>#REF!</v>
      </c>
      <c r="K65" s="112" t="e">
        <f t="shared" si="26"/>
        <v>#REF!</v>
      </c>
      <c r="L65" s="112" t="e">
        <f t="shared" si="22"/>
        <v>#REF!</v>
      </c>
      <c r="M65" s="112" t="e">
        <f t="shared" si="23"/>
        <v>#REF!</v>
      </c>
      <c r="N65" s="112" t="e">
        <f t="shared" si="24"/>
        <v>#REF!</v>
      </c>
      <c r="O65" s="112" t="e">
        <f t="shared" si="24"/>
        <v>#REF!</v>
      </c>
      <c r="P65" s="112" t="e">
        <f t="shared" si="24"/>
        <v>#REF!</v>
      </c>
      <c r="Q65" s="112" t="e">
        <f t="shared" si="24"/>
        <v>#REF!</v>
      </c>
      <c r="R65" s="112" t="e">
        <f t="shared" si="24"/>
        <v>#REF!</v>
      </c>
      <c r="S65" s="112" t="e">
        <f t="shared" si="24"/>
        <v>#REF!</v>
      </c>
      <c r="T65" s="112" t="e">
        <f t="shared" si="24"/>
        <v>#REF!</v>
      </c>
      <c r="U65" s="112" t="e">
        <f t="shared" si="24"/>
        <v>#REF!</v>
      </c>
    </row>
    <row r="66" spans="1:21">
      <c r="A66" s="5" t="s">
        <v>109</v>
      </c>
      <c r="E66" s="111" t="e">
        <f>E82+E34+E50-E83</f>
        <v>#REF!</v>
      </c>
      <c r="F66" s="111" t="e">
        <f>F82+F34+F50-F83</f>
        <v>#REF!</v>
      </c>
      <c r="G66" s="111" t="e">
        <f>G82+G34+G50-G83</f>
        <v>#REF!</v>
      </c>
      <c r="H66" s="111" t="e">
        <f>H82+H34+H50-H83</f>
        <v>#REF!</v>
      </c>
      <c r="I66" s="111" t="e">
        <f>I82+I34+I50-I83</f>
        <v>#REF!</v>
      </c>
      <c r="J66" s="111" t="e">
        <f t="shared" si="25"/>
        <v>#REF!</v>
      </c>
      <c r="K66" s="112" t="e">
        <f t="shared" ref="K66:T66" si="27">K67-SUM(K55:K65)</f>
        <v>#REF!</v>
      </c>
      <c r="L66" s="112" t="e">
        <f t="shared" si="27"/>
        <v>#REF!</v>
      </c>
      <c r="M66" s="112" t="e">
        <f t="shared" si="27"/>
        <v>#REF!</v>
      </c>
      <c r="N66" s="112" t="e">
        <f t="shared" si="27"/>
        <v>#REF!</v>
      </c>
      <c r="O66" s="112" t="e">
        <f t="shared" si="27"/>
        <v>#REF!</v>
      </c>
      <c r="P66" s="112" t="e">
        <f t="shared" si="27"/>
        <v>#REF!</v>
      </c>
      <c r="Q66" s="112" t="e">
        <f t="shared" si="27"/>
        <v>#REF!</v>
      </c>
      <c r="R66" s="112" t="e">
        <f t="shared" si="27"/>
        <v>#REF!</v>
      </c>
      <c r="S66" s="112" t="e">
        <f t="shared" si="27"/>
        <v>#REF!</v>
      </c>
      <c r="T66" s="112" t="e">
        <f t="shared" si="27"/>
        <v>#REF!</v>
      </c>
      <c r="U66" s="112" t="e">
        <f>U67-SUM(U55:U65)</f>
        <v>#REF!</v>
      </c>
    </row>
    <row r="67" spans="1:21">
      <c r="A67" s="77" t="s">
        <v>110</v>
      </c>
      <c r="B67" s="77"/>
      <c r="C67" s="77"/>
      <c r="D67" s="77"/>
      <c r="E67" s="113" t="e">
        <f t="shared" ref="E67:J67" si="28">SUM(E55:E66)</f>
        <v>#REF!</v>
      </c>
      <c r="F67" s="113" t="e">
        <f t="shared" si="28"/>
        <v>#REF!</v>
      </c>
      <c r="G67" s="113" t="e">
        <f t="shared" si="28"/>
        <v>#REF!</v>
      </c>
      <c r="H67" s="113" t="e">
        <f t="shared" si="28"/>
        <v>#REF!</v>
      </c>
      <c r="I67" s="113" t="e">
        <f t="shared" si="28"/>
        <v>#REF!</v>
      </c>
      <c r="J67" s="113" t="e">
        <f t="shared" si="28"/>
        <v>#REF!</v>
      </c>
      <c r="K67" s="114" t="e">
        <f t="shared" ref="K67:T67" si="29">K7</f>
        <v>#REF!</v>
      </c>
      <c r="L67" s="114" t="e">
        <f t="shared" si="29"/>
        <v>#REF!</v>
      </c>
      <c r="M67" s="114" t="e">
        <f t="shared" si="29"/>
        <v>#REF!</v>
      </c>
      <c r="N67" s="114" t="e">
        <f t="shared" si="29"/>
        <v>#REF!</v>
      </c>
      <c r="O67" s="114" t="e">
        <f t="shared" si="29"/>
        <v>#REF!</v>
      </c>
      <c r="P67" s="114" t="e">
        <f t="shared" si="29"/>
        <v>#REF!</v>
      </c>
      <c r="Q67" s="114" t="e">
        <f t="shared" si="29"/>
        <v>#REF!</v>
      </c>
      <c r="R67" s="114" t="e">
        <f t="shared" si="29"/>
        <v>#REF!</v>
      </c>
      <c r="S67" s="114" t="e">
        <f t="shared" si="29"/>
        <v>#REF!</v>
      </c>
      <c r="T67" s="114" t="e">
        <f t="shared" si="29"/>
        <v>#REF!</v>
      </c>
      <c r="U67" s="114" t="e">
        <f>U7</f>
        <v>#REF!</v>
      </c>
    </row>
    <row r="68" spans="1:21">
      <c r="J68" s="105"/>
      <c r="K68" s="105"/>
      <c r="L68" s="105"/>
      <c r="M68" s="105"/>
      <c r="N68" s="105"/>
      <c r="O68" s="105"/>
      <c r="P68" s="105"/>
      <c r="Q68" s="105"/>
      <c r="R68" s="105"/>
      <c r="S68" s="105"/>
      <c r="T68" s="105"/>
      <c r="U68" s="105"/>
    </row>
    <row r="69" spans="1:21">
      <c r="J69" s="71"/>
      <c r="K69" s="71"/>
      <c r="L69" s="71"/>
      <c r="M69" s="71"/>
      <c r="N69" s="71"/>
      <c r="O69" s="71"/>
      <c r="P69" s="71"/>
      <c r="Q69" s="71"/>
      <c r="R69" s="71"/>
      <c r="S69" s="71"/>
      <c r="T69" s="71"/>
      <c r="U69" s="71"/>
    </row>
    <row r="70" spans="1:21" ht="15.75" thickBot="1">
      <c r="A70" s="4" t="s">
        <v>123</v>
      </c>
      <c r="B70" s="4"/>
      <c r="C70" s="4"/>
      <c r="D70" s="4"/>
    </row>
    <row r="71" spans="1:21" ht="15.75" thickBot="1">
      <c r="A71" s="72" t="s">
        <v>86</v>
      </c>
      <c r="B71" s="73"/>
      <c r="C71" s="73"/>
      <c r="D71" s="73"/>
      <c r="E71" s="110">
        <f t="shared" ref="E71:U71" si="30">E2</f>
        <v>2018</v>
      </c>
      <c r="F71" s="110">
        <f t="shared" si="30"/>
        <v>2019</v>
      </c>
      <c r="G71" s="110">
        <f t="shared" si="30"/>
        <v>2020</v>
      </c>
      <c r="H71" s="110">
        <f t="shared" si="30"/>
        <v>2021</v>
      </c>
      <c r="I71" s="110">
        <f t="shared" si="30"/>
        <v>2022</v>
      </c>
      <c r="J71" s="110">
        <f t="shared" si="30"/>
        <v>2023</v>
      </c>
      <c r="K71" s="110">
        <f t="shared" si="30"/>
        <v>2024</v>
      </c>
      <c r="L71" s="110">
        <f t="shared" si="30"/>
        <v>2025</v>
      </c>
      <c r="M71" s="110">
        <f t="shared" si="30"/>
        <v>2026</v>
      </c>
      <c r="N71" s="110">
        <f t="shared" si="30"/>
        <v>2027</v>
      </c>
      <c r="O71" s="110">
        <f t="shared" si="30"/>
        <v>2028</v>
      </c>
      <c r="P71" s="110">
        <f t="shared" si="30"/>
        <v>2029</v>
      </c>
      <c r="Q71" s="110">
        <f t="shared" si="30"/>
        <v>2030</v>
      </c>
      <c r="R71" s="110">
        <f t="shared" si="30"/>
        <v>2031</v>
      </c>
      <c r="S71" s="110">
        <f t="shared" si="30"/>
        <v>2032</v>
      </c>
      <c r="T71" s="110">
        <f t="shared" si="30"/>
        <v>2033</v>
      </c>
      <c r="U71" s="110">
        <f t="shared" si="30"/>
        <v>2034</v>
      </c>
    </row>
    <row r="72" spans="1:21">
      <c r="A72" s="5" t="s">
        <v>98</v>
      </c>
      <c r="E72" s="111" t="e">
        <f>(monthly_data!#REF!)*42/1000</f>
        <v>#REF!</v>
      </c>
      <c r="F72" s="111" t="e">
        <f>(monthly_data!#REF!)*42/1000</f>
        <v>#REF!</v>
      </c>
      <c r="G72" s="111" t="e">
        <f>(monthly_data!#REF!)*42/1000</f>
        <v>#REF!</v>
      </c>
      <c r="H72" s="111" t="e">
        <f>(monthly_data!#REF!)*42/1000</f>
        <v>#REF!</v>
      </c>
      <c r="I72" s="111" t="e">
        <f>(monthly_data!#REF!)*42/1000</f>
        <v>#REF!</v>
      </c>
      <c r="J72" s="111" t="e">
        <f>(monthly_data!#REF!)*42/1000</f>
        <v>#REF!</v>
      </c>
      <c r="K72" s="111" t="e">
        <f>(monthly_data!#REF!)*42/1000</f>
        <v>#REF!</v>
      </c>
      <c r="L72" s="112" t="e">
        <f t="shared" ref="L72:U72" si="31">K83+L39+L23-L55</f>
        <v>#REF!</v>
      </c>
      <c r="M72" s="112" t="e">
        <f t="shared" si="31"/>
        <v>#REF!</v>
      </c>
      <c r="N72" s="112" t="e">
        <f t="shared" si="31"/>
        <v>#REF!</v>
      </c>
      <c r="O72" s="112" t="e">
        <f t="shared" si="31"/>
        <v>#REF!</v>
      </c>
      <c r="P72" s="112" t="e">
        <f t="shared" si="31"/>
        <v>#REF!</v>
      </c>
      <c r="Q72" s="112" t="e">
        <f t="shared" si="31"/>
        <v>#REF!</v>
      </c>
      <c r="R72" s="112" t="e">
        <f t="shared" si="31"/>
        <v>#REF!</v>
      </c>
      <c r="S72" s="112" t="e">
        <f t="shared" si="31"/>
        <v>#REF!</v>
      </c>
      <c r="T72" s="112" t="e">
        <f t="shared" si="31"/>
        <v>#REF!</v>
      </c>
      <c r="U72" s="112" t="e">
        <f t="shared" si="31"/>
        <v>#REF!</v>
      </c>
    </row>
    <row r="73" spans="1:21">
      <c r="A73" s="5" t="s">
        <v>99</v>
      </c>
      <c r="E73" s="111" t="e">
        <f>(monthly_data!#REF!)*42/1000</f>
        <v>#REF!</v>
      </c>
      <c r="F73" s="111" t="e">
        <f>(monthly_data!#REF!)*42/1000</f>
        <v>#REF!</v>
      </c>
      <c r="G73" s="111" t="e">
        <f>(monthly_data!#REF!)*42/1000</f>
        <v>#REF!</v>
      </c>
      <c r="H73" s="111" t="e">
        <f>(monthly_data!#REF!)*42/1000</f>
        <v>#REF!</v>
      </c>
      <c r="I73" s="111" t="e">
        <f>(monthly_data!#REF!)*42/1000</f>
        <v>#REF!</v>
      </c>
      <c r="J73" s="111" t="e">
        <f>(monthly_data!#REF!)*42/1000</f>
        <v>#REF!</v>
      </c>
      <c r="K73" s="111" t="e">
        <f>(monthly_data!#REF!)*42/1000</f>
        <v>#REF!</v>
      </c>
      <c r="L73" s="112" t="e">
        <f t="shared" ref="L73:U83" si="32">L72+L40+L24-L56</f>
        <v>#REF!</v>
      </c>
      <c r="M73" s="112" t="e">
        <f t="shared" si="32"/>
        <v>#REF!</v>
      </c>
      <c r="N73" s="112" t="e">
        <f t="shared" si="32"/>
        <v>#REF!</v>
      </c>
      <c r="O73" s="112" t="e">
        <f t="shared" si="32"/>
        <v>#REF!</v>
      </c>
      <c r="P73" s="112" t="e">
        <f t="shared" si="32"/>
        <v>#REF!</v>
      </c>
      <c r="Q73" s="112" t="e">
        <f t="shared" si="32"/>
        <v>#REF!</v>
      </c>
      <c r="R73" s="112" t="e">
        <f t="shared" si="32"/>
        <v>#REF!</v>
      </c>
      <c r="S73" s="112" t="e">
        <f t="shared" si="32"/>
        <v>#REF!</v>
      </c>
      <c r="T73" s="112" t="e">
        <f t="shared" si="32"/>
        <v>#REF!</v>
      </c>
      <c r="U73" s="112" t="e">
        <f t="shared" si="32"/>
        <v>#REF!</v>
      </c>
    </row>
    <row r="74" spans="1:21">
      <c r="A74" s="5" t="s">
        <v>100</v>
      </c>
      <c r="E74" s="111" t="e">
        <f>(monthly_data!#REF!)*42/1000</f>
        <v>#REF!</v>
      </c>
      <c r="F74" s="111" t="e">
        <f>(monthly_data!#REF!)*42/1000</f>
        <v>#REF!</v>
      </c>
      <c r="G74" s="111" t="e">
        <f>(monthly_data!#REF!)*42/1000</f>
        <v>#REF!</v>
      </c>
      <c r="H74" s="111" t="e">
        <f>(monthly_data!#REF!)*42/1000</f>
        <v>#REF!</v>
      </c>
      <c r="I74" s="111" t="e">
        <f>(monthly_data!#REF!)*42/1000</f>
        <v>#REF!</v>
      </c>
      <c r="J74" s="111" t="e">
        <f>(monthly_data!#REF!)*42/1000</f>
        <v>#REF!</v>
      </c>
      <c r="K74" s="111" t="e">
        <f>(monthly_data!#REF!)*42/1000</f>
        <v>#REF!</v>
      </c>
      <c r="L74" s="112" t="e">
        <f t="shared" si="32"/>
        <v>#REF!</v>
      </c>
      <c r="M74" s="112" t="e">
        <f t="shared" si="32"/>
        <v>#REF!</v>
      </c>
      <c r="N74" s="112" t="e">
        <f t="shared" si="32"/>
        <v>#REF!</v>
      </c>
      <c r="O74" s="112" t="e">
        <f t="shared" si="32"/>
        <v>#REF!</v>
      </c>
      <c r="P74" s="112" t="e">
        <f t="shared" si="32"/>
        <v>#REF!</v>
      </c>
      <c r="Q74" s="112" t="e">
        <f t="shared" si="32"/>
        <v>#REF!</v>
      </c>
      <c r="R74" s="112" t="e">
        <f t="shared" si="32"/>
        <v>#REF!</v>
      </c>
      <c r="S74" s="112" t="e">
        <f t="shared" si="32"/>
        <v>#REF!</v>
      </c>
      <c r="T74" s="112" t="e">
        <f t="shared" si="32"/>
        <v>#REF!</v>
      </c>
      <c r="U74" s="112" t="e">
        <f t="shared" si="32"/>
        <v>#REF!</v>
      </c>
    </row>
    <row r="75" spans="1:21">
      <c r="A75" s="5" t="s">
        <v>101</v>
      </c>
      <c r="E75" s="111" t="e">
        <f>(monthly_data!#REF!)*42/1000</f>
        <v>#REF!</v>
      </c>
      <c r="F75" s="111" t="e">
        <f>(monthly_data!#REF!)*42/1000</f>
        <v>#REF!</v>
      </c>
      <c r="G75" s="111" t="e">
        <f>(monthly_data!#REF!)*42/1000</f>
        <v>#REF!</v>
      </c>
      <c r="H75" s="111" t="e">
        <f>(monthly_data!#REF!)*42/1000</f>
        <v>#REF!</v>
      </c>
      <c r="I75" s="111" t="e">
        <f>(monthly_data!#REF!)*42/1000</f>
        <v>#REF!</v>
      </c>
      <c r="J75" s="111" t="e">
        <f>(monthly_data!#REF!)*42/1000</f>
        <v>#REF!</v>
      </c>
      <c r="K75" s="111" t="e">
        <f>(monthly_data!#REF!)*42/1000</f>
        <v>#REF!</v>
      </c>
      <c r="L75" s="112" t="e">
        <f t="shared" si="32"/>
        <v>#REF!</v>
      </c>
      <c r="M75" s="112" t="e">
        <f t="shared" si="32"/>
        <v>#REF!</v>
      </c>
      <c r="N75" s="112" t="e">
        <f t="shared" si="32"/>
        <v>#REF!</v>
      </c>
      <c r="O75" s="112" t="e">
        <f t="shared" si="32"/>
        <v>#REF!</v>
      </c>
      <c r="P75" s="112" t="e">
        <f t="shared" si="32"/>
        <v>#REF!</v>
      </c>
      <c r="Q75" s="112" t="e">
        <f t="shared" si="32"/>
        <v>#REF!</v>
      </c>
      <c r="R75" s="112" t="e">
        <f t="shared" si="32"/>
        <v>#REF!</v>
      </c>
      <c r="S75" s="112" t="e">
        <f t="shared" si="32"/>
        <v>#REF!</v>
      </c>
      <c r="T75" s="112" t="e">
        <f t="shared" si="32"/>
        <v>#REF!</v>
      </c>
      <c r="U75" s="112" t="e">
        <f t="shared" si="32"/>
        <v>#REF!</v>
      </c>
    </row>
    <row r="76" spans="1:21">
      <c r="A76" s="5" t="s">
        <v>102</v>
      </c>
      <c r="E76" s="111" t="e">
        <f>(monthly_data!#REF!)*42/1000</f>
        <v>#REF!</v>
      </c>
      <c r="F76" s="111" t="e">
        <f>(monthly_data!#REF!)*42/1000</f>
        <v>#REF!</v>
      </c>
      <c r="G76" s="111" t="e">
        <f>(monthly_data!#REF!)*42/1000</f>
        <v>#REF!</v>
      </c>
      <c r="H76" s="111" t="e">
        <f>(monthly_data!#REF!)*42/1000</f>
        <v>#REF!</v>
      </c>
      <c r="I76" s="111" t="e">
        <f>(monthly_data!#REF!)*42/1000</f>
        <v>#REF!</v>
      </c>
      <c r="J76" s="111" t="e">
        <f>(monthly_data!#REF!)*42/1000</f>
        <v>#REF!</v>
      </c>
      <c r="K76" s="112" t="e">
        <f t="shared" ref="K76:K83" si="33">K75+K43+K27-K59</f>
        <v>#REF!</v>
      </c>
      <c r="L76" s="112" t="e">
        <f t="shared" si="32"/>
        <v>#REF!</v>
      </c>
      <c r="M76" s="112" t="e">
        <f t="shared" si="32"/>
        <v>#REF!</v>
      </c>
      <c r="N76" s="112" t="e">
        <f t="shared" si="32"/>
        <v>#REF!</v>
      </c>
      <c r="O76" s="112" t="e">
        <f t="shared" si="32"/>
        <v>#REF!</v>
      </c>
      <c r="P76" s="112" t="e">
        <f t="shared" si="32"/>
        <v>#REF!</v>
      </c>
      <c r="Q76" s="112" t="e">
        <f t="shared" si="32"/>
        <v>#REF!</v>
      </c>
      <c r="R76" s="112" t="e">
        <f t="shared" si="32"/>
        <v>#REF!</v>
      </c>
      <c r="S76" s="112" t="e">
        <f t="shared" si="32"/>
        <v>#REF!</v>
      </c>
      <c r="T76" s="112" t="e">
        <f t="shared" si="32"/>
        <v>#REF!</v>
      </c>
      <c r="U76" s="112" t="e">
        <f t="shared" si="32"/>
        <v>#REF!</v>
      </c>
    </row>
    <row r="77" spans="1:21">
      <c r="A77" s="5" t="s">
        <v>103</v>
      </c>
      <c r="E77" s="111" t="e">
        <f>(monthly_data!#REF!)*42/1000</f>
        <v>#REF!</v>
      </c>
      <c r="F77" s="111" t="e">
        <f>(monthly_data!#REF!)*42/1000</f>
        <v>#REF!</v>
      </c>
      <c r="G77" s="111" t="e">
        <f>(monthly_data!#REF!)*42/1000</f>
        <v>#REF!</v>
      </c>
      <c r="H77" s="111" t="e">
        <f>(monthly_data!#REF!)*42/1000</f>
        <v>#REF!</v>
      </c>
      <c r="I77" s="111" t="e">
        <f>(monthly_data!#REF!)*42/1000</f>
        <v>#REF!</v>
      </c>
      <c r="J77" s="111" t="e">
        <f>(monthly_data!#REF!)*42/1000</f>
        <v>#REF!</v>
      </c>
      <c r="K77" s="112" t="e">
        <f t="shared" si="33"/>
        <v>#REF!</v>
      </c>
      <c r="L77" s="112" t="e">
        <f t="shared" si="32"/>
        <v>#REF!</v>
      </c>
      <c r="M77" s="112" t="e">
        <f t="shared" si="32"/>
        <v>#REF!</v>
      </c>
      <c r="N77" s="112" t="e">
        <f t="shared" si="32"/>
        <v>#REF!</v>
      </c>
      <c r="O77" s="112" t="e">
        <f t="shared" si="32"/>
        <v>#REF!</v>
      </c>
      <c r="P77" s="112" t="e">
        <f t="shared" si="32"/>
        <v>#REF!</v>
      </c>
      <c r="Q77" s="112" t="e">
        <f t="shared" si="32"/>
        <v>#REF!</v>
      </c>
      <c r="R77" s="112" t="e">
        <f t="shared" si="32"/>
        <v>#REF!</v>
      </c>
      <c r="S77" s="112" t="e">
        <f t="shared" si="32"/>
        <v>#REF!</v>
      </c>
      <c r="T77" s="112" t="e">
        <f t="shared" si="32"/>
        <v>#REF!</v>
      </c>
      <c r="U77" s="112" t="e">
        <f t="shared" si="32"/>
        <v>#REF!</v>
      </c>
    </row>
    <row r="78" spans="1:21">
      <c r="A78" s="5" t="s">
        <v>104</v>
      </c>
      <c r="E78" s="111" t="e">
        <f>(monthly_data!#REF!)*42/1000</f>
        <v>#REF!</v>
      </c>
      <c r="F78" s="111" t="e">
        <f>(monthly_data!#REF!)*42/1000</f>
        <v>#REF!</v>
      </c>
      <c r="G78" s="111" t="e">
        <f>(monthly_data!#REF!)*42/1000</f>
        <v>#REF!</v>
      </c>
      <c r="H78" s="111" t="e">
        <f>(monthly_data!#REF!)*42/1000</f>
        <v>#REF!</v>
      </c>
      <c r="I78" s="111" t="e">
        <f>(monthly_data!#REF!)*42/1000</f>
        <v>#REF!</v>
      </c>
      <c r="J78" s="111" t="e">
        <f>(monthly_data!#REF!)*42/1000</f>
        <v>#REF!</v>
      </c>
      <c r="K78" s="112" t="e">
        <f t="shared" si="33"/>
        <v>#REF!</v>
      </c>
      <c r="L78" s="112" t="e">
        <f t="shared" si="32"/>
        <v>#REF!</v>
      </c>
      <c r="M78" s="112" t="e">
        <f t="shared" si="32"/>
        <v>#REF!</v>
      </c>
      <c r="N78" s="112" t="e">
        <f t="shared" si="32"/>
        <v>#REF!</v>
      </c>
      <c r="O78" s="112" t="e">
        <f t="shared" si="32"/>
        <v>#REF!</v>
      </c>
      <c r="P78" s="112" t="e">
        <f t="shared" si="32"/>
        <v>#REF!</v>
      </c>
      <c r="Q78" s="112" t="e">
        <f t="shared" si="32"/>
        <v>#REF!</v>
      </c>
      <c r="R78" s="112" t="e">
        <f t="shared" si="32"/>
        <v>#REF!</v>
      </c>
      <c r="S78" s="112" t="e">
        <f t="shared" si="32"/>
        <v>#REF!</v>
      </c>
      <c r="T78" s="112" t="e">
        <f t="shared" si="32"/>
        <v>#REF!</v>
      </c>
      <c r="U78" s="112" t="e">
        <f t="shared" si="32"/>
        <v>#REF!</v>
      </c>
    </row>
    <row r="79" spans="1:21">
      <c r="A79" s="5" t="s">
        <v>105</v>
      </c>
      <c r="E79" s="111" t="e">
        <f>(monthly_data!#REF!)*42/1000</f>
        <v>#REF!</v>
      </c>
      <c r="F79" s="111" t="e">
        <f>(monthly_data!#REF!)*42/1000</f>
        <v>#REF!</v>
      </c>
      <c r="G79" s="111" t="e">
        <f>(monthly_data!#REF!)*42/1000</f>
        <v>#REF!</v>
      </c>
      <c r="H79" s="111" t="e">
        <f>(monthly_data!#REF!)*42/1000</f>
        <v>#REF!</v>
      </c>
      <c r="I79" s="111" t="e">
        <f>(monthly_data!#REF!)*42/1000</f>
        <v>#REF!</v>
      </c>
      <c r="J79" s="111" t="e">
        <f>(monthly_data!#REF!)*42/1000</f>
        <v>#REF!</v>
      </c>
      <c r="K79" s="112" t="e">
        <f t="shared" si="33"/>
        <v>#REF!</v>
      </c>
      <c r="L79" s="112" t="e">
        <f t="shared" si="32"/>
        <v>#REF!</v>
      </c>
      <c r="M79" s="112" t="e">
        <f t="shared" si="32"/>
        <v>#REF!</v>
      </c>
      <c r="N79" s="112" t="e">
        <f t="shared" si="32"/>
        <v>#REF!</v>
      </c>
      <c r="O79" s="112" t="e">
        <f t="shared" si="32"/>
        <v>#REF!</v>
      </c>
      <c r="P79" s="112" t="e">
        <f t="shared" si="32"/>
        <v>#REF!</v>
      </c>
      <c r="Q79" s="112" t="e">
        <f t="shared" si="32"/>
        <v>#REF!</v>
      </c>
      <c r="R79" s="112" t="e">
        <f t="shared" si="32"/>
        <v>#REF!</v>
      </c>
      <c r="S79" s="112" t="e">
        <f t="shared" si="32"/>
        <v>#REF!</v>
      </c>
      <c r="T79" s="112" t="e">
        <f t="shared" si="32"/>
        <v>#REF!</v>
      </c>
      <c r="U79" s="112" t="e">
        <f t="shared" si="32"/>
        <v>#REF!</v>
      </c>
    </row>
    <row r="80" spans="1:21">
      <c r="A80" s="5" t="s">
        <v>106</v>
      </c>
      <c r="E80" s="111" t="e">
        <f>(monthly_data!#REF!)*42/1000</f>
        <v>#REF!</v>
      </c>
      <c r="F80" s="111" t="e">
        <f>(monthly_data!#REF!)*42/1000</f>
        <v>#REF!</v>
      </c>
      <c r="G80" s="111" t="e">
        <f>(monthly_data!#REF!)*42/1000</f>
        <v>#REF!</v>
      </c>
      <c r="H80" s="111" t="e">
        <f>(monthly_data!#REF!)*42/1000</f>
        <v>#REF!</v>
      </c>
      <c r="I80" s="111" t="e">
        <f>(monthly_data!#REF!)*42/1000</f>
        <v>#REF!</v>
      </c>
      <c r="J80" s="111" t="e">
        <f>(monthly_data!#REF!)*42/1000</f>
        <v>#REF!</v>
      </c>
      <c r="K80" s="112" t="e">
        <f t="shared" si="33"/>
        <v>#REF!</v>
      </c>
      <c r="L80" s="112" t="e">
        <f t="shared" si="32"/>
        <v>#REF!</v>
      </c>
      <c r="M80" s="112" t="e">
        <f t="shared" si="32"/>
        <v>#REF!</v>
      </c>
      <c r="N80" s="112" t="e">
        <f t="shared" si="32"/>
        <v>#REF!</v>
      </c>
      <c r="O80" s="112" t="e">
        <f t="shared" si="32"/>
        <v>#REF!</v>
      </c>
      <c r="P80" s="112" t="e">
        <f t="shared" si="32"/>
        <v>#REF!</v>
      </c>
      <c r="Q80" s="112" t="e">
        <f t="shared" si="32"/>
        <v>#REF!</v>
      </c>
      <c r="R80" s="112" t="e">
        <f t="shared" si="32"/>
        <v>#REF!</v>
      </c>
      <c r="S80" s="112" t="e">
        <f t="shared" si="32"/>
        <v>#REF!</v>
      </c>
      <c r="T80" s="112" t="e">
        <f t="shared" si="32"/>
        <v>#REF!</v>
      </c>
      <c r="U80" s="112" t="e">
        <f t="shared" si="32"/>
        <v>#REF!</v>
      </c>
    </row>
    <row r="81" spans="1:21">
      <c r="A81" s="5" t="s">
        <v>107</v>
      </c>
      <c r="E81" s="111" t="e">
        <f>(monthly_data!#REF!)*42/1000</f>
        <v>#REF!</v>
      </c>
      <c r="F81" s="111" t="e">
        <f>(monthly_data!#REF!)*42/1000</f>
        <v>#REF!</v>
      </c>
      <c r="G81" s="111" t="e">
        <f>(monthly_data!#REF!)*42/1000</f>
        <v>#REF!</v>
      </c>
      <c r="H81" s="111" t="e">
        <f>(monthly_data!#REF!)*42/1000</f>
        <v>#REF!</v>
      </c>
      <c r="I81" s="111" t="e">
        <f>(monthly_data!#REF!)*42/1000</f>
        <v>#REF!</v>
      </c>
      <c r="J81" s="111" t="e">
        <f>(monthly_data!#REF!)*42/1000</f>
        <v>#REF!</v>
      </c>
      <c r="K81" s="112" t="e">
        <f t="shared" si="33"/>
        <v>#REF!</v>
      </c>
      <c r="L81" s="112" t="e">
        <f t="shared" si="32"/>
        <v>#REF!</v>
      </c>
      <c r="M81" s="112" t="e">
        <f t="shared" si="32"/>
        <v>#REF!</v>
      </c>
      <c r="N81" s="112" t="e">
        <f t="shared" si="32"/>
        <v>#REF!</v>
      </c>
      <c r="O81" s="112" t="e">
        <f t="shared" si="32"/>
        <v>#REF!</v>
      </c>
      <c r="P81" s="112" t="e">
        <f t="shared" si="32"/>
        <v>#REF!</v>
      </c>
      <c r="Q81" s="112" t="e">
        <f t="shared" si="32"/>
        <v>#REF!</v>
      </c>
      <c r="R81" s="112" t="e">
        <f t="shared" si="32"/>
        <v>#REF!</v>
      </c>
      <c r="S81" s="112" t="e">
        <f t="shared" si="32"/>
        <v>#REF!</v>
      </c>
      <c r="T81" s="112" t="e">
        <f t="shared" si="32"/>
        <v>#REF!</v>
      </c>
      <c r="U81" s="112" t="e">
        <f t="shared" si="32"/>
        <v>#REF!</v>
      </c>
    </row>
    <row r="82" spans="1:21">
      <c r="A82" s="5" t="s">
        <v>108</v>
      </c>
      <c r="E82" s="111" t="e">
        <f>(monthly_data!#REF!)*42/1000</f>
        <v>#REF!</v>
      </c>
      <c r="F82" s="111" t="e">
        <f>(monthly_data!#REF!)*42/1000</f>
        <v>#REF!</v>
      </c>
      <c r="G82" s="111" t="e">
        <f>(monthly_data!#REF!)*42/1000</f>
        <v>#REF!</v>
      </c>
      <c r="H82" s="111" t="e">
        <f>(monthly_data!#REF!)*42/1000</f>
        <v>#REF!</v>
      </c>
      <c r="I82" s="111" t="e">
        <f>(monthly_data!#REF!)*42/1000</f>
        <v>#REF!</v>
      </c>
      <c r="J82" s="111" t="e">
        <f>(monthly_data!#REF!)*42/1000</f>
        <v>#REF!</v>
      </c>
      <c r="K82" s="112" t="e">
        <f t="shared" si="33"/>
        <v>#REF!</v>
      </c>
      <c r="L82" s="112" t="e">
        <f t="shared" si="32"/>
        <v>#REF!</v>
      </c>
      <c r="M82" s="112" t="e">
        <f t="shared" si="32"/>
        <v>#REF!</v>
      </c>
      <c r="N82" s="112" t="e">
        <f t="shared" si="32"/>
        <v>#REF!</v>
      </c>
      <c r="O82" s="112" t="e">
        <f t="shared" si="32"/>
        <v>#REF!</v>
      </c>
      <c r="P82" s="112" t="e">
        <f t="shared" si="32"/>
        <v>#REF!</v>
      </c>
      <c r="Q82" s="112" t="e">
        <f t="shared" si="32"/>
        <v>#REF!</v>
      </c>
      <c r="R82" s="112" t="e">
        <f t="shared" si="32"/>
        <v>#REF!</v>
      </c>
      <c r="S82" s="112" t="e">
        <f t="shared" si="32"/>
        <v>#REF!</v>
      </c>
      <c r="T82" s="112" t="e">
        <f t="shared" si="32"/>
        <v>#REF!</v>
      </c>
      <c r="U82" s="112" t="e">
        <f t="shared" si="32"/>
        <v>#REF!</v>
      </c>
    </row>
    <row r="83" spans="1:21">
      <c r="A83" s="5" t="s">
        <v>109</v>
      </c>
      <c r="E83" s="111" t="e">
        <f>(monthly_data!#REF!)*42/1000</f>
        <v>#REF!</v>
      </c>
      <c r="F83" s="111" t="e">
        <f>(monthly_data!#REF!)*42/1000</f>
        <v>#REF!</v>
      </c>
      <c r="G83" s="111" t="e">
        <f>(monthly_data!#REF!)*42/1000</f>
        <v>#REF!</v>
      </c>
      <c r="H83" s="111" t="e">
        <f>(monthly_data!#REF!)*42/1000</f>
        <v>#REF!</v>
      </c>
      <c r="I83" s="111" t="e">
        <f>(monthly_data!#REF!)*42/1000</f>
        <v>#REF!</v>
      </c>
      <c r="J83" s="111" t="e">
        <f>(monthly_data!#REF!)*42/1000</f>
        <v>#REF!</v>
      </c>
      <c r="K83" s="112" t="e">
        <f t="shared" si="33"/>
        <v>#REF!</v>
      </c>
      <c r="L83" s="112" t="e">
        <f t="shared" si="32"/>
        <v>#REF!</v>
      </c>
      <c r="M83" s="112" t="e">
        <f t="shared" si="32"/>
        <v>#REF!</v>
      </c>
      <c r="N83" s="112" t="e">
        <f t="shared" si="32"/>
        <v>#REF!</v>
      </c>
      <c r="O83" s="112" t="e">
        <f t="shared" si="32"/>
        <v>#REF!</v>
      </c>
      <c r="P83" s="112" t="e">
        <f t="shared" si="32"/>
        <v>#REF!</v>
      </c>
      <c r="Q83" s="112" t="e">
        <f t="shared" si="32"/>
        <v>#REF!</v>
      </c>
      <c r="R83" s="112" t="e">
        <f t="shared" si="32"/>
        <v>#REF!</v>
      </c>
      <c r="S83" s="112" t="e">
        <f t="shared" si="32"/>
        <v>#REF!</v>
      </c>
      <c r="T83" s="112" t="e">
        <f t="shared" si="32"/>
        <v>#REF!</v>
      </c>
      <c r="U83" s="112" t="e">
        <f t="shared" si="32"/>
        <v>#REF!</v>
      </c>
    </row>
    <row r="84" spans="1:21">
      <c r="A84" s="117"/>
      <c r="B84" s="117"/>
      <c r="C84" s="117"/>
      <c r="D84" s="117"/>
      <c r="E84" s="117"/>
      <c r="F84" s="117"/>
      <c r="G84" s="117"/>
      <c r="H84" s="117"/>
      <c r="I84" s="117"/>
      <c r="J84" s="117"/>
      <c r="K84" s="117"/>
      <c r="L84" s="117"/>
      <c r="M84" s="117"/>
      <c r="N84" s="117"/>
      <c r="O84" s="117"/>
      <c r="P84" s="117"/>
      <c r="Q84" s="117"/>
      <c r="R84" s="117"/>
      <c r="S84" s="117"/>
      <c r="T84" s="117"/>
      <c r="U84" s="117"/>
    </row>
    <row r="85" spans="1:21" ht="15.75" thickBot="1">
      <c r="A85" s="4" t="s">
        <v>122</v>
      </c>
      <c r="B85" s="4"/>
      <c r="C85" s="4"/>
      <c r="D85" s="4"/>
      <c r="H85" s="5"/>
      <c r="I85" s="5"/>
      <c r="J85" s="5"/>
      <c r="K85" s="5"/>
      <c r="L85" s="5"/>
      <c r="M85" s="5"/>
      <c r="N85" s="5"/>
      <c r="O85" s="5"/>
      <c r="P85" s="5"/>
      <c r="Q85" s="5"/>
      <c r="R85" s="5"/>
      <c r="S85" s="5"/>
      <c r="T85" s="5"/>
      <c r="U85" s="5"/>
    </row>
    <row r="86" spans="1:21" ht="15.75" thickBot="1">
      <c r="A86" s="72" t="s">
        <v>86</v>
      </c>
      <c r="B86" s="73"/>
      <c r="C86" s="73"/>
      <c r="D86" s="73"/>
      <c r="E86" s="110">
        <f t="shared" ref="E86:U86" si="34">E2</f>
        <v>2018</v>
      </c>
      <c r="F86" s="110">
        <f t="shared" si="34"/>
        <v>2019</v>
      </c>
      <c r="G86" s="110">
        <f t="shared" si="34"/>
        <v>2020</v>
      </c>
      <c r="H86" s="110">
        <f t="shared" si="34"/>
        <v>2021</v>
      </c>
      <c r="I86" s="110">
        <f t="shared" si="34"/>
        <v>2022</v>
      </c>
      <c r="J86" s="110">
        <f t="shared" si="34"/>
        <v>2023</v>
      </c>
      <c r="K86" s="110">
        <f t="shared" si="34"/>
        <v>2024</v>
      </c>
      <c r="L86" s="110">
        <f t="shared" si="34"/>
        <v>2025</v>
      </c>
      <c r="M86" s="110">
        <f t="shared" si="34"/>
        <v>2026</v>
      </c>
      <c r="N86" s="110">
        <f t="shared" si="34"/>
        <v>2027</v>
      </c>
      <c r="O86" s="110">
        <f t="shared" si="34"/>
        <v>2028</v>
      </c>
      <c r="P86" s="110">
        <f t="shared" si="34"/>
        <v>2029</v>
      </c>
      <c r="Q86" s="110">
        <f t="shared" si="34"/>
        <v>2030</v>
      </c>
      <c r="R86" s="110">
        <f t="shared" si="34"/>
        <v>2031</v>
      </c>
      <c r="S86" s="110">
        <f t="shared" si="34"/>
        <v>2032</v>
      </c>
      <c r="T86" s="110">
        <f t="shared" si="34"/>
        <v>2033</v>
      </c>
      <c r="U86" s="110">
        <f t="shared" si="34"/>
        <v>2034</v>
      </c>
    </row>
    <row r="87" spans="1:21">
      <c r="A87" s="5" t="s">
        <v>98</v>
      </c>
      <c r="E87" s="118" t="e">
        <f>monthly_data!#REF!</f>
        <v>#REF!</v>
      </c>
      <c r="F87" s="118" t="e">
        <f>monthly_data!#REF!</f>
        <v>#REF!</v>
      </c>
      <c r="G87" s="118" t="e">
        <f>monthly_data!#REF!</f>
        <v>#REF!</v>
      </c>
      <c r="H87" s="118" t="e">
        <f>monthly_data!#REF!</f>
        <v>#REF!</v>
      </c>
      <c r="I87" s="118" t="e">
        <f>monthly_data!#REF!</f>
        <v>#REF!</v>
      </c>
      <c r="J87" s="118" t="e">
        <f>monthly_data!#REF!</f>
        <v>#REF!</v>
      </c>
      <c r="K87" s="118" t="e">
        <f>monthly_data!#REF!</f>
        <v>#REF!</v>
      </c>
      <c r="L87" s="119" t="e">
        <f t="shared" ref="L87:L97" si="35">L$99*(SUM(G87:K87)/SUM(G$99:K$99))</f>
        <v>#REF!</v>
      </c>
      <c r="M87" s="119" t="e">
        <f t="shared" ref="M87:M97" si="36">M$99*(SUM(H87:L87)/SUM(H$99:L$99))</f>
        <v>#REF!</v>
      </c>
      <c r="N87" s="119" t="e">
        <f t="shared" ref="N87:U97" si="37">N$99*(SUM(I87:M87)/SUM(I$99:M$99))</f>
        <v>#REF!</v>
      </c>
      <c r="O87" s="119" t="e">
        <f t="shared" si="37"/>
        <v>#REF!</v>
      </c>
      <c r="P87" s="119" t="e">
        <f t="shared" si="37"/>
        <v>#REF!</v>
      </c>
      <c r="Q87" s="119" t="e">
        <f t="shared" si="37"/>
        <v>#REF!</v>
      </c>
      <c r="R87" s="119" t="e">
        <f t="shared" si="37"/>
        <v>#REF!</v>
      </c>
      <c r="S87" s="119" t="e">
        <f t="shared" si="37"/>
        <v>#REF!</v>
      </c>
      <c r="T87" s="119" t="e">
        <f t="shared" si="37"/>
        <v>#REF!</v>
      </c>
      <c r="U87" s="119" t="e">
        <f t="shared" si="37"/>
        <v>#REF!</v>
      </c>
    </row>
    <row r="88" spans="1:21">
      <c r="A88" s="5" t="s">
        <v>99</v>
      </c>
      <c r="E88" s="118" t="e">
        <f>monthly_data!#REF!</f>
        <v>#REF!</v>
      </c>
      <c r="F88" s="118" t="e">
        <f>monthly_data!#REF!</f>
        <v>#REF!</v>
      </c>
      <c r="G88" s="118" t="e">
        <f>monthly_data!#REF!</f>
        <v>#REF!</v>
      </c>
      <c r="H88" s="118" t="e">
        <f>monthly_data!#REF!</f>
        <v>#REF!</v>
      </c>
      <c r="I88" s="118" t="e">
        <f>monthly_data!#REF!</f>
        <v>#REF!</v>
      </c>
      <c r="J88" s="118" t="e">
        <f>monthly_data!#REF!</f>
        <v>#REF!</v>
      </c>
      <c r="K88" s="118" t="e">
        <f>monthly_data!#REF!</f>
        <v>#REF!</v>
      </c>
      <c r="L88" s="119" t="e">
        <f t="shared" si="35"/>
        <v>#REF!</v>
      </c>
      <c r="M88" s="119" t="e">
        <f t="shared" si="36"/>
        <v>#REF!</v>
      </c>
      <c r="N88" s="119" t="e">
        <f t="shared" si="37"/>
        <v>#REF!</v>
      </c>
      <c r="O88" s="119" t="e">
        <f t="shared" si="37"/>
        <v>#REF!</v>
      </c>
      <c r="P88" s="119" t="e">
        <f t="shared" si="37"/>
        <v>#REF!</v>
      </c>
      <c r="Q88" s="119" t="e">
        <f t="shared" si="37"/>
        <v>#REF!</v>
      </c>
      <c r="R88" s="119" t="e">
        <f t="shared" si="37"/>
        <v>#REF!</v>
      </c>
      <c r="S88" s="119" t="e">
        <f t="shared" si="37"/>
        <v>#REF!</v>
      </c>
      <c r="T88" s="119" t="e">
        <f t="shared" si="37"/>
        <v>#REF!</v>
      </c>
      <c r="U88" s="119" t="e">
        <f t="shared" si="37"/>
        <v>#REF!</v>
      </c>
    </row>
    <row r="89" spans="1:21">
      <c r="A89" s="5" t="s">
        <v>100</v>
      </c>
      <c r="E89" s="118" t="e">
        <f>monthly_data!#REF!</f>
        <v>#REF!</v>
      </c>
      <c r="F89" s="118" t="e">
        <f>monthly_data!#REF!</f>
        <v>#REF!</v>
      </c>
      <c r="G89" s="118" t="e">
        <f>monthly_data!#REF!</f>
        <v>#REF!</v>
      </c>
      <c r="H89" s="118" t="e">
        <f>monthly_data!#REF!</f>
        <v>#REF!</v>
      </c>
      <c r="I89" s="118" t="e">
        <f>monthly_data!#REF!</f>
        <v>#REF!</v>
      </c>
      <c r="J89" s="118" t="e">
        <f>monthly_data!#REF!</f>
        <v>#REF!</v>
      </c>
      <c r="K89" s="118" t="e">
        <f>monthly_data!#REF!</f>
        <v>#REF!</v>
      </c>
      <c r="L89" s="119" t="e">
        <f t="shared" si="35"/>
        <v>#REF!</v>
      </c>
      <c r="M89" s="119" t="e">
        <f t="shared" si="36"/>
        <v>#REF!</v>
      </c>
      <c r="N89" s="119" t="e">
        <f t="shared" si="37"/>
        <v>#REF!</v>
      </c>
      <c r="O89" s="119" t="e">
        <f t="shared" si="37"/>
        <v>#REF!</v>
      </c>
      <c r="P89" s="119" t="e">
        <f t="shared" si="37"/>
        <v>#REF!</v>
      </c>
      <c r="Q89" s="119" t="e">
        <f t="shared" si="37"/>
        <v>#REF!</v>
      </c>
      <c r="R89" s="119" t="e">
        <f t="shared" si="37"/>
        <v>#REF!</v>
      </c>
      <c r="S89" s="119" t="e">
        <f t="shared" si="37"/>
        <v>#REF!</v>
      </c>
      <c r="T89" s="119" t="e">
        <f t="shared" si="37"/>
        <v>#REF!</v>
      </c>
      <c r="U89" s="119" t="e">
        <f t="shared" si="37"/>
        <v>#REF!</v>
      </c>
    </row>
    <row r="90" spans="1:21">
      <c r="A90" s="5" t="s">
        <v>101</v>
      </c>
      <c r="E90" s="118" t="e">
        <f>monthly_data!#REF!</f>
        <v>#REF!</v>
      </c>
      <c r="F90" s="118" t="e">
        <f>monthly_data!#REF!</f>
        <v>#REF!</v>
      </c>
      <c r="G90" s="118" t="e">
        <f>monthly_data!#REF!</f>
        <v>#REF!</v>
      </c>
      <c r="H90" s="118" t="e">
        <f>monthly_data!#REF!</f>
        <v>#REF!</v>
      </c>
      <c r="I90" s="118" t="e">
        <f>monthly_data!#REF!</f>
        <v>#REF!</v>
      </c>
      <c r="J90" s="118" t="e">
        <f>monthly_data!#REF!</f>
        <v>#REF!</v>
      </c>
      <c r="K90" s="118" t="e">
        <f>monthly_data!#REF!</f>
        <v>#REF!</v>
      </c>
      <c r="L90" s="119" t="e">
        <f t="shared" si="35"/>
        <v>#REF!</v>
      </c>
      <c r="M90" s="119" t="e">
        <f t="shared" si="36"/>
        <v>#REF!</v>
      </c>
      <c r="N90" s="119" t="e">
        <f t="shared" si="37"/>
        <v>#REF!</v>
      </c>
      <c r="O90" s="119" t="e">
        <f t="shared" si="37"/>
        <v>#REF!</v>
      </c>
      <c r="P90" s="119" t="e">
        <f t="shared" si="37"/>
        <v>#REF!</v>
      </c>
      <c r="Q90" s="119" t="e">
        <f t="shared" si="37"/>
        <v>#REF!</v>
      </c>
      <c r="R90" s="119" t="e">
        <f t="shared" si="37"/>
        <v>#REF!</v>
      </c>
      <c r="S90" s="119" t="e">
        <f t="shared" si="37"/>
        <v>#REF!</v>
      </c>
      <c r="T90" s="119" t="e">
        <f t="shared" si="37"/>
        <v>#REF!</v>
      </c>
      <c r="U90" s="119" t="e">
        <f t="shared" si="37"/>
        <v>#REF!</v>
      </c>
    </row>
    <row r="91" spans="1:21">
      <c r="A91" s="5" t="s">
        <v>102</v>
      </c>
      <c r="E91" s="118" t="e">
        <f>monthly_data!#REF!</f>
        <v>#REF!</v>
      </c>
      <c r="F91" s="118" t="e">
        <f>monthly_data!#REF!</f>
        <v>#REF!</v>
      </c>
      <c r="G91" s="118" t="e">
        <f>monthly_data!#REF!</f>
        <v>#REF!</v>
      </c>
      <c r="H91" s="118" t="e">
        <f>monthly_data!#REF!</f>
        <v>#REF!</v>
      </c>
      <c r="I91" s="118" t="e">
        <f>monthly_data!#REF!</f>
        <v>#REF!</v>
      </c>
      <c r="J91" s="118" t="e">
        <f>monthly_data!#REF!</f>
        <v>#REF!</v>
      </c>
      <c r="K91" s="119" t="e">
        <f t="shared" ref="K91:K97" si="38">K$99*(SUM(F91:J91)/SUM(F$99:J$99))</f>
        <v>#REF!</v>
      </c>
      <c r="L91" s="119" t="e">
        <f t="shared" si="35"/>
        <v>#REF!</v>
      </c>
      <c r="M91" s="119" t="e">
        <f t="shared" si="36"/>
        <v>#REF!</v>
      </c>
      <c r="N91" s="119" t="e">
        <f t="shared" si="37"/>
        <v>#REF!</v>
      </c>
      <c r="O91" s="119" t="e">
        <f t="shared" si="37"/>
        <v>#REF!</v>
      </c>
      <c r="P91" s="119" t="e">
        <f t="shared" si="37"/>
        <v>#REF!</v>
      </c>
      <c r="Q91" s="119" t="e">
        <f t="shared" si="37"/>
        <v>#REF!</v>
      </c>
      <c r="R91" s="119" t="e">
        <f t="shared" si="37"/>
        <v>#REF!</v>
      </c>
      <c r="S91" s="119" t="e">
        <f t="shared" si="37"/>
        <v>#REF!</v>
      </c>
      <c r="T91" s="119" t="e">
        <f t="shared" si="37"/>
        <v>#REF!</v>
      </c>
      <c r="U91" s="119" t="e">
        <f t="shared" si="37"/>
        <v>#REF!</v>
      </c>
    </row>
    <row r="92" spans="1:21">
      <c r="A92" s="5" t="s">
        <v>103</v>
      </c>
      <c r="E92" s="118" t="e">
        <f>monthly_data!#REF!</f>
        <v>#REF!</v>
      </c>
      <c r="F92" s="118" t="e">
        <f>monthly_data!#REF!</f>
        <v>#REF!</v>
      </c>
      <c r="G92" s="118" t="e">
        <f>monthly_data!#REF!</f>
        <v>#REF!</v>
      </c>
      <c r="H92" s="118" t="e">
        <f>monthly_data!#REF!</f>
        <v>#REF!</v>
      </c>
      <c r="I92" s="118" t="e">
        <f>monthly_data!#REF!</f>
        <v>#REF!</v>
      </c>
      <c r="J92" s="118" t="e">
        <f>monthly_data!#REF!</f>
        <v>#REF!</v>
      </c>
      <c r="K92" s="119" t="e">
        <f t="shared" si="38"/>
        <v>#REF!</v>
      </c>
      <c r="L92" s="119" t="e">
        <f t="shared" si="35"/>
        <v>#REF!</v>
      </c>
      <c r="M92" s="119" t="e">
        <f t="shared" si="36"/>
        <v>#REF!</v>
      </c>
      <c r="N92" s="119" t="e">
        <f t="shared" si="37"/>
        <v>#REF!</v>
      </c>
      <c r="O92" s="119" t="e">
        <f t="shared" si="37"/>
        <v>#REF!</v>
      </c>
      <c r="P92" s="119" t="e">
        <f t="shared" si="37"/>
        <v>#REF!</v>
      </c>
      <c r="Q92" s="119" t="e">
        <f t="shared" si="37"/>
        <v>#REF!</v>
      </c>
      <c r="R92" s="119" t="e">
        <f t="shared" si="37"/>
        <v>#REF!</v>
      </c>
      <c r="S92" s="119" t="e">
        <f t="shared" si="37"/>
        <v>#REF!</v>
      </c>
      <c r="T92" s="119" t="e">
        <f t="shared" si="37"/>
        <v>#REF!</v>
      </c>
      <c r="U92" s="119" t="e">
        <f t="shared" si="37"/>
        <v>#REF!</v>
      </c>
    </row>
    <row r="93" spans="1:21">
      <c r="A93" s="5" t="s">
        <v>104</v>
      </c>
      <c r="E93" s="118" t="e">
        <f>monthly_data!#REF!</f>
        <v>#REF!</v>
      </c>
      <c r="F93" s="118" t="e">
        <f>monthly_data!#REF!</f>
        <v>#REF!</v>
      </c>
      <c r="G93" s="118" t="e">
        <f>monthly_data!#REF!</f>
        <v>#REF!</v>
      </c>
      <c r="H93" s="118" t="e">
        <f>monthly_data!#REF!</f>
        <v>#REF!</v>
      </c>
      <c r="I93" s="118" t="e">
        <f>monthly_data!#REF!</f>
        <v>#REF!</v>
      </c>
      <c r="J93" s="118" t="e">
        <f>monthly_data!#REF!</f>
        <v>#REF!</v>
      </c>
      <c r="K93" s="119" t="e">
        <f t="shared" si="38"/>
        <v>#REF!</v>
      </c>
      <c r="L93" s="119" t="e">
        <f t="shared" si="35"/>
        <v>#REF!</v>
      </c>
      <c r="M93" s="119" t="e">
        <f t="shared" si="36"/>
        <v>#REF!</v>
      </c>
      <c r="N93" s="119" t="e">
        <f t="shared" si="37"/>
        <v>#REF!</v>
      </c>
      <c r="O93" s="119" t="e">
        <f t="shared" si="37"/>
        <v>#REF!</v>
      </c>
      <c r="P93" s="119" t="e">
        <f t="shared" si="37"/>
        <v>#REF!</v>
      </c>
      <c r="Q93" s="119" t="e">
        <f t="shared" si="37"/>
        <v>#REF!</v>
      </c>
      <c r="R93" s="119" t="e">
        <f t="shared" si="37"/>
        <v>#REF!</v>
      </c>
      <c r="S93" s="119" t="e">
        <f t="shared" si="37"/>
        <v>#REF!</v>
      </c>
      <c r="T93" s="119" t="e">
        <f t="shared" si="37"/>
        <v>#REF!</v>
      </c>
      <c r="U93" s="119" t="e">
        <f t="shared" si="37"/>
        <v>#REF!</v>
      </c>
    </row>
    <row r="94" spans="1:21">
      <c r="A94" s="5" t="s">
        <v>105</v>
      </c>
      <c r="E94" s="118" t="e">
        <f>monthly_data!#REF!</f>
        <v>#REF!</v>
      </c>
      <c r="F94" s="118" t="e">
        <f>monthly_data!#REF!</f>
        <v>#REF!</v>
      </c>
      <c r="G94" s="118" t="e">
        <f>monthly_data!#REF!</f>
        <v>#REF!</v>
      </c>
      <c r="H94" s="118" t="e">
        <f>monthly_data!#REF!</f>
        <v>#REF!</v>
      </c>
      <c r="I94" s="118" t="e">
        <f>monthly_data!#REF!</f>
        <v>#REF!</v>
      </c>
      <c r="J94" s="118" t="e">
        <f>monthly_data!#REF!</f>
        <v>#REF!</v>
      </c>
      <c r="K94" s="119" t="e">
        <f t="shared" si="38"/>
        <v>#REF!</v>
      </c>
      <c r="L94" s="119" t="e">
        <f t="shared" si="35"/>
        <v>#REF!</v>
      </c>
      <c r="M94" s="119" t="e">
        <f t="shared" si="36"/>
        <v>#REF!</v>
      </c>
      <c r="N94" s="119" t="e">
        <f t="shared" si="37"/>
        <v>#REF!</v>
      </c>
      <c r="O94" s="119" t="e">
        <f t="shared" si="37"/>
        <v>#REF!</v>
      </c>
      <c r="P94" s="119" t="e">
        <f t="shared" si="37"/>
        <v>#REF!</v>
      </c>
      <c r="Q94" s="119" t="e">
        <f t="shared" si="37"/>
        <v>#REF!</v>
      </c>
      <c r="R94" s="119" t="e">
        <f t="shared" si="37"/>
        <v>#REF!</v>
      </c>
      <c r="S94" s="119" t="e">
        <f t="shared" si="37"/>
        <v>#REF!</v>
      </c>
      <c r="T94" s="119" t="e">
        <f t="shared" si="37"/>
        <v>#REF!</v>
      </c>
      <c r="U94" s="119" t="e">
        <f t="shared" si="37"/>
        <v>#REF!</v>
      </c>
    </row>
    <row r="95" spans="1:21">
      <c r="A95" s="5" t="s">
        <v>106</v>
      </c>
      <c r="E95" s="118" t="e">
        <f>monthly_data!#REF!</f>
        <v>#REF!</v>
      </c>
      <c r="F95" s="118" t="e">
        <f>monthly_data!#REF!</f>
        <v>#REF!</v>
      </c>
      <c r="G95" s="118" t="e">
        <f>monthly_data!#REF!</f>
        <v>#REF!</v>
      </c>
      <c r="H95" s="118" t="e">
        <f>monthly_data!#REF!</f>
        <v>#REF!</v>
      </c>
      <c r="I95" s="118" t="e">
        <f>monthly_data!#REF!</f>
        <v>#REF!</v>
      </c>
      <c r="J95" s="118" t="e">
        <f>monthly_data!#REF!</f>
        <v>#REF!</v>
      </c>
      <c r="K95" s="119" t="e">
        <f t="shared" si="38"/>
        <v>#REF!</v>
      </c>
      <c r="L95" s="119" t="e">
        <f t="shared" si="35"/>
        <v>#REF!</v>
      </c>
      <c r="M95" s="119" t="e">
        <f t="shared" si="36"/>
        <v>#REF!</v>
      </c>
      <c r="N95" s="119" t="e">
        <f t="shared" si="37"/>
        <v>#REF!</v>
      </c>
      <c r="O95" s="119" t="e">
        <f t="shared" si="37"/>
        <v>#REF!</v>
      </c>
      <c r="P95" s="119" t="e">
        <f t="shared" si="37"/>
        <v>#REF!</v>
      </c>
      <c r="Q95" s="119" t="e">
        <f t="shared" si="37"/>
        <v>#REF!</v>
      </c>
      <c r="R95" s="119" t="e">
        <f t="shared" si="37"/>
        <v>#REF!</v>
      </c>
      <c r="S95" s="119" t="e">
        <f t="shared" si="37"/>
        <v>#REF!</v>
      </c>
      <c r="T95" s="119" t="e">
        <f t="shared" si="37"/>
        <v>#REF!</v>
      </c>
      <c r="U95" s="119" t="e">
        <f t="shared" si="37"/>
        <v>#REF!</v>
      </c>
    </row>
    <row r="96" spans="1:21">
      <c r="A96" s="5" t="s">
        <v>107</v>
      </c>
      <c r="E96" s="118" t="e">
        <f>monthly_data!#REF!</f>
        <v>#REF!</v>
      </c>
      <c r="F96" s="118" t="e">
        <f>monthly_data!#REF!</f>
        <v>#REF!</v>
      </c>
      <c r="G96" s="118" t="e">
        <f>monthly_data!#REF!</f>
        <v>#REF!</v>
      </c>
      <c r="H96" s="118" t="e">
        <f>monthly_data!#REF!</f>
        <v>#REF!</v>
      </c>
      <c r="I96" s="118" t="e">
        <f>monthly_data!#REF!</f>
        <v>#REF!</v>
      </c>
      <c r="J96" s="118" t="e">
        <f>monthly_data!#REF!</f>
        <v>#REF!</v>
      </c>
      <c r="K96" s="119" t="e">
        <f t="shared" si="38"/>
        <v>#REF!</v>
      </c>
      <c r="L96" s="119" t="e">
        <f t="shared" si="35"/>
        <v>#REF!</v>
      </c>
      <c r="M96" s="119" t="e">
        <f t="shared" si="36"/>
        <v>#REF!</v>
      </c>
      <c r="N96" s="119" t="e">
        <f t="shared" si="37"/>
        <v>#REF!</v>
      </c>
      <c r="O96" s="119" t="e">
        <f t="shared" si="37"/>
        <v>#REF!</v>
      </c>
      <c r="P96" s="119" t="e">
        <f t="shared" si="37"/>
        <v>#REF!</v>
      </c>
      <c r="Q96" s="119" t="e">
        <f t="shared" si="37"/>
        <v>#REF!</v>
      </c>
      <c r="R96" s="119" t="e">
        <f t="shared" si="37"/>
        <v>#REF!</v>
      </c>
      <c r="S96" s="119" t="e">
        <f t="shared" si="37"/>
        <v>#REF!</v>
      </c>
      <c r="T96" s="119" t="e">
        <f t="shared" si="37"/>
        <v>#REF!</v>
      </c>
      <c r="U96" s="119" t="e">
        <f t="shared" si="37"/>
        <v>#REF!</v>
      </c>
    </row>
    <row r="97" spans="1:21">
      <c r="A97" s="5" t="s">
        <v>108</v>
      </c>
      <c r="E97" s="118" t="e">
        <f>monthly_data!#REF!</f>
        <v>#REF!</v>
      </c>
      <c r="F97" s="118" t="e">
        <f>monthly_data!#REF!</f>
        <v>#REF!</v>
      </c>
      <c r="G97" s="118" t="e">
        <f>monthly_data!#REF!</f>
        <v>#REF!</v>
      </c>
      <c r="H97" s="118" t="e">
        <f>monthly_data!#REF!</f>
        <v>#REF!</v>
      </c>
      <c r="I97" s="118" t="e">
        <f>monthly_data!#REF!</f>
        <v>#REF!</v>
      </c>
      <c r="J97" s="118" t="e">
        <f>monthly_data!#REF!</f>
        <v>#REF!</v>
      </c>
      <c r="K97" s="119" t="e">
        <f t="shared" si="38"/>
        <v>#REF!</v>
      </c>
      <c r="L97" s="119" t="e">
        <f t="shared" si="35"/>
        <v>#REF!</v>
      </c>
      <c r="M97" s="119" t="e">
        <f t="shared" si="36"/>
        <v>#REF!</v>
      </c>
      <c r="N97" s="119" t="e">
        <f t="shared" si="37"/>
        <v>#REF!</v>
      </c>
      <c r="O97" s="119" t="e">
        <f t="shared" si="37"/>
        <v>#REF!</v>
      </c>
      <c r="P97" s="119" t="e">
        <f t="shared" si="37"/>
        <v>#REF!</v>
      </c>
      <c r="Q97" s="119" t="e">
        <f t="shared" si="37"/>
        <v>#REF!</v>
      </c>
      <c r="R97" s="119" t="e">
        <f t="shared" si="37"/>
        <v>#REF!</v>
      </c>
      <c r="S97" s="119" t="e">
        <f t="shared" si="37"/>
        <v>#REF!</v>
      </c>
      <c r="T97" s="119" t="e">
        <f t="shared" si="37"/>
        <v>#REF!</v>
      </c>
      <c r="U97" s="119" t="e">
        <f t="shared" si="37"/>
        <v>#REF!</v>
      </c>
    </row>
    <row r="98" spans="1:21">
      <c r="A98" s="5" t="s">
        <v>109</v>
      </c>
      <c r="E98" s="118" t="e">
        <f>monthly_data!#REF!</f>
        <v>#REF!</v>
      </c>
      <c r="F98" s="118" t="e">
        <f>monthly_data!#REF!</f>
        <v>#REF!</v>
      </c>
      <c r="G98" s="118" t="e">
        <f>monthly_data!#REF!</f>
        <v>#REF!</v>
      </c>
      <c r="H98" s="118" t="e">
        <f>monthly_data!#REF!</f>
        <v>#REF!</v>
      </c>
      <c r="I98" s="118" t="e">
        <f>monthly_data!#REF!</f>
        <v>#REF!</v>
      </c>
      <c r="J98" s="118" t="e">
        <f>monthly_data!#REF!</f>
        <v>#REF!</v>
      </c>
      <c r="K98" s="119" t="e">
        <f t="shared" ref="K98:T98" si="39">K99-SUM(K87:K97)</f>
        <v>#REF!</v>
      </c>
      <c r="L98" s="119" t="e">
        <f t="shared" si="39"/>
        <v>#REF!</v>
      </c>
      <c r="M98" s="119" t="e">
        <f t="shared" si="39"/>
        <v>#REF!</v>
      </c>
      <c r="N98" s="119" t="e">
        <f t="shared" si="39"/>
        <v>#REF!</v>
      </c>
      <c r="O98" s="119" t="e">
        <f t="shared" si="39"/>
        <v>#REF!</v>
      </c>
      <c r="P98" s="119" t="e">
        <f t="shared" si="39"/>
        <v>#REF!</v>
      </c>
      <c r="Q98" s="119" t="e">
        <f t="shared" si="39"/>
        <v>#REF!</v>
      </c>
      <c r="R98" s="119" t="e">
        <f t="shared" si="39"/>
        <v>#REF!</v>
      </c>
      <c r="S98" s="119" t="e">
        <f t="shared" si="39"/>
        <v>#REF!</v>
      </c>
      <c r="T98" s="119" t="e">
        <f t="shared" si="39"/>
        <v>#REF!</v>
      </c>
      <c r="U98" s="119" t="e">
        <f>U99-SUM(U87:U97)</f>
        <v>#REF!</v>
      </c>
    </row>
    <row r="99" spans="1:21">
      <c r="A99" s="77" t="s">
        <v>110</v>
      </c>
      <c r="B99" s="77"/>
      <c r="C99" s="77"/>
      <c r="D99" s="77"/>
      <c r="E99" s="113" t="e">
        <f>SUM(E87:E98)</f>
        <v>#REF!</v>
      </c>
      <c r="F99" s="113" t="e">
        <f>SUM(F87:F98)</f>
        <v>#REF!</v>
      </c>
      <c r="G99" s="113" t="e">
        <f>SUM(G87:G98)</f>
        <v>#REF!</v>
      </c>
      <c r="H99" s="113" t="e">
        <f>SUM(H87:H98)</f>
        <v>#REF!</v>
      </c>
      <c r="I99" s="113" t="e">
        <f>SUM(I87:I98)</f>
        <v>#REF!</v>
      </c>
      <c r="J99" s="114" t="e">
        <f t="shared" ref="J99:T99" si="40">J7</f>
        <v>#REF!</v>
      </c>
      <c r="K99" s="114" t="e">
        <f t="shared" si="40"/>
        <v>#REF!</v>
      </c>
      <c r="L99" s="114" t="e">
        <f t="shared" si="40"/>
        <v>#REF!</v>
      </c>
      <c r="M99" s="114" t="e">
        <f t="shared" si="40"/>
        <v>#REF!</v>
      </c>
      <c r="N99" s="114" t="e">
        <f t="shared" si="40"/>
        <v>#REF!</v>
      </c>
      <c r="O99" s="114" t="e">
        <f t="shared" si="40"/>
        <v>#REF!</v>
      </c>
      <c r="P99" s="114" t="e">
        <f t="shared" si="40"/>
        <v>#REF!</v>
      </c>
      <c r="Q99" s="114" t="e">
        <f t="shared" si="40"/>
        <v>#REF!</v>
      </c>
      <c r="R99" s="114" t="e">
        <f t="shared" si="40"/>
        <v>#REF!</v>
      </c>
      <c r="S99" s="114" t="e">
        <f t="shared" si="40"/>
        <v>#REF!</v>
      </c>
      <c r="T99" s="114" t="e">
        <f t="shared" si="40"/>
        <v>#REF!</v>
      </c>
      <c r="U99" s="114" t="e">
        <f>U7</f>
        <v>#REF!</v>
      </c>
    </row>
    <row r="101" spans="1:21" ht="15.75" thickBot="1">
      <c r="A101" s="4" t="s">
        <v>124</v>
      </c>
      <c r="B101" s="4"/>
      <c r="C101" s="4"/>
      <c r="D101" s="4"/>
      <c r="J101" s="120"/>
    </row>
    <row r="102" spans="1:21" ht="15.75" thickBot="1">
      <c r="A102" s="72" t="s">
        <v>86</v>
      </c>
      <c r="B102" s="73"/>
      <c r="C102" s="73"/>
      <c r="D102" s="73"/>
      <c r="E102" s="110">
        <f t="shared" ref="E102:U102" si="41">E2</f>
        <v>2018</v>
      </c>
      <c r="F102" s="110">
        <f t="shared" si="41"/>
        <v>2019</v>
      </c>
      <c r="G102" s="110">
        <f t="shared" si="41"/>
        <v>2020</v>
      </c>
      <c r="H102" s="110">
        <f t="shared" si="41"/>
        <v>2021</v>
      </c>
      <c r="I102" s="110">
        <f t="shared" si="41"/>
        <v>2022</v>
      </c>
      <c r="J102" s="110">
        <f t="shared" si="41"/>
        <v>2023</v>
      </c>
      <c r="K102" s="110">
        <f t="shared" si="41"/>
        <v>2024</v>
      </c>
      <c r="L102" s="110">
        <f t="shared" si="41"/>
        <v>2025</v>
      </c>
      <c r="M102" s="110">
        <f t="shared" si="41"/>
        <v>2026</v>
      </c>
      <c r="N102" s="110">
        <f t="shared" si="41"/>
        <v>2027</v>
      </c>
      <c r="O102" s="110">
        <f t="shared" si="41"/>
        <v>2028</v>
      </c>
      <c r="P102" s="110">
        <f t="shared" si="41"/>
        <v>2029</v>
      </c>
      <c r="Q102" s="110">
        <f t="shared" si="41"/>
        <v>2030</v>
      </c>
      <c r="R102" s="110">
        <f t="shared" si="41"/>
        <v>2031</v>
      </c>
      <c r="S102" s="110">
        <f t="shared" si="41"/>
        <v>2032</v>
      </c>
      <c r="T102" s="110">
        <f t="shared" si="41"/>
        <v>2033</v>
      </c>
      <c r="U102" s="110">
        <f t="shared" si="41"/>
        <v>2034</v>
      </c>
    </row>
    <row r="103" spans="1:21">
      <c r="A103" s="5" t="s">
        <v>98</v>
      </c>
      <c r="E103" s="111">
        <v>408</v>
      </c>
      <c r="F103" s="111">
        <v>558</v>
      </c>
      <c r="G103" s="111">
        <v>558</v>
      </c>
      <c r="H103" s="111">
        <v>791</v>
      </c>
      <c r="I103" s="111">
        <v>1750</v>
      </c>
      <c r="J103" s="111">
        <v>2999</v>
      </c>
      <c r="K103" s="111">
        <v>3857</v>
      </c>
      <c r="L103" s="111">
        <v>5334.1250000000009</v>
      </c>
      <c r="M103" s="111">
        <v>5670.2250000000013</v>
      </c>
      <c r="N103" s="111">
        <v>5914.7250000000013</v>
      </c>
      <c r="O103" s="111">
        <v>6076.4750000000013</v>
      </c>
      <c r="P103" s="111">
        <v>6133.9750000000013</v>
      </c>
      <c r="Q103" s="111">
        <v>6133.9750000000013</v>
      </c>
      <c r="R103" s="111">
        <v>6133.9750000000013</v>
      </c>
      <c r="S103" s="111">
        <v>6191.4750000000013</v>
      </c>
      <c r="T103" s="111">
        <v>6191.4750000000013</v>
      </c>
      <c r="U103" s="111">
        <v>6191.4750000000013</v>
      </c>
    </row>
    <row r="104" spans="1:21">
      <c r="A104" s="5" t="s">
        <v>99</v>
      </c>
      <c r="E104" s="111">
        <v>408</v>
      </c>
      <c r="F104" s="111">
        <v>558</v>
      </c>
      <c r="G104" s="111">
        <v>558</v>
      </c>
      <c r="H104" s="111">
        <v>791</v>
      </c>
      <c r="I104" s="111">
        <v>1750</v>
      </c>
      <c r="J104" s="111">
        <v>3278</v>
      </c>
      <c r="K104" s="111">
        <v>3857</v>
      </c>
      <c r="L104" s="111">
        <v>5365.3750000000009</v>
      </c>
      <c r="M104" s="111">
        <v>5718.9750000000013</v>
      </c>
      <c r="N104" s="111">
        <v>5917.7250000000013</v>
      </c>
      <c r="O104" s="111">
        <v>6095.2250000000013</v>
      </c>
      <c r="P104" s="111">
        <v>6133.9750000000013</v>
      </c>
      <c r="Q104" s="111">
        <v>6133.9750000000013</v>
      </c>
      <c r="R104" s="111">
        <v>6152.7250000000013</v>
      </c>
      <c r="S104" s="111">
        <v>6191.4750000000013</v>
      </c>
      <c r="T104" s="111">
        <v>6191.4750000000013</v>
      </c>
      <c r="U104" s="111">
        <v>6191.4750000000013</v>
      </c>
    </row>
    <row r="105" spans="1:21">
      <c r="A105" s="5" t="s">
        <v>100</v>
      </c>
      <c r="E105" s="111">
        <v>408</v>
      </c>
      <c r="F105" s="111">
        <v>558</v>
      </c>
      <c r="G105" s="111">
        <v>558</v>
      </c>
      <c r="H105" s="111">
        <v>791</v>
      </c>
      <c r="I105" s="111">
        <v>1750</v>
      </c>
      <c r="J105" s="111">
        <v>3278</v>
      </c>
      <c r="K105" s="111">
        <v>3857</v>
      </c>
      <c r="L105" s="111">
        <v>5396.6250000000009</v>
      </c>
      <c r="M105" s="111">
        <v>5810.2250000000013</v>
      </c>
      <c r="N105" s="111">
        <v>5927.4750000000013</v>
      </c>
      <c r="O105" s="111">
        <v>6133.9750000000013</v>
      </c>
      <c r="P105" s="111">
        <v>6133.9750000000013</v>
      </c>
      <c r="Q105" s="111">
        <v>6133.9750000000013</v>
      </c>
      <c r="R105" s="111">
        <v>6191.4750000000013</v>
      </c>
      <c r="S105" s="111">
        <v>6191.4750000000013</v>
      </c>
      <c r="T105" s="111">
        <v>6191.4750000000013</v>
      </c>
      <c r="U105" s="111">
        <v>6191.4750000000013</v>
      </c>
    </row>
    <row r="106" spans="1:21">
      <c r="A106" s="5" t="s">
        <v>101</v>
      </c>
      <c r="E106" s="111">
        <v>408</v>
      </c>
      <c r="F106" s="111">
        <v>558</v>
      </c>
      <c r="G106" s="111">
        <v>558</v>
      </c>
      <c r="H106" s="111">
        <v>971</v>
      </c>
      <c r="I106" s="111">
        <v>1922</v>
      </c>
      <c r="J106" s="111">
        <v>3278</v>
      </c>
      <c r="K106" s="111">
        <v>4129</v>
      </c>
      <c r="L106" s="111">
        <v>5397.4250000000002</v>
      </c>
      <c r="M106" s="111">
        <v>5832.7250000000013</v>
      </c>
      <c r="N106" s="111">
        <v>5927.4750000000013</v>
      </c>
      <c r="O106" s="111">
        <v>6133.9750000000013</v>
      </c>
      <c r="P106" s="111">
        <v>6133.9750000000013</v>
      </c>
      <c r="Q106" s="111">
        <v>6133.9750000000013</v>
      </c>
      <c r="R106" s="111">
        <v>6191.4750000000013</v>
      </c>
      <c r="S106" s="111">
        <v>6191.4750000000013</v>
      </c>
      <c r="T106" s="111">
        <v>6191.4750000000013</v>
      </c>
      <c r="U106" s="111">
        <v>6191.4750000000013</v>
      </c>
    </row>
    <row r="107" spans="1:21">
      <c r="A107" s="5" t="s">
        <v>102</v>
      </c>
      <c r="E107" s="111">
        <v>418</v>
      </c>
      <c r="F107" s="111">
        <v>558</v>
      </c>
      <c r="G107" s="111">
        <v>558</v>
      </c>
      <c r="H107" s="111">
        <v>971</v>
      </c>
      <c r="I107" s="111">
        <v>1947</v>
      </c>
      <c r="J107" s="111">
        <v>3278</v>
      </c>
      <c r="K107" s="111">
        <v>4575</v>
      </c>
      <c r="L107" s="111">
        <v>5425.7250000000004</v>
      </c>
      <c r="M107" s="111">
        <v>5877.7250000000013</v>
      </c>
      <c r="N107" s="111">
        <v>5927.4750000000013</v>
      </c>
      <c r="O107" s="111">
        <v>6133.9750000000013</v>
      </c>
      <c r="P107" s="111">
        <v>6133.9750000000013</v>
      </c>
      <c r="Q107" s="111">
        <v>6133.9750000000013</v>
      </c>
      <c r="R107" s="111">
        <v>6191.4750000000013</v>
      </c>
      <c r="S107" s="111">
        <v>6191.4750000000013</v>
      </c>
      <c r="T107" s="111">
        <v>6191.4750000000013</v>
      </c>
      <c r="U107" s="111">
        <v>6191.4750000000013</v>
      </c>
    </row>
    <row r="108" spans="1:21">
      <c r="A108" s="5" t="s">
        <v>103</v>
      </c>
      <c r="E108" s="111">
        <v>428</v>
      </c>
      <c r="F108" s="111">
        <v>558</v>
      </c>
      <c r="G108" s="111">
        <v>558</v>
      </c>
      <c r="H108" s="111">
        <v>911</v>
      </c>
      <c r="I108" s="111">
        <v>1947</v>
      </c>
      <c r="J108" s="111">
        <v>3700</v>
      </c>
      <c r="K108" s="111">
        <v>4897</v>
      </c>
      <c r="L108" s="111">
        <v>5527.2250000000013</v>
      </c>
      <c r="M108" s="111">
        <v>5882.7250000000013</v>
      </c>
      <c r="N108" s="111">
        <v>5934.9750000000013</v>
      </c>
      <c r="O108" s="111">
        <v>6133.9750000000013</v>
      </c>
      <c r="P108" s="111">
        <v>6133.9750000000013</v>
      </c>
      <c r="Q108" s="111">
        <v>6133.9750000000013</v>
      </c>
      <c r="R108" s="111">
        <v>6191.4750000000013</v>
      </c>
      <c r="S108" s="111">
        <v>6191.4750000000013</v>
      </c>
      <c r="T108" s="111">
        <v>6191.4750000000013</v>
      </c>
      <c r="U108" s="111">
        <v>6191.4750000000013</v>
      </c>
    </row>
    <row r="109" spans="1:21">
      <c r="A109" s="5" t="s">
        <v>104</v>
      </c>
      <c r="E109" s="111">
        <v>268</v>
      </c>
      <c r="F109" s="111">
        <v>558</v>
      </c>
      <c r="G109" s="111">
        <v>618</v>
      </c>
      <c r="H109" s="111">
        <v>911</v>
      </c>
      <c r="I109" s="111">
        <v>2174</v>
      </c>
      <c r="J109" s="111">
        <v>3704</v>
      </c>
      <c r="K109" s="111">
        <v>4997.8750000000009</v>
      </c>
      <c r="L109" s="111">
        <v>5571.2250000000013</v>
      </c>
      <c r="M109" s="111">
        <v>5892.7250000000013</v>
      </c>
      <c r="N109" s="111">
        <v>5939.9750000000013</v>
      </c>
      <c r="O109" s="111">
        <v>6133.9750000000013</v>
      </c>
      <c r="P109" s="111">
        <v>6133.9750000000013</v>
      </c>
      <c r="Q109" s="111">
        <v>6133.9750000000013</v>
      </c>
      <c r="R109" s="111">
        <v>6191.4750000000013</v>
      </c>
      <c r="S109" s="111">
        <v>6191.4750000000013</v>
      </c>
      <c r="T109" s="111">
        <v>6191.4750000000013</v>
      </c>
      <c r="U109" s="111">
        <v>6191.4750000000013</v>
      </c>
    </row>
    <row r="110" spans="1:21">
      <c r="A110" s="5" t="s">
        <v>105</v>
      </c>
      <c r="E110" s="111">
        <v>456.75</v>
      </c>
      <c r="F110" s="111">
        <v>558</v>
      </c>
      <c r="G110" s="111">
        <v>678</v>
      </c>
      <c r="H110" s="111">
        <v>911</v>
      </c>
      <c r="I110" s="111">
        <v>2219</v>
      </c>
      <c r="J110" s="111">
        <v>3704</v>
      </c>
      <c r="K110" s="111">
        <v>5040.6250000000009</v>
      </c>
      <c r="L110" s="111">
        <v>5610.2250000000013</v>
      </c>
      <c r="M110" s="111">
        <v>5900.2250000000013</v>
      </c>
      <c r="N110" s="111">
        <v>5941.9750000000013</v>
      </c>
      <c r="O110" s="111">
        <v>6133.9750000000013</v>
      </c>
      <c r="P110" s="111">
        <v>6133.9750000000013</v>
      </c>
      <c r="Q110" s="111">
        <v>6133.9750000000013</v>
      </c>
      <c r="R110" s="111">
        <v>6191.4750000000013</v>
      </c>
      <c r="S110" s="111">
        <v>6191.4750000000013</v>
      </c>
      <c r="T110" s="111">
        <v>6191.4750000000013</v>
      </c>
      <c r="U110" s="111">
        <v>6191.4750000000013</v>
      </c>
    </row>
    <row r="111" spans="1:21">
      <c r="A111" s="5" t="s">
        <v>106</v>
      </c>
      <c r="E111" s="111">
        <v>485.5</v>
      </c>
      <c r="F111" s="111">
        <v>558</v>
      </c>
      <c r="G111" s="111">
        <v>738</v>
      </c>
      <c r="H111" s="111">
        <v>911</v>
      </c>
      <c r="I111" s="111">
        <v>2219</v>
      </c>
      <c r="J111" s="111">
        <v>3704</v>
      </c>
      <c r="K111" s="111">
        <v>5120.6250000000009</v>
      </c>
      <c r="L111" s="111">
        <v>5610.2250000000013</v>
      </c>
      <c r="M111" s="111">
        <v>5912.7250000000013</v>
      </c>
      <c r="N111" s="111">
        <v>5951.4750000000013</v>
      </c>
      <c r="O111" s="111">
        <v>6133.9750000000013</v>
      </c>
      <c r="P111" s="111">
        <v>6133.9750000000013</v>
      </c>
      <c r="Q111" s="111">
        <v>6133.9750000000013</v>
      </c>
      <c r="R111" s="111">
        <v>6191.4750000000013</v>
      </c>
      <c r="S111" s="111">
        <v>6191.4750000000013</v>
      </c>
      <c r="T111" s="111">
        <v>6191.4750000000013</v>
      </c>
      <c r="U111" s="111">
        <v>6191.4750000000013</v>
      </c>
    </row>
    <row r="112" spans="1:21">
      <c r="A112" s="5" t="s">
        <v>107</v>
      </c>
      <c r="E112" s="111">
        <v>514.29999999999995</v>
      </c>
      <c r="F112" s="111">
        <v>558</v>
      </c>
      <c r="G112" s="111">
        <v>738</v>
      </c>
      <c r="H112" s="111">
        <v>1014</v>
      </c>
      <c r="I112" s="111">
        <v>2219</v>
      </c>
      <c r="J112" s="111">
        <v>3857</v>
      </c>
      <c r="K112" s="111">
        <v>5225.6250000000009</v>
      </c>
      <c r="L112" s="111">
        <v>5610.2250000000013</v>
      </c>
      <c r="M112" s="111">
        <v>5912.7250000000013</v>
      </c>
      <c r="N112" s="111">
        <v>5951.4750000000013</v>
      </c>
      <c r="O112" s="111">
        <v>6133.9750000000013</v>
      </c>
      <c r="P112" s="111">
        <v>6133.9750000000013</v>
      </c>
      <c r="Q112" s="111">
        <v>6133.9750000000013</v>
      </c>
      <c r="R112" s="111">
        <v>6191.4750000000013</v>
      </c>
      <c r="S112" s="111">
        <v>6191.4750000000013</v>
      </c>
      <c r="T112" s="111">
        <v>6191.4750000000013</v>
      </c>
      <c r="U112" s="111">
        <v>6191.4750000000013</v>
      </c>
    </row>
    <row r="113" spans="1:21">
      <c r="A113" s="5" t="s">
        <v>108</v>
      </c>
      <c r="E113" s="111">
        <v>558</v>
      </c>
      <c r="F113" s="111">
        <v>558</v>
      </c>
      <c r="G113" s="111">
        <v>738</v>
      </c>
      <c r="H113" s="111">
        <v>1017</v>
      </c>
      <c r="I113" s="111">
        <v>2755</v>
      </c>
      <c r="J113" s="111">
        <v>3897</v>
      </c>
      <c r="K113" s="111">
        <v>5245.6250000000009</v>
      </c>
      <c r="L113" s="111">
        <v>5610.2250000000013</v>
      </c>
      <c r="M113" s="111">
        <v>5912.7250000000013</v>
      </c>
      <c r="N113" s="111">
        <v>5951.4750000000013</v>
      </c>
      <c r="O113" s="111">
        <v>6133.9750000000013</v>
      </c>
      <c r="P113" s="111">
        <v>6133.9750000000013</v>
      </c>
      <c r="Q113" s="111">
        <v>6133.9750000000013</v>
      </c>
      <c r="R113" s="111">
        <v>6191.4750000000013</v>
      </c>
      <c r="S113" s="111">
        <v>6191.4750000000013</v>
      </c>
      <c r="T113" s="111">
        <v>6191.4750000000013</v>
      </c>
      <c r="U113" s="111">
        <v>6191.4750000000013</v>
      </c>
    </row>
    <row r="114" spans="1:21">
      <c r="A114" s="5" t="s">
        <v>109</v>
      </c>
      <c r="E114" s="111">
        <v>558</v>
      </c>
      <c r="F114" s="111">
        <v>558</v>
      </c>
      <c r="G114" s="111">
        <v>738</v>
      </c>
      <c r="H114" s="111">
        <v>1106</v>
      </c>
      <c r="I114" s="111">
        <v>2939</v>
      </c>
      <c r="J114" s="111">
        <v>3857</v>
      </c>
      <c r="K114" s="111">
        <v>5271.6250000000009</v>
      </c>
      <c r="L114" s="111">
        <v>5610.2250000000013</v>
      </c>
      <c r="M114" s="111">
        <v>5912.7250000000013</v>
      </c>
      <c r="N114" s="111">
        <v>5951.4750000000013</v>
      </c>
      <c r="O114" s="111">
        <v>6133.9750000000013</v>
      </c>
      <c r="P114" s="111">
        <v>6133.9750000000013</v>
      </c>
      <c r="Q114" s="111">
        <v>6133.9750000000013</v>
      </c>
      <c r="R114" s="111">
        <v>6191.4750000000013</v>
      </c>
      <c r="S114" s="111">
        <v>6191.4750000000013</v>
      </c>
      <c r="T114" s="111">
        <v>6191.4750000000013</v>
      </c>
      <c r="U114" s="111">
        <v>6191.4750000000013</v>
      </c>
    </row>
    <row r="115" spans="1:21">
      <c r="A115" s="5" t="s">
        <v>116</v>
      </c>
      <c r="E115" s="111">
        <f t="shared" ref="E115:T115" si="42">AVERAGE(E103:E114)</f>
        <v>443.21250000000003</v>
      </c>
      <c r="F115" s="111">
        <f t="shared" si="42"/>
        <v>558</v>
      </c>
      <c r="G115" s="111">
        <f t="shared" si="42"/>
        <v>633</v>
      </c>
      <c r="H115" s="111">
        <f t="shared" si="42"/>
        <v>924.66666666666663</v>
      </c>
      <c r="I115" s="111">
        <f t="shared" si="42"/>
        <v>2132.5833333333335</v>
      </c>
      <c r="J115" s="111">
        <f t="shared" si="42"/>
        <v>3544.5</v>
      </c>
      <c r="K115" s="111">
        <f t="shared" si="42"/>
        <v>4672.833333333333</v>
      </c>
      <c r="L115" s="111">
        <f t="shared" si="42"/>
        <v>5505.7375000000002</v>
      </c>
      <c r="M115" s="111">
        <f t="shared" si="42"/>
        <v>5853.0374999999995</v>
      </c>
      <c r="N115" s="111">
        <f t="shared" si="42"/>
        <v>5936.4749999999995</v>
      </c>
      <c r="O115" s="111">
        <f t="shared" si="42"/>
        <v>6125.9541666666673</v>
      </c>
      <c r="P115" s="111">
        <f t="shared" si="42"/>
        <v>6133.9750000000013</v>
      </c>
      <c r="Q115" s="111">
        <f t="shared" si="42"/>
        <v>6133.9750000000013</v>
      </c>
      <c r="R115" s="111">
        <f t="shared" si="42"/>
        <v>6183.4541666666673</v>
      </c>
      <c r="S115" s="111">
        <f t="shared" si="42"/>
        <v>6191.4750000000013</v>
      </c>
      <c r="T115" s="111">
        <f t="shared" si="42"/>
        <v>6191.4750000000013</v>
      </c>
      <c r="U115" s="111">
        <f>AVERAGE(U103:U114)</f>
        <v>6191.4750000000013</v>
      </c>
    </row>
    <row r="116" spans="1:21">
      <c r="A116" s="88"/>
      <c r="B116" s="88"/>
      <c r="C116" s="88"/>
      <c r="D116" s="88"/>
      <c r="E116" s="121" t="e">
        <f>E115-#REF!</f>
        <v>#REF!</v>
      </c>
      <c r="F116" s="121">
        <f t="shared" ref="F116:J117" si="43">F115-E115</f>
        <v>114.78749999999997</v>
      </c>
      <c r="G116" s="121">
        <f t="shared" si="43"/>
        <v>75</v>
      </c>
      <c r="H116" s="121">
        <f t="shared" si="43"/>
        <v>291.66666666666663</v>
      </c>
      <c r="I116" s="121">
        <f t="shared" si="43"/>
        <v>1207.916666666667</v>
      </c>
      <c r="J116" s="121">
        <f t="shared" si="43"/>
        <v>1411.9166666666665</v>
      </c>
      <c r="K116" s="88"/>
      <c r="L116" s="88"/>
      <c r="M116" s="88"/>
      <c r="N116" s="88"/>
      <c r="O116" s="88"/>
      <c r="P116" s="88"/>
      <c r="Q116" s="88"/>
      <c r="R116" s="88"/>
      <c r="S116" s="88"/>
      <c r="T116" s="88"/>
      <c r="U116" s="88"/>
    </row>
    <row r="117" spans="1:21" ht="15.75" thickBot="1">
      <c r="A117" s="4" t="s">
        <v>125</v>
      </c>
      <c r="B117" s="4"/>
      <c r="C117" s="4"/>
      <c r="D117" s="4"/>
      <c r="E117" s="105" t="e">
        <f>E116-#REF!</f>
        <v>#REF!</v>
      </c>
      <c r="F117" s="105" t="e">
        <f t="shared" si="43"/>
        <v>#REF!</v>
      </c>
      <c r="G117" s="105">
        <f t="shared" si="43"/>
        <v>-39.787499999999966</v>
      </c>
      <c r="H117" s="105">
        <f t="shared" si="43"/>
        <v>216.66666666666663</v>
      </c>
      <c r="I117" s="105">
        <f t="shared" si="43"/>
        <v>916.25000000000034</v>
      </c>
      <c r="J117" s="105">
        <f t="shared" si="43"/>
        <v>203.99999999999955</v>
      </c>
    </row>
    <row r="118" spans="1:21" ht="15.75" thickBot="1">
      <c r="A118" s="73"/>
      <c r="B118" s="73"/>
      <c r="C118" s="73"/>
      <c r="D118" s="73"/>
      <c r="E118" s="110">
        <f t="shared" ref="E118:U118" si="44">E2</f>
        <v>2018</v>
      </c>
      <c r="F118" s="110">
        <f t="shared" si="44"/>
        <v>2019</v>
      </c>
      <c r="G118" s="110">
        <f t="shared" si="44"/>
        <v>2020</v>
      </c>
      <c r="H118" s="110">
        <f t="shared" si="44"/>
        <v>2021</v>
      </c>
      <c r="I118" s="110">
        <f t="shared" si="44"/>
        <v>2022</v>
      </c>
      <c r="J118" s="110">
        <f t="shared" si="44"/>
        <v>2023</v>
      </c>
      <c r="K118" s="110">
        <f t="shared" si="44"/>
        <v>2024</v>
      </c>
      <c r="L118" s="110">
        <f t="shared" si="44"/>
        <v>2025</v>
      </c>
      <c r="M118" s="110">
        <f t="shared" si="44"/>
        <v>2026</v>
      </c>
      <c r="N118" s="110">
        <f t="shared" si="44"/>
        <v>2027</v>
      </c>
      <c r="O118" s="110">
        <f t="shared" si="44"/>
        <v>2028</v>
      </c>
      <c r="P118" s="110">
        <f t="shared" si="44"/>
        <v>2029</v>
      </c>
      <c r="Q118" s="110">
        <f t="shared" si="44"/>
        <v>2030</v>
      </c>
      <c r="R118" s="110">
        <f t="shared" si="44"/>
        <v>2031</v>
      </c>
      <c r="S118" s="110">
        <f t="shared" si="44"/>
        <v>2032</v>
      </c>
      <c r="T118" s="110">
        <f t="shared" si="44"/>
        <v>2033</v>
      </c>
      <c r="U118" s="110">
        <f t="shared" si="44"/>
        <v>2034</v>
      </c>
    </row>
    <row r="119" spans="1:21">
      <c r="A119" s="10" t="s">
        <v>98</v>
      </c>
      <c r="B119" s="10"/>
      <c r="C119" s="10"/>
      <c r="D119" s="10"/>
      <c r="E119" s="122" t="e">
        <f>(E23/(#REF!-#REF!)*365)/E103</f>
        <v>#REF!</v>
      </c>
      <c r="F119" s="122" t="e">
        <f>(F23/(#REF!-#REF!)*365)/F103</f>
        <v>#REF!</v>
      </c>
      <c r="G119" s="122" t="e">
        <f>(G23/(#REF!-#REF!)*365)/G103</f>
        <v>#REF!</v>
      </c>
      <c r="H119" s="122" t="e">
        <f>(H23/(#REF!-#REF!)*365)/H103</f>
        <v>#REF!</v>
      </c>
      <c r="I119" s="122" t="e">
        <f>(I23/(#REF!-#REF!)*365)/I103</f>
        <v>#REF!</v>
      </c>
      <c r="J119" s="122" t="e">
        <f>(J23/(#REF!-#REF!)*365)/J103</f>
        <v>#REF!</v>
      </c>
      <c r="K119" s="122" t="e">
        <f>(K23/(#REF!-#REF!)*365)/K103</f>
        <v>#REF!</v>
      </c>
      <c r="L119" s="123" t="e">
        <f>(L23/(#REF!-#REF!)*365)/L103</f>
        <v>#REF!</v>
      </c>
      <c r="M119" s="123" t="e">
        <f>(M23/(#REF!-#REF!)*365)/M103</f>
        <v>#REF!</v>
      </c>
      <c r="N119" s="123" t="e">
        <f>(N23/(#REF!-#REF!)*365)/N103</f>
        <v>#REF!</v>
      </c>
      <c r="O119" s="123" t="e">
        <f>(O23/(#REF!-#REF!)*365)/O103</f>
        <v>#REF!</v>
      </c>
      <c r="P119" s="123" t="e">
        <f>(P23/(#REF!-#REF!)*365)/P103</f>
        <v>#REF!</v>
      </c>
      <c r="Q119" s="123" t="e">
        <f>(Q23/(#REF!-#REF!)*365)/Q103</f>
        <v>#REF!</v>
      </c>
      <c r="R119" s="123" t="e">
        <f>(R23/(#REF!-#REF!)*365)/R103</f>
        <v>#REF!</v>
      </c>
      <c r="S119" s="123" t="e">
        <f>(S23/(#REF!-#REF!)*365)/S103</f>
        <v>#REF!</v>
      </c>
      <c r="T119" s="123" t="e">
        <f>(T23/(#REF!-#REF!)*365)/T103</f>
        <v>#REF!</v>
      </c>
      <c r="U119" s="123" t="e">
        <f>(U23/(#REF!-#REF!)*365)/U103</f>
        <v>#REF!</v>
      </c>
    </row>
    <row r="120" spans="1:21">
      <c r="A120" s="10" t="s">
        <v>99</v>
      </c>
      <c r="B120" s="10"/>
      <c r="C120" s="10"/>
      <c r="D120" s="10"/>
      <c r="E120" s="122" t="e">
        <f>(E24/(#REF!-#REF!)*365)/E104</f>
        <v>#REF!</v>
      </c>
      <c r="F120" s="122" t="e">
        <f>(F24/(#REF!-#REF!)*365)/F104</f>
        <v>#REF!</v>
      </c>
      <c r="G120" s="122" t="e">
        <f>(G24/(#REF!-#REF!)*365)/G104</f>
        <v>#REF!</v>
      </c>
      <c r="H120" s="122" t="e">
        <f>(H24/(#REF!-#REF!)*365)/H104</f>
        <v>#REF!</v>
      </c>
      <c r="I120" s="122" t="e">
        <f>(I24/(#REF!-#REF!)*365)/I104</f>
        <v>#REF!</v>
      </c>
      <c r="J120" s="122" t="e">
        <f>(J24/(#REF!-#REF!)*365)/J104</f>
        <v>#REF!</v>
      </c>
      <c r="K120" s="122" t="e">
        <f>(K24/(#REF!-#REF!)*365)/K104</f>
        <v>#REF!</v>
      </c>
      <c r="L120" s="123" t="e">
        <f>(L24/(#REF!-#REF!)*365)/L104</f>
        <v>#REF!</v>
      </c>
      <c r="M120" s="123" t="e">
        <f>(M24/(#REF!-#REF!)*365)/M104</f>
        <v>#REF!</v>
      </c>
      <c r="N120" s="123" t="e">
        <f>(N24/(#REF!-#REF!)*365)/N104</f>
        <v>#REF!</v>
      </c>
      <c r="O120" s="123" t="e">
        <f>(O24/(#REF!-#REF!)*365)/O104</f>
        <v>#REF!</v>
      </c>
      <c r="P120" s="123" t="e">
        <f>(P24/(#REF!-#REF!)*365)/P104</f>
        <v>#REF!</v>
      </c>
      <c r="Q120" s="123" t="e">
        <f>(Q24/(#REF!-#REF!)*365)/Q104</f>
        <v>#REF!</v>
      </c>
      <c r="R120" s="123" t="e">
        <f>(R24/(#REF!-#REF!)*365)/R104</f>
        <v>#REF!</v>
      </c>
      <c r="S120" s="123" t="e">
        <f>(S24/(#REF!-#REF!)*365)/S104</f>
        <v>#REF!</v>
      </c>
      <c r="T120" s="123" t="e">
        <f>(T24/(#REF!-#REF!)*365)/T104</f>
        <v>#REF!</v>
      </c>
      <c r="U120" s="123" t="e">
        <f>(U24/(#REF!-#REF!)*365)/U104</f>
        <v>#REF!</v>
      </c>
    </row>
    <row r="121" spans="1:21">
      <c r="A121" s="10" t="s">
        <v>100</v>
      </c>
      <c r="B121" s="10"/>
      <c r="C121" s="10"/>
      <c r="D121" s="10"/>
      <c r="E121" s="122" t="e">
        <f>(E25/(#REF!-#REF!)*365)/E105</f>
        <v>#REF!</v>
      </c>
      <c r="F121" s="122" t="e">
        <f>(F25/(#REF!-#REF!)*365)/F105</f>
        <v>#REF!</v>
      </c>
      <c r="G121" s="122" t="e">
        <f>(G25/(#REF!-#REF!)*365)/G105</f>
        <v>#REF!</v>
      </c>
      <c r="H121" s="122" t="e">
        <f>(H25/(#REF!-#REF!)*365)/H105</f>
        <v>#REF!</v>
      </c>
      <c r="I121" s="122" t="e">
        <f>(I25/(#REF!-#REF!)*365)/I105</f>
        <v>#REF!</v>
      </c>
      <c r="J121" s="122" t="e">
        <f>(J25/(#REF!-#REF!)*365)/J105</f>
        <v>#REF!</v>
      </c>
      <c r="K121" s="122" t="e">
        <f>(K25/(#REF!-#REF!)*365)/K105</f>
        <v>#REF!</v>
      </c>
      <c r="L121" s="123" t="e">
        <f>(L25/(#REF!-#REF!)*365)/L105</f>
        <v>#REF!</v>
      </c>
      <c r="M121" s="123" t="e">
        <f>(M25/(#REF!-#REF!)*365)/M105</f>
        <v>#REF!</v>
      </c>
      <c r="N121" s="123" t="e">
        <f>(N25/(#REF!-#REF!)*365)/N105</f>
        <v>#REF!</v>
      </c>
      <c r="O121" s="123" t="e">
        <f>(O25/(#REF!-#REF!)*365)/O105</f>
        <v>#REF!</v>
      </c>
      <c r="P121" s="123" t="e">
        <f>(P25/(#REF!-#REF!)*365)/P105</f>
        <v>#REF!</v>
      </c>
      <c r="Q121" s="123" t="e">
        <f>(Q25/(#REF!-#REF!)*365)/Q105</f>
        <v>#REF!</v>
      </c>
      <c r="R121" s="123" t="e">
        <f>(R25/(#REF!-#REF!)*365)/R105</f>
        <v>#REF!</v>
      </c>
      <c r="S121" s="123" t="e">
        <f>(S25/(#REF!-#REF!)*365)/S105</f>
        <v>#REF!</v>
      </c>
      <c r="T121" s="123" t="e">
        <f>(T25/(#REF!-#REF!)*365)/T105</f>
        <v>#REF!</v>
      </c>
      <c r="U121" s="123" t="e">
        <f>(U25/(#REF!-#REF!)*365)/U105</f>
        <v>#REF!</v>
      </c>
    </row>
    <row r="122" spans="1:21">
      <c r="A122" s="10" t="s">
        <v>101</v>
      </c>
      <c r="B122" s="10"/>
      <c r="C122" s="10"/>
      <c r="D122" s="10"/>
      <c r="E122" s="122" t="e">
        <f>(E26/(#REF!-#REF!)*365)/E106</f>
        <v>#REF!</v>
      </c>
      <c r="F122" s="122" t="e">
        <f>(F26/(#REF!-#REF!)*365)/F106</f>
        <v>#REF!</v>
      </c>
      <c r="G122" s="122" t="e">
        <f>(G26/(#REF!-#REF!)*365)/G106</f>
        <v>#REF!</v>
      </c>
      <c r="H122" s="122" t="e">
        <f>(H26/(#REF!-#REF!)*365)/H106</f>
        <v>#REF!</v>
      </c>
      <c r="I122" s="122" t="e">
        <f>(I26/(#REF!-#REF!)*365)/I106</f>
        <v>#REF!</v>
      </c>
      <c r="J122" s="122" t="e">
        <f>(J26/(#REF!-#REF!)*365)/J106</f>
        <v>#REF!</v>
      </c>
      <c r="K122" s="122" t="e">
        <f>(K26/(#REF!-#REF!)*365)/K106</f>
        <v>#REF!</v>
      </c>
      <c r="L122" s="123" t="e">
        <f>(L26/(#REF!-#REF!)*365)/L106</f>
        <v>#REF!</v>
      </c>
      <c r="M122" s="123" t="e">
        <f>(M26/(#REF!-#REF!)*365)/M106</f>
        <v>#REF!</v>
      </c>
      <c r="N122" s="123" t="e">
        <f>(N26/(#REF!-#REF!)*365)/N106</f>
        <v>#REF!</v>
      </c>
      <c r="O122" s="123" t="e">
        <f>(O26/(#REF!-#REF!)*365)/O106</f>
        <v>#REF!</v>
      </c>
      <c r="P122" s="123" t="e">
        <f>(P26/(#REF!-#REF!)*365)/P106</f>
        <v>#REF!</v>
      </c>
      <c r="Q122" s="123" t="e">
        <f>(Q26/(#REF!-#REF!)*365)/Q106</f>
        <v>#REF!</v>
      </c>
      <c r="R122" s="123" t="e">
        <f>(R26/(#REF!-#REF!)*365)/R106</f>
        <v>#REF!</v>
      </c>
      <c r="S122" s="123" t="e">
        <f>(S26/(#REF!-#REF!)*365)/S106</f>
        <v>#REF!</v>
      </c>
      <c r="T122" s="123" t="e">
        <f>(T26/(#REF!-#REF!)*365)/T106</f>
        <v>#REF!</v>
      </c>
      <c r="U122" s="123" t="e">
        <f>(U26/(#REF!-#REF!)*365)/U106</f>
        <v>#REF!</v>
      </c>
    </row>
    <row r="123" spans="1:21">
      <c r="A123" s="10" t="s">
        <v>102</v>
      </c>
      <c r="B123" s="10"/>
      <c r="C123" s="10"/>
      <c r="D123" s="10"/>
      <c r="E123" s="122" t="e">
        <f>(E27/(#REF!-#REF!)*365)/E107</f>
        <v>#REF!</v>
      </c>
      <c r="F123" s="122" t="e">
        <f>(F27/(#REF!-#REF!)*365)/F107</f>
        <v>#REF!</v>
      </c>
      <c r="G123" s="122" t="e">
        <f>(G27/(#REF!-#REF!)*365)/G107</f>
        <v>#REF!</v>
      </c>
      <c r="H123" s="122" t="e">
        <f>(H27/(#REF!-#REF!)*365)/H107</f>
        <v>#REF!</v>
      </c>
      <c r="I123" s="122" t="e">
        <f>(I27/(#REF!-#REF!)*365)/I107</f>
        <v>#REF!</v>
      </c>
      <c r="J123" s="122" t="e">
        <f>(J27/(#REF!-#REF!)*365)/J107</f>
        <v>#REF!</v>
      </c>
      <c r="K123" s="123" t="e">
        <f>(K27/(#REF!-#REF!)*365)/K107</f>
        <v>#REF!</v>
      </c>
      <c r="L123" s="123" t="e">
        <f>(L27/(#REF!-#REF!)*365)/L107</f>
        <v>#REF!</v>
      </c>
      <c r="M123" s="123" t="e">
        <f>(M27/(#REF!-#REF!)*365)/M107</f>
        <v>#REF!</v>
      </c>
      <c r="N123" s="123" t="e">
        <f>(N27/(#REF!-#REF!)*365)/N107</f>
        <v>#REF!</v>
      </c>
      <c r="O123" s="123" t="e">
        <f>(O27/(#REF!-#REF!)*365)/O107</f>
        <v>#REF!</v>
      </c>
      <c r="P123" s="123" t="e">
        <f>(P27/(#REF!-#REF!)*365)/P107</f>
        <v>#REF!</v>
      </c>
      <c r="Q123" s="123" t="e">
        <f>(Q27/(#REF!-#REF!)*365)/Q107</f>
        <v>#REF!</v>
      </c>
      <c r="R123" s="123" t="e">
        <f>(R27/(#REF!-#REF!)*365)/R107</f>
        <v>#REF!</v>
      </c>
      <c r="S123" s="123" t="e">
        <f>(S27/(#REF!-#REF!)*365)/S107</f>
        <v>#REF!</v>
      </c>
      <c r="T123" s="123" t="e">
        <f>(T27/(#REF!-#REF!)*365)/T107</f>
        <v>#REF!</v>
      </c>
      <c r="U123" s="123" t="e">
        <f>(U27/(#REF!-#REF!)*365)/U107</f>
        <v>#REF!</v>
      </c>
    </row>
    <row r="124" spans="1:21">
      <c r="A124" s="10" t="s">
        <v>103</v>
      </c>
      <c r="B124" s="10"/>
      <c r="C124" s="10"/>
      <c r="D124" s="10"/>
      <c r="E124" s="122" t="e">
        <f>(E28/(#REF!-#REF!)*365)/E108</f>
        <v>#REF!</v>
      </c>
      <c r="F124" s="122" t="e">
        <f>(F28/(#REF!-#REF!)*365)/F108</f>
        <v>#REF!</v>
      </c>
      <c r="G124" s="122" t="e">
        <f>(G28/(#REF!-#REF!)*365)/G108</f>
        <v>#REF!</v>
      </c>
      <c r="H124" s="122" t="e">
        <f>(H28/(#REF!-#REF!)*365)/H108</f>
        <v>#REF!</v>
      </c>
      <c r="I124" s="122" t="e">
        <f>(I28/(#REF!-#REF!)*365)/I108</f>
        <v>#REF!</v>
      </c>
      <c r="J124" s="122" t="e">
        <f>(J28/(#REF!-#REF!)*365)/J108</f>
        <v>#REF!</v>
      </c>
      <c r="K124" s="123" t="e">
        <f>(K28/(#REF!-#REF!)*365)/K108</f>
        <v>#REF!</v>
      </c>
      <c r="L124" s="123" t="e">
        <f>(L28/(#REF!-#REF!)*365)/L108</f>
        <v>#REF!</v>
      </c>
      <c r="M124" s="123" t="e">
        <f>(M28/(#REF!-#REF!)*365)/M108</f>
        <v>#REF!</v>
      </c>
      <c r="N124" s="123" t="e">
        <f>(N28/(#REF!-#REF!)*365)/N108</f>
        <v>#REF!</v>
      </c>
      <c r="O124" s="123" t="e">
        <f>(O28/(#REF!-#REF!)*365)/O108</f>
        <v>#REF!</v>
      </c>
      <c r="P124" s="123" t="e">
        <f>(P28/(#REF!-#REF!)*365)/P108</f>
        <v>#REF!</v>
      </c>
      <c r="Q124" s="123" t="e">
        <f>(Q28/(#REF!-#REF!)*365)/Q108</f>
        <v>#REF!</v>
      </c>
      <c r="R124" s="123" t="e">
        <f>(R28/(#REF!-#REF!)*365)/R108</f>
        <v>#REF!</v>
      </c>
      <c r="S124" s="123" t="e">
        <f>(S28/(#REF!-#REF!)*365)/S108</f>
        <v>#REF!</v>
      </c>
      <c r="T124" s="123" t="e">
        <f>(T28/(#REF!-#REF!)*365)/T108</f>
        <v>#REF!</v>
      </c>
      <c r="U124" s="123" t="e">
        <f>(U28/(#REF!-#REF!)*365)/U108</f>
        <v>#REF!</v>
      </c>
    </row>
    <row r="125" spans="1:21">
      <c r="A125" s="10" t="s">
        <v>104</v>
      </c>
      <c r="B125" s="10"/>
      <c r="C125" s="10"/>
      <c r="D125" s="10"/>
      <c r="E125" s="122" t="e">
        <f>(E29/(#REF!-#REF!)*365)/E109</f>
        <v>#REF!</v>
      </c>
      <c r="F125" s="122" t="e">
        <f>(F29/(#REF!-#REF!)*365)/F109</f>
        <v>#REF!</v>
      </c>
      <c r="G125" s="122" t="e">
        <f>(G29/(#REF!-#REF!)*365)/G109</f>
        <v>#REF!</v>
      </c>
      <c r="H125" s="122" t="e">
        <f>(H29/(#REF!-#REF!)*365)/H109</f>
        <v>#REF!</v>
      </c>
      <c r="I125" s="122" t="e">
        <f>(I29/(#REF!-#REF!)*365)/I109</f>
        <v>#REF!</v>
      </c>
      <c r="J125" s="122" t="e">
        <f>(J29/(#REF!-#REF!)*365)/J109</f>
        <v>#REF!</v>
      </c>
      <c r="K125" s="123" t="e">
        <f>(K29/(#REF!-#REF!)*365)/K109</f>
        <v>#REF!</v>
      </c>
      <c r="L125" s="123" t="e">
        <f>(L29/(#REF!-#REF!)*365)/L109</f>
        <v>#REF!</v>
      </c>
      <c r="M125" s="123" t="e">
        <f>(M29/(#REF!-#REF!)*365)/M109</f>
        <v>#REF!</v>
      </c>
      <c r="N125" s="123" t="e">
        <f>(N29/(#REF!-#REF!)*365)/N109</f>
        <v>#REF!</v>
      </c>
      <c r="O125" s="123" t="e">
        <f>(O29/(#REF!-#REF!)*365)/O109</f>
        <v>#REF!</v>
      </c>
      <c r="P125" s="123" t="e">
        <f>(P29/(#REF!-#REF!)*365)/P109</f>
        <v>#REF!</v>
      </c>
      <c r="Q125" s="123" t="e">
        <f>(Q29/(#REF!-#REF!)*365)/Q109</f>
        <v>#REF!</v>
      </c>
      <c r="R125" s="123" t="e">
        <f>(R29/(#REF!-#REF!)*365)/R109</f>
        <v>#REF!</v>
      </c>
      <c r="S125" s="123" t="e">
        <f>(S29/(#REF!-#REF!)*365)/S109</f>
        <v>#REF!</v>
      </c>
      <c r="T125" s="123" t="e">
        <f>(T29/(#REF!-#REF!)*365)/T109</f>
        <v>#REF!</v>
      </c>
      <c r="U125" s="123" t="e">
        <f>(U29/(#REF!-#REF!)*365)/U109</f>
        <v>#REF!</v>
      </c>
    </row>
    <row r="126" spans="1:21">
      <c r="A126" s="10" t="s">
        <v>105</v>
      </c>
      <c r="B126" s="10"/>
      <c r="C126" s="10"/>
      <c r="D126" s="10"/>
      <c r="E126" s="122" t="e">
        <f>(E30/(#REF!-#REF!)*365)/E110</f>
        <v>#REF!</v>
      </c>
      <c r="F126" s="122" t="e">
        <f>(F30/(#REF!-#REF!)*365)/F110</f>
        <v>#REF!</v>
      </c>
      <c r="G126" s="122" t="e">
        <f>(G30/(#REF!-#REF!)*365)/G110</f>
        <v>#REF!</v>
      </c>
      <c r="H126" s="122" t="e">
        <f>(H30/(#REF!-#REF!)*365)/H110</f>
        <v>#REF!</v>
      </c>
      <c r="I126" s="122" t="e">
        <f>(I30/(#REF!-#REF!)*365)/I110</f>
        <v>#REF!</v>
      </c>
      <c r="J126" s="122" t="e">
        <f>(J30/(#REF!-#REF!)*365)/J110</f>
        <v>#REF!</v>
      </c>
      <c r="K126" s="123" t="e">
        <f>(K30/(#REF!-#REF!)*365)/K110</f>
        <v>#REF!</v>
      </c>
      <c r="L126" s="123" t="e">
        <f>(L30/(#REF!-#REF!)*365)/L110</f>
        <v>#REF!</v>
      </c>
      <c r="M126" s="123" t="e">
        <f>(M30/(#REF!-#REF!)*365)/M110</f>
        <v>#REF!</v>
      </c>
      <c r="N126" s="123" t="e">
        <f>(N30/(#REF!-#REF!)*365)/N110</f>
        <v>#REF!</v>
      </c>
      <c r="O126" s="123" t="e">
        <f>(O30/(#REF!-#REF!)*365)/O110</f>
        <v>#REF!</v>
      </c>
      <c r="P126" s="123" t="e">
        <f>(P30/(#REF!-#REF!)*365)/P110</f>
        <v>#REF!</v>
      </c>
      <c r="Q126" s="123" t="e">
        <f>(Q30/(#REF!-#REF!)*365)/Q110</f>
        <v>#REF!</v>
      </c>
      <c r="R126" s="123" t="e">
        <f>(R30/(#REF!-#REF!)*365)/R110</f>
        <v>#REF!</v>
      </c>
      <c r="S126" s="123" t="e">
        <f>(S30/(#REF!-#REF!)*365)/S110</f>
        <v>#REF!</v>
      </c>
      <c r="T126" s="123" t="e">
        <f>(T30/(#REF!-#REF!)*365)/T110</f>
        <v>#REF!</v>
      </c>
      <c r="U126" s="123" t="e">
        <f>(U30/(#REF!-#REF!)*365)/U110</f>
        <v>#REF!</v>
      </c>
    </row>
    <row r="127" spans="1:21">
      <c r="A127" s="10" t="s">
        <v>106</v>
      </c>
      <c r="B127" s="10"/>
      <c r="C127" s="10"/>
      <c r="D127" s="10"/>
      <c r="E127" s="122" t="e">
        <f>(E31/(#REF!-#REF!)*365)/E111</f>
        <v>#REF!</v>
      </c>
      <c r="F127" s="122" t="e">
        <f>(F31/(#REF!-#REF!)*365)/F111</f>
        <v>#REF!</v>
      </c>
      <c r="G127" s="122" t="e">
        <f>(G31/(#REF!-#REF!)*365)/G111</f>
        <v>#REF!</v>
      </c>
      <c r="H127" s="122" t="e">
        <f>(H31/(#REF!-#REF!)*365)/H111</f>
        <v>#REF!</v>
      </c>
      <c r="I127" s="122" t="e">
        <f>(I31/(#REF!-#REF!)*365)/I111</f>
        <v>#REF!</v>
      </c>
      <c r="J127" s="122" t="e">
        <f>(J31/(#REF!-#REF!)*365)/J111</f>
        <v>#REF!</v>
      </c>
      <c r="K127" s="123" t="e">
        <f>(K31/(#REF!-#REF!)*365)/K111</f>
        <v>#REF!</v>
      </c>
      <c r="L127" s="123" t="e">
        <f>(L31/(#REF!-#REF!)*365)/L111</f>
        <v>#REF!</v>
      </c>
      <c r="M127" s="123" t="e">
        <f>(M31/(#REF!-#REF!)*365)/M111</f>
        <v>#REF!</v>
      </c>
      <c r="N127" s="123" t="e">
        <f>(N31/(#REF!-#REF!)*365)/N111</f>
        <v>#REF!</v>
      </c>
      <c r="O127" s="123" t="e">
        <f>(O31/(#REF!-#REF!)*365)/O111</f>
        <v>#REF!</v>
      </c>
      <c r="P127" s="123" t="e">
        <f>(P31/(#REF!-#REF!)*365)/P111</f>
        <v>#REF!</v>
      </c>
      <c r="Q127" s="123" t="e">
        <f>(Q31/(#REF!-#REF!)*365)/Q111</f>
        <v>#REF!</v>
      </c>
      <c r="R127" s="123" t="e">
        <f>(R31/(#REF!-#REF!)*365)/R111</f>
        <v>#REF!</v>
      </c>
      <c r="S127" s="123" t="e">
        <f>(S31/(#REF!-#REF!)*365)/S111</f>
        <v>#REF!</v>
      </c>
      <c r="T127" s="123" t="e">
        <f>(T31/(#REF!-#REF!)*365)/T111</f>
        <v>#REF!</v>
      </c>
      <c r="U127" s="123" t="e">
        <f>(U31/(#REF!-#REF!)*365)/U111</f>
        <v>#REF!</v>
      </c>
    </row>
    <row r="128" spans="1:21">
      <c r="A128" s="10" t="s">
        <v>107</v>
      </c>
      <c r="B128" s="10"/>
      <c r="C128" s="10"/>
      <c r="D128" s="10"/>
      <c r="E128" s="122" t="e">
        <f>(E32/(#REF!-#REF!)*365)/E112</f>
        <v>#REF!</v>
      </c>
      <c r="F128" s="122" t="e">
        <f>(F32/(#REF!-#REF!)*365)/F112</f>
        <v>#REF!</v>
      </c>
      <c r="G128" s="122" t="e">
        <f>(G32/(#REF!-#REF!)*365)/G112</f>
        <v>#REF!</v>
      </c>
      <c r="H128" s="122" t="e">
        <f>(H32/(#REF!-#REF!)*365)/H112</f>
        <v>#REF!</v>
      </c>
      <c r="I128" s="122" t="e">
        <f>(I32/(#REF!-#REF!)*365)/I112</f>
        <v>#REF!</v>
      </c>
      <c r="J128" s="122" t="e">
        <f>(J32/(#REF!-#REF!)*365)/J112</f>
        <v>#REF!</v>
      </c>
      <c r="K128" s="123" t="e">
        <f>(K32/(#REF!-#REF!)*365)/K112</f>
        <v>#REF!</v>
      </c>
      <c r="L128" s="123" t="e">
        <f>(L32/(#REF!-#REF!)*365)/L112</f>
        <v>#REF!</v>
      </c>
      <c r="M128" s="123" t="e">
        <f>(M32/(#REF!-#REF!)*365)/M112</f>
        <v>#REF!</v>
      </c>
      <c r="N128" s="123" t="e">
        <f>(N32/(#REF!-#REF!)*365)/N112</f>
        <v>#REF!</v>
      </c>
      <c r="O128" s="123" t="e">
        <f>(O32/(#REF!-#REF!)*365)/O112</f>
        <v>#REF!</v>
      </c>
      <c r="P128" s="123" t="e">
        <f>(P32/(#REF!-#REF!)*365)/P112</f>
        <v>#REF!</v>
      </c>
      <c r="Q128" s="123" t="e">
        <f>(Q32/(#REF!-#REF!)*365)/Q112</f>
        <v>#REF!</v>
      </c>
      <c r="R128" s="123" t="e">
        <f>(R32/(#REF!-#REF!)*365)/R112</f>
        <v>#REF!</v>
      </c>
      <c r="S128" s="123" t="e">
        <f>(S32/(#REF!-#REF!)*365)/S112</f>
        <v>#REF!</v>
      </c>
      <c r="T128" s="123" t="e">
        <f>(T32/(#REF!-#REF!)*365)/T112</f>
        <v>#REF!</v>
      </c>
      <c r="U128" s="123" t="e">
        <f>(U32/(#REF!-#REF!)*365)/U112</f>
        <v>#REF!</v>
      </c>
    </row>
    <row r="129" spans="1:21">
      <c r="A129" s="10" t="s">
        <v>108</v>
      </c>
      <c r="B129" s="10"/>
      <c r="C129" s="10"/>
      <c r="D129" s="10"/>
      <c r="E129" s="122" t="e">
        <f>(E33/(#REF!-#REF!)*365)/E113</f>
        <v>#REF!</v>
      </c>
      <c r="F129" s="122" t="e">
        <f>(F33/(#REF!-#REF!)*365)/F113</f>
        <v>#REF!</v>
      </c>
      <c r="G129" s="122" t="e">
        <f>(G33/(#REF!-#REF!)*365)/G113</f>
        <v>#REF!</v>
      </c>
      <c r="H129" s="122" t="e">
        <f>(H33/(#REF!-#REF!)*365)/H113</f>
        <v>#REF!</v>
      </c>
      <c r="I129" s="122" t="e">
        <f>(I33/(#REF!-#REF!)*365)/I113</f>
        <v>#REF!</v>
      </c>
      <c r="J129" s="122" t="e">
        <f>(J33/(#REF!-#REF!)*365)/J113</f>
        <v>#REF!</v>
      </c>
      <c r="K129" s="123" t="e">
        <f>(K33/(#REF!-#REF!)*365)/K113</f>
        <v>#REF!</v>
      </c>
      <c r="L129" s="123" t="e">
        <f>(L33/(#REF!-#REF!)*365)/L113</f>
        <v>#REF!</v>
      </c>
      <c r="M129" s="123" t="e">
        <f>(M33/(#REF!-#REF!)*365)/M113</f>
        <v>#REF!</v>
      </c>
      <c r="N129" s="123" t="e">
        <f>(N33/(#REF!-#REF!)*365)/N113</f>
        <v>#REF!</v>
      </c>
      <c r="O129" s="123" t="e">
        <f>(O33/(#REF!-#REF!)*365)/O113</f>
        <v>#REF!</v>
      </c>
      <c r="P129" s="123" t="e">
        <f>(P33/(#REF!-#REF!)*365)/P113</f>
        <v>#REF!</v>
      </c>
      <c r="Q129" s="123" t="e">
        <f>(Q33/(#REF!-#REF!)*365)/Q113</f>
        <v>#REF!</v>
      </c>
      <c r="R129" s="123" t="e">
        <f>(R33/(#REF!-#REF!)*365)/R113</f>
        <v>#REF!</v>
      </c>
      <c r="S129" s="123" t="e">
        <f>(S33/(#REF!-#REF!)*365)/S113</f>
        <v>#REF!</v>
      </c>
      <c r="T129" s="123" t="e">
        <f>(T33/(#REF!-#REF!)*365)/T113</f>
        <v>#REF!</v>
      </c>
      <c r="U129" s="123" t="e">
        <f>(U33/(#REF!-#REF!)*365)/U113</f>
        <v>#REF!</v>
      </c>
    </row>
    <row r="130" spans="1:21">
      <c r="A130" s="10" t="s">
        <v>109</v>
      </c>
      <c r="B130" s="10"/>
      <c r="C130" s="10"/>
      <c r="D130" s="10"/>
      <c r="E130" s="122" t="e">
        <f>(E34/(#REF!-#REF!)*365)/E114</f>
        <v>#REF!</v>
      </c>
      <c r="F130" s="122" t="e">
        <f>(F34/(#REF!-#REF!)*365)/F114</f>
        <v>#REF!</v>
      </c>
      <c r="G130" s="122" t="e">
        <f>(G34/(#REF!-#REF!)*365)/G114</f>
        <v>#REF!</v>
      </c>
      <c r="H130" s="122" t="e">
        <f>(H34/(#REF!-#REF!)*365)/H114</f>
        <v>#REF!</v>
      </c>
      <c r="I130" s="122" t="e">
        <f>(I34/(#REF!-#REF!)*365)/I114</f>
        <v>#REF!</v>
      </c>
      <c r="J130" s="122" t="e">
        <f>(J34/(#REF!-#REF!)*365)/J114</f>
        <v>#REF!</v>
      </c>
      <c r="K130" s="123" t="e">
        <f>(K34/(#REF!-#REF!)*365)/K114</f>
        <v>#REF!</v>
      </c>
      <c r="L130" s="123" t="e">
        <f>(L34/(#REF!-#REF!)*365)/L114</f>
        <v>#REF!</v>
      </c>
      <c r="M130" s="123" t="e">
        <f>(M34/(#REF!-#REF!)*365)/M114</f>
        <v>#REF!</v>
      </c>
      <c r="N130" s="123" t="e">
        <f>(N34/(#REF!-#REF!)*365)/N114</f>
        <v>#REF!</v>
      </c>
      <c r="O130" s="123" t="e">
        <f>(O34/(#REF!-#REF!)*365)/O114</f>
        <v>#REF!</v>
      </c>
      <c r="P130" s="123" t="e">
        <f>(P34/(#REF!-#REF!)*365)/P114</f>
        <v>#REF!</v>
      </c>
      <c r="Q130" s="123" t="e">
        <f>(Q34/(#REF!-#REF!)*365)/Q114</f>
        <v>#REF!</v>
      </c>
      <c r="R130" s="123" t="e">
        <f>(R34/(#REF!-#REF!)*365)/R114</f>
        <v>#REF!</v>
      </c>
      <c r="S130" s="123" t="e">
        <f>(S34/(#REF!-#REF!)*365)/S114</f>
        <v>#REF!</v>
      </c>
      <c r="T130" s="123" t="e">
        <f>(T34/(#REF!-#REF!)*365)/T114</f>
        <v>#REF!</v>
      </c>
      <c r="U130" s="123" t="e">
        <f>(U34/(#REF!-#REF!)*365)/U114</f>
        <v>#REF!</v>
      </c>
    </row>
    <row r="131" spans="1:21">
      <c r="A131" s="10" t="s">
        <v>116</v>
      </c>
      <c r="B131" s="10"/>
      <c r="C131" s="10"/>
      <c r="D131" s="10"/>
      <c r="E131" s="124" t="e">
        <f t="shared" ref="E131:S131" si="45">AVERAGE(E119:E130)</f>
        <v>#REF!</v>
      </c>
      <c r="F131" s="124" t="e">
        <f t="shared" si="45"/>
        <v>#REF!</v>
      </c>
      <c r="G131" s="124" t="e">
        <f t="shared" si="45"/>
        <v>#REF!</v>
      </c>
      <c r="H131" s="124" t="e">
        <f t="shared" si="45"/>
        <v>#REF!</v>
      </c>
      <c r="I131" s="124" t="e">
        <f t="shared" si="45"/>
        <v>#REF!</v>
      </c>
      <c r="J131" s="124" t="e">
        <f t="shared" si="45"/>
        <v>#REF!</v>
      </c>
      <c r="K131" s="125" t="e">
        <f t="shared" si="45"/>
        <v>#REF!</v>
      </c>
      <c r="L131" s="125" t="e">
        <f t="shared" si="45"/>
        <v>#REF!</v>
      </c>
      <c r="M131" s="125" t="e">
        <f t="shared" si="45"/>
        <v>#REF!</v>
      </c>
      <c r="N131" s="125" t="e">
        <f t="shared" si="45"/>
        <v>#REF!</v>
      </c>
      <c r="O131" s="125" t="e">
        <f t="shared" si="45"/>
        <v>#REF!</v>
      </c>
      <c r="P131" s="125" t="e">
        <f t="shared" si="45"/>
        <v>#REF!</v>
      </c>
      <c r="Q131" s="125" t="e">
        <f t="shared" si="45"/>
        <v>#REF!</v>
      </c>
      <c r="R131" s="125" t="e">
        <f t="shared" si="45"/>
        <v>#REF!</v>
      </c>
      <c r="S131" s="125" t="e">
        <f t="shared" si="45"/>
        <v>#REF!</v>
      </c>
      <c r="T131" s="125" t="e">
        <f>AVERAGE(T119:T130)</f>
        <v>#REF!</v>
      </c>
      <c r="U131" s="125" t="e">
        <f>AVERAGE(U119:U130)</f>
        <v>#REF!</v>
      </c>
    </row>
    <row r="132" spans="1:21">
      <c r="A132" s="88"/>
      <c r="B132" s="88"/>
      <c r="C132" s="88"/>
      <c r="D132" s="88"/>
      <c r="E132" s="88"/>
      <c r="F132" s="88"/>
      <c r="G132" s="88"/>
      <c r="H132" s="88"/>
      <c r="I132" s="88"/>
      <c r="J132" s="88"/>
      <c r="K132" s="88"/>
      <c r="L132" s="88"/>
      <c r="M132" s="88"/>
      <c r="N132" s="88"/>
      <c r="O132" s="88"/>
      <c r="P132" s="88"/>
      <c r="Q132" s="88"/>
      <c r="R132" s="88"/>
      <c r="S132" s="88"/>
      <c r="T132" s="88"/>
      <c r="U132" s="88"/>
    </row>
  </sheetData>
  <printOptions verticalCentered="1"/>
  <pageMargins left="0.2" right="0.2" top="0.25" bottom="0.25" header="0" footer="0.1"/>
  <pageSetup scale="53" orientation="landscape" r:id="rId1"/>
  <headerFooter>
    <oddFooter>&amp;L&amp;"Arial,Regular"&amp;10&amp;D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951FF-5B44-44A7-A56B-8E01B124662D}">
  <dimension ref="A3:X112"/>
  <sheetViews>
    <sheetView topLeftCell="A3" workbookViewId="0">
      <pane xSplit="1" ySplit="2" topLeftCell="F5" activePane="bottomRight" state="frozen"/>
      <selection activeCell="B4" sqref="B4"/>
      <selection pane="topRight" activeCell="B4" sqref="B4"/>
      <selection pane="bottomLeft" activeCell="B4" sqref="B4"/>
      <selection pane="bottomRight" activeCell="B4" sqref="B4"/>
    </sheetView>
  </sheetViews>
  <sheetFormatPr defaultColWidth="8" defaultRowHeight="15"/>
  <cols>
    <col min="1" max="1" width="18.7109375" style="130" customWidth="1"/>
    <col min="2" max="21" width="9.28515625" style="130" customWidth="1"/>
    <col min="22" max="16384" width="8" style="130"/>
  </cols>
  <sheetData>
    <row r="3" spans="1:24" s="5" customFormat="1" ht="15.75" thickBot="1">
      <c r="A3" s="126" t="s">
        <v>126</v>
      </c>
      <c r="B3" s="127"/>
      <c r="C3" s="127"/>
      <c r="D3" s="127"/>
      <c r="E3" s="98"/>
      <c r="F3" s="98"/>
      <c r="G3" s="98"/>
      <c r="H3" s="98"/>
      <c r="I3" s="98"/>
      <c r="J3" s="99"/>
      <c r="K3" s="99"/>
      <c r="L3" s="99"/>
      <c r="M3" s="99"/>
      <c r="N3" s="99"/>
      <c r="O3" s="99"/>
      <c r="P3" s="99"/>
      <c r="Q3" s="99"/>
      <c r="R3" s="99"/>
      <c r="S3" s="99"/>
      <c r="T3" s="99"/>
      <c r="U3" s="99"/>
    </row>
    <row r="4" spans="1:24" ht="15.75" thickBot="1">
      <c r="A4" s="128" t="s">
        <v>86</v>
      </c>
      <c r="B4" s="129">
        <v>2015</v>
      </c>
      <c r="C4" s="129">
        <v>2016</v>
      </c>
      <c r="D4" s="129">
        <v>2017</v>
      </c>
      <c r="E4" s="129">
        <v>2018</v>
      </c>
      <c r="F4" s="129">
        <v>2019</v>
      </c>
      <c r="G4" s="129">
        <v>2020</v>
      </c>
      <c r="H4" s="129">
        <v>2021</v>
      </c>
      <c r="I4" s="129">
        <v>2022</v>
      </c>
      <c r="J4" s="129">
        <v>2023</v>
      </c>
      <c r="K4" s="129">
        <v>2024</v>
      </c>
      <c r="L4" s="129">
        <v>2025</v>
      </c>
      <c r="M4" s="129">
        <v>2026</v>
      </c>
      <c r="N4" s="129">
        <v>2027</v>
      </c>
      <c r="O4" s="129">
        <v>2028</v>
      </c>
      <c r="P4" s="129">
        <v>2029</v>
      </c>
      <c r="Q4" s="129">
        <v>2030</v>
      </c>
      <c r="R4" s="129">
        <v>2031</v>
      </c>
      <c r="S4" s="129">
        <v>2032</v>
      </c>
      <c r="T4" s="129">
        <v>2033</v>
      </c>
      <c r="U4" s="129">
        <v>2034</v>
      </c>
      <c r="V4" s="129">
        <v>2035</v>
      </c>
    </row>
    <row r="5" spans="1:24">
      <c r="A5" s="130" t="s">
        <v>87</v>
      </c>
      <c r="B5" s="131">
        <f t="shared" ref="B5:J5" si="0">B86</f>
        <v>0</v>
      </c>
      <c r="C5" s="131">
        <f t="shared" si="0"/>
        <v>0</v>
      </c>
      <c r="D5" s="131">
        <f t="shared" si="0"/>
        <v>0</v>
      </c>
      <c r="E5" s="131">
        <f t="shared" si="0"/>
        <v>0</v>
      </c>
      <c r="F5" s="131">
        <f t="shared" si="0"/>
        <v>0</v>
      </c>
      <c r="G5" s="131">
        <f t="shared" si="0"/>
        <v>0.66299999999955617</v>
      </c>
      <c r="H5" s="131">
        <f t="shared" si="0"/>
        <v>6.3559999999997672</v>
      </c>
      <c r="I5" s="131">
        <f t="shared" si="0"/>
        <v>3.0419999999994616</v>
      </c>
      <c r="J5" s="131">
        <f t="shared" si="0"/>
        <v>4.6300000000001091</v>
      </c>
      <c r="K5" s="131">
        <f>J12</f>
        <v>6.0900000000001455</v>
      </c>
      <c r="L5" s="132">
        <f t="shared" ref="L5:V5" si="1">K12</f>
        <v>57.589790396039689</v>
      </c>
      <c r="M5" s="132">
        <f t="shared" si="1"/>
        <v>0</v>
      </c>
      <c r="N5" s="132">
        <f t="shared" si="1"/>
        <v>0</v>
      </c>
      <c r="O5" s="132">
        <f t="shared" si="1"/>
        <v>0</v>
      </c>
      <c r="P5" s="132">
        <f t="shared" si="1"/>
        <v>0</v>
      </c>
      <c r="Q5" s="132">
        <f t="shared" si="1"/>
        <v>0</v>
      </c>
      <c r="R5" s="132">
        <f t="shared" si="1"/>
        <v>0</v>
      </c>
      <c r="S5" s="132">
        <f t="shared" si="1"/>
        <v>0</v>
      </c>
      <c r="T5" s="132">
        <f t="shared" si="1"/>
        <v>0</v>
      </c>
      <c r="U5" s="132">
        <f t="shared" si="1"/>
        <v>0</v>
      </c>
      <c r="V5" s="132">
        <f t="shared" si="1"/>
        <v>0</v>
      </c>
    </row>
    <row r="6" spans="1:24">
      <c r="A6" s="130" t="s">
        <v>127</v>
      </c>
      <c r="B6" s="131">
        <f>annual_data!$C5</f>
        <v>1</v>
      </c>
      <c r="C6" s="131">
        <f>annual_data!$C6</f>
        <v>0</v>
      </c>
      <c r="D6" s="131">
        <f>annual_data!$C7</f>
        <v>0</v>
      </c>
      <c r="E6" s="131">
        <f>annual_data!$C8</f>
        <v>7</v>
      </c>
      <c r="F6" s="131">
        <f>annual_data!$C9</f>
        <v>24</v>
      </c>
      <c r="G6" s="131">
        <f>annual_data!$C10</f>
        <v>44</v>
      </c>
      <c r="H6" s="131">
        <f>annual_data!$C11</f>
        <v>89</v>
      </c>
      <c r="I6" s="131">
        <f>annual_data!$C12</f>
        <v>165.071</v>
      </c>
      <c r="J6" s="131">
        <f>annual_data!$C13</f>
        <v>213.084</v>
      </c>
      <c r="K6" s="132">
        <f>K18*0.45</f>
        <v>345.92174999999997</v>
      </c>
      <c r="L6" s="132">
        <f>L18*0.4</f>
        <v>1073.6300000000001</v>
      </c>
      <c r="M6" s="132">
        <f t="shared" ref="M6:V6" si="2">M18*0.5</f>
        <v>1606.0375000000001</v>
      </c>
      <c r="N6" s="132">
        <f t="shared" si="2"/>
        <v>2146.0375000000004</v>
      </c>
      <c r="O6" s="132">
        <f t="shared" si="2"/>
        <v>2328.5375000000004</v>
      </c>
      <c r="P6" s="132">
        <f t="shared" si="2"/>
        <v>2379.5375000000004</v>
      </c>
      <c r="Q6" s="132">
        <f t="shared" si="2"/>
        <v>2613.0375000000004</v>
      </c>
      <c r="R6" s="132">
        <f t="shared" si="2"/>
        <v>2613.0375000000004</v>
      </c>
      <c r="S6" s="132">
        <f t="shared" si="2"/>
        <v>2613.0375000000004</v>
      </c>
      <c r="T6" s="132">
        <f t="shared" si="2"/>
        <v>2613.0375000000004</v>
      </c>
      <c r="U6" s="132">
        <f t="shared" si="2"/>
        <v>2613.0375000000004</v>
      </c>
      <c r="V6" s="132">
        <f t="shared" si="2"/>
        <v>2613.0375000000004</v>
      </c>
    </row>
    <row r="7" spans="1:24">
      <c r="A7" s="130" t="s">
        <v>41</v>
      </c>
      <c r="B7" s="131">
        <f>annual_data!$D5</f>
        <v>0</v>
      </c>
      <c r="C7" s="131">
        <f>annual_data!$D6</f>
        <v>0</v>
      </c>
      <c r="D7" s="131">
        <f>annual_data!$D8</f>
        <v>0</v>
      </c>
      <c r="E7" s="131">
        <f>annual_data!$D9</f>
        <v>0</v>
      </c>
      <c r="F7" s="131">
        <f>annual_data!$D10</f>
        <v>0</v>
      </c>
      <c r="G7" s="131">
        <f>annual_data!$D11</f>
        <v>0</v>
      </c>
      <c r="H7" s="131">
        <f>annual_data!$D12</f>
        <v>29.117999999999999</v>
      </c>
      <c r="I7" s="131">
        <f>annual_data!$D13</f>
        <v>48.994</v>
      </c>
      <c r="J7" s="131">
        <f>annual_data!$D14</f>
        <v>0</v>
      </c>
      <c r="K7" s="132">
        <f>K50</f>
        <v>82.9249999999995</v>
      </c>
      <c r="L7" s="132">
        <f t="shared" ref="L7:V7" si="3">AVERAGE(H7:K7)</f>
        <v>40.259249999999874</v>
      </c>
      <c r="M7" s="132">
        <f t="shared" si="3"/>
        <v>43.044562499999842</v>
      </c>
      <c r="N7" s="132">
        <f t="shared" si="3"/>
        <v>41.557203124999802</v>
      </c>
      <c r="O7" s="132">
        <f t="shared" si="3"/>
        <v>51.946503906249752</v>
      </c>
      <c r="P7" s="132">
        <f t="shared" si="3"/>
        <v>44.201879882812314</v>
      </c>
      <c r="Q7" s="132">
        <f t="shared" si="3"/>
        <v>45.187537353515424</v>
      </c>
      <c r="R7" s="132">
        <f t="shared" si="3"/>
        <v>45.723281066894316</v>
      </c>
      <c r="S7" s="132">
        <f t="shared" si="3"/>
        <v>46.764800552367952</v>
      </c>
      <c r="T7" s="132">
        <f t="shared" si="3"/>
        <v>45.469374713897501</v>
      </c>
      <c r="U7" s="132">
        <f t="shared" si="3"/>
        <v>45.786248421668802</v>
      </c>
      <c r="V7" s="132">
        <f t="shared" si="3"/>
        <v>45.935926188707143</v>
      </c>
    </row>
    <row r="8" spans="1:24">
      <c r="A8" s="130" t="s">
        <v>128</v>
      </c>
      <c r="B8" s="131">
        <f t="shared" ref="B8:V8" si="4">B7+B6</f>
        <v>1</v>
      </c>
      <c r="C8" s="131">
        <f t="shared" si="4"/>
        <v>0</v>
      </c>
      <c r="D8" s="131">
        <f t="shared" si="4"/>
        <v>0</v>
      </c>
      <c r="E8" s="131">
        <f t="shared" si="4"/>
        <v>7</v>
      </c>
      <c r="F8" s="131">
        <f t="shared" si="4"/>
        <v>24</v>
      </c>
      <c r="G8" s="131">
        <f t="shared" si="4"/>
        <v>44</v>
      </c>
      <c r="H8" s="131">
        <f t="shared" si="4"/>
        <v>118.11799999999999</v>
      </c>
      <c r="I8" s="131">
        <f t="shared" si="4"/>
        <v>214.065</v>
      </c>
      <c r="J8" s="131">
        <f t="shared" si="4"/>
        <v>213.084</v>
      </c>
      <c r="K8" s="132">
        <f t="shared" si="4"/>
        <v>428.84674999999947</v>
      </c>
      <c r="L8" s="132">
        <f t="shared" si="4"/>
        <v>1113.8892499999999</v>
      </c>
      <c r="M8" s="132">
        <f t="shared" si="4"/>
        <v>1649.0820624999999</v>
      </c>
      <c r="N8" s="132">
        <f t="shared" si="4"/>
        <v>2187.5947031250003</v>
      </c>
      <c r="O8" s="132">
        <f t="shared" si="4"/>
        <v>2380.4840039062501</v>
      </c>
      <c r="P8" s="132">
        <f t="shared" si="4"/>
        <v>2423.7393798828125</v>
      </c>
      <c r="Q8" s="132">
        <f t="shared" si="4"/>
        <v>2658.2250373535157</v>
      </c>
      <c r="R8" s="132">
        <f t="shared" si="4"/>
        <v>2658.7607810668947</v>
      </c>
      <c r="S8" s="132">
        <f t="shared" si="4"/>
        <v>2659.8023005523683</v>
      </c>
      <c r="T8" s="132">
        <f t="shared" si="4"/>
        <v>2658.506874713898</v>
      </c>
      <c r="U8" s="132">
        <f t="shared" si="4"/>
        <v>2658.8237484216693</v>
      </c>
      <c r="V8" s="132">
        <f t="shared" si="4"/>
        <v>2658.9734261887074</v>
      </c>
    </row>
    <row r="9" spans="1:24">
      <c r="A9" s="133" t="s">
        <v>129</v>
      </c>
      <c r="B9" s="134">
        <f t="shared" ref="B9:J9" si="5">B82</f>
        <v>0</v>
      </c>
      <c r="C9" s="134">
        <f t="shared" si="5"/>
        <v>0</v>
      </c>
      <c r="D9" s="134">
        <f t="shared" si="5"/>
        <v>0</v>
      </c>
      <c r="E9" s="134">
        <f t="shared" si="5"/>
        <v>0</v>
      </c>
      <c r="F9" s="134">
        <f t="shared" si="5"/>
        <v>0</v>
      </c>
      <c r="G9" s="134">
        <f t="shared" si="5"/>
        <v>9.5000000000140972E-2</v>
      </c>
      <c r="H9" s="134">
        <f t="shared" si="5"/>
        <v>0.14799999999991087</v>
      </c>
      <c r="I9" s="134">
        <f t="shared" si="5"/>
        <v>0.19600000000014006</v>
      </c>
      <c r="J9" s="134">
        <f t="shared" si="5"/>
        <v>54.178000000000793</v>
      </c>
      <c r="K9" s="135">
        <f>'Jet Fuel'!K9*SAF!K16</f>
        <v>369.51895960396041</v>
      </c>
      <c r="L9" s="135">
        <f>'Jet Fuel'!L9*SAF!L16</f>
        <v>759.95408673267332</v>
      </c>
      <c r="M9" s="135">
        <f>'Jet Fuel'!M9*SAF!M16</f>
        <v>1093.2183559603959</v>
      </c>
      <c r="N9" s="135">
        <f>'Jet Fuel'!N9*SAF!N16</f>
        <v>1430.6658586930696</v>
      </c>
      <c r="O9" s="135">
        <f>'Jet Fuel'!O9*SAF!O16</f>
        <v>1794.6071736237625</v>
      </c>
      <c r="P9" s="135">
        <f>'Jet Fuel'!P9*SAF!P16</f>
        <v>2157.1540773861393</v>
      </c>
      <c r="Q9" s="135">
        <f>'Jet Fuel'!Q9*SAF!Q16</f>
        <v>2530.8562704950496</v>
      </c>
      <c r="R9" s="135">
        <f>'Jet Fuel'!R9*SAF!R16</f>
        <v>3538.0859377425741</v>
      </c>
      <c r="S9" s="135">
        <f>'Jet Fuel'!S9*SAF!S16</f>
        <v>4706.52502950495</v>
      </c>
      <c r="T9" s="135">
        <f>'Jet Fuel'!T9*SAF!T16</f>
        <v>5879.302289346535</v>
      </c>
      <c r="U9" s="135">
        <f>'Jet Fuel'!U9*SAF!U16</f>
        <v>7053.6826916578657</v>
      </c>
      <c r="V9" s="135">
        <f>'Jet Fuel'!V9*SAF!V16</f>
        <v>8209.3984987990461</v>
      </c>
    </row>
    <row r="10" spans="1:24">
      <c r="A10" s="130" t="s">
        <v>42</v>
      </c>
      <c r="B10" s="131">
        <f>annual_data!$E5</f>
        <v>1</v>
      </c>
      <c r="C10" s="131">
        <f>annual_data!$E6</f>
        <v>0</v>
      </c>
      <c r="D10" s="131">
        <f>annual_data!$E7</f>
        <v>0</v>
      </c>
      <c r="E10" s="131">
        <f>annual_data!$E8</f>
        <v>7</v>
      </c>
      <c r="F10" s="131">
        <f>annual_data!$E9</f>
        <v>24</v>
      </c>
      <c r="G10" s="131">
        <f>annual_data!$E10</f>
        <v>44</v>
      </c>
      <c r="H10" s="131">
        <f>annual_data!$E11</f>
        <v>89</v>
      </c>
      <c r="I10" s="131">
        <f>annual_data!$E12</f>
        <v>161</v>
      </c>
      <c r="J10" s="131">
        <f>annual_data!$E13</f>
        <v>206</v>
      </c>
      <c r="K10" s="132">
        <f>K66</f>
        <v>1.7379999999993743</v>
      </c>
      <c r="L10" s="132">
        <f>L8-L9</f>
        <v>353.93516326732663</v>
      </c>
      <c r="M10" s="132">
        <f t="shared" ref="M10:V10" si="6">M8-M9</f>
        <v>555.86370653960398</v>
      </c>
      <c r="N10" s="132">
        <f t="shared" si="6"/>
        <v>756.92884443193066</v>
      </c>
      <c r="O10" s="132">
        <f t="shared" si="6"/>
        <v>585.87683028248762</v>
      </c>
      <c r="P10" s="132">
        <f t="shared" si="6"/>
        <v>266.58530249667319</v>
      </c>
      <c r="Q10" s="132">
        <f t="shared" si="6"/>
        <v>127.36876685846619</v>
      </c>
      <c r="R10" s="132">
        <f t="shared" si="6"/>
        <v>-879.32515667567941</v>
      </c>
      <c r="S10" s="132">
        <f t="shared" si="6"/>
        <v>-2046.7227289525817</v>
      </c>
      <c r="T10" s="132">
        <f t="shared" si="6"/>
        <v>-3220.7954146326369</v>
      </c>
      <c r="U10" s="132">
        <f t="shared" si="6"/>
        <v>-4394.8589432361969</v>
      </c>
      <c r="V10" s="132">
        <f t="shared" si="6"/>
        <v>-5550.4250726103382</v>
      </c>
    </row>
    <row r="11" spans="1:24">
      <c r="A11" s="130" t="s">
        <v>130</v>
      </c>
      <c r="B11" s="131">
        <f t="shared" ref="B11:J11" si="7">B9+B10</f>
        <v>1</v>
      </c>
      <c r="C11" s="131">
        <f t="shared" si="7"/>
        <v>0</v>
      </c>
      <c r="D11" s="131">
        <f t="shared" si="7"/>
        <v>0</v>
      </c>
      <c r="E11" s="131">
        <f t="shared" si="7"/>
        <v>7</v>
      </c>
      <c r="F11" s="131">
        <f t="shared" si="7"/>
        <v>24</v>
      </c>
      <c r="G11" s="131">
        <f t="shared" si="7"/>
        <v>44.095000000000141</v>
      </c>
      <c r="H11" s="131">
        <f t="shared" si="7"/>
        <v>89.147999999999911</v>
      </c>
      <c r="I11" s="131">
        <f t="shared" si="7"/>
        <v>161.19600000000014</v>
      </c>
      <c r="J11" s="131">
        <f t="shared" si="7"/>
        <v>260.17800000000079</v>
      </c>
      <c r="K11" s="132">
        <f>K10+K9</f>
        <v>371.25695960395979</v>
      </c>
      <c r="L11" s="132">
        <f t="shared" ref="L11:V11" si="8">L10+L9</f>
        <v>1113.8892499999999</v>
      </c>
      <c r="M11" s="132">
        <f t="shared" si="8"/>
        <v>1649.0820624999999</v>
      </c>
      <c r="N11" s="132">
        <f t="shared" si="8"/>
        <v>2187.5947031250003</v>
      </c>
      <c r="O11" s="132">
        <f t="shared" si="8"/>
        <v>2380.4840039062501</v>
      </c>
      <c r="P11" s="132">
        <f t="shared" si="8"/>
        <v>2423.7393798828125</v>
      </c>
      <c r="Q11" s="132">
        <f t="shared" si="8"/>
        <v>2658.2250373535157</v>
      </c>
      <c r="R11" s="132">
        <f t="shared" si="8"/>
        <v>2658.7607810668947</v>
      </c>
      <c r="S11" s="132">
        <f t="shared" si="8"/>
        <v>2659.8023005523683</v>
      </c>
      <c r="T11" s="132">
        <f t="shared" si="8"/>
        <v>2658.506874713898</v>
      </c>
      <c r="U11" s="132">
        <f t="shared" si="8"/>
        <v>2658.8237484216688</v>
      </c>
      <c r="V11" s="132">
        <f t="shared" si="8"/>
        <v>2658.9734261887079</v>
      </c>
    </row>
    <row r="12" spans="1:24">
      <c r="A12" s="133" t="s">
        <v>131</v>
      </c>
      <c r="B12" s="134">
        <f t="shared" ref="B12:J12" si="9">B112</f>
        <v>0</v>
      </c>
      <c r="C12" s="134">
        <f t="shared" si="9"/>
        <v>0</v>
      </c>
      <c r="D12" s="134">
        <f t="shared" si="9"/>
        <v>0</v>
      </c>
      <c r="E12" s="134">
        <f t="shared" si="9"/>
        <v>0</v>
      </c>
      <c r="F12" s="134">
        <f t="shared" si="9"/>
        <v>0.66300000000046566</v>
      </c>
      <c r="G12" s="134">
        <f t="shared" si="9"/>
        <v>6.3559999999997672</v>
      </c>
      <c r="H12" s="134">
        <f t="shared" si="9"/>
        <v>3.0420000000003711</v>
      </c>
      <c r="I12" s="134">
        <f t="shared" si="9"/>
        <v>4.6300000000001091</v>
      </c>
      <c r="J12" s="134">
        <f t="shared" si="9"/>
        <v>6.0900000000001455</v>
      </c>
      <c r="K12" s="135">
        <f>K8-K11</f>
        <v>57.589790396039689</v>
      </c>
      <c r="L12" s="135">
        <f t="shared" ref="L12:V12" si="10">L8-L11</f>
        <v>0</v>
      </c>
      <c r="M12" s="135">
        <f t="shared" si="10"/>
        <v>0</v>
      </c>
      <c r="N12" s="135">
        <f t="shared" si="10"/>
        <v>0</v>
      </c>
      <c r="O12" s="135">
        <f t="shared" si="10"/>
        <v>0</v>
      </c>
      <c r="P12" s="135">
        <f t="shared" si="10"/>
        <v>0</v>
      </c>
      <c r="Q12" s="135">
        <f t="shared" si="10"/>
        <v>0</v>
      </c>
      <c r="R12" s="135">
        <f t="shared" si="10"/>
        <v>0</v>
      </c>
      <c r="S12" s="135">
        <f t="shared" si="10"/>
        <v>0</v>
      </c>
      <c r="T12" s="135">
        <f t="shared" si="10"/>
        <v>0</v>
      </c>
      <c r="U12" s="135">
        <f t="shared" si="10"/>
        <v>0</v>
      </c>
      <c r="V12" s="135">
        <f t="shared" si="10"/>
        <v>0</v>
      </c>
    </row>
    <row r="13" spans="1:24">
      <c r="A13" s="136"/>
      <c r="B13" s="136"/>
      <c r="C13" s="136"/>
      <c r="D13" s="136"/>
      <c r="E13" s="132"/>
      <c r="F13" s="132"/>
      <c r="G13" s="132"/>
      <c r="H13" s="132"/>
      <c r="I13" s="132"/>
      <c r="J13" s="132"/>
      <c r="K13" s="131"/>
      <c r="L13" s="131"/>
      <c r="M13" s="137">
        <f>3.78541*0.8</f>
        <v>3.0283280000000001</v>
      </c>
      <c r="N13" s="131"/>
      <c r="O13" s="131"/>
      <c r="P13" s="131"/>
      <c r="Q13" s="131"/>
      <c r="R13" s="131"/>
      <c r="S13" s="131"/>
      <c r="T13" s="131"/>
      <c r="U13" s="131"/>
    </row>
    <row r="14" spans="1:24">
      <c r="E14" s="138"/>
      <c r="F14" s="138"/>
      <c r="G14" s="138"/>
      <c r="H14" s="138"/>
      <c r="I14" s="138"/>
      <c r="J14" s="138"/>
      <c r="K14" s="138"/>
      <c r="L14" s="138"/>
      <c r="M14" s="139">
        <f>15.14/5</f>
        <v>3.028</v>
      </c>
      <c r="N14" s="138"/>
      <c r="O14" s="138"/>
      <c r="P14" s="138"/>
      <c r="Q14" s="138"/>
      <c r="R14" s="138"/>
      <c r="S14" s="138"/>
      <c r="T14" s="138"/>
      <c r="U14" s="138"/>
      <c r="V14" s="138"/>
    </row>
    <row r="15" spans="1:24" ht="15.75" thickBot="1">
      <c r="E15" s="140"/>
      <c r="F15" s="140"/>
      <c r="G15" s="140"/>
      <c r="H15" s="140"/>
      <c r="I15" s="140"/>
      <c r="J15" s="140"/>
      <c r="K15" s="140"/>
      <c r="L15" s="140"/>
      <c r="M15" s="140"/>
      <c r="N15" s="140"/>
      <c r="O15" s="140"/>
      <c r="P15" s="140"/>
      <c r="Q15" s="140"/>
      <c r="R15" s="140"/>
      <c r="S15" s="140"/>
      <c r="T15" s="140"/>
      <c r="U15" s="140"/>
    </row>
    <row r="16" spans="1:24" ht="15.75" thickTop="1">
      <c r="A16" s="141" t="s">
        <v>132</v>
      </c>
      <c r="B16" s="141"/>
      <c r="C16" s="141"/>
      <c r="D16" s="141"/>
      <c r="E16" s="141"/>
      <c r="F16" s="141"/>
      <c r="G16" s="142"/>
      <c r="H16" s="142"/>
      <c r="I16" s="142"/>
      <c r="J16" s="142"/>
      <c r="K16" s="143">
        <v>0.01</v>
      </c>
      <c r="L16" s="143">
        <v>0.02</v>
      </c>
      <c r="M16" s="144">
        <f>L16+0.008</f>
        <v>2.8000000000000001E-2</v>
      </c>
      <c r="N16" s="144">
        <f>M16+0.008</f>
        <v>3.6000000000000004E-2</v>
      </c>
      <c r="O16" s="144">
        <f>N16+0.008</f>
        <v>4.4000000000000004E-2</v>
      </c>
      <c r="P16" s="144">
        <f>O16+0.008</f>
        <v>5.2000000000000005E-2</v>
      </c>
      <c r="Q16" s="143">
        <v>0.06</v>
      </c>
      <c r="R16" s="144">
        <f>Q16+0.028</f>
        <v>8.7999999999999995E-2</v>
      </c>
      <c r="S16" s="144">
        <f>R16+0.028</f>
        <v>0.11599999999999999</v>
      </c>
      <c r="T16" s="144">
        <f>S16+0.028</f>
        <v>0.14399999999999999</v>
      </c>
      <c r="U16" s="144">
        <f>T16+0.028</f>
        <v>0.17199999999999999</v>
      </c>
      <c r="V16" s="143">
        <f>U16+0.028</f>
        <v>0.19999999999999998</v>
      </c>
      <c r="X16" s="145" t="s">
        <v>133</v>
      </c>
    </row>
    <row r="17" spans="1:22">
      <c r="A17" s="130" t="s">
        <v>134</v>
      </c>
      <c r="E17" s="142">
        <f>E9/'Jet Fuel'!E9</f>
        <v>0</v>
      </c>
      <c r="F17" s="142">
        <f>F9/'Jet Fuel'!F9</f>
        <v>0</v>
      </c>
      <c r="G17" s="142">
        <f>G9/'Jet Fuel'!G9</f>
        <v>5.4924016092702589E-6</v>
      </c>
      <c r="H17" s="142">
        <f>H9/'Jet Fuel'!H9</f>
        <v>7.0305612321225234E-6</v>
      </c>
      <c r="I17" s="142">
        <f>I9/'Jet Fuel'!I9</f>
        <v>6.2022001419019114E-6</v>
      </c>
      <c r="J17" s="142">
        <f>J9/'Jet Fuel'!J9</f>
        <v>1.5387594527994611E-3</v>
      </c>
      <c r="K17" s="146">
        <f>K9/'Jet Fuel'!K9</f>
        <v>0.01</v>
      </c>
      <c r="L17" s="146">
        <f>L9/'Jet Fuel'!L9</f>
        <v>0.02</v>
      </c>
      <c r="M17" s="146">
        <f>M9/'Jet Fuel'!M9</f>
        <v>2.7999999999999997E-2</v>
      </c>
      <c r="N17" s="146">
        <f>N9/'Jet Fuel'!N9</f>
        <v>3.6000000000000004E-2</v>
      </c>
      <c r="O17" s="146">
        <f>O9/'Jet Fuel'!O9</f>
        <v>4.4000000000000004E-2</v>
      </c>
      <c r="P17" s="146">
        <f>P9/'Jet Fuel'!P9</f>
        <v>5.2000000000000011E-2</v>
      </c>
      <c r="Q17" s="146">
        <f>Q9/'Jet Fuel'!Q9</f>
        <v>5.9999999999999991E-2</v>
      </c>
      <c r="R17" s="146">
        <f>R9/'Jet Fuel'!R9</f>
        <v>8.7999999999999995E-2</v>
      </c>
      <c r="S17" s="146">
        <f>S9/'Jet Fuel'!S9</f>
        <v>0.11599999999999998</v>
      </c>
      <c r="T17" s="146">
        <f>T9/'Jet Fuel'!T9</f>
        <v>0.14399999999999999</v>
      </c>
      <c r="U17" s="146">
        <f>U9/'Jet Fuel'!U9</f>
        <v>0.17199999999999999</v>
      </c>
      <c r="V17" s="146">
        <f>V9/'Jet Fuel'!V9</f>
        <v>0.19999999999999998</v>
      </c>
    </row>
    <row r="18" spans="1:22">
      <c r="A18" s="130" t="s">
        <v>135</v>
      </c>
      <c r="G18" s="147">
        <f>17*0.05+100</f>
        <v>100.85</v>
      </c>
      <c r="H18" s="147">
        <f>G18+0.365+5.3+10</f>
        <v>116.51499999999999</v>
      </c>
      <c r="I18" s="147">
        <f>H18+100.2+2</f>
        <v>218.71499999999997</v>
      </c>
      <c r="J18" s="147">
        <f>I18</f>
        <v>218.71499999999997</v>
      </c>
      <c r="K18" s="147">
        <f>J18+150+60+220+120</f>
        <v>768.71499999999992</v>
      </c>
      <c r="L18" s="147">
        <f>K18+1500+210+2.5+2.1+100+0.76+100</f>
        <v>2684.0750000000003</v>
      </c>
      <c r="M18" s="147">
        <f>L18+68+80+64+40+10+250+16</f>
        <v>3212.0750000000003</v>
      </c>
      <c r="N18" s="147">
        <f>M18+35+110+8+40+185+457+245</f>
        <v>4292.0750000000007</v>
      </c>
      <c r="O18" s="147">
        <f>N18+65+75+50+50+125</f>
        <v>4657.0750000000007</v>
      </c>
      <c r="P18" s="147">
        <f>O18+32+70</f>
        <v>4759.0750000000007</v>
      </c>
      <c r="Q18" s="147">
        <f>P18+100+72+80+15+200</f>
        <v>5226.0750000000007</v>
      </c>
      <c r="R18" s="147">
        <f>Q18</f>
        <v>5226.0750000000007</v>
      </c>
      <c r="S18" s="147">
        <f>R18</f>
        <v>5226.0750000000007</v>
      </c>
      <c r="T18" s="147">
        <f>S18</f>
        <v>5226.0750000000007</v>
      </c>
      <c r="U18" s="147">
        <f>T18</f>
        <v>5226.0750000000007</v>
      </c>
      <c r="V18" s="147">
        <f>U18</f>
        <v>5226.0750000000007</v>
      </c>
    </row>
    <row r="19" spans="1:22">
      <c r="G19" s="147"/>
      <c r="H19" s="147"/>
      <c r="I19" s="147"/>
      <c r="J19" s="147"/>
      <c r="K19" s="147"/>
      <c r="L19" s="147"/>
      <c r="M19" s="147"/>
      <c r="N19" s="147"/>
      <c r="O19" s="147"/>
      <c r="P19" s="147"/>
      <c r="Q19" s="147"/>
      <c r="R19" s="147"/>
      <c r="S19" s="147"/>
      <c r="T19" s="147"/>
      <c r="U19" s="147"/>
      <c r="V19" s="147"/>
    </row>
    <row r="20" spans="1:22" ht="15.75" thickBot="1">
      <c r="A20" s="4" t="s">
        <v>136</v>
      </c>
    </row>
    <row r="21" spans="1:22" ht="15.75" thickBot="1">
      <c r="A21" s="148" t="s">
        <v>86</v>
      </c>
      <c r="B21" s="149">
        <f>B4</f>
        <v>2015</v>
      </c>
      <c r="C21" s="149">
        <f>C4</f>
        <v>2016</v>
      </c>
      <c r="D21" s="149">
        <f>D4</f>
        <v>2017</v>
      </c>
      <c r="E21" s="149">
        <f t="shared" ref="E21:T21" si="11">E4</f>
        <v>2018</v>
      </c>
      <c r="F21" s="149">
        <f t="shared" si="11"/>
        <v>2019</v>
      </c>
      <c r="G21" s="149">
        <f t="shared" si="11"/>
        <v>2020</v>
      </c>
      <c r="H21" s="149">
        <f t="shared" si="11"/>
        <v>2021</v>
      </c>
      <c r="I21" s="149">
        <f t="shared" si="11"/>
        <v>2022</v>
      </c>
      <c r="J21" s="149">
        <f t="shared" si="11"/>
        <v>2023</v>
      </c>
      <c r="K21" s="149">
        <f t="shared" si="11"/>
        <v>2024</v>
      </c>
      <c r="L21" s="149">
        <f t="shared" si="11"/>
        <v>2025</v>
      </c>
      <c r="M21" s="149">
        <f t="shared" si="11"/>
        <v>2026</v>
      </c>
      <c r="N21" s="149">
        <f t="shared" si="11"/>
        <v>2027</v>
      </c>
      <c r="O21" s="149">
        <f t="shared" si="11"/>
        <v>2028</v>
      </c>
      <c r="P21" s="149">
        <f t="shared" si="11"/>
        <v>2029</v>
      </c>
      <c r="Q21" s="149">
        <f t="shared" si="11"/>
        <v>2030</v>
      </c>
      <c r="R21" s="149">
        <f t="shared" si="11"/>
        <v>2031</v>
      </c>
      <c r="S21" s="149">
        <f t="shared" si="11"/>
        <v>2032</v>
      </c>
      <c r="T21" s="149">
        <f t="shared" si="11"/>
        <v>2033</v>
      </c>
      <c r="U21" s="149">
        <f>U4</f>
        <v>2034</v>
      </c>
    </row>
    <row r="22" spans="1:22">
      <c r="A22" s="130" t="s">
        <v>98</v>
      </c>
      <c r="B22" s="150">
        <f>B54+B70+B101-B86-B38</f>
        <v>0</v>
      </c>
      <c r="C22" s="150">
        <f>C54+C70+C101-C86-C38</f>
        <v>0</v>
      </c>
      <c r="D22" s="150">
        <f>D54+D70+D101-D86-D38</f>
        <v>0</v>
      </c>
      <c r="E22" s="150">
        <f>E54+E70+E101-E86-E38</f>
        <v>0</v>
      </c>
      <c r="F22" s="150">
        <f t="shared" ref="F22:K22" si="12">F54+F70+F101-F86-F38</f>
        <v>0</v>
      </c>
      <c r="G22" s="150">
        <f t="shared" si="12"/>
        <v>-0.50599999999940337</v>
      </c>
      <c r="H22" s="150">
        <f t="shared" si="12"/>
        <v>3.4999999999854481E-2</v>
      </c>
      <c r="I22" s="150">
        <f t="shared" si="12"/>
        <v>9.0949470177292824E-13</v>
      </c>
      <c r="J22" s="150">
        <f t="shared" si="12"/>
        <v>-0.11300000000028376</v>
      </c>
      <c r="K22" s="150">
        <f t="shared" si="12"/>
        <v>-0.21200000000021646</v>
      </c>
      <c r="L22" s="151"/>
      <c r="M22" s="151"/>
      <c r="N22" s="151"/>
      <c r="O22" s="151"/>
      <c r="P22" s="151"/>
      <c r="Q22" s="151"/>
      <c r="R22" s="151"/>
      <c r="S22" s="151"/>
      <c r="T22" s="151"/>
      <c r="U22" s="151"/>
    </row>
    <row r="23" spans="1:22">
      <c r="A23" s="130" t="s">
        <v>99</v>
      </c>
      <c r="B23" s="150">
        <f t="shared" ref="B23:K33" si="13">B55+B71+B102-B87-B39</f>
        <v>-73</v>
      </c>
      <c r="C23" s="150">
        <f t="shared" si="13"/>
        <v>0</v>
      </c>
      <c r="D23" s="150">
        <f t="shared" si="13"/>
        <v>0</v>
      </c>
      <c r="E23" s="150">
        <f t="shared" si="13"/>
        <v>0</v>
      </c>
      <c r="F23" s="150">
        <f t="shared" si="13"/>
        <v>0</v>
      </c>
      <c r="G23" s="150">
        <f t="shared" si="13"/>
        <v>-4.6000000000276486E-2</v>
      </c>
      <c r="H23" s="150">
        <f t="shared" si="13"/>
        <v>-2.0999999998593921E-2</v>
      </c>
      <c r="I23" s="150">
        <f t="shared" si="13"/>
        <v>-0.10500000000024556</v>
      </c>
      <c r="J23" s="150">
        <f t="shared" si="13"/>
        <v>-0.14599999999950342</v>
      </c>
      <c r="K23" s="150">
        <f t="shared" si="13"/>
        <v>-2.057999999999538</v>
      </c>
      <c r="L23" s="151"/>
      <c r="M23" s="151"/>
      <c r="N23" s="151"/>
      <c r="O23" s="151"/>
      <c r="P23" s="151"/>
      <c r="Q23" s="151"/>
      <c r="R23" s="151"/>
      <c r="S23" s="151"/>
      <c r="T23" s="151"/>
      <c r="U23" s="151"/>
    </row>
    <row r="24" spans="1:22">
      <c r="A24" s="130" t="s">
        <v>100</v>
      </c>
      <c r="B24" s="150">
        <f t="shared" si="13"/>
        <v>-73</v>
      </c>
      <c r="C24" s="150">
        <f t="shared" si="13"/>
        <v>0</v>
      </c>
      <c r="D24" s="150">
        <f t="shared" si="13"/>
        <v>0</v>
      </c>
      <c r="E24" s="150">
        <f t="shared" si="13"/>
        <v>0</v>
      </c>
      <c r="F24" s="150">
        <f t="shared" si="13"/>
        <v>0</v>
      </c>
      <c r="G24" s="150">
        <f t="shared" si="13"/>
        <v>-1.2999999999919964E-2</v>
      </c>
      <c r="H24" s="150">
        <f t="shared" si="13"/>
        <v>-2.7000000000043656E-2</v>
      </c>
      <c r="I24" s="150">
        <f t="shared" si="13"/>
        <v>-8.9999999997871782E-3</v>
      </c>
      <c r="J24" s="150">
        <f t="shared" si="13"/>
        <v>-0.1919999999997799</v>
      </c>
      <c r="K24" s="150">
        <f t="shared" si="13"/>
        <v>-1.3240000000005239</v>
      </c>
      <c r="L24" s="151"/>
      <c r="M24" s="151"/>
      <c r="N24" s="151"/>
      <c r="O24" s="151"/>
      <c r="P24" s="151"/>
      <c r="Q24" s="151"/>
      <c r="R24" s="151"/>
      <c r="S24" s="151"/>
      <c r="T24" s="151"/>
      <c r="U24" s="151"/>
    </row>
    <row r="25" spans="1:22">
      <c r="A25" s="130" t="s">
        <v>101</v>
      </c>
      <c r="B25" s="150">
        <f t="shared" si="13"/>
        <v>-68</v>
      </c>
      <c r="C25" s="150">
        <f t="shared" si="13"/>
        <v>0</v>
      </c>
      <c r="D25" s="150">
        <f t="shared" si="13"/>
        <v>0</v>
      </c>
      <c r="E25" s="150">
        <f t="shared" si="13"/>
        <v>0</v>
      </c>
      <c r="F25" s="150">
        <f t="shared" si="13"/>
        <v>0</v>
      </c>
      <c r="G25" s="150">
        <f t="shared" si="13"/>
        <v>-2.5999999998930434E-2</v>
      </c>
      <c r="H25" s="150">
        <f t="shared" si="13"/>
        <v>-0.13299999999958345</v>
      </c>
      <c r="I25" s="150">
        <f t="shared" si="13"/>
        <v>1.9800000000004729</v>
      </c>
      <c r="J25" s="150">
        <f t="shared" si="13"/>
        <v>-0.26200000000062573</v>
      </c>
      <c r="K25" s="150">
        <f t="shared" si="13"/>
        <v>3.7130000000001928</v>
      </c>
      <c r="L25" s="151"/>
      <c r="M25" s="151"/>
      <c r="N25" s="151"/>
      <c r="O25" s="151"/>
      <c r="P25" s="151"/>
      <c r="Q25" s="151"/>
      <c r="R25" s="151"/>
      <c r="S25" s="151"/>
      <c r="T25" s="151"/>
      <c r="U25" s="151"/>
    </row>
    <row r="26" spans="1:22">
      <c r="A26" s="130" t="s">
        <v>102</v>
      </c>
      <c r="B26" s="150">
        <f t="shared" si="13"/>
        <v>-68</v>
      </c>
      <c r="C26" s="150">
        <f t="shared" si="13"/>
        <v>0</v>
      </c>
      <c r="D26" s="150">
        <f t="shared" si="13"/>
        <v>0</v>
      </c>
      <c r="E26" s="150">
        <f t="shared" si="13"/>
        <v>0</v>
      </c>
      <c r="F26" s="150">
        <f t="shared" si="13"/>
        <v>0</v>
      </c>
      <c r="G26" s="150">
        <f t="shared" si="13"/>
        <v>-2.6530000000011569</v>
      </c>
      <c r="H26" s="150">
        <f t="shared" si="13"/>
        <v>-9.500000000093678E-2</v>
      </c>
      <c r="I26" s="150">
        <f t="shared" si="13"/>
        <v>-0.38400000000069667</v>
      </c>
      <c r="J26" s="150">
        <f t="shared" si="13"/>
        <v>-0.17100000000027649</v>
      </c>
      <c r="K26" s="150">
        <f t="shared" si="13"/>
        <v>-1.1620000000000346</v>
      </c>
      <c r="L26" s="151"/>
      <c r="M26" s="151"/>
      <c r="N26" s="151"/>
      <c r="O26" s="151"/>
      <c r="P26" s="151"/>
      <c r="Q26" s="151"/>
      <c r="R26" s="151"/>
      <c r="S26" s="151"/>
      <c r="T26" s="151"/>
      <c r="U26" s="151"/>
    </row>
    <row r="27" spans="1:22">
      <c r="A27" s="130" t="s">
        <v>103</v>
      </c>
      <c r="B27" s="150">
        <f t="shared" si="13"/>
        <v>0</v>
      </c>
      <c r="C27" s="150">
        <f t="shared" si="13"/>
        <v>0</v>
      </c>
      <c r="D27" s="150">
        <f t="shared" si="13"/>
        <v>0</v>
      </c>
      <c r="E27" s="150">
        <f t="shared" si="13"/>
        <v>0</v>
      </c>
      <c r="F27" s="150">
        <f t="shared" si="13"/>
        <v>-1</v>
      </c>
      <c r="G27" s="150">
        <f t="shared" si="13"/>
        <v>0</v>
      </c>
      <c r="H27" s="150">
        <f t="shared" si="13"/>
        <v>-0.10499999999933607</v>
      </c>
      <c r="I27" s="150">
        <f t="shared" si="13"/>
        <v>8.2999999999628926E-2</v>
      </c>
      <c r="J27" s="150">
        <f t="shared" si="13"/>
        <v>-0.18999999999914507</v>
      </c>
      <c r="K27" s="150">
        <f t="shared" si="13"/>
        <v>3.0059999999987213</v>
      </c>
      <c r="L27" s="151"/>
      <c r="M27" s="151"/>
      <c r="N27" s="151"/>
      <c r="O27" s="151"/>
      <c r="P27" s="151"/>
      <c r="Q27" s="151"/>
      <c r="R27" s="151"/>
      <c r="S27" s="151"/>
      <c r="T27" s="151"/>
      <c r="U27" s="151"/>
    </row>
    <row r="28" spans="1:22">
      <c r="A28" s="130" t="s">
        <v>104</v>
      </c>
      <c r="B28" s="150">
        <f t="shared" si="13"/>
        <v>0</v>
      </c>
      <c r="C28" s="150">
        <f t="shared" si="13"/>
        <v>0</v>
      </c>
      <c r="D28" s="150">
        <f t="shared" si="13"/>
        <v>0</v>
      </c>
      <c r="E28" s="150">
        <f t="shared" si="13"/>
        <v>0</v>
      </c>
      <c r="F28" s="150">
        <f t="shared" si="13"/>
        <v>-2</v>
      </c>
      <c r="G28" s="150">
        <f t="shared" si="13"/>
        <v>0</v>
      </c>
      <c r="H28" s="150">
        <f t="shared" si="13"/>
        <v>-3.8000000000920409E-2</v>
      </c>
      <c r="I28" s="150">
        <f t="shared" si="13"/>
        <v>-1.7999999999574356E-2</v>
      </c>
      <c r="J28" s="150">
        <f t="shared" si="13"/>
        <v>-0.29899999999952342</v>
      </c>
      <c r="K28" s="150">
        <f t="shared" si="13"/>
        <v>-1.077999999999065</v>
      </c>
      <c r="L28" s="151"/>
      <c r="M28" s="151"/>
      <c r="N28" s="151"/>
      <c r="O28" s="151"/>
      <c r="P28" s="151"/>
      <c r="Q28" s="151"/>
      <c r="R28" s="151"/>
      <c r="S28" s="151"/>
      <c r="T28" s="151"/>
      <c r="U28" s="151"/>
    </row>
    <row r="29" spans="1:22">
      <c r="A29" s="130" t="s">
        <v>105</v>
      </c>
      <c r="B29" s="150">
        <f t="shared" si="13"/>
        <v>0</v>
      </c>
      <c r="C29" s="150">
        <f t="shared" si="13"/>
        <v>0</v>
      </c>
      <c r="D29" s="150">
        <f t="shared" si="13"/>
        <v>0</v>
      </c>
      <c r="E29" s="150">
        <f t="shared" si="13"/>
        <v>0</v>
      </c>
      <c r="F29" s="150">
        <f t="shared" si="13"/>
        <v>0</v>
      </c>
      <c r="G29" s="150">
        <f t="shared" si="13"/>
        <v>-3.5000000001446097E-2</v>
      </c>
      <c r="H29" s="150">
        <f t="shared" si="13"/>
        <v>-3.7999999999556167E-2</v>
      </c>
      <c r="I29" s="150">
        <f t="shared" si="13"/>
        <v>-0.12800000000015643</v>
      </c>
      <c r="J29" s="150">
        <f t="shared" si="13"/>
        <v>-0.24099999999998545</v>
      </c>
      <c r="K29" s="150">
        <f t="shared" si="13"/>
        <v>13.280999999999949</v>
      </c>
      <c r="L29" s="151"/>
      <c r="M29" s="151"/>
      <c r="N29" s="151"/>
      <c r="O29" s="151"/>
      <c r="P29" s="151"/>
      <c r="Q29" s="151"/>
      <c r="R29" s="151"/>
      <c r="S29" s="151"/>
      <c r="T29" s="151"/>
      <c r="U29" s="151"/>
    </row>
    <row r="30" spans="1:22">
      <c r="A30" s="130" t="s">
        <v>106</v>
      </c>
      <c r="B30" s="150">
        <f t="shared" si="13"/>
        <v>0</v>
      </c>
      <c r="C30" s="150">
        <f t="shared" si="13"/>
        <v>0</v>
      </c>
      <c r="D30" s="150">
        <f t="shared" si="13"/>
        <v>0</v>
      </c>
      <c r="E30" s="150">
        <f t="shared" si="13"/>
        <v>0</v>
      </c>
      <c r="F30" s="150">
        <f t="shared" si="13"/>
        <v>0</v>
      </c>
      <c r="G30" s="150">
        <f t="shared" si="13"/>
        <v>-0.25300000000038381</v>
      </c>
      <c r="H30" s="150">
        <f t="shared" si="13"/>
        <v>-9.2000000000552973E-2</v>
      </c>
      <c r="I30" s="150">
        <f t="shared" si="13"/>
        <v>-8.7000000000443833E-2</v>
      </c>
      <c r="J30" s="150">
        <f t="shared" si="13"/>
        <v>-0.20799999999962893</v>
      </c>
      <c r="K30" s="150">
        <f>K62+K78+K109-K94-K46</f>
        <v>11.666999999999007</v>
      </c>
      <c r="L30" s="151"/>
      <c r="M30" s="151"/>
      <c r="N30" s="151"/>
      <c r="O30" s="151"/>
      <c r="P30" s="151"/>
      <c r="Q30" s="151"/>
      <c r="R30" s="151"/>
      <c r="S30" s="151"/>
      <c r="T30" s="151"/>
      <c r="U30" s="151"/>
    </row>
    <row r="31" spans="1:22">
      <c r="A31" s="130" t="s">
        <v>107</v>
      </c>
      <c r="B31" s="150">
        <f t="shared" si="13"/>
        <v>0</v>
      </c>
      <c r="C31" s="150">
        <f t="shared" si="13"/>
        <v>0</v>
      </c>
      <c r="D31" s="150">
        <f t="shared" si="13"/>
        <v>0</v>
      </c>
      <c r="E31" s="150">
        <f t="shared" si="13"/>
        <v>0</v>
      </c>
      <c r="F31" s="150">
        <f t="shared" si="13"/>
        <v>0</v>
      </c>
      <c r="G31" s="150">
        <f t="shared" si="13"/>
        <v>-1.2999999999237843E-2</v>
      </c>
      <c r="H31" s="150">
        <f t="shared" si="13"/>
        <v>-9.7999999999956344E-2</v>
      </c>
      <c r="I31" s="150">
        <f t="shared" si="13"/>
        <v>0</v>
      </c>
      <c r="J31" s="150">
        <f t="shared" si="13"/>
        <v>9.8499999999999091</v>
      </c>
      <c r="K31" s="150">
        <f>K63+K79+K110-K95-K47</f>
        <v>11.666999999999007</v>
      </c>
      <c r="L31" s="151"/>
      <c r="M31" s="151"/>
      <c r="N31" s="151"/>
      <c r="O31" s="151"/>
      <c r="P31" s="151"/>
      <c r="Q31" s="151"/>
      <c r="R31" s="151"/>
      <c r="S31" s="151"/>
      <c r="T31" s="151"/>
      <c r="U31" s="151"/>
    </row>
    <row r="32" spans="1:22">
      <c r="A32" s="130" t="s">
        <v>108</v>
      </c>
      <c r="B32" s="150">
        <f t="shared" si="13"/>
        <v>0</v>
      </c>
      <c r="C32" s="150">
        <f t="shared" si="13"/>
        <v>0</v>
      </c>
      <c r="D32" s="150">
        <f t="shared" si="13"/>
        <v>0</v>
      </c>
      <c r="E32" s="150">
        <f t="shared" si="13"/>
        <v>0</v>
      </c>
      <c r="F32" s="150">
        <f t="shared" si="13"/>
        <v>0</v>
      </c>
      <c r="G32" s="150">
        <f t="shared" si="13"/>
        <v>-1.9000000000232831E-2</v>
      </c>
      <c r="H32" s="150">
        <f t="shared" si="13"/>
        <v>-0.13499999999999091</v>
      </c>
      <c r="I32" s="150">
        <f t="shared" si="13"/>
        <v>-0.35300000000006548</v>
      </c>
      <c r="J32" s="150">
        <f t="shared" si="13"/>
        <v>4.8100000000006276</v>
      </c>
      <c r="K32" s="150">
        <f>K64+K80+K111-K96-K48</f>
        <v>-0.52600000000029468</v>
      </c>
      <c r="L32" s="151"/>
      <c r="M32" s="151"/>
      <c r="N32" s="151"/>
      <c r="O32" s="151"/>
      <c r="P32" s="151"/>
      <c r="Q32" s="151"/>
      <c r="R32" s="151"/>
      <c r="S32" s="151"/>
      <c r="T32" s="151"/>
      <c r="U32" s="151"/>
    </row>
    <row r="33" spans="1:21">
      <c r="A33" s="130" t="s">
        <v>109</v>
      </c>
      <c r="B33" s="150">
        <f t="shared" si="13"/>
        <v>0</v>
      </c>
      <c r="C33" s="150">
        <f t="shared" si="13"/>
        <v>0</v>
      </c>
      <c r="D33" s="150">
        <f t="shared" si="13"/>
        <v>0</v>
      </c>
      <c r="E33" s="150">
        <f t="shared" si="13"/>
        <v>0</v>
      </c>
      <c r="F33" s="150">
        <f t="shared" si="13"/>
        <v>-0.33699999999953434</v>
      </c>
      <c r="G33" s="150">
        <f t="shared" si="13"/>
        <v>-3.5999999999944521E-2</v>
      </c>
      <c r="H33" s="150">
        <f t="shared" si="13"/>
        <v>-2.5749999999998181</v>
      </c>
      <c r="I33" s="150">
        <f t="shared" si="13"/>
        <v>-0.15499999999974534</v>
      </c>
      <c r="J33" s="150">
        <f t="shared" si="13"/>
        <v>28.646999999999935</v>
      </c>
      <c r="K33" s="150">
        <f>K65+K81+K112-K97-K49</f>
        <v>-1.6909999999993488</v>
      </c>
      <c r="L33" s="151"/>
      <c r="M33" s="151"/>
      <c r="N33" s="151"/>
      <c r="O33" s="151"/>
      <c r="P33" s="151"/>
      <c r="Q33" s="151"/>
      <c r="R33" s="151"/>
      <c r="S33" s="151"/>
      <c r="T33" s="151"/>
      <c r="U33" s="151"/>
    </row>
    <row r="34" spans="1:21" ht="15.75" thickBot="1">
      <c r="A34" s="130" t="s">
        <v>137</v>
      </c>
      <c r="B34" s="150">
        <f>SUM(B22:B33)</f>
        <v>-282</v>
      </c>
      <c r="C34" s="150">
        <f>SUM(C22:C33)</f>
        <v>0</v>
      </c>
      <c r="D34" s="150">
        <f>SUM(D22:D33)</f>
        <v>0</v>
      </c>
      <c r="E34" s="150">
        <f t="shared" ref="E34:U34" si="14">SUM(E22:E33)</f>
        <v>0</v>
      </c>
      <c r="F34" s="150">
        <f t="shared" si="14"/>
        <v>-3.3369999999995343</v>
      </c>
      <c r="G34" s="150">
        <f t="shared" si="14"/>
        <v>-3.6000000000009322</v>
      </c>
      <c r="H34" s="150">
        <f t="shared" si="14"/>
        <v>-3.3219999999994343</v>
      </c>
      <c r="I34" s="150">
        <f t="shared" si="14"/>
        <v>0.8240000000002965</v>
      </c>
      <c r="J34" s="150">
        <f t="shared" si="14"/>
        <v>41.485000000001719</v>
      </c>
      <c r="K34" s="151">
        <f t="shared" si="14"/>
        <v>35.282999999997855</v>
      </c>
      <c r="L34" s="151">
        <f t="shared" si="14"/>
        <v>0</v>
      </c>
      <c r="M34" s="151">
        <f t="shared" si="14"/>
        <v>0</v>
      </c>
      <c r="N34" s="151">
        <f t="shared" si="14"/>
        <v>0</v>
      </c>
      <c r="O34" s="151">
        <f t="shared" si="14"/>
        <v>0</v>
      </c>
      <c r="P34" s="151">
        <f t="shared" si="14"/>
        <v>0</v>
      </c>
      <c r="Q34" s="151">
        <f t="shared" si="14"/>
        <v>0</v>
      </c>
      <c r="R34" s="151">
        <f t="shared" si="14"/>
        <v>0</v>
      </c>
      <c r="S34" s="151">
        <f t="shared" si="14"/>
        <v>0</v>
      </c>
      <c r="T34" s="151">
        <f t="shared" si="14"/>
        <v>0</v>
      </c>
      <c r="U34" s="151">
        <f t="shared" si="14"/>
        <v>0</v>
      </c>
    </row>
    <row r="35" spans="1:21">
      <c r="A35" s="152"/>
      <c r="B35" s="152"/>
      <c r="C35" s="152"/>
      <c r="D35" s="152"/>
      <c r="E35" s="152"/>
      <c r="F35" s="152"/>
      <c r="G35" s="152"/>
      <c r="H35" s="152"/>
      <c r="I35" s="152"/>
      <c r="J35" s="152"/>
      <c r="K35" s="152"/>
      <c r="L35" s="152"/>
      <c r="M35" s="152"/>
      <c r="N35" s="152"/>
      <c r="O35" s="152"/>
      <c r="P35" s="152"/>
      <c r="Q35" s="152"/>
      <c r="R35" s="152"/>
      <c r="S35" s="152"/>
      <c r="T35" s="152"/>
      <c r="U35" s="152"/>
    </row>
    <row r="36" spans="1:21" ht="15.75" thickBot="1">
      <c r="A36" s="4" t="s">
        <v>138</v>
      </c>
    </row>
    <row r="37" spans="1:21" ht="15.75" thickBot="1">
      <c r="A37" s="148" t="s">
        <v>86</v>
      </c>
      <c r="B37" s="149">
        <f t="shared" ref="B37:T37" si="15">B21</f>
        <v>2015</v>
      </c>
      <c r="C37" s="149">
        <f t="shared" si="15"/>
        <v>2016</v>
      </c>
      <c r="D37" s="149">
        <f t="shared" si="15"/>
        <v>2017</v>
      </c>
      <c r="E37" s="149">
        <f t="shared" si="15"/>
        <v>2018</v>
      </c>
      <c r="F37" s="149">
        <f t="shared" si="15"/>
        <v>2019</v>
      </c>
      <c r="G37" s="149">
        <f t="shared" si="15"/>
        <v>2020</v>
      </c>
      <c r="H37" s="149">
        <f t="shared" si="15"/>
        <v>2021</v>
      </c>
      <c r="I37" s="149">
        <f t="shared" si="15"/>
        <v>2022</v>
      </c>
      <c r="J37" s="149">
        <f t="shared" si="15"/>
        <v>2023</v>
      </c>
      <c r="K37" s="149">
        <f t="shared" si="15"/>
        <v>2024</v>
      </c>
      <c r="L37" s="149">
        <f t="shared" si="15"/>
        <v>2025</v>
      </c>
      <c r="M37" s="149">
        <f t="shared" si="15"/>
        <v>2026</v>
      </c>
      <c r="N37" s="149">
        <f t="shared" si="15"/>
        <v>2027</v>
      </c>
      <c r="O37" s="149">
        <f t="shared" si="15"/>
        <v>2028</v>
      </c>
      <c r="P37" s="149">
        <f t="shared" si="15"/>
        <v>2029</v>
      </c>
      <c r="Q37" s="149">
        <f t="shared" si="15"/>
        <v>2030</v>
      </c>
      <c r="R37" s="149">
        <f t="shared" si="15"/>
        <v>2031</v>
      </c>
      <c r="S37" s="149">
        <f t="shared" si="15"/>
        <v>2032</v>
      </c>
      <c r="T37" s="149">
        <f t="shared" si="15"/>
        <v>2033</v>
      </c>
      <c r="U37" s="149">
        <f>U21</f>
        <v>2034</v>
      </c>
    </row>
    <row r="38" spans="1:21">
      <c r="A38" s="130" t="s">
        <v>98</v>
      </c>
      <c r="B38" s="153">
        <f>monthly_data!$E40</f>
        <v>0</v>
      </c>
      <c r="C38" s="153">
        <f>monthly_data!$E40</f>
        <v>0</v>
      </c>
      <c r="D38" s="153">
        <f>monthly_data!$E40</f>
        <v>0</v>
      </c>
      <c r="E38" s="153">
        <f>monthly_data!$E40</f>
        <v>0</v>
      </c>
      <c r="F38" s="153">
        <f>monthly_data!$E52</f>
        <v>0</v>
      </c>
      <c r="G38" s="153">
        <f>monthly_data!$E64</f>
        <v>0</v>
      </c>
      <c r="H38" s="153">
        <f>monthly_data!$E76</f>
        <v>0</v>
      </c>
      <c r="I38" s="153">
        <f>monthly_data!$E88</f>
        <v>0</v>
      </c>
      <c r="J38" s="153">
        <f>monthly_data!$E100</f>
        <v>9.0000000000145519E-3</v>
      </c>
      <c r="K38" s="153">
        <f>monthly_data!$E112</f>
        <v>1.6899999999998272</v>
      </c>
      <c r="L38" s="151"/>
      <c r="M38" s="151"/>
      <c r="N38" s="151"/>
      <c r="O38" s="151"/>
      <c r="P38" s="151"/>
      <c r="Q38" s="151"/>
      <c r="R38" s="151"/>
      <c r="S38" s="151"/>
      <c r="T38" s="151"/>
      <c r="U38" s="151"/>
    </row>
    <row r="39" spans="1:21">
      <c r="A39" s="130" t="s">
        <v>99</v>
      </c>
      <c r="B39" s="153">
        <f>monthly_data!$E41</f>
        <v>0</v>
      </c>
      <c r="C39" s="153">
        <f>monthly_data!$E41</f>
        <v>0</v>
      </c>
      <c r="D39" s="153">
        <f>monthly_data!$E41</f>
        <v>0</v>
      </c>
      <c r="E39" s="153">
        <f>monthly_data!$E41</f>
        <v>0</v>
      </c>
      <c r="F39" s="153">
        <f>monthly_data!$E53</f>
        <v>0</v>
      </c>
      <c r="G39" s="153">
        <f>monthly_data!$E65</f>
        <v>0</v>
      </c>
      <c r="H39" s="153">
        <f>monthly_data!$E77</f>
        <v>1.999999999998181E-2</v>
      </c>
      <c r="I39" s="153">
        <f>monthly_data!$E89</f>
        <v>1.999999999998181E-2</v>
      </c>
      <c r="J39" s="153">
        <f>monthly_data!$E101</f>
        <v>2.8000000000020009E-2</v>
      </c>
      <c r="K39" s="153">
        <f>monthly_data!$E113</f>
        <v>1.7229999999999563</v>
      </c>
      <c r="L39" s="151"/>
      <c r="M39" s="151"/>
      <c r="N39" s="151"/>
      <c r="O39" s="151"/>
      <c r="P39" s="151"/>
      <c r="Q39" s="151"/>
      <c r="R39" s="151"/>
      <c r="S39" s="151"/>
      <c r="T39" s="151"/>
      <c r="U39" s="151"/>
    </row>
    <row r="40" spans="1:21">
      <c r="A40" s="130" t="s">
        <v>100</v>
      </c>
      <c r="B40" s="153">
        <f>monthly_data!$E42</f>
        <v>0</v>
      </c>
      <c r="C40" s="153">
        <f>monthly_data!$E42</f>
        <v>0</v>
      </c>
      <c r="D40" s="153">
        <f>monthly_data!$E42</f>
        <v>0</v>
      </c>
      <c r="E40" s="153">
        <f>monthly_data!$E42</f>
        <v>0</v>
      </c>
      <c r="F40" s="153">
        <f>monthly_data!$E54</f>
        <v>0</v>
      </c>
      <c r="G40" s="153">
        <f>monthly_data!$E66</f>
        <v>0</v>
      </c>
      <c r="H40" s="153">
        <f>monthly_data!$E78</f>
        <v>0</v>
      </c>
      <c r="I40" s="153">
        <f>monthly_data!$E90</f>
        <v>9.9999999999909051E-3</v>
      </c>
      <c r="J40" s="153">
        <f>monthly_data!$E102</f>
        <v>1.9000000000005457E-2</v>
      </c>
      <c r="K40" s="153">
        <f>monthly_data!$E114</f>
        <v>5.0940000000000509</v>
      </c>
      <c r="L40" s="151"/>
      <c r="M40" s="151"/>
      <c r="N40" s="151"/>
      <c r="O40" s="151"/>
      <c r="P40" s="151"/>
      <c r="Q40" s="151"/>
      <c r="R40" s="151"/>
      <c r="S40" s="151"/>
      <c r="T40" s="151"/>
      <c r="U40" s="151"/>
    </row>
    <row r="41" spans="1:21">
      <c r="A41" s="130" t="s">
        <v>101</v>
      </c>
      <c r="B41" s="153">
        <f>monthly_data!$E43</f>
        <v>0</v>
      </c>
      <c r="C41" s="153">
        <f>monthly_data!$E43</f>
        <v>0</v>
      </c>
      <c r="D41" s="153">
        <f>monthly_data!$E43</f>
        <v>0</v>
      </c>
      <c r="E41" s="153">
        <f>monthly_data!$E43</f>
        <v>0</v>
      </c>
      <c r="F41" s="153">
        <f>monthly_data!$E55</f>
        <v>0</v>
      </c>
      <c r="G41" s="153">
        <f>monthly_data!$E67</f>
        <v>2.63799999999992</v>
      </c>
      <c r="H41" s="153">
        <f>monthly_data!$E79</f>
        <v>1.9000000000005457E-2</v>
      </c>
      <c r="I41" s="153">
        <f>monthly_data!$E91</f>
        <v>9.0000000000145519E-3</v>
      </c>
      <c r="J41" s="153">
        <f>monthly_data!$E103</f>
        <v>0</v>
      </c>
      <c r="K41" s="153">
        <f>monthly_data!$E115</f>
        <v>4.930000000000291</v>
      </c>
      <c r="L41" s="151"/>
      <c r="M41" s="151"/>
      <c r="N41" s="151"/>
      <c r="O41" s="151"/>
      <c r="P41" s="151"/>
      <c r="Q41" s="151"/>
      <c r="R41" s="151"/>
      <c r="S41" s="151"/>
      <c r="T41" s="151"/>
      <c r="U41" s="151"/>
    </row>
    <row r="42" spans="1:21">
      <c r="A42" s="130" t="s">
        <v>102</v>
      </c>
      <c r="B42" s="153">
        <f>monthly_data!$E44</f>
        <v>0</v>
      </c>
      <c r="C42" s="153">
        <f>monthly_data!$E44</f>
        <v>0</v>
      </c>
      <c r="D42" s="153">
        <f>monthly_data!$E44</f>
        <v>0</v>
      </c>
      <c r="E42" s="153">
        <f>monthly_data!$E44</f>
        <v>0</v>
      </c>
      <c r="F42" s="153">
        <f>monthly_data!$E56</f>
        <v>4</v>
      </c>
      <c r="G42" s="153">
        <f>monthly_data!$E68</f>
        <v>2.63799999999992</v>
      </c>
      <c r="H42" s="153">
        <f>monthly_data!$E80</f>
        <v>1.8000000000029104E-2</v>
      </c>
      <c r="I42" s="153">
        <f>monthly_data!$E92</f>
        <v>2.8000000000020009E-2</v>
      </c>
      <c r="J42" s="153">
        <f>monthly_data!$E104</f>
        <v>0</v>
      </c>
      <c r="K42" s="153">
        <f>monthly_data!$E116</f>
        <v>10.750999999999749</v>
      </c>
      <c r="L42" s="151"/>
      <c r="M42" s="151"/>
      <c r="N42" s="151"/>
      <c r="O42" s="151"/>
      <c r="P42" s="151"/>
      <c r="Q42" s="151"/>
      <c r="R42" s="151"/>
      <c r="S42" s="151"/>
      <c r="T42" s="151"/>
      <c r="U42" s="151"/>
    </row>
    <row r="43" spans="1:21">
      <c r="A43" s="130" t="s">
        <v>103</v>
      </c>
      <c r="B43" s="153">
        <f>monthly_data!$E45</f>
        <v>0</v>
      </c>
      <c r="C43" s="153">
        <f>monthly_data!$E45</f>
        <v>0</v>
      </c>
      <c r="D43" s="153">
        <f>monthly_data!$E45</f>
        <v>0</v>
      </c>
      <c r="E43" s="153">
        <f>monthly_data!$E45</f>
        <v>0</v>
      </c>
      <c r="F43" s="153">
        <f>monthly_data!$E57</f>
        <v>0</v>
      </c>
      <c r="G43" s="153">
        <f>monthly_data!$E69</f>
        <v>0</v>
      </c>
      <c r="H43" s="153">
        <f>monthly_data!$E81</f>
        <v>1.999999999998181E-2</v>
      </c>
      <c r="I43" s="153">
        <f>monthly_data!$E93</f>
        <v>1.9000000000232831E-2</v>
      </c>
      <c r="J43" s="153">
        <f>monthly_data!$E105</f>
        <v>0.625</v>
      </c>
      <c r="K43" s="153">
        <f>monthly_data!$E117</f>
        <v>4.930000000000291</v>
      </c>
      <c r="L43" s="151"/>
      <c r="M43" s="151"/>
      <c r="N43" s="151"/>
      <c r="O43" s="151"/>
      <c r="P43" s="151"/>
      <c r="Q43" s="151"/>
      <c r="R43" s="151"/>
      <c r="S43" s="151"/>
      <c r="T43" s="151"/>
      <c r="U43" s="151"/>
    </row>
    <row r="44" spans="1:21">
      <c r="A44" s="130" t="s">
        <v>104</v>
      </c>
      <c r="B44" s="153">
        <f>monthly_data!$E46</f>
        <v>0</v>
      </c>
      <c r="C44" s="153">
        <f>monthly_data!$E46</f>
        <v>0</v>
      </c>
      <c r="D44" s="153">
        <f>monthly_data!$E46</f>
        <v>0</v>
      </c>
      <c r="E44" s="153">
        <f>monthly_data!$E46</f>
        <v>0</v>
      </c>
      <c r="F44" s="153">
        <f>monthly_data!$E58</f>
        <v>0</v>
      </c>
      <c r="G44" s="153">
        <f>monthly_data!$E70</f>
        <v>0</v>
      </c>
      <c r="H44" s="153">
        <f>monthly_data!$E82</f>
        <v>1.999999999998181E-2</v>
      </c>
      <c r="I44" s="153">
        <f>monthly_data!$E94</f>
        <v>1.0000000000218279E-2</v>
      </c>
      <c r="J44" s="153">
        <f>monthly_data!$E106</f>
        <v>5.1079999999997199</v>
      </c>
      <c r="K44" s="153">
        <f>monthly_data!$E118</f>
        <v>5.0949999999997999</v>
      </c>
      <c r="L44" s="151"/>
      <c r="M44" s="151"/>
      <c r="N44" s="151"/>
      <c r="O44" s="151"/>
      <c r="P44" s="151"/>
      <c r="Q44" s="151"/>
      <c r="R44" s="151"/>
      <c r="S44" s="151"/>
      <c r="T44" s="151"/>
      <c r="U44" s="151"/>
    </row>
    <row r="45" spans="1:21">
      <c r="A45" s="130" t="s">
        <v>105</v>
      </c>
      <c r="B45" s="153">
        <f>monthly_data!$E47</f>
        <v>0</v>
      </c>
      <c r="C45" s="153">
        <f>monthly_data!$E47</f>
        <v>0</v>
      </c>
      <c r="D45" s="153">
        <f>monthly_data!$E47</f>
        <v>0</v>
      </c>
      <c r="E45" s="153">
        <f>monthly_data!$E47</f>
        <v>0</v>
      </c>
      <c r="F45" s="153">
        <f>monthly_data!$E59</f>
        <v>0</v>
      </c>
      <c r="G45" s="153">
        <f>monthly_data!$E71</f>
        <v>4.20000000001437E-2</v>
      </c>
      <c r="H45" s="153">
        <f>monthly_data!$E83</f>
        <v>1.8000000000029104E-2</v>
      </c>
      <c r="I45" s="153">
        <f>monthly_data!$E95</f>
        <v>9.9999999997635314E-3</v>
      </c>
      <c r="J45" s="153">
        <f>monthly_data!$E107</f>
        <v>1.6950000000001637</v>
      </c>
      <c r="K45" s="153">
        <f>monthly_data!$E119</f>
        <v>11.230000000000018</v>
      </c>
      <c r="L45" s="151"/>
      <c r="M45" s="151"/>
      <c r="N45" s="151"/>
      <c r="O45" s="151"/>
      <c r="P45" s="151"/>
      <c r="Q45" s="151"/>
      <c r="R45" s="151"/>
      <c r="S45" s="151"/>
      <c r="T45" s="151"/>
      <c r="U45" s="151"/>
    </row>
    <row r="46" spans="1:21">
      <c r="A46" s="130" t="s">
        <v>106</v>
      </c>
      <c r="B46" s="153">
        <f>monthly_data!$E48</f>
        <v>0</v>
      </c>
      <c r="C46" s="153">
        <f>monthly_data!$E48</f>
        <v>0</v>
      </c>
      <c r="D46" s="153">
        <f>monthly_data!$E48</f>
        <v>0</v>
      </c>
      <c r="E46" s="153">
        <f>monthly_data!$E48</f>
        <v>0</v>
      </c>
      <c r="F46" s="153">
        <f>monthly_data!$E60</f>
        <v>0</v>
      </c>
      <c r="G46" s="153">
        <f>monthly_data!$E72</f>
        <v>2.1000000000185537E-2</v>
      </c>
      <c r="H46" s="153">
        <f>monthly_data!$E84</f>
        <v>0</v>
      </c>
      <c r="I46" s="153">
        <f>monthly_data!$E96</f>
        <v>0</v>
      </c>
      <c r="J46" s="153">
        <f>monthly_data!$E108</f>
        <v>1.6399999999998727</v>
      </c>
      <c r="K46" s="153">
        <f>monthly_data!$E120</f>
        <v>10.179999999999836</v>
      </c>
      <c r="L46" s="151"/>
      <c r="M46" s="151"/>
      <c r="N46" s="151"/>
      <c r="O46" s="151"/>
      <c r="P46" s="151"/>
      <c r="Q46" s="151"/>
      <c r="R46" s="151"/>
      <c r="S46" s="151"/>
      <c r="T46" s="151"/>
      <c r="U46" s="151"/>
    </row>
    <row r="47" spans="1:21">
      <c r="A47" s="130" t="s">
        <v>107</v>
      </c>
      <c r="B47" s="153">
        <f>monthly_data!$E49</f>
        <v>0</v>
      </c>
      <c r="C47" s="153">
        <f>monthly_data!$E49</f>
        <v>0</v>
      </c>
      <c r="D47" s="153">
        <f>monthly_data!$E49</f>
        <v>0</v>
      </c>
      <c r="E47" s="153">
        <f>monthly_data!$E49</f>
        <v>0</v>
      </c>
      <c r="F47" s="153">
        <f>monthly_data!$E61</f>
        <v>0</v>
      </c>
      <c r="G47" s="153">
        <f>monthly_data!$E73</f>
        <v>4.0529999999998836</v>
      </c>
      <c r="H47" s="153">
        <f>monthly_data!$E85</f>
        <v>1.999999999998181E-2</v>
      </c>
      <c r="I47" s="153">
        <f>monthly_data!$E97</f>
        <v>0</v>
      </c>
      <c r="J47" s="153">
        <f>monthly_data!$E109</f>
        <v>1.6950000000001637</v>
      </c>
      <c r="K47" s="153">
        <f>monthly_data!$E121</f>
        <v>10.179999999999836</v>
      </c>
      <c r="L47" s="151"/>
      <c r="M47" s="151"/>
      <c r="N47" s="151"/>
      <c r="O47" s="151"/>
      <c r="P47" s="151"/>
      <c r="Q47" s="151"/>
      <c r="R47" s="151"/>
      <c r="S47" s="151"/>
      <c r="T47" s="151"/>
      <c r="U47" s="151"/>
    </row>
    <row r="48" spans="1:21">
      <c r="A48" s="130" t="s">
        <v>108</v>
      </c>
      <c r="B48" s="153">
        <f>monthly_data!$E50</f>
        <v>0</v>
      </c>
      <c r="C48" s="153">
        <f>monthly_data!$E50</f>
        <v>0</v>
      </c>
      <c r="D48" s="153">
        <f>monthly_data!$E50</f>
        <v>0</v>
      </c>
      <c r="E48" s="153">
        <f>monthly_data!$E50</f>
        <v>0</v>
      </c>
      <c r="F48" s="153">
        <f>monthly_data!$E62</f>
        <v>0</v>
      </c>
      <c r="G48" s="153">
        <f>monthly_data!$E74</f>
        <v>0</v>
      </c>
      <c r="H48" s="153">
        <f>monthly_data!$E86</f>
        <v>2.0999999999958163E-2</v>
      </c>
      <c r="I48" s="153">
        <f>monthly_data!$E98</f>
        <v>9.0000000000145519E-3</v>
      </c>
      <c r="J48" s="153">
        <f>monthly_data!$E110</f>
        <v>1.6400000000001</v>
      </c>
      <c r="K48" s="153">
        <f>monthly_data!$E122</f>
        <v>12.027999999999793</v>
      </c>
      <c r="L48" s="151"/>
      <c r="M48" s="151"/>
      <c r="N48" s="151"/>
      <c r="O48" s="151"/>
      <c r="P48" s="151"/>
      <c r="Q48" s="151"/>
      <c r="R48" s="151"/>
      <c r="S48" s="151"/>
      <c r="T48" s="151"/>
      <c r="U48" s="151"/>
    </row>
    <row r="49" spans="1:21">
      <c r="A49" s="130" t="s">
        <v>109</v>
      </c>
      <c r="B49" s="153">
        <f>monthly_data!$E51</f>
        <v>0</v>
      </c>
      <c r="C49" s="153">
        <f>monthly_data!$E51</f>
        <v>0</v>
      </c>
      <c r="D49" s="153">
        <f>monthly_data!$E51</f>
        <v>0</v>
      </c>
      <c r="E49" s="153">
        <f>monthly_data!$E51</f>
        <v>0</v>
      </c>
      <c r="F49" s="153">
        <f>monthly_data!$E63</f>
        <v>0</v>
      </c>
      <c r="G49" s="153">
        <f>monthly_data!$E75</f>
        <v>1.7000000000052751E-2</v>
      </c>
      <c r="H49" s="153">
        <f>monthly_data!$E87</f>
        <v>0</v>
      </c>
      <c r="I49" s="153">
        <f>monthly_data!$E99</f>
        <v>9.0000000000145519E-3</v>
      </c>
      <c r="J49" s="153">
        <f>monthly_data!$E111</f>
        <v>1.69399999999996</v>
      </c>
      <c r="K49" s="153">
        <f>monthly_data!$E123</f>
        <v>5.0940000000000509</v>
      </c>
      <c r="L49" s="151"/>
      <c r="M49" s="151"/>
      <c r="N49" s="151"/>
      <c r="O49" s="151"/>
      <c r="P49" s="151"/>
      <c r="Q49" s="151"/>
      <c r="R49" s="151"/>
      <c r="S49" s="151"/>
      <c r="T49" s="151"/>
      <c r="U49" s="151"/>
    </row>
    <row r="50" spans="1:21" ht="15.75" thickBot="1">
      <c r="A50" s="130" t="s">
        <v>137</v>
      </c>
      <c r="B50" s="150">
        <f>SUM(B38:B49)</f>
        <v>0</v>
      </c>
      <c r="C50" s="150">
        <f>SUM(C38:C49)</f>
        <v>0</v>
      </c>
      <c r="D50" s="150">
        <f>SUM(D38:D49)</f>
        <v>0</v>
      </c>
      <c r="E50" s="150">
        <f>SUM(E38:E49)</f>
        <v>0</v>
      </c>
      <c r="F50" s="150">
        <f t="shared" ref="F50:U50" si="16">SUM(F38:F49)</f>
        <v>4</v>
      </c>
      <c r="G50" s="150">
        <f t="shared" si="16"/>
        <v>9.4090000000001055</v>
      </c>
      <c r="H50" s="150">
        <f t="shared" si="16"/>
        <v>0.15599999999994907</v>
      </c>
      <c r="I50" s="150">
        <f t="shared" si="16"/>
        <v>0.12400000000025102</v>
      </c>
      <c r="J50" s="150">
        <f t="shared" si="16"/>
        <v>14.15300000000002</v>
      </c>
      <c r="K50" s="150">
        <f t="shared" si="16"/>
        <v>82.9249999999995</v>
      </c>
      <c r="L50" s="150">
        <f t="shared" si="16"/>
        <v>0</v>
      </c>
      <c r="M50" s="150">
        <f t="shared" si="16"/>
        <v>0</v>
      </c>
      <c r="N50" s="150">
        <f t="shared" si="16"/>
        <v>0</v>
      </c>
      <c r="O50" s="150">
        <f t="shared" si="16"/>
        <v>0</v>
      </c>
      <c r="P50" s="150">
        <f t="shared" si="16"/>
        <v>0</v>
      </c>
      <c r="Q50" s="150">
        <f t="shared" si="16"/>
        <v>0</v>
      </c>
      <c r="R50" s="150">
        <f t="shared" si="16"/>
        <v>0</v>
      </c>
      <c r="S50" s="150">
        <f t="shared" si="16"/>
        <v>0</v>
      </c>
      <c r="T50" s="150">
        <f t="shared" si="16"/>
        <v>0</v>
      </c>
      <c r="U50" s="150">
        <f t="shared" si="16"/>
        <v>0</v>
      </c>
    </row>
    <row r="51" spans="1:21">
      <c r="A51" s="152"/>
      <c r="B51" s="152"/>
      <c r="C51" s="152"/>
      <c r="D51" s="152"/>
      <c r="E51" s="152"/>
      <c r="F51" s="152"/>
      <c r="G51" s="152"/>
      <c r="H51" s="152"/>
      <c r="I51" s="152"/>
      <c r="J51" s="152"/>
      <c r="K51" s="152"/>
      <c r="L51" s="152"/>
      <c r="M51" s="152"/>
      <c r="N51" s="152"/>
      <c r="O51" s="152"/>
      <c r="P51" s="152"/>
      <c r="Q51" s="152"/>
      <c r="R51" s="152"/>
      <c r="S51" s="152"/>
      <c r="T51" s="152"/>
      <c r="U51" s="152"/>
    </row>
    <row r="52" spans="1:21" ht="15.75" thickBot="1">
      <c r="A52" s="4" t="s">
        <v>139</v>
      </c>
    </row>
    <row r="53" spans="1:21" ht="15.75" thickBot="1">
      <c r="A53" s="148" t="s">
        <v>86</v>
      </c>
      <c r="B53" s="149">
        <f t="shared" ref="B53:T53" si="17">B4</f>
        <v>2015</v>
      </c>
      <c r="C53" s="149">
        <f t="shared" si="17"/>
        <v>2016</v>
      </c>
      <c r="D53" s="149">
        <f t="shared" si="17"/>
        <v>2017</v>
      </c>
      <c r="E53" s="149">
        <f t="shared" si="17"/>
        <v>2018</v>
      </c>
      <c r="F53" s="149">
        <f t="shared" si="17"/>
        <v>2019</v>
      </c>
      <c r="G53" s="149">
        <f t="shared" si="17"/>
        <v>2020</v>
      </c>
      <c r="H53" s="149">
        <f t="shared" si="17"/>
        <v>2021</v>
      </c>
      <c r="I53" s="149">
        <f t="shared" si="17"/>
        <v>2022</v>
      </c>
      <c r="J53" s="149">
        <f t="shared" si="17"/>
        <v>2023</v>
      </c>
      <c r="K53" s="149">
        <f t="shared" si="17"/>
        <v>2024</v>
      </c>
      <c r="L53" s="149">
        <f t="shared" si="17"/>
        <v>2025</v>
      </c>
      <c r="M53" s="149">
        <f t="shared" si="17"/>
        <v>2026</v>
      </c>
      <c r="N53" s="149">
        <f t="shared" si="17"/>
        <v>2027</v>
      </c>
      <c r="O53" s="149">
        <f t="shared" si="17"/>
        <v>2028</v>
      </c>
      <c r="P53" s="149">
        <f t="shared" si="17"/>
        <v>2029</v>
      </c>
      <c r="Q53" s="149">
        <f t="shared" si="17"/>
        <v>2030</v>
      </c>
      <c r="R53" s="149">
        <f t="shared" si="17"/>
        <v>2031</v>
      </c>
      <c r="S53" s="149">
        <f t="shared" si="17"/>
        <v>2032</v>
      </c>
      <c r="T53" s="149">
        <f t="shared" si="17"/>
        <v>2033</v>
      </c>
      <c r="U53" s="149">
        <f>U4</f>
        <v>2034</v>
      </c>
    </row>
    <row r="54" spans="1:21">
      <c r="A54" s="130" t="s">
        <v>98</v>
      </c>
      <c r="B54" s="153">
        <f>monthly_data!$H40</f>
        <v>0</v>
      </c>
      <c r="C54" s="153">
        <f>monthly_data!$H40</f>
        <v>0</v>
      </c>
      <c r="D54" s="153">
        <f>monthly_data!$H40</f>
        <v>0</v>
      </c>
      <c r="E54" s="153">
        <f>monthly_data!$H40</f>
        <v>0</v>
      </c>
      <c r="F54" s="153">
        <f>monthly_data!$H52</f>
        <v>0</v>
      </c>
      <c r="G54" s="153">
        <f>monthly_data!$H64</f>
        <v>0</v>
      </c>
      <c r="H54" s="153">
        <f>monthly_data!$H76</f>
        <v>0</v>
      </c>
      <c r="I54" s="153">
        <f>monthly_data!$H88</f>
        <v>0</v>
      </c>
      <c r="J54" s="153">
        <f>monthly_data!$H100</f>
        <v>0</v>
      </c>
      <c r="K54" s="153">
        <f>monthly_data!$H112</f>
        <v>0</v>
      </c>
      <c r="L54" s="151"/>
      <c r="M54" s="151"/>
      <c r="N54" s="151"/>
      <c r="O54" s="151"/>
      <c r="P54" s="151"/>
      <c r="Q54" s="151"/>
      <c r="R54" s="151"/>
      <c r="S54" s="151"/>
      <c r="T54" s="151"/>
      <c r="U54" s="151"/>
    </row>
    <row r="55" spans="1:21">
      <c r="A55" s="130" t="s">
        <v>99</v>
      </c>
      <c r="B55" s="153">
        <f>monthly_data!$H41</f>
        <v>0</v>
      </c>
      <c r="C55" s="153">
        <f>monthly_data!$H41</f>
        <v>0</v>
      </c>
      <c r="D55" s="153">
        <f>monthly_data!$H41</f>
        <v>0</v>
      </c>
      <c r="E55" s="153">
        <f>monthly_data!$H41</f>
        <v>0</v>
      </c>
      <c r="F55" s="153">
        <f>monthly_data!$H53</f>
        <v>0</v>
      </c>
      <c r="G55" s="153">
        <f>monthly_data!$H65</f>
        <v>0</v>
      </c>
      <c r="H55" s="153">
        <f>monthly_data!$H77</f>
        <v>0</v>
      </c>
      <c r="I55" s="153">
        <f>monthly_data!$H89</f>
        <v>0</v>
      </c>
      <c r="J55" s="153">
        <f>monthly_data!$H101</f>
        <v>0</v>
      </c>
      <c r="K55" s="153">
        <f>monthly_data!$H113</f>
        <v>0</v>
      </c>
      <c r="L55" s="151"/>
      <c r="M55" s="151"/>
      <c r="N55" s="151"/>
      <c r="O55" s="151"/>
      <c r="P55" s="151"/>
      <c r="Q55" s="151"/>
      <c r="R55" s="151"/>
      <c r="S55" s="151"/>
      <c r="T55" s="151"/>
      <c r="U55" s="151"/>
    </row>
    <row r="56" spans="1:21">
      <c r="A56" s="130" t="s">
        <v>100</v>
      </c>
      <c r="B56" s="153">
        <f>monthly_data!$H42</f>
        <v>0</v>
      </c>
      <c r="C56" s="153">
        <f>monthly_data!$H42</f>
        <v>0</v>
      </c>
      <c r="D56" s="153">
        <f>monthly_data!$H42</f>
        <v>0</v>
      </c>
      <c r="E56" s="153">
        <f>monthly_data!$H42</f>
        <v>0</v>
      </c>
      <c r="F56" s="153">
        <f>monthly_data!$H54</f>
        <v>0</v>
      </c>
      <c r="G56" s="153">
        <f>monthly_data!$H66</f>
        <v>0</v>
      </c>
      <c r="H56" s="153">
        <f>monthly_data!$H78</f>
        <v>0</v>
      </c>
      <c r="I56" s="153">
        <f>monthly_data!$H90</f>
        <v>0</v>
      </c>
      <c r="J56" s="153">
        <f>monthly_data!$H102</f>
        <v>0</v>
      </c>
      <c r="K56" s="153">
        <f>monthly_data!$H114</f>
        <v>0</v>
      </c>
      <c r="L56" s="151"/>
      <c r="M56" s="151"/>
      <c r="N56" s="151"/>
      <c r="O56" s="151"/>
      <c r="P56" s="151"/>
      <c r="Q56" s="151"/>
      <c r="R56" s="151"/>
      <c r="S56" s="151"/>
      <c r="T56" s="151"/>
      <c r="U56" s="151"/>
    </row>
    <row r="57" spans="1:21">
      <c r="A57" s="130" t="s">
        <v>101</v>
      </c>
      <c r="B57" s="153">
        <f>monthly_data!$H43</f>
        <v>0</v>
      </c>
      <c r="C57" s="153">
        <f>monthly_data!$H43</f>
        <v>0</v>
      </c>
      <c r="D57" s="153">
        <f>monthly_data!$H43</f>
        <v>0</v>
      </c>
      <c r="E57" s="153">
        <f>monthly_data!$H43</f>
        <v>0</v>
      </c>
      <c r="F57" s="153">
        <f>monthly_data!$H55</f>
        <v>0</v>
      </c>
      <c r="G57" s="153">
        <f>monthly_data!$H67</f>
        <v>0</v>
      </c>
      <c r="H57" s="153">
        <f>monthly_data!$H79</f>
        <v>0</v>
      </c>
      <c r="I57" s="153">
        <f>monthly_data!$H91</f>
        <v>0</v>
      </c>
      <c r="J57" s="153">
        <f>monthly_data!$H103</f>
        <v>0</v>
      </c>
      <c r="K57" s="154">
        <f>monthly_data!$H115</f>
        <v>0.21399999999994179</v>
      </c>
      <c r="L57" s="151"/>
      <c r="M57" s="151"/>
      <c r="N57" s="151"/>
      <c r="O57" s="151"/>
      <c r="P57" s="151"/>
      <c r="Q57" s="151"/>
      <c r="R57" s="151"/>
      <c r="S57" s="151"/>
      <c r="T57" s="151"/>
      <c r="U57" s="151"/>
    </row>
    <row r="58" spans="1:21">
      <c r="A58" s="130" t="s">
        <v>102</v>
      </c>
      <c r="B58" s="153">
        <f>monthly_data!$H44</f>
        <v>0</v>
      </c>
      <c r="C58" s="153">
        <f>monthly_data!$H44</f>
        <v>0</v>
      </c>
      <c r="D58" s="153">
        <f>monthly_data!$H44</f>
        <v>0</v>
      </c>
      <c r="E58" s="153">
        <f>monthly_data!$H44</f>
        <v>0</v>
      </c>
      <c r="F58" s="153">
        <f>monthly_data!$H56</f>
        <v>0</v>
      </c>
      <c r="G58" s="153">
        <f>monthly_data!$H68</f>
        <v>0</v>
      </c>
      <c r="H58" s="153">
        <f>monthly_data!$H80</f>
        <v>0</v>
      </c>
      <c r="I58" s="153">
        <f>monthly_data!$H92</f>
        <v>0</v>
      </c>
      <c r="J58" s="153">
        <f>monthly_data!$H104</f>
        <v>0</v>
      </c>
      <c r="K58" s="154">
        <f>monthly_data!$H116</f>
        <v>0.16200000000003456</v>
      </c>
      <c r="L58" s="151"/>
      <c r="M58" s="151"/>
      <c r="N58" s="151"/>
      <c r="O58" s="151"/>
      <c r="P58" s="151"/>
      <c r="Q58" s="151"/>
      <c r="R58" s="151"/>
      <c r="S58" s="151"/>
      <c r="T58" s="151"/>
      <c r="U58" s="151"/>
    </row>
    <row r="59" spans="1:21">
      <c r="A59" s="130" t="s">
        <v>103</v>
      </c>
      <c r="B59" s="153">
        <f>monthly_data!$H45</f>
        <v>0</v>
      </c>
      <c r="C59" s="153">
        <f>monthly_data!$H45</f>
        <v>0</v>
      </c>
      <c r="D59" s="153">
        <f>monthly_data!$H45</f>
        <v>0</v>
      </c>
      <c r="E59" s="153">
        <f>monthly_data!$H45</f>
        <v>0</v>
      </c>
      <c r="F59" s="153">
        <f>monthly_data!$H57</f>
        <v>0</v>
      </c>
      <c r="G59" s="153">
        <f>monthly_data!$H69</f>
        <v>0</v>
      </c>
      <c r="H59" s="153">
        <f>monthly_data!$H81</f>
        <v>0</v>
      </c>
      <c r="I59" s="153">
        <f>monthly_data!$H93</f>
        <v>0</v>
      </c>
      <c r="J59" s="153">
        <f>monthly_data!$H105</f>
        <v>0</v>
      </c>
      <c r="K59" s="154">
        <f>monthly_data!$H117</f>
        <v>0.14799999999991087</v>
      </c>
      <c r="L59" s="151"/>
      <c r="M59" s="151"/>
      <c r="N59" s="151"/>
      <c r="O59" s="151"/>
      <c r="P59" s="151"/>
      <c r="Q59" s="151"/>
      <c r="R59" s="151"/>
      <c r="S59" s="151"/>
      <c r="T59" s="151"/>
      <c r="U59" s="151"/>
    </row>
    <row r="60" spans="1:21">
      <c r="A60" s="130" t="s">
        <v>104</v>
      </c>
      <c r="B60" s="153">
        <f>monthly_data!$H46</f>
        <v>0</v>
      </c>
      <c r="C60" s="153">
        <f>monthly_data!$H46</f>
        <v>0</v>
      </c>
      <c r="D60" s="153">
        <f>monthly_data!$H46</f>
        <v>0</v>
      </c>
      <c r="E60" s="153">
        <f>monthly_data!$H46</f>
        <v>0</v>
      </c>
      <c r="F60" s="153">
        <f>monthly_data!$H58</f>
        <v>0</v>
      </c>
      <c r="G60" s="153">
        <f>monthly_data!$H70</f>
        <v>0</v>
      </c>
      <c r="H60" s="153">
        <f>monthly_data!$H82</f>
        <v>0</v>
      </c>
      <c r="I60" s="153">
        <f>monthly_data!$H94</f>
        <v>0</v>
      </c>
      <c r="J60" s="153">
        <f>monthly_data!$H106</f>
        <v>0</v>
      </c>
      <c r="K60" s="154">
        <f>monthly_data!$H118</f>
        <v>7.0999999999912689E-2</v>
      </c>
      <c r="L60" s="151"/>
      <c r="M60" s="151"/>
      <c r="N60" s="151"/>
      <c r="O60" s="151"/>
      <c r="P60" s="151"/>
      <c r="Q60" s="151"/>
      <c r="R60" s="151"/>
      <c r="S60" s="151"/>
      <c r="T60" s="151"/>
      <c r="U60" s="151"/>
    </row>
    <row r="61" spans="1:21">
      <c r="A61" s="130" t="s">
        <v>105</v>
      </c>
      <c r="B61" s="153">
        <f>monthly_data!$H47</f>
        <v>0</v>
      </c>
      <c r="C61" s="153">
        <f>monthly_data!$H47</f>
        <v>0</v>
      </c>
      <c r="D61" s="153">
        <f>monthly_data!$H47</f>
        <v>0</v>
      </c>
      <c r="E61" s="153">
        <f>monthly_data!$H47</f>
        <v>0</v>
      </c>
      <c r="F61" s="153">
        <f>monthly_data!$H59</f>
        <v>0</v>
      </c>
      <c r="G61" s="153">
        <f>monthly_data!$H71</f>
        <v>0</v>
      </c>
      <c r="H61" s="153">
        <f>monthly_data!$H83</f>
        <v>0</v>
      </c>
      <c r="I61" s="153">
        <f>monthly_data!$H95</f>
        <v>0</v>
      </c>
      <c r="J61" s="153">
        <f>monthly_data!$H107</f>
        <v>0</v>
      </c>
      <c r="K61" s="154">
        <f>monthly_data!$H119</f>
        <v>0.3589999999999236</v>
      </c>
      <c r="L61" s="151"/>
      <c r="M61" s="151"/>
      <c r="N61" s="151"/>
      <c r="O61" s="151"/>
      <c r="P61" s="151"/>
      <c r="Q61" s="151"/>
      <c r="R61" s="151"/>
      <c r="S61" s="151"/>
      <c r="T61" s="151"/>
      <c r="U61" s="151"/>
    </row>
    <row r="62" spans="1:21">
      <c r="A62" s="130" t="s">
        <v>106</v>
      </c>
      <c r="B62" s="153">
        <f>monthly_data!$H48</f>
        <v>0</v>
      </c>
      <c r="C62" s="153">
        <f>monthly_data!$H48</f>
        <v>0</v>
      </c>
      <c r="D62" s="153">
        <f>monthly_data!$H48</f>
        <v>0</v>
      </c>
      <c r="E62" s="153">
        <f>monthly_data!$H48</f>
        <v>0</v>
      </c>
      <c r="F62" s="153">
        <f>monthly_data!$H60</f>
        <v>0</v>
      </c>
      <c r="G62" s="153">
        <f>monthly_data!$H72</f>
        <v>0</v>
      </c>
      <c r="H62" s="153">
        <f>monthly_data!$H84</f>
        <v>0</v>
      </c>
      <c r="I62" s="153">
        <f>monthly_data!$H96</f>
        <v>0</v>
      </c>
      <c r="J62" s="153">
        <f>monthly_data!$H108</f>
        <v>0</v>
      </c>
      <c r="K62" s="154">
        <f>monthly_data!$H120</f>
        <v>0.31399999999985084</v>
      </c>
      <c r="L62" s="151"/>
      <c r="M62" s="151"/>
      <c r="N62" s="151"/>
      <c r="O62" s="151"/>
      <c r="P62" s="151"/>
      <c r="Q62" s="151"/>
      <c r="R62" s="151"/>
      <c r="S62" s="151"/>
      <c r="T62" s="151"/>
      <c r="U62" s="151"/>
    </row>
    <row r="63" spans="1:21">
      <c r="A63" s="130" t="s">
        <v>107</v>
      </c>
      <c r="B63" s="153">
        <f>monthly_data!$H49</f>
        <v>0</v>
      </c>
      <c r="C63" s="153">
        <f>monthly_data!$H49</f>
        <v>0</v>
      </c>
      <c r="D63" s="153">
        <f>monthly_data!$H49</f>
        <v>0</v>
      </c>
      <c r="E63" s="153">
        <f>monthly_data!$H49</f>
        <v>0</v>
      </c>
      <c r="F63" s="153">
        <f>monthly_data!$H61</f>
        <v>0</v>
      </c>
      <c r="G63" s="153">
        <f>monthly_data!$H73</f>
        <v>0</v>
      </c>
      <c r="H63" s="153">
        <f>monthly_data!$H85</f>
        <v>0</v>
      </c>
      <c r="I63" s="153">
        <f>monthly_data!$H97</f>
        <v>0</v>
      </c>
      <c r="J63" s="153">
        <f>monthly_data!$H109</f>
        <v>0</v>
      </c>
      <c r="K63" s="154">
        <f>monthly_data!$H121</f>
        <v>0.31399999999985084</v>
      </c>
      <c r="L63" s="151"/>
      <c r="M63" s="151"/>
      <c r="N63" s="151"/>
      <c r="O63" s="151"/>
      <c r="P63" s="151"/>
      <c r="Q63" s="151"/>
      <c r="R63" s="151"/>
      <c r="S63" s="151"/>
      <c r="T63" s="151"/>
      <c r="U63" s="151"/>
    </row>
    <row r="64" spans="1:21">
      <c r="A64" s="130" t="s">
        <v>108</v>
      </c>
      <c r="B64" s="153">
        <f>monthly_data!$H50</f>
        <v>0</v>
      </c>
      <c r="C64" s="153">
        <f>monthly_data!$H50</f>
        <v>0</v>
      </c>
      <c r="D64" s="153">
        <f>monthly_data!$H50</f>
        <v>0</v>
      </c>
      <c r="E64" s="153">
        <f>monthly_data!$H50</f>
        <v>0</v>
      </c>
      <c r="F64" s="153">
        <f>monthly_data!$H62</f>
        <v>0</v>
      </c>
      <c r="G64" s="153">
        <f>monthly_data!$H74</f>
        <v>0</v>
      </c>
      <c r="H64" s="153">
        <f>monthly_data!$H86</f>
        <v>0</v>
      </c>
      <c r="I64" s="153">
        <f>monthly_data!$H98</f>
        <v>0</v>
      </c>
      <c r="J64" s="153">
        <f>monthly_data!$H110</f>
        <v>0</v>
      </c>
      <c r="K64" s="154">
        <f>monthly_data!$H122</f>
        <v>0.15599999999994907</v>
      </c>
      <c r="L64" s="151"/>
      <c r="M64" s="151"/>
      <c r="N64" s="151"/>
      <c r="O64" s="151"/>
      <c r="P64" s="151"/>
      <c r="Q64" s="151"/>
      <c r="R64" s="151"/>
      <c r="S64" s="151"/>
      <c r="T64" s="151"/>
      <c r="U64" s="151"/>
    </row>
    <row r="65" spans="1:21">
      <c r="A65" s="130" t="s">
        <v>109</v>
      </c>
      <c r="B65" s="153">
        <f>monthly_data!$H51</f>
        <v>0</v>
      </c>
      <c r="C65" s="153">
        <f>monthly_data!$H51</f>
        <v>0</v>
      </c>
      <c r="D65" s="153">
        <f>monthly_data!$H51</f>
        <v>0</v>
      </c>
      <c r="E65" s="153">
        <f>monthly_data!$H51</f>
        <v>0</v>
      </c>
      <c r="F65" s="153">
        <f>monthly_data!$H63</f>
        <v>0</v>
      </c>
      <c r="G65" s="153">
        <f>monthly_data!$H75</f>
        <v>0</v>
      </c>
      <c r="H65" s="153">
        <f>monthly_data!$H87</f>
        <v>0</v>
      </c>
      <c r="I65" s="153">
        <f>monthly_data!$H99</f>
        <v>0</v>
      </c>
      <c r="J65" s="153">
        <f>monthly_data!$H111</f>
        <v>0</v>
      </c>
      <c r="K65" s="154">
        <f>monthly_data!$H123</f>
        <v>0</v>
      </c>
      <c r="L65" s="151"/>
      <c r="M65" s="151"/>
      <c r="N65" s="151"/>
      <c r="O65" s="151"/>
      <c r="P65" s="151"/>
      <c r="Q65" s="151"/>
      <c r="R65" s="151"/>
      <c r="S65" s="151"/>
      <c r="T65" s="151"/>
      <c r="U65" s="151"/>
    </row>
    <row r="66" spans="1:21" ht="15.75" thickBot="1">
      <c r="A66" s="130" t="s">
        <v>137</v>
      </c>
      <c r="B66" s="150">
        <f>SUM(B54:B65)</f>
        <v>0</v>
      </c>
      <c r="C66" s="150">
        <f>SUM(C54:C65)</f>
        <v>0</v>
      </c>
      <c r="D66" s="150">
        <f>SUM(D54:D65)</f>
        <v>0</v>
      </c>
      <c r="E66" s="150">
        <f>SUM(E54:E65)</f>
        <v>0</v>
      </c>
      <c r="F66" s="150">
        <f t="shared" ref="F66:U66" si="18">SUM(F54:F65)</f>
        <v>0</v>
      </c>
      <c r="G66" s="150">
        <f t="shared" si="18"/>
        <v>0</v>
      </c>
      <c r="H66" s="150">
        <f t="shared" si="18"/>
        <v>0</v>
      </c>
      <c r="I66" s="150">
        <f t="shared" si="18"/>
        <v>0</v>
      </c>
      <c r="J66" s="150">
        <f t="shared" si="18"/>
        <v>0</v>
      </c>
      <c r="K66" s="150">
        <f t="shared" si="18"/>
        <v>1.7379999999993743</v>
      </c>
      <c r="L66" s="150">
        <f t="shared" si="18"/>
        <v>0</v>
      </c>
      <c r="M66" s="150">
        <f t="shared" si="18"/>
        <v>0</v>
      </c>
      <c r="N66" s="150">
        <f t="shared" si="18"/>
        <v>0</v>
      </c>
      <c r="O66" s="150">
        <f t="shared" si="18"/>
        <v>0</v>
      </c>
      <c r="P66" s="150">
        <f t="shared" si="18"/>
        <v>0</v>
      </c>
      <c r="Q66" s="150">
        <f t="shared" si="18"/>
        <v>0</v>
      </c>
      <c r="R66" s="150">
        <f t="shared" si="18"/>
        <v>0</v>
      </c>
      <c r="S66" s="150">
        <f t="shared" si="18"/>
        <v>0</v>
      </c>
      <c r="T66" s="150">
        <f t="shared" si="18"/>
        <v>0</v>
      </c>
      <c r="U66" s="150">
        <f t="shared" si="18"/>
        <v>0</v>
      </c>
    </row>
    <row r="67" spans="1:21">
      <c r="A67" s="152"/>
      <c r="B67" s="152"/>
      <c r="C67" s="152"/>
      <c r="D67" s="152"/>
      <c r="E67" s="152"/>
      <c r="F67" s="152"/>
      <c r="G67" s="152"/>
      <c r="H67" s="152"/>
      <c r="I67" s="152"/>
      <c r="J67" s="152"/>
      <c r="K67" s="152"/>
      <c r="L67" s="152"/>
      <c r="M67" s="152"/>
      <c r="N67" s="152"/>
      <c r="O67" s="152"/>
      <c r="P67" s="152"/>
      <c r="Q67" s="152"/>
      <c r="R67" s="152"/>
      <c r="S67" s="152"/>
      <c r="T67" s="152"/>
      <c r="U67" s="152"/>
    </row>
    <row r="68" spans="1:21" ht="15.75" thickBot="1">
      <c r="A68" s="4" t="s">
        <v>140</v>
      </c>
    </row>
    <row r="69" spans="1:21" ht="15.75" thickBot="1">
      <c r="A69" s="148" t="s">
        <v>86</v>
      </c>
      <c r="B69" s="149">
        <f t="shared" ref="B69:U69" si="19">B53</f>
        <v>2015</v>
      </c>
      <c r="C69" s="149">
        <f t="shared" si="19"/>
        <v>2016</v>
      </c>
      <c r="D69" s="149">
        <f t="shared" si="19"/>
        <v>2017</v>
      </c>
      <c r="E69" s="149">
        <f t="shared" si="19"/>
        <v>2018</v>
      </c>
      <c r="F69" s="149">
        <f t="shared" si="19"/>
        <v>2019</v>
      </c>
      <c r="G69" s="149">
        <f t="shared" si="19"/>
        <v>2020</v>
      </c>
      <c r="H69" s="149">
        <f t="shared" si="19"/>
        <v>2021</v>
      </c>
      <c r="I69" s="149">
        <f t="shared" si="19"/>
        <v>2022</v>
      </c>
      <c r="J69" s="149">
        <f t="shared" si="19"/>
        <v>2023</v>
      </c>
      <c r="K69" s="149">
        <f t="shared" si="19"/>
        <v>2024</v>
      </c>
      <c r="L69" s="149">
        <f t="shared" si="19"/>
        <v>2025</v>
      </c>
      <c r="M69" s="149">
        <f t="shared" si="19"/>
        <v>2026</v>
      </c>
      <c r="N69" s="149">
        <f t="shared" si="19"/>
        <v>2027</v>
      </c>
      <c r="O69" s="149">
        <f t="shared" si="19"/>
        <v>2028</v>
      </c>
      <c r="P69" s="149">
        <f t="shared" si="19"/>
        <v>2029</v>
      </c>
      <c r="Q69" s="149">
        <f t="shared" si="19"/>
        <v>2030</v>
      </c>
      <c r="R69" s="149">
        <f t="shared" si="19"/>
        <v>2031</v>
      </c>
      <c r="S69" s="149">
        <f t="shared" si="19"/>
        <v>2032</v>
      </c>
      <c r="T69" s="149">
        <f t="shared" si="19"/>
        <v>2033</v>
      </c>
      <c r="U69" s="149">
        <f t="shared" si="19"/>
        <v>2034</v>
      </c>
    </row>
    <row r="70" spans="1:21">
      <c r="A70" s="130" t="s">
        <v>98</v>
      </c>
      <c r="B70" s="153">
        <f>monthly_data!$Q$40</f>
        <v>0</v>
      </c>
      <c r="C70" s="153">
        <f>monthly_data!$Q$40</f>
        <v>0</v>
      </c>
      <c r="D70" s="153">
        <f>monthly_data!$Q$40</f>
        <v>0</v>
      </c>
      <c r="E70" s="153">
        <f>monthly_data!$Q$40</f>
        <v>0</v>
      </c>
      <c r="F70" s="153">
        <f>monthly_data!$Q$52</f>
        <v>0</v>
      </c>
      <c r="G70" s="153">
        <f>monthly_data!$Q$64</f>
        <v>0</v>
      </c>
      <c r="H70" s="153">
        <f>monthly_data!$Q$76</f>
        <v>0</v>
      </c>
      <c r="I70" s="153">
        <f>monthly_data!$Q$88</f>
        <v>0</v>
      </c>
      <c r="J70" s="153">
        <f>monthly_data!$Q$100</f>
        <v>2.7000000000043656E-2</v>
      </c>
      <c r="K70" s="153">
        <f>monthly_data!$Q$112</f>
        <v>1.6900000000000546</v>
      </c>
      <c r="L70" s="151"/>
      <c r="M70" s="151"/>
      <c r="N70" s="151"/>
      <c r="O70" s="151"/>
      <c r="P70" s="151"/>
      <c r="Q70" s="151"/>
      <c r="R70" s="151"/>
      <c r="S70" s="151"/>
      <c r="T70" s="151"/>
      <c r="U70" s="151"/>
    </row>
    <row r="71" spans="1:21">
      <c r="A71" s="130" t="s">
        <v>99</v>
      </c>
      <c r="B71" s="153">
        <f>monthly_data!$Q41</f>
        <v>0</v>
      </c>
      <c r="C71" s="153">
        <f>monthly_data!$Q41</f>
        <v>0</v>
      </c>
      <c r="D71" s="153">
        <f>monthly_data!$Q41</f>
        <v>0</v>
      </c>
      <c r="E71" s="153">
        <f>monthly_data!$Q41</f>
        <v>0</v>
      </c>
      <c r="F71" s="153">
        <f>monthly_data!$Q53</f>
        <v>0</v>
      </c>
      <c r="G71" s="153">
        <f>monthly_data!$Q65</f>
        <v>0</v>
      </c>
      <c r="H71" s="153">
        <f>monthly_data!$Q77</f>
        <v>1.9000000000005457E-2</v>
      </c>
      <c r="I71" s="153">
        <f>monthly_data!$Q89</f>
        <v>1.9000000000005457E-2</v>
      </c>
      <c r="J71" s="153">
        <f>monthly_data!$Q101</f>
        <v>0</v>
      </c>
      <c r="K71" s="153">
        <f>monthly_data!$Q113</f>
        <v>1.5849999999995816</v>
      </c>
      <c r="L71" s="151"/>
      <c r="M71" s="151"/>
      <c r="N71" s="151"/>
      <c r="O71" s="151"/>
      <c r="P71" s="151"/>
      <c r="Q71" s="151"/>
      <c r="R71" s="151"/>
      <c r="S71" s="151"/>
      <c r="T71" s="151"/>
      <c r="U71" s="151"/>
    </row>
    <row r="72" spans="1:21">
      <c r="A72" s="130" t="s">
        <v>100</v>
      </c>
      <c r="B72" s="153">
        <f>monthly_data!$Q42</f>
        <v>0</v>
      </c>
      <c r="C72" s="153">
        <f>monthly_data!$Q42</f>
        <v>0</v>
      </c>
      <c r="D72" s="153">
        <f>monthly_data!$Q42</f>
        <v>0</v>
      </c>
      <c r="E72" s="153">
        <f>monthly_data!$Q42</f>
        <v>0</v>
      </c>
      <c r="F72" s="153">
        <f>monthly_data!$Q54</f>
        <v>0</v>
      </c>
      <c r="G72" s="153">
        <f>monthly_data!$Q66</f>
        <v>0</v>
      </c>
      <c r="H72" s="153">
        <f>monthly_data!$Q78</f>
        <v>0</v>
      </c>
      <c r="I72" s="153">
        <f>monthly_data!$Q90</f>
        <v>0</v>
      </c>
      <c r="J72" s="153">
        <f>monthly_data!$Q102</f>
        <v>0</v>
      </c>
      <c r="K72" s="153">
        <f>monthly_data!$Q114</f>
        <v>5.1019999999998618</v>
      </c>
      <c r="L72" s="151"/>
      <c r="M72" s="151"/>
      <c r="N72" s="151"/>
      <c r="O72" s="151"/>
      <c r="P72" s="151"/>
      <c r="Q72" s="151"/>
      <c r="R72" s="151"/>
      <c r="S72" s="151"/>
      <c r="T72" s="151"/>
      <c r="U72" s="151"/>
    </row>
    <row r="73" spans="1:21">
      <c r="A73" s="130" t="s">
        <v>101</v>
      </c>
      <c r="B73" s="153">
        <f>monthly_data!$Q43</f>
        <v>0</v>
      </c>
      <c r="C73" s="153">
        <f>monthly_data!$Q43</f>
        <v>0</v>
      </c>
      <c r="D73" s="153">
        <f>monthly_data!$Q43</f>
        <v>0</v>
      </c>
      <c r="E73" s="153">
        <f>monthly_data!$Q43</f>
        <v>0</v>
      </c>
      <c r="F73" s="153">
        <f>monthly_data!$Q55</f>
        <v>0</v>
      </c>
      <c r="G73" s="153">
        <f>monthly_data!$Q67</f>
        <v>0</v>
      </c>
      <c r="H73" s="153">
        <f>monthly_data!$Q79</f>
        <v>1.8000000000029104E-2</v>
      </c>
      <c r="I73" s="153">
        <f>monthly_data!$Q91</f>
        <v>0</v>
      </c>
      <c r="J73" s="153">
        <f>monthly_data!$Q103</f>
        <v>1.0000000002037268E-3</v>
      </c>
      <c r="K73" s="153">
        <f>monthly_data!$Q115</f>
        <v>4.9410000000002583</v>
      </c>
      <c r="L73" s="151"/>
      <c r="M73" s="151"/>
      <c r="N73" s="151"/>
      <c r="O73" s="151"/>
      <c r="P73" s="151"/>
      <c r="Q73" s="151"/>
      <c r="R73" s="151"/>
      <c r="S73" s="151"/>
      <c r="T73" s="151"/>
      <c r="U73" s="151"/>
    </row>
    <row r="74" spans="1:21">
      <c r="A74" s="130" t="s">
        <v>102</v>
      </c>
      <c r="B74" s="153">
        <f>monthly_data!$Q44</f>
        <v>0</v>
      </c>
      <c r="C74" s="153">
        <f>monthly_data!$Q44</f>
        <v>0</v>
      </c>
      <c r="D74" s="153">
        <f>monthly_data!$Q44</f>
        <v>0</v>
      </c>
      <c r="E74" s="153">
        <f>monthly_data!$Q44</f>
        <v>0</v>
      </c>
      <c r="F74" s="153">
        <f>monthly_data!$Q56</f>
        <v>0</v>
      </c>
      <c r="G74" s="153">
        <f>monthly_data!$Q68</f>
        <v>0</v>
      </c>
      <c r="H74" s="153">
        <f>monthly_data!$Q80</f>
        <v>1.7000000000052751E-2</v>
      </c>
      <c r="I74" s="153">
        <f>monthly_data!$Q92</f>
        <v>0</v>
      </c>
      <c r="J74" s="153">
        <f>monthly_data!$Q104</f>
        <v>0</v>
      </c>
      <c r="K74" s="153">
        <f>monthly_data!$Q116</f>
        <v>6.0950000000002547</v>
      </c>
      <c r="L74" s="151"/>
      <c r="M74" s="151"/>
      <c r="N74" s="151"/>
      <c r="O74" s="151"/>
      <c r="P74" s="151"/>
      <c r="Q74" s="151"/>
      <c r="R74" s="151"/>
      <c r="S74" s="151"/>
      <c r="T74" s="151"/>
      <c r="U74" s="151"/>
    </row>
    <row r="75" spans="1:21">
      <c r="A75" s="130" t="s">
        <v>103</v>
      </c>
      <c r="B75" s="153">
        <f>monthly_data!$Q45</f>
        <v>0</v>
      </c>
      <c r="C75" s="153">
        <f>monthly_data!$Q45</f>
        <v>0</v>
      </c>
      <c r="D75" s="153">
        <f>monthly_data!$Q45</f>
        <v>0</v>
      </c>
      <c r="E75" s="153">
        <f>monthly_data!$Q45</f>
        <v>0</v>
      </c>
      <c r="F75" s="153">
        <f>monthly_data!$Q57</f>
        <v>0</v>
      </c>
      <c r="G75" s="153">
        <f>monthly_data!$Q69</f>
        <v>0</v>
      </c>
      <c r="H75" s="153">
        <f>monthly_data!$Q81</f>
        <v>1.9000000000005457E-2</v>
      </c>
      <c r="I75" s="153">
        <f>monthly_data!$Q93</f>
        <v>0.10199999999986176</v>
      </c>
      <c r="J75" s="153">
        <f>monthly_data!$Q105</f>
        <v>0.6410000000000764</v>
      </c>
      <c r="K75" s="153">
        <f>monthly_data!$Q117</f>
        <v>7.9299999999998363</v>
      </c>
      <c r="L75" s="151"/>
      <c r="M75" s="151"/>
      <c r="N75" s="151"/>
      <c r="O75" s="151"/>
      <c r="P75" s="151"/>
      <c r="Q75" s="151"/>
      <c r="R75" s="151"/>
      <c r="S75" s="151"/>
      <c r="T75" s="151"/>
      <c r="U75" s="151"/>
    </row>
    <row r="76" spans="1:21">
      <c r="A76" s="130" t="s">
        <v>104</v>
      </c>
      <c r="B76" s="153">
        <f>monthly_data!$Q46</f>
        <v>0</v>
      </c>
      <c r="C76" s="153">
        <f>monthly_data!$Q46</f>
        <v>0</v>
      </c>
      <c r="D76" s="153">
        <f>monthly_data!$Q46</f>
        <v>0</v>
      </c>
      <c r="E76" s="153">
        <f>monthly_data!$Q46</f>
        <v>0</v>
      </c>
      <c r="F76" s="153">
        <f>monthly_data!$Q58</f>
        <v>0</v>
      </c>
      <c r="G76" s="153">
        <f>monthly_data!$Q70</f>
        <v>0</v>
      </c>
      <c r="H76" s="153">
        <f>monthly_data!$Q82</f>
        <v>1.9000000000232831E-2</v>
      </c>
      <c r="I76" s="153">
        <f>monthly_data!$Q94</f>
        <v>7.4000000000069122E-2</v>
      </c>
      <c r="J76" s="153">
        <f>monthly_data!$Q106</f>
        <v>5.1239999999997963</v>
      </c>
      <c r="K76" s="153">
        <f>monthly_data!$Q118</f>
        <v>9.0940000000000509</v>
      </c>
      <c r="L76" s="151"/>
      <c r="M76" s="151"/>
      <c r="N76" s="151"/>
      <c r="O76" s="151"/>
      <c r="P76" s="151"/>
      <c r="Q76" s="151"/>
      <c r="R76" s="151"/>
      <c r="S76" s="151"/>
      <c r="T76" s="151"/>
      <c r="U76" s="151"/>
    </row>
    <row r="77" spans="1:21">
      <c r="A77" s="130" t="s">
        <v>105</v>
      </c>
      <c r="B77" s="153">
        <f>monthly_data!$Q47</f>
        <v>0</v>
      </c>
      <c r="C77" s="153">
        <f>monthly_data!$Q47</f>
        <v>0</v>
      </c>
      <c r="D77" s="153">
        <f>monthly_data!$Q47</f>
        <v>0</v>
      </c>
      <c r="E77" s="153">
        <f>monthly_data!$Q47</f>
        <v>0</v>
      </c>
      <c r="F77" s="153">
        <f>monthly_data!$Q59</f>
        <v>0</v>
      </c>
      <c r="G77" s="153">
        <f>monthly_data!$Q71</f>
        <v>3.999999999996362E-2</v>
      </c>
      <c r="H77" s="153">
        <f>monthly_data!$Q83</f>
        <v>1.6999999999825377E-2</v>
      </c>
      <c r="I77" s="153">
        <f>monthly_data!$Q95</f>
        <v>0</v>
      </c>
      <c r="J77" s="153">
        <f>monthly_data!$Q107</f>
        <v>1.6950000000001637</v>
      </c>
      <c r="K77" s="153">
        <f>monthly_data!$Q119</f>
        <v>12.097999999999956</v>
      </c>
      <c r="L77" s="151"/>
      <c r="M77" s="151"/>
      <c r="N77" s="151"/>
      <c r="O77" s="151"/>
      <c r="P77" s="151"/>
      <c r="Q77" s="151"/>
      <c r="R77" s="151"/>
      <c r="S77" s="151"/>
      <c r="T77" s="151"/>
      <c r="U77" s="151"/>
    </row>
    <row r="78" spans="1:21">
      <c r="A78" s="130" t="s">
        <v>106</v>
      </c>
      <c r="B78" s="153">
        <f>monthly_data!$Q48</f>
        <v>0</v>
      </c>
      <c r="C78" s="153">
        <f>monthly_data!$Q48</f>
        <v>0</v>
      </c>
      <c r="D78" s="153">
        <f>monthly_data!$Q48</f>
        <v>0</v>
      </c>
      <c r="E78" s="153">
        <f>monthly_data!$Q48</f>
        <v>0</v>
      </c>
      <c r="F78" s="153">
        <f>monthly_data!$Q60</f>
        <v>0</v>
      </c>
      <c r="G78" s="153">
        <f>monthly_data!$Q72</f>
        <v>2.0000000000209184E-2</v>
      </c>
      <c r="H78" s="153">
        <f>monthly_data!$Q84</f>
        <v>0</v>
      </c>
      <c r="I78" s="153">
        <f>monthly_data!$Q96</f>
        <v>0</v>
      </c>
      <c r="J78" s="153">
        <f>monthly_data!$Q108</f>
        <v>1.6449999999999818</v>
      </c>
      <c r="K78" s="153">
        <f>monthly_data!$Q120</f>
        <v>7.9299999999998363</v>
      </c>
      <c r="L78" s="151"/>
      <c r="M78" s="151"/>
      <c r="N78" s="151"/>
      <c r="O78" s="151"/>
      <c r="P78" s="151"/>
      <c r="Q78" s="151"/>
      <c r="R78" s="151"/>
      <c r="S78" s="151"/>
      <c r="T78" s="151"/>
      <c r="U78" s="151"/>
    </row>
    <row r="79" spans="1:21">
      <c r="A79" s="130" t="s">
        <v>107</v>
      </c>
      <c r="B79" s="153">
        <f>monthly_data!$Q49</f>
        <v>0</v>
      </c>
      <c r="C79" s="153">
        <f>monthly_data!$Q49</f>
        <v>0</v>
      </c>
      <c r="D79" s="153">
        <f>monthly_data!$Q49</f>
        <v>0</v>
      </c>
      <c r="E79" s="153">
        <f>monthly_data!$Q49</f>
        <v>0</v>
      </c>
      <c r="F79" s="153">
        <f>monthly_data!$Q61</f>
        <v>0</v>
      </c>
      <c r="G79" s="153">
        <f>monthly_data!$Q73</f>
        <v>1.9000000000005457E-2</v>
      </c>
      <c r="H79" s="153">
        <f>monthly_data!$Q85</f>
        <v>1.8999999999778083E-2</v>
      </c>
      <c r="I79" s="153">
        <f>monthly_data!$Q97</f>
        <v>0</v>
      </c>
      <c r="J79" s="153">
        <f>monthly_data!$Q109</f>
        <v>11.697000000000116</v>
      </c>
      <c r="K79" s="153">
        <f>monthly_data!$Q121</f>
        <v>7.9299999999998363</v>
      </c>
      <c r="L79" s="151"/>
      <c r="M79" s="151"/>
      <c r="N79" s="151"/>
      <c r="O79" s="151"/>
      <c r="P79" s="151"/>
      <c r="Q79" s="151"/>
      <c r="R79" s="151"/>
      <c r="S79" s="151"/>
      <c r="T79" s="151"/>
      <c r="U79" s="151"/>
    </row>
    <row r="80" spans="1:21">
      <c r="A80" s="130" t="s">
        <v>108</v>
      </c>
      <c r="B80" s="153">
        <f>monthly_data!$Q50</f>
        <v>0</v>
      </c>
      <c r="C80" s="153">
        <f>monthly_data!$Q50</f>
        <v>0</v>
      </c>
      <c r="D80" s="153">
        <f>monthly_data!$Q50</f>
        <v>0</v>
      </c>
      <c r="E80" s="153">
        <f>monthly_data!$Q50</f>
        <v>0</v>
      </c>
      <c r="F80" s="153">
        <f>monthly_data!$Q62</f>
        <v>0</v>
      </c>
      <c r="G80" s="153">
        <f>monthly_data!$Q74</f>
        <v>0</v>
      </c>
      <c r="H80" s="153">
        <f>monthly_data!$Q86</f>
        <v>1.999999999998181E-2</v>
      </c>
      <c r="I80" s="153">
        <f>monthly_data!$Q98</f>
        <v>1.0000000002037268E-3</v>
      </c>
      <c r="J80" s="153">
        <f>monthly_data!$Q110</f>
        <v>6.6530000000002474</v>
      </c>
      <c r="K80" s="153">
        <f>monthly_data!$Q122</f>
        <v>8.930000000000291</v>
      </c>
      <c r="L80" s="151"/>
      <c r="M80" s="151"/>
      <c r="N80" s="151"/>
      <c r="O80" s="151"/>
      <c r="P80" s="151"/>
      <c r="Q80" s="151"/>
      <c r="R80" s="151"/>
      <c r="S80" s="151"/>
      <c r="T80" s="151"/>
      <c r="U80" s="151"/>
    </row>
    <row r="81" spans="1:21">
      <c r="A81" s="130" t="s">
        <v>109</v>
      </c>
      <c r="B81" s="153">
        <f>monthly_data!$Q51</f>
        <v>0</v>
      </c>
      <c r="C81" s="153">
        <f>monthly_data!$Q51</f>
        <v>0</v>
      </c>
      <c r="D81" s="153">
        <f>monthly_data!$Q51</f>
        <v>0</v>
      </c>
      <c r="E81" s="153">
        <f>monthly_data!$Q51</f>
        <v>0</v>
      </c>
      <c r="F81" s="153">
        <f>monthly_data!$Q63</f>
        <v>0</v>
      </c>
      <c r="G81" s="153">
        <f>monthly_data!$Q75</f>
        <v>1.5999999999962711E-2</v>
      </c>
      <c r="H81" s="153">
        <f>monthly_data!$Q87</f>
        <v>0</v>
      </c>
      <c r="I81" s="153">
        <f>monthly_data!$Q99</f>
        <v>0</v>
      </c>
      <c r="J81" s="153">
        <f>monthly_data!$Q111</f>
        <v>26.695000000000164</v>
      </c>
      <c r="K81" s="153">
        <f>monthly_data!$Q123</f>
        <v>12.103999999999814</v>
      </c>
      <c r="L81" s="151"/>
      <c r="M81" s="151"/>
      <c r="N81" s="151"/>
      <c r="O81" s="151"/>
      <c r="P81" s="151"/>
      <c r="Q81" s="151"/>
      <c r="R81" s="151"/>
      <c r="S81" s="151"/>
      <c r="T81" s="151"/>
      <c r="U81" s="151"/>
    </row>
    <row r="82" spans="1:21">
      <c r="A82" s="130" t="s">
        <v>137</v>
      </c>
      <c r="B82" s="150">
        <f>SUM(B70:B81)</f>
        <v>0</v>
      </c>
      <c r="C82" s="150">
        <f>SUM(C70:C81)</f>
        <v>0</v>
      </c>
      <c r="D82" s="150">
        <f>SUM(D70:D81)</f>
        <v>0</v>
      </c>
      <c r="E82" s="150">
        <f t="shared" ref="E82:K82" si="20">SUM(E70:E81)</f>
        <v>0</v>
      </c>
      <c r="F82" s="150">
        <f t="shared" si="20"/>
        <v>0</v>
      </c>
      <c r="G82" s="150">
        <f t="shared" si="20"/>
        <v>9.5000000000140972E-2</v>
      </c>
      <c r="H82" s="150">
        <f t="shared" si="20"/>
        <v>0.14799999999991087</v>
      </c>
      <c r="I82" s="150">
        <f t="shared" si="20"/>
        <v>0.19600000000014006</v>
      </c>
      <c r="J82" s="150">
        <f t="shared" si="20"/>
        <v>54.178000000000793</v>
      </c>
      <c r="K82" s="150">
        <f t="shared" si="20"/>
        <v>85.428999999999633</v>
      </c>
      <c r="L82" s="151"/>
      <c r="M82" s="151"/>
      <c r="N82" s="151"/>
      <c r="O82" s="151"/>
      <c r="P82" s="151"/>
      <c r="Q82" s="151"/>
      <c r="R82" s="151"/>
      <c r="S82" s="151"/>
      <c r="T82" s="151"/>
      <c r="U82" s="151"/>
    </row>
    <row r="84" spans="1:21" ht="15.75" thickBot="1">
      <c r="A84" s="4" t="s">
        <v>141</v>
      </c>
    </row>
    <row r="85" spans="1:21" ht="15.75" thickBot="1">
      <c r="A85" s="148" t="s">
        <v>86</v>
      </c>
      <c r="B85" s="149">
        <f t="shared" ref="B85:U85" si="21">B69</f>
        <v>2015</v>
      </c>
      <c r="C85" s="149">
        <f t="shared" si="21"/>
        <v>2016</v>
      </c>
      <c r="D85" s="149">
        <f t="shared" si="21"/>
        <v>2017</v>
      </c>
      <c r="E85" s="149">
        <f t="shared" si="21"/>
        <v>2018</v>
      </c>
      <c r="F85" s="149">
        <f t="shared" si="21"/>
        <v>2019</v>
      </c>
      <c r="G85" s="149">
        <f t="shared" si="21"/>
        <v>2020</v>
      </c>
      <c r="H85" s="149">
        <f t="shared" si="21"/>
        <v>2021</v>
      </c>
      <c r="I85" s="149">
        <f t="shared" si="21"/>
        <v>2022</v>
      </c>
      <c r="J85" s="149">
        <f t="shared" si="21"/>
        <v>2023</v>
      </c>
      <c r="K85" s="149">
        <f t="shared" si="21"/>
        <v>2024</v>
      </c>
      <c r="L85" s="149">
        <f t="shared" si="21"/>
        <v>2025</v>
      </c>
      <c r="M85" s="149">
        <f t="shared" si="21"/>
        <v>2026</v>
      </c>
      <c r="N85" s="149">
        <f t="shared" si="21"/>
        <v>2027</v>
      </c>
      <c r="O85" s="149">
        <f t="shared" si="21"/>
        <v>2028</v>
      </c>
      <c r="P85" s="149">
        <f t="shared" si="21"/>
        <v>2029</v>
      </c>
      <c r="Q85" s="149">
        <f t="shared" si="21"/>
        <v>2030</v>
      </c>
      <c r="R85" s="149">
        <f t="shared" si="21"/>
        <v>2031</v>
      </c>
      <c r="S85" s="149">
        <f t="shared" si="21"/>
        <v>2032</v>
      </c>
      <c r="T85" s="149">
        <f t="shared" si="21"/>
        <v>2033</v>
      </c>
      <c r="U85" s="149">
        <f t="shared" si="21"/>
        <v>2034</v>
      </c>
    </row>
    <row r="86" spans="1:21">
      <c r="A86" s="130" t="s">
        <v>98</v>
      </c>
      <c r="B86" s="153">
        <f>monthly_data!$T4</f>
        <v>0</v>
      </c>
      <c r="C86" s="153">
        <f>monthly_data!$T16</f>
        <v>0</v>
      </c>
      <c r="D86" s="153">
        <f>monthly_data!$T28</f>
        <v>0</v>
      </c>
      <c r="E86" s="153">
        <f>monthly_data!$T$40</f>
        <v>0</v>
      </c>
      <c r="F86" s="153">
        <f>monthly_data!$T$52</f>
        <v>0</v>
      </c>
      <c r="G86" s="153">
        <f>monthly_data!$T$64</f>
        <v>0.66299999999955617</v>
      </c>
      <c r="H86" s="153">
        <f>monthly_data!$T$76</f>
        <v>6.3559999999997672</v>
      </c>
      <c r="I86" s="153">
        <f>monthly_data!$T$88</f>
        <v>3.0419999999994616</v>
      </c>
      <c r="J86" s="153">
        <f>monthly_data!$T$100</f>
        <v>4.6300000000001091</v>
      </c>
      <c r="K86" s="153">
        <f>monthly_data!$T$112</f>
        <v>6.0900000000001455</v>
      </c>
      <c r="L86" s="151"/>
      <c r="M86" s="151"/>
      <c r="N86" s="151"/>
      <c r="O86" s="151"/>
      <c r="P86" s="151"/>
      <c r="Q86" s="151"/>
      <c r="R86" s="151"/>
      <c r="S86" s="151"/>
      <c r="T86" s="151"/>
      <c r="U86" s="151"/>
    </row>
    <row r="87" spans="1:21">
      <c r="A87" s="130" t="s">
        <v>99</v>
      </c>
      <c r="B87" s="153">
        <f>monthly_data!$T5</f>
        <v>0</v>
      </c>
      <c r="C87" s="153">
        <f>monthly_data!$T17</f>
        <v>0</v>
      </c>
      <c r="D87" s="153">
        <f>monthly_data!$T29</f>
        <v>0</v>
      </c>
      <c r="E87" s="153">
        <f>monthly_data!$T41</f>
        <v>0</v>
      </c>
      <c r="F87" s="153">
        <f>monthly_data!$T53</f>
        <v>0</v>
      </c>
      <c r="G87" s="153">
        <f>monthly_data!$T65</f>
        <v>0.1570000000001528</v>
      </c>
      <c r="H87" s="153">
        <f>monthly_data!$T77</f>
        <v>6.3909999999996217</v>
      </c>
      <c r="I87" s="153">
        <f>monthly_data!$T89</f>
        <v>3.0420000000003711</v>
      </c>
      <c r="J87" s="153">
        <f>monthly_data!$T101</f>
        <v>4.4989999999997963</v>
      </c>
      <c r="K87" s="153">
        <f>monthly_data!$T113</f>
        <v>5.8779999999997017</v>
      </c>
      <c r="L87" s="151"/>
      <c r="M87" s="151"/>
      <c r="N87" s="151"/>
      <c r="O87" s="151"/>
      <c r="P87" s="151"/>
      <c r="Q87" s="151"/>
      <c r="R87" s="151"/>
      <c r="S87" s="151"/>
      <c r="T87" s="151"/>
      <c r="U87" s="151"/>
    </row>
    <row r="88" spans="1:21">
      <c r="A88" s="130" t="s">
        <v>100</v>
      </c>
      <c r="B88" s="153">
        <f>monthly_data!$T6</f>
        <v>0</v>
      </c>
      <c r="C88" s="153">
        <f>monthly_data!$T18</f>
        <v>0</v>
      </c>
      <c r="D88" s="153">
        <f>monthly_data!$T30</f>
        <v>0</v>
      </c>
      <c r="E88" s="153">
        <f>monthly_data!$T42</f>
        <v>0</v>
      </c>
      <c r="F88" s="153">
        <f>monthly_data!$T54</f>
        <v>0</v>
      </c>
      <c r="G88" s="153">
        <f>monthly_data!$T66</f>
        <v>0.11099999999987631</v>
      </c>
      <c r="H88" s="153">
        <f>monthly_data!$T78</f>
        <v>6.3710000000010041</v>
      </c>
      <c r="I88" s="153">
        <f>monthly_data!$T90</f>
        <v>2.9380000000001019</v>
      </c>
      <c r="J88" s="153">
        <f>monthly_data!$T102</f>
        <v>4.3810000000003129</v>
      </c>
      <c r="K88" s="153">
        <f>monthly_data!$T114</f>
        <v>3.9580000000005384</v>
      </c>
      <c r="L88" s="151"/>
      <c r="M88" s="151"/>
      <c r="N88" s="151"/>
      <c r="O88" s="151"/>
      <c r="P88" s="151"/>
      <c r="Q88" s="151"/>
      <c r="R88" s="151"/>
      <c r="S88" s="151"/>
      <c r="T88" s="151"/>
      <c r="U88" s="151"/>
    </row>
    <row r="89" spans="1:21">
      <c r="A89" s="130" t="s">
        <v>101</v>
      </c>
      <c r="B89" s="153">
        <f>monthly_data!$T7</f>
        <v>0</v>
      </c>
      <c r="C89" s="153">
        <f>monthly_data!$T19</f>
        <v>0</v>
      </c>
      <c r="D89" s="153">
        <f>monthly_data!$T31</f>
        <v>0</v>
      </c>
      <c r="E89" s="153">
        <f>monthly_data!$T43</f>
        <v>0</v>
      </c>
      <c r="F89" s="153">
        <f>monthly_data!$T55</f>
        <v>0</v>
      </c>
      <c r="G89" s="153">
        <f>monthly_data!$T67</f>
        <v>9.7999999999956344E-2</v>
      </c>
      <c r="H89" s="153">
        <f>monthly_data!$T79</f>
        <v>6.3440000000009604</v>
      </c>
      <c r="I89" s="153">
        <f>monthly_data!$T91</f>
        <v>2.9390000000003056</v>
      </c>
      <c r="J89" s="153">
        <f>monthly_data!$T103</f>
        <v>4.2080000000005384</v>
      </c>
      <c r="K89" s="153">
        <f>monthly_data!$T115</f>
        <v>2.6260000000002037</v>
      </c>
      <c r="L89" s="151"/>
      <c r="M89" s="151"/>
      <c r="N89" s="151"/>
      <c r="O89" s="151"/>
      <c r="P89" s="151"/>
      <c r="Q89" s="151"/>
      <c r="R89" s="151"/>
      <c r="S89" s="151"/>
      <c r="T89" s="151"/>
      <c r="U89" s="151"/>
    </row>
    <row r="90" spans="1:21">
      <c r="A90" s="130" t="s">
        <v>102</v>
      </c>
      <c r="B90" s="153">
        <f>monthly_data!$T8</f>
        <v>0</v>
      </c>
      <c r="C90" s="153">
        <f>monthly_data!$T20</f>
        <v>0</v>
      </c>
      <c r="D90" s="153">
        <f>monthly_data!$T32</f>
        <v>0</v>
      </c>
      <c r="E90" s="153">
        <f>monthly_data!$T44</f>
        <v>0</v>
      </c>
      <c r="F90" s="153">
        <f>monthly_data!$T56</f>
        <v>0</v>
      </c>
      <c r="G90" s="153">
        <f>monthly_data!$T68</f>
        <v>2.7100000000009459</v>
      </c>
      <c r="H90" s="153">
        <f>monthly_data!$T80</f>
        <v>6.2120000000013533</v>
      </c>
      <c r="I90" s="153">
        <f>monthly_data!$T92</f>
        <v>4.9280000000007931</v>
      </c>
      <c r="J90" s="153">
        <f>monthly_data!$T104</f>
        <v>3.944999999999709</v>
      </c>
      <c r="K90" s="153">
        <f>monthly_data!$T116</f>
        <v>6.1140000000004875</v>
      </c>
      <c r="L90" s="151"/>
      <c r="M90" s="151"/>
      <c r="N90" s="151"/>
      <c r="O90" s="151"/>
      <c r="P90" s="151"/>
      <c r="Q90" s="151"/>
      <c r="R90" s="151"/>
      <c r="S90" s="151"/>
      <c r="T90" s="151"/>
      <c r="U90" s="151"/>
    </row>
    <row r="91" spans="1:21">
      <c r="A91" s="130" t="s">
        <v>103</v>
      </c>
      <c r="B91" s="153">
        <f>monthly_data!$T9</f>
        <v>0</v>
      </c>
      <c r="C91" s="153">
        <f>monthly_data!$T21</f>
        <v>0</v>
      </c>
      <c r="D91" s="153">
        <f>monthly_data!$T33</f>
        <v>0</v>
      </c>
      <c r="E91" s="153">
        <f>monthly_data!$T45</f>
        <v>0</v>
      </c>
      <c r="F91" s="153">
        <f>monthly_data!$T57</f>
        <v>4</v>
      </c>
      <c r="G91" s="153">
        <f>monthly_data!$T69</f>
        <v>2.694999999999709</v>
      </c>
      <c r="H91" s="153">
        <f>monthly_data!$T81</f>
        <v>6.1179999999985739</v>
      </c>
      <c r="I91" s="153">
        <v>0</v>
      </c>
      <c r="J91" s="153">
        <f>monthly_data!$T105</f>
        <v>3.7739999999994325</v>
      </c>
      <c r="K91" s="153">
        <f>monthly_data!$T117</f>
        <v>9.4459999999999127</v>
      </c>
      <c r="L91" s="151"/>
      <c r="M91" s="151"/>
      <c r="N91" s="151"/>
      <c r="O91" s="151"/>
      <c r="P91" s="151"/>
      <c r="Q91" s="151"/>
      <c r="R91" s="151"/>
      <c r="S91" s="151"/>
      <c r="T91" s="151"/>
      <c r="U91" s="151"/>
    </row>
    <row r="92" spans="1:21">
      <c r="A92" s="130" t="s">
        <v>104</v>
      </c>
      <c r="B92" s="153">
        <f>monthly_data!$T10</f>
        <v>0</v>
      </c>
      <c r="C92" s="153">
        <f>monthly_data!$T22</f>
        <v>0</v>
      </c>
      <c r="D92" s="153">
        <f>monthly_data!$T34</f>
        <v>0</v>
      </c>
      <c r="E92" s="153">
        <f>monthly_data!$T46</f>
        <v>0</v>
      </c>
      <c r="F92" s="153">
        <f>monthly_data!$T58</f>
        <v>3</v>
      </c>
      <c r="G92" s="153">
        <f>monthly_data!$T70</f>
        <v>0</v>
      </c>
      <c r="H92" s="153">
        <f>monthly_data!$T82</f>
        <v>6.0140000000010332</v>
      </c>
      <c r="I92" s="153">
        <f>monthly_data!$T94</f>
        <v>5.4409999999998035</v>
      </c>
      <c r="J92" s="153">
        <f>monthly_data!$T106</f>
        <v>3.568000000000211</v>
      </c>
      <c r="K92" s="153">
        <f>monthly_data!$T118</f>
        <v>9.3039999999991778</v>
      </c>
      <c r="L92" s="151"/>
      <c r="M92" s="151"/>
      <c r="N92" s="151"/>
      <c r="O92" s="151"/>
      <c r="P92" s="151"/>
      <c r="Q92" s="151"/>
      <c r="R92" s="151"/>
      <c r="S92" s="151"/>
      <c r="T92" s="151"/>
      <c r="U92" s="151"/>
    </row>
    <row r="93" spans="1:21">
      <c r="A93" s="130" t="s">
        <v>105</v>
      </c>
      <c r="B93" s="153">
        <f>monthly_data!$T11</f>
        <v>0</v>
      </c>
      <c r="C93" s="153">
        <f>monthly_data!$T23</f>
        <v>0</v>
      </c>
      <c r="D93" s="153">
        <f>monthly_data!$T35</f>
        <v>0</v>
      </c>
      <c r="E93" s="153">
        <f>monthly_data!$T47</f>
        <v>0</v>
      </c>
      <c r="F93" s="153">
        <f>monthly_data!$T59</f>
        <v>1</v>
      </c>
      <c r="G93" s="153">
        <f>monthly_data!$T71</f>
        <v>2.6740000000008877</v>
      </c>
      <c r="H93" s="153">
        <f>monthly_data!$T83</f>
        <v>5.9769999999998618</v>
      </c>
      <c r="I93" s="153">
        <f>monthly_data!$T95</f>
        <v>5.3590000000003783</v>
      </c>
      <c r="J93" s="153">
        <f>monthly_data!$T107</f>
        <v>3.2530000000006112</v>
      </c>
      <c r="K93" s="153">
        <f>monthly_data!$T119</f>
        <v>4.1559999999999491</v>
      </c>
      <c r="L93" s="151"/>
      <c r="M93" s="151"/>
      <c r="N93" s="151"/>
      <c r="O93" s="151"/>
      <c r="P93" s="151"/>
      <c r="Q93" s="151"/>
      <c r="R93" s="151"/>
      <c r="S93" s="151"/>
      <c r="T93" s="151"/>
      <c r="U93" s="151"/>
    </row>
    <row r="94" spans="1:21">
      <c r="A94" s="130" t="s">
        <v>106</v>
      </c>
      <c r="B94" s="153">
        <f>monthly_data!$T12</f>
        <v>0</v>
      </c>
      <c r="C94" s="153">
        <f>monthly_data!$T24</f>
        <v>0</v>
      </c>
      <c r="D94" s="153">
        <f>monthly_data!$T36</f>
        <v>0</v>
      </c>
      <c r="E94" s="153">
        <f>monthly_data!$T48</f>
        <v>0</v>
      </c>
      <c r="F94" s="153">
        <f>monthly_data!$T60</f>
        <v>1</v>
      </c>
      <c r="G94" s="153">
        <f>monthly_data!$T72</f>
        <v>2.6409999999996217</v>
      </c>
      <c r="H94" s="153">
        <f>monthly_data!$T84</f>
        <v>5.9400000000005093</v>
      </c>
      <c r="I94" s="153">
        <f>monthly_data!$T96</f>
        <v>5.2409999999999854</v>
      </c>
      <c r="J94" s="153">
        <f>monthly_data!$T108</f>
        <v>3.0119999999997162</v>
      </c>
      <c r="K94" s="153">
        <f>monthly_data!$T120</f>
        <v>16.210000000000036</v>
      </c>
      <c r="L94" s="151"/>
      <c r="M94" s="151"/>
      <c r="N94" s="151"/>
      <c r="O94" s="151"/>
      <c r="P94" s="151"/>
      <c r="Q94" s="151"/>
      <c r="R94" s="151"/>
      <c r="S94" s="151"/>
      <c r="T94" s="151"/>
      <c r="U94" s="151"/>
    </row>
    <row r="95" spans="1:21">
      <c r="A95" s="130" t="s">
        <v>107</v>
      </c>
      <c r="B95" s="153">
        <f>monthly_data!$T13</f>
        <v>0</v>
      </c>
      <c r="C95" s="153">
        <f>monthly_data!$T25</f>
        <v>0</v>
      </c>
      <c r="D95" s="153">
        <f>monthly_data!$T37</f>
        <v>0</v>
      </c>
      <c r="E95" s="153">
        <f>monthly_data!$T49</f>
        <v>0</v>
      </c>
      <c r="F95" s="153">
        <f>monthly_data!$T61</f>
        <v>1</v>
      </c>
      <c r="G95" s="153">
        <f>monthly_data!$T73</f>
        <v>2.3889999999992142</v>
      </c>
      <c r="H95" s="153">
        <f>monthly_data!$T85</f>
        <v>5.8479999999999563</v>
      </c>
      <c r="I95" s="153">
        <f>monthly_data!$T97</f>
        <v>0</v>
      </c>
      <c r="J95" s="153">
        <f>monthly_data!$T109</f>
        <v>2.7989999999999782</v>
      </c>
      <c r="K95" s="153">
        <f>monthly_data!$T121</f>
        <v>16.210000000000036</v>
      </c>
      <c r="L95" s="151"/>
      <c r="M95" s="151"/>
      <c r="N95" s="151"/>
      <c r="O95" s="151"/>
      <c r="P95" s="151"/>
      <c r="Q95" s="151"/>
      <c r="R95" s="151"/>
      <c r="S95" s="151"/>
      <c r="T95" s="151"/>
      <c r="U95" s="151"/>
    </row>
    <row r="96" spans="1:21">
      <c r="A96" s="130" t="s">
        <v>108</v>
      </c>
      <c r="B96" s="153">
        <f>monthly_data!$T14</f>
        <v>0</v>
      </c>
      <c r="C96" s="153">
        <f>monthly_data!$T26</f>
        <v>0</v>
      </c>
      <c r="D96" s="153">
        <f>monthly_data!$T38</f>
        <v>0</v>
      </c>
      <c r="E96" s="153">
        <f>monthly_data!$T50</f>
        <v>0</v>
      </c>
      <c r="F96" s="153">
        <f>monthly_data!$T62</f>
        <v>1</v>
      </c>
      <c r="G96" s="153">
        <f>monthly_data!$T74</f>
        <v>6.4099999999998545</v>
      </c>
      <c r="H96" s="153">
        <f>monthly_data!$T86</f>
        <v>5.7510000000002037</v>
      </c>
      <c r="I96" s="153">
        <f>monthly_data!$T98</f>
        <v>5.1210000000000946</v>
      </c>
      <c r="J96" s="153">
        <f>monthly_data!$T110</f>
        <v>2.6469999999999345</v>
      </c>
      <c r="K96" s="153">
        <f>monthly_data!$T122</f>
        <v>9.7770000000000437</v>
      </c>
      <c r="L96" s="151"/>
      <c r="M96" s="151"/>
      <c r="N96" s="151"/>
      <c r="O96" s="151"/>
      <c r="P96" s="151"/>
      <c r="Q96" s="151"/>
      <c r="R96" s="151"/>
      <c r="S96" s="151"/>
      <c r="T96" s="151"/>
      <c r="U96" s="151"/>
    </row>
    <row r="97" spans="1:21">
      <c r="A97" s="130" t="s">
        <v>109</v>
      </c>
      <c r="B97" s="153">
        <f>monthly_data!$T15</f>
        <v>0</v>
      </c>
      <c r="C97" s="153">
        <f>monthly_data!$T27</f>
        <v>0</v>
      </c>
      <c r="D97" s="153">
        <f>monthly_data!$T39</f>
        <v>0</v>
      </c>
      <c r="E97" s="153">
        <f>monthly_data!$T51</f>
        <v>0</v>
      </c>
      <c r="F97" s="153">
        <f>monthly_data!$T63</f>
        <v>1</v>
      </c>
      <c r="G97" s="153">
        <f>monthly_data!$T75</f>
        <v>6.3909999999996217</v>
      </c>
      <c r="H97" s="153">
        <f>monthly_data!$T87</f>
        <v>5.6170000000001892</v>
      </c>
      <c r="I97" s="153">
        <f>monthly_data!$T99</f>
        <v>4.7759999999998399</v>
      </c>
      <c r="J97" s="153">
        <f>monthly_data!$T111</f>
        <v>2.4440000000004147</v>
      </c>
      <c r="K97" s="153">
        <f>monthly_data!$T123</f>
        <v>12.192999999999302</v>
      </c>
      <c r="L97" s="151"/>
      <c r="M97" s="151"/>
      <c r="N97" s="151"/>
      <c r="O97" s="151"/>
      <c r="P97" s="151"/>
      <c r="Q97" s="151"/>
      <c r="R97" s="151"/>
      <c r="S97" s="151"/>
      <c r="T97" s="151"/>
      <c r="U97" s="151"/>
    </row>
    <row r="99" spans="1:21" ht="15.75" thickBot="1">
      <c r="A99" s="4" t="s">
        <v>142</v>
      </c>
    </row>
    <row r="100" spans="1:21" ht="15.75" thickBot="1">
      <c r="A100" s="148" t="s">
        <v>86</v>
      </c>
      <c r="B100" s="149">
        <f t="shared" ref="B100:U100" si="22">B85</f>
        <v>2015</v>
      </c>
      <c r="C100" s="149">
        <f t="shared" si="22"/>
        <v>2016</v>
      </c>
      <c r="D100" s="149">
        <f t="shared" si="22"/>
        <v>2017</v>
      </c>
      <c r="E100" s="149">
        <f t="shared" si="22"/>
        <v>2018</v>
      </c>
      <c r="F100" s="149">
        <f t="shared" si="22"/>
        <v>2019</v>
      </c>
      <c r="G100" s="149">
        <f t="shared" si="22"/>
        <v>2020</v>
      </c>
      <c r="H100" s="149">
        <f t="shared" si="22"/>
        <v>2021</v>
      </c>
      <c r="I100" s="149">
        <f t="shared" si="22"/>
        <v>2022</v>
      </c>
      <c r="J100" s="149">
        <f t="shared" si="22"/>
        <v>2023</v>
      </c>
      <c r="K100" s="149">
        <f t="shared" si="22"/>
        <v>2024</v>
      </c>
      <c r="L100" s="149">
        <f t="shared" si="22"/>
        <v>2025</v>
      </c>
      <c r="M100" s="149">
        <f t="shared" si="22"/>
        <v>2026</v>
      </c>
      <c r="N100" s="149">
        <f t="shared" si="22"/>
        <v>2027</v>
      </c>
      <c r="O100" s="149">
        <f t="shared" si="22"/>
        <v>2028</v>
      </c>
      <c r="P100" s="149">
        <f t="shared" si="22"/>
        <v>2029</v>
      </c>
      <c r="Q100" s="149">
        <f t="shared" si="22"/>
        <v>2030</v>
      </c>
      <c r="R100" s="149">
        <f t="shared" si="22"/>
        <v>2031</v>
      </c>
      <c r="S100" s="149">
        <f t="shared" si="22"/>
        <v>2032</v>
      </c>
      <c r="T100" s="149">
        <f t="shared" si="22"/>
        <v>2033</v>
      </c>
      <c r="U100" s="149">
        <f t="shared" si="22"/>
        <v>2034</v>
      </c>
    </row>
    <row r="101" spans="1:21">
      <c r="A101" s="130" t="s">
        <v>98</v>
      </c>
      <c r="B101" s="153">
        <f>monthly_data!$W4</f>
        <v>0</v>
      </c>
      <c r="C101" s="153">
        <f>monthly_data!$W16</f>
        <v>0</v>
      </c>
      <c r="D101" s="153">
        <f>monthly_data!$W28</f>
        <v>0</v>
      </c>
      <c r="E101" s="153">
        <f>monthly_data!$W40</f>
        <v>0</v>
      </c>
      <c r="F101" s="153">
        <f>monthly_data!$W52</f>
        <v>0</v>
      </c>
      <c r="G101" s="153">
        <f>monthly_data!$W64</f>
        <v>0.1570000000001528</v>
      </c>
      <c r="H101" s="153">
        <f>monthly_data!$W76</f>
        <v>6.3909999999996217</v>
      </c>
      <c r="I101" s="153">
        <f>monthly_data!$W88</f>
        <v>3.0420000000003711</v>
      </c>
      <c r="J101" s="153">
        <f>monthly_data!$W100</f>
        <v>4.4989999999997963</v>
      </c>
      <c r="K101" s="153">
        <f>monthly_data!$W112</f>
        <v>5.8779999999997017</v>
      </c>
      <c r="L101" s="151"/>
      <c r="M101" s="151"/>
      <c r="N101" s="151"/>
      <c r="O101" s="151"/>
      <c r="P101" s="151"/>
      <c r="Q101" s="151"/>
      <c r="R101" s="151"/>
      <c r="S101" s="151"/>
      <c r="T101" s="151"/>
      <c r="U101" s="151"/>
    </row>
    <row r="102" spans="1:21">
      <c r="A102" s="130" t="s">
        <v>99</v>
      </c>
      <c r="B102" s="153">
        <f>monthly_data!$W5</f>
        <v>-73</v>
      </c>
      <c r="C102" s="153">
        <f>monthly_data!$W17</f>
        <v>0</v>
      </c>
      <c r="D102" s="153">
        <f>monthly_data!$W29</f>
        <v>0</v>
      </c>
      <c r="E102" s="153">
        <f>monthly_data!$W41</f>
        <v>0</v>
      </c>
      <c r="F102" s="153">
        <f>monthly_data!$W53</f>
        <v>0</v>
      </c>
      <c r="G102" s="153">
        <f>monthly_data!$W65</f>
        <v>0.11099999999987631</v>
      </c>
      <c r="H102" s="153">
        <f>monthly_data!$W77</f>
        <v>6.3710000000010041</v>
      </c>
      <c r="I102" s="153">
        <f>monthly_data!$W89</f>
        <v>2.9380000000001019</v>
      </c>
      <c r="J102" s="153">
        <f>monthly_data!$W101</f>
        <v>4.3810000000003129</v>
      </c>
      <c r="K102" s="153">
        <f>monthly_data!$W113</f>
        <v>3.9580000000005384</v>
      </c>
    </row>
    <row r="103" spans="1:21">
      <c r="A103" s="130" t="s">
        <v>100</v>
      </c>
      <c r="B103" s="153">
        <f>monthly_data!$W6</f>
        <v>-73</v>
      </c>
      <c r="C103" s="153">
        <f>monthly_data!$W18</f>
        <v>0</v>
      </c>
      <c r="D103" s="153">
        <f>monthly_data!$W30</f>
        <v>0</v>
      </c>
      <c r="E103" s="153">
        <f>monthly_data!$W42</f>
        <v>0</v>
      </c>
      <c r="F103" s="153">
        <f>monthly_data!$W54</f>
        <v>0</v>
      </c>
      <c r="G103" s="153">
        <f>monthly_data!$W66</f>
        <v>9.7999999999956344E-2</v>
      </c>
      <c r="H103" s="153">
        <f>monthly_data!$W78</f>
        <v>6.3440000000009604</v>
      </c>
      <c r="I103" s="153">
        <f>monthly_data!$W90</f>
        <v>2.9390000000003056</v>
      </c>
      <c r="J103" s="153">
        <f>monthly_data!$W102</f>
        <v>4.2080000000005384</v>
      </c>
      <c r="K103" s="153">
        <f>monthly_data!$W114</f>
        <v>2.6260000000002037</v>
      </c>
    </row>
    <row r="104" spans="1:21">
      <c r="A104" s="130" t="s">
        <v>101</v>
      </c>
      <c r="B104" s="153">
        <f>monthly_data!$W7</f>
        <v>-68</v>
      </c>
      <c r="C104" s="153">
        <f>monthly_data!$W19</f>
        <v>0</v>
      </c>
      <c r="D104" s="153">
        <f>monthly_data!$W31</f>
        <v>0</v>
      </c>
      <c r="E104" s="153">
        <f>monthly_data!$W43</f>
        <v>0</v>
      </c>
      <c r="F104" s="153">
        <f>monthly_data!$W55</f>
        <v>0</v>
      </c>
      <c r="G104" s="153">
        <f>monthly_data!$W67</f>
        <v>2.7100000000009459</v>
      </c>
      <c r="H104" s="153">
        <f>monthly_data!$W79</f>
        <v>6.2120000000013533</v>
      </c>
      <c r="I104" s="153">
        <f>monthly_data!$W91</f>
        <v>4.9280000000007931</v>
      </c>
      <c r="J104" s="153">
        <f>monthly_data!$W103</f>
        <v>3.944999999999709</v>
      </c>
      <c r="K104" s="153">
        <f>monthly_data!$W115</f>
        <v>6.1140000000004875</v>
      </c>
    </row>
    <row r="105" spans="1:21">
      <c r="A105" s="130" t="s">
        <v>102</v>
      </c>
      <c r="B105" s="153">
        <f>monthly_data!$W8</f>
        <v>-68</v>
      </c>
      <c r="C105" s="153">
        <f>monthly_data!$W20</f>
        <v>0</v>
      </c>
      <c r="D105" s="153">
        <f>monthly_data!$W32</f>
        <v>0</v>
      </c>
      <c r="E105" s="153">
        <f>monthly_data!$W44</f>
        <v>0</v>
      </c>
      <c r="F105" s="153">
        <f>monthly_data!$W56</f>
        <v>4</v>
      </c>
      <c r="G105" s="153">
        <f>monthly_data!$W68</f>
        <v>2.694999999999709</v>
      </c>
      <c r="H105" s="153">
        <f>monthly_data!$W80</f>
        <v>6.1180000000003929</v>
      </c>
      <c r="I105" s="153">
        <f>monthly_data!$W92</f>
        <v>4.5720000000001164</v>
      </c>
      <c r="J105" s="153">
        <f>monthly_data!$W104</f>
        <v>3.7739999999994325</v>
      </c>
      <c r="K105" s="153">
        <f>monthly_data!$W116</f>
        <v>9.4459999999999127</v>
      </c>
    </row>
    <row r="106" spans="1:21">
      <c r="A106" s="130" t="s">
        <v>103</v>
      </c>
      <c r="B106" s="153">
        <f>monthly_data!$W9</f>
        <v>0</v>
      </c>
      <c r="C106" s="153">
        <f>monthly_data!$W21</f>
        <v>0</v>
      </c>
      <c r="D106" s="153">
        <f>monthly_data!$W33</f>
        <v>0</v>
      </c>
      <c r="E106" s="153">
        <f>monthly_data!$W45</f>
        <v>0</v>
      </c>
      <c r="F106" s="153">
        <f>monthly_data!$W57</f>
        <v>3</v>
      </c>
      <c r="G106" s="153">
        <f>monthly_data!$W69</f>
        <v>2.694999999999709</v>
      </c>
      <c r="H106" s="153">
        <f>monthly_data!$W81</f>
        <v>6.0139999999992142</v>
      </c>
      <c r="I106" s="153">
        <v>0</v>
      </c>
      <c r="J106" s="153">
        <f>monthly_data!$W105</f>
        <v>3.568000000000211</v>
      </c>
      <c r="K106" s="153">
        <f>monthly_data!$W117</f>
        <v>9.3039999999991778</v>
      </c>
    </row>
    <row r="107" spans="1:21">
      <c r="A107" s="130" t="s">
        <v>104</v>
      </c>
      <c r="B107" s="153">
        <f>monthly_data!$W10</f>
        <v>0</v>
      </c>
      <c r="C107" s="153">
        <f>monthly_data!$W22</f>
        <v>0</v>
      </c>
      <c r="D107" s="153">
        <f>monthly_data!$W34</f>
        <v>0</v>
      </c>
      <c r="E107" s="153">
        <f>monthly_data!$W46</f>
        <v>0</v>
      </c>
      <c r="F107" s="153">
        <f>monthly_data!$W58</f>
        <v>1</v>
      </c>
      <c r="G107" s="153">
        <f>monthly_data!$W70</f>
        <v>0</v>
      </c>
      <c r="H107" s="153">
        <f>monthly_data!$W82</f>
        <v>5.9769999999998618</v>
      </c>
      <c r="I107" s="153">
        <f>monthly_data!$W94</f>
        <v>5.3590000000003783</v>
      </c>
      <c r="J107" s="153">
        <f>monthly_data!$W106</f>
        <v>3.2530000000006112</v>
      </c>
      <c r="K107" s="153">
        <f>monthly_data!$W118</f>
        <v>4.1559999999999491</v>
      </c>
    </row>
    <row r="108" spans="1:21">
      <c r="A108" s="130" t="s">
        <v>105</v>
      </c>
      <c r="B108" s="153">
        <f>monthly_data!$W11</f>
        <v>0</v>
      </c>
      <c r="C108" s="153">
        <f>monthly_data!$W23</f>
        <v>0</v>
      </c>
      <c r="D108" s="153">
        <f>monthly_data!$W35</f>
        <v>0</v>
      </c>
      <c r="E108" s="153">
        <f>monthly_data!$W47</f>
        <v>0</v>
      </c>
      <c r="F108" s="153">
        <f>monthly_data!$W59</f>
        <v>1</v>
      </c>
      <c r="G108" s="153">
        <f>monthly_data!$W71</f>
        <v>2.6409999999996217</v>
      </c>
      <c r="H108" s="153">
        <f>monthly_data!$W83</f>
        <v>5.9400000000005093</v>
      </c>
      <c r="I108" s="153">
        <f>monthly_data!$W95</f>
        <v>5.2409999999999854</v>
      </c>
      <c r="J108" s="153">
        <f>monthly_data!$W107</f>
        <v>3.0120000000006257</v>
      </c>
      <c r="K108" s="153">
        <f>monthly_data!$W119</f>
        <v>16.210000000000036</v>
      </c>
    </row>
    <row r="109" spans="1:21">
      <c r="A109" s="130" t="s">
        <v>106</v>
      </c>
      <c r="B109" s="153">
        <f>monthly_data!$W12</f>
        <v>0</v>
      </c>
      <c r="C109" s="153">
        <f>monthly_data!$W24</f>
        <v>0</v>
      </c>
      <c r="D109" s="153">
        <f>monthly_data!$W36</f>
        <v>0</v>
      </c>
      <c r="E109" s="153">
        <f>monthly_data!$W48</f>
        <v>0</v>
      </c>
      <c r="F109" s="153">
        <f>monthly_data!$W60</f>
        <v>1</v>
      </c>
      <c r="G109" s="153">
        <f>monthly_data!$W72</f>
        <v>2.3889999999992142</v>
      </c>
      <c r="H109" s="153">
        <f>monthly_data!$W84</f>
        <v>5.8479999999999563</v>
      </c>
      <c r="I109" s="153">
        <f>monthly_data!$W96</f>
        <v>5.1539999999995416</v>
      </c>
      <c r="J109" s="153">
        <f>monthly_data!$W108</f>
        <v>2.7989999999999782</v>
      </c>
      <c r="K109" s="153">
        <f>monthly_data!$W120</f>
        <v>29.812999999999192</v>
      </c>
    </row>
    <row r="110" spans="1:21">
      <c r="A110" s="130" t="s">
        <v>107</v>
      </c>
      <c r="B110" s="153">
        <f>monthly_data!$W13</f>
        <v>0</v>
      </c>
      <c r="C110" s="153">
        <f>monthly_data!$W25</f>
        <v>0</v>
      </c>
      <c r="D110" s="153">
        <f>monthly_data!$W37</f>
        <v>0</v>
      </c>
      <c r="E110" s="153">
        <f>monthly_data!$W49</f>
        <v>0</v>
      </c>
      <c r="F110" s="153">
        <f>monthly_data!$W61</f>
        <v>1</v>
      </c>
      <c r="G110" s="153">
        <f>monthly_data!$W73</f>
        <v>6.4099999999998545</v>
      </c>
      <c r="H110" s="153">
        <f>monthly_data!$W85</f>
        <v>5.7510000000002037</v>
      </c>
      <c r="I110" s="153">
        <f>monthly_data!$W97</f>
        <v>0</v>
      </c>
      <c r="J110" s="153">
        <f>monthly_data!$W109</f>
        <v>2.6469999999999345</v>
      </c>
      <c r="K110" s="153">
        <f>monthly_data!$W121</f>
        <v>29.812999999999192</v>
      </c>
    </row>
    <row r="111" spans="1:21">
      <c r="A111" s="130" t="s">
        <v>108</v>
      </c>
      <c r="B111" s="153">
        <f>monthly_data!$W14</f>
        <v>0</v>
      </c>
      <c r="C111" s="153">
        <f>monthly_data!$W26</f>
        <v>0</v>
      </c>
      <c r="D111" s="153">
        <f>monthly_data!$W38</f>
        <v>0</v>
      </c>
      <c r="E111" s="153">
        <f>monthly_data!$W50</f>
        <v>0</v>
      </c>
      <c r="F111" s="153">
        <f>monthly_data!$W62</f>
        <v>1</v>
      </c>
      <c r="G111" s="153">
        <f>monthly_data!$W74</f>
        <v>6.3909999999996217</v>
      </c>
      <c r="H111" s="153">
        <f>monthly_data!$W86</f>
        <v>5.6170000000001892</v>
      </c>
      <c r="I111" s="153">
        <f>monthly_data!$W98</f>
        <v>4.7759999999998399</v>
      </c>
      <c r="J111" s="153">
        <f>monthly_data!$W110</f>
        <v>2.4440000000004147</v>
      </c>
      <c r="K111" s="153">
        <f>monthly_data!$W122</f>
        <v>12.192999999999302</v>
      </c>
    </row>
    <row r="112" spans="1:21">
      <c r="A112" s="130" t="s">
        <v>109</v>
      </c>
      <c r="B112" s="153">
        <f>monthly_data!$W15</f>
        <v>0</v>
      </c>
      <c r="C112" s="153">
        <f>monthly_data!$W27</f>
        <v>0</v>
      </c>
      <c r="D112" s="153">
        <f>monthly_data!$W39</f>
        <v>0</v>
      </c>
      <c r="E112" s="153">
        <f>monthly_data!$W51</f>
        <v>0</v>
      </c>
      <c r="F112" s="153">
        <f>monthly_data!$W63</f>
        <v>0.66300000000046566</v>
      </c>
      <c r="G112" s="153">
        <f>monthly_data!$W75</f>
        <v>6.3559999999997672</v>
      </c>
      <c r="H112" s="153">
        <f>monthly_data!$W87</f>
        <v>3.0420000000003711</v>
      </c>
      <c r="I112" s="153">
        <f>monthly_data!$W99</f>
        <v>4.6300000000001091</v>
      </c>
      <c r="J112" s="153">
        <f>monthly_data!$W111</f>
        <v>6.0900000000001455</v>
      </c>
      <c r="K112" s="153">
        <f>monthly_data!$W123</f>
        <v>3.4920000000001892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D3691-C045-4808-8598-CCB9D50FD6BE}">
  <dimension ref="A3:V116"/>
  <sheetViews>
    <sheetView topLeftCell="A3" zoomScaleNormal="100" workbookViewId="0">
      <pane xSplit="1" ySplit="2" topLeftCell="B19" activePane="bottomRight" state="frozen"/>
      <selection activeCell="B4" sqref="B4"/>
      <selection pane="topRight" activeCell="B4" sqref="B4"/>
      <selection pane="bottomLeft" activeCell="B4" sqref="B4"/>
      <selection pane="bottomRight" activeCell="B4" sqref="B4"/>
    </sheetView>
  </sheetViews>
  <sheetFormatPr defaultColWidth="8" defaultRowHeight="15"/>
  <cols>
    <col min="1" max="1" width="18.7109375" style="130" customWidth="1"/>
    <col min="2" max="22" width="12.85546875" style="130" customWidth="1"/>
    <col min="23" max="16384" width="8" style="130"/>
  </cols>
  <sheetData>
    <row r="3" spans="1:22" s="5" customFormat="1" ht="15.75" thickBot="1">
      <c r="A3" s="126" t="s">
        <v>143</v>
      </c>
      <c r="B3" s="127"/>
      <c r="C3" s="127"/>
      <c r="D3" s="127"/>
      <c r="E3" s="98"/>
      <c r="F3" s="98"/>
      <c r="G3" s="98"/>
      <c r="H3" s="98"/>
      <c r="I3" s="98"/>
      <c r="J3" s="99"/>
      <c r="K3" s="99"/>
      <c r="L3" s="99"/>
      <c r="M3" s="99"/>
      <c r="N3" s="99"/>
      <c r="O3" s="99"/>
      <c r="P3" s="99"/>
      <c r="Q3" s="99"/>
      <c r="R3" s="99"/>
      <c r="S3" s="99"/>
      <c r="T3" s="99"/>
      <c r="U3" s="99"/>
    </row>
    <row r="4" spans="1:22" ht="15.75" thickBot="1">
      <c r="A4" s="128" t="s">
        <v>86</v>
      </c>
      <c r="B4" s="129">
        <v>2015</v>
      </c>
      <c r="C4" s="129">
        <v>2016</v>
      </c>
      <c r="D4" s="129">
        <v>2017</v>
      </c>
      <c r="E4" s="129">
        <v>2018</v>
      </c>
      <c r="F4" s="129">
        <v>2019</v>
      </c>
      <c r="G4" s="129">
        <v>2020</v>
      </c>
      <c r="H4" s="129">
        <v>2021</v>
      </c>
      <c r="I4" s="129">
        <v>2022</v>
      </c>
      <c r="J4" s="129">
        <v>2023</v>
      </c>
      <c r="K4" s="129">
        <v>2024</v>
      </c>
      <c r="L4" s="129">
        <v>2025</v>
      </c>
      <c r="M4" s="129">
        <v>2026</v>
      </c>
      <c r="N4" s="129">
        <v>2027</v>
      </c>
      <c r="O4" s="129">
        <v>2028</v>
      </c>
      <c r="P4" s="129">
        <v>2029</v>
      </c>
      <c r="Q4" s="129">
        <v>2030</v>
      </c>
      <c r="R4" s="129">
        <v>2031</v>
      </c>
      <c r="S4" s="129">
        <v>2032</v>
      </c>
      <c r="T4" s="129">
        <v>2033</v>
      </c>
      <c r="U4" s="129">
        <v>2034</v>
      </c>
      <c r="V4" s="129">
        <v>2035</v>
      </c>
    </row>
    <row r="5" spans="1:22">
      <c r="A5" s="130" t="s">
        <v>87</v>
      </c>
      <c r="E5" s="131">
        <f t="shared" ref="E5:J5" si="0">E85</f>
        <v>6806</v>
      </c>
      <c r="F5" s="131">
        <f t="shared" si="0"/>
        <v>6712.6229999999996</v>
      </c>
      <c r="G5" s="131">
        <f t="shared" si="0"/>
        <v>7169.37</v>
      </c>
      <c r="H5" s="131">
        <f t="shared" si="0"/>
        <v>8477.1059999999998</v>
      </c>
      <c r="I5" s="131">
        <f t="shared" si="0"/>
        <v>6678.7569999999996</v>
      </c>
      <c r="J5" s="131">
        <f t="shared" si="0"/>
        <v>6852.6540000000005</v>
      </c>
      <c r="K5" s="131">
        <f>J12</f>
        <v>7201.6540000000005</v>
      </c>
      <c r="L5" s="132">
        <f t="shared" ref="L5:V5" si="1">K12</f>
        <v>7179.9138333333331</v>
      </c>
      <c r="M5" s="132">
        <f t="shared" si="1"/>
        <v>7260.2328055555554</v>
      </c>
      <c r="N5" s="132">
        <f t="shared" si="1"/>
        <v>7275.0392731481479</v>
      </c>
      <c r="O5" s="132">
        <f t="shared" si="1"/>
        <v>7074.7081520061729</v>
      </c>
      <c r="P5" s="132">
        <f t="shared" si="1"/>
        <v>7140.7003440072031</v>
      </c>
      <c r="Q5" s="132">
        <f t="shared" si="1"/>
        <v>7188.7080680084009</v>
      </c>
      <c r="R5" s="132">
        <f t="shared" si="1"/>
        <v>7186.550412676469</v>
      </c>
      <c r="S5" s="132">
        <f t="shared" si="1"/>
        <v>7187.6565092336596</v>
      </c>
      <c r="T5" s="132">
        <f t="shared" si="1"/>
        <v>7175.5604598466753</v>
      </c>
      <c r="U5" s="132">
        <f t="shared" si="1"/>
        <v>7158.9806576297633</v>
      </c>
      <c r="V5" s="132">
        <f t="shared" si="1"/>
        <v>7173.0260752336953</v>
      </c>
    </row>
    <row r="6" spans="1:22">
      <c r="A6" s="130" t="s">
        <v>127</v>
      </c>
      <c r="E6" s="131">
        <f t="shared" ref="E6:J6" si="2">E33</f>
        <v>29148</v>
      </c>
      <c r="F6" s="131">
        <f t="shared" si="2"/>
        <v>29020.286</v>
      </c>
      <c r="G6" s="131">
        <f t="shared" si="2"/>
        <v>12800.773999999999</v>
      </c>
      <c r="H6" s="131">
        <f t="shared" si="2"/>
        <v>12400.323</v>
      </c>
      <c r="I6" s="131">
        <f t="shared" si="2"/>
        <v>21246.866999999998</v>
      </c>
      <c r="J6" s="131">
        <f t="shared" si="2"/>
        <v>25672.778000000002</v>
      </c>
      <c r="K6" s="132">
        <f>AVERAGE(E6:J6)+6000</f>
        <v>27714.838</v>
      </c>
      <c r="L6" s="132">
        <f>AVERAGE(F6:K6)</f>
        <v>21475.977666666669</v>
      </c>
      <c r="M6" s="132">
        <f t="shared" ref="M6:V7" si="3">AVERAGE(G6:L6)</f>
        <v>20218.592944444445</v>
      </c>
      <c r="N6" s="132">
        <f t="shared" si="3"/>
        <v>21454.896101851857</v>
      </c>
      <c r="O6" s="132">
        <f t="shared" si="3"/>
        <v>22963.991618827164</v>
      </c>
      <c r="P6" s="132">
        <f t="shared" si="3"/>
        <v>23250.179055298358</v>
      </c>
      <c r="Q6" s="132">
        <f t="shared" si="3"/>
        <v>22846.412564514747</v>
      </c>
      <c r="R6" s="132">
        <f t="shared" si="3"/>
        <v>22035.008325267205</v>
      </c>
      <c r="S6" s="132">
        <f t="shared" si="3"/>
        <v>22128.180101700633</v>
      </c>
      <c r="T6" s="132">
        <f t="shared" si="3"/>
        <v>22446.444627909994</v>
      </c>
      <c r="U6" s="132">
        <f t="shared" si="3"/>
        <v>22611.702715586347</v>
      </c>
      <c r="V6" s="132">
        <f t="shared" si="3"/>
        <v>22552.987898379546</v>
      </c>
    </row>
    <row r="7" spans="1:22">
      <c r="A7" s="130" t="s">
        <v>41</v>
      </c>
      <c r="E7" s="131">
        <f t="shared" ref="E7:J7" si="4">E49</f>
        <v>27003</v>
      </c>
      <c r="F7" s="131">
        <f t="shared" si="4"/>
        <v>28017.615000000002</v>
      </c>
      <c r="G7" s="131">
        <f t="shared" si="4"/>
        <v>17667.349999999999</v>
      </c>
      <c r="H7" s="131">
        <f t="shared" si="4"/>
        <v>18837.240000000002</v>
      </c>
      <c r="I7" s="131">
        <f t="shared" si="4"/>
        <v>24793.736000000001</v>
      </c>
      <c r="J7" s="131">
        <f t="shared" si="4"/>
        <v>25195.221000000001</v>
      </c>
      <c r="K7" s="132">
        <f>AVERAGE(E7:J7)+3000</f>
        <v>26585.69366666667</v>
      </c>
      <c r="L7" s="132">
        <f>AVERAGE(F7:K7)</f>
        <v>23516.14261111111</v>
      </c>
      <c r="M7" s="132">
        <f>AVERAGE(G7:L7)</f>
        <v>22765.897212962966</v>
      </c>
      <c r="N7" s="132">
        <f t="shared" si="3"/>
        <v>23615.655081790126</v>
      </c>
      <c r="O7" s="132">
        <f t="shared" si="3"/>
        <v>24412.057595421811</v>
      </c>
      <c r="P7" s="132">
        <f t="shared" si="3"/>
        <v>24348.444527992116</v>
      </c>
      <c r="Q7" s="132">
        <f t="shared" si="3"/>
        <v>24207.315115990801</v>
      </c>
      <c r="R7" s="132">
        <f t="shared" si="3"/>
        <v>23810.918690878156</v>
      </c>
      <c r="S7" s="132">
        <f t="shared" si="3"/>
        <v>23860.048037506</v>
      </c>
      <c r="T7" s="132">
        <f t="shared" si="3"/>
        <v>24042.406508263171</v>
      </c>
      <c r="U7" s="132">
        <f t="shared" si="3"/>
        <v>24113.531746008677</v>
      </c>
      <c r="V7" s="132">
        <f t="shared" si="3"/>
        <v>24063.777437773155</v>
      </c>
    </row>
    <row r="8" spans="1:22">
      <c r="A8" s="130" t="s">
        <v>128</v>
      </c>
      <c r="E8" s="131">
        <f t="shared" ref="E8:K8" si="5">SUM(E5:E7)</f>
        <v>62957</v>
      </c>
      <c r="F8" s="131">
        <f t="shared" si="5"/>
        <v>63750.524000000005</v>
      </c>
      <c r="G8" s="131">
        <f t="shared" si="5"/>
        <v>37637.493999999999</v>
      </c>
      <c r="H8" s="131">
        <f t="shared" si="5"/>
        <v>39714.669000000002</v>
      </c>
      <c r="I8" s="131">
        <f t="shared" si="5"/>
        <v>52719.360000000001</v>
      </c>
      <c r="J8" s="131">
        <f t="shared" si="5"/>
        <v>57720.653000000006</v>
      </c>
      <c r="K8" s="132">
        <f t="shared" si="5"/>
        <v>61502.185666666672</v>
      </c>
      <c r="L8" s="132">
        <f>AVERAGE(F8:K8)</f>
        <v>52174.147611111111</v>
      </c>
      <c r="M8" s="132">
        <f t="shared" ref="M8:U8" si="6">SUM(M5:M7)</f>
        <v>50244.722962962966</v>
      </c>
      <c r="N8" s="132">
        <f t="shared" si="6"/>
        <v>52345.590456790131</v>
      </c>
      <c r="O8" s="132">
        <f t="shared" si="6"/>
        <v>54450.757366255144</v>
      </c>
      <c r="P8" s="132">
        <f t="shared" si="6"/>
        <v>54739.323927297679</v>
      </c>
      <c r="Q8" s="132">
        <f t="shared" si="6"/>
        <v>54242.435748513948</v>
      </c>
      <c r="R8" s="132">
        <f t="shared" si="6"/>
        <v>53032.477428821832</v>
      </c>
      <c r="S8" s="132">
        <f t="shared" si="6"/>
        <v>53175.884648440289</v>
      </c>
      <c r="T8" s="132">
        <f t="shared" si="6"/>
        <v>53664.41159601984</v>
      </c>
      <c r="U8" s="132">
        <f t="shared" si="6"/>
        <v>53884.215119224784</v>
      </c>
      <c r="V8" s="132">
        <f>SUM(V5:V7)</f>
        <v>53789.791411386395</v>
      </c>
    </row>
    <row r="9" spans="1:22">
      <c r="A9" s="133" t="s">
        <v>129</v>
      </c>
      <c r="B9" s="133"/>
      <c r="C9" s="133"/>
      <c r="D9" s="133"/>
      <c r="E9" s="134">
        <f t="shared" ref="E9:J9" si="7">E81</f>
        <v>39042</v>
      </c>
      <c r="F9" s="134">
        <f t="shared" si="7"/>
        <v>39474.636999999995</v>
      </c>
      <c r="G9" s="134">
        <f t="shared" si="7"/>
        <v>17296.623</v>
      </c>
      <c r="H9" s="134">
        <f t="shared" si="7"/>
        <v>21050.951000000001</v>
      </c>
      <c r="I9" s="134">
        <f t="shared" si="7"/>
        <v>31601.688999999998</v>
      </c>
      <c r="J9" s="134">
        <f t="shared" si="7"/>
        <v>35208.881999999998</v>
      </c>
      <c r="K9" s="135">
        <f t="shared" ref="K9:Q9" si="8">J9*(1+K17)</f>
        <v>36951.895960396039</v>
      </c>
      <c r="L9" s="135">
        <f t="shared" si="8"/>
        <v>37997.704336633666</v>
      </c>
      <c r="M9" s="135">
        <f t="shared" si="8"/>
        <v>39043.512712871285</v>
      </c>
      <c r="N9" s="135">
        <f t="shared" si="8"/>
        <v>39740.718297029707</v>
      </c>
      <c r="O9" s="135">
        <f t="shared" si="8"/>
        <v>40786.526673267326</v>
      </c>
      <c r="P9" s="135">
        <f t="shared" si="8"/>
        <v>41483.732257425749</v>
      </c>
      <c r="Q9" s="135">
        <f t="shared" si="8"/>
        <v>42180.937841584164</v>
      </c>
      <c r="R9" s="135">
        <f>AVERAGE(L9:Q9)</f>
        <v>40205.522019801982</v>
      </c>
      <c r="S9" s="135">
        <f>AVERAGE(M9:R9)</f>
        <v>40573.491633663369</v>
      </c>
      <c r="T9" s="135">
        <f>AVERAGE(N9:S9)</f>
        <v>40828.488120462054</v>
      </c>
      <c r="U9" s="135">
        <f>AVERAGE(O9:T9)</f>
        <v>41009.783091034107</v>
      </c>
      <c r="V9" s="135">
        <f>AVERAGE(P9:U9)</f>
        <v>41046.992493995233</v>
      </c>
    </row>
    <row r="10" spans="1:22">
      <c r="A10" s="130" t="s">
        <v>42</v>
      </c>
      <c r="E10" s="131">
        <f t="shared" ref="E10:J10" si="9">E65</f>
        <v>17226</v>
      </c>
      <c r="F10" s="131">
        <f t="shared" si="9"/>
        <v>15865.155999999999</v>
      </c>
      <c r="G10" s="131">
        <f t="shared" si="9"/>
        <v>11728.410999999998</v>
      </c>
      <c r="H10" s="131">
        <f t="shared" si="9"/>
        <v>12062.458999999999</v>
      </c>
      <c r="I10" s="131">
        <f t="shared" si="9"/>
        <v>14265.018999999998</v>
      </c>
      <c r="J10" s="131">
        <f t="shared" si="9"/>
        <v>15277.075999999999</v>
      </c>
      <c r="K10" s="132">
        <f>AVERAGE(E10:J10)+3000</f>
        <v>17404.020166666669</v>
      </c>
      <c r="L10" s="132">
        <f t="shared" ref="L10:V10" si="10">AVERAGE(F10:K10)</f>
        <v>14433.690194444445</v>
      </c>
      <c r="M10" s="132">
        <f t="shared" si="10"/>
        <v>14195.112560185184</v>
      </c>
      <c r="N10" s="132">
        <f t="shared" si="10"/>
        <v>14606.229486882716</v>
      </c>
      <c r="O10" s="132">
        <f t="shared" si="10"/>
        <v>15030.191234696504</v>
      </c>
      <c r="P10" s="132">
        <f t="shared" si="10"/>
        <v>15157.719940479254</v>
      </c>
      <c r="Q10" s="132">
        <f t="shared" si="10"/>
        <v>15137.827263892461</v>
      </c>
      <c r="R10" s="132">
        <f t="shared" si="10"/>
        <v>14760.128446763425</v>
      </c>
      <c r="S10" s="132">
        <f t="shared" si="10"/>
        <v>14814.534822149923</v>
      </c>
      <c r="T10" s="132">
        <f t="shared" si="10"/>
        <v>14917.771865810713</v>
      </c>
      <c r="U10" s="132">
        <f t="shared" si="10"/>
        <v>14969.695595632047</v>
      </c>
      <c r="V10" s="132">
        <f t="shared" si="10"/>
        <v>14959.612989121304</v>
      </c>
    </row>
    <row r="11" spans="1:22">
      <c r="A11" s="130" t="s">
        <v>130</v>
      </c>
      <c r="E11" s="131">
        <f>E10+E9</f>
        <v>56268</v>
      </c>
      <c r="F11" s="131">
        <f t="shared" ref="F11:U11" si="11">F10+F9</f>
        <v>55339.792999999991</v>
      </c>
      <c r="G11" s="131">
        <f t="shared" si="11"/>
        <v>29025.034</v>
      </c>
      <c r="H11" s="131">
        <f t="shared" si="11"/>
        <v>33113.410000000003</v>
      </c>
      <c r="I11" s="131">
        <f t="shared" si="11"/>
        <v>45866.707999999999</v>
      </c>
      <c r="J11" s="131">
        <f t="shared" si="11"/>
        <v>50485.957999999999</v>
      </c>
      <c r="K11" s="132">
        <f t="shared" si="11"/>
        <v>54355.916127062708</v>
      </c>
      <c r="L11" s="132">
        <f t="shared" si="11"/>
        <v>52431.394531078113</v>
      </c>
      <c r="M11" s="132">
        <f t="shared" si="11"/>
        <v>53238.625273056467</v>
      </c>
      <c r="N11" s="132">
        <f t="shared" si="11"/>
        <v>54346.947783912423</v>
      </c>
      <c r="O11" s="132">
        <f t="shared" si="11"/>
        <v>55816.71790796383</v>
      </c>
      <c r="P11" s="132">
        <f t="shared" si="11"/>
        <v>56641.452197905004</v>
      </c>
      <c r="Q11" s="132">
        <f t="shared" si="11"/>
        <v>57318.765105476625</v>
      </c>
      <c r="R11" s="132">
        <f t="shared" si="11"/>
        <v>54965.650466565407</v>
      </c>
      <c r="S11" s="132">
        <f t="shared" si="11"/>
        <v>55388.026455813291</v>
      </c>
      <c r="T11" s="132">
        <f t="shared" si="11"/>
        <v>55746.259986272766</v>
      </c>
      <c r="U11" s="132">
        <f t="shared" si="11"/>
        <v>55979.478686666152</v>
      </c>
      <c r="V11" s="132">
        <f>V10+V9</f>
        <v>56006.605483116538</v>
      </c>
    </row>
    <row r="12" spans="1:22">
      <c r="A12" s="133" t="s">
        <v>131</v>
      </c>
      <c r="B12" s="133"/>
      <c r="C12" s="133"/>
      <c r="D12" s="133"/>
      <c r="E12" s="134">
        <f t="shared" ref="E12:J12" si="12">E111</f>
        <v>6698</v>
      </c>
      <c r="F12" s="134">
        <f t="shared" si="12"/>
        <v>7171.3940000000002</v>
      </c>
      <c r="G12" s="134">
        <f t="shared" si="12"/>
        <v>8477.0259999999998</v>
      </c>
      <c r="H12" s="134">
        <f t="shared" si="12"/>
        <v>6678.7550000000001</v>
      </c>
      <c r="I12" s="134">
        <f t="shared" si="12"/>
        <v>6852.6540000000005</v>
      </c>
      <c r="J12" s="134">
        <f t="shared" si="12"/>
        <v>7201.6540000000005</v>
      </c>
      <c r="K12" s="135">
        <f>AVERAGE(E12:J12)</f>
        <v>7179.9138333333331</v>
      </c>
      <c r="L12" s="135">
        <f t="shared" ref="L12:V12" si="13">AVERAGE(F12:K12)</f>
        <v>7260.2328055555554</v>
      </c>
      <c r="M12" s="135">
        <f t="shared" si="13"/>
        <v>7275.0392731481479</v>
      </c>
      <c r="N12" s="135">
        <f t="shared" si="13"/>
        <v>7074.7081520061729</v>
      </c>
      <c r="O12" s="135">
        <f t="shared" si="13"/>
        <v>7140.7003440072031</v>
      </c>
      <c r="P12" s="135">
        <f t="shared" si="13"/>
        <v>7188.7080680084009</v>
      </c>
      <c r="Q12" s="135">
        <f t="shared" si="13"/>
        <v>7186.550412676469</v>
      </c>
      <c r="R12" s="135">
        <f t="shared" si="13"/>
        <v>7187.6565092336596</v>
      </c>
      <c r="S12" s="135">
        <f t="shared" si="13"/>
        <v>7175.5604598466753</v>
      </c>
      <c r="T12" s="135">
        <f t="shared" si="13"/>
        <v>7158.9806576297633</v>
      </c>
      <c r="U12" s="135">
        <f t="shared" si="13"/>
        <v>7173.0260752336953</v>
      </c>
      <c r="V12" s="135">
        <f t="shared" si="13"/>
        <v>7178.4136971047774</v>
      </c>
    </row>
    <row r="13" spans="1:22">
      <c r="E13" s="140"/>
      <c r="F13" s="131"/>
      <c r="G13" s="131"/>
      <c r="H13" s="131"/>
      <c r="I13" s="131"/>
      <c r="J13" s="131"/>
      <c r="K13" s="131"/>
      <c r="L13" s="131"/>
      <c r="M13" s="131"/>
      <c r="N13" s="131"/>
      <c r="O13" s="131"/>
      <c r="P13" s="131"/>
      <c r="Q13" s="131"/>
      <c r="R13" s="131"/>
      <c r="S13" s="131"/>
      <c r="T13" s="131"/>
      <c r="U13" s="131"/>
      <c r="V13" s="131"/>
    </row>
    <row r="14" spans="1:22" ht="15.75" thickBot="1">
      <c r="A14" s="130" t="s">
        <v>144</v>
      </c>
      <c r="E14" s="138"/>
      <c r="F14" s="138"/>
      <c r="G14" s="138"/>
      <c r="H14" s="155">
        <f>(H9-G9)/G9</f>
        <v>0.21705554893576634</v>
      </c>
      <c r="I14" s="155">
        <f t="shared" ref="I14:Q14" si="14">(I9-H9)/H9</f>
        <v>0.50120006454815258</v>
      </c>
      <c r="J14" s="155">
        <f t="shared" si="14"/>
        <v>0.11414557620638566</v>
      </c>
      <c r="K14" s="155">
        <f t="shared" si="14"/>
        <v>4.9504950495049563E-2</v>
      </c>
      <c r="L14" s="155">
        <f t="shared" si="14"/>
        <v>2.83018867924529E-2</v>
      </c>
      <c r="M14" s="155">
        <f t="shared" si="14"/>
        <v>2.752293577981639E-2</v>
      </c>
      <c r="N14" s="155">
        <f t="shared" si="14"/>
        <v>1.7857142857143026E-2</v>
      </c>
      <c r="O14" s="155">
        <f t="shared" si="14"/>
        <v>2.6315789473684091E-2</v>
      </c>
      <c r="P14" s="155">
        <f t="shared" si="14"/>
        <v>1.7094017094017255E-2</v>
      </c>
      <c r="Q14" s="155">
        <f t="shared" si="14"/>
        <v>1.6806722689075612E-2</v>
      </c>
      <c r="R14" s="156"/>
      <c r="S14" s="156"/>
      <c r="T14" s="156"/>
      <c r="U14" s="156"/>
      <c r="V14" s="156"/>
    </row>
    <row r="15" spans="1:22" ht="15.75" thickTop="1">
      <c r="A15" s="141"/>
      <c r="B15" s="141"/>
      <c r="C15" s="141"/>
      <c r="D15" s="141"/>
      <c r="E15" s="141"/>
      <c r="F15" s="141"/>
      <c r="G15" s="141"/>
      <c r="H15" s="141"/>
      <c r="I15" s="141"/>
      <c r="J15" s="141"/>
      <c r="K15" s="141"/>
      <c r="L15" s="141"/>
      <c r="M15" s="141"/>
      <c r="N15" s="141"/>
      <c r="O15" s="141"/>
      <c r="P15" s="141"/>
      <c r="Q15" s="141"/>
      <c r="R15" s="141"/>
      <c r="S15" s="141"/>
      <c r="T15" s="141"/>
      <c r="U15" s="141"/>
      <c r="V15" s="141"/>
    </row>
    <row r="16" spans="1:22">
      <c r="A16" s="130" t="s">
        <v>145</v>
      </c>
      <c r="E16" s="150"/>
      <c r="F16" s="150"/>
      <c r="G16" s="157">
        <v>5</v>
      </c>
      <c r="H16" s="157">
        <v>6.2</v>
      </c>
      <c r="I16" s="157">
        <v>9.1999999999999993</v>
      </c>
      <c r="J16" s="158">
        <v>10.1</v>
      </c>
      <c r="K16" s="158">
        <v>10.6</v>
      </c>
      <c r="L16" s="158">
        <v>10.9</v>
      </c>
      <c r="M16" s="158">
        <v>11.2</v>
      </c>
      <c r="N16" s="158">
        <v>11.4</v>
      </c>
      <c r="O16" s="158">
        <v>11.7</v>
      </c>
      <c r="P16" s="158">
        <v>11.9</v>
      </c>
      <c r="Q16" s="158">
        <v>12.1</v>
      </c>
      <c r="R16" s="159"/>
      <c r="S16" s="159"/>
      <c r="T16" s="159"/>
      <c r="U16" s="159"/>
      <c r="V16" s="159"/>
    </row>
    <row r="17" spans="1:22">
      <c r="A17" s="130" t="s">
        <v>146</v>
      </c>
      <c r="H17" s="155">
        <f>(H16-G16)/G16</f>
        <v>0.24000000000000005</v>
      </c>
      <c r="I17" s="155">
        <f t="shared" ref="I17:Q17" si="15">(I16-H16)/H16</f>
        <v>0.48387096774193533</v>
      </c>
      <c r="J17" s="155">
        <f t="shared" si="15"/>
        <v>9.7826086956521785E-2</v>
      </c>
      <c r="K17" s="155">
        <f t="shared" si="15"/>
        <v>4.9504950495049507E-2</v>
      </c>
      <c r="L17" s="155">
        <f t="shared" si="15"/>
        <v>2.8301886792452897E-2</v>
      </c>
      <c r="M17" s="155">
        <f t="shared" si="15"/>
        <v>2.7522935779816415E-2</v>
      </c>
      <c r="N17" s="155">
        <f t="shared" si="15"/>
        <v>1.7857142857142953E-2</v>
      </c>
      <c r="O17" s="155">
        <f t="shared" si="15"/>
        <v>2.6315789473684115E-2</v>
      </c>
      <c r="P17" s="155">
        <f t="shared" si="15"/>
        <v>1.7094017094017186E-2</v>
      </c>
      <c r="Q17" s="155">
        <f t="shared" si="15"/>
        <v>1.6806722689075571E-2</v>
      </c>
    </row>
    <row r="18" spans="1:22">
      <c r="H18" s="155"/>
      <c r="I18" s="155"/>
      <c r="J18" s="155"/>
      <c r="K18" s="155"/>
      <c r="L18" s="155"/>
      <c r="M18" s="155"/>
      <c r="N18" s="155"/>
      <c r="O18" s="155"/>
      <c r="P18" s="155"/>
      <c r="Q18" s="155"/>
    </row>
    <row r="19" spans="1:22" ht="15.75" thickBot="1">
      <c r="A19" s="4" t="s">
        <v>147</v>
      </c>
    </row>
    <row r="20" spans="1:22" ht="15.75" thickBot="1">
      <c r="A20" s="148" t="s">
        <v>86</v>
      </c>
      <c r="B20" s="148"/>
      <c r="C20" s="148"/>
      <c r="D20" s="148"/>
      <c r="E20" s="149">
        <f t="shared" ref="E20:T20" si="16">E4</f>
        <v>2018</v>
      </c>
      <c r="F20" s="149">
        <f t="shared" si="16"/>
        <v>2019</v>
      </c>
      <c r="G20" s="149">
        <f t="shared" si="16"/>
        <v>2020</v>
      </c>
      <c r="H20" s="149">
        <f t="shared" si="16"/>
        <v>2021</v>
      </c>
      <c r="I20" s="149">
        <f t="shared" si="16"/>
        <v>2022</v>
      </c>
      <c r="J20" s="149">
        <f t="shared" si="16"/>
        <v>2023</v>
      </c>
      <c r="K20" s="149">
        <f t="shared" si="16"/>
        <v>2024</v>
      </c>
      <c r="L20" s="149">
        <f t="shared" si="16"/>
        <v>2025</v>
      </c>
      <c r="M20" s="149">
        <f t="shared" si="16"/>
        <v>2026</v>
      </c>
      <c r="N20" s="149">
        <f t="shared" si="16"/>
        <v>2027</v>
      </c>
      <c r="O20" s="149">
        <f t="shared" si="16"/>
        <v>2028</v>
      </c>
      <c r="P20" s="149">
        <f t="shared" si="16"/>
        <v>2029</v>
      </c>
      <c r="Q20" s="149">
        <f t="shared" si="16"/>
        <v>2030</v>
      </c>
      <c r="R20" s="149">
        <f t="shared" si="16"/>
        <v>2031</v>
      </c>
      <c r="S20" s="149">
        <f t="shared" si="16"/>
        <v>2032</v>
      </c>
      <c r="T20" s="149">
        <f t="shared" si="16"/>
        <v>2033</v>
      </c>
      <c r="U20" s="149"/>
      <c r="V20" s="149"/>
    </row>
    <row r="21" spans="1:22">
      <c r="A21" s="130" t="s">
        <v>98</v>
      </c>
      <c r="E21" s="153">
        <f t="shared" ref="E21:K32" si="17">E53+E69+E100-E85-E37</f>
        <v>1894</v>
      </c>
      <c r="F21" s="153">
        <f t="shared" si="17"/>
        <v>2269.701</v>
      </c>
      <c r="G21" s="153">
        <f t="shared" si="17"/>
        <v>2628.6310000000008</v>
      </c>
      <c r="H21" s="153">
        <f t="shared" si="17"/>
        <v>1044.8480000000004</v>
      </c>
      <c r="I21" s="153">
        <f t="shared" si="17"/>
        <v>1554.7890000000007</v>
      </c>
      <c r="J21" s="153">
        <f t="shared" si="17"/>
        <v>2006.704999999999</v>
      </c>
      <c r="K21" s="153">
        <f t="shared" si="17"/>
        <v>2086.9080000000004</v>
      </c>
      <c r="L21" s="160">
        <f>L$33*(SUM(G21:K21)/SUM(G$33:K$33))</f>
        <v>2005.2621336734298</v>
      </c>
      <c r="M21" s="160">
        <f t="shared" ref="M21:T21" si="18">M$33*(SUM(H21:L21)/SUM(H$33:L$33))</f>
        <v>1620.7760197669631</v>
      </c>
      <c r="N21" s="160">
        <f t="shared" si="18"/>
        <v>1710.5112069432405</v>
      </c>
      <c r="O21" s="160">
        <f t="shared" si="18"/>
        <v>1858.2425813885659</v>
      </c>
      <c r="P21" s="160">
        <f t="shared" si="18"/>
        <v>1895.848330671068</v>
      </c>
      <c r="Q21" s="160">
        <f t="shared" si="18"/>
        <v>1899.0637391176551</v>
      </c>
      <c r="R21" s="160">
        <f t="shared" si="18"/>
        <v>1787.8169518385976</v>
      </c>
      <c r="S21" s="160">
        <f t="shared" si="18"/>
        <v>1799.2428466216254</v>
      </c>
      <c r="T21" s="160">
        <f t="shared" si="18"/>
        <v>1831.858795574846</v>
      </c>
      <c r="U21" s="151"/>
      <c r="V21" s="151"/>
    </row>
    <row r="22" spans="1:22">
      <c r="A22" s="130" t="s">
        <v>99</v>
      </c>
      <c r="E22" s="153">
        <f t="shared" si="17"/>
        <v>2200</v>
      </c>
      <c r="F22" s="153">
        <f t="shared" si="17"/>
        <v>2092.8390000000004</v>
      </c>
      <c r="G22" s="153">
        <f t="shared" si="17"/>
        <v>2318.8719999999985</v>
      </c>
      <c r="H22" s="153">
        <f t="shared" si="17"/>
        <v>791.17300000000023</v>
      </c>
      <c r="I22" s="153">
        <f t="shared" si="17"/>
        <v>1372.3259999999996</v>
      </c>
      <c r="J22" s="153">
        <f t="shared" si="17"/>
        <v>1610.6870000000001</v>
      </c>
      <c r="K22" s="153">
        <f t="shared" si="17"/>
        <v>2180.5510000000008</v>
      </c>
      <c r="L22" s="160">
        <f t="shared" ref="L22:L31" si="19">L$33*(SUM(G22:K22)/SUM(G$33:K$33))</f>
        <v>1779.7647102038404</v>
      </c>
      <c r="M22" s="160">
        <f t="shared" ref="M22:M32" si="20">M$33*(SUM(H22:L22)/SUM(H$33:L$33))</f>
        <v>1441.1539242689969</v>
      </c>
      <c r="N22" s="160">
        <f t="shared" ref="N22:T32" si="21">N$33*(SUM(I22:M22)/SUM(I$33:M$33))</f>
        <v>1546.3738267119707</v>
      </c>
      <c r="O22" s="160">
        <f t="shared" si="21"/>
        <v>1686.4848270160369</v>
      </c>
      <c r="P22" s="160">
        <f t="shared" si="21"/>
        <v>1763.6184076562672</v>
      </c>
      <c r="Q22" s="160">
        <f t="shared" si="21"/>
        <v>1716.6401626614495</v>
      </c>
      <c r="R22" s="160">
        <f t="shared" si="21"/>
        <v>1622.6210138579297</v>
      </c>
      <c r="S22" s="160">
        <f t="shared" si="21"/>
        <v>1638.8619972641882</v>
      </c>
      <c r="T22" s="160">
        <f t="shared" si="21"/>
        <v>1670.8833719797226</v>
      </c>
      <c r="U22" s="151"/>
      <c r="V22" s="151"/>
    </row>
    <row r="23" spans="1:22">
      <c r="A23" s="130" t="s">
        <v>100</v>
      </c>
      <c r="E23" s="153">
        <f t="shared" si="17"/>
        <v>2320</v>
      </c>
      <c r="F23" s="153">
        <f t="shared" si="17"/>
        <v>2441.2259999999997</v>
      </c>
      <c r="G23" s="153">
        <f t="shared" si="17"/>
        <v>1590.6889999999992</v>
      </c>
      <c r="H23" s="153">
        <f t="shared" si="17"/>
        <v>675.24900000000002</v>
      </c>
      <c r="I23" s="153">
        <f t="shared" si="17"/>
        <v>1197.1190000000004</v>
      </c>
      <c r="J23" s="153">
        <f t="shared" si="17"/>
        <v>1873.6960000000004</v>
      </c>
      <c r="K23" s="153">
        <f t="shared" si="17"/>
        <v>1980.1130000000003</v>
      </c>
      <c r="L23" s="160">
        <f t="shared" si="19"/>
        <v>1573.95640718462</v>
      </c>
      <c r="M23" s="160">
        <f t="shared" si="20"/>
        <v>1360.218964535474</v>
      </c>
      <c r="N23" s="160">
        <f t="shared" si="21"/>
        <v>1472.7151806420097</v>
      </c>
      <c r="O23" s="160">
        <f t="shared" si="21"/>
        <v>1627.796327743423</v>
      </c>
      <c r="P23" s="160">
        <f t="shared" si="21"/>
        <v>1637.0756508704283</v>
      </c>
      <c r="Q23" s="160">
        <f t="shared" si="21"/>
        <v>1602.6556547245493</v>
      </c>
      <c r="R23" s="160">
        <f t="shared" si="21"/>
        <v>1532.3173427722063</v>
      </c>
      <c r="S23" s="160">
        <f t="shared" si="21"/>
        <v>1547.7980826474206</v>
      </c>
      <c r="T23" s="160">
        <f t="shared" si="21"/>
        <v>1575.6084364304343</v>
      </c>
      <c r="U23" s="151"/>
      <c r="V23" s="151"/>
    </row>
    <row r="24" spans="1:22">
      <c r="A24" s="130" t="s">
        <v>101</v>
      </c>
      <c r="E24" s="153">
        <f t="shared" si="17"/>
        <v>1971</v>
      </c>
      <c r="F24" s="153">
        <f t="shared" si="17"/>
        <v>2329.89</v>
      </c>
      <c r="G24" s="153">
        <f t="shared" si="17"/>
        <v>894.88400000000047</v>
      </c>
      <c r="H24" s="153">
        <f t="shared" si="17"/>
        <v>656.08799999999997</v>
      </c>
      <c r="I24" s="153">
        <f t="shared" si="17"/>
        <v>1347.3210000000008</v>
      </c>
      <c r="J24" s="153">
        <f t="shared" si="17"/>
        <v>1916.4969999999998</v>
      </c>
      <c r="K24" s="153">
        <f t="shared" si="17"/>
        <v>2183.0640000000008</v>
      </c>
      <c r="L24" s="160">
        <f t="shared" si="19"/>
        <v>1505.3326300963449</v>
      </c>
      <c r="M24" s="160">
        <f t="shared" si="20"/>
        <v>1417.6395071351672</v>
      </c>
      <c r="N24" s="160">
        <f t="shared" si="21"/>
        <v>1543.6758516258149</v>
      </c>
      <c r="O24" s="160">
        <f t="shared" si="21"/>
        <v>1687.9979045790897</v>
      </c>
      <c r="P24" s="160">
        <f t="shared" si="21"/>
        <v>1703.0321473711606</v>
      </c>
      <c r="Q24" s="160">
        <f t="shared" si="21"/>
        <v>1641.4939975342481</v>
      </c>
      <c r="R24" s="160">
        <f t="shared" si="21"/>
        <v>1590.6966507859529</v>
      </c>
      <c r="S24" s="160">
        <f t="shared" si="21"/>
        <v>1605.6665903483024</v>
      </c>
      <c r="T24" s="160">
        <f t="shared" si="21"/>
        <v>1631.364687829878</v>
      </c>
      <c r="U24" s="151"/>
      <c r="V24" s="151"/>
    </row>
    <row r="25" spans="1:22">
      <c r="A25" s="130" t="s">
        <v>102</v>
      </c>
      <c r="E25" s="153">
        <f t="shared" si="17"/>
        <v>2624</v>
      </c>
      <c r="F25" s="153">
        <f t="shared" si="17"/>
        <v>2316.8700000000003</v>
      </c>
      <c r="G25" s="153">
        <f t="shared" si="17"/>
        <v>510.4639999999988</v>
      </c>
      <c r="H25" s="153">
        <f t="shared" si="17"/>
        <v>614.30600000000072</v>
      </c>
      <c r="I25" s="153">
        <f t="shared" si="17"/>
        <v>2133.5680000000002</v>
      </c>
      <c r="J25" s="153">
        <f t="shared" si="17"/>
        <v>2199.219000000001</v>
      </c>
      <c r="K25" s="153">
        <f t="shared" si="17"/>
        <v>2175.3619999999992</v>
      </c>
      <c r="L25" s="160">
        <f t="shared" si="19"/>
        <v>1641.9436635263269</v>
      </c>
      <c r="M25" s="160">
        <f t="shared" si="20"/>
        <v>1633.0525224573307</v>
      </c>
      <c r="N25" s="160">
        <f t="shared" si="21"/>
        <v>1804.3331136888348</v>
      </c>
      <c r="O25" s="160">
        <f t="shared" si="21"/>
        <v>1862.9221860783193</v>
      </c>
      <c r="P25" s="160">
        <f t="shared" si="21"/>
        <v>1862.3325915623457</v>
      </c>
      <c r="Q25" s="160">
        <f t="shared" si="21"/>
        <v>1839.3056878428408</v>
      </c>
      <c r="R25" s="160">
        <f t="shared" si="21"/>
        <v>1791.3001228981225</v>
      </c>
      <c r="S25" s="160">
        <f t="shared" si="21"/>
        <v>1800.9554663843985</v>
      </c>
      <c r="T25" s="160">
        <f t="shared" si="21"/>
        <v>1815.3251876142488</v>
      </c>
      <c r="U25" s="151"/>
      <c r="V25" s="151"/>
    </row>
    <row r="26" spans="1:22">
      <c r="A26" s="130" t="s">
        <v>103</v>
      </c>
      <c r="E26" s="153">
        <f t="shared" si="17"/>
        <v>2583</v>
      </c>
      <c r="F26" s="153">
        <f t="shared" si="17"/>
        <v>2349.4699999999998</v>
      </c>
      <c r="G26" s="153">
        <f t="shared" si="17"/>
        <v>635.12900000000013</v>
      </c>
      <c r="H26" s="153">
        <f t="shared" si="17"/>
        <v>987.64400000000069</v>
      </c>
      <c r="I26" s="153">
        <f t="shared" si="17"/>
        <v>2182.3569999999986</v>
      </c>
      <c r="J26" s="153">
        <f t="shared" si="17"/>
        <v>2299.128999999999</v>
      </c>
      <c r="K26" s="153">
        <f t="shared" si="17"/>
        <v>2740.0070000000005</v>
      </c>
      <c r="L26" s="160">
        <f t="shared" si="19"/>
        <v>1902.52071550102</v>
      </c>
      <c r="M26" s="160">
        <f t="shared" si="20"/>
        <v>1884.0845530274139</v>
      </c>
      <c r="N26" s="160">
        <f t="shared" si="21"/>
        <v>2030.2546724036481</v>
      </c>
      <c r="O26" s="160">
        <f t="shared" si="21"/>
        <v>2139.2074865613185</v>
      </c>
      <c r="P26" s="160">
        <f t="shared" si="21"/>
        <v>2184.7436326653178</v>
      </c>
      <c r="Q26" s="160">
        <f t="shared" si="21"/>
        <v>2118.4477652215746</v>
      </c>
      <c r="R26" s="160">
        <f t="shared" si="21"/>
        <v>2060.8906162737226</v>
      </c>
      <c r="S26" s="160">
        <f t="shared" si="21"/>
        <v>2070.9653721300879</v>
      </c>
      <c r="T26" s="160">
        <f t="shared" si="21"/>
        <v>2096.3303288100683</v>
      </c>
      <c r="U26" s="151"/>
      <c r="V26" s="151"/>
    </row>
    <row r="27" spans="1:22">
      <c r="A27" s="130" t="s">
        <v>104</v>
      </c>
      <c r="E27" s="153">
        <f t="shared" si="17"/>
        <v>2807</v>
      </c>
      <c r="F27" s="153">
        <f t="shared" si="17"/>
        <v>2994.7719999999999</v>
      </c>
      <c r="G27" s="153">
        <f t="shared" si="17"/>
        <v>765.5070000000012</v>
      </c>
      <c r="H27" s="153">
        <f t="shared" si="17"/>
        <v>1080.4089999999994</v>
      </c>
      <c r="I27" s="153">
        <f t="shared" si="17"/>
        <v>2429.0830000000014</v>
      </c>
      <c r="J27" s="153">
        <f t="shared" si="17"/>
        <v>2213.4740000000015</v>
      </c>
      <c r="K27" s="153">
        <f t="shared" si="17"/>
        <v>2887.5680000000011</v>
      </c>
      <c r="L27" s="160">
        <f t="shared" si="19"/>
        <v>2016.9126790043301</v>
      </c>
      <c r="M27" s="160">
        <f t="shared" si="20"/>
        <v>1980.190458320161</v>
      </c>
      <c r="N27" s="160">
        <f t="shared" si="21"/>
        <v>2125.9992611597941</v>
      </c>
      <c r="O27" s="160">
        <f t="shared" si="21"/>
        <v>2211.752275712563</v>
      </c>
      <c r="P27" s="160">
        <f t="shared" si="21"/>
        <v>2292.2537279198996</v>
      </c>
      <c r="Q27" s="160">
        <f t="shared" si="21"/>
        <v>2220.0368305530073</v>
      </c>
      <c r="R27" s="160">
        <f t="shared" si="21"/>
        <v>2155.1114265040978</v>
      </c>
      <c r="S27" s="160">
        <f t="shared" si="21"/>
        <v>2163.686930451513</v>
      </c>
      <c r="T27" s="160">
        <f t="shared" si="21"/>
        <v>2189.2268706947125</v>
      </c>
      <c r="U27" s="151"/>
      <c r="V27" s="151"/>
    </row>
    <row r="28" spans="1:22">
      <c r="A28" s="130" t="s">
        <v>105</v>
      </c>
      <c r="E28" s="153">
        <f t="shared" si="17"/>
        <v>2898</v>
      </c>
      <c r="F28" s="153">
        <f t="shared" si="17"/>
        <v>2915.5409999999993</v>
      </c>
      <c r="G28" s="153">
        <f t="shared" si="17"/>
        <v>1003.24</v>
      </c>
      <c r="H28" s="153">
        <f t="shared" si="17"/>
        <v>1325.9910000000009</v>
      </c>
      <c r="I28" s="153">
        <f t="shared" si="17"/>
        <v>2463.0049999999997</v>
      </c>
      <c r="J28" s="153">
        <f t="shared" si="17"/>
        <v>2646.3490000000006</v>
      </c>
      <c r="K28" s="160">
        <f>K$33*(SUM(F28:J28)/SUM(F$33:J$33))</f>
        <v>2837.2553690238146</v>
      </c>
      <c r="L28" s="160">
        <f t="shared" si="19"/>
        <v>2210.471640184664</v>
      </c>
      <c r="M28" s="160">
        <f t="shared" si="20"/>
        <v>2139.6173805097178</v>
      </c>
      <c r="N28" s="160">
        <f t="shared" si="21"/>
        <v>2267.9148343214392</v>
      </c>
      <c r="O28" s="160">
        <f t="shared" si="21"/>
        <v>2384.6592291628026</v>
      </c>
      <c r="P28" s="160">
        <f t="shared" si="21"/>
        <v>2418.3813068298309</v>
      </c>
      <c r="Q28" s="160">
        <f t="shared" si="21"/>
        <v>2385.8925901583239</v>
      </c>
      <c r="R28" s="160">
        <f t="shared" si="21"/>
        <v>2307.584332983784</v>
      </c>
      <c r="S28" s="160">
        <f t="shared" si="21"/>
        <v>2312.9662250504753</v>
      </c>
      <c r="T28" s="160">
        <f t="shared" si="21"/>
        <v>2341.2126066966971</v>
      </c>
      <c r="U28" s="151"/>
      <c r="V28" s="151"/>
    </row>
    <row r="29" spans="1:22">
      <c r="A29" s="130" t="s">
        <v>106</v>
      </c>
      <c r="E29" s="153">
        <f t="shared" si="17"/>
        <v>2528</v>
      </c>
      <c r="F29" s="153">
        <f t="shared" si="17"/>
        <v>2692.3579999999988</v>
      </c>
      <c r="G29" s="153">
        <f t="shared" si="17"/>
        <v>765.67899999999963</v>
      </c>
      <c r="H29" s="153">
        <f t="shared" si="17"/>
        <v>1241.2279999999998</v>
      </c>
      <c r="I29" s="153">
        <f t="shared" si="17"/>
        <v>1881.2580000000007</v>
      </c>
      <c r="J29" s="153">
        <f t="shared" si="17"/>
        <v>2084.1579999999999</v>
      </c>
      <c r="K29" s="160">
        <f>K$33*(SUM(F29:J29)/SUM(F$33:J$33))</f>
        <v>2374.3107518808088</v>
      </c>
      <c r="L29" s="160">
        <f t="shared" si="19"/>
        <v>1795.4733177013491</v>
      </c>
      <c r="M29" s="160">
        <f t="shared" si="20"/>
        <v>1747.0907130678202</v>
      </c>
      <c r="N29" s="160">
        <f t="shared" si="21"/>
        <v>1822.618816266139</v>
      </c>
      <c r="O29" s="160">
        <f t="shared" si="21"/>
        <v>1935.7808495981365</v>
      </c>
      <c r="P29" s="160">
        <f t="shared" si="21"/>
        <v>1976.2385152582187</v>
      </c>
      <c r="Q29" s="160">
        <f t="shared" si="21"/>
        <v>1938.0371231354882</v>
      </c>
      <c r="R29" s="160">
        <f t="shared" si="21"/>
        <v>1874.4422410452491</v>
      </c>
      <c r="S29" s="160">
        <f t="shared" si="21"/>
        <v>1877.02728682931</v>
      </c>
      <c r="T29" s="160">
        <f t="shared" si="21"/>
        <v>1903.4882771357725</v>
      </c>
      <c r="U29" s="151"/>
      <c r="V29" s="151"/>
    </row>
    <row r="30" spans="1:22">
      <c r="A30" s="130" t="s">
        <v>107</v>
      </c>
      <c r="E30" s="153">
        <f t="shared" si="17"/>
        <v>2646</v>
      </c>
      <c r="F30" s="153">
        <f t="shared" si="17"/>
        <v>2463.7069999999999</v>
      </c>
      <c r="G30" s="153">
        <f t="shared" si="17"/>
        <v>516.63500000000113</v>
      </c>
      <c r="H30" s="153">
        <f t="shared" si="17"/>
        <v>1225.1969999999999</v>
      </c>
      <c r="I30" s="153">
        <f t="shared" si="17"/>
        <v>1541.7789999999991</v>
      </c>
      <c r="J30" s="153">
        <f t="shared" si="17"/>
        <v>2457.58</v>
      </c>
      <c r="K30" s="160">
        <f>K$33*(SUM(F30:J30)/SUM(F$33:J$33))</f>
        <v>2248.3202254630428</v>
      </c>
      <c r="L30" s="160">
        <f t="shared" si="19"/>
        <v>1718.6514531755809</v>
      </c>
      <c r="M30" s="160">
        <f t="shared" si="20"/>
        <v>1712.6386004442486</v>
      </c>
      <c r="N30" s="160">
        <f t="shared" si="21"/>
        <v>1785.1196567793988</v>
      </c>
      <c r="O30" s="160">
        <f t="shared" si="21"/>
        <v>1955.2217792148419</v>
      </c>
      <c r="P30" s="160">
        <f t="shared" si="21"/>
        <v>1924.0871657203284</v>
      </c>
      <c r="Q30" s="160">
        <f t="shared" si="21"/>
        <v>1900.124629496426</v>
      </c>
      <c r="R30" s="160">
        <f t="shared" si="21"/>
        <v>1846.0713584127113</v>
      </c>
      <c r="S30" s="160">
        <f t="shared" si="21"/>
        <v>1850.191857072138</v>
      </c>
      <c r="T30" s="160">
        <f t="shared" si="21"/>
        <v>1878.542819911471</v>
      </c>
      <c r="U30" s="151"/>
      <c r="V30" s="151"/>
    </row>
    <row r="31" spans="1:22">
      <c r="A31" s="130" t="s">
        <v>108</v>
      </c>
      <c r="E31" s="153">
        <f t="shared" si="17"/>
        <v>2184</v>
      </c>
      <c r="F31" s="153">
        <f t="shared" si="17"/>
        <v>2034.5499999999993</v>
      </c>
      <c r="G31" s="153">
        <f t="shared" si="17"/>
        <v>776.53999999999883</v>
      </c>
      <c r="H31" s="153">
        <f t="shared" si="17"/>
        <v>1446.7439999999999</v>
      </c>
      <c r="I31" s="153">
        <f t="shared" si="17"/>
        <v>1586.5369999999994</v>
      </c>
      <c r="J31" s="153">
        <f t="shared" si="17"/>
        <v>2137.645</v>
      </c>
      <c r="K31" s="160">
        <f>K$33*(SUM(F31:J31)/SUM(F$33:J$33))</f>
        <v>2187.2457174689575</v>
      </c>
      <c r="L31" s="160">
        <f t="shared" si="19"/>
        <v>1749.8860343089605</v>
      </c>
      <c r="M31" s="160">
        <f t="shared" si="20"/>
        <v>1697.0858192618418</v>
      </c>
      <c r="N31" s="160">
        <f t="shared" si="21"/>
        <v>1725.9960795992865</v>
      </c>
      <c r="O31" s="160">
        <f t="shared" si="21"/>
        <v>1871.5823441993441</v>
      </c>
      <c r="P31" s="160">
        <f t="shared" si="21"/>
        <v>1885.6551209054121</v>
      </c>
      <c r="Q31" s="160">
        <f t="shared" si="21"/>
        <v>1865.5483823449613</v>
      </c>
      <c r="R31" s="160">
        <f t="shared" si="21"/>
        <v>1800.0401049672259</v>
      </c>
      <c r="S31" s="160">
        <f t="shared" si="21"/>
        <v>1798.7197198475692</v>
      </c>
      <c r="T31" s="160">
        <f t="shared" si="21"/>
        <v>1828.1577381784239</v>
      </c>
      <c r="U31" s="151"/>
      <c r="V31" s="151"/>
    </row>
    <row r="32" spans="1:22">
      <c r="A32" s="130" t="s">
        <v>109</v>
      </c>
      <c r="E32" s="153">
        <f t="shared" si="17"/>
        <v>2493</v>
      </c>
      <c r="F32" s="153">
        <f t="shared" si="17"/>
        <v>2119.3619999999996</v>
      </c>
      <c r="G32" s="153">
        <f t="shared" si="17"/>
        <v>394.50400000000013</v>
      </c>
      <c r="H32" s="153">
        <f t="shared" si="17"/>
        <v>1311.4459999999988</v>
      </c>
      <c r="I32" s="153">
        <f t="shared" si="17"/>
        <v>1557.7249999999999</v>
      </c>
      <c r="J32" s="153">
        <f t="shared" si="17"/>
        <v>2227.6390000000015</v>
      </c>
      <c r="K32" s="160">
        <f>K$33*(SUM(F32:J32)/SUM(F$33:J$33))</f>
        <v>2085.4904936351645</v>
      </c>
      <c r="L32" s="160">
        <f>L$33*(SUM(G32:K32)/SUM(G$33:K$33))</f>
        <v>1629.8726775565231</v>
      </c>
      <c r="M32" s="160">
        <f t="shared" si="20"/>
        <v>1641.9542490043839</v>
      </c>
      <c r="N32" s="160">
        <f t="shared" si="21"/>
        <v>1686.210571422567</v>
      </c>
      <c r="O32" s="160">
        <f t="shared" si="21"/>
        <v>1826.9120535363743</v>
      </c>
      <c r="P32" s="160">
        <f t="shared" si="21"/>
        <v>1811.8457887482598</v>
      </c>
      <c r="Q32" s="160">
        <f t="shared" si="21"/>
        <v>1795.8979581237932</v>
      </c>
      <c r="R32" s="160">
        <f t="shared" si="21"/>
        <v>1743.7164672864385</v>
      </c>
      <c r="S32" s="160">
        <f t="shared" si="21"/>
        <v>1742.8363897716915</v>
      </c>
      <c r="T32" s="160">
        <f t="shared" si="21"/>
        <v>1768.6163709089758</v>
      </c>
      <c r="U32" s="151"/>
      <c r="V32" s="151"/>
    </row>
    <row r="33" spans="1:22" ht="15.75" thickBot="1">
      <c r="A33" s="130" t="s">
        <v>137</v>
      </c>
      <c r="E33" s="150">
        <f t="shared" ref="E33:J33" si="22">SUM(E21:E32)</f>
        <v>29148</v>
      </c>
      <c r="F33" s="150">
        <f t="shared" si="22"/>
        <v>29020.286</v>
      </c>
      <c r="G33" s="150">
        <f t="shared" si="22"/>
        <v>12800.773999999999</v>
      </c>
      <c r="H33" s="150">
        <f t="shared" si="22"/>
        <v>12400.323</v>
      </c>
      <c r="I33" s="150">
        <f t="shared" si="22"/>
        <v>21246.866999999998</v>
      </c>
      <c r="J33" s="150">
        <f t="shared" si="22"/>
        <v>25672.778000000002</v>
      </c>
      <c r="K33" s="151">
        <f t="shared" ref="K33:T33" si="23">K6</f>
        <v>27714.838</v>
      </c>
      <c r="L33" s="151">
        <f t="shared" si="23"/>
        <v>21475.977666666669</v>
      </c>
      <c r="M33" s="151">
        <f t="shared" si="23"/>
        <v>20218.592944444445</v>
      </c>
      <c r="N33" s="151">
        <f t="shared" si="23"/>
        <v>21454.896101851857</v>
      </c>
      <c r="O33" s="151">
        <f t="shared" si="23"/>
        <v>22963.991618827164</v>
      </c>
      <c r="P33" s="151">
        <f t="shared" si="23"/>
        <v>23250.179055298358</v>
      </c>
      <c r="Q33" s="151">
        <f t="shared" si="23"/>
        <v>22846.412564514747</v>
      </c>
      <c r="R33" s="151">
        <f t="shared" si="23"/>
        <v>22035.008325267205</v>
      </c>
      <c r="S33" s="151">
        <f t="shared" si="23"/>
        <v>22128.180101700633</v>
      </c>
      <c r="T33" s="151">
        <f t="shared" si="23"/>
        <v>22446.444627909994</v>
      </c>
      <c r="U33" s="151"/>
      <c r="V33" s="151"/>
    </row>
    <row r="34" spans="1:22">
      <c r="A34" s="152"/>
      <c r="B34" s="152"/>
      <c r="C34" s="152"/>
      <c r="D34" s="152"/>
      <c r="E34" s="152"/>
      <c r="F34" s="152"/>
      <c r="G34" s="152"/>
      <c r="H34" s="152"/>
      <c r="I34" s="152"/>
      <c r="J34" s="152"/>
      <c r="K34" s="152"/>
      <c r="L34" s="152"/>
      <c r="M34" s="152"/>
      <c r="N34" s="152"/>
      <c r="O34" s="152"/>
      <c r="P34" s="152"/>
      <c r="Q34" s="152"/>
      <c r="R34" s="152"/>
      <c r="S34" s="152"/>
      <c r="T34" s="152"/>
      <c r="U34" s="152"/>
      <c r="V34" s="152"/>
    </row>
    <row r="35" spans="1:22" ht="15.75" thickBot="1">
      <c r="A35" s="4" t="s">
        <v>148</v>
      </c>
    </row>
    <row r="36" spans="1:22" ht="15.75" thickBot="1">
      <c r="A36" s="148" t="s">
        <v>86</v>
      </c>
      <c r="B36" s="148"/>
      <c r="C36" s="148"/>
      <c r="D36" s="148"/>
      <c r="E36" s="149">
        <f t="shared" ref="E36:T36" si="24">E20</f>
        <v>2018</v>
      </c>
      <c r="F36" s="149">
        <f t="shared" si="24"/>
        <v>2019</v>
      </c>
      <c r="G36" s="149">
        <f t="shared" si="24"/>
        <v>2020</v>
      </c>
      <c r="H36" s="149">
        <f t="shared" si="24"/>
        <v>2021</v>
      </c>
      <c r="I36" s="149">
        <f t="shared" si="24"/>
        <v>2022</v>
      </c>
      <c r="J36" s="149">
        <f t="shared" si="24"/>
        <v>2023</v>
      </c>
      <c r="K36" s="149">
        <f t="shared" si="24"/>
        <v>2024</v>
      </c>
      <c r="L36" s="149">
        <f t="shared" si="24"/>
        <v>2025</v>
      </c>
      <c r="M36" s="149">
        <f t="shared" si="24"/>
        <v>2026</v>
      </c>
      <c r="N36" s="149">
        <f t="shared" si="24"/>
        <v>2027</v>
      </c>
      <c r="O36" s="149">
        <f t="shared" si="24"/>
        <v>2028</v>
      </c>
      <c r="P36" s="149">
        <f t="shared" si="24"/>
        <v>2029</v>
      </c>
      <c r="Q36" s="149">
        <f t="shared" si="24"/>
        <v>2030</v>
      </c>
      <c r="R36" s="149">
        <f t="shared" si="24"/>
        <v>2031</v>
      </c>
      <c r="S36" s="149">
        <f t="shared" si="24"/>
        <v>2032</v>
      </c>
      <c r="T36" s="149">
        <f t="shared" si="24"/>
        <v>2033</v>
      </c>
      <c r="U36" s="149"/>
      <c r="V36" s="149"/>
    </row>
    <row r="37" spans="1:22">
      <c r="A37" s="130" t="s">
        <v>98</v>
      </c>
      <c r="E37" s="153">
        <f>monthly_data!$C$40</f>
        <v>2044</v>
      </c>
      <c r="F37" s="153">
        <f>monthly_data!$C$52</f>
        <v>2008.3810000000001</v>
      </c>
      <c r="G37" s="153">
        <f>monthly_data!$C$64</f>
        <v>2190.8139999999999</v>
      </c>
      <c r="H37" s="153">
        <f>monthly_data!$C$76</f>
        <v>1260.6010000000001</v>
      </c>
      <c r="I37" s="153">
        <f>monthly_data!$C$88</f>
        <v>1455.5630000000001</v>
      </c>
      <c r="J37" s="153">
        <f>monthly_data!$C$100</f>
        <v>1439.88</v>
      </c>
      <c r="K37" s="153">
        <f>monthly_data!$C$112</f>
        <v>1934.0039999999999</v>
      </c>
      <c r="L37" s="151">
        <f t="shared" ref="L37:L47" si="25">L$49*(SUM(G37:K37)/SUM(G$49:K$49))</f>
        <v>1722.1015155997077</v>
      </c>
      <c r="M37" s="151">
        <f t="shared" ref="M37:M47" si="26">M$49*(SUM(H37:L37)/SUM(H$49:L$49))</f>
        <v>1495.4471875360064</v>
      </c>
      <c r="N37" s="151">
        <f t="shared" ref="N37:T47" si="27">N$49*(SUM(I37:M37)/SUM(I$49:M$49))</f>
        <v>1546.8028172566023</v>
      </c>
      <c r="O37" s="151">
        <f t="shared" si="27"/>
        <v>1632.7526666098188</v>
      </c>
      <c r="P37" s="151">
        <f t="shared" si="27"/>
        <v>1677.8921950965462</v>
      </c>
      <c r="Q37" s="151">
        <f t="shared" si="27"/>
        <v>1647.3702354816371</v>
      </c>
      <c r="R37" s="151">
        <f t="shared" si="27"/>
        <v>1596.1011155087083</v>
      </c>
      <c r="S37" s="151">
        <f t="shared" si="27"/>
        <v>1605.4594867567362</v>
      </c>
      <c r="T37" s="151">
        <f t="shared" si="27"/>
        <v>1626.142351978493</v>
      </c>
      <c r="U37" s="151"/>
      <c r="V37" s="151"/>
    </row>
    <row r="38" spans="1:22">
      <c r="A38" s="130" t="s">
        <v>99</v>
      </c>
      <c r="E38" s="153">
        <f>monthly_data!$C41</f>
        <v>1446</v>
      </c>
      <c r="F38" s="153">
        <f>monthly_data!$C53</f>
        <v>1846.31</v>
      </c>
      <c r="G38" s="153">
        <f>monthly_data!$C65</f>
        <v>1575.4159999999999</v>
      </c>
      <c r="H38" s="153">
        <f>monthly_data!$C77</f>
        <v>1130.3820000000001</v>
      </c>
      <c r="I38" s="153">
        <f>monthly_data!$C89</f>
        <v>1179.248</v>
      </c>
      <c r="J38" s="153">
        <f>monthly_data!$C101</f>
        <v>1887.6310000000001</v>
      </c>
      <c r="K38" s="153">
        <f>monthly_data!$C113</f>
        <v>1626.386</v>
      </c>
      <c r="L38" s="151">
        <f t="shared" si="25"/>
        <v>1538.7211628834918</v>
      </c>
      <c r="M38" s="151">
        <f t="shared" si="26"/>
        <v>1409.3474197854696</v>
      </c>
      <c r="N38" s="151">
        <f t="shared" si="27"/>
        <v>1468.8259754710714</v>
      </c>
      <c r="O38" s="151">
        <f t="shared" si="27"/>
        <v>1591.1578084404632</v>
      </c>
      <c r="P38" s="151">
        <f t="shared" si="27"/>
        <v>1537.5823073833471</v>
      </c>
      <c r="Q38" s="151">
        <f t="shared" si="27"/>
        <v>1539.3757943053797</v>
      </c>
      <c r="R38" s="151">
        <f t="shared" si="27"/>
        <v>1505.5302074047186</v>
      </c>
      <c r="S38" s="151">
        <f t="shared" si="27"/>
        <v>1514.6033775453211</v>
      </c>
      <c r="T38" s="151">
        <f t="shared" si="27"/>
        <v>1532.2105679297804</v>
      </c>
      <c r="U38" s="151"/>
      <c r="V38" s="151"/>
    </row>
    <row r="39" spans="1:22">
      <c r="A39" s="130" t="s">
        <v>100</v>
      </c>
      <c r="E39" s="153">
        <f>monthly_data!$C42</f>
        <v>1807</v>
      </c>
      <c r="F39" s="153">
        <f>monthly_data!$C54</f>
        <v>2167.5349999999999</v>
      </c>
      <c r="G39" s="153">
        <f>monthly_data!$C66</f>
        <v>1841.4190000000001</v>
      </c>
      <c r="H39" s="153">
        <f>monthly_data!$C78</f>
        <v>1108.3399999999999</v>
      </c>
      <c r="I39" s="153">
        <f>monthly_data!$C90</f>
        <v>1801.0609999999999</v>
      </c>
      <c r="J39" s="153">
        <f>monthly_data!$C102</f>
        <v>1610.2840000000001</v>
      </c>
      <c r="K39" s="153">
        <f>monthly_data!$C114</f>
        <v>2230.91</v>
      </c>
      <c r="L39" s="151">
        <f t="shared" si="25"/>
        <v>1786.8091910544945</v>
      </c>
      <c r="M39" s="151">
        <f t="shared" si="26"/>
        <v>1634.2796641150139</v>
      </c>
      <c r="N39" s="151">
        <f t="shared" si="27"/>
        <v>1742.1664340492412</v>
      </c>
      <c r="O39" s="151">
        <f t="shared" si="27"/>
        <v>1806.5388438913187</v>
      </c>
      <c r="P39" s="151">
        <f t="shared" si="27"/>
        <v>1853.0295499491103</v>
      </c>
      <c r="Q39" s="151">
        <f t="shared" si="27"/>
        <v>1799.9335777530932</v>
      </c>
      <c r="R39" s="151">
        <f t="shared" si="27"/>
        <v>1762.8249052929432</v>
      </c>
      <c r="S39" s="151">
        <f t="shared" si="27"/>
        <v>1776.6047008733008</v>
      </c>
      <c r="T39" s="151">
        <f t="shared" si="27"/>
        <v>1793.4196948662416</v>
      </c>
      <c r="U39" s="151"/>
      <c r="V39" s="151"/>
    </row>
    <row r="40" spans="1:22">
      <c r="A40" s="130" t="s">
        <v>101</v>
      </c>
      <c r="E40" s="153">
        <f>monthly_data!$C43</f>
        <v>2178</v>
      </c>
      <c r="F40" s="153">
        <f>monthly_data!$C55</f>
        <v>2551.962</v>
      </c>
      <c r="G40" s="153">
        <f>monthly_data!$C67</f>
        <v>1166.739</v>
      </c>
      <c r="H40" s="153">
        <f>monthly_data!$C79</f>
        <v>1177.385</v>
      </c>
      <c r="I40" s="153">
        <f>monthly_data!$C91</f>
        <v>1848.2629999999999</v>
      </c>
      <c r="J40" s="153">
        <f>monthly_data!$C103</f>
        <v>2059.6799999999998</v>
      </c>
      <c r="K40" s="153">
        <f>monthly_data!$C115</f>
        <v>2623.3020000000001</v>
      </c>
      <c r="L40" s="151">
        <f t="shared" si="25"/>
        <v>1845.7361572269481</v>
      </c>
      <c r="M40" s="151">
        <f t="shared" si="26"/>
        <v>1828.9524502805682</v>
      </c>
      <c r="N40" s="151">
        <f t="shared" si="27"/>
        <v>1961.7963572013387</v>
      </c>
      <c r="O40" s="151">
        <f t="shared" si="27"/>
        <v>2070.3673618686421</v>
      </c>
      <c r="P40" s="151">
        <f t="shared" si="27"/>
        <v>2080.5017687501986</v>
      </c>
      <c r="Q40" s="151">
        <f t="shared" si="27"/>
        <v>1996.706259399178</v>
      </c>
      <c r="R40" s="151">
        <f t="shared" si="27"/>
        <v>1982.7555881854157</v>
      </c>
      <c r="S40" s="151">
        <f t="shared" si="27"/>
        <v>2000.0819058027234</v>
      </c>
      <c r="T40" s="151">
        <f t="shared" si="27"/>
        <v>2018.9154486077568</v>
      </c>
      <c r="U40" s="151"/>
      <c r="V40" s="151"/>
    </row>
    <row r="41" spans="1:22">
      <c r="A41" s="130" t="s">
        <v>102</v>
      </c>
      <c r="E41" s="153">
        <f>monthly_data!$C44</f>
        <v>2499</v>
      </c>
      <c r="F41" s="153">
        <f>monthly_data!$C56</f>
        <v>2431.944</v>
      </c>
      <c r="G41" s="153">
        <f>monthly_data!$C68</f>
        <v>1649.3779999999999</v>
      </c>
      <c r="H41" s="153">
        <f>monthly_data!$C80</f>
        <v>1550.68</v>
      </c>
      <c r="I41" s="153">
        <f>monthly_data!$C92</f>
        <v>1931.461</v>
      </c>
      <c r="J41" s="153">
        <f>monthly_data!$C104</f>
        <v>2474.3429999999998</v>
      </c>
      <c r="K41" s="153">
        <f>monthly_data!$C116</f>
        <v>2600.9319999999998</v>
      </c>
      <c r="L41" s="151">
        <f t="shared" si="25"/>
        <v>2122.6214634193884</v>
      </c>
      <c r="M41" s="151">
        <f t="shared" si="26"/>
        <v>2044.435011843683</v>
      </c>
      <c r="N41" s="151">
        <f t="shared" si="27"/>
        <v>2147.8393077111418</v>
      </c>
      <c r="O41" s="151">
        <f t="shared" si="27"/>
        <v>2285.179836887527</v>
      </c>
      <c r="P41" s="151">
        <f t="shared" si="27"/>
        <v>2255.8923543814658</v>
      </c>
      <c r="Q41" s="151">
        <f t="shared" si="27"/>
        <v>2214.712883061648</v>
      </c>
      <c r="R41" s="151">
        <f t="shared" si="27"/>
        <v>2184.2038468087922</v>
      </c>
      <c r="S41" s="151">
        <f t="shared" si="27"/>
        <v>2197.4122876327383</v>
      </c>
      <c r="T41" s="151">
        <f t="shared" si="27"/>
        <v>2219.6006831303766</v>
      </c>
      <c r="U41" s="151"/>
      <c r="V41" s="151"/>
    </row>
    <row r="42" spans="1:22">
      <c r="A42" s="130" t="s">
        <v>103</v>
      </c>
      <c r="E42" s="153">
        <f>monthly_data!$C45</f>
        <v>2426</v>
      </c>
      <c r="F42" s="153">
        <f>monthly_data!$C57</f>
        <v>2581.056</v>
      </c>
      <c r="G42" s="153">
        <f>monthly_data!$C69</f>
        <v>1292.354</v>
      </c>
      <c r="H42" s="153">
        <f>monthly_data!$C81</f>
        <v>1246.252</v>
      </c>
      <c r="I42" s="153">
        <f>monthly_data!$C93</f>
        <v>2112.3820000000001</v>
      </c>
      <c r="J42" s="153">
        <f>monthly_data!$C105</f>
        <v>1919.335</v>
      </c>
      <c r="K42" s="153">
        <f>monthly_data!$C117</f>
        <v>2282.4160000000002</v>
      </c>
      <c r="L42" s="151">
        <f t="shared" si="25"/>
        <v>1841.0299856595411</v>
      </c>
      <c r="M42" s="151">
        <f t="shared" si="26"/>
        <v>1799.6736456578362</v>
      </c>
      <c r="N42" s="151">
        <f t="shared" si="27"/>
        <v>1913.5302061427303</v>
      </c>
      <c r="O42" s="151">
        <f t="shared" si="27"/>
        <v>1957.3174331037376</v>
      </c>
      <c r="P42" s="151">
        <f t="shared" si="27"/>
        <v>1972.5132447503875</v>
      </c>
      <c r="Q42" s="151">
        <f t="shared" si="27"/>
        <v>1934.832519374535</v>
      </c>
      <c r="R42" s="151">
        <f t="shared" si="27"/>
        <v>1910.8422141367557</v>
      </c>
      <c r="S42" s="151">
        <f t="shared" si="27"/>
        <v>1920.1962261486788</v>
      </c>
      <c r="T42" s="151">
        <f t="shared" si="27"/>
        <v>1932.2807515548868</v>
      </c>
      <c r="U42" s="151"/>
      <c r="V42" s="151"/>
    </row>
    <row r="43" spans="1:22">
      <c r="A43" s="130" t="s">
        <v>104</v>
      </c>
      <c r="E43" s="153">
        <f>monthly_data!$C46</f>
        <v>2692</v>
      </c>
      <c r="F43" s="153">
        <f>monthly_data!$C58</f>
        <v>2515.799</v>
      </c>
      <c r="G43" s="153">
        <f>monthly_data!$C70</f>
        <v>1133.4269999999999</v>
      </c>
      <c r="H43" s="153">
        <f>monthly_data!$C82</f>
        <v>1727.606</v>
      </c>
      <c r="I43" s="153">
        <f>monthly_data!$C94</f>
        <v>2126.3670000000002</v>
      </c>
      <c r="J43" s="153">
        <f>monthly_data!$C106</f>
        <v>2728.3009999999999</v>
      </c>
      <c r="K43" s="153">
        <f>monthly_data!$C118</f>
        <v>2240.8969999999999</v>
      </c>
      <c r="L43" s="151">
        <f t="shared" si="25"/>
        <v>2070.5902967610155</v>
      </c>
      <c r="M43" s="151">
        <f t="shared" si="26"/>
        <v>2085.3472735511591</v>
      </c>
      <c r="N43" s="151">
        <f t="shared" si="27"/>
        <v>2162.7768320227792</v>
      </c>
      <c r="O43" s="151">
        <f t="shared" si="27"/>
        <v>2264.6640084559726</v>
      </c>
      <c r="P43" s="151">
        <f t="shared" si="27"/>
        <v>2180.0181706531116</v>
      </c>
      <c r="Q43" s="151">
        <f t="shared" si="27"/>
        <v>2195.8275052932436</v>
      </c>
      <c r="R43" s="151">
        <f t="shared" si="27"/>
        <v>2172.3480805960239</v>
      </c>
      <c r="S43" s="151">
        <f t="shared" si="27"/>
        <v>2175.1774856419684</v>
      </c>
      <c r="T43" s="151">
        <f t="shared" si="27"/>
        <v>2189.8331658710767</v>
      </c>
      <c r="U43" s="151"/>
      <c r="V43" s="151"/>
    </row>
    <row r="44" spans="1:22">
      <c r="A44" s="130" t="s">
        <v>105</v>
      </c>
      <c r="E44" s="153">
        <f>monthly_data!$C47</f>
        <v>2670</v>
      </c>
      <c r="F44" s="153">
        <f>monthly_data!$C59</f>
        <v>2518.5439999999999</v>
      </c>
      <c r="G44" s="153">
        <f>monthly_data!$C71</f>
        <v>1423.4480000000001</v>
      </c>
      <c r="H44" s="153">
        <f>monthly_data!$C83</f>
        <v>2095.6019999999999</v>
      </c>
      <c r="I44" s="153">
        <f>monthly_data!$C95</f>
        <v>2461.2379999999998</v>
      </c>
      <c r="J44" s="153">
        <f>monthly_data!$C107</f>
        <v>2303.681</v>
      </c>
      <c r="K44" s="151">
        <f>K$49*(SUM(F44:J44)/SUM(F$49:J$49))-500</f>
        <v>2007.9852167440617</v>
      </c>
      <c r="L44" s="151">
        <f t="shared" si="25"/>
        <v>2140.3315204549658</v>
      </c>
      <c r="M44" s="151">
        <f t="shared" si="26"/>
        <v>2107.3758764166114</v>
      </c>
      <c r="N44" s="151">
        <f t="shared" si="27"/>
        <v>2118.3947053915813</v>
      </c>
      <c r="O44" s="151">
        <f t="shared" si="27"/>
        <v>2142.25241486504</v>
      </c>
      <c r="P44" s="151">
        <f t="shared" si="27"/>
        <v>2117.9996663562033</v>
      </c>
      <c r="Q44" s="151">
        <f t="shared" si="27"/>
        <v>2167.869651603276</v>
      </c>
      <c r="R44" s="151">
        <f t="shared" si="27"/>
        <v>2125.5157411827649</v>
      </c>
      <c r="S44" s="151">
        <f t="shared" si="27"/>
        <v>2115.0088331999809</v>
      </c>
      <c r="T44" s="151">
        <f t="shared" si="27"/>
        <v>2126.18134048205</v>
      </c>
      <c r="U44" s="151"/>
      <c r="V44" s="151"/>
    </row>
    <row r="45" spans="1:22">
      <c r="A45" s="130" t="s">
        <v>106</v>
      </c>
      <c r="E45" s="153">
        <f>monthly_data!$C48</f>
        <v>2590</v>
      </c>
      <c r="F45" s="153">
        <f>monthly_data!$C60</f>
        <v>2528.931</v>
      </c>
      <c r="G45" s="153">
        <f>monthly_data!$C72</f>
        <v>1455.1410000000001</v>
      </c>
      <c r="H45" s="153">
        <f>monthly_data!$C84</f>
        <v>1712.91</v>
      </c>
      <c r="I45" s="153">
        <f>monthly_data!$C96</f>
        <v>2611.8270000000002</v>
      </c>
      <c r="J45" s="153">
        <f>monthly_data!$C108</f>
        <v>2319.145</v>
      </c>
      <c r="K45" s="151">
        <f>K$49*(SUM(F45:J45)/SUM(F$49:J$49))-400</f>
        <v>2067.458406783303</v>
      </c>
      <c r="L45" s="151">
        <f t="shared" si="25"/>
        <v>2114.2379910373793</v>
      </c>
      <c r="M45" s="151">
        <f t="shared" si="26"/>
        <v>2072.2953056830629</v>
      </c>
      <c r="N45" s="151">
        <f t="shared" si="27"/>
        <v>2149.9866541187157</v>
      </c>
      <c r="O45" s="151">
        <f t="shared" si="27"/>
        <v>2151.3518762971476</v>
      </c>
      <c r="P45" s="151">
        <f t="shared" si="27"/>
        <v>2125.8523858556841</v>
      </c>
      <c r="Q45" s="151">
        <f t="shared" si="27"/>
        <v>2165.2930266142739</v>
      </c>
      <c r="R45" s="151">
        <f t="shared" si="27"/>
        <v>2127.6877501322797</v>
      </c>
      <c r="S45" s="151">
        <f t="shared" si="27"/>
        <v>2124.5492370161514</v>
      </c>
      <c r="T45" s="151">
        <f t="shared" si="27"/>
        <v>2131.3804773435968</v>
      </c>
      <c r="U45" s="151"/>
      <c r="V45" s="151"/>
    </row>
    <row r="46" spans="1:22">
      <c r="A46" s="130" t="s">
        <v>107</v>
      </c>
      <c r="E46" s="153">
        <f>monthly_data!$C49</f>
        <v>2349</v>
      </c>
      <c r="F46" s="153">
        <f>monthly_data!$C61</f>
        <v>2349.9450000000002</v>
      </c>
      <c r="G46" s="153">
        <f>monthly_data!$C73</f>
        <v>1704.915</v>
      </c>
      <c r="H46" s="153">
        <f>monthly_data!$C85</f>
        <v>1849.374</v>
      </c>
      <c r="I46" s="153">
        <f>monthly_data!$C97</f>
        <v>2802.4169999999999</v>
      </c>
      <c r="J46" s="153">
        <f>monthly_data!$C109</f>
        <v>2300.665</v>
      </c>
      <c r="K46" s="151">
        <f>K$49*(SUM(F46:J46)/SUM(F$49:J$49))-300</f>
        <v>2255.5336803603359</v>
      </c>
      <c r="L46" s="151">
        <f t="shared" si="25"/>
        <v>2269.4653877390633</v>
      </c>
      <c r="M46" s="151">
        <f t="shared" si="26"/>
        <v>2197.0813368825447</v>
      </c>
      <c r="N46" s="151">
        <f t="shared" si="27"/>
        <v>2273.0463886559937</v>
      </c>
      <c r="O46" s="151">
        <f t="shared" si="27"/>
        <v>2266.244829891893</v>
      </c>
      <c r="P46" s="151">
        <f t="shared" si="27"/>
        <v>2268.0497154846971</v>
      </c>
      <c r="Q46" s="151">
        <f t="shared" si="27"/>
        <v>2299.9721719013046</v>
      </c>
      <c r="R46" s="151">
        <f t="shared" si="27"/>
        <v>2255.2948371501957</v>
      </c>
      <c r="S46" s="151">
        <f t="shared" si="27"/>
        <v>2251.8687878586193</v>
      </c>
      <c r="T46" s="151">
        <f t="shared" si="27"/>
        <v>2260.2621620192467</v>
      </c>
      <c r="U46" s="151"/>
      <c r="V46" s="151"/>
    </row>
    <row r="47" spans="1:22">
      <c r="A47" s="130" t="s">
        <v>108</v>
      </c>
      <c r="E47" s="153">
        <f>monthly_data!$C50</f>
        <v>2513</v>
      </c>
      <c r="F47" s="153">
        <f>monthly_data!$C62</f>
        <v>2282.25</v>
      </c>
      <c r="G47" s="153">
        <f>monthly_data!$C74</f>
        <v>1132.463</v>
      </c>
      <c r="H47" s="153">
        <f>monthly_data!$C86</f>
        <v>1970.8720000000001</v>
      </c>
      <c r="I47" s="153">
        <f>monthly_data!$C98</f>
        <v>2285.7719999999999</v>
      </c>
      <c r="J47" s="153">
        <f>monthly_data!$C110</f>
        <v>2044.221</v>
      </c>
      <c r="K47" s="151">
        <f>K$49*(SUM(F47:J47)/SUM(F$49:J$49))</f>
        <v>2255.6349616171565</v>
      </c>
      <c r="L47" s="151">
        <f t="shared" si="25"/>
        <v>2014.9324793469973</v>
      </c>
      <c r="M47" s="151">
        <f t="shared" si="26"/>
        <v>2023.6452055223044</v>
      </c>
      <c r="N47" s="151">
        <f t="shared" si="27"/>
        <v>2042.1970921017157</v>
      </c>
      <c r="O47" s="151">
        <f t="shared" si="27"/>
        <v>2082.6384880422629</v>
      </c>
      <c r="P47" s="151">
        <f t="shared" si="27"/>
        <v>2098.4050749782014</v>
      </c>
      <c r="Q47" s="151">
        <f t="shared" si="27"/>
        <v>2093.5011355172842</v>
      </c>
      <c r="R47" s="151">
        <f t="shared" si="27"/>
        <v>2062.96954025681</v>
      </c>
      <c r="S47" s="151">
        <f t="shared" si="27"/>
        <v>2057.0759890782233</v>
      </c>
      <c r="T47" s="151">
        <f t="shared" si="27"/>
        <v>2071.5640155330539</v>
      </c>
      <c r="U47" s="151"/>
      <c r="V47" s="151"/>
    </row>
    <row r="48" spans="1:22">
      <c r="A48" s="130" t="s">
        <v>109</v>
      </c>
      <c r="E48" s="153">
        <f>monthly_data!$C51</f>
        <v>1789</v>
      </c>
      <c r="F48" s="153">
        <f>monthly_data!$C63</f>
        <v>2234.9580000000001</v>
      </c>
      <c r="G48" s="153">
        <f>monthly_data!$C75</f>
        <v>1101.836</v>
      </c>
      <c r="H48" s="153">
        <f>monthly_data!$C87</f>
        <v>2007.2360000000001</v>
      </c>
      <c r="I48" s="153">
        <f>monthly_data!$C99</f>
        <v>2178.1370000000002</v>
      </c>
      <c r="J48" s="153">
        <f>monthly_data!$C111</f>
        <v>2108.0549999999998</v>
      </c>
      <c r="K48" s="151">
        <f>K49-SUM(K37:K47)</f>
        <v>2460.2344011618115</v>
      </c>
      <c r="L48" s="151">
        <f t="shared" ref="L48:T48" si="28">L49-SUM(L37:L47)</f>
        <v>2049.5654599281188</v>
      </c>
      <c r="M48" s="151">
        <f t="shared" si="28"/>
        <v>2068.0168356887079</v>
      </c>
      <c r="N48" s="151">
        <f t="shared" si="28"/>
        <v>2088.2923116672173</v>
      </c>
      <c r="O48" s="151">
        <f t="shared" si="28"/>
        <v>2161.5920270679853</v>
      </c>
      <c r="P48" s="151">
        <f t="shared" si="28"/>
        <v>2180.7080943531655</v>
      </c>
      <c r="Q48" s="151">
        <f t="shared" si="28"/>
        <v>2151.9203556859502</v>
      </c>
      <c r="R48" s="151">
        <f t="shared" si="28"/>
        <v>2124.8448642227486</v>
      </c>
      <c r="S48" s="151">
        <f t="shared" si="28"/>
        <v>2122.0097199515549</v>
      </c>
      <c r="T48" s="151">
        <f t="shared" si="28"/>
        <v>2140.6158489466143</v>
      </c>
      <c r="U48" s="151"/>
      <c r="V48" s="151"/>
    </row>
    <row r="49" spans="1:22" ht="15.75" thickBot="1">
      <c r="A49" s="130" t="s">
        <v>137</v>
      </c>
      <c r="E49" s="150">
        <f t="shared" ref="E49:J49" si="29">SUM(E37:E48)</f>
        <v>27003</v>
      </c>
      <c r="F49" s="150">
        <f t="shared" si="29"/>
        <v>28017.615000000002</v>
      </c>
      <c r="G49" s="150">
        <f t="shared" si="29"/>
        <v>17667.349999999999</v>
      </c>
      <c r="H49" s="150">
        <f t="shared" si="29"/>
        <v>18837.240000000002</v>
      </c>
      <c r="I49" s="150">
        <f t="shared" si="29"/>
        <v>24793.736000000001</v>
      </c>
      <c r="J49" s="150">
        <f t="shared" si="29"/>
        <v>25195.221000000001</v>
      </c>
      <c r="K49" s="151">
        <f t="shared" ref="K49:T49" si="30">K7</f>
        <v>26585.69366666667</v>
      </c>
      <c r="L49" s="151">
        <f t="shared" si="30"/>
        <v>23516.14261111111</v>
      </c>
      <c r="M49" s="151">
        <f t="shared" si="30"/>
        <v>22765.897212962966</v>
      </c>
      <c r="N49" s="151">
        <f t="shared" si="30"/>
        <v>23615.655081790126</v>
      </c>
      <c r="O49" s="151">
        <f t="shared" si="30"/>
        <v>24412.057595421811</v>
      </c>
      <c r="P49" s="151">
        <f t="shared" si="30"/>
        <v>24348.444527992116</v>
      </c>
      <c r="Q49" s="151">
        <f t="shared" si="30"/>
        <v>24207.315115990801</v>
      </c>
      <c r="R49" s="151">
        <f t="shared" si="30"/>
        <v>23810.918690878156</v>
      </c>
      <c r="S49" s="151">
        <f t="shared" si="30"/>
        <v>23860.048037506</v>
      </c>
      <c r="T49" s="151">
        <f t="shared" si="30"/>
        <v>24042.406508263171</v>
      </c>
      <c r="U49" s="151"/>
      <c r="V49" s="151"/>
    </row>
    <row r="50" spans="1:22">
      <c r="A50" s="152"/>
      <c r="B50" s="152"/>
      <c r="C50" s="152"/>
      <c r="D50" s="152"/>
      <c r="E50" s="152"/>
      <c r="F50" s="152"/>
      <c r="G50" s="152"/>
      <c r="H50" s="152"/>
      <c r="I50" s="152"/>
      <c r="J50" s="152"/>
      <c r="K50" s="152"/>
      <c r="L50" s="152"/>
      <c r="M50" s="152"/>
      <c r="N50" s="152"/>
      <c r="O50" s="152"/>
      <c r="P50" s="152"/>
      <c r="Q50" s="152"/>
      <c r="R50" s="152"/>
      <c r="S50" s="152"/>
      <c r="T50" s="152"/>
      <c r="U50" s="152"/>
      <c r="V50" s="152"/>
    </row>
    <row r="51" spans="1:22" ht="15.75" thickBot="1">
      <c r="A51" s="4" t="s">
        <v>149</v>
      </c>
    </row>
    <row r="52" spans="1:22" ht="15.75" thickBot="1">
      <c r="A52" s="148" t="s">
        <v>86</v>
      </c>
      <c r="B52" s="148"/>
      <c r="C52" s="148"/>
      <c r="D52" s="148"/>
      <c r="E52" s="149">
        <f t="shared" ref="E52:T52" si="31">E4</f>
        <v>2018</v>
      </c>
      <c r="F52" s="149">
        <f t="shared" si="31"/>
        <v>2019</v>
      </c>
      <c r="G52" s="149">
        <f t="shared" si="31"/>
        <v>2020</v>
      </c>
      <c r="H52" s="149">
        <f t="shared" si="31"/>
        <v>2021</v>
      </c>
      <c r="I52" s="149">
        <f t="shared" si="31"/>
        <v>2022</v>
      </c>
      <c r="J52" s="149">
        <f t="shared" si="31"/>
        <v>2023</v>
      </c>
      <c r="K52" s="149">
        <f t="shared" si="31"/>
        <v>2024</v>
      </c>
      <c r="L52" s="149">
        <f t="shared" si="31"/>
        <v>2025</v>
      </c>
      <c r="M52" s="149">
        <f t="shared" si="31"/>
        <v>2026</v>
      </c>
      <c r="N52" s="149">
        <f t="shared" si="31"/>
        <v>2027</v>
      </c>
      <c r="O52" s="149">
        <f t="shared" si="31"/>
        <v>2028</v>
      </c>
      <c r="P52" s="149">
        <f t="shared" si="31"/>
        <v>2029</v>
      </c>
      <c r="Q52" s="149">
        <f t="shared" si="31"/>
        <v>2030</v>
      </c>
      <c r="R52" s="149">
        <f t="shared" si="31"/>
        <v>2031</v>
      </c>
      <c r="S52" s="149">
        <f t="shared" si="31"/>
        <v>2032</v>
      </c>
      <c r="T52" s="149">
        <f t="shared" si="31"/>
        <v>2033</v>
      </c>
      <c r="U52" s="149"/>
      <c r="V52" s="149"/>
    </row>
    <row r="53" spans="1:22">
      <c r="A53" s="130" t="s">
        <v>98</v>
      </c>
      <c r="E53" s="153">
        <f>monthly_data!$F40</f>
        <v>1262</v>
      </c>
      <c r="F53" s="153">
        <f>monthly_data!$F52</f>
        <v>1372.7850000000001</v>
      </c>
      <c r="G53" s="153">
        <f>monthly_data!$F64</f>
        <v>1346.9549999999999</v>
      </c>
      <c r="H53" s="153">
        <f>monthly_data!$F76</f>
        <v>817.24599999999998</v>
      </c>
      <c r="I53" s="153">
        <f>monthly_data!$F88</f>
        <v>972.10199999999998</v>
      </c>
      <c r="J53" s="153">
        <f>monthly_data!$F100</f>
        <v>1174.884</v>
      </c>
      <c r="K53" s="153">
        <f>monthly_data!$F112</f>
        <v>1395.597</v>
      </c>
      <c r="L53" s="151">
        <f t="shared" ref="L53:L63" si="32">L$65*(SUM(G53:K53)/SUM(G$65:K$65))</f>
        <v>1164.4538153348888</v>
      </c>
      <c r="M53" s="151">
        <f t="shared" ref="M53:M63" si="33">M$65*(SUM(H53:L53)/SUM(H$65:L$65))</f>
        <v>1067.7478024424715</v>
      </c>
      <c r="N53" s="151">
        <f t="shared" ref="N53:T63" si="34">N$65*(SUM(I53:M53)/SUM(I$65:M$65))</f>
        <v>1116.0823151990217</v>
      </c>
      <c r="O53" s="151">
        <f t="shared" si="34"/>
        <v>1171.8217285467672</v>
      </c>
      <c r="P53" s="151">
        <f t="shared" si="34"/>
        <v>1185.0067461716751</v>
      </c>
      <c r="Q53" s="151">
        <f t="shared" si="34"/>
        <v>1176.2400433696678</v>
      </c>
      <c r="R53" s="151">
        <f t="shared" si="34"/>
        <v>1138.3445513718489</v>
      </c>
      <c r="S53" s="151">
        <f t="shared" si="34"/>
        <v>1147.8999261344018</v>
      </c>
      <c r="T53" s="151">
        <f t="shared" si="34"/>
        <v>1159.0216034151576</v>
      </c>
      <c r="U53" s="151"/>
      <c r="V53" s="151"/>
    </row>
    <row r="54" spans="1:22">
      <c r="A54" s="130" t="s">
        <v>99</v>
      </c>
      <c r="E54" s="153">
        <f>monthly_data!$F41</f>
        <v>1399</v>
      </c>
      <c r="F54" s="153">
        <f>monthly_data!$F53</f>
        <v>1444.43</v>
      </c>
      <c r="G54" s="153">
        <f>monthly_data!$F65</f>
        <v>1473.173</v>
      </c>
      <c r="H54" s="153">
        <f>monthly_data!$F77</f>
        <v>851.10400000000004</v>
      </c>
      <c r="I54" s="153">
        <f>monthly_data!$F89</f>
        <v>726.12199999999996</v>
      </c>
      <c r="J54" s="153">
        <f>monthly_data!$F101</f>
        <v>985.97699999999998</v>
      </c>
      <c r="K54" s="153">
        <f>monthly_data!$F113</f>
        <v>1346.008</v>
      </c>
      <c r="L54" s="151">
        <f t="shared" si="32"/>
        <v>1098.2608741451336</v>
      </c>
      <c r="M54" s="151">
        <f t="shared" si="33"/>
        <v>967.85723471089671</v>
      </c>
      <c r="N54" s="151">
        <f t="shared" si="34"/>
        <v>990.34984014593203</v>
      </c>
      <c r="O54" s="151">
        <f t="shared" si="34"/>
        <v>1066.828353616861</v>
      </c>
      <c r="P54" s="151">
        <f t="shared" si="34"/>
        <v>1095.5862500703058</v>
      </c>
      <c r="Q54" s="151">
        <f t="shared" si="34"/>
        <v>1075.9925837458854</v>
      </c>
      <c r="R54" s="151">
        <f t="shared" si="34"/>
        <v>1034.7459187203117</v>
      </c>
      <c r="S54" s="151">
        <f t="shared" si="34"/>
        <v>1043.9705333123443</v>
      </c>
      <c r="T54" s="151">
        <f t="shared" si="34"/>
        <v>1059.0014956809785</v>
      </c>
      <c r="U54" s="151"/>
      <c r="V54" s="151"/>
    </row>
    <row r="55" spans="1:22">
      <c r="A55" s="130" t="s">
        <v>100</v>
      </c>
      <c r="E55" s="153">
        <f>monthly_data!$F42</f>
        <v>1209</v>
      </c>
      <c r="F55" s="153">
        <f>monthly_data!$F54</f>
        <v>1366.395</v>
      </c>
      <c r="G55" s="153">
        <f>monthly_data!$F66</f>
        <v>1220.1120000000001</v>
      </c>
      <c r="H55" s="153">
        <f>monthly_data!$F78</f>
        <v>859.327</v>
      </c>
      <c r="I55" s="153">
        <f>monthly_data!$F90</f>
        <v>1077.5920000000001</v>
      </c>
      <c r="J55" s="153">
        <f>monthly_data!$F102</f>
        <v>1179.0650000000001</v>
      </c>
      <c r="K55" s="153">
        <f>monthly_data!$F114</f>
        <v>1490.3820000000001</v>
      </c>
      <c r="L55" s="151">
        <f t="shared" si="32"/>
        <v>1188.8770517799157</v>
      </c>
      <c r="M55" s="151">
        <f t="shared" si="33"/>
        <v>1120.1197042231613</v>
      </c>
      <c r="N55" s="151">
        <f t="shared" si="34"/>
        <v>1170.439220656066</v>
      </c>
      <c r="O55" s="151">
        <f t="shared" si="34"/>
        <v>1217.3814571002258</v>
      </c>
      <c r="P55" s="151">
        <f t="shared" si="34"/>
        <v>1239.3917491158425</v>
      </c>
      <c r="Q55" s="151">
        <f t="shared" si="34"/>
        <v>1223.8859548672472</v>
      </c>
      <c r="R55" s="151">
        <f t="shared" si="34"/>
        <v>1188.9844487930147</v>
      </c>
      <c r="S55" s="151">
        <f t="shared" si="34"/>
        <v>1197.9984732933567</v>
      </c>
      <c r="T55" s="151">
        <f t="shared" si="34"/>
        <v>1208.4808398360337</v>
      </c>
      <c r="U55" s="151"/>
      <c r="V55" s="151"/>
    </row>
    <row r="56" spans="1:22">
      <c r="A56" s="130" t="s">
        <v>101</v>
      </c>
      <c r="E56" s="153">
        <f>monthly_data!$F43</f>
        <v>1376</v>
      </c>
      <c r="F56" s="153">
        <f>monthly_data!$F55</f>
        <v>1409.1420000000001</v>
      </c>
      <c r="G56" s="153">
        <f>monthly_data!$F67</f>
        <v>921.11900000000003</v>
      </c>
      <c r="H56" s="153">
        <f>monthly_data!$F79</f>
        <v>696.85400000000004</v>
      </c>
      <c r="I56" s="153">
        <f>monthly_data!$F91</f>
        <v>964.26099999999997</v>
      </c>
      <c r="J56" s="153">
        <f>monthly_data!$F103</f>
        <v>1192.165</v>
      </c>
      <c r="K56" s="153">
        <f>monthly_data!$F115</f>
        <v>1474.5719999999999</v>
      </c>
      <c r="L56" s="151">
        <f t="shared" si="32"/>
        <v>1071.0383129153279</v>
      </c>
      <c r="M56" s="151">
        <f t="shared" si="33"/>
        <v>1043.5116122659676</v>
      </c>
      <c r="N56" s="151">
        <f t="shared" si="34"/>
        <v>1110.4317918079107</v>
      </c>
      <c r="O56" s="151">
        <f t="shared" si="34"/>
        <v>1166.4670060788817</v>
      </c>
      <c r="P56" s="151">
        <f t="shared" si="34"/>
        <v>1175.0546854274701</v>
      </c>
      <c r="Q56" s="151">
        <f t="shared" si="34"/>
        <v>1147.6626125359348</v>
      </c>
      <c r="R56" s="151">
        <f t="shared" si="34"/>
        <v>1123.6553398169042</v>
      </c>
      <c r="S56" s="151">
        <f t="shared" si="34"/>
        <v>1135.1616582993629</v>
      </c>
      <c r="T56" s="151">
        <f t="shared" si="34"/>
        <v>1144.8185878133518</v>
      </c>
      <c r="U56" s="151"/>
      <c r="V56" s="151"/>
    </row>
    <row r="57" spans="1:22">
      <c r="A57" s="130" t="s">
        <v>102</v>
      </c>
      <c r="E57" s="153">
        <f>monthly_data!$F44</f>
        <v>1594</v>
      </c>
      <c r="F57" s="153">
        <f>monthly_data!$F56</f>
        <v>1385.4749999999999</v>
      </c>
      <c r="G57" s="153">
        <f>monthly_data!$F68</f>
        <v>666.81200000000001</v>
      </c>
      <c r="H57" s="153">
        <f>monthly_data!$F80</f>
        <v>751.86400000000003</v>
      </c>
      <c r="I57" s="153">
        <f>monthly_data!$F92</f>
        <v>1231.5029999999999</v>
      </c>
      <c r="J57" s="153">
        <f>monthly_data!$F104</f>
        <v>1253.6369999999999</v>
      </c>
      <c r="K57" s="153">
        <f>monthly_data!$F116</f>
        <v>1562.731</v>
      </c>
      <c r="L57" s="151">
        <f t="shared" si="32"/>
        <v>1115.4341062948047</v>
      </c>
      <c r="M57" s="151">
        <f t="shared" si="33"/>
        <v>1143.2993250797206</v>
      </c>
      <c r="N57" s="151">
        <f t="shared" si="34"/>
        <v>1218.8661812848686</v>
      </c>
      <c r="O57" s="151">
        <f t="shared" si="34"/>
        <v>1246.1059175017806</v>
      </c>
      <c r="P57" s="151">
        <f t="shared" si="34"/>
        <v>1259.2704745074177</v>
      </c>
      <c r="Q57" s="151">
        <f t="shared" si="34"/>
        <v>1233.5280100212024</v>
      </c>
      <c r="R57" s="151">
        <f t="shared" si="34"/>
        <v>1214.8404458939353</v>
      </c>
      <c r="S57" s="151">
        <f t="shared" si="34"/>
        <v>1224.2843015075932</v>
      </c>
      <c r="T57" s="151">
        <f t="shared" si="34"/>
        <v>1230.4664238100218</v>
      </c>
      <c r="U57" s="151"/>
      <c r="V57" s="151"/>
    </row>
    <row r="58" spans="1:22">
      <c r="A58" s="130" t="s">
        <v>103</v>
      </c>
      <c r="E58" s="153">
        <f>monthly_data!$F45</f>
        <v>1279</v>
      </c>
      <c r="F58" s="153">
        <f>monthly_data!$F57</f>
        <v>1453.223</v>
      </c>
      <c r="G58" s="153">
        <f>monthly_data!$F69</f>
        <v>867.65899999999999</v>
      </c>
      <c r="H58" s="153">
        <f>monthly_data!$F81</f>
        <v>879.30899999999997</v>
      </c>
      <c r="I58" s="153">
        <f>monthly_data!$F93</f>
        <v>1490.2840000000001</v>
      </c>
      <c r="J58" s="153">
        <f>monthly_data!$F105</f>
        <v>1269.4069999999999</v>
      </c>
      <c r="K58" s="153">
        <f>monthly_data!$F117</f>
        <v>1395.9549999999999</v>
      </c>
      <c r="L58" s="151">
        <f t="shared" si="32"/>
        <v>1204.4123963249931</v>
      </c>
      <c r="M58" s="151">
        <f t="shared" si="33"/>
        <v>1205.9612168232836</v>
      </c>
      <c r="N58" s="151">
        <f t="shared" si="34"/>
        <v>1269.0028904152011</v>
      </c>
      <c r="O58" s="151">
        <f t="shared" si="34"/>
        <v>1256.1577499047894</v>
      </c>
      <c r="P58" s="151">
        <f t="shared" si="34"/>
        <v>1268.2952318535829</v>
      </c>
      <c r="Q58" s="151">
        <f t="shared" si="34"/>
        <v>1279.0620309305104</v>
      </c>
      <c r="R58" s="151">
        <f t="shared" si="34"/>
        <v>1250.1660345004725</v>
      </c>
      <c r="S58" s="151">
        <f t="shared" si="34"/>
        <v>1254.0499719767972</v>
      </c>
      <c r="T58" s="151">
        <f t="shared" si="34"/>
        <v>1256.2989007946956</v>
      </c>
      <c r="U58" s="151"/>
      <c r="V58" s="151"/>
    </row>
    <row r="59" spans="1:22">
      <c r="A59" s="130" t="s">
        <v>104</v>
      </c>
      <c r="E59" s="153">
        <f>monthly_data!$F46</f>
        <v>1497</v>
      </c>
      <c r="F59" s="153">
        <f>monthly_data!$F58</f>
        <v>1488.3869999999999</v>
      </c>
      <c r="G59" s="153">
        <f>monthly_data!$F70</f>
        <v>807.57</v>
      </c>
      <c r="H59" s="153">
        <f>monthly_data!$F82</f>
        <v>1034.972</v>
      </c>
      <c r="I59" s="153">
        <f>monthly_data!$F94</f>
        <v>1198.6669999999999</v>
      </c>
      <c r="J59" s="153">
        <f>monthly_data!$F106</f>
        <v>1283.9280000000001</v>
      </c>
      <c r="K59" s="153">
        <f>monthly_data!$F118</f>
        <v>1592.627</v>
      </c>
      <c r="L59" s="151">
        <f t="shared" si="32"/>
        <v>1207.5037127831461</v>
      </c>
      <c r="M59" s="151">
        <f t="shared" si="33"/>
        <v>1221.1011048519426</v>
      </c>
      <c r="N59" s="151">
        <f t="shared" si="34"/>
        <v>1256.9829998393038</v>
      </c>
      <c r="O59" s="151">
        <f t="shared" si="34"/>
        <v>1299.2003612950848</v>
      </c>
      <c r="P59" s="151">
        <f t="shared" si="34"/>
        <v>1317.5579986312171</v>
      </c>
      <c r="Q59" s="151">
        <f t="shared" si="34"/>
        <v>1299.3735112104016</v>
      </c>
      <c r="R59" s="151">
        <f t="shared" si="34"/>
        <v>1273.2114700945081</v>
      </c>
      <c r="S59" s="151">
        <f t="shared" si="34"/>
        <v>1278.5733791456166</v>
      </c>
      <c r="T59" s="151">
        <f t="shared" si="34"/>
        <v>1288.2027850507814</v>
      </c>
      <c r="U59" s="151"/>
      <c r="V59" s="151"/>
    </row>
    <row r="60" spans="1:22">
      <c r="A60" s="130" t="s">
        <v>105</v>
      </c>
      <c r="E60" s="153">
        <f>monthly_data!$F47</f>
        <v>1612</v>
      </c>
      <c r="F60" s="153">
        <f>monthly_data!$F59</f>
        <v>1361.7059999999999</v>
      </c>
      <c r="G60" s="153">
        <f>monthly_data!$F71</f>
        <v>924.18899999999996</v>
      </c>
      <c r="H60" s="153">
        <f>monthly_data!$F83</f>
        <v>1325.8040000000001</v>
      </c>
      <c r="I60" s="153">
        <f>monthly_data!$F95</f>
        <v>1334.6289999999999</v>
      </c>
      <c r="J60" s="153">
        <f>monthly_data!$F107</f>
        <v>1344.953</v>
      </c>
      <c r="K60" s="151">
        <f>K$65*(SUM(F60:J60)/SUM(F$65:J$65))</f>
        <v>1582.3201528574286</v>
      </c>
      <c r="L60" s="151">
        <f t="shared" si="32"/>
        <v>1328.7345650029163</v>
      </c>
      <c r="M60" s="151">
        <f t="shared" si="33"/>
        <v>1336.82771575686</v>
      </c>
      <c r="N60" s="151">
        <f t="shared" si="34"/>
        <v>1338.8586856952199</v>
      </c>
      <c r="O60" s="151">
        <f t="shared" si="34"/>
        <v>1372.3656669306956</v>
      </c>
      <c r="P60" s="151">
        <f t="shared" si="34"/>
        <v>1394.0167315481485</v>
      </c>
      <c r="Q60" s="151">
        <f t="shared" si="34"/>
        <v>1395.9567269657355</v>
      </c>
      <c r="R60" s="151">
        <f t="shared" si="34"/>
        <v>1361.5824937030761</v>
      </c>
      <c r="S60" s="151">
        <f t="shared" si="34"/>
        <v>1361.1734405676682</v>
      </c>
      <c r="T60" s="151">
        <f t="shared" si="34"/>
        <v>1371.2914087656825</v>
      </c>
      <c r="U60" s="151"/>
      <c r="V60" s="151"/>
    </row>
    <row r="61" spans="1:22">
      <c r="A61" s="130" t="s">
        <v>106</v>
      </c>
      <c r="E61" s="153">
        <f>monthly_data!$F48</f>
        <v>1565</v>
      </c>
      <c r="F61" s="153">
        <f>monthly_data!$F60</f>
        <v>1524.8720000000001</v>
      </c>
      <c r="G61" s="153">
        <f>monthly_data!$F72</f>
        <v>813.27599999999995</v>
      </c>
      <c r="H61" s="153">
        <f>monthly_data!$F84</f>
        <v>1160.915</v>
      </c>
      <c r="I61" s="153">
        <f>monthly_data!$F96</f>
        <v>1417.569</v>
      </c>
      <c r="J61" s="153">
        <f>monthly_data!$F108</f>
        <v>1179.5060000000001</v>
      </c>
      <c r="K61" s="151">
        <f>K$65*(SUM(F61:J61)/SUM(F$65:J$65))</f>
        <v>1533.2397348012241</v>
      </c>
      <c r="L61" s="151">
        <f t="shared" si="32"/>
        <v>1245.6078578798488</v>
      </c>
      <c r="M61" s="151">
        <f t="shared" si="33"/>
        <v>1263.4570328538537</v>
      </c>
      <c r="N61" s="151">
        <f t="shared" si="34"/>
        <v>1283.1810490629664</v>
      </c>
      <c r="O61" s="151">
        <f t="shared" si="34"/>
        <v>1287.885340037722</v>
      </c>
      <c r="P61" s="151">
        <f t="shared" si="34"/>
        <v>1324.7605087138729</v>
      </c>
      <c r="Q61" s="151">
        <f t="shared" si="34"/>
        <v>1320.5156457529047</v>
      </c>
      <c r="R61" s="151">
        <f t="shared" si="34"/>
        <v>1290.2528121979635</v>
      </c>
      <c r="S61" s="151">
        <f t="shared" si="34"/>
        <v>1290.5272197827719</v>
      </c>
      <c r="T61" s="151">
        <f t="shared" si="34"/>
        <v>1297.3694589542167</v>
      </c>
      <c r="U61" s="151"/>
      <c r="V61" s="151"/>
    </row>
    <row r="62" spans="1:22">
      <c r="A62" s="130" t="s">
        <v>107</v>
      </c>
      <c r="E62" s="153">
        <f>monthly_data!$F49</f>
        <v>1560</v>
      </c>
      <c r="F62" s="153">
        <f>monthly_data!$F61</f>
        <v>1629.998</v>
      </c>
      <c r="G62" s="153">
        <f>monthly_data!$F73</f>
        <v>785.75699999999995</v>
      </c>
      <c r="H62" s="153">
        <f>monthly_data!$F85</f>
        <v>1171.366</v>
      </c>
      <c r="I62" s="153">
        <f>monthly_data!$F97</f>
        <v>1654.412</v>
      </c>
      <c r="J62" s="153">
        <f>monthly_data!$F109</f>
        <v>1557.3309999999999</v>
      </c>
      <c r="K62" s="151">
        <f>K$65*(SUM(F62:J62)/SUM(F$65:J$65))</f>
        <v>1709.9823587178621</v>
      </c>
      <c r="L62" s="151">
        <f t="shared" si="32"/>
        <v>1403.6103725704622</v>
      </c>
      <c r="M62" s="151">
        <f t="shared" si="33"/>
        <v>1448.9820790727445</v>
      </c>
      <c r="N62" s="151">
        <f t="shared" si="34"/>
        <v>1502.5285262016143</v>
      </c>
      <c r="O62" s="151">
        <f t="shared" si="34"/>
        <v>1509.1212915450913</v>
      </c>
      <c r="P62" s="151">
        <f t="shared" si="34"/>
        <v>1517.2343498103376</v>
      </c>
      <c r="Q62" s="151">
        <f t="shared" si="34"/>
        <v>1521.8610534281213</v>
      </c>
      <c r="R62" s="151">
        <f t="shared" si="34"/>
        <v>1493.3400524961521</v>
      </c>
      <c r="S62" s="151">
        <f t="shared" si="34"/>
        <v>1496.3044205850542</v>
      </c>
      <c r="T62" s="151">
        <f t="shared" si="34"/>
        <v>1501.3016044529068</v>
      </c>
      <c r="U62" s="151"/>
      <c r="V62" s="151"/>
    </row>
    <row r="63" spans="1:22">
      <c r="A63" s="130" t="s">
        <v>108</v>
      </c>
      <c r="E63" s="153">
        <f>monthly_data!$F50</f>
        <v>1438</v>
      </c>
      <c r="F63" s="153">
        <f>monthly_data!$F62</f>
        <v>1251.471</v>
      </c>
      <c r="G63" s="153">
        <f>monthly_data!$F74</f>
        <v>955.18</v>
      </c>
      <c r="H63" s="153">
        <f>monthly_data!$F86</f>
        <v>1081.201</v>
      </c>
      <c r="I63" s="153">
        <f>monthly_data!$F98</f>
        <v>1032.049</v>
      </c>
      <c r="J63" s="153">
        <f>monthly_data!$F110</f>
        <v>1483.9839999999999</v>
      </c>
      <c r="K63" s="151">
        <f>K$65*(SUM(F63:J63)/SUM(F$65:J$65))</f>
        <v>1459.7351795869454</v>
      </c>
      <c r="L63" s="151">
        <f t="shared" si="32"/>
        <v>1226.7627529853137</v>
      </c>
      <c r="M63" s="151">
        <f t="shared" si="33"/>
        <v>1214.5361101927729</v>
      </c>
      <c r="N63" s="151">
        <f t="shared" si="34"/>
        <v>1240.2150930146875</v>
      </c>
      <c r="O63" s="151">
        <f t="shared" si="34"/>
        <v>1311.6912452359575</v>
      </c>
      <c r="P63" s="151">
        <f t="shared" si="34"/>
        <v>1292.6237712864252</v>
      </c>
      <c r="Q63" s="151">
        <f t="shared" si="34"/>
        <v>1295.9681098497801</v>
      </c>
      <c r="R63" s="151">
        <f t="shared" si="34"/>
        <v>1265.4096501983486</v>
      </c>
      <c r="S63" s="151">
        <f t="shared" si="34"/>
        <v>1270.5567230018478</v>
      </c>
      <c r="T63" s="151">
        <f t="shared" si="34"/>
        <v>1281.8956843568876</v>
      </c>
      <c r="U63" s="151"/>
      <c r="V63" s="151"/>
    </row>
    <row r="64" spans="1:22">
      <c r="A64" s="130" t="s">
        <v>109</v>
      </c>
      <c r="E64" s="153">
        <f>monthly_data!$F51</f>
        <v>1435</v>
      </c>
      <c r="F64" s="153">
        <f>monthly_data!$F63</f>
        <v>1550.057</v>
      </c>
      <c r="G64" s="153">
        <f>monthly_data!$F75</f>
        <v>946.60900000000004</v>
      </c>
      <c r="H64" s="153">
        <f>monthly_data!$F87</f>
        <v>1432.4970000000001</v>
      </c>
      <c r="I64" s="153">
        <f>monthly_data!$F99</f>
        <v>1165.829</v>
      </c>
      <c r="J64" s="153">
        <f>monthly_data!$F111</f>
        <v>1372.239</v>
      </c>
      <c r="K64" s="151">
        <f>K65-SUM(K53:K63)</f>
        <v>860.8707407032125</v>
      </c>
      <c r="L64" s="151">
        <f t="shared" ref="L64:T64" si="35">L65-SUM(L53:L63)</f>
        <v>1178.9943764276959</v>
      </c>
      <c r="M64" s="151">
        <f t="shared" si="35"/>
        <v>1161.7116219115105</v>
      </c>
      <c r="N64" s="151">
        <f t="shared" si="35"/>
        <v>1109.2908935599226</v>
      </c>
      <c r="O64" s="151">
        <f t="shared" si="35"/>
        <v>1125.1651169026463</v>
      </c>
      <c r="P64" s="151">
        <f t="shared" si="35"/>
        <v>1088.921443342957</v>
      </c>
      <c r="Q64" s="151">
        <f t="shared" si="35"/>
        <v>1167.7809812150681</v>
      </c>
      <c r="R64" s="151">
        <f t="shared" si="35"/>
        <v>1125.5952289768902</v>
      </c>
      <c r="S64" s="151">
        <f t="shared" si="35"/>
        <v>1114.0347745431063</v>
      </c>
      <c r="T64" s="151">
        <f t="shared" si="35"/>
        <v>1119.6230728799983</v>
      </c>
      <c r="U64" s="151"/>
      <c r="V64" s="151"/>
    </row>
    <row r="65" spans="1:22" ht="15.75" thickBot="1">
      <c r="A65" s="130" t="s">
        <v>137</v>
      </c>
      <c r="E65" s="150">
        <f>SUM(E53:E64)</f>
        <v>17226</v>
      </c>
      <c r="F65" s="150">
        <f>SUM(F54:F64)</f>
        <v>15865.155999999999</v>
      </c>
      <c r="G65" s="150">
        <f>SUM(G53:G64)</f>
        <v>11728.410999999998</v>
      </c>
      <c r="H65" s="150">
        <f>SUM(H53:H64)</f>
        <v>12062.458999999999</v>
      </c>
      <c r="I65" s="150">
        <f>SUM(I53:I64)</f>
        <v>14265.018999999998</v>
      </c>
      <c r="J65" s="150">
        <f>SUM(J53:J64)</f>
        <v>15277.075999999999</v>
      </c>
      <c r="K65" s="151">
        <f t="shared" ref="K65:T65" si="36">K10</f>
        <v>17404.020166666669</v>
      </c>
      <c r="L65" s="151">
        <f t="shared" si="36"/>
        <v>14433.690194444445</v>
      </c>
      <c r="M65" s="151">
        <f t="shared" si="36"/>
        <v>14195.112560185184</v>
      </c>
      <c r="N65" s="151">
        <f t="shared" si="36"/>
        <v>14606.229486882716</v>
      </c>
      <c r="O65" s="151">
        <f t="shared" si="36"/>
        <v>15030.191234696504</v>
      </c>
      <c r="P65" s="151">
        <f t="shared" si="36"/>
        <v>15157.719940479254</v>
      </c>
      <c r="Q65" s="151">
        <f t="shared" si="36"/>
        <v>15137.827263892461</v>
      </c>
      <c r="R65" s="151">
        <f t="shared" si="36"/>
        <v>14760.128446763425</v>
      </c>
      <c r="S65" s="151">
        <f t="shared" si="36"/>
        <v>14814.534822149923</v>
      </c>
      <c r="T65" s="151">
        <f t="shared" si="36"/>
        <v>14917.771865810713</v>
      </c>
      <c r="U65" s="151"/>
      <c r="V65" s="151"/>
    </row>
    <row r="66" spans="1:22">
      <c r="A66" s="152"/>
      <c r="B66" s="152"/>
      <c r="C66" s="152"/>
      <c r="D66" s="152"/>
      <c r="E66" s="152"/>
      <c r="F66" s="152"/>
      <c r="G66" s="152"/>
      <c r="H66" s="152"/>
      <c r="I66" s="152"/>
      <c r="J66" s="152"/>
      <c r="K66" s="152"/>
      <c r="L66" s="152"/>
      <c r="M66" s="152"/>
      <c r="N66" s="152"/>
      <c r="O66" s="152"/>
      <c r="P66" s="152"/>
      <c r="Q66" s="152"/>
      <c r="R66" s="152"/>
      <c r="S66" s="152"/>
      <c r="T66" s="152"/>
      <c r="U66" s="152"/>
      <c r="V66" s="152"/>
    </row>
    <row r="67" spans="1:22" ht="15.75" thickBot="1">
      <c r="A67" s="4" t="s">
        <v>150</v>
      </c>
    </row>
    <row r="68" spans="1:22" ht="15.75" thickBot="1">
      <c r="A68" s="148" t="s">
        <v>86</v>
      </c>
      <c r="B68" s="148"/>
      <c r="C68" s="148"/>
      <c r="D68" s="148"/>
      <c r="E68" s="149">
        <f t="shared" ref="E68:T68" si="37">E4</f>
        <v>2018</v>
      </c>
      <c r="F68" s="149">
        <f t="shared" si="37"/>
        <v>2019</v>
      </c>
      <c r="G68" s="149">
        <f t="shared" si="37"/>
        <v>2020</v>
      </c>
      <c r="H68" s="149">
        <f t="shared" si="37"/>
        <v>2021</v>
      </c>
      <c r="I68" s="149">
        <f t="shared" si="37"/>
        <v>2022</v>
      </c>
      <c r="J68" s="149">
        <f t="shared" si="37"/>
        <v>2023</v>
      </c>
      <c r="K68" s="149">
        <f t="shared" si="37"/>
        <v>2024</v>
      </c>
      <c r="L68" s="149">
        <f t="shared" si="37"/>
        <v>2025</v>
      </c>
      <c r="M68" s="149">
        <f t="shared" si="37"/>
        <v>2026</v>
      </c>
      <c r="N68" s="149">
        <f t="shared" si="37"/>
        <v>2027</v>
      </c>
      <c r="O68" s="149">
        <f t="shared" si="37"/>
        <v>2028</v>
      </c>
      <c r="P68" s="149">
        <f t="shared" si="37"/>
        <v>2029</v>
      </c>
      <c r="Q68" s="149">
        <f t="shared" si="37"/>
        <v>2030</v>
      </c>
      <c r="R68" s="149">
        <f t="shared" si="37"/>
        <v>2031</v>
      </c>
      <c r="S68" s="149">
        <f t="shared" si="37"/>
        <v>2032</v>
      </c>
      <c r="T68" s="149">
        <f t="shared" si="37"/>
        <v>2033</v>
      </c>
      <c r="U68" s="149"/>
      <c r="V68" s="149"/>
    </row>
    <row r="69" spans="1:22">
      <c r="A69" s="130" t="s">
        <v>98</v>
      </c>
      <c r="E69" s="153">
        <f>monthly_data!$O40</f>
        <v>2591</v>
      </c>
      <c r="F69" s="153">
        <f>monthly_data!$O52</f>
        <v>2843.1579999999999</v>
      </c>
      <c r="G69" s="153">
        <f>monthly_data!$O64</f>
        <v>2781.9929999999999</v>
      </c>
      <c r="H69" s="153">
        <f>monthly_data!$O76</f>
        <v>1091.2</v>
      </c>
      <c r="I69" s="153">
        <f>monthly_data!$O88</f>
        <v>1912.77</v>
      </c>
      <c r="J69" s="153">
        <f>monthly_data!$O100</f>
        <v>2333.9059999999999</v>
      </c>
      <c r="K69" s="153">
        <f>monthly_data!$O112</f>
        <v>2573.4340000000002</v>
      </c>
      <c r="L69" s="151">
        <f t="shared" ref="L69:L79" si="38">L$81*(SUM(G69:K69)/SUM(G$81:K$81))</f>
        <v>2859.1995543036492</v>
      </c>
      <c r="M69" s="151">
        <f t="shared" ref="M69:M79" si="39">M$81*(SUM(H69:L69)/SUM(H$81:L$81))</f>
        <v>2582.8611754200037</v>
      </c>
      <c r="N69" s="151">
        <f t="shared" ref="N69:T79" si="40">N$81*(SUM(I69:M69)/SUM(I$81:M$81))</f>
        <v>2695.2297755909967</v>
      </c>
      <c r="O69" s="151">
        <f t="shared" si="40"/>
        <v>2815.9073231029779</v>
      </c>
      <c r="P69" s="151">
        <f t="shared" si="40"/>
        <v>2884.7118057019679</v>
      </c>
      <c r="Q69" s="151">
        <f t="shared" si="40"/>
        <v>2932.3766475104571</v>
      </c>
      <c r="R69" s="151">
        <f t="shared" si="40"/>
        <v>2751.9931433132851</v>
      </c>
      <c r="S69" s="151">
        <f t="shared" si="40"/>
        <v>2794.9647684750075</v>
      </c>
      <c r="T69" s="151">
        <f t="shared" si="40"/>
        <v>2820.9592998147855</v>
      </c>
    </row>
    <row r="70" spans="1:22">
      <c r="A70" s="130" t="s">
        <v>99</v>
      </c>
      <c r="E70" s="153">
        <f>monthly_data!$O41</f>
        <v>2491</v>
      </c>
      <c r="F70" s="153">
        <f>monthly_data!$O53</f>
        <v>2661.788</v>
      </c>
      <c r="G70" s="153">
        <f>monthly_data!$O65</f>
        <v>2719.6379999999999</v>
      </c>
      <c r="H70" s="153">
        <f>monthly_data!$O77</f>
        <v>1013.003</v>
      </c>
      <c r="I70" s="153">
        <f>monthly_data!$O89</f>
        <v>1861.5740000000001</v>
      </c>
      <c r="J70" s="153">
        <f>monthly_data!$O101</f>
        <v>2189.2840000000001</v>
      </c>
      <c r="K70" s="153">
        <f>monthly_data!$O113</f>
        <v>2419.8739999999998</v>
      </c>
      <c r="L70" s="151">
        <f t="shared" si="38"/>
        <v>2728.2009622278438</v>
      </c>
      <c r="M70" s="151">
        <f t="shared" si="39"/>
        <v>2448.9104057453219</v>
      </c>
      <c r="N70" s="151">
        <f t="shared" si="40"/>
        <v>2560.2003885562358</v>
      </c>
      <c r="O70" s="151">
        <f t="shared" si="40"/>
        <v>2665.1973459666788</v>
      </c>
      <c r="P70" s="151">
        <f t="shared" si="40"/>
        <v>2734.5225612850068</v>
      </c>
      <c r="Q70" s="151">
        <f t="shared" si="40"/>
        <v>2783.8543455648187</v>
      </c>
      <c r="R70" s="151">
        <f t="shared" si="40"/>
        <v>2609.8736571199825</v>
      </c>
      <c r="S70" s="151">
        <f t="shared" si="40"/>
        <v>2650.7384105876681</v>
      </c>
      <c r="T70" s="151">
        <f t="shared" si="40"/>
        <v>2674.5857753501004</v>
      </c>
    </row>
    <row r="71" spans="1:22">
      <c r="A71" s="130" t="s">
        <v>100</v>
      </c>
      <c r="E71" s="153">
        <f>monthly_data!$O42</f>
        <v>2895</v>
      </c>
      <c r="F71" s="153">
        <f>monthly_data!$O54</f>
        <v>2988.27</v>
      </c>
      <c r="G71" s="153">
        <f>monthly_data!$O66</f>
        <v>1879.57</v>
      </c>
      <c r="H71" s="153">
        <f>monthly_data!$O78</f>
        <v>1140.4849999999999</v>
      </c>
      <c r="I71" s="153">
        <f>monthly_data!$O90</f>
        <v>2153.9259999999999</v>
      </c>
      <c r="J71" s="153">
        <f>monthly_data!$O102</f>
        <v>2529.777</v>
      </c>
      <c r="K71" s="153">
        <f>monthly_data!$O114</f>
        <v>2756.623</v>
      </c>
      <c r="L71" s="151">
        <f t="shared" si="38"/>
        <v>2796.9203428581759</v>
      </c>
      <c r="M71" s="151">
        <f t="shared" si="39"/>
        <v>2728.4782026014059</v>
      </c>
      <c r="N71" s="151">
        <f t="shared" si="40"/>
        <v>2849.8711710419366</v>
      </c>
      <c r="O71" s="151">
        <f t="shared" si="40"/>
        <v>2949.1058244108444</v>
      </c>
      <c r="P71" s="151">
        <f t="shared" si="40"/>
        <v>3002.9369648182287</v>
      </c>
      <c r="Q71" s="151">
        <f t="shared" si="40"/>
        <v>3036.0854872038562</v>
      </c>
      <c r="R71" s="151">
        <f t="shared" si="40"/>
        <v>2881.6473796034252</v>
      </c>
      <c r="S71" s="151">
        <f t="shared" si="40"/>
        <v>2921.8931308251858</v>
      </c>
      <c r="T71" s="151">
        <f t="shared" si="40"/>
        <v>2942.6538719293458</v>
      </c>
    </row>
    <row r="72" spans="1:22">
      <c r="A72" s="130" t="s">
        <v>101</v>
      </c>
      <c r="E72" s="153">
        <f>monthly_data!$O43</f>
        <v>3079</v>
      </c>
      <c r="F72" s="153">
        <f>monthly_data!$O55</f>
        <v>3289.4920000000002</v>
      </c>
      <c r="G72" s="153">
        <f>monthly_data!$O67</f>
        <v>620.77200000000005</v>
      </c>
      <c r="H72" s="153">
        <f>monthly_data!$O79</f>
        <v>1149.1990000000001</v>
      </c>
      <c r="I72" s="153">
        <f>monthly_data!$O91</f>
        <v>2502.875</v>
      </c>
      <c r="J72" s="153">
        <f>monthly_data!$O103</f>
        <v>2714.125</v>
      </c>
      <c r="K72" s="153">
        <f>monthly_data!$O115</f>
        <v>3051.7330000000002</v>
      </c>
      <c r="L72" s="151">
        <f t="shared" si="38"/>
        <v>2684.1713923739244</v>
      </c>
      <c r="M72" s="151">
        <f t="shared" si="39"/>
        <v>2902.1888737465842</v>
      </c>
      <c r="N72" s="151">
        <f t="shared" si="40"/>
        <v>3045.3547530470473</v>
      </c>
      <c r="O72" s="151">
        <f t="shared" si="40"/>
        <v>3107.9631794143988</v>
      </c>
      <c r="P72" s="151">
        <f t="shared" si="40"/>
        <v>3154.4407394825316</v>
      </c>
      <c r="Q72" s="151">
        <f t="shared" si="40"/>
        <v>3156.1968327597251</v>
      </c>
      <c r="R72" s="151">
        <f t="shared" si="40"/>
        <v>3039.8433132897653</v>
      </c>
      <c r="S72" s="151">
        <f t="shared" si="40"/>
        <v>3077.5496042918626</v>
      </c>
      <c r="T72" s="151">
        <f t="shared" si="40"/>
        <v>3090.729827973249</v>
      </c>
    </row>
    <row r="73" spans="1:22">
      <c r="A73" s="130" t="s">
        <v>102</v>
      </c>
      <c r="E73" s="153">
        <f>monthly_data!$O44</f>
        <v>3466</v>
      </c>
      <c r="F73" s="153">
        <f>monthly_data!$O56</f>
        <v>3442.348</v>
      </c>
      <c r="G73" s="153">
        <f>monthly_data!$O68</f>
        <v>738.41899999999998</v>
      </c>
      <c r="H73" s="153">
        <f>monthly_data!$O80</f>
        <v>1360.569</v>
      </c>
      <c r="I73" s="153">
        <f>monthly_data!$O92</f>
        <v>2729.14</v>
      </c>
      <c r="J73" s="153">
        <f>monthly_data!$O104</f>
        <v>2985.748</v>
      </c>
      <c r="K73" s="153">
        <f>monthly_data!$O116</f>
        <v>3331.4180000000001</v>
      </c>
      <c r="L73" s="151">
        <f t="shared" si="38"/>
        <v>2980.0539307062691</v>
      </c>
      <c r="M73" s="151">
        <f t="shared" si="39"/>
        <v>3210.3011300344688</v>
      </c>
      <c r="N73" s="151">
        <f t="shared" si="40"/>
        <v>3349.0238781255189</v>
      </c>
      <c r="O73" s="151">
        <f t="shared" si="40"/>
        <v>3422.907302301388</v>
      </c>
      <c r="P73" s="151">
        <f t="shared" si="40"/>
        <v>3474.8222306432795</v>
      </c>
      <c r="Q73" s="151">
        <f t="shared" si="40"/>
        <v>3483.1700964783217</v>
      </c>
      <c r="R73" s="151">
        <f t="shared" si="40"/>
        <v>3351.2394080066956</v>
      </c>
      <c r="S73" s="151">
        <f t="shared" si="40"/>
        <v>3390.6610108099439</v>
      </c>
      <c r="T73" s="151">
        <f t="shared" si="40"/>
        <v>3406.4090121446802</v>
      </c>
    </row>
    <row r="74" spans="1:22">
      <c r="A74" s="130" t="s">
        <v>103</v>
      </c>
      <c r="E74" s="153">
        <f>monthly_data!$O45</f>
        <v>3670</v>
      </c>
      <c r="F74" s="153">
        <f>monthly_data!$O57</f>
        <v>3665.962</v>
      </c>
      <c r="G74" s="153">
        <f>monthly_data!$O69</f>
        <v>736.06200000000001</v>
      </c>
      <c r="H74" s="153">
        <f>monthly_data!$O81</f>
        <v>1621.79</v>
      </c>
      <c r="I74" s="153">
        <f>monthly_data!$O93</f>
        <v>2891.652</v>
      </c>
      <c r="J74" s="153">
        <f>monthly_data!$O105</f>
        <v>3174.0509999999999</v>
      </c>
      <c r="K74" s="153">
        <f>monthly_data!$O117</f>
        <v>3528.6869999999999</v>
      </c>
      <c r="L74" s="151">
        <f t="shared" si="38"/>
        <v>3195.8175130106538</v>
      </c>
      <c r="M74" s="151">
        <f t="shared" si="39"/>
        <v>3456.1214257250194</v>
      </c>
      <c r="N74" s="151">
        <f t="shared" si="40"/>
        <v>3570.949260524028</v>
      </c>
      <c r="O74" s="151">
        <f t="shared" si="40"/>
        <v>3653.6868363715589</v>
      </c>
      <c r="P74" s="151">
        <f t="shared" si="40"/>
        <v>3711.8748785665243</v>
      </c>
      <c r="Q74" s="151">
        <f t="shared" si="40"/>
        <v>3727.1496315550471</v>
      </c>
      <c r="R74" s="151">
        <f t="shared" si="40"/>
        <v>3584.5880979581443</v>
      </c>
      <c r="S74" s="151">
        <f t="shared" si="40"/>
        <v>3622.3309680617072</v>
      </c>
      <c r="T74" s="151">
        <f t="shared" si="40"/>
        <v>3640.527587805931</v>
      </c>
    </row>
    <row r="75" spans="1:22">
      <c r="A75" s="130" t="s">
        <v>104</v>
      </c>
      <c r="E75" s="153">
        <f>monthly_data!$O46</f>
        <v>3946</v>
      </c>
      <c r="F75" s="153">
        <f>monthly_data!$O58</f>
        <v>3814.7179999999998</v>
      </c>
      <c r="G75" s="153">
        <f>monthly_data!$O70</f>
        <v>1311.4960000000001</v>
      </c>
      <c r="H75" s="153">
        <f>monthly_data!$O82</f>
        <v>2213.8690000000001</v>
      </c>
      <c r="I75" s="153">
        <f>monthly_data!$O94</f>
        <v>3289.38</v>
      </c>
      <c r="J75" s="153">
        <f>monthly_data!$O106</f>
        <v>3615.9259999999999</v>
      </c>
      <c r="K75" s="153">
        <f>monthly_data!$O118</f>
        <v>3793.1210000000001</v>
      </c>
      <c r="L75" s="151">
        <f t="shared" si="38"/>
        <v>3803.1896923623899</v>
      </c>
      <c r="M75" s="151">
        <f t="shared" si="39"/>
        <v>4008.5177776793412</v>
      </c>
      <c r="N75" s="151">
        <f t="shared" si="40"/>
        <v>4068.5345746261742</v>
      </c>
      <c r="O75" s="151">
        <f t="shared" si="40"/>
        <v>4163.9240188674266</v>
      </c>
      <c r="P75" s="151">
        <f t="shared" si="40"/>
        <v>4230.5325458077141</v>
      </c>
      <c r="Q75" s="151">
        <f t="shared" si="40"/>
        <v>4296.389722820506</v>
      </c>
      <c r="R75" s="151">
        <f t="shared" si="40"/>
        <v>4108.4579356038894</v>
      </c>
      <c r="S75" s="151">
        <f t="shared" si="40"/>
        <v>4142.3272959290653</v>
      </c>
      <c r="T75" s="151">
        <f t="shared" si="40"/>
        <v>4166.1271599539623</v>
      </c>
    </row>
    <row r="76" spans="1:22">
      <c r="A76" s="130" t="s">
        <v>105</v>
      </c>
      <c r="E76" s="153">
        <f>monthly_data!$O47</f>
        <v>3877</v>
      </c>
      <c r="F76" s="153">
        <f>monthly_data!$O59</f>
        <v>3832.9589999999998</v>
      </c>
      <c r="G76" s="153">
        <f>monthly_data!$O71</f>
        <v>1611.2049999999999</v>
      </c>
      <c r="H76" s="153">
        <f>monthly_data!$O83</f>
        <v>2464.5839999999998</v>
      </c>
      <c r="I76" s="153">
        <f>monthly_data!$O95</f>
        <v>3421.2779999999998</v>
      </c>
      <c r="J76" s="153">
        <f>monthly_data!$O107</f>
        <v>3521.1260000000002</v>
      </c>
      <c r="K76" s="151">
        <f>K$81*(SUM(F76:J76)/SUM(F$81:J$81))</f>
        <v>3794.2865787925421</v>
      </c>
      <c r="L76" s="151">
        <f t="shared" si="38"/>
        <v>3960.5943093369324</v>
      </c>
      <c r="M76" s="151">
        <f t="shared" si="39"/>
        <v>4115.5643217535744</v>
      </c>
      <c r="N76" s="151">
        <f t="shared" si="40"/>
        <v>4135.0713892174826</v>
      </c>
      <c r="O76" s="151">
        <f t="shared" si="40"/>
        <v>4215.1608562633992</v>
      </c>
      <c r="P76" s="151">
        <f t="shared" si="40"/>
        <v>4312.2950128822722</v>
      </c>
      <c r="Q76" s="151">
        <f t="shared" si="40"/>
        <v>4394.7127716705663</v>
      </c>
      <c r="R76" s="151">
        <f t="shared" si="40"/>
        <v>4188.5593514684988</v>
      </c>
      <c r="S76" s="151">
        <f t="shared" si="40"/>
        <v>4217.3535819828639</v>
      </c>
      <c r="T76" s="151">
        <f t="shared" si="40"/>
        <v>4243.0075152230338</v>
      </c>
    </row>
    <row r="77" spans="1:22">
      <c r="A77" s="130" t="s">
        <v>106</v>
      </c>
      <c r="E77" s="153">
        <f>monthly_data!$O48</f>
        <v>3722</v>
      </c>
      <c r="F77" s="153">
        <f>monthly_data!$O60</f>
        <v>3642.1750000000002</v>
      </c>
      <c r="G77" s="153">
        <f>monthly_data!$O72</f>
        <v>1421.7940000000001</v>
      </c>
      <c r="H77" s="153">
        <f>monthly_data!$O84</f>
        <v>2432.576</v>
      </c>
      <c r="I77" s="153">
        <f>monthly_data!$O96</f>
        <v>3006.5140000000001</v>
      </c>
      <c r="J77" s="153">
        <f>monthly_data!$O108</f>
        <v>3390.6759999999999</v>
      </c>
      <c r="K77" s="151">
        <f>K$81*(SUM(F77:J77)/SUM(F$81:J$81))</f>
        <v>3549.6783171972247</v>
      </c>
      <c r="L77" s="151">
        <f t="shared" si="38"/>
        <v>3690.206332446463</v>
      </c>
      <c r="M77" s="151">
        <f t="shared" si="39"/>
        <v>3853.640958792224</v>
      </c>
      <c r="N77" s="151">
        <f t="shared" si="40"/>
        <v>3844.4659223329108</v>
      </c>
      <c r="O77" s="151">
        <f t="shared" si="40"/>
        <v>3956.5573821032335</v>
      </c>
      <c r="P77" s="151">
        <f t="shared" si="40"/>
        <v>4029.4826534619619</v>
      </c>
      <c r="Q77" s="151">
        <f t="shared" si="40"/>
        <v>4105.5984993792499</v>
      </c>
      <c r="R77" s="151">
        <f t="shared" si="40"/>
        <v>3914.952495117253</v>
      </c>
      <c r="S77" s="151">
        <f t="shared" si="40"/>
        <v>3940.4931130629816</v>
      </c>
      <c r="T77" s="151">
        <f t="shared" si="40"/>
        <v>3968.2719531688863</v>
      </c>
    </row>
    <row r="78" spans="1:22">
      <c r="A78" s="130" t="s">
        <v>107</v>
      </c>
      <c r="E78" s="153">
        <f>monthly_data!$O49</f>
        <v>3496</v>
      </c>
      <c r="F78" s="153">
        <f>monthly_data!$O61</f>
        <v>3493.0839999999998</v>
      </c>
      <c r="G78" s="153">
        <f>monthly_data!$O73</f>
        <v>1309.5450000000001</v>
      </c>
      <c r="H78" s="153">
        <f>monthly_data!$O85</f>
        <v>2343.6619999999998</v>
      </c>
      <c r="I78" s="153">
        <f>monthly_data!$O97</f>
        <v>2890.165</v>
      </c>
      <c r="J78" s="153">
        <f>monthly_data!$O109</f>
        <v>3294.614</v>
      </c>
      <c r="K78" s="151">
        <f>K$81*(SUM(F78:J78)/SUM(F$81:J$81))</f>
        <v>3405.924333812211</v>
      </c>
      <c r="L78" s="151">
        <f t="shared" si="38"/>
        <v>3541.1867150564581</v>
      </c>
      <c r="M78" s="151">
        <f t="shared" si="39"/>
        <v>3711.1709853358607</v>
      </c>
      <c r="N78" s="151">
        <f t="shared" si="40"/>
        <v>3702.1112013588481</v>
      </c>
      <c r="O78" s="151">
        <f t="shared" si="40"/>
        <v>3811.1362482673721</v>
      </c>
      <c r="P78" s="151">
        <f t="shared" si="40"/>
        <v>3875.2903379495697</v>
      </c>
      <c r="Q78" s="151">
        <f t="shared" si="40"/>
        <v>3950.1722487638199</v>
      </c>
      <c r="R78" s="151">
        <f t="shared" si="40"/>
        <v>3768.5870974841132</v>
      </c>
      <c r="S78" s="151">
        <f t="shared" si="40"/>
        <v>3792.8546044495633</v>
      </c>
      <c r="T78" s="151">
        <f t="shared" si="40"/>
        <v>3819.2572544341283</v>
      </c>
    </row>
    <row r="79" spans="1:22">
      <c r="A79" s="130" t="s">
        <v>108</v>
      </c>
      <c r="E79" s="153">
        <f>monthly_data!$O50</f>
        <v>2917</v>
      </c>
      <c r="F79" s="153">
        <f>monthly_data!$O62</f>
        <v>2878.5279999999998</v>
      </c>
      <c r="G79" s="153">
        <f>monthly_data!$O74</f>
        <v>1190.4259999999999</v>
      </c>
      <c r="H79" s="153">
        <f>monthly_data!$O86</f>
        <v>2099.8069999999998</v>
      </c>
      <c r="I79" s="153">
        <f>monthly_data!$O98</f>
        <v>2356.3890000000001</v>
      </c>
      <c r="J79" s="153">
        <f>monthly_data!$O110</f>
        <v>2704.0880000000002</v>
      </c>
      <c r="K79" s="151">
        <f>K$81*(SUM(F79:J79)/SUM(F$81:J$81))</f>
        <v>2868.9321228055037</v>
      </c>
      <c r="L79" s="151">
        <f t="shared" si="38"/>
        <v>2999.9333000263755</v>
      </c>
      <c r="M79" s="151">
        <f t="shared" si="39"/>
        <v>3124.5025152530179</v>
      </c>
      <c r="N79" s="151">
        <f t="shared" si="40"/>
        <v>3089.0404459014467</v>
      </c>
      <c r="O79" s="151">
        <f t="shared" si="40"/>
        <v>3191.9189611188235</v>
      </c>
      <c r="P79" s="151">
        <f t="shared" si="40"/>
        <v>3257.4282330959049</v>
      </c>
      <c r="Q79" s="151">
        <f t="shared" si="40"/>
        <v>3319.092185819376</v>
      </c>
      <c r="R79" s="151">
        <f t="shared" si="40"/>
        <v>3161.6728931110606</v>
      </c>
      <c r="S79" s="151">
        <f t="shared" si="40"/>
        <v>3179.8488673870238</v>
      </c>
      <c r="T79" s="151">
        <f t="shared" si="40"/>
        <v>3204.9148889086796</v>
      </c>
    </row>
    <row r="80" spans="1:22">
      <c r="A80" s="130" t="s">
        <v>109</v>
      </c>
      <c r="E80" s="153">
        <f>monthly_data!$O51</f>
        <v>2892</v>
      </c>
      <c r="F80" s="153">
        <f>monthly_data!$O63</f>
        <v>2922.1550000000002</v>
      </c>
      <c r="G80" s="153">
        <f>monthly_data!$O75</f>
        <v>975.70299999999997</v>
      </c>
      <c r="H80" s="153">
        <f>monthly_data!$O87</f>
        <v>2120.2069999999999</v>
      </c>
      <c r="I80" s="153">
        <f>monthly_data!$O99</f>
        <v>2586.0259999999998</v>
      </c>
      <c r="J80" s="153">
        <f>monthly_data!$O111</f>
        <v>2755.5610000000001</v>
      </c>
      <c r="K80" s="151">
        <f t="shared" ref="K80:T80" si="41">K81-SUM(K69:K79)</f>
        <v>1878.1846077885639</v>
      </c>
      <c r="L80" s="151">
        <f t="shared" si="41"/>
        <v>2758.230291924534</v>
      </c>
      <c r="M80" s="151">
        <f t="shared" si="41"/>
        <v>2901.2549407844563</v>
      </c>
      <c r="N80" s="151">
        <f t="shared" si="41"/>
        <v>2830.8655367070824</v>
      </c>
      <c r="O80" s="151">
        <f t="shared" si="41"/>
        <v>2833.0613950792176</v>
      </c>
      <c r="P80" s="151">
        <f t="shared" si="41"/>
        <v>2815.3942937307875</v>
      </c>
      <c r="Q80" s="151">
        <f t="shared" si="41"/>
        <v>2996.1393720584238</v>
      </c>
      <c r="R80" s="151">
        <f t="shared" si="41"/>
        <v>2844.107247725864</v>
      </c>
      <c r="S80" s="151">
        <f t="shared" si="41"/>
        <v>2842.4762778004952</v>
      </c>
      <c r="T80" s="151">
        <f t="shared" si="41"/>
        <v>2851.0439737552733</v>
      </c>
    </row>
    <row r="81" spans="1:22" ht="15.75" thickBot="1">
      <c r="A81" s="130" t="s">
        <v>137</v>
      </c>
      <c r="E81" s="150">
        <f t="shared" ref="E81:J81" si="42">SUM(E69:E80)</f>
        <v>39042</v>
      </c>
      <c r="F81" s="150">
        <f t="shared" si="42"/>
        <v>39474.636999999995</v>
      </c>
      <c r="G81" s="150">
        <f t="shared" si="42"/>
        <v>17296.623</v>
      </c>
      <c r="H81" s="150">
        <f t="shared" si="42"/>
        <v>21050.951000000001</v>
      </c>
      <c r="I81" s="150">
        <f t="shared" si="42"/>
        <v>31601.688999999998</v>
      </c>
      <c r="J81" s="150">
        <f t="shared" si="42"/>
        <v>35208.881999999998</v>
      </c>
      <c r="K81" s="151">
        <f t="shared" ref="K81:T81" si="43">K9</f>
        <v>36951.895960396039</v>
      </c>
      <c r="L81" s="151">
        <f t="shared" si="43"/>
        <v>37997.704336633666</v>
      </c>
      <c r="M81" s="151">
        <f t="shared" si="43"/>
        <v>39043.512712871285</v>
      </c>
      <c r="N81" s="151">
        <f t="shared" si="43"/>
        <v>39740.718297029707</v>
      </c>
      <c r="O81" s="151">
        <f t="shared" si="43"/>
        <v>40786.526673267326</v>
      </c>
      <c r="P81" s="151">
        <f t="shared" si="43"/>
        <v>41483.732257425749</v>
      </c>
      <c r="Q81" s="151">
        <f t="shared" si="43"/>
        <v>42180.937841584164</v>
      </c>
      <c r="R81" s="151">
        <f t="shared" si="43"/>
        <v>40205.522019801982</v>
      </c>
      <c r="S81" s="151">
        <f t="shared" si="43"/>
        <v>40573.491633663369</v>
      </c>
      <c r="T81" s="151">
        <f t="shared" si="43"/>
        <v>40828.488120462054</v>
      </c>
    </row>
    <row r="82" spans="1:22">
      <c r="A82" s="152"/>
      <c r="B82" s="152"/>
      <c r="C82" s="152"/>
      <c r="D82" s="152"/>
      <c r="E82" s="152"/>
      <c r="F82" s="152"/>
      <c r="G82" s="152"/>
      <c r="H82" s="152"/>
      <c r="I82" s="152"/>
      <c r="J82" s="152"/>
      <c r="K82" s="152"/>
      <c r="L82" s="152"/>
      <c r="M82" s="152"/>
      <c r="N82" s="152"/>
      <c r="O82" s="152"/>
      <c r="P82" s="152"/>
      <c r="Q82" s="152"/>
      <c r="R82" s="152"/>
      <c r="S82" s="152"/>
      <c r="T82" s="152"/>
      <c r="U82" s="152"/>
      <c r="V82" s="152"/>
    </row>
    <row r="83" spans="1:22" ht="15.75" thickBot="1">
      <c r="A83" s="4" t="s">
        <v>151</v>
      </c>
    </row>
    <row r="84" spans="1:22" ht="15.75" thickBot="1">
      <c r="A84" s="148" t="s">
        <v>86</v>
      </c>
      <c r="B84" s="148"/>
      <c r="C84" s="148"/>
      <c r="D84" s="148"/>
      <c r="E84" s="149">
        <f t="shared" ref="E84:T84" si="44">E4</f>
        <v>2018</v>
      </c>
      <c r="F84" s="149">
        <f t="shared" si="44"/>
        <v>2019</v>
      </c>
      <c r="G84" s="149">
        <f t="shared" si="44"/>
        <v>2020</v>
      </c>
      <c r="H84" s="149">
        <f t="shared" si="44"/>
        <v>2021</v>
      </c>
      <c r="I84" s="149">
        <f t="shared" si="44"/>
        <v>2022</v>
      </c>
      <c r="J84" s="149">
        <f t="shared" si="44"/>
        <v>2023</v>
      </c>
      <c r="K84" s="149">
        <f t="shared" si="44"/>
        <v>2024</v>
      </c>
      <c r="L84" s="149">
        <f t="shared" si="44"/>
        <v>2025</v>
      </c>
      <c r="M84" s="149">
        <f t="shared" si="44"/>
        <v>2026</v>
      </c>
      <c r="N84" s="149">
        <f t="shared" si="44"/>
        <v>2027</v>
      </c>
      <c r="O84" s="149">
        <f t="shared" si="44"/>
        <v>2028</v>
      </c>
      <c r="P84" s="149">
        <f t="shared" si="44"/>
        <v>2029</v>
      </c>
      <c r="Q84" s="149">
        <f t="shared" si="44"/>
        <v>2030</v>
      </c>
      <c r="R84" s="149">
        <f t="shared" si="44"/>
        <v>2031</v>
      </c>
      <c r="S84" s="149">
        <f t="shared" si="44"/>
        <v>2032</v>
      </c>
      <c r="T84" s="149">
        <f t="shared" si="44"/>
        <v>2033</v>
      </c>
      <c r="U84" s="149"/>
      <c r="V84" s="149"/>
    </row>
    <row r="85" spans="1:22">
      <c r="A85" s="130" t="s">
        <v>98</v>
      </c>
      <c r="E85" s="153">
        <f>monthly_data!$R40</f>
        <v>6806</v>
      </c>
      <c r="F85" s="153">
        <f>monthly_data!$R52</f>
        <v>6712.6229999999996</v>
      </c>
      <c r="G85" s="153">
        <f>monthly_data!$R64</f>
        <v>7169.37</v>
      </c>
      <c r="H85" s="153">
        <f>monthly_data!$R76</f>
        <v>8477.1059999999998</v>
      </c>
      <c r="I85" s="153">
        <f>monthly_data!$R88</f>
        <v>6678.7569999999996</v>
      </c>
      <c r="J85" s="153">
        <f>monthly_data!$R100</f>
        <v>6852.6540000000005</v>
      </c>
      <c r="K85" s="153">
        <f>monthly_data!$R112</f>
        <v>7188.3649999999998</v>
      </c>
      <c r="L85" s="151">
        <f t="shared" ref="L85:T96" si="45">AVERAGE(G85:K85)</f>
        <v>7273.2503999999999</v>
      </c>
      <c r="M85" s="151">
        <f t="shared" si="45"/>
        <v>7294.0264799999986</v>
      </c>
      <c r="N85" s="151">
        <f t="shared" si="45"/>
        <v>7057.4105759999993</v>
      </c>
      <c r="O85" s="151">
        <f t="shared" si="45"/>
        <v>7133.1412911999996</v>
      </c>
      <c r="P85" s="151">
        <f t="shared" si="45"/>
        <v>7189.2387494399982</v>
      </c>
      <c r="Q85" s="151">
        <f t="shared" si="45"/>
        <v>7189.4134993279977</v>
      </c>
      <c r="R85" s="151">
        <f t="shared" si="45"/>
        <v>7172.6461191935987</v>
      </c>
      <c r="S85" s="151">
        <f t="shared" si="45"/>
        <v>7148.3700470323192</v>
      </c>
      <c r="T85" s="151">
        <f t="shared" si="45"/>
        <v>7166.5619412387823</v>
      </c>
    </row>
    <row r="86" spans="1:22">
      <c r="A86" s="130" t="s">
        <v>99</v>
      </c>
      <c r="E86" s="153">
        <f>monthly_data!$R41</f>
        <v>6891</v>
      </c>
      <c r="F86" s="153">
        <f>monthly_data!$R53</f>
        <v>6774.7619999999997</v>
      </c>
      <c r="G86" s="153">
        <f>monthly_data!$R65</f>
        <v>7859.8670000000002</v>
      </c>
      <c r="H86" s="153">
        <f>monthly_data!$R77</f>
        <v>8874.1090000000004</v>
      </c>
      <c r="I86" s="153">
        <f>monthly_data!$R89</f>
        <v>6804.2370000000001</v>
      </c>
      <c r="J86" s="153">
        <f>monthly_data!$R101</f>
        <v>6758.4489999999996</v>
      </c>
      <c r="K86" s="153">
        <f>monthly_data!$R113</f>
        <v>7240.2460000000001</v>
      </c>
      <c r="L86" s="151">
        <f t="shared" si="45"/>
        <v>7507.3816000000006</v>
      </c>
      <c r="M86" s="151">
        <f t="shared" si="45"/>
        <v>7436.8845200000014</v>
      </c>
      <c r="N86" s="151">
        <f t="shared" si="45"/>
        <v>7149.4396240000005</v>
      </c>
      <c r="O86" s="151">
        <f t="shared" si="45"/>
        <v>7218.4801487999994</v>
      </c>
      <c r="P86" s="151">
        <f t="shared" si="45"/>
        <v>7310.48637856</v>
      </c>
      <c r="Q86" s="151">
        <f t="shared" si="45"/>
        <v>7324.5344542720004</v>
      </c>
      <c r="R86" s="151">
        <f t="shared" si="45"/>
        <v>7287.9650251264002</v>
      </c>
      <c r="S86" s="151">
        <f t="shared" si="45"/>
        <v>7258.1811261516805</v>
      </c>
      <c r="T86" s="151">
        <f t="shared" si="45"/>
        <v>7279.9294265820163</v>
      </c>
    </row>
    <row r="87" spans="1:22">
      <c r="A87" s="130" t="s">
        <v>100</v>
      </c>
      <c r="E87" s="153">
        <f>monthly_data!$R42</f>
        <v>6657</v>
      </c>
      <c r="F87" s="153">
        <f>monthly_data!$R54</f>
        <v>6607.6930000000002</v>
      </c>
      <c r="G87" s="153">
        <f>monthly_data!$R66</f>
        <v>7561.13</v>
      </c>
      <c r="H87" s="153">
        <f>monthly_data!$R78</f>
        <v>8931.5570000000007</v>
      </c>
      <c r="I87" s="153">
        <f>monthly_data!$R90</f>
        <v>6768.1149999999998</v>
      </c>
      <c r="J87" s="153">
        <f>monthly_data!$R102</f>
        <v>7081.5060000000003</v>
      </c>
      <c r="K87" s="153">
        <f>monthly_data!$R114</f>
        <v>7281.3010000000004</v>
      </c>
      <c r="L87" s="151">
        <f t="shared" si="45"/>
        <v>7524.7218000000012</v>
      </c>
      <c r="M87" s="151">
        <f t="shared" si="45"/>
        <v>7517.4401600000001</v>
      </c>
      <c r="N87" s="151">
        <f t="shared" si="45"/>
        <v>7234.6167919999989</v>
      </c>
      <c r="O87" s="151">
        <f t="shared" si="45"/>
        <v>7327.9171503999996</v>
      </c>
      <c r="P87" s="151">
        <f t="shared" si="45"/>
        <v>7377.1993804800004</v>
      </c>
      <c r="Q87" s="151">
        <f t="shared" si="45"/>
        <v>7396.3790565759991</v>
      </c>
      <c r="R87" s="151">
        <f t="shared" si="45"/>
        <v>7370.7105078911991</v>
      </c>
      <c r="S87" s="151">
        <f t="shared" si="45"/>
        <v>7341.3645774694396</v>
      </c>
      <c r="T87" s="151">
        <f t="shared" si="45"/>
        <v>7362.7141345633281</v>
      </c>
    </row>
    <row r="88" spans="1:22">
      <c r="A88" s="130" t="s">
        <v>101</v>
      </c>
      <c r="E88" s="153">
        <f>monthly_data!$R43</f>
        <v>6680</v>
      </c>
      <c r="F88" s="153">
        <f>monthly_data!$R55</f>
        <v>6886.7889999999998</v>
      </c>
      <c r="G88" s="153">
        <f>monthly_data!$R67</f>
        <v>7893.5559999999996</v>
      </c>
      <c r="H88" s="153">
        <f>monthly_data!$R79</f>
        <v>8715.3340000000007</v>
      </c>
      <c r="I88" s="153">
        <f>monthly_data!$R91</f>
        <v>6534.777</v>
      </c>
      <c r="J88" s="153">
        <f>monthly_data!$R103</f>
        <v>6856.6440000000002</v>
      </c>
      <c r="K88" s="153">
        <f>monthly_data!$R115</f>
        <v>7245.3190000000004</v>
      </c>
      <c r="L88" s="151">
        <f t="shared" si="45"/>
        <v>7449.1260000000011</v>
      </c>
      <c r="M88" s="151">
        <f t="shared" si="45"/>
        <v>7360.2400000000007</v>
      </c>
      <c r="N88" s="151">
        <f t="shared" si="45"/>
        <v>7089.2212</v>
      </c>
      <c r="O88" s="151">
        <f t="shared" si="45"/>
        <v>7200.1100399999996</v>
      </c>
      <c r="P88" s="151">
        <f t="shared" si="45"/>
        <v>7268.8032479999993</v>
      </c>
      <c r="Q88" s="151">
        <f t="shared" si="45"/>
        <v>7273.5000975999992</v>
      </c>
      <c r="R88" s="151">
        <f t="shared" si="45"/>
        <v>7238.3749171200006</v>
      </c>
      <c r="S88" s="151">
        <f t="shared" si="45"/>
        <v>7214.0019005439999</v>
      </c>
      <c r="T88" s="151">
        <f t="shared" si="45"/>
        <v>7238.9580406527994</v>
      </c>
    </row>
    <row r="89" spans="1:22">
      <c r="A89" s="130" t="s">
        <v>102</v>
      </c>
      <c r="E89" s="153">
        <f>monthly_data!$R44</f>
        <v>6374</v>
      </c>
      <c r="F89" s="153">
        <f>monthly_data!$R56</f>
        <v>7070.0069999999996</v>
      </c>
      <c r="G89" s="153">
        <f>monthly_data!$R68</f>
        <v>8413.2880000000005</v>
      </c>
      <c r="H89" s="153">
        <f>monthly_data!$R80</f>
        <v>8702.7540000000008</v>
      </c>
      <c r="I89" s="153">
        <f>monthly_data!$R92</f>
        <v>6263.2250000000004</v>
      </c>
      <c r="J89" s="153">
        <f>monthly_data!$R104</f>
        <v>6926.5309999999999</v>
      </c>
      <c r="K89" s="153">
        <f>monthly_data!$R116</f>
        <v>7525.38</v>
      </c>
      <c r="L89" s="151">
        <f t="shared" si="45"/>
        <v>7566.2356</v>
      </c>
      <c r="M89" s="151">
        <f t="shared" si="45"/>
        <v>7396.8251199999995</v>
      </c>
      <c r="N89" s="151">
        <f t="shared" si="45"/>
        <v>7135.6393440000002</v>
      </c>
      <c r="O89" s="151">
        <f t="shared" si="45"/>
        <v>7310.1222128000009</v>
      </c>
      <c r="P89" s="151">
        <f t="shared" si="45"/>
        <v>7386.8404553600003</v>
      </c>
      <c r="Q89" s="151">
        <f t="shared" si="45"/>
        <v>7359.1325464320007</v>
      </c>
      <c r="R89" s="151">
        <f t="shared" si="45"/>
        <v>7317.711935718401</v>
      </c>
      <c r="S89" s="151">
        <f t="shared" si="45"/>
        <v>7301.889298862081</v>
      </c>
      <c r="T89" s="151">
        <f t="shared" si="45"/>
        <v>7335.1392898344975</v>
      </c>
    </row>
    <row r="90" spans="1:22">
      <c r="A90" s="130" t="s">
        <v>103</v>
      </c>
      <c r="E90" s="153">
        <f>monthly_data!$R45</f>
        <v>6437</v>
      </c>
      <c r="F90" s="153">
        <f>monthly_data!$R57</f>
        <v>6990.9979999999996</v>
      </c>
      <c r="G90" s="153">
        <f>monthly_data!$R69</f>
        <v>9167.8989999999994</v>
      </c>
      <c r="H90" s="153">
        <f>monthly_data!$R81</f>
        <v>8754.8539999999994</v>
      </c>
      <c r="I90" s="153">
        <f>monthly_data!$R93</f>
        <v>6367.6109999999999</v>
      </c>
      <c r="J90" s="153">
        <f>monthly_data!$R105</f>
        <v>7360.7079999999996</v>
      </c>
      <c r="K90" s="153">
        <f>monthly_data!$R117</f>
        <v>7407.5249999999996</v>
      </c>
      <c r="L90" s="151">
        <f t="shared" si="45"/>
        <v>7811.719399999999</v>
      </c>
      <c r="M90" s="151">
        <f t="shared" si="45"/>
        <v>7540.4834799999999</v>
      </c>
      <c r="N90" s="151">
        <f t="shared" si="45"/>
        <v>7297.6093759999985</v>
      </c>
      <c r="O90" s="151">
        <f t="shared" si="45"/>
        <v>7483.6090511999992</v>
      </c>
      <c r="P90" s="151">
        <f t="shared" si="45"/>
        <v>7508.1892614400003</v>
      </c>
      <c r="Q90" s="151">
        <f t="shared" si="45"/>
        <v>7528.3221137279997</v>
      </c>
      <c r="R90" s="151">
        <f t="shared" si="45"/>
        <v>7471.6426564735984</v>
      </c>
      <c r="S90" s="151">
        <f t="shared" si="45"/>
        <v>7457.8744917683189</v>
      </c>
      <c r="T90" s="151">
        <f t="shared" si="45"/>
        <v>7489.9275149219829</v>
      </c>
    </row>
    <row r="91" spans="1:22">
      <c r="A91" s="130" t="s">
        <v>104</v>
      </c>
      <c r="E91" s="153">
        <f>monthly_data!$R46</f>
        <v>6497</v>
      </c>
      <c r="F91" s="153">
        <f>monthly_data!$R58</f>
        <v>6802.3389999999999</v>
      </c>
      <c r="G91" s="153">
        <f>monthly_data!$R70</f>
        <v>9491.6610000000001</v>
      </c>
      <c r="H91" s="153">
        <f>monthly_data!$R82</f>
        <v>8487.3060000000005</v>
      </c>
      <c r="I91" s="153">
        <f>monthly_data!$R94</f>
        <v>6280.4139999999998</v>
      </c>
      <c r="J91" s="153">
        <f>monthly_data!$R106</f>
        <v>7135.7139999999999</v>
      </c>
      <c r="K91" s="153">
        <f>monthly_data!$R118</f>
        <v>7505.3059999999996</v>
      </c>
      <c r="L91" s="151">
        <f t="shared" si="45"/>
        <v>7780.0801999999994</v>
      </c>
      <c r="M91" s="151">
        <f t="shared" si="45"/>
        <v>7437.76404</v>
      </c>
      <c r="N91" s="151">
        <f t="shared" si="45"/>
        <v>7227.8556479999997</v>
      </c>
      <c r="O91" s="151">
        <f t="shared" si="45"/>
        <v>7417.3439775999996</v>
      </c>
      <c r="P91" s="151">
        <f t="shared" si="45"/>
        <v>7473.6699731200006</v>
      </c>
      <c r="Q91" s="151">
        <f t="shared" si="45"/>
        <v>7467.3427677439995</v>
      </c>
      <c r="R91" s="151">
        <f t="shared" si="45"/>
        <v>7404.7952812927997</v>
      </c>
      <c r="S91" s="151">
        <f t="shared" si="45"/>
        <v>7398.2015295513584</v>
      </c>
      <c r="T91" s="151">
        <f t="shared" si="45"/>
        <v>7432.2707058616306</v>
      </c>
    </row>
    <row r="92" spans="1:22">
      <c r="A92" s="130" t="s">
        <v>105</v>
      </c>
      <c r="E92" s="153">
        <f>monthly_data!$R47</f>
        <v>6553</v>
      </c>
      <c r="F92" s="153">
        <f>monthly_data!$R59</f>
        <v>7009.8050000000003</v>
      </c>
      <c r="G92" s="153">
        <f>monthly_data!$R71</f>
        <v>9271.5290000000005</v>
      </c>
      <c r="H92" s="153">
        <f>monthly_data!$R83</f>
        <v>8046.48</v>
      </c>
      <c r="I92" s="153">
        <f>monthly_data!$R95</f>
        <v>6347.817</v>
      </c>
      <c r="J92" s="153">
        <f>monthly_data!$R107</f>
        <v>7177.6350000000002</v>
      </c>
      <c r="K92" s="151">
        <f>AVERAGE(F92:J92)</f>
        <v>7570.6531999999988</v>
      </c>
      <c r="L92" s="151">
        <f t="shared" si="45"/>
        <v>7682.8228399999989</v>
      </c>
      <c r="M92" s="151">
        <f t="shared" si="45"/>
        <v>7365.0816080000004</v>
      </c>
      <c r="N92" s="151">
        <f t="shared" si="45"/>
        <v>7228.8019296000002</v>
      </c>
      <c r="O92" s="151">
        <f t="shared" si="45"/>
        <v>7404.9989155199992</v>
      </c>
      <c r="P92" s="151">
        <f t="shared" si="45"/>
        <v>7450.4716986240001</v>
      </c>
      <c r="Q92" s="151">
        <f t="shared" si="45"/>
        <v>7426.435398348799</v>
      </c>
      <c r="R92" s="151">
        <f t="shared" si="45"/>
        <v>7375.15791001856</v>
      </c>
      <c r="S92" s="151">
        <f t="shared" si="45"/>
        <v>7377.1731704222721</v>
      </c>
      <c r="T92" s="151">
        <f t="shared" si="45"/>
        <v>7406.8474185867262</v>
      </c>
    </row>
    <row r="93" spans="1:22">
      <c r="A93" s="130" t="s">
        <v>106</v>
      </c>
      <c r="E93" s="153">
        <f>monthly_data!$R48</f>
        <v>6632</v>
      </c>
      <c r="F93" s="153">
        <f>monthly_data!$R60</f>
        <v>7249.2250000000004</v>
      </c>
      <c r="G93" s="153">
        <f>monthly_data!$R72</f>
        <v>9027.6029999999992</v>
      </c>
      <c r="H93" s="153">
        <f>monthly_data!$R84</f>
        <v>7677.6850000000004</v>
      </c>
      <c r="I93" s="153">
        <f>monthly_data!$R96</f>
        <v>6516.1530000000002</v>
      </c>
      <c r="J93" s="153">
        <f>monthly_data!$R108</f>
        <v>7260.5450000000001</v>
      </c>
      <c r="K93" s="151">
        <f>AVERAGE(F93:J93)</f>
        <v>7546.2421999999988</v>
      </c>
      <c r="L93" s="151">
        <f t="shared" si="45"/>
        <v>7605.6456399999997</v>
      </c>
      <c r="M93" s="151">
        <f t="shared" si="45"/>
        <v>7321.2541680000013</v>
      </c>
      <c r="N93" s="151">
        <f t="shared" si="45"/>
        <v>7249.9680016000002</v>
      </c>
      <c r="O93" s="151">
        <f t="shared" si="45"/>
        <v>7396.7310019199995</v>
      </c>
      <c r="P93" s="151">
        <f t="shared" si="45"/>
        <v>7423.9682023040004</v>
      </c>
      <c r="Q93" s="151">
        <f t="shared" si="45"/>
        <v>7399.5134027648</v>
      </c>
      <c r="R93" s="151">
        <f t="shared" si="45"/>
        <v>7358.2869553177607</v>
      </c>
      <c r="S93" s="151">
        <f t="shared" si="45"/>
        <v>7365.6935127813122</v>
      </c>
      <c r="T93" s="151">
        <f t="shared" si="45"/>
        <v>7388.8386150175747</v>
      </c>
    </row>
    <row r="94" spans="1:22">
      <c r="A94" s="130" t="s">
        <v>107</v>
      </c>
      <c r="E94" s="153">
        <f>monthly_data!$R49</f>
        <v>6463</v>
      </c>
      <c r="F94" s="153">
        <f>monthly_data!$R61</f>
        <v>7303.5720000000001</v>
      </c>
      <c r="G94" s="153">
        <f>monthly_data!$R73</f>
        <v>9013.3529999999992</v>
      </c>
      <c r="H94" s="153">
        <f>monthly_data!$R85</f>
        <v>7116.6260000000002</v>
      </c>
      <c r="I94" s="153">
        <f>monthly_data!$R97</f>
        <v>6585.1570000000002</v>
      </c>
      <c r="J94" s="153">
        <f>monthly_data!$R109</f>
        <v>7093.6660000000002</v>
      </c>
      <c r="K94" s="151">
        <f>AVERAGE(F94:J94)</f>
        <v>7422.474799999999</v>
      </c>
      <c r="L94" s="151">
        <f t="shared" si="45"/>
        <v>7446.2553600000001</v>
      </c>
      <c r="M94" s="151">
        <f t="shared" si="45"/>
        <v>7132.8358319999998</v>
      </c>
      <c r="N94" s="151">
        <f t="shared" si="45"/>
        <v>7136.0777983999997</v>
      </c>
      <c r="O94" s="151">
        <f t="shared" si="45"/>
        <v>7246.2619580800001</v>
      </c>
      <c r="P94" s="151">
        <f t="shared" si="45"/>
        <v>7276.7811496960003</v>
      </c>
      <c r="Q94" s="151">
        <f t="shared" si="45"/>
        <v>7247.6424196352</v>
      </c>
      <c r="R94" s="151">
        <f t="shared" si="45"/>
        <v>7207.9198315622398</v>
      </c>
      <c r="S94" s="151">
        <f t="shared" si="45"/>
        <v>7222.9366314746894</v>
      </c>
      <c r="T94" s="151">
        <f t="shared" si="45"/>
        <v>7240.3083980896263</v>
      </c>
    </row>
    <row r="95" spans="1:22">
      <c r="A95" s="130" t="s">
        <v>108</v>
      </c>
      <c r="E95" s="153">
        <f>monthly_data!$R50</f>
        <v>6402</v>
      </c>
      <c r="F95" s="153">
        <f>monthly_data!$R62</f>
        <v>7079.1419999999998</v>
      </c>
      <c r="G95" s="153">
        <f>monthly_data!$R74</f>
        <v>9139.6010000000006</v>
      </c>
      <c r="H95" s="153">
        <f>monthly_data!$R86</f>
        <v>6676.1689999999999</v>
      </c>
      <c r="I95" s="153">
        <f>monthly_data!$R98</f>
        <v>6384.7759999999998</v>
      </c>
      <c r="J95" s="153">
        <f>monthly_data!$R110</f>
        <v>6999.9660000000003</v>
      </c>
      <c r="K95" s="151">
        <f>AVERAGE(F95:J95)</f>
        <v>7255.9308000000001</v>
      </c>
      <c r="L95" s="151">
        <f t="shared" si="45"/>
        <v>7291.2885600000009</v>
      </c>
      <c r="M95" s="151">
        <f t="shared" si="45"/>
        <v>6921.6260720000009</v>
      </c>
      <c r="N95" s="151">
        <f t="shared" si="45"/>
        <v>6970.7174863999999</v>
      </c>
      <c r="O95" s="151">
        <f t="shared" si="45"/>
        <v>7087.9057836800002</v>
      </c>
      <c r="P95" s="151">
        <f t="shared" si="45"/>
        <v>7105.4937404160009</v>
      </c>
      <c r="Q95" s="151">
        <f t="shared" si="45"/>
        <v>7075.4063284992008</v>
      </c>
      <c r="R95" s="151">
        <f t="shared" si="45"/>
        <v>7032.2298821990407</v>
      </c>
      <c r="S95" s="151">
        <f t="shared" si="45"/>
        <v>7054.3506442388489</v>
      </c>
      <c r="T95" s="151">
        <f t="shared" si="45"/>
        <v>7071.0772758066178</v>
      </c>
    </row>
    <row r="96" spans="1:22" ht="15.75" thickBot="1">
      <c r="A96" s="130" t="s">
        <v>109</v>
      </c>
      <c r="E96" s="153">
        <f>monthly_data!$R51</f>
        <v>6743</v>
      </c>
      <c r="F96" s="153">
        <f>monthly_data!$R63</f>
        <v>7289.2860000000001</v>
      </c>
      <c r="G96" s="153">
        <f>monthly_data!$R75</f>
        <v>8902.9979999999996</v>
      </c>
      <c r="H96" s="153">
        <f>monthly_data!$R87</f>
        <v>6912.777</v>
      </c>
      <c r="I96" s="153">
        <f>monthly_data!$R99</f>
        <v>6868.6469999999999</v>
      </c>
      <c r="J96" s="153">
        <f>monthly_data!$R111</f>
        <v>6993.76</v>
      </c>
      <c r="K96" s="151">
        <f>AVERAGE(F96:J96)</f>
        <v>7393.4935999999998</v>
      </c>
      <c r="L96" s="151">
        <f t="shared" si="45"/>
        <v>7414.3351200000006</v>
      </c>
      <c r="M96" s="151">
        <f t="shared" si="45"/>
        <v>7116.6025440000012</v>
      </c>
      <c r="N96" s="151">
        <f t="shared" si="45"/>
        <v>7157.3676528000015</v>
      </c>
      <c r="O96" s="151">
        <f t="shared" si="45"/>
        <v>7215.1117833600001</v>
      </c>
      <c r="P96" s="151">
        <f t="shared" si="45"/>
        <v>7259.3821400320012</v>
      </c>
      <c r="Q96" s="151">
        <f t="shared" si="45"/>
        <v>7232.5598480384015</v>
      </c>
      <c r="R96" s="151">
        <f t="shared" si="45"/>
        <v>7196.2047936460804</v>
      </c>
      <c r="S96" s="151">
        <f t="shared" si="45"/>
        <v>7212.1252435752958</v>
      </c>
      <c r="T96" s="151">
        <f t="shared" si="45"/>
        <v>7223.0767617303554</v>
      </c>
    </row>
    <row r="97" spans="1:22">
      <c r="A97" s="152"/>
      <c r="B97" s="152"/>
      <c r="C97" s="152"/>
      <c r="D97" s="152"/>
      <c r="E97" s="152"/>
      <c r="F97" s="152"/>
      <c r="G97" s="152"/>
      <c r="H97" s="152"/>
      <c r="I97" s="152"/>
      <c r="J97" s="152"/>
      <c r="K97" s="152"/>
      <c r="L97" s="152"/>
      <c r="M97" s="152"/>
      <c r="N97" s="152"/>
      <c r="O97" s="152"/>
      <c r="P97" s="152"/>
      <c r="Q97" s="152"/>
      <c r="R97" s="152"/>
      <c r="S97" s="152"/>
      <c r="T97" s="152"/>
      <c r="U97" s="152"/>
      <c r="V97" s="152"/>
    </row>
    <row r="98" spans="1:22" ht="15.75" thickBot="1">
      <c r="A98" s="4" t="s">
        <v>152</v>
      </c>
    </row>
    <row r="99" spans="1:22" ht="15.75" thickBot="1">
      <c r="A99" s="148" t="s">
        <v>86</v>
      </c>
      <c r="B99" s="148"/>
      <c r="C99" s="148"/>
      <c r="D99" s="148"/>
      <c r="E99" s="149">
        <f t="shared" ref="E99:T99" si="46">E19</f>
        <v>0</v>
      </c>
      <c r="F99" s="149">
        <f t="shared" si="46"/>
        <v>0</v>
      </c>
      <c r="G99" s="149">
        <f t="shared" si="46"/>
        <v>0</v>
      </c>
      <c r="H99" s="149">
        <f t="shared" si="46"/>
        <v>0</v>
      </c>
      <c r="I99" s="149">
        <f t="shared" si="46"/>
        <v>0</v>
      </c>
      <c r="J99" s="149">
        <f t="shared" si="46"/>
        <v>0</v>
      </c>
      <c r="K99" s="149">
        <f t="shared" si="46"/>
        <v>0</v>
      </c>
      <c r="L99" s="149">
        <f t="shared" si="46"/>
        <v>0</v>
      </c>
      <c r="M99" s="149">
        <f t="shared" si="46"/>
        <v>0</v>
      </c>
      <c r="N99" s="149">
        <f t="shared" si="46"/>
        <v>0</v>
      </c>
      <c r="O99" s="149">
        <f t="shared" si="46"/>
        <v>0</v>
      </c>
      <c r="P99" s="149">
        <f t="shared" si="46"/>
        <v>0</v>
      </c>
      <c r="Q99" s="149">
        <f t="shared" si="46"/>
        <v>0</v>
      </c>
      <c r="R99" s="149">
        <f t="shared" si="46"/>
        <v>0</v>
      </c>
      <c r="S99" s="149">
        <f t="shared" si="46"/>
        <v>0</v>
      </c>
      <c r="T99" s="149">
        <f t="shared" si="46"/>
        <v>0</v>
      </c>
      <c r="U99" s="149"/>
      <c r="V99" s="149"/>
    </row>
    <row r="100" spans="1:22">
      <c r="A100" s="130" t="s">
        <v>98</v>
      </c>
      <c r="E100" s="153">
        <f>monthly_data!$U40</f>
        <v>6891</v>
      </c>
      <c r="F100" s="153">
        <f>monthly_data!$U52</f>
        <v>6774.7619999999997</v>
      </c>
      <c r="G100" s="153">
        <f>monthly_data!$U64</f>
        <v>7859.8670000000002</v>
      </c>
      <c r="H100" s="153">
        <f>monthly_data!$U76</f>
        <v>8874.1090000000004</v>
      </c>
      <c r="I100" s="153">
        <f>monthly_data!$U88</f>
        <v>6804.2370000000001</v>
      </c>
      <c r="J100" s="153">
        <f>monthly_data!$U100</f>
        <v>6790.4489999999996</v>
      </c>
      <c r="K100" s="153">
        <f>monthly_data!$U112</f>
        <v>7240.2460000000001</v>
      </c>
      <c r="L100" s="151">
        <f t="shared" ref="L100:T111" si="47">AVERAGE(G100:K100)</f>
        <v>7513.7816000000003</v>
      </c>
      <c r="M100" s="151">
        <f t="shared" si="47"/>
        <v>7444.5645199999999</v>
      </c>
      <c r="N100" s="151">
        <f t="shared" si="47"/>
        <v>7158.6556240000009</v>
      </c>
      <c r="O100" s="151">
        <f t="shared" si="47"/>
        <v>7229.5393488</v>
      </c>
      <c r="P100" s="151">
        <f t="shared" si="47"/>
        <v>7317.3574185599991</v>
      </c>
      <c r="Q100" s="151">
        <f t="shared" si="47"/>
        <v>7332.7797022719997</v>
      </c>
      <c r="R100" s="151">
        <f t="shared" si="47"/>
        <v>7296.5793227263985</v>
      </c>
      <c r="S100" s="151">
        <f t="shared" si="47"/>
        <v>7266.9822832716791</v>
      </c>
      <c r="T100" s="151">
        <f t="shared" si="47"/>
        <v>7288.6476151260158</v>
      </c>
    </row>
    <row r="101" spans="1:22">
      <c r="A101" s="130" t="s">
        <v>99</v>
      </c>
      <c r="E101" s="153">
        <f>monthly_data!$U41</f>
        <v>6647</v>
      </c>
      <c r="F101" s="153">
        <f>monthly_data!$U53</f>
        <v>6607.6930000000002</v>
      </c>
      <c r="G101" s="153">
        <f>monthly_data!$U65</f>
        <v>7561.3440000000001</v>
      </c>
      <c r="H101" s="153">
        <f>monthly_data!$U77</f>
        <v>8931.5570000000007</v>
      </c>
      <c r="I101" s="153">
        <f>monthly_data!$U89</f>
        <v>6768.1149999999998</v>
      </c>
      <c r="J101" s="153">
        <f>monthly_data!$U101</f>
        <v>7081.5060000000003</v>
      </c>
      <c r="K101" s="153">
        <f>monthly_data!$U113</f>
        <v>7281.3010000000004</v>
      </c>
      <c r="L101" s="151">
        <f t="shared" si="47"/>
        <v>7524.7646000000004</v>
      </c>
      <c r="M101" s="151">
        <f t="shared" si="47"/>
        <v>7517.4487200000003</v>
      </c>
      <c r="N101" s="151">
        <f t="shared" si="47"/>
        <v>7234.6270640000002</v>
      </c>
      <c r="O101" s="151">
        <f t="shared" si="47"/>
        <v>7327.9294768000009</v>
      </c>
      <c r="P101" s="151">
        <f t="shared" si="47"/>
        <v>7377.214172160001</v>
      </c>
      <c r="Q101" s="151">
        <f t="shared" si="47"/>
        <v>7396.3968065920008</v>
      </c>
      <c r="R101" s="151">
        <f t="shared" si="47"/>
        <v>7370.7232479104005</v>
      </c>
      <c r="S101" s="151">
        <f t="shared" si="47"/>
        <v>7341.378153492481</v>
      </c>
      <c r="T101" s="151">
        <f t="shared" si="47"/>
        <v>7362.7283713909765</v>
      </c>
    </row>
    <row r="102" spans="1:22">
      <c r="A102" s="130" t="s">
        <v>100</v>
      </c>
      <c r="E102" s="153">
        <f>monthly_data!$U42</f>
        <v>6680</v>
      </c>
      <c r="F102" s="153">
        <f>monthly_data!$U54</f>
        <v>6861.7889999999998</v>
      </c>
      <c r="G102" s="153">
        <f>monthly_data!$U66</f>
        <v>7893.5559999999996</v>
      </c>
      <c r="H102" s="153">
        <f>monthly_data!$U78</f>
        <v>8715.3340000000007</v>
      </c>
      <c r="I102" s="153">
        <f>monthly_data!$U90</f>
        <v>6534.777</v>
      </c>
      <c r="J102" s="153">
        <f>monthly_data!$U102</f>
        <v>6856.6440000000002</v>
      </c>
      <c r="K102" s="153">
        <f>monthly_data!$U114</f>
        <v>7245.3190000000004</v>
      </c>
      <c r="L102" s="151">
        <f t="shared" si="47"/>
        <v>7449.1260000000011</v>
      </c>
      <c r="M102" s="151">
        <f t="shared" si="47"/>
        <v>7360.2400000000007</v>
      </c>
      <c r="N102" s="151">
        <f t="shared" si="47"/>
        <v>7089.2212</v>
      </c>
      <c r="O102" s="151">
        <f t="shared" si="47"/>
        <v>7200.1100399999996</v>
      </c>
      <c r="P102" s="151">
        <f t="shared" si="47"/>
        <v>7268.8032479999993</v>
      </c>
      <c r="Q102" s="151">
        <f t="shared" si="47"/>
        <v>7273.5000975999992</v>
      </c>
      <c r="R102" s="151">
        <f t="shared" si="47"/>
        <v>7238.3749171200006</v>
      </c>
      <c r="S102" s="151">
        <f t="shared" si="47"/>
        <v>7214.0019005439999</v>
      </c>
      <c r="T102" s="151">
        <f t="shared" si="47"/>
        <v>7238.9580406527994</v>
      </c>
    </row>
    <row r="103" spans="1:22">
      <c r="A103" s="130" t="s">
        <v>101</v>
      </c>
      <c r="E103" s="153">
        <f>monthly_data!$U43</f>
        <v>6374</v>
      </c>
      <c r="F103" s="153">
        <f>monthly_data!$U55</f>
        <v>7070.0069999999996</v>
      </c>
      <c r="G103" s="153">
        <f>monthly_data!$U67</f>
        <v>8413.2880000000005</v>
      </c>
      <c r="H103" s="153">
        <f>monthly_data!$U79</f>
        <v>8702.7540000000008</v>
      </c>
      <c r="I103" s="153">
        <f>monthly_data!$U91</f>
        <v>6263.2250000000004</v>
      </c>
      <c r="J103" s="153">
        <f>monthly_data!$U103</f>
        <v>6926.5309999999999</v>
      </c>
      <c r="K103" s="153">
        <f>monthly_data!$U115</f>
        <v>7525.38</v>
      </c>
      <c r="L103" s="151">
        <f t="shared" si="47"/>
        <v>7566.2356</v>
      </c>
      <c r="M103" s="151">
        <f t="shared" si="47"/>
        <v>7396.8251199999995</v>
      </c>
      <c r="N103" s="151">
        <f t="shared" si="47"/>
        <v>7135.6393440000002</v>
      </c>
      <c r="O103" s="151">
        <f t="shared" si="47"/>
        <v>7310.1222128000009</v>
      </c>
      <c r="P103" s="151">
        <f t="shared" si="47"/>
        <v>7386.8404553600003</v>
      </c>
      <c r="Q103" s="151">
        <f t="shared" si="47"/>
        <v>7359.1325464320007</v>
      </c>
      <c r="R103" s="151">
        <f t="shared" si="47"/>
        <v>7317.711935718401</v>
      </c>
      <c r="S103" s="151">
        <f t="shared" si="47"/>
        <v>7301.889298862081</v>
      </c>
      <c r="T103" s="151">
        <f t="shared" si="47"/>
        <v>7335.1392898344975</v>
      </c>
    </row>
    <row r="104" spans="1:22">
      <c r="A104" s="130" t="s">
        <v>102</v>
      </c>
      <c r="E104" s="153">
        <f>monthly_data!$U44</f>
        <v>6437</v>
      </c>
      <c r="F104" s="153">
        <f>monthly_data!$U56</f>
        <v>6990.9979999999996</v>
      </c>
      <c r="G104" s="153">
        <f>monthly_data!$U68</f>
        <v>9167.8989999999994</v>
      </c>
      <c r="H104" s="153">
        <f>monthly_data!$U80</f>
        <v>8755.3070000000007</v>
      </c>
      <c r="I104" s="153">
        <f>monthly_data!$U92</f>
        <v>6367.6109999999999</v>
      </c>
      <c r="J104" s="153">
        <f>monthly_data!$U104</f>
        <v>7360.7079999999996</v>
      </c>
      <c r="K104" s="153">
        <f>monthly_data!$U116</f>
        <v>7407.5249999999996</v>
      </c>
      <c r="L104" s="151">
        <f t="shared" si="47"/>
        <v>7811.8099999999995</v>
      </c>
      <c r="M104" s="151">
        <f t="shared" si="47"/>
        <v>7540.5921999999991</v>
      </c>
      <c r="N104" s="151">
        <f t="shared" si="47"/>
        <v>7297.6492399999988</v>
      </c>
      <c r="O104" s="151">
        <f t="shared" si="47"/>
        <v>7483.6568879999995</v>
      </c>
      <c r="P104" s="151">
        <f t="shared" si="47"/>
        <v>7508.2466655999988</v>
      </c>
      <c r="Q104" s="151">
        <f t="shared" si="47"/>
        <v>7528.3909987199977</v>
      </c>
      <c r="R104" s="151">
        <f t="shared" si="47"/>
        <v>7471.7071984639988</v>
      </c>
      <c r="S104" s="151">
        <f t="shared" si="47"/>
        <v>7457.9301981567987</v>
      </c>
      <c r="T104" s="151">
        <f t="shared" si="47"/>
        <v>7489.9863897881587</v>
      </c>
    </row>
    <row r="105" spans="1:22">
      <c r="A105" s="130" t="s">
        <v>103</v>
      </c>
      <c r="E105" s="153">
        <f>monthly_data!$U45</f>
        <v>6497</v>
      </c>
      <c r="F105" s="153">
        <f>monthly_data!$U57</f>
        <v>6802.3389999999999</v>
      </c>
      <c r="G105" s="153">
        <f>monthly_data!$U69</f>
        <v>9491.6610000000001</v>
      </c>
      <c r="H105" s="153">
        <f>monthly_data!$U81</f>
        <v>8487.6509999999998</v>
      </c>
      <c r="I105" s="153">
        <f>monthly_data!$U93</f>
        <v>6280.4139999999998</v>
      </c>
      <c r="J105" s="153">
        <f>monthly_data!$U105</f>
        <v>7135.7139999999999</v>
      </c>
      <c r="K105" s="153">
        <f>monthly_data!$U117</f>
        <v>7505.3059999999996</v>
      </c>
      <c r="L105" s="151">
        <f t="shared" si="47"/>
        <v>7780.1491999999998</v>
      </c>
      <c r="M105" s="151">
        <f t="shared" si="47"/>
        <v>7437.8468400000002</v>
      </c>
      <c r="N105" s="151">
        <f t="shared" si="47"/>
        <v>7227.8860079999995</v>
      </c>
      <c r="O105" s="151">
        <f t="shared" si="47"/>
        <v>7417.3804096000003</v>
      </c>
      <c r="P105" s="151">
        <f t="shared" si="47"/>
        <v>7473.7136915200008</v>
      </c>
      <c r="Q105" s="151">
        <f t="shared" si="47"/>
        <v>7467.395229824001</v>
      </c>
      <c r="R105" s="151">
        <f t="shared" si="47"/>
        <v>7404.844435788802</v>
      </c>
      <c r="S105" s="151">
        <f t="shared" si="47"/>
        <v>7398.2439549465607</v>
      </c>
      <c r="T105" s="151">
        <f t="shared" si="47"/>
        <v>7432.3155443358728</v>
      </c>
    </row>
    <row r="106" spans="1:22">
      <c r="A106" s="130" t="s">
        <v>104</v>
      </c>
      <c r="E106" s="153">
        <f>monthly_data!$U46</f>
        <v>6553</v>
      </c>
      <c r="F106" s="153">
        <f>monthly_data!$U58</f>
        <v>7009.8050000000003</v>
      </c>
      <c r="G106" s="153">
        <f>monthly_data!$U70</f>
        <v>9271.5290000000005</v>
      </c>
      <c r="H106" s="153">
        <f>monthly_data!$U82</f>
        <v>8046.48</v>
      </c>
      <c r="I106" s="153">
        <f>monthly_data!$U94</f>
        <v>6347.817</v>
      </c>
      <c r="J106" s="153">
        <f>monthly_data!$U106</f>
        <v>7177.6350000000002</v>
      </c>
      <c r="K106" s="153">
        <f>monthly_data!$U118</f>
        <v>7248.0230000000001</v>
      </c>
      <c r="L106" s="151">
        <f t="shared" si="47"/>
        <v>7618.2967999999992</v>
      </c>
      <c r="M106" s="151">
        <f t="shared" si="47"/>
        <v>7287.6503599999996</v>
      </c>
      <c r="N106" s="151">
        <f t="shared" si="47"/>
        <v>7135.8844320000007</v>
      </c>
      <c r="O106" s="151">
        <f t="shared" si="47"/>
        <v>7293.4979183999994</v>
      </c>
      <c r="P106" s="151">
        <f t="shared" si="47"/>
        <v>7316.6705020799982</v>
      </c>
      <c r="Q106" s="151">
        <f t="shared" si="47"/>
        <v>7330.4000024959996</v>
      </c>
      <c r="R106" s="151">
        <f t="shared" si="47"/>
        <v>7272.8206429951988</v>
      </c>
      <c r="S106" s="151">
        <f t="shared" si="47"/>
        <v>7269.8546995942397</v>
      </c>
      <c r="T106" s="151">
        <f t="shared" si="47"/>
        <v>7296.648753113087</v>
      </c>
    </row>
    <row r="107" spans="1:22">
      <c r="A107" s="130" t="s">
        <v>105</v>
      </c>
      <c r="E107" s="153">
        <f>monthly_data!$U47</f>
        <v>6632</v>
      </c>
      <c r="F107" s="153">
        <f>monthly_data!$U59</f>
        <v>7249.2250000000004</v>
      </c>
      <c r="G107" s="153">
        <f>monthly_data!$U71</f>
        <v>9162.8230000000003</v>
      </c>
      <c r="H107" s="153">
        <f>monthly_data!$U83</f>
        <v>7677.6850000000004</v>
      </c>
      <c r="I107" s="153">
        <f>monthly_data!$U95</f>
        <v>6516.1530000000002</v>
      </c>
      <c r="J107" s="153">
        <f>monthly_data!$U107</f>
        <v>7261.5860000000002</v>
      </c>
      <c r="K107" s="151">
        <f>AVERAGE(F107:J107)</f>
        <v>7573.4944000000014</v>
      </c>
      <c r="L107" s="151">
        <f t="shared" si="47"/>
        <v>7638.3482800000002</v>
      </c>
      <c r="M107" s="151">
        <f t="shared" si="47"/>
        <v>7333.4533360000005</v>
      </c>
      <c r="N107" s="151">
        <f t="shared" si="47"/>
        <v>7264.6070032000007</v>
      </c>
      <c r="O107" s="151">
        <f t="shared" si="47"/>
        <v>7414.2978038400006</v>
      </c>
      <c r="P107" s="151">
        <f t="shared" si="47"/>
        <v>7444.8401646080001</v>
      </c>
      <c r="Q107" s="151">
        <f t="shared" si="47"/>
        <v>7419.1093175296</v>
      </c>
      <c r="R107" s="151">
        <f t="shared" si="47"/>
        <v>7375.2615250355202</v>
      </c>
      <c r="S107" s="151">
        <f t="shared" si="47"/>
        <v>7383.6231628426249</v>
      </c>
      <c r="T107" s="151">
        <f t="shared" si="47"/>
        <v>7407.4263947711497</v>
      </c>
    </row>
    <row r="108" spans="1:22">
      <c r="A108" s="130" t="s">
        <v>106</v>
      </c>
      <c r="E108" s="153">
        <f>monthly_data!$U48</f>
        <v>6463</v>
      </c>
      <c r="F108" s="153">
        <f>monthly_data!$U60</f>
        <v>7303.4669999999996</v>
      </c>
      <c r="G108" s="153">
        <f>monthly_data!$U72</f>
        <v>9013.3529999999992</v>
      </c>
      <c r="H108" s="153">
        <f>monthly_data!$U84</f>
        <v>7038.3320000000003</v>
      </c>
      <c r="I108" s="153">
        <f>monthly_data!$U96</f>
        <v>6585.1549999999997</v>
      </c>
      <c r="J108" s="153">
        <f>monthly_data!$U108</f>
        <v>7093.6660000000002</v>
      </c>
      <c r="K108" s="151">
        <f>AVERAGE(F108:J108)</f>
        <v>7406.7945999999993</v>
      </c>
      <c r="L108" s="151">
        <f t="shared" si="47"/>
        <v>7427.4601200000006</v>
      </c>
      <c r="M108" s="151">
        <f t="shared" si="47"/>
        <v>7110.2815440000004</v>
      </c>
      <c r="N108" s="151">
        <f t="shared" si="47"/>
        <v>7124.6714527999993</v>
      </c>
      <c r="O108" s="151">
        <f t="shared" si="47"/>
        <v>7232.57474336</v>
      </c>
      <c r="P108" s="151">
        <f t="shared" si="47"/>
        <v>7260.3564920320005</v>
      </c>
      <c r="Q108" s="151">
        <f t="shared" si="47"/>
        <v>7231.0688704384011</v>
      </c>
      <c r="R108" s="151">
        <f t="shared" si="47"/>
        <v>7191.7906205260806</v>
      </c>
      <c r="S108" s="151">
        <f t="shared" si="47"/>
        <v>7208.0924358312959</v>
      </c>
      <c r="T108" s="151">
        <f t="shared" si="47"/>
        <v>7224.7766324375552</v>
      </c>
    </row>
    <row r="109" spans="1:22">
      <c r="A109" s="130" t="s">
        <v>107</v>
      </c>
      <c r="E109" s="153">
        <f>monthly_data!$U49</f>
        <v>6402</v>
      </c>
      <c r="F109" s="153">
        <f>monthly_data!$U61</f>
        <v>6994.1419999999998</v>
      </c>
      <c r="G109" s="153">
        <f>monthly_data!$U73</f>
        <v>9139.6010000000006</v>
      </c>
      <c r="H109" s="153">
        <f>monthly_data!$U85</f>
        <v>6676.1689999999999</v>
      </c>
      <c r="I109" s="153">
        <f>monthly_data!$U97</f>
        <v>6384.7759999999998</v>
      </c>
      <c r="J109" s="153">
        <f>monthly_data!$U109</f>
        <v>6999.9660000000003</v>
      </c>
      <c r="K109" s="151">
        <f>AVERAGE(F109:J109)</f>
        <v>7238.9308000000001</v>
      </c>
      <c r="L109" s="151">
        <f t="shared" si="47"/>
        <v>7287.8885600000012</v>
      </c>
      <c r="M109" s="151">
        <f t="shared" si="47"/>
        <v>6917.5460720000001</v>
      </c>
      <c r="N109" s="151">
        <f t="shared" si="47"/>
        <v>6965.8214863999992</v>
      </c>
      <c r="O109" s="151">
        <f t="shared" si="47"/>
        <v>7082.0305836800007</v>
      </c>
      <c r="P109" s="151">
        <f t="shared" si="47"/>
        <v>7098.4435004160014</v>
      </c>
      <c r="Q109" s="151">
        <f t="shared" si="47"/>
        <v>7070.3460404992002</v>
      </c>
      <c r="R109" s="151">
        <f t="shared" si="47"/>
        <v>7026.8375365990405</v>
      </c>
      <c r="S109" s="151">
        <f t="shared" si="47"/>
        <v>7048.6958295188479</v>
      </c>
      <c r="T109" s="151">
        <f t="shared" si="47"/>
        <v>7065.2706981426181</v>
      </c>
    </row>
    <row r="110" spans="1:22">
      <c r="A110" s="130" t="s">
        <v>108</v>
      </c>
      <c r="E110" s="153">
        <f>monthly_data!$U50</f>
        <v>6744</v>
      </c>
      <c r="F110" s="153">
        <f>monthly_data!$U62</f>
        <v>7265.9430000000002</v>
      </c>
      <c r="G110" s="153">
        <f>monthly_data!$U74</f>
        <v>8902.9979999999996</v>
      </c>
      <c r="H110" s="153">
        <f>monthly_data!$U86</f>
        <v>6912.777</v>
      </c>
      <c r="I110" s="153">
        <f>monthly_data!$U98</f>
        <v>6868.6469999999999</v>
      </c>
      <c r="J110" s="153">
        <f>monthly_data!$U110</f>
        <v>6993.76</v>
      </c>
      <c r="K110" s="151">
        <f>AVERAGE(F110:J110)</f>
        <v>7388.8249999999998</v>
      </c>
      <c r="L110" s="151">
        <f t="shared" si="47"/>
        <v>7413.4013999999997</v>
      </c>
      <c r="M110" s="151">
        <f t="shared" si="47"/>
        <v>7115.4820799999998</v>
      </c>
      <c r="N110" s="151">
        <f t="shared" si="47"/>
        <v>7156.0230959999999</v>
      </c>
      <c r="O110" s="151">
        <f t="shared" si="47"/>
        <v>7213.4983151999986</v>
      </c>
      <c r="P110" s="151">
        <f t="shared" si="47"/>
        <v>7257.445978239999</v>
      </c>
      <c r="Q110" s="151">
        <f t="shared" si="47"/>
        <v>7231.1701738880001</v>
      </c>
      <c r="R110" s="151">
        <f t="shared" si="47"/>
        <v>7194.7239286655995</v>
      </c>
      <c r="S110" s="151">
        <f t="shared" si="47"/>
        <v>7210.5722983987189</v>
      </c>
      <c r="T110" s="151">
        <f t="shared" si="47"/>
        <v>7221.482138878464</v>
      </c>
    </row>
    <row r="111" spans="1:22">
      <c r="A111" s="130" t="s">
        <v>109</v>
      </c>
      <c r="E111" s="153">
        <f>monthly_data!$U51</f>
        <v>6698</v>
      </c>
      <c r="F111" s="153">
        <f>monthly_data!$U63</f>
        <v>7171.3940000000002</v>
      </c>
      <c r="G111" s="153">
        <f>monthly_data!$U75</f>
        <v>8477.0259999999998</v>
      </c>
      <c r="H111" s="153">
        <f>monthly_data!$U87</f>
        <v>6678.7550000000001</v>
      </c>
      <c r="I111" s="153">
        <f>monthly_data!$U99</f>
        <v>6852.6540000000005</v>
      </c>
      <c r="J111" s="153">
        <f>monthly_data!$U111</f>
        <v>7201.6540000000005</v>
      </c>
      <c r="K111" s="151">
        <f>AVERAGE(F111:J111)</f>
        <v>7276.2965999999997</v>
      </c>
      <c r="L111" s="151">
        <f t="shared" si="47"/>
        <v>7297.2771200000007</v>
      </c>
      <c r="M111" s="151">
        <f t="shared" si="47"/>
        <v>7061.3273440000003</v>
      </c>
      <c r="N111" s="151">
        <f t="shared" si="47"/>
        <v>7137.8418127999994</v>
      </c>
      <c r="O111" s="151">
        <f t="shared" si="47"/>
        <v>7194.8793753600012</v>
      </c>
      <c r="P111" s="151">
        <f t="shared" si="47"/>
        <v>7193.5244504320017</v>
      </c>
      <c r="Q111" s="151">
        <f t="shared" si="47"/>
        <v>7176.9700205184008</v>
      </c>
      <c r="R111" s="151">
        <f t="shared" si="47"/>
        <v>7152.9086006220796</v>
      </c>
      <c r="S111" s="151">
        <f t="shared" si="47"/>
        <v>7171.2248519464965</v>
      </c>
      <c r="T111" s="151">
        <f t="shared" si="47"/>
        <v>7177.9014597757969</v>
      </c>
    </row>
    <row r="113" spans="1:10">
      <c r="A113" s="130" t="s">
        <v>153</v>
      </c>
    </row>
    <row r="114" spans="1:10">
      <c r="A114" s="161" t="s">
        <v>154</v>
      </c>
      <c r="B114" s="161"/>
      <c r="C114" s="161"/>
      <c r="D114" s="161"/>
      <c r="E114" s="162">
        <v>996295411</v>
      </c>
      <c r="F114" s="162">
        <v>1035119832</v>
      </c>
      <c r="G114" s="162">
        <v>276758108</v>
      </c>
      <c r="H114" s="162">
        <v>373809763</v>
      </c>
      <c r="I114" s="162">
        <v>815689131</v>
      </c>
      <c r="J114" s="162">
        <v>972993715</v>
      </c>
    </row>
    <row r="115" spans="1:10">
      <c r="A115" s="130" t="s">
        <v>28</v>
      </c>
    </row>
    <row r="116" spans="1:10">
      <c r="A116" s="161" t="s">
        <v>155</v>
      </c>
      <c r="B116" s="161"/>
      <c r="C116" s="161"/>
      <c r="D116" s="161"/>
      <c r="E116" s="162">
        <v>14441185</v>
      </c>
      <c r="F116" s="162">
        <v>14032469.6</v>
      </c>
      <c r="G116" s="162">
        <v>12746455.199999999</v>
      </c>
      <c r="H116" s="162">
        <v>15385547.5</v>
      </c>
      <c r="I116" s="162">
        <v>14101343</v>
      </c>
      <c r="J116" s="162">
        <v>13401369.5</v>
      </c>
    </row>
  </sheetData>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327DC-E95C-49C0-A4FB-4366D2AF0E7C}">
  <dimension ref="A1:U146"/>
  <sheetViews>
    <sheetView zoomScaleNormal="100" workbookViewId="0">
      <pane xSplit="1" ySplit="2" topLeftCell="B3" activePane="bottomRight" state="frozen"/>
      <selection activeCell="B4" sqref="B4"/>
      <selection pane="topRight" activeCell="B4" sqref="B4"/>
      <selection pane="bottomLeft" activeCell="B4" sqref="B4"/>
      <selection pane="bottomRight" activeCell="B4" sqref="B4"/>
    </sheetView>
  </sheetViews>
  <sheetFormatPr defaultColWidth="8.85546875" defaultRowHeight="15"/>
  <cols>
    <col min="1" max="1" width="57.85546875" style="5" customWidth="1"/>
    <col min="2" max="4" width="9.5703125" style="5" customWidth="1"/>
    <col min="5" max="9" width="9.5703125" style="71" bestFit="1" customWidth="1"/>
    <col min="10" max="10" width="11" style="92" bestFit="1" customWidth="1"/>
    <col min="11" max="12" width="9.5703125" style="92" bestFit="1" customWidth="1"/>
    <col min="13" max="21" width="9.5703125" style="92" customWidth="1"/>
    <col min="22" max="16384" width="8.85546875" style="5"/>
  </cols>
  <sheetData>
    <row r="1" spans="1:21" ht="15.75" thickBot="1">
      <c r="A1" s="126" t="s">
        <v>156</v>
      </c>
      <c r="B1" s="127"/>
      <c r="C1" s="127"/>
      <c r="D1" s="127"/>
      <c r="E1" s="98"/>
      <c r="F1" s="98"/>
      <c r="G1" s="98"/>
      <c r="H1" s="98"/>
      <c r="I1" s="98"/>
      <c r="J1" s="99"/>
      <c r="K1" s="99"/>
      <c r="L1" s="99"/>
      <c r="M1" s="99"/>
      <c r="N1" s="99"/>
      <c r="O1" s="99"/>
      <c r="P1" s="99"/>
      <c r="Q1" s="99"/>
      <c r="R1" s="99"/>
      <c r="S1" s="99"/>
      <c r="T1" s="99"/>
      <c r="U1" s="99"/>
    </row>
    <row r="2" spans="1:21" ht="16.5" thickTop="1" thickBot="1">
      <c r="A2" s="72" t="s">
        <v>86</v>
      </c>
      <c r="B2" s="101">
        <v>2015</v>
      </c>
      <c r="C2" s="101">
        <v>2016</v>
      </c>
      <c r="D2" s="101">
        <v>2017</v>
      </c>
      <c r="E2" s="101">
        <v>2018</v>
      </c>
      <c r="F2" s="101">
        <v>2019</v>
      </c>
      <c r="G2" s="101">
        <v>2020</v>
      </c>
      <c r="H2" s="101">
        <v>2021</v>
      </c>
      <c r="I2" s="101">
        <v>2022</v>
      </c>
      <c r="J2" s="101">
        <v>2023</v>
      </c>
      <c r="K2" s="101">
        <v>2024</v>
      </c>
      <c r="L2" s="101">
        <v>2025</v>
      </c>
      <c r="M2" s="101">
        <v>2026</v>
      </c>
      <c r="N2" s="101">
        <v>2027</v>
      </c>
      <c r="O2" s="101">
        <v>2028</v>
      </c>
      <c r="P2" s="101">
        <v>2029</v>
      </c>
      <c r="Q2" s="101">
        <v>2030</v>
      </c>
      <c r="R2" s="101">
        <v>2031</v>
      </c>
      <c r="S2" s="101">
        <v>2032</v>
      </c>
      <c r="T2" s="101">
        <v>2033</v>
      </c>
      <c r="U2" s="101">
        <v>2034</v>
      </c>
    </row>
    <row r="3" spans="1:21">
      <c r="A3" s="47" t="s">
        <v>87</v>
      </c>
      <c r="B3" s="47"/>
      <c r="C3" s="47"/>
      <c r="D3" s="47"/>
      <c r="E3" s="48"/>
      <c r="F3" s="48"/>
      <c r="G3" s="48"/>
      <c r="H3" s="48"/>
      <c r="I3" s="48"/>
      <c r="J3" s="48"/>
      <c r="K3" s="49"/>
      <c r="L3" s="49"/>
      <c r="M3" s="49"/>
      <c r="N3" s="49"/>
      <c r="O3" s="49"/>
      <c r="P3" s="49"/>
      <c r="Q3" s="49"/>
      <c r="R3" s="49"/>
      <c r="S3" s="49"/>
      <c r="T3" s="49"/>
      <c r="U3" s="49"/>
    </row>
    <row r="4" spans="1:21">
      <c r="A4" s="47" t="s">
        <v>88</v>
      </c>
      <c r="B4" s="47"/>
      <c r="C4" s="47"/>
      <c r="D4" s="47"/>
      <c r="E4" s="48"/>
      <c r="F4" s="48"/>
      <c r="G4" s="48"/>
      <c r="H4" s="48"/>
      <c r="I4" s="48"/>
      <c r="J4" s="48"/>
      <c r="K4" s="49"/>
      <c r="L4" s="49"/>
      <c r="M4" s="49"/>
      <c r="N4" s="49"/>
      <c r="O4" s="49"/>
      <c r="P4" s="49"/>
      <c r="Q4" s="49"/>
      <c r="R4" s="49"/>
      <c r="S4" s="49"/>
      <c r="T4" s="49"/>
      <c r="U4" s="49"/>
    </row>
    <row r="5" spans="1:21">
      <c r="A5" s="64" t="s">
        <v>89</v>
      </c>
      <c r="B5" s="64"/>
      <c r="C5" s="64"/>
      <c r="D5" s="64"/>
      <c r="E5" s="102"/>
      <c r="F5" s="102"/>
      <c r="G5" s="102"/>
      <c r="H5" s="102"/>
      <c r="I5" s="102"/>
      <c r="J5" s="103"/>
      <c r="K5" s="103"/>
      <c r="L5" s="103"/>
      <c r="M5" s="103"/>
      <c r="N5" s="103"/>
      <c r="O5" s="103"/>
      <c r="P5" s="103"/>
      <c r="Q5" s="103"/>
      <c r="R5" s="103"/>
      <c r="S5" s="103"/>
      <c r="T5" s="103"/>
      <c r="U5" s="103"/>
    </row>
    <row r="6" spans="1:21">
      <c r="A6" s="55" t="s">
        <v>128</v>
      </c>
      <c r="B6" s="55"/>
      <c r="C6" s="55"/>
      <c r="D6" s="55"/>
      <c r="E6" s="56"/>
      <c r="F6" s="56"/>
      <c r="G6" s="56"/>
      <c r="H6" s="56"/>
      <c r="I6" s="56"/>
      <c r="J6" s="57"/>
      <c r="K6" s="57"/>
      <c r="L6" s="57"/>
      <c r="M6" s="57"/>
      <c r="N6" s="57"/>
      <c r="O6" s="57"/>
      <c r="P6" s="57"/>
      <c r="Q6" s="57"/>
      <c r="R6" s="57"/>
      <c r="S6" s="57"/>
      <c r="T6" s="57"/>
      <c r="U6" s="57"/>
    </row>
    <row r="7" spans="1:21">
      <c r="A7" s="55" t="s">
        <v>157</v>
      </c>
      <c r="B7" s="55"/>
      <c r="C7" s="55"/>
      <c r="D7" s="55"/>
      <c r="E7" s="56"/>
      <c r="F7" s="56"/>
      <c r="G7" s="56"/>
      <c r="H7" s="56"/>
      <c r="I7" s="56"/>
      <c r="J7" s="57"/>
      <c r="K7" s="57"/>
      <c r="L7" s="57"/>
      <c r="M7" s="57"/>
      <c r="N7" s="57"/>
      <c r="O7" s="57"/>
      <c r="P7" s="57"/>
      <c r="Q7" s="57"/>
      <c r="R7" s="57"/>
      <c r="S7" s="57"/>
      <c r="T7" s="57"/>
      <c r="U7" s="57"/>
    </row>
    <row r="8" spans="1:21">
      <c r="A8" s="47" t="s">
        <v>158</v>
      </c>
      <c r="B8" s="47"/>
      <c r="C8" s="47"/>
      <c r="D8" s="47"/>
      <c r="E8" s="48"/>
      <c r="F8" s="48"/>
      <c r="G8" s="48"/>
      <c r="H8" s="48"/>
      <c r="I8" s="48"/>
      <c r="J8" s="49"/>
      <c r="K8" s="49"/>
      <c r="L8" s="49"/>
      <c r="M8" s="49"/>
      <c r="N8" s="49"/>
      <c r="O8" s="49"/>
      <c r="P8" s="49"/>
      <c r="Q8" s="49"/>
      <c r="R8" s="49"/>
      <c r="S8" s="49"/>
      <c r="T8" s="49"/>
      <c r="U8" s="49"/>
    </row>
    <row r="9" spans="1:21">
      <c r="A9" s="47" t="s">
        <v>159</v>
      </c>
      <c r="B9" s="47"/>
      <c r="C9" s="47"/>
      <c r="D9" s="47"/>
      <c r="E9" s="48"/>
      <c r="F9" s="48"/>
      <c r="G9" s="48"/>
      <c r="H9" s="48"/>
      <c r="I9" s="48"/>
      <c r="J9" s="49"/>
      <c r="K9" s="49"/>
      <c r="L9" s="49"/>
      <c r="M9" s="49"/>
      <c r="N9" s="49"/>
      <c r="O9" s="49"/>
      <c r="P9" s="49"/>
      <c r="Q9" s="49"/>
      <c r="R9" s="49"/>
      <c r="S9" s="49"/>
      <c r="T9" s="49"/>
      <c r="U9" s="49"/>
    </row>
    <row r="10" spans="1:21">
      <c r="A10" s="47" t="s">
        <v>42</v>
      </c>
      <c r="B10" s="47"/>
      <c r="C10" s="47"/>
      <c r="D10" s="47"/>
      <c r="E10" s="48"/>
      <c r="F10" s="48"/>
      <c r="G10" s="48"/>
      <c r="H10" s="48"/>
      <c r="I10" s="48"/>
      <c r="J10" s="48"/>
      <c r="K10" s="49"/>
      <c r="L10" s="49"/>
      <c r="M10" s="49"/>
      <c r="N10" s="49"/>
      <c r="O10" s="49"/>
      <c r="P10" s="49"/>
      <c r="Q10" s="49"/>
      <c r="R10" s="49"/>
      <c r="S10" s="49"/>
      <c r="T10" s="49"/>
      <c r="U10" s="49"/>
    </row>
    <row r="11" spans="1:21">
      <c r="A11" s="55" t="s">
        <v>130</v>
      </c>
      <c r="B11" s="55"/>
      <c r="C11" s="55"/>
      <c r="D11" s="55"/>
      <c r="E11" s="56"/>
      <c r="F11" s="56"/>
      <c r="G11" s="56"/>
      <c r="H11" s="56"/>
      <c r="I11" s="56"/>
      <c r="J11" s="57"/>
      <c r="K11" s="57"/>
      <c r="L11" s="57"/>
      <c r="M11" s="57"/>
      <c r="N11" s="57"/>
      <c r="O11" s="57"/>
      <c r="P11" s="57"/>
      <c r="Q11" s="57"/>
      <c r="R11" s="57"/>
      <c r="S11" s="57"/>
      <c r="T11" s="57"/>
      <c r="U11" s="57"/>
    </row>
    <row r="12" spans="1:21">
      <c r="A12" s="107" t="s">
        <v>119</v>
      </c>
      <c r="B12" s="107"/>
      <c r="C12" s="107"/>
      <c r="D12" s="107"/>
      <c r="E12" s="56"/>
      <c r="F12" s="56"/>
      <c r="G12" s="56"/>
      <c r="H12" s="56"/>
      <c r="I12" s="56"/>
      <c r="J12" s="57"/>
      <c r="K12" s="57"/>
      <c r="L12" s="57"/>
      <c r="M12" s="57"/>
      <c r="N12" s="57"/>
      <c r="O12" s="57"/>
      <c r="P12" s="57"/>
      <c r="Q12" s="57"/>
      <c r="R12" s="57"/>
      <c r="S12" s="57"/>
      <c r="T12" s="57"/>
      <c r="U12" s="57"/>
    </row>
    <row r="13" spans="1:21">
      <c r="A13" s="50" t="s">
        <v>160</v>
      </c>
      <c r="B13" s="50"/>
      <c r="C13" s="50"/>
      <c r="D13" s="50"/>
      <c r="E13" s="48"/>
      <c r="F13" s="48"/>
      <c r="G13" s="48"/>
      <c r="H13" s="48"/>
      <c r="I13" s="48"/>
      <c r="J13" s="49"/>
      <c r="K13" s="49"/>
      <c r="L13" s="49"/>
      <c r="M13" s="49"/>
      <c r="N13" s="49"/>
      <c r="O13" s="49"/>
      <c r="P13" s="49"/>
      <c r="Q13" s="49"/>
      <c r="R13" s="49"/>
      <c r="S13" s="49"/>
      <c r="T13" s="49"/>
      <c r="U13" s="49"/>
    </row>
    <row r="14" spans="1:21">
      <c r="A14" s="64" t="s">
        <v>96</v>
      </c>
      <c r="B14" s="64"/>
      <c r="C14" s="64"/>
      <c r="D14" s="64"/>
      <c r="E14" s="65"/>
      <c r="F14" s="65"/>
      <c r="G14" s="65"/>
      <c r="H14" s="65"/>
      <c r="I14" s="65"/>
      <c r="J14" s="66"/>
      <c r="K14" s="66"/>
      <c r="L14" s="66"/>
      <c r="M14" s="66"/>
      <c r="N14" s="66"/>
      <c r="O14" s="66"/>
      <c r="P14" s="66"/>
      <c r="Q14" s="66"/>
      <c r="R14" s="66"/>
      <c r="S14" s="66"/>
      <c r="T14" s="66"/>
      <c r="U14" s="66"/>
    </row>
    <row r="16" spans="1:21">
      <c r="A16" s="50"/>
      <c r="B16" s="50"/>
      <c r="C16" s="50"/>
      <c r="D16" s="50"/>
      <c r="E16" s="163"/>
      <c r="F16" s="163"/>
      <c r="G16" s="163"/>
      <c r="H16" s="164"/>
      <c r="I16" s="164"/>
      <c r="J16" s="164"/>
      <c r="K16" s="164"/>
      <c r="L16" s="164"/>
      <c r="M16" s="164"/>
      <c r="N16" s="164"/>
      <c r="O16" s="164"/>
      <c r="P16" s="164"/>
      <c r="Q16" s="164"/>
      <c r="R16" s="164"/>
      <c r="S16" s="164"/>
      <c r="T16" s="164"/>
      <c r="U16" s="164"/>
    </row>
    <row r="17" spans="1:21">
      <c r="H17" s="165"/>
      <c r="I17" s="165"/>
      <c r="J17" s="164"/>
      <c r="K17" s="164"/>
      <c r="L17" s="164"/>
      <c r="M17" s="164"/>
      <c r="N17" s="164"/>
      <c r="O17" s="164"/>
      <c r="P17" s="164"/>
      <c r="Q17" s="164"/>
      <c r="R17" s="164"/>
      <c r="S17" s="164"/>
      <c r="T17" s="164"/>
      <c r="U17" s="164"/>
    </row>
    <row r="18" spans="1:21" ht="15.75" thickBot="1">
      <c r="A18" s="4" t="s">
        <v>161</v>
      </c>
      <c r="B18" s="4"/>
      <c r="C18" s="4"/>
      <c r="D18" s="4"/>
      <c r="E18" s="166"/>
    </row>
    <row r="19" spans="1:21" s="4" customFormat="1" ht="15.75" thickBot="1">
      <c r="A19" s="72" t="s">
        <v>86</v>
      </c>
      <c r="B19" s="83">
        <f t="shared" ref="B19:U19" si="0">B2</f>
        <v>2015</v>
      </c>
      <c r="C19" s="83">
        <f t="shared" si="0"/>
        <v>2016</v>
      </c>
      <c r="D19" s="83">
        <f t="shared" si="0"/>
        <v>2017</v>
      </c>
      <c r="E19" s="83">
        <f t="shared" si="0"/>
        <v>2018</v>
      </c>
      <c r="F19" s="83">
        <f t="shared" si="0"/>
        <v>2019</v>
      </c>
      <c r="G19" s="83">
        <f t="shared" si="0"/>
        <v>2020</v>
      </c>
      <c r="H19" s="83">
        <f t="shared" si="0"/>
        <v>2021</v>
      </c>
      <c r="I19" s="83">
        <f t="shared" si="0"/>
        <v>2022</v>
      </c>
      <c r="J19" s="83">
        <f t="shared" si="0"/>
        <v>2023</v>
      </c>
      <c r="K19" s="83">
        <f t="shared" si="0"/>
        <v>2024</v>
      </c>
      <c r="L19" s="83">
        <f t="shared" si="0"/>
        <v>2025</v>
      </c>
      <c r="M19" s="83">
        <f t="shared" si="0"/>
        <v>2026</v>
      </c>
      <c r="N19" s="83">
        <f t="shared" si="0"/>
        <v>2027</v>
      </c>
      <c r="O19" s="83">
        <f t="shared" si="0"/>
        <v>2028</v>
      </c>
      <c r="P19" s="83">
        <f t="shared" si="0"/>
        <v>2029</v>
      </c>
      <c r="Q19" s="83">
        <f t="shared" si="0"/>
        <v>2030</v>
      </c>
      <c r="R19" s="83">
        <f t="shared" si="0"/>
        <v>2031</v>
      </c>
      <c r="S19" s="83">
        <f t="shared" si="0"/>
        <v>2032</v>
      </c>
      <c r="T19" s="83">
        <f t="shared" si="0"/>
        <v>2033</v>
      </c>
      <c r="U19" s="83">
        <f t="shared" si="0"/>
        <v>2034</v>
      </c>
    </row>
    <row r="20" spans="1:21">
      <c r="A20" s="5" t="s">
        <v>98</v>
      </c>
      <c r="E20" s="84"/>
      <c r="F20" s="84"/>
      <c r="G20" s="84"/>
      <c r="H20" s="84"/>
      <c r="I20" s="84"/>
      <c r="J20" s="84"/>
      <c r="K20" s="84"/>
      <c r="L20" s="85"/>
      <c r="M20" s="85"/>
      <c r="N20" s="85"/>
      <c r="O20" s="85"/>
      <c r="P20" s="85"/>
      <c r="Q20" s="85"/>
      <c r="R20" s="85"/>
      <c r="S20" s="85"/>
      <c r="T20" s="85"/>
      <c r="U20" s="85"/>
    </row>
    <row r="21" spans="1:21">
      <c r="A21" s="5" t="s">
        <v>99</v>
      </c>
      <c r="E21" s="84"/>
      <c r="F21" s="84"/>
      <c r="G21" s="84"/>
      <c r="H21" s="84"/>
      <c r="I21" s="84"/>
      <c r="J21" s="84"/>
      <c r="K21" s="84"/>
      <c r="L21" s="85"/>
      <c r="M21" s="85"/>
      <c r="N21" s="85"/>
      <c r="O21" s="85"/>
      <c r="P21" s="85"/>
      <c r="Q21" s="85"/>
      <c r="R21" s="85"/>
      <c r="S21" s="85"/>
      <c r="T21" s="85"/>
      <c r="U21" s="85"/>
    </row>
    <row r="22" spans="1:21">
      <c r="A22" s="5" t="s">
        <v>100</v>
      </c>
      <c r="E22" s="84"/>
      <c r="F22" s="84"/>
      <c r="G22" s="84"/>
      <c r="H22" s="84"/>
      <c r="I22" s="84"/>
      <c r="J22" s="84"/>
      <c r="K22" s="84"/>
      <c r="L22" s="85"/>
      <c r="M22" s="85"/>
      <c r="N22" s="85"/>
      <c r="O22" s="85"/>
      <c r="P22" s="85"/>
      <c r="Q22" s="85"/>
      <c r="R22" s="85"/>
      <c r="S22" s="85"/>
      <c r="T22" s="85"/>
      <c r="U22" s="85"/>
    </row>
    <row r="23" spans="1:21">
      <c r="A23" s="5" t="s">
        <v>101</v>
      </c>
      <c r="E23" s="84"/>
      <c r="F23" s="84"/>
      <c r="G23" s="84"/>
      <c r="H23" s="84"/>
      <c r="I23" s="84"/>
      <c r="J23" s="84"/>
      <c r="K23" s="85"/>
      <c r="L23" s="85"/>
      <c r="M23" s="85"/>
      <c r="N23" s="85"/>
      <c r="O23" s="85"/>
      <c r="P23" s="85"/>
      <c r="Q23" s="85"/>
      <c r="R23" s="85"/>
      <c r="S23" s="85"/>
      <c r="T23" s="85"/>
      <c r="U23" s="85"/>
    </row>
    <row r="24" spans="1:21">
      <c r="A24" s="5" t="s">
        <v>102</v>
      </c>
      <c r="E24" s="84"/>
      <c r="F24" s="84"/>
      <c r="G24" s="84"/>
      <c r="H24" s="84"/>
      <c r="I24" s="84"/>
      <c r="J24" s="84"/>
      <c r="K24" s="85"/>
      <c r="L24" s="85"/>
      <c r="M24" s="85"/>
      <c r="N24" s="85"/>
      <c r="O24" s="85"/>
      <c r="P24" s="85"/>
      <c r="Q24" s="85"/>
      <c r="R24" s="85"/>
      <c r="S24" s="85"/>
      <c r="T24" s="85"/>
      <c r="U24" s="85"/>
    </row>
    <row r="25" spans="1:21">
      <c r="A25" s="5" t="s">
        <v>103</v>
      </c>
      <c r="E25" s="84"/>
      <c r="F25" s="84"/>
      <c r="G25" s="84"/>
      <c r="H25" s="84"/>
      <c r="I25" s="84"/>
      <c r="J25" s="84"/>
      <c r="K25" s="85"/>
      <c r="L25" s="85"/>
      <c r="M25" s="85"/>
      <c r="N25" s="85"/>
      <c r="O25" s="85"/>
      <c r="P25" s="85"/>
      <c r="Q25" s="85"/>
      <c r="R25" s="85"/>
      <c r="S25" s="85"/>
      <c r="T25" s="85"/>
      <c r="U25" s="85"/>
    </row>
    <row r="26" spans="1:21">
      <c r="A26" s="5" t="s">
        <v>104</v>
      </c>
      <c r="E26" s="84"/>
      <c r="F26" s="84"/>
      <c r="G26" s="84"/>
      <c r="H26" s="84"/>
      <c r="I26" s="84"/>
      <c r="J26" s="84"/>
      <c r="K26" s="85"/>
      <c r="L26" s="85"/>
      <c r="M26" s="85"/>
      <c r="N26" s="85"/>
      <c r="O26" s="85"/>
      <c r="P26" s="85"/>
      <c r="Q26" s="85"/>
      <c r="R26" s="85"/>
      <c r="S26" s="85"/>
      <c r="T26" s="85"/>
      <c r="U26" s="85"/>
    </row>
    <row r="27" spans="1:21">
      <c r="A27" s="5" t="s">
        <v>105</v>
      </c>
      <c r="E27" s="84"/>
      <c r="F27" s="84"/>
      <c r="G27" s="84"/>
      <c r="H27" s="84"/>
      <c r="I27" s="84"/>
      <c r="J27" s="84"/>
      <c r="K27" s="85"/>
      <c r="L27" s="85"/>
      <c r="M27" s="85"/>
      <c r="N27" s="85"/>
      <c r="O27" s="85"/>
      <c r="P27" s="85"/>
      <c r="Q27" s="85"/>
      <c r="R27" s="85"/>
      <c r="S27" s="85"/>
      <c r="T27" s="85"/>
      <c r="U27" s="85"/>
    </row>
    <row r="28" spans="1:21">
      <c r="A28" s="5" t="s">
        <v>106</v>
      </c>
      <c r="E28" s="84"/>
      <c r="F28" s="84"/>
      <c r="G28" s="84"/>
      <c r="H28" s="84"/>
      <c r="I28" s="84"/>
      <c r="J28" s="84"/>
      <c r="K28" s="85"/>
      <c r="L28" s="85"/>
      <c r="M28" s="85"/>
      <c r="N28" s="85"/>
      <c r="O28" s="85"/>
      <c r="P28" s="85"/>
      <c r="Q28" s="85"/>
      <c r="R28" s="85"/>
      <c r="S28" s="85"/>
      <c r="T28" s="85"/>
      <c r="U28" s="85"/>
    </row>
    <row r="29" spans="1:21">
      <c r="A29" s="5" t="s">
        <v>107</v>
      </c>
      <c r="E29" s="84"/>
      <c r="F29" s="84"/>
      <c r="G29" s="84"/>
      <c r="H29" s="84"/>
      <c r="I29" s="84"/>
      <c r="J29" s="84"/>
      <c r="K29" s="85"/>
      <c r="L29" s="85"/>
      <c r="M29" s="85"/>
      <c r="N29" s="85"/>
      <c r="O29" s="85"/>
      <c r="P29" s="85"/>
      <c r="Q29" s="85"/>
      <c r="R29" s="85"/>
      <c r="S29" s="85"/>
      <c r="T29" s="85"/>
      <c r="U29" s="85"/>
    </row>
    <row r="30" spans="1:21">
      <c r="A30" s="5" t="s">
        <v>108</v>
      </c>
      <c r="E30" s="84"/>
      <c r="F30" s="84"/>
      <c r="G30" s="84"/>
      <c r="H30" s="84"/>
      <c r="I30" s="84"/>
      <c r="J30" s="84"/>
      <c r="K30" s="85"/>
      <c r="L30" s="85"/>
      <c r="M30" s="85"/>
      <c r="N30" s="85"/>
      <c r="O30" s="85"/>
      <c r="P30" s="85"/>
      <c r="Q30" s="85"/>
      <c r="R30" s="85"/>
      <c r="S30" s="85"/>
      <c r="T30" s="85"/>
      <c r="U30" s="85"/>
    </row>
    <row r="31" spans="1:21">
      <c r="A31" s="5" t="s">
        <v>109</v>
      </c>
      <c r="E31" s="84"/>
      <c r="F31" s="84"/>
      <c r="G31" s="84"/>
      <c r="H31" s="84"/>
      <c r="I31" s="84"/>
      <c r="J31" s="84"/>
      <c r="K31" s="85"/>
      <c r="L31" s="85"/>
      <c r="M31" s="85"/>
      <c r="N31" s="85"/>
      <c r="O31" s="85"/>
      <c r="P31" s="85"/>
      <c r="Q31" s="85"/>
      <c r="R31" s="85"/>
      <c r="S31" s="85"/>
      <c r="T31" s="85"/>
      <c r="U31" s="85"/>
    </row>
    <row r="32" spans="1:21">
      <c r="A32" s="77" t="s">
        <v>110</v>
      </c>
      <c r="B32" s="77"/>
      <c r="C32" s="77"/>
      <c r="D32" s="77"/>
      <c r="E32" s="86"/>
      <c r="F32" s="86"/>
      <c r="G32" s="86"/>
      <c r="H32" s="86"/>
      <c r="I32" s="86"/>
      <c r="J32" s="86"/>
      <c r="K32" s="87"/>
      <c r="L32" s="87"/>
      <c r="M32" s="87"/>
      <c r="N32" s="87"/>
      <c r="O32" s="87"/>
      <c r="P32" s="87"/>
      <c r="Q32" s="87"/>
      <c r="R32" s="87"/>
      <c r="S32" s="87"/>
      <c r="T32" s="87"/>
      <c r="U32" s="87"/>
    </row>
    <row r="33" spans="1:21">
      <c r="J33" s="167"/>
      <c r="K33" s="167"/>
      <c r="L33" s="167"/>
    </row>
    <row r="34" spans="1:21" ht="15.75" thickBot="1">
      <c r="A34" s="4" t="s">
        <v>162</v>
      </c>
      <c r="B34" s="4"/>
      <c r="C34" s="4"/>
      <c r="D34" s="4"/>
    </row>
    <row r="35" spans="1:21" s="4" customFormat="1" ht="15.75" thickBot="1">
      <c r="A35" s="72" t="s">
        <v>86</v>
      </c>
      <c r="B35" s="83">
        <f t="shared" ref="B35:U35" si="1">B2</f>
        <v>2015</v>
      </c>
      <c r="C35" s="83">
        <f t="shared" si="1"/>
        <v>2016</v>
      </c>
      <c r="D35" s="83">
        <f t="shared" si="1"/>
        <v>2017</v>
      </c>
      <c r="E35" s="83">
        <f t="shared" si="1"/>
        <v>2018</v>
      </c>
      <c r="F35" s="83">
        <f t="shared" si="1"/>
        <v>2019</v>
      </c>
      <c r="G35" s="83">
        <f t="shared" si="1"/>
        <v>2020</v>
      </c>
      <c r="H35" s="83">
        <f t="shared" si="1"/>
        <v>2021</v>
      </c>
      <c r="I35" s="83">
        <f t="shared" si="1"/>
        <v>2022</v>
      </c>
      <c r="J35" s="83">
        <f t="shared" si="1"/>
        <v>2023</v>
      </c>
      <c r="K35" s="83">
        <f t="shared" si="1"/>
        <v>2024</v>
      </c>
      <c r="L35" s="83">
        <f t="shared" si="1"/>
        <v>2025</v>
      </c>
      <c r="M35" s="83">
        <f t="shared" si="1"/>
        <v>2026</v>
      </c>
      <c r="N35" s="83">
        <f t="shared" si="1"/>
        <v>2027</v>
      </c>
      <c r="O35" s="83">
        <f t="shared" si="1"/>
        <v>2028</v>
      </c>
      <c r="P35" s="83">
        <f t="shared" si="1"/>
        <v>2029</v>
      </c>
      <c r="Q35" s="83">
        <f t="shared" si="1"/>
        <v>2030</v>
      </c>
      <c r="R35" s="83">
        <f t="shared" si="1"/>
        <v>2031</v>
      </c>
      <c r="S35" s="83">
        <f t="shared" si="1"/>
        <v>2032</v>
      </c>
      <c r="T35" s="83">
        <f t="shared" si="1"/>
        <v>2033</v>
      </c>
      <c r="U35" s="83">
        <f t="shared" si="1"/>
        <v>2034</v>
      </c>
    </row>
    <row r="36" spans="1:21">
      <c r="A36" s="5" t="s">
        <v>98</v>
      </c>
      <c r="E36" s="115"/>
      <c r="F36" s="115"/>
      <c r="G36" s="115"/>
      <c r="H36" s="115"/>
      <c r="I36" s="115"/>
      <c r="J36" s="115"/>
      <c r="K36" s="115"/>
      <c r="L36" s="85"/>
      <c r="M36" s="85"/>
      <c r="N36" s="85"/>
      <c r="O36" s="85"/>
      <c r="P36" s="85"/>
      <c r="Q36" s="85"/>
      <c r="R36" s="85"/>
      <c r="S36" s="85"/>
      <c r="T36" s="85"/>
      <c r="U36" s="85"/>
    </row>
    <row r="37" spans="1:21">
      <c r="A37" s="5" t="s">
        <v>99</v>
      </c>
      <c r="E37" s="115"/>
      <c r="F37" s="115"/>
      <c r="G37" s="115"/>
      <c r="H37" s="115"/>
      <c r="I37" s="115"/>
      <c r="J37" s="115"/>
      <c r="K37" s="115"/>
      <c r="L37" s="85"/>
      <c r="M37" s="85"/>
      <c r="N37" s="85"/>
      <c r="O37" s="85"/>
      <c r="P37" s="85"/>
      <c r="Q37" s="85"/>
      <c r="R37" s="85"/>
      <c r="S37" s="85"/>
      <c r="T37" s="85"/>
      <c r="U37" s="85"/>
    </row>
    <row r="38" spans="1:21">
      <c r="A38" s="5" t="s">
        <v>100</v>
      </c>
      <c r="E38" s="115"/>
      <c r="F38" s="115"/>
      <c r="G38" s="115"/>
      <c r="H38" s="115"/>
      <c r="I38" s="115"/>
      <c r="J38" s="115"/>
      <c r="K38" s="115"/>
      <c r="L38" s="85"/>
      <c r="M38" s="85"/>
      <c r="N38" s="85"/>
      <c r="O38" s="85"/>
      <c r="P38" s="85"/>
      <c r="Q38" s="85"/>
      <c r="R38" s="85"/>
      <c r="S38" s="85"/>
      <c r="T38" s="85"/>
      <c r="U38" s="85"/>
    </row>
    <row r="39" spans="1:21">
      <c r="A39" s="5" t="s">
        <v>101</v>
      </c>
      <c r="E39" s="115"/>
      <c r="F39" s="115"/>
      <c r="G39" s="115"/>
      <c r="H39" s="115"/>
      <c r="I39" s="115"/>
      <c r="J39" s="115"/>
      <c r="K39" s="85"/>
      <c r="L39" s="85"/>
      <c r="M39" s="85"/>
      <c r="N39" s="85"/>
      <c r="O39" s="85"/>
      <c r="P39" s="85"/>
      <c r="Q39" s="85"/>
      <c r="R39" s="85"/>
      <c r="S39" s="85"/>
      <c r="T39" s="85"/>
      <c r="U39" s="85"/>
    </row>
    <row r="40" spans="1:21">
      <c r="A40" s="5" t="s">
        <v>102</v>
      </c>
      <c r="E40" s="115"/>
      <c r="F40" s="115"/>
      <c r="G40" s="115"/>
      <c r="H40" s="115"/>
      <c r="I40" s="115"/>
      <c r="J40" s="115"/>
      <c r="K40" s="85"/>
      <c r="L40" s="85"/>
      <c r="M40" s="85"/>
      <c r="N40" s="85"/>
      <c r="O40" s="85"/>
      <c r="P40" s="85"/>
      <c r="Q40" s="85"/>
      <c r="R40" s="85"/>
      <c r="S40" s="85"/>
      <c r="T40" s="85"/>
      <c r="U40" s="85"/>
    </row>
    <row r="41" spans="1:21">
      <c r="A41" s="5" t="s">
        <v>103</v>
      </c>
      <c r="E41" s="115"/>
      <c r="F41" s="115"/>
      <c r="G41" s="115"/>
      <c r="H41" s="115"/>
      <c r="I41" s="115"/>
      <c r="J41" s="115"/>
      <c r="K41" s="85"/>
      <c r="L41" s="85"/>
      <c r="M41" s="85"/>
      <c r="N41" s="85"/>
      <c r="O41" s="85"/>
      <c r="P41" s="85"/>
      <c r="Q41" s="85"/>
      <c r="R41" s="85"/>
      <c r="S41" s="85"/>
      <c r="T41" s="85"/>
      <c r="U41" s="85"/>
    </row>
    <row r="42" spans="1:21">
      <c r="A42" s="5" t="s">
        <v>104</v>
      </c>
      <c r="E42" s="115"/>
      <c r="F42" s="115"/>
      <c r="G42" s="115"/>
      <c r="H42" s="115"/>
      <c r="I42" s="115"/>
      <c r="J42" s="115"/>
      <c r="K42" s="85"/>
      <c r="L42" s="85"/>
      <c r="M42" s="85"/>
      <c r="N42" s="85"/>
      <c r="O42" s="85"/>
      <c r="P42" s="85"/>
      <c r="Q42" s="85"/>
      <c r="R42" s="85"/>
      <c r="S42" s="85"/>
      <c r="T42" s="85"/>
      <c r="U42" s="85"/>
    </row>
    <row r="43" spans="1:21">
      <c r="A43" s="5" t="s">
        <v>105</v>
      </c>
      <c r="E43" s="115"/>
      <c r="F43" s="115"/>
      <c r="G43" s="115"/>
      <c r="H43" s="115"/>
      <c r="I43" s="115"/>
      <c r="J43" s="115"/>
      <c r="K43" s="85"/>
      <c r="L43" s="85"/>
      <c r="M43" s="85"/>
      <c r="N43" s="85"/>
      <c r="O43" s="85"/>
      <c r="P43" s="85"/>
      <c r="Q43" s="85"/>
      <c r="R43" s="85"/>
      <c r="S43" s="85"/>
      <c r="T43" s="85"/>
      <c r="U43" s="85"/>
    </row>
    <row r="44" spans="1:21">
      <c r="A44" s="5" t="s">
        <v>106</v>
      </c>
      <c r="E44" s="115"/>
      <c r="F44" s="115"/>
      <c r="G44" s="115"/>
      <c r="H44" s="115"/>
      <c r="I44" s="115"/>
      <c r="J44" s="115"/>
      <c r="K44" s="85"/>
      <c r="L44" s="85"/>
      <c r="M44" s="85"/>
      <c r="N44" s="85"/>
      <c r="O44" s="85"/>
      <c r="P44" s="85"/>
      <c r="Q44" s="85"/>
      <c r="R44" s="85"/>
      <c r="S44" s="85"/>
      <c r="T44" s="85"/>
      <c r="U44" s="85"/>
    </row>
    <row r="45" spans="1:21">
      <c r="A45" s="5" t="s">
        <v>107</v>
      </c>
      <c r="E45" s="115"/>
      <c r="F45" s="115"/>
      <c r="G45" s="115"/>
      <c r="H45" s="115"/>
      <c r="I45" s="115"/>
      <c r="J45" s="115"/>
      <c r="K45" s="85"/>
      <c r="L45" s="85"/>
      <c r="M45" s="85"/>
      <c r="N45" s="85"/>
      <c r="O45" s="85"/>
      <c r="P45" s="85"/>
      <c r="Q45" s="85"/>
      <c r="R45" s="85"/>
      <c r="S45" s="85"/>
      <c r="T45" s="85"/>
      <c r="U45" s="85"/>
    </row>
    <row r="46" spans="1:21">
      <c r="A46" s="5" t="s">
        <v>108</v>
      </c>
      <c r="E46" s="115"/>
      <c r="F46" s="115"/>
      <c r="G46" s="115"/>
      <c r="H46" s="115"/>
      <c r="I46" s="115"/>
      <c r="J46" s="115"/>
      <c r="K46" s="85"/>
      <c r="L46" s="85"/>
      <c r="M46" s="85"/>
      <c r="N46" s="85"/>
      <c r="O46" s="85"/>
      <c r="P46" s="85"/>
      <c r="Q46" s="85"/>
      <c r="R46" s="85"/>
      <c r="S46" s="85"/>
      <c r="T46" s="85"/>
      <c r="U46" s="85"/>
    </row>
    <row r="47" spans="1:21">
      <c r="A47" s="5" t="s">
        <v>109</v>
      </c>
      <c r="E47" s="115"/>
      <c r="F47" s="115"/>
      <c r="G47" s="115"/>
      <c r="H47" s="115"/>
      <c r="I47" s="115"/>
      <c r="J47" s="115"/>
      <c r="K47" s="85"/>
      <c r="L47" s="85"/>
      <c r="M47" s="85"/>
      <c r="N47" s="85"/>
      <c r="O47" s="85"/>
      <c r="P47" s="85"/>
      <c r="Q47" s="85"/>
      <c r="R47" s="85"/>
      <c r="S47" s="85"/>
      <c r="T47" s="85"/>
      <c r="U47" s="85"/>
    </row>
    <row r="48" spans="1:21">
      <c r="A48" s="77" t="s">
        <v>110</v>
      </c>
      <c r="B48" s="77"/>
      <c r="C48" s="77"/>
      <c r="D48" s="77"/>
      <c r="E48" s="86"/>
      <c r="F48" s="86"/>
      <c r="G48" s="86"/>
      <c r="H48" s="86"/>
      <c r="I48" s="86"/>
      <c r="J48" s="86"/>
      <c r="K48" s="87"/>
      <c r="L48" s="87"/>
      <c r="M48" s="87"/>
      <c r="N48" s="87"/>
      <c r="O48" s="87"/>
      <c r="P48" s="87"/>
      <c r="Q48" s="87"/>
      <c r="R48" s="87"/>
      <c r="S48" s="87"/>
      <c r="T48" s="87"/>
      <c r="U48" s="87"/>
    </row>
    <row r="50" spans="1:21" ht="15.75" thickBot="1">
      <c r="A50" s="4" t="s">
        <v>163</v>
      </c>
      <c r="B50" s="4"/>
      <c r="C50" s="4"/>
      <c r="D50" s="4"/>
    </row>
    <row r="51" spans="1:21" ht="15.75" thickBot="1">
      <c r="A51" s="72" t="s">
        <v>86</v>
      </c>
      <c r="B51" s="83">
        <f>B35</f>
        <v>2015</v>
      </c>
      <c r="C51" s="83">
        <f>C35</f>
        <v>2016</v>
      </c>
      <c r="D51" s="83">
        <f>D35</f>
        <v>2017</v>
      </c>
      <c r="E51" s="83">
        <f t="shared" ref="E51:T51" si="2">E35</f>
        <v>2018</v>
      </c>
      <c r="F51" s="83">
        <f t="shared" si="2"/>
        <v>2019</v>
      </c>
      <c r="G51" s="83">
        <f t="shared" si="2"/>
        <v>2020</v>
      </c>
      <c r="H51" s="83">
        <f t="shared" si="2"/>
        <v>2021</v>
      </c>
      <c r="I51" s="83">
        <f t="shared" si="2"/>
        <v>2022</v>
      </c>
      <c r="J51" s="83">
        <f t="shared" si="2"/>
        <v>2023</v>
      </c>
      <c r="K51" s="83">
        <f t="shared" si="2"/>
        <v>2024</v>
      </c>
      <c r="L51" s="83">
        <f t="shared" si="2"/>
        <v>2025</v>
      </c>
      <c r="M51" s="83">
        <f t="shared" si="2"/>
        <v>2026</v>
      </c>
      <c r="N51" s="83">
        <f t="shared" si="2"/>
        <v>2027</v>
      </c>
      <c r="O51" s="83">
        <f t="shared" si="2"/>
        <v>2028</v>
      </c>
      <c r="P51" s="83">
        <f t="shared" si="2"/>
        <v>2029</v>
      </c>
      <c r="Q51" s="83">
        <f t="shared" si="2"/>
        <v>2030</v>
      </c>
      <c r="R51" s="83">
        <f t="shared" si="2"/>
        <v>2031</v>
      </c>
      <c r="S51" s="83">
        <f t="shared" si="2"/>
        <v>2032</v>
      </c>
      <c r="T51" s="83">
        <f t="shared" si="2"/>
        <v>2033</v>
      </c>
      <c r="U51" s="83">
        <f>U35</f>
        <v>2034</v>
      </c>
    </row>
    <row r="52" spans="1:21">
      <c r="A52" s="5" t="s">
        <v>98</v>
      </c>
      <c r="E52" s="115"/>
      <c r="F52" s="115"/>
      <c r="G52" s="115"/>
      <c r="H52" s="115"/>
      <c r="I52" s="115"/>
      <c r="J52" s="115"/>
      <c r="K52" s="115"/>
      <c r="L52" s="71"/>
      <c r="M52" s="71"/>
      <c r="N52" s="71"/>
      <c r="O52" s="71"/>
      <c r="P52" s="71"/>
      <c r="Q52" s="71"/>
      <c r="R52" s="71"/>
      <c r="S52" s="71"/>
      <c r="T52" s="71"/>
      <c r="U52" s="71"/>
    </row>
    <row r="53" spans="1:21">
      <c r="A53" s="5" t="s">
        <v>99</v>
      </c>
      <c r="E53" s="115"/>
      <c r="F53" s="115"/>
      <c r="G53" s="115"/>
      <c r="H53" s="115"/>
      <c r="I53" s="115"/>
      <c r="J53" s="115"/>
      <c r="K53" s="115"/>
      <c r="L53" s="71"/>
      <c r="M53" s="71"/>
      <c r="N53" s="71"/>
      <c r="O53" s="71"/>
      <c r="P53" s="71"/>
      <c r="Q53" s="71"/>
      <c r="R53" s="71"/>
      <c r="S53" s="71"/>
      <c r="T53" s="71"/>
      <c r="U53" s="71"/>
    </row>
    <row r="54" spans="1:21">
      <c r="A54" s="5" t="s">
        <v>100</v>
      </c>
      <c r="E54" s="115"/>
      <c r="F54" s="115"/>
      <c r="G54" s="115"/>
      <c r="H54" s="115"/>
      <c r="I54" s="115"/>
      <c r="J54" s="115"/>
      <c r="K54" s="115"/>
      <c r="L54" s="71"/>
      <c r="M54" s="71"/>
      <c r="N54" s="71"/>
      <c r="O54" s="71"/>
      <c r="P54" s="71"/>
      <c r="Q54" s="71"/>
      <c r="R54" s="71"/>
      <c r="S54" s="71"/>
      <c r="T54" s="71"/>
      <c r="U54" s="71"/>
    </row>
    <row r="55" spans="1:21">
      <c r="A55" s="5" t="s">
        <v>101</v>
      </c>
      <c r="E55" s="115"/>
      <c r="F55" s="115"/>
      <c r="G55" s="115"/>
      <c r="H55" s="115"/>
      <c r="I55" s="115"/>
      <c r="J55" s="115"/>
      <c r="K55" s="71"/>
      <c r="L55" s="71"/>
      <c r="M55" s="71"/>
      <c r="N55" s="71"/>
      <c r="O55" s="71"/>
      <c r="P55" s="71"/>
      <c r="Q55" s="71"/>
      <c r="R55" s="71"/>
      <c r="S55" s="71"/>
      <c r="T55" s="71"/>
      <c r="U55" s="71"/>
    </row>
    <row r="56" spans="1:21">
      <c r="A56" s="5" t="s">
        <v>102</v>
      </c>
      <c r="E56" s="115"/>
      <c r="F56" s="115"/>
      <c r="G56" s="115"/>
      <c r="H56" s="115"/>
      <c r="I56" s="115"/>
      <c r="J56" s="115"/>
      <c r="K56" s="71"/>
      <c r="L56" s="71"/>
      <c r="M56" s="71"/>
      <c r="N56" s="71"/>
      <c r="O56" s="71"/>
      <c r="P56" s="71"/>
      <c r="Q56" s="71"/>
      <c r="R56" s="71"/>
      <c r="S56" s="71"/>
      <c r="T56" s="71"/>
      <c r="U56" s="71"/>
    </row>
    <row r="57" spans="1:21">
      <c r="A57" s="5" t="s">
        <v>103</v>
      </c>
      <c r="E57" s="115"/>
      <c r="F57" s="115"/>
      <c r="G57" s="115"/>
      <c r="H57" s="115"/>
      <c r="I57" s="115"/>
      <c r="J57" s="115"/>
      <c r="K57" s="71"/>
      <c r="L57" s="71"/>
      <c r="M57" s="71"/>
      <c r="N57" s="71"/>
      <c r="O57" s="71"/>
      <c r="P57" s="71"/>
      <c r="Q57" s="71"/>
      <c r="R57" s="71"/>
      <c r="S57" s="71"/>
      <c r="T57" s="71"/>
      <c r="U57" s="71"/>
    </row>
    <row r="58" spans="1:21">
      <c r="A58" s="5" t="s">
        <v>104</v>
      </c>
      <c r="E58" s="115"/>
      <c r="F58" s="115"/>
      <c r="G58" s="115"/>
      <c r="H58" s="115"/>
      <c r="I58" s="115"/>
      <c r="J58" s="115"/>
      <c r="K58" s="71"/>
      <c r="L58" s="71"/>
      <c r="M58" s="71"/>
      <c r="N58" s="71"/>
      <c r="O58" s="71"/>
      <c r="P58" s="71"/>
      <c r="Q58" s="71"/>
      <c r="R58" s="71"/>
      <c r="S58" s="71"/>
      <c r="T58" s="71"/>
      <c r="U58" s="71"/>
    </row>
    <row r="59" spans="1:21">
      <c r="A59" s="5" t="s">
        <v>105</v>
      </c>
      <c r="E59" s="115"/>
      <c r="F59" s="115"/>
      <c r="G59" s="115"/>
      <c r="H59" s="115"/>
      <c r="I59" s="115"/>
      <c r="J59" s="115"/>
      <c r="K59" s="71"/>
      <c r="L59" s="71"/>
      <c r="M59" s="71"/>
      <c r="N59" s="71"/>
      <c r="O59" s="71"/>
      <c r="P59" s="71"/>
      <c r="Q59" s="71"/>
      <c r="R59" s="71"/>
      <c r="S59" s="71"/>
      <c r="T59" s="71"/>
      <c r="U59" s="71"/>
    </row>
    <row r="60" spans="1:21">
      <c r="A60" s="5" t="s">
        <v>106</v>
      </c>
      <c r="E60" s="115"/>
      <c r="F60" s="115"/>
      <c r="G60" s="115"/>
      <c r="H60" s="115"/>
      <c r="I60" s="115"/>
      <c r="J60" s="115"/>
      <c r="K60" s="71"/>
      <c r="L60" s="71"/>
      <c r="M60" s="71"/>
      <c r="N60" s="71"/>
      <c r="O60" s="71"/>
      <c r="P60" s="71"/>
      <c r="Q60" s="71"/>
      <c r="R60" s="71"/>
      <c r="S60" s="71"/>
      <c r="T60" s="71"/>
      <c r="U60" s="71"/>
    </row>
    <row r="61" spans="1:21">
      <c r="A61" s="5" t="s">
        <v>107</v>
      </c>
      <c r="E61" s="115"/>
      <c r="F61" s="115"/>
      <c r="G61" s="115"/>
      <c r="H61" s="115"/>
      <c r="I61" s="115"/>
      <c r="J61" s="115"/>
      <c r="K61" s="71"/>
      <c r="L61" s="71"/>
      <c r="M61" s="71"/>
      <c r="N61" s="71"/>
      <c r="O61" s="71"/>
      <c r="P61" s="71"/>
      <c r="Q61" s="71"/>
      <c r="R61" s="71"/>
      <c r="S61" s="71"/>
      <c r="T61" s="71"/>
      <c r="U61" s="71"/>
    </row>
    <row r="62" spans="1:21">
      <c r="A62" s="5" t="s">
        <v>108</v>
      </c>
      <c r="E62" s="115"/>
      <c r="F62" s="115"/>
      <c r="G62" s="115"/>
      <c r="H62" s="115"/>
      <c r="I62" s="115"/>
      <c r="J62" s="115"/>
      <c r="K62" s="71"/>
      <c r="L62" s="71"/>
      <c r="M62" s="71"/>
      <c r="N62" s="71"/>
      <c r="O62" s="71"/>
      <c r="P62" s="71"/>
      <c r="Q62" s="71"/>
      <c r="R62" s="71"/>
      <c r="S62" s="71"/>
      <c r="T62" s="71"/>
      <c r="U62" s="71"/>
    </row>
    <row r="63" spans="1:21">
      <c r="A63" s="5" t="s">
        <v>109</v>
      </c>
      <c r="E63" s="115"/>
      <c r="F63" s="115"/>
      <c r="G63" s="115"/>
      <c r="H63" s="115"/>
      <c r="I63" s="115"/>
      <c r="J63" s="115"/>
      <c r="K63" s="71"/>
      <c r="L63" s="71"/>
      <c r="M63" s="71"/>
      <c r="N63" s="71"/>
      <c r="O63" s="71"/>
      <c r="P63" s="71"/>
      <c r="Q63" s="71"/>
      <c r="R63" s="71"/>
      <c r="S63" s="71"/>
      <c r="T63" s="71"/>
      <c r="U63" s="71"/>
    </row>
    <row r="64" spans="1:21" ht="15.75" thickBot="1">
      <c r="A64" s="5" t="s">
        <v>110</v>
      </c>
      <c r="E64" s="115"/>
      <c r="F64" s="115"/>
      <c r="G64" s="115"/>
      <c r="H64" s="115"/>
      <c r="I64" s="115"/>
      <c r="J64" s="115"/>
      <c r="K64" s="71"/>
      <c r="L64" s="71"/>
      <c r="M64" s="71"/>
      <c r="N64" s="71"/>
      <c r="O64" s="71"/>
      <c r="P64" s="71"/>
      <c r="Q64" s="71"/>
      <c r="R64" s="71"/>
      <c r="S64" s="71"/>
      <c r="T64" s="71"/>
      <c r="U64" s="71"/>
    </row>
    <row r="65" spans="1:21">
      <c r="A65" s="168"/>
      <c r="B65" s="168"/>
      <c r="C65" s="168"/>
      <c r="D65" s="168"/>
      <c r="E65" s="168"/>
      <c r="F65" s="168"/>
      <c r="G65" s="168"/>
      <c r="H65" s="168"/>
      <c r="I65" s="168"/>
      <c r="J65" s="168"/>
      <c r="K65" s="168"/>
      <c r="L65" s="168"/>
      <c r="M65" s="168"/>
      <c r="N65" s="168"/>
      <c r="O65" s="168"/>
      <c r="P65" s="168"/>
      <c r="Q65" s="168"/>
      <c r="R65" s="168"/>
      <c r="S65" s="168"/>
      <c r="T65" s="168"/>
      <c r="U65" s="168"/>
    </row>
    <row r="66" spans="1:21" ht="15.75" thickBot="1">
      <c r="A66" s="4" t="s">
        <v>164</v>
      </c>
      <c r="B66" s="4"/>
      <c r="C66" s="4"/>
      <c r="D66" s="4"/>
    </row>
    <row r="67" spans="1:21" s="4" customFormat="1" ht="15.75" thickBot="1">
      <c r="A67" s="72" t="s">
        <v>86</v>
      </c>
      <c r="B67" s="83">
        <f>B$2</f>
        <v>2015</v>
      </c>
      <c r="C67" s="83">
        <f>C$2</f>
        <v>2016</v>
      </c>
      <c r="D67" s="83">
        <f>D$2</f>
        <v>2017</v>
      </c>
      <c r="E67" s="83">
        <f t="shared" ref="E67:U67" si="3">E$2</f>
        <v>2018</v>
      </c>
      <c r="F67" s="83">
        <f t="shared" si="3"/>
        <v>2019</v>
      </c>
      <c r="G67" s="83">
        <f t="shared" si="3"/>
        <v>2020</v>
      </c>
      <c r="H67" s="83">
        <f t="shared" si="3"/>
        <v>2021</v>
      </c>
      <c r="I67" s="83">
        <f t="shared" si="3"/>
        <v>2022</v>
      </c>
      <c r="J67" s="83">
        <f t="shared" si="3"/>
        <v>2023</v>
      </c>
      <c r="K67" s="83">
        <f t="shared" si="3"/>
        <v>2024</v>
      </c>
      <c r="L67" s="83">
        <f t="shared" si="3"/>
        <v>2025</v>
      </c>
      <c r="M67" s="83">
        <f t="shared" si="3"/>
        <v>2026</v>
      </c>
      <c r="N67" s="83">
        <f t="shared" si="3"/>
        <v>2027</v>
      </c>
      <c r="O67" s="83">
        <f t="shared" si="3"/>
        <v>2028</v>
      </c>
      <c r="P67" s="83">
        <f t="shared" si="3"/>
        <v>2029</v>
      </c>
      <c r="Q67" s="83">
        <f t="shared" si="3"/>
        <v>2030</v>
      </c>
      <c r="R67" s="83">
        <f t="shared" si="3"/>
        <v>2031</v>
      </c>
      <c r="S67" s="83">
        <f t="shared" si="3"/>
        <v>2032</v>
      </c>
      <c r="T67" s="83">
        <f t="shared" si="3"/>
        <v>2033</v>
      </c>
      <c r="U67" s="83">
        <f t="shared" si="3"/>
        <v>2034</v>
      </c>
    </row>
    <row r="68" spans="1:21">
      <c r="A68" s="5" t="s">
        <v>98</v>
      </c>
      <c r="D68" s="54"/>
      <c r="E68" s="169"/>
      <c r="F68" s="169"/>
      <c r="G68" s="169"/>
      <c r="H68" s="169"/>
      <c r="I68" s="169"/>
      <c r="J68" s="169"/>
      <c r="K68" s="169"/>
      <c r="L68" s="170"/>
      <c r="M68" s="170"/>
      <c r="N68" s="170"/>
      <c r="O68" s="170"/>
      <c r="P68" s="170"/>
      <c r="Q68" s="170"/>
      <c r="R68" s="170"/>
      <c r="S68" s="170"/>
      <c r="T68" s="170"/>
      <c r="U68" s="170"/>
    </row>
    <row r="69" spans="1:21">
      <c r="A69" s="5" t="s">
        <v>99</v>
      </c>
      <c r="D69" s="54"/>
      <c r="E69" s="169"/>
      <c r="F69" s="169"/>
      <c r="G69" s="169"/>
      <c r="H69" s="169"/>
      <c r="I69" s="169"/>
      <c r="J69" s="169"/>
      <c r="K69" s="170"/>
      <c r="L69" s="170"/>
      <c r="M69" s="170"/>
      <c r="N69" s="170"/>
      <c r="O69" s="170"/>
      <c r="P69" s="170"/>
      <c r="Q69" s="170"/>
      <c r="R69" s="170"/>
      <c r="S69" s="170"/>
      <c r="T69" s="170"/>
      <c r="U69" s="170"/>
    </row>
    <row r="70" spans="1:21">
      <c r="A70" s="5" t="s">
        <v>100</v>
      </c>
      <c r="D70" s="54"/>
      <c r="E70" s="169"/>
      <c r="F70" s="169"/>
      <c r="G70" s="169"/>
      <c r="H70" s="169"/>
      <c r="I70" s="169"/>
      <c r="J70" s="169"/>
      <c r="K70" s="170"/>
      <c r="L70" s="170"/>
      <c r="M70" s="170"/>
      <c r="N70" s="170"/>
      <c r="O70" s="170"/>
      <c r="P70" s="170"/>
      <c r="Q70" s="170"/>
      <c r="R70" s="170"/>
      <c r="S70" s="170"/>
      <c r="T70" s="170"/>
      <c r="U70" s="170"/>
    </row>
    <row r="71" spans="1:21">
      <c r="A71" s="5" t="s">
        <v>101</v>
      </c>
      <c r="D71" s="54"/>
      <c r="E71" s="169"/>
      <c r="F71" s="169"/>
      <c r="G71" s="169"/>
      <c r="H71" s="169"/>
      <c r="I71" s="169"/>
      <c r="J71" s="169"/>
      <c r="K71" s="170"/>
      <c r="L71" s="170"/>
      <c r="M71" s="170"/>
      <c r="N71" s="170"/>
      <c r="O71" s="170"/>
      <c r="P71" s="170"/>
      <c r="Q71" s="170"/>
      <c r="R71" s="170"/>
      <c r="S71" s="170"/>
      <c r="T71" s="170"/>
      <c r="U71" s="170"/>
    </row>
    <row r="72" spans="1:21">
      <c r="A72" s="5" t="s">
        <v>102</v>
      </c>
      <c r="D72" s="54"/>
      <c r="E72" s="169"/>
      <c r="F72" s="169"/>
      <c r="G72" s="169"/>
      <c r="H72" s="169"/>
      <c r="I72" s="169"/>
      <c r="J72" s="169"/>
      <c r="K72" s="170"/>
      <c r="L72" s="170"/>
      <c r="M72" s="170"/>
      <c r="N72" s="170"/>
      <c r="O72" s="170"/>
      <c r="P72" s="170"/>
      <c r="Q72" s="170"/>
      <c r="R72" s="170"/>
      <c r="S72" s="170"/>
      <c r="T72" s="170"/>
      <c r="U72" s="170"/>
    </row>
    <row r="73" spans="1:21">
      <c r="A73" s="5" t="s">
        <v>103</v>
      </c>
      <c r="D73" s="54"/>
      <c r="E73" s="169"/>
      <c r="F73" s="169"/>
      <c r="G73" s="169"/>
      <c r="H73" s="169"/>
      <c r="I73" s="169"/>
      <c r="J73" s="169"/>
      <c r="K73" s="170"/>
      <c r="L73" s="170"/>
      <c r="M73" s="170"/>
      <c r="N73" s="170"/>
      <c r="O73" s="170"/>
      <c r="P73" s="170"/>
      <c r="Q73" s="170"/>
      <c r="R73" s="170"/>
      <c r="S73" s="170"/>
      <c r="T73" s="170"/>
      <c r="U73" s="170"/>
    </row>
    <row r="74" spans="1:21">
      <c r="A74" s="5" t="s">
        <v>104</v>
      </c>
      <c r="D74" s="54"/>
      <c r="E74" s="169"/>
      <c r="F74" s="169"/>
      <c r="G74" s="169"/>
      <c r="H74" s="169"/>
      <c r="I74" s="169"/>
      <c r="J74" s="169"/>
      <c r="K74" s="170"/>
      <c r="L74" s="170"/>
      <c r="M74" s="170"/>
      <c r="N74" s="170"/>
      <c r="O74" s="170"/>
      <c r="P74" s="170"/>
      <c r="Q74" s="170"/>
      <c r="R74" s="170"/>
      <c r="S74" s="170"/>
      <c r="T74" s="170"/>
      <c r="U74" s="170"/>
    </row>
    <row r="75" spans="1:21">
      <c r="A75" s="5" t="s">
        <v>105</v>
      </c>
      <c r="D75" s="54"/>
      <c r="E75" s="169"/>
      <c r="F75" s="169"/>
      <c r="G75" s="169"/>
      <c r="H75" s="169"/>
      <c r="I75" s="169"/>
      <c r="J75" s="169"/>
      <c r="K75" s="170"/>
      <c r="L75" s="170"/>
      <c r="M75" s="170"/>
      <c r="N75" s="170"/>
      <c r="O75" s="170"/>
      <c r="P75" s="170"/>
      <c r="Q75" s="170"/>
      <c r="R75" s="170"/>
      <c r="S75" s="170"/>
      <c r="T75" s="170"/>
      <c r="U75" s="170"/>
    </row>
    <row r="76" spans="1:21">
      <c r="A76" s="5" t="s">
        <v>106</v>
      </c>
      <c r="D76" s="54"/>
      <c r="E76" s="169"/>
      <c r="F76" s="169"/>
      <c r="G76" s="169"/>
      <c r="H76" s="169"/>
      <c r="I76" s="169"/>
      <c r="J76" s="169"/>
      <c r="K76" s="170"/>
      <c r="L76" s="170"/>
      <c r="M76" s="170"/>
      <c r="N76" s="170"/>
      <c r="O76" s="170"/>
      <c r="P76" s="170"/>
      <c r="Q76" s="170"/>
      <c r="R76" s="170"/>
      <c r="S76" s="170"/>
      <c r="T76" s="170"/>
      <c r="U76" s="170"/>
    </row>
    <row r="77" spans="1:21">
      <c r="A77" s="5" t="s">
        <v>107</v>
      </c>
      <c r="D77" s="54"/>
      <c r="E77" s="169"/>
      <c r="F77" s="169"/>
      <c r="G77" s="169"/>
      <c r="H77" s="169"/>
      <c r="I77" s="169"/>
      <c r="J77" s="169"/>
      <c r="K77" s="170"/>
      <c r="L77" s="170"/>
      <c r="M77" s="170"/>
      <c r="N77" s="170"/>
      <c r="O77" s="170"/>
      <c r="P77" s="170"/>
      <c r="Q77" s="170"/>
      <c r="R77" s="170"/>
      <c r="S77" s="170"/>
      <c r="T77" s="170"/>
      <c r="U77" s="170"/>
    </row>
    <row r="78" spans="1:21">
      <c r="A78" s="5" t="s">
        <v>108</v>
      </c>
      <c r="D78" s="54"/>
      <c r="E78" s="169"/>
      <c r="F78" s="169"/>
      <c r="G78" s="169"/>
      <c r="H78" s="169"/>
      <c r="I78" s="169"/>
      <c r="J78" s="169"/>
      <c r="K78" s="170"/>
      <c r="L78" s="170"/>
      <c r="M78" s="170"/>
      <c r="N78" s="170"/>
      <c r="O78" s="170"/>
      <c r="P78" s="170"/>
      <c r="Q78" s="170"/>
      <c r="R78" s="170"/>
      <c r="S78" s="170"/>
      <c r="T78" s="170"/>
      <c r="U78" s="170"/>
    </row>
    <row r="79" spans="1:21">
      <c r="A79" s="5" t="s">
        <v>109</v>
      </c>
      <c r="D79" s="54"/>
      <c r="E79" s="169"/>
      <c r="F79" s="169"/>
      <c r="G79" s="169"/>
      <c r="H79" s="169"/>
      <c r="I79" s="169"/>
      <c r="J79" s="169"/>
      <c r="K79" s="170"/>
      <c r="L79" s="170"/>
      <c r="M79" s="170"/>
      <c r="N79" s="170"/>
      <c r="O79" s="170"/>
      <c r="P79" s="170"/>
      <c r="Q79" s="170"/>
      <c r="R79" s="170"/>
      <c r="S79" s="170"/>
      <c r="T79" s="170"/>
      <c r="U79" s="170"/>
    </row>
    <row r="80" spans="1:21">
      <c r="A80" s="77" t="s">
        <v>110</v>
      </c>
      <c r="B80" s="77"/>
      <c r="C80" s="77"/>
      <c r="D80" s="171"/>
      <c r="E80" s="172"/>
      <c r="F80" s="172"/>
      <c r="G80" s="172"/>
      <c r="H80" s="172"/>
      <c r="I80" s="172"/>
      <c r="J80" s="172"/>
      <c r="K80" s="173"/>
      <c r="L80" s="173"/>
      <c r="M80" s="173"/>
      <c r="N80" s="173"/>
      <c r="O80" s="173"/>
      <c r="P80" s="173"/>
      <c r="Q80" s="173"/>
      <c r="R80" s="173"/>
      <c r="S80" s="173"/>
      <c r="T80" s="173"/>
      <c r="U80" s="173"/>
    </row>
    <row r="81" spans="1:21">
      <c r="E81" s="105"/>
      <c r="F81" s="105"/>
      <c r="G81" s="105"/>
      <c r="H81" s="105"/>
      <c r="I81" s="105"/>
      <c r="J81" s="106"/>
      <c r="K81" s="106"/>
      <c r="L81" s="106"/>
      <c r="M81" s="106"/>
      <c r="N81" s="106"/>
      <c r="O81" s="106"/>
      <c r="P81" s="106"/>
    </row>
    <row r="82" spans="1:21" ht="15.75" thickBot="1">
      <c r="A82" s="4" t="s">
        <v>165</v>
      </c>
      <c r="B82" s="4"/>
      <c r="C82" s="4"/>
      <c r="D82" s="4"/>
      <c r="E82" s="166"/>
      <c r="F82" s="105"/>
      <c r="G82" s="105"/>
      <c r="H82" s="105"/>
      <c r="I82" s="105"/>
      <c r="J82" s="106"/>
      <c r="K82" s="106"/>
      <c r="L82" s="106"/>
      <c r="M82" s="106"/>
      <c r="N82" s="106"/>
      <c r="O82" s="106"/>
      <c r="P82" s="106"/>
    </row>
    <row r="83" spans="1:21" ht="15.75" thickBot="1">
      <c r="A83" s="72" t="s">
        <v>86</v>
      </c>
      <c r="B83" s="83">
        <f>B2</f>
        <v>2015</v>
      </c>
      <c r="C83" s="83">
        <f>C2</f>
        <v>2016</v>
      </c>
      <c r="D83" s="83">
        <f>D2</f>
        <v>2017</v>
      </c>
      <c r="E83" s="83">
        <f t="shared" ref="E83:T83" si="4">E2</f>
        <v>2018</v>
      </c>
      <c r="F83" s="83">
        <f t="shared" si="4"/>
        <v>2019</v>
      </c>
      <c r="G83" s="83">
        <f t="shared" si="4"/>
        <v>2020</v>
      </c>
      <c r="H83" s="83">
        <f t="shared" si="4"/>
        <v>2021</v>
      </c>
      <c r="I83" s="83">
        <f t="shared" si="4"/>
        <v>2022</v>
      </c>
      <c r="J83" s="83">
        <f t="shared" si="4"/>
        <v>2023</v>
      </c>
      <c r="K83" s="83">
        <f t="shared" si="4"/>
        <v>2024</v>
      </c>
      <c r="L83" s="83">
        <f t="shared" si="4"/>
        <v>2025</v>
      </c>
      <c r="M83" s="83">
        <f t="shared" si="4"/>
        <v>2026</v>
      </c>
      <c r="N83" s="83">
        <f t="shared" si="4"/>
        <v>2027</v>
      </c>
      <c r="O83" s="83">
        <f t="shared" si="4"/>
        <v>2028</v>
      </c>
      <c r="P83" s="83">
        <f t="shared" si="4"/>
        <v>2029</v>
      </c>
      <c r="Q83" s="83">
        <f t="shared" si="4"/>
        <v>2030</v>
      </c>
      <c r="R83" s="83">
        <f t="shared" si="4"/>
        <v>2031</v>
      </c>
      <c r="S83" s="83">
        <f t="shared" si="4"/>
        <v>2032</v>
      </c>
      <c r="T83" s="83">
        <f t="shared" si="4"/>
        <v>2033</v>
      </c>
      <c r="U83" s="83">
        <f>U2</f>
        <v>2034</v>
      </c>
    </row>
    <row r="84" spans="1:21">
      <c r="A84" s="5" t="s">
        <v>98</v>
      </c>
      <c r="E84" s="169"/>
      <c r="F84" s="169"/>
      <c r="G84" s="169"/>
      <c r="H84" s="169"/>
      <c r="I84" s="169"/>
      <c r="J84" s="174"/>
      <c r="K84" s="175"/>
      <c r="L84" s="175"/>
      <c r="M84" s="175"/>
      <c r="N84" s="175"/>
      <c r="O84" s="175"/>
      <c r="P84" s="175"/>
      <c r="Q84" s="176"/>
      <c r="R84" s="176"/>
      <c r="S84" s="176"/>
      <c r="T84" s="176"/>
      <c r="U84" s="176"/>
    </row>
    <row r="85" spans="1:21">
      <c r="A85" s="5" t="s">
        <v>99</v>
      </c>
      <c r="E85" s="169"/>
      <c r="F85" s="169"/>
      <c r="G85" s="169"/>
      <c r="H85" s="169"/>
      <c r="I85" s="169"/>
      <c r="J85" s="174"/>
      <c r="K85" s="175"/>
      <c r="L85" s="175"/>
      <c r="M85" s="175"/>
      <c r="N85" s="175"/>
      <c r="O85" s="175"/>
      <c r="P85" s="175"/>
      <c r="Q85" s="176"/>
      <c r="R85" s="176"/>
      <c r="S85" s="176"/>
      <c r="T85" s="176"/>
      <c r="U85" s="176"/>
    </row>
    <row r="86" spans="1:21">
      <c r="A86" s="5" t="s">
        <v>100</v>
      </c>
      <c r="E86" s="169"/>
      <c r="F86" s="169"/>
      <c r="G86" s="169"/>
      <c r="H86" s="169"/>
      <c r="I86" s="169"/>
      <c r="J86" s="174"/>
      <c r="K86" s="175"/>
      <c r="L86" s="175"/>
      <c r="M86" s="175"/>
      <c r="N86" s="175"/>
      <c r="O86" s="175"/>
      <c r="P86" s="175"/>
      <c r="Q86" s="176"/>
      <c r="R86" s="176"/>
      <c r="S86" s="176"/>
      <c r="T86" s="176"/>
      <c r="U86" s="176"/>
    </row>
    <row r="87" spans="1:21">
      <c r="A87" s="5" t="s">
        <v>101</v>
      </c>
      <c r="E87" s="169"/>
      <c r="F87" s="169"/>
      <c r="G87" s="169"/>
      <c r="H87" s="169"/>
      <c r="I87" s="169"/>
      <c r="J87" s="174"/>
      <c r="K87" s="175"/>
      <c r="L87" s="175"/>
      <c r="M87" s="175"/>
      <c r="N87" s="175"/>
      <c r="O87" s="175"/>
      <c r="P87" s="175"/>
      <c r="Q87" s="176"/>
      <c r="R87" s="176"/>
      <c r="S87" s="176"/>
      <c r="T87" s="176"/>
      <c r="U87" s="176"/>
    </row>
    <row r="88" spans="1:21">
      <c r="A88" s="5" t="s">
        <v>102</v>
      </c>
      <c r="E88" s="169"/>
      <c r="F88" s="169"/>
      <c r="G88" s="169"/>
      <c r="H88" s="169"/>
      <c r="I88" s="169"/>
      <c r="J88" s="174"/>
      <c r="K88" s="175"/>
      <c r="L88" s="175"/>
      <c r="M88" s="175"/>
      <c r="N88" s="175"/>
      <c r="O88" s="175"/>
      <c r="P88" s="175"/>
      <c r="Q88" s="176"/>
      <c r="R88" s="176"/>
      <c r="S88" s="176"/>
      <c r="T88" s="176"/>
      <c r="U88" s="176"/>
    </row>
    <row r="89" spans="1:21">
      <c r="A89" s="5" t="s">
        <v>103</v>
      </c>
      <c r="E89" s="169"/>
      <c r="F89" s="169"/>
      <c r="G89" s="169"/>
      <c r="H89" s="169"/>
      <c r="I89" s="169"/>
      <c r="J89" s="174"/>
      <c r="K89" s="175"/>
      <c r="L89" s="175"/>
      <c r="M89" s="175"/>
      <c r="N89" s="175"/>
      <c r="O89" s="175"/>
      <c r="P89" s="175"/>
      <c r="Q89" s="176"/>
      <c r="R89" s="176"/>
      <c r="S89" s="176"/>
      <c r="T89" s="176"/>
      <c r="U89" s="176"/>
    </row>
    <row r="90" spans="1:21">
      <c r="A90" s="5" t="s">
        <v>104</v>
      </c>
      <c r="E90" s="169"/>
      <c r="F90" s="169"/>
      <c r="G90" s="169"/>
      <c r="H90" s="169"/>
      <c r="I90" s="169"/>
      <c r="J90" s="174"/>
      <c r="K90" s="175"/>
      <c r="L90" s="175"/>
      <c r="M90" s="175"/>
      <c r="N90" s="175"/>
      <c r="O90" s="175"/>
      <c r="P90" s="175"/>
      <c r="Q90" s="176"/>
      <c r="R90" s="176"/>
      <c r="S90" s="176"/>
      <c r="T90" s="176"/>
      <c r="U90" s="176"/>
    </row>
    <row r="91" spans="1:21">
      <c r="A91" s="5" t="s">
        <v>105</v>
      </c>
      <c r="E91" s="169"/>
      <c r="F91" s="169"/>
      <c r="G91" s="169"/>
      <c r="H91" s="169"/>
      <c r="I91" s="169"/>
      <c r="J91" s="174"/>
      <c r="K91" s="175"/>
      <c r="L91" s="175"/>
      <c r="M91" s="175"/>
      <c r="N91" s="175"/>
      <c r="O91" s="175"/>
      <c r="P91" s="175"/>
      <c r="Q91" s="176"/>
      <c r="R91" s="176"/>
      <c r="S91" s="176"/>
      <c r="T91" s="176"/>
      <c r="U91" s="176"/>
    </row>
    <row r="92" spans="1:21">
      <c r="A92" s="5" t="s">
        <v>106</v>
      </c>
      <c r="E92" s="169"/>
      <c r="F92" s="169"/>
      <c r="G92" s="169"/>
      <c r="H92" s="169"/>
      <c r="I92" s="169"/>
      <c r="J92" s="174"/>
      <c r="K92" s="175"/>
      <c r="L92" s="175"/>
      <c r="M92" s="175"/>
      <c r="N92" s="175"/>
      <c r="O92" s="175"/>
      <c r="P92" s="175"/>
      <c r="Q92" s="176"/>
      <c r="R92" s="176"/>
      <c r="S92" s="176"/>
      <c r="T92" s="176"/>
      <c r="U92" s="176"/>
    </row>
    <row r="93" spans="1:21">
      <c r="A93" s="5" t="s">
        <v>107</v>
      </c>
      <c r="E93" s="169"/>
      <c r="F93" s="169"/>
      <c r="G93" s="169"/>
      <c r="H93" s="169"/>
      <c r="I93" s="169"/>
      <c r="J93" s="174"/>
      <c r="K93" s="175"/>
      <c r="L93" s="175"/>
      <c r="M93" s="175"/>
      <c r="N93" s="175"/>
      <c r="O93" s="175"/>
      <c r="P93" s="175"/>
      <c r="Q93" s="176"/>
      <c r="R93" s="176"/>
      <c r="S93" s="176"/>
      <c r="T93" s="176"/>
      <c r="U93" s="176"/>
    </row>
    <row r="94" spans="1:21">
      <c r="A94" s="5" t="s">
        <v>108</v>
      </c>
      <c r="E94" s="169"/>
      <c r="F94" s="169"/>
      <c r="G94" s="169"/>
      <c r="H94" s="169"/>
      <c r="I94" s="169"/>
      <c r="J94" s="174"/>
      <c r="K94" s="175"/>
      <c r="L94" s="175"/>
      <c r="M94" s="175"/>
      <c r="N94" s="175"/>
      <c r="O94" s="175"/>
      <c r="P94" s="175"/>
      <c r="Q94" s="176"/>
      <c r="R94" s="176"/>
      <c r="S94" s="176"/>
      <c r="T94" s="176"/>
      <c r="U94" s="176"/>
    </row>
    <row r="95" spans="1:21">
      <c r="A95" s="5" t="s">
        <v>109</v>
      </c>
      <c r="E95" s="169"/>
      <c r="F95" s="169"/>
      <c r="G95" s="169"/>
      <c r="H95" s="169"/>
      <c r="I95" s="169"/>
      <c r="J95" s="174"/>
      <c r="K95" s="175"/>
      <c r="L95" s="175"/>
      <c r="M95" s="175"/>
      <c r="N95" s="175"/>
      <c r="O95" s="175"/>
      <c r="P95" s="175"/>
      <c r="Q95" s="176"/>
      <c r="R95" s="176"/>
      <c r="S95" s="176"/>
      <c r="T95" s="176"/>
      <c r="U95" s="176"/>
    </row>
    <row r="96" spans="1:21">
      <c r="A96" s="77" t="s">
        <v>110</v>
      </c>
      <c r="B96" s="77"/>
      <c r="C96" s="77"/>
      <c r="D96" s="77"/>
      <c r="E96" s="172"/>
      <c r="F96" s="172"/>
      <c r="G96" s="172"/>
      <c r="H96" s="172"/>
      <c r="I96" s="172"/>
      <c r="J96" s="173"/>
      <c r="K96" s="175"/>
      <c r="L96" s="175"/>
      <c r="M96" s="175"/>
      <c r="N96" s="175"/>
      <c r="O96" s="175"/>
      <c r="P96" s="175"/>
      <c r="Q96" s="176"/>
      <c r="R96" s="176"/>
      <c r="S96" s="176"/>
      <c r="T96" s="176"/>
      <c r="U96" s="176"/>
    </row>
    <row r="97" spans="1:21">
      <c r="A97" s="88"/>
      <c r="B97" s="88"/>
      <c r="C97" s="88"/>
      <c r="D97" s="88"/>
      <c r="E97" s="88"/>
      <c r="F97" s="88"/>
      <c r="G97" s="88"/>
      <c r="H97" s="88"/>
      <c r="I97" s="88"/>
      <c r="J97" s="177"/>
      <c r="K97" s="177"/>
      <c r="L97" s="177"/>
      <c r="M97" s="177"/>
      <c r="N97" s="177"/>
      <c r="O97" s="177"/>
      <c r="P97" s="177"/>
      <c r="Q97" s="177"/>
      <c r="R97" s="177"/>
      <c r="S97" s="177"/>
      <c r="T97" s="177"/>
      <c r="U97" s="177"/>
    </row>
    <row r="98" spans="1:21" ht="15.75" thickBot="1">
      <c r="A98" s="4" t="s">
        <v>166</v>
      </c>
      <c r="B98" s="4"/>
      <c r="C98" s="4"/>
      <c r="D98" s="4"/>
      <c r="E98" s="5"/>
      <c r="F98" s="5"/>
      <c r="G98" s="5"/>
      <c r="H98" s="5"/>
      <c r="I98" s="5"/>
      <c r="J98" s="4"/>
      <c r="K98" s="4"/>
      <c r="L98" s="4"/>
      <c r="M98" s="4"/>
      <c r="N98" s="4"/>
      <c r="O98" s="4"/>
      <c r="P98" s="4"/>
      <c r="Q98" s="4"/>
      <c r="R98" s="4"/>
      <c r="S98" s="4"/>
      <c r="T98" s="4"/>
      <c r="U98" s="4"/>
    </row>
    <row r="99" spans="1:21" ht="15.75" thickBot="1">
      <c r="A99" s="72" t="s">
        <v>86</v>
      </c>
      <c r="B99" s="83">
        <f>B2</f>
        <v>2015</v>
      </c>
      <c r="C99" s="83">
        <f>C2</f>
        <v>2016</v>
      </c>
      <c r="D99" s="83">
        <f>D2</f>
        <v>2017</v>
      </c>
      <c r="E99" s="83">
        <f t="shared" ref="E99:T99" si="5">E2</f>
        <v>2018</v>
      </c>
      <c r="F99" s="83">
        <f t="shared" si="5"/>
        <v>2019</v>
      </c>
      <c r="G99" s="83">
        <f t="shared" si="5"/>
        <v>2020</v>
      </c>
      <c r="H99" s="83">
        <f t="shared" si="5"/>
        <v>2021</v>
      </c>
      <c r="I99" s="83">
        <f t="shared" si="5"/>
        <v>2022</v>
      </c>
      <c r="J99" s="83">
        <f t="shared" si="5"/>
        <v>2023</v>
      </c>
      <c r="K99" s="83">
        <f t="shared" si="5"/>
        <v>2024</v>
      </c>
      <c r="L99" s="83">
        <f t="shared" si="5"/>
        <v>2025</v>
      </c>
      <c r="M99" s="83">
        <f t="shared" si="5"/>
        <v>2026</v>
      </c>
      <c r="N99" s="83">
        <f t="shared" si="5"/>
        <v>2027</v>
      </c>
      <c r="O99" s="83">
        <f t="shared" si="5"/>
        <v>2028</v>
      </c>
      <c r="P99" s="83">
        <f t="shared" si="5"/>
        <v>2029</v>
      </c>
      <c r="Q99" s="83">
        <f t="shared" si="5"/>
        <v>2030</v>
      </c>
      <c r="R99" s="83">
        <f t="shared" si="5"/>
        <v>2031</v>
      </c>
      <c r="S99" s="83">
        <f t="shared" si="5"/>
        <v>2032</v>
      </c>
      <c r="T99" s="83">
        <f t="shared" si="5"/>
        <v>2033</v>
      </c>
      <c r="U99" s="83">
        <f>U2</f>
        <v>2034</v>
      </c>
    </row>
    <row r="100" spans="1:21">
      <c r="A100" s="5" t="s">
        <v>98</v>
      </c>
      <c r="E100" s="115"/>
      <c r="F100" s="115"/>
      <c r="G100" s="115"/>
      <c r="H100" s="115"/>
      <c r="I100" s="115"/>
      <c r="J100" s="115"/>
      <c r="K100" s="116"/>
      <c r="L100" s="4"/>
      <c r="M100" s="4"/>
      <c r="N100" s="4"/>
      <c r="O100" s="4"/>
      <c r="P100" s="4"/>
      <c r="Q100" s="4"/>
      <c r="R100" s="4"/>
      <c r="S100" s="4"/>
      <c r="T100" s="4"/>
      <c r="U100" s="4"/>
    </row>
    <row r="101" spans="1:21">
      <c r="A101" s="5" t="s">
        <v>99</v>
      </c>
      <c r="E101" s="115"/>
      <c r="F101" s="115"/>
      <c r="G101" s="115"/>
      <c r="H101" s="115"/>
      <c r="I101" s="115"/>
      <c r="J101" s="115"/>
      <c r="K101" s="116"/>
      <c r="L101" s="4"/>
      <c r="M101" s="4"/>
      <c r="N101" s="4"/>
      <c r="O101" s="4"/>
      <c r="P101" s="4"/>
      <c r="Q101" s="4"/>
      <c r="R101" s="4"/>
      <c r="S101" s="4"/>
      <c r="T101" s="4"/>
      <c r="U101" s="4"/>
    </row>
    <row r="102" spans="1:21">
      <c r="A102" s="5" t="s">
        <v>100</v>
      </c>
      <c r="E102" s="115"/>
      <c r="F102" s="115"/>
      <c r="G102" s="115"/>
      <c r="H102" s="115"/>
      <c r="I102" s="115"/>
      <c r="J102" s="115"/>
      <c r="K102" s="116"/>
      <c r="L102" s="4"/>
      <c r="M102" s="4"/>
      <c r="N102" s="4"/>
      <c r="O102" s="4"/>
      <c r="P102" s="4"/>
      <c r="Q102" s="4"/>
      <c r="R102" s="4"/>
      <c r="S102" s="4"/>
      <c r="T102" s="4"/>
      <c r="U102" s="4"/>
    </row>
    <row r="103" spans="1:21">
      <c r="A103" s="5" t="s">
        <v>101</v>
      </c>
      <c r="E103" s="115"/>
      <c r="F103" s="115"/>
      <c r="G103" s="115"/>
      <c r="H103" s="115"/>
      <c r="I103" s="115"/>
      <c r="J103" s="115"/>
      <c r="K103" s="116"/>
      <c r="L103" s="4"/>
      <c r="M103" s="4"/>
      <c r="N103" s="4"/>
      <c r="O103" s="4"/>
      <c r="P103" s="4"/>
      <c r="Q103" s="4"/>
      <c r="R103" s="4"/>
      <c r="S103" s="4"/>
      <c r="T103" s="4"/>
      <c r="U103" s="4"/>
    </row>
    <row r="104" spans="1:21">
      <c r="A104" s="5" t="s">
        <v>102</v>
      </c>
      <c r="E104" s="115"/>
      <c r="F104" s="115"/>
      <c r="G104" s="115"/>
      <c r="H104" s="115"/>
      <c r="I104" s="115"/>
      <c r="J104" s="115"/>
      <c r="K104" s="116"/>
      <c r="L104" s="4"/>
      <c r="M104" s="4"/>
      <c r="N104" s="4"/>
      <c r="O104" s="4"/>
      <c r="P104" s="4"/>
      <c r="Q104" s="4"/>
      <c r="R104" s="4"/>
      <c r="S104" s="4"/>
      <c r="T104" s="4"/>
      <c r="U104" s="4"/>
    </row>
    <row r="105" spans="1:21">
      <c r="A105" s="5" t="s">
        <v>103</v>
      </c>
      <c r="E105" s="115"/>
      <c r="F105" s="115"/>
      <c r="G105" s="115"/>
      <c r="H105" s="115"/>
      <c r="I105" s="115"/>
      <c r="J105" s="115"/>
      <c r="K105" s="116"/>
      <c r="L105" s="4"/>
      <c r="M105" s="4"/>
      <c r="N105" s="4"/>
      <c r="O105" s="4"/>
      <c r="P105" s="4"/>
      <c r="Q105" s="4"/>
      <c r="R105" s="4"/>
      <c r="S105" s="4"/>
      <c r="T105" s="4"/>
      <c r="U105" s="4"/>
    </row>
    <row r="106" spans="1:21">
      <c r="A106" s="5" t="s">
        <v>104</v>
      </c>
      <c r="E106" s="115"/>
      <c r="F106" s="115"/>
      <c r="G106" s="115"/>
      <c r="H106" s="115"/>
      <c r="I106" s="115"/>
      <c r="J106" s="115"/>
      <c r="K106" s="116"/>
      <c r="L106" s="4"/>
      <c r="M106" s="4"/>
      <c r="N106" s="4"/>
      <c r="O106" s="4"/>
      <c r="P106" s="4"/>
      <c r="Q106" s="4"/>
      <c r="R106" s="4"/>
      <c r="S106" s="4"/>
      <c r="T106" s="4"/>
      <c r="U106" s="4"/>
    </row>
    <row r="107" spans="1:21">
      <c r="A107" s="5" t="s">
        <v>105</v>
      </c>
      <c r="E107" s="115"/>
      <c r="F107" s="115"/>
      <c r="G107" s="115"/>
      <c r="H107" s="115"/>
      <c r="I107" s="115"/>
      <c r="J107" s="115"/>
      <c r="K107" s="116"/>
      <c r="L107" s="4"/>
      <c r="M107" s="4"/>
      <c r="N107" s="4"/>
      <c r="O107" s="4"/>
      <c r="P107" s="4"/>
      <c r="Q107" s="4"/>
      <c r="R107" s="4"/>
      <c r="S107" s="4"/>
      <c r="T107" s="4"/>
      <c r="U107" s="4"/>
    </row>
    <row r="108" spans="1:21">
      <c r="A108" s="5" t="s">
        <v>106</v>
      </c>
      <c r="E108" s="115"/>
      <c r="F108" s="115"/>
      <c r="G108" s="115"/>
      <c r="H108" s="115"/>
      <c r="I108" s="115"/>
      <c r="J108" s="115"/>
      <c r="K108" s="116"/>
      <c r="L108" s="4"/>
      <c r="M108" s="4"/>
      <c r="N108" s="4"/>
      <c r="O108" s="4"/>
      <c r="P108" s="4"/>
      <c r="Q108" s="4"/>
      <c r="R108" s="4"/>
      <c r="S108" s="4"/>
      <c r="T108" s="4"/>
      <c r="U108" s="4"/>
    </row>
    <row r="109" spans="1:21">
      <c r="A109" s="5" t="s">
        <v>107</v>
      </c>
      <c r="E109" s="115"/>
      <c r="F109" s="115"/>
      <c r="G109" s="115"/>
      <c r="H109" s="115"/>
      <c r="I109" s="115"/>
      <c r="J109" s="115"/>
      <c r="K109" s="116"/>
      <c r="L109" s="4"/>
      <c r="M109" s="4"/>
      <c r="N109" s="4"/>
      <c r="O109" s="4"/>
      <c r="P109" s="4"/>
      <c r="Q109" s="4"/>
      <c r="R109" s="4"/>
      <c r="S109" s="4"/>
      <c r="T109" s="4"/>
      <c r="U109" s="4"/>
    </row>
    <row r="110" spans="1:21">
      <c r="A110" s="5" t="s">
        <v>108</v>
      </c>
      <c r="E110" s="115"/>
      <c r="F110" s="115"/>
      <c r="G110" s="115"/>
      <c r="H110" s="115"/>
      <c r="I110" s="115"/>
      <c r="J110" s="115"/>
      <c r="K110" s="116"/>
      <c r="L110" s="4"/>
      <c r="M110" s="4"/>
      <c r="N110" s="4"/>
      <c r="O110" s="4"/>
      <c r="P110" s="4"/>
      <c r="Q110" s="4"/>
      <c r="R110" s="4"/>
      <c r="S110" s="4"/>
      <c r="T110" s="4"/>
      <c r="U110" s="4"/>
    </row>
    <row r="111" spans="1:21">
      <c r="A111" s="5" t="s">
        <v>109</v>
      </c>
      <c r="E111" s="115"/>
      <c r="F111" s="115"/>
      <c r="G111" s="115"/>
      <c r="H111" s="115"/>
      <c r="I111" s="115"/>
      <c r="J111" s="115"/>
      <c r="K111" s="116"/>
      <c r="L111" s="4"/>
      <c r="M111" s="4"/>
      <c r="N111" s="4"/>
      <c r="O111" s="4"/>
      <c r="P111" s="4"/>
      <c r="Q111" s="4"/>
      <c r="R111" s="4"/>
      <c r="S111" s="4"/>
      <c r="T111" s="4"/>
      <c r="U111" s="4"/>
    </row>
    <row r="112" spans="1:21">
      <c r="A112" s="77" t="s">
        <v>110</v>
      </c>
      <c r="B112" s="77"/>
      <c r="C112" s="77"/>
      <c r="D112" s="77"/>
      <c r="E112" s="86"/>
      <c r="F112" s="86"/>
      <c r="G112" s="86"/>
      <c r="H112" s="86"/>
      <c r="I112" s="86"/>
      <c r="J112" s="86"/>
      <c r="K112" s="87"/>
      <c r="L112" s="4"/>
      <c r="M112" s="4"/>
      <c r="N112" s="4"/>
      <c r="O112" s="4"/>
      <c r="P112" s="4"/>
      <c r="Q112" s="4"/>
      <c r="R112" s="4"/>
      <c r="S112" s="4"/>
      <c r="T112" s="4"/>
      <c r="U112" s="4"/>
    </row>
    <row r="113" spans="1:21">
      <c r="A113" s="88"/>
      <c r="B113" s="88"/>
      <c r="C113" s="88"/>
      <c r="D113" s="88"/>
      <c r="E113" s="88"/>
      <c r="F113" s="88"/>
      <c r="G113" s="88"/>
      <c r="H113" s="88"/>
      <c r="I113" s="88"/>
      <c r="J113" s="177"/>
      <c r="K113" s="177"/>
      <c r="L113" s="177"/>
      <c r="M113" s="177"/>
      <c r="N113" s="177"/>
      <c r="O113" s="177"/>
      <c r="P113" s="177"/>
      <c r="Q113" s="177"/>
      <c r="R113" s="177"/>
      <c r="S113" s="177"/>
      <c r="T113" s="177"/>
      <c r="U113" s="177"/>
    </row>
    <row r="114" spans="1:21" ht="15.75" thickBot="1">
      <c r="A114" s="4" t="s">
        <v>167</v>
      </c>
      <c r="B114" s="4"/>
      <c r="C114" s="4"/>
      <c r="D114" s="4"/>
    </row>
    <row r="115" spans="1:21" s="4" customFormat="1" ht="15.75" thickBot="1">
      <c r="A115" s="72" t="s">
        <v>86</v>
      </c>
      <c r="B115" s="83">
        <f>B2</f>
        <v>2015</v>
      </c>
      <c r="C115" s="83">
        <f>C2</f>
        <v>2016</v>
      </c>
      <c r="D115" s="83">
        <f>D2</f>
        <v>2017</v>
      </c>
      <c r="E115" s="83">
        <f t="shared" ref="E115:T115" si="6">E2</f>
        <v>2018</v>
      </c>
      <c r="F115" s="83">
        <f t="shared" si="6"/>
        <v>2019</v>
      </c>
      <c r="G115" s="83">
        <f t="shared" si="6"/>
        <v>2020</v>
      </c>
      <c r="H115" s="83">
        <f t="shared" si="6"/>
        <v>2021</v>
      </c>
      <c r="I115" s="83">
        <f t="shared" si="6"/>
        <v>2022</v>
      </c>
      <c r="J115" s="83">
        <f t="shared" si="6"/>
        <v>2023</v>
      </c>
      <c r="K115" s="83">
        <f t="shared" si="6"/>
        <v>2024</v>
      </c>
      <c r="L115" s="83">
        <f t="shared" si="6"/>
        <v>2025</v>
      </c>
      <c r="M115" s="83">
        <f t="shared" si="6"/>
        <v>2026</v>
      </c>
      <c r="N115" s="83">
        <f t="shared" si="6"/>
        <v>2027</v>
      </c>
      <c r="O115" s="83">
        <f t="shared" si="6"/>
        <v>2028</v>
      </c>
      <c r="P115" s="83">
        <f t="shared" si="6"/>
        <v>2029</v>
      </c>
      <c r="Q115" s="83">
        <f t="shared" si="6"/>
        <v>2030</v>
      </c>
      <c r="R115" s="83">
        <f t="shared" si="6"/>
        <v>2031</v>
      </c>
      <c r="S115" s="83">
        <f t="shared" si="6"/>
        <v>2032</v>
      </c>
      <c r="T115" s="83">
        <f t="shared" si="6"/>
        <v>2033</v>
      </c>
      <c r="U115" s="83">
        <f>U2</f>
        <v>2034</v>
      </c>
    </row>
    <row r="116" spans="1:21">
      <c r="A116" s="5" t="s">
        <v>98</v>
      </c>
      <c r="E116" s="84"/>
      <c r="F116" s="84"/>
      <c r="G116" s="84"/>
      <c r="H116" s="84"/>
      <c r="I116" s="84"/>
      <c r="J116" s="84"/>
      <c r="K116" s="84"/>
      <c r="L116" s="85"/>
      <c r="M116" s="85"/>
      <c r="N116" s="85"/>
      <c r="O116" s="85"/>
      <c r="P116" s="85"/>
      <c r="Q116" s="85"/>
      <c r="R116" s="85"/>
      <c r="S116" s="85"/>
      <c r="T116" s="85"/>
      <c r="U116" s="85"/>
    </row>
    <row r="117" spans="1:21">
      <c r="A117" s="5" t="s">
        <v>99</v>
      </c>
      <c r="E117" s="84"/>
      <c r="F117" s="84"/>
      <c r="G117" s="84"/>
      <c r="H117" s="84"/>
      <c r="I117" s="84"/>
      <c r="J117" s="84"/>
      <c r="K117" s="84"/>
      <c r="L117" s="85"/>
      <c r="M117" s="85"/>
      <c r="N117" s="85"/>
      <c r="O117" s="85"/>
      <c r="P117" s="85"/>
      <c r="Q117" s="85"/>
      <c r="R117" s="85"/>
      <c r="S117" s="85"/>
      <c r="T117" s="85"/>
      <c r="U117" s="85"/>
    </row>
    <row r="118" spans="1:21">
      <c r="A118" s="5" t="s">
        <v>100</v>
      </c>
      <c r="E118" s="84"/>
      <c r="F118" s="84"/>
      <c r="G118" s="84"/>
      <c r="H118" s="84"/>
      <c r="I118" s="84"/>
      <c r="J118" s="84"/>
      <c r="K118" s="84"/>
      <c r="L118" s="85"/>
      <c r="M118" s="85"/>
      <c r="N118" s="85"/>
      <c r="O118" s="85"/>
      <c r="P118" s="85"/>
      <c r="Q118" s="85"/>
      <c r="R118" s="85"/>
      <c r="S118" s="85"/>
      <c r="T118" s="85"/>
      <c r="U118" s="85"/>
    </row>
    <row r="119" spans="1:21">
      <c r="A119" s="5" t="s">
        <v>101</v>
      </c>
      <c r="E119" s="84"/>
      <c r="F119" s="84"/>
      <c r="G119" s="84"/>
      <c r="H119" s="84"/>
      <c r="I119" s="84"/>
      <c r="J119" s="84"/>
      <c r="K119" s="85"/>
      <c r="L119" s="85"/>
      <c r="M119" s="85"/>
      <c r="N119" s="85"/>
      <c r="O119" s="85"/>
      <c r="P119" s="85"/>
      <c r="Q119" s="85"/>
      <c r="R119" s="85"/>
      <c r="S119" s="85"/>
      <c r="T119" s="85"/>
      <c r="U119" s="85"/>
    </row>
    <row r="120" spans="1:21">
      <c r="A120" s="5" t="s">
        <v>102</v>
      </c>
      <c r="E120" s="84"/>
      <c r="F120" s="84"/>
      <c r="G120" s="84"/>
      <c r="H120" s="84"/>
      <c r="I120" s="84"/>
      <c r="J120" s="84"/>
      <c r="K120" s="85"/>
      <c r="L120" s="85"/>
      <c r="M120" s="85"/>
      <c r="N120" s="85"/>
      <c r="O120" s="85"/>
      <c r="P120" s="85"/>
      <c r="Q120" s="85"/>
      <c r="R120" s="85"/>
      <c r="S120" s="85"/>
      <c r="T120" s="85"/>
      <c r="U120" s="85"/>
    </row>
    <row r="121" spans="1:21">
      <c r="A121" s="5" t="s">
        <v>103</v>
      </c>
      <c r="E121" s="84"/>
      <c r="F121" s="84"/>
      <c r="G121" s="84"/>
      <c r="H121" s="84"/>
      <c r="I121" s="84"/>
      <c r="J121" s="84"/>
      <c r="K121" s="85"/>
      <c r="L121" s="85"/>
      <c r="M121" s="85"/>
      <c r="N121" s="85"/>
      <c r="O121" s="85"/>
      <c r="P121" s="85"/>
      <c r="Q121" s="85"/>
      <c r="R121" s="85"/>
      <c r="S121" s="85"/>
      <c r="T121" s="85"/>
      <c r="U121" s="85"/>
    </row>
    <row r="122" spans="1:21">
      <c r="A122" s="5" t="s">
        <v>104</v>
      </c>
      <c r="E122" s="84"/>
      <c r="F122" s="84"/>
      <c r="G122" s="84"/>
      <c r="H122" s="84"/>
      <c r="I122" s="84"/>
      <c r="J122" s="84"/>
      <c r="K122" s="85"/>
      <c r="L122" s="85"/>
      <c r="M122" s="85"/>
      <c r="N122" s="85"/>
      <c r="O122" s="85"/>
      <c r="P122" s="85"/>
      <c r="Q122" s="85"/>
      <c r="R122" s="85"/>
      <c r="S122" s="85"/>
      <c r="T122" s="85"/>
      <c r="U122" s="85"/>
    </row>
    <row r="123" spans="1:21">
      <c r="A123" s="5" t="s">
        <v>105</v>
      </c>
      <c r="E123" s="84"/>
      <c r="F123" s="84"/>
      <c r="G123" s="84"/>
      <c r="H123" s="84"/>
      <c r="I123" s="84"/>
      <c r="J123" s="84"/>
      <c r="K123" s="85"/>
      <c r="L123" s="85"/>
      <c r="M123" s="85"/>
      <c r="N123" s="85"/>
      <c r="O123" s="85"/>
      <c r="P123" s="85"/>
      <c r="Q123" s="85"/>
      <c r="R123" s="85"/>
      <c r="S123" s="85"/>
      <c r="T123" s="85"/>
      <c r="U123" s="85"/>
    </row>
    <row r="124" spans="1:21">
      <c r="A124" s="5" t="s">
        <v>106</v>
      </c>
      <c r="E124" s="84"/>
      <c r="F124" s="84"/>
      <c r="G124" s="84"/>
      <c r="H124" s="84"/>
      <c r="I124" s="84"/>
      <c r="J124" s="84"/>
      <c r="K124" s="85"/>
      <c r="L124" s="85"/>
      <c r="M124" s="85"/>
      <c r="N124" s="85"/>
      <c r="O124" s="85"/>
      <c r="P124" s="85"/>
      <c r="Q124" s="85"/>
      <c r="R124" s="85"/>
      <c r="S124" s="85"/>
      <c r="T124" s="85"/>
      <c r="U124" s="85"/>
    </row>
    <row r="125" spans="1:21">
      <c r="A125" s="5" t="s">
        <v>107</v>
      </c>
      <c r="E125" s="84"/>
      <c r="F125" s="84"/>
      <c r="G125" s="84"/>
      <c r="H125" s="84"/>
      <c r="I125" s="84"/>
      <c r="J125" s="84"/>
      <c r="K125" s="85"/>
      <c r="L125" s="85"/>
      <c r="M125" s="85"/>
      <c r="N125" s="85"/>
      <c r="O125" s="85"/>
      <c r="P125" s="85"/>
      <c r="Q125" s="85"/>
      <c r="R125" s="85"/>
      <c r="S125" s="85"/>
      <c r="T125" s="85"/>
      <c r="U125" s="85"/>
    </row>
    <row r="126" spans="1:21">
      <c r="A126" s="5" t="s">
        <v>108</v>
      </c>
      <c r="E126" s="84"/>
      <c r="F126" s="84"/>
      <c r="G126" s="84"/>
      <c r="H126" s="84"/>
      <c r="I126" s="84"/>
      <c r="J126" s="84"/>
      <c r="K126" s="85"/>
      <c r="L126" s="85"/>
      <c r="M126" s="85"/>
      <c r="N126" s="85"/>
      <c r="O126" s="85"/>
      <c r="P126" s="85"/>
      <c r="Q126" s="85"/>
      <c r="R126" s="85"/>
      <c r="S126" s="85"/>
      <c r="T126" s="85"/>
      <c r="U126" s="85"/>
    </row>
    <row r="127" spans="1:21">
      <c r="A127" s="5" t="s">
        <v>109</v>
      </c>
      <c r="E127" s="84"/>
      <c r="F127" s="84"/>
      <c r="G127" s="84"/>
      <c r="H127" s="84"/>
      <c r="I127" s="84"/>
      <c r="J127" s="84"/>
      <c r="K127" s="85"/>
      <c r="L127" s="85"/>
      <c r="M127" s="85"/>
      <c r="N127" s="85"/>
      <c r="O127" s="85"/>
      <c r="P127" s="85"/>
      <c r="Q127" s="85"/>
      <c r="R127" s="85"/>
      <c r="S127" s="85"/>
      <c r="T127" s="85"/>
      <c r="U127" s="85"/>
    </row>
    <row r="128" spans="1:21">
      <c r="A128" s="88"/>
      <c r="B128" s="88"/>
      <c r="C128" s="88"/>
      <c r="D128" s="88"/>
      <c r="E128" s="178"/>
      <c r="F128" s="178"/>
      <c r="G128" s="178"/>
      <c r="H128" s="178"/>
      <c r="I128" s="178"/>
      <c r="J128" s="117"/>
      <c r="K128" s="117"/>
      <c r="L128" s="117"/>
      <c r="M128" s="117"/>
      <c r="N128" s="117"/>
      <c r="O128" s="117"/>
      <c r="P128" s="117"/>
      <c r="Q128" s="117"/>
      <c r="R128" s="117"/>
      <c r="S128" s="117"/>
      <c r="T128" s="117"/>
      <c r="U128" s="117"/>
    </row>
    <row r="145" spans="1:16">
      <c r="P145" s="179"/>
    </row>
    <row r="146" spans="1:16">
      <c r="A146" s="4"/>
      <c r="B146" s="4"/>
      <c r="C146" s="4"/>
      <c r="D146" s="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Data Sources</vt:lpstr>
      <vt:lpstr>Notes</vt:lpstr>
      <vt:lpstr>Capacity</vt:lpstr>
      <vt:lpstr>annual_data</vt:lpstr>
      <vt:lpstr>monthly_data</vt:lpstr>
      <vt:lpstr>BD</vt:lpstr>
      <vt:lpstr>RD</vt:lpstr>
      <vt:lpstr>SAF</vt:lpstr>
      <vt:lpstr>Jet Fuel</vt:lpstr>
      <vt:lpstr>Diesel</vt:lpstr>
      <vt:lpstr>BD!Print_Area</vt:lpstr>
      <vt:lpstr>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Tore Alden</dc:creator>
  <cp:lastModifiedBy>Tore Alden</cp:lastModifiedBy>
  <dcterms:created xsi:type="dcterms:W3CDTF">2025-07-09T12:08:25Z</dcterms:created>
  <dcterms:modified xsi:type="dcterms:W3CDTF">2025-07-09T12:08:59Z</dcterms:modified>
</cp:coreProperties>
</file>